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RateHelpers!$K$2:$K$137</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29" i="16" l="1" a="1"/>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6" i="17"/>
  <c r="E10" i="17"/>
  <c r="E16" i="17"/>
  <c r="E15" i="17"/>
  <c r="E12" i="17"/>
  <c r="E13" i="17"/>
  <c r="E17" i="17"/>
  <c r="D2" i="17"/>
  <c r="E14" i="17"/>
  <c r="E18" i="17"/>
  <c r="E9" i="17"/>
  <c r="E11" i="17"/>
  <c r="E8" i="17"/>
  <c r="E7" i="17"/>
  <c r="D3" i="17" l="1"/>
  <c r="C18" i="17"/>
  <c r="C27" i="6" l="1"/>
  <c r="C6" i="17"/>
  <c r="U80" i="16" l="1" a="1"/>
  <c r="C7" i="17"/>
  <c r="U19" i="16" l="1" a="1"/>
  <c r="C8" i="17"/>
  <c r="F4" i="16" l="1"/>
  <c r="F5" i="16"/>
  <c r="F6" i="16"/>
  <c r="F7" i="16"/>
  <c r="F8" i="16"/>
  <c r="F10" i="16"/>
  <c r="F11" i="16"/>
  <c r="F12" i="16"/>
  <c r="F13" i="16"/>
  <c r="F14" i="16"/>
  <c r="F15" i="16"/>
  <c r="F16" i="16"/>
  <c r="F3" i="16"/>
  <c r="B13" i="16"/>
  <c r="B16" i="16"/>
  <c r="B11" i="16"/>
  <c r="B15" i="16"/>
  <c r="B14" i="16"/>
  <c r="B12" i="16"/>
  <c r="C5" i="16"/>
  <c r="L4" i="15"/>
  <c r="C9" i="17"/>
  <c r="L4" i="13"/>
  <c r="C3" i="16"/>
  <c r="C4"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0" i="17"/>
  <c r="C13" i="16" l="1"/>
  <c r="Q47" i="16"/>
  <c r="Q48" i="16"/>
  <c r="Q49" i="16"/>
  <c r="Q50" i="16"/>
  <c r="Q51" i="16"/>
  <c r="Q52" i="16"/>
  <c r="Q53" i="16"/>
  <c r="Q54"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L7" i="15"/>
  <c r="F28" i="11"/>
  <c r="F44" i="11"/>
  <c r="F7" i="11"/>
  <c r="F13" i="11"/>
  <c r="F30" i="11"/>
  <c r="C16" i="17"/>
  <c r="F11" i="11"/>
  <c r="F29" i="11"/>
  <c r="F21" i="11"/>
  <c r="F10" i="11"/>
  <c r="F32" i="11"/>
  <c r="Y19" i="16"/>
  <c r="F34" i="11"/>
  <c r="F33" i="11"/>
  <c r="F5" i="11"/>
  <c r="F31" i="11"/>
  <c r="F18" i="11"/>
  <c r="F3" i="11"/>
  <c r="F16" i="11"/>
  <c r="F36" i="11"/>
  <c r="F23" i="11"/>
  <c r="F41" i="11"/>
  <c r="F8" i="11"/>
  <c r="F38" i="11"/>
  <c r="F17" i="11"/>
  <c r="F4" i="11"/>
  <c r="F26" i="11"/>
  <c r="F25" i="11"/>
  <c r="F22" i="11"/>
  <c r="F14" i="11"/>
  <c r="F35" i="11"/>
  <c r="F40" i="11"/>
  <c r="F6" i="11"/>
  <c r="F19" i="11"/>
  <c r="F27" i="11"/>
  <c r="F43" i="11"/>
  <c r="F20" i="11"/>
  <c r="F15" i="11"/>
  <c r="F39" i="11"/>
  <c r="F24" i="11"/>
  <c r="F42" i="11"/>
  <c r="F9" i="11"/>
  <c r="F12" i="11"/>
  <c r="F37"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3" i="5" l="1"/>
  <c r="E101" i="5"/>
  <c r="E102" i="5"/>
  <c r="E104" i="5"/>
  <c r="E105" i="5"/>
  <c r="E106" i="5"/>
  <c r="I12" i="15"/>
  <c r="K12" i="15"/>
  <c r="E13" i="15"/>
  <c r="G12" i="15"/>
  <c r="L12" i="15"/>
  <c r="F104" i="5"/>
  <c r="F106" i="5"/>
  <c r="F102" i="5"/>
  <c r="M9" i="15"/>
  <c r="M8" i="15"/>
  <c r="X21" i="16"/>
  <c r="F101" i="5"/>
  <c r="Y20" i="16"/>
  <c r="M6" i="15"/>
  <c r="F105" i="5"/>
  <c r="M10" i="15"/>
  <c r="F103" i="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L17" i="15"/>
  <c r="M14" i="15"/>
  <c r="M16" i="15"/>
  <c r="M15" i="15"/>
  <c r="M11" i="15"/>
  <c r="E108" i="5" l="1"/>
  <c r="E111" i="5"/>
  <c r="E109" i="5"/>
  <c r="E107" i="5"/>
  <c r="E110" i="5"/>
  <c r="E112" i="5"/>
  <c r="E19" i="15"/>
  <c r="G18" i="15"/>
  <c r="I18" i="15"/>
  <c r="K18" i="15"/>
  <c r="L18" i="15"/>
  <c r="M12" i="15"/>
  <c r="M17" i="15"/>
  <c r="M13" i="15"/>
  <c r="F109" i="5"/>
  <c r="F107" i="5"/>
  <c r="F108" i="5"/>
  <c r="F111" i="5"/>
  <c r="F110" i="5"/>
  <c r="F112" i="5"/>
  <c r="E113" i="5" l="1"/>
  <c r="K19" i="15"/>
  <c r="E20" i="15"/>
  <c r="G19" i="15"/>
  <c r="I19" i="15"/>
  <c r="L19" i="15"/>
  <c r="F113" i="5"/>
  <c r="M18" i="15"/>
  <c r="E114" i="5" l="1"/>
  <c r="I20" i="15"/>
  <c r="K20" i="15"/>
  <c r="E21" i="15"/>
  <c r="G20" i="15"/>
  <c r="L20" i="15"/>
  <c r="F114" i="5"/>
  <c r="M19" i="15"/>
  <c r="E115" i="5" l="1"/>
  <c r="G21" i="15"/>
  <c r="I21" i="15"/>
  <c r="K21" i="15"/>
  <c r="E22" i="15"/>
  <c r="L21" i="15"/>
  <c r="F115" i="5"/>
  <c r="M20" i="15"/>
  <c r="E116" i="5" l="1"/>
  <c r="E23" i="15"/>
  <c r="G22" i="15"/>
  <c r="K22" i="15"/>
  <c r="I22" i="15"/>
  <c r="L22" i="15"/>
  <c r="F116" i="5"/>
  <c r="K23" i="15" l="1"/>
  <c r="E24" i="15"/>
  <c r="G23" i="15"/>
  <c r="I23" i="15"/>
  <c r="L23" i="15"/>
  <c r="E117" i="5" l="1"/>
  <c r="I24" i="15"/>
  <c r="G24" i="15"/>
  <c r="K24" i="15"/>
  <c r="E25" i="15"/>
  <c r="L24" i="15"/>
  <c r="G25" i="15" l="1"/>
  <c r="I25" i="15"/>
  <c r="K25" i="15"/>
  <c r="E26" i="15"/>
  <c r="L25" i="15"/>
  <c r="X22" i="16"/>
  <c r="F117" i="5"/>
  <c r="M22" i="15"/>
  <c r="M21" i="15"/>
  <c r="E119" i="5" l="1"/>
  <c r="E118" i="5"/>
  <c r="E120" i="5"/>
  <c r="E27" i="15"/>
  <c r="I26" i="15"/>
  <c r="K26" i="15"/>
  <c r="G26" i="15"/>
  <c r="L26" i="15"/>
  <c r="Y22" i="16"/>
  <c r="M23" i="15"/>
  <c r="M24" i="15"/>
  <c r="X23" i="16"/>
  <c r="K27" i="15" l="1"/>
  <c r="G27" i="15"/>
  <c r="I27" i="15"/>
  <c r="E28" i="15"/>
  <c r="L27" i="15"/>
  <c r="Y23" i="16"/>
  <c r="I28" i="15" l="1"/>
  <c r="K28" i="15"/>
  <c r="G28" i="15"/>
  <c r="E29" i="15"/>
  <c r="L28" i="15"/>
  <c r="F120" i="5"/>
  <c r="X24" i="16"/>
  <c r="F119" i="5"/>
  <c r="M25" i="15"/>
  <c r="F118" i="5"/>
  <c r="E122" i="5" l="1"/>
  <c r="E121" i="5"/>
  <c r="E123" i="5"/>
  <c r="G29" i="15"/>
  <c r="I29" i="15"/>
  <c r="E30" i="15"/>
  <c r="K29" i="15"/>
  <c r="L29" i="15"/>
  <c r="Y24" i="16"/>
  <c r="M27" i="15"/>
  <c r="X25" i="16"/>
  <c r="M26" i="15"/>
  <c r="E31" i="15" l="1"/>
  <c r="G30" i="15"/>
  <c r="I30" i="15"/>
  <c r="K30" i="15"/>
  <c r="L30" i="15"/>
  <c r="Y25" i="16"/>
  <c r="E32" i="15" l="1"/>
  <c r="G31" i="15"/>
  <c r="I31" i="15"/>
  <c r="K31" i="15"/>
  <c r="L31" i="15"/>
  <c r="M28" i="15"/>
  <c r="X26" i="16"/>
  <c r="F121" i="5"/>
  <c r="F122" i="5"/>
  <c r="X27" i="16"/>
  <c r="F123" i="5"/>
  <c r="E125" i="5" l="1"/>
  <c r="E124" i="5"/>
  <c r="E126" i="5"/>
  <c r="G32" i="15"/>
  <c r="I32" i="15"/>
  <c r="K32" i="15"/>
  <c r="E33" i="15"/>
  <c r="L32" i="15"/>
  <c r="M30" i="15"/>
  <c r="M29" i="15"/>
  <c r="Y27" i="16"/>
  <c r="Y26" i="16"/>
  <c r="G33" i="15" l="1"/>
  <c r="I33" i="15"/>
  <c r="K33" i="15"/>
  <c r="E34" i="15"/>
  <c r="L33" i="15"/>
  <c r="I34" i="15" l="1"/>
  <c r="K34" i="15"/>
  <c r="G34" i="15"/>
  <c r="E35" i="15"/>
  <c r="L34" i="15"/>
  <c r="F124" i="5"/>
  <c r="F125" i="5"/>
  <c r="X28" i="16"/>
  <c r="F126" i="5"/>
  <c r="M31" i="15"/>
  <c r="E128" i="5" l="1"/>
  <c r="E127" i="5"/>
  <c r="E129" i="5"/>
  <c r="K35" i="15"/>
  <c r="G35" i="15"/>
  <c r="I35" i="15"/>
  <c r="E36" i="15"/>
  <c r="L35" i="15"/>
  <c r="X29" i="16"/>
  <c r="M32" i="15"/>
  <c r="M33" i="15"/>
  <c r="Y28" i="16"/>
  <c r="I36" i="15" l="1"/>
  <c r="K36" i="15"/>
  <c r="E37" i="15"/>
  <c r="G36" i="15"/>
  <c r="L36" i="15"/>
  <c r="Y29" i="16"/>
  <c r="G37" i="15" l="1"/>
  <c r="I37" i="15"/>
  <c r="E38" i="15"/>
  <c r="K37" i="15"/>
  <c r="L37" i="15"/>
  <c r="F129" i="5"/>
  <c r="M34" i="15"/>
  <c r="M36" i="15"/>
  <c r="X30" i="16"/>
  <c r="F127" i="5"/>
  <c r="Y30" i="16"/>
  <c r="F128" i="5"/>
  <c r="E131" i="5" l="1"/>
  <c r="E130" i="5"/>
  <c r="E132" i="5"/>
  <c r="E39" i="15"/>
  <c r="G38" i="15"/>
  <c r="I38" i="15"/>
  <c r="K38" i="15"/>
  <c r="L38" i="15"/>
  <c r="M35" i="15"/>
  <c r="E40" i="15" l="1"/>
  <c r="G39" i="15"/>
  <c r="I39" i="15"/>
  <c r="K39" i="15"/>
  <c r="L39" i="15"/>
  <c r="I40" i="15" l="1"/>
  <c r="K40" i="15"/>
  <c r="G40" i="15"/>
  <c r="E41" i="15"/>
  <c r="L40" i="15"/>
  <c r="K41" i="15" l="1"/>
  <c r="G41" i="15"/>
  <c r="I41" i="15"/>
  <c r="E42" i="15"/>
  <c r="L41" i="15"/>
  <c r="M37" i="15"/>
  <c r="F130" i="5"/>
  <c r="F131" i="5"/>
  <c r="X31" i="16"/>
  <c r="F132" i="5"/>
  <c r="M40" i="15"/>
  <c r="E135" i="5" l="1"/>
  <c r="E134" i="5"/>
  <c r="E133" i="5"/>
  <c r="E136" i="5"/>
  <c r="G42" i="15"/>
  <c r="I42" i="15"/>
  <c r="K42" i="15"/>
  <c r="L3" i="15"/>
  <c r="L42" i="15"/>
  <c r="Y31" i="16"/>
  <c r="M39" i="15"/>
  <c r="M38" i="15"/>
  <c r="K2" i="13" l="1"/>
  <c r="E6" i="13" a="1"/>
  <c r="E8" i="13" s="1"/>
  <c r="F6" i="13" a="1"/>
  <c r="F42" i="13" s="1"/>
  <c r="K44" i="13"/>
  <c r="K45" i="13"/>
  <c r="K46" i="13"/>
  <c r="K47" i="13"/>
  <c r="K48" i="13"/>
  <c r="K49" i="13"/>
  <c r="K50" i="13"/>
  <c r="L49" i="13"/>
  <c r="L50" i="13"/>
  <c r="L44" i="13"/>
  <c r="L45" i="13"/>
  <c r="L46" i="13"/>
  <c r="L47" i="13"/>
  <c r="L48"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L8" i="13"/>
  <c r="F134" i="5"/>
  <c r="F133" i="5"/>
  <c r="F135" i="5"/>
  <c r="M41" i="15"/>
  <c r="M3" i="15"/>
  <c r="X32" i="16"/>
  <c r="F136" i="5"/>
  <c r="E137"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32" i="13"/>
  <c r="L23" i="13"/>
  <c r="L39" i="13"/>
  <c r="L37" i="13"/>
  <c r="L12" i="13"/>
  <c r="L21" i="13"/>
  <c r="L6" i="13"/>
  <c r="L24" i="13"/>
  <c r="L40" i="13"/>
  <c r="L14" i="13"/>
  <c r="L13" i="13"/>
  <c r="L7" i="13"/>
  <c r="L30" i="13"/>
  <c r="L27" i="13"/>
  <c r="L38" i="13"/>
  <c r="L10" i="13"/>
  <c r="L25" i="13"/>
  <c r="L11" i="13"/>
  <c r="L41" i="13"/>
  <c r="L34" i="13"/>
  <c r="L33" i="13"/>
  <c r="L15" i="13"/>
  <c r="L9" i="13"/>
  <c r="L19" i="13"/>
  <c r="L28" i="13"/>
  <c r="L36" i="13"/>
  <c r="L29" i="13"/>
  <c r="L26" i="13"/>
  <c r="L35" i="13"/>
  <c r="L20" i="13"/>
  <c r="L42" i="13"/>
  <c r="L17" i="13"/>
  <c r="L22" i="13"/>
  <c r="L16" i="13"/>
  <c r="L31" i="13"/>
  <c r="L18" i="13"/>
  <c r="Y32" i="16"/>
  <c r="M42" i="15"/>
  <c r="L3" i="13" l="1"/>
  <c r="E66"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29" i="11"/>
  <c r="J27" i="11"/>
  <c r="J4" i="11"/>
  <c r="J16" i="11"/>
  <c r="J38" i="11"/>
  <c r="M7" i="13"/>
  <c r="M3" i="13"/>
  <c r="M31" i="13"/>
  <c r="M6" i="13"/>
  <c r="M9" i="13"/>
  <c r="M30" i="13"/>
  <c r="M46" i="13"/>
  <c r="M32" i="13"/>
  <c r="J28" i="11"/>
  <c r="M8" i="13"/>
  <c r="M41" i="13"/>
  <c r="M36" i="13"/>
  <c r="J34" i="11"/>
  <c r="J41" i="11"/>
  <c r="M38" i="13"/>
  <c r="M40" i="13"/>
  <c r="J44" i="11"/>
  <c r="J8" i="11"/>
  <c r="M13" i="13"/>
  <c r="M28" i="13"/>
  <c r="J43" i="11"/>
  <c r="X33" i="16"/>
  <c r="Y33" i="16" s="1"/>
  <c r="M18" i="13"/>
  <c r="J10" i="11"/>
  <c r="J14" i="11"/>
  <c r="J37" i="11"/>
  <c r="J42" i="11"/>
  <c r="J21" i="11"/>
  <c r="M47" i="13"/>
  <c r="M16" i="13"/>
  <c r="M34" i="13"/>
  <c r="M21" i="13"/>
  <c r="J6" i="11"/>
  <c r="J19" i="11"/>
  <c r="M35" i="13"/>
  <c r="M10" i="13"/>
  <c r="J40" i="11"/>
  <c r="J9" i="11"/>
  <c r="M17" i="13"/>
  <c r="M48" i="13"/>
  <c r="M15" i="13"/>
  <c r="J26" i="11"/>
  <c r="M50" i="13"/>
  <c r="M49" i="13"/>
  <c r="M11" i="13"/>
  <c r="J18" i="11"/>
  <c r="M44" i="13"/>
  <c r="M27" i="13"/>
  <c r="J3" i="11"/>
  <c r="J30" i="11"/>
  <c r="M37" i="13"/>
  <c r="M14" i="13"/>
  <c r="M39" i="13"/>
  <c r="J24" i="11"/>
  <c r="J11" i="11"/>
  <c r="J36" i="11"/>
  <c r="J5" i="11"/>
  <c r="J32" i="11"/>
  <c r="M42" i="13"/>
  <c r="M19" i="13"/>
  <c r="F137" i="5"/>
  <c r="M23" i="13"/>
  <c r="M29" i="13"/>
  <c r="M20" i="13"/>
  <c r="J31" i="11"/>
  <c r="J25" i="11"/>
  <c r="F66" i="5"/>
  <c r="M22" i="13"/>
  <c r="M12" i="13"/>
  <c r="J22" i="11"/>
  <c r="J20" i="11"/>
  <c r="J39" i="11"/>
  <c r="J12" i="11"/>
  <c r="J15" i="11"/>
  <c r="J23" i="11"/>
  <c r="M45" i="13"/>
  <c r="J17" i="11"/>
  <c r="M4" i="13"/>
  <c r="M26" i="13"/>
  <c r="J13" i="11"/>
  <c r="J35" i="11"/>
  <c r="M33" i="13"/>
  <c r="M25" i="13"/>
  <c r="J33" i="11"/>
  <c r="M24" i="13"/>
  <c r="J7" i="11"/>
  <c r="E97" i="5" l="1"/>
  <c r="E85" i="5"/>
  <c r="E98" i="5"/>
  <c r="E94" i="5"/>
  <c r="E70" i="5"/>
  <c r="E80" i="5"/>
  <c r="E78" i="5"/>
  <c r="E90" i="5"/>
  <c r="E82" i="5"/>
  <c r="E88" i="5"/>
  <c r="E83" i="5"/>
  <c r="E86" i="5"/>
  <c r="E64" i="5"/>
  <c r="E69" i="5"/>
  <c r="E73" i="5"/>
  <c r="E68" i="5"/>
  <c r="E87" i="5"/>
  <c r="E72" i="5"/>
  <c r="E71" i="5"/>
  <c r="E93" i="5"/>
  <c r="E92" i="5"/>
  <c r="E79" i="5"/>
  <c r="E91" i="5"/>
  <c r="E67" i="5"/>
  <c r="E76" i="5"/>
  <c r="E96" i="5"/>
  <c r="E100" i="5"/>
  <c r="E89" i="5"/>
  <c r="E99" i="5"/>
  <c r="E84" i="5"/>
  <c r="E75" i="5"/>
  <c r="E65" i="5"/>
  <c r="E74" i="5"/>
  <c r="E95" i="5"/>
  <c r="E77" i="5"/>
  <c r="E81" i="5"/>
  <c r="E47" i="5"/>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F1" i="9" l="1"/>
  <c r="G1" i="9" s="1"/>
  <c r="E3" i="9"/>
  <c r="E8" i="9"/>
  <c r="E4" i="9"/>
  <c r="E6" i="9"/>
  <c r="E5" i="9"/>
  <c r="E7" i="9"/>
  <c r="K7" i="11"/>
  <c r="K39" i="11"/>
  <c r="K11" i="11"/>
  <c r="K19" i="11"/>
  <c r="K8" i="11"/>
  <c r="K27" i="11"/>
  <c r="F76" i="5"/>
  <c r="F74" i="5"/>
  <c r="F83" i="5"/>
  <c r="F53" i="5"/>
  <c r="F19" i="5"/>
  <c r="F21" i="5"/>
  <c r="F17" i="5"/>
  <c r="F42" i="5"/>
  <c r="F33" i="5"/>
  <c r="F90" i="5"/>
  <c r="K33" i="11"/>
  <c r="K20" i="11"/>
  <c r="K24" i="11"/>
  <c r="K6" i="11"/>
  <c r="K44" i="11"/>
  <c r="K29" i="11"/>
  <c r="F65" i="5"/>
  <c r="F28" i="5"/>
  <c r="F71" i="5"/>
  <c r="F94" i="5"/>
  <c r="F50" i="5"/>
  <c r="F29" i="5"/>
  <c r="F27" i="5"/>
  <c r="F56" i="5"/>
  <c r="F69" i="5"/>
  <c r="X34" i="16"/>
  <c r="K35" i="11"/>
  <c r="K22" i="11"/>
  <c r="K30" i="11"/>
  <c r="K21" i="11"/>
  <c r="K41" i="11"/>
  <c r="F48" i="5"/>
  <c r="F45" i="5"/>
  <c r="F100" i="5"/>
  <c r="F86" i="5"/>
  <c r="F43" i="5"/>
  <c r="F32" i="5"/>
  <c r="F16" i="5"/>
  <c r="F30" i="5"/>
  <c r="F44" i="5"/>
  <c r="F34" i="5"/>
  <c r="K13" i="11"/>
  <c r="K25" i="11"/>
  <c r="K3" i="11"/>
  <c r="K42" i="11"/>
  <c r="K34" i="11"/>
  <c r="F18" i="5"/>
  <c r="F36" i="5"/>
  <c r="F95" i="5"/>
  <c r="F93" i="5"/>
  <c r="F70" i="5"/>
  <c r="F20" i="5"/>
  <c r="G18" i="5"/>
  <c r="F68" i="5"/>
  <c r="F41" i="5"/>
  <c r="F38" i="5"/>
  <c r="K17" i="11"/>
  <c r="K31" i="11"/>
  <c r="K23" i="11"/>
  <c r="K9" i="11"/>
  <c r="K16" i="11"/>
  <c r="F85" i="5"/>
  <c r="F39" i="5"/>
  <c r="F64" i="5"/>
  <c r="F54" i="5"/>
  <c r="F73" i="5"/>
  <c r="K15" i="11"/>
  <c r="K40" i="11"/>
  <c r="K4" i="11"/>
  <c r="F88" i="5"/>
  <c r="F46" i="5"/>
  <c r="F92" i="5"/>
  <c r="F78" i="5"/>
  <c r="F75" i="5"/>
  <c r="K12" i="11"/>
  <c r="K37" i="11"/>
  <c r="F72" i="5"/>
  <c r="F49" i="5"/>
  <c r="F99" i="5"/>
  <c r="F91" i="5"/>
  <c r="F37" i="5"/>
  <c r="K32" i="11"/>
  <c r="K28" i="11"/>
  <c r="F96" i="5"/>
  <c r="F26" i="5"/>
  <c r="F67" i="5"/>
  <c r="K5" i="11"/>
  <c r="K38" i="11"/>
  <c r="F40" i="5"/>
  <c r="F52" i="5"/>
  <c r="F22" i="5"/>
  <c r="K36" i="11"/>
  <c r="F25" i="5"/>
  <c r="F81" i="5"/>
  <c r="F47" i="5"/>
  <c r="K18" i="11"/>
  <c r="F55" i="5"/>
  <c r="F35" i="5"/>
  <c r="F23" i="5"/>
  <c r="K26" i="11"/>
  <c r="F98" i="5"/>
  <c r="F80" i="5"/>
  <c r="F24" i="5"/>
  <c r="K14" i="11"/>
  <c r="F87" i="5"/>
  <c r="X35" i="16"/>
  <c r="K10" i="11"/>
  <c r="F51" i="5"/>
  <c r="Y34" i="16"/>
  <c r="K43" i="11"/>
  <c r="F89" i="5"/>
  <c r="F77" i="5"/>
  <c r="F79" i="5"/>
  <c r="F84" i="5"/>
  <c r="F82" i="5"/>
  <c r="F15" i="5"/>
  <c r="F97" i="5"/>
  <c r="F31" i="5"/>
  <c r="G7" i="9"/>
  <c r="G5" i="9"/>
  <c r="G6" i="9"/>
  <c r="G8" i="9"/>
  <c r="G4" i="9"/>
  <c r="G3" i="9"/>
  <c r="Y35" i="16"/>
  <c r="X36" i="16"/>
  <c r="X37" i="16"/>
  <c r="Y36" i="16"/>
  <c r="Y37" i="16"/>
  <c r="X38" i="16"/>
  <c r="X39" i="16"/>
  <c r="Y38" i="16"/>
  <c r="X40" i="16"/>
  <c r="Y39" i="16"/>
  <c r="X41" i="16"/>
  <c r="Y40" i="16"/>
  <c r="X42" i="16"/>
  <c r="Y41" i="16"/>
  <c r="Y42" i="16"/>
  <c r="X43" i="16"/>
  <c r="Y43" i="16"/>
  <c r="X44" i="16"/>
  <c r="X45" i="16"/>
  <c r="Y44" i="16"/>
  <c r="X46" i="16"/>
  <c r="Y45" i="16"/>
  <c r="Y46" i="16"/>
  <c r="X47" i="16"/>
  <c r="X48" i="16"/>
  <c r="Y47" i="16"/>
  <c r="Y48" i="16"/>
  <c r="X49" i="16"/>
  <c r="X50" i="16"/>
  <c r="Y49" i="16"/>
  <c r="Y50" i="16"/>
  <c r="X51" i="16"/>
  <c r="X52" i="16"/>
  <c r="Y51" i="16"/>
  <c r="X53" i="16"/>
  <c r="Y52" i="16"/>
  <c r="Y53" i="16"/>
  <c r="X54" i="16"/>
  <c r="Y54" i="16"/>
  <c r="X55" i="16"/>
  <c r="X56" i="16"/>
  <c r="Y55" i="16"/>
  <c r="X57" i="16"/>
  <c r="Y56" i="16"/>
  <c r="Y57" i="16"/>
  <c r="X58" i="16"/>
  <c r="Y58" i="16"/>
  <c r="X59" i="16"/>
  <c r="X60" i="16"/>
  <c r="Y59" i="16"/>
  <c r="Y60" i="16"/>
  <c r="X61" i="16"/>
  <c r="Y61" i="16"/>
  <c r="X62" i="16"/>
  <c r="X63" i="16"/>
  <c r="Y62" i="16"/>
  <c r="Y63" i="16"/>
  <c r="X64" i="16"/>
  <c r="Y64" i="16"/>
  <c r="X65" i="16"/>
  <c r="X66" i="16"/>
  <c r="Y65" i="16"/>
  <c r="X67" i="16"/>
  <c r="Y66" i="16"/>
  <c r="X68" i="16"/>
  <c r="Y67" i="16"/>
  <c r="X69" i="16"/>
  <c r="Y68" i="16"/>
  <c r="X70" i="16"/>
  <c r="Y69" i="16"/>
  <c r="Y70" i="16"/>
  <c r="X71" i="16"/>
  <c r="X72" i="16"/>
  <c r="Y71" i="16"/>
  <c r="X73" i="16"/>
  <c r="Y72" i="16"/>
  <c r="X74" i="16"/>
  <c r="Y73" i="16"/>
  <c r="Y74" i="16"/>
  <c r="X75" i="16"/>
  <c r="Y75" i="16"/>
  <c r="X76" i="16"/>
  <c r="Y76" i="16"/>
  <c r="X77" i="16"/>
  <c r="Y77" i="16"/>
  <c r="X78" i="16"/>
  <c r="Y78" i="16"/>
  <c r="X79" i="16"/>
  <c r="Y79" i="16"/>
  <c r="X80" i="16"/>
  <c r="X81" i="16"/>
  <c r="Y80" i="16"/>
  <c r="X82" i="16"/>
  <c r="Y81" i="16"/>
  <c r="Y82" i="16"/>
  <c r="X83" i="16"/>
  <c r="X84" i="16"/>
  <c r="Y83" i="16"/>
  <c r="Y84" i="16"/>
  <c r="X85" i="16"/>
  <c r="X86" i="16"/>
  <c r="Y85" i="16"/>
  <c r="Y86" i="16"/>
  <c r="X87" i="16"/>
  <c r="X88" i="16"/>
  <c r="Y87" i="16"/>
  <c r="Y88" i="16"/>
  <c r="X89" i="16"/>
  <c r="X90" i="16"/>
  <c r="Y89" i="16"/>
  <c r="X91" i="16"/>
  <c r="Y90" i="16"/>
  <c r="X92" i="16"/>
  <c r="Y91" i="16"/>
  <c r="Y92" i="16"/>
  <c r="X93" i="16"/>
  <c r="X94" i="16"/>
  <c r="Y93" i="16"/>
  <c r="X95" i="16"/>
  <c r="Y94" i="16"/>
  <c r="Y95" i="16"/>
  <c r="X96" i="16"/>
  <c r="X97" i="16"/>
  <c r="Y96" i="16"/>
  <c r="Y97" i="16"/>
  <c r="X98" i="16"/>
  <c r="X99" i="16"/>
  <c r="Y98" i="16"/>
  <c r="X100" i="16"/>
  <c r="Y99" i="16"/>
  <c r="X101" i="16"/>
  <c r="Y100" i="16"/>
  <c r="X102" i="16"/>
  <c r="Y101" i="16"/>
  <c r="X103" i="16"/>
  <c r="Y102" i="16"/>
  <c r="Y103" i="16"/>
  <c r="X104" i="16"/>
  <c r="Y104" i="16"/>
  <c r="X105" i="16"/>
  <c r="X106" i="16"/>
  <c r="Y105" i="16"/>
  <c r="Y106" i="16"/>
  <c r="X107" i="16"/>
  <c r="Y107" i="16"/>
  <c r="X108" i="16"/>
  <c r="X109" i="16"/>
  <c r="Y108" i="16"/>
  <c r="X110" i="16"/>
  <c r="Y109" i="16"/>
  <c r="Y110" i="16"/>
  <c r="X111" i="16"/>
  <c r="Y111" i="16"/>
  <c r="X112" i="16"/>
  <c r="Y112" i="16"/>
  <c r="X113" i="16"/>
  <c r="Y113" i="16"/>
  <c r="X114" i="16"/>
  <c r="Y114" i="16"/>
  <c r="X115" i="16"/>
  <c r="X116" i="16"/>
  <c r="Y115" i="16"/>
  <c r="X117" i="16"/>
  <c r="Y116" i="16"/>
  <c r="Y117" i="16"/>
  <c r="X118" i="16"/>
  <c r="Y118" i="16"/>
  <c r="X119" i="16"/>
  <c r="Y119" i="16"/>
  <c r="X120" i="16"/>
  <c r="Y120" i="16"/>
  <c r="X121" i="16"/>
  <c r="X122" i="16"/>
  <c r="Y121" i="16"/>
  <c r="X123" i="16"/>
  <c r="Y122" i="16"/>
  <c r="Y123" i="16"/>
  <c r="X124" i="16"/>
  <c r="Y124" i="16"/>
  <c r="X125" i="16"/>
  <c r="Y125" i="16"/>
  <c r="X126" i="16"/>
  <c r="Y126" i="16"/>
  <c r="X127" i="16"/>
  <c r="Y127" i="16"/>
  <c r="X128" i="16"/>
  <c r="X129" i="16"/>
  <c r="Y128" i="16"/>
  <c r="X130" i="16"/>
  <c r="Y129" i="16"/>
  <c r="X131" i="16"/>
  <c r="Y130" i="16"/>
  <c r="Y131" i="16"/>
  <c r="X132" i="16"/>
  <c r="Y132" i="16"/>
  <c r="X133" i="16"/>
  <c r="Y133" i="16"/>
  <c r="X134" i="16"/>
  <c r="X135" i="16"/>
  <c r="Y134" i="16"/>
  <c r="Y135" i="16"/>
  <c r="X136" i="16"/>
  <c r="X137" i="16"/>
  <c r="Y136" i="16"/>
  <c r="X138" i="16"/>
  <c r="Y137" i="16"/>
  <c r="X139" i="16"/>
  <c r="Y138" i="16"/>
  <c r="Y139" i="16"/>
  <c r="X140" i="16"/>
  <c r="X141" i="16"/>
  <c r="Y140" i="16"/>
  <c r="X142" i="16"/>
  <c r="Y141" i="16"/>
  <c r="X143" i="16"/>
  <c r="Y142" i="16"/>
  <c r="Y143" i="16"/>
  <c r="X144" i="16"/>
  <c r="X145" i="16"/>
  <c r="Y144" i="16"/>
  <c r="Y145" i="16"/>
  <c r="X146" i="16"/>
  <c r="X147" i="16"/>
  <c r="Y146" i="16"/>
  <c r="Y147" i="16"/>
  <c r="X148" i="16"/>
  <c r="Y148" i="16"/>
  <c r="X149" i="16"/>
  <c r="Y149" i="16"/>
  <c r="X150" i="16"/>
  <c r="X151" i="16"/>
  <c r="Y150" i="16"/>
  <c r="X152" i="16"/>
  <c r="Y151" i="16"/>
  <c r="Y152" i="16"/>
  <c r="X153" i="16"/>
  <c r="X154" i="16"/>
  <c r="Y153" i="16"/>
  <c r="X155" i="16"/>
  <c r="Y154" i="16"/>
  <c r="X156" i="16"/>
  <c r="Y155" i="16"/>
  <c r="X157" i="16"/>
  <c r="Y156" i="16"/>
  <c r="X158" i="16"/>
  <c r="Y157" i="16"/>
  <c r="X159" i="16"/>
  <c r="Y158" i="16"/>
  <c r="Y159" i="16"/>
  <c r="X160" i="16"/>
  <c r="X161" i="16"/>
  <c r="Y160" i="16"/>
  <c r="Y161" i="16"/>
  <c r="X162" i="16"/>
  <c r="Y162" i="16"/>
  <c r="X163" i="16"/>
  <c r="X164" i="16"/>
  <c r="Y163" i="16"/>
  <c r="Y164" i="16"/>
  <c r="X165" i="16"/>
  <c r="Y165" i="16"/>
  <c r="X166" i="16"/>
  <c r="Y166" i="16"/>
  <c r="X167" i="16"/>
  <c r="Y167" i="16"/>
  <c r="X168" i="16"/>
  <c r="X169" i="16"/>
  <c r="Y168" i="16"/>
  <c r="X170" i="16"/>
  <c r="Y169" i="16"/>
  <c r="X171" i="16"/>
  <c r="Y170" i="16"/>
  <c r="X172" i="16"/>
  <c r="Y171" i="16"/>
  <c r="Y172" i="16"/>
  <c r="X173" i="16"/>
  <c r="Y173" i="16"/>
  <c r="X174" i="16"/>
  <c r="Y174" i="16"/>
  <c r="X175" i="16"/>
  <c r="Y175" i="16"/>
  <c r="X176" i="16"/>
  <c r="Y176" i="16"/>
  <c r="X177" i="16"/>
  <c r="X178" i="16"/>
  <c r="Y177" i="16"/>
  <c r="Y178" i="16"/>
  <c r="X179" i="16"/>
  <c r="Y179" i="16"/>
  <c r="X180" i="16"/>
  <c r="X181" i="16"/>
  <c r="Y180" i="16"/>
  <c r="X182" i="16"/>
  <c r="Y181" i="16"/>
  <c r="X183" i="16"/>
  <c r="Y182" i="16"/>
  <c r="Y183" i="16"/>
  <c r="X184" i="16"/>
  <c r="Y184" i="16"/>
  <c r="X185" i="16"/>
  <c r="X186" i="16"/>
  <c r="Y185" i="16"/>
  <c r="Y186" i="16"/>
  <c r="X187" i="16"/>
  <c r="X188" i="16"/>
  <c r="Y187" i="16"/>
  <c r="X189" i="16"/>
  <c r="Y188" i="16"/>
  <c r="Y189" i="16"/>
  <c r="X190" i="16"/>
  <c r="X191" i="16"/>
  <c r="Y190" i="16"/>
  <c r="Y191" i="16"/>
  <c r="X192" i="16"/>
  <c r="Y192" i="16"/>
  <c r="X193" i="16"/>
  <c r="Y193" i="16"/>
  <c r="X194" i="16"/>
  <c r="X195" i="16"/>
  <c r="Y194" i="16"/>
  <c r="X196" i="16"/>
  <c r="Y195" i="16"/>
  <c r="X197" i="16"/>
  <c r="Y196" i="16"/>
  <c r="X198" i="16"/>
  <c r="Y197" i="16"/>
  <c r="X199" i="16"/>
  <c r="Y198" i="16"/>
  <c r="Y199" i="16"/>
  <c r="X200" i="16"/>
  <c r="Y200" i="16"/>
  <c r="X201" i="16"/>
  <c r="X202" i="16"/>
  <c r="Y201" i="16"/>
  <c r="X203" i="16"/>
  <c r="Y202" i="16"/>
  <c r="X204" i="16"/>
  <c r="Y203" i="16"/>
  <c r="Y204" i="16"/>
  <c r="X205" i="16"/>
  <c r="Y205" i="16"/>
  <c r="X206" i="16"/>
  <c r="Y206" i="16"/>
  <c r="X207" i="16"/>
  <c r="Y207" i="16"/>
  <c r="X208" i="16"/>
  <c r="Y208" i="16"/>
  <c r="X209" i="16"/>
  <c r="Y209" i="16"/>
  <c r="X210" i="16"/>
  <c r="Y210" i="16"/>
  <c r="X211" i="16"/>
  <c r="Y211" i="16"/>
  <c r="X212" i="16"/>
  <c r="X213" i="16"/>
  <c r="Y212" i="16"/>
  <c r="Y213" i="16"/>
  <c r="X214" i="16"/>
  <c r="X215" i="16"/>
  <c r="Y214" i="16"/>
  <c r="Y215" i="16"/>
  <c r="X216" i="16"/>
  <c r="X217" i="16"/>
  <c r="Y216" i="16"/>
  <c r="Y217" i="16"/>
  <c r="X218" i="16"/>
  <c r="Y218" i="16"/>
  <c r="X219" i="16"/>
  <c r="Y219" i="16"/>
  <c r="X220" i="16"/>
  <c r="X221" i="16"/>
  <c r="Y220" i="16"/>
  <c r="X222" i="16"/>
  <c r="Y221" i="16"/>
  <c r="Y222" i="16"/>
  <c r="X223" i="16"/>
  <c r="Y223" i="16"/>
  <c r="X224" i="16"/>
  <c r="Y224" i="16"/>
  <c r="X225" i="16"/>
  <c r="X226" i="16"/>
  <c r="Y225" i="16"/>
  <c r="X227" i="16"/>
  <c r="Y226" i="16"/>
  <c r="Y227" i="16"/>
  <c r="X228" i="16"/>
  <c r="Y228" i="16"/>
  <c r="X229" i="16"/>
  <c r="Y229" i="16"/>
  <c r="X230" i="16"/>
  <c r="Y230" i="16"/>
  <c r="X231" i="16"/>
  <c r="X232" i="16"/>
  <c r="Y231" i="16"/>
  <c r="Y232" i="16"/>
  <c r="X233" i="16"/>
  <c r="X234" i="16"/>
  <c r="Y233" i="16"/>
  <c r="X235" i="16"/>
  <c r="Y234" i="16"/>
  <c r="X236" i="16"/>
  <c r="Y235" i="16"/>
  <c r="X237" i="16"/>
  <c r="Y236" i="16"/>
  <c r="Y237" i="16"/>
  <c r="X238" i="16"/>
  <c r="X239" i="16"/>
  <c r="Y238" i="16"/>
  <c r="Y239" i="16"/>
  <c r="X240" i="16"/>
  <c r="X241" i="16"/>
  <c r="Y240" i="16"/>
  <c r="Y241" i="16"/>
  <c r="X242" i="16"/>
  <c r="Y242" i="16"/>
  <c r="X243" i="16"/>
  <c r="Y243" i="16"/>
  <c r="X244" i="16"/>
  <c r="Y244" i="16"/>
  <c r="X245" i="16"/>
  <c r="X246" i="16"/>
  <c r="Y245" i="16"/>
  <c r="Y246" i="16"/>
  <c r="X247" i="16"/>
  <c r="X248" i="16"/>
  <c r="Y247" i="16"/>
  <c r="Y248" i="16"/>
  <c r="X249" i="16"/>
  <c r="Y249" i="16"/>
  <c r="X250" i="16"/>
  <c r="Y250" i="16"/>
  <c r="X251" i="16"/>
  <c r="Y251" i="16"/>
  <c r="X252" i="16"/>
  <c r="X253" i="16"/>
  <c r="Y252" i="16"/>
  <c r="Y253" i="16"/>
  <c r="X254" i="16"/>
  <c r="Y254" i="16"/>
  <c r="X255" i="16"/>
  <c r="X256" i="16"/>
  <c r="Y255" i="16"/>
  <c r="Y256" i="16"/>
  <c r="X257" i="16"/>
  <c r="X258" i="16"/>
  <c r="Y257" i="16"/>
  <c r="Y258" i="16"/>
  <c r="X259" i="16"/>
  <c r="Y259" i="16"/>
  <c r="X260" i="16"/>
  <c r="Y260" i="16"/>
  <c r="X261" i="16"/>
  <c r="X262" i="16"/>
  <c r="Y261" i="16"/>
  <c r="X263" i="16"/>
  <c r="Y262" i="16"/>
  <c r="X264" i="16"/>
  <c r="Y263" i="16"/>
  <c r="X265" i="16"/>
  <c r="Y264" i="16"/>
  <c r="X266" i="16"/>
  <c r="Y265" i="16"/>
  <c r="X267" i="16"/>
  <c r="Y266" i="16"/>
  <c r="X268" i="16"/>
  <c r="Y267" i="16"/>
  <c r="X269" i="16"/>
  <c r="Y268" i="16"/>
  <c r="Y269" i="16"/>
  <c r="X270" i="16"/>
  <c r="Y270" i="16"/>
  <c r="X271" i="16"/>
  <c r="X272" i="16"/>
  <c r="Y271" i="16"/>
  <c r="X273" i="16"/>
  <c r="Y272" i="16"/>
  <c r="Y273" i="16"/>
  <c r="X274" i="16"/>
  <c r="X275" i="16"/>
  <c r="Y274" i="16"/>
  <c r="Y275" i="16"/>
  <c r="X276" i="16"/>
  <c r="Y276" i="16"/>
  <c r="X277" i="16"/>
  <c r="Y277" i="16"/>
  <c r="X278" i="16"/>
  <c r="Y278" i="16"/>
  <c r="X279" i="16"/>
  <c r="X280" i="16"/>
  <c r="Y279" i="16"/>
  <c r="Y280" i="16"/>
  <c r="X281" i="16"/>
  <c r="Y281" i="16"/>
  <c r="X282" i="16"/>
  <c r="X283" i="16"/>
  <c r="Y282" i="16"/>
  <c r="Y283" i="16"/>
  <c r="X284" i="16"/>
  <c r="X285" i="16"/>
  <c r="Y284" i="16"/>
  <c r="Y285" i="16"/>
  <c r="X286" i="16"/>
  <c r="X287" i="16"/>
  <c r="Y286" i="16"/>
  <c r="X288" i="16"/>
  <c r="Y287" i="16"/>
  <c r="Y288" i="16"/>
  <c r="X289" i="16"/>
  <c r="Y289" i="16"/>
  <c r="X290" i="16"/>
  <c r="X291" i="16"/>
  <c r="Y290" i="16"/>
  <c r="Y291" i="16"/>
  <c r="X292" i="16"/>
  <c r="Y292" i="16"/>
  <c r="X293" i="16"/>
  <c r="X294" i="16"/>
  <c r="Y293" i="16"/>
  <c r="Y294" i="16"/>
  <c r="X295" i="16"/>
  <c r="X296" i="16"/>
  <c r="Y295" i="16"/>
  <c r="X297" i="16"/>
  <c r="Y296" i="16"/>
  <c r="Y297" i="16"/>
  <c r="X298" i="16"/>
  <c r="Y298" i="16"/>
  <c r="X299" i="16"/>
  <c r="Y299" i="16"/>
  <c r="X300" i="16"/>
  <c r="X301" i="16"/>
  <c r="Y300" i="16"/>
  <c r="X302" i="16"/>
  <c r="Y301" i="16"/>
  <c r="X303" i="16"/>
  <c r="Y302" i="16"/>
  <c r="Y303" i="16"/>
  <c r="X304" i="16"/>
  <c r="Y304" i="16"/>
  <c r="X305" i="16"/>
  <c r="X306" i="16"/>
  <c r="Y305" i="16"/>
  <c r="X307" i="16"/>
  <c r="Y306" i="16"/>
  <c r="Y307" i="16"/>
  <c r="X308" i="16"/>
  <c r="X309" i="16"/>
  <c r="Y308" i="16"/>
  <c r="Y309" i="16"/>
  <c r="X310" i="16"/>
  <c r="Y310" i="16"/>
  <c r="X311" i="16"/>
  <c r="X312" i="16"/>
  <c r="Y311" i="16"/>
  <c r="X313" i="16"/>
  <c r="Y312" i="16"/>
  <c r="Y313" i="16"/>
  <c r="X314" i="16"/>
  <c r="X315" i="16"/>
  <c r="Y314" i="16"/>
  <c r="X316" i="16"/>
  <c r="Y315" i="16"/>
  <c r="X317" i="16"/>
  <c r="Y316" i="16"/>
  <c r="X318" i="16"/>
  <c r="Y317" i="16"/>
  <c r="X319" i="16"/>
  <c r="Y318" i="16"/>
  <c r="Y319" i="16"/>
  <c r="X320" i="16"/>
  <c r="Y320" i="16"/>
  <c r="X321" i="16"/>
  <c r="X322" i="16"/>
  <c r="Y321" i="16"/>
  <c r="Y322" i="16"/>
  <c r="X323" i="16"/>
  <c r="Y323" i="16"/>
  <c r="X324" i="16"/>
  <c r="Y324" i="16"/>
  <c r="X325" i="16"/>
  <c r="X326" i="16"/>
  <c r="Y325" i="16"/>
  <c r="Y326" i="16"/>
  <c r="X327" i="16"/>
  <c r="X328" i="16"/>
  <c r="Y327" i="16"/>
  <c r="X329" i="16"/>
  <c r="Y328" i="16"/>
  <c r="Y329" i="16"/>
  <c r="X330" i="16"/>
  <c r="Y330" i="16"/>
  <c r="X331" i="16"/>
  <c r="Y331" i="16"/>
  <c r="X332" i="16"/>
  <c r="X333" i="16"/>
  <c r="Y332" i="16"/>
  <c r="Y333" i="16"/>
  <c r="X334" i="16"/>
  <c r="X335" i="16"/>
  <c r="Y334" i="16"/>
  <c r="Y335" i="16"/>
  <c r="X336" i="16"/>
  <c r="X337" i="16"/>
  <c r="Y336" i="16"/>
  <c r="X338" i="16"/>
  <c r="Y337" i="16"/>
  <c r="Y338" i="16"/>
  <c r="X339" i="16"/>
  <c r="X340" i="16"/>
  <c r="Y339" i="16"/>
  <c r="Y340" i="16"/>
  <c r="X341" i="16"/>
  <c r="X342" i="16"/>
  <c r="Y341" i="16"/>
  <c r="X343" i="16"/>
  <c r="Y342" i="16"/>
  <c r="X344" i="16"/>
  <c r="Y343" i="16"/>
  <c r="X345" i="16"/>
  <c r="Y344" i="16"/>
  <c r="X346" i="16"/>
  <c r="Y345" i="16"/>
  <c r="X347" i="16"/>
  <c r="Y346" i="16"/>
  <c r="Y347" i="16"/>
  <c r="X348" i="16"/>
  <c r="Y348" i="16"/>
  <c r="X349" i="16"/>
  <c r="Y349" i="16"/>
  <c r="X350" i="16"/>
  <c r="Y350" i="16"/>
  <c r="X351" i="16"/>
  <c r="X352" i="16"/>
  <c r="Y351" i="16"/>
  <c r="X353" i="16"/>
  <c r="Y352" i="16"/>
  <c r="Y353" i="16"/>
  <c r="X354" i="16"/>
  <c r="Y354" i="16"/>
  <c r="X355" i="16"/>
  <c r="X356" i="16"/>
  <c r="Y355" i="16"/>
  <c r="Y356" i="16"/>
  <c r="X357" i="16"/>
  <c r="Y357" i="16"/>
  <c r="X358" i="16"/>
  <c r="X359" i="16"/>
  <c r="Y358" i="16"/>
  <c r="X360" i="16"/>
  <c r="Y359" i="16"/>
  <c r="Y360" i="16"/>
  <c r="X361" i="16"/>
  <c r="X362" i="16"/>
  <c r="Y361" i="16"/>
  <c r="X363" i="16"/>
  <c r="Y362" i="16"/>
  <c r="Y363" i="16"/>
  <c r="X364" i="16"/>
  <c r="X365" i="16"/>
  <c r="Y364" i="16"/>
  <c r="Y365" i="16"/>
  <c r="X366" i="16"/>
  <c r="X367" i="16"/>
  <c r="Y366" i="16"/>
  <c r="X368" i="16"/>
  <c r="Y367" i="16"/>
  <c r="Y368" i="16"/>
  <c r="X369" i="16"/>
  <c r="Y369" i="16"/>
  <c r="X370" i="16"/>
  <c r="Y370" i="16"/>
  <c r="X371" i="16"/>
  <c r="X372" i="16"/>
  <c r="Y371" i="16"/>
  <c r="X373" i="16"/>
  <c r="Y372" i="16"/>
  <c r="X374" i="16"/>
  <c r="Y373" i="16"/>
  <c r="Y374" i="16"/>
  <c r="X375" i="16"/>
  <c r="X376" i="16"/>
  <c r="Y375" i="16"/>
  <c r="Y376" i="16"/>
  <c r="X377" i="16"/>
  <c r="Y377" i="16"/>
  <c r="X378" i="16"/>
  <c r="X379" i="16"/>
  <c r="Y378" i="16"/>
  <c r="Y379" i="16"/>
  <c r="X380" i="16"/>
  <c r="Y380" i="16"/>
  <c r="X381" i="16"/>
  <c r="X382" i="16"/>
  <c r="Y381" i="16"/>
  <c r="X383" i="16"/>
  <c r="Y382" i="16"/>
  <c r="Y383" i="16"/>
  <c r="X384" i="16"/>
  <c r="Y384" i="16"/>
  <c r="X385" i="16"/>
  <c r="Y385" i="16"/>
  <c r="X386" i="16"/>
  <c r="X387" i="16"/>
  <c r="Y386" i="16"/>
  <c r="Y387" i="16"/>
  <c r="X388" i="16"/>
  <c r="X389" i="16"/>
  <c r="Y388" i="16"/>
  <c r="X390" i="16"/>
  <c r="Y389" i="16"/>
  <c r="X391" i="16"/>
  <c r="Y390" i="16"/>
  <c r="X392" i="16"/>
  <c r="Y391" i="16"/>
  <c r="X393" i="16"/>
  <c r="Y392" i="16"/>
  <c r="X394" i="16"/>
  <c r="Y393" i="16"/>
  <c r="X395" i="16"/>
  <c r="Y394" i="16"/>
  <c r="Y395" i="16"/>
  <c r="X396" i="16"/>
  <c r="Y396" i="16"/>
  <c r="X397" i="16"/>
  <c r="X398" i="16"/>
  <c r="Y397" i="16"/>
  <c r="X399" i="16"/>
  <c r="Y398" i="16"/>
  <c r="Y399" i="16"/>
  <c r="X400" i="16"/>
  <c r="Y400" i="16"/>
  <c r="X401" i="16"/>
  <c r="X402" i="16"/>
  <c r="Y401" i="16"/>
  <c r="X403" i="16"/>
  <c r="Y402" i="16"/>
  <c r="X404" i="16"/>
  <c r="Y403" i="16"/>
  <c r="Y404" i="16"/>
  <c r="X405" i="16"/>
  <c r="Y405" i="16"/>
  <c r="X406" i="16"/>
  <c r="Y406" i="16"/>
  <c r="X407" i="16"/>
  <c r="X408" i="16"/>
  <c r="Y407" i="16"/>
  <c r="X409" i="16"/>
  <c r="Y408" i="16"/>
  <c r="Y409" i="16"/>
  <c r="X410" i="16"/>
  <c r="X411" i="16"/>
  <c r="Y410" i="16"/>
  <c r="X412" i="16"/>
  <c r="Y411" i="16"/>
  <c r="X413" i="16"/>
  <c r="Y412" i="16"/>
  <c r="X414" i="16"/>
  <c r="Y413" i="16"/>
  <c r="X415" i="16"/>
  <c r="Y414" i="16"/>
  <c r="Y415" i="16"/>
  <c r="X416" i="16"/>
  <c r="X417" i="16"/>
  <c r="Y416" i="16"/>
  <c r="Y417" i="16"/>
  <c r="X418" i="16"/>
  <c r="X419" i="16"/>
  <c r="Y418" i="16"/>
  <c r="X420" i="16"/>
  <c r="Y419" i="16"/>
  <c r="Y420" i="16"/>
  <c r="X421" i="16"/>
  <c r="X422" i="16"/>
  <c r="Y421" i="16"/>
  <c r="Y422" i="16"/>
  <c r="X423" i="16"/>
  <c r="Y423" i="16"/>
  <c r="X424" i="16"/>
  <c r="X425" i="16"/>
  <c r="Y424" i="16"/>
  <c r="Y425" i="16"/>
  <c r="X426" i="16"/>
  <c r="Y426" i="16"/>
  <c r="X427" i="16"/>
  <c r="X428" i="16"/>
  <c r="Y427" i="16"/>
  <c r="Y428" i="16"/>
  <c r="X429" i="16"/>
  <c r="Y429" i="16"/>
  <c r="X430" i="16"/>
  <c r="X431" i="16"/>
  <c r="Y430" i="16"/>
  <c r="X432" i="16"/>
  <c r="Y431" i="16"/>
  <c r="Y432" i="16"/>
  <c r="X433" i="16"/>
  <c r="Y433" i="16"/>
  <c r="X434" i="16"/>
  <c r="Y434" i="16"/>
  <c r="X435" i="16"/>
  <c r="X436" i="16"/>
  <c r="Y435" i="16"/>
  <c r="X437" i="16"/>
  <c r="Y436" i="16"/>
  <c r="Y437" i="16"/>
  <c r="X438" i="16"/>
  <c r="Y438" i="16"/>
  <c r="X439" i="16"/>
  <c r="X440" i="16"/>
  <c r="Y439" i="16"/>
  <c r="X441" i="16"/>
  <c r="Y440" i="16"/>
  <c r="Y441" i="16"/>
  <c r="X442" i="16"/>
  <c r="X443" i="16"/>
  <c r="Y442" i="16"/>
  <c r="X444" i="16"/>
  <c r="Y443" i="16"/>
  <c r="X445" i="16"/>
  <c r="Y444" i="16"/>
  <c r="Y445" i="16"/>
  <c r="X446" i="16"/>
  <c r="Y446" i="16"/>
  <c r="X447" i="16"/>
  <c r="X448" i="16"/>
  <c r="Y447" i="16"/>
  <c r="X449" i="16"/>
  <c r="Y448" i="16"/>
  <c r="X450" i="16"/>
  <c r="Y449" i="16"/>
  <c r="Y450" i="16"/>
  <c r="X451" i="16"/>
  <c r="X452" i="16"/>
  <c r="Y451" i="16"/>
  <c r="Y452" i="16"/>
  <c r="X453" i="16"/>
  <c r="Y453" i="16"/>
  <c r="X454" i="16"/>
  <c r="X455" i="16"/>
  <c r="Y454" i="16"/>
  <c r="Y455" i="16"/>
  <c r="X456" i="16"/>
  <c r="Y456" i="16"/>
  <c r="X457" i="16"/>
  <c r="X458" i="16"/>
  <c r="Y457" i="16"/>
  <c r="X459" i="16"/>
  <c r="Y458" i="16"/>
  <c r="X460" i="16"/>
  <c r="Y459" i="16"/>
  <c r="Y460" i="16"/>
  <c r="X461" i="16"/>
  <c r="Y461" i="16"/>
  <c r="X462" i="16"/>
  <c r="X463" i="16"/>
  <c r="Y462" i="16"/>
  <c r="X464" i="16"/>
  <c r="Y463" i="16"/>
  <c r="X465" i="16"/>
  <c r="Y464" i="16"/>
  <c r="Y465" i="16"/>
  <c r="X466" i="16"/>
  <c r="X467" i="16"/>
  <c r="Y466" i="16"/>
  <c r="X468" i="16"/>
  <c r="Y467" i="16"/>
  <c r="X469" i="16"/>
  <c r="Y468" i="16"/>
  <c r="X470" i="16"/>
  <c r="Y469" i="16"/>
  <c r="X471" i="16"/>
  <c r="Y470" i="16"/>
  <c r="X472" i="16"/>
  <c r="Y471" i="16"/>
  <c r="Y472" i="16"/>
  <c r="X473" i="16"/>
  <c r="Y473" i="16"/>
  <c r="X474" i="16"/>
  <c r="X475" i="16"/>
  <c r="Y474" i="16"/>
  <c r="Y475" i="16"/>
  <c r="X476" i="16"/>
  <c r="X477" i="16"/>
  <c r="Y476" i="16"/>
  <c r="X478" i="16"/>
  <c r="Y477" i="16"/>
  <c r="Y478" i="16"/>
  <c r="X479" i="16"/>
  <c r="X480" i="16"/>
  <c r="Y479" i="16"/>
  <c r="X481" i="16"/>
  <c r="Y480" i="16"/>
  <c r="X482" i="16"/>
  <c r="Y481" i="16"/>
  <c r="Y482" i="16"/>
  <c r="X483" i="16"/>
  <c r="X484" i="16"/>
  <c r="Y483" i="16"/>
  <c r="Y484" i="16"/>
  <c r="X485" i="16"/>
  <c r="X486" i="16"/>
  <c r="Y485" i="16"/>
  <c r="Y486" i="16"/>
  <c r="X487" i="16"/>
  <c r="Y487" i="16"/>
  <c r="X488" i="16"/>
  <c r="Y488" i="16"/>
  <c r="X489" i="16"/>
  <c r="Y489" i="16"/>
  <c r="X490" i="16"/>
  <c r="Y490" i="16"/>
  <c r="X491" i="16"/>
  <c r="Y491" i="16"/>
  <c r="X492" i="16"/>
  <c r="Y492" i="16"/>
  <c r="X493" i="16"/>
  <c r="Y493" i="16"/>
  <c r="X494" i="16"/>
  <c r="X495" i="16"/>
  <c r="Y494" i="16"/>
  <c r="X496" i="16"/>
  <c r="Y495" i="16"/>
  <c r="X497" i="16"/>
  <c r="Y496" i="16"/>
  <c r="X498" i="16"/>
  <c r="Y497" i="16"/>
  <c r="X499" i="16"/>
  <c r="Y498" i="16"/>
  <c r="Y499" i="16"/>
  <c r="X500" i="16"/>
  <c r="Y500" i="16"/>
  <c r="X501" i="16"/>
  <c r="X502" i="16"/>
  <c r="Y501" i="16"/>
  <c r="Y502" i="16"/>
  <c r="X503" i="16"/>
  <c r="X504" i="16"/>
  <c r="Y503" i="16"/>
  <c r="Y504" i="16"/>
  <c r="X505" i="16"/>
  <c r="X506" i="16"/>
  <c r="Y505" i="16"/>
  <c r="Y506" i="16"/>
  <c r="X507" i="16"/>
  <c r="Y507" i="16"/>
  <c r="X508" i="16"/>
  <c r="Y508" i="16"/>
  <c r="X509" i="16"/>
  <c r="Y509" i="16"/>
  <c r="X510" i="16"/>
  <c r="X511" i="16"/>
  <c r="Y510" i="16"/>
  <c r="Y511" i="16"/>
  <c r="X512" i="16"/>
  <c r="X513" i="16"/>
  <c r="Y512" i="16"/>
  <c r="X514" i="16"/>
  <c r="Y513" i="16"/>
  <c r="X515" i="16"/>
  <c r="Y514" i="16"/>
  <c r="X516" i="16"/>
  <c r="Y515" i="16"/>
  <c r="X517" i="16"/>
  <c r="Y516" i="16"/>
  <c r="Y517" i="16"/>
  <c r="X518" i="16"/>
  <c r="Y518" i="16"/>
  <c r="X519" i="16"/>
  <c r="Y519" i="16"/>
  <c r="X520" i="16"/>
  <c r="X521" i="16"/>
  <c r="Y520" i="16"/>
  <c r="Y521" i="16"/>
  <c r="X522" i="16"/>
  <c r="Y522" i="16"/>
  <c r="X523" i="16"/>
  <c r="Y523" i="16"/>
  <c r="X524" i="16"/>
  <c r="X525" i="16"/>
  <c r="Y524" i="16"/>
  <c r="Y525" i="16"/>
  <c r="X526" i="16"/>
  <c r="X527" i="16"/>
  <c r="Y526" i="16"/>
  <c r="Y527" i="16"/>
  <c r="X528" i="16"/>
  <c r="Y528" i="16"/>
  <c r="X529" i="16"/>
  <c r="X530" i="16"/>
  <c r="Y529" i="16"/>
  <c r="X531" i="16"/>
  <c r="Y530" i="16"/>
  <c r="Y531" i="16"/>
  <c r="X532" i="16"/>
  <c r="Y532" i="16"/>
  <c r="X533" i="16"/>
  <c r="X534" i="16"/>
  <c r="Y533" i="16"/>
  <c r="Y534" i="16"/>
  <c r="X535" i="16"/>
  <c r="Y535" i="16"/>
  <c r="X536" i="16"/>
  <c r="X537" i="16"/>
  <c r="Y536" i="16"/>
  <c r="Y537" i="16"/>
  <c r="X538" i="16"/>
  <c r="X539" i="16"/>
  <c r="Y538" i="16"/>
  <c r="X540" i="16"/>
  <c r="Y539" i="16"/>
  <c r="Y540" i="16"/>
  <c r="X541" i="16"/>
  <c r="Y541" i="16"/>
  <c r="X542" i="16"/>
  <c r="Y542" i="16"/>
  <c r="X543" i="16"/>
  <c r="Y543" i="16"/>
  <c r="X544" i="16"/>
  <c r="Y544" i="16"/>
  <c r="X545" i="16"/>
  <c r="Y545" i="16"/>
  <c r="X546" i="16"/>
  <c r="Y546" i="16"/>
  <c r="X547" i="16"/>
  <c r="X548" i="16"/>
  <c r="Y547" i="16"/>
  <c r="Y548" i="16"/>
  <c r="X549" i="16"/>
  <c r="X550" i="16"/>
  <c r="Y549" i="16"/>
  <c r="X551" i="16"/>
  <c r="Y550" i="16"/>
  <c r="X552" i="16"/>
  <c r="Y551" i="16"/>
  <c r="X553" i="16"/>
  <c r="Y552" i="16"/>
  <c r="Y553" i="16"/>
  <c r="X554" i="16"/>
  <c r="Y554" i="16"/>
  <c r="X555" i="16"/>
  <c r="Y555" i="16"/>
  <c r="X556" i="16"/>
  <c r="Y556" i="16"/>
  <c r="X557" i="16"/>
  <c r="Y557" i="16"/>
  <c r="X558" i="16"/>
  <c r="Y558" i="16"/>
  <c r="X559" i="16"/>
  <c r="X560" i="16"/>
  <c r="Y559" i="16"/>
  <c r="X561" i="16"/>
  <c r="Y560" i="16"/>
  <c r="X562" i="16"/>
  <c r="Y561" i="16"/>
  <c r="Y562" i="16"/>
  <c r="X563" i="16"/>
  <c r="Y563" i="16"/>
  <c r="X564" i="16"/>
  <c r="Y564" i="16"/>
  <c r="X565" i="16"/>
  <c r="Y565" i="16"/>
  <c r="X566" i="16"/>
  <c r="Y566" i="16"/>
  <c r="X567" i="16"/>
  <c r="X568" i="16"/>
  <c r="Y567" i="16"/>
  <c r="Y568" i="16"/>
  <c r="X569" i="16"/>
  <c r="X570" i="16"/>
  <c r="Y569" i="16"/>
  <c r="Y570" i="16"/>
  <c r="X571" i="16"/>
  <c r="Y571" i="16"/>
  <c r="X572" i="16"/>
  <c r="Y572" i="16"/>
  <c r="X573" i="16"/>
  <c r="Y573" i="16"/>
  <c r="X574" i="16"/>
  <c r="X575" i="16"/>
  <c r="Y574" i="16"/>
  <c r="Y575" i="16"/>
  <c r="X576" i="16"/>
  <c r="Y576" i="16"/>
  <c r="X577" i="16"/>
  <c r="X578" i="16"/>
  <c r="Y577" i="16"/>
  <c r="X579" i="16"/>
  <c r="Y578" i="16"/>
  <c r="X580" i="16"/>
  <c r="Y579" i="16"/>
  <c r="Y580" i="16"/>
  <c r="X581" i="16"/>
  <c r="X582" i="16"/>
  <c r="Y581" i="16"/>
  <c r="X583" i="16"/>
  <c r="Y582" i="16"/>
  <c r="X584" i="16"/>
  <c r="Y583" i="16"/>
  <c r="X585" i="16"/>
  <c r="Y584" i="16"/>
  <c r="X586" i="16"/>
  <c r="Y585" i="16"/>
  <c r="X587" i="16"/>
  <c r="Y586" i="16"/>
  <c r="X588" i="16"/>
  <c r="Y587" i="16"/>
  <c r="Y588" i="16"/>
  <c r="X589" i="16"/>
  <c r="X590" i="16"/>
  <c r="Y589" i="16"/>
  <c r="X591" i="16"/>
  <c r="Y590" i="16"/>
  <c r="Y591" i="16"/>
  <c r="X592" i="16"/>
  <c r="Y592" i="16"/>
  <c r="X593" i="16"/>
  <c r="Y593" i="16"/>
  <c r="X594" i="16"/>
  <c r="X595" i="16"/>
  <c r="Y594" i="16"/>
  <c r="X596" i="16"/>
  <c r="Y595" i="16"/>
  <c r="X597" i="16"/>
  <c r="Y596" i="16"/>
  <c r="Y597" i="16"/>
  <c r="X598" i="16"/>
  <c r="Y598" i="16"/>
  <c r="X599" i="16"/>
  <c r="Y599" i="16"/>
  <c r="X600" i="16"/>
  <c r="Y600" i="16"/>
  <c r="X601" i="16"/>
  <c r="X602" i="16"/>
  <c r="Y601" i="16"/>
  <c r="X603" i="16"/>
  <c r="Y602" i="16"/>
  <c r="Y603" i="16"/>
  <c r="X604" i="16"/>
  <c r="Y604" i="16"/>
  <c r="X605" i="16"/>
  <c r="X606" i="16"/>
  <c r="Y605" i="16"/>
  <c r="X607" i="16"/>
  <c r="Y606" i="16"/>
  <c r="Y607" i="16"/>
  <c r="X608" i="16"/>
  <c r="Y608" i="16"/>
  <c r="X609" i="16"/>
  <c r="Y609" i="16"/>
  <c r="X610" i="16"/>
  <c r="X611" i="16"/>
  <c r="Y610" i="16"/>
  <c r="X612" i="16"/>
  <c r="Y611" i="16"/>
  <c r="X613" i="16"/>
  <c r="Y612" i="16"/>
  <c r="Y613" i="16"/>
  <c r="X614" i="16"/>
  <c r="X615" i="16"/>
  <c r="Y614" i="16"/>
  <c r="X616" i="16"/>
  <c r="Y615" i="16"/>
  <c r="X617" i="16"/>
  <c r="Y616" i="16"/>
  <c r="X618" i="16"/>
  <c r="Y617" i="16"/>
  <c r="X619" i="16"/>
  <c r="Y618" i="16"/>
  <c r="X620" i="16"/>
  <c r="Y619" i="16"/>
  <c r="Y620" i="16"/>
  <c r="X621" i="16"/>
  <c r="Y621" i="16"/>
  <c r="X622" i="16"/>
  <c r="X623" i="16"/>
  <c r="Y622" i="16"/>
  <c r="Y623" i="16"/>
  <c r="X624" i="16"/>
  <c r="X625" i="16"/>
  <c r="Y624" i="16"/>
  <c r="Y625" i="16"/>
  <c r="X626" i="16"/>
  <c r="Y626" i="16"/>
  <c r="X627" i="16"/>
  <c r="Y627" i="16"/>
  <c r="X628" i="16"/>
  <c r="Y628" i="16"/>
  <c r="X629" i="16"/>
  <c r="Y629" i="16"/>
  <c r="X630" i="16"/>
  <c r="Y630" i="16"/>
  <c r="X631" i="16"/>
  <c r="X632" i="16"/>
  <c r="Y631" i="16"/>
  <c r="Y632" i="16"/>
  <c r="X633" i="16"/>
  <c r="Y633" i="16"/>
  <c r="X634" i="16"/>
  <c r="X635" i="16"/>
  <c r="Y634" i="16"/>
  <c r="Y635" i="16"/>
  <c r="X636" i="16"/>
  <c r="Y636" i="16"/>
  <c r="X637" i="16"/>
  <c r="Y637" i="16"/>
  <c r="X638" i="16"/>
  <c r="X639" i="16"/>
  <c r="Y638" i="16"/>
  <c r="Y639" i="16"/>
  <c r="X640" i="16"/>
  <c r="X641" i="16"/>
  <c r="Y640" i="16"/>
  <c r="X642" i="16"/>
  <c r="Y641" i="16"/>
  <c r="X643" i="16"/>
  <c r="Y642" i="16"/>
  <c r="Y643" i="16"/>
  <c r="X644" i="16"/>
  <c r="X645" i="16"/>
  <c r="Y644" i="16"/>
  <c r="X646" i="16"/>
  <c r="Y645" i="16"/>
  <c r="X647" i="16"/>
  <c r="Y646" i="16"/>
  <c r="X648" i="16"/>
  <c r="Y647" i="16"/>
  <c r="X649" i="16"/>
  <c r="Y648" i="16"/>
  <c r="Y649" i="16"/>
  <c r="X650" i="16"/>
  <c r="X651" i="16"/>
  <c r="Y650" i="16"/>
  <c r="X652" i="16"/>
  <c r="Y651" i="16"/>
  <c r="X653" i="16"/>
  <c r="Y652" i="16"/>
  <c r="X654" i="16"/>
  <c r="Y653" i="16"/>
  <c r="Y654" i="16"/>
  <c r="X655" i="16"/>
  <c r="X656" i="16"/>
  <c r="Y655" i="16"/>
  <c r="X657" i="16"/>
  <c r="Y656" i="16"/>
  <c r="Y657" i="16"/>
  <c r="X658" i="16"/>
  <c r="X659" i="16"/>
  <c r="Y658" i="16"/>
  <c r="X660" i="16"/>
  <c r="Y659" i="16"/>
  <c r="Y660" i="16"/>
  <c r="X661" i="16"/>
  <c r="Y661" i="16"/>
  <c r="X662" i="16"/>
  <c r="X663" i="16"/>
  <c r="Y662" i="16"/>
  <c r="Y663" i="16"/>
  <c r="X664" i="16"/>
  <c r="Y664" i="16"/>
  <c r="X665" i="16"/>
  <c r="X666" i="16"/>
  <c r="Y665" i="16"/>
  <c r="X667" i="16"/>
  <c r="Y666" i="16"/>
  <c r="X668" i="16"/>
  <c r="Y667" i="16"/>
  <c r="X669" i="16"/>
  <c r="Y668" i="16"/>
  <c r="X670" i="16"/>
  <c r="Y669" i="16"/>
  <c r="Y670" i="16"/>
  <c r="X671" i="16"/>
  <c r="Y671" i="16"/>
  <c r="X672" i="16"/>
  <c r="Y672" i="16"/>
  <c r="X673" i="16"/>
  <c r="X674" i="16"/>
  <c r="Y673" i="16"/>
  <c r="X675" i="16"/>
  <c r="Y674" i="16"/>
  <c r="Y675" i="16"/>
  <c r="X676" i="16"/>
  <c r="X677" i="16"/>
  <c r="Y676" i="16"/>
  <c r="Y677" i="16"/>
  <c r="X678" i="16"/>
  <c r="Y678" i="16"/>
  <c r="X679" i="16"/>
  <c r="Y679" i="16"/>
  <c r="X680" i="16"/>
  <c r="X681" i="16"/>
  <c r="Y680" i="16"/>
  <c r="Y681" i="16"/>
  <c r="X682" i="16"/>
  <c r="Y682" i="16"/>
  <c r="X683" i="16"/>
  <c r="X684" i="16"/>
  <c r="Y683" i="16"/>
  <c r="X685" i="16"/>
  <c r="Y684" i="16"/>
  <c r="Y685" i="16"/>
  <c r="X686" i="16"/>
  <c r="Y686" i="16"/>
  <c r="X687" i="16"/>
  <c r="Y687" i="16"/>
  <c r="X688" i="16"/>
  <c r="Y688" i="16"/>
  <c r="X689" i="16"/>
  <c r="X690" i="16"/>
  <c r="Y689" i="16"/>
  <c r="Y690" i="16"/>
  <c r="X691" i="16"/>
  <c r="Y691" i="16"/>
  <c r="X692" i="16"/>
  <c r="Y692" i="16"/>
  <c r="X693" i="16"/>
  <c r="X694" i="16"/>
  <c r="Y693" i="16"/>
  <c r="Y694" i="16"/>
  <c r="X695" i="16"/>
  <c r="Y695" i="16"/>
  <c r="X696" i="16"/>
  <c r="Y696" i="16"/>
  <c r="X697" i="16"/>
  <c r="Y697" i="16"/>
  <c r="X698" i="16"/>
  <c r="X699" i="16"/>
  <c r="Y698" i="16"/>
  <c r="Y699" i="16"/>
  <c r="X700" i="16"/>
  <c r="Y700" i="16"/>
  <c r="X701" i="16"/>
  <c r="X702" i="16"/>
  <c r="Y701" i="16"/>
  <c r="X703" i="16"/>
  <c r="Y702" i="16"/>
  <c r="Y703" i="16"/>
  <c r="X704" i="16"/>
  <c r="Y704" i="16"/>
  <c r="X705" i="16"/>
  <c r="X706" i="16"/>
  <c r="Y705" i="16"/>
  <c r="Y706" i="16"/>
  <c r="X707" i="16"/>
  <c r="Y707" i="16"/>
  <c r="X708" i="16"/>
  <c r="X709" i="16"/>
  <c r="Y708" i="16"/>
  <c r="Y709" i="16"/>
  <c r="X710" i="16"/>
  <c r="X711" i="16"/>
  <c r="Y710" i="16"/>
  <c r="X712" i="16"/>
  <c r="Y711" i="16"/>
  <c r="Y712" i="16"/>
  <c r="X713" i="16"/>
  <c r="Y713" i="16"/>
  <c r="X714" i="16"/>
  <c r="X715" i="16"/>
  <c r="Y714" i="16"/>
  <c r="X716" i="16"/>
  <c r="Y715" i="16"/>
  <c r="Y716" i="16"/>
  <c r="X717" i="16"/>
  <c r="X718" i="16"/>
  <c r="Y717" i="16"/>
  <c r="Y718" i="16"/>
  <c r="X719" i="16"/>
  <c r="Y719" i="16"/>
  <c r="X720" i="16"/>
  <c r="X721" i="16"/>
  <c r="Y720" i="16"/>
  <c r="Y721" i="16"/>
  <c r="X722" i="16"/>
  <c r="Y722" i="16"/>
  <c r="X723" i="16"/>
  <c r="X724" i="16"/>
  <c r="Y723" i="16"/>
  <c r="Y724" i="16"/>
  <c r="X725" i="16"/>
  <c r="X726" i="16"/>
  <c r="Y725" i="16"/>
  <c r="Y726" i="16"/>
  <c r="X727" i="16"/>
  <c r="X728" i="16"/>
  <c r="Y727" i="16"/>
  <c r="Y728" i="16"/>
  <c r="X729" i="16"/>
  <c r="Y729" i="16"/>
  <c r="X730" i="16"/>
  <c r="X731" i="16"/>
  <c r="Y730" i="16"/>
  <c r="X732" i="16"/>
  <c r="Y731" i="16"/>
  <c r="X733" i="16"/>
  <c r="Y732" i="16"/>
  <c r="X734" i="16"/>
  <c r="Y733" i="16"/>
  <c r="X735" i="16"/>
  <c r="Y734" i="16"/>
  <c r="Y735" i="16"/>
  <c r="X736" i="16"/>
  <c r="X737" i="16"/>
  <c r="Y736" i="16"/>
  <c r="Y737" i="16"/>
  <c r="X738" i="16"/>
  <c r="X739" i="16"/>
  <c r="Y738" i="16"/>
  <c r="Y739" i="16"/>
  <c r="X740" i="16"/>
  <c r="X741" i="16"/>
  <c r="Y740" i="16"/>
  <c r="Y741" i="16"/>
  <c r="X742" i="16"/>
  <c r="Y742" i="16"/>
  <c r="X743" i="16"/>
  <c r="Y743" i="16"/>
  <c r="X744" i="16"/>
  <c r="Y744" i="16"/>
  <c r="X745" i="16"/>
  <c r="X746" i="16"/>
  <c r="Y745" i="16"/>
  <c r="Y746" i="16"/>
  <c r="X747" i="16"/>
  <c r="X748" i="16"/>
  <c r="Y747" i="16"/>
  <c r="X749" i="16"/>
  <c r="Y748" i="16"/>
  <c r="Y749" i="16"/>
  <c r="X750" i="16"/>
  <c r="X751" i="16"/>
  <c r="Y750" i="16"/>
  <c r="Y751" i="16"/>
  <c r="X752" i="16"/>
  <c r="Y752" i="16"/>
  <c r="X753" i="16"/>
  <c r="Y753" i="16"/>
  <c r="X754" i="16"/>
  <c r="Y754" i="16"/>
  <c r="X755" i="16"/>
  <c r="X756" i="16"/>
  <c r="Y755" i="16"/>
  <c r="X757" i="16"/>
  <c r="Y756" i="16"/>
  <c r="X758" i="16"/>
  <c r="Y757" i="16"/>
  <c r="X759" i="16"/>
  <c r="Y758" i="16"/>
  <c r="Y759" i="16"/>
  <c r="X760" i="16"/>
  <c r="X761" i="16"/>
  <c r="Y760" i="16"/>
  <c r="Y761" i="16"/>
  <c r="X762" i="16"/>
  <c r="X763" i="16"/>
  <c r="Y762" i="16"/>
  <c r="Y763" i="16"/>
  <c r="X764" i="16"/>
  <c r="Y764" i="16"/>
  <c r="X765" i="16"/>
  <c r="Y765" i="16"/>
  <c r="X766" i="16"/>
  <c r="Y766" i="16"/>
  <c r="X767" i="16"/>
  <c r="X768" i="16"/>
  <c r="Y767" i="16"/>
  <c r="Y768" i="16"/>
  <c r="X769" i="16"/>
  <c r="X770" i="16"/>
  <c r="Y769" i="16"/>
  <c r="X771" i="16"/>
  <c r="Y770" i="16"/>
  <c r="Y771" i="16"/>
  <c r="X772" i="16"/>
  <c r="Y772" i="16"/>
  <c r="X773" i="16"/>
  <c r="X774" i="16"/>
  <c r="Y773" i="16"/>
  <c r="Y774" i="16"/>
  <c r="X775" i="16"/>
  <c r="Y775" i="16"/>
  <c r="X776" i="16"/>
  <c r="Y776" i="16"/>
  <c r="X777" i="16"/>
  <c r="Y777" i="16"/>
  <c r="X778" i="16"/>
  <c r="X779" i="16"/>
  <c r="Y778" i="16"/>
  <c r="X780" i="16"/>
  <c r="Y779" i="16"/>
  <c r="X781" i="16"/>
  <c r="Y780" i="16"/>
  <c r="X782" i="16"/>
  <c r="Y781" i="16"/>
  <c r="X783" i="16"/>
  <c r="Y782" i="16"/>
  <c r="X784" i="16"/>
  <c r="Y783" i="16"/>
  <c r="Y784" i="16"/>
  <c r="X785" i="16"/>
  <c r="X786" i="16"/>
  <c r="Y785" i="16"/>
  <c r="Y786" i="16"/>
  <c r="X787" i="16"/>
  <c r="Y787" i="16"/>
  <c r="X788" i="16"/>
  <c r="Y788" i="16"/>
  <c r="X789" i="16"/>
  <c r="X790" i="16"/>
  <c r="Y789" i="16"/>
  <c r="Y790" i="16"/>
  <c r="X791" i="16"/>
  <c r="X792" i="16"/>
  <c r="Y791" i="16"/>
  <c r="Y792" i="16"/>
  <c r="X793" i="16"/>
  <c r="Y793" i="16"/>
  <c r="X794" i="16"/>
  <c r="Y794" i="16"/>
  <c r="X795" i="16"/>
  <c r="X796" i="16"/>
  <c r="Y795" i="16"/>
  <c r="X797" i="16"/>
  <c r="Y796" i="16"/>
  <c r="X798" i="16"/>
  <c r="Y797" i="16"/>
  <c r="X799" i="16"/>
  <c r="Y798" i="16"/>
  <c r="Y799" i="16"/>
  <c r="X800" i="16"/>
  <c r="Y800" i="16"/>
  <c r="X801" i="16"/>
  <c r="X802" i="16"/>
  <c r="Y801" i="16"/>
  <c r="Y802" i="16"/>
  <c r="X803" i="16"/>
  <c r="Y803" i="16"/>
  <c r="X804" i="16"/>
  <c r="X805" i="16"/>
  <c r="Y804" i="16"/>
  <c r="Y805" i="16"/>
  <c r="X806" i="16"/>
  <c r="Y806" i="16"/>
  <c r="X807" i="16"/>
  <c r="Y807" i="16"/>
  <c r="X808" i="16"/>
  <c r="Y808" i="16"/>
  <c r="X809" i="16"/>
  <c r="Y809" i="16"/>
  <c r="X810" i="16"/>
  <c r="Y810" i="16"/>
  <c r="X811" i="16"/>
  <c r="X812" i="16"/>
  <c r="Y811" i="16"/>
  <c r="Y812" i="16"/>
  <c r="X813" i="16"/>
  <c r="X814" i="16"/>
  <c r="Y813" i="16"/>
  <c r="Y814" i="16"/>
  <c r="X815" i="16"/>
  <c r="Y815" i="16"/>
  <c r="X816" i="16"/>
  <c r="X817" i="16"/>
  <c r="Y816" i="16"/>
  <c r="X818" i="16"/>
  <c r="Y817" i="16"/>
  <c r="X819" i="16"/>
  <c r="Y818" i="16"/>
  <c r="Y819" i="16"/>
  <c r="X820" i="16"/>
  <c r="X821" i="16"/>
  <c r="Y820" i="16"/>
  <c r="Y821" i="16"/>
  <c r="X822" i="16"/>
  <c r="X823" i="16"/>
  <c r="Y822" i="16"/>
  <c r="X824" i="16"/>
  <c r="Y823" i="16"/>
  <c r="X825" i="16"/>
  <c r="Y824" i="16"/>
  <c r="Y825" i="16"/>
  <c r="X826" i="16"/>
  <c r="Y826" i="16"/>
  <c r="X827" i="16"/>
  <c r="X828" i="16"/>
  <c r="Y827" i="16"/>
  <c r="Y828" i="16"/>
  <c r="X829" i="16"/>
  <c r="Y829" i="16"/>
  <c r="X830" i="16"/>
  <c r="Y830" i="16"/>
  <c r="X831" i="16"/>
  <c r="X832" i="16"/>
  <c r="Y831" i="16"/>
  <c r="Y832" i="16"/>
  <c r="X833" i="16"/>
  <c r="Y833" i="16"/>
  <c r="X834" i="16"/>
  <c r="X835" i="16"/>
  <c r="Y834" i="16"/>
  <c r="Y835" i="16"/>
  <c r="X836" i="16"/>
  <c r="X837" i="16"/>
  <c r="Y836" i="16"/>
  <c r="X838" i="16"/>
  <c r="Y837" i="16"/>
  <c r="Y838" i="16"/>
  <c r="X839" i="16"/>
  <c r="Y839" i="16"/>
  <c r="X840" i="16"/>
  <c r="Y840" i="16"/>
  <c r="X841" i="16"/>
  <c r="X842" i="16"/>
  <c r="Y841" i="16"/>
  <c r="X843" i="16"/>
  <c r="Y842" i="16"/>
  <c r="Y843" i="16"/>
  <c r="X844" i="16"/>
  <c r="X845" i="16"/>
  <c r="Y844" i="16"/>
  <c r="Y845" i="16"/>
  <c r="X846" i="16"/>
  <c r="X847" i="16"/>
  <c r="Y846" i="16"/>
  <c r="Y847" i="16"/>
  <c r="X848" i="16"/>
  <c r="X849" i="16"/>
  <c r="Y848" i="16"/>
  <c r="X850" i="16"/>
  <c r="Y849" i="16"/>
  <c r="Y850" i="16"/>
  <c r="X851" i="16"/>
  <c r="X852" i="16"/>
  <c r="Y851" i="16"/>
  <c r="Y852" i="16"/>
  <c r="X853" i="16"/>
  <c r="Y853" i="16"/>
  <c r="X854" i="16"/>
  <c r="X855" i="16"/>
  <c r="Y854" i="16"/>
  <c r="Y855" i="16"/>
  <c r="X856" i="16"/>
  <c r="Y856" i="16"/>
  <c r="X857" i="16"/>
  <c r="Y857" i="16"/>
  <c r="X858" i="16"/>
  <c r="Y858" i="16"/>
  <c r="X859" i="16"/>
  <c r="X860" i="16"/>
  <c r="Y859" i="16"/>
  <c r="X861" i="16"/>
  <c r="Y860" i="16"/>
  <c r="X862" i="16"/>
  <c r="Y861" i="16"/>
  <c r="X863" i="16"/>
  <c r="Y862" i="16"/>
  <c r="Y863" i="16"/>
  <c r="X864" i="16"/>
  <c r="X865" i="16"/>
  <c r="Y864" i="16"/>
  <c r="Y865" i="16"/>
  <c r="X866" i="16"/>
  <c r="X867" i="16"/>
  <c r="Y866" i="16"/>
  <c r="X868" i="16"/>
  <c r="Y867" i="16"/>
  <c r="X869" i="16"/>
  <c r="Y868" i="16"/>
  <c r="X870" i="16"/>
  <c r="Y869" i="16"/>
  <c r="X871" i="16"/>
  <c r="Y870" i="16"/>
  <c r="X872" i="16"/>
  <c r="Y871" i="16"/>
  <c r="X873" i="16"/>
  <c r="Y872" i="16"/>
  <c r="X874" i="16"/>
  <c r="Y873" i="16"/>
  <c r="Y874" i="16"/>
  <c r="X875" i="16"/>
  <c r="Y875" i="16"/>
  <c r="X876" i="16"/>
  <c r="Y876" i="16"/>
  <c r="X877" i="16"/>
  <c r="X878" i="16"/>
  <c r="Y877" i="16"/>
  <c r="Y878" i="16"/>
  <c r="X879" i="16"/>
  <c r="X880" i="16"/>
  <c r="Y879" i="16"/>
  <c r="X881" i="16"/>
  <c r="Y880" i="16"/>
  <c r="X882" i="16"/>
  <c r="Y881" i="16"/>
  <c r="Y882" i="16"/>
  <c r="X883" i="16"/>
  <c r="X884" i="16"/>
  <c r="Y883" i="16"/>
  <c r="Y884" i="16"/>
  <c r="X885" i="16"/>
  <c r="X886" i="16"/>
  <c r="Y885" i="16"/>
  <c r="X887" i="16"/>
  <c r="Y886" i="16"/>
  <c r="X888" i="16"/>
  <c r="Y887" i="16"/>
  <c r="X889" i="16"/>
  <c r="Y888" i="16"/>
  <c r="Y889" i="16"/>
  <c r="X890" i="16"/>
  <c r="X891" i="16"/>
  <c r="Y890" i="16"/>
  <c r="Y891" i="16"/>
  <c r="X892" i="16"/>
  <c r="X893" i="16"/>
  <c r="Y892" i="16"/>
  <c r="X894" i="16"/>
  <c r="Y893" i="16"/>
  <c r="Y894" i="16"/>
  <c r="X895" i="16"/>
  <c r="Y895" i="16"/>
  <c r="X896" i="16"/>
  <c r="Y896" i="16"/>
  <c r="X897" i="16"/>
  <c r="Y897" i="16"/>
  <c r="X898" i="16"/>
  <c r="X899" i="16"/>
  <c r="Y898" i="16"/>
  <c r="X900" i="16"/>
  <c r="Y899" i="16"/>
  <c r="Y900" i="16"/>
  <c r="X901" i="16"/>
  <c r="Y901" i="16"/>
  <c r="X902" i="16"/>
  <c r="X903" i="16"/>
  <c r="Y902" i="16"/>
  <c r="X904" i="16"/>
  <c r="Y903" i="16"/>
  <c r="X905" i="16"/>
  <c r="Y904" i="16"/>
  <c r="X906" i="16"/>
  <c r="Y905" i="16"/>
  <c r="X907" i="16"/>
  <c r="Y906" i="16"/>
  <c r="Y907" i="16"/>
  <c r="X908" i="16"/>
  <c r="X909" i="16"/>
  <c r="Y908" i="16"/>
  <c r="Y909" i="16"/>
  <c r="X910" i="16"/>
  <c r="X911" i="16"/>
  <c r="Y910" i="16"/>
  <c r="Y911" i="16"/>
  <c r="X912" i="16"/>
  <c r="X913" i="16"/>
  <c r="Y912" i="16"/>
  <c r="X914" i="16"/>
  <c r="Y913" i="16"/>
  <c r="Y914" i="16"/>
  <c r="X915" i="16"/>
  <c r="X916" i="16"/>
  <c r="Y915" i="16"/>
  <c r="Y916" i="16"/>
  <c r="X917" i="16"/>
  <c r="Y917" i="16"/>
  <c r="X918" i="16"/>
  <c r="Y918" i="16"/>
  <c r="X919" i="16"/>
  <c r="Y919" i="16"/>
  <c r="X920" i="16"/>
  <c r="Y920" i="16"/>
  <c r="X921" i="16"/>
  <c r="X922" i="16"/>
  <c r="Y921" i="16"/>
  <c r="X923" i="16"/>
  <c r="Y922" i="16"/>
  <c r="X924" i="16"/>
  <c r="Y923" i="16"/>
  <c r="X925" i="16"/>
  <c r="Y924" i="16"/>
  <c r="X926" i="16"/>
  <c r="Y925" i="16"/>
  <c r="Y926" i="16"/>
  <c r="X927" i="16"/>
  <c r="Y927" i="16"/>
  <c r="X928" i="16"/>
  <c r="Y928" i="16"/>
  <c r="X929" i="16"/>
  <c r="Y929" i="16"/>
  <c r="X930" i="16"/>
  <c r="Y930" i="16"/>
  <c r="X931" i="16"/>
  <c r="X932" i="16"/>
  <c r="Y931" i="16"/>
  <c r="Y932" i="16"/>
  <c r="X933" i="16"/>
  <c r="Y933" i="16"/>
  <c r="X934" i="16"/>
  <c r="Y934" i="16"/>
  <c r="X935" i="16"/>
  <c r="Y935" i="16"/>
  <c r="X936" i="16"/>
  <c r="X937" i="16"/>
  <c r="Y936" i="16"/>
  <c r="X938" i="16"/>
  <c r="Y937" i="16"/>
  <c r="Y938" i="16"/>
  <c r="X939" i="16"/>
  <c r="Y939" i="16"/>
  <c r="X940" i="16"/>
  <c r="X941" i="16"/>
  <c r="Y940" i="16"/>
  <c r="X942" i="16"/>
  <c r="Y941" i="16"/>
  <c r="Y942" i="16"/>
  <c r="X943" i="16"/>
  <c r="Y943" i="16"/>
  <c r="X944" i="16"/>
  <c r="X945" i="16"/>
  <c r="Y944" i="16"/>
  <c r="Y945" i="16"/>
  <c r="X946" i="16"/>
  <c r="Y946" i="16"/>
  <c r="X947" i="16"/>
  <c r="X948" i="16"/>
  <c r="Y947" i="16"/>
  <c r="X949" i="16"/>
  <c r="Y948" i="16"/>
  <c r="Y949" i="16"/>
  <c r="X950" i="16"/>
  <c r="X951" i="16"/>
  <c r="Y950" i="16"/>
  <c r="X952" i="16"/>
  <c r="Y951" i="16"/>
  <c r="Y952" i="16"/>
  <c r="X953" i="16"/>
  <c r="X954" i="16"/>
  <c r="Y953" i="16"/>
  <c r="Y954" i="16"/>
  <c r="X955" i="16"/>
  <c r="X956" i="16"/>
  <c r="Y955" i="16"/>
  <c r="Y956" i="16"/>
  <c r="X957" i="16"/>
  <c r="Y957" i="16"/>
  <c r="X958" i="16"/>
  <c r="X959" i="16"/>
  <c r="Y958" i="16"/>
  <c r="Y959" i="16"/>
  <c r="X960" i="16"/>
  <c r="Y960" i="16"/>
  <c r="X961" i="16"/>
  <c r="X962" i="16"/>
  <c r="Y961" i="16"/>
  <c r="X963" i="16"/>
  <c r="Y962" i="16"/>
  <c r="X964" i="16"/>
  <c r="Y963" i="16"/>
  <c r="X965" i="16"/>
  <c r="Y964" i="16"/>
  <c r="Y965" i="16"/>
  <c r="X966" i="16"/>
  <c r="Y966" i="16"/>
  <c r="X967" i="16"/>
  <c r="Y967" i="16"/>
  <c r="X968" i="16"/>
  <c r="Y968" i="16"/>
  <c r="X969" i="16"/>
  <c r="Y969" i="16"/>
  <c r="X970" i="16"/>
  <c r="Y970" i="16"/>
  <c r="X971" i="16"/>
  <c r="Y971" i="16"/>
  <c r="X972" i="16"/>
  <c r="Y972" i="16"/>
  <c r="X973" i="16"/>
  <c r="X974" i="16"/>
  <c r="Y973" i="16"/>
  <c r="X975" i="16"/>
  <c r="Y974" i="16"/>
  <c r="Y975" i="16"/>
  <c r="X976" i="16"/>
  <c r="X977" i="16"/>
  <c r="Y976" i="16"/>
  <c r="X978" i="16"/>
  <c r="Y977" i="16"/>
  <c r="Y978" i="16"/>
  <c r="X979" i="16"/>
  <c r="Y979" i="16"/>
  <c r="X980" i="16"/>
  <c r="Y980" i="16"/>
  <c r="X981" i="16"/>
  <c r="Y981" i="16"/>
  <c r="X982" i="16"/>
  <c r="Y982" i="16"/>
  <c r="X983" i="16"/>
  <c r="Y983" i="16"/>
  <c r="X984" i="16"/>
  <c r="X985" i="16"/>
  <c r="Y984" i="16"/>
  <c r="X986" i="16"/>
  <c r="Y985" i="16"/>
  <c r="X987" i="16"/>
  <c r="Y986" i="16"/>
  <c r="Y987" i="16"/>
  <c r="X988" i="16"/>
  <c r="X989" i="16"/>
  <c r="Y988" i="16"/>
  <c r="Y989" i="16"/>
  <c r="X990" i="16"/>
  <c r="Y990" i="16"/>
  <c r="X991" i="16"/>
  <c r="Y991" i="16"/>
  <c r="X992" i="16"/>
  <c r="X993" i="16"/>
  <c r="Y992" i="16"/>
  <c r="X994" i="16"/>
  <c r="Y993" i="16"/>
  <c r="X995" i="16"/>
  <c r="Y994" i="16"/>
  <c r="Y995" i="16"/>
  <c r="X996" i="16"/>
  <c r="X997" i="16"/>
  <c r="Y996" i="16"/>
  <c r="Y997" i="16"/>
  <c r="X998" i="16"/>
  <c r="X999" i="16"/>
  <c r="Y998" i="16"/>
  <c r="X1000" i="16"/>
  <c r="Y999" i="16"/>
  <c r="X1001" i="16"/>
  <c r="Y1000" i="16"/>
  <c r="X1002" i="16"/>
  <c r="Y1001" i="16"/>
  <c r="Y1002" i="16"/>
  <c r="X1003" i="16"/>
  <c r="X1004" i="16"/>
  <c r="Y1003" i="16"/>
  <c r="X1005" i="16"/>
  <c r="Y1004" i="16"/>
  <c r="X1006" i="16"/>
  <c r="Y1005" i="16"/>
  <c r="X1007" i="16"/>
  <c r="Y1006" i="16"/>
  <c r="Y1007" i="16"/>
  <c r="X1008" i="16"/>
  <c r="Y1008" i="16"/>
  <c r="X1009" i="16"/>
  <c r="Y1009" i="16"/>
  <c r="X1010" i="16"/>
  <c r="X1011" i="16"/>
  <c r="Y1010" i="16"/>
  <c r="Y1011" i="16"/>
  <c r="X1012" i="16"/>
  <c r="X1013" i="16"/>
  <c r="Y1012" i="16"/>
  <c r="Y1013" i="16"/>
  <c r="X1014" i="16"/>
  <c r="X1015" i="16"/>
  <c r="Y1014" i="16"/>
  <c r="Y1015" i="16"/>
  <c r="X1016" i="16"/>
  <c r="X1017" i="16"/>
  <c r="Y1016" i="16"/>
  <c r="X1018" i="16"/>
  <c r="Y1017" i="16"/>
  <c r="X1019" i="16"/>
  <c r="Y1018" i="16"/>
  <c r="X1020" i="16"/>
  <c r="Y1019" i="16"/>
  <c r="X1021" i="16"/>
  <c r="Y1020" i="16"/>
  <c r="X1022" i="16"/>
  <c r="Y1021" i="16"/>
  <c r="Y1022" i="16"/>
  <c r="X1023" i="16"/>
  <c r="X1024" i="16"/>
  <c r="Y1023" i="16"/>
  <c r="Y1024" i="16"/>
  <c r="X1025" i="16"/>
  <c r="Y1025" i="16"/>
  <c r="X1026" i="16"/>
  <c r="X1027" i="16"/>
  <c r="Y1026" i="16"/>
  <c r="X1028" i="16"/>
  <c r="Y1027" i="16"/>
  <c r="X1029" i="16"/>
  <c r="Y1028" i="16"/>
  <c r="Y1029" i="16"/>
  <c r="X1030" i="16"/>
  <c r="X1031" i="16"/>
  <c r="Y1030" i="16"/>
  <c r="Y1031" i="16"/>
  <c r="X1032" i="16"/>
  <c r="X1033" i="16"/>
  <c r="Y1032" i="16"/>
  <c r="Y1033" i="16"/>
  <c r="X1034" i="16"/>
  <c r="Y1034" i="16"/>
  <c r="X1035" i="16"/>
  <c r="X1036" i="16"/>
  <c r="Y1035" i="16"/>
  <c r="Y1036" i="16"/>
  <c r="X1037" i="16"/>
  <c r="Y1037" i="16"/>
  <c r="X1038" i="16"/>
  <c r="X1039" i="16"/>
  <c r="Y1038" i="16"/>
  <c r="X1040" i="16"/>
  <c r="Y1039" i="16"/>
  <c r="X1041" i="16"/>
  <c r="Y1040" i="16"/>
  <c r="X1042" i="16"/>
  <c r="Y1041" i="16"/>
  <c r="X1043" i="16"/>
  <c r="Y1042" i="16"/>
  <c r="Y1043" i="16"/>
  <c r="X1044" i="16"/>
  <c r="X1045" i="16"/>
  <c r="Y1044" i="16"/>
  <c r="Y1045" i="16"/>
  <c r="X1046" i="16"/>
  <c r="X1047" i="16"/>
  <c r="Y1046" i="16"/>
  <c r="X1048" i="16"/>
  <c r="Y1047" i="16"/>
  <c r="Y1048" i="16"/>
  <c r="X1049" i="16"/>
  <c r="Y1049" i="16"/>
  <c r="X1050" i="16"/>
  <c r="Y1050" i="16"/>
  <c r="X1051" i="16"/>
  <c r="Y1051" i="16"/>
  <c r="X1052" i="16"/>
  <c r="Y1052" i="16"/>
  <c r="X1053" i="16"/>
  <c r="X1054" i="16"/>
  <c r="Y1053" i="16"/>
  <c r="Y1054" i="16"/>
  <c r="X1055" i="16"/>
  <c r="Y1055" i="16"/>
  <c r="X1056" i="16"/>
  <c r="Y1056" i="16"/>
  <c r="X1057" i="16"/>
  <c r="Y1057" i="16"/>
  <c r="X1058" i="16"/>
  <c r="X1059" i="16"/>
  <c r="Y1058" i="16"/>
  <c r="Y1059" i="16"/>
  <c r="X1060" i="16"/>
  <c r="X1061" i="16"/>
  <c r="Y1060" i="16"/>
  <c r="Y1061" i="16"/>
  <c r="X1062" i="16"/>
  <c r="Y1062" i="16"/>
  <c r="X1063" i="16"/>
  <c r="Y1063" i="16"/>
  <c r="X1064" i="16"/>
  <c r="X1065" i="16"/>
  <c r="Y1064" i="16"/>
  <c r="X1066" i="16"/>
  <c r="Y1065" i="16"/>
  <c r="Y1066" i="16"/>
  <c r="X1067" i="16"/>
  <c r="Y1067" i="16"/>
  <c r="X1068" i="16"/>
  <c r="Y1068" i="16"/>
  <c r="X1069" i="16"/>
  <c r="Y1069" i="16"/>
  <c r="X1070" i="16"/>
  <c r="Y1070" i="16"/>
  <c r="X1071" i="16"/>
  <c r="Y1071" i="16"/>
  <c r="X1072" i="16"/>
  <c r="Y1072" i="16"/>
  <c r="X1073" i="16"/>
  <c r="X1074" i="16"/>
  <c r="Y1073" i="16"/>
  <c r="Y1074" i="16"/>
  <c r="X1075" i="16"/>
  <c r="Y1075" i="16"/>
  <c r="X1076" i="16"/>
  <c r="Y1076" i="16"/>
  <c r="X1077" i="16"/>
  <c r="X1078" i="16"/>
  <c r="Y1077" i="16"/>
  <c r="Y1078" i="16"/>
  <c r="X1079" i="16"/>
  <c r="Y1079" i="16"/>
  <c r="X1080" i="16"/>
  <c r="Y1080" i="16"/>
  <c r="X1081" i="16"/>
  <c r="X1082" i="16"/>
  <c r="Y1081" i="16"/>
  <c r="Y1082" i="16"/>
  <c r="X1083" i="16"/>
  <c r="X1084" i="16"/>
  <c r="Y1083" i="16"/>
  <c r="X1085" i="16"/>
  <c r="Y1084" i="16"/>
  <c r="X1086" i="16"/>
  <c r="Y1085" i="16"/>
  <c r="Y1086" i="16"/>
  <c r="X1087" i="16"/>
  <c r="Y1087" i="16"/>
  <c r="X1088" i="16"/>
  <c r="X1089" i="16"/>
  <c r="Y1088" i="16"/>
  <c r="Y1089" i="16"/>
  <c r="X1090" i="16"/>
  <c r="Y1090" i="16"/>
  <c r="X1091" i="16"/>
  <c r="X1092" i="16"/>
  <c r="Y1091" i="16"/>
  <c r="Y1092" i="16"/>
  <c r="X1093" i="16"/>
  <c r="Y1093" i="16"/>
  <c r="X1094" i="16"/>
  <c r="Y1094" i="16"/>
  <c r="X1095" i="16"/>
  <c r="Y1095" i="16"/>
  <c r="X1096" i="16"/>
  <c r="Y1096" i="16"/>
  <c r="X1097" i="16"/>
  <c r="X1098" i="16"/>
  <c r="Y1097" i="16"/>
  <c r="X1099" i="16"/>
  <c r="Y1098" i="16"/>
  <c r="X1100" i="16"/>
  <c r="Y1099" i="16"/>
  <c r="X1101" i="16"/>
  <c r="Y1100" i="16"/>
  <c r="Y1101" i="16"/>
  <c r="X1102" i="16"/>
  <c r="X1103" i="16"/>
  <c r="Y1102" i="16"/>
  <c r="X1104" i="16"/>
  <c r="Y1103" i="16"/>
  <c r="Y1104" i="16"/>
  <c r="X1105" i="16"/>
  <c r="Y1105" i="16"/>
  <c r="X1106" i="16"/>
  <c r="Y1106" i="16"/>
  <c r="X1107" i="16"/>
  <c r="X1108" i="16"/>
  <c r="Y1107" i="16"/>
  <c r="X1109" i="16"/>
  <c r="Y1108" i="16"/>
  <c r="Y1109" i="16"/>
  <c r="X1110" i="16"/>
  <c r="Y1110" i="16"/>
  <c r="X1111" i="16"/>
  <c r="X1112" i="16"/>
  <c r="Y1111" i="16"/>
  <c r="X1113" i="16"/>
  <c r="Y1112" i="16"/>
  <c r="Y1113" i="16"/>
  <c r="X1114" i="16"/>
  <c r="Y1114" i="16"/>
  <c r="X1115" i="16"/>
  <c r="Y1115" i="16"/>
  <c r="X1116" i="16"/>
  <c r="X1117" i="16"/>
  <c r="Y1116" i="16"/>
  <c r="X1118" i="16"/>
  <c r="Y1117" i="16"/>
  <c r="X1119" i="16"/>
  <c r="Y1118" i="16"/>
  <c r="X1120" i="16"/>
  <c r="Y1119" i="16"/>
  <c r="Y1120" i="16"/>
  <c r="X1121" i="16"/>
  <c r="X1122" i="16"/>
  <c r="Y1121" i="16"/>
  <c r="Y1122" i="16"/>
  <c r="X1123" i="16"/>
  <c r="X1124" i="16"/>
  <c r="Y1123" i="16"/>
  <c r="X1125" i="16"/>
  <c r="Y1124" i="16"/>
  <c r="X1126" i="16"/>
  <c r="Y1125" i="16"/>
  <c r="X1127" i="16"/>
  <c r="Y1126" i="16"/>
  <c r="X1128" i="16"/>
  <c r="Y1127" i="16"/>
  <c r="Y1128" i="16"/>
  <c r="X1129" i="16"/>
  <c r="Y1129" i="16"/>
  <c r="X1130" i="16"/>
  <c r="Y1130" i="16"/>
  <c r="X1131" i="16"/>
  <c r="X1132" i="16"/>
  <c r="Y1131" i="16"/>
  <c r="Y1132" i="16"/>
  <c r="X1133" i="16"/>
  <c r="X1134" i="16"/>
  <c r="Y1133" i="16"/>
  <c r="Y1134" i="16"/>
  <c r="X1135" i="16"/>
  <c r="X1136" i="16"/>
  <c r="Y1135" i="16"/>
  <c r="X1137" i="16"/>
  <c r="Y1136" i="16"/>
  <c r="Y1137" i="16"/>
  <c r="X1138" i="16"/>
  <c r="Y1138" i="16"/>
  <c r="X1139" i="16"/>
  <c r="Y1139" i="16"/>
  <c r="X1140" i="16"/>
  <c r="X1141" i="16"/>
  <c r="Y1140" i="16"/>
  <c r="Y1141" i="16"/>
  <c r="X1142" i="16"/>
  <c r="Y1142" i="16"/>
  <c r="X1143" i="16"/>
  <c r="X1144" i="16"/>
  <c r="Y1143" i="16"/>
  <c r="Y1144" i="16"/>
  <c r="X1145" i="16"/>
  <c r="X1146" i="16"/>
  <c r="Y1145" i="16"/>
  <c r="Y1146" i="16"/>
  <c r="X1147" i="16"/>
  <c r="X1148" i="16"/>
  <c r="Y1147" i="16"/>
  <c r="X1149" i="16"/>
  <c r="Y1148" i="16"/>
  <c r="Y1149" i="16"/>
  <c r="X1150" i="16"/>
  <c r="Y1150" i="16"/>
  <c r="X1151" i="16"/>
  <c r="Y1151" i="16"/>
  <c r="X1152" i="16"/>
  <c r="X1153" i="16"/>
  <c r="Y1152" i="16"/>
  <c r="X1154" i="16"/>
  <c r="Y1153" i="16"/>
  <c r="Y1154" i="16"/>
  <c r="X1155" i="16"/>
  <c r="X1156" i="16"/>
  <c r="Y1155" i="16"/>
  <c r="X1157" i="16"/>
  <c r="Y1156" i="16"/>
  <c r="X1158" i="16"/>
  <c r="Y1157" i="16"/>
  <c r="Y1158" i="16"/>
  <c r="X1159" i="16"/>
  <c r="Y1159" i="16"/>
  <c r="X1160" i="16"/>
  <c r="Y1160" i="16"/>
  <c r="X1161" i="16"/>
  <c r="Y1161" i="16"/>
  <c r="X1162" i="16"/>
  <c r="Y1162" i="16"/>
  <c r="X1163" i="16"/>
  <c r="Y1163" i="16"/>
  <c r="X1164" i="16"/>
  <c r="X1165" i="16"/>
  <c r="Y1164" i="16"/>
  <c r="Y1165" i="16"/>
  <c r="X1166" i="16"/>
  <c r="Y1166" i="16"/>
  <c r="X1167" i="16"/>
  <c r="X1168" i="16"/>
  <c r="Y1167" i="16"/>
  <c r="X1169" i="16"/>
  <c r="Y1168" i="16"/>
  <c r="X1170" i="16"/>
  <c r="Y1169" i="16"/>
  <c r="X1171" i="16"/>
  <c r="Y1170" i="16"/>
  <c r="Y1171" i="16"/>
  <c r="X1172" i="16"/>
  <c r="X1173" i="16"/>
  <c r="Y1172" i="16"/>
  <c r="Y1173" i="16"/>
  <c r="X1174" i="16"/>
  <c r="Y1174" i="16"/>
  <c r="X1175" i="16"/>
  <c r="Y1175" i="16"/>
  <c r="X1176" i="16"/>
  <c r="X1177" i="16"/>
  <c r="Y1176" i="16"/>
  <c r="X1178" i="16"/>
  <c r="Y1177" i="16"/>
  <c r="Y1178" i="16"/>
  <c r="X1179" i="16"/>
  <c r="Y1179" i="16"/>
  <c r="X1180" i="16"/>
  <c r="Y1180" i="16"/>
  <c r="X1181" i="16"/>
  <c r="X1182" i="16"/>
  <c r="Y1181" i="16"/>
  <c r="X1183" i="16"/>
  <c r="Y1182" i="16"/>
  <c r="Y1183" i="16"/>
  <c r="X1184" i="16"/>
  <c r="Y1184" i="16"/>
  <c r="X1185" i="16"/>
  <c r="X1186" i="16"/>
  <c r="Y1185" i="16"/>
  <c r="Y1186" i="16"/>
  <c r="X1187" i="16"/>
  <c r="X1188" i="16"/>
  <c r="Y1187" i="16"/>
  <c r="Y1188" i="16"/>
  <c r="X1189" i="16"/>
  <c r="X1190" i="16"/>
  <c r="Y1189" i="16"/>
  <c r="X1191" i="16"/>
  <c r="Y1190" i="16"/>
  <c r="Y1191" i="16"/>
  <c r="X1192" i="16"/>
  <c r="Y1192" i="16"/>
  <c r="X1193" i="16"/>
  <c r="X1194" i="16"/>
  <c r="Y1193" i="16"/>
  <c r="Y1194" i="16"/>
  <c r="X1195" i="16"/>
  <c r="Y1195" i="16"/>
  <c r="X1196" i="16"/>
  <c r="Y1196" i="16"/>
  <c r="X1197" i="16"/>
  <c r="Y1197" i="16"/>
  <c r="X1198" i="16"/>
  <c r="Y1198" i="16"/>
  <c r="X1199" i="16"/>
  <c r="Y1199" i="16"/>
  <c r="X1200" i="16"/>
  <c r="Y1200" i="16"/>
  <c r="X1201" i="16"/>
  <c r="Y1201" i="16"/>
  <c r="X1202" i="16"/>
  <c r="X1203" i="16"/>
  <c r="Y1202" i="16"/>
  <c r="X1204" i="16"/>
  <c r="Y1203" i="16"/>
  <c r="X1205" i="16"/>
  <c r="Y1204" i="16"/>
  <c r="X1206" i="16"/>
  <c r="Y1205" i="16"/>
  <c r="Y1206" i="16"/>
  <c r="X1207" i="16"/>
  <c r="X1208" i="16"/>
  <c r="Y1207" i="16"/>
  <c r="Y1208" i="16"/>
  <c r="X1209" i="16"/>
  <c r="Y1209" i="16"/>
  <c r="X1210" i="16"/>
  <c r="X1211" i="16"/>
  <c r="Y1210" i="16"/>
  <c r="Y1211" i="16"/>
  <c r="X1212" i="16"/>
  <c r="X1213" i="16"/>
  <c r="Y1212" i="16"/>
  <c r="X1214" i="16"/>
  <c r="Y1213" i="16"/>
  <c r="Y1214" i="16"/>
  <c r="X1215" i="16"/>
  <c r="X1216" i="16"/>
  <c r="Y1215" i="16"/>
  <c r="X1217" i="16"/>
  <c r="Y1216" i="16"/>
  <c r="X1218" i="16"/>
  <c r="Y1217" i="16"/>
  <c r="X1219" i="16"/>
  <c r="Y1218" i="16"/>
  <c r="Y1219" i="16"/>
  <c r="X1220" i="16"/>
  <c r="X1221" i="16"/>
  <c r="Y1220" i="16"/>
  <c r="X1222" i="16"/>
  <c r="Y1221" i="16"/>
  <c r="Y1222" i="16"/>
  <c r="X1223" i="16"/>
  <c r="Y1223" i="16"/>
  <c r="X1224" i="16"/>
  <c r="X1225" i="16"/>
  <c r="Y1224" i="16"/>
  <c r="X1226" i="16"/>
  <c r="Y1225" i="16"/>
  <c r="Y1226" i="16"/>
  <c r="X1227" i="16"/>
  <c r="Y1227" i="16"/>
  <c r="X1228" i="16"/>
  <c r="Y1228" i="16"/>
  <c r="X1229" i="16"/>
  <c r="X1230" i="16"/>
  <c r="Y1229" i="16"/>
  <c r="X1231" i="16"/>
  <c r="Y1230" i="16"/>
  <c r="Y1231" i="16"/>
  <c r="X1232" i="16"/>
  <c r="Y1232" i="16"/>
  <c r="X1233" i="16"/>
  <c r="Y1233" i="16"/>
  <c r="X1234" i="16"/>
  <c r="Y1234" i="16"/>
  <c r="X1235" i="16"/>
  <c r="X1236" i="16"/>
  <c r="Y1235" i="16"/>
  <c r="X1237" i="16"/>
  <c r="Y1236" i="16"/>
  <c r="Y1237" i="16"/>
  <c r="X1238" i="16"/>
  <c r="X1239" i="16"/>
  <c r="Y1238" i="16"/>
  <c r="Y1239" i="16"/>
  <c r="X1240" i="16"/>
  <c r="X1241" i="16"/>
  <c r="Y1240" i="16"/>
  <c r="Y1241" i="16"/>
  <c r="X1242" i="16"/>
  <c r="Y1242" i="16"/>
  <c r="X1243" i="16"/>
  <c r="Y1243" i="16"/>
  <c r="X1244" i="16"/>
  <c r="X1245" i="16"/>
  <c r="Y1244" i="16"/>
  <c r="Y1245" i="16"/>
  <c r="X1246" i="16"/>
  <c r="Y1246" i="16"/>
  <c r="X1247" i="16"/>
  <c r="X1248" i="16"/>
  <c r="Y1247" i="16"/>
  <c r="X1249" i="16"/>
  <c r="Y1248" i="16"/>
  <c r="X1250" i="16"/>
  <c r="Y1249" i="16"/>
  <c r="X1251" i="16"/>
  <c r="Y1250" i="16"/>
  <c r="X1252" i="16"/>
  <c r="Y1251" i="16"/>
  <c r="Y1252" i="16"/>
  <c r="X1253" i="16"/>
  <c r="Y1253" i="16"/>
  <c r="X1254" i="16"/>
  <c r="Y1254" i="16"/>
  <c r="X1255" i="16"/>
  <c r="Y1255" i="16"/>
  <c r="X1256" i="16"/>
  <c r="X1257" i="16"/>
  <c r="Y1256" i="16"/>
  <c r="X1258" i="16"/>
  <c r="Y1257" i="16"/>
  <c r="X1259" i="16"/>
  <c r="Y1258" i="16"/>
  <c r="Y1259" i="16"/>
  <c r="X1260" i="16"/>
  <c r="Y1260" i="16"/>
  <c r="X1261" i="16"/>
  <c r="X1262" i="16"/>
  <c r="Y1261" i="16"/>
  <c r="X1263" i="16"/>
  <c r="Y1262" i="16"/>
  <c r="Y1263" i="16"/>
  <c r="X1264" i="16"/>
  <c r="X1265" i="16"/>
  <c r="Y1264" i="16"/>
  <c r="X1266" i="16"/>
  <c r="Y1265" i="16"/>
  <c r="X1267" i="16"/>
  <c r="Y1266" i="16"/>
  <c r="X1268" i="16"/>
  <c r="Y1267" i="16"/>
  <c r="X1269" i="16"/>
  <c r="Y1268" i="16"/>
  <c r="Y1269" i="16"/>
  <c r="X1270" i="16"/>
  <c r="X1271" i="16"/>
  <c r="Y1270" i="16"/>
  <c r="X1272" i="16"/>
  <c r="Y1271" i="16"/>
  <c r="X1273" i="16"/>
  <c r="Y1272" i="16"/>
  <c r="X1274" i="16"/>
  <c r="Y1273" i="16"/>
  <c r="X1275" i="16"/>
  <c r="Y1274" i="16"/>
  <c r="Y1275" i="16"/>
  <c r="X1276" i="16"/>
  <c r="X1277" i="16"/>
  <c r="Y1276" i="16"/>
  <c r="X1278" i="16"/>
  <c r="Y1277" i="16"/>
  <c r="Y1278" i="16"/>
  <c r="X1279" i="16"/>
  <c r="Y1279" i="16"/>
  <c r="X1280" i="16"/>
  <c r="Y1280" i="16"/>
  <c r="X1281" i="16"/>
  <c r="X1282" i="16"/>
  <c r="Y1281" i="16"/>
  <c r="X1283" i="16"/>
  <c r="Y1282" i="16"/>
  <c r="Y1283" i="16"/>
  <c r="X1284" i="16"/>
  <c r="Y1284" i="16"/>
  <c r="X1285" i="16"/>
  <c r="X1286" i="16"/>
  <c r="Y1285" i="16"/>
  <c r="Y1286" i="16"/>
  <c r="X1287" i="16"/>
  <c r="X1288" i="16"/>
  <c r="Y1287" i="16"/>
  <c r="X1289" i="16"/>
  <c r="Y1288" i="16"/>
  <c r="Y1289" i="16"/>
  <c r="X1290" i="16"/>
  <c r="Y1290" i="16"/>
  <c r="X1291" i="16"/>
  <c r="X1292" i="16"/>
  <c r="Y1291" i="16"/>
  <c r="Y1292" i="16"/>
  <c r="X1293" i="16"/>
  <c r="X1294" i="16"/>
  <c r="Y1293" i="16"/>
  <c r="Y1294" i="16"/>
  <c r="X1295" i="16"/>
  <c r="X1296" i="16"/>
  <c r="Y1295" i="16"/>
  <c r="X1297" i="16"/>
  <c r="Y1296" i="16"/>
  <c r="X1298" i="16"/>
  <c r="Y1297" i="16"/>
  <c r="Y1298" i="16"/>
  <c r="X1299" i="16"/>
  <c r="Y1299" i="16"/>
  <c r="X1300" i="16"/>
  <c r="Y1300" i="16"/>
  <c r="X1301" i="16"/>
  <c r="Y1301" i="16"/>
  <c r="X1302" i="16"/>
  <c r="X1303" i="16"/>
  <c r="Y1302" i="16"/>
  <c r="Y1303" i="16"/>
  <c r="X1304" i="16"/>
  <c r="X1305" i="16"/>
  <c r="Y1304" i="16"/>
  <c r="X1306" i="16"/>
  <c r="Y1305" i="16"/>
  <c r="X1307" i="16"/>
  <c r="Y1306" i="16"/>
  <c r="X1308" i="16"/>
  <c r="Y1307" i="16"/>
  <c r="X1309" i="16"/>
  <c r="Y1308" i="16"/>
  <c r="X1310" i="16"/>
  <c r="Y1309" i="16"/>
  <c r="X1311" i="16"/>
  <c r="Y1310" i="16"/>
  <c r="Y1311" i="16"/>
  <c r="X1312" i="16"/>
  <c r="X1313" i="16"/>
  <c r="Y1312" i="16"/>
  <c r="Y1313" i="16"/>
  <c r="X1314" i="16"/>
  <c r="X1315" i="16"/>
  <c r="Y1314" i="16"/>
  <c r="Y1315" i="16"/>
  <c r="X1316" i="16"/>
  <c r="X1317" i="16"/>
  <c r="Y1316" i="16"/>
  <c r="X1318" i="16"/>
  <c r="Y1317" i="16"/>
  <c r="Y1318" i="16"/>
  <c r="X1319" i="16"/>
  <c r="X1320" i="16"/>
  <c r="Y1319" i="16"/>
  <c r="X1321" i="16"/>
  <c r="Y1320" i="16"/>
  <c r="Y1321" i="16"/>
  <c r="X1322" i="16"/>
  <c r="Y1322" i="16"/>
  <c r="X1323" i="16"/>
  <c r="Y1323" i="16"/>
  <c r="X1324" i="16"/>
  <c r="Y1324" i="16"/>
  <c r="X1325" i="16"/>
  <c r="Y1325" i="16"/>
  <c r="X1326" i="16"/>
  <c r="X1327" i="16"/>
  <c r="Y1326" i="16"/>
  <c r="X1328" i="16"/>
  <c r="Y1327" i="16"/>
  <c r="X1329" i="16"/>
  <c r="Y1328" i="16"/>
  <c r="X1330" i="16"/>
  <c r="Y1329" i="16"/>
  <c r="X1331" i="16"/>
  <c r="Y1330" i="16"/>
  <c r="Y1331" i="16"/>
  <c r="X1332" i="16"/>
  <c r="X1333" i="16"/>
  <c r="Y1332" i="16"/>
  <c r="Y1333" i="16"/>
  <c r="X1334" i="16"/>
  <c r="X1335" i="16"/>
  <c r="Y1334" i="16"/>
  <c r="Y1335" i="16"/>
  <c r="X1336" i="16"/>
  <c r="Y1336" i="16"/>
  <c r="X1337" i="16"/>
  <c r="X1338" i="16"/>
  <c r="Y1337" i="16"/>
  <c r="X1339" i="16"/>
  <c r="Y1338" i="16"/>
  <c r="X1340" i="16"/>
  <c r="Y1339" i="16"/>
  <c r="X1341" i="16"/>
  <c r="Y1340" i="16"/>
  <c r="X1342" i="16"/>
  <c r="Y1341" i="16"/>
  <c r="X1343" i="16"/>
  <c r="Y1342" i="16"/>
  <c r="X1344" i="16"/>
  <c r="Y1343" i="16"/>
  <c r="X1345" i="16"/>
  <c r="Y1344" i="16"/>
  <c r="X1346" i="16"/>
  <c r="Y1345" i="16"/>
  <c r="X1347" i="16"/>
  <c r="Y1346" i="16"/>
  <c r="Y1347" i="16"/>
  <c r="X1348" i="16"/>
  <c r="Y1348" i="16"/>
  <c r="X1349" i="16"/>
  <c r="Y1349" i="16"/>
  <c r="X1350" i="16"/>
  <c r="Y1350" i="16"/>
  <c r="X1351" i="16"/>
  <c r="X1352" i="16"/>
  <c r="Y1351" i="16"/>
  <c r="X1353" i="16"/>
  <c r="Y1352" i="16"/>
  <c r="X1354" i="16"/>
  <c r="Y1353" i="16"/>
  <c r="Y1354" i="16"/>
  <c r="X1355" i="16"/>
  <c r="Y1355" i="16"/>
  <c r="X1356" i="16"/>
  <c r="Y1356" i="16"/>
  <c r="X1357" i="16"/>
  <c r="Y1357" i="16"/>
  <c r="X1358" i="16"/>
  <c r="Y1358" i="16"/>
  <c r="X1359" i="16"/>
  <c r="X1360" i="16"/>
  <c r="Y1359" i="16"/>
  <c r="Y1360" i="16"/>
  <c r="X1361" i="16"/>
  <c r="Y1361" i="16"/>
  <c r="X1362" i="16"/>
  <c r="X1363" i="16"/>
  <c r="Y1362" i="16"/>
  <c r="X1364" i="16"/>
  <c r="Y1363" i="16"/>
  <c r="Y1364" i="16"/>
  <c r="X1365" i="16"/>
  <c r="Y1365" i="16"/>
  <c r="X1366" i="16"/>
  <c r="Y1366" i="16"/>
  <c r="X1367" i="16"/>
  <c r="Y1367" i="16"/>
  <c r="X1368" i="16"/>
  <c r="Y1368" i="16"/>
  <c r="X1369" i="16"/>
  <c r="X1370" i="16"/>
  <c r="Y1369" i="16"/>
  <c r="Y1370" i="16"/>
  <c r="X1371" i="16"/>
  <c r="Y1371" i="16"/>
  <c r="X1372" i="16"/>
  <c r="Y1372" i="16"/>
  <c r="X1373" i="16"/>
  <c r="Y1373" i="16"/>
  <c r="X1374" i="16"/>
  <c r="X1375" i="16"/>
  <c r="Y1374" i="16"/>
  <c r="X1376" i="16"/>
  <c r="Y1375" i="16"/>
  <c r="X1377" i="16"/>
  <c r="Y1376" i="16"/>
  <c r="Y1377" i="16"/>
  <c r="X1378" i="16"/>
  <c r="Y1378" i="16"/>
  <c r="X1379" i="16"/>
  <c r="X1380" i="16"/>
  <c r="Y1379" i="16"/>
  <c r="X1381" i="16"/>
  <c r="Y1380" i="16"/>
  <c r="Y1381" i="16"/>
  <c r="X1382" i="16"/>
  <c r="Y1382" i="16"/>
  <c r="X1383" i="16"/>
  <c r="Y1383" i="16"/>
  <c r="X1384" i="16"/>
  <c r="Y1384" i="16"/>
  <c r="X1385" i="16"/>
  <c r="X1386" i="16"/>
  <c r="Y1385" i="16"/>
  <c r="X1387" i="16"/>
  <c r="Y1386" i="16"/>
  <c r="Y1387" i="16"/>
  <c r="X1388" i="16"/>
  <c r="X1389" i="16"/>
  <c r="Y1388" i="16"/>
  <c r="X1390" i="16"/>
  <c r="Y1389" i="16"/>
  <c r="X1391" i="16"/>
  <c r="Y1390" i="16"/>
  <c r="Y1391" i="16"/>
  <c r="X1392" i="16"/>
  <c r="X1393" i="16"/>
  <c r="Y1392" i="16"/>
  <c r="Y1393" i="16"/>
  <c r="X1394" i="16"/>
  <c r="Y1394" i="16"/>
  <c r="X1395" i="16"/>
  <c r="X1396" i="16"/>
  <c r="Y1395" i="16"/>
  <c r="Y1396" i="16"/>
  <c r="X1397" i="16"/>
  <c r="X1398" i="16"/>
  <c r="Y1397" i="16"/>
  <c r="Y1398" i="16"/>
  <c r="X1399" i="16"/>
  <c r="X1400" i="16"/>
  <c r="Y1399" i="16"/>
  <c r="Y1400" i="16"/>
  <c r="X1401" i="16"/>
  <c r="X1402" i="16"/>
  <c r="Y1401" i="16"/>
  <c r="Y1402" i="16"/>
  <c r="X1403" i="16"/>
  <c r="X1404" i="16"/>
  <c r="Y1403" i="16"/>
  <c r="Y1404" i="16"/>
  <c r="X1405" i="16"/>
  <c r="X1406" i="16"/>
  <c r="Y1405" i="16"/>
  <c r="X1407" i="16"/>
  <c r="Y1406" i="16"/>
  <c r="Y1407" i="16"/>
  <c r="X1408" i="16"/>
  <c r="Y1408" i="16"/>
  <c r="X1409" i="16"/>
  <c r="X1410" i="16"/>
  <c r="Y1409" i="16"/>
  <c r="Y1410" i="16"/>
  <c r="X1411" i="16"/>
  <c r="Y1411" i="16"/>
  <c r="X1412" i="16"/>
  <c r="Y1412" i="16"/>
  <c r="X1413" i="16"/>
  <c r="Y1413" i="16"/>
  <c r="X1414" i="16"/>
  <c r="X1415" i="16"/>
  <c r="Y1414" i="16"/>
  <c r="X1416" i="16"/>
  <c r="Y1415" i="16"/>
  <c r="X1417" i="16"/>
  <c r="Y1416" i="16"/>
  <c r="Y1417" i="16"/>
  <c r="X1418" i="16"/>
  <c r="X1419" i="16"/>
  <c r="Y1418" i="16"/>
  <c r="Y1419" i="16"/>
  <c r="X1420" i="16"/>
  <c r="Y1420" i="16"/>
  <c r="X1421" i="16"/>
  <c r="Y1421" i="16"/>
  <c r="X1422" i="16"/>
  <c r="X1423" i="16"/>
  <c r="Y1422" i="16"/>
  <c r="Y1423" i="16"/>
  <c r="X1424" i="16"/>
  <c r="X1425" i="16"/>
  <c r="Y1424" i="16"/>
  <c r="Y1425" i="16"/>
  <c r="X1426" i="16"/>
  <c r="Y1426" i="16"/>
  <c r="X1427" i="16"/>
  <c r="X1428" i="16"/>
  <c r="Y1427" i="16"/>
  <c r="X1429" i="16"/>
  <c r="Y1428" i="16"/>
  <c r="X1430" i="16"/>
  <c r="Y1429" i="16"/>
  <c r="Y1430" i="16"/>
  <c r="X1431" i="16"/>
  <c r="Y1431" i="16"/>
  <c r="X1432" i="16"/>
  <c r="X1433" i="16"/>
  <c r="Y1432" i="16"/>
  <c r="X1434" i="16"/>
  <c r="Y1433" i="16"/>
  <c r="Y1434" i="16"/>
  <c r="X1435" i="16"/>
  <c r="X1436" i="16"/>
  <c r="Y1435" i="16"/>
  <c r="Y1436" i="16"/>
  <c r="X1437" i="16"/>
  <c r="Y1437" i="16"/>
  <c r="X1438" i="16"/>
  <c r="X1439" i="16"/>
  <c r="Y1438" i="16"/>
  <c r="X1440" i="16"/>
  <c r="Y1439" i="16"/>
  <c r="X1441" i="16"/>
  <c r="Y1440" i="16"/>
  <c r="Y1441" i="16"/>
  <c r="X1442" i="16"/>
  <c r="Y1442" i="16"/>
  <c r="X1443" i="16"/>
  <c r="X1444" i="16"/>
  <c r="Y1443" i="16"/>
  <c r="X1445" i="16"/>
  <c r="Y1444" i="16"/>
  <c r="Y1445" i="16"/>
  <c r="X1446" i="16"/>
  <c r="Y1446" i="16"/>
  <c r="X1447" i="16"/>
  <c r="Y1447" i="16"/>
  <c r="X1448" i="16"/>
  <c r="Y1448" i="16"/>
  <c r="X1449" i="16"/>
  <c r="Y1449" i="16"/>
  <c r="X1450" i="16"/>
  <c r="Y1450" i="16"/>
  <c r="X1451" i="16"/>
  <c r="X1452" i="16"/>
  <c r="Y1451" i="16"/>
  <c r="X1453" i="16"/>
  <c r="Y1452" i="16"/>
  <c r="Y1453" i="16"/>
  <c r="X1454" i="16"/>
  <c r="X1455" i="16"/>
  <c r="Y1454" i="16"/>
  <c r="X1456" i="16"/>
  <c r="Y1455" i="16"/>
  <c r="X1457" i="16"/>
  <c r="Y1456" i="16"/>
  <c r="X1458" i="16"/>
  <c r="Y1457" i="16"/>
  <c r="X1459" i="16"/>
  <c r="Y1458" i="16"/>
  <c r="Y1459" i="16"/>
  <c r="X1460" i="16"/>
  <c r="Y1460" i="16"/>
  <c r="X1461" i="16"/>
  <c r="X1462" i="16"/>
  <c r="Y1461" i="16"/>
  <c r="X1463" i="16"/>
  <c r="Y1462" i="16"/>
  <c r="X1464" i="16"/>
  <c r="Y1463" i="16"/>
  <c r="Y1464" i="16"/>
  <c r="X1465" i="16"/>
  <c r="X1466" i="16"/>
  <c r="Y1465" i="16"/>
  <c r="Y1466" i="16"/>
  <c r="X1467" i="16"/>
  <c r="Y1467" i="16"/>
  <c r="X1468" i="16"/>
  <c r="X1469" i="16"/>
  <c r="Y1468" i="16"/>
  <c r="Y1469" i="16"/>
  <c r="X1470" i="16"/>
  <c r="Y1470" i="16"/>
  <c r="X1471" i="16"/>
  <c r="Y1471" i="16"/>
  <c r="X1472" i="16"/>
  <c r="Y1472" i="16"/>
  <c r="X1473" i="16"/>
  <c r="Y1473" i="16"/>
  <c r="X1474" i="16"/>
  <c r="Y1474" i="16"/>
  <c r="X1475" i="16"/>
  <c r="Y1475" i="16"/>
  <c r="X1476" i="16"/>
  <c r="X1477" i="16"/>
  <c r="Y1476" i="16"/>
  <c r="Y1477" i="16"/>
  <c r="X1478" i="16"/>
  <c r="X1479" i="16"/>
  <c r="Y1478" i="16"/>
  <c r="X1480" i="16"/>
  <c r="Y1479" i="16"/>
  <c r="Y1480" i="16"/>
  <c r="X1481" i="16"/>
  <c r="X1482" i="16"/>
  <c r="Y1481" i="16"/>
  <c r="Y1482" i="16"/>
  <c r="X1483" i="16"/>
  <c r="X1484" i="16"/>
  <c r="Y1483" i="16"/>
  <c r="X1485" i="16"/>
  <c r="Y1484" i="16"/>
  <c r="Y1485" i="16"/>
  <c r="X1486" i="16"/>
  <c r="X1487" i="16"/>
  <c r="Y1486" i="16"/>
  <c r="Y1487" i="16"/>
  <c r="X1488" i="16"/>
  <c r="Y1488" i="16"/>
  <c r="X1489" i="16"/>
  <c r="Y1489" i="16"/>
  <c r="X1490" i="16"/>
  <c r="Y1490" i="16"/>
  <c r="X1491" i="16"/>
  <c r="X1492" i="16"/>
  <c r="Y1491" i="16"/>
  <c r="X1493" i="16"/>
  <c r="Y1492" i="16"/>
  <c r="X1494" i="16"/>
  <c r="Y1493" i="16"/>
  <c r="X1495" i="16"/>
  <c r="Y1494" i="16"/>
  <c r="Y1495" i="16"/>
  <c r="X1496" i="16"/>
  <c r="Y1496" i="16"/>
  <c r="X1497" i="16"/>
  <c r="Y1497" i="16"/>
  <c r="X1498" i="16"/>
  <c r="X1499" i="16"/>
  <c r="Y1498" i="16"/>
  <c r="Y1499" i="16"/>
  <c r="X1500" i="16"/>
  <c r="X1501" i="16"/>
  <c r="Y1500" i="16"/>
  <c r="X1502" i="16"/>
  <c r="Y1501" i="16"/>
  <c r="X1503" i="16"/>
  <c r="Y1502" i="16"/>
  <c r="Y1503" i="16"/>
  <c r="X1504" i="16"/>
  <c r="Y1504" i="16"/>
  <c r="X1505" i="16"/>
  <c r="Y1505" i="16"/>
  <c r="X1506" i="16"/>
  <c r="Y1506" i="16"/>
  <c r="X1507" i="16"/>
  <c r="Y1507" i="16"/>
  <c r="X1508" i="16"/>
  <c r="X1509" i="16"/>
  <c r="Y1508" i="16"/>
  <c r="X1510" i="16"/>
  <c r="Y1509" i="16"/>
  <c r="X1511" i="16"/>
  <c r="Y1510" i="16"/>
  <c r="X1512" i="16"/>
  <c r="Y1511" i="16"/>
  <c r="X1513" i="16"/>
  <c r="Y1512" i="16"/>
  <c r="Y1513" i="16"/>
  <c r="X1514" i="16"/>
  <c r="X1515" i="16"/>
  <c r="Y1514" i="16"/>
  <c r="Y1515" i="16"/>
  <c r="X1516" i="16"/>
  <c r="X1517" i="16"/>
  <c r="Y1516" i="16"/>
  <c r="Y1517" i="16"/>
  <c r="X1518" i="16"/>
  <c r="Y1518" i="16"/>
  <c r="X1519" i="16"/>
  <c r="Y1519" i="16"/>
  <c r="X1520" i="16"/>
  <c r="Y1520" i="16"/>
  <c r="X1521" i="16"/>
  <c r="X1522" i="16"/>
  <c r="Y1521" i="16"/>
  <c r="Y1522" i="16"/>
  <c r="X1523" i="16"/>
  <c r="X1524" i="16"/>
  <c r="Y1523" i="16"/>
  <c r="X1525" i="16"/>
  <c r="Y1524" i="16"/>
  <c r="Y1525" i="16"/>
  <c r="X1526" i="16"/>
  <c r="X1527" i="16"/>
  <c r="Y1526" i="16"/>
  <c r="Y1527" i="16"/>
  <c r="X1528" i="16"/>
  <c r="X1529" i="16"/>
  <c r="Y1528" i="16"/>
  <c r="Y1529" i="16"/>
  <c r="X1530" i="16"/>
  <c r="Y1530" i="16"/>
  <c r="X1531" i="16"/>
  <c r="X1532" i="16"/>
  <c r="Y1531" i="16"/>
  <c r="Y1532" i="16"/>
  <c r="X1533" i="16"/>
  <c r="Y1533" i="16"/>
  <c r="X1534" i="16"/>
  <c r="Y1534" i="16"/>
  <c r="X1535" i="16"/>
  <c r="Y1535" i="16"/>
  <c r="X1536" i="16"/>
  <c r="X1537" i="16"/>
  <c r="Y1536" i="16"/>
  <c r="X1538" i="16"/>
  <c r="Y1537" i="16"/>
  <c r="X1539" i="16"/>
  <c r="Y1538" i="16"/>
  <c r="Y1539" i="16"/>
  <c r="X1540" i="16"/>
  <c r="X1541" i="16"/>
  <c r="Y1540" i="16"/>
  <c r="Y1541" i="16"/>
  <c r="X1542" i="16"/>
  <c r="Y1542" i="16"/>
  <c r="X1543" i="16"/>
  <c r="Y1543" i="16"/>
  <c r="X1544" i="16"/>
  <c r="Y1544" i="16"/>
  <c r="X1545" i="16"/>
  <c r="X1546" i="16"/>
  <c r="Y1545" i="16"/>
  <c r="Y1546" i="16"/>
  <c r="X1547" i="16"/>
  <c r="Y1547" i="16"/>
  <c r="X1548" i="16"/>
  <c r="Y1548" i="16"/>
  <c r="X1549" i="16"/>
  <c r="Y1549" i="16"/>
  <c r="X1550" i="16"/>
  <c r="Y1550" i="16"/>
  <c r="X1551" i="16"/>
  <c r="Y1551" i="16"/>
  <c r="X1552" i="16"/>
  <c r="X1553" i="16"/>
  <c r="Y1552" i="16"/>
  <c r="X1554" i="16"/>
  <c r="Y1553" i="16"/>
  <c r="X1555" i="16"/>
  <c r="Y1554" i="16"/>
  <c r="Y1555" i="16"/>
  <c r="X1556" i="16"/>
  <c r="Y1556" i="16"/>
  <c r="X1557" i="16"/>
  <c r="X1558" i="16"/>
  <c r="Y1557" i="16"/>
  <c r="X1559" i="16"/>
  <c r="Y1558" i="16"/>
  <c r="Y1559" i="16"/>
  <c r="X1560" i="16"/>
  <c r="X1561" i="16"/>
  <c r="Y1560" i="16"/>
  <c r="Y1561" i="16"/>
  <c r="X1562" i="16"/>
  <c r="X1563" i="16"/>
  <c r="Y1562" i="16"/>
  <c r="Y1563" i="16"/>
  <c r="X1564" i="16"/>
  <c r="Y1564" i="16"/>
  <c r="X1565" i="16"/>
  <c r="X1566" i="16"/>
  <c r="Y1565" i="16"/>
  <c r="X1567" i="16"/>
  <c r="Y1566" i="16"/>
  <c r="Y1567" i="16"/>
  <c r="X1568" i="16"/>
  <c r="Y1568" i="16"/>
  <c r="X1569" i="16"/>
  <c r="X1570" i="16"/>
  <c r="Y1569" i="16"/>
  <c r="Y1570" i="16"/>
  <c r="X1571" i="16"/>
  <c r="Y1571" i="16"/>
  <c r="X1572" i="16"/>
  <c r="Y1572" i="16"/>
  <c r="X1573" i="16"/>
  <c r="X1574" i="16"/>
  <c r="Y1573" i="16"/>
  <c r="Y1574" i="16"/>
  <c r="X1575" i="16"/>
  <c r="X1576" i="16"/>
  <c r="Y1575" i="16"/>
  <c r="Y1576" i="16"/>
  <c r="X1577" i="16"/>
  <c r="X1578" i="16"/>
  <c r="Y1577" i="16"/>
  <c r="X1579" i="16"/>
  <c r="Y1578" i="16"/>
  <c r="Y1579" i="16"/>
  <c r="X1580" i="16"/>
  <c r="X1581" i="16"/>
  <c r="Y1580" i="16"/>
  <c r="Y1581" i="16"/>
  <c r="X1582" i="16"/>
  <c r="X1583" i="16"/>
  <c r="Y1582" i="16"/>
  <c r="X1584" i="16"/>
  <c r="Y1583" i="16"/>
  <c r="Y1584" i="16"/>
  <c r="X1585" i="16"/>
  <c r="X1586" i="16"/>
  <c r="Y1585" i="16"/>
  <c r="Y1586" i="16"/>
  <c r="X1587" i="16"/>
  <c r="X1588" i="16"/>
  <c r="Y1587" i="16"/>
  <c r="Y1588" i="16"/>
  <c r="X1589" i="16"/>
  <c r="Y1589" i="16"/>
  <c r="X1590" i="16"/>
  <c r="Y1590" i="16"/>
  <c r="X1591" i="16"/>
  <c r="X1592" i="16"/>
  <c r="Y1591" i="16"/>
  <c r="X1593" i="16"/>
  <c r="Y1592" i="16"/>
  <c r="Y1593" i="16"/>
  <c r="X1594" i="16"/>
  <c r="X1595" i="16"/>
  <c r="Y1594" i="16"/>
  <c r="X1596" i="16"/>
  <c r="Y1595" i="16"/>
  <c r="X1597" i="16"/>
  <c r="Y1596" i="16"/>
  <c r="Y1597" i="16"/>
  <c r="X1598" i="16"/>
  <c r="X1599" i="16"/>
  <c r="Y1598" i="16"/>
  <c r="Y1599" i="16"/>
  <c r="X1600" i="16"/>
  <c r="X1601" i="16"/>
  <c r="Y1600" i="16"/>
  <c r="Y1601" i="16"/>
  <c r="X1602" i="16"/>
  <c r="Y1602" i="16"/>
  <c r="X1603" i="16"/>
  <c r="Y1603" i="16"/>
  <c r="X1604" i="16"/>
  <c r="Y1604" i="16"/>
  <c r="X1605" i="16"/>
  <c r="X1606" i="16"/>
  <c r="Y1605" i="16"/>
  <c r="Y1606" i="16"/>
  <c r="X1607" i="16"/>
  <c r="X1608" i="16"/>
  <c r="Y1607" i="16"/>
  <c r="Y1608" i="16"/>
  <c r="X1609" i="16"/>
  <c r="X1610" i="16"/>
  <c r="Y1609" i="16"/>
  <c r="X1611" i="16"/>
  <c r="Y1610" i="16"/>
  <c r="Y1611" i="16"/>
  <c r="X1612" i="16"/>
  <c r="Y1612" i="16"/>
  <c r="X1613" i="16"/>
  <c r="Y1613" i="16"/>
  <c r="X1614" i="16"/>
  <c r="Y1614" i="16"/>
  <c r="X1615" i="16"/>
  <c r="X1616" i="16"/>
  <c r="Y1615" i="16"/>
  <c r="Y1616" i="16"/>
  <c r="X1617" i="16"/>
  <c r="X1618" i="16"/>
  <c r="Y1617" i="16"/>
  <c r="Y1618" i="16"/>
  <c r="X1619" i="16"/>
  <c r="X1620" i="16"/>
  <c r="Y1619" i="16"/>
  <c r="Y1620" i="16"/>
  <c r="X1621" i="16"/>
  <c r="X1622" i="16"/>
  <c r="Y1621" i="16"/>
  <c r="Y1622" i="16"/>
  <c r="X1623" i="16"/>
  <c r="X1624" i="16"/>
  <c r="Y1623" i="16"/>
  <c r="X1625" i="16"/>
  <c r="Y1624" i="16"/>
  <c r="X1626" i="16"/>
  <c r="Y1625" i="16"/>
  <c r="X1627" i="16"/>
  <c r="Y1626" i="16"/>
  <c r="X1628" i="16"/>
  <c r="Y1627" i="16"/>
  <c r="Y1628" i="16"/>
  <c r="X1629" i="16"/>
  <c r="Y1629" i="16"/>
  <c r="X1630" i="16"/>
  <c r="X1631" i="16"/>
  <c r="Y1630" i="16"/>
  <c r="X1632" i="16"/>
  <c r="Y1631" i="16"/>
  <c r="Y1632" i="16"/>
  <c r="X1633" i="16"/>
  <c r="X1634" i="16"/>
  <c r="Y1633" i="16"/>
  <c r="Y1634" i="16"/>
  <c r="X1635" i="16"/>
  <c r="Y1635" i="16"/>
  <c r="X1636" i="16"/>
  <c r="Y1636" i="16"/>
  <c r="X1637" i="16"/>
  <c r="Y1637" i="16"/>
  <c r="X1638" i="16"/>
  <c r="Y1638" i="16"/>
  <c r="X1639" i="16"/>
  <c r="Y1639" i="16"/>
  <c r="X1640" i="16"/>
  <c r="X1641" i="16"/>
  <c r="Y1640" i="16"/>
  <c r="Y1641" i="16"/>
  <c r="X1642" i="16"/>
  <c r="X1643" i="16"/>
  <c r="Y1642" i="16"/>
  <c r="X1644" i="16"/>
  <c r="Y1643" i="16"/>
  <c r="X1645" i="16"/>
  <c r="Y1644" i="16"/>
  <c r="Y1645" i="16"/>
  <c r="X1646" i="16"/>
  <c r="X1647" i="16"/>
  <c r="Y1646" i="16"/>
  <c r="Y1647" i="16"/>
  <c r="X1648" i="16"/>
  <c r="X1649" i="16"/>
  <c r="Y1648" i="16"/>
  <c r="X1650" i="16"/>
  <c r="Y1649" i="16"/>
  <c r="Y1650" i="16"/>
  <c r="X1651" i="16"/>
  <c r="X1652" i="16"/>
  <c r="Y1651" i="16"/>
  <c r="Y1652" i="16"/>
  <c r="X1653" i="16"/>
  <c r="Y1653" i="16"/>
  <c r="X1654" i="16"/>
  <c r="X1655" i="16"/>
  <c r="Y1654" i="16"/>
  <c r="Y1655" i="16"/>
  <c r="X1656" i="16"/>
  <c r="Y1656" i="16"/>
  <c r="X1657" i="16"/>
  <c r="X1658" i="16"/>
  <c r="Y1657" i="16"/>
  <c r="X1659" i="16"/>
  <c r="Y1658" i="16"/>
  <c r="Y1659" i="16"/>
  <c r="X1660" i="16"/>
  <c r="X1661" i="16"/>
  <c r="Y1660" i="16"/>
  <c r="X1662" i="16"/>
  <c r="Y1661" i="16"/>
  <c r="X1663" i="16"/>
  <c r="Y1662" i="16"/>
  <c r="Y1663" i="16"/>
  <c r="X1664" i="16"/>
  <c r="X1665" i="16"/>
  <c r="Y1664" i="16"/>
  <c r="X1666" i="16"/>
  <c r="Y1665" i="16"/>
  <c r="X1667" i="16"/>
  <c r="Y1666" i="16"/>
  <c r="X1668" i="16"/>
  <c r="Y1667" i="16"/>
  <c r="X1669" i="16"/>
  <c r="Y1668" i="16"/>
  <c r="X1670" i="16"/>
  <c r="Y1669" i="16"/>
  <c r="X1671" i="16"/>
  <c r="Y1670" i="16"/>
  <c r="X1672" i="16"/>
  <c r="Y1671" i="16"/>
  <c r="X1673" i="16"/>
  <c r="Y1672" i="16"/>
  <c r="X1674" i="16"/>
  <c r="Y1673" i="16"/>
  <c r="Y1674" i="16"/>
  <c r="X1675" i="16"/>
  <c r="X1676" i="16"/>
  <c r="Y1675" i="16"/>
  <c r="Y1676" i="16"/>
  <c r="X1677" i="16"/>
  <c r="X1678" i="16"/>
  <c r="Y1677" i="16"/>
  <c r="X1679" i="16"/>
  <c r="Y1678" i="16"/>
  <c r="X1680" i="16"/>
  <c r="Y1679" i="16"/>
  <c r="X1681" i="16"/>
  <c r="Y1680" i="16"/>
  <c r="Y1681" i="16"/>
  <c r="X1682" i="16"/>
  <c r="X1683" i="16"/>
  <c r="Y1682" i="16"/>
  <c r="X1684" i="16"/>
  <c r="Y1683" i="16"/>
  <c r="X1685" i="16"/>
  <c r="Y1684" i="16"/>
  <c r="X1686" i="16"/>
  <c r="Y1685" i="16"/>
  <c r="X1687" i="16"/>
  <c r="Y1686" i="16"/>
  <c r="X1688" i="16"/>
  <c r="Y1687" i="16"/>
  <c r="Y1688" i="16"/>
  <c r="X1689" i="16"/>
  <c r="X1690" i="16"/>
  <c r="Y1689" i="16"/>
  <c r="Y1690" i="16"/>
  <c r="X1691" i="16"/>
  <c r="X1692" i="16"/>
  <c r="Y1691" i="16"/>
  <c r="Y1692" i="16"/>
  <c r="X1693" i="16"/>
  <c r="X1694" i="16"/>
  <c r="Y1693" i="16"/>
  <c r="Y1694" i="16"/>
  <c r="X1695" i="16"/>
  <c r="Y1695" i="16"/>
  <c r="X1696" i="16"/>
  <c r="Y1696" i="16"/>
  <c r="X1697" i="16"/>
  <c r="X1698" i="16"/>
  <c r="Y1697" i="16"/>
  <c r="X1699" i="16"/>
  <c r="Y1698" i="16"/>
  <c r="X1700" i="16"/>
  <c r="Y1699" i="16"/>
  <c r="Y1700" i="16"/>
  <c r="X1701" i="16"/>
  <c r="Y1701" i="16"/>
  <c r="X1702" i="16"/>
  <c r="X1703" i="16"/>
  <c r="Y1702" i="16"/>
  <c r="Y1703" i="16"/>
  <c r="X1704" i="16"/>
  <c r="X1705" i="16"/>
  <c r="Y1704" i="16"/>
  <c r="Y1705" i="16"/>
  <c r="X1706" i="16"/>
  <c r="Y1706" i="16"/>
  <c r="X1707" i="16"/>
  <c r="X1708" i="16"/>
  <c r="Y1707" i="16"/>
  <c r="Y1708" i="16"/>
  <c r="X1709" i="16"/>
  <c r="X1710" i="16"/>
  <c r="Y1709" i="16"/>
  <c r="Y1710" i="16"/>
  <c r="X1711" i="16"/>
  <c r="Y1711" i="16"/>
  <c r="X1712" i="16"/>
  <c r="Y1712" i="16"/>
  <c r="X1713" i="16"/>
  <c r="Y1713" i="16"/>
  <c r="X1714" i="16"/>
  <c r="X1715" i="16"/>
  <c r="Y1714" i="16"/>
  <c r="X1716" i="16"/>
  <c r="Y1715" i="16"/>
  <c r="Y1716" i="16"/>
  <c r="X1717" i="16"/>
  <c r="X1718" i="16"/>
  <c r="Y1717" i="16"/>
  <c r="Y1718" i="16"/>
  <c r="X1719" i="16"/>
  <c r="Y1719" i="16"/>
  <c r="X1720" i="16"/>
  <c r="X1721" i="16"/>
  <c r="Y1720" i="16"/>
  <c r="Y1721" i="16"/>
  <c r="X1722" i="16"/>
  <c r="X1723" i="16"/>
  <c r="Y1722" i="16"/>
  <c r="X1724" i="16"/>
  <c r="Y1723" i="16"/>
  <c r="X1725" i="16"/>
  <c r="Y1724" i="16"/>
  <c r="X1726" i="16"/>
  <c r="Y1725" i="16"/>
  <c r="Y1726" i="16"/>
  <c r="X1727" i="16"/>
  <c r="X1728" i="16"/>
  <c r="Y1727" i="16"/>
  <c r="Y1728" i="16"/>
  <c r="X1729" i="16"/>
  <c r="Y1729" i="16"/>
  <c r="X1730" i="16"/>
  <c r="Y1730" i="16"/>
  <c r="X1731" i="16"/>
  <c r="X1732" i="16"/>
  <c r="Y1731" i="16"/>
  <c r="X1733" i="16"/>
  <c r="Y1732" i="16"/>
  <c r="X1734" i="16"/>
  <c r="Y1733" i="16"/>
  <c r="Y1734" i="16"/>
  <c r="X1735" i="16"/>
  <c r="Y1735" i="16"/>
  <c r="X1736" i="16"/>
  <c r="X1737" i="16"/>
  <c r="Y1736" i="16"/>
  <c r="X1738" i="16"/>
  <c r="Y1737" i="16"/>
  <c r="X1739" i="16"/>
  <c r="Y1738" i="16"/>
  <c r="Y1739" i="16"/>
  <c r="X1740" i="16"/>
  <c r="Y1740" i="16"/>
  <c r="X1741" i="16"/>
  <c r="Y1741" i="16"/>
  <c r="X1742" i="16"/>
  <c r="Y1742" i="16"/>
  <c r="X1743" i="16"/>
  <c r="X1744" i="16"/>
  <c r="Y1743" i="16"/>
  <c r="X1745" i="16"/>
  <c r="Y1744" i="16"/>
  <c r="X1746" i="16"/>
  <c r="Y1745" i="16"/>
  <c r="X1747" i="16"/>
  <c r="Y1746" i="16"/>
  <c r="Y1747" i="16"/>
  <c r="X1748" i="16"/>
  <c r="Y1748" i="16"/>
  <c r="X1749" i="16"/>
  <c r="Y1749" i="16"/>
  <c r="X1750" i="16"/>
  <c r="Y1750" i="16"/>
  <c r="X1751" i="16"/>
  <c r="X1752" i="16"/>
  <c r="Y1751" i="16"/>
  <c r="X1753" i="16"/>
  <c r="Y1752" i="16"/>
  <c r="Y1753" i="16"/>
  <c r="X1754" i="16"/>
  <c r="X1755" i="16"/>
  <c r="Y1754" i="16"/>
  <c r="X1756" i="16"/>
  <c r="Y1755" i="16"/>
  <c r="Y1756" i="16"/>
  <c r="X1757" i="16"/>
  <c r="X1758" i="16"/>
  <c r="Y1757" i="16"/>
  <c r="Y1758" i="16"/>
  <c r="X1759" i="16"/>
  <c r="Y1759" i="16"/>
  <c r="X1760" i="16"/>
  <c r="X1761" i="16"/>
  <c r="Y1760" i="16"/>
  <c r="X1762" i="16"/>
  <c r="Y1761" i="16"/>
  <c r="X1763" i="16"/>
  <c r="Y1762" i="16"/>
  <c r="X1764" i="16"/>
  <c r="Y1763" i="16"/>
  <c r="X1765" i="16"/>
  <c r="Y1764" i="16"/>
  <c r="Y1765" i="16"/>
  <c r="X1766" i="16"/>
  <c r="Y1766" i="16"/>
  <c r="X1767" i="16"/>
  <c r="Y1767" i="16"/>
  <c r="X1768" i="16"/>
  <c r="Y1768" i="16"/>
  <c r="X1769" i="16"/>
  <c r="X1770" i="16"/>
  <c r="Y1769" i="16"/>
  <c r="Y1770" i="16"/>
  <c r="X1771" i="16"/>
  <c r="X1772" i="16"/>
  <c r="Y1771" i="16"/>
  <c r="X1773" i="16"/>
  <c r="Y1772" i="16"/>
  <c r="Y1773" i="16"/>
  <c r="X1774" i="16"/>
  <c r="X1775" i="16"/>
  <c r="Y1774" i="16"/>
  <c r="Y1775" i="16"/>
  <c r="X1776" i="16"/>
  <c r="Y1776" i="16"/>
  <c r="X1777" i="16"/>
  <c r="Y1777" i="16"/>
  <c r="X1778" i="16"/>
  <c r="X1779" i="16"/>
  <c r="Y1778" i="16"/>
  <c r="Y1779" i="16"/>
  <c r="X1780" i="16"/>
  <c r="X1781" i="16"/>
  <c r="Y1780" i="16"/>
  <c r="Y1781" i="16"/>
  <c r="X1782" i="16"/>
  <c r="Y1782" i="16"/>
  <c r="X1783" i="16"/>
  <c r="X1784" i="16"/>
  <c r="Y1783" i="16"/>
  <c r="X1785" i="16"/>
  <c r="Y1784" i="16"/>
  <c r="Y1785" i="16"/>
  <c r="X1786" i="16"/>
  <c r="Y1786" i="16"/>
  <c r="X1787" i="16"/>
  <c r="Y1787" i="16"/>
  <c r="X1788" i="16"/>
  <c r="Y1788" i="16"/>
  <c r="X1789" i="16"/>
  <c r="X1790" i="16"/>
  <c r="Y1789" i="16"/>
  <c r="X1791" i="16"/>
  <c r="Y1790" i="16"/>
  <c r="Y1791" i="16"/>
  <c r="X1792" i="16"/>
  <c r="X1793" i="16"/>
  <c r="Y1792" i="16"/>
  <c r="X1794" i="16"/>
  <c r="Y1793" i="16"/>
  <c r="Y1794" i="16"/>
  <c r="X1795" i="16"/>
  <c r="Y1795" i="16"/>
  <c r="X1796" i="16"/>
  <c r="X1797" i="16"/>
  <c r="Y1796" i="16"/>
  <c r="Y1797" i="16"/>
  <c r="X1798" i="16"/>
  <c r="X1799" i="16"/>
  <c r="Y1798" i="16"/>
  <c r="Y1799" i="16"/>
  <c r="X1800" i="16"/>
  <c r="X1801" i="16"/>
  <c r="Y1800" i="16"/>
  <c r="X1802" i="16"/>
  <c r="Y1801" i="16"/>
  <c r="Y1802" i="16"/>
  <c r="X1803" i="16"/>
  <c r="Y1803" i="16"/>
  <c r="X1804" i="16"/>
  <c r="Y1804" i="16"/>
  <c r="X1805" i="16"/>
  <c r="Y1805" i="16"/>
  <c r="X1806" i="16"/>
  <c r="X1807" i="16"/>
  <c r="Y1806" i="16"/>
  <c r="Y1807" i="16"/>
  <c r="X1808" i="16"/>
  <c r="Y1808" i="16"/>
  <c r="X1809" i="16"/>
  <c r="Y1809" i="16"/>
  <c r="X1810" i="16"/>
  <c r="Y1810" i="16"/>
  <c r="X1811" i="16"/>
  <c r="X1812" i="16"/>
  <c r="Y1811" i="16"/>
  <c r="X1813" i="16"/>
  <c r="Y1812" i="16"/>
  <c r="Y1813" i="16"/>
  <c r="X1814" i="16"/>
  <c r="Y1814" i="16"/>
  <c r="X1815" i="16"/>
  <c r="X1816" i="16"/>
  <c r="Y1815" i="16"/>
  <c r="X1817" i="16"/>
  <c r="Y1816" i="16"/>
  <c r="X1818" i="16"/>
  <c r="Y1817" i="16"/>
  <c r="Y1818" i="16"/>
  <c r="X1819" i="16"/>
  <c r="Y1819" i="16"/>
  <c r="X1820" i="16"/>
  <c r="X1821" i="16"/>
  <c r="Y1820" i="16"/>
  <c r="X1822" i="16"/>
  <c r="Y1821" i="16"/>
  <c r="Y1822" i="16"/>
  <c r="X1823" i="16"/>
  <c r="X1824" i="16"/>
  <c r="Y1823" i="16"/>
  <c r="X1825" i="16"/>
  <c r="Y1824" i="16"/>
  <c r="X1826" i="16"/>
  <c r="Y1825" i="16"/>
  <c r="X1827" i="16"/>
  <c r="Y1826" i="16"/>
  <c r="X1828" i="16"/>
  <c r="Y1827" i="16"/>
  <c r="X1829" i="16"/>
  <c r="Y1828" i="16"/>
  <c r="X1830" i="16"/>
  <c r="Y1829" i="16"/>
  <c r="Y1830" i="16"/>
  <c r="X1831" i="16"/>
  <c r="Y1831" i="16"/>
  <c r="X1832" i="16"/>
  <c r="Y1832" i="16"/>
  <c r="X1833" i="16"/>
  <c r="Y1833" i="16"/>
  <c r="X1834" i="16"/>
  <c r="Y1834" i="16"/>
  <c r="X1835" i="16"/>
  <c r="Y1835" i="16"/>
  <c r="X1836" i="16"/>
  <c r="X1837" i="16"/>
  <c r="Y1836" i="16"/>
  <c r="Y1837" i="16"/>
  <c r="X1838" i="16"/>
  <c r="Y1838" i="16"/>
  <c r="X1839" i="16"/>
  <c r="Y1839" i="16"/>
  <c r="X1840" i="16"/>
  <c r="X1841" i="16"/>
  <c r="Y1840" i="16"/>
  <c r="X1842" i="16"/>
  <c r="Y1841" i="16"/>
  <c r="Y1842" i="16"/>
  <c r="X1843" i="16"/>
  <c r="Y1843" i="16"/>
  <c r="X1844" i="16"/>
  <c r="Y1844" i="16"/>
  <c r="X1845" i="16"/>
  <c r="Y1845" i="16"/>
  <c r="X1846" i="16"/>
  <c r="Y1846" i="16"/>
  <c r="X1847" i="16"/>
  <c r="X1848" i="16"/>
  <c r="Y1847" i="16"/>
  <c r="Y1848" i="16"/>
  <c r="X1849" i="16"/>
  <c r="Y1849" i="16"/>
  <c r="X1850" i="16"/>
  <c r="X1851" i="16"/>
  <c r="Y1850" i="16"/>
  <c r="X1852" i="16"/>
  <c r="Y1851" i="16"/>
  <c r="X1853" i="16"/>
  <c r="Y1852" i="16"/>
  <c r="X1854" i="16"/>
  <c r="Y1853" i="16"/>
  <c r="Y1854" i="16"/>
  <c r="X1855" i="16"/>
  <c r="Y1855" i="16"/>
  <c r="X1856" i="16"/>
  <c r="X1857" i="16"/>
  <c r="Y1856" i="16"/>
  <c r="X1858" i="16"/>
  <c r="Y1857" i="16"/>
  <c r="X1859" i="16"/>
  <c r="Y1858" i="16"/>
  <c r="Y1859" i="16"/>
  <c r="X1860" i="16"/>
  <c r="Y1860" i="16"/>
  <c r="X1861" i="16"/>
  <c r="Y1861" i="16"/>
  <c r="X1862" i="16"/>
  <c r="Y1862" i="16"/>
  <c r="X1863" i="16"/>
  <c r="X1864" i="16"/>
  <c r="Y1863" i="16"/>
  <c r="Y1864" i="16"/>
  <c r="X1865" i="16"/>
  <c r="Y1865" i="16"/>
  <c r="X1866" i="16"/>
  <c r="Y1866" i="16"/>
  <c r="X1867" i="16"/>
  <c r="Y1867" i="16"/>
  <c r="X1868" i="16"/>
  <c r="Y1868" i="16"/>
  <c r="X1869" i="16"/>
  <c r="Y1869" i="16"/>
  <c r="X1870" i="16"/>
  <c r="Y1870" i="16"/>
  <c r="X1871" i="16"/>
  <c r="Y1871" i="16"/>
  <c r="X1872" i="16"/>
  <c r="Y1872" i="16"/>
  <c r="X1873" i="16"/>
  <c r="X1874" i="16"/>
  <c r="Y1873" i="16"/>
  <c r="X1875" i="16"/>
  <c r="Y1874" i="16"/>
  <c r="Y1875" i="16"/>
  <c r="X1876" i="16"/>
  <c r="X1877" i="16"/>
  <c r="Y1876" i="16"/>
  <c r="X1878" i="16"/>
  <c r="Y1877" i="16"/>
  <c r="Y1878" i="16"/>
  <c r="X1879" i="16"/>
  <c r="X1880" i="16"/>
  <c r="Y1879" i="16"/>
  <c r="X1881" i="16"/>
  <c r="Y1880" i="16"/>
  <c r="X1882" i="16"/>
  <c r="Y1881" i="16"/>
  <c r="X1883" i="16"/>
  <c r="Y1882" i="16"/>
  <c r="X1884" i="16"/>
  <c r="Y1883" i="16"/>
  <c r="Y1884" i="16"/>
  <c r="X1885" i="16"/>
  <c r="Y1885" i="16"/>
  <c r="X1886" i="16"/>
  <c r="X1887" i="16"/>
  <c r="Y1886" i="16"/>
  <c r="X1888" i="16"/>
  <c r="Y1887" i="16"/>
  <c r="X1889" i="16"/>
  <c r="Y1888" i="16"/>
  <c r="Y1889" i="16"/>
  <c r="X1890" i="16"/>
  <c r="X1891" i="16"/>
  <c r="Y1890" i="16"/>
  <c r="Y1891" i="16"/>
  <c r="X1892" i="16"/>
  <c r="Y1892" i="16"/>
  <c r="X1893" i="16"/>
  <c r="Y1893" i="16"/>
  <c r="X1894" i="16"/>
  <c r="X1895" i="16"/>
  <c r="Y1894" i="16"/>
  <c r="Y1895" i="16"/>
  <c r="X1896" i="16"/>
  <c r="Y1896" i="16"/>
  <c r="X1897" i="16"/>
  <c r="X1898" i="16"/>
  <c r="Y1897" i="16"/>
  <c r="Y1898" i="16"/>
  <c r="X1899" i="16"/>
  <c r="X1900" i="16"/>
  <c r="Y1899" i="16"/>
  <c r="X1901" i="16"/>
  <c r="Y1900" i="16"/>
  <c r="Y1901" i="16"/>
  <c r="X1902" i="16"/>
  <c r="X1903" i="16"/>
  <c r="Y1902" i="16"/>
  <c r="Y1903" i="16"/>
  <c r="X1904" i="16"/>
  <c r="Y1904" i="16"/>
  <c r="X1905" i="16"/>
  <c r="Y1905" i="16"/>
  <c r="X1906" i="16"/>
  <c r="Y1906" i="16"/>
  <c r="X1907" i="16"/>
  <c r="X1908" i="16"/>
  <c r="Y1907" i="16"/>
  <c r="X1909" i="16"/>
  <c r="Y1908" i="16"/>
  <c r="Y1909" i="16"/>
  <c r="X1910" i="16"/>
  <c r="X1911" i="16"/>
  <c r="Y1910" i="16"/>
  <c r="X1912" i="16"/>
  <c r="Y1911" i="16"/>
  <c r="X1913" i="16"/>
  <c r="Y1912" i="16"/>
  <c r="X1914" i="16"/>
  <c r="Y1913" i="16"/>
  <c r="X1915" i="16"/>
  <c r="Y1914" i="16"/>
  <c r="X1916" i="16"/>
  <c r="Y1915" i="16"/>
  <c r="Y1916" i="16"/>
  <c r="X1917" i="16"/>
  <c r="X1918" i="16"/>
  <c r="Y1917" i="16"/>
  <c r="X1919" i="16"/>
  <c r="Y1918" i="16"/>
  <c r="Y1919" i="16"/>
  <c r="X1920" i="16"/>
  <c r="X1921" i="16"/>
  <c r="Y1920" i="16"/>
  <c r="X1922" i="16"/>
  <c r="Y1921" i="16"/>
  <c r="Y1922" i="16"/>
  <c r="X1923" i="16"/>
  <c r="Y1923" i="16"/>
  <c r="X1924" i="16"/>
  <c r="X1925" i="16"/>
  <c r="Y1924" i="16"/>
  <c r="X1926" i="16"/>
  <c r="Y1925" i="16"/>
  <c r="X1927" i="16"/>
  <c r="Y1926" i="16"/>
  <c r="Y1927" i="16"/>
  <c r="X1928" i="16"/>
  <c r="Y1928" i="16"/>
  <c r="X1929" i="16"/>
  <c r="X1930" i="16"/>
  <c r="Y1929" i="16"/>
  <c r="Y1930" i="16"/>
  <c r="X1931" i="16"/>
  <c r="Y1931" i="16"/>
  <c r="X1932" i="16"/>
  <c r="X1933" i="16"/>
  <c r="Y1932" i="16"/>
  <c r="Y1933" i="16"/>
  <c r="X1934" i="16"/>
  <c r="Y1934" i="16"/>
  <c r="X1935" i="16"/>
  <c r="Y1935" i="16"/>
  <c r="X1936" i="16"/>
  <c r="Y1936" i="16"/>
  <c r="X1937" i="16"/>
  <c r="X1938" i="16"/>
  <c r="Y1937" i="16"/>
  <c r="X1939" i="16"/>
  <c r="Y1938" i="16"/>
  <c r="X1940" i="16"/>
  <c r="Y1939" i="16"/>
  <c r="X1941" i="16"/>
  <c r="Y1940" i="16"/>
  <c r="X1942" i="16"/>
  <c r="Y1941" i="16"/>
  <c r="X1943" i="16"/>
  <c r="Y1942" i="16"/>
  <c r="Y1943" i="16"/>
  <c r="X1944" i="16"/>
  <c r="Y1944" i="16"/>
  <c r="X1945" i="16"/>
  <c r="Y1945" i="16"/>
  <c r="X1946" i="16"/>
  <c r="X1947" i="16"/>
  <c r="Y1946" i="16"/>
  <c r="Y1947" i="16"/>
  <c r="X1948" i="16"/>
  <c r="Y1948" i="16"/>
  <c r="X1949" i="16"/>
  <c r="X1950" i="16"/>
  <c r="Y1949" i="16"/>
  <c r="Y1950" i="16"/>
  <c r="X1951" i="16"/>
  <c r="X1952" i="16"/>
  <c r="Y1951" i="16"/>
  <c r="Y1952" i="16"/>
  <c r="X1953" i="16"/>
  <c r="X1954" i="16"/>
  <c r="Y1953" i="16"/>
  <c r="Y1954" i="16"/>
  <c r="X1955" i="16"/>
  <c r="Y1955" i="16"/>
  <c r="X1956" i="16"/>
  <c r="Y1956" i="16"/>
  <c r="X1957" i="16"/>
  <c r="Y1957" i="16"/>
  <c r="X1958" i="16"/>
  <c r="X1959" i="16"/>
  <c r="Y1958" i="16"/>
  <c r="Y1959" i="16"/>
  <c r="X1960" i="16"/>
  <c r="X1961" i="16"/>
  <c r="Y1960" i="16"/>
  <c r="X1962" i="16"/>
  <c r="Y1961" i="16"/>
  <c r="Y1962" i="16"/>
  <c r="X1963" i="16"/>
  <c r="Y1963" i="16"/>
  <c r="X1964" i="16"/>
  <c r="Y1964" i="16"/>
  <c r="X1965" i="16"/>
  <c r="Y1965" i="16"/>
  <c r="X1966" i="16"/>
  <c r="X1967" i="16"/>
  <c r="Y1966" i="16"/>
  <c r="X1968" i="16"/>
  <c r="Y1967" i="16"/>
  <c r="Y1968" i="16"/>
  <c r="X1969" i="16"/>
  <c r="Y1969" i="16"/>
  <c r="X1970" i="16"/>
  <c r="X1971" i="16"/>
  <c r="Y1970" i="16"/>
  <c r="Y1971" i="16"/>
  <c r="X1972" i="16"/>
  <c r="Y1972" i="16"/>
  <c r="X1973" i="16"/>
  <c r="X1974" i="16"/>
  <c r="Y1973" i="16"/>
  <c r="Y1974" i="16"/>
  <c r="X1975" i="16"/>
  <c r="X1976" i="16"/>
  <c r="Y1975" i="16"/>
  <c r="Y1976" i="16"/>
  <c r="X1977" i="16"/>
  <c r="Y1977" i="16"/>
  <c r="X1978" i="16"/>
  <c r="Y1978" i="16"/>
  <c r="X1979" i="16"/>
  <c r="X1980" i="16"/>
  <c r="Y1979" i="16"/>
  <c r="Y1980" i="16"/>
  <c r="X1981" i="16"/>
  <c r="X1982" i="16"/>
  <c r="Y1981" i="16"/>
  <c r="X1983" i="16"/>
  <c r="Y1982" i="16"/>
  <c r="Y1983" i="16"/>
  <c r="X1984" i="16"/>
  <c r="Y1984" i="16"/>
  <c r="X1985" i="16"/>
  <c r="X1986" i="16"/>
  <c r="Y1985" i="16"/>
  <c r="Y1986" i="16"/>
  <c r="X1987" i="16"/>
  <c r="Y1987" i="16"/>
  <c r="X1988" i="16"/>
  <c r="X1989" i="16"/>
  <c r="Y1988" i="16"/>
  <c r="X1990" i="16"/>
  <c r="Y1989" i="16"/>
  <c r="Y1990" i="16"/>
  <c r="X1991" i="16"/>
  <c r="X1992" i="16"/>
  <c r="Y1991" i="16"/>
  <c r="X1993" i="16"/>
  <c r="Y1992" i="16"/>
  <c r="X1994" i="16"/>
  <c r="Y1993" i="16"/>
  <c r="Y1994" i="16"/>
  <c r="X1995" i="16"/>
  <c r="Y1995" i="16"/>
  <c r="X1996" i="16"/>
  <c r="X1997" i="16"/>
  <c r="Y1996" i="16"/>
  <c r="X1998" i="16"/>
  <c r="Y1997" i="16"/>
  <c r="Y1998" i="16"/>
  <c r="X1999" i="16"/>
  <c r="Y1999" i="16"/>
  <c r="X2000" i="16"/>
  <c r="Y2000" i="16"/>
  <c r="X2001" i="16"/>
  <c r="Y2001" i="16"/>
  <c r="X2002" i="16"/>
  <c r="Y2002" i="16"/>
  <c r="X2003" i="16"/>
  <c r="Y2003" i="16"/>
  <c r="X2004" i="16"/>
  <c r="Y2004" i="16"/>
  <c r="X2005" i="16"/>
  <c r="X2006" i="16"/>
  <c r="Y2005" i="16"/>
  <c r="Y2006" i="16"/>
  <c r="X2007" i="16"/>
  <c r="X2008" i="16"/>
  <c r="Y2007" i="16"/>
  <c r="Y2008" i="16"/>
  <c r="X2009" i="16"/>
  <c r="X2010" i="16"/>
  <c r="Y2009" i="16"/>
  <c r="X2011" i="16"/>
  <c r="Y2010" i="16"/>
  <c r="X2012" i="16"/>
  <c r="Y2011" i="16"/>
  <c r="X2013" i="16"/>
  <c r="Y2012" i="16"/>
  <c r="X2014" i="16"/>
  <c r="Y2013" i="16"/>
  <c r="Y2014" i="16"/>
  <c r="X2015" i="16"/>
  <c r="Y2015" i="16"/>
  <c r="X2016" i="16"/>
  <c r="Y2016" i="16"/>
  <c r="X2017" i="16"/>
  <c r="X2018" i="16"/>
  <c r="Y2017" i="16"/>
  <c r="Y2018" i="16"/>
  <c r="X2019" i="16"/>
  <c r="Y2019" i="16"/>
  <c r="X2020" i="16"/>
  <c r="Y2020" i="16"/>
  <c r="X2021" i="16"/>
  <c r="Y2021" i="16"/>
  <c r="X2022" i="16"/>
  <c r="Y2022" i="16"/>
  <c r="X2023" i="16"/>
  <c r="Y2023" i="16"/>
  <c r="X2024" i="16"/>
  <c r="X2025" i="16"/>
  <c r="Y2024" i="16"/>
  <c r="Y2025" i="16"/>
  <c r="X2026" i="16"/>
  <c r="X2027" i="16"/>
  <c r="Y2026" i="16"/>
  <c r="Y2027" i="16"/>
  <c r="X2028" i="16"/>
  <c r="Y2028" i="16"/>
  <c r="X2029" i="16"/>
  <c r="X2030" i="16"/>
  <c r="Y2029" i="16"/>
  <c r="X2031" i="16"/>
  <c r="Y2030" i="16"/>
  <c r="X2032" i="16"/>
  <c r="Y2031" i="16"/>
  <c r="X2033" i="16"/>
  <c r="Y2032" i="16"/>
  <c r="X2034" i="16"/>
  <c r="Y2033" i="16"/>
  <c r="X2035" i="16"/>
  <c r="Y2034" i="16"/>
  <c r="X2036" i="16"/>
  <c r="Y2035" i="16"/>
  <c r="X2037" i="16"/>
  <c r="Y2036" i="16"/>
  <c r="X2038" i="16"/>
  <c r="Y2037" i="16"/>
  <c r="Y2038" i="16"/>
  <c r="X2039" i="16"/>
  <c r="X2040" i="16"/>
  <c r="Y2039" i="16"/>
  <c r="X2041" i="16"/>
  <c r="Y2040" i="16"/>
  <c r="X2042" i="16"/>
  <c r="Y2041" i="16"/>
  <c r="X2043" i="16"/>
  <c r="Y2042" i="16"/>
  <c r="X2044" i="16"/>
  <c r="Y2043" i="16"/>
  <c r="X2045" i="16"/>
  <c r="Y2044" i="16"/>
  <c r="Y2045" i="16"/>
  <c r="X2046" i="16"/>
  <c r="X2047" i="16"/>
  <c r="Y2046" i="16"/>
  <c r="Y2047" i="16"/>
  <c r="X2048" i="16"/>
  <c r="X2049" i="16"/>
  <c r="Y2048" i="16"/>
  <c r="Y2049" i="16"/>
  <c r="X2050" i="16"/>
  <c r="X2051" i="16"/>
  <c r="Y2050" i="16"/>
  <c r="X2052" i="16"/>
  <c r="Y2051" i="16"/>
  <c r="Y2052" i="16"/>
  <c r="X2053" i="16"/>
  <c r="X2054" i="16"/>
  <c r="Y2053" i="16"/>
  <c r="X2055" i="16"/>
  <c r="Y2054" i="16"/>
  <c r="Y2055" i="16"/>
  <c r="X2056" i="16"/>
  <c r="Y2056" i="16"/>
  <c r="X2057" i="16"/>
  <c r="Y2057" i="16"/>
  <c r="X2058" i="16"/>
  <c r="X2059" i="16"/>
  <c r="Y2058" i="16"/>
  <c r="Y2059" i="16"/>
  <c r="X2060" i="16"/>
  <c r="Y2060" i="16"/>
  <c r="X2061" i="16"/>
  <c r="Y2061" i="16"/>
  <c r="X2062" i="16"/>
  <c r="Y2062" i="16"/>
  <c r="X2063" i="16"/>
  <c r="X2064" i="16"/>
  <c r="Y2063" i="16"/>
  <c r="Y2064" i="16"/>
  <c r="X2065" i="16"/>
  <c r="Y2065" i="16"/>
  <c r="X2066" i="16"/>
  <c r="X2067" i="16"/>
  <c r="Y2066" i="16"/>
  <c r="Y2067" i="16"/>
  <c r="X2068" i="16"/>
  <c r="X2069" i="16"/>
  <c r="Y2068" i="16"/>
  <c r="X2070" i="16"/>
  <c r="Y2069" i="16"/>
  <c r="Y2070" i="16"/>
  <c r="X2071" i="16"/>
  <c r="X2072" i="16"/>
  <c r="Y2071" i="16"/>
  <c r="X2073" i="16"/>
  <c r="Y2072" i="16"/>
  <c r="Y2073" i="16"/>
  <c r="X2074" i="16"/>
  <c r="X2075" i="16"/>
  <c r="Y2074" i="16"/>
  <c r="X2076" i="16"/>
  <c r="Y2075" i="16"/>
  <c r="X2077" i="16"/>
  <c r="Y2076" i="16"/>
  <c r="X2078" i="16"/>
  <c r="Y2077" i="16"/>
  <c r="Y2078" i="16"/>
  <c r="X2079" i="16"/>
  <c r="X2080" i="16"/>
  <c r="Y2079" i="16"/>
  <c r="X2081" i="16"/>
  <c r="Y2080" i="16"/>
  <c r="X2082" i="16"/>
  <c r="Y2081" i="16"/>
  <c r="Y2082" i="16"/>
  <c r="X2083" i="16"/>
  <c r="X2084" i="16"/>
  <c r="Y2083" i="16"/>
  <c r="Y2084" i="16"/>
  <c r="X2085" i="16"/>
  <c r="X2086" i="16"/>
  <c r="Y2085" i="16"/>
  <c r="X2087" i="16"/>
  <c r="Y2086" i="16"/>
  <c r="Y2087" i="16"/>
  <c r="X2088" i="16"/>
  <c r="X2089" i="16"/>
  <c r="Y2088" i="16"/>
  <c r="X2090" i="16"/>
  <c r="Y2089" i="16"/>
  <c r="X2091" i="16"/>
  <c r="Y2090" i="16"/>
  <c r="Y2091" i="16"/>
  <c r="X2092" i="16"/>
  <c r="X2093" i="16"/>
  <c r="Y2092" i="16"/>
  <c r="Y2093" i="16"/>
  <c r="X2094" i="16"/>
  <c r="X2095" i="16"/>
  <c r="Y2094" i="16"/>
  <c r="Y2095" i="16"/>
  <c r="X2096" i="16"/>
  <c r="Y2096" i="16"/>
  <c r="X2097" i="16"/>
  <c r="X2098" i="16"/>
  <c r="Y2097" i="16"/>
  <c r="Y2098" i="16"/>
  <c r="X2099" i="16"/>
  <c r="Y2099" i="16"/>
  <c r="X2100" i="16"/>
  <c r="Y2100" i="16"/>
  <c r="X2101" i="16"/>
  <c r="Y2101" i="16"/>
  <c r="X2102" i="16"/>
  <c r="X2103" i="16"/>
  <c r="Y2102" i="16"/>
  <c r="X2104" i="16"/>
  <c r="Y2103" i="16"/>
  <c r="X2105" i="16"/>
  <c r="Y2104" i="16"/>
  <c r="X2106" i="16"/>
  <c r="Y2105" i="16"/>
  <c r="X2107" i="16"/>
  <c r="Y2106" i="16"/>
  <c r="X2108" i="16"/>
  <c r="Y2107" i="16"/>
  <c r="Y2108" i="16"/>
  <c r="X2109" i="16"/>
  <c r="X2110" i="16"/>
  <c r="Y2109" i="16"/>
  <c r="X2111" i="16"/>
  <c r="Y2110" i="16"/>
  <c r="Y2111" i="16"/>
  <c r="X2112" i="16"/>
  <c r="X2113" i="16"/>
  <c r="Y2112" i="16"/>
  <c r="X2114" i="16"/>
  <c r="Y2113" i="16"/>
  <c r="X2115" i="16"/>
  <c r="Y2114" i="16"/>
  <c r="X2116" i="16"/>
  <c r="Y2115" i="16"/>
  <c r="Y2116" i="16"/>
  <c r="X2117" i="16"/>
  <c r="Y2117" i="16"/>
  <c r="X2118" i="16"/>
  <c r="X2119" i="16"/>
  <c r="Y2118" i="16"/>
  <c r="X2120" i="16"/>
  <c r="Y2119" i="16"/>
  <c r="Y2120" i="16"/>
  <c r="X2121" i="16"/>
  <c r="X2122" i="16"/>
  <c r="Y2121" i="16"/>
  <c r="X2123" i="16"/>
  <c r="Y2122" i="16"/>
  <c r="Y2123" i="16"/>
  <c r="X2124" i="16"/>
  <c r="X2125" i="16"/>
  <c r="Y2124" i="16"/>
  <c r="Y2125" i="16"/>
  <c r="X2126" i="16"/>
  <c r="X2127" i="16"/>
  <c r="Y2126" i="16"/>
  <c r="X2128" i="16"/>
  <c r="Y2127" i="16"/>
  <c r="Y2128" i="16"/>
  <c r="X2129" i="16"/>
  <c r="X2130" i="16"/>
  <c r="Y2129" i="16"/>
  <c r="X2131" i="16"/>
  <c r="Y2130" i="16"/>
  <c r="X2132" i="16"/>
  <c r="Y2131" i="16"/>
  <c r="Y2132" i="16"/>
  <c r="X2133" i="16"/>
  <c r="X2134" i="16"/>
  <c r="Y2133" i="16"/>
  <c r="X2135" i="16"/>
  <c r="Y2134" i="16"/>
  <c r="X2136" i="16"/>
  <c r="Y2135" i="16"/>
  <c r="X2137" i="16"/>
  <c r="Y2136" i="16"/>
  <c r="X2138" i="16"/>
  <c r="Y2137" i="16"/>
  <c r="Y2138" i="16"/>
  <c r="X2139" i="16"/>
  <c r="Y2139" i="16"/>
  <c r="X2140" i="16"/>
  <c r="Y2140" i="16"/>
  <c r="X2141" i="16"/>
  <c r="X2142" i="16"/>
  <c r="Y2141" i="16"/>
  <c r="Y2142" i="16"/>
  <c r="X2143" i="16"/>
  <c r="X2144" i="16"/>
  <c r="Y2143" i="16"/>
  <c r="X2145" i="16"/>
  <c r="Y2144" i="16"/>
  <c r="X2146" i="16"/>
  <c r="Y2145" i="16"/>
  <c r="Y2146" i="16"/>
  <c r="X2147" i="16"/>
  <c r="X2148" i="16"/>
  <c r="Y2147" i="16"/>
  <c r="Y2148" i="16"/>
  <c r="X2149" i="16"/>
  <c r="Y2149" i="16"/>
  <c r="X2150" i="16"/>
  <c r="Y2150" i="16"/>
  <c r="X2151" i="16"/>
  <c r="Y2151" i="16"/>
  <c r="X2152" i="16"/>
  <c r="Y2152" i="16"/>
  <c r="X2153" i="16"/>
  <c r="X2154" i="16"/>
  <c r="Y2153" i="16"/>
  <c r="X2155" i="16"/>
  <c r="Y2154" i="16"/>
  <c r="Y2155" i="16"/>
  <c r="X2156" i="16"/>
  <c r="X2157" i="16"/>
  <c r="Y2156" i="16"/>
  <c r="Y2157" i="16"/>
  <c r="X2158" i="16"/>
  <c r="Y2158" i="16"/>
  <c r="X2159" i="16"/>
  <c r="Y2159" i="16"/>
  <c r="X2160" i="16"/>
  <c r="Y2160" i="16"/>
  <c r="X2161" i="16"/>
  <c r="X2162" i="16"/>
  <c r="Y2161" i="16"/>
  <c r="Y2162" i="16"/>
  <c r="X2163" i="16"/>
  <c r="Y2163" i="16"/>
  <c r="X2164" i="16"/>
  <c r="X2165" i="16"/>
  <c r="Y2164" i="16"/>
  <c r="X2166" i="16"/>
  <c r="Y2165" i="16"/>
  <c r="X2167" i="16"/>
  <c r="Y2166" i="16"/>
  <c r="Y2167" i="16"/>
  <c r="X2168" i="16"/>
  <c r="Y2168" i="16"/>
  <c r="X2169" i="16"/>
  <c r="X2170" i="16"/>
  <c r="Y2169" i="16"/>
  <c r="Y2170" i="16"/>
  <c r="X2171" i="16"/>
  <c r="X2172" i="16"/>
  <c r="Y2171" i="16"/>
  <c r="Y2172" i="16"/>
  <c r="X2173" i="16"/>
  <c r="X2174" i="16"/>
  <c r="Y2173" i="16"/>
  <c r="Y2174" i="16"/>
  <c r="X2175" i="16"/>
  <c r="X2176" i="16"/>
  <c r="Y2175" i="16"/>
  <c r="X2177" i="16"/>
  <c r="Y2176" i="16"/>
  <c r="Y2177" i="16"/>
  <c r="X2178" i="16"/>
  <c r="X2179" i="16"/>
  <c r="Y2178" i="16"/>
  <c r="Y2179" i="16"/>
  <c r="X2180" i="16"/>
  <c r="Y2180" i="16"/>
  <c r="X2181" i="16"/>
  <c r="Y2181" i="16"/>
  <c r="X2182" i="16"/>
  <c r="X2183" i="16"/>
  <c r="Y2182" i="16"/>
  <c r="X2184" i="16"/>
  <c r="Y2183" i="16"/>
  <c r="Y2184" i="16"/>
  <c r="X2185" i="16"/>
  <c r="X2186" i="16"/>
  <c r="Y2185" i="16"/>
  <c r="Y2186" i="16"/>
  <c r="X2187" i="16"/>
  <c r="Y2187" i="16"/>
  <c r="X2188" i="16"/>
  <c r="Y2188" i="16"/>
  <c r="X2189" i="16"/>
  <c r="Y2189" i="16"/>
  <c r="X2190" i="16"/>
  <c r="X2191" i="16"/>
  <c r="Y2190" i="16"/>
  <c r="Y2191" i="16"/>
  <c r="X2192" i="16"/>
  <c r="X2193" i="16"/>
  <c r="Y2192" i="16"/>
  <c r="Y2193" i="16"/>
  <c r="X2194" i="16"/>
  <c r="X2195" i="16"/>
  <c r="Y2194" i="16"/>
  <c r="Y2195" i="16"/>
  <c r="X2196" i="16"/>
  <c r="Y2196" i="16"/>
  <c r="X2197" i="16"/>
  <c r="Y2197" i="16"/>
  <c r="X2198" i="16"/>
  <c r="X2199" i="16"/>
  <c r="Y2198" i="16"/>
  <c r="Y2199" i="16"/>
  <c r="X2200" i="16"/>
  <c r="Y2200" i="16"/>
  <c r="X2201" i="16"/>
  <c r="Y2201" i="16"/>
  <c r="X2202" i="16"/>
  <c r="X2203" i="16"/>
  <c r="Y2202" i="16"/>
  <c r="X2204" i="16"/>
  <c r="Y2203" i="16"/>
  <c r="X2205" i="16"/>
  <c r="Y2204" i="16"/>
  <c r="X2206" i="16"/>
  <c r="Y2205" i="16"/>
  <c r="Y2206" i="16"/>
  <c r="X2207" i="16"/>
  <c r="Y2207" i="16"/>
  <c r="X2208" i="16"/>
  <c r="Y2208" i="16"/>
  <c r="X2209" i="16"/>
  <c r="X2210" i="16"/>
  <c r="Y2209" i="16"/>
  <c r="Y2210" i="16"/>
  <c r="X2211" i="16"/>
  <c r="Y2211" i="16"/>
  <c r="X2212" i="16"/>
  <c r="Y2212" i="16"/>
  <c r="X2213" i="16"/>
  <c r="Y2213" i="16"/>
  <c r="X2214" i="16"/>
  <c r="Y2214" i="16"/>
  <c r="X2215" i="16"/>
  <c r="X2216" i="16"/>
  <c r="Y2215" i="16"/>
  <c r="Y2216" i="16"/>
  <c r="X2217" i="16"/>
  <c r="X2218" i="16"/>
  <c r="Y2217" i="16"/>
  <c r="Y2218" i="16"/>
  <c r="X2219" i="16"/>
  <c r="Y2219" i="16"/>
  <c r="X2220" i="16"/>
  <c r="X2221" i="16"/>
  <c r="Y2220" i="16"/>
  <c r="Y2221" i="16"/>
  <c r="X2222" i="16"/>
  <c r="X2223" i="16"/>
  <c r="Y2222" i="16"/>
  <c r="X2224" i="16"/>
  <c r="Y2223" i="16"/>
  <c r="Y2224" i="16"/>
  <c r="X2225" i="16"/>
  <c r="X2226" i="16"/>
  <c r="Y2225" i="16"/>
  <c r="Y2226" i="16"/>
  <c r="X2227" i="16"/>
  <c r="X2228" i="16"/>
  <c r="Y2227" i="16"/>
  <c r="X2229" i="16"/>
  <c r="Y2228" i="16"/>
  <c r="X2230" i="16"/>
  <c r="Y2229" i="16"/>
  <c r="Y2230" i="16"/>
  <c r="X2231" i="16"/>
  <c r="Y2231" i="16"/>
  <c r="X2232" i="16"/>
  <c r="X2233" i="16"/>
  <c r="Y2232" i="16"/>
  <c r="X2234" i="16"/>
  <c r="Y2233" i="16"/>
  <c r="X2235" i="16"/>
  <c r="Y2234" i="16"/>
  <c r="Y2235" i="16"/>
  <c r="X2236" i="16"/>
  <c r="X2237" i="16"/>
  <c r="Y2236" i="16"/>
  <c r="Y2237" i="16"/>
  <c r="X2238" i="16"/>
  <c r="Y2238" i="16"/>
  <c r="X2239" i="16"/>
  <c r="Y2239" i="16"/>
  <c r="X2240" i="16"/>
  <c r="Y2240" i="16"/>
  <c r="X2241" i="16"/>
  <c r="Y2241" i="16"/>
  <c r="X2242" i="16"/>
  <c r="Y2242" i="16"/>
  <c r="X2243" i="16"/>
  <c r="X2244" i="16"/>
  <c r="Y2243" i="16"/>
  <c r="Y2244" i="16"/>
  <c r="X2245" i="16"/>
  <c r="Y2245" i="16"/>
  <c r="X2246" i="16"/>
  <c r="X2247" i="16"/>
  <c r="Y2246" i="16"/>
  <c r="Y2247" i="16"/>
  <c r="X2248" i="16"/>
  <c r="Y2248" i="16"/>
  <c r="X2249" i="16"/>
  <c r="X2250" i="16"/>
  <c r="Y2249" i="16"/>
  <c r="Y2250" i="16"/>
  <c r="X2251" i="16"/>
  <c r="X2252" i="16"/>
  <c r="Y2251" i="16"/>
  <c r="Y2252" i="16"/>
  <c r="X2253" i="16"/>
  <c r="X2254" i="16"/>
  <c r="Y2253" i="16"/>
  <c r="X2255" i="16"/>
  <c r="Y2254" i="16"/>
  <c r="Y2255" i="16"/>
  <c r="X2256" i="16"/>
  <c r="Y2256" i="16"/>
  <c r="X2257" i="16"/>
  <c r="Y2257" i="16"/>
  <c r="X2258" i="16"/>
  <c r="Y2258" i="16"/>
  <c r="X2259" i="16"/>
  <c r="X2260" i="16"/>
  <c r="Y2259" i="16"/>
  <c r="X2261" i="16"/>
  <c r="Y2260" i="16"/>
  <c r="Y2261" i="16"/>
  <c r="X2262" i="16"/>
  <c r="X2263" i="16"/>
  <c r="Y2262" i="16"/>
  <c r="X2264" i="16"/>
  <c r="Y2263" i="16"/>
  <c r="X2265" i="16"/>
  <c r="Y2264" i="16"/>
  <c r="Y2265" i="16"/>
  <c r="X2266" i="16"/>
  <c r="Y2266" i="16"/>
  <c r="X2267" i="16"/>
  <c r="X2268" i="16"/>
  <c r="Y2267" i="16"/>
  <c r="X2269" i="16"/>
  <c r="Y2268" i="16"/>
  <c r="X2270" i="16"/>
  <c r="Y2269" i="16"/>
  <c r="Y2270" i="16"/>
  <c r="X2271" i="16"/>
  <c r="X2272" i="16"/>
  <c r="Y2271" i="16"/>
  <c r="X2273" i="16"/>
  <c r="Y2272" i="16"/>
  <c r="X2274" i="16"/>
  <c r="Y2273" i="16"/>
  <c r="Y2274" i="16"/>
  <c r="X2275" i="16"/>
  <c r="Y2275" i="16"/>
  <c r="X2276" i="16"/>
  <c r="X2277" i="16"/>
  <c r="Y2276" i="16"/>
  <c r="Y2277" i="16"/>
  <c r="X2278" i="16"/>
  <c r="X2279" i="16"/>
  <c r="Y2278" i="16"/>
  <c r="Y2279" i="16"/>
  <c r="X2280" i="16"/>
  <c r="X2281" i="16"/>
  <c r="Y2280" i="16"/>
  <c r="Y2281" i="16"/>
  <c r="X2282" i="16"/>
  <c r="Y2282" i="16"/>
  <c r="X2283" i="16"/>
  <c r="X2284" i="16"/>
  <c r="Y2283" i="16"/>
  <c r="Y2284" i="16"/>
  <c r="X2285" i="16"/>
  <c r="X2286" i="16"/>
  <c r="Y2285" i="16"/>
  <c r="X2287" i="16"/>
  <c r="Y2286" i="16"/>
  <c r="Y2287" i="16"/>
  <c r="X2288" i="16"/>
  <c r="X2289" i="16"/>
  <c r="Y2288" i="16"/>
  <c r="X2290" i="16"/>
  <c r="Y2289" i="16"/>
  <c r="Y2290" i="16"/>
  <c r="X2291" i="16"/>
  <c r="X2292" i="16"/>
  <c r="Y2291" i="16"/>
  <c r="Y2292" i="16"/>
  <c r="X2293" i="16"/>
  <c r="X2294" i="16"/>
  <c r="Y2293" i="16"/>
  <c r="X2295" i="16"/>
  <c r="Y2294" i="16"/>
  <c r="X2296" i="16"/>
  <c r="Y2295" i="16"/>
  <c r="X2297" i="16"/>
  <c r="Y2296" i="16"/>
  <c r="X2298" i="16"/>
  <c r="Y2297" i="16"/>
  <c r="Y2298" i="16"/>
  <c r="X2299" i="16"/>
  <c r="X2300" i="16"/>
  <c r="Y2299" i="16"/>
  <c r="X2301" i="16"/>
  <c r="Y2300" i="16"/>
  <c r="Y2301" i="16"/>
  <c r="X2302" i="16"/>
  <c r="Y2302" i="16"/>
  <c r="X2303" i="16"/>
  <c r="Y2303" i="16"/>
  <c r="X2304" i="16"/>
  <c r="X2305" i="16"/>
  <c r="Y2304" i="16"/>
  <c r="X2306" i="16"/>
  <c r="Y2305" i="16"/>
  <c r="Y2306" i="16"/>
  <c r="X2307" i="16"/>
  <c r="Y2307" i="16"/>
  <c r="X2308" i="16"/>
  <c r="X2309" i="16"/>
  <c r="Y2308" i="16"/>
  <c r="X2310" i="16"/>
  <c r="Y2309" i="16"/>
  <c r="X2311" i="16"/>
  <c r="Y2310" i="16"/>
  <c r="X2312" i="16"/>
  <c r="Y2311" i="16"/>
  <c r="Y2312" i="16"/>
  <c r="X2313" i="16"/>
  <c r="X2314" i="16"/>
  <c r="Y2313" i="16"/>
  <c r="X2315" i="16"/>
  <c r="Y2314" i="16"/>
  <c r="X2316" i="16"/>
  <c r="Y2315" i="16"/>
  <c r="X2317" i="16"/>
  <c r="Y2316" i="16"/>
  <c r="X2318" i="16"/>
  <c r="Y2317" i="16"/>
  <c r="Y2318" i="16"/>
  <c r="X2319" i="16"/>
  <c r="X2320" i="16"/>
  <c r="Y2319" i="16"/>
  <c r="X2321" i="16"/>
  <c r="Y2320" i="16"/>
  <c r="X2322" i="16"/>
  <c r="Y2321" i="16"/>
  <c r="X2323" i="16"/>
  <c r="Y2322" i="16"/>
  <c r="Y2323" i="16"/>
  <c r="X2324" i="16"/>
  <c r="X2325" i="16"/>
  <c r="Y2324" i="16"/>
  <c r="Y2325" i="16"/>
  <c r="X2326" i="16"/>
  <c r="Y2326" i="16"/>
  <c r="X2327" i="16"/>
  <c r="Y2327" i="16"/>
  <c r="X2328" i="16"/>
  <c r="Y2328" i="16"/>
  <c r="X2329" i="16"/>
  <c r="Y2329" i="16"/>
  <c r="X2330" i="16"/>
  <c r="Y2330" i="16"/>
  <c r="X2331" i="16"/>
  <c r="Y2331" i="16"/>
  <c r="X2332" i="16"/>
  <c r="Y2332" i="16"/>
  <c r="X2333" i="16"/>
  <c r="Y2333" i="16"/>
  <c r="X2334" i="16"/>
  <c r="X2335" i="16"/>
  <c r="Y2334" i="16"/>
  <c r="Y2335" i="16"/>
  <c r="X2336" i="16"/>
  <c r="X2337" i="16"/>
  <c r="Y2336" i="16"/>
  <c r="X2338" i="16"/>
  <c r="Y2337" i="16"/>
  <c r="X2339" i="16"/>
  <c r="Y2338" i="16"/>
  <c r="Y2339" i="16"/>
  <c r="X2340" i="16"/>
  <c r="X2341" i="16"/>
  <c r="Y2340" i="16"/>
  <c r="Y2341" i="16"/>
  <c r="X2342" i="16"/>
  <c r="X2343" i="16"/>
  <c r="Y2342" i="16"/>
  <c r="X2344" i="16"/>
  <c r="Y2343" i="16"/>
  <c r="Y2344" i="16"/>
  <c r="X2345" i="16"/>
  <c r="Y2345" i="16"/>
  <c r="X2346" i="16"/>
  <c r="X2347" i="16"/>
  <c r="Y2346" i="16"/>
  <c r="X2348" i="16"/>
  <c r="Y2347" i="16"/>
  <c r="X2349" i="16"/>
  <c r="Y2348" i="16"/>
  <c r="Y2349" i="16"/>
  <c r="X2350" i="16"/>
  <c r="Y2350" i="16"/>
  <c r="X2351" i="16"/>
  <c r="Y2351" i="16"/>
  <c r="X2352" i="16"/>
  <c r="X2353" i="16"/>
  <c r="Y2352" i="16"/>
  <c r="Y2353" i="16"/>
  <c r="X2354" i="16"/>
  <c r="X2355" i="16"/>
  <c r="Y2354" i="16"/>
  <c r="Y2355" i="16"/>
  <c r="X2356" i="16"/>
  <c r="X2357" i="16"/>
  <c r="Y2356" i="16"/>
  <c r="Y2357" i="16"/>
  <c r="X2358" i="16"/>
  <c r="X2359" i="16"/>
  <c r="Y2358" i="16"/>
  <c r="X2360" i="16"/>
  <c r="Y2359" i="16"/>
  <c r="Y2360" i="16"/>
  <c r="X2361" i="16"/>
  <c r="Y2361" i="16"/>
  <c r="X2362" i="16"/>
  <c r="X2363" i="16"/>
  <c r="Y2362" i="16"/>
  <c r="Y2363" i="16"/>
  <c r="X2364" i="16"/>
  <c r="X2365" i="16"/>
  <c r="Y2364" i="16"/>
  <c r="X2366" i="16"/>
  <c r="Y2365" i="16"/>
  <c r="Y2366" i="16"/>
  <c r="X2367" i="16"/>
  <c r="Y2367" i="16"/>
  <c r="X2368" i="16"/>
  <c r="X2369" i="16"/>
  <c r="Y2368" i="16"/>
  <c r="Y2369" i="16"/>
  <c r="X2370" i="16"/>
  <c r="Y2370" i="16"/>
  <c r="X2371" i="16"/>
  <c r="X2372" i="16"/>
  <c r="Y2371" i="16"/>
  <c r="X2373" i="16"/>
  <c r="Y2372" i="16"/>
  <c r="Y2373" i="16"/>
  <c r="X2374" i="16"/>
  <c r="X2375" i="16"/>
  <c r="Y2374" i="16"/>
  <c r="Y2375" i="16"/>
  <c r="X2376" i="16"/>
  <c r="Y2376" i="16"/>
  <c r="X2377" i="16"/>
  <c r="Y2377" i="16"/>
  <c r="X2378" i="16"/>
  <c r="Y2378" i="16"/>
  <c r="X2379" i="16"/>
  <c r="Y2379" i="16"/>
  <c r="X2380" i="16"/>
  <c r="Y2380" i="16"/>
  <c r="X2381" i="16"/>
  <c r="X2382" i="16"/>
  <c r="Y2381" i="16"/>
  <c r="Y2382" i="16"/>
  <c r="X2383" i="16"/>
  <c r="X2384" i="16"/>
  <c r="Y2383" i="16"/>
  <c r="Y2384" i="16"/>
  <c r="X2385" i="16"/>
  <c r="X2386" i="16"/>
  <c r="Y2385" i="16"/>
  <c r="X2387" i="16"/>
  <c r="Y2386" i="16"/>
  <c r="X2388" i="16"/>
  <c r="Y2387" i="16"/>
  <c r="X2389" i="16"/>
  <c r="Y2388" i="16"/>
  <c r="X2390" i="16"/>
  <c r="Y2389" i="16"/>
  <c r="Y2390" i="16"/>
  <c r="X2391" i="16"/>
  <c r="X2392" i="16"/>
  <c r="Y2391" i="16"/>
  <c r="Y2392" i="16"/>
  <c r="X2393" i="16"/>
  <c r="Y2393" i="16"/>
  <c r="X2394" i="16"/>
  <c r="Y2394" i="16"/>
  <c r="X2395" i="16"/>
  <c r="Y2395" i="16"/>
  <c r="X2396" i="16"/>
  <c r="Y2396" i="16"/>
  <c r="X2397" i="16"/>
  <c r="X2398" i="16"/>
  <c r="Y2397" i="16"/>
  <c r="Y2398" i="16"/>
  <c r="X2399" i="16"/>
  <c r="Y2399" i="16"/>
  <c r="X2400" i="16"/>
  <c r="Y2400" i="16"/>
  <c r="X2401" i="16"/>
  <c r="Y2401" i="16"/>
  <c r="X2402" i="16"/>
  <c r="X2403" i="16"/>
  <c r="Y2402" i="16"/>
  <c r="X2404" i="16"/>
  <c r="Y2403" i="16"/>
  <c r="X2405" i="16"/>
  <c r="Y2404" i="16"/>
  <c r="X2406" i="16"/>
  <c r="Y2405" i="16"/>
  <c r="X2407" i="16"/>
  <c r="Y2406" i="16"/>
  <c r="Y2407" i="16"/>
  <c r="X2408" i="16"/>
  <c r="Y2408" i="16"/>
  <c r="X2409" i="16"/>
  <c r="Y2409" i="16"/>
  <c r="X2410" i="16"/>
  <c r="X2411" i="16"/>
  <c r="Y2410" i="16"/>
  <c r="Y2411" i="16"/>
  <c r="X2412" i="16"/>
  <c r="Y2412" i="16"/>
  <c r="X2413" i="16"/>
  <c r="X2414" i="16"/>
  <c r="Y2413" i="16"/>
  <c r="Y2414" i="16"/>
  <c r="X2415" i="16"/>
  <c r="X2416" i="16"/>
  <c r="Y2415" i="16"/>
  <c r="Y2416" i="16"/>
  <c r="X2417" i="16"/>
  <c r="X2418" i="16"/>
  <c r="Y2417" i="16"/>
  <c r="Y2418" i="16"/>
  <c r="X2419" i="16"/>
  <c r="X2420" i="16"/>
  <c r="Y2419" i="16"/>
  <c r="Y2420" i="16"/>
  <c r="X2421" i="16"/>
  <c r="X2422" i="16"/>
  <c r="Y2421" i="16"/>
  <c r="Y2422" i="16"/>
  <c r="X2423" i="16"/>
  <c r="X2424" i="16"/>
  <c r="Y2423" i="16"/>
  <c r="X2425" i="16"/>
  <c r="Y2424" i="16"/>
  <c r="Y2425" i="16"/>
  <c r="X2426" i="16"/>
  <c r="Y2426" i="16"/>
  <c r="X2427" i="16"/>
  <c r="Y2427" i="16"/>
  <c r="X2428" i="16"/>
  <c r="X2429" i="16"/>
  <c r="Y2428" i="16"/>
  <c r="X2430" i="16"/>
  <c r="Y2429" i="16"/>
  <c r="X2431" i="16"/>
  <c r="Y2430" i="16"/>
  <c r="X2432" i="16"/>
  <c r="Y2431" i="16"/>
  <c r="X2433" i="16"/>
  <c r="Y2432" i="16"/>
  <c r="X2434" i="16"/>
  <c r="Y2433" i="16"/>
  <c r="Y2434" i="16"/>
  <c r="X2435" i="16"/>
  <c r="X2436" i="16"/>
  <c r="Y2435" i="16"/>
  <c r="Y2436" i="16"/>
  <c r="X2437" i="16"/>
  <c r="X2438" i="16"/>
  <c r="Y2437" i="16"/>
  <c r="X2439" i="16"/>
  <c r="Y2438" i="16"/>
  <c r="X2440" i="16"/>
  <c r="Y2439" i="16"/>
  <c r="Y2440" i="16"/>
  <c r="X2441" i="16"/>
  <c r="Y2441" i="16"/>
  <c r="X2442" i="16"/>
  <c r="X2443" i="16"/>
  <c r="Y2442" i="16"/>
  <c r="Y2443" i="16"/>
  <c r="X2444" i="16"/>
  <c r="X2445" i="16"/>
  <c r="Y2444" i="16"/>
  <c r="X2446" i="16"/>
  <c r="Y2445" i="16"/>
  <c r="X2447" i="16"/>
  <c r="Y2446" i="16"/>
  <c r="Y2447" i="16"/>
  <c r="X2448" i="16"/>
  <c r="X2449" i="16"/>
  <c r="Y2448" i="16"/>
  <c r="X2450" i="16"/>
  <c r="Y2449" i="16"/>
  <c r="Y2450" i="16"/>
  <c r="X2451" i="16"/>
  <c r="Y2451" i="16"/>
  <c r="X2452" i="16"/>
  <c r="Y2452" i="16"/>
  <c r="X2453" i="16"/>
  <c r="Y2453" i="16"/>
  <c r="X2454" i="16"/>
  <c r="X2455" i="16"/>
  <c r="Y2454" i="16"/>
  <c r="Y2455" i="16"/>
  <c r="X2456" i="16"/>
  <c r="Y2456" i="16"/>
  <c r="X2457" i="16"/>
  <c r="Y2457" i="16"/>
  <c r="X2458" i="16"/>
  <c r="X2459" i="16"/>
  <c r="Y2458" i="16"/>
  <c r="Y2459" i="16"/>
  <c r="X2460" i="16"/>
  <c r="Y2460" i="16"/>
  <c r="X2461" i="16"/>
  <c r="X2462" i="16"/>
  <c r="Y2461" i="16"/>
  <c r="Y2462" i="16"/>
  <c r="X2463" i="16"/>
  <c r="X2464" i="16"/>
  <c r="Y2463" i="16"/>
  <c r="Y2464" i="16"/>
  <c r="X2465" i="16"/>
  <c r="Y2465" i="16"/>
  <c r="X2466" i="16"/>
  <c r="Y2466" i="16"/>
  <c r="X2467" i="16"/>
  <c r="Y2467" i="16"/>
  <c r="X2468" i="16"/>
  <c r="X2469" i="16"/>
  <c r="Y2468" i="16"/>
  <c r="Y2469" i="16"/>
  <c r="X2470" i="16"/>
  <c r="X2471" i="16"/>
  <c r="Y2470" i="16"/>
  <c r="X2472" i="16"/>
  <c r="Y2471" i="16"/>
  <c r="X2473" i="16"/>
  <c r="Y2472" i="16"/>
  <c r="X2474" i="16"/>
  <c r="Y2473" i="16"/>
  <c r="Y2474" i="16"/>
  <c r="X2475" i="16"/>
  <c r="Y2475" i="16"/>
  <c r="X2476" i="16"/>
  <c r="Y2476" i="16"/>
  <c r="X2477" i="16"/>
  <c r="Y2477" i="16"/>
  <c r="X2478" i="16"/>
  <c r="X2479" i="16"/>
  <c r="Y2478" i="16"/>
  <c r="X2480" i="16"/>
  <c r="Y2479" i="16"/>
  <c r="X2481" i="16"/>
  <c r="Y2480" i="16"/>
  <c r="Y2481" i="16"/>
  <c r="X2482" i="16"/>
  <c r="X2483" i="16"/>
  <c r="Y2482" i="16"/>
  <c r="Y2483" i="16"/>
  <c r="X2484" i="16"/>
  <c r="X2485" i="16"/>
  <c r="Y2484" i="16"/>
  <c r="X2486" i="16"/>
  <c r="Y2485" i="16"/>
  <c r="X2487" i="16"/>
  <c r="Y2486" i="16"/>
  <c r="X2488" i="16"/>
  <c r="Y2487" i="16"/>
  <c r="Y2488" i="16"/>
  <c r="X2489" i="16"/>
  <c r="X2490" i="16"/>
  <c r="Y2489" i="16"/>
  <c r="X2491" i="16"/>
  <c r="Y2490" i="16"/>
  <c r="Y2491" i="16"/>
  <c r="X2492" i="16"/>
  <c r="X2493" i="16"/>
  <c r="Y2492" i="16"/>
  <c r="X2494" i="16"/>
  <c r="Y2493" i="16"/>
  <c r="X2495" i="16"/>
  <c r="Y2494" i="16"/>
  <c r="X2496" i="16"/>
  <c r="Y2495" i="16"/>
  <c r="Y2496" i="16"/>
  <c r="X2497" i="16"/>
  <c r="X2498" i="16"/>
  <c r="Y2497" i="16"/>
  <c r="X2499" i="16"/>
  <c r="Y2498" i="16"/>
  <c r="Y2499" i="16"/>
  <c r="X2500" i="16"/>
  <c r="Y2500" i="16"/>
  <c r="X2501" i="16"/>
  <c r="X2502" i="16"/>
  <c r="Y2501" i="16"/>
  <c r="X2503" i="16"/>
  <c r="Y2502" i="16"/>
  <c r="Y2503" i="16"/>
  <c r="X2504" i="16"/>
  <c r="X2505" i="16"/>
  <c r="Y2504" i="16"/>
  <c r="X2506" i="16"/>
  <c r="Y2505" i="16"/>
  <c r="Y2506" i="16"/>
  <c r="X2507" i="16"/>
  <c r="X2508" i="16"/>
  <c r="Y2507" i="16"/>
  <c r="Y2508" i="16"/>
  <c r="X2509" i="16"/>
  <c r="Y2509" i="16"/>
  <c r="X2510" i="16"/>
  <c r="X2511" i="16"/>
  <c r="Y2510" i="16"/>
  <c r="Y2511" i="16"/>
  <c r="X2512" i="16"/>
  <c r="X2513" i="16"/>
  <c r="Y2512" i="16"/>
  <c r="X2514" i="16"/>
  <c r="Y2513" i="16"/>
  <c r="X2515" i="16"/>
  <c r="Y2514" i="16"/>
  <c r="Y2515" i="16"/>
  <c r="X2516" i="16"/>
  <c r="X2517" i="16"/>
  <c r="Y2516" i="16"/>
  <c r="Y2517" i="16"/>
  <c r="X2518" i="16"/>
  <c r="Y2518" i="16"/>
  <c r="X2519" i="16"/>
  <c r="X2520" i="16"/>
  <c r="Y2519" i="16"/>
  <c r="X2521" i="16"/>
  <c r="Y2520" i="16"/>
  <c r="X2522" i="16"/>
  <c r="Y2521" i="16"/>
  <c r="X2523" i="16"/>
  <c r="Y2522" i="16"/>
  <c r="X2524" i="16"/>
  <c r="Y2523" i="16"/>
  <c r="Y2524" i="16"/>
  <c r="X2525" i="16"/>
  <c r="X2526" i="16"/>
  <c r="Y2525" i="16"/>
  <c r="Y2526" i="16"/>
  <c r="X2527" i="16"/>
  <c r="X2528" i="16"/>
  <c r="Y2527" i="16"/>
  <c r="X2529" i="16"/>
  <c r="Y2528" i="16"/>
  <c r="Y2529" i="16"/>
  <c r="X2530" i="16"/>
  <c r="X2531" i="16"/>
  <c r="Y2530" i="16"/>
  <c r="X2532" i="16"/>
  <c r="Y2531" i="16"/>
  <c r="Y2532" i="16"/>
  <c r="X2533" i="16"/>
  <c r="Y2533" i="16"/>
  <c r="X2534" i="16"/>
  <c r="Y2534" i="16"/>
  <c r="X2535" i="16"/>
  <c r="X2536" i="16"/>
  <c r="Y2535" i="16"/>
  <c r="X2537" i="16"/>
  <c r="Y2536" i="16"/>
  <c r="X2538" i="16"/>
  <c r="Y2537" i="16"/>
  <c r="Y2538" i="16"/>
  <c r="X2539" i="16"/>
  <c r="X2540" i="16"/>
  <c r="Y2539" i="16"/>
  <c r="X2541" i="16"/>
  <c r="Y2540" i="16"/>
  <c r="X2542" i="16"/>
  <c r="Y2541" i="16"/>
  <c r="Y2542" i="16"/>
  <c r="X2543" i="16"/>
  <c r="X2544" i="16"/>
  <c r="Y2543" i="16"/>
  <c r="X2545" i="16"/>
  <c r="Y2544" i="16"/>
  <c r="Y2545" i="16"/>
  <c r="X2546" i="16"/>
  <c r="Y2546" i="16"/>
  <c r="X2547" i="16"/>
  <c r="X2548" i="16"/>
  <c r="Y2547" i="16"/>
  <c r="Y2548" i="16"/>
  <c r="X2549" i="16"/>
  <c r="X2550" i="16"/>
  <c r="Y2549" i="16"/>
  <c r="X2551" i="16"/>
  <c r="Y2550" i="16"/>
  <c r="Y2551" i="16"/>
  <c r="X2552" i="16"/>
  <c r="Y2552" i="16"/>
  <c r="X2553" i="16"/>
  <c r="X2554" i="16"/>
  <c r="Y2553" i="16"/>
  <c r="X2555" i="16"/>
  <c r="Y2554" i="16"/>
  <c r="Y2555" i="16"/>
  <c r="X2556" i="16"/>
  <c r="X2557" i="16"/>
  <c r="Y2556" i="16"/>
  <c r="Y2557" i="16"/>
  <c r="X2558" i="16"/>
  <c r="Y2558" i="16"/>
  <c r="X2559" i="16"/>
  <c r="Y2559" i="16"/>
  <c r="X2560" i="16"/>
  <c r="Y2560" i="16"/>
  <c r="X2561" i="16"/>
  <c r="X2562" i="16"/>
  <c r="Y2561" i="16"/>
  <c r="X2563" i="16"/>
  <c r="Y2562" i="16"/>
  <c r="X2564" i="16"/>
  <c r="Y2563" i="16"/>
  <c r="Y2564" i="16"/>
  <c r="X2565" i="16"/>
  <c r="X2566" i="16"/>
  <c r="Y2565" i="16"/>
  <c r="Y2566" i="16"/>
  <c r="X2567" i="16"/>
  <c r="X2568" i="16"/>
  <c r="Y2567" i="16"/>
  <c r="Y2568" i="16"/>
  <c r="X2569" i="16"/>
  <c r="X2570" i="16"/>
  <c r="Y2569" i="16"/>
  <c r="X2571" i="16"/>
  <c r="Y2570" i="16"/>
  <c r="X2572" i="16"/>
  <c r="Y2571" i="16"/>
  <c r="Y2572" i="16"/>
  <c r="X2573" i="16"/>
  <c r="X2574" i="16"/>
  <c r="Y2573" i="16"/>
  <c r="Y2574" i="16"/>
  <c r="X2575" i="16"/>
  <c r="X2576" i="16"/>
  <c r="Y2575" i="16"/>
  <c r="Y2576" i="16"/>
  <c r="X2577" i="16"/>
  <c r="X2578" i="16"/>
  <c r="Y2577" i="16"/>
  <c r="X2579" i="16"/>
  <c r="Y2578" i="16"/>
  <c r="Y2579" i="16"/>
  <c r="X2580" i="16"/>
  <c r="X2581" i="16"/>
  <c r="Y2580" i="16"/>
  <c r="X2582" i="16"/>
  <c r="Y2581" i="16"/>
  <c r="X2583" i="16"/>
  <c r="Y2582" i="16"/>
  <c r="X2584" i="16"/>
  <c r="Y2583" i="16"/>
  <c r="Y2584" i="16"/>
  <c r="X2585" i="16"/>
  <c r="X2586" i="16"/>
  <c r="Y2585" i="16"/>
  <c r="X2587" i="16"/>
  <c r="Y2586" i="16"/>
  <c r="X2588" i="16"/>
  <c r="Y2587" i="16"/>
  <c r="Y2588" i="16"/>
  <c r="X2589" i="16"/>
  <c r="Y2589" i="16"/>
  <c r="X2590" i="16"/>
  <c r="X2591" i="16"/>
  <c r="Y2590" i="16"/>
  <c r="X2592" i="16"/>
  <c r="Y2591" i="16"/>
  <c r="Y2592" i="16"/>
  <c r="X2593" i="16"/>
  <c r="Y2593" i="16"/>
  <c r="X2594" i="16"/>
  <c r="X2595" i="16"/>
  <c r="Y2594" i="16"/>
  <c r="X2596" i="16"/>
  <c r="Y2595" i="16"/>
  <c r="Y2596" i="16"/>
  <c r="X2597" i="16"/>
  <c r="Y2597" i="16"/>
  <c r="X2598" i="16"/>
  <c r="X2599" i="16"/>
  <c r="Y2598" i="16"/>
  <c r="Y2599" i="16"/>
  <c r="X2600" i="16"/>
  <c r="Y2600" i="16"/>
  <c r="X2601" i="16"/>
  <c r="Y2601" i="16"/>
  <c r="X2602" i="16"/>
  <c r="X2603" i="16"/>
  <c r="Y2602" i="16"/>
  <c r="X2604" i="16"/>
  <c r="Y2603" i="16"/>
  <c r="X2605" i="16"/>
  <c r="Y2604" i="16"/>
  <c r="Y2605" i="16"/>
  <c r="X2606" i="16"/>
  <c r="X2607" i="16"/>
  <c r="Y2606" i="16"/>
  <c r="Y2607" i="16"/>
  <c r="X2608" i="16"/>
  <c r="Y2608" i="16"/>
  <c r="X2609" i="16"/>
  <c r="Y2609" i="16"/>
  <c r="X2610" i="16"/>
  <c r="Y2610" i="16"/>
  <c r="X2611" i="16"/>
  <c r="Y2611" i="16"/>
  <c r="X2612" i="16"/>
  <c r="Y2612" i="16"/>
  <c r="X2613" i="16"/>
  <c r="Y2613" i="16"/>
  <c r="X2614" i="16"/>
  <c r="Y2614" i="16"/>
  <c r="X2615" i="16"/>
  <c r="X2616" i="16"/>
  <c r="Y2615" i="16"/>
  <c r="Y2616" i="16"/>
  <c r="X2617" i="16"/>
  <c r="X2618" i="16"/>
  <c r="Y2617" i="16"/>
  <c r="X2619" i="16"/>
  <c r="Y2618" i="16"/>
  <c r="Y2619" i="16"/>
  <c r="X2620" i="16"/>
  <c r="X2621" i="16"/>
  <c r="Y2620" i="16"/>
  <c r="X2622" i="16"/>
  <c r="Y2621" i="16"/>
  <c r="Y2622" i="16"/>
  <c r="X2623" i="16"/>
  <c r="X2624" i="16"/>
  <c r="Y2623" i="16"/>
  <c r="X2625" i="16"/>
  <c r="Y2624" i="16"/>
  <c r="Y2625" i="16"/>
  <c r="X2626" i="16"/>
  <c r="Y2626" i="16"/>
  <c r="X2627" i="16"/>
  <c r="Y2627" i="16"/>
  <c r="X2628" i="16"/>
  <c r="Y2628" i="16"/>
  <c r="X2629" i="16"/>
  <c r="X2630" i="16"/>
  <c r="Y2629" i="16"/>
  <c r="Y2630" i="16"/>
  <c r="X2631" i="16"/>
  <c r="X2632" i="16"/>
  <c r="Y2631" i="16"/>
  <c r="X2633" i="16"/>
  <c r="Y2632" i="16"/>
  <c r="Y2633" i="16"/>
  <c r="X2634" i="16"/>
  <c r="Y2634" i="16"/>
  <c r="X2635" i="16"/>
  <c r="X2636" i="16"/>
  <c r="Y2635" i="16"/>
  <c r="Y2636" i="16"/>
  <c r="X2637" i="16"/>
  <c r="X2638" i="16"/>
  <c r="Y2637" i="16"/>
  <c r="Y2638" i="16"/>
  <c r="X2639" i="16"/>
  <c r="X2640" i="16"/>
  <c r="Y2639" i="16"/>
  <c r="X2641" i="16"/>
  <c r="Y2640" i="16"/>
  <c r="Y2641" i="16"/>
  <c r="X2642" i="16"/>
  <c r="Y2642" i="16"/>
  <c r="X2643" i="16"/>
  <c r="Y2643" i="16"/>
  <c r="X2644" i="16"/>
  <c r="X2645" i="16"/>
  <c r="Y2644" i="16"/>
  <c r="X2646" i="16"/>
  <c r="Y2645" i="16"/>
  <c r="Y2646" i="16"/>
  <c r="X2647" i="16"/>
  <c r="Y2647" i="16"/>
  <c r="X2648" i="16"/>
  <c r="X2649" i="16"/>
  <c r="Y2648" i="16"/>
  <c r="X2650" i="16"/>
  <c r="Y2649" i="16"/>
  <c r="X2651" i="16"/>
  <c r="Y2650" i="16"/>
  <c r="X2652" i="16"/>
  <c r="Y2651" i="16"/>
  <c r="X2653" i="16"/>
  <c r="Y2652" i="16"/>
  <c r="Y2653" i="16"/>
  <c r="X2654" i="16"/>
  <c r="Y2654" i="16"/>
  <c r="X2655" i="16"/>
  <c r="Y2655" i="16"/>
  <c r="X2656" i="16"/>
  <c r="X2657" i="16"/>
  <c r="Y2656" i="16"/>
  <c r="X2658" i="16"/>
  <c r="Y2657" i="16"/>
  <c r="X2659" i="16"/>
  <c r="Y2658" i="16"/>
  <c r="X2660" i="16"/>
  <c r="Y2659" i="16"/>
  <c r="Y2660" i="16"/>
  <c r="X2661" i="16"/>
  <c r="X2662" i="16"/>
  <c r="Y2661" i="16"/>
  <c r="X2663" i="16"/>
  <c r="Y2662" i="16"/>
  <c r="Y2663" i="16"/>
  <c r="X2664" i="16"/>
  <c r="X2665" i="16"/>
  <c r="Y2664" i="16"/>
  <c r="Y2665" i="16"/>
  <c r="X2666" i="16"/>
  <c r="X2667" i="16"/>
  <c r="Y2666" i="16"/>
  <c r="Y2667" i="16"/>
  <c r="X2668" i="16"/>
  <c r="Y2668" i="16"/>
  <c r="X2669" i="16"/>
  <c r="X2670" i="16"/>
  <c r="Y2669" i="16"/>
  <c r="X2671" i="16"/>
  <c r="Y2670" i="16"/>
  <c r="Y2671" i="16"/>
  <c r="X2672" i="16"/>
  <c r="X2673" i="16"/>
  <c r="Y2672" i="16"/>
  <c r="X2674" i="16"/>
  <c r="Y2673" i="16"/>
  <c r="Y2674" i="16"/>
  <c r="X2675" i="16"/>
  <c r="Y2675" i="16"/>
  <c r="X2676" i="16"/>
  <c r="Y2676" i="16"/>
  <c r="X2677" i="16"/>
  <c r="Y2677" i="16"/>
  <c r="X2678" i="16"/>
  <c r="X2679" i="16"/>
  <c r="Y2678" i="16"/>
  <c r="Y2679" i="16"/>
  <c r="X2680" i="16"/>
  <c r="Y2680" i="16"/>
  <c r="X2681" i="16"/>
  <c r="X2682" i="16"/>
  <c r="Y2681" i="16"/>
  <c r="Y2682" i="16"/>
  <c r="X2683" i="16"/>
  <c r="X2684" i="16"/>
  <c r="Y2683" i="16"/>
  <c r="Y2684" i="16"/>
  <c r="X2685" i="16"/>
  <c r="X2686" i="16"/>
  <c r="Y2685" i="16"/>
  <c r="Y2686" i="16"/>
  <c r="X2687" i="16"/>
  <c r="Y2687" i="16"/>
  <c r="X2688" i="16"/>
  <c r="X2689" i="16"/>
  <c r="Y2688" i="16"/>
  <c r="Y2689" i="16"/>
  <c r="X2690" i="16"/>
  <c r="X2691" i="16"/>
  <c r="Y2690" i="16"/>
  <c r="Y2691" i="16"/>
  <c r="X2692" i="16"/>
  <c r="X2693" i="16"/>
  <c r="Y2692" i="16"/>
  <c r="X2694" i="16"/>
  <c r="Y2693" i="16"/>
  <c r="X2695" i="16"/>
  <c r="Y2694" i="16"/>
  <c r="Y2695" i="16"/>
  <c r="X2696" i="16"/>
  <c r="X2697" i="16"/>
  <c r="Y2696" i="16"/>
  <c r="X2698" i="16"/>
  <c r="Y2697" i="16"/>
  <c r="X2699" i="16"/>
  <c r="Y2698" i="16"/>
  <c r="X2700" i="16"/>
  <c r="Y2699" i="16"/>
  <c r="Y2700" i="16"/>
  <c r="X2701" i="16"/>
  <c r="X2702" i="16"/>
  <c r="Y2701" i="16"/>
  <c r="Y2702" i="16"/>
  <c r="X2703" i="16"/>
  <c r="Y2703" i="16"/>
  <c r="X2704" i="16"/>
  <c r="Y2704" i="16"/>
  <c r="X2705" i="16"/>
  <c r="X2706" i="16"/>
  <c r="Y2705" i="16"/>
  <c r="X2707" i="16"/>
  <c r="Y2706" i="16"/>
  <c r="X2708" i="16"/>
  <c r="Y2707" i="16"/>
  <c r="Y2708" i="16"/>
  <c r="X2709" i="16"/>
  <c r="X2710" i="16"/>
  <c r="Y2709" i="16"/>
  <c r="Y2710" i="16"/>
  <c r="X2711" i="16"/>
  <c r="X2712" i="16"/>
  <c r="Y2711" i="16"/>
  <c r="X2713" i="16"/>
  <c r="Y2712" i="16"/>
  <c r="X2714" i="16"/>
  <c r="Y2713" i="16"/>
  <c r="Y2714" i="16"/>
  <c r="X2715" i="16"/>
  <c r="Y2715" i="16"/>
  <c r="X2716" i="16"/>
  <c r="Y2716" i="16"/>
  <c r="X2717" i="16"/>
  <c r="X2718" i="16"/>
  <c r="Y2717" i="16"/>
  <c r="Y2718" i="16"/>
  <c r="X2719" i="16"/>
  <c r="Y2719" i="16"/>
  <c r="X2720" i="16"/>
  <c r="Y2720" i="16"/>
  <c r="X2721" i="16"/>
  <c r="Y2721" i="16"/>
  <c r="X2722" i="16"/>
  <c r="X2723" i="16"/>
  <c r="Y2722" i="16"/>
  <c r="X2724" i="16"/>
  <c r="Y2723" i="16"/>
  <c r="Y2724" i="16"/>
  <c r="X2725" i="16"/>
  <c r="X2726" i="16"/>
  <c r="Y2725" i="16"/>
  <c r="X2727" i="16"/>
  <c r="Y2726" i="16"/>
  <c r="Y2727" i="16"/>
  <c r="X2728" i="16"/>
  <c r="X2729" i="16"/>
  <c r="Y2728" i="16"/>
  <c r="X2730" i="16"/>
  <c r="Y2729" i="16"/>
  <c r="X2731" i="16"/>
  <c r="Y2730" i="16"/>
  <c r="Y2731" i="16"/>
  <c r="X2732" i="16"/>
  <c r="X2733" i="16"/>
  <c r="Y2732" i="16"/>
  <c r="X2734" i="16"/>
  <c r="Y2733" i="16"/>
  <c r="Y2734" i="16"/>
  <c r="X2735" i="16"/>
  <c r="X2736" i="16"/>
  <c r="Y2735" i="16"/>
  <c r="Y2736" i="16"/>
  <c r="X2737" i="16"/>
  <c r="X2738" i="16"/>
  <c r="Y2737" i="16"/>
  <c r="Y2738" i="16"/>
  <c r="X2739" i="16"/>
  <c r="Y2739" i="16"/>
  <c r="X2740" i="16"/>
  <c r="Y2740" i="16"/>
  <c r="X2741" i="16"/>
  <c r="Y2741" i="16"/>
  <c r="X2742" i="16"/>
  <c r="Y2742" i="16"/>
  <c r="X2743" i="16"/>
  <c r="Y2743" i="16"/>
  <c r="X2744" i="16"/>
  <c r="X2745" i="16"/>
  <c r="Y2744" i="16"/>
  <c r="X2746" i="16"/>
  <c r="Y2745" i="16"/>
  <c r="Y2746" i="16"/>
  <c r="X2747" i="16"/>
  <c r="Y2747" i="16"/>
  <c r="X2748" i="16"/>
  <c r="X2749" i="16"/>
  <c r="Y2748" i="16"/>
  <c r="Y2749" i="16"/>
  <c r="X2750" i="16"/>
  <c r="X2751" i="16"/>
  <c r="Y2750" i="16"/>
  <c r="X2752" i="16"/>
  <c r="Y2751" i="16"/>
  <c r="X2753" i="16"/>
  <c r="Y2752" i="16"/>
  <c r="X2754" i="16"/>
  <c r="Y2753" i="16"/>
  <c r="X2755" i="16"/>
  <c r="Y2754" i="16"/>
  <c r="Y2755" i="16"/>
  <c r="X2756" i="16"/>
  <c r="X2757" i="16"/>
  <c r="Y2756" i="16"/>
  <c r="Y2757" i="16"/>
  <c r="X2758" i="16"/>
  <c r="Y2758" i="16"/>
  <c r="X2759" i="16"/>
  <c r="Y2759" i="16"/>
  <c r="X2760" i="16"/>
  <c r="X2761" i="16"/>
  <c r="Y2760" i="16"/>
  <c r="X2762" i="16"/>
  <c r="Y2761" i="16"/>
  <c r="X2763" i="16"/>
  <c r="Y2762" i="16"/>
  <c r="X2764" i="16"/>
  <c r="Y2763" i="16"/>
  <c r="Y2764" i="16"/>
  <c r="X2765" i="16"/>
  <c r="Y2765" i="16"/>
  <c r="X2766" i="16"/>
  <c r="X2767" i="16"/>
  <c r="Y2766" i="16"/>
  <c r="Y2767" i="16"/>
  <c r="X2768" i="16"/>
  <c r="X2769" i="16"/>
  <c r="Y2768" i="16"/>
  <c r="Y2769" i="16"/>
  <c r="X2770" i="16"/>
  <c r="Y2770" i="16"/>
  <c r="X2771" i="16"/>
  <c r="X2772" i="16"/>
  <c r="Y2771" i="16"/>
  <c r="X2773" i="16"/>
  <c r="Y2772" i="16"/>
  <c r="Y2773" i="16"/>
  <c r="X2774" i="16"/>
  <c r="Y2774" i="16"/>
  <c r="X2775" i="16"/>
  <c r="Y2775" i="16"/>
  <c r="X2776" i="16"/>
  <c r="Y2776" i="16"/>
  <c r="X2777" i="16"/>
  <c r="X2778" i="16"/>
  <c r="Y2777" i="16"/>
  <c r="Y2778" i="16"/>
  <c r="X2779" i="16"/>
  <c r="X2780" i="16"/>
  <c r="Y2779" i="16"/>
  <c r="Y2780" i="16"/>
  <c r="X2781" i="16"/>
  <c r="X2782" i="16"/>
  <c r="Y2781" i="16"/>
  <c r="X2783" i="16"/>
  <c r="Y2782" i="16"/>
  <c r="X2784" i="16"/>
  <c r="Y2783" i="16"/>
  <c r="X2785" i="16"/>
  <c r="Y2784" i="16"/>
  <c r="Y2785" i="16"/>
  <c r="X2786" i="16"/>
  <c r="X2787" i="16"/>
  <c r="Y2786" i="16"/>
  <c r="X2788" i="16"/>
  <c r="Y2787" i="16"/>
  <c r="Y2788" i="16"/>
  <c r="X2789" i="16"/>
  <c r="X2790" i="16"/>
  <c r="Y2789" i="16"/>
  <c r="Y2790" i="16"/>
  <c r="X2791" i="16"/>
  <c r="X2792" i="16"/>
  <c r="Y2791" i="16"/>
  <c r="X2793" i="16"/>
  <c r="Y2792" i="16"/>
  <c r="X2794" i="16"/>
  <c r="Y2793" i="16"/>
  <c r="Y2794" i="16"/>
  <c r="X2795" i="16"/>
  <c r="X2796" i="16"/>
  <c r="Y2795" i="16"/>
  <c r="Y2796" i="16"/>
  <c r="X2797" i="16"/>
  <c r="Y2797" i="16"/>
  <c r="X2798" i="16"/>
  <c r="X2799" i="16"/>
  <c r="Y2798" i="16"/>
  <c r="X2800" i="16"/>
  <c r="Y2799" i="16"/>
  <c r="X2801" i="16"/>
  <c r="Y2800" i="16"/>
  <c r="X2802" i="16"/>
  <c r="Y2801" i="16"/>
  <c r="X2803" i="16"/>
  <c r="Y2802" i="16"/>
  <c r="Y2803" i="16"/>
  <c r="X2804" i="16"/>
  <c r="X2805" i="16"/>
  <c r="Y2804" i="16"/>
  <c r="Y2805" i="16"/>
  <c r="X2806" i="16"/>
  <c r="X2807" i="16"/>
  <c r="Y2806" i="16"/>
  <c r="Y2807" i="16"/>
  <c r="X2808" i="16"/>
  <c r="Y2808" i="16"/>
  <c r="X2809" i="16"/>
  <c r="Y2809" i="16"/>
  <c r="X2810" i="16"/>
  <c r="Y2810" i="16"/>
  <c r="X2811" i="16"/>
  <c r="Y2811" i="16"/>
  <c r="X2812" i="16"/>
  <c r="X2813" i="16"/>
  <c r="Y2812" i="16"/>
  <c r="Y2813" i="16"/>
  <c r="X2814" i="16"/>
  <c r="X2815" i="16"/>
  <c r="Y2814" i="16"/>
  <c r="X2816" i="16"/>
  <c r="Y2815" i="16"/>
  <c r="X2817" i="16"/>
  <c r="Y2816" i="16"/>
  <c r="Y2817" i="16"/>
  <c r="X2818" i="16"/>
  <c r="X2819" i="16"/>
  <c r="Y2818" i="16"/>
  <c r="X2820" i="16"/>
  <c r="Y2819" i="16"/>
  <c r="Y2820" i="16"/>
  <c r="X2821" i="16"/>
  <c r="Y2821" i="16"/>
  <c r="X2822" i="16"/>
  <c r="Y2822" i="16"/>
  <c r="X2823" i="16"/>
  <c r="X2824" i="16"/>
  <c r="Y2823" i="16"/>
  <c r="Y2824" i="16"/>
  <c r="X2825" i="16"/>
  <c r="Y2825" i="16"/>
  <c r="X2826" i="16"/>
  <c r="Y2826" i="16"/>
  <c r="X2827" i="16"/>
  <c r="X2828" i="16"/>
  <c r="Y2827" i="16"/>
  <c r="X2829" i="16"/>
  <c r="Y2828" i="16"/>
  <c r="X2830" i="16"/>
  <c r="Y2829" i="16"/>
  <c r="Y2830" i="16"/>
  <c r="X2831" i="16"/>
  <c r="X2832" i="16"/>
  <c r="Y2831" i="16"/>
  <c r="Y2832" i="16"/>
  <c r="X2833" i="16"/>
  <c r="X2834" i="16"/>
  <c r="Y2833" i="16"/>
  <c r="X2835" i="16"/>
  <c r="Y2834" i="16"/>
  <c r="Y2835" i="16"/>
  <c r="X2836" i="16"/>
  <c r="Y2836" i="16"/>
  <c r="X2837" i="16"/>
  <c r="Y2837" i="16"/>
  <c r="X2838" i="16"/>
  <c r="Y2838" i="16"/>
  <c r="X2839" i="16"/>
  <c r="Y2839" i="16"/>
  <c r="X2840" i="16"/>
  <c r="X2841" i="16"/>
  <c r="Y2840" i="16"/>
  <c r="X2842" i="16"/>
  <c r="Y2841" i="16"/>
  <c r="Y2842" i="16"/>
  <c r="X2843" i="16"/>
  <c r="X2844" i="16"/>
  <c r="Y2843" i="16"/>
  <c r="X2845" i="16"/>
  <c r="Y2844" i="16"/>
  <c r="X2846" i="16"/>
  <c r="Y2845" i="16"/>
  <c r="X2847" i="16"/>
  <c r="Y2846" i="16"/>
  <c r="X2848" i="16"/>
  <c r="Y2847" i="16"/>
  <c r="Y2848" i="16"/>
  <c r="X2849" i="16"/>
  <c r="Y2849" i="16"/>
  <c r="X2850" i="16"/>
  <c r="Y2850" i="16"/>
  <c r="X2851" i="16"/>
  <c r="X2852" i="16"/>
  <c r="Y2851" i="16"/>
  <c r="X2853" i="16"/>
  <c r="Y2852" i="16"/>
  <c r="X2854" i="16"/>
  <c r="Y2853" i="16"/>
  <c r="X2855" i="16"/>
  <c r="Y2854" i="16"/>
  <c r="Y2855" i="16"/>
  <c r="X2856" i="16"/>
  <c r="Y2856" i="16"/>
  <c r="X2857" i="16"/>
  <c r="Y2857" i="16"/>
  <c r="X2858" i="16"/>
  <c r="Y2858" i="16"/>
  <c r="X2859" i="16"/>
  <c r="Y2859" i="16"/>
  <c r="X2860" i="16"/>
  <c r="X2861" i="16"/>
  <c r="Y2860" i="16"/>
  <c r="Y2861" i="16"/>
  <c r="X2862" i="16"/>
  <c r="X2863" i="16"/>
  <c r="Y2862" i="16"/>
  <c r="Y2863" i="16"/>
  <c r="X2864" i="16"/>
  <c r="X2865" i="16"/>
  <c r="Y2864" i="16"/>
  <c r="Y2865" i="16"/>
  <c r="X2866" i="16"/>
  <c r="Y2866" i="16"/>
  <c r="X2867" i="16"/>
  <c r="X2868" i="16"/>
  <c r="Y2867" i="16"/>
  <c r="Y2868" i="16"/>
  <c r="X2869" i="16"/>
  <c r="Y2869" i="16"/>
  <c r="X2870" i="16"/>
  <c r="X2871" i="16"/>
  <c r="Y2870" i="16"/>
  <c r="X2872" i="16"/>
  <c r="Y2871" i="16"/>
  <c r="Y2872" i="16"/>
  <c r="X2873" i="16"/>
  <c r="X2874" i="16"/>
  <c r="Y2873" i="16"/>
  <c r="X2875" i="16"/>
  <c r="Y2874" i="16"/>
  <c r="Y2875" i="16"/>
  <c r="X2876" i="16"/>
  <c r="Y2876" i="16"/>
  <c r="X2877" i="16"/>
  <c r="Y2877" i="16"/>
  <c r="X2878" i="16"/>
  <c r="Y2878" i="16"/>
  <c r="X2879" i="16"/>
  <c r="X2880" i="16"/>
  <c r="Y2879" i="16"/>
  <c r="Y2880" i="16"/>
  <c r="X2881" i="16"/>
  <c r="Y2881" i="16"/>
  <c r="X2882" i="16"/>
  <c r="X2883" i="16"/>
  <c r="Y2882" i="16"/>
  <c r="X2884" i="16"/>
  <c r="Y2883" i="16"/>
  <c r="X2885" i="16"/>
  <c r="Y2884" i="16"/>
  <c r="Y2885" i="16"/>
  <c r="X2886" i="16"/>
  <c r="X2887" i="16"/>
  <c r="Y2886" i="16"/>
  <c r="Y2887" i="16"/>
  <c r="X2888" i="16"/>
  <c r="X2889" i="16"/>
  <c r="Y2888" i="16"/>
  <c r="X2890" i="16"/>
  <c r="Y2889" i="16"/>
  <c r="X2891" i="16"/>
  <c r="Y2890" i="16"/>
  <c r="X2892" i="16"/>
  <c r="Y2891" i="16"/>
  <c r="X2893" i="16"/>
  <c r="Y2892" i="16"/>
  <c r="X2894" i="16"/>
  <c r="Y2893" i="16"/>
  <c r="X2895" i="16"/>
  <c r="Y2894" i="16"/>
  <c r="X2896" i="16"/>
  <c r="Y2895" i="16"/>
  <c r="Y2896" i="16"/>
  <c r="X2897" i="16"/>
  <c r="X2898" i="16"/>
  <c r="Y2897" i="16"/>
  <c r="X2899" i="16"/>
  <c r="Y2898" i="16"/>
  <c r="X2900" i="16"/>
  <c r="Y2899" i="16"/>
  <c r="Y2900" i="16"/>
  <c r="X2901" i="16"/>
  <c r="X2902" i="16"/>
  <c r="Y2901" i="16"/>
  <c r="Y2902" i="16"/>
  <c r="X2903" i="16"/>
  <c r="X2904" i="16"/>
  <c r="Y2903" i="16"/>
  <c r="Y2904" i="16"/>
  <c r="X2905" i="16"/>
  <c r="Y2905" i="16"/>
  <c r="X2906" i="16"/>
  <c r="Y2906" i="16"/>
  <c r="X2907" i="16"/>
  <c r="X2908" i="16"/>
  <c r="Y2907" i="16"/>
  <c r="X2909" i="16"/>
  <c r="Y2908" i="16"/>
  <c r="X2910" i="16"/>
  <c r="Y2909" i="16"/>
  <c r="X2911" i="16"/>
  <c r="Y2910" i="16"/>
  <c r="X2912" i="16"/>
  <c r="Y2911" i="16"/>
  <c r="X2913" i="16"/>
  <c r="Y2912" i="16"/>
  <c r="Y2913" i="16"/>
  <c r="X2914" i="16"/>
  <c r="Y2914" i="16"/>
  <c r="X2915" i="16"/>
  <c r="X2916" i="16"/>
  <c r="Y2915" i="16"/>
  <c r="X2917" i="16"/>
  <c r="Y2916" i="16"/>
  <c r="Y2917" i="16"/>
  <c r="X2918" i="16"/>
  <c r="X2919" i="16"/>
  <c r="Y2918" i="16"/>
  <c r="X2920" i="16"/>
  <c r="Y2919" i="16"/>
  <c r="X2921" i="16"/>
  <c r="Y2920" i="16"/>
  <c r="X2922" i="16"/>
  <c r="Y2921" i="16"/>
  <c r="X2923" i="16"/>
  <c r="Y2922" i="16"/>
  <c r="Y2923" i="16"/>
  <c r="X2924" i="16"/>
  <c r="Y2924" i="16"/>
  <c r="X2925" i="16"/>
  <c r="Y2925" i="16"/>
  <c r="X2926" i="16"/>
  <c r="X2927" i="16"/>
  <c r="Y2926" i="16"/>
  <c r="X2928" i="16"/>
  <c r="Y2927" i="16"/>
  <c r="X2929" i="16"/>
  <c r="Y2928" i="16"/>
  <c r="Y2929" i="16"/>
  <c r="X2930" i="16"/>
  <c r="Y2930" i="16"/>
  <c r="X2931" i="16"/>
  <c r="Y2931" i="16"/>
  <c r="X2932" i="16"/>
  <c r="Y2932" i="16"/>
  <c r="X2933" i="16"/>
  <c r="X2934" i="16"/>
  <c r="Y2933" i="16"/>
  <c r="Y2934" i="16"/>
  <c r="X2935" i="16"/>
  <c r="X2936" i="16"/>
  <c r="Y2935" i="16"/>
  <c r="Y2936" i="16"/>
  <c r="X2937" i="16"/>
  <c r="X2938" i="16"/>
  <c r="Y2937" i="16"/>
  <c r="X2939" i="16"/>
  <c r="Y2938" i="16"/>
  <c r="X2940" i="16"/>
  <c r="Y2939" i="16"/>
  <c r="X2941" i="16"/>
  <c r="Y2940" i="16"/>
  <c r="Y2941" i="16"/>
  <c r="X2942" i="16"/>
  <c r="X2943" i="16"/>
  <c r="Y2942" i="16"/>
  <c r="X2944" i="16"/>
  <c r="Y2943" i="16"/>
  <c r="Y2944" i="16"/>
  <c r="X2945" i="16"/>
  <c r="Y2945" i="16"/>
  <c r="X2946" i="16"/>
  <c r="X2947" i="16"/>
  <c r="Y2946" i="16"/>
  <c r="Y2947" i="16"/>
  <c r="X2948" i="16"/>
  <c r="Y2948" i="16"/>
  <c r="X2949" i="16"/>
  <c r="Y2949" i="16"/>
  <c r="X2950" i="16"/>
  <c r="Y2950" i="16"/>
  <c r="X2951" i="16"/>
  <c r="X2952" i="16"/>
  <c r="Y2951" i="16"/>
  <c r="X2953" i="16"/>
  <c r="Y2952" i="16"/>
  <c r="X2954" i="16"/>
  <c r="Y2953" i="16"/>
  <c r="Y2954" i="16"/>
  <c r="X2955" i="16"/>
  <c r="X2956" i="16"/>
  <c r="Y2955" i="16"/>
  <c r="X2957" i="16"/>
  <c r="Y2956" i="16"/>
  <c r="X2958" i="16"/>
  <c r="Y2957" i="16"/>
  <c r="Y2958" i="16"/>
  <c r="X2959" i="16"/>
  <c r="X2960" i="16"/>
  <c r="Y2959" i="16"/>
  <c r="X2961" i="16"/>
  <c r="Y2960" i="16"/>
  <c r="Y2961" i="16"/>
  <c r="X2962" i="16"/>
  <c r="X2963" i="16"/>
  <c r="Y2962" i="16"/>
  <c r="Y2963" i="16"/>
  <c r="X2964" i="16"/>
  <c r="Y2964" i="16"/>
  <c r="X2965" i="16"/>
  <c r="Y2965" i="16"/>
  <c r="X2966" i="16"/>
  <c r="X2967" i="16"/>
  <c r="Y2966" i="16"/>
  <c r="X2968" i="16"/>
  <c r="Y2967" i="16"/>
  <c r="X2969" i="16"/>
  <c r="Y2968" i="16"/>
  <c r="Y2969" i="16"/>
  <c r="X2970" i="16"/>
  <c r="Y2970" i="16"/>
  <c r="X2971" i="16"/>
  <c r="X2972" i="16"/>
  <c r="Y2971" i="16"/>
  <c r="Y2972" i="16"/>
  <c r="X2973" i="16"/>
  <c r="X2974" i="16"/>
  <c r="Y2973" i="16"/>
  <c r="X2975" i="16"/>
  <c r="Y2974" i="16"/>
  <c r="X2976" i="16"/>
  <c r="Y2975" i="16"/>
  <c r="X2977" i="16"/>
  <c r="Y2976" i="16"/>
  <c r="X2978" i="16"/>
  <c r="Y2977" i="16"/>
  <c r="Y2978" i="16"/>
  <c r="X2979" i="16"/>
  <c r="X2980" i="16"/>
  <c r="Y2979" i="16"/>
  <c r="Y2980" i="16"/>
  <c r="X2981" i="16"/>
  <c r="X2982" i="16"/>
  <c r="Y2981" i="16"/>
  <c r="Y2982" i="16"/>
  <c r="X2983" i="16"/>
  <c r="X2984" i="16"/>
  <c r="Y2983" i="16"/>
  <c r="Y2984" i="16"/>
  <c r="X2985" i="16"/>
  <c r="X2986" i="16"/>
  <c r="Y2985" i="16"/>
  <c r="X2987" i="16"/>
  <c r="Y2986" i="16"/>
  <c r="X2988" i="16"/>
  <c r="Y2987" i="16"/>
  <c r="X2989" i="16"/>
  <c r="Y2988" i="16"/>
  <c r="X2990" i="16"/>
  <c r="Y2989" i="16"/>
  <c r="X2991" i="16"/>
  <c r="Y2990" i="16"/>
  <c r="X2992" i="16"/>
  <c r="Y2991" i="16"/>
  <c r="Y2992" i="16"/>
  <c r="X2993" i="16"/>
  <c r="X2994" i="16"/>
  <c r="Y2993" i="16"/>
  <c r="Y2994" i="16"/>
  <c r="X2995" i="16"/>
  <c r="X2996" i="16"/>
  <c r="Y2995" i="16"/>
  <c r="X2997" i="16"/>
  <c r="Y2996" i="16"/>
  <c r="X2998" i="16"/>
  <c r="Y2997" i="16"/>
  <c r="X2999" i="16"/>
  <c r="Y2998" i="16"/>
  <c r="X3000" i="16"/>
  <c r="Y2999" i="16"/>
  <c r="Y3000" i="16"/>
  <c r="X3001" i="16"/>
  <c r="X3002" i="16"/>
  <c r="Y3001" i="16"/>
  <c r="X3003" i="16"/>
  <c r="Y3002" i="16"/>
  <c r="X3004" i="16"/>
  <c r="Y3003" i="16"/>
  <c r="X3005" i="16"/>
  <c r="Y3004" i="16"/>
  <c r="Y3005" i="16"/>
  <c r="X3006" i="16"/>
  <c r="X3007" i="16"/>
  <c r="Y3006" i="16"/>
  <c r="X3008" i="16"/>
  <c r="Y3007" i="16"/>
  <c r="Y3008" i="16"/>
  <c r="X3009" i="16"/>
  <c r="X3010" i="16"/>
  <c r="Y3009" i="16"/>
  <c r="Y3010" i="16"/>
  <c r="X3011" i="16"/>
  <c r="Y3011" i="16"/>
  <c r="X3012" i="16"/>
  <c r="Y3012" i="16"/>
  <c r="X3013" i="16"/>
  <c r="X3014" i="16"/>
  <c r="Y3013" i="16"/>
  <c r="X3015" i="16"/>
  <c r="Y3014" i="16"/>
  <c r="Y3015" i="16"/>
  <c r="X3016" i="16"/>
  <c r="Y3016" i="16"/>
  <c r="X3017" i="16"/>
  <c r="Y3017" i="16"/>
  <c r="X3018" i="16"/>
  <c r="X3019" i="16"/>
  <c r="Y3018" i="16"/>
  <c r="Y3019" i="16"/>
  <c r="X3020" i="16"/>
  <c r="X3021" i="16"/>
  <c r="Y3020" i="16"/>
  <c r="Y3021" i="16"/>
  <c r="X3022" i="16"/>
  <c r="Y3022" i="16"/>
  <c r="X3023" i="16"/>
  <c r="Y3023" i="16"/>
  <c r="X3024" i="16"/>
  <c r="X3025" i="16"/>
  <c r="Y3024" i="16"/>
  <c r="Y3025" i="16"/>
  <c r="X3026" i="16"/>
  <c r="Y3026" i="16"/>
  <c r="X3027" i="16"/>
  <c r="Y3027" i="16"/>
  <c r="X3028" i="16"/>
  <c r="X3029" i="16"/>
  <c r="Y3028" i="16"/>
  <c r="X3030" i="16"/>
  <c r="Y3029" i="16"/>
  <c r="X3031" i="16"/>
  <c r="Y3030" i="16"/>
  <c r="Y3031" i="16"/>
  <c r="X3032" i="16"/>
  <c r="Y3032" i="16"/>
  <c r="X3033" i="16"/>
  <c r="Y3033" i="16"/>
  <c r="X3034" i="16"/>
  <c r="Y3034" i="16"/>
  <c r="X3035" i="16"/>
  <c r="Y3035" i="16"/>
  <c r="X3036" i="16"/>
  <c r="Y3036" i="16"/>
  <c r="X3037" i="16"/>
  <c r="Y3037" i="16"/>
  <c r="X3038" i="16"/>
  <c r="X3039" i="16"/>
  <c r="Y3038" i="16"/>
  <c r="X3040" i="16"/>
  <c r="Y3039" i="16"/>
  <c r="Y3040" i="16"/>
  <c r="X3041" i="16"/>
  <c r="X3042" i="16"/>
  <c r="Y3041" i="16"/>
  <c r="Y3042" i="16"/>
  <c r="X3043" i="16"/>
  <c r="X3044" i="16"/>
  <c r="Y3043" i="16"/>
  <c r="Y3044" i="16"/>
  <c r="X3045" i="16"/>
  <c r="X3046" i="16"/>
  <c r="Y3045" i="16"/>
  <c r="Y3046" i="16"/>
  <c r="X3047" i="16"/>
  <c r="X3048" i="16"/>
  <c r="Y3047" i="16"/>
  <c r="Y3048" i="16"/>
  <c r="X3049" i="16"/>
  <c r="Y3049" i="16"/>
  <c r="X3050" i="16"/>
  <c r="X3051" i="16"/>
  <c r="Y3050" i="16"/>
  <c r="Y3051" i="16"/>
  <c r="X3052" i="16"/>
  <c r="X3053" i="16"/>
  <c r="Y3052" i="16"/>
  <c r="X3054" i="16"/>
  <c r="Y3053" i="16"/>
  <c r="Y3054" i="16"/>
  <c r="X3055" i="16"/>
  <c r="Y3055" i="16"/>
  <c r="X3056" i="16"/>
  <c r="X3057" i="16"/>
  <c r="Y3056" i="16"/>
  <c r="X3058" i="16"/>
  <c r="Y3057" i="16"/>
  <c r="Y3058" i="16"/>
  <c r="X3059" i="16"/>
  <c r="Y3059" i="16"/>
  <c r="X3060" i="16"/>
  <c r="X3061" i="16"/>
  <c r="Y3060" i="16"/>
  <c r="Y3061" i="16"/>
  <c r="X3062" i="16"/>
  <c r="X3063" i="16"/>
  <c r="Y3062" i="16"/>
  <c r="X3064" i="16"/>
  <c r="Y3063" i="16"/>
  <c r="Y3064" i="16"/>
  <c r="X3065" i="16"/>
  <c r="X3066" i="16"/>
  <c r="Y3065" i="16"/>
  <c r="X3067" i="16"/>
  <c r="Y3066" i="16"/>
  <c r="X3068" i="16"/>
  <c r="Y3067" i="16"/>
  <c r="X3069" i="16"/>
  <c r="Y3068" i="16"/>
  <c r="X3070" i="16"/>
  <c r="Y3069" i="16"/>
  <c r="X3071" i="16"/>
  <c r="Y3070" i="16"/>
  <c r="X3072" i="16"/>
  <c r="Y3071" i="16"/>
  <c r="Y3072" i="16"/>
  <c r="X3073" i="16"/>
  <c r="Y3073" i="16"/>
  <c r="X3074" i="16"/>
  <c r="Y3074" i="16"/>
  <c r="X3075" i="16"/>
  <c r="X3076" i="16"/>
  <c r="Y3075" i="16"/>
  <c r="Y3076" i="16"/>
  <c r="X3077" i="16"/>
  <c r="X3078" i="16"/>
  <c r="Y3077" i="16"/>
  <c r="X3079" i="16"/>
  <c r="Y3078" i="16"/>
  <c r="X3080" i="16"/>
  <c r="Y3079" i="16"/>
  <c r="Y3080" i="16"/>
  <c r="X3081" i="16"/>
  <c r="Y3081" i="16"/>
  <c r="X3082" i="16"/>
  <c r="X3083" i="16"/>
  <c r="Y3082" i="16"/>
  <c r="X3084" i="16"/>
  <c r="Y3083" i="16"/>
  <c r="X3085" i="16"/>
  <c r="Y3084" i="16"/>
  <c r="X3086" i="16"/>
  <c r="Y3085" i="16"/>
  <c r="Y3086" i="16"/>
  <c r="X3087" i="16"/>
  <c r="X3088" i="16"/>
  <c r="Y3087" i="16"/>
  <c r="X3089" i="16"/>
  <c r="Y3088" i="16"/>
  <c r="Y3089" i="16"/>
  <c r="X3090" i="16"/>
  <c r="Y3090" i="16"/>
  <c r="X3091" i="16"/>
  <c r="X3092" i="16"/>
  <c r="Y3091" i="16"/>
  <c r="Y3092" i="16"/>
  <c r="X3093" i="16"/>
  <c r="Y3093" i="16"/>
  <c r="X3094" i="16"/>
  <c r="X3095" i="16"/>
  <c r="Y3094" i="16"/>
  <c r="Y3095" i="16"/>
  <c r="X3096" i="16"/>
  <c r="Y3096" i="16"/>
  <c r="X3097" i="16"/>
  <c r="X3098" i="16"/>
  <c r="Y3097" i="16"/>
  <c r="Y3098" i="16"/>
  <c r="X3099" i="16"/>
  <c r="X3100" i="16"/>
  <c r="Y3099" i="16"/>
  <c r="X3101" i="16"/>
  <c r="Y3100" i="16"/>
  <c r="X3102" i="16"/>
  <c r="Y3101" i="16"/>
  <c r="Y3102" i="16"/>
  <c r="X3103" i="16"/>
  <c r="X3104" i="16"/>
  <c r="Y3103" i="16"/>
  <c r="X3105" i="16"/>
  <c r="Y3104" i="16"/>
  <c r="X3106" i="16"/>
  <c r="Y3105" i="16"/>
  <c r="Y3106" i="16"/>
  <c r="X3107" i="16"/>
  <c r="Y3107" i="16"/>
  <c r="X3108" i="16"/>
  <c r="Y3108" i="16"/>
  <c r="X3109" i="16"/>
  <c r="Y3109" i="16"/>
  <c r="X3110" i="16"/>
  <c r="Y3110" i="16"/>
  <c r="X3111" i="16"/>
  <c r="Y3111" i="16"/>
  <c r="X3112" i="16"/>
  <c r="X3113" i="16"/>
  <c r="Y3112" i="16"/>
  <c r="X3114" i="16"/>
  <c r="Y3113" i="16"/>
  <c r="Y3114" i="16"/>
  <c r="X3115" i="16"/>
  <c r="Y3115" i="16"/>
  <c r="X3116" i="16"/>
  <c r="Y3116" i="16"/>
  <c r="X3117" i="16"/>
  <c r="X3118" i="16"/>
  <c r="Y3117" i="16"/>
  <c r="Y3118" i="16"/>
  <c r="X3119" i="16"/>
  <c r="Y3119" i="16"/>
  <c r="X3120" i="16"/>
  <c r="Y3120" i="16"/>
  <c r="X3121" i="16"/>
  <c r="X3122" i="16"/>
  <c r="Y3121" i="16"/>
  <c r="Y3122" i="16"/>
  <c r="X3123" i="16"/>
  <c r="X3124" i="16"/>
  <c r="Y3123" i="16"/>
  <c r="X3125" i="16"/>
  <c r="Y3124" i="16"/>
  <c r="X3126" i="16"/>
  <c r="Y3125" i="16"/>
  <c r="X3127" i="16"/>
  <c r="Y3126" i="16"/>
  <c r="Y3127" i="16"/>
  <c r="X3128" i="16"/>
  <c r="Y3128" i="16"/>
  <c r="X3129" i="16"/>
  <c r="X3130" i="16"/>
  <c r="Y3129" i="16"/>
  <c r="Y3130" i="16"/>
  <c r="X3131" i="16"/>
  <c r="X3132" i="16"/>
  <c r="Y3131" i="16"/>
  <c r="X3133" i="16"/>
  <c r="Y3132" i="16"/>
  <c r="X3134" i="16"/>
  <c r="Y3133" i="16"/>
  <c r="Y3134" i="16"/>
  <c r="X3135" i="16"/>
  <c r="X3136" i="16"/>
  <c r="Y3135" i="16"/>
  <c r="Y3136" i="16"/>
  <c r="X3137" i="16"/>
  <c r="X3138" i="16"/>
  <c r="Y3137" i="16"/>
  <c r="X3139" i="16"/>
  <c r="Y3138" i="16"/>
  <c r="X3140" i="16"/>
  <c r="Y3139" i="16"/>
  <c r="Y3140" i="16"/>
  <c r="X3141" i="16"/>
  <c r="Y3141" i="16"/>
  <c r="X3142" i="16"/>
  <c r="X3143" i="16"/>
  <c r="Y3142" i="16"/>
  <c r="Y3143" i="16"/>
  <c r="X3144" i="16"/>
  <c r="X3145" i="16"/>
  <c r="Y3144" i="16"/>
  <c r="Y3145" i="16"/>
  <c r="X3146" i="16"/>
  <c r="Y3146" i="16"/>
  <c r="X3147" i="16"/>
  <c r="X3148" i="16"/>
  <c r="Y3147" i="16"/>
  <c r="Y3148" i="16"/>
  <c r="X3149" i="16"/>
  <c r="Y3149" i="16"/>
  <c r="X3150" i="16"/>
  <c r="X3151" i="16"/>
  <c r="Y3150" i="16"/>
  <c r="Y3151" i="16"/>
  <c r="X3152" i="16"/>
  <c r="X3153" i="16"/>
  <c r="Y3152" i="16"/>
  <c r="Y3153" i="16"/>
  <c r="X3154" i="16"/>
  <c r="Y3154" i="16"/>
  <c r="X3155" i="16"/>
  <c r="Y3155" i="16"/>
  <c r="X3156" i="16"/>
  <c r="X3157" i="16"/>
  <c r="Y3156" i="16"/>
  <c r="X3158" i="16"/>
  <c r="Y3157" i="16"/>
  <c r="X3159" i="16"/>
  <c r="Y3158" i="16"/>
  <c r="Y3159" i="16"/>
  <c r="X3160" i="16"/>
  <c r="X3161" i="16"/>
  <c r="Y3160" i="16"/>
  <c r="X3162" i="16"/>
  <c r="Y3161" i="16"/>
  <c r="Y3162" i="16"/>
  <c r="X3163" i="16"/>
  <c r="X3164" i="16"/>
  <c r="Y3163" i="16"/>
  <c r="X3165" i="16"/>
  <c r="Y3164" i="16"/>
  <c r="Y3165" i="16"/>
  <c r="X3166" i="16"/>
  <c r="X3167" i="16"/>
  <c r="Y3166" i="16"/>
  <c r="X3168" i="16"/>
  <c r="Y3167" i="16"/>
  <c r="Y3168" i="16"/>
  <c r="X3169" i="16"/>
  <c r="Y3169" i="16"/>
  <c r="X3170" i="16"/>
  <c r="Y3170" i="16"/>
  <c r="X3171" i="16"/>
  <c r="Y3171" i="16"/>
  <c r="X3172" i="16"/>
  <c r="X3173" i="16"/>
  <c r="Y3172" i="16"/>
  <c r="Y3173" i="16"/>
  <c r="X3174" i="16"/>
  <c r="X3175" i="16"/>
  <c r="Y3174" i="16"/>
  <c r="Y3175" i="16"/>
  <c r="X3176" i="16"/>
  <c r="X3177" i="16"/>
  <c r="Y3176" i="16"/>
  <c r="X3178" i="16"/>
  <c r="Y3177" i="16"/>
  <c r="Y3178" i="16"/>
  <c r="X3179" i="16"/>
  <c r="X3180" i="16"/>
  <c r="Y3179" i="16"/>
  <c r="Y3180" i="16"/>
  <c r="X3181" i="16"/>
  <c r="Y3181" i="16"/>
  <c r="X3182" i="16"/>
  <c r="Y3182" i="16"/>
  <c r="X3183" i="16"/>
  <c r="X3184" i="16"/>
  <c r="Y3183" i="16"/>
  <c r="Y3184" i="16"/>
  <c r="X3185" i="16"/>
  <c r="X3186" i="16"/>
  <c r="Y3185" i="16"/>
  <c r="X3187" i="16"/>
  <c r="Y3186" i="16"/>
  <c r="X3188" i="16"/>
  <c r="Y3187" i="16"/>
  <c r="X3189" i="16"/>
  <c r="Y3188" i="16"/>
  <c r="Y3189" i="16"/>
  <c r="X3190" i="16"/>
  <c r="Y3190" i="16"/>
  <c r="X3191" i="16"/>
  <c r="X3192" i="16"/>
  <c r="Y3191" i="16"/>
  <c r="X3193" i="16"/>
  <c r="Y3192" i="16"/>
  <c r="X3194" i="16"/>
  <c r="Y3193" i="16"/>
  <c r="Y3194" i="16"/>
  <c r="X3195" i="16"/>
  <c r="Y3195" i="16"/>
  <c r="X3196" i="16"/>
  <c r="X3197" i="16"/>
  <c r="Y3196" i="16"/>
  <c r="X3198" i="16"/>
  <c r="Y3197" i="16"/>
  <c r="Y3198" i="16"/>
  <c r="X3199" i="16"/>
  <c r="X3200" i="16"/>
  <c r="Y3199" i="16"/>
  <c r="Y3200" i="16"/>
  <c r="X3201" i="16"/>
  <c r="Y3201" i="16"/>
  <c r="X3202" i="16"/>
  <c r="X3203" i="16"/>
  <c r="Y3202" i="16"/>
  <c r="X3204" i="16"/>
  <c r="Y3203" i="16"/>
  <c r="X3205" i="16"/>
  <c r="Y3204" i="16"/>
  <c r="X3206" i="16"/>
  <c r="Y3205" i="16"/>
  <c r="Y3206" i="16"/>
  <c r="X3207" i="16"/>
  <c r="Y3207" i="16"/>
  <c r="X3208" i="16"/>
  <c r="X3209" i="16"/>
  <c r="Y3208" i="16"/>
  <c r="Y3209" i="16"/>
  <c r="X3210" i="16"/>
  <c r="X3211" i="16"/>
  <c r="Y3210" i="16"/>
  <c r="X3212" i="16"/>
  <c r="Y3211" i="16"/>
  <c r="Y3212" i="16"/>
  <c r="X3213" i="16"/>
  <c r="X3214" i="16"/>
  <c r="Y3213" i="16"/>
  <c r="Y3214" i="16"/>
  <c r="X3215" i="16"/>
  <c r="X3216" i="16"/>
  <c r="Y3215" i="16"/>
  <c r="Y3216" i="16"/>
  <c r="X3217" i="16"/>
  <c r="Y3217" i="16"/>
  <c r="X3218" i="16"/>
  <c r="Y3218" i="16"/>
  <c r="X3219" i="16"/>
  <c r="X3220" i="16"/>
  <c r="Y3219" i="16"/>
  <c r="Y3220" i="16"/>
  <c r="X3221" i="16"/>
  <c r="X3222" i="16"/>
  <c r="Y3221" i="16"/>
  <c r="X3223" i="16"/>
  <c r="Y3222" i="16"/>
  <c r="Y3223" i="16"/>
  <c r="X3224" i="16"/>
  <c r="Y3224" i="16"/>
  <c r="X3225" i="16"/>
  <c r="X3226" i="16"/>
  <c r="Y3225" i="16"/>
  <c r="Y3226" i="16"/>
  <c r="X3227" i="16"/>
  <c r="X3228" i="16"/>
  <c r="Y3227" i="16"/>
  <c r="X3229" i="16"/>
  <c r="Y3228" i="16"/>
  <c r="X3230" i="16"/>
  <c r="Y3229" i="16"/>
  <c r="Y3230" i="16"/>
  <c r="X3231" i="16"/>
  <c r="Y3231" i="16"/>
  <c r="X3232" i="16"/>
  <c r="X3233" i="16"/>
  <c r="Y3232" i="16"/>
  <c r="Y3233" i="16"/>
  <c r="X3234" i="16"/>
  <c r="X3235" i="16"/>
  <c r="Y3234" i="16"/>
  <c r="X3236" i="16"/>
  <c r="Y3235" i="16"/>
  <c r="X3237" i="16"/>
  <c r="Y3236" i="16"/>
  <c r="X3238" i="16"/>
  <c r="Y3237" i="16"/>
  <c r="Y3238" i="16"/>
  <c r="X3239" i="16"/>
  <c r="X3240" i="16"/>
  <c r="Y3239" i="16"/>
  <c r="X3241" i="16"/>
  <c r="Y3240" i="16"/>
  <c r="Y3241" i="16"/>
  <c r="X3242" i="16"/>
  <c r="Y3242" i="16"/>
  <c r="X3243" i="16"/>
  <c r="Y3243" i="16"/>
  <c r="X3244" i="16"/>
  <c r="X3245" i="16"/>
  <c r="Y3244" i="16"/>
  <c r="Y3245" i="16"/>
  <c r="X3246" i="16"/>
  <c r="Y3246" i="16"/>
  <c r="X3247" i="16"/>
  <c r="X3248" i="16"/>
  <c r="Y3247" i="16"/>
  <c r="X3249" i="16"/>
  <c r="Y3248" i="16"/>
  <c r="X3250" i="16"/>
  <c r="Y3249" i="16"/>
  <c r="Y3250" i="16"/>
  <c r="X3251" i="16"/>
  <c r="Y3251" i="16"/>
  <c r="X3252" i="16"/>
  <c r="X3253" i="16"/>
  <c r="Y3252" i="16"/>
  <c r="Y3253" i="16"/>
  <c r="X3254" i="16"/>
  <c r="X3255" i="16"/>
  <c r="Y3254" i="16"/>
  <c r="Y3255" i="16"/>
  <c r="X3256" i="16"/>
  <c r="Y3256" i="16"/>
  <c r="X3257" i="16"/>
  <c r="X3258" i="16"/>
  <c r="Y3257" i="16"/>
  <c r="Y3258" i="16"/>
  <c r="X3259" i="16"/>
  <c r="X3260" i="16"/>
  <c r="Y3259" i="16"/>
  <c r="X3261" i="16"/>
  <c r="Y3260" i="16"/>
  <c r="Y3261" i="16"/>
  <c r="X3262" i="16"/>
  <c r="X3263" i="16"/>
  <c r="Y3262" i="16"/>
  <c r="Y3263" i="16"/>
  <c r="X3264" i="16"/>
  <c r="X3265" i="16"/>
  <c r="Y3264" i="16"/>
  <c r="X3266" i="16"/>
  <c r="Y3265" i="16"/>
  <c r="X3267" i="16"/>
  <c r="Y3266" i="16"/>
  <c r="Y3267" i="16"/>
  <c r="X3268" i="16"/>
  <c r="X3269" i="16"/>
  <c r="Y3268" i="16"/>
  <c r="Y3269" i="16"/>
  <c r="X3270" i="16"/>
  <c r="Y3270" i="16"/>
  <c r="X3271" i="16"/>
  <c r="X3272" i="16"/>
  <c r="Y3271" i="16"/>
  <c r="X3273" i="16"/>
  <c r="Y3272" i="16"/>
  <c r="Y3273" i="16"/>
  <c r="X3274" i="16"/>
  <c r="Y3274" i="16"/>
  <c r="X3275" i="16"/>
  <c r="Y3275" i="16"/>
  <c r="X3276" i="16"/>
  <c r="Y3276" i="16"/>
  <c r="X3277" i="16"/>
  <c r="Y3277" i="16"/>
  <c r="X3278" i="16"/>
  <c r="X3279" i="16"/>
  <c r="Y3278" i="16"/>
  <c r="X3280" i="16"/>
  <c r="Y3279" i="16"/>
  <c r="Y3280" i="16"/>
  <c r="X3281" i="16"/>
  <c r="Y3281" i="16"/>
  <c r="X3282" i="16"/>
  <c r="X3283" i="16"/>
  <c r="Y3282" i="16"/>
  <c r="Y3283" i="16"/>
  <c r="X3284" i="16"/>
  <c r="Y3284" i="16"/>
  <c r="X3285" i="16"/>
  <c r="X3286" i="16"/>
  <c r="Y3285" i="16"/>
  <c r="X3287" i="16"/>
  <c r="Y3286" i="16"/>
  <c r="X3288" i="16"/>
  <c r="Y3287" i="16"/>
  <c r="X3289" i="16"/>
  <c r="Y3288" i="16"/>
  <c r="Y3289" i="16"/>
  <c r="X3290" i="16"/>
  <c r="Y3290" i="16"/>
  <c r="X3291" i="16"/>
  <c r="X3292" i="16"/>
  <c r="Y3291" i="16"/>
  <c r="X3293" i="16"/>
  <c r="Y3292" i="16"/>
  <c r="Y3293" i="16"/>
  <c r="X3294" i="16"/>
  <c r="Y3294" i="16"/>
  <c r="X3295" i="16"/>
  <c r="Y3295" i="16"/>
  <c r="X3296" i="16"/>
  <c r="X3297" i="16"/>
  <c r="Y3296" i="16"/>
  <c r="X3298" i="16"/>
  <c r="Y3297" i="16"/>
  <c r="X3299" i="16"/>
  <c r="Y3298" i="16"/>
  <c r="X3300" i="16"/>
  <c r="Y3299" i="16"/>
  <c r="Y3300" i="16"/>
  <c r="X3301" i="16"/>
  <c r="X3302" i="16"/>
  <c r="Y3301" i="16"/>
  <c r="X3303" i="16"/>
  <c r="Y3302" i="16"/>
  <c r="X3304" i="16"/>
  <c r="Y3303" i="16"/>
  <c r="Y3304" i="16"/>
  <c r="X3305" i="16"/>
  <c r="X3306" i="16"/>
  <c r="Y3305" i="16"/>
  <c r="Y3306" i="16"/>
  <c r="X3307" i="16"/>
  <c r="Y3307" i="16"/>
  <c r="X3308" i="16"/>
  <c r="X3309" i="16"/>
  <c r="Y3308" i="16"/>
  <c r="Y3309" i="16"/>
  <c r="X3310" i="16"/>
  <c r="Y3310" i="16"/>
  <c r="X3311" i="16"/>
  <c r="Y3311" i="16"/>
  <c r="X3312" i="16"/>
  <c r="Y3312" i="16"/>
  <c r="X3313" i="16"/>
  <c r="Y3313" i="16"/>
  <c r="X3314" i="16"/>
  <c r="X3315" i="16"/>
  <c r="Y3314" i="16"/>
  <c r="X3316" i="16"/>
  <c r="Y3315" i="16"/>
  <c r="Y3316" i="16"/>
  <c r="X3317" i="16"/>
  <c r="Y3317" i="16"/>
  <c r="X3318" i="16"/>
  <c r="X3319" i="16"/>
  <c r="Y3318" i="16"/>
  <c r="Y3319" i="16"/>
  <c r="X3320" i="16"/>
  <c r="Y3320" i="16"/>
  <c r="X3321" i="16"/>
  <c r="X3322" i="16"/>
  <c r="Y3321" i="16"/>
  <c r="Y3322" i="16"/>
  <c r="X3323" i="16"/>
  <c r="X3324" i="16"/>
  <c r="Y3323" i="16"/>
  <c r="Y3324" i="16"/>
  <c r="X3325" i="16"/>
  <c r="X3326" i="16"/>
  <c r="Y3325" i="16"/>
  <c r="X3327" i="16"/>
  <c r="Y3326" i="16"/>
  <c r="Y3327" i="16"/>
  <c r="X3328" i="16"/>
  <c r="X3329" i="16"/>
  <c r="Y3328" i="16"/>
  <c r="X3330" i="16"/>
  <c r="Y3329" i="16"/>
  <c r="Y3330" i="16"/>
  <c r="X3331" i="16"/>
  <c r="X3332" i="16"/>
  <c r="Y3331" i="16"/>
  <c r="Y3332" i="16"/>
  <c r="X3333" i="16"/>
  <c r="X3334" i="16"/>
  <c r="Y3333" i="16"/>
  <c r="Y3334" i="16"/>
  <c r="X3335" i="16"/>
  <c r="Y3335" i="16"/>
  <c r="X3336" i="16"/>
  <c r="X3337" i="16"/>
  <c r="Y3336" i="16"/>
  <c r="Y3337" i="16"/>
  <c r="X3338" i="16"/>
  <c r="X3339" i="16"/>
  <c r="Y3338" i="16"/>
  <c r="X3340" i="16"/>
  <c r="Y3339" i="16"/>
  <c r="Y3340" i="16"/>
  <c r="X3341" i="16"/>
  <c r="Y3341" i="16"/>
  <c r="X3342" i="16"/>
  <c r="X3343" i="16"/>
  <c r="Y3342" i="16"/>
  <c r="X3344" i="16"/>
  <c r="Y3343" i="16"/>
  <c r="Y3344" i="16"/>
  <c r="X3345" i="16"/>
  <c r="Y3345" i="16"/>
  <c r="X3346" i="16"/>
  <c r="Y3346" i="16"/>
  <c r="X3347" i="16"/>
  <c r="X3348" i="16"/>
  <c r="Y3347" i="16"/>
  <c r="Y3348" i="16"/>
  <c r="X3349" i="16"/>
  <c r="X3350" i="16"/>
  <c r="Y3349" i="16"/>
  <c r="Y3350" i="16"/>
  <c r="X3351" i="16"/>
  <c r="X3352" i="16"/>
  <c r="Y3351" i="16"/>
  <c r="X3353" i="16"/>
  <c r="Y3352" i="16"/>
  <c r="X3354" i="16"/>
  <c r="Y3353" i="16"/>
  <c r="X3355" i="16"/>
  <c r="Y3354" i="16"/>
  <c r="Y3355" i="16"/>
  <c r="X3356" i="16"/>
  <c r="X3357" i="16"/>
  <c r="Y3356" i="16"/>
  <c r="Y3357" i="16"/>
  <c r="X3358" i="16"/>
  <c r="X3359" i="16"/>
  <c r="Y3358" i="16"/>
  <c r="Y3359" i="16"/>
  <c r="X3360" i="16"/>
  <c r="Y3360" i="16"/>
  <c r="X3361" i="16"/>
  <c r="Y3361" i="16"/>
  <c r="X3362" i="16"/>
  <c r="X3363" i="16"/>
  <c r="Y3362" i="16"/>
  <c r="Y3363" i="16"/>
  <c r="X3364" i="16"/>
  <c r="Y3364" i="16"/>
  <c r="X3365" i="16"/>
  <c r="Y3365" i="16"/>
  <c r="X3366" i="16"/>
  <c r="X3367" i="16"/>
  <c r="Y3366" i="16"/>
  <c r="Y3367" i="16"/>
  <c r="X3368" i="16"/>
  <c r="X3369" i="16"/>
  <c r="Y3368" i="16"/>
  <c r="X3370" i="16"/>
  <c r="Y3369" i="16"/>
  <c r="X3371" i="16"/>
  <c r="Y3370" i="16"/>
  <c r="X3372" i="16"/>
  <c r="Y3371" i="16"/>
  <c r="X3373" i="16"/>
  <c r="Y3372" i="16"/>
  <c r="Y3373" i="16"/>
  <c r="X3374" i="16"/>
  <c r="X3375" i="16"/>
  <c r="Y3374" i="16"/>
  <c r="Y3375" i="16"/>
  <c r="X3376" i="16"/>
  <c r="Y3376" i="16"/>
  <c r="X3377" i="16"/>
  <c r="Y3377" i="16"/>
  <c r="X3378" i="16"/>
  <c r="X3379" i="16"/>
  <c r="Y3378" i="16"/>
  <c r="X3380" i="16"/>
  <c r="Y3379" i="16"/>
  <c r="X3381" i="16"/>
  <c r="Y3380" i="16"/>
  <c r="X3382" i="16"/>
  <c r="Y3381" i="16"/>
  <c r="Y3382" i="16"/>
  <c r="X3383" i="16"/>
  <c r="Y3383" i="16"/>
  <c r="X3384" i="16"/>
  <c r="Y3384" i="16"/>
  <c r="X3385" i="16"/>
  <c r="Y3385" i="16"/>
  <c r="X3386" i="16"/>
  <c r="X3387" i="16"/>
  <c r="Y3386" i="16"/>
  <c r="Y3387" i="16"/>
  <c r="X3388" i="16"/>
  <c r="Y3388" i="16"/>
  <c r="X3389" i="16"/>
  <c r="Y3389" i="16"/>
  <c r="X3390" i="16"/>
  <c r="X3391" i="16"/>
  <c r="Y3390" i="16"/>
  <c r="Y3391" i="16"/>
  <c r="X3392" i="16"/>
  <c r="X3393" i="16"/>
  <c r="Y3392" i="16"/>
  <c r="X3394" i="16"/>
  <c r="Y3393" i="16"/>
  <c r="Y3394" i="16"/>
  <c r="X3395" i="16"/>
  <c r="X3396" i="16"/>
  <c r="Y3395" i="16"/>
  <c r="Y3396" i="16"/>
  <c r="X3397" i="16"/>
  <c r="Y3397" i="16"/>
  <c r="X3398" i="16"/>
  <c r="Y3398" i="16"/>
  <c r="X3399" i="16"/>
  <c r="Y3399" i="16"/>
  <c r="X3400" i="16"/>
  <c r="X3401" i="16"/>
  <c r="Y3400" i="16"/>
  <c r="X3402" i="16"/>
  <c r="Y3401" i="16"/>
  <c r="X3403" i="16"/>
  <c r="Y3402" i="16"/>
  <c r="Y3403" i="16"/>
  <c r="X3404" i="16"/>
  <c r="X3405" i="16"/>
  <c r="Y3404" i="16"/>
  <c r="X3406" i="16"/>
  <c r="Y3405" i="16"/>
  <c r="Y3406" i="16"/>
  <c r="X3407" i="16"/>
  <c r="X3408" i="16"/>
  <c r="Y3407" i="16"/>
  <c r="X3409" i="16"/>
  <c r="Y3408" i="16"/>
  <c r="X3410" i="16"/>
  <c r="Y3409" i="16"/>
  <c r="Y3410" i="16"/>
  <c r="X3411" i="16"/>
  <c r="Y3411" i="16"/>
  <c r="X3412" i="16"/>
  <c r="X3413" i="16"/>
  <c r="Y3412" i="16"/>
  <c r="X3414" i="16"/>
  <c r="Y3413" i="16"/>
  <c r="X3415" i="16"/>
  <c r="Y3414" i="16"/>
  <c r="Y3415" i="16"/>
  <c r="X3416" i="16"/>
  <c r="X3417" i="16"/>
  <c r="Y3416" i="16"/>
  <c r="Y3417" i="16"/>
  <c r="X3418" i="16"/>
  <c r="X3419" i="16"/>
  <c r="Y3418" i="16"/>
  <c r="X3420" i="16"/>
  <c r="Y3419" i="16"/>
  <c r="X3421" i="16"/>
  <c r="Y3420" i="16"/>
  <c r="Y3421" i="16"/>
  <c r="X3422" i="16"/>
  <c r="X3423" i="16"/>
  <c r="Y3422" i="16"/>
  <c r="Y3423" i="16"/>
  <c r="X3424" i="16"/>
  <c r="Y3424" i="16"/>
  <c r="X3425" i="16"/>
  <c r="Y3425" i="16"/>
  <c r="X3426" i="16"/>
  <c r="Y3426" i="16"/>
  <c r="X3427" i="16"/>
  <c r="Y3427" i="16"/>
  <c r="X3428" i="16"/>
  <c r="Y3428" i="16"/>
  <c r="X3429" i="16"/>
  <c r="X3430" i="16"/>
  <c r="Y3429" i="16"/>
  <c r="X3431" i="16"/>
  <c r="Y3430" i="16"/>
  <c r="X3432" i="16"/>
  <c r="Y3431" i="16"/>
  <c r="X3433" i="16"/>
  <c r="Y3432" i="16"/>
  <c r="X3434" i="16"/>
  <c r="Y3433" i="16"/>
  <c r="Y3434" i="16"/>
  <c r="X3435" i="16"/>
  <c r="Y3435" i="16"/>
  <c r="X3436" i="16"/>
  <c r="Y3436" i="16"/>
  <c r="X3437" i="16"/>
  <c r="X3438" i="16"/>
  <c r="Y3437" i="16"/>
  <c r="Y3438" i="16"/>
  <c r="X3439" i="16"/>
  <c r="Y3439" i="16"/>
  <c r="X3440" i="16"/>
  <c r="X3441" i="16"/>
  <c r="Y3440" i="16"/>
  <c r="Y3441" i="16"/>
  <c r="X3442" i="16"/>
  <c r="X3443" i="16"/>
  <c r="Y3442" i="16"/>
  <c r="Y3443" i="16"/>
  <c r="X3444" i="16"/>
  <c r="Y3444" i="16"/>
  <c r="X3445" i="16"/>
  <c r="X3446" i="16"/>
  <c r="Y3445" i="16"/>
  <c r="X3447" i="16"/>
  <c r="Y3446" i="16"/>
  <c r="Y3447" i="16"/>
  <c r="X3448" i="16"/>
  <c r="X3449" i="16"/>
  <c r="Y3448" i="16"/>
  <c r="Y3449" i="16"/>
  <c r="X3450" i="16"/>
  <c r="Y3450" i="16"/>
  <c r="X3451" i="16"/>
  <c r="X3452" i="16"/>
  <c r="Y3451" i="16"/>
  <c r="X3453" i="16"/>
  <c r="Y3452" i="16"/>
  <c r="X3454" i="16"/>
  <c r="Y3453" i="16"/>
  <c r="X3455" i="16"/>
  <c r="Y3454" i="16"/>
  <c r="X3456" i="16"/>
  <c r="Y3455" i="16"/>
  <c r="Y3456" i="16"/>
  <c r="X3457" i="16"/>
  <c r="X3458" i="16"/>
  <c r="Y3457" i="16"/>
  <c r="X3459" i="16"/>
  <c r="Y3458" i="16"/>
  <c r="Y3459" i="16"/>
  <c r="X3460" i="16"/>
  <c r="Y3460" i="16"/>
  <c r="X3461" i="16"/>
  <c r="Y3461" i="16"/>
  <c r="X3462" i="16"/>
  <c r="X3463" i="16"/>
  <c r="Y3462" i="16"/>
  <c r="X3464" i="16"/>
  <c r="Y3463" i="16"/>
  <c r="X3465" i="16"/>
  <c r="Y3464" i="16"/>
  <c r="Y3465" i="16"/>
  <c r="X3466" i="16"/>
  <c r="X3467" i="16"/>
  <c r="Y3466" i="16"/>
  <c r="Y3467" i="16"/>
  <c r="X3468" i="16"/>
  <c r="Y3468" i="16"/>
  <c r="X3469" i="16"/>
  <c r="X3470" i="16"/>
  <c r="Y3469" i="16"/>
  <c r="Y3470" i="16"/>
  <c r="X3471" i="16"/>
  <c r="X3472" i="16"/>
  <c r="Y3471" i="16"/>
  <c r="X3473" i="16"/>
  <c r="Y3472" i="16"/>
  <c r="X3474" i="16"/>
  <c r="Y3473" i="16"/>
  <c r="Y3474" i="16"/>
  <c r="X3475" i="16"/>
  <c r="Y3475" i="16"/>
  <c r="X3476" i="16"/>
  <c r="X3477" i="16"/>
  <c r="Y3476" i="16"/>
  <c r="X3478" i="16"/>
  <c r="Y3477" i="16"/>
  <c r="X3479" i="16"/>
  <c r="Y3478" i="16"/>
  <c r="Y3479" i="16"/>
  <c r="X3480" i="16"/>
  <c r="Y3480" i="16"/>
  <c r="X3481" i="16"/>
  <c r="X3482" i="16"/>
  <c r="Y3481" i="16"/>
  <c r="Y3482" i="16"/>
  <c r="X3483" i="16"/>
  <c r="Y3483" i="16"/>
  <c r="X3484" i="16"/>
  <c r="X3485" i="16"/>
  <c r="Y3484" i="16"/>
  <c r="X3486" i="16"/>
  <c r="Y3485" i="16"/>
  <c r="Y3486" i="16"/>
  <c r="X3487" i="16"/>
  <c r="Y3487" i="16"/>
  <c r="X3488" i="16"/>
  <c r="Y3488" i="16"/>
  <c r="X3489" i="16"/>
  <c r="X3490" i="16"/>
  <c r="Y3489" i="16"/>
  <c r="Y3490" i="16"/>
  <c r="X3491" i="16"/>
  <c r="X3492" i="16"/>
  <c r="Y3491" i="16"/>
  <c r="X3493" i="16"/>
  <c r="Y3492" i="16"/>
  <c r="Y3493" i="16"/>
  <c r="X3494" i="16"/>
  <c r="X3495" i="16"/>
  <c r="Y3494" i="16"/>
  <c r="Y3495" i="16"/>
  <c r="X3496" i="16"/>
  <c r="Y3496" i="16"/>
  <c r="X3497" i="16"/>
  <c r="X3498" i="16"/>
  <c r="Y3497" i="16"/>
  <c r="X3499" i="16"/>
  <c r="Y3498" i="16"/>
  <c r="Y3499" i="16"/>
  <c r="X3500" i="16"/>
  <c r="X3501" i="16"/>
  <c r="Y3500" i="16"/>
  <c r="X3502" i="16"/>
  <c r="Y3501" i="16"/>
  <c r="X3503" i="16"/>
  <c r="Y3502" i="16"/>
  <c r="Y3503" i="16"/>
  <c r="X3504" i="16"/>
  <c r="Y3504" i="16"/>
  <c r="X3505" i="16"/>
  <c r="Y3505" i="16"/>
  <c r="X3506" i="16"/>
  <c r="X3507" i="16"/>
  <c r="Y3506" i="16"/>
  <c r="X3508" i="16"/>
  <c r="Y3507" i="16"/>
  <c r="Y3508" i="16"/>
  <c r="X3509" i="16"/>
  <c r="X3510" i="16"/>
  <c r="Y3509" i="16"/>
  <c r="Y3510" i="16"/>
  <c r="X3511" i="16"/>
  <c r="Y3511" i="16"/>
  <c r="X3512" i="16"/>
  <c r="Y3512" i="16"/>
  <c r="X3513" i="16"/>
  <c r="X3514" i="16"/>
  <c r="Y3513" i="16"/>
  <c r="Y3514" i="16"/>
  <c r="X3515" i="16"/>
  <c r="Y3515" i="16"/>
  <c r="X3516" i="16"/>
  <c r="Y3516" i="16"/>
  <c r="X3517" i="16"/>
  <c r="X3518" i="16"/>
  <c r="Y3517" i="16"/>
  <c r="X3519" i="16"/>
  <c r="Y3518" i="16"/>
  <c r="Y3519" i="16"/>
  <c r="X3520" i="16"/>
  <c r="Y3520" i="16"/>
  <c r="X3521" i="16"/>
  <c r="X3522" i="16"/>
  <c r="Y3521" i="16"/>
  <c r="Y3522" i="16"/>
  <c r="X3523" i="16"/>
  <c r="Y3523" i="16"/>
  <c r="X3524" i="16"/>
  <c r="Y3524" i="16"/>
  <c r="X3525" i="16"/>
  <c r="X3526" i="16"/>
  <c r="Y3525" i="16"/>
  <c r="X3527" i="16"/>
  <c r="Y3526" i="16"/>
  <c r="X3528" i="16"/>
  <c r="Y3527" i="16"/>
  <c r="Y3528" i="16"/>
  <c r="X3529" i="16"/>
  <c r="X3530" i="16"/>
  <c r="Y3529" i="16"/>
  <c r="Y3530" i="16"/>
  <c r="X3531" i="16"/>
  <c r="X3532" i="16"/>
  <c r="Y3531" i="16"/>
  <c r="X3533" i="16"/>
  <c r="Y3532" i="16"/>
  <c r="Y3533" i="16"/>
  <c r="X3534" i="16"/>
  <c r="Y3534" i="16"/>
  <c r="X3535" i="16"/>
  <c r="Y3535" i="16"/>
  <c r="X3536" i="16"/>
  <c r="X3537" i="16"/>
  <c r="Y3536" i="16"/>
  <c r="Y3537" i="16"/>
  <c r="X3538" i="16"/>
  <c r="Y3538" i="16"/>
  <c r="X3539" i="16"/>
  <c r="Y3539" i="16"/>
  <c r="X3540" i="16"/>
  <c r="X3541" i="16"/>
  <c r="Y3540" i="16"/>
  <c r="Y3541" i="16"/>
  <c r="X3542" i="16"/>
  <c r="Y3542" i="16"/>
  <c r="X3543" i="16"/>
  <c r="X3544" i="16"/>
  <c r="Y3543" i="16"/>
  <c r="Y3544" i="16"/>
  <c r="X3545" i="16"/>
  <c r="X3546" i="16"/>
  <c r="Y3545" i="16"/>
  <c r="Y3546" i="16"/>
  <c r="X3547" i="16"/>
  <c r="Y3547" i="16"/>
  <c r="X3548" i="16"/>
  <c r="Y3548" i="16"/>
  <c r="X3549" i="16"/>
  <c r="X3550" i="16"/>
  <c r="Y3549" i="16"/>
  <c r="X3551" i="16"/>
  <c r="Y3550" i="16"/>
  <c r="X3552" i="16"/>
  <c r="Y3551" i="16"/>
  <c r="P18" i="5" l="1"/>
  <c r="E12" i="5"/>
  <c r="E14" i="5"/>
  <c r="E11" i="5"/>
  <c r="E10" i="5"/>
  <c r="E13" i="5"/>
  <c r="E9" i="5"/>
  <c r="I1" i="7"/>
  <c r="J1" i="7" s="1"/>
  <c r="I3" i="7"/>
  <c r="I4" i="7"/>
  <c r="I5" i="7"/>
  <c r="I6" i="7"/>
  <c r="I7" i="7"/>
  <c r="I8" i="7"/>
  <c r="F1" i="7"/>
  <c r="I9" i="7"/>
  <c r="G2" i="9"/>
  <c r="Y3552" i="16"/>
  <c r="D8" i="7"/>
  <c r="E4" i="7"/>
  <c r="E7" i="7"/>
  <c r="E6" i="7"/>
  <c r="G7" i="7"/>
  <c r="E3" i="7"/>
  <c r="H3" i="7"/>
  <c r="D3" i="7"/>
  <c r="H8" i="7"/>
  <c r="D5" i="7"/>
  <c r="F7" i="7"/>
  <c r="G8" i="7"/>
  <c r="H5" i="7"/>
  <c r="F8" i="7"/>
  <c r="G9" i="7"/>
  <c r="D9" i="7"/>
  <c r="H7" i="7"/>
  <c r="D6" i="7"/>
  <c r="E5" i="7"/>
  <c r="H4" i="7"/>
  <c r="H6" i="7"/>
  <c r="D4" i="7"/>
  <c r="E9" i="7"/>
  <c r="D7" i="7"/>
  <c r="E8" i="7"/>
  <c r="H9" i="7"/>
  <c r="F9" i="7"/>
  <c r="J2" i="7" l="1"/>
  <c r="H8" i="9"/>
  <c r="J6" i="7"/>
  <c r="H3" i="9"/>
  <c r="H4" i="9"/>
  <c r="J7" i="7"/>
  <c r="H7" i="9"/>
  <c r="H5" i="9"/>
  <c r="J3" i="7"/>
  <c r="J4" i="7"/>
  <c r="J9" i="7"/>
  <c r="H6" i="9"/>
  <c r="J8" i="7"/>
  <c r="H2" i="9"/>
  <c r="J5" i="7"/>
  <c r="E3" i="5" l="1"/>
  <c r="E6" i="5"/>
  <c r="E4" i="5"/>
  <c r="E7" i="5"/>
  <c r="E2" i="5"/>
  <c r="E8" i="5"/>
  <c r="E5" i="5"/>
  <c r="D7" i="6"/>
  <c r="D8" i="6"/>
  <c r="D20" i="6"/>
  <c r="D9" i="5"/>
  <c r="D10" i="5"/>
  <c r="D11" i="5"/>
  <c r="D12" i="5"/>
  <c r="D13" i="5"/>
  <c r="D14" i="5"/>
  <c r="D6" i="6"/>
  <c r="K4" i="7"/>
  <c r="F6" i="5"/>
  <c r="K3" i="7"/>
  <c r="F2" i="5"/>
  <c r="F4" i="5"/>
  <c r="K6" i="7"/>
  <c r="K2" i="7"/>
  <c r="F3" i="5"/>
  <c r="D15" i="5" a="1"/>
  <c r="B1" i="6"/>
  <c r="K5" i="7"/>
  <c r="K7" i="7"/>
  <c r="F5" i="5"/>
  <c r="K9" i="7"/>
  <c r="F8" i="5"/>
  <c r="F7" i="5"/>
  <c r="K8" i="7"/>
  <c r="D9" i="6" l="1"/>
  <c r="D16" i="6"/>
  <c r="C16" i="5"/>
  <c r="C15" i="5"/>
  <c r="D16" i="5"/>
  <c r="D15" i="5"/>
  <c r="C17" i="5"/>
  <c r="D17" i="5"/>
  <c r="C18" i="5" l="1"/>
  <c r="D18" i="5"/>
  <c r="R18" i="5"/>
  <c r="G14" i="5"/>
  <c r="M9" i="5"/>
  <c r="G15" i="5"/>
  <c r="G11" i="5"/>
  <c r="L13" i="5"/>
  <c r="M7" i="5"/>
  <c r="M17" i="5"/>
  <c r="F13" i="5"/>
  <c r="G3" i="5"/>
  <c r="M13" i="5"/>
  <c r="H17" i="5"/>
  <c r="L2" i="5"/>
  <c r="M15" i="5"/>
  <c r="G7" i="5"/>
  <c r="M5" i="5"/>
  <c r="L12" i="5"/>
  <c r="F11" i="5"/>
  <c r="F9" i="5"/>
  <c r="L4" i="5"/>
  <c r="M14" i="5"/>
  <c r="G13" i="5"/>
  <c r="M8" i="5"/>
  <c r="G17" i="5"/>
  <c r="L9" i="5"/>
  <c r="G2" i="5"/>
  <c r="M16" i="5"/>
  <c r="L16" i="5"/>
  <c r="L3" i="5"/>
  <c r="G4" i="5"/>
  <c r="L7" i="5"/>
  <c r="Q18" i="5"/>
  <c r="L11" i="5"/>
  <c r="M6" i="5"/>
  <c r="M2" i="5"/>
  <c r="G8" i="5"/>
  <c r="L10" i="5"/>
  <c r="L15" i="5"/>
  <c r="L5" i="5"/>
  <c r="G12" i="5"/>
  <c r="M11" i="5"/>
  <c r="M3" i="5"/>
  <c r="G9" i="5"/>
  <c r="F14" i="5"/>
  <c r="L14" i="5"/>
  <c r="L6" i="5"/>
  <c r="G5" i="5"/>
  <c r="H16" i="5"/>
  <c r="G10" i="5"/>
  <c r="L8" i="5"/>
  <c r="F10" i="5"/>
  <c r="H15" i="5"/>
  <c r="M12" i="5"/>
  <c r="G6" i="5"/>
  <c r="F12" i="5"/>
  <c r="M4" i="5"/>
  <c r="G16" i="5"/>
  <c r="M10" i="5"/>
  <c r="L17" i="5"/>
  <c r="Q15" i="5"/>
  <c r="P16" i="5" l="1"/>
  <c r="P17" i="5"/>
  <c r="P15" i="5"/>
  <c r="C19" i="5"/>
  <c r="D19" i="5"/>
  <c r="R16" i="5"/>
  <c r="R17" i="5"/>
  <c r="R15" i="5"/>
  <c r="L18" i="5"/>
  <c r="M18" i="5"/>
  <c r="Q16" i="5"/>
  <c r="M19" i="16" a="1"/>
  <c r="H18" i="5"/>
  <c r="Q17" i="5"/>
  <c r="C20" i="5" l="1"/>
  <c r="D20" i="5"/>
  <c r="M21" i="16"/>
  <c r="M19" i="16"/>
  <c r="M26" i="16"/>
  <c r="M20" i="16"/>
  <c r="M24" i="16"/>
  <c r="M23" i="16"/>
  <c r="M22" i="16"/>
  <c r="M25" i="16"/>
  <c r="N25" i="16"/>
  <c r="N26" i="16"/>
  <c r="H19" i="5"/>
  <c r="N19" i="16"/>
  <c r="N24" i="16"/>
  <c r="M19" i="5"/>
  <c r="L19" i="5"/>
  <c r="N22" i="16"/>
  <c r="N20" i="16"/>
  <c r="N21" i="16"/>
  <c r="N23" i="16"/>
  <c r="G19" i="5"/>
  <c r="P19" i="5" l="1"/>
  <c r="C21" i="5"/>
  <c r="D21" i="5"/>
  <c r="R19" i="5"/>
  <c r="H20" i="5"/>
  <c r="L20" i="5"/>
  <c r="Q19" i="5"/>
  <c r="M20" i="5"/>
  <c r="G20" i="5"/>
  <c r="P20" i="5" l="1"/>
  <c r="C22" i="5"/>
  <c r="D22" i="5"/>
  <c r="R20" i="5"/>
  <c r="G21" i="5"/>
  <c r="Q20" i="5"/>
  <c r="L21" i="5"/>
  <c r="M21" i="5"/>
  <c r="H21" i="5"/>
  <c r="P21" i="5" l="1"/>
  <c r="C23" i="5"/>
  <c r="D23" i="5"/>
  <c r="M22" i="5"/>
  <c r="G22" i="5"/>
  <c r="L22" i="5"/>
  <c r="H22" i="5"/>
  <c r="R21" i="5"/>
  <c r="Q21" i="5"/>
  <c r="P22" i="5" l="1"/>
  <c r="C24" i="5"/>
  <c r="D24" i="5"/>
  <c r="R22" i="5"/>
  <c r="Q22" i="5"/>
  <c r="G23" i="5"/>
  <c r="L23" i="5"/>
  <c r="M23" i="5"/>
  <c r="H23" i="5"/>
  <c r="P23" i="5" l="1"/>
  <c r="C25" i="5"/>
  <c r="D25" i="5"/>
  <c r="R23" i="5"/>
  <c r="H24" i="5"/>
  <c r="Q23" i="5"/>
  <c r="L24" i="5"/>
  <c r="M24" i="5"/>
  <c r="G24" i="5"/>
  <c r="P24" i="5" l="1"/>
  <c r="C26" i="5"/>
  <c r="D26" i="5"/>
  <c r="Q24" i="5"/>
  <c r="G25" i="5"/>
  <c r="H25" i="5"/>
  <c r="M25" i="5"/>
  <c r="R24" i="5"/>
  <c r="L25" i="5"/>
  <c r="P25" i="5" l="1"/>
  <c r="C27" i="5"/>
  <c r="D27" i="5"/>
  <c r="C28" i="5"/>
  <c r="D28" i="5"/>
  <c r="Q25" i="5"/>
  <c r="M26" i="5"/>
  <c r="H26" i="5"/>
  <c r="L26" i="5"/>
  <c r="R25" i="5"/>
  <c r="G26" i="5"/>
  <c r="P26" i="5" l="1"/>
  <c r="C29" i="5"/>
  <c r="D29" i="5"/>
  <c r="H28" i="5"/>
  <c r="G27" i="5"/>
  <c r="L28" i="5"/>
  <c r="L27" i="5"/>
  <c r="Q26" i="5"/>
  <c r="M28" i="5"/>
  <c r="G28" i="5"/>
  <c r="M27" i="5"/>
  <c r="H27" i="5"/>
  <c r="R26" i="5"/>
  <c r="P27" i="5" l="1"/>
  <c r="P28" i="5"/>
  <c r="C30" i="5"/>
  <c r="D30" i="5"/>
  <c r="H29" i="5"/>
  <c r="R28" i="5"/>
  <c r="Q28" i="5"/>
  <c r="L29" i="5"/>
  <c r="G29" i="5"/>
  <c r="R27" i="5"/>
  <c r="Q27" i="5"/>
  <c r="M29" i="5"/>
  <c r="P29" i="5" l="1"/>
  <c r="C31" i="5"/>
  <c r="D31" i="5"/>
  <c r="H30" i="5"/>
  <c r="G30" i="5"/>
  <c r="R29" i="5"/>
  <c r="M30" i="5"/>
  <c r="L30" i="5"/>
  <c r="Q29" i="5"/>
  <c r="P30" i="5" l="1"/>
  <c r="C32" i="5"/>
  <c r="D32" i="5"/>
  <c r="G31" i="5"/>
  <c r="Q30" i="5"/>
  <c r="R30" i="5"/>
  <c r="H31" i="5"/>
  <c r="M31" i="5"/>
  <c r="L31" i="5"/>
  <c r="P31" i="5" l="1"/>
  <c r="C33" i="5"/>
  <c r="D33" i="5"/>
  <c r="M32" i="5"/>
  <c r="L32" i="5"/>
  <c r="R31" i="5"/>
  <c r="H32" i="5"/>
  <c r="Q31" i="5"/>
  <c r="G32" i="5"/>
  <c r="P32" i="5" l="1"/>
  <c r="C34" i="5"/>
  <c r="D34" i="5"/>
  <c r="L33" i="5"/>
  <c r="H33" i="5"/>
  <c r="G33" i="5"/>
  <c r="Q32" i="5"/>
  <c r="M33" i="5"/>
  <c r="R32" i="5"/>
  <c r="P33" i="5" l="1"/>
  <c r="C35" i="5"/>
  <c r="D35" i="5"/>
  <c r="R33" i="5"/>
  <c r="H34" i="5"/>
  <c r="L34" i="5"/>
  <c r="G34" i="5"/>
  <c r="Q33" i="5"/>
  <c r="M34" i="5"/>
  <c r="P34" i="5" l="1"/>
  <c r="C36" i="5"/>
  <c r="D36" i="5"/>
  <c r="G35" i="5"/>
  <c r="H35" i="5"/>
  <c r="L35" i="5"/>
  <c r="R34" i="5"/>
  <c r="Q34" i="5"/>
  <c r="M35" i="5"/>
  <c r="P35" i="5" l="1"/>
  <c r="C37" i="5"/>
  <c r="D37" i="5"/>
  <c r="H36" i="5"/>
  <c r="R35" i="5"/>
  <c r="G36" i="5"/>
  <c r="M36" i="5"/>
  <c r="L36" i="5"/>
  <c r="Q35" i="5"/>
  <c r="P36" i="5" l="1"/>
  <c r="C38" i="5"/>
  <c r="D38" i="5"/>
  <c r="H37" i="5"/>
  <c r="L37" i="5"/>
  <c r="R36" i="5"/>
  <c r="Q36" i="5"/>
  <c r="G37" i="5"/>
  <c r="M37" i="5"/>
  <c r="P37" i="5" l="1"/>
  <c r="C39" i="5"/>
  <c r="D39" i="5"/>
  <c r="G38" i="5"/>
  <c r="H38" i="5"/>
  <c r="Q37" i="5"/>
  <c r="R37" i="5"/>
  <c r="M38" i="5"/>
  <c r="L38" i="5"/>
  <c r="P38" i="5" l="1"/>
  <c r="C40" i="5"/>
  <c r="D40" i="5"/>
  <c r="L39" i="5"/>
  <c r="M39" i="5"/>
  <c r="H39" i="5"/>
  <c r="R38" i="5"/>
  <c r="G39" i="5"/>
  <c r="Q38" i="5"/>
  <c r="P39" i="5" l="1"/>
  <c r="C41" i="5"/>
  <c r="D41" i="5"/>
  <c r="M40" i="5"/>
  <c r="R39" i="5"/>
  <c r="H40" i="5"/>
  <c r="G40" i="5"/>
  <c r="Q39" i="5"/>
  <c r="L40" i="5"/>
  <c r="P40" i="5" l="1"/>
  <c r="C42" i="5"/>
  <c r="D42" i="5"/>
  <c r="Q40" i="5"/>
  <c r="H41" i="5"/>
  <c r="G41" i="5"/>
  <c r="L41" i="5"/>
  <c r="R40" i="5"/>
  <c r="M41" i="5"/>
  <c r="P41" i="5" l="1"/>
  <c r="C43" i="5"/>
  <c r="D43" i="5"/>
  <c r="H42" i="5"/>
  <c r="M42" i="5"/>
  <c r="Q41" i="5"/>
  <c r="G42" i="5"/>
  <c r="R41" i="5"/>
  <c r="L42" i="5"/>
  <c r="P42" i="5" l="1"/>
  <c r="C44" i="5"/>
  <c r="D44" i="5"/>
  <c r="H43" i="5"/>
  <c r="L43" i="5"/>
  <c r="R42" i="5"/>
  <c r="Q42" i="5"/>
  <c r="G43" i="5"/>
  <c r="M43" i="5"/>
  <c r="P43" i="5" l="1"/>
  <c r="C45" i="5"/>
  <c r="D45" i="5"/>
  <c r="R43" i="5"/>
  <c r="H44" i="5"/>
  <c r="Q43" i="5"/>
  <c r="G44" i="5"/>
  <c r="M44" i="5"/>
  <c r="L44" i="5"/>
  <c r="P44" i="5" l="1"/>
  <c r="C46" i="5"/>
  <c r="D46" i="5"/>
  <c r="Q44" i="5"/>
  <c r="R44" i="5"/>
  <c r="M45" i="5"/>
  <c r="H45" i="5"/>
  <c r="G45" i="5"/>
  <c r="L45" i="5"/>
  <c r="P45" i="5" l="1"/>
  <c r="C47" i="5"/>
  <c r="D47" i="5"/>
  <c r="M46" i="5"/>
  <c r="G46" i="5"/>
  <c r="H46" i="5"/>
  <c r="Q45" i="5"/>
  <c r="L46" i="5"/>
  <c r="R45" i="5"/>
  <c r="P46" i="5" l="1"/>
  <c r="C48" i="5"/>
  <c r="D48" i="5"/>
  <c r="C49" i="5"/>
  <c r="D49" i="5"/>
  <c r="M47" i="5"/>
  <c r="H47" i="5"/>
  <c r="G47" i="5"/>
  <c r="Q46" i="5"/>
  <c r="L47" i="5"/>
  <c r="R46" i="5"/>
  <c r="P47" i="5" l="1"/>
  <c r="C50" i="5"/>
  <c r="D50" i="5"/>
  <c r="G49" i="5"/>
  <c r="Q47" i="5"/>
  <c r="M49" i="5"/>
  <c r="H49" i="5"/>
  <c r="M48" i="5"/>
  <c r="H48" i="5"/>
  <c r="R47" i="5"/>
  <c r="L49" i="5"/>
  <c r="G48" i="5"/>
  <c r="L48" i="5"/>
  <c r="P49" i="5" l="1"/>
  <c r="P48" i="5"/>
  <c r="C51" i="5"/>
  <c r="D51" i="5"/>
  <c r="Q49" i="5"/>
  <c r="M50" i="5"/>
  <c r="H50" i="5"/>
  <c r="G50" i="5"/>
  <c r="L50" i="5"/>
  <c r="R48" i="5"/>
  <c r="Q48" i="5"/>
  <c r="R49" i="5"/>
  <c r="P50" i="5" l="1"/>
  <c r="C52" i="5"/>
  <c r="D52" i="5"/>
  <c r="C53" i="5"/>
  <c r="D53" i="5"/>
  <c r="C54" i="5"/>
  <c r="D54" i="5"/>
  <c r="G51" i="5"/>
  <c r="H51" i="5"/>
  <c r="M51" i="5"/>
  <c r="Q50" i="5"/>
  <c r="L51" i="5"/>
  <c r="R50" i="5"/>
  <c r="P51" i="5" l="1"/>
  <c r="C55" i="5"/>
  <c r="D55" i="5"/>
  <c r="C56" i="5"/>
  <c r="D56" i="5"/>
  <c r="M54" i="5"/>
  <c r="L54" i="5"/>
  <c r="H53" i="5"/>
  <c r="M53" i="5"/>
  <c r="G52" i="5"/>
  <c r="Q51" i="5"/>
  <c r="H52" i="5"/>
  <c r="H54" i="5"/>
  <c r="G53" i="5"/>
  <c r="M52" i="5"/>
  <c r="R51" i="5"/>
  <c r="L53" i="5"/>
  <c r="G54" i="5"/>
  <c r="L52" i="5"/>
  <c r="P54" i="5" l="1"/>
  <c r="P53" i="5"/>
  <c r="P52" i="5"/>
  <c r="E57" i="5"/>
  <c r="E58" i="5"/>
  <c r="E59" i="5"/>
  <c r="E60" i="5"/>
  <c r="E61" i="5"/>
  <c r="E62" i="5"/>
  <c r="E63" i="5"/>
  <c r="B64" i="5"/>
  <c r="C64" i="5"/>
  <c r="B65" i="5"/>
  <c r="C65" i="5"/>
  <c r="F57" i="5"/>
  <c r="F61" i="5"/>
  <c r="F58" i="5"/>
  <c r="F62" i="5"/>
  <c r="F59" i="5"/>
  <c r="F63" i="5"/>
  <c r="F60" i="5"/>
  <c r="Q53" i="5"/>
  <c r="M56" i="5"/>
  <c r="L63" i="5"/>
  <c r="R54" i="5"/>
  <c r="M61" i="5"/>
  <c r="H57" i="5"/>
  <c r="L60" i="5"/>
  <c r="L56" i="5"/>
  <c r="G58" i="5"/>
  <c r="G56" i="5"/>
  <c r="M55" i="5"/>
  <c r="M60" i="5"/>
  <c r="L58" i="5"/>
  <c r="G62" i="5"/>
  <c r="G55" i="5"/>
  <c r="L55" i="5"/>
  <c r="H59" i="5"/>
  <c r="H58" i="5"/>
  <c r="H60" i="5"/>
  <c r="H55" i="5"/>
  <c r="H56" i="5"/>
  <c r="Q52" i="5"/>
  <c r="M63" i="5"/>
  <c r="Q54" i="5"/>
  <c r="R53" i="5"/>
  <c r="R52" i="5"/>
  <c r="G59" i="5"/>
  <c r="G57" i="5"/>
  <c r="L62" i="5"/>
  <c r="M59" i="5"/>
  <c r="M57" i="5"/>
  <c r="H62" i="5"/>
  <c r="M58" i="5"/>
  <c r="H63" i="5"/>
  <c r="L61" i="5"/>
  <c r="G60" i="5"/>
  <c r="H61" i="5"/>
  <c r="L57" i="5"/>
  <c r="L59" i="5"/>
  <c r="M62" i="5"/>
  <c r="G61" i="5"/>
  <c r="G63" i="5"/>
  <c r="P56" i="5" l="1"/>
  <c r="P55" i="5"/>
  <c r="B66" i="5"/>
  <c r="C66" i="5"/>
  <c r="G64" i="5"/>
  <c r="R55" i="5"/>
  <c r="G65" i="5"/>
  <c r="H65" i="5"/>
  <c r="M65" i="5"/>
  <c r="Q55" i="5"/>
  <c r="L65" i="5"/>
  <c r="Q56" i="5"/>
  <c r="M64" i="5"/>
  <c r="R56" i="5"/>
  <c r="H64" i="5"/>
  <c r="L64" i="5"/>
  <c r="B67" i="5" l="1"/>
  <c r="C67" i="5"/>
  <c r="B68" i="5"/>
  <c r="C68" i="5"/>
  <c r="G66" i="5"/>
  <c r="M66" i="5"/>
  <c r="L66" i="5"/>
  <c r="H66" i="5"/>
  <c r="B69" i="5" l="1"/>
  <c r="C69" i="5"/>
  <c r="G67" i="5"/>
  <c r="H67" i="5"/>
  <c r="H68" i="5"/>
  <c r="M67" i="5"/>
  <c r="M68" i="5"/>
  <c r="L68" i="5"/>
  <c r="L67" i="5"/>
  <c r="G68" i="5"/>
  <c r="B70" i="5" l="1"/>
  <c r="C70" i="5"/>
  <c r="B71" i="5"/>
  <c r="C71" i="5"/>
  <c r="M69" i="5"/>
  <c r="L69" i="5"/>
  <c r="G69" i="5"/>
  <c r="H69" i="5"/>
  <c r="B72" i="5" l="1"/>
  <c r="C72" i="5"/>
  <c r="L70" i="5"/>
  <c r="L71" i="5"/>
  <c r="M71" i="5"/>
  <c r="H70" i="5"/>
  <c r="M70" i="5"/>
  <c r="G71" i="5"/>
  <c r="G70" i="5"/>
  <c r="H71" i="5"/>
  <c r="B73" i="5" l="1"/>
  <c r="C73" i="5"/>
  <c r="B74" i="5"/>
  <c r="C74" i="5"/>
  <c r="B75" i="5"/>
  <c r="C75" i="5"/>
  <c r="L72" i="5"/>
  <c r="H72" i="5"/>
  <c r="G72" i="5"/>
  <c r="M72" i="5"/>
  <c r="B76" i="5" l="1"/>
  <c r="C76" i="5"/>
  <c r="M75" i="5"/>
  <c r="L75" i="5"/>
  <c r="G75" i="5"/>
  <c r="H75" i="5"/>
  <c r="G73" i="5"/>
  <c r="M74" i="5"/>
  <c r="L73" i="5"/>
  <c r="H74" i="5"/>
  <c r="M73" i="5"/>
  <c r="L74" i="5"/>
  <c r="G74" i="5"/>
  <c r="H73" i="5"/>
  <c r="B77" i="5" l="1"/>
  <c r="C77" i="5"/>
  <c r="H76" i="5"/>
  <c r="M76" i="5"/>
  <c r="G76" i="5"/>
  <c r="L76" i="5"/>
  <c r="B78" i="5" l="1"/>
  <c r="C78" i="5"/>
  <c r="B79" i="5"/>
  <c r="C79" i="5"/>
  <c r="B80" i="5"/>
  <c r="C80" i="5"/>
  <c r="L77" i="5"/>
  <c r="H77" i="5"/>
  <c r="G77" i="5"/>
  <c r="M77" i="5"/>
  <c r="B81" i="5" l="1"/>
  <c r="C81" i="5"/>
  <c r="L80" i="5"/>
  <c r="G78" i="5"/>
  <c r="G79" i="5"/>
  <c r="M78" i="5"/>
  <c r="L78" i="5"/>
  <c r="L79" i="5"/>
  <c r="H78" i="5"/>
  <c r="M80" i="5"/>
  <c r="H80" i="5"/>
  <c r="G80" i="5"/>
  <c r="H79" i="5"/>
  <c r="M79" i="5"/>
  <c r="B82" i="5" l="1"/>
  <c r="C82" i="5"/>
  <c r="B83" i="5"/>
  <c r="C83" i="5"/>
  <c r="H81" i="5"/>
  <c r="G81" i="5"/>
  <c r="M81" i="5"/>
  <c r="L81" i="5"/>
  <c r="B84" i="5" l="1"/>
  <c r="C84" i="5"/>
  <c r="G83" i="5"/>
  <c r="M83" i="5"/>
  <c r="L83" i="5"/>
  <c r="L82" i="5"/>
  <c r="H83" i="5"/>
  <c r="H82" i="5"/>
  <c r="M82" i="5"/>
  <c r="G82" i="5"/>
  <c r="B85" i="5" l="1"/>
  <c r="C85" i="5"/>
  <c r="M84" i="5"/>
  <c r="L84" i="5"/>
  <c r="G84" i="5"/>
  <c r="H84" i="5"/>
  <c r="B86" i="5" l="1"/>
  <c r="C86" i="5"/>
  <c r="G85" i="5"/>
  <c r="M85" i="5"/>
  <c r="H85" i="5"/>
  <c r="L85" i="5"/>
  <c r="B87" i="5" l="1"/>
  <c r="C87" i="5"/>
  <c r="B88" i="5"/>
  <c r="C88" i="5"/>
  <c r="L86" i="5"/>
  <c r="G86" i="5"/>
  <c r="M86" i="5"/>
  <c r="H86" i="5"/>
  <c r="B89" i="5" l="1"/>
  <c r="C89" i="5"/>
  <c r="G88" i="5"/>
  <c r="G87" i="5"/>
  <c r="L88" i="5"/>
  <c r="M88" i="5"/>
  <c r="M87" i="5"/>
  <c r="L87" i="5"/>
  <c r="H87" i="5"/>
  <c r="H88" i="5"/>
  <c r="B90" i="5" l="1"/>
  <c r="C90" i="5"/>
  <c r="G89" i="5"/>
  <c r="H89" i="5"/>
  <c r="M89" i="5"/>
  <c r="L89" i="5"/>
  <c r="B91" i="5" l="1"/>
  <c r="C91" i="5"/>
  <c r="B92" i="5"/>
  <c r="C92" i="5"/>
  <c r="B93" i="5"/>
  <c r="C93" i="5"/>
  <c r="L90" i="5"/>
  <c r="G90" i="5"/>
  <c r="H90" i="5"/>
  <c r="M90" i="5"/>
  <c r="B94" i="5" l="1"/>
  <c r="C94" i="5"/>
  <c r="L93" i="5"/>
  <c r="G91" i="5"/>
  <c r="H93" i="5"/>
  <c r="G92" i="5"/>
  <c r="H91" i="5"/>
  <c r="M93" i="5"/>
  <c r="H92" i="5"/>
  <c r="L91" i="5"/>
  <c r="M92" i="5"/>
  <c r="L92" i="5"/>
  <c r="M91" i="5"/>
  <c r="G93" i="5"/>
  <c r="B95" i="5" l="1"/>
  <c r="C95" i="5"/>
  <c r="L94" i="5"/>
  <c r="M94" i="5"/>
  <c r="G94" i="5"/>
  <c r="H94" i="5"/>
  <c r="B96" i="5" l="1"/>
  <c r="C96" i="5"/>
  <c r="B97" i="5"/>
  <c r="C97" i="5"/>
  <c r="B98" i="5"/>
  <c r="C98" i="5"/>
  <c r="B99" i="5"/>
  <c r="C99" i="5"/>
  <c r="M95" i="5"/>
  <c r="L95" i="5"/>
  <c r="H95" i="5"/>
  <c r="G95" i="5"/>
  <c r="B100" i="5" l="1"/>
  <c r="C100" i="5"/>
  <c r="B101" i="5"/>
  <c r="C101" i="5"/>
  <c r="G97" i="5"/>
  <c r="M97" i="5"/>
  <c r="G99" i="5"/>
  <c r="H96" i="5"/>
  <c r="H99" i="5"/>
  <c r="M96" i="5"/>
  <c r="L98" i="5"/>
  <c r="M98" i="5"/>
  <c r="L97" i="5"/>
  <c r="G96" i="5"/>
  <c r="G98" i="5"/>
  <c r="H98" i="5"/>
  <c r="L99" i="5"/>
  <c r="M99" i="5"/>
  <c r="L96" i="5"/>
  <c r="H97" i="5"/>
  <c r="B102" i="5" l="1"/>
  <c r="C102" i="5"/>
  <c r="L100" i="5"/>
  <c r="M100" i="5"/>
  <c r="L101" i="5"/>
  <c r="G101" i="5"/>
  <c r="G100" i="5"/>
  <c r="H100" i="5"/>
  <c r="M101" i="5"/>
  <c r="H101" i="5"/>
  <c r="B103" i="5" l="1"/>
  <c r="C103" i="5"/>
  <c r="M102" i="5"/>
  <c r="L102" i="5"/>
  <c r="Q75" i="16" a="1"/>
  <c r="M75" i="16" a="1"/>
  <c r="H102" i="5"/>
  <c r="G102" i="5"/>
  <c r="B104" i="5" l="1"/>
  <c r="C104" i="5"/>
  <c r="Q100" i="16"/>
  <c r="Q82" i="16"/>
  <c r="Q107" i="16"/>
  <c r="Q81" i="16"/>
  <c r="Q108" i="16"/>
  <c r="M88" i="16"/>
  <c r="M100" i="16"/>
  <c r="Q76" i="16"/>
  <c r="Q87" i="16"/>
  <c r="M93" i="16"/>
  <c r="Q75" i="16"/>
  <c r="Q97" i="16"/>
  <c r="M89" i="16"/>
  <c r="Q89" i="16"/>
  <c r="M76" i="16"/>
  <c r="Q85" i="16"/>
  <c r="Q77" i="16"/>
  <c r="M110" i="16"/>
  <c r="M102" i="16"/>
  <c r="Q98" i="16"/>
  <c r="M79" i="16"/>
  <c r="Q111" i="16"/>
  <c r="M95" i="16"/>
  <c r="M97" i="16"/>
  <c r="M96" i="16"/>
  <c r="Q80" i="16"/>
  <c r="Q91" i="16"/>
  <c r="M98" i="16"/>
  <c r="M78" i="16"/>
  <c r="Q103" i="16"/>
  <c r="Q95" i="16"/>
  <c r="M86" i="16"/>
  <c r="Q93" i="16"/>
  <c r="M92" i="16"/>
  <c r="M111" i="16"/>
  <c r="M103" i="16"/>
  <c r="M108" i="16"/>
  <c r="M101" i="16"/>
  <c r="Q84" i="16"/>
  <c r="M94" i="16"/>
  <c r="M75" i="16"/>
  <c r="M99" i="16"/>
  <c r="Q110" i="16"/>
  <c r="M109" i="16"/>
  <c r="M81" i="16"/>
  <c r="Q102" i="16"/>
  <c r="M83" i="16"/>
  <c r="Q101" i="16"/>
  <c r="M90" i="16"/>
  <c r="M85" i="16"/>
  <c r="Q96" i="16"/>
  <c r="Q88" i="16"/>
  <c r="Q86" i="16"/>
  <c r="Q92" i="16"/>
  <c r="Q78" i="16"/>
  <c r="M107" i="16"/>
  <c r="M105" i="16"/>
  <c r="M80" i="16"/>
  <c r="Q94" i="16"/>
  <c r="Q99" i="16"/>
  <c r="Q106" i="16"/>
  <c r="Q104" i="16"/>
  <c r="M77" i="16"/>
  <c r="Q109" i="16"/>
  <c r="Q79" i="16"/>
  <c r="Q83" i="16"/>
  <c r="M106" i="16"/>
  <c r="M87" i="16"/>
  <c r="M84" i="16"/>
  <c r="M82" i="16"/>
  <c r="Q105" i="16"/>
  <c r="M104" i="16"/>
  <c r="Q90" i="16"/>
  <c r="M91" i="16"/>
  <c r="M103" i="5"/>
  <c r="H103" i="5"/>
  <c r="G103" i="5"/>
  <c r="L103" i="5"/>
  <c r="B105" i="5" l="1"/>
  <c r="C105" i="5"/>
  <c r="G104" i="5"/>
  <c r="M104" i="5"/>
  <c r="L104" i="5"/>
  <c r="H104" i="5"/>
  <c r="B106" i="5" l="1"/>
  <c r="C106" i="5"/>
  <c r="G105" i="5"/>
  <c r="M105" i="5"/>
  <c r="H105" i="5"/>
  <c r="L105" i="5"/>
  <c r="B107" i="5" l="1"/>
  <c r="C107" i="5"/>
  <c r="M106" i="5"/>
  <c r="H106" i="5"/>
  <c r="L106" i="5"/>
  <c r="G106" i="5"/>
  <c r="B108" i="5" l="1"/>
  <c r="C108" i="5"/>
  <c r="G107" i="5"/>
  <c r="H107" i="5"/>
  <c r="L107" i="5"/>
  <c r="M107" i="5"/>
  <c r="B109" i="5" l="1"/>
  <c r="C109" i="5"/>
  <c r="G108" i="5"/>
  <c r="H108" i="5"/>
  <c r="L108" i="5"/>
  <c r="M108" i="5"/>
  <c r="B110" i="5" l="1"/>
  <c r="C110" i="5"/>
  <c r="M109" i="5"/>
  <c r="L109" i="5"/>
  <c r="H109" i="5"/>
  <c r="G109" i="5"/>
  <c r="B111" i="5" l="1"/>
  <c r="C111" i="5"/>
  <c r="H110" i="5"/>
  <c r="G110" i="5"/>
  <c r="L110" i="5"/>
  <c r="M110" i="5"/>
  <c r="B112" i="5" l="1"/>
  <c r="C112" i="5"/>
  <c r="H111" i="5"/>
  <c r="M111" i="5"/>
  <c r="G111" i="5"/>
  <c r="L111" i="5"/>
  <c r="B113" i="5" l="1"/>
  <c r="C113" i="5"/>
  <c r="H112" i="5"/>
  <c r="L112" i="5"/>
  <c r="M112" i="5"/>
  <c r="G112" i="5"/>
  <c r="B114" i="5" l="1"/>
  <c r="C114" i="5"/>
  <c r="H113" i="5"/>
  <c r="L113" i="5"/>
  <c r="G113" i="5"/>
  <c r="M113" i="5"/>
  <c r="B115" i="5" l="1"/>
  <c r="C115" i="5"/>
  <c r="H114" i="5"/>
  <c r="M114" i="5"/>
  <c r="L114" i="5"/>
  <c r="G114" i="5"/>
  <c r="B116" i="5" l="1"/>
  <c r="C116" i="5"/>
  <c r="L115" i="5"/>
  <c r="G115" i="5"/>
  <c r="H115" i="5"/>
  <c r="M115" i="5"/>
  <c r="B117" i="5" l="1"/>
  <c r="C117" i="5"/>
  <c r="H116" i="5"/>
  <c r="G116" i="5"/>
  <c r="L116" i="5"/>
  <c r="M116" i="5"/>
  <c r="B118" i="5" l="1"/>
  <c r="C118" i="5"/>
  <c r="H117" i="5"/>
  <c r="L117" i="5"/>
  <c r="M117" i="5"/>
  <c r="G117" i="5"/>
  <c r="B119" i="5" l="1"/>
  <c r="C119" i="5"/>
  <c r="H118" i="5"/>
  <c r="L118" i="5"/>
  <c r="M118" i="5"/>
  <c r="G118" i="5"/>
  <c r="B120" i="5" l="1"/>
  <c r="C120" i="5"/>
  <c r="G119" i="5"/>
  <c r="H119" i="5"/>
  <c r="L119" i="5"/>
  <c r="M119" i="5"/>
  <c r="B121" i="5" l="1"/>
  <c r="C121" i="5"/>
  <c r="H120" i="5"/>
  <c r="G120" i="5"/>
  <c r="L120" i="5"/>
  <c r="M120" i="5"/>
  <c r="B122" i="5" l="1"/>
  <c r="C122" i="5"/>
  <c r="G121" i="5"/>
  <c r="H121" i="5"/>
  <c r="M121" i="5"/>
  <c r="L121" i="5"/>
  <c r="B123" i="5" l="1"/>
  <c r="C123" i="5"/>
  <c r="G122" i="5"/>
  <c r="M122" i="5"/>
  <c r="L122" i="5"/>
  <c r="H122" i="5"/>
  <c r="B124" i="5" l="1"/>
  <c r="C124" i="5"/>
  <c r="G123" i="5"/>
  <c r="H123" i="5"/>
  <c r="M123" i="5"/>
  <c r="L123" i="5"/>
  <c r="B125" i="5" l="1"/>
  <c r="C125" i="5"/>
  <c r="L124" i="5"/>
  <c r="G124" i="5"/>
  <c r="M124" i="5"/>
  <c r="H124" i="5"/>
  <c r="B126" i="5" l="1"/>
  <c r="C126" i="5"/>
  <c r="G125" i="5"/>
  <c r="M125" i="5"/>
  <c r="L125" i="5"/>
  <c r="H125" i="5"/>
  <c r="B127" i="5" l="1"/>
  <c r="C127" i="5"/>
  <c r="H126" i="5"/>
  <c r="L126" i="5"/>
  <c r="M126" i="5"/>
  <c r="G126" i="5"/>
  <c r="B128" i="5" l="1"/>
  <c r="C128" i="5"/>
  <c r="M127" i="5"/>
  <c r="G127" i="5"/>
  <c r="H127" i="5"/>
  <c r="L127" i="5"/>
  <c r="B129" i="5" l="1"/>
  <c r="C129" i="5"/>
  <c r="H128" i="5"/>
  <c r="M128" i="5"/>
  <c r="L128" i="5"/>
  <c r="G128" i="5"/>
  <c r="B130" i="5" l="1"/>
  <c r="C130" i="5"/>
  <c r="H129" i="5"/>
  <c r="L129" i="5"/>
  <c r="G129" i="5"/>
  <c r="M129" i="5"/>
  <c r="B131" i="5" l="1"/>
  <c r="C131" i="5"/>
  <c r="L130" i="5"/>
  <c r="H130" i="5"/>
  <c r="M130" i="5"/>
  <c r="G130" i="5"/>
  <c r="B132" i="5" l="1"/>
  <c r="C132" i="5"/>
  <c r="H131" i="5"/>
  <c r="M131" i="5"/>
  <c r="G131" i="5"/>
  <c r="L131" i="5"/>
  <c r="B133" i="5" l="1"/>
  <c r="C133" i="5"/>
  <c r="G132" i="5"/>
  <c r="H132" i="5"/>
  <c r="M132" i="5"/>
  <c r="L132" i="5"/>
  <c r="B134" i="5" l="1"/>
  <c r="C134" i="5"/>
  <c r="M133" i="5"/>
  <c r="G133" i="5"/>
  <c r="H133" i="5"/>
  <c r="L133" i="5"/>
  <c r="B135" i="5" l="1"/>
  <c r="C135" i="5"/>
  <c r="L134" i="5"/>
  <c r="M134" i="5"/>
  <c r="H134" i="5"/>
  <c r="G134" i="5"/>
  <c r="B136" i="5" l="1"/>
  <c r="C136" i="5"/>
  <c r="G135" i="5"/>
  <c r="L135" i="5"/>
  <c r="M135" i="5"/>
  <c r="H135" i="5"/>
  <c r="B137" i="5" l="1"/>
  <c r="C137" i="5"/>
  <c r="L137" i="5"/>
  <c r="H137" i="5"/>
  <c r="D2" i="4" a="1"/>
  <c r="L136" i="5"/>
  <c r="H136" i="5"/>
  <c r="M136" i="5"/>
  <c r="M137" i="5"/>
  <c r="G136" i="5"/>
  <c r="G137"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F56" i="4"/>
  <c r="I53" i="4"/>
  <c r="H53" i="4"/>
  <c r="E92" i="4"/>
  <c r="H76" i="4"/>
  <c r="G112" i="4"/>
  <c r="H71" i="4"/>
  <c r="I125" i="4"/>
  <c r="F50" i="4"/>
  <c r="G43" i="4"/>
  <c r="H45" i="4"/>
  <c r="F92" i="4"/>
  <c r="E71" i="4"/>
  <c r="H11" i="4"/>
  <c r="E15" i="4"/>
  <c r="F108" i="4"/>
  <c r="H119" i="4"/>
  <c r="H85" i="4"/>
  <c r="F69" i="4"/>
  <c r="H60" i="4"/>
  <c r="E43" i="4"/>
  <c r="I107" i="4"/>
  <c r="F86" i="4"/>
  <c r="E93" i="4"/>
  <c r="H26" i="4"/>
  <c r="F94" i="4"/>
  <c r="E89" i="4"/>
  <c r="H27" i="4"/>
  <c r="E81" i="4"/>
  <c r="E6" i="4"/>
  <c r="E82" i="4"/>
  <c r="E26" i="4"/>
  <c r="H97" i="4"/>
  <c r="F25" i="4"/>
  <c r="H99" i="4"/>
  <c r="F17" i="4"/>
  <c r="F70" i="4"/>
  <c r="F119" i="4"/>
  <c r="E112" i="4"/>
  <c r="F102" i="4"/>
  <c r="E62" i="4"/>
  <c r="F81" i="4"/>
  <c r="G82" i="4"/>
  <c r="I106" i="4"/>
  <c r="G125" i="4"/>
  <c r="G57" i="4"/>
  <c r="E115" i="4"/>
  <c r="E23" i="4"/>
  <c r="F121" i="4"/>
  <c r="H16" i="4"/>
  <c r="E66" i="4"/>
  <c r="E74" i="4"/>
  <c r="H31" i="4"/>
  <c r="E20" i="4"/>
  <c r="I91" i="4"/>
  <c r="I110" i="4"/>
  <c r="I75" i="4"/>
  <c r="H86" i="4"/>
  <c r="E39" i="4"/>
  <c r="F79" i="4"/>
  <c r="E32" i="4"/>
  <c r="F77" i="4"/>
  <c r="F21" i="4"/>
  <c r="H9" i="4"/>
  <c r="I46" i="4"/>
  <c r="G42" i="4"/>
  <c r="G25" i="4"/>
  <c r="H115" i="4"/>
  <c r="E76" i="4"/>
  <c r="G4" i="4"/>
  <c r="H66" i="4"/>
  <c r="F5" i="4"/>
  <c r="G87" i="4"/>
  <c r="E44" i="4"/>
  <c r="I69" i="4"/>
  <c r="H4" i="4"/>
  <c r="F99" i="4"/>
  <c r="G56" i="4"/>
  <c r="F105" i="4"/>
  <c r="E50" i="4"/>
  <c r="G15" i="4"/>
  <c r="G46" i="4"/>
  <c r="G24" i="4"/>
  <c r="H105" i="4"/>
  <c r="F87" i="4"/>
  <c r="G118" i="4"/>
  <c r="H12" i="4"/>
  <c r="H7" i="4"/>
  <c r="H88" i="4"/>
  <c r="I16" i="4"/>
  <c r="H94" i="4"/>
  <c r="H95" i="4"/>
  <c r="I114" i="4"/>
  <c r="F30" i="4"/>
  <c r="F12" i="4"/>
  <c r="E4" i="4"/>
  <c r="F14" i="4"/>
  <c r="H32" i="4"/>
  <c r="F111" i="4"/>
  <c r="F52" i="4"/>
  <c r="F37" i="4"/>
  <c r="E2" i="4"/>
  <c r="F27" i="4"/>
  <c r="E99" i="4"/>
  <c r="G117" i="4"/>
  <c r="F120" i="4"/>
  <c r="I2" i="4"/>
  <c r="G126" i="4"/>
  <c r="E68" i="4"/>
  <c r="I50" i="4"/>
  <c r="G37" i="4"/>
  <c r="E25" i="4"/>
  <c r="F68" i="4"/>
  <c r="F48" i="4"/>
  <c r="H111" i="4"/>
  <c r="F15" i="4"/>
  <c r="I65" i="4"/>
  <c r="I98" i="4"/>
  <c r="E84" i="4"/>
  <c r="F63" i="4"/>
  <c r="G3" i="4"/>
  <c r="I18" i="4"/>
  <c r="E80" i="4"/>
  <c r="F46" i="4"/>
  <c r="I90" i="4"/>
  <c r="G103" i="4"/>
  <c r="I58" i="4"/>
  <c r="G59" i="4"/>
  <c r="G27" i="4"/>
  <c r="H121" i="4"/>
  <c r="H50" i="4"/>
  <c r="G58" i="4"/>
  <c r="I7" i="4"/>
  <c r="F61" i="4"/>
  <c r="G90" i="4"/>
  <c r="E108" i="4"/>
  <c r="F89" i="4"/>
  <c r="I49" i="4"/>
  <c r="I126" i="4"/>
  <c r="F20" i="4"/>
  <c r="G84" i="4"/>
  <c r="H74" i="4"/>
  <c r="E30" i="4"/>
  <c r="G67" i="4"/>
  <c r="H83" i="4"/>
  <c r="I37" i="4"/>
  <c r="I87" i="4"/>
  <c r="I82" i="4"/>
  <c r="F31" i="4"/>
  <c r="G93" i="4"/>
  <c r="G64" i="4"/>
  <c r="G100" i="4"/>
  <c r="I28" i="4"/>
  <c r="E21" i="4"/>
  <c r="G73" i="4"/>
  <c r="E102" i="4"/>
  <c r="G31" i="4"/>
  <c r="I101" i="4"/>
  <c r="F78" i="4"/>
  <c r="F59" i="4"/>
  <c r="G69" i="4"/>
  <c r="E12" i="4"/>
  <c r="F74" i="4"/>
  <c r="I116" i="4"/>
  <c r="H59" i="4"/>
  <c r="I71" i="4"/>
  <c r="I41" i="4"/>
  <c r="F91" i="4"/>
  <c r="I78" i="4"/>
  <c r="I84" i="4"/>
  <c r="F7" i="4"/>
  <c r="E61" i="4"/>
  <c r="I64" i="4"/>
  <c r="F9" i="4"/>
  <c r="F13" i="4"/>
  <c r="I43" i="4"/>
  <c r="G29" i="4"/>
  <c r="G12" i="4"/>
  <c r="H92" i="4"/>
  <c r="I40" i="4"/>
  <c r="I77" i="4"/>
  <c r="E123" i="4"/>
  <c r="I88" i="4"/>
  <c r="G32" i="4"/>
  <c r="G60" i="4"/>
  <c r="H57" i="4"/>
  <c r="I51" i="4"/>
  <c r="F98" i="4"/>
  <c r="I20" i="4"/>
  <c r="G119" i="4"/>
  <c r="F122" i="4"/>
  <c r="I124" i="4"/>
  <c r="E27" i="4"/>
  <c r="I33" i="4"/>
  <c r="G20" i="4"/>
  <c r="E17" i="4"/>
  <c r="H34" i="4"/>
  <c r="E65" i="4"/>
  <c r="F54" i="4"/>
  <c r="F118" i="4"/>
  <c r="H84" i="4"/>
  <c r="E7" i="4"/>
  <c r="H37" i="4"/>
  <c r="G5" i="4"/>
  <c r="H78" i="4"/>
  <c r="G111" i="4"/>
  <c r="G8" i="4"/>
  <c r="G95" i="4"/>
  <c r="I103" i="4"/>
  <c r="H89" i="4"/>
  <c r="G48" i="4"/>
  <c r="I30" i="4"/>
  <c r="F62" i="4"/>
  <c r="G99" i="4"/>
  <c r="F53" i="4"/>
  <c r="I31" i="4"/>
  <c r="E49" i="4"/>
  <c r="I4" i="4"/>
  <c r="H103" i="4"/>
  <c r="G104" i="4"/>
  <c r="H35" i="4"/>
  <c r="I66" i="4"/>
  <c r="I15" i="4"/>
  <c r="E97" i="4"/>
  <c r="I72" i="4"/>
  <c r="I95" i="4"/>
  <c r="F55" i="4"/>
  <c r="I112" i="4"/>
  <c r="E124" i="4"/>
  <c r="G34" i="4"/>
  <c r="I24" i="4"/>
  <c r="G120" i="4"/>
  <c r="G21" i="4"/>
  <c r="H110" i="4"/>
  <c r="I11" i="4"/>
  <c r="E120" i="4"/>
  <c r="H113" i="4"/>
  <c r="G124" i="4"/>
  <c r="E107" i="4"/>
  <c r="H46" i="4"/>
  <c r="G101" i="4"/>
  <c r="H72" i="4"/>
  <c r="I111" i="4"/>
  <c r="I67" i="4"/>
  <c r="G7" i="4"/>
  <c r="G22" i="4"/>
  <c r="E36" i="4"/>
  <c r="G63" i="4"/>
  <c r="G62" i="4"/>
  <c r="E3" i="4"/>
  <c r="H116" i="4"/>
  <c r="H18" i="4"/>
  <c r="G110" i="4"/>
  <c r="I70" i="4"/>
  <c r="G86" i="4"/>
  <c r="G98" i="4"/>
  <c r="G45" i="4"/>
  <c r="F38" i="4"/>
  <c r="I39" i="4"/>
  <c r="E79" i="4"/>
  <c r="F41" i="4"/>
  <c r="G39" i="4"/>
  <c r="E24" i="4"/>
  <c r="H24" i="4"/>
  <c r="I105" i="4"/>
  <c r="E122" i="4"/>
  <c r="I93" i="4"/>
  <c r="I36" i="4"/>
  <c r="G85" i="4"/>
  <c r="H73" i="4"/>
  <c r="G2" i="4"/>
  <c r="I12" i="4"/>
  <c r="E40" i="4"/>
  <c r="F23" i="4"/>
  <c r="E67" i="4"/>
  <c r="I35" i="4"/>
  <c r="G91" i="4"/>
  <c r="F57" i="4"/>
  <c r="E91" i="4"/>
  <c r="E45" i="4"/>
  <c r="I57" i="4"/>
  <c r="H107" i="4"/>
  <c r="H93" i="4"/>
  <c r="F106" i="4"/>
  <c r="I34" i="4"/>
  <c r="I38" i="4"/>
  <c r="I94" i="4"/>
  <c r="H101" i="4"/>
  <c r="F35" i="4"/>
  <c r="E73" i="4"/>
  <c r="G108" i="4"/>
  <c r="E47" i="4"/>
  <c r="G89" i="4"/>
  <c r="I115" i="4"/>
  <c r="G65" i="4"/>
  <c r="H126" i="4"/>
  <c r="E101" i="4"/>
  <c r="I52" i="4"/>
  <c r="F109" i="4"/>
  <c r="E59" i="4"/>
  <c r="E77" i="4"/>
  <c r="E86" i="4"/>
  <c r="E78" i="4"/>
  <c r="I97" i="4"/>
  <c r="F73" i="4"/>
  <c r="H90" i="4"/>
  <c r="F60" i="4"/>
  <c r="E63" i="4"/>
  <c r="E34" i="4"/>
  <c r="F26" i="4"/>
  <c r="E110" i="4"/>
  <c r="H52" i="4"/>
  <c r="I108" i="4"/>
  <c r="I3" i="4"/>
  <c r="F11" i="4"/>
  <c r="E72" i="4"/>
  <c r="I21" i="4"/>
  <c r="I59" i="4"/>
  <c r="H120" i="4"/>
  <c r="I68" i="4"/>
  <c r="I8" i="4"/>
  <c r="E58" i="4"/>
  <c r="G122" i="4"/>
  <c r="G38" i="4"/>
  <c r="E38" i="4"/>
  <c r="G106" i="4"/>
  <c r="H96" i="4"/>
  <c r="H20" i="4"/>
  <c r="I117" i="4"/>
  <c r="I79" i="4"/>
  <c r="E69" i="4"/>
  <c r="G79" i="4"/>
  <c r="G114" i="4"/>
  <c r="I27" i="4"/>
  <c r="E35" i="4"/>
  <c r="I25" i="4"/>
  <c r="F49" i="4"/>
  <c r="I102" i="4"/>
  <c r="F51" i="4"/>
  <c r="E114" i="4"/>
  <c r="E51" i="4"/>
  <c r="H118" i="4"/>
  <c r="G97" i="4"/>
  <c r="I121" i="4"/>
  <c r="F88" i="4"/>
  <c r="G40" i="4"/>
  <c r="I9" i="4"/>
  <c r="G41" i="4"/>
  <c r="E125" i="4"/>
  <c r="H36" i="4"/>
  <c r="G23" i="4"/>
  <c r="I86" i="4"/>
  <c r="F10" i="4"/>
  <c r="E88" i="4"/>
  <c r="F47" i="4"/>
  <c r="H124" i="4"/>
  <c r="I45" i="4"/>
  <c r="E85" i="4"/>
  <c r="F100" i="4"/>
  <c r="G53" i="4"/>
  <c r="H63" i="4"/>
  <c r="H44" i="4"/>
  <c r="E119" i="4"/>
  <c r="H41" i="4"/>
  <c r="H122" i="4"/>
  <c r="I81" i="4"/>
  <c r="H23" i="4"/>
  <c r="G16" i="4"/>
  <c r="H3" i="4"/>
  <c r="G33" i="4"/>
  <c r="I48" i="4"/>
  <c r="H39" i="4"/>
  <c r="F116" i="4"/>
  <c r="E10" i="4"/>
  <c r="F113" i="4"/>
  <c r="E5" i="4"/>
  <c r="H33" i="4"/>
  <c r="H10" i="4"/>
  <c r="H13" i="4"/>
  <c r="F32" i="4"/>
  <c r="E29" i="4"/>
  <c r="G30" i="4"/>
  <c r="G26" i="4"/>
  <c r="H91" i="4"/>
  <c r="I109" i="4"/>
  <c r="I14" i="4"/>
  <c r="F76" i="4"/>
  <c r="F43" i="4"/>
  <c r="E75" i="4"/>
  <c r="F126" i="4"/>
  <c r="G66" i="4"/>
  <c r="F36" i="4"/>
  <c r="G55" i="4"/>
  <c r="G19" i="4"/>
  <c r="H58" i="4"/>
  <c r="F3" i="4"/>
  <c r="I44" i="4"/>
  <c r="F64" i="4"/>
  <c r="G94" i="4"/>
  <c r="H22" i="4"/>
  <c r="G50" i="4"/>
  <c r="G113" i="4"/>
  <c r="I80" i="4"/>
  <c r="F8" i="4"/>
  <c r="H30" i="4"/>
  <c r="F18" i="4"/>
  <c r="F84" i="4"/>
  <c r="I76" i="4"/>
  <c r="E111" i="4"/>
  <c r="E121" i="4"/>
  <c r="G107" i="4"/>
  <c r="E118" i="4"/>
  <c r="I5" i="4"/>
  <c r="F93" i="4"/>
  <c r="G6" i="4"/>
  <c r="G78" i="4"/>
  <c r="E60" i="4"/>
  <c r="E52" i="4"/>
  <c r="H87" i="4"/>
  <c r="H48" i="4"/>
  <c r="H17" i="4"/>
  <c r="H42" i="4"/>
  <c r="E48" i="4"/>
  <c r="G88" i="4"/>
  <c r="G13" i="4"/>
  <c r="I62" i="4"/>
  <c r="I122" i="4"/>
  <c r="H29" i="4"/>
  <c r="E95" i="4"/>
  <c r="F39" i="4"/>
  <c r="F22" i="4"/>
  <c r="I29" i="4"/>
  <c r="I56" i="4"/>
  <c r="G77" i="4"/>
  <c r="G47" i="4"/>
  <c r="M65" i="16" a="1"/>
  <c r="E98" i="4"/>
  <c r="I113" i="4"/>
  <c r="H49" i="4"/>
  <c r="E126" i="4"/>
  <c r="G76" i="4"/>
  <c r="H21" i="4"/>
  <c r="H102" i="4"/>
  <c r="G115" i="4"/>
  <c r="H65" i="4"/>
  <c r="G10" i="4"/>
  <c r="H5" i="4"/>
  <c r="I60" i="4"/>
  <c r="F112" i="4"/>
  <c r="H108" i="4"/>
  <c r="I10" i="4"/>
  <c r="F114" i="4"/>
  <c r="G83" i="4"/>
  <c r="G116" i="4"/>
  <c r="I61" i="4"/>
  <c r="F45" i="4"/>
  <c r="G49" i="4"/>
  <c r="H56" i="4"/>
  <c r="I19" i="4"/>
  <c r="H62" i="4"/>
  <c r="E42" i="4"/>
  <c r="F28" i="4"/>
  <c r="H19" i="4"/>
  <c r="H38" i="4"/>
  <c r="F29" i="4"/>
  <c r="E117" i="4"/>
  <c r="H123" i="4"/>
  <c r="E18" i="4"/>
  <c r="F65" i="4"/>
  <c r="H51" i="4"/>
  <c r="H47" i="4"/>
  <c r="G81" i="4"/>
  <c r="F125" i="4"/>
  <c r="I54" i="4"/>
  <c r="H104" i="4"/>
  <c r="H112" i="4"/>
  <c r="E96" i="4"/>
  <c r="E8" i="4"/>
  <c r="I63" i="4"/>
  <c r="E33" i="4"/>
  <c r="G14" i="4"/>
  <c r="H15" i="4"/>
  <c r="I85" i="4"/>
  <c r="F67" i="4"/>
  <c r="E54" i="4"/>
  <c r="F96" i="4"/>
  <c r="H54" i="4"/>
  <c r="F107" i="4"/>
  <c r="G121" i="4"/>
  <c r="H6" i="4"/>
  <c r="K2" i="11"/>
  <c r="G123" i="4"/>
  <c r="F104" i="4"/>
  <c r="H79" i="4"/>
  <c r="F103" i="4"/>
  <c r="F117" i="4"/>
  <c r="H64" i="4"/>
  <c r="E55" i="4"/>
  <c r="F58" i="4"/>
  <c r="I96" i="4"/>
  <c r="I23" i="4"/>
  <c r="E57" i="4"/>
  <c r="E103" i="4"/>
  <c r="F115" i="4"/>
  <c r="F33" i="4"/>
  <c r="E46" i="4"/>
  <c r="H80" i="4"/>
  <c r="F24" i="4"/>
  <c r="E100" i="4"/>
  <c r="G75" i="4"/>
  <c r="G96" i="4"/>
  <c r="F90" i="4"/>
  <c r="E37" i="4"/>
  <c r="H14" i="4"/>
  <c r="I119" i="4"/>
  <c r="I32" i="4"/>
  <c r="E41" i="4"/>
  <c r="G9" i="4"/>
  <c r="E116" i="4"/>
  <c r="G36" i="4"/>
  <c r="F19" i="4"/>
  <c r="H98" i="4"/>
  <c r="F2" i="4"/>
  <c r="I47" i="4"/>
  <c r="I17" i="4"/>
  <c r="E104" i="4"/>
  <c r="F72" i="4"/>
  <c r="F16" i="4"/>
  <c r="F97" i="4"/>
  <c r="E53" i="4"/>
  <c r="E22" i="4"/>
  <c r="H81" i="4"/>
  <c r="H69" i="4"/>
  <c r="H40" i="4"/>
  <c r="I89" i="4"/>
  <c r="H117" i="4"/>
  <c r="E113" i="4"/>
  <c r="E64" i="4"/>
  <c r="G92" i="4"/>
  <c r="F71" i="4"/>
  <c r="G35" i="4"/>
  <c r="I100" i="4"/>
  <c r="G52" i="4"/>
  <c r="H106" i="4"/>
  <c r="F95" i="4"/>
  <c r="I26" i="4"/>
  <c r="H2" i="4"/>
  <c r="F75" i="4"/>
  <c r="G72" i="4"/>
  <c r="I74" i="4"/>
  <c r="G109" i="4"/>
  <c r="F42" i="4"/>
  <c r="F6" i="4"/>
  <c r="G70" i="4"/>
  <c r="F123" i="4"/>
  <c r="F83" i="4"/>
  <c r="I120" i="4"/>
  <c r="H114" i="4"/>
  <c r="G28" i="4"/>
  <c r="H55" i="4"/>
  <c r="I118" i="4"/>
  <c r="G105" i="4"/>
  <c r="H68" i="4"/>
  <c r="G44" i="4"/>
  <c r="H82" i="4"/>
  <c r="E13" i="4"/>
  <c r="F110" i="4"/>
  <c r="E9" i="4"/>
  <c r="F101" i="4"/>
  <c r="E70" i="4"/>
  <c r="I6" i="4"/>
  <c r="G80" i="4"/>
  <c r="E94" i="4"/>
  <c r="I73" i="4"/>
  <c r="G68" i="4"/>
  <c r="G18" i="4"/>
  <c r="F124" i="4"/>
  <c r="H125" i="4"/>
  <c r="G71" i="4"/>
  <c r="H67" i="4"/>
  <c r="E14" i="4"/>
  <c r="H8" i="4"/>
  <c r="F80" i="4"/>
  <c r="H100" i="4"/>
  <c r="F34" i="4"/>
  <c r="G54" i="4"/>
  <c r="E19" i="4"/>
  <c r="F66" i="4"/>
  <c r="I99" i="4"/>
  <c r="H75" i="4"/>
  <c r="H109" i="4"/>
  <c r="E31" i="4"/>
  <c r="E11" i="4"/>
  <c r="G61" i="4"/>
  <c r="E28" i="4"/>
  <c r="I22" i="4"/>
  <c r="F4" i="4"/>
  <c r="F82" i="4"/>
  <c r="G17" i="4"/>
  <c r="I83" i="4"/>
  <c r="G51" i="4"/>
  <c r="H61" i="4"/>
  <c r="E105" i="4"/>
  <c r="G11" i="4"/>
  <c r="G74" i="4"/>
  <c r="H77" i="4"/>
  <c r="E83" i="4"/>
  <c r="F40" i="4"/>
  <c r="F44" i="4"/>
  <c r="I55" i="4"/>
  <c r="E56" i="4"/>
  <c r="I104" i="4"/>
  <c r="H28" i="4"/>
  <c r="H43" i="4"/>
  <c r="H25" i="4"/>
  <c r="E109" i="4"/>
  <c r="E106" i="4"/>
  <c r="E16" i="4"/>
  <c r="I13" i="4"/>
  <c r="E90" i="4"/>
  <c r="G102" i="4"/>
  <c r="H70" i="4"/>
  <c r="E87" i="4"/>
  <c r="I42" i="4"/>
  <c r="F85" i="4"/>
  <c r="I123" i="4"/>
  <c r="I92" i="4"/>
  <c r="M71" i="16" l="1"/>
  <c r="M70" i="16"/>
  <c r="M66" i="16"/>
  <c r="M67" i="16"/>
  <c r="M69" i="16"/>
  <c r="M68" i="16"/>
  <c r="M72" i="16"/>
  <c r="M65" i="16"/>
  <c r="O24" i="16"/>
  <c r="N65" i="16"/>
  <c r="O65" i="16"/>
  <c r="P19" i="16"/>
  <c r="O76" i="16"/>
  <c r="O92" i="16"/>
  <c r="N98" i="16"/>
  <c r="N88" i="16"/>
  <c r="O85" i="16"/>
  <c r="P71" i="16"/>
  <c r="O80" i="16"/>
  <c r="O100" i="16"/>
  <c r="P20" i="16"/>
  <c r="N72" i="16"/>
  <c r="N81" i="16"/>
  <c r="N67" i="16"/>
  <c r="P65" i="16"/>
  <c r="N85" i="16"/>
  <c r="N108" i="16"/>
  <c r="P26" i="16"/>
  <c r="N99" i="16"/>
  <c r="N69" i="16"/>
  <c r="O95" i="16"/>
  <c r="N84" i="16"/>
  <c r="O78" i="16"/>
  <c r="N105" i="16"/>
  <c r="O82" i="16"/>
  <c r="N94" i="16"/>
  <c r="P69" i="16"/>
  <c r="N95" i="16"/>
  <c r="N83" i="16"/>
  <c r="N101" i="16"/>
  <c r="N91" i="16"/>
  <c r="O87" i="16"/>
  <c r="O79" i="16"/>
  <c r="O104" i="16"/>
  <c r="O97" i="16"/>
  <c r="O25" i="16"/>
  <c r="N71" i="16"/>
  <c r="O83" i="16"/>
  <c r="O108" i="16"/>
  <c r="O93" i="16"/>
  <c r="M29" i="16" a="1"/>
  <c r="O75" i="16"/>
  <c r="N96" i="16"/>
  <c r="N104" i="16"/>
  <c r="O69" i="16"/>
  <c r="O102" i="16"/>
  <c r="N87" i="16"/>
  <c r="N76" i="16"/>
  <c r="P21" i="16"/>
  <c r="N106" i="16"/>
  <c r="O94" i="16"/>
  <c r="O89" i="16"/>
  <c r="O88" i="16"/>
  <c r="N103" i="16"/>
  <c r="O106" i="16"/>
  <c r="N109" i="16"/>
  <c r="N100" i="16"/>
  <c r="N75" i="16"/>
  <c r="N77" i="16"/>
  <c r="N80" i="16"/>
  <c r="N110" i="16"/>
  <c r="O101" i="16"/>
  <c r="N79" i="16"/>
  <c r="O21" i="16"/>
  <c r="N90" i="16"/>
  <c r="O71" i="16"/>
  <c r="O19" i="16"/>
  <c r="O103" i="16"/>
  <c r="O98" i="16"/>
  <c r="O110" i="16"/>
  <c r="O111" i="16"/>
  <c r="P23" i="16"/>
  <c r="O96" i="16"/>
  <c r="O91" i="16"/>
  <c r="P72" i="16"/>
  <c r="N92" i="16"/>
  <c r="O70" i="16"/>
  <c r="P66" i="16"/>
  <c r="O77" i="16"/>
  <c r="N102" i="16"/>
  <c r="O84" i="16"/>
  <c r="N66" i="16"/>
  <c r="N111" i="16"/>
  <c r="N82" i="16"/>
  <c r="O68" i="16"/>
  <c r="N89" i="16"/>
  <c r="O90" i="16"/>
  <c r="O105" i="16"/>
  <c r="O99" i="16"/>
  <c r="O107" i="16"/>
  <c r="O26" i="16"/>
  <c r="O22" i="16"/>
  <c r="O86" i="16"/>
  <c r="P22" i="16"/>
  <c r="P67" i="16"/>
  <c r="O20" i="16"/>
  <c r="P68" i="16"/>
  <c r="N70" i="16"/>
  <c r="N78" i="16"/>
  <c r="N93" i="16"/>
  <c r="O66" i="16"/>
  <c r="N97" i="16"/>
  <c r="O72" i="16"/>
  <c r="P70" i="16"/>
  <c r="N86" i="16"/>
  <c r="P24" i="16"/>
  <c r="C25" i="6"/>
  <c r="O67" i="16"/>
  <c r="N68" i="16"/>
  <c r="O109" i="16"/>
  <c r="O81" i="16"/>
  <c r="P25" i="16"/>
  <c r="O23" i="16"/>
  <c r="N107"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O41" i="16"/>
  <c r="O33" i="16"/>
  <c r="P60" i="16"/>
  <c r="N59" i="16"/>
  <c r="P54" i="16"/>
  <c r="N33" i="16"/>
  <c r="N39" i="16"/>
  <c r="O42" i="16"/>
  <c r="N55" i="16"/>
  <c r="P37" i="16"/>
  <c r="P29" i="16"/>
  <c r="P57" i="16"/>
  <c r="N61" i="16"/>
  <c r="P48" i="16"/>
  <c r="N30" i="16"/>
  <c r="O39" i="16"/>
  <c r="N42" i="16"/>
  <c r="O37" i="16"/>
  <c r="P62" i="16"/>
  <c r="N62" i="16"/>
  <c r="N53" i="16"/>
  <c r="N37" i="16"/>
  <c r="N43" i="16"/>
  <c r="N45" i="16"/>
  <c r="P36" i="16"/>
  <c r="N36" i="16"/>
  <c r="P30" i="16"/>
  <c r="O56" i="16"/>
  <c r="P44" i="16"/>
  <c r="P43" i="16"/>
  <c r="N40" i="16"/>
  <c r="N44" i="16"/>
  <c r="O51" i="16"/>
  <c r="P34" i="16"/>
  <c r="P56" i="16"/>
  <c r="O47" i="16"/>
  <c r="O57" i="16"/>
  <c r="O34" i="16"/>
  <c r="P32" i="16"/>
  <c r="O62" i="16"/>
  <c r="O50" i="16"/>
  <c r="P58" i="16"/>
  <c r="O36" i="16"/>
  <c r="N46" i="16"/>
  <c r="N60" i="16"/>
  <c r="O45" i="16"/>
  <c r="N32" i="16"/>
  <c r="P45" i="16"/>
  <c r="P33" i="16"/>
  <c r="N52" i="16"/>
  <c r="N57" i="16"/>
  <c r="P49" i="16"/>
  <c r="O58" i="16"/>
  <c r="P55" i="16"/>
  <c r="P38" i="16"/>
  <c r="O61" i="16"/>
  <c r="O35" i="16"/>
  <c r="P51" i="16"/>
  <c r="O60" i="16"/>
  <c r="O52" i="16"/>
  <c r="O38" i="16"/>
  <c r="O43" i="16"/>
  <c r="O40" i="16"/>
  <c r="N31" i="16"/>
  <c r="O54" i="16"/>
  <c r="P31" i="16"/>
  <c r="P46" i="16"/>
  <c r="O29" i="16"/>
  <c r="N54" i="16"/>
  <c r="P40" i="16"/>
  <c r="O48" i="16"/>
  <c r="N41" i="16"/>
  <c r="N51" i="16"/>
  <c r="P53" i="16"/>
  <c r="N29" i="16"/>
  <c r="P41" i="16"/>
  <c r="O55" i="16"/>
  <c r="O59" i="16"/>
  <c r="N58" i="16"/>
  <c r="P50" i="16"/>
  <c r="N50" i="16"/>
  <c r="O49" i="16"/>
  <c r="O30" i="16"/>
  <c r="N49" i="16"/>
  <c r="N48" i="16"/>
  <c r="N38" i="16"/>
  <c r="N34" i="16"/>
  <c r="P39" i="16"/>
  <c r="P52" i="16"/>
  <c r="N47" i="16"/>
  <c r="P35" i="16"/>
  <c r="N56" i="16"/>
  <c r="N35" i="16"/>
  <c r="P61" i="16"/>
  <c r="P47" i="16"/>
  <c r="O46" i="16"/>
  <c r="P42" i="16"/>
  <c r="O44" i="16"/>
  <c r="O32" i="16"/>
  <c r="P59" i="16"/>
  <c r="O31" i="16"/>
  <c r="O53" i="16"/>
  <c r="U65" i="16" l="1" a="1"/>
  <c r="R100" i="16"/>
  <c r="R111" i="16"/>
  <c r="D14" i="6"/>
  <c r="P100" i="16"/>
  <c r="P110" i="16"/>
  <c r="P87" i="16"/>
  <c r="J23" i="16"/>
  <c r="P99" i="16"/>
  <c r="P78" i="16"/>
  <c r="P107" i="16"/>
  <c r="R110" i="16"/>
  <c r="R102" i="16"/>
  <c r="Y16" i="16"/>
  <c r="R65" i="16" s="1"/>
  <c r="R29" i="16"/>
  <c r="P105" i="16"/>
  <c r="R88" i="16"/>
  <c r="R49" i="16"/>
  <c r="R92" i="16"/>
  <c r="P98" i="16"/>
  <c r="R80" i="16"/>
  <c r="R61" i="16"/>
  <c r="R40" i="16"/>
  <c r="R20" i="16"/>
  <c r="P83" i="16"/>
  <c r="R55" i="16"/>
  <c r="C24" i="6"/>
  <c r="R47" i="16"/>
  <c r="R105" i="16"/>
  <c r="R101" i="16"/>
  <c r="R23" i="16"/>
  <c r="R41" i="16"/>
  <c r="R86" i="16"/>
  <c r="R45" i="16"/>
  <c r="R94" i="16"/>
  <c r="R39" i="16"/>
  <c r="R70" i="16"/>
  <c r="R54" i="16"/>
  <c r="R58" i="16"/>
  <c r="R78" i="16"/>
  <c r="R57" i="16"/>
  <c r="P86" i="16"/>
  <c r="P92" i="16"/>
  <c r="Z19" i="16" a="1"/>
  <c r="R104" i="16"/>
  <c r="R24" i="16"/>
  <c r="R33" i="16"/>
  <c r="R30" i="16"/>
  <c r="R75" i="16"/>
  <c r="R68" i="16"/>
  <c r="D15" i="6"/>
  <c r="R43" i="16"/>
  <c r="P93" i="16"/>
  <c r="P102" i="16"/>
  <c r="R26" i="16"/>
  <c r="R109" i="16"/>
  <c r="R87" i="16"/>
  <c r="R71" i="16"/>
  <c r="R96" i="16"/>
  <c r="R81" i="16"/>
  <c r="R89" i="16"/>
  <c r="R93" i="16"/>
  <c r="R48" i="16"/>
  <c r="P94" i="16"/>
  <c r="R52" i="16"/>
  <c r="P106" i="16"/>
  <c r="R34" i="16"/>
  <c r="Z16" i="16"/>
  <c r="R31" i="16"/>
  <c r="R107" i="16"/>
  <c r="P108" i="16"/>
  <c r="R83" i="16"/>
  <c r="P80" i="16"/>
  <c r="P75" i="16"/>
  <c r="P85" i="16"/>
  <c r="J1" i="4" a="1"/>
  <c r="R69" i="16"/>
  <c r="R97" i="16"/>
  <c r="P111" i="16"/>
  <c r="R98" i="16"/>
  <c r="R62" i="16"/>
  <c r="R79" i="16"/>
  <c r="P77" i="16"/>
  <c r="R42" i="16"/>
  <c r="R103" i="16"/>
  <c r="P88" i="16"/>
  <c r="R56" i="16"/>
  <c r="R25" i="16"/>
  <c r="P76" i="16"/>
  <c r="P101" i="16"/>
  <c r="P79" i="16"/>
  <c r="P97" i="16"/>
  <c r="R37" i="16"/>
  <c r="P84" i="16"/>
  <c r="R66" i="16"/>
  <c r="R99" i="16"/>
  <c r="R67" i="16"/>
  <c r="R36" i="16"/>
  <c r="P104" i="16"/>
  <c r="R95" i="16"/>
  <c r="P96" i="16"/>
  <c r="R44" i="16"/>
  <c r="R106" i="16"/>
  <c r="R90" i="16"/>
  <c r="P90" i="16"/>
  <c r="P91" i="16"/>
  <c r="P89" i="16"/>
  <c r="R21" i="16"/>
  <c r="P81" i="16"/>
  <c r="R91" i="16"/>
  <c r="R108" i="16"/>
  <c r="D27" i="6"/>
  <c r="P103" i="16"/>
  <c r="P109" i="16"/>
  <c r="P95" i="16"/>
  <c r="P82" i="16"/>
  <c r="R19" i="16"/>
  <c r="R38" i="16"/>
  <c r="R59" i="16"/>
  <c r="R46" i="16"/>
  <c r="R32" i="16"/>
  <c r="R84" i="16"/>
  <c r="R51" i="16"/>
  <c r="R50" i="16"/>
  <c r="R72" i="16"/>
  <c r="R35" i="16"/>
  <c r="R22" i="16"/>
  <c r="R76" i="16"/>
  <c r="R60" i="16"/>
  <c r="R77" i="16"/>
  <c r="R53" i="16"/>
  <c r="R82" i="16"/>
  <c r="R85"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S50" i="16"/>
  <c r="S109" i="16"/>
  <c r="S100" i="16"/>
  <c r="S30" i="16"/>
  <c r="S68" i="16"/>
  <c r="S42" i="16"/>
  <c r="AA19" i="16" a="1"/>
  <c r="S25" i="16"/>
  <c r="S56" i="16"/>
  <c r="S34" i="16"/>
  <c r="S82" i="16"/>
  <c r="S21" i="16"/>
  <c r="S88" i="16"/>
  <c r="S69" i="16"/>
  <c r="S20" i="16"/>
  <c r="S36" i="16"/>
  <c r="S93" i="16"/>
  <c r="S57" i="16"/>
  <c r="S89" i="16"/>
  <c r="S59" i="16"/>
  <c r="S94" i="16"/>
  <c r="S96" i="16"/>
  <c r="S72" i="16"/>
  <c r="S53" i="16"/>
  <c r="S48" i="16"/>
  <c r="S76" i="16"/>
  <c r="D26" i="6"/>
  <c r="S54" i="16"/>
  <c r="S33" i="16"/>
  <c r="S108" i="16"/>
  <c r="S26" i="16"/>
  <c r="S75" i="16"/>
  <c r="S35" i="16"/>
  <c r="S85" i="16"/>
  <c r="S95" i="16"/>
  <c r="S86" i="16"/>
  <c r="S46" i="16"/>
  <c r="S22" i="16"/>
  <c r="S67" i="16"/>
  <c r="S90" i="16"/>
  <c r="S40" i="16"/>
  <c r="S60" i="16"/>
  <c r="S24" i="16"/>
  <c r="S44" i="16"/>
  <c r="S71" i="16"/>
  <c r="S106" i="16"/>
  <c r="S104" i="16"/>
  <c r="S62" i="16"/>
  <c r="S80" i="16"/>
  <c r="S87" i="16"/>
  <c r="S43" i="16"/>
  <c r="S78" i="16"/>
  <c r="S39" i="16"/>
  <c r="S37" i="16"/>
  <c r="S70" i="16"/>
  <c r="S38" i="16"/>
  <c r="S32" i="16"/>
  <c r="S61" i="16"/>
  <c r="S31" i="16"/>
  <c r="S84" i="16"/>
  <c r="S83" i="16"/>
  <c r="S49" i="16"/>
  <c r="S99" i="16"/>
  <c r="S101" i="16"/>
  <c r="S58" i="16"/>
  <c r="S45" i="16"/>
  <c r="S103" i="16"/>
  <c r="S105" i="16"/>
  <c r="S66" i="16"/>
  <c r="S41" i="16"/>
  <c r="S98" i="16"/>
  <c r="S102" i="16"/>
  <c r="S47" i="16"/>
  <c r="S52" i="16"/>
  <c r="S55" i="16"/>
  <c r="S97" i="16"/>
  <c r="S110" i="16"/>
  <c r="S77" i="16"/>
  <c r="S107" i="16"/>
  <c r="S111" i="16"/>
  <c r="S19" i="16"/>
  <c r="S23" i="16"/>
  <c r="S91" i="16"/>
  <c r="S81" i="16"/>
  <c r="S29" i="16"/>
  <c r="S65" i="16"/>
  <c r="S92" i="16"/>
  <c r="S79" i="16"/>
  <c r="S51" i="16"/>
  <c r="T111" i="16" l="1"/>
  <c r="T107" i="16"/>
  <c r="T110" i="16"/>
  <c r="T97" i="16"/>
  <c r="T102" i="16"/>
  <c r="T98" i="16"/>
  <c r="T105" i="16"/>
  <c r="T103" i="16"/>
  <c r="T101" i="16"/>
  <c r="T99" i="16"/>
  <c r="T104" i="16"/>
  <c r="T106" i="16"/>
  <c r="T26" i="16"/>
  <c r="T108" i="16"/>
  <c r="T100" i="16"/>
  <c r="T109" i="16"/>
  <c r="T50" i="16"/>
  <c r="T46" i="16"/>
  <c r="T37" i="16"/>
  <c r="T65"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39" i="16"/>
  <c r="T38" i="16"/>
  <c r="T62" i="16"/>
  <c r="T44" i="16"/>
  <c r="T51" i="16"/>
  <c r="T52" i="16"/>
  <c r="T85" i="16"/>
  <c r="T41" i="16"/>
  <c r="T75" i="16"/>
  <c r="T49" i="16"/>
  <c r="T35" i="16"/>
  <c r="T32" i="16"/>
  <c r="T53" i="16"/>
  <c r="T69" i="16"/>
  <c r="T67" i="16"/>
  <c r="T22" i="16"/>
  <c r="T61" i="16"/>
  <c r="T29" i="16"/>
  <c r="T54" i="16"/>
  <c r="T58" i="16"/>
  <c r="T24" i="16"/>
  <c r="T86" i="16"/>
  <c r="T45" i="16"/>
  <c r="T59" i="16"/>
  <c r="T93" i="16"/>
  <c r="T92" i="16"/>
  <c r="T47" i="16"/>
  <c r="T33" i="16"/>
  <c r="T82" i="16"/>
  <c r="T23" i="16"/>
  <c r="T96" i="16"/>
  <c r="T20" i="16"/>
  <c r="T90" i="16"/>
  <c r="T76" i="16"/>
  <c r="T30" i="16"/>
  <c r="T57" i="16"/>
  <c r="T34" i="16"/>
  <c r="T87" i="16"/>
  <c r="T71" i="16"/>
  <c r="T42" i="16"/>
  <c r="T79" i="16"/>
  <c r="T83" i="16"/>
  <c r="T19" i="16"/>
  <c r="T80" i="16"/>
  <c r="T94" i="16"/>
  <c r="T81" i="16"/>
  <c r="T60" i="16"/>
  <c r="T68" i="16"/>
  <c r="T66" i="16"/>
  <c r="T88" i="16"/>
  <c r="T55" i="16"/>
  <c r="T70" i="16"/>
  <c r="T78" i="16"/>
  <c r="T48" i="16"/>
  <c r="T84" i="16"/>
  <c r="T31" i="16"/>
  <c r="T25" i="16"/>
  <c r="T56" i="16"/>
  <c r="T91" i="16"/>
  <c r="T21" i="16"/>
  <c r="T43" i="16"/>
  <c r="T36" i="16"/>
  <c r="T40" i="16"/>
  <c r="T89" i="16"/>
  <c r="T95" i="16"/>
  <c r="T72" i="16"/>
  <c r="T77" i="16"/>
  <c r="D25" i="6"/>
  <c r="D24" i="6"/>
  <c r="K15" i="16"/>
  <c r="K8" i="16"/>
  <c r="K11" i="16"/>
  <c r="K13" i="16"/>
  <c r="J11" i="16"/>
  <c r="K6" i="16"/>
  <c r="J6" i="16"/>
  <c r="J8" i="16"/>
  <c r="K5" i="16"/>
  <c r="J13" i="16"/>
  <c r="J4" i="16"/>
  <c r="K14" i="16"/>
  <c r="K3" i="16"/>
  <c r="K12" i="16"/>
  <c r="K7" i="16"/>
  <c r="J10" i="16"/>
  <c r="K9" i="16"/>
  <c r="K16" i="16"/>
  <c r="K4" i="16"/>
  <c r="J3" i="16"/>
  <c r="J14" i="16"/>
  <c r="J7" i="16"/>
  <c r="K10" i="16"/>
  <c r="J5" i="16"/>
  <c r="J15" i="16"/>
  <c r="J9" i="16"/>
  <c r="J16" i="16"/>
  <c r="J12" i="16"/>
  <c r="U29" i="16" l="1"/>
  <c r="U65" i="16"/>
  <c r="U19" i="16"/>
  <c r="G7" i="16"/>
  <c r="G13" i="16"/>
  <c r="G12" i="16"/>
  <c r="G9" i="16"/>
  <c r="G8" i="16"/>
  <c r="G6" i="16"/>
  <c r="G5" i="16"/>
  <c r="G3" i="16"/>
  <c r="G14" i="16"/>
  <c r="G10" i="16"/>
  <c r="G11" i="16"/>
  <c r="G4" i="16"/>
  <c r="G15" i="16"/>
  <c r="G16" i="16"/>
  <c r="U80"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<sst xmlns="http://schemas.openxmlformats.org/spreadsheetml/2006/main" count="577" uniqueCount="190">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</sst>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Monitor!$Z$19:$Z$3552</c:f>
              <c:numCache>
                <c:formatCode>0.0000%</c:formatCode>
                <c:ptCount val="3534"/>
                <c:pt idx="0">
                  <c:v>-1.4899999999991613E-4</c:v>
                </c:pt>
                <c:pt idx="1">
                  <c:v>-1.4573336086072834E-4</c:v>
                </c:pt>
                <c:pt idx="2">
                  <c:v>-1.37621115235657E-4</c:v>
                </c:pt>
                <c:pt idx="3">
                  <c:v>-1.3146851295131118E-4</c:v>
                </c:pt>
                <c:pt idx="4">
                  <c:v>-1.27638077800942E-4</c:v>
                </c:pt>
                <c:pt idx="5">
                  <c:v>-1.2371609330768361E-4</c:v>
                </c:pt>
                <c:pt idx="6">
                  <c:v>-1.1970962947003574E-4</c:v>
                </c:pt>
                <c:pt idx="7">
                  <c:v>-1.1020139206323656E-4</c:v>
                </c:pt>
                <c:pt idx="8">
                  <c:v>-1.0298038152006082E-4</c:v>
                </c:pt>
                <c:pt idx="9">
                  <c:v>-9.8657571816822951E-5</c:v>
                </c:pt>
                <c:pt idx="10">
                  <c:v>-9.4292703301499827E-5</c:v>
                </c:pt>
                <c:pt idx="11">
                  <c:v>-8.9892846158094912E-5</c:v>
                </c:pt>
                <c:pt idx="12">
                  <c:v>-8.001317696659556E-5</c:v>
                </c:pt>
                <c:pt idx="13">
                  <c:v>-9.1649793136868197E-5</c:v>
                </c:pt>
                <c:pt idx="14">
                  <c:v>-8.718106911778294E-5</c:v>
                </c:pt>
                <c:pt idx="15">
                  <c:v>-8.2719778222379475E-5</c:v>
                </c:pt>
                <c:pt idx="16">
                  <c:v>-7.8272990826247152E-5</c:v>
                </c:pt>
                <c:pt idx="17">
                  <c:v>-6.8578642451608453E-5</c:v>
                </c:pt>
                <c:pt idx="18">
                  <c:v>-6.0772284842730322E-5</c:v>
                </c:pt>
                <c:pt idx="19">
                  <c:v>-5.6504071672004784E-5</c:v>
                </c:pt>
                <c:pt idx="20">
                  <c:v>-5.2292784907476857E-5</c:v>
                </c:pt>
                <c:pt idx="21">
                  <c:v>-4.8145495135002491E-5</c:v>
                </c:pt>
                <c:pt idx="22">
                  <c:v>-3.9974110720265645E-5</c:v>
                </c:pt>
                <c:pt idx="23">
                  <c:v>-3.233771865241841E-5</c:v>
                </c:pt>
                <c:pt idx="24">
                  <c:v>-2.8616267539061589E-5</c:v>
                </c:pt>
                <c:pt idx="25">
                  <c:v>-2.5000001325625263E-5</c:v>
                </c:pt>
                <c:pt idx="26">
                  <c:v>-2.1493517602678558E-5</c:v>
                </c:pt>
                <c:pt idx="27">
                  <c:v>-1.5631342673430403E-5</c:v>
                </c:pt>
                <c:pt idx="28">
                  <c:v>-8.546028262014083E-6</c:v>
                </c:pt>
                <c:pt idx="29">
                  <c:v>-5.5708298296114593E-6</c:v>
                </c:pt>
                <c:pt idx="30">
                  <c:v>-2.6971259191261483E-6</c:v>
                </c:pt>
                <c:pt idx="31">
                  <c:v>7.6671014754450456E-8</c:v>
                </c:pt>
                <c:pt idx="32">
                  <c:v>3.6846559012437355E-6</c:v>
                </c:pt>
                <c:pt idx="33">
                  <c:v>1.0204540256276079E-5</c:v>
                </c:pt>
                <c:pt idx="34">
                  <c:v>1.250261586347735E-5</c:v>
                </c:pt>
                <c:pt idx="35">
                  <c:v>1.6275533897993828E-5</c:v>
                </c:pt>
                <c:pt idx="36">
                  <c:v>1.839443502124978E-5</c:v>
                </c:pt>
                <c:pt idx="37">
                  <c:v>2.0000617669280894E-5</c:v>
                </c:pt>
                <c:pt idx="38">
                  <c:v>2.6013853364469522E-5</c:v>
                </c:pt>
                <c:pt idx="39">
                  <c:v>2.7712599676782656E-5</c:v>
                </c:pt>
                <c:pt idx="40">
                  <c:v>2.933207801256528E-5</c:v>
                </c:pt>
                <c:pt idx="41">
                  <c:v>3.087387605397705E-5</c:v>
                </c:pt>
                <c:pt idx="42">
                  <c:v>3.0785669367803574E-5</c:v>
                </c:pt>
                <c:pt idx="43">
                  <c:v>3.629601914327722E-5</c:v>
                </c:pt>
                <c:pt idx="44">
                  <c:v>3.7472496959314029E-5</c:v>
                </c:pt>
                <c:pt idx="45">
                  <c:v>3.8576415456797299E-5</c:v>
                </c:pt>
                <c:pt idx="46">
                  <c:v>3.960495710777694E-5</c:v>
                </c:pt>
                <c:pt idx="47">
                  <c:v>3.8058726560901667E-5</c:v>
                </c:pt>
                <c:pt idx="48">
                  <c:v>4.2909004718936991E-5</c:v>
                </c:pt>
                <c:pt idx="49">
                  <c:v>4.35183992650663E-5</c:v>
                </c:pt>
                <c:pt idx="50">
                  <c:v>4.4035511839566141E-5</c:v>
                </c:pt>
                <c:pt idx="51">
                  <c:v>4.4457524935339322E-5</c:v>
                </c:pt>
                <c:pt idx="52">
                  <c:v>4.1534320600705833E-5</c:v>
                </c:pt>
                <c:pt idx="53">
                  <c:v>4.513823257081539E-5</c:v>
                </c:pt>
                <c:pt idx="54">
                  <c:v>4.5042485872419562E-5</c:v>
                </c:pt>
                <c:pt idx="55">
                  <c:v>4.4834734790864267E-5</c:v>
                </c:pt>
                <c:pt idx="56">
                  <c:v>4.4512161875528861E-5</c:v>
                </c:pt>
                <c:pt idx="57">
                  <c:v>4.5970835778064156E-5</c:v>
                </c:pt>
                <c:pt idx="58">
                  <c:v>4.0060760440245772E-5</c:v>
                </c:pt>
                <c:pt idx="59">
                  <c:v>3.9121817429077985E-5</c:v>
                </c:pt>
                <c:pt idx="60">
                  <c:v>3.8051148188855208E-5</c:v>
                </c:pt>
                <c:pt idx="61">
                  <c:v>3.6845935359319313E-5</c:v>
                </c:pt>
                <c:pt idx="62">
                  <c:v>3.1453068666183103E-5</c:v>
                </c:pt>
                <c:pt idx="63">
                  <c:v>3.0623301649273351E-5</c:v>
                </c:pt>
                <c:pt idx="64">
                  <c:v>2.8703111161789408E-5</c:v>
                </c:pt>
                <c:pt idx="65">
                  <c:v>2.6631473339632375E-5</c:v>
                </c:pt>
                <c:pt idx="66">
                  <c:v>2.4405570964169957E-5</c:v>
                </c:pt>
                <c:pt idx="67">
                  <c:v>1.7921191586892859E-5</c:v>
                </c:pt>
                <c:pt idx="68">
                  <c:v>1.4012194749719212E-5</c:v>
                </c:pt>
                <c:pt idx="69">
                  <c:v>1.1076814552547354E-5</c:v>
                </c:pt>
                <c:pt idx="70">
                  <c:v>8.0214647341816576E-6</c:v>
                </c:pt>
                <c:pt idx="71">
                  <c:v>4.8535676912325023E-6</c:v>
                </c:pt>
                <c:pt idx="72">
                  <c:v>-2.3201093795102771E-6</c:v>
                </c:pt>
                <c:pt idx="73">
                  <c:v>-8.7950452612088803E-6</c:v>
                </c:pt>
                <c:pt idx="74">
                  <c:v>-1.2414342988380898E-5</c:v>
                </c:pt>
                <c:pt idx="75">
                  <c:v>-1.6101653904546701E-5</c:v>
                </c:pt>
                <c:pt idx="76">
                  <c:v>-1.9849555743426446E-5</c:v>
                </c:pt>
                <c:pt idx="77">
                  <c:v>-2.713990644050766E-5</c:v>
                </c:pt>
                <c:pt idx="78">
                  <c:v>-3.3617641914625065E-5</c:v>
                </c:pt>
                <c:pt idx="79">
                  <c:v>-1.7421671587117181E-5</c:v>
                </c:pt>
                <c:pt idx="80">
                  <c:v>-2.1418819821058571E-5</c:v>
                </c:pt>
                <c:pt idx="81">
                  <c:v>-2.5425827321370308E-5</c:v>
                </c:pt>
                <c:pt idx="82">
                  <c:v>-2.9435190440678613E-5</c:v>
                </c:pt>
                <c:pt idx="83">
                  <c:v>-4.1402377532516148E-5</c:v>
                </c:pt>
                <c:pt idx="84">
                  <c:v>-4.5346127294878993E-5</c:v>
                </c:pt>
                <c:pt idx="85">
                  <c:v>-4.925471490712719E-5</c:v>
                </c:pt>
                <c:pt idx="86">
                  <c:v>-5.3120636902401912E-5</c:v>
                </c:pt>
                <c:pt idx="87">
                  <c:v>-5.6936389846784999E-5</c:v>
                </c:pt>
                <c:pt idx="88">
                  <c:v>-6.8007600386330971E-5</c:v>
                </c:pt>
                <c:pt idx="89">
                  <c:v>-7.1547643271095988E-5</c:v>
                </c:pt>
                <c:pt idx="90">
                  <c:v>-7.500000030080057E-5</c:v>
                </c:pt>
                <c:pt idx="91">
                  <c:v>-7.8357332001800491E-5</c:v>
                </c:pt>
                <c:pt idx="92">
                  <c:v>-8.1614204775030572E-5</c:v>
                </c:pt>
                <c:pt idx="93">
                  <c:v>-9.0784397527872697E-5</c:v>
                </c:pt>
                <c:pt idx="94">
                  <c:v>-9.3644263710862853E-5</c:v>
                </c:pt>
                <c:pt idx="95">
                  <c:v>-9.6407336062880649E-5</c:v>
                </c:pt>
                <c:pt idx="96">
                  <c:v>-9.9074597687195194E-5</c:v>
                </c:pt>
                <c:pt idx="97">
                  <c:v>-1.0373410196616317E-4</c:v>
                </c:pt>
                <c:pt idx="98">
                  <c:v>-1.0880519871498766E-4</c:v>
                </c:pt>
                <c:pt idx="99">
                  <c:v>-1.1100815297004663E-4</c:v>
                </c:pt>
                <c:pt idx="100">
                  <c:v>-1.1364523892247639E-4</c:v>
                </c:pt>
                <c:pt idx="101">
                  <c:v>-6.2367297179729956E-5</c:v>
                </c:pt>
                <c:pt idx="102">
                  <c:v>-6.3204390626343243E-5</c:v>
                </c:pt>
                <c:pt idx="103">
                  <c:v>-6.6367863299402529E-5</c:v>
                </c:pt>
                <c:pt idx="104">
                  <c:v>-6.7928165348271022E-5</c:v>
                </c:pt>
                <c:pt idx="105">
                  <c:v>-6.9406193663226886E-5</c:v>
                </c:pt>
                <c:pt idx="106">
                  <c:v>-7.0802920564755112E-5</c:v>
                </c:pt>
                <c:pt idx="107">
                  <c:v>-7.3676971489701975E-5</c:v>
                </c:pt>
                <c:pt idx="108">
                  <c:v>-7.5596260198229146E-5</c:v>
                </c:pt>
                <c:pt idx="109">
                  <c:v>-7.6601064601389268E-5</c:v>
                </c:pt>
                <c:pt idx="110">
                  <c:v>-7.75304013797913E-5</c:v>
                </c:pt>
                <c:pt idx="111">
                  <c:v>-7.8385242806566779E-5</c:v>
                </c:pt>
                <c:pt idx="112">
                  <c:v>-8.0329997460690429E-5</c:v>
                </c:pt>
                <c:pt idx="113">
                  <c:v>-8.1079100420066794E-5</c:v>
                </c:pt>
                <c:pt idx="114">
                  <c:v>-8.1576049102271639E-5</c:v>
                </c:pt>
                <c:pt idx="115">
                  <c:v>-8.2004336003867507E-5</c:v>
                </c:pt>
                <c:pt idx="116">
                  <c:v>-8.2364933369313234E-5</c:v>
                </c:pt>
                <c:pt idx="117">
                  <c:v>-8.3489865658853532E-5</c:v>
                </c:pt>
                <c:pt idx="118">
                  <c:v>-8.3149872263196215E-5</c:v>
                </c:pt>
                <c:pt idx="119">
                  <c:v>-8.3186605507034201E-5</c:v>
                </c:pt>
                <c:pt idx="120">
                  <c:v>-8.3161482616309925E-5</c:v>
                </c:pt>
                <c:pt idx="121">
                  <c:v>-8.3075475809416119E-5</c:v>
                </c:pt>
                <c:pt idx="122">
                  <c:v>-8.2613022686926207E-5</c:v>
                </c:pt>
                <c:pt idx="123">
                  <c:v>-6.0620648069592313E-5</c:v>
                </c:pt>
                <c:pt idx="124">
                  <c:v>-6.0244802860289482E-5</c:v>
                </c:pt>
                <c:pt idx="125">
                  <c:v>-5.9813906712830771E-5</c:v>
                </c:pt>
                <c:pt idx="126">
                  <c:v>-5.9328931838223532E-5</c:v>
                </c:pt>
                <c:pt idx="127">
                  <c:v>-5.9572161625792589E-5</c:v>
                </c:pt>
                <c:pt idx="128">
                  <c:v>-5.6867689213299058E-5</c:v>
                </c:pt>
                <c:pt idx="129">
                  <c:v>-5.6126903803763056E-5</c:v>
                </c:pt>
                <c:pt idx="130">
                  <c:v>-5.5337872898367834E-5</c:v>
                </c:pt>
                <c:pt idx="131">
                  <c:v>-5.4501568699432034E-5</c:v>
                </c:pt>
                <c:pt idx="132">
                  <c:v>-5.4210811068666287E-5</c:v>
                </c:pt>
                <c:pt idx="133">
                  <c:v>-5.0703062946449755E-5</c:v>
                </c:pt>
                <c:pt idx="134">
                  <c:v>-4.9644975263327481E-5</c:v>
                </c:pt>
                <c:pt idx="135">
                  <c:v>-4.8545447475813731E-5</c:v>
                </c:pt>
                <c:pt idx="136">
                  <c:v>-4.7405451783620542E-5</c:v>
                </c:pt>
                <c:pt idx="137">
                  <c:v>-4.6661793592857945E-5</c:v>
                </c:pt>
                <c:pt idx="138">
                  <c:v>-4.2460233892350139E-5</c:v>
                </c:pt>
                <c:pt idx="139">
                  <c:v>-4.1132481624652485E-5</c:v>
                </c:pt>
                <c:pt idx="140">
                  <c:v>-3.977009463447353E-5</c:v>
                </c:pt>
                <c:pt idx="141">
                  <c:v>-3.8374045119353141E-5</c:v>
                </c:pt>
                <c:pt idx="142">
                  <c:v>-3.7251477415074927E-5</c:v>
                </c:pt>
                <c:pt idx="143">
                  <c:v>-3.2302496624811408E-5</c:v>
                </c:pt>
                <c:pt idx="144">
                  <c:v>-5.0936291000003907E-5</c:v>
                </c:pt>
                <c:pt idx="145">
                  <c:v>-4.9366436513598787E-5</c:v>
                </c:pt>
                <c:pt idx="146">
                  <c:v>-4.7769575479426336E-5</c:v>
                </c:pt>
                <c:pt idx="147">
                  <c:v>-4.6146690782468738E-5</c:v>
                </c:pt>
                <c:pt idx="148">
                  <c:v>-4.1131723566024672E-5</c:v>
                </c:pt>
                <c:pt idx="149">
                  <c:v>-3.9414573074775797E-5</c:v>
                </c:pt>
                <c:pt idx="150">
                  <c:v>-3.767631335751141E-5</c:v>
                </c:pt>
                <c:pt idx="151">
                  <c:v>-3.5917927303166574E-5</c:v>
                </c:pt>
                <c:pt idx="152">
                  <c:v>-3.4140397805068463E-5</c:v>
                </c:pt>
                <c:pt idx="153">
                  <c:v>-2.8702777594263204E-5</c:v>
                </c:pt>
                <c:pt idx="154">
                  <c:v>-2.6858503275505698E-5</c:v>
                </c:pt>
                <c:pt idx="155">
                  <c:v>-2.4999999999834376E-5</c:v>
                </c:pt>
                <c:pt idx="156">
                  <c:v>-2.3128146457776163E-5</c:v>
                </c:pt>
                <c:pt idx="157">
                  <c:v>-2.1243404513284746E-5</c:v>
                </c:pt>
                <c:pt idx="158">
                  <c:v>-1.5515424807350602E-5</c:v>
                </c:pt>
                <c:pt idx="159">
                  <c:v>-1.35827057992186E-5</c:v>
                </c:pt>
                <c:pt idx="160">
                  <c:v>-1.1638886664115164E-5</c:v>
                </c:pt>
                <c:pt idx="161">
                  <c:v>-9.684325061876109E-6</c:v>
                </c:pt>
                <c:pt idx="162">
                  <c:v>-1.5504836154109238E-6</c:v>
                </c:pt>
                <c:pt idx="163">
                  <c:v>2.3710195301623822E-7</c:v>
                </c:pt>
                <c:pt idx="164">
                  <c:v>2.2486075384104768E-6</c:v>
                </c:pt>
                <c:pt idx="165">
                  <c:v>4.2683519760425193E-6</c:v>
                </c:pt>
                <c:pt idx="166">
                  <c:v>-4.612706941639835E-5</c:v>
                </c:pt>
                <c:pt idx="167">
                  <c:v>-4.407152609051692E-5</c:v>
                </c:pt>
                <c:pt idx="168">
                  <c:v>-4.2009889986924568E-5</c:v>
                </c:pt>
                <c:pt idx="169">
                  <c:v>-3.9942518767653148E-5</c:v>
                </c:pt>
                <c:pt idx="170">
                  <c:v>-3.7869770093416898E-5</c:v>
                </c:pt>
                <c:pt idx="171">
                  <c:v>-3.162283597265717E-5</c:v>
                </c:pt>
                <c:pt idx="172">
                  <c:v>-2.9532154113813289E-5</c:v>
                </c:pt>
                <c:pt idx="173">
                  <c:v>-2.7437883121583306E-5</c:v>
                </c:pt>
                <c:pt idx="174">
                  <c:v>-2.5340380659755925E-5</c:v>
                </c:pt>
                <c:pt idx="175">
                  <c:v>-2.3240004399586385E-5</c:v>
                </c:pt>
                <c:pt idx="176">
                  <c:v>-1.6925209494581992E-5</c:v>
                </c:pt>
                <c:pt idx="177">
                  <c:v>-1.4816914716263576E-5</c:v>
                </c:pt>
                <c:pt idx="178">
                  <c:v>-1.2707534486216661E-5</c:v>
                </c:pt>
                <c:pt idx="179">
                  <c:v>-1.0597426471304405E-5</c:v>
                </c:pt>
                <c:pt idx="180">
                  <c:v>-8.4869483493701974E-6</c:v>
                </c:pt>
                <c:pt idx="181">
                  <c:v>-2.1568700531099446E-6</c:v>
                </c:pt>
                <c:pt idx="182">
                  <c:v>-4.8488229695123498E-8</c:v>
                </c:pt>
                <c:pt idx="183">
                  <c:v>2.058475329532287E-6</c:v>
                </c:pt>
                <c:pt idx="184">
                  <c:v>4.1636629502425734E-6</c:v>
                </c:pt>
                <c:pt idx="185">
                  <c:v>6.2667169510786739E-6</c:v>
                </c:pt>
                <c:pt idx="186">
                  <c:v>-9.1988103771563493E-6</c:v>
                </c:pt>
                <c:pt idx="187">
                  <c:v>-8.1219021161871296E-6</c:v>
                </c:pt>
                <c:pt idx="188">
                  <c:v>-6.0288311569678399E-6</c:v>
                </c:pt>
                <c:pt idx="189">
                  <c:v>-3.9398729643203012E-6</c:v>
                </c:pt>
                <c:pt idx="190">
                  <c:v>-1.8553891938388745E-6</c:v>
                </c:pt>
                <c:pt idx="191">
                  <c:v>5.3428275105226201E-6</c:v>
                </c:pt>
                <c:pt idx="192">
                  <c:v>6.4305685487653363E-6</c:v>
                </c:pt>
                <c:pt idx="193">
                  <c:v>8.4872553633985603E-6</c:v>
                </c:pt>
                <c:pt idx="194">
                  <c:v>1.0537297811197277E-5</c:v>
                </c:pt>
                <c:pt idx="195">
                  <c:v>1.2580334234790769E-5</c:v>
                </c:pt>
                <c:pt idx="196">
                  <c:v>1.9587128886745386E-5</c:v>
                </c:pt>
                <c:pt idx="197">
                  <c:v>2.0675186449992111E-5</c:v>
                </c:pt>
                <c:pt idx="198">
                  <c:v>2.2677767822720796E-5</c:v>
                </c:pt>
                <c:pt idx="199">
                  <c:v>2.4671173196821883E-5</c:v>
                </c:pt>
                <c:pt idx="200">
                  <c:v>2.6655040906931049E-5</c:v>
                </c:pt>
                <c:pt idx="201">
                  <c:v>3.3411407209267813E-5</c:v>
                </c:pt>
                <c:pt idx="202">
                  <c:v>3.4487901796609322E-5</c:v>
                </c:pt>
                <c:pt idx="203">
                  <c:v>3.6418656197412247E-5</c:v>
                </c:pt>
                <c:pt idx="204">
                  <c:v>3.8337702932267348E-5</c:v>
                </c:pt>
                <c:pt idx="205">
                  <c:v>4.0244680333145766E-5</c:v>
                </c:pt>
                <c:pt idx="206">
                  <c:v>4.7489993734017375E-5</c:v>
                </c:pt>
                <c:pt idx="207">
                  <c:v>4.9326719747907916E-5</c:v>
                </c:pt>
                <c:pt idx="208">
                  <c:v>5.1149450137139254E-5</c:v>
                </c:pt>
                <c:pt idx="209">
                  <c:v>5.295783108994889E-5</c:v>
                </c:pt>
                <c:pt idx="210">
                  <c:v>5.6252177129962129E-5</c:v>
                </c:pt>
                <c:pt idx="211">
                  <c:v>6.0040784307802617E-5</c:v>
                </c:pt>
                <c:pt idx="212">
                  <c:v>6.177211090032857E-5</c:v>
                </c:pt>
                <c:pt idx="213">
                  <c:v>6.3486965181513497E-5</c:v>
                </c:pt>
                <c:pt idx="214">
                  <c:v>6.5184993336988285E-5</c:v>
                </c:pt>
                <c:pt idx="215">
                  <c:v>6.8233405700081381E-5</c:v>
                </c:pt>
                <c:pt idx="216">
                  <c:v>7.1801768411797326E-5</c:v>
                </c:pt>
                <c:pt idx="217">
                  <c:v>7.3410358713627246E-5</c:v>
                </c:pt>
                <c:pt idx="218">
                  <c:v>7.500000000092578E-5</c:v>
                </c:pt>
                <c:pt idx="219">
                  <c:v>7.6570511724204522E-5</c:v>
                </c:pt>
                <c:pt idx="220">
                  <c:v>7.9361257006877966E-5</c:v>
                </c:pt>
                <c:pt idx="221">
                  <c:v>8.2673246725028591E-5</c:v>
                </c:pt>
                <c:pt idx="222">
                  <c:v>8.4157531625234341E-5</c:v>
                </c:pt>
                <c:pt idx="223">
                  <c:v>8.5626628638839534E-5</c:v>
                </c:pt>
                <c:pt idx="224">
                  <c:v>8.7081223597235862E-5</c:v>
                </c:pt>
                <c:pt idx="225">
                  <c:v>9.4160671632858168E-5</c:v>
                </c:pt>
                <c:pt idx="226">
                  <c:v>9.5542656724439723E-5</c:v>
                </c:pt>
                <c:pt idx="227">
                  <c:v>9.6345771092176804E-5</c:v>
                </c:pt>
                <c:pt idx="228">
                  <c:v>9.7709195704069103E-5</c:v>
                </c:pt>
                <c:pt idx="229">
                  <c:v>1.0174882899568021E-4</c:v>
                </c:pt>
                <c:pt idx="230">
                  <c:v>1.0308080450139611E-4</c:v>
                </c:pt>
                <c:pt idx="231">
                  <c:v>1.0440665117340775E-4</c:v>
                </c:pt>
                <c:pt idx="232">
                  <c:v>1.0572706239552699E-4</c:v>
                </c:pt>
                <c:pt idx="233">
                  <c:v>1.0704273154717369E-4</c:v>
                </c:pt>
                <c:pt idx="234">
                  <c:v>1.1096822039543701E-4</c:v>
                </c:pt>
                <c:pt idx="235">
                  <c:v>1.1227185509013624E-4</c:v>
                </c:pt>
                <c:pt idx="236">
                  <c:v>1.1357421463254402E-4</c:v>
                </c:pt>
                <c:pt idx="237">
                  <c:v>1.1487599240822909E-4</c:v>
                </c:pt>
                <c:pt idx="238">
                  <c:v>1.161778818071523E-4</c:v>
                </c:pt>
                <c:pt idx="239">
                  <c:v>1.2009115361397119E-4</c:v>
                </c:pt>
                <c:pt idx="240">
                  <c:v>1.2140042338876527E-4</c:v>
                </c:pt>
                <c:pt idx="241">
                  <c:v>1.2271327173484482E-4</c:v>
                </c:pt>
                <c:pt idx="242">
                  <c:v>1.2403039204656274E-4</c:v>
                </c:pt>
                <c:pt idx="243">
                  <c:v>1.2535247771651512E-4</c:v>
                </c:pt>
                <c:pt idx="244">
                  <c:v>1.2935546083072777E-4</c:v>
                </c:pt>
                <c:pt idx="245">
                  <c:v>1.3070434189383723E-4</c:v>
                </c:pt>
                <c:pt idx="246">
                  <c:v>1.3206165529660837E-4</c:v>
                </c:pt>
                <c:pt idx="247">
                  <c:v>1.3342809444217828E-4</c:v>
                </c:pt>
                <c:pt idx="248">
                  <c:v>1.3480435272929202E-4</c:v>
                </c:pt>
                <c:pt idx="249">
                  <c:v>1.3980987906348909E-4</c:v>
                </c:pt>
                <c:pt idx="250">
                  <c:v>1.4124678349545036E-4</c:v>
                </c:pt>
                <c:pt idx="251">
                  <c:v>1.4269730573516264E-4</c:v>
                </c:pt>
                <c:pt idx="252">
                  <c:v>1.4416213165572338E-4</c:v>
                </c:pt>
                <c:pt idx="253">
                  <c:v>1.4742142783795637E-4</c:v>
                </c:pt>
                <c:pt idx="254">
                  <c:v>1.501781896066621E-4</c:v>
                </c:pt>
                <c:pt idx="255">
                  <c:v>1.5172482204009103E-4</c:v>
                </c:pt>
                <c:pt idx="256">
                  <c:v>1.5328987340685501E-4</c:v>
                </c:pt>
                <c:pt idx="257">
                  <c:v>1.5487402958787132E-4</c:v>
                </c:pt>
                <c:pt idx="258">
                  <c:v>1.5849200515324606E-4</c:v>
                </c:pt>
                <c:pt idx="259">
                  <c:v>1.6141542010582262E-4</c:v>
                </c:pt>
                <c:pt idx="260">
                  <c:v>1.6310538861182786E-4</c:v>
                </c:pt>
                <c:pt idx="261">
                  <c:v>1.6481857724191747E-4</c:v>
                </c:pt>
                <c:pt idx="262">
                  <c:v>1.6655567188830406E-4</c:v>
                </c:pt>
                <c:pt idx="263">
                  <c:v>1.7059025023558993E-4</c:v>
                </c:pt>
                <c:pt idx="264">
                  <c:v>1.7375682851148241E-4</c:v>
                </c:pt>
                <c:pt idx="265">
                  <c:v>1.7562374165903529E-4</c:v>
                </c:pt>
                <c:pt idx="266">
                  <c:v>1.775186762039645E-4</c:v>
                </c:pt>
                <c:pt idx="267">
                  <c:v>1.7944231804890916E-4</c:v>
                </c:pt>
                <c:pt idx="268">
                  <c:v>1.8394641878800294E-4</c:v>
                </c:pt>
                <c:pt idx="269">
                  <c:v>1.8743767655373861E-4</c:v>
                </c:pt>
                <c:pt idx="270">
                  <c:v>1.8951514351393746E-4</c:v>
                </c:pt>
                <c:pt idx="271">
                  <c:v>1.9162543323603606E-4</c:v>
                </c:pt>
                <c:pt idx="272">
                  <c:v>1.9376923163744419E-4</c:v>
                </c:pt>
                <c:pt idx="273">
                  <c:v>1.9879077083429896E-4</c:v>
                </c:pt>
                <c:pt idx="274">
                  <c:v>2.026932304851577E-4</c:v>
                </c:pt>
                <c:pt idx="275">
                  <c:v>2.0501486113896786E-4</c:v>
                </c:pt>
                <c:pt idx="276">
                  <c:v>2.0737411603389196E-4</c:v>
                </c:pt>
                <c:pt idx="277">
                  <c:v>2.0977168110471723E-4</c:v>
                </c:pt>
                <c:pt idx="278">
                  <c:v>2.1535357153630968E-4</c:v>
                </c:pt>
                <c:pt idx="279">
                  <c:v>2.1975876194877688E-4</c:v>
                </c:pt>
                <c:pt idx="280">
                  <c:v>2.2235816703213189E-4</c:v>
                </c:pt>
                <c:pt idx="281">
                  <c:v>2.2499999796701448E-4</c:v>
                </c:pt>
                <c:pt idx="282">
                  <c:v>2.2768475915429354E-4</c:v>
                </c:pt>
                <c:pt idx="283">
                  <c:v>2.3385360803903182E-4</c:v>
                </c:pt>
                <c:pt idx="284">
                  <c:v>2.3883953876907321E-4</c:v>
                </c:pt>
                <c:pt idx="285">
                  <c:v>2.4172683551858679E-4</c:v>
                </c:pt>
                <c:pt idx="286">
                  <c:v>2.4465139452659653E-4</c:v>
                </c:pt>
                <c:pt idx="287">
                  <c:v>2.4761212655136214E-4</c:v>
                </c:pt>
                <c:pt idx="288">
                  <c:v>2.5426182001725531E-4</c:v>
                </c:pt>
                <c:pt idx="289">
                  <c:v>2.5979499985284704E-4</c:v>
                </c:pt>
                <c:pt idx="290">
                  <c:v>2.6292025822059691E-4</c:v>
                </c:pt>
                <c:pt idx="291">
                  <c:v>2.6607515409210231E-4</c:v>
                </c:pt>
                <c:pt idx="292">
                  <c:v>2.6925859820737662E-4</c:v>
                </c:pt>
                <c:pt idx="293">
                  <c:v>2.7624150941771226E-4</c:v>
                </c:pt>
                <c:pt idx="294">
                  <c:v>2.822560717691511E-4</c:v>
                </c:pt>
                <c:pt idx="295">
                  <c:v>2.8556591807574801E-4</c:v>
                </c:pt>
                <c:pt idx="296">
                  <c:v>2.8889777699494721E-4</c:v>
                </c:pt>
                <c:pt idx="297">
                  <c:v>2.9225055924069599E-4</c:v>
                </c:pt>
                <c:pt idx="298">
                  <c:v>2.9942700846264297E-4</c:v>
                </c:pt>
                <c:pt idx="299">
                  <c:v>3.0584913573164149E-4</c:v>
                </c:pt>
                <c:pt idx="300">
                  <c:v>3.0929019525505197E-4</c:v>
                </c:pt>
                <c:pt idx="301">
                  <c:v>3.1274564233395731E-4</c:v>
                </c:pt>
                <c:pt idx="302">
                  <c:v>3.162143876623208E-4</c:v>
                </c:pt>
                <c:pt idx="303">
                  <c:v>3.2345264192237643E-4</c:v>
                </c:pt>
                <c:pt idx="304">
                  <c:v>3.3020056517758621E-4</c:v>
                </c:pt>
                <c:pt idx="305">
                  <c:v>3.3371946200021148E-4</c:v>
                </c:pt>
                <c:pt idx="306">
                  <c:v>3.3724512114658123E-4</c:v>
                </c:pt>
                <c:pt idx="307">
                  <c:v>3.4077645327937941E-4</c:v>
                </c:pt>
                <c:pt idx="308">
                  <c:v>3.4795272614164096E-4</c:v>
                </c:pt>
                <c:pt idx="309">
                  <c:v>3.5493672486337118E-4</c:v>
                </c:pt>
                <c:pt idx="310">
                  <c:v>3.5848008177907792E-4</c:v>
                </c:pt>
                <c:pt idx="311">
                  <c:v>3.6202257559388948E-4</c:v>
                </c:pt>
                <c:pt idx="312">
                  <c:v>3.6556311694442388E-4</c:v>
                </c:pt>
                <c:pt idx="313">
                  <c:v>3.7256156841028036E-4</c:v>
                </c:pt>
                <c:pt idx="314">
                  <c:v>3.7968397032319404E-4</c:v>
                </c:pt>
                <c:pt idx="315">
                  <c:v>3.8319840878344439E-4</c:v>
                </c:pt>
                <c:pt idx="316">
                  <c:v>3.8670435852527086E-4</c:v>
                </c:pt>
                <c:pt idx="317">
                  <c:v>3.9020073015748758E-4</c:v>
                </c:pt>
                <c:pt idx="318">
                  <c:v>3.969134666800763E-4</c:v>
                </c:pt>
                <c:pt idx="319">
                  <c:v>4.0406864767791271E-4</c:v>
                </c:pt>
                <c:pt idx="320">
                  <c:v>4.0750078779350224E-4</c:v>
                </c:pt>
                <c:pt idx="321">
                  <c:v>4.1091681338372544E-4</c:v>
                </c:pt>
                <c:pt idx="322">
                  <c:v>4.1431563503393695E-4</c:v>
                </c:pt>
                <c:pt idx="323">
                  <c:v>4.2064270964638483E-4</c:v>
                </c:pt>
                <c:pt idx="324">
                  <c:v>4.2771709380186865E-4</c:v>
                </c:pt>
                <c:pt idx="325">
                  <c:v>4.3101355439592717E-4</c:v>
                </c:pt>
                <c:pt idx="326">
                  <c:v>4.3428627448390293E-4</c:v>
                </c:pt>
                <c:pt idx="327">
                  <c:v>4.3753416462595328E-4</c:v>
                </c:pt>
                <c:pt idx="328">
                  <c:v>4.4338357715802162E-4</c:v>
                </c:pt>
                <c:pt idx="329">
                  <c:v>4.5025563684507759E-4</c:v>
                </c:pt>
                <c:pt idx="330">
                  <c:v>4.5336303556254702E-4</c:v>
                </c:pt>
                <c:pt idx="331">
                  <c:v>4.564390676333451E-4</c:v>
                </c:pt>
                <c:pt idx="332">
                  <c:v>4.594826435985141E-4</c:v>
                </c:pt>
                <c:pt idx="333">
                  <c:v>4.6477034098855975E-4</c:v>
                </c:pt>
                <c:pt idx="334">
                  <c:v>4.7131059712295271E-4</c:v>
                </c:pt>
                <c:pt idx="335">
                  <c:v>4.7417555057742606E-4</c:v>
                </c:pt>
                <c:pt idx="336">
                  <c:v>4.7596679128827224E-4</c:v>
                </c:pt>
                <c:pt idx="337">
                  <c:v>4.7877961862899051E-4</c:v>
                </c:pt>
                <c:pt idx="338">
                  <c:v>4.8155144178065366E-4</c:v>
                </c:pt>
                <c:pt idx="339">
                  <c:v>4.8960987160474455E-4</c:v>
                </c:pt>
                <c:pt idx="340">
                  <c:v>4.9220666349395696E-4</c:v>
                </c:pt>
                <c:pt idx="341">
                  <c:v>4.9475694393528926E-4</c:v>
                </c:pt>
                <c:pt idx="342">
                  <c:v>4.9725961147047647E-4</c:v>
                </c:pt>
                <c:pt idx="343">
                  <c:v>4.9971356464300991E-4</c:v>
                </c:pt>
                <c:pt idx="344">
                  <c:v>5.0677212339764405E-4</c:v>
                </c:pt>
                <c:pt idx="345">
                  <c:v>5.0902020452812632E-4</c:v>
                </c:pt>
                <c:pt idx="346">
                  <c:v>5.1121406399760123E-4</c:v>
                </c:pt>
                <c:pt idx="347">
                  <c:v>5.1335260034604687E-4</c:v>
                </c:pt>
                <c:pt idx="348">
                  <c:v>5.1543489567298223E-4</c:v>
                </c:pt>
                <c:pt idx="349">
                  <c:v>5.2134323327676375E-4</c:v>
                </c:pt>
                <c:pt idx="350">
                  <c:v>5.231998294063457E-4</c:v>
                </c:pt>
                <c:pt idx="351">
                  <c:v>5.2500000053060016E-4</c:v>
                </c:pt>
                <c:pt idx="352">
                  <c:v>5.2674408876619188E-4</c:v>
                </c:pt>
                <c:pt idx="353">
                  <c:v>5.2843380499598472E-4</c:v>
                </c:pt>
                <c:pt idx="354">
                  <c:v>5.3353559865262792E-4</c:v>
                </c:pt>
                <c:pt idx="355">
                  <c:v>5.3469001157910279E-4</c:v>
                </c:pt>
                <c:pt idx="356">
                  <c:v>5.3613866411505399E-4</c:v>
                </c:pt>
                <c:pt idx="357">
                  <c:v>5.3754526321334983E-4</c:v>
                </c:pt>
                <c:pt idx="358">
                  <c:v>5.3891186198507825E-4</c:v>
                </c:pt>
                <c:pt idx="359">
                  <c:v>7.5635712892731797E-4</c:v>
                </c:pt>
                <c:pt idx="360">
                  <c:v>7.5758076962478111E-4</c:v>
                </c:pt>
                <c:pt idx="361">
                  <c:v>7.5877641476246077E-4</c:v>
                </c:pt>
                <c:pt idx="362">
                  <c:v>7.5994609527056374E-4</c:v>
                </c:pt>
                <c:pt idx="363">
                  <c:v>7.5710238734741895E-4</c:v>
                </c:pt>
                <c:pt idx="364">
                  <c:v>7.6440578973471915E-4</c:v>
                </c:pt>
                <c:pt idx="365">
                  <c:v>7.6547611116272807E-4</c:v>
                </c:pt>
                <c:pt idx="366">
                  <c:v>7.6653265360582745E-4</c:v>
                </c:pt>
                <c:pt idx="367">
                  <c:v>7.6757744801420784E-4</c:v>
                </c:pt>
                <c:pt idx="368">
                  <c:v>7.6476222447200402E-4</c:v>
                </c:pt>
                <c:pt idx="369">
                  <c:v>7.7167976436082924E-4</c:v>
                </c:pt>
                <c:pt idx="370">
                  <c:v>7.7269628291277081E-4</c:v>
                </c:pt>
                <c:pt idx="371">
                  <c:v>7.7371323917284297E-4</c:v>
                </c:pt>
                <c:pt idx="372">
                  <c:v>7.7473266410513827E-4</c:v>
                </c:pt>
                <c:pt idx="373">
                  <c:v>7.7218942422254354E-4</c:v>
                </c:pt>
                <c:pt idx="374">
                  <c:v>7.7887566993484691E-4</c:v>
                </c:pt>
                <c:pt idx="375">
                  <c:v>7.7993790277740228E-4</c:v>
                </c:pt>
                <c:pt idx="376">
                  <c:v>7.8101479012713062E-4</c:v>
                </c:pt>
                <c:pt idx="377">
                  <c:v>7.8210836296289531E-4</c:v>
                </c:pt>
                <c:pt idx="378">
                  <c:v>7.8006578812406246E-4</c:v>
                </c:pt>
                <c:pt idx="379">
                  <c:v>7.8669012886870135E-4</c:v>
                </c:pt>
                <c:pt idx="380">
                  <c:v>7.8789759393315751E-4</c:v>
                </c:pt>
                <c:pt idx="381">
                  <c:v>7.8913393042199533E-4</c:v>
                </c:pt>
                <c:pt idx="382">
                  <c:v>7.9040116933319345E-4</c:v>
                </c:pt>
                <c:pt idx="383">
                  <c:v>7.8907312342976939E-4</c:v>
                </c:pt>
                <c:pt idx="384">
                  <c:v>7.9581976933493107E-4</c:v>
                </c:pt>
                <c:pt idx="385">
                  <c:v>7.9727198548574173E-4</c:v>
                </c:pt>
                <c:pt idx="386">
                  <c:v>7.9876729013540824E-4</c:v>
                </c:pt>
                <c:pt idx="387">
                  <c:v>8.0030771431231957E-4</c:v>
                </c:pt>
                <c:pt idx="388">
                  <c:v>7.9989324452759151E-4</c:v>
                </c:pt>
                <c:pt idx="389">
                  <c:v>8.0696122698530959E-4</c:v>
                </c:pt>
                <c:pt idx="390">
                  <c:v>8.0875771437111837E-4</c:v>
                </c:pt>
                <c:pt idx="391">
                  <c:v>8.1061150755181919E-4</c:v>
                </c:pt>
                <c:pt idx="392">
                  <c:v>8.1252463759316231E-4</c:v>
                </c:pt>
                <c:pt idx="393">
                  <c:v>8.1320797555510375E-4</c:v>
                </c:pt>
                <c:pt idx="394">
                  <c:v>8.2081114791803639E-4</c:v>
                </c:pt>
                <c:pt idx="395">
                  <c:v>8.2305142848865503E-4</c:v>
                </c:pt>
                <c:pt idx="396">
                  <c:v>8.2536323246386388E-4</c:v>
                </c:pt>
                <c:pt idx="397">
                  <c:v>8.2774859096067677E-4</c:v>
                </c:pt>
                <c:pt idx="398">
                  <c:v>8.2969915424071171E-4</c:v>
                </c:pt>
                <c:pt idx="399">
                  <c:v>8.3806619286916719E-4</c:v>
                </c:pt>
                <c:pt idx="400">
                  <c:v>8.4100781950228272E-4</c:v>
                </c:pt>
                <c:pt idx="401">
                  <c:v>8.440098702608978E-4</c:v>
                </c:pt>
                <c:pt idx="402">
                  <c:v>8.4684603340701159E-4</c:v>
                </c:pt>
                <c:pt idx="403">
                  <c:v>8.4977109707384813E-4</c:v>
                </c:pt>
                <c:pt idx="404">
                  <c:v>8.5921413499221843E-4</c:v>
                </c:pt>
                <c:pt idx="405">
                  <c:v>8.6240188359099079E-4</c:v>
                </c:pt>
                <c:pt idx="406">
                  <c:v>8.6580259496127354E-4</c:v>
                </c:pt>
                <c:pt idx="407">
                  <c:v>8.693046649881353E-4</c:v>
                </c:pt>
                <c:pt idx="408">
                  <c:v>8.7291017007373739E-4</c:v>
                </c:pt>
                <c:pt idx="409">
                  <c:v>8.8492547823745924E-4</c:v>
                </c:pt>
                <c:pt idx="410">
                  <c:v>8.8840806968004671E-4</c:v>
                </c:pt>
                <c:pt idx="411">
                  <c:v>8.9256189670461339E-4</c:v>
                </c:pt>
                <c:pt idx="412">
                  <c:v>8.9683161756326513E-4</c:v>
                </c:pt>
                <c:pt idx="413">
                  <c:v>9.0121930877984369E-4</c:v>
                </c:pt>
                <c:pt idx="414">
                  <c:v>9.1612221029576584E-4</c:v>
                </c:pt>
                <c:pt idx="415">
                  <c:v>9.1999130841902144E-4</c:v>
                </c:pt>
                <c:pt idx="416">
                  <c:v>9.2499999999962057E-4</c:v>
                </c:pt>
                <c:pt idx="417">
                  <c:v>9.3013839562861023E-4</c:v>
                </c:pt>
                <c:pt idx="418">
                  <c:v>9.3540494252764006E-4</c:v>
                </c:pt>
                <c:pt idx="419">
                  <c:v>9.57707069556335E-4</c:v>
                </c:pt>
                <c:pt idx="420">
                  <c:v>9.6358019284448204E-4</c:v>
                </c:pt>
                <c:pt idx="421">
                  <c:v>9.6956779540580129E-4</c:v>
                </c:pt>
                <c:pt idx="422">
                  <c:v>9.772975539639136E-4</c:v>
                </c:pt>
                <c:pt idx="423">
                  <c:v>7.8071416409587595E-4</c:v>
                </c:pt>
                <c:pt idx="424">
                  <c:v>7.8308868120391395E-4</c:v>
                </c:pt>
                <c:pt idx="425">
                  <c:v>7.8971494590085456E-4</c:v>
                </c:pt>
                <c:pt idx="426">
                  <c:v>7.9643973366039233E-4</c:v>
                </c:pt>
                <c:pt idx="427">
                  <c:v>8.032607658909896E-4</c:v>
                </c:pt>
                <c:pt idx="428">
                  <c:v>8.2865508015834261E-4</c:v>
                </c:pt>
                <c:pt idx="429">
                  <c:v>8.3146176732196153E-4</c:v>
                </c:pt>
                <c:pt idx="430">
                  <c:v>8.3872984267330253E-4</c:v>
                </c:pt>
                <c:pt idx="431">
                  <c:v>8.4608049073509051E-4</c:v>
                </c:pt>
                <c:pt idx="432">
                  <c:v>8.5351143283851627E-4</c:v>
                </c:pt>
                <c:pt idx="433">
                  <c:v>8.8529219490946192E-4</c:v>
                </c:pt>
                <c:pt idx="434">
                  <c:v>8.8852076299747429E-4</c:v>
                </c:pt>
                <c:pt idx="435">
                  <c:v>8.9179079989687438E-4</c:v>
                </c:pt>
                <c:pt idx="436">
                  <c:v>8.9965565360738964E-4</c:v>
                </c:pt>
                <c:pt idx="437">
                  <c:v>9.0758485034925229E-4</c:v>
                </c:pt>
                <c:pt idx="438">
                  <c:v>9.3631069763214139E-4</c:v>
                </c:pt>
                <c:pt idx="439">
                  <c:v>9.3989949195538713E-4</c:v>
                </c:pt>
                <c:pt idx="440">
                  <c:v>9.4811622196022682E-4</c:v>
                </c:pt>
                <c:pt idx="441">
                  <c:v>9.5638362212646655E-4</c:v>
                </c:pt>
                <c:pt idx="442">
                  <c:v>9.6469941358545697E-4</c:v>
                </c:pt>
                <c:pt idx="443">
                  <c:v>9.8074527547812023E-4</c:v>
                </c:pt>
                <c:pt idx="444">
                  <c:v>9.846442731096174E-4</c:v>
                </c:pt>
                <c:pt idx="445">
                  <c:v>1.0069244786503617E-3</c:v>
                </c:pt>
                <c:pt idx="446">
                  <c:v>1.0109261637726559E-3</c:v>
                </c:pt>
                <c:pt idx="447">
                  <c:v>1.0195265140392146E-3</c:v>
                </c:pt>
                <c:pt idx="448">
                  <c:v>1.054511188713206E-3</c:v>
                </c:pt>
                <c:pt idx="449">
                  <c:v>1.0587151708154607E-3</c:v>
                </c:pt>
                <c:pt idx="450">
                  <c:v>1.0629522341592777E-3</c:v>
                </c:pt>
                <c:pt idx="451">
                  <c:v>1.0717060392899332E-3</c:v>
                </c:pt>
                <c:pt idx="452">
                  <c:v>1.0804773538131763E-3</c:v>
                </c:pt>
                <c:pt idx="453">
                  <c:v>1.1156330519990331E-3</c:v>
                </c:pt>
                <c:pt idx="454">
                  <c:v>1.1200605530836683E-3</c:v>
                </c:pt>
                <c:pt idx="455">
                  <c:v>1.124515900648456E-3</c:v>
                </c:pt>
                <c:pt idx="456">
                  <c:v>1.133343871242096E-3</c:v>
                </c:pt>
                <c:pt idx="457">
                  <c:v>1.1421732176107357E-3</c:v>
                </c:pt>
                <c:pt idx="458">
                  <c:v>1.1770717930343949E-3</c:v>
                </c:pt>
                <c:pt idx="459">
                  <c:v>1.181655306364604E-3</c:v>
                </c:pt>
                <c:pt idx="460">
                  <c:v>1.1862599145025415E-3</c:v>
                </c:pt>
                <c:pt idx="461">
                  <c:v>1.1950491122873976E-3</c:v>
                </c:pt>
                <c:pt idx="462">
                  <c:v>1.2038235512479788E-3</c:v>
                </c:pt>
                <c:pt idx="463">
                  <c:v>1.2380542020189284E-3</c:v>
                </c:pt>
                <c:pt idx="464">
                  <c:v>1.2506256130304456E-3</c:v>
                </c:pt>
                <c:pt idx="465">
                  <c:v>1.2591955332960528E-3</c:v>
                </c:pt>
                <c:pt idx="466">
                  <c:v>1.2677353608715808E-3</c:v>
                </c:pt>
                <c:pt idx="467">
                  <c:v>1.2838578400984912E-3</c:v>
                </c:pt>
                <c:pt idx="468">
                  <c:v>1.3015491435819371E-3</c:v>
                </c:pt>
                <c:pt idx="469">
                  <c:v>1.3099050570205021E-3</c:v>
                </c:pt>
                <c:pt idx="470">
                  <c:v>1.3182174973635087E-3</c:v>
                </c:pt>
                <c:pt idx="471">
                  <c:v>1.3264842344809635E-3</c:v>
                </c:pt>
                <c:pt idx="472">
                  <c:v>1.3418311749324729E-3</c:v>
                </c:pt>
                <c:pt idx="473">
                  <c:v>1.3590495474880488E-3</c:v>
                </c:pt>
                <c:pt idx="474">
                  <c:v>1.3670543159248424E-3</c:v>
                </c:pt>
                <c:pt idx="475">
                  <c:v>1.3750000000007537E-3</c:v>
                </c:pt>
                <c:pt idx="476">
                  <c:v>1.3828845172971977E-3</c:v>
                </c:pt>
                <c:pt idx="477">
                  <c:v>1.3973301610405429E-3</c:v>
                </c:pt>
                <c:pt idx="478">
                  <c:v>1.4137825745291043E-3</c:v>
                </c:pt>
                <c:pt idx="479">
                  <c:v>1.4213403693121563E-3</c:v>
                </c:pt>
                <c:pt idx="480">
                  <c:v>1.4288291612969504E-3</c:v>
                </c:pt>
                <c:pt idx="481">
                  <c:v>1.4362494654168001E-3</c:v>
                </c:pt>
                <c:pt idx="482">
                  <c:v>1.4497807140919897E-3</c:v>
                </c:pt>
                <c:pt idx="483">
                  <c:v>1.4652635353008393E-3</c:v>
                </c:pt>
                <c:pt idx="484">
                  <c:v>1.4723546992203768E-3</c:v>
                </c:pt>
                <c:pt idx="485">
                  <c:v>1.4793826949926795E-3</c:v>
                </c:pt>
                <c:pt idx="486">
                  <c:v>1.4863484092728447E-3</c:v>
                </c:pt>
                <c:pt idx="487">
                  <c:v>1.4903286909617121E-3</c:v>
                </c:pt>
                <c:pt idx="488">
                  <c:v>1.510752870053431E-3</c:v>
                </c:pt>
                <c:pt idx="489">
                  <c:v>1.5174426157049303E-3</c:v>
                </c:pt>
                <c:pt idx="490">
                  <c:v>1.52407469840685E-3</c:v>
                </c:pt>
                <c:pt idx="491">
                  <c:v>1.5306500146166032E-3</c:v>
                </c:pt>
                <c:pt idx="492">
                  <c:v>1.5371694608012666E-3</c:v>
                </c:pt>
                <c:pt idx="493">
                  <c:v>1.5564015439808918E-3</c:v>
                </c:pt>
                <c:pt idx="494">
                  <c:v>1.5627064748852909E-3</c:v>
                </c:pt>
                <c:pt idx="495">
                  <c:v>1.5689600182132979E-3</c:v>
                </c:pt>
                <c:pt idx="496">
                  <c:v>1.5751630704811811E-3</c:v>
                </c:pt>
                <c:pt idx="497">
                  <c:v>1.6054523444132627E-3</c:v>
                </c:pt>
                <c:pt idx="498">
                  <c:v>1.6113712775212984E-3</c:v>
                </c:pt>
                <c:pt idx="499">
                  <c:v>1.6172459953710662E-3</c:v>
                </c:pt>
                <c:pt idx="500">
                  <c:v>1.6230773945332959E-3</c:v>
                </c:pt>
                <c:pt idx="501">
                  <c:v>1.6403206457136124E-3</c:v>
                </c:pt>
                <c:pt idx="502">
                  <c:v>1.6459877359744123E-3</c:v>
                </c:pt>
                <c:pt idx="503">
                  <c:v>1.6516159905049762E-3</c:v>
                </c:pt>
                <c:pt idx="504">
                  <c:v>1.6572063059129272E-3</c:v>
                </c:pt>
                <c:pt idx="505">
                  <c:v>1.6702188095799573E-3</c:v>
                </c:pt>
                <c:pt idx="506">
                  <c:v>1.6870807099160199E-3</c:v>
                </c:pt>
                <c:pt idx="507">
                  <c:v>1.6924564712868543E-3</c:v>
                </c:pt>
                <c:pt idx="508">
                  <c:v>1.6978009890247902E-3</c:v>
                </c:pt>
                <c:pt idx="509">
                  <c:v>1.7080040366556719E-3</c:v>
                </c:pt>
                <c:pt idx="510">
                  <c:v>1.7188843620235372E-3</c:v>
                </c:pt>
                <c:pt idx="511">
                  <c:v>1.7240859654280621E-3</c:v>
                </c:pt>
                <c:pt idx="512">
                  <c:v>1.7292616467715677E-3</c:v>
                </c:pt>
                <c:pt idx="513">
                  <c:v>1.7344122929984847E-3</c:v>
                </c:pt>
                <c:pt idx="514">
                  <c:v>1.7443831523976353E-3</c:v>
                </c:pt>
                <c:pt idx="515">
                  <c:v>1.7547822658852035E-3</c:v>
                </c:pt>
                <c:pt idx="516">
                  <c:v>1.7598210409241551E-3</c:v>
                </c:pt>
                <c:pt idx="517">
                  <c:v>1.764840102639959E-3</c:v>
                </c:pt>
                <c:pt idx="518">
                  <c:v>1.7994960686429846E-3</c:v>
                </c:pt>
                <c:pt idx="519">
                  <c:v>1.83353378612233E-3</c:v>
                </c:pt>
                <c:pt idx="520">
                  <c:v>1.86725750741697E-3</c:v>
                </c:pt>
                <c:pt idx="521">
                  <c:v>1.9009714954956376E-3</c:v>
                </c:pt>
                <c:pt idx="522">
                  <c:v>1.9349480883965407E-3</c:v>
                </c:pt>
                <c:pt idx="523">
                  <c:v>1.9692625488757064E-3</c:v>
                </c:pt>
                <c:pt idx="524">
                  <c:v>2.0039150336651538E-3</c:v>
                </c:pt>
                <c:pt idx="525">
                  <c:v>2.038905551733361E-3</c:v>
                </c:pt>
                <c:pt idx="526">
                  <c:v>2.0742341121400376E-3</c:v>
                </c:pt>
                <c:pt idx="527">
                  <c:v>2.1099007240283039E-3</c:v>
                </c:pt>
                <c:pt idx="528">
                  <c:v>2.145905396633382E-3</c:v>
                </c:pt>
                <c:pt idx="529">
                  <c:v>2.1822481392765108E-3</c:v>
                </c:pt>
                <c:pt idx="530">
                  <c:v>2.2189289613640797E-3</c:v>
                </c:pt>
                <c:pt idx="531">
                  <c:v>2.2559478723911011E-3</c:v>
                </c:pt>
                <c:pt idx="532">
                  <c:v>2.2933048819429522E-3</c:v>
                </c:pt>
                <c:pt idx="533">
                  <c:v>2.3282361927585752E-3</c:v>
                </c:pt>
                <c:pt idx="534">
                  <c:v>2.3662450285928931E-3</c:v>
                </c:pt>
                <c:pt idx="535">
                  <c:v>2.4045919852464662E-3</c:v>
                </c:pt>
                <c:pt idx="536">
                  <c:v>2.4432770725426453E-3</c:v>
                </c:pt>
                <c:pt idx="537">
                  <c:v>2.4851617491179578E-3</c:v>
                </c:pt>
                <c:pt idx="538">
                  <c:v>2.5245475559721384E-3</c:v>
                </c:pt>
                <c:pt idx="539">
                  <c:v>2.5642715308868296E-3</c:v>
                </c:pt>
                <c:pt idx="540">
                  <c:v>2.604333684146848E-3</c:v>
                </c:pt>
                <c:pt idx="541">
                  <c:v>2.6447340261238966E-3</c:v>
                </c:pt>
                <c:pt idx="542">
                  <c:v>2.6854725672756981E-3</c:v>
                </c:pt>
                <c:pt idx="543">
                  <c:v>2.7265493181520732E-3</c:v>
                </c:pt>
                <c:pt idx="544">
                  <c:v>2.7679642893862562E-3</c:v>
                </c:pt>
                <c:pt idx="545">
                  <c:v>2.8066604001354889E-3</c:v>
                </c:pt>
                <c:pt idx="546">
                  <c:v>2.8456481189538252E-3</c:v>
                </c:pt>
                <c:pt idx="547">
                  <c:v>2.8880288175612279E-3</c:v>
                </c:pt>
                <c:pt idx="548">
                  <c:v>2.930747762883712E-3</c:v>
                </c:pt>
                <c:pt idx="549">
                  <c:v>2.9861691541537283E-3</c:v>
                </c:pt>
                <c:pt idx="550">
                  <c:v>3.0296612755860153E-3</c:v>
                </c:pt>
                <c:pt idx="551">
                  <c:v>3.0734916796042455E-3</c:v>
                </c:pt>
                <c:pt idx="552">
                  <c:v>3.1176603773097611E-3</c:v>
                </c:pt>
                <c:pt idx="553">
                  <c:v>3.1621673798900574E-3</c:v>
                </c:pt>
                <c:pt idx="554">
                  <c:v>3.2037325699136813E-3</c:v>
                </c:pt>
                <c:pt idx="555">
                  <c:v>3.2488916443836851E-3</c:v>
                </c:pt>
                <c:pt idx="556">
                  <c:v>3.2943889526218734E-3</c:v>
                </c:pt>
                <c:pt idx="557">
                  <c:v>3.3402160810698566E-3</c:v>
                </c:pt>
                <c:pt idx="558">
                  <c:v>3.4032101133506213E-3</c:v>
                </c:pt>
                <c:pt idx="559">
                  <c:v>3.4497020364449606E-3</c:v>
                </c:pt>
                <c:pt idx="560">
                  <c:v>3.4964392320913553E-3</c:v>
                </c:pt>
                <c:pt idx="561">
                  <c:v>3.5433984214131077E-3</c:v>
                </c:pt>
                <c:pt idx="562">
                  <c:v>3.6073130303596076E-3</c:v>
                </c:pt>
                <c:pt idx="563">
                  <c:v>3.6276105182144846E-3</c:v>
                </c:pt>
                <c:pt idx="564">
                  <c:v>3.6750796896652255E-3</c:v>
                </c:pt>
                <c:pt idx="565">
                  <c:v>3.7226811047043539E-3</c:v>
                </c:pt>
                <c:pt idx="566">
                  <c:v>3.7703907118528199E-3</c:v>
                </c:pt>
                <c:pt idx="567">
                  <c:v>3.8285116673626154E-3</c:v>
                </c:pt>
                <c:pt idx="568">
                  <c:v>3.8763729100516888E-3</c:v>
                </c:pt>
                <c:pt idx="569">
                  <c:v>3.9242705991959781E-3</c:v>
                </c:pt>
                <c:pt idx="570">
                  <c:v>3.9721943358006252E-3</c:v>
                </c:pt>
                <c:pt idx="571">
                  <c:v>4.0201438152633311E-3</c:v>
                </c:pt>
                <c:pt idx="572">
                  <c:v>4.068119038535674E-3</c:v>
                </c:pt>
                <c:pt idx="573">
                  <c:v>4.1161200065700848E-3</c:v>
                </c:pt>
                <c:pt idx="574">
                  <c:v>4.1641467203164398E-3</c:v>
                </c:pt>
                <c:pt idx="575">
                  <c:v>4.2018146521870421E-3</c:v>
                </c:pt>
                <c:pt idx="576">
                  <c:v>4.2602773887589563E-3</c:v>
                </c:pt>
                <c:pt idx="577">
                  <c:v>4.3083813453608276E-3</c:v>
                </c:pt>
                <c:pt idx="578">
                  <c:v>4.356511051488615E-3</c:v>
                </c:pt>
                <c:pt idx="579">
                  <c:v>4.4046665080981484E-3</c:v>
                </c:pt>
                <c:pt idx="580">
                  <c:v>4.4528477161418596E-3</c:v>
                </c:pt>
                <c:pt idx="581">
                  <c:v>4.5010546765772786E-3</c:v>
                </c:pt>
                <c:pt idx="582">
                  <c:v>4.5492873903593863E-3</c:v>
                </c:pt>
                <c:pt idx="583">
                  <c:v>4.5975458584465662E-3</c:v>
                </c:pt>
                <c:pt idx="584">
                  <c:v>4.6353799317362197E-3</c:v>
                </c:pt>
                <c:pt idx="585">
                  <c:v>4.6836825173870297E-3</c:v>
                </c:pt>
                <c:pt idx="586">
                  <c:v>4.7320108395760155E-3</c:v>
                </c:pt>
                <c:pt idx="587">
                  <c:v>4.7803648992290303E-3</c:v>
                </c:pt>
                <c:pt idx="588">
                  <c:v>4.8392245469551474E-3</c:v>
                </c:pt>
                <c:pt idx="589">
                  <c:v>4.8876375609826278E-3</c:v>
                </c:pt>
                <c:pt idx="590">
                  <c:v>4.9360763360247065E-3</c:v>
                </c:pt>
                <c:pt idx="591">
                  <c:v>4.9845408730431664E-3</c:v>
                </c:pt>
                <c:pt idx="592">
                  <c:v>5.0330311729989419E-3</c:v>
                </c:pt>
                <c:pt idx="593">
                  <c:v>5.0815472368512657E-3</c:v>
                </c:pt>
                <c:pt idx="594">
                  <c:v>5.130089065567024E-3</c:v>
                </c:pt>
                <c:pt idx="595">
                  <c:v>5.1786566601054488E-3</c:v>
                </c:pt>
                <c:pt idx="596">
                  <c:v>5.2272500214308754E-3</c:v>
                </c:pt>
                <c:pt idx="597">
                  <c:v>5.2618058499680487E-3</c:v>
                </c:pt>
                <c:pt idx="598">
                  <c:v>5.3104405302315527E-3</c:v>
                </c:pt>
                <c:pt idx="599">
                  <c:v>5.3591009521190003E-3</c:v>
                </c:pt>
                <c:pt idx="600">
                  <c:v>5.4077871165540969E-3</c:v>
                </c:pt>
                <c:pt idx="601">
                  <c:v>5.4703307395112784E-3</c:v>
                </c:pt>
                <c:pt idx="602">
                  <c:v>5.5296614768478901E-3</c:v>
                </c:pt>
                <c:pt idx="603">
                  <c:v>5.5784384995272657E-3</c:v>
                </c:pt>
                <c:pt idx="604">
                  <c:v>5.6307761024336671E-3</c:v>
                </c:pt>
                <c:pt idx="605">
                  <c:v>5.67606980696407E-3</c:v>
                </c:pt>
                <c:pt idx="606">
                  <c:v>5.7249240935960434E-3</c:v>
                </c:pt>
                <c:pt idx="607">
                  <c:v>5.7738041367537208E-3</c:v>
                </c:pt>
                <c:pt idx="608">
                  <c:v>5.8227088811300511E-3</c:v>
                </c:pt>
                <c:pt idx="609">
                  <c:v>5.8716330463291335E-3</c:v>
                </c:pt>
                <c:pt idx="610">
                  <c:v>5.9241169504197369E-3</c:v>
                </c:pt>
                <c:pt idx="611">
                  <c:v>5.9730608207328815E-3</c:v>
                </c:pt>
                <c:pt idx="612">
                  <c:v>6.0220044867546601E-3</c:v>
                </c:pt>
                <c:pt idx="613">
                  <c:v>6.0709416793754923E-3</c:v>
                </c:pt>
                <c:pt idx="614">
                  <c:v>6.1163233811724537E-3</c:v>
                </c:pt>
                <c:pt idx="615">
                  <c:v>6.1652309848317047E-3</c:v>
                </c:pt>
                <c:pt idx="616">
                  <c:v>6.2141136442350631E-3</c:v>
                </c:pt>
                <c:pt idx="617">
                  <c:v>6.2769159232000243E-3</c:v>
                </c:pt>
                <c:pt idx="618">
                  <c:v>6.3117787734813966E-3</c:v>
                </c:pt>
                <c:pt idx="619">
                  <c:v>6.3640777838959023E-3</c:v>
                </c:pt>
                <c:pt idx="620">
                  <c:v>6.4127941012682085E-3</c:v>
                </c:pt>
                <c:pt idx="621">
                  <c:v>6.4614548260412954E-3</c:v>
                </c:pt>
                <c:pt idx="622">
                  <c:v>6.510058911164021E-3</c:v>
                </c:pt>
                <c:pt idx="623">
                  <c:v>6.5586063545137359E-3</c:v>
                </c:pt>
                <c:pt idx="624">
                  <c:v>6.6070971539721338E-3</c:v>
                </c:pt>
                <c:pt idx="625">
                  <c:v>6.65553130742091E-3</c:v>
                </c:pt>
                <c:pt idx="626">
                  <c:v>6.7039088127461028E-3</c:v>
                </c:pt>
                <c:pt idx="627">
                  <c:v>6.7522296678346203E-3</c:v>
                </c:pt>
                <c:pt idx="628">
                  <c:v>6.8004938705785827E-3</c:v>
                </c:pt>
                <c:pt idx="629">
                  <c:v>6.8487014188675045E-3</c:v>
                </c:pt>
                <c:pt idx="630">
                  <c:v>6.8968523105995896E-3</c:v>
                </c:pt>
                <c:pt idx="631">
                  <c:v>6.9449465436704329E-3</c:v>
                </c:pt>
                <c:pt idx="632">
                  <c:v>6.9929841159817145E-3</c:v>
                </c:pt>
                <c:pt idx="633">
                  <c:v>7.040965025434243E-3</c:v>
                </c:pt>
                <c:pt idx="634">
                  <c:v>7.0888892699331723E-3</c:v>
                </c:pt>
                <c:pt idx="635">
                  <c:v>7.1367568473880011E-3</c:v>
                </c:pt>
                <c:pt idx="636">
                  <c:v>7.1810919000498035E-3</c:v>
                </c:pt>
                <c:pt idx="637">
                  <c:v>7.2288492303195489E-3</c:v>
                </c:pt>
                <c:pt idx="638">
                  <c:v>7.2765498822507874E-3</c:v>
                </c:pt>
                <c:pt idx="639">
                  <c:v>7.3241938537827516E-3</c:v>
                </c:pt>
                <c:pt idx="640">
                  <c:v>7.375244655902587E-3</c:v>
                </c:pt>
                <c:pt idx="641">
                  <c:v>7.4227721872756882E-3</c:v>
                </c:pt>
                <c:pt idx="642">
                  <c:v>7.4702430370241785E-3</c:v>
                </c:pt>
                <c:pt idx="643">
                  <c:v>7.5176572030749332E-3</c:v>
                </c:pt>
                <c:pt idx="644">
                  <c:v>7.5650146833556968E-3</c:v>
                </c:pt>
                <c:pt idx="645">
                  <c:v>7.6123154758020338E-3</c:v>
                </c:pt>
                <c:pt idx="646">
                  <c:v>7.6595595783451641E-3</c:v>
                </c:pt>
                <c:pt idx="647">
                  <c:v>7.7067469889241279E-3</c:v>
                </c:pt>
                <c:pt idx="648">
                  <c:v>7.7538777054762271E-3</c:v>
                </c:pt>
                <c:pt idx="649">
                  <c:v>7.7975156955799492E-3</c:v>
                </c:pt>
                <c:pt idx="650">
                  <c:v>7.8445360474276686E-3</c:v>
                </c:pt>
                <c:pt idx="651">
                  <c:v>7.8914996943427705E-3</c:v>
                </c:pt>
                <c:pt idx="652">
                  <c:v>7.9384066342934739E-3</c:v>
                </c:pt>
                <c:pt idx="653">
                  <c:v>7.9919451259712719E-3</c:v>
                </c:pt>
                <c:pt idx="654">
                  <c:v>8.0387305441833694E-3</c:v>
                </c:pt>
                <c:pt idx="655">
                  <c:v>8.0854592490721983E-3</c:v>
                </c:pt>
                <c:pt idx="656">
                  <c:v>8.132131238619153E-3</c:v>
                </c:pt>
                <c:pt idx="657">
                  <c:v>8.1787465108100216E-3</c:v>
                </c:pt>
                <c:pt idx="658">
                  <c:v>8.2218963231266429E-3</c:v>
                </c:pt>
                <c:pt idx="659">
                  <c:v>8.2684011422360371E-3</c:v>
                </c:pt>
                <c:pt idx="660">
                  <c:v>8.3148495877800599E-3</c:v>
                </c:pt>
                <c:pt idx="661">
                  <c:v>8.3612454935426683E-3</c:v>
                </c:pt>
                <c:pt idx="662">
                  <c:v>8.4143943123328041E-3</c:v>
                </c:pt>
                <c:pt idx="663">
                  <c:v>8.4607014688595095E-3</c:v>
                </c:pt>
                <c:pt idx="664">
                  <c:v>8.5069747315419629E-3</c:v>
                </c:pt>
                <c:pt idx="665">
                  <c:v>8.5532198073046614E-3</c:v>
                </c:pt>
                <c:pt idx="666">
                  <c:v>8.5960414563384675E-3</c:v>
                </c:pt>
                <c:pt idx="667">
                  <c:v>8.6422458697985628E-3</c:v>
                </c:pt>
                <c:pt idx="668">
                  <c:v>8.7016356113802998E-3</c:v>
                </c:pt>
                <c:pt idx="669">
                  <c:v>8.7478224634656224E-3</c:v>
                </c:pt>
                <c:pt idx="670">
                  <c:v>8.7974200796820563E-3</c:v>
                </c:pt>
                <c:pt idx="671">
                  <c:v>8.843618674470902E-3</c:v>
                </c:pt>
                <c:pt idx="672">
                  <c:v>8.8898306667115918E-3</c:v>
                </c:pt>
                <c:pt idx="673">
                  <c:v>8.9360603536432111E-3</c:v>
                </c:pt>
                <c:pt idx="674">
                  <c:v>8.9823083350477236E-3</c:v>
                </c:pt>
                <c:pt idx="675">
                  <c:v>9.028574611561143E-3</c:v>
                </c:pt>
                <c:pt idx="676">
                  <c:v>9.0748591838168725E-3</c:v>
                </c:pt>
                <c:pt idx="677">
                  <c:v>9.1211620524500603E-3</c:v>
                </c:pt>
                <c:pt idx="678">
                  <c:v>9.1674832180958492E-3</c:v>
                </c:pt>
                <c:pt idx="679">
                  <c:v>9.2138226813885133E-3</c:v>
                </c:pt>
                <c:pt idx="680">
                  <c:v>9.2601804429658045E-3</c:v>
                </c:pt>
                <c:pt idx="681">
                  <c:v>9.3065565034611275E-3</c:v>
                </c:pt>
                <c:pt idx="682">
                  <c:v>9.3529508635122362E-3</c:v>
                </c:pt>
                <c:pt idx="683">
                  <c:v>9.3993635237551408E-3</c:v>
                </c:pt>
                <c:pt idx="684">
                  <c:v>9.4457944848267226E-3</c:v>
                </c:pt>
                <c:pt idx="685">
                  <c:v>9.4922437473638661E-3</c:v>
                </c:pt>
                <c:pt idx="686">
                  <c:v>9.5387113120034527E-3</c:v>
                </c:pt>
                <c:pt idx="687">
                  <c:v>9.5851971793823616E-3</c:v>
                </c:pt>
                <c:pt idx="688">
                  <c:v>9.6282476029456061E-3</c:v>
                </c:pt>
                <c:pt idx="689">
                  <c:v>9.6747675245501472E-3</c:v>
                </c:pt>
                <c:pt idx="690">
                  <c:v>9.7213057442711182E-3</c:v>
                </c:pt>
                <c:pt idx="691">
                  <c:v>9.7678622627418565E-3</c:v>
                </c:pt>
                <c:pt idx="692">
                  <c:v>9.8282949221941349E-3</c:v>
                </c:pt>
                <c:pt idx="693">
                  <c:v>9.8644967769217339E-3</c:v>
                </c:pt>
                <c:pt idx="694">
                  <c:v>9.9111107813485717E-3</c:v>
                </c:pt>
                <c:pt idx="695">
                  <c:v>9.9577430936236919E-3</c:v>
                </c:pt>
                <c:pt idx="696">
                  <c:v>1.0004393714387449E-2</c:v>
                </c:pt>
                <c:pt idx="697">
                  <c:v>1.0051062644279333E-2</c:v>
                </c:pt>
                <c:pt idx="698">
                  <c:v>1.0097749883938833E-2</c:v>
                </c:pt>
                <c:pt idx="699">
                  <c:v>1.0144455434006305E-2</c:v>
                </c:pt>
                <c:pt idx="700">
                  <c:v>1.0191179295124713E-2</c:v>
                </c:pt>
                <c:pt idx="701">
                  <c:v>1.0230946883631908E-2</c:v>
                </c:pt>
                <c:pt idx="702">
                  <c:v>1.0277702092378327E-2</c:v>
                </c:pt>
                <c:pt idx="703">
                  <c:v>1.0324475600844707E-2</c:v>
                </c:pt>
                <c:pt idx="704">
                  <c:v>1.0371267409657214E-2</c:v>
                </c:pt>
                <c:pt idx="705">
                  <c:v>1.041807751944468E-2</c:v>
                </c:pt>
                <c:pt idx="706">
                  <c:v>1.0464905930834156E-2</c:v>
                </c:pt>
                <c:pt idx="707">
                  <c:v>1.0511752644454475E-2</c:v>
                </c:pt>
                <c:pt idx="708">
                  <c:v>1.0558617660934466E-2</c:v>
                </c:pt>
                <c:pt idx="709">
                  <c:v>1.0605500980901184E-2</c:v>
                </c:pt>
                <c:pt idx="710">
                  <c:v>1.064889181729344E-2</c:v>
                </c:pt>
                <c:pt idx="711">
                  <c:v>1.0695809049521251E-2</c:v>
                </c:pt>
                <c:pt idx="712">
                  <c:v>1.0742742807675757E-2</c:v>
                </c:pt>
                <c:pt idx="713">
                  <c:v>1.078967390374937E-2</c:v>
                </c:pt>
                <c:pt idx="714">
                  <c:v>1.0847090266965316E-2</c:v>
                </c:pt>
                <c:pt idx="715">
                  <c:v>1.0893900323777786E-2</c:v>
                </c:pt>
                <c:pt idx="716">
                  <c:v>1.0940611707617853E-2</c:v>
                </c:pt>
                <c:pt idx="717">
                  <c:v>1.0987196175693065E-2</c:v>
                </c:pt>
                <c:pt idx="718">
                  <c:v>1.1030175450261626E-2</c:v>
                </c:pt>
                <c:pt idx="719">
                  <c:v>1.1076440431690824E-2</c:v>
                </c:pt>
                <c:pt idx="720">
                  <c:v>1.1122495313921323E-2</c:v>
                </c:pt>
                <c:pt idx="721">
                  <c:v>1.1168311539616409E-2</c:v>
                </c:pt>
                <c:pt idx="722">
                  <c:v>1.1213860550159511E-2</c:v>
                </c:pt>
                <c:pt idx="723">
                  <c:v>1.1262455990751728E-2</c:v>
                </c:pt>
                <c:pt idx="724">
                  <c:v>1.1307361140174109E-2</c:v>
                </c:pt>
                <c:pt idx="725">
                  <c:v>1.1351918091717265E-2</c:v>
                </c:pt>
                <c:pt idx="726">
                  <c:v>1.1396122126475929E-2</c:v>
                </c:pt>
                <c:pt idx="727">
                  <c:v>1.1439973232512692E-2</c:v>
                </c:pt>
                <c:pt idx="728">
                  <c:v>1.1483471397987464E-2</c:v>
                </c:pt>
                <c:pt idx="729">
                  <c:v>1.1526616611152247E-2</c:v>
                </c:pt>
                <c:pt idx="730">
                  <c:v>1.1569408860356362E-2</c:v>
                </c:pt>
                <c:pt idx="731">
                  <c:v>1.1611848134042969E-2</c:v>
                </c:pt>
                <c:pt idx="732">
                  <c:v>1.1653934420749927E-2</c:v>
                </c:pt>
                <c:pt idx="733">
                  <c:v>1.1695667709115025E-2</c:v>
                </c:pt>
                <c:pt idx="734">
                  <c:v>1.1737047987866409E-2</c:v>
                </c:pt>
                <c:pt idx="735">
                  <c:v>1.1778075245826931E-2</c:v>
                </c:pt>
                <c:pt idx="736">
                  <c:v>1.1818749471919366E-2</c:v>
                </c:pt>
                <c:pt idx="737">
                  <c:v>1.185907065515859E-2</c:v>
                </c:pt>
                <c:pt idx="738">
                  <c:v>1.1899038784654183E-2</c:v>
                </c:pt>
                <c:pt idx="739">
                  <c:v>1.1938653849613037E-2</c:v>
                </c:pt>
                <c:pt idx="740">
                  <c:v>1.1974979157473776E-2</c:v>
                </c:pt>
                <c:pt idx="741">
                  <c:v>1.2013911987449952E-2</c:v>
                </c:pt>
                <c:pt idx="742">
                  <c:v>1.2052491729426851E-2</c:v>
                </c:pt>
                <c:pt idx="743">
                  <c:v>1.209071837309799E-2</c:v>
                </c:pt>
                <c:pt idx="744">
                  <c:v>1.2131432835227041E-2</c:v>
                </c:pt>
                <c:pt idx="745">
                  <c:v>1.2168929291624267E-2</c:v>
                </c:pt>
                <c:pt idx="746">
                  <c:v>1.2206072610593498E-2</c:v>
                </c:pt>
                <c:pt idx="747">
                  <c:v>1.2242862782103627E-2</c:v>
                </c:pt>
                <c:pt idx="748">
                  <c:v>1.2279299796217384E-2</c:v>
                </c:pt>
                <c:pt idx="749">
                  <c:v>1.2315383643095687E-2</c:v>
                </c:pt>
                <c:pt idx="750">
                  <c:v>1.2351114312990678E-2</c:v>
                </c:pt>
                <c:pt idx="751">
                  <c:v>1.2386491796253556E-2</c:v>
                </c:pt>
                <c:pt idx="752">
                  <c:v>1.2421516083329354E-2</c:v>
                </c:pt>
                <c:pt idx="753">
                  <c:v>1.2450935009493236E-2</c:v>
                </c:pt>
                <c:pt idx="754">
                  <c:v>1.2485300959906631E-2</c:v>
                </c:pt>
                <c:pt idx="755">
                  <c:v>1.2519313705333879E-2</c:v>
                </c:pt>
                <c:pt idx="756">
                  <c:v>1.2552973236790166E-2</c:v>
                </c:pt>
                <c:pt idx="757">
                  <c:v>1.2586279545380386E-2</c:v>
                </c:pt>
                <c:pt idx="758">
                  <c:v>1.2619232622304466E-2</c:v>
                </c:pt>
                <c:pt idx="759">
                  <c:v>1.2651832458855594E-2</c:v>
                </c:pt>
                <c:pt idx="760">
                  <c:v>1.2684079046418439E-2</c:v>
                </c:pt>
                <c:pt idx="761">
                  <c:v>1.2715972376473594E-2</c:v>
                </c:pt>
                <c:pt idx="762">
                  <c:v>1.2745099730166271E-2</c:v>
                </c:pt>
                <c:pt idx="763">
                  <c:v>1.2776310649993305E-2</c:v>
                </c:pt>
                <c:pt idx="764">
                  <c:v>1.2807168985788256E-2</c:v>
                </c:pt>
                <c:pt idx="765">
                  <c:v>1.2837686974678391E-2</c:v>
                </c:pt>
                <c:pt idx="766">
                  <c:v>1.2874861706543816E-2</c:v>
                </c:pt>
                <c:pt idx="767">
                  <c:v>1.2904718975539258E-2</c:v>
                </c:pt>
                <c:pt idx="768">
                  <c:v>1.2934308536420762E-2</c:v>
                </c:pt>
                <c:pt idx="769">
                  <c:v>1.2963651789797439E-2</c:v>
                </c:pt>
                <c:pt idx="770">
                  <c:v>1.2990494467827587E-2</c:v>
                </c:pt>
                <c:pt idx="771">
                  <c:v>1.3019417166232644E-2</c:v>
                </c:pt>
                <c:pt idx="772">
                  <c:v>1.3048156557759453E-2</c:v>
                </c:pt>
                <c:pt idx="773">
                  <c:v>1.3076734280165094E-2</c:v>
                </c:pt>
                <c:pt idx="774">
                  <c:v>1.3105171971853164E-2</c:v>
                </c:pt>
                <c:pt idx="775">
                  <c:v>1.313573737177906E-2</c:v>
                </c:pt>
                <c:pt idx="776">
                  <c:v>1.3163955746047616E-2</c:v>
                </c:pt>
                <c:pt idx="777">
                  <c:v>1.3192096794655515E-2</c:v>
                </c:pt>
                <c:pt idx="778">
                  <c:v>1.3220165810739121E-2</c:v>
                </c:pt>
                <c:pt idx="779">
                  <c:v>1.3248162803153088E-2</c:v>
                </c:pt>
                <c:pt idx="780">
                  <c:v>1.3276087770355176E-2</c:v>
                </c:pt>
                <c:pt idx="781">
                  <c:v>1.3303940710804006E-2</c:v>
                </c:pt>
                <c:pt idx="782">
                  <c:v>1.3331721622963415E-2</c:v>
                </c:pt>
                <c:pt idx="783">
                  <c:v>1.3359430505304195E-2</c:v>
                </c:pt>
                <c:pt idx="784">
                  <c:v>1.3387067356296261E-2</c:v>
                </c:pt>
                <c:pt idx="785">
                  <c:v>1.3414632174416486E-2</c:v>
                </c:pt>
                <c:pt idx="786">
                  <c:v>1.3442124958146085E-2</c:v>
                </c:pt>
                <c:pt idx="787">
                  <c:v>1.3469545705968011E-2</c:v>
                </c:pt>
                <c:pt idx="788">
                  <c:v>1.3496894416372167E-2</c:v>
                </c:pt>
                <c:pt idx="789">
                  <c:v>1.3524171087847585E-2</c:v>
                </c:pt>
                <c:pt idx="790">
                  <c:v>1.3551375718892863E-2</c:v>
                </c:pt>
                <c:pt idx="791">
                  <c:v>1.3578508308006589E-2</c:v>
                </c:pt>
                <c:pt idx="792">
                  <c:v>1.3603392860591536E-2</c:v>
                </c:pt>
                <c:pt idx="793">
                  <c:v>1.3630385488298164E-2</c:v>
                </c:pt>
                <c:pt idx="794">
                  <c:v>1.3657306070415078E-2</c:v>
                </c:pt>
                <c:pt idx="795">
                  <c:v>1.368415460547444E-2</c:v>
                </c:pt>
                <c:pt idx="796">
                  <c:v>1.3710931092011051E-2</c:v>
                </c:pt>
                <c:pt idx="797">
                  <c:v>1.3739790878642725E-2</c:v>
                </c:pt>
                <c:pt idx="798">
                  <c:v>1.3766419132574139E-2</c:v>
                </c:pt>
                <c:pt idx="799">
                  <c:v>1.3792975332716532E-2</c:v>
                </c:pt>
                <c:pt idx="800">
                  <c:v>1.3819459477607592E-2</c:v>
                </c:pt>
                <c:pt idx="801">
                  <c:v>1.3845871565785883E-2</c:v>
                </c:pt>
                <c:pt idx="802">
                  <c:v>1.3872211595795176E-2</c:v>
                </c:pt>
                <c:pt idx="803">
                  <c:v>1.3898479566182722E-2</c:v>
                </c:pt>
                <c:pt idx="804">
                  <c:v>1.3924675475499245E-2</c:v>
                </c:pt>
                <c:pt idx="805">
                  <c:v>1.3946554432791913E-2</c:v>
                </c:pt>
                <c:pt idx="806">
                  <c:v>1.397261449312559E-2</c:v>
                </c:pt>
                <c:pt idx="807">
                  <c:v>1.3998602490106649E-2</c:v>
                </c:pt>
                <c:pt idx="808">
                  <c:v>1.4024518422334431E-2</c:v>
                </c:pt>
                <c:pt idx="809">
                  <c:v>1.4050362288410945E-2</c:v>
                </c:pt>
                <c:pt idx="810">
                  <c:v>1.4076134086939973E-2</c:v>
                </c:pt>
                <c:pt idx="811">
                  <c:v>1.4101833816534182E-2</c:v>
                </c:pt>
                <c:pt idx="812">
                  <c:v>1.4127461475804459E-2</c:v>
                </c:pt>
                <c:pt idx="813">
                  <c:v>1.4153017063370577E-2</c:v>
                </c:pt>
                <c:pt idx="814">
                  <c:v>1.4176414907927018E-2</c:v>
                </c:pt>
                <c:pt idx="815">
                  <c:v>1.4201830496238698E-2</c:v>
                </c:pt>
                <c:pt idx="816">
                  <c:v>1.4227173994480735E-2</c:v>
                </c:pt>
                <c:pt idx="817">
                  <c:v>1.4252437566144157E-2</c:v>
                </c:pt>
                <c:pt idx="818">
                  <c:v>1.4283764134999584E-2</c:v>
                </c:pt>
                <c:pt idx="819">
                  <c:v>1.4308733106913125E-2</c:v>
                </c:pt>
                <c:pt idx="820">
                  <c:v>1.4333520527122562E-2</c:v>
                </c:pt>
                <c:pt idx="821">
                  <c:v>1.4358095741476503E-2</c:v>
                </c:pt>
                <c:pt idx="822">
                  <c:v>1.4382428095086754E-2</c:v>
                </c:pt>
                <c:pt idx="823">
                  <c:v>1.4404539552698927E-2</c:v>
                </c:pt>
                <c:pt idx="824">
                  <c:v>1.4428322846123273E-2</c:v>
                </c:pt>
                <c:pt idx="825">
                  <c:v>1.4451772861989098E-2</c:v>
                </c:pt>
                <c:pt idx="826">
                  <c:v>1.4474858607178004E-2</c:v>
                </c:pt>
                <c:pt idx="827">
                  <c:v>1.4499373981843844E-2</c:v>
                </c:pt>
                <c:pt idx="828">
                  <c:v>1.4521605379682129E-2</c:v>
                </c:pt>
                <c:pt idx="829">
                  <c:v>1.4543379715895349E-2</c:v>
                </c:pt>
                <c:pt idx="830">
                  <c:v>1.45646800183511E-2</c:v>
                </c:pt>
                <c:pt idx="831">
                  <c:v>1.4585505326100678E-2</c:v>
                </c:pt>
                <c:pt idx="832">
                  <c:v>1.4605855631587514E-2</c:v>
                </c:pt>
                <c:pt idx="833">
                  <c:v>1.4625730927427081E-2</c:v>
                </c:pt>
                <c:pt idx="834">
                  <c:v>1.4645131206406021E-2</c:v>
                </c:pt>
                <c:pt idx="835">
                  <c:v>1.4664056461485614E-2</c:v>
                </c:pt>
                <c:pt idx="836">
                  <c:v>1.4682506685798312E-2</c:v>
                </c:pt>
                <c:pt idx="837">
                  <c:v>1.4700481872648599E-2</c:v>
                </c:pt>
                <c:pt idx="838">
                  <c:v>1.4717982015513869E-2</c:v>
                </c:pt>
                <c:pt idx="839">
                  <c:v>1.4735007108042679E-2</c:v>
                </c:pt>
                <c:pt idx="840">
                  <c:v>1.4751557144058229E-2</c:v>
                </c:pt>
                <c:pt idx="841">
                  <c:v>1.4767632117554894E-2</c:v>
                </c:pt>
                <c:pt idx="842">
                  <c:v>1.4783232022699074E-2</c:v>
                </c:pt>
                <c:pt idx="843">
                  <c:v>1.4798356853829214E-2</c:v>
                </c:pt>
                <c:pt idx="844">
                  <c:v>1.4811745557272618E-2</c:v>
                </c:pt>
                <c:pt idx="845">
                  <c:v>1.482595357538234E-2</c:v>
                </c:pt>
                <c:pt idx="846">
                  <c:v>1.4839686522870977E-2</c:v>
                </c:pt>
                <c:pt idx="847">
                  <c:v>1.4852944394808849E-2</c:v>
                </c:pt>
                <c:pt idx="848">
                  <c:v>1.486572718643844E-2</c:v>
                </c:pt>
                <c:pt idx="849">
                  <c:v>1.4879128991035738E-2</c:v>
                </c:pt>
                <c:pt idx="850">
                  <c:v>1.4890928160045405E-2</c:v>
                </c:pt>
                <c:pt idx="851">
                  <c:v>1.4902252215960117E-2</c:v>
                </c:pt>
                <c:pt idx="852">
                  <c:v>1.4913101154670122E-2</c:v>
                </c:pt>
                <c:pt idx="853">
                  <c:v>1.4923474972239434E-2</c:v>
                </c:pt>
                <c:pt idx="854">
                  <c:v>1.4933373664902373E-2</c:v>
                </c:pt>
                <c:pt idx="855">
                  <c:v>1.4942797229067025E-2</c:v>
                </c:pt>
                <c:pt idx="856">
                  <c:v>1.4951745661314391E-2</c:v>
                </c:pt>
                <c:pt idx="857">
                  <c:v>1.4959392996399361E-2</c:v>
                </c:pt>
                <c:pt idx="858">
                  <c:v>1.4967424760719361E-2</c:v>
                </c:pt>
                <c:pt idx="859">
                  <c:v>1.4974981403636921E-2</c:v>
                </c:pt>
                <c:pt idx="860">
                  <c:v>1.4982062922441241E-2</c:v>
                </c:pt>
                <c:pt idx="861">
                  <c:v>1.4988884495932275E-2</c:v>
                </c:pt>
                <c:pt idx="862">
                  <c:v>1.4995637686269422E-2</c:v>
                </c:pt>
                <c:pt idx="863">
                  <c:v>1.5001225942103763E-2</c:v>
                </c:pt>
                <c:pt idx="864">
                  <c:v>1.5006339064403828E-2</c:v>
                </c:pt>
                <c:pt idx="865">
                  <c:v>1.5010977051333725E-2</c:v>
                </c:pt>
                <c:pt idx="866">
                  <c:v>1.5014618719129125E-2</c:v>
                </c:pt>
                <c:pt idx="867">
                  <c:v>1.5018340214131953E-2</c:v>
                </c:pt>
                <c:pt idx="868">
                  <c:v>1.5021587460564589E-2</c:v>
                </c:pt>
                <c:pt idx="869">
                  <c:v>1.5024390118905551E-2</c:v>
                </c:pt>
                <c:pt idx="870">
                  <c:v>1.5028464617698266E-2</c:v>
                </c:pt>
                <c:pt idx="871">
                  <c:v>1.503054240768684E-2</c:v>
                </c:pt>
                <c:pt idx="872">
                  <c:v>1.5032399427556633E-2</c:v>
                </c:pt>
                <c:pt idx="873">
                  <c:v>1.5034099285150891E-2</c:v>
                </c:pt>
                <c:pt idx="874">
                  <c:v>1.503532132536509E-2</c:v>
                </c:pt>
                <c:pt idx="875">
                  <c:v>1.50359767502197E-2</c:v>
                </c:pt>
                <c:pt idx="876">
                  <c:v>1.5037530924384009E-2</c:v>
                </c:pt>
                <c:pt idx="877">
                  <c:v>1.5039173071186723E-2</c:v>
                </c:pt>
                <c:pt idx="878">
                  <c:v>1.5040968887788083E-2</c:v>
                </c:pt>
                <c:pt idx="879">
                  <c:v>1.5044465305778352E-2</c:v>
                </c:pt>
                <c:pt idx="880">
                  <c:v>1.5046934885665896E-2</c:v>
                </c:pt>
                <c:pt idx="881">
                  <c:v>1.5049772568898638E-2</c:v>
                </c:pt>
                <c:pt idx="882">
                  <c:v>1.505298918725205E-2</c:v>
                </c:pt>
                <c:pt idx="883">
                  <c:v>1.505658474165409E-2</c:v>
                </c:pt>
                <c:pt idx="884">
                  <c:v>1.5060559233148269E-2</c:v>
                </c:pt>
                <c:pt idx="885">
                  <c:v>1.5064912662883236E-2</c:v>
                </c:pt>
                <c:pt idx="886">
                  <c:v>1.5069645032118849E-2</c:v>
                </c:pt>
                <c:pt idx="887">
                  <c:v>1.5074756342226187E-2</c:v>
                </c:pt>
                <c:pt idx="888">
                  <c:v>1.5080246594681461E-2</c:v>
                </c:pt>
                <c:pt idx="889">
                  <c:v>1.5086115791077308E-2</c:v>
                </c:pt>
                <c:pt idx="890">
                  <c:v>1.5092363933109764E-2</c:v>
                </c:pt>
                <c:pt idx="891">
                  <c:v>1.5098991022587818E-2</c:v>
                </c:pt>
                <c:pt idx="892">
                  <c:v>1.5105997061429064E-2</c:v>
                </c:pt>
                <c:pt idx="893">
                  <c:v>1.5113382051661448E-2</c:v>
                </c:pt>
                <c:pt idx="894">
                  <c:v>1.5121145995422388E-2</c:v>
                </c:pt>
                <c:pt idx="895">
                  <c:v>1.5129288894957914E-2</c:v>
                </c:pt>
                <c:pt idx="896">
                  <c:v>1.5136812687198456E-2</c:v>
                </c:pt>
                <c:pt idx="897">
                  <c:v>1.5145686064131901E-2</c:v>
                </c:pt>
                <c:pt idx="898">
                  <c:v>1.515493838790585E-2</c:v>
                </c:pt>
                <c:pt idx="899">
                  <c:v>1.5164569661168727E-2</c:v>
                </c:pt>
                <c:pt idx="900">
                  <c:v>1.5175687815587025E-2</c:v>
                </c:pt>
                <c:pt idx="901">
                  <c:v>1.5186104503101322E-2</c:v>
                </c:pt>
                <c:pt idx="902">
                  <c:v>1.5196900165191689E-2</c:v>
                </c:pt>
                <c:pt idx="903">
                  <c:v>1.5208074804980843E-2</c:v>
                </c:pt>
                <c:pt idx="904">
                  <c:v>1.5219628425701851E-2</c:v>
                </c:pt>
                <c:pt idx="905">
                  <c:v>1.5231561030700733E-2</c:v>
                </c:pt>
                <c:pt idx="906">
                  <c:v>1.5243872623430377E-2</c:v>
                </c:pt>
                <c:pt idx="907">
                  <c:v>1.5256563207452284E-2</c:v>
                </c:pt>
                <c:pt idx="908">
                  <c:v>1.5269632786441775E-2</c:v>
                </c:pt>
                <c:pt idx="909">
                  <c:v>1.528172527596847E-2</c:v>
                </c:pt>
                <c:pt idx="910">
                  <c:v>1.5295525199447576E-2</c:v>
                </c:pt>
                <c:pt idx="911">
                  <c:v>1.5309704112661223E-2</c:v>
                </c:pt>
                <c:pt idx="912">
                  <c:v>1.53242620196677E-2</c:v>
                </c:pt>
                <c:pt idx="913">
                  <c:v>1.5339895614614463E-2</c:v>
                </c:pt>
                <c:pt idx="914">
                  <c:v>1.5355237940510413E-2</c:v>
                </c:pt>
                <c:pt idx="915">
                  <c:v>1.5370959256537198E-2</c:v>
                </c:pt>
                <c:pt idx="916">
                  <c:v>1.5388610885548338E-2</c:v>
                </c:pt>
                <c:pt idx="917">
                  <c:v>1.5403538876895162E-2</c:v>
                </c:pt>
                <c:pt idx="918">
                  <c:v>1.5420397190450963E-2</c:v>
                </c:pt>
                <c:pt idx="919">
                  <c:v>1.5437634512584175E-2</c:v>
                </c:pt>
                <c:pt idx="920">
                  <c:v>1.545524619171168E-2</c:v>
                </c:pt>
                <c:pt idx="921">
                  <c:v>1.5473198839707436E-2</c:v>
                </c:pt>
                <c:pt idx="922">
                  <c:v>1.5494835184038889E-2</c:v>
                </c:pt>
                <c:pt idx="923">
                  <c:v>1.5513354540124065E-2</c:v>
                </c:pt>
                <c:pt idx="924">
                  <c:v>1.5532073138507557E-2</c:v>
                </c:pt>
                <c:pt idx="925">
                  <c:v>1.5550947575961389E-2</c:v>
                </c:pt>
                <c:pt idx="926">
                  <c:v>1.5568229747399291E-2</c:v>
                </c:pt>
                <c:pt idx="927">
                  <c:v>1.5587291264387416E-2</c:v>
                </c:pt>
                <c:pt idx="928">
                  <c:v>1.5606380788659066E-2</c:v>
                </c:pt>
                <c:pt idx="929">
                  <c:v>1.5630894996238105E-2</c:v>
                </c:pt>
                <c:pt idx="930">
                  <c:v>1.5657578463873525E-2</c:v>
                </c:pt>
                <c:pt idx="931">
                  <c:v>1.5670410266697615E-2</c:v>
                </c:pt>
                <c:pt idx="932">
                  <c:v>1.5689110125722345E-2</c:v>
                </c:pt>
                <c:pt idx="933">
                  <c:v>1.5707621203930877E-2</c:v>
                </c:pt>
                <c:pt idx="934">
                  <c:v>1.5725940862111758E-2</c:v>
                </c:pt>
                <c:pt idx="935">
                  <c:v>1.5744069097587989E-2</c:v>
                </c:pt>
                <c:pt idx="936">
                  <c:v>1.5762005907706919E-2</c:v>
                </c:pt>
                <c:pt idx="937">
                  <c:v>1.57797512898489E-2</c:v>
                </c:pt>
                <c:pt idx="938">
                  <c:v>1.5797305241416013E-2</c:v>
                </c:pt>
                <c:pt idx="939">
                  <c:v>1.5814667759844216E-2</c:v>
                </c:pt>
                <c:pt idx="940">
                  <c:v>1.5831838842592941E-2</c:v>
                </c:pt>
                <c:pt idx="941">
                  <c:v>1.5848818487152885E-2</c:v>
                </c:pt>
                <c:pt idx="942">
                  <c:v>1.5865606691040816E-2</c:v>
                </c:pt>
                <c:pt idx="943">
                  <c:v>1.588220345180218E-2</c:v>
                </c:pt>
                <c:pt idx="944">
                  <c:v>1.589860876700935E-2</c:v>
                </c:pt>
                <c:pt idx="945">
                  <c:v>1.5914822634265118E-2</c:v>
                </c:pt>
                <c:pt idx="946">
                  <c:v>1.5930845051197462E-2</c:v>
                </c:pt>
                <c:pt idx="947">
                  <c:v>1.5946676015463915E-2</c:v>
                </c:pt>
                <c:pt idx="948">
                  <c:v>1.5960881219517251E-2</c:v>
                </c:pt>
                <c:pt idx="949">
                  <c:v>1.5976342262803339E-2</c:v>
                </c:pt>
                <c:pt idx="950">
                  <c:v>1.5991611854549087E-2</c:v>
                </c:pt>
                <c:pt idx="951">
                  <c:v>1.6012264022730892E-2</c:v>
                </c:pt>
                <c:pt idx="952">
                  <c:v>1.6022958966776114E-2</c:v>
                </c:pt>
                <c:pt idx="953">
                  <c:v>1.6037641167417471E-2</c:v>
                </c:pt>
                <c:pt idx="954">
                  <c:v>1.6052131899778468E-2</c:v>
                </c:pt>
                <c:pt idx="955">
                  <c:v>1.6066431161739059E-2</c:v>
                </c:pt>
                <c:pt idx="956">
                  <c:v>1.6080538951208742E-2</c:v>
                </c:pt>
                <c:pt idx="957">
                  <c:v>1.6094455266123957E-2</c:v>
                </c:pt>
                <c:pt idx="958">
                  <c:v>1.610818010445067E-2</c:v>
                </c:pt>
                <c:pt idx="959">
                  <c:v>1.6121713464181796E-2</c:v>
                </c:pt>
                <c:pt idx="960">
                  <c:v>1.6135055343338051E-2</c:v>
                </c:pt>
                <c:pt idx="961">
                  <c:v>1.6145674949557431E-2</c:v>
                </c:pt>
                <c:pt idx="962">
                  <c:v>1.6158660054060192E-2</c:v>
                </c:pt>
                <c:pt idx="963">
                  <c:v>1.6171453688719417E-2</c:v>
                </c:pt>
                <c:pt idx="964">
                  <c:v>1.6192390312932989E-2</c:v>
                </c:pt>
                <c:pt idx="965">
                  <c:v>1.6198223866273231E-2</c:v>
                </c:pt>
                <c:pt idx="966">
                  <c:v>1.6208685755483287E-2</c:v>
                </c:pt>
                <c:pt idx="967">
                  <c:v>1.622071349274723E-2</c:v>
                </c:pt>
                <c:pt idx="968">
                  <c:v>1.6232549751293845E-2</c:v>
                </c:pt>
                <c:pt idx="969">
                  <c:v>1.6244194529428491E-2</c:v>
                </c:pt>
                <c:pt idx="970">
                  <c:v>1.6254498762377705E-2</c:v>
                </c:pt>
                <c:pt idx="971">
                  <c:v>1.6265773744015475E-2</c:v>
                </c:pt>
                <c:pt idx="972">
                  <c:v>1.6276857248726347E-2</c:v>
                </c:pt>
                <c:pt idx="973">
                  <c:v>1.6287749274943038E-2</c:v>
                </c:pt>
                <c:pt idx="974">
                  <c:v>1.6301735149655178E-2</c:v>
                </c:pt>
                <c:pt idx="975">
                  <c:v>1.6312204601763906E-2</c:v>
                </c:pt>
                <c:pt idx="976">
                  <c:v>1.632248254544439E-2</c:v>
                </c:pt>
                <c:pt idx="977">
                  <c:v>1.6332568979192615E-2</c:v>
                </c:pt>
                <c:pt idx="978">
                  <c:v>1.6341422890316135E-2</c:v>
                </c:pt>
                <c:pt idx="979">
                  <c:v>1.6351139539115104E-2</c:v>
                </c:pt>
                <c:pt idx="980">
                  <c:v>1.636066468216479E-2</c:v>
                </c:pt>
                <c:pt idx="981">
                  <c:v>1.6369998318088719E-2</c:v>
                </c:pt>
                <c:pt idx="982">
                  <c:v>1.638012844830947E-2</c:v>
                </c:pt>
                <c:pt idx="983">
                  <c:v>1.6389065792472474E-2</c:v>
                </c:pt>
                <c:pt idx="984">
                  <c:v>1.6397811616966653E-2</c:v>
                </c:pt>
                <c:pt idx="985">
                  <c:v>1.6406365920512169E-2</c:v>
                </c:pt>
                <c:pt idx="986">
                  <c:v>1.6414728701860455E-2</c:v>
                </c:pt>
                <c:pt idx="987">
                  <c:v>1.6422899959787268E-2</c:v>
                </c:pt>
                <c:pt idx="988">
                  <c:v>1.6430879693099653E-2</c:v>
                </c:pt>
                <c:pt idx="989">
                  <c:v>1.6438667900628111E-2</c:v>
                </c:pt>
                <c:pt idx="990">
                  <c:v>1.644626458123442E-2</c:v>
                </c:pt>
                <c:pt idx="991">
                  <c:v>1.6453669733808164E-2</c:v>
                </c:pt>
                <c:pt idx="992">
                  <c:v>1.6460883357266733E-2</c:v>
                </c:pt>
                <c:pt idx="993">
                  <c:v>1.6467905450554449E-2</c:v>
                </c:pt>
                <c:pt idx="994">
                  <c:v>1.6474736012645173E-2</c:v>
                </c:pt>
                <c:pt idx="995">
                  <c:v>1.6481375042539707E-2</c:v>
                </c:pt>
                <c:pt idx="996">
                  <c:v>1.6487822539268393E-2</c:v>
                </c:pt>
                <c:pt idx="997">
                  <c:v>1.64940785018859E-2</c:v>
                </c:pt>
                <c:pt idx="998">
                  <c:v>1.6500142929479912E-2</c:v>
                </c:pt>
                <c:pt idx="999">
                  <c:v>1.6506015821161575E-2</c:v>
                </c:pt>
                <c:pt idx="1000">
                  <c:v>1.65109494167048E-2</c:v>
                </c:pt>
                <c:pt idx="1001">
                  <c:v>1.6516452663420274E-2</c:v>
                </c:pt>
                <c:pt idx="1002">
                  <c:v>1.6521764380474167E-2</c:v>
                </c:pt>
                <c:pt idx="1003">
                  <c:v>1.6526884567100501E-2</c:v>
                </c:pt>
                <c:pt idx="1004">
                  <c:v>1.6534581603191108E-2</c:v>
                </c:pt>
                <c:pt idx="1005">
                  <c:v>1.653723087098392E-2</c:v>
                </c:pt>
                <c:pt idx="1006">
                  <c:v>1.6541762988809296E-2</c:v>
                </c:pt>
                <c:pt idx="1007">
                  <c:v>1.654610356463676E-2</c:v>
                </c:pt>
                <c:pt idx="1008">
                  <c:v>1.6550252597830294E-2</c:v>
                </c:pt>
                <c:pt idx="1009">
                  <c:v>1.6554210087786035E-2</c:v>
                </c:pt>
                <c:pt idx="1010">
                  <c:v>1.6557976033924449E-2</c:v>
                </c:pt>
                <c:pt idx="1011">
                  <c:v>1.6561550435693798E-2</c:v>
                </c:pt>
                <c:pt idx="1012">
                  <c:v>1.6564933292572765E-2</c:v>
                </c:pt>
                <c:pt idx="1013">
                  <c:v>1.6566978343384164E-2</c:v>
                </c:pt>
                <c:pt idx="1014">
                  <c:v>1.6570005194739501E-2</c:v>
                </c:pt>
                <c:pt idx="1015">
                  <c:v>1.657284051741037E-2</c:v>
                </c:pt>
                <c:pt idx="1016">
                  <c:v>1.6575484310989985E-2</c:v>
                </c:pt>
                <c:pt idx="1017">
                  <c:v>1.6577936575102648E-2</c:v>
                </c:pt>
                <c:pt idx="1018">
                  <c:v>1.6580197309393974E-2</c:v>
                </c:pt>
                <c:pt idx="1019">
                  <c:v>1.6582266513542443E-2</c:v>
                </c:pt>
                <c:pt idx="1020">
                  <c:v>1.6584144187252292E-2</c:v>
                </c:pt>
                <c:pt idx="1021">
                  <c:v>1.6585830330253515E-2</c:v>
                </c:pt>
                <c:pt idx="1022">
                  <c:v>1.6586872087571029E-2</c:v>
                </c:pt>
                <c:pt idx="1023">
                  <c:v>1.6588188788728121E-2</c:v>
                </c:pt>
                <c:pt idx="1024">
                  <c:v>1.6589314781562375E-2</c:v>
                </c:pt>
                <c:pt idx="1025">
                  <c:v>1.6590258878942426E-2</c:v>
                </c:pt>
                <c:pt idx="1026">
                  <c:v>1.6592247954665795E-2</c:v>
                </c:pt>
                <c:pt idx="1027">
                  <c:v>1.6592844192522271E-2</c:v>
                </c:pt>
                <c:pt idx="1028">
                  <c:v>1.6593302613188917E-2</c:v>
                </c:pt>
                <c:pt idx="1029">
                  <c:v>1.6593636186470955E-2</c:v>
                </c:pt>
                <c:pt idx="1030">
                  <c:v>1.6593478612182376E-2</c:v>
                </c:pt>
                <c:pt idx="1031">
                  <c:v>1.6593605062329431E-2</c:v>
                </c:pt>
                <c:pt idx="1032">
                  <c:v>1.6593644865949171E-2</c:v>
                </c:pt>
                <c:pt idx="1033">
                  <c:v>1.6593611134816121E-2</c:v>
                </c:pt>
                <c:pt idx="1034">
                  <c:v>1.6593516980709194E-2</c:v>
                </c:pt>
                <c:pt idx="1035">
                  <c:v>1.6593742141849339E-2</c:v>
                </c:pt>
                <c:pt idx="1036">
                  <c:v>1.6593564938971753E-2</c:v>
                </c:pt>
                <c:pt idx="1037">
                  <c:v>1.6593364485848087E-2</c:v>
                </c:pt>
                <c:pt idx="1038">
                  <c:v>1.659314294412486E-2</c:v>
                </c:pt>
                <c:pt idx="1039">
                  <c:v>1.6592900313804677E-2</c:v>
                </c:pt>
                <c:pt idx="1040">
                  <c:v>1.6592636594892751E-2</c:v>
                </c:pt>
                <c:pt idx="1041">
                  <c:v>1.6592351787390821E-2</c:v>
                </c:pt>
                <c:pt idx="1042">
                  <c:v>1.6592045891306705E-2</c:v>
                </c:pt>
                <c:pt idx="1043">
                  <c:v>1.6591718906642145E-2</c:v>
                </c:pt>
                <c:pt idx="1044">
                  <c:v>1.6591370833404086E-2</c:v>
                </c:pt>
                <c:pt idx="1045">
                  <c:v>1.6591001671597744E-2</c:v>
                </c:pt>
                <c:pt idx="1046">
                  <c:v>1.659061142123007E-2</c:v>
                </c:pt>
                <c:pt idx="1047">
                  <c:v>1.6590200082306279E-2</c:v>
                </c:pt>
                <c:pt idx="1048">
                  <c:v>1.6589767654833318E-2</c:v>
                </c:pt>
                <c:pt idx="1049">
                  <c:v>1.6589314138817274E-2</c:v>
                </c:pt>
                <c:pt idx="1050">
                  <c:v>1.658883953426683E-2</c:v>
                </c:pt>
                <c:pt idx="1051">
                  <c:v>1.658834384118894E-2</c:v>
                </c:pt>
                <c:pt idx="1052">
                  <c:v>1.6587486335284396E-2</c:v>
                </c:pt>
                <c:pt idx="1053">
                  <c:v>1.6586949996159197E-2</c:v>
                </c:pt>
                <c:pt idx="1054">
                  <c:v>1.6586392569498763E-2</c:v>
                </c:pt>
                <c:pt idx="1055">
                  <c:v>1.6585814055312755E-2</c:v>
                </c:pt>
                <c:pt idx="1056">
                  <c:v>1.6585549048178879E-2</c:v>
                </c:pt>
                <c:pt idx="1057">
                  <c:v>1.6584926824117038E-2</c:v>
                </c:pt>
                <c:pt idx="1058">
                  <c:v>1.6584283511589443E-2</c:v>
                </c:pt>
                <c:pt idx="1059">
                  <c:v>1.6583619110608256E-2</c:v>
                </c:pt>
                <c:pt idx="1060">
                  <c:v>1.6582933621183033E-2</c:v>
                </c:pt>
                <c:pt idx="1061">
                  <c:v>1.6582227043326809E-2</c:v>
                </c:pt>
                <c:pt idx="1062">
                  <c:v>1.6581499377049138E-2</c:v>
                </c:pt>
                <c:pt idx="1063">
                  <c:v>1.6580750622362191E-2</c:v>
                </c:pt>
                <c:pt idx="1064">
                  <c:v>1.6579980779278129E-2</c:v>
                </c:pt>
                <c:pt idx="1065">
                  <c:v>1.6578869101751943E-2</c:v>
                </c:pt>
                <c:pt idx="1066">
                  <c:v>1.6578058625468056E-2</c:v>
                </c:pt>
                <c:pt idx="1067">
                  <c:v>1.6577227061792116E-2</c:v>
                </c:pt>
                <c:pt idx="1068">
                  <c:v>1.6576374410736422E-2</c:v>
                </c:pt>
                <c:pt idx="1069">
                  <c:v>1.6575500672315027E-2</c:v>
                </c:pt>
                <c:pt idx="1070">
                  <c:v>1.6574605846541988E-2</c:v>
                </c:pt>
                <c:pt idx="1071">
                  <c:v>1.6573689933430481E-2</c:v>
                </c:pt>
                <c:pt idx="1072">
                  <c:v>1.6572752932998071E-2</c:v>
                </c:pt>
                <c:pt idx="1073">
                  <c:v>1.6571794845254426E-2</c:v>
                </c:pt>
                <c:pt idx="1074">
                  <c:v>1.6570508712370646E-2</c:v>
                </c:pt>
                <c:pt idx="1075">
                  <c:v>1.6569510002164556E-2</c:v>
                </c:pt>
                <c:pt idx="1076">
                  <c:v>1.6568490205663089E-2</c:v>
                </c:pt>
                <c:pt idx="1077">
                  <c:v>1.6567449322879568E-2</c:v>
                </c:pt>
                <c:pt idx="1078">
                  <c:v>1.6566988701959804E-2</c:v>
                </c:pt>
                <c:pt idx="1079">
                  <c:v>1.6565902534595927E-2</c:v>
                </c:pt>
                <c:pt idx="1080">
                  <c:v>1.6564795279073875E-2</c:v>
                </c:pt>
                <c:pt idx="1081">
                  <c:v>1.6563666935411892E-2</c:v>
                </c:pt>
                <c:pt idx="1082">
                  <c:v>1.6562517503627357E-2</c:v>
                </c:pt>
                <c:pt idx="1083">
                  <c:v>1.6561054169402411E-2</c:v>
                </c:pt>
                <c:pt idx="1084">
                  <c:v>1.6559864122350741E-2</c:v>
                </c:pt>
                <c:pt idx="1085">
                  <c:v>1.6558652988195137E-2</c:v>
                </c:pt>
                <c:pt idx="1086">
                  <c:v>1.6557420766956685E-2</c:v>
                </c:pt>
                <c:pt idx="1087">
                  <c:v>1.6556454023534554E-2</c:v>
                </c:pt>
                <c:pt idx="1088">
                  <c:v>1.6555178063417858E-2</c:v>
                </c:pt>
                <c:pt idx="1089">
                  <c:v>1.655388101531589E-2</c:v>
                </c:pt>
                <c:pt idx="1090">
                  <c:v>1.6552562879249506E-2</c:v>
                </c:pt>
                <c:pt idx="1091">
                  <c:v>1.6551223655240428E-2</c:v>
                </c:pt>
                <c:pt idx="1092">
                  <c:v>1.6549863343308633E-2</c:v>
                </c:pt>
                <c:pt idx="1093">
                  <c:v>1.6548481943476721E-2</c:v>
                </c:pt>
                <c:pt idx="1094">
                  <c:v>1.6547079455767274E-2</c:v>
                </c:pt>
                <c:pt idx="1095">
                  <c:v>1.6545655880202886E-2</c:v>
                </c:pt>
                <c:pt idx="1096">
                  <c:v>1.654421121680702E-2</c:v>
                </c:pt>
                <c:pt idx="1097">
                  <c:v>1.6542745465602263E-2</c:v>
                </c:pt>
                <c:pt idx="1098">
                  <c:v>1.6541258626612074E-2</c:v>
                </c:pt>
                <c:pt idx="1099">
                  <c:v>1.6539750699860783E-2</c:v>
                </c:pt>
                <c:pt idx="1100">
                  <c:v>1.6538221685371848E-2</c:v>
                </c:pt>
                <c:pt idx="1101">
                  <c:v>1.6536671583170466E-2</c:v>
                </c:pt>
                <c:pt idx="1102">
                  <c:v>1.6535100393281838E-2</c:v>
                </c:pt>
                <c:pt idx="1103">
                  <c:v>1.653350811573116E-2</c:v>
                </c:pt>
                <c:pt idx="1104">
                  <c:v>1.653163491735344E-2</c:v>
                </c:pt>
                <c:pt idx="1105">
                  <c:v>1.6530002045636916E-2</c:v>
                </c:pt>
                <c:pt idx="1106">
                  <c:v>1.6528348087291689E-2</c:v>
                </c:pt>
                <c:pt idx="1107">
                  <c:v>1.6526673042346743E-2</c:v>
                </c:pt>
                <c:pt idx="1108">
                  <c:v>1.6524976910826675E-2</c:v>
                </c:pt>
                <c:pt idx="1109">
                  <c:v>1.6523511610979359E-2</c:v>
                </c:pt>
                <c:pt idx="1110">
                  <c:v>1.6521771720529384E-2</c:v>
                </c:pt>
                <c:pt idx="1111">
                  <c:v>1.6520010742631968E-2</c:v>
                </c:pt>
                <c:pt idx="1112">
                  <c:v>1.6518228677315783E-2</c:v>
                </c:pt>
                <c:pt idx="1113">
                  <c:v>1.6516425524608636E-2</c:v>
                </c:pt>
                <c:pt idx="1114">
                  <c:v>1.6514601284540069E-2</c:v>
                </c:pt>
                <c:pt idx="1115">
                  <c:v>1.6512755957140485E-2</c:v>
                </c:pt>
                <c:pt idx="1116">
                  <c:v>1.6510889542436829E-2</c:v>
                </c:pt>
                <c:pt idx="1117">
                  <c:v>1.6508523486662874E-2</c:v>
                </c:pt>
                <c:pt idx="1118">
                  <c:v>1.6506618084294544E-2</c:v>
                </c:pt>
                <c:pt idx="1119">
                  <c:v>1.6504691596618493E-2</c:v>
                </c:pt>
                <c:pt idx="1120">
                  <c:v>1.6502744023666693E-2</c:v>
                </c:pt>
                <c:pt idx="1121">
                  <c:v>1.6500492407343081E-2</c:v>
                </c:pt>
                <c:pt idx="1122">
                  <c:v>1.6498499651760312E-2</c:v>
                </c:pt>
                <c:pt idx="1123">
                  <c:v>1.6496485811000383E-2</c:v>
                </c:pt>
                <c:pt idx="1124">
                  <c:v>1.6494450885092604E-2</c:v>
                </c:pt>
                <c:pt idx="1125">
                  <c:v>1.6492394874070726E-2</c:v>
                </c:pt>
                <c:pt idx="1126">
                  <c:v>1.6490092886129914E-2</c:v>
                </c:pt>
                <c:pt idx="1127">
                  <c:v>1.6487996306885317E-2</c:v>
                </c:pt>
                <c:pt idx="1128">
                  <c:v>1.64858786435714E-2</c:v>
                </c:pt>
                <c:pt idx="1129">
                  <c:v>1.6483739896223187E-2</c:v>
                </c:pt>
                <c:pt idx="1130">
                  <c:v>1.6482670992948652E-2</c:v>
                </c:pt>
                <c:pt idx="1131">
                  <c:v>1.6480482047720173E-2</c:v>
                </c:pt>
                <c:pt idx="1132">
                  <c:v>1.6478272013820457E-2</c:v>
                </c:pt>
                <c:pt idx="1133">
                  <c:v>1.6476040891286074E-2</c:v>
                </c:pt>
                <c:pt idx="1134">
                  <c:v>1.6471860166565645E-2</c:v>
                </c:pt>
                <c:pt idx="1135">
                  <c:v>1.6470885383230278E-2</c:v>
                </c:pt>
                <c:pt idx="1136">
                  <c:v>1.6468595827581031E-2</c:v>
                </c:pt>
                <c:pt idx="1137">
                  <c:v>1.6466285186282514E-2</c:v>
                </c:pt>
                <c:pt idx="1138">
                  <c:v>1.6463953459370739E-2</c:v>
                </c:pt>
                <c:pt idx="1139">
                  <c:v>1.6462211296843679E-2</c:v>
                </c:pt>
                <c:pt idx="1140">
                  <c:v>1.6459832554916842E-2</c:v>
                </c:pt>
                <c:pt idx="1141">
                  <c:v>1.6457432724659774E-2</c:v>
                </c:pt>
                <c:pt idx="1142">
                  <c:v>1.6455011806109889E-2</c:v>
                </c:pt>
                <c:pt idx="1143">
                  <c:v>1.6452569799308862E-2</c:v>
                </c:pt>
                <c:pt idx="1144">
                  <c:v>1.6450106704296655E-2</c:v>
                </c:pt>
                <c:pt idx="1145">
                  <c:v>1.6447622521112388E-2</c:v>
                </c:pt>
                <c:pt idx="1146">
                  <c:v>1.6445117249799433E-2</c:v>
                </c:pt>
                <c:pt idx="1147">
                  <c:v>1.6442019070831416E-2</c:v>
                </c:pt>
                <c:pt idx="1148">
                  <c:v>1.6440043442946473E-2</c:v>
                </c:pt>
                <c:pt idx="1149">
                  <c:v>1.643747490749151E-2</c:v>
                </c:pt>
                <c:pt idx="1150">
                  <c:v>1.6434885284072828E-2</c:v>
                </c:pt>
                <c:pt idx="1151">
                  <c:v>1.6432274572732948E-2</c:v>
                </c:pt>
                <c:pt idx="1152">
                  <c:v>1.6429642773516093E-2</c:v>
                </c:pt>
                <c:pt idx="1153">
                  <c:v>1.6426989886464783E-2</c:v>
                </c:pt>
                <c:pt idx="1154">
                  <c:v>1.6424315911622384E-2</c:v>
                </c:pt>
                <c:pt idx="1155">
                  <c:v>1.6421620849033966E-2</c:v>
                </c:pt>
                <c:pt idx="1156">
                  <c:v>1.6418376779138679E-2</c:v>
                </c:pt>
                <c:pt idx="1157">
                  <c:v>1.6415644433022285E-2</c:v>
                </c:pt>
                <c:pt idx="1158">
                  <c:v>1.6412891002099899E-2</c:v>
                </c:pt>
                <c:pt idx="1159">
                  <c:v>1.6410116486415445E-2</c:v>
                </c:pt>
                <c:pt idx="1160">
                  <c:v>1.6407829221450166E-2</c:v>
                </c:pt>
                <c:pt idx="1161">
                  <c:v>1.6405007633323615E-2</c:v>
                </c:pt>
                <c:pt idx="1162">
                  <c:v>1.6402164957768244E-2</c:v>
                </c:pt>
                <c:pt idx="1163">
                  <c:v>1.6399301194829966E-2</c:v>
                </c:pt>
                <c:pt idx="1164">
                  <c:v>1.6396416344557255E-2</c:v>
                </c:pt>
                <c:pt idx="1165">
                  <c:v>1.6393510406995188E-2</c:v>
                </c:pt>
                <c:pt idx="1166">
                  <c:v>1.6390583382193926E-2</c:v>
                </c:pt>
                <c:pt idx="1167">
                  <c:v>1.6387635270201099E-2</c:v>
                </c:pt>
                <c:pt idx="1168">
                  <c:v>1.6384666071064327E-2</c:v>
                </c:pt>
                <c:pt idx="1169">
                  <c:v>1.6381056671256999E-2</c:v>
                </c:pt>
                <c:pt idx="1170">
                  <c:v>1.6378051868628063E-2</c:v>
                </c:pt>
                <c:pt idx="1171">
                  <c:v>1.6375025982715563E-2</c:v>
                </c:pt>
                <c:pt idx="1172">
                  <c:v>1.6371979013571014E-2</c:v>
                </c:pt>
                <c:pt idx="1173">
                  <c:v>1.6367293719223852E-2</c:v>
                </c:pt>
                <c:pt idx="1174">
                  <c:v>1.6364637535486719E-2</c:v>
                </c:pt>
                <c:pt idx="1175">
                  <c:v>1.6361516633846742E-2</c:v>
                </c:pt>
                <c:pt idx="1176">
                  <c:v>1.6358517278361968E-2</c:v>
                </c:pt>
                <c:pt idx="1177">
                  <c:v>1.6355211578784074E-2</c:v>
                </c:pt>
                <c:pt idx="1178">
                  <c:v>1.6352027425462407E-2</c:v>
                </c:pt>
                <c:pt idx="1179">
                  <c:v>1.6348822188346684E-2</c:v>
                </c:pt>
                <c:pt idx="1180">
                  <c:v>1.6345595857336855E-2</c:v>
                </c:pt>
                <c:pt idx="1181">
                  <c:v>1.6342348381722722E-2</c:v>
                </c:pt>
                <c:pt idx="1182">
                  <c:v>1.6339212382386264E-2</c:v>
                </c:pt>
                <c:pt idx="1183">
                  <c:v>1.6335920753292623E-2</c:v>
                </c:pt>
                <c:pt idx="1184">
                  <c:v>1.633260779012187E-2</c:v>
                </c:pt>
                <c:pt idx="1185">
                  <c:v>1.63292734326752E-2</c:v>
                </c:pt>
                <c:pt idx="1186">
                  <c:v>1.6325791704476813E-2</c:v>
                </c:pt>
                <c:pt idx="1187">
                  <c:v>1.6322416083176968E-2</c:v>
                </c:pt>
                <c:pt idx="1188">
                  <c:v>1.6319018891256667E-2</c:v>
                </c:pt>
                <c:pt idx="1189">
                  <c:v>1.6314619279531182E-2</c:v>
                </c:pt>
                <c:pt idx="1190">
                  <c:v>1.63121595521292E-2</c:v>
                </c:pt>
                <c:pt idx="1191">
                  <c:v>1.6308814637111441E-2</c:v>
                </c:pt>
                <c:pt idx="1192">
                  <c:v>1.6305328834199034E-2</c:v>
                </c:pt>
                <c:pt idx="1193">
                  <c:v>1.6301821165477466E-2</c:v>
                </c:pt>
                <c:pt idx="1194">
                  <c:v>1.6298291620963419E-2</c:v>
                </c:pt>
                <c:pt idx="1195">
                  <c:v>1.6294740200716838E-2</c:v>
                </c:pt>
                <c:pt idx="1196">
                  <c:v>1.6291166904795075E-2</c:v>
                </c:pt>
                <c:pt idx="1197">
                  <c:v>1.6287571733258947E-2</c:v>
                </c:pt>
                <c:pt idx="1198">
                  <c:v>1.6283954686169277E-2</c:v>
                </c:pt>
                <c:pt idx="1199">
                  <c:v>1.628031576358515E-2</c:v>
                </c:pt>
                <c:pt idx="1200">
                  <c:v>1.6276654965567381E-2</c:v>
                </c:pt>
                <c:pt idx="1201">
                  <c:v>1.6272972292178535E-2</c:v>
                </c:pt>
                <c:pt idx="1202">
                  <c:v>1.6269267743479428E-2</c:v>
                </c:pt>
                <c:pt idx="1203">
                  <c:v>1.6265541319531753E-2</c:v>
                </c:pt>
                <c:pt idx="1204">
                  <c:v>1.6261793020397201E-2</c:v>
                </c:pt>
                <c:pt idx="1205">
                  <c:v>1.6258022846138327E-2</c:v>
                </c:pt>
                <c:pt idx="1206">
                  <c:v>1.6254230796819424E-2</c:v>
                </c:pt>
                <c:pt idx="1207">
                  <c:v>1.625041687250306E-2</c:v>
                </c:pt>
                <c:pt idx="1208">
                  <c:v>1.6246493089062921E-2</c:v>
                </c:pt>
                <c:pt idx="1209">
                  <c:v>1.6242637151069401E-2</c:v>
                </c:pt>
                <c:pt idx="1210">
                  <c:v>1.6238759339211407E-2</c:v>
                </c:pt>
                <c:pt idx="1211">
                  <c:v>1.6234859653551301E-2</c:v>
                </c:pt>
                <c:pt idx="1212">
                  <c:v>1.6231019128203544E-2</c:v>
                </c:pt>
                <c:pt idx="1213">
                  <c:v>1.6227073955253479E-2</c:v>
                </c:pt>
                <c:pt idx="1214">
                  <c:v>1.6223106907759497E-2</c:v>
                </c:pt>
                <c:pt idx="1215">
                  <c:v>1.6219117985788505E-2</c:v>
                </c:pt>
                <c:pt idx="1216">
                  <c:v>1.6215107189404797E-2</c:v>
                </c:pt>
                <c:pt idx="1217">
                  <c:v>1.6211074518678752E-2</c:v>
                </c:pt>
                <c:pt idx="1218">
                  <c:v>1.62070199736764E-2</c:v>
                </c:pt>
                <c:pt idx="1219">
                  <c:v>1.6202943554464649E-2</c:v>
                </c:pt>
                <c:pt idx="1220">
                  <c:v>1.619884526111301E-2</c:v>
                </c:pt>
                <c:pt idx="1221">
                  <c:v>1.6194659752176113E-2</c:v>
                </c:pt>
                <c:pt idx="1222">
                  <c:v>1.6190519459022518E-2</c:v>
                </c:pt>
                <c:pt idx="1223">
                  <c:v>1.6186357292864415E-2</c:v>
                </c:pt>
                <c:pt idx="1224">
                  <c:v>1.6182173253769444E-2</c:v>
                </c:pt>
                <c:pt idx="1225">
                  <c:v>1.6177306453807994E-2</c:v>
                </c:pt>
                <c:pt idx="1226">
                  <c:v>1.6173077296345539E-2</c:v>
                </c:pt>
                <c:pt idx="1227">
                  <c:v>1.6168881020108439E-2</c:v>
                </c:pt>
                <c:pt idx="1228">
                  <c:v>1.6164553366114554E-2</c:v>
                </c:pt>
                <c:pt idx="1229">
                  <c:v>1.6160258593486354E-2</c:v>
                </c:pt>
                <c:pt idx="1230">
                  <c:v>1.6155941949274499E-2</c:v>
                </c:pt>
                <c:pt idx="1231">
                  <c:v>1.6151603433550044E-2</c:v>
                </c:pt>
                <c:pt idx="1232">
                  <c:v>1.6147243046384929E-2</c:v>
                </c:pt>
                <c:pt idx="1233">
                  <c:v>1.6142860787849322E-2</c:v>
                </c:pt>
                <c:pt idx="1234">
                  <c:v>1.6138541405132066E-2</c:v>
                </c:pt>
                <c:pt idx="1235">
                  <c:v>1.613411188336877E-2</c:v>
                </c:pt>
                <c:pt idx="1236">
                  <c:v>1.61296604886151E-2</c:v>
                </c:pt>
                <c:pt idx="1237">
                  <c:v>1.6125187220944037E-2</c:v>
                </c:pt>
                <c:pt idx="1238">
                  <c:v>1.6120656837342689E-2</c:v>
                </c:pt>
                <c:pt idx="1239">
                  <c:v>1.6116141588153644E-2</c:v>
                </c:pt>
                <c:pt idx="1240">
                  <c:v>1.611030412965728E-2</c:v>
                </c:pt>
                <c:pt idx="1241">
                  <c:v>1.6105738887945587E-2</c:v>
                </c:pt>
                <c:pt idx="1242">
                  <c:v>1.6100576455251217E-2</c:v>
                </c:pt>
                <c:pt idx="1243">
                  <c:v>1.6096568698042123E-2</c:v>
                </c:pt>
                <c:pt idx="1244">
                  <c:v>1.6091936072827377E-2</c:v>
                </c:pt>
                <c:pt idx="1245">
                  <c:v>1.6087281575326042E-2</c:v>
                </c:pt>
                <c:pt idx="1246">
                  <c:v>1.6082605205617186E-2</c:v>
                </c:pt>
                <c:pt idx="1247">
                  <c:v>1.6077906963775528E-2</c:v>
                </c:pt>
                <c:pt idx="1248">
                  <c:v>1.6073186849883608E-2</c:v>
                </c:pt>
                <c:pt idx="1249">
                  <c:v>1.6068444864017026E-2</c:v>
                </c:pt>
                <c:pt idx="1250">
                  <c:v>1.6063681006256582E-2</c:v>
                </c:pt>
                <c:pt idx="1251">
                  <c:v>1.6058895276681345E-2</c:v>
                </c:pt>
                <c:pt idx="1252">
                  <c:v>1.6054087675372117E-2</c:v>
                </c:pt>
                <c:pt idx="1253">
                  <c:v>1.6049258202407966E-2</c:v>
                </c:pt>
                <c:pt idx="1254">
                  <c:v>1.60444068578697E-2</c:v>
                </c:pt>
                <c:pt idx="1255">
                  <c:v>1.603953364183899E-2</c:v>
                </c:pt>
                <c:pt idx="1256">
                  <c:v>1.6034638554397511E-2</c:v>
                </c:pt>
                <c:pt idx="1257">
                  <c:v>1.6029721595625199E-2</c:v>
                </c:pt>
                <c:pt idx="1258">
                  <c:v>1.6024782765606333E-2</c:v>
                </c:pt>
                <c:pt idx="1259">
                  <c:v>1.6019822064423459E-2</c:v>
                </c:pt>
                <c:pt idx="1260">
                  <c:v>1.6014843778728666E-2</c:v>
                </c:pt>
                <c:pt idx="1261">
                  <c:v>1.6009841119739188E-2</c:v>
                </c:pt>
                <c:pt idx="1262">
                  <c:v>1.6004816590730067E-2</c:v>
                </c:pt>
                <c:pt idx="1263">
                  <c:v>1.5999730599491002E-2</c:v>
                </c:pt>
                <c:pt idx="1264">
                  <c:v>1.5994690493943999E-2</c:v>
                </c:pt>
                <c:pt idx="1265">
                  <c:v>1.5989598567522623E-2</c:v>
                </c:pt>
                <c:pt idx="1266">
                  <c:v>1.5984484770524592E-2</c:v>
                </c:pt>
                <c:pt idx="1267">
                  <c:v>1.5979349103035057E-2</c:v>
                </c:pt>
                <c:pt idx="1268">
                  <c:v>1.5974191565139163E-2</c:v>
                </c:pt>
                <c:pt idx="1269">
                  <c:v>1.5969012156923805E-2</c:v>
                </c:pt>
                <c:pt idx="1270">
                  <c:v>1.5963810878474125E-2</c:v>
                </c:pt>
                <c:pt idx="1271">
                  <c:v>1.5958587729878751E-2</c:v>
                </c:pt>
                <c:pt idx="1272">
                  <c:v>1.5953342711224568E-2</c:v>
                </c:pt>
                <c:pt idx="1273">
                  <c:v>1.5948103374287873E-2</c:v>
                </c:pt>
                <c:pt idx="1274">
                  <c:v>1.5942816411614501E-2</c:v>
                </c:pt>
                <c:pt idx="1275">
                  <c:v>1.5937507580027419E-2</c:v>
                </c:pt>
                <c:pt idx="1276">
                  <c:v>1.5929086977029477E-2</c:v>
                </c:pt>
                <c:pt idx="1277">
                  <c:v>1.5926057872533216E-2</c:v>
                </c:pt>
                <c:pt idx="1278">
                  <c:v>1.5921449872669337E-2</c:v>
                </c:pt>
                <c:pt idx="1279">
                  <c:v>1.5916053566312847E-2</c:v>
                </c:pt>
                <c:pt idx="1280">
                  <c:v>1.5910635391484487E-2</c:v>
                </c:pt>
                <c:pt idx="1281">
                  <c:v>1.5905195348275617E-2</c:v>
                </c:pt>
                <c:pt idx="1282">
                  <c:v>1.5899777009455995E-2</c:v>
                </c:pt>
                <c:pt idx="1283">
                  <c:v>1.5894295033362482E-2</c:v>
                </c:pt>
                <c:pt idx="1284">
                  <c:v>1.5888791190032059E-2</c:v>
                </c:pt>
                <c:pt idx="1285">
                  <c:v>1.5883265479554431E-2</c:v>
                </c:pt>
                <c:pt idx="1286">
                  <c:v>1.5877616143550662E-2</c:v>
                </c:pt>
                <c:pt idx="1287">
                  <c:v>1.5872043084723193E-2</c:v>
                </c:pt>
                <c:pt idx="1288">
                  <c:v>1.5866448157281849E-2</c:v>
                </c:pt>
                <c:pt idx="1289">
                  <c:v>1.5860831361319598E-2</c:v>
                </c:pt>
                <c:pt idx="1290">
                  <c:v>1.5855250897188231E-2</c:v>
                </c:pt>
                <c:pt idx="1291">
                  <c:v>1.5849592175170672E-2</c:v>
                </c:pt>
                <c:pt idx="1292">
                  <c:v>1.5843911585779268E-2</c:v>
                </c:pt>
                <c:pt idx="1293">
                  <c:v>1.5838209129110645E-2</c:v>
                </c:pt>
                <c:pt idx="1294">
                  <c:v>1.5832484805255276E-2</c:v>
                </c:pt>
                <c:pt idx="1295">
                  <c:v>1.5826671351901939E-2</c:v>
                </c:pt>
                <c:pt idx="1296">
                  <c:v>1.5820901478945128E-2</c:v>
                </c:pt>
                <c:pt idx="1297">
                  <c:v>1.5815109738228545E-2</c:v>
                </c:pt>
                <c:pt idx="1298">
                  <c:v>1.5809296129849493E-2</c:v>
                </c:pt>
                <c:pt idx="1299">
                  <c:v>1.5803460653903558E-2</c:v>
                </c:pt>
                <c:pt idx="1300">
                  <c:v>1.5797603310490651E-2</c:v>
                </c:pt>
                <c:pt idx="1301">
                  <c:v>1.5791724099706354E-2</c:v>
                </c:pt>
                <c:pt idx="1302">
                  <c:v>1.5785823021650585E-2</c:v>
                </c:pt>
                <c:pt idx="1303">
                  <c:v>1.577990007641979E-2</c:v>
                </c:pt>
                <c:pt idx="1304">
                  <c:v>1.5773955264114757E-2</c:v>
                </c:pt>
                <c:pt idx="1305">
                  <c:v>1.5767988584834535E-2</c:v>
                </c:pt>
                <c:pt idx="1306">
                  <c:v>1.5762000038678177E-2</c:v>
                </c:pt>
                <c:pt idx="1307">
                  <c:v>1.5755989625746473E-2</c:v>
                </c:pt>
                <c:pt idx="1308">
                  <c:v>1.5749957346138474E-2</c:v>
                </c:pt>
                <c:pt idx="1309">
                  <c:v>1.5743903199955837E-2</c:v>
                </c:pt>
                <c:pt idx="1310">
                  <c:v>1.573782718730022E-2</c:v>
                </c:pt>
                <c:pt idx="1311">
                  <c:v>1.5731729308272411E-2</c:v>
                </c:pt>
                <c:pt idx="1312">
                  <c:v>1.5725707796859719E-2</c:v>
                </c:pt>
                <c:pt idx="1313">
                  <c:v>1.5719568014876669E-2</c:v>
                </c:pt>
                <c:pt idx="1314">
                  <c:v>1.5713406367669266E-2</c:v>
                </c:pt>
                <c:pt idx="1315">
                  <c:v>1.5707222855339403E-2</c:v>
                </c:pt>
                <c:pt idx="1316">
                  <c:v>1.5700911921127634E-2</c:v>
                </c:pt>
                <c:pt idx="1317">
                  <c:v>1.5694682846018E-2</c:v>
                </c:pt>
                <c:pt idx="1318">
                  <c:v>1.5688431905257341E-2</c:v>
                </c:pt>
                <c:pt idx="1319">
                  <c:v>1.5682159098949044E-2</c:v>
                </c:pt>
                <c:pt idx="1320">
                  <c:v>1.5675864427199985E-2</c:v>
                </c:pt>
                <c:pt idx="1321">
                  <c:v>1.5669547890110953E-2</c:v>
                </c:pt>
                <c:pt idx="1322">
                  <c:v>1.5663209487792294E-2</c:v>
                </c:pt>
                <c:pt idx="1323">
                  <c:v>1.5656849220347404E-2</c:v>
                </c:pt>
                <c:pt idx="1324">
                  <c:v>1.5650467087882286E-2</c:v>
                </c:pt>
                <c:pt idx="1325">
                  <c:v>1.5644307076399855E-2</c:v>
                </c:pt>
                <c:pt idx="1326">
                  <c:v>1.5637884894733389E-2</c:v>
                </c:pt>
                <c:pt idx="1327">
                  <c:v>1.5631440850019551E-2</c:v>
                </c:pt>
                <c:pt idx="1328">
                  <c:v>1.5624974942363146E-2</c:v>
                </c:pt>
                <c:pt idx="1329">
                  <c:v>1.5618487171870754E-2</c:v>
                </c:pt>
                <c:pt idx="1330">
                  <c:v>1.561197753864807E-2</c:v>
                </c:pt>
                <c:pt idx="1331">
                  <c:v>1.5605446042800786E-2</c:v>
                </c:pt>
                <c:pt idx="1332">
                  <c:v>1.5598892684435484E-2</c:v>
                </c:pt>
                <c:pt idx="1333">
                  <c:v>1.5592317463660521E-2</c:v>
                </c:pt>
                <c:pt idx="1334">
                  <c:v>1.5585858695306279E-2</c:v>
                </c:pt>
                <c:pt idx="1335">
                  <c:v>1.5579241597485584E-2</c:v>
                </c:pt>
                <c:pt idx="1336">
                  <c:v>1.557260263839165E-2</c:v>
                </c:pt>
                <c:pt idx="1337">
                  <c:v>1.5565941818135845E-2</c:v>
                </c:pt>
                <c:pt idx="1338">
                  <c:v>1.5558821466668659E-2</c:v>
                </c:pt>
                <c:pt idx="1339">
                  <c:v>1.5552111371903614E-2</c:v>
                </c:pt>
                <c:pt idx="1340">
                  <c:v>1.5545379413869114E-2</c:v>
                </c:pt>
                <c:pt idx="1341">
                  <c:v>1.5538625592677241E-2</c:v>
                </c:pt>
                <c:pt idx="1342">
                  <c:v>1.5532003387830022E-2</c:v>
                </c:pt>
                <c:pt idx="1343">
                  <c:v>1.5525207694853764E-2</c:v>
                </c:pt>
                <c:pt idx="1344">
                  <c:v>1.5518390139863768E-2</c:v>
                </c:pt>
                <c:pt idx="1345">
                  <c:v>1.5511550722972471E-2</c:v>
                </c:pt>
                <c:pt idx="1346">
                  <c:v>1.550468944429231E-2</c:v>
                </c:pt>
                <c:pt idx="1347">
                  <c:v>1.5497643545549188E-2</c:v>
                </c:pt>
                <c:pt idx="1348">
                  <c:v>1.5490736685429697E-2</c:v>
                </c:pt>
                <c:pt idx="1349">
                  <c:v>1.5483807963065149E-2</c:v>
                </c:pt>
                <c:pt idx="1350">
                  <c:v>1.5476857378570236E-2</c:v>
                </c:pt>
                <c:pt idx="1351">
                  <c:v>1.5469884932063988E-2</c:v>
                </c:pt>
                <c:pt idx="1352">
                  <c:v>1.5462890623658495E-2</c:v>
                </c:pt>
                <c:pt idx="1353">
                  <c:v>1.5455874453473658E-2</c:v>
                </c:pt>
                <c:pt idx="1354">
                  <c:v>1.5448836421625037E-2</c:v>
                </c:pt>
                <c:pt idx="1355">
                  <c:v>1.5441776528232537E-2</c:v>
                </c:pt>
                <c:pt idx="1356">
                  <c:v>1.5434694773410848E-2</c:v>
                </c:pt>
                <c:pt idx="1357">
                  <c:v>1.5427591157279876E-2</c:v>
                </c:pt>
                <c:pt idx="1358">
                  <c:v>1.5420465679958653E-2</c:v>
                </c:pt>
                <c:pt idx="1359">
                  <c:v>1.5413318341565346E-2</c:v>
                </c:pt>
                <c:pt idx="1360">
                  <c:v>1.5406149142218993E-2</c:v>
                </c:pt>
                <c:pt idx="1361">
                  <c:v>1.5398958082042103E-2</c:v>
                </c:pt>
                <c:pt idx="1362">
                  <c:v>1.5391745161151103E-2</c:v>
                </c:pt>
                <c:pt idx="1363">
                  <c:v>1.5384510379668507E-2</c:v>
                </c:pt>
                <c:pt idx="1364">
                  <c:v>1.5377448193246409E-2</c:v>
                </c:pt>
                <c:pt idx="1365">
                  <c:v>1.5370171562538311E-2</c:v>
                </c:pt>
                <c:pt idx="1366">
                  <c:v>1.5362873072377945E-2</c:v>
                </c:pt>
                <c:pt idx="1367">
                  <c:v>1.5355552722884773E-2</c:v>
                </c:pt>
                <c:pt idx="1368">
                  <c:v>1.5348210514181775E-2</c:v>
                </c:pt>
                <c:pt idx="1369">
                  <c:v>1.5340642625130034E-2</c:v>
                </c:pt>
                <c:pt idx="1370">
                  <c:v>1.5333254822906142E-2</c:v>
                </c:pt>
                <c:pt idx="1371">
                  <c:v>1.5325845161066392E-2</c:v>
                </c:pt>
                <c:pt idx="1372">
                  <c:v>1.5318413639737643E-2</c:v>
                </c:pt>
                <c:pt idx="1373">
                  <c:v>1.5310960259038926E-2</c:v>
                </c:pt>
                <c:pt idx="1374">
                  <c:v>1.5303485019097967E-2</c:v>
                </c:pt>
                <c:pt idx="1375">
                  <c:v>1.5295987920039014E-2</c:v>
                </c:pt>
                <c:pt idx="1376">
                  <c:v>1.5288468961988053E-2</c:v>
                </c:pt>
                <c:pt idx="1377">
                  <c:v>1.528136565233762E-2</c:v>
                </c:pt>
                <c:pt idx="1378">
                  <c:v>1.5273806739704909E-2</c:v>
                </c:pt>
                <c:pt idx="1379">
                  <c:v>1.5266225969973846E-2</c:v>
                </c:pt>
                <c:pt idx="1380">
                  <c:v>1.5258623343266997E-2</c:v>
                </c:pt>
                <c:pt idx="1381">
                  <c:v>1.5250998859709597E-2</c:v>
                </c:pt>
                <c:pt idx="1382">
                  <c:v>1.5243352519425102E-2</c:v>
                </c:pt>
                <c:pt idx="1383">
                  <c:v>1.5235684322539633E-2</c:v>
                </c:pt>
                <c:pt idx="1384">
                  <c:v>1.5227994269177536E-2</c:v>
                </c:pt>
                <c:pt idx="1385">
                  <c:v>1.5220282359464044E-2</c:v>
                </c:pt>
                <c:pt idx="1386">
                  <c:v>1.5212784028012254E-2</c:v>
                </c:pt>
                <c:pt idx="1387">
                  <c:v>1.5205030294080485E-2</c:v>
                </c:pt>
                <c:pt idx="1388">
                  <c:v>1.5197254704921875E-2</c:v>
                </c:pt>
                <c:pt idx="1389">
                  <c:v>1.5189457260663062E-2</c:v>
                </c:pt>
                <c:pt idx="1390">
                  <c:v>1.5180908425998823E-2</c:v>
                </c:pt>
                <c:pt idx="1391">
                  <c:v>1.5173061598326843E-2</c:v>
                </c:pt>
                <c:pt idx="1392">
                  <c:v>1.5165192913715996E-2</c:v>
                </c:pt>
                <c:pt idx="1393">
                  <c:v>1.5157302372295744E-2</c:v>
                </c:pt>
                <c:pt idx="1394">
                  <c:v>1.5149389974199023E-2</c:v>
                </c:pt>
                <c:pt idx="1395">
                  <c:v>1.5141708549113014E-2</c:v>
                </c:pt>
                <c:pt idx="1396">
                  <c:v>1.5133754333057966E-2</c:v>
                </c:pt>
                <c:pt idx="1397">
                  <c:v>1.5125778261456096E-2</c:v>
                </c:pt>
                <c:pt idx="1398">
                  <c:v>1.5117780334439165E-2</c:v>
                </c:pt>
                <c:pt idx="1399">
                  <c:v>1.5109500138199465E-2</c:v>
                </c:pt>
                <c:pt idx="1400">
                  <c:v>1.5101456602830399E-2</c:v>
                </c:pt>
                <c:pt idx="1401">
                  <c:v>1.5093391211717161E-2</c:v>
                </c:pt>
                <c:pt idx="1402">
                  <c:v>1.5085303964993559E-2</c:v>
                </c:pt>
                <c:pt idx="1403">
                  <c:v>1.5077194862796003E-2</c:v>
                </c:pt>
                <c:pt idx="1404">
                  <c:v>1.5069063905259172E-2</c:v>
                </c:pt>
                <c:pt idx="1405">
                  <c:v>1.5060911092520344E-2</c:v>
                </c:pt>
                <c:pt idx="1406">
                  <c:v>1.5052736424713324E-2</c:v>
                </c:pt>
                <c:pt idx="1407">
                  <c:v>1.5044539901975398E-2</c:v>
                </c:pt>
                <c:pt idx="1408">
                  <c:v>1.5036321524445583E-2</c:v>
                </c:pt>
                <c:pt idx="1409">
                  <c:v>1.5028081292257682E-2</c:v>
                </c:pt>
                <c:pt idx="1410">
                  <c:v>1.5019819205551588E-2</c:v>
                </c:pt>
                <c:pt idx="1411">
                  <c:v>1.5011535264463711E-2</c:v>
                </c:pt>
                <c:pt idx="1412">
                  <c:v>1.5003229469136547E-2</c:v>
                </c:pt>
                <c:pt idx="1413">
                  <c:v>1.4994901819702162E-2</c:v>
                </c:pt>
                <c:pt idx="1414">
                  <c:v>1.4986552316305661E-2</c:v>
                </c:pt>
                <c:pt idx="1415">
                  <c:v>1.4978180959082583E-2</c:v>
                </c:pt>
                <c:pt idx="1416">
                  <c:v>1.4970080524417987E-2</c:v>
                </c:pt>
                <c:pt idx="1417">
                  <c:v>1.496166737001803E-2</c:v>
                </c:pt>
                <c:pt idx="1418">
                  <c:v>1.4953232362912933E-2</c:v>
                </c:pt>
                <c:pt idx="1419">
                  <c:v>1.494477550324412E-2</c:v>
                </c:pt>
                <c:pt idx="1420">
                  <c:v>1.4936296791147748E-2</c:v>
                </c:pt>
                <c:pt idx="1421">
                  <c:v>1.4927493893270185E-2</c:v>
                </c:pt>
                <c:pt idx="1422">
                  <c:v>1.4918969563205757E-2</c:v>
                </c:pt>
                <c:pt idx="1423">
                  <c:v>1.4910423380443419E-2</c:v>
                </c:pt>
                <c:pt idx="1424">
                  <c:v>1.4901855345129137E-2</c:v>
                </c:pt>
                <c:pt idx="1425">
                  <c:v>1.4893265457402801E-2</c:v>
                </c:pt>
                <c:pt idx="1426">
                  <c:v>1.4884653717409513E-2</c:v>
                </c:pt>
                <c:pt idx="1427">
                  <c:v>1.4876020125293505E-2</c:v>
                </c:pt>
                <c:pt idx="1428">
                  <c:v>1.4867364681196404E-2</c:v>
                </c:pt>
                <c:pt idx="1429">
                  <c:v>1.4859322515787809E-2</c:v>
                </c:pt>
                <c:pt idx="1430">
                  <c:v>1.4850627206116407E-2</c:v>
                </c:pt>
                <c:pt idx="1431">
                  <c:v>1.4841910046260232E-2</c:v>
                </c:pt>
                <c:pt idx="1432">
                  <c:v>1.4833171036359616E-2</c:v>
                </c:pt>
                <c:pt idx="1433">
                  <c:v>1.4822831417849392E-2</c:v>
                </c:pt>
                <c:pt idx="1434">
                  <c:v>1.4814371010562155E-2</c:v>
                </c:pt>
                <c:pt idx="1435">
                  <c:v>1.4805563330028804E-2</c:v>
                </c:pt>
                <c:pt idx="1436">
                  <c:v>1.4796733800046091E-2</c:v>
                </c:pt>
                <c:pt idx="1437">
                  <c:v>1.4787882420757903E-2</c:v>
                </c:pt>
                <c:pt idx="1438">
                  <c:v>1.4779344038626246E-2</c:v>
                </c:pt>
                <c:pt idx="1439">
                  <c:v>1.4770450886123299E-2</c:v>
                </c:pt>
                <c:pt idx="1440">
                  <c:v>1.4761535904662832E-2</c:v>
                </c:pt>
                <c:pt idx="1441">
                  <c:v>1.475260079059218E-2</c:v>
                </c:pt>
                <c:pt idx="1442">
                  <c:v>1.4741946758645482E-2</c:v>
                </c:pt>
                <c:pt idx="1443">
                  <c:v>1.4732985490649742E-2</c:v>
                </c:pt>
                <c:pt idx="1444">
                  <c:v>1.4724021127665906E-2</c:v>
                </c:pt>
                <c:pt idx="1445">
                  <c:v>1.4710616042010545E-2</c:v>
                </c:pt>
                <c:pt idx="1446">
                  <c:v>1.4707115410156579E-2</c:v>
                </c:pt>
                <c:pt idx="1447">
                  <c:v>1.4698164903487566E-2</c:v>
                </c:pt>
                <c:pt idx="1448">
                  <c:v>1.4689229216078219E-2</c:v>
                </c:pt>
                <c:pt idx="1449">
                  <c:v>1.4680313190782569E-2</c:v>
                </c:pt>
                <c:pt idx="1450">
                  <c:v>1.4671421670409843E-2</c:v>
                </c:pt>
                <c:pt idx="1451">
                  <c:v>1.4661577799852759E-2</c:v>
                </c:pt>
                <c:pt idx="1452">
                  <c:v>1.4652757478266457E-2</c:v>
                </c:pt>
                <c:pt idx="1453">
                  <c:v>1.4643976115552026E-2</c:v>
                </c:pt>
                <c:pt idx="1454">
                  <c:v>1.4635235805275641E-2</c:v>
                </c:pt>
                <c:pt idx="1455">
                  <c:v>1.4626536608674275E-2</c:v>
                </c:pt>
                <c:pt idx="1456">
                  <c:v>1.4617878525468149E-2</c:v>
                </c:pt>
                <c:pt idx="1457">
                  <c:v>1.4609261555379189E-2</c:v>
                </c:pt>
                <c:pt idx="1458">
                  <c:v>1.460068569813187E-2</c:v>
                </c:pt>
                <c:pt idx="1459">
                  <c:v>1.4593070702096958E-2</c:v>
                </c:pt>
                <c:pt idx="1460">
                  <c:v>1.4583657321062614E-2</c:v>
                </c:pt>
                <c:pt idx="1461">
                  <c:v>1.4575204800693877E-2</c:v>
                </c:pt>
                <c:pt idx="1462">
                  <c:v>1.4566793392074041E-2</c:v>
                </c:pt>
                <c:pt idx="1463">
                  <c:v>1.4558423094934382E-2</c:v>
                </c:pt>
                <c:pt idx="1464">
                  <c:v>1.4550093909004479E-2</c:v>
                </c:pt>
                <c:pt idx="1465">
                  <c:v>1.4541805834018161E-2</c:v>
                </c:pt>
                <c:pt idx="1466">
                  <c:v>1.4533558869709258E-2</c:v>
                </c:pt>
                <c:pt idx="1467">
                  <c:v>1.4525353015815853E-2</c:v>
                </c:pt>
                <c:pt idx="1468">
                  <c:v>1.451803782043962E-2</c:v>
                </c:pt>
                <c:pt idx="1469">
                  <c:v>1.4509906359142791E-2</c:v>
                </c:pt>
                <c:pt idx="1470">
                  <c:v>1.4501816002020973E-2</c:v>
                </c:pt>
                <c:pt idx="1471">
                  <c:v>1.4493766748823812E-2</c:v>
                </c:pt>
                <c:pt idx="1472">
                  <c:v>1.4484940393375036E-2</c:v>
                </c:pt>
                <c:pt idx="1473">
                  <c:v>1.4476981196478585E-2</c:v>
                </c:pt>
                <c:pt idx="1474">
                  <c:v>1.4469063108182063E-2</c:v>
                </c:pt>
                <c:pt idx="1475">
                  <c:v>1.4461186128230354E-2</c:v>
                </c:pt>
                <c:pt idx="1476">
                  <c:v>1.4453350256370045E-2</c:v>
                </c:pt>
                <c:pt idx="1477">
                  <c:v>1.4445555492350272E-2</c:v>
                </c:pt>
                <c:pt idx="1478">
                  <c:v>1.4437801835921872E-2</c:v>
                </c:pt>
                <c:pt idx="1479">
                  <c:v>1.4430089286835682E-2</c:v>
                </c:pt>
                <c:pt idx="1480">
                  <c:v>1.4422417844844243E-2</c:v>
                </c:pt>
                <c:pt idx="1481">
                  <c:v>1.4415534878340549E-2</c:v>
                </c:pt>
                <c:pt idx="1482">
                  <c:v>1.4407937752097286E-2</c:v>
                </c:pt>
                <c:pt idx="1483">
                  <c:v>1.4400381726864971E-2</c:v>
                </c:pt>
                <c:pt idx="1484">
                  <c:v>1.4392866802406428E-2</c:v>
                </c:pt>
                <c:pt idx="1485">
                  <c:v>1.4382202492837382E-2</c:v>
                </c:pt>
                <c:pt idx="1486">
                  <c:v>1.4374787383578462E-2</c:v>
                </c:pt>
                <c:pt idx="1487">
                  <c:v>1.4367180960257271E-2</c:v>
                </c:pt>
                <c:pt idx="1488">
                  <c:v>1.436008046477304E-2</c:v>
                </c:pt>
                <c:pt idx="1489">
                  <c:v>1.4352788654769759E-2</c:v>
                </c:pt>
                <c:pt idx="1490">
                  <c:v>1.4345537944064511E-2</c:v>
                </c:pt>
                <c:pt idx="1491">
                  <c:v>1.4338328332429782E-2</c:v>
                </c:pt>
                <c:pt idx="1492">
                  <c:v>1.4331159819645093E-2</c:v>
                </c:pt>
                <c:pt idx="1493">
                  <c:v>1.4324032405485564E-2</c:v>
                </c:pt>
                <c:pt idx="1494">
                  <c:v>1.4316732218981502E-2</c:v>
                </c:pt>
                <c:pt idx="1495">
                  <c:v>1.4309689657488396E-2</c:v>
                </c:pt>
                <c:pt idx="1496">
                  <c:v>1.4302688195711094E-2</c:v>
                </c:pt>
                <c:pt idx="1497">
                  <c:v>1.4295727833433249E-2</c:v>
                </c:pt>
                <c:pt idx="1498">
                  <c:v>1.4289011806375686E-2</c:v>
                </c:pt>
                <c:pt idx="1499">
                  <c:v>1.4282130979368613E-2</c:v>
                </c:pt>
                <c:pt idx="1500">
                  <c:v>1.4273344589339878E-2</c:v>
                </c:pt>
                <c:pt idx="1501">
                  <c:v>1.4268492616454872E-2</c:v>
                </c:pt>
                <c:pt idx="1502">
                  <c:v>1.4261735080123052E-2</c:v>
                </c:pt>
                <c:pt idx="1503">
                  <c:v>1.4253872982036335E-2</c:v>
                </c:pt>
                <c:pt idx="1504">
                  <c:v>1.4247206181322244E-2</c:v>
                </c:pt>
                <c:pt idx="1505">
                  <c:v>1.4240580478362916E-2</c:v>
                </c:pt>
                <c:pt idx="1506">
                  <c:v>1.4233995872954168E-2</c:v>
                </c:pt>
                <c:pt idx="1507">
                  <c:v>1.4227452364883996E-2</c:v>
                </c:pt>
                <c:pt idx="1508">
                  <c:v>1.4220949953952559E-2</c:v>
                </c:pt>
                <c:pt idx="1509">
                  <c:v>1.42144886399522E-2</c:v>
                </c:pt>
                <c:pt idx="1510">
                  <c:v>1.4208068422680468E-2</c:v>
                </c:pt>
                <c:pt idx="1511">
                  <c:v>1.4201689301936656E-2</c:v>
                </c:pt>
                <c:pt idx="1512">
                  <c:v>1.4195351277520923E-2</c:v>
                </c:pt>
                <c:pt idx="1513">
                  <c:v>1.4189054349233432E-2</c:v>
                </c:pt>
                <c:pt idx="1514">
                  <c:v>1.4182798516876077E-2</c:v>
                </c:pt>
                <c:pt idx="1515">
                  <c:v>1.41765837802551E-2</c:v>
                </c:pt>
                <c:pt idx="1516">
                  <c:v>1.4170410139172401E-2</c:v>
                </c:pt>
                <c:pt idx="1517">
                  <c:v>1.4164277593435087E-2</c:v>
                </c:pt>
                <c:pt idx="1518">
                  <c:v>1.4158186142852011E-2</c:v>
                </c:pt>
                <c:pt idx="1519">
                  <c:v>1.4152135787230282E-2</c:v>
                </c:pt>
                <c:pt idx="1520">
                  <c:v>1.4146270389906079E-2</c:v>
                </c:pt>
                <c:pt idx="1521">
                  <c:v>1.4140299522491517E-2</c:v>
                </c:pt>
                <c:pt idx="1522">
                  <c:v>1.4134369747778945E-2</c:v>
                </c:pt>
                <c:pt idx="1523">
                  <c:v>1.412848106558038E-2</c:v>
                </c:pt>
                <c:pt idx="1524">
                  <c:v>1.4122500426952329E-2</c:v>
                </c:pt>
                <c:pt idx="1525">
                  <c:v>1.4116696637160092E-2</c:v>
                </c:pt>
                <c:pt idx="1526">
                  <c:v>1.4110933941027635E-2</c:v>
                </c:pt>
                <c:pt idx="1527">
                  <c:v>1.4105212338374232E-2</c:v>
                </c:pt>
                <c:pt idx="1528">
                  <c:v>1.4099531829020028E-2</c:v>
                </c:pt>
                <c:pt idx="1529">
                  <c:v>1.4093892412786904E-2</c:v>
                </c:pt>
                <c:pt idx="1530">
                  <c:v>1.408829408949761E-2</c:v>
                </c:pt>
                <c:pt idx="1531">
                  <c:v>1.4082736858977502E-2</c:v>
                </c:pt>
                <c:pt idx="1532">
                  <c:v>1.4077220721050202E-2</c:v>
                </c:pt>
                <c:pt idx="1533">
                  <c:v>1.4071963165997126E-2</c:v>
                </c:pt>
                <c:pt idx="1534">
                  <c:v>1.406652376687223E-2</c:v>
                </c:pt>
                <c:pt idx="1535">
                  <c:v>1.4061125456484191E-2</c:v>
                </c:pt>
                <c:pt idx="1536">
                  <c:v>1.4055768234665145E-2</c:v>
                </c:pt>
                <c:pt idx="1537">
                  <c:v>1.4049696007763401E-2</c:v>
                </c:pt>
                <c:pt idx="1538">
                  <c:v>1.4044426832324319E-2</c:v>
                </c:pt>
                <c:pt idx="1539">
                  <c:v>1.4039198744940862E-2</c:v>
                </c:pt>
                <c:pt idx="1540">
                  <c:v>1.4034011745453157E-2</c:v>
                </c:pt>
                <c:pt idx="1541">
                  <c:v>1.4028865833700443E-2</c:v>
                </c:pt>
                <c:pt idx="1542">
                  <c:v>1.4023845185519709E-2</c:v>
                </c:pt>
                <c:pt idx="1543">
                  <c:v>1.4018778710956676E-2</c:v>
                </c:pt>
                <c:pt idx="1544">
                  <c:v>1.4013753322003164E-2</c:v>
                </c:pt>
                <c:pt idx="1545">
                  <c:v>1.4008769018506487E-2</c:v>
                </c:pt>
                <c:pt idx="1546">
                  <c:v>1.4003606935089355E-2</c:v>
                </c:pt>
                <c:pt idx="1547">
                  <c:v>1.3998713036023361E-2</c:v>
                </c:pt>
                <c:pt idx="1548">
                  <c:v>1.3993860226913152E-2</c:v>
                </c:pt>
                <c:pt idx="1549">
                  <c:v>1.3989048507607545E-2</c:v>
                </c:pt>
                <c:pt idx="1550">
                  <c:v>1.3984339583840899E-2</c:v>
                </c:pt>
                <c:pt idx="1551">
                  <c:v>1.3978934604658436E-2</c:v>
                </c:pt>
                <c:pt idx="1552">
                  <c:v>1.3974249270405994E-2</c:v>
                </c:pt>
                <c:pt idx="1553">
                  <c:v>1.3969605023698347E-2</c:v>
                </c:pt>
                <c:pt idx="1554">
                  <c:v>1.3964951568169797E-2</c:v>
                </c:pt>
                <c:pt idx="1555">
                  <c:v>1.3960392254397188E-2</c:v>
                </c:pt>
                <c:pt idx="1556">
                  <c:v>1.3955874029377847E-2</c:v>
                </c:pt>
                <c:pt idx="1557">
                  <c:v>1.395139689297102E-2</c:v>
                </c:pt>
                <c:pt idx="1558">
                  <c:v>1.3946960845035078E-2</c:v>
                </c:pt>
                <c:pt idx="1559">
                  <c:v>1.3942565885431872E-2</c:v>
                </c:pt>
                <c:pt idx="1560">
                  <c:v>1.3938212014022384E-2</c:v>
                </c:pt>
                <c:pt idx="1561">
                  <c:v>1.3933899230671069E-2</c:v>
                </c:pt>
                <c:pt idx="1562">
                  <c:v>1.3929627535242383E-2</c:v>
                </c:pt>
                <c:pt idx="1563">
                  <c:v>1.3925396927601651E-2</c:v>
                </c:pt>
                <c:pt idx="1564">
                  <c:v>1.3921207407615937E-2</c:v>
                </c:pt>
                <c:pt idx="1565">
                  <c:v>1.3917058975154911E-2</c:v>
                </c:pt>
                <c:pt idx="1566">
                  <c:v>1.3912951630087371E-2</c:v>
                </c:pt>
                <c:pt idx="1567">
                  <c:v>1.390888537228299E-2</c:v>
                </c:pt>
                <c:pt idx="1568">
                  <c:v>1.3904860201618385E-2</c:v>
                </c:pt>
                <c:pt idx="1569">
                  <c:v>1.3900876117963227E-2</c:v>
                </c:pt>
                <c:pt idx="1570">
                  <c:v>1.3896933121195004E-2</c:v>
                </c:pt>
                <c:pt idx="1571">
                  <c:v>1.3893031211187732E-2</c:v>
                </c:pt>
                <c:pt idx="1572">
                  <c:v>1.388917078568366E-2</c:v>
                </c:pt>
                <c:pt idx="1573">
                  <c:v>1.3885348261294334E-2</c:v>
                </c:pt>
                <c:pt idx="1574">
                  <c:v>1.3881566821690691E-2</c:v>
                </c:pt>
                <c:pt idx="1575">
                  <c:v>1.3877826466755902E-2</c:v>
                </c:pt>
                <c:pt idx="1576">
                  <c:v>1.387417184418189E-2</c:v>
                </c:pt>
                <c:pt idx="1577">
                  <c:v>1.3870482566380751E-2</c:v>
                </c:pt>
                <c:pt idx="1578">
                  <c:v>1.3866868260352373E-2</c:v>
                </c:pt>
                <c:pt idx="1579">
                  <c:v>1.3863295040140481E-2</c:v>
                </c:pt>
                <c:pt idx="1580">
                  <c:v>1.385976290563647E-2</c:v>
                </c:pt>
                <c:pt idx="1581">
                  <c:v>1.3856271856727385E-2</c:v>
                </c:pt>
                <c:pt idx="1582">
                  <c:v>1.3852821893304617E-2</c:v>
                </c:pt>
                <c:pt idx="1583">
                  <c:v>1.3849413015257821E-2</c:v>
                </c:pt>
                <c:pt idx="1584">
                  <c:v>1.3846045222482731E-2</c:v>
                </c:pt>
                <c:pt idx="1585">
                  <c:v>1.3842646852151752E-2</c:v>
                </c:pt>
                <c:pt idx="1586">
                  <c:v>1.3839355612976334E-2</c:v>
                </c:pt>
                <c:pt idx="1587">
                  <c:v>1.3836105455559355E-2</c:v>
                </c:pt>
                <c:pt idx="1588">
                  <c:v>1.3832896379802229E-2</c:v>
                </c:pt>
                <c:pt idx="1589">
                  <c:v>1.3829728385605478E-2</c:v>
                </c:pt>
                <c:pt idx="1590">
                  <c:v>1.3826601472873179E-2</c:v>
                </c:pt>
                <c:pt idx="1591">
                  <c:v>1.3823515641508521E-2</c:v>
                </c:pt>
                <c:pt idx="1592">
                  <c:v>1.382047089141647E-2</c:v>
                </c:pt>
                <c:pt idx="1593">
                  <c:v>1.3817467222504654E-2</c:v>
                </c:pt>
                <c:pt idx="1594">
                  <c:v>1.3814443876941827E-2</c:v>
                </c:pt>
                <c:pt idx="1595">
                  <c:v>1.3811519547779183E-2</c:v>
                </c:pt>
                <c:pt idx="1596">
                  <c:v>1.3808636297933566E-2</c:v>
                </c:pt>
                <c:pt idx="1597">
                  <c:v>1.3805794127316058E-2</c:v>
                </c:pt>
                <c:pt idx="1598">
                  <c:v>1.3803210020195786E-2</c:v>
                </c:pt>
                <c:pt idx="1599">
                  <c:v>1.3800458494518919E-2</c:v>
                </c:pt>
                <c:pt idx="1600">
                  <c:v>1.379774805257325E-2</c:v>
                </c:pt>
                <c:pt idx="1601">
                  <c:v>1.3795078694277976E-2</c:v>
                </c:pt>
                <c:pt idx="1602">
                  <c:v>1.3792366493852744E-2</c:v>
                </c:pt>
                <c:pt idx="1603">
                  <c:v>1.3789776467126905E-2</c:v>
                </c:pt>
                <c:pt idx="1604">
                  <c:v>1.3787227522220334E-2</c:v>
                </c:pt>
                <c:pt idx="1605">
                  <c:v>1.3784719659051333E-2</c:v>
                </c:pt>
                <c:pt idx="1606">
                  <c:v>1.3782252877543482E-2</c:v>
                </c:pt>
                <c:pt idx="1607">
                  <c:v>1.3779925296535283E-2</c:v>
                </c:pt>
                <c:pt idx="1608">
                  <c:v>1.3777543521509381E-2</c:v>
                </c:pt>
                <c:pt idx="1609">
                  <c:v>1.3775202829499599E-2</c:v>
                </c:pt>
                <c:pt idx="1610">
                  <c:v>1.3772903220428607E-2</c:v>
                </c:pt>
                <c:pt idx="1611">
                  <c:v>1.3770644694228633E-2</c:v>
                </c:pt>
                <c:pt idx="1612">
                  <c:v>1.3768427250826692E-2</c:v>
                </c:pt>
                <c:pt idx="1613">
                  <c:v>1.3766250890153275E-2</c:v>
                </c:pt>
                <c:pt idx="1614">
                  <c:v>1.3764115612141479E-2</c:v>
                </c:pt>
                <c:pt idx="1615">
                  <c:v>1.3762021416722661E-2</c:v>
                </c:pt>
                <c:pt idx="1616">
                  <c:v>1.3759968303831659E-2</c:v>
                </c:pt>
                <c:pt idx="1617">
                  <c:v>1.3757956273403305E-2</c:v>
                </c:pt>
                <c:pt idx="1618">
                  <c:v>1.375598532537591E-2</c:v>
                </c:pt>
                <c:pt idx="1619">
                  <c:v>1.3754055459686047E-2</c:v>
                </c:pt>
                <c:pt idx="1620">
                  <c:v>1.3752166676273766E-2</c:v>
                </c:pt>
                <c:pt idx="1621">
                  <c:v>1.375031897507998E-2</c:v>
                </c:pt>
                <c:pt idx="1622">
                  <c:v>1.3748512356047345E-2</c:v>
                </c:pt>
                <c:pt idx="1623">
                  <c:v>1.3746746819117648E-2</c:v>
                </c:pt>
                <c:pt idx="1624">
                  <c:v>1.3744875693328964E-2</c:v>
                </c:pt>
                <c:pt idx="1625">
                  <c:v>1.3743189450286623E-2</c:v>
                </c:pt>
                <c:pt idx="1626">
                  <c:v>1.3741544287614158E-2</c:v>
                </c:pt>
                <c:pt idx="1627">
                  <c:v>1.3739940205263253E-2</c:v>
                </c:pt>
                <c:pt idx="1628">
                  <c:v>1.3738535364132977E-2</c:v>
                </c:pt>
                <c:pt idx="1629">
                  <c:v>1.3737016318707877E-2</c:v>
                </c:pt>
                <c:pt idx="1630">
                  <c:v>1.3735538355024265E-2</c:v>
                </c:pt>
                <c:pt idx="1631">
                  <c:v>1.3734101473038697E-2</c:v>
                </c:pt>
                <c:pt idx="1632">
                  <c:v>1.3732705672705122E-2</c:v>
                </c:pt>
                <c:pt idx="1633">
                  <c:v>1.3731350953977489E-2</c:v>
                </c:pt>
                <c:pt idx="1634">
                  <c:v>1.3730037316815833E-2</c:v>
                </c:pt>
                <c:pt idx="1635">
                  <c:v>1.3728764761178444E-2</c:v>
                </c:pt>
                <c:pt idx="1636">
                  <c:v>1.372753328702362E-2</c:v>
                </c:pt>
                <c:pt idx="1637">
                  <c:v>1.3725974964011733E-2</c:v>
                </c:pt>
                <c:pt idx="1638">
                  <c:v>1.3724819871874239E-2</c:v>
                </c:pt>
                <c:pt idx="1639">
                  <c:v>1.3723705857980661E-2</c:v>
                </c:pt>
                <c:pt idx="1640">
                  <c:v>1.3722632922295475E-2</c:v>
                </c:pt>
                <c:pt idx="1641">
                  <c:v>1.3721601064785816E-2</c:v>
                </c:pt>
                <c:pt idx="1642">
                  <c:v>1.3720610285421486E-2</c:v>
                </c:pt>
                <c:pt idx="1643">
                  <c:v>1.3719660584168736E-2</c:v>
                </c:pt>
                <c:pt idx="1644">
                  <c:v>1.3718751961000031E-2</c:v>
                </c:pt>
                <c:pt idx="1645">
                  <c:v>1.3717884415888726E-2</c:v>
                </c:pt>
                <c:pt idx="1646">
                  <c:v>1.3716848336851899E-2</c:v>
                </c:pt>
                <c:pt idx="1647">
                  <c:v>1.3716060043618064E-2</c:v>
                </c:pt>
                <c:pt idx="1648">
                  <c:v>1.3715312826803798E-2</c:v>
                </c:pt>
                <c:pt idx="1649">
                  <c:v>1.3714606686383055E-2</c:v>
                </c:pt>
                <c:pt idx="1650">
                  <c:v>1.3714606185384049E-2</c:v>
                </c:pt>
                <c:pt idx="1651">
                  <c:v>1.3713990929573401E-2</c:v>
                </c:pt>
                <c:pt idx="1652">
                  <c:v>1.3713416754783081E-2</c:v>
                </c:pt>
                <c:pt idx="1653">
                  <c:v>1.3712883660994837E-2</c:v>
                </c:pt>
                <c:pt idx="1654">
                  <c:v>1.3712158191333425E-2</c:v>
                </c:pt>
                <c:pt idx="1655">
                  <c:v>1.3711704342403997E-2</c:v>
                </c:pt>
                <c:pt idx="1656">
                  <c:v>1.3711291572869402E-2</c:v>
                </c:pt>
                <c:pt idx="1657">
                  <c:v>1.3710919882714704E-2</c:v>
                </c:pt>
                <c:pt idx="1658">
                  <c:v>1.3710589271931119E-2</c:v>
                </c:pt>
                <c:pt idx="1659">
                  <c:v>1.3710547798465348E-2</c:v>
                </c:pt>
                <c:pt idx="1660">
                  <c:v>1.3710302271296318E-2</c:v>
                </c:pt>
                <c:pt idx="1661">
                  <c:v>1.3710097825032052E-2</c:v>
                </c:pt>
                <c:pt idx="1662">
                  <c:v>1.3709934459665599E-2</c:v>
                </c:pt>
                <c:pt idx="1663">
                  <c:v>1.3709812175191748E-2</c:v>
                </c:pt>
                <c:pt idx="1664">
                  <c:v>1.3709730971607891E-2</c:v>
                </c:pt>
                <c:pt idx="1665">
                  <c:v>1.3709690848909684E-2</c:v>
                </c:pt>
                <c:pt idx="1666">
                  <c:v>1.3709691807097127E-2</c:v>
                </c:pt>
                <c:pt idx="1667">
                  <c:v>1.3709733846170219E-2</c:v>
                </c:pt>
                <c:pt idx="1668">
                  <c:v>1.370981696612983E-2</c:v>
                </c:pt>
                <c:pt idx="1669">
                  <c:v>1.3709941166979435E-2</c:v>
                </c:pt>
                <c:pt idx="1670">
                  <c:v>1.3710106448720772E-2</c:v>
                </c:pt>
                <c:pt idx="1671">
                  <c:v>1.3710312811361661E-2</c:v>
                </c:pt>
                <c:pt idx="1672">
                  <c:v>1.3710560254906445E-2</c:v>
                </c:pt>
                <c:pt idx="1673">
                  <c:v>1.3710848779363814E-2</c:v>
                </c:pt>
                <c:pt idx="1674">
                  <c:v>1.3711178384742456E-2</c:v>
                </c:pt>
                <c:pt idx="1675">
                  <c:v>1.3711549071054537E-2</c:v>
                </c:pt>
                <c:pt idx="1676">
                  <c:v>1.37116628445685E-2</c:v>
                </c:pt>
                <c:pt idx="1677">
                  <c:v>1.3712112741318684E-2</c:v>
                </c:pt>
                <c:pt idx="1678">
                  <c:v>1.3712603717475118E-2</c:v>
                </c:pt>
                <c:pt idx="1679">
                  <c:v>1.3713135773054493E-2</c:v>
                </c:pt>
                <c:pt idx="1680">
                  <c:v>1.3713708908072619E-2</c:v>
                </c:pt>
                <c:pt idx="1681">
                  <c:v>1.3714635889235601E-2</c:v>
                </c:pt>
                <c:pt idx="1682">
                  <c:v>1.3715294142470129E-2</c:v>
                </c:pt>
                <c:pt idx="1683">
                  <c:v>1.3715993476763213E-2</c:v>
                </c:pt>
                <c:pt idx="1684">
                  <c:v>1.3716733892141788E-2</c:v>
                </c:pt>
                <c:pt idx="1685">
                  <c:v>1.3717515388624965E-2</c:v>
                </c:pt>
                <c:pt idx="1686">
                  <c:v>1.3718337966240553E-2</c:v>
                </c:pt>
                <c:pt idx="1687">
                  <c:v>1.371920162501114E-2</c:v>
                </c:pt>
                <c:pt idx="1688">
                  <c:v>1.3720106364966268E-2</c:v>
                </c:pt>
                <c:pt idx="1689">
                  <c:v>1.3720715701333383E-2</c:v>
                </c:pt>
                <c:pt idx="1690">
                  <c:v>1.3721699631927528E-2</c:v>
                </c:pt>
                <c:pt idx="1691">
                  <c:v>1.3722724642225705E-2</c:v>
                </c:pt>
                <c:pt idx="1692">
                  <c:v>1.3723790732262174E-2</c:v>
                </c:pt>
                <c:pt idx="1693">
                  <c:v>1.3724897902066803E-2</c:v>
                </c:pt>
                <c:pt idx="1694">
                  <c:v>1.3726046151675605E-2</c:v>
                </c:pt>
                <c:pt idx="1695">
                  <c:v>1.3727235481125475E-2</c:v>
                </c:pt>
                <c:pt idx="1696">
                  <c:v>1.3728465890449791E-2</c:v>
                </c:pt>
                <c:pt idx="1697">
                  <c:v>1.3729737379688961E-2</c:v>
                </c:pt>
                <c:pt idx="1698">
                  <c:v>1.3730686955085503E-2</c:v>
                </c:pt>
                <c:pt idx="1699">
                  <c:v>1.3732037618555459E-2</c:v>
                </c:pt>
                <c:pt idx="1700">
                  <c:v>1.3733429346306281E-2</c:v>
                </c:pt>
                <c:pt idx="1701">
                  <c:v>1.3734860888548361E-2</c:v>
                </c:pt>
                <c:pt idx="1702">
                  <c:v>1.3737076151819386E-2</c:v>
                </c:pt>
                <c:pt idx="1703">
                  <c:v>1.3738580128593811E-2</c:v>
                </c:pt>
                <c:pt idx="1704">
                  <c:v>1.3740112439239137E-2</c:v>
                </c:pt>
                <c:pt idx="1705">
                  <c:v>1.3741669514372314E-2</c:v>
                </c:pt>
                <c:pt idx="1706">
                  <c:v>1.3743247784606817E-2</c:v>
                </c:pt>
                <c:pt idx="1707">
                  <c:v>1.3744465134077314E-2</c:v>
                </c:pt>
                <c:pt idx="1708">
                  <c:v>1.3746074935380562E-2</c:v>
                </c:pt>
                <c:pt idx="1709">
                  <c:v>1.3747695402486996E-2</c:v>
                </c:pt>
                <c:pt idx="1710">
                  <c:v>1.37493229268985E-2</c:v>
                </c:pt>
                <c:pt idx="1711">
                  <c:v>1.3752321462920132E-2</c:v>
                </c:pt>
                <c:pt idx="1712">
                  <c:v>1.3753950950565374E-2</c:v>
                </c:pt>
                <c:pt idx="1713">
                  <c:v>1.3755576213305082E-2</c:v>
                </c:pt>
                <c:pt idx="1714">
                  <c:v>1.3757195690997459E-2</c:v>
                </c:pt>
                <c:pt idx="1715">
                  <c:v>1.3758809337804271E-2</c:v>
                </c:pt>
                <c:pt idx="1716">
                  <c:v>1.3760417153713617E-2</c:v>
                </c:pt>
                <c:pt idx="1717">
                  <c:v>1.3762019138719545E-2</c:v>
                </c:pt>
                <c:pt idx="1718">
                  <c:v>1.3763615292815248E-2</c:v>
                </c:pt>
                <c:pt idx="1719">
                  <c:v>1.376407958472913E-2</c:v>
                </c:pt>
                <c:pt idx="1720">
                  <c:v>1.3766790108244524E-2</c:v>
                </c:pt>
                <c:pt idx="1721">
                  <c:v>1.376836876956449E-2</c:v>
                </c:pt>
                <c:pt idx="1722">
                  <c:v>1.3769941599945318E-2</c:v>
                </c:pt>
                <c:pt idx="1723">
                  <c:v>1.3771508599377659E-2</c:v>
                </c:pt>
                <c:pt idx="1724">
                  <c:v>1.3773069767857256E-2</c:v>
                </c:pt>
                <c:pt idx="1725">
                  <c:v>1.3774625105375608E-2</c:v>
                </c:pt>
                <c:pt idx="1726">
                  <c:v>1.3776174611925911E-2</c:v>
                </c:pt>
                <c:pt idx="1727">
                  <c:v>1.3777718287501363E-2</c:v>
                </c:pt>
                <c:pt idx="1728">
                  <c:v>1.3778139735435254E-2</c:v>
                </c:pt>
                <c:pt idx="1729">
                  <c:v>1.3779672822798687E-2</c:v>
                </c:pt>
                <c:pt idx="1730">
                  <c:v>1.3781200079814926E-2</c:v>
                </c:pt>
                <c:pt idx="1731">
                  <c:v>1.3782721506480456E-2</c:v>
                </c:pt>
                <c:pt idx="1732">
                  <c:v>1.3785349200504978E-2</c:v>
                </c:pt>
                <c:pt idx="1733">
                  <c:v>1.37868578900825E-2</c:v>
                </c:pt>
                <c:pt idx="1734">
                  <c:v>1.3788360748636699E-2</c:v>
                </c:pt>
                <c:pt idx="1735">
                  <c:v>1.378985777616077E-2</c:v>
                </c:pt>
                <c:pt idx="1736">
                  <c:v>1.3791348972646212E-2</c:v>
                </c:pt>
                <c:pt idx="1737">
                  <c:v>1.3792834338088771E-2</c:v>
                </c:pt>
                <c:pt idx="1738">
                  <c:v>1.3794313872479093E-2</c:v>
                </c:pt>
                <c:pt idx="1739">
                  <c:v>1.3795787575812075E-2</c:v>
                </c:pt>
                <c:pt idx="1740">
                  <c:v>1.3797255448080917E-2</c:v>
                </c:pt>
                <c:pt idx="1741">
                  <c:v>1.3797247589924844E-2</c:v>
                </c:pt>
                <c:pt idx="1742">
                  <c:v>1.3798705242963116E-2</c:v>
                </c:pt>
                <c:pt idx="1743">
                  <c:v>1.3800157065787744E-2</c:v>
                </c:pt>
                <c:pt idx="1744">
                  <c:v>1.3801603058390732E-2</c:v>
                </c:pt>
                <c:pt idx="1745">
                  <c:v>1.3802926746273087E-2</c:v>
                </c:pt>
                <c:pt idx="1746">
                  <c:v>1.3805456033659963E-2</c:v>
                </c:pt>
                <c:pt idx="1747">
                  <c:v>1.3806881675023166E-2</c:v>
                </c:pt>
                <c:pt idx="1748">
                  <c:v>1.3808666288471242E-2</c:v>
                </c:pt>
                <c:pt idx="1749">
                  <c:v>1.3809715466345204E-2</c:v>
                </c:pt>
                <c:pt idx="1750">
                  <c:v>1.3811123616293499E-2</c:v>
                </c:pt>
                <c:pt idx="1751">
                  <c:v>1.3812525935756687E-2</c:v>
                </c:pt>
                <c:pt idx="1752">
                  <c:v>1.381392242472862E-2</c:v>
                </c:pt>
                <c:pt idx="1753">
                  <c:v>1.3815313083204906E-2</c:v>
                </c:pt>
                <c:pt idx="1754">
                  <c:v>1.3817060536449696E-2</c:v>
                </c:pt>
                <c:pt idx="1755">
                  <c:v>1.3818439170270713E-2</c:v>
                </c:pt>
                <c:pt idx="1756">
                  <c:v>1.3819811973356704E-2</c:v>
                </c:pt>
                <c:pt idx="1757">
                  <c:v>1.3821178945704194E-2</c:v>
                </c:pt>
                <c:pt idx="1758">
                  <c:v>1.3822178917920615E-2</c:v>
                </c:pt>
                <c:pt idx="1759">
                  <c:v>1.3823534593288623E-2</c:v>
                </c:pt>
                <c:pt idx="1760">
                  <c:v>1.3824884438117942E-2</c:v>
                </c:pt>
                <c:pt idx="1761">
                  <c:v>1.3826611385566283E-2</c:v>
                </c:pt>
                <c:pt idx="1762">
                  <c:v>1.3827566636135918E-2</c:v>
                </c:pt>
                <c:pt idx="1763">
                  <c:v>1.3829258333913956E-2</c:v>
                </c:pt>
                <c:pt idx="1764">
                  <c:v>1.3830584490913823E-2</c:v>
                </c:pt>
                <c:pt idx="1765">
                  <c:v>1.3831904817126532E-2</c:v>
                </c:pt>
                <c:pt idx="1766">
                  <c:v>1.3833219312545135E-2</c:v>
                </c:pt>
                <c:pt idx="1767">
                  <c:v>1.3834527977166151E-2</c:v>
                </c:pt>
                <c:pt idx="1768">
                  <c:v>1.3835830810980027E-2</c:v>
                </c:pt>
                <c:pt idx="1769">
                  <c:v>1.3837127813984154E-2</c:v>
                </c:pt>
                <c:pt idx="1770">
                  <c:v>1.3838418986170713E-2</c:v>
                </c:pt>
                <c:pt idx="1771">
                  <c:v>1.3839704327534492E-2</c:v>
                </c:pt>
                <c:pt idx="1772">
                  <c:v>1.3840983838070276E-2</c:v>
                </c:pt>
                <c:pt idx="1773">
                  <c:v>1.3842257517771983E-2</c:v>
                </c:pt>
                <c:pt idx="1774">
                  <c:v>1.3843525366634402E-2</c:v>
                </c:pt>
                <c:pt idx="1775">
                  <c:v>1.3844787384651449E-2</c:v>
                </c:pt>
                <c:pt idx="1776">
                  <c:v>1.384604357181704E-2</c:v>
                </c:pt>
                <c:pt idx="1777">
                  <c:v>1.3847293928126834E-2</c:v>
                </c:pt>
                <c:pt idx="1778">
                  <c:v>1.3848538453574748E-2</c:v>
                </c:pt>
                <c:pt idx="1779">
                  <c:v>1.3849777148154699E-2</c:v>
                </c:pt>
                <c:pt idx="1780">
                  <c:v>1.3850656912545058E-2</c:v>
                </c:pt>
                <c:pt idx="1781">
                  <c:v>1.3851884314721438E-2</c:v>
                </c:pt>
                <c:pt idx="1782">
                  <c:v>1.3853105886232635E-2</c:v>
                </c:pt>
                <c:pt idx="1783">
                  <c:v>1.3854321627076895E-2</c:v>
                </c:pt>
                <c:pt idx="1784">
                  <c:v>1.3855883157846477E-2</c:v>
                </c:pt>
                <c:pt idx="1785">
                  <c:v>1.385708686710657E-2</c:v>
                </c:pt>
                <c:pt idx="1786">
                  <c:v>1.3858284745459602E-2</c:v>
                </c:pt>
                <c:pt idx="1787">
                  <c:v>1.3859476792902095E-2</c:v>
                </c:pt>
                <c:pt idx="1788">
                  <c:v>1.3860663009427971E-2</c:v>
                </c:pt>
                <c:pt idx="1789">
                  <c:v>1.3861843395032014E-2</c:v>
                </c:pt>
                <c:pt idx="1790">
                  <c:v>1.3863017949709013E-2</c:v>
                </c:pt>
                <c:pt idx="1791">
                  <c:v>1.3864186673454619E-2</c:v>
                </c:pt>
                <c:pt idx="1792">
                  <c:v>1.3865349566261887E-2</c:v>
                </c:pt>
                <c:pt idx="1793">
                  <c:v>1.3866158347529044E-2</c:v>
                </c:pt>
                <c:pt idx="1794">
                  <c:v>1.3867309950661898E-2</c:v>
                </c:pt>
                <c:pt idx="1795">
                  <c:v>1.3868455723063689E-2</c:v>
                </c:pt>
                <c:pt idx="1796">
                  <c:v>1.3869595664728267E-2</c:v>
                </c:pt>
                <c:pt idx="1797">
                  <c:v>1.387054455171377E-2</c:v>
                </c:pt>
                <c:pt idx="1798">
                  <c:v>1.387201876272744E-2</c:v>
                </c:pt>
                <c:pt idx="1799">
                  <c:v>1.3872794361804885E-2</c:v>
                </c:pt>
                <c:pt idx="1800">
                  <c:v>1.3873910521049027E-2</c:v>
                </c:pt>
                <c:pt idx="1801">
                  <c:v>1.3875020849752673E-2</c:v>
                </c:pt>
                <c:pt idx="1802">
                  <c:v>1.3876125347908719E-2</c:v>
                </c:pt>
                <c:pt idx="1803">
                  <c:v>1.38772240155145E-2</c:v>
                </c:pt>
                <c:pt idx="1804">
                  <c:v>1.3878316852563799E-2</c:v>
                </c:pt>
                <c:pt idx="1805">
                  <c:v>1.387940385905484E-2</c:v>
                </c:pt>
                <c:pt idx="1806">
                  <c:v>1.3881171803892402E-2</c:v>
                </c:pt>
                <c:pt idx="1807">
                  <c:v>1.3882246399031361E-2</c:v>
                </c:pt>
                <c:pt idx="1808">
                  <c:v>1.3883315163152044E-2</c:v>
                </c:pt>
                <c:pt idx="1809">
                  <c:v>1.3884378096250104E-2</c:v>
                </c:pt>
                <c:pt idx="1810">
                  <c:v>1.3885093329159152E-2</c:v>
                </c:pt>
                <c:pt idx="1811">
                  <c:v>1.3886444375827978E-2</c:v>
                </c:pt>
                <c:pt idx="1812">
                  <c:v>1.3887488526113333E-2</c:v>
                </c:pt>
                <c:pt idx="1813">
                  <c:v>1.3888526845578906E-2</c:v>
                </c:pt>
                <c:pt idx="1814">
                  <c:v>1.3890726881864575E-2</c:v>
                </c:pt>
                <c:pt idx="1815">
                  <c:v>1.3890925871196695E-2</c:v>
                </c:pt>
                <c:pt idx="1816">
                  <c:v>1.3891946320989185E-2</c:v>
                </c:pt>
                <c:pt idx="1817">
                  <c:v>1.3892960939721696E-2</c:v>
                </c:pt>
                <c:pt idx="1818">
                  <c:v>1.389396972738814E-2</c:v>
                </c:pt>
                <c:pt idx="1819">
                  <c:v>1.3894972683984175E-2</c:v>
                </c:pt>
                <c:pt idx="1820">
                  <c:v>1.3895969809506326E-2</c:v>
                </c:pt>
                <c:pt idx="1821">
                  <c:v>1.3896961103948511E-2</c:v>
                </c:pt>
                <c:pt idx="1822">
                  <c:v>1.389794656730812E-2</c:v>
                </c:pt>
                <c:pt idx="1823">
                  <c:v>1.3898926199579945E-2</c:v>
                </c:pt>
                <c:pt idx="1824">
                  <c:v>1.3899900000759639E-2</c:v>
                </c:pt>
                <c:pt idx="1825">
                  <c:v>1.3900867970841987E-2</c:v>
                </c:pt>
                <c:pt idx="1826">
                  <c:v>1.3901830109824386E-2</c:v>
                </c:pt>
                <c:pt idx="1827">
                  <c:v>1.3902786417702489E-2</c:v>
                </c:pt>
                <c:pt idx="1828">
                  <c:v>1.3903736894471086E-2</c:v>
                </c:pt>
                <c:pt idx="1829">
                  <c:v>1.3904681540124959E-2</c:v>
                </c:pt>
                <c:pt idx="1830">
                  <c:v>1.3905620354661504E-2</c:v>
                </c:pt>
                <c:pt idx="1831">
                  <c:v>1.3906553338077247E-2</c:v>
                </c:pt>
                <c:pt idx="1832">
                  <c:v>1.3907147053534635E-2</c:v>
                </c:pt>
                <c:pt idx="1833">
                  <c:v>1.3908068755656734E-2</c:v>
                </c:pt>
                <c:pt idx="1834">
                  <c:v>1.3908984626867692E-2</c:v>
                </c:pt>
                <c:pt idx="1835">
                  <c:v>1.3911223673204911E-2</c:v>
                </c:pt>
                <c:pt idx="1836">
                  <c:v>1.3911130788177947E-2</c:v>
                </c:pt>
                <c:pt idx="1837">
                  <c:v>1.391202878477503E-2</c:v>
                </c:pt>
                <c:pt idx="1838">
                  <c:v>1.3912920950222635E-2</c:v>
                </c:pt>
                <c:pt idx="1839">
                  <c:v>1.3913807284513816E-2</c:v>
                </c:pt>
                <c:pt idx="1840">
                  <c:v>1.3914687787647697E-2</c:v>
                </c:pt>
                <c:pt idx="1841">
                  <c:v>1.3915562459619071E-2</c:v>
                </c:pt>
                <c:pt idx="1842">
                  <c:v>1.3916431300425329E-2</c:v>
                </c:pt>
                <c:pt idx="1843">
                  <c:v>1.3917294310059518E-2</c:v>
                </c:pt>
                <c:pt idx="1844">
                  <c:v>1.3918151488520773E-2</c:v>
                </c:pt>
                <c:pt idx="1845">
                  <c:v>1.3918345873850768E-2</c:v>
                </c:pt>
                <c:pt idx="1846">
                  <c:v>1.3919192157650251E-2</c:v>
                </c:pt>
                <c:pt idx="1847">
                  <c:v>1.3920032610711175E-2</c:v>
                </c:pt>
                <c:pt idx="1848">
                  <c:v>1.392199576030863E-2</c:v>
                </c:pt>
                <c:pt idx="1849">
                  <c:v>1.3921813947419537E-2</c:v>
                </c:pt>
                <c:pt idx="1850">
                  <c:v>1.3922518985425292E-2</c:v>
                </c:pt>
                <c:pt idx="1851">
                  <c:v>1.3923336115496454E-2</c:v>
                </c:pt>
                <c:pt idx="1852">
                  <c:v>1.3924147414809518E-2</c:v>
                </c:pt>
                <c:pt idx="1853">
                  <c:v>1.3924952883363595E-2</c:v>
                </c:pt>
                <c:pt idx="1854">
                  <c:v>1.3925427460240636E-2</c:v>
                </c:pt>
                <c:pt idx="1855">
                  <c:v>1.3926221653077076E-2</c:v>
                </c:pt>
                <c:pt idx="1856">
                  <c:v>1.3927010015365785E-2</c:v>
                </c:pt>
                <c:pt idx="1857">
                  <c:v>1.3927792547105865E-2</c:v>
                </c:pt>
                <c:pt idx="1858">
                  <c:v>1.3929539711626178E-2</c:v>
                </c:pt>
                <c:pt idx="1859">
                  <c:v>1.3930309422034631E-2</c:v>
                </c:pt>
                <c:pt idx="1860">
                  <c:v>1.3931073301211934E-2</c:v>
                </c:pt>
                <c:pt idx="1861">
                  <c:v>1.3931831349152875E-2</c:v>
                </c:pt>
                <c:pt idx="1862">
                  <c:v>1.3932261655040776E-2</c:v>
                </c:pt>
                <c:pt idx="1863">
                  <c:v>1.3933008428168508E-2</c:v>
                </c:pt>
                <c:pt idx="1864">
                  <c:v>1.3933749370274419E-2</c:v>
                </c:pt>
                <c:pt idx="1865">
                  <c:v>1.3934484481355877E-2</c:v>
                </c:pt>
                <c:pt idx="1866">
                  <c:v>1.3935534120214813E-2</c:v>
                </c:pt>
                <c:pt idx="1867">
                  <c:v>1.3936257180673277E-2</c:v>
                </c:pt>
                <c:pt idx="1868">
                  <c:v>1.3936974409875394E-2</c:v>
                </c:pt>
                <c:pt idx="1869">
                  <c:v>1.393768580781508E-2</c:v>
                </c:pt>
                <c:pt idx="1870">
                  <c:v>1.3938391374489732E-2</c:v>
                </c:pt>
                <c:pt idx="1871">
                  <c:v>1.393909110989674E-2</c:v>
                </c:pt>
                <c:pt idx="1872">
                  <c:v>1.3939785014032631E-2</c:v>
                </c:pt>
                <c:pt idx="1873">
                  <c:v>1.3940473086895664E-2</c:v>
                </c:pt>
                <c:pt idx="1874">
                  <c:v>1.3941155328479761E-2</c:v>
                </c:pt>
                <c:pt idx="1875">
                  <c:v>1.3941831738784919E-2</c:v>
                </c:pt>
                <c:pt idx="1876">
                  <c:v>1.3942502317805057E-2</c:v>
                </c:pt>
                <c:pt idx="1877">
                  <c:v>1.3943167065540177E-2</c:v>
                </c:pt>
                <c:pt idx="1878">
                  <c:v>1.3943825981986799E-2</c:v>
                </c:pt>
                <c:pt idx="1879">
                  <c:v>1.3944479067140582E-2</c:v>
                </c:pt>
                <c:pt idx="1880">
                  <c:v>1.3945126320998917E-2</c:v>
                </c:pt>
                <c:pt idx="1881">
                  <c:v>1.3945767743560071E-2</c:v>
                </c:pt>
                <c:pt idx="1882">
                  <c:v>1.3946403334820561E-2</c:v>
                </c:pt>
                <c:pt idx="1883">
                  <c:v>1.394703309477692E-2</c:v>
                </c:pt>
                <c:pt idx="1884">
                  <c:v>1.3947343693063646E-2</c:v>
                </c:pt>
                <c:pt idx="1885">
                  <c:v>1.3947962183005983E-2</c:v>
                </c:pt>
                <c:pt idx="1886">
                  <c:v>1.3948574841861499E-2</c:v>
                </c:pt>
                <c:pt idx="1887">
                  <c:v>1.394918166962668E-2</c:v>
                </c:pt>
                <c:pt idx="1888">
                  <c:v>1.3951029523880346E-2</c:v>
                </c:pt>
                <c:pt idx="1889">
                  <c:v>1.3950689196985727E-2</c:v>
                </c:pt>
                <c:pt idx="1890">
                  <c:v>1.3951278137739285E-2</c:v>
                </c:pt>
                <c:pt idx="1891">
                  <c:v>1.3951861247167853E-2</c:v>
                </c:pt>
                <c:pt idx="1892">
                  <c:v>1.3952438525268826E-2</c:v>
                </c:pt>
                <c:pt idx="1893">
                  <c:v>1.395300997203873E-2</c:v>
                </c:pt>
                <c:pt idx="1894">
                  <c:v>1.3953575587477564E-2</c:v>
                </c:pt>
                <c:pt idx="1895">
                  <c:v>1.3954135371578375E-2</c:v>
                </c:pt>
                <c:pt idx="1896">
                  <c:v>1.3954689324343773E-2</c:v>
                </c:pt>
                <c:pt idx="1897">
                  <c:v>1.3954929236755726E-2</c:v>
                </c:pt>
                <c:pt idx="1898">
                  <c:v>1.3955471922360312E-2</c:v>
                </c:pt>
                <c:pt idx="1899">
                  <c:v>1.3956008776844697E-2</c:v>
                </c:pt>
                <c:pt idx="1900">
                  <c:v>1.3956539800207121E-2</c:v>
                </c:pt>
                <c:pt idx="1901">
                  <c:v>1.3957064992443195E-2</c:v>
                </c:pt>
                <c:pt idx="1902">
                  <c:v>1.3957584353552918E-2</c:v>
                </c:pt>
                <c:pt idx="1903">
                  <c:v>1.3958097883531898E-2</c:v>
                </c:pt>
                <c:pt idx="1904">
                  <c:v>1.3958605582381014E-2</c:v>
                </c:pt>
                <c:pt idx="1905">
                  <c:v>1.3959107450093237E-2</c:v>
                </c:pt>
                <c:pt idx="1906">
                  <c:v>1.3959298815450438E-2</c:v>
                </c:pt>
                <c:pt idx="1907">
                  <c:v>1.3959789418407809E-2</c:v>
                </c:pt>
                <c:pt idx="1908">
                  <c:v>1.3960274190449873E-2</c:v>
                </c:pt>
                <c:pt idx="1909">
                  <c:v>1.3960753131574855E-2</c:v>
                </c:pt>
                <c:pt idx="1910">
                  <c:v>1.3961832371209076E-2</c:v>
                </c:pt>
                <c:pt idx="1911">
                  <c:v>1.3962298853620037E-2</c:v>
                </c:pt>
                <c:pt idx="1912">
                  <c:v>1.3962759504658221E-2</c:v>
                </c:pt>
                <c:pt idx="1913">
                  <c:v>1.3963214324318416E-2</c:v>
                </c:pt>
                <c:pt idx="1914">
                  <c:v>1.3963361858122624E-2</c:v>
                </c:pt>
                <c:pt idx="1915">
                  <c:v>1.3963805414378085E-2</c:v>
                </c:pt>
                <c:pt idx="1916">
                  <c:v>1.3964243139475571E-2</c:v>
                </c:pt>
                <c:pt idx="1917">
                  <c:v>1.3964675033412449E-2</c:v>
                </c:pt>
                <c:pt idx="1918">
                  <c:v>1.3965101096191354E-2</c:v>
                </c:pt>
                <c:pt idx="1919">
                  <c:v>1.396582078326622E-2</c:v>
                </c:pt>
                <c:pt idx="1920">
                  <c:v>1.3966234783236178E-2</c:v>
                </c:pt>
                <c:pt idx="1921">
                  <c:v>1.3966642951814245E-2</c:v>
                </c:pt>
                <c:pt idx="1922">
                  <c:v>1.3967045288998683E-2</c:v>
                </c:pt>
                <c:pt idx="1923">
                  <c:v>1.3967441794788623E-2</c:v>
                </c:pt>
                <c:pt idx="1924">
                  <c:v>1.3967832469179722E-2</c:v>
                </c:pt>
                <c:pt idx="1925">
                  <c:v>1.3968217312171977E-2</c:v>
                </c:pt>
                <c:pt idx="1926">
                  <c:v>1.3968596323764524E-2</c:v>
                </c:pt>
                <c:pt idx="1927">
                  <c:v>1.3968969503954751E-2</c:v>
                </c:pt>
                <c:pt idx="1928">
                  <c:v>1.3969336852739185E-2</c:v>
                </c:pt>
                <c:pt idx="1929">
                  <c:v>1.3969698370118697E-2</c:v>
                </c:pt>
                <c:pt idx="1930">
                  <c:v>1.3970054056092415E-2</c:v>
                </c:pt>
                <c:pt idx="1931">
                  <c:v>1.3970403910654256E-2</c:v>
                </c:pt>
                <c:pt idx="1932">
                  <c:v>1.39707479338077E-2</c:v>
                </c:pt>
                <c:pt idx="1933">
                  <c:v>1.397108612554753E-2</c:v>
                </c:pt>
                <c:pt idx="1934">
                  <c:v>1.3971418485875485E-2</c:v>
                </c:pt>
                <c:pt idx="1935">
                  <c:v>1.3971745014787221E-2</c:v>
                </c:pt>
                <c:pt idx="1936">
                  <c:v>1.3971773095657673E-2</c:v>
                </c:pt>
                <c:pt idx="1937">
                  <c:v>1.3972088366050321E-2</c:v>
                </c:pt>
                <c:pt idx="1938">
                  <c:v>1.3972397805249861E-2</c:v>
                </c:pt>
                <c:pt idx="1939">
                  <c:v>1.3972701413254532E-2</c:v>
                </c:pt>
                <c:pt idx="1940">
                  <c:v>1.3972999190064336E-2</c:v>
                </c:pt>
                <c:pt idx="1941">
                  <c:v>1.3973581728464022E-2</c:v>
                </c:pt>
                <c:pt idx="1942">
                  <c:v>1.3973867437430943E-2</c:v>
                </c:pt>
                <c:pt idx="1943">
                  <c:v>1.3974147314972955E-2</c:v>
                </c:pt>
                <c:pt idx="1944">
                  <c:v>1.3974421361087451E-2</c:v>
                </c:pt>
                <c:pt idx="1945">
                  <c:v>1.3974689575773564E-2</c:v>
                </c:pt>
                <c:pt idx="1946">
                  <c:v>1.3974951959029557E-2</c:v>
                </c:pt>
                <c:pt idx="1947">
                  <c:v>1.3975208510855427E-2</c:v>
                </c:pt>
                <c:pt idx="1948">
                  <c:v>1.3975459231249437E-2</c:v>
                </c:pt>
                <c:pt idx="1949">
                  <c:v>1.397512940298995E-2</c:v>
                </c:pt>
                <c:pt idx="1950">
                  <c:v>1.3975369274985994E-2</c:v>
                </c:pt>
                <c:pt idx="1951">
                  <c:v>1.397560331599923E-2</c:v>
                </c:pt>
                <c:pt idx="1952">
                  <c:v>1.397583152602877E-2</c:v>
                </c:pt>
                <c:pt idx="1953">
                  <c:v>1.3976053905071062E-2</c:v>
                </c:pt>
                <c:pt idx="1954">
                  <c:v>1.397627045312877E-2</c:v>
                </c:pt>
                <c:pt idx="1955">
                  <c:v>1.397648117019834E-2</c:v>
                </c:pt>
                <c:pt idx="1956">
                  <c:v>1.3976686056279775E-2</c:v>
                </c:pt>
                <c:pt idx="1957">
                  <c:v>1.3976885111373072E-2</c:v>
                </c:pt>
                <c:pt idx="1958">
                  <c:v>1.397679460259512E-2</c:v>
                </c:pt>
                <c:pt idx="1959">
                  <c:v>1.3976982404927009E-2</c:v>
                </c:pt>
                <c:pt idx="1960">
                  <c:v>1.3977164375930667E-2</c:v>
                </c:pt>
                <c:pt idx="1961">
                  <c:v>1.3977340228472185E-2</c:v>
                </c:pt>
                <c:pt idx="1962">
                  <c:v>1.3978353832891295E-2</c:v>
                </c:pt>
                <c:pt idx="1963">
                  <c:v>1.3978511736947212E-2</c:v>
                </c:pt>
                <c:pt idx="1964">
                  <c:v>1.3978659798134001E-2</c:v>
                </c:pt>
                <c:pt idx="1965">
                  <c:v>1.3978796893253606E-2</c:v>
                </c:pt>
                <c:pt idx="1966">
                  <c:v>1.3978921899108838E-2</c:v>
                </c:pt>
                <c:pt idx="1967">
                  <c:v>1.3978757387371437E-2</c:v>
                </c:pt>
                <c:pt idx="1968">
                  <c:v>1.3978856152992174E-2</c:v>
                </c:pt>
                <c:pt idx="1969">
                  <c:v>1.3978939516771351E-2</c:v>
                </c:pt>
                <c:pt idx="1970">
                  <c:v>1.3979006343212873E-2</c:v>
                </c:pt>
                <c:pt idx="1971">
                  <c:v>1.3979326277428364E-2</c:v>
                </c:pt>
                <c:pt idx="1972">
                  <c:v>1.3979355160511246E-2</c:v>
                </c:pt>
                <c:pt idx="1973">
                  <c:v>1.3979364106668973E-2</c:v>
                </c:pt>
                <c:pt idx="1974">
                  <c:v>1.3979352494272712E-2</c:v>
                </c:pt>
                <c:pt idx="1975">
                  <c:v>1.3979320288391271E-2</c:v>
                </c:pt>
                <c:pt idx="1976">
                  <c:v>1.3979267489024652E-2</c:v>
                </c:pt>
                <c:pt idx="1977">
                  <c:v>1.3979194096174595E-2</c:v>
                </c:pt>
                <c:pt idx="1978">
                  <c:v>1.3979100109841965E-2</c:v>
                </c:pt>
                <c:pt idx="1979">
                  <c:v>1.3978985530028501E-2</c:v>
                </c:pt>
                <c:pt idx="1980">
                  <c:v>1.3978850356735075E-2</c:v>
                </c:pt>
                <c:pt idx="1981">
                  <c:v>1.3978694589965156E-2</c:v>
                </c:pt>
                <c:pt idx="1982">
                  <c:v>1.3978518229719619E-2</c:v>
                </c:pt>
                <c:pt idx="1983">
                  <c:v>1.3978321276002806E-2</c:v>
                </c:pt>
                <c:pt idx="1984">
                  <c:v>1.3978103728816452E-2</c:v>
                </c:pt>
                <c:pt idx="1985">
                  <c:v>1.3977865588164906E-2</c:v>
                </c:pt>
                <c:pt idx="1986">
                  <c:v>1.3977606854051642E-2</c:v>
                </c:pt>
                <c:pt idx="1987">
                  <c:v>1.3977327526481002E-2</c:v>
                </c:pt>
                <c:pt idx="1988">
                  <c:v>1.3976781911346037E-2</c:v>
                </c:pt>
                <c:pt idx="1989">
                  <c:v>1.3976462880198165E-2</c:v>
                </c:pt>
                <c:pt idx="1990">
                  <c:v>1.3976123256404462E-2</c:v>
                </c:pt>
                <c:pt idx="1991">
                  <c:v>1.3975763039970198E-2</c:v>
                </c:pt>
                <c:pt idx="1992">
                  <c:v>1.3975382230899768E-2</c:v>
                </c:pt>
                <c:pt idx="1993">
                  <c:v>1.397521909871558E-2</c:v>
                </c:pt>
                <c:pt idx="1994">
                  <c:v>1.3974795617082342E-2</c:v>
                </c:pt>
                <c:pt idx="1995">
                  <c:v>1.3974351542035171E-2</c:v>
                </c:pt>
                <c:pt idx="1996">
                  <c:v>1.3973886873582761E-2</c:v>
                </c:pt>
                <c:pt idx="1997">
                  <c:v>1.397340161173119E-2</c:v>
                </c:pt>
                <c:pt idx="1998">
                  <c:v>1.397289575648741E-2</c:v>
                </c:pt>
                <c:pt idx="1999">
                  <c:v>1.3972369307860109E-2</c:v>
                </c:pt>
                <c:pt idx="2000">
                  <c:v>1.3971822265857978E-2</c:v>
                </c:pt>
                <c:pt idx="2001">
                  <c:v>1.3970801796522103E-2</c:v>
                </c:pt>
                <c:pt idx="2002">
                  <c:v>1.3970216555047266E-2</c:v>
                </c:pt>
                <c:pt idx="2003">
                  <c:v>1.396961072181746E-2</c:v>
                </c:pt>
                <c:pt idx="2004">
                  <c:v>1.3968984296839793E-2</c:v>
                </c:pt>
                <c:pt idx="2005">
                  <c:v>1.3968463460630975E-2</c:v>
                </c:pt>
                <c:pt idx="2006">
                  <c:v>1.3967572618089896E-2</c:v>
                </c:pt>
                <c:pt idx="2007">
                  <c:v>1.3966881476258131E-2</c:v>
                </c:pt>
                <c:pt idx="2008">
                  <c:v>1.3966169742720247E-2</c:v>
                </c:pt>
                <c:pt idx="2009">
                  <c:v>1.3965437417487792E-2</c:v>
                </c:pt>
                <c:pt idx="2010">
                  <c:v>1.3964471562874782E-2</c:v>
                </c:pt>
                <c:pt idx="2011">
                  <c:v>1.3963699555015795E-2</c:v>
                </c:pt>
                <c:pt idx="2012">
                  <c:v>1.396290695629296E-2</c:v>
                </c:pt>
                <c:pt idx="2013">
                  <c:v>1.396209376671706E-2</c:v>
                </c:pt>
                <c:pt idx="2014">
                  <c:v>1.3962293256066698E-2</c:v>
                </c:pt>
                <c:pt idx="2015">
                  <c:v>1.3961431364150562E-2</c:v>
                </c:pt>
                <c:pt idx="2016">
                  <c:v>1.3960548877448126E-2</c:v>
                </c:pt>
                <c:pt idx="2017">
                  <c:v>1.3958718361366916E-2</c:v>
                </c:pt>
                <c:pt idx="2018">
                  <c:v>1.3958120637294728E-2</c:v>
                </c:pt>
                <c:pt idx="2019">
                  <c:v>1.3957180888599164E-2</c:v>
                </c:pt>
                <c:pt idx="2020">
                  <c:v>1.3956220547558188E-2</c:v>
                </c:pt>
                <c:pt idx="2021">
                  <c:v>1.3955239614184978E-2</c:v>
                </c:pt>
                <c:pt idx="2022">
                  <c:v>1.3954238088497101E-2</c:v>
                </c:pt>
                <c:pt idx="2023">
                  <c:v>1.3953794817788488E-2</c:v>
                </c:pt>
                <c:pt idx="2024">
                  <c:v>1.3952747573344984E-2</c:v>
                </c:pt>
                <c:pt idx="2025">
                  <c:v>1.3951679734256341E-2</c:v>
                </c:pt>
                <c:pt idx="2026">
                  <c:v>1.3950591300540419E-2</c:v>
                </c:pt>
                <c:pt idx="2027">
                  <c:v>1.3949482272213373E-2</c:v>
                </c:pt>
                <c:pt idx="2028">
                  <c:v>1.3948352649293063E-2</c:v>
                </c:pt>
                <c:pt idx="2029">
                  <c:v>1.3947202431797345E-2</c:v>
                </c:pt>
                <c:pt idx="2030">
                  <c:v>1.394603161974663E-2</c:v>
                </c:pt>
                <c:pt idx="2031">
                  <c:v>1.3944297705765652E-2</c:v>
                </c:pt>
                <c:pt idx="2032">
                  <c:v>1.3943628212050791E-2</c:v>
                </c:pt>
                <c:pt idx="2033">
                  <c:v>1.3942395616445634E-2</c:v>
                </c:pt>
                <c:pt idx="2034">
                  <c:v>1.3941142426360312E-2</c:v>
                </c:pt>
                <c:pt idx="2035">
                  <c:v>1.3939868641816937E-2</c:v>
                </c:pt>
                <c:pt idx="2036">
                  <c:v>1.3938574262835068E-2</c:v>
                </c:pt>
                <c:pt idx="2037">
                  <c:v>1.3937259289435112E-2</c:v>
                </c:pt>
                <c:pt idx="2038">
                  <c:v>1.393592372164003E-2</c:v>
                </c:pt>
                <c:pt idx="2039">
                  <c:v>1.3934567559468532E-2</c:v>
                </c:pt>
                <c:pt idx="2040">
                  <c:v>1.3932689359416429E-2</c:v>
                </c:pt>
                <c:pt idx="2041">
                  <c:v>1.3931296583053617E-2</c:v>
                </c:pt>
                <c:pt idx="2042">
                  <c:v>1.392988321474771E-2</c:v>
                </c:pt>
                <c:pt idx="2043">
                  <c:v>1.3928449254520666E-2</c:v>
                </c:pt>
                <c:pt idx="2044">
                  <c:v>1.3927477833765849E-2</c:v>
                </c:pt>
                <c:pt idx="2045">
                  <c:v>1.3925998105815466E-2</c:v>
                </c:pt>
                <c:pt idx="2046">
                  <c:v>1.3924497783649388E-2</c:v>
                </c:pt>
                <c:pt idx="2047">
                  <c:v>1.3922976867290575E-2</c:v>
                </c:pt>
                <c:pt idx="2048">
                  <c:v>1.3921435356765391E-2</c:v>
                </c:pt>
                <c:pt idx="2049">
                  <c:v>1.3919873252099346E-2</c:v>
                </c:pt>
                <c:pt idx="2050">
                  <c:v>1.391829055331625E-2</c:v>
                </c:pt>
                <c:pt idx="2051">
                  <c:v>1.3916687260441617E-2</c:v>
                </c:pt>
                <c:pt idx="2052">
                  <c:v>1.3915063373500956E-2</c:v>
                </c:pt>
                <c:pt idx="2053">
                  <c:v>1.3912829552973349E-2</c:v>
                </c:pt>
                <c:pt idx="2054">
                  <c:v>1.3911170617985746E-2</c:v>
                </c:pt>
                <c:pt idx="2055">
                  <c:v>1.3909491092149118E-2</c:v>
                </c:pt>
                <c:pt idx="2056">
                  <c:v>1.3907790975490109E-2</c:v>
                </c:pt>
                <c:pt idx="2057">
                  <c:v>1.3905044598462818E-2</c:v>
                </c:pt>
                <c:pt idx="2058">
                  <c:v>1.3903715603170341E-2</c:v>
                </c:pt>
                <c:pt idx="2059">
                  <c:v>1.3902080875502175E-2</c:v>
                </c:pt>
                <c:pt idx="2060">
                  <c:v>1.3900150506391672E-2</c:v>
                </c:pt>
                <c:pt idx="2061">
                  <c:v>1.389833707080009E-2</c:v>
                </c:pt>
                <c:pt idx="2062">
                  <c:v>1.3896503043778409E-2</c:v>
                </c:pt>
                <c:pt idx="2063">
                  <c:v>1.3894648425355618E-2</c:v>
                </c:pt>
                <c:pt idx="2064">
                  <c:v>1.3892773215558065E-2</c:v>
                </c:pt>
                <c:pt idx="2065">
                  <c:v>1.3890877414418256E-2</c:v>
                </c:pt>
                <c:pt idx="2066">
                  <c:v>1.3889087750637455E-2</c:v>
                </c:pt>
                <c:pt idx="2067">
                  <c:v>1.3887149221444633E-2</c:v>
                </c:pt>
                <c:pt idx="2068">
                  <c:v>1.3885190100217649E-2</c:v>
                </c:pt>
                <c:pt idx="2069">
                  <c:v>1.3883210386986039E-2</c:v>
                </c:pt>
                <c:pt idx="2070">
                  <c:v>1.388108953960519E-2</c:v>
                </c:pt>
                <c:pt idx="2071">
                  <c:v>1.3879070191032876E-2</c:v>
                </c:pt>
                <c:pt idx="2072">
                  <c:v>1.3876443629375474E-2</c:v>
                </c:pt>
                <c:pt idx="2073">
                  <c:v>1.3874969720528195E-2</c:v>
                </c:pt>
                <c:pt idx="2074">
                  <c:v>1.3872888598659953E-2</c:v>
                </c:pt>
                <c:pt idx="2075">
                  <c:v>1.3870899677285697E-2</c:v>
                </c:pt>
                <c:pt idx="2076">
                  <c:v>1.386877582091753E-2</c:v>
                </c:pt>
                <c:pt idx="2077">
                  <c:v>1.3866631372804533E-2</c:v>
                </c:pt>
                <c:pt idx="2078">
                  <c:v>1.3864466332979723E-2</c:v>
                </c:pt>
                <c:pt idx="2079">
                  <c:v>1.3862280701476984E-2</c:v>
                </c:pt>
                <c:pt idx="2080">
                  <c:v>1.3860074478331071E-2</c:v>
                </c:pt>
                <c:pt idx="2081">
                  <c:v>1.3857847663576742E-2</c:v>
                </c:pt>
                <c:pt idx="2082">
                  <c:v>1.3855600257249615E-2</c:v>
                </c:pt>
                <c:pt idx="2083">
                  <c:v>1.3853332259382713E-2</c:v>
                </c:pt>
                <c:pt idx="2084">
                  <c:v>1.3851043670013394E-2</c:v>
                </c:pt>
                <c:pt idx="2085">
                  <c:v>1.3848734489178151E-2</c:v>
                </c:pt>
                <c:pt idx="2086">
                  <c:v>1.3846404716912609E-2</c:v>
                </c:pt>
                <c:pt idx="2087">
                  <c:v>1.3844054353254127E-2</c:v>
                </c:pt>
                <c:pt idx="2088">
                  <c:v>1.384168339823833E-2</c:v>
                </c:pt>
                <c:pt idx="2089">
                  <c:v>1.3839291851903449E-2</c:v>
                </c:pt>
                <c:pt idx="2090">
                  <c:v>1.3836879714285977E-2</c:v>
                </c:pt>
                <c:pt idx="2091">
                  <c:v>1.3834446985425011E-2</c:v>
                </c:pt>
                <c:pt idx="2092">
                  <c:v>1.383190737108542E-2</c:v>
                </c:pt>
                <c:pt idx="2093">
                  <c:v>1.382943502546664E-2</c:v>
                </c:pt>
                <c:pt idx="2094">
                  <c:v>1.3826942089488552E-2</c:v>
                </c:pt>
                <c:pt idx="2095">
                  <c:v>1.3824428563194198E-2</c:v>
                </c:pt>
                <c:pt idx="2096">
                  <c:v>1.3821974473818013E-2</c:v>
                </c:pt>
                <c:pt idx="2097">
                  <c:v>1.3819418198310221E-2</c:v>
                </c:pt>
                <c:pt idx="2098">
                  <c:v>1.38168413318335E-2</c:v>
                </c:pt>
                <c:pt idx="2099">
                  <c:v>1.3814243874427815E-2</c:v>
                </c:pt>
                <c:pt idx="2100">
                  <c:v>1.3811625826135744E-2</c:v>
                </c:pt>
                <c:pt idx="2101">
                  <c:v>1.3808987186995516E-2</c:v>
                </c:pt>
                <c:pt idx="2102">
                  <c:v>1.3806327957050574E-2</c:v>
                </c:pt>
                <c:pt idx="2103">
                  <c:v>1.3803648136344363E-2</c:v>
                </c:pt>
                <c:pt idx="2104">
                  <c:v>1.3800947724915113E-2</c:v>
                </c:pt>
                <c:pt idx="2105">
                  <c:v>1.3798160841430316E-2</c:v>
                </c:pt>
                <c:pt idx="2106">
                  <c:v>1.3795420824272096E-2</c:v>
                </c:pt>
                <c:pt idx="2107">
                  <c:v>1.379266021728689E-2</c:v>
                </c:pt>
                <c:pt idx="2108">
                  <c:v>1.3789879020513348E-2</c:v>
                </c:pt>
                <c:pt idx="2109">
                  <c:v>1.3786675297988276E-2</c:v>
                </c:pt>
                <c:pt idx="2110">
                  <c:v>1.3783849980392573E-2</c:v>
                </c:pt>
                <c:pt idx="2111">
                  <c:v>1.3781004073148204E-2</c:v>
                </c:pt>
                <c:pt idx="2112">
                  <c:v>1.377813757629821E-2</c:v>
                </c:pt>
                <c:pt idx="2113">
                  <c:v>1.377525048988739E-2</c:v>
                </c:pt>
                <c:pt idx="2114">
                  <c:v>1.3772291216783472E-2</c:v>
                </c:pt>
                <c:pt idx="2115">
                  <c:v>1.376936453382438E-2</c:v>
                </c:pt>
                <c:pt idx="2116">
                  <c:v>1.3766417262197628E-2</c:v>
                </c:pt>
                <c:pt idx="2117">
                  <c:v>1.3763449401953842E-2</c:v>
                </c:pt>
                <c:pt idx="2118">
                  <c:v>1.376055132893203E-2</c:v>
                </c:pt>
                <c:pt idx="2119">
                  <c:v>1.3757539120538878E-2</c:v>
                </c:pt>
                <c:pt idx="2120">
                  <c:v>1.3754506322146457E-2</c:v>
                </c:pt>
                <c:pt idx="2121">
                  <c:v>1.3751452933807766E-2</c:v>
                </c:pt>
                <c:pt idx="2122">
                  <c:v>1.3748340189521311E-2</c:v>
                </c:pt>
                <c:pt idx="2123">
                  <c:v>1.3744359719946263E-2</c:v>
                </c:pt>
                <c:pt idx="2124">
                  <c:v>1.3741240268837411E-2</c:v>
                </c:pt>
                <c:pt idx="2125">
                  <c:v>1.373810022874134E-2</c:v>
                </c:pt>
                <c:pt idx="2126">
                  <c:v>1.3734971552143115E-2</c:v>
                </c:pt>
                <c:pt idx="2127">
                  <c:v>1.3731788742388231E-2</c:v>
                </c:pt>
                <c:pt idx="2128">
                  <c:v>1.3728585343043312E-2</c:v>
                </c:pt>
                <c:pt idx="2129">
                  <c:v>1.3725361354157889E-2</c:v>
                </c:pt>
                <c:pt idx="2130">
                  <c:v>1.3722116775782351E-2</c:v>
                </c:pt>
                <c:pt idx="2131">
                  <c:v>1.3718851607969703E-2</c:v>
                </c:pt>
                <c:pt idx="2132">
                  <c:v>1.3715565850769468E-2</c:v>
                </c:pt>
                <c:pt idx="2133">
                  <c:v>1.3712259504233779E-2</c:v>
                </c:pt>
                <c:pt idx="2134">
                  <c:v>1.3708932568415636E-2</c:v>
                </c:pt>
                <c:pt idx="2135">
                  <c:v>1.3705585043366305E-2</c:v>
                </c:pt>
                <c:pt idx="2136">
                  <c:v>1.3702216929138785E-2</c:v>
                </c:pt>
                <c:pt idx="2137">
                  <c:v>1.369882822578521E-2</c:v>
                </c:pt>
                <c:pt idx="2138">
                  <c:v>1.3695418933359446E-2</c:v>
                </c:pt>
                <c:pt idx="2139">
                  <c:v>1.3691989051916237E-2</c:v>
                </c:pt>
                <c:pt idx="2140">
                  <c:v>1.3688538581508581E-2</c:v>
                </c:pt>
                <c:pt idx="2141">
                  <c:v>1.3685067522191216E-2</c:v>
                </c:pt>
                <c:pt idx="2142">
                  <c:v>1.3681575874017146E-2</c:v>
                </c:pt>
                <c:pt idx="2143">
                  <c:v>1.3678063637043715E-2</c:v>
                </c:pt>
                <c:pt idx="2144">
                  <c:v>1.3674527626510984E-2</c:v>
                </c:pt>
                <c:pt idx="2145">
                  <c:v>1.3670975817385489E-2</c:v>
                </c:pt>
                <c:pt idx="2146">
                  <c:v>1.3667403420368165E-2</c:v>
                </c:pt>
                <c:pt idx="2147">
                  <c:v>1.3663810435512593E-2</c:v>
                </c:pt>
                <c:pt idx="2148">
                  <c:v>1.3660182979430221E-2</c:v>
                </c:pt>
                <c:pt idx="2149">
                  <c:v>1.3656557853505377E-2</c:v>
                </c:pt>
                <c:pt idx="2150">
                  <c:v>1.3652901496491697E-2</c:v>
                </c:pt>
                <c:pt idx="2151">
                  <c:v>1.3649224551130467E-2</c:v>
                </c:pt>
                <c:pt idx="2152">
                  <c:v>1.3645527017476428E-2</c:v>
                </c:pt>
                <c:pt idx="2153">
                  <c:v>1.3641808895588662E-2</c:v>
                </c:pt>
                <c:pt idx="2154">
                  <c:v>1.3638070185527122E-2</c:v>
                </c:pt>
                <c:pt idx="2155">
                  <c:v>1.3634310887348282E-2</c:v>
                </c:pt>
                <c:pt idx="2156">
                  <c:v>1.3630531001112967E-2</c:v>
                </c:pt>
                <c:pt idx="2157">
                  <c:v>1.3626765855531353E-2</c:v>
                </c:pt>
                <c:pt idx="2158">
                  <c:v>1.3622948022990577E-2</c:v>
                </c:pt>
                <c:pt idx="2159">
                  <c:v>1.3619109604037227E-2</c:v>
                </c:pt>
                <c:pt idx="2160">
                  <c:v>1.3615250598729922E-2</c:v>
                </c:pt>
                <c:pt idx="2161">
                  <c:v>1.3611371007132611E-2</c:v>
                </c:pt>
                <c:pt idx="2162">
                  <c:v>1.3607470829298585E-2</c:v>
                </c:pt>
                <c:pt idx="2163">
                  <c:v>1.3603550065290904E-2</c:v>
                </c:pt>
                <c:pt idx="2164">
                  <c:v>1.3599608715170852E-2</c:v>
                </c:pt>
                <c:pt idx="2165">
                  <c:v>1.359564677899705E-2</c:v>
                </c:pt>
                <c:pt idx="2166">
                  <c:v>1.3591696247794787E-2</c:v>
                </c:pt>
                <c:pt idx="2167">
                  <c:v>1.3587694760919006E-2</c:v>
                </c:pt>
                <c:pt idx="2168">
                  <c:v>1.3583672688903339E-2</c:v>
                </c:pt>
                <c:pt idx="2169">
                  <c:v>1.3579630031804372E-2</c:v>
                </c:pt>
                <c:pt idx="2170">
                  <c:v>1.3575450881720529E-2</c:v>
                </c:pt>
                <c:pt idx="2171">
                  <c:v>1.3571362181946127E-2</c:v>
                </c:pt>
                <c:pt idx="2172">
                  <c:v>1.3567252895105757E-2</c:v>
                </c:pt>
                <c:pt idx="2173">
                  <c:v>1.3563123021262851E-2</c:v>
                </c:pt>
                <c:pt idx="2174">
                  <c:v>1.3559017853970203E-2</c:v>
                </c:pt>
                <c:pt idx="2175">
                  <c:v>1.3554848433550735E-2</c:v>
                </c:pt>
                <c:pt idx="2176">
                  <c:v>1.3550658427046341E-2</c:v>
                </c:pt>
                <c:pt idx="2177">
                  <c:v>1.3546447834521146E-2</c:v>
                </c:pt>
                <c:pt idx="2178">
                  <c:v>1.3542216656041033E-2</c:v>
                </c:pt>
                <c:pt idx="2179">
                  <c:v>1.3537911454822233E-2</c:v>
                </c:pt>
                <c:pt idx="2180">
                  <c:v>1.35336374738027E-2</c:v>
                </c:pt>
                <c:pt idx="2181">
                  <c:v>1.3529342906308034E-2</c:v>
                </c:pt>
                <c:pt idx="2182">
                  <c:v>1.3525027752408613E-2</c:v>
                </c:pt>
                <c:pt idx="2183">
                  <c:v>1.352069201217221E-2</c:v>
                </c:pt>
                <c:pt idx="2184">
                  <c:v>1.3516335685664857E-2</c:v>
                </c:pt>
                <c:pt idx="2185">
                  <c:v>1.3511958772956934E-2</c:v>
                </c:pt>
                <c:pt idx="2186">
                  <c:v>1.3507561274116212E-2</c:v>
                </c:pt>
                <c:pt idx="2187">
                  <c:v>1.3503143189213071E-2</c:v>
                </c:pt>
                <c:pt idx="2188">
                  <c:v>1.3498704518315282E-2</c:v>
                </c:pt>
                <c:pt idx="2189">
                  <c:v>1.3494245261494092E-2</c:v>
                </c:pt>
                <c:pt idx="2190">
                  <c:v>1.3489765418819881E-2</c:v>
                </c:pt>
                <c:pt idx="2191">
                  <c:v>1.3485264990361286E-2</c:v>
                </c:pt>
                <c:pt idx="2192">
                  <c:v>1.3480743976192165E-2</c:v>
                </c:pt>
                <c:pt idx="2193">
                  <c:v>1.3476202376380288E-2</c:v>
                </c:pt>
                <c:pt idx="2194">
                  <c:v>1.347164019099951E-2</c:v>
                </c:pt>
                <c:pt idx="2195">
                  <c:v>1.3467057420119338E-2</c:v>
                </c:pt>
                <c:pt idx="2196">
                  <c:v>1.3462535321734958E-2</c:v>
                </c:pt>
                <c:pt idx="2197">
                  <c:v>1.3457913022987242E-2</c:v>
                </c:pt>
                <c:pt idx="2198">
                  <c:v>1.3453270139663727E-2</c:v>
                </c:pt>
                <c:pt idx="2199">
                  <c:v>1.3448606671832924E-2</c:v>
                </c:pt>
                <c:pt idx="2200">
                  <c:v>1.3443834785787296E-2</c:v>
                </c:pt>
                <c:pt idx="2201">
                  <c:v>1.3439128503445199E-2</c:v>
                </c:pt>
                <c:pt idx="2202">
                  <c:v>1.3434401636115471E-2</c:v>
                </c:pt>
                <c:pt idx="2203">
                  <c:v>1.342965418387458E-2</c:v>
                </c:pt>
                <c:pt idx="2204">
                  <c:v>1.3424886146796374E-2</c:v>
                </c:pt>
                <c:pt idx="2205">
                  <c:v>1.342009752495384E-2</c:v>
                </c:pt>
                <c:pt idx="2206">
                  <c:v>1.3415288318426047E-2</c:v>
                </c:pt>
                <c:pt idx="2207">
                  <c:v>1.3410458527285977E-2</c:v>
                </c:pt>
                <c:pt idx="2208">
                  <c:v>1.3405608151609223E-2</c:v>
                </c:pt>
                <c:pt idx="2209">
                  <c:v>1.3400942372300051E-2</c:v>
                </c:pt>
                <c:pt idx="2210">
                  <c:v>1.3396054131662893E-2</c:v>
                </c:pt>
                <c:pt idx="2211">
                  <c:v>1.3391145308103702E-2</c:v>
                </c:pt>
                <c:pt idx="2212">
                  <c:v>1.3386215901702414E-2</c:v>
                </c:pt>
                <c:pt idx="2213">
                  <c:v>1.3381265912530971E-2</c:v>
                </c:pt>
                <c:pt idx="2214">
                  <c:v>1.3376295340666644E-2</c:v>
                </c:pt>
                <c:pt idx="2215">
                  <c:v>1.3371304186185817E-2</c:v>
                </c:pt>
                <c:pt idx="2216">
                  <c:v>1.336629244916665E-2</c:v>
                </c:pt>
                <c:pt idx="2217">
                  <c:v>1.3361260129684638E-2</c:v>
                </c:pt>
                <c:pt idx="2218">
                  <c:v>1.3356324469141315E-2</c:v>
                </c:pt>
                <c:pt idx="2219">
                  <c:v>1.3351252642952623E-2</c:v>
                </c:pt>
                <c:pt idx="2220">
                  <c:v>1.3346160235219373E-2</c:v>
                </c:pt>
                <c:pt idx="2221">
                  <c:v>1.3341047246020601E-2</c:v>
                </c:pt>
                <c:pt idx="2222">
                  <c:v>1.3335541559224635E-2</c:v>
                </c:pt>
                <c:pt idx="2223">
                  <c:v>1.3330382424852748E-2</c:v>
                </c:pt>
                <c:pt idx="2224">
                  <c:v>1.3325202707203171E-2</c:v>
                </c:pt>
                <c:pt idx="2225">
                  <c:v>1.3320002406360183E-2</c:v>
                </c:pt>
                <c:pt idx="2226">
                  <c:v>1.3314912370307994E-2</c:v>
                </c:pt>
                <c:pt idx="2227">
                  <c:v>1.3309672566968644E-2</c:v>
                </c:pt>
                <c:pt idx="2228">
                  <c:v>1.3304412181359339E-2</c:v>
                </c:pt>
                <c:pt idx="2229">
                  <c:v>1.3299131213562652E-2</c:v>
                </c:pt>
                <c:pt idx="2230">
                  <c:v>1.3293829663658517E-2</c:v>
                </c:pt>
                <c:pt idx="2231">
                  <c:v>1.3288368358818709E-2</c:v>
                </c:pt>
                <c:pt idx="2232">
                  <c:v>1.3283023977922616E-2</c:v>
                </c:pt>
                <c:pt idx="2233">
                  <c:v>1.327765901449519E-2</c:v>
                </c:pt>
                <c:pt idx="2234">
                  <c:v>1.3272273468621584E-2</c:v>
                </c:pt>
                <c:pt idx="2235">
                  <c:v>1.3266867340385206E-2</c:v>
                </c:pt>
                <c:pt idx="2236">
                  <c:v>1.3261440629872943E-2</c:v>
                </c:pt>
                <c:pt idx="2237">
                  <c:v>1.3255993337168209E-2</c:v>
                </c:pt>
                <c:pt idx="2238">
                  <c:v>1.325052546235876E-2</c:v>
                </c:pt>
                <c:pt idx="2239">
                  <c:v>1.3245037005528874E-2</c:v>
                </c:pt>
                <c:pt idx="2240">
                  <c:v>1.3239527966765439E-2</c:v>
                </c:pt>
                <c:pt idx="2241">
                  <c:v>1.3233998346156212E-2</c:v>
                </c:pt>
                <c:pt idx="2242">
                  <c:v>1.3228448143785472E-2</c:v>
                </c:pt>
                <c:pt idx="2243">
                  <c:v>1.3222877359743581E-2</c:v>
                </c:pt>
                <c:pt idx="2244">
                  <c:v>1.3217285994115691E-2</c:v>
                </c:pt>
                <c:pt idx="2245">
                  <c:v>1.3211674046991292E-2</c:v>
                </c:pt>
                <c:pt idx="2246">
                  <c:v>1.3206041518459014E-2</c:v>
                </c:pt>
                <c:pt idx="2247">
                  <c:v>1.3200388408605738E-2</c:v>
                </c:pt>
                <c:pt idx="2248">
                  <c:v>1.3194882320731018E-2</c:v>
                </c:pt>
                <c:pt idx="2249">
                  <c:v>1.3189189726837606E-2</c:v>
                </c:pt>
                <c:pt idx="2250">
                  <c:v>1.3183476552547906E-2</c:v>
                </c:pt>
                <c:pt idx="2251">
                  <c:v>1.3177742797953272E-2</c:v>
                </c:pt>
                <c:pt idx="2252">
                  <c:v>1.3171988463138034E-2</c:v>
                </c:pt>
                <c:pt idx="2253">
                  <c:v>1.3166037546768122E-2</c:v>
                </c:pt>
                <c:pt idx="2254">
                  <c:v>1.3160240370183259E-2</c:v>
                </c:pt>
                <c:pt idx="2255">
                  <c:v>1.3154422612998562E-2</c:v>
                </c:pt>
                <c:pt idx="2256">
                  <c:v>1.3148584275304395E-2</c:v>
                </c:pt>
                <c:pt idx="2257">
                  <c:v>1.3142725357195465E-2</c:v>
                </c:pt>
                <c:pt idx="2258">
                  <c:v>1.3136845858761265E-2</c:v>
                </c:pt>
                <c:pt idx="2259">
                  <c:v>1.3130945780096501E-2</c:v>
                </c:pt>
                <c:pt idx="2260">
                  <c:v>1.3125025121292405E-2</c:v>
                </c:pt>
                <c:pt idx="2261">
                  <c:v>1.311946266195374E-2</c:v>
                </c:pt>
                <c:pt idx="2262">
                  <c:v>1.3113504216622829E-2</c:v>
                </c:pt>
                <c:pt idx="2263">
                  <c:v>1.3107525192720182E-2</c:v>
                </c:pt>
                <c:pt idx="2264">
                  <c:v>1.3101525590336394E-2</c:v>
                </c:pt>
                <c:pt idx="2265">
                  <c:v>1.3095505409565611E-2</c:v>
                </c:pt>
                <c:pt idx="2266">
                  <c:v>1.308946465049754E-2</c:v>
                </c:pt>
                <c:pt idx="2267">
                  <c:v>1.3083403313228104E-2</c:v>
                </c:pt>
                <c:pt idx="2268">
                  <c:v>1.3077321397849673E-2</c:v>
                </c:pt>
                <c:pt idx="2269">
                  <c:v>1.3071218904456394E-2</c:v>
                </c:pt>
                <c:pt idx="2270">
                  <c:v>1.3065300177189865E-2</c:v>
                </c:pt>
                <c:pt idx="2271">
                  <c:v>1.3059158220381549E-2</c:v>
                </c:pt>
                <c:pt idx="2272">
                  <c:v>1.3052995686475454E-2</c:v>
                </c:pt>
                <c:pt idx="2273">
                  <c:v>1.3046812575564091E-2</c:v>
                </c:pt>
                <c:pt idx="2274">
                  <c:v>1.3039975036202989E-2</c:v>
                </c:pt>
                <c:pt idx="2275">
                  <c:v>1.3033745686673738E-2</c:v>
                </c:pt>
                <c:pt idx="2276">
                  <c:v>1.3027495758534367E-2</c:v>
                </c:pt>
                <c:pt idx="2277">
                  <c:v>1.3021225251883926E-2</c:v>
                </c:pt>
                <c:pt idx="2278">
                  <c:v>1.30149341668206E-2</c:v>
                </c:pt>
                <c:pt idx="2279">
                  <c:v>1.3008842435534513E-2</c:v>
                </c:pt>
                <c:pt idx="2280">
                  <c:v>1.3002511892137768E-2</c:v>
                </c:pt>
                <c:pt idx="2281">
                  <c:v>1.2996160771249663E-2</c:v>
                </c:pt>
                <c:pt idx="2282">
                  <c:v>1.2989789072968581E-2</c:v>
                </c:pt>
                <c:pt idx="2283">
                  <c:v>1.2983170068781798E-2</c:v>
                </c:pt>
                <c:pt idx="2284">
                  <c:v>1.2976755515330783E-2</c:v>
                </c:pt>
                <c:pt idx="2285">
                  <c:v>1.2970320384164584E-2</c:v>
                </c:pt>
                <c:pt idx="2286">
                  <c:v>1.2963864675386596E-2</c:v>
                </c:pt>
                <c:pt idx="2287">
                  <c:v>1.2957388389099347E-2</c:v>
                </c:pt>
                <c:pt idx="2288">
                  <c:v>1.2950891525401888E-2</c:v>
                </c:pt>
                <c:pt idx="2289">
                  <c:v>1.2944374084397614E-2</c:v>
                </c:pt>
                <c:pt idx="2290">
                  <c:v>1.2937836066189919E-2</c:v>
                </c:pt>
                <c:pt idx="2291">
                  <c:v>1.2931277470881332E-2</c:v>
                </c:pt>
                <c:pt idx="2292">
                  <c:v>1.2924698298574379E-2</c:v>
                </c:pt>
                <c:pt idx="2293">
                  <c:v>1.2918098549372455E-2</c:v>
                </c:pt>
                <c:pt idx="2294">
                  <c:v>1.2911478223379826E-2</c:v>
                </c:pt>
                <c:pt idx="2295">
                  <c:v>1.2904837320699886E-2</c:v>
                </c:pt>
                <c:pt idx="2296">
                  <c:v>1.2898175841438637E-2</c:v>
                </c:pt>
                <c:pt idx="2297">
                  <c:v>1.2891493785699475E-2</c:v>
                </c:pt>
                <c:pt idx="2298">
                  <c:v>1.2884791153588404E-2</c:v>
                </c:pt>
                <c:pt idx="2299">
                  <c:v>1.2878067945210554E-2</c:v>
                </c:pt>
                <c:pt idx="2300">
                  <c:v>1.2871579884318257E-2</c:v>
                </c:pt>
                <c:pt idx="2301">
                  <c:v>1.286481723477724E-2</c:v>
                </c:pt>
                <c:pt idx="2302">
                  <c:v>1.2858034009884689E-2</c:v>
                </c:pt>
                <c:pt idx="2303">
                  <c:v>1.285123020974953E-2</c:v>
                </c:pt>
                <c:pt idx="2304">
                  <c:v>1.2844405834476293E-2</c:v>
                </c:pt>
                <c:pt idx="2305">
                  <c:v>1.283729659927986E-2</c:v>
                </c:pt>
                <c:pt idx="2306">
                  <c:v>1.2830429360012186E-2</c:v>
                </c:pt>
                <c:pt idx="2307">
                  <c:v>1.2823541545332703E-2</c:v>
                </c:pt>
                <c:pt idx="2308">
                  <c:v>1.2816633155350022E-2</c:v>
                </c:pt>
                <c:pt idx="2309">
                  <c:v>1.2809704190171009E-2</c:v>
                </c:pt>
                <c:pt idx="2310">
                  <c:v>1.2802754649908621E-2</c:v>
                </c:pt>
                <c:pt idx="2311">
                  <c:v>1.279578453466799E-2</c:v>
                </c:pt>
                <c:pt idx="2312">
                  <c:v>1.2788793844562069E-2</c:v>
                </c:pt>
                <c:pt idx="2313">
                  <c:v>1.2782060593437958E-2</c:v>
                </c:pt>
                <c:pt idx="2314">
                  <c:v>1.2775030472678139E-2</c:v>
                </c:pt>
                <c:pt idx="2315">
                  <c:v>1.276797977796611E-2</c:v>
                </c:pt>
                <c:pt idx="2316">
                  <c:v>1.276090850941167E-2</c:v>
                </c:pt>
                <c:pt idx="2317">
                  <c:v>1.2752801867317358E-2</c:v>
                </c:pt>
                <c:pt idx="2318">
                  <c:v>1.2745686512327317E-2</c:v>
                </c:pt>
                <c:pt idx="2319">
                  <c:v>1.2738550583841841E-2</c:v>
                </c:pt>
                <c:pt idx="2320">
                  <c:v>1.2730231842313231E-2</c:v>
                </c:pt>
                <c:pt idx="2321">
                  <c:v>1.2724217006829944E-2</c:v>
                </c:pt>
                <c:pt idx="2322">
                  <c:v>1.2717312936945113E-2</c:v>
                </c:pt>
                <c:pt idx="2323">
                  <c:v>1.2710096439541907E-2</c:v>
                </c:pt>
                <c:pt idx="2324">
                  <c:v>1.2702859369772668E-2</c:v>
                </c:pt>
                <c:pt idx="2325">
                  <c:v>1.2695601727751082E-2</c:v>
                </c:pt>
                <c:pt idx="2326">
                  <c:v>1.2687120573296001E-2</c:v>
                </c:pt>
                <c:pt idx="2327">
                  <c:v>1.2679814881623954E-2</c:v>
                </c:pt>
                <c:pt idx="2328">
                  <c:v>1.2672488615766147E-2</c:v>
                </c:pt>
                <c:pt idx="2329">
                  <c:v>1.2665141775839084E-2</c:v>
                </c:pt>
                <c:pt idx="2330">
                  <c:v>1.2658697551765918E-2</c:v>
                </c:pt>
                <c:pt idx="2331">
                  <c:v>1.2651314750080756E-2</c:v>
                </c:pt>
                <c:pt idx="2332">
                  <c:v>1.2643911376371511E-2</c:v>
                </c:pt>
                <c:pt idx="2333">
                  <c:v>1.2632235939781232E-2</c:v>
                </c:pt>
                <c:pt idx="2334">
                  <c:v>1.2629042913326125E-2</c:v>
                </c:pt>
                <c:pt idx="2335">
                  <c:v>1.2618055254457618E-2</c:v>
                </c:pt>
                <c:pt idx="2336">
                  <c:v>1.2610559045821182E-2</c:v>
                </c:pt>
                <c:pt idx="2337">
                  <c:v>1.2603042265230173E-2</c:v>
                </c:pt>
                <c:pt idx="2338">
                  <c:v>1.2595504912804494E-2</c:v>
                </c:pt>
                <c:pt idx="2339">
                  <c:v>1.2587946988660573E-2</c:v>
                </c:pt>
                <c:pt idx="2340">
                  <c:v>1.2580368492919181E-2</c:v>
                </c:pt>
                <c:pt idx="2341">
                  <c:v>1.2572769425699357E-2</c:v>
                </c:pt>
                <c:pt idx="2342">
                  <c:v>1.2565149787121001E-2</c:v>
                </c:pt>
                <c:pt idx="2343">
                  <c:v>1.2557509577304022E-2</c:v>
                </c:pt>
                <c:pt idx="2344">
                  <c:v>1.2549848796365715E-2</c:v>
                </c:pt>
                <c:pt idx="2345">
                  <c:v>1.2542167444430328E-2</c:v>
                </c:pt>
                <c:pt idx="2346">
                  <c:v>1.2534465521616026E-2</c:v>
                </c:pt>
                <c:pt idx="2347">
                  <c:v>1.2526743028044454E-2</c:v>
                </c:pt>
                <c:pt idx="2348">
                  <c:v>1.2518999963839858E-2</c:v>
                </c:pt>
                <c:pt idx="2349">
                  <c:v>1.2511236329120407E-2</c:v>
                </c:pt>
                <c:pt idx="2350">
                  <c:v>1.2503452124008609E-2</c:v>
                </c:pt>
                <c:pt idx="2351">
                  <c:v>1.249564734863045E-2</c:v>
                </c:pt>
                <c:pt idx="2352">
                  <c:v>1.2488168463703132E-2</c:v>
                </c:pt>
                <c:pt idx="2353">
                  <c:v>1.2480324289031564E-2</c:v>
                </c:pt>
                <c:pt idx="2354">
                  <c:v>1.2472459544992246E-2</c:v>
                </c:pt>
                <c:pt idx="2355">
                  <c:v>1.2464574231708159E-2</c:v>
                </c:pt>
                <c:pt idx="2356">
                  <c:v>1.2456314922004334E-2</c:v>
                </c:pt>
                <c:pt idx="2357">
                  <c:v>1.2448386727600741E-2</c:v>
                </c:pt>
                <c:pt idx="2358">
                  <c:v>1.2440437963793577E-2</c:v>
                </c:pt>
                <c:pt idx="2359">
                  <c:v>1.2432468630707958E-2</c:v>
                </c:pt>
                <c:pt idx="2360">
                  <c:v>1.2424478728470741E-2</c:v>
                </c:pt>
                <c:pt idx="2361">
                  <c:v>1.241646825720704E-2</c:v>
                </c:pt>
                <c:pt idx="2362">
                  <c:v>1.2408437217041107E-2</c:v>
                </c:pt>
                <c:pt idx="2363">
                  <c:v>1.2400385608101533E-2</c:v>
                </c:pt>
                <c:pt idx="2364">
                  <c:v>1.2392313430513436E-2</c:v>
                </c:pt>
                <c:pt idx="2365">
                  <c:v>1.2384589817534066E-2</c:v>
                </c:pt>
                <c:pt idx="2366">
                  <c:v>1.2376478250719783E-2</c:v>
                </c:pt>
                <c:pt idx="2367">
                  <c:v>1.236834611615492E-2</c:v>
                </c:pt>
                <c:pt idx="2368">
                  <c:v>1.2360193413964212E-2</c:v>
                </c:pt>
                <c:pt idx="2369">
                  <c:v>1.2351227056856651E-2</c:v>
                </c:pt>
                <c:pt idx="2370">
                  <c:v>1.2342654080102006E-2</c:v>
                </c:pt>
                <c:pt idx="2371">
                  <c:v>1.2334816439103058E-2</c:v>
                </c:pt>
                <c:pt idx="2372">
                  <c:v>1.2326580280277E-2</c:v>
                </c:pt>
                <c:pt idx="2373">
                  <c:v>1.2318323554985078E-2</c:v>
                </c:pt>
                <c:pt idx="2374">
                  <c:v>1.2310046263357854E-2</c:v>
                </c:pt>
                <c:pt idx="2375">
                  <c:v>1.2301748405521451E-2</c:v>
                </c:pt>
                <c:pt idx="2376">
                  <c:v>1.2293429981601989E-2</c:v>
                </c:pt>
                <c:pt idx="2377">
                  <c:v>1.2285090991729142E-2</c:v>
                </c:pt>
                <c:pt idx="2378">
                  <c:v>1.2275947325425977E-2</c:v>
                </c:pt>
                <c:pt idx="2379">
                  <c:v>1.2267563695444439E-2</c:v>
                </c:pt>
                <c:pt idx="2380">
                  <c:v>1.2259159498905747E-2</c:v>
                </c:pt>
                <c:pt idx="2381">
                  <c:v>1.2250734735938495E-2</c:v>
                </c:pt>
                <c:pt idx="2382">
                  <c:v>1.224268857033927E-2</c:v>
                </c:pt>
                <c:pt idx="2383">
                  <c:v>1.2231802328412898E-2</c:v>
                </c:pt>
                <c:pt idx="2384">
                  <c:v>1.2223311747912245E-2</c:v>
                </c:pt>
                <c:pt idx="2385">
                  <c:v>1.2214800602044161E-2</c:v>
                </c:pt>
                <c:pt idx="2386">
                  <c:v>1.2203827029947401E-2</c:v>
                </c:pt>
                <c:pt idx="2387">
                  <c:v>1.2197308162213405E-2</c:v>
                </c:pt>
                <c:pt idx="2388">
                  <c:v>1.2188733562158197E-2</c:v>
                </c:pt>
                <c:pt idx="2389">
                  <c:v>1.2180138396782241E-2</c:v>
                </c:pt>
                <c:pt idx="2390">
                  <c:v>1.2171522666222814E-2</c:v>
                </c:pt>
                <c:pt idx="2391">
                  <c:v>1.2162886370615463E-2</c:v>
                </c:pt>
                <c:pt idx="2392">
                  <c:v>1.2154229510095729E-2</c:v>
                </c:pt>
                <c:pt idx="2393">
                  <c:v>1.2145552084799158E-2</c:v>
                </c:pt>
                <c:pt idx="2394">
                  <c:v>1.213685409486303E-2</c:v>
                </c:pt>
                <c:pt idx="2395">
                  <c:v>1.212813554042289E-2</c:v>
                </c:pt>
                <c:pt idx="2396">
                  <c:v>1.2119396421616887E-2</c:v>
                </c:pt>
                <c:pt idx="2397">
                  <c:v>1.2110636738583171E-2</c:v>
                </c:pt>
                <c:pt idx="2398">
                  <c:v>1.210185649145642E-2</c:v>
                </c:pt>
                <c:pt idx="2399">
                  <c:v>1.2093055680379996E-2</c:v>
                </c:pt>
                <c:pt idx="2400">
                  <c:v>1.2084234305485964E-2</c:v>
                </c:pt>
                <c:pt idx="2401">
                  <c:v>1.2075392366918561E-2</c:v>
                </c:pt>
                <c:pt idx="2402">
                  <c:v>1.2066529864814197E-2</c:v>
                </c:pt>
                <c:pt idx="2403">
                  <c:v>1.2057646799312762E-2</c:v>
                </c:pt>
                <c:pt idx="2404">
                  <c:v>1.2049181588418084E-2</c:v>
                </c:pt>
                <c:pt idx="2405">
                  <c:v>1.2040259163398605E-2</c:v>
                </c:pt>
                <c:pt idx="2406">
                  <c:v>1.2031316175856012E-2</c:v>
                </c:pt>
                <c:pt idx="2407">
                  <c:v>1.2020576676129236E-2</c:v>
                </c:pt>
                <c:pt idx="2408">
                  <c:v>1.2012923025745584E-2</c:v>
                </c:pt>
                <c:pt idx="2409">
                  <c:v>1.2003916582806317E-2</c:v>
                </c:pt>
                <c:pt idx="2410">
                  <c:v>1.1994889577454407E-2</c:v>
                </c:pt>
                <c:pt idx="2411">
                  <c:v>1.1985842009831483E-2</c:v>
                </c:pt>
                <c:pt idx="2412">
                  <c:v>1.1976773880080034E-2</c:v>
                </c:pt>
                <c:pt idx="2413">
                  <c:v>1.196768518834343E-2</c:v>
                </c:pt>
                <c:pt idx="2414">
                  <c:v>1.1958575934762423E-2</c:v>
                </c:pt>
                <c:pt idx="2415">
                  <c:v>1.1949446119483854E-2</c:v>
                </c:pt>
                <c:pt idx="2416">
                  <c:v>1.1940295742650219E-2</c:v>
                </c:pt>
                <c:pt idx="2417">
                  <c:v>1.1932047469425555E-2</c:v>
                </c:pt>
                <c:pt idx="2418">
                  <c:v>1.1922859515152595E-2</c:v>
                </c:pt>
                <c:pt idx="2419">
                  <c:v>1.1913651000627468E-2</c:v>
                </c:pt>
                <c:pt idx="2420">
                  <c:v>1.1898203607450265E-2</c:v>
                </c:pt>
                <c:pt idx="2421">
                  <c:v>1.1893849236656706E-2</c:v>
                </c:pt>
                <c:pt idx="2422">
                  <c:v>1.1885902096953949E-2</c:v>
                </c:pt>
                <c:pt idx="2423">
                  <c:v>1.1876611342837684E-2</c:v>
                </c:pt>
                <c:pt idx="2424">
                  <c:v>1.1867300029180683E-2</c:v>
                </c:pt>
                <c:pt idx="2425">
                  <c:v>1.1857968156124166E-2</c:v>
                </c:pt>
                <c:pt idx="2426">
                  <c:v>1.1849092755759084E-2</c:v>
                </c:pt>
                <c:pt idx="2427">
                  <c:v>1.1839721540712876E-2</c:v>
                </c:pt>
                <c:pt idx="2428">
                  <c:v>1.1830329767122137E-2</c:v>
                </c:pt>
                <c:pt idx="2429">
                  <c:v>1.1820917435128779E-2</c:v>
                </c:pt>
                <c:pt idx="2430">
                  <c:v>1.1810031584772404E-2</c:v>
                </c:pt>
                <c:pt idx="2431">
                  <c:v>1.1800572802049247E-2</c:v>
                </c:pt>
                <c:pt idx="2432">
                  <c:v>1.1791093460111758E-2</c:v>
                </c:pt>
                <c:pt idx="2433">
                  <c:v>1.1781593559110253E-2</c:v>
                </c:pt>
                <c:pt idx="2434">
                  <c:v>1.1772564714535015E-2</c:v>
                </c:pt>
                <c:pt idx="2435">
                  <c:v>1.1763025475683878E-2</c:v>
                </c:pt>
                <c:pt idx="2436">
                  <c:v>1.1753465678622659E-2</c:v>
                </c:pt>
                <c:pt idx="2437">
                  <c:v>1.1743885323502451E-2</c:v>
                </c:pt>
                <c:pt idx="2438">
                  <c:v>1.1733785673352226E-2</c:v>
                </c:pt>
                <c:pt idx="2439">
                  <c:v>1.1724162421104982E-2</c:v>
                </c:pt>
                <c:pt idx="2440">
                  <c:v>1.1714518610844184E-2</c:v>
                </c:pt>
                <c:pt idx="2441">
                  <c:v>1.1704854242723627E-2</c:v>
                </c:pt>
                <c:pt idx="2442">
                  <c:v>1.169516931689275E-2</c:v>
                </c:pt>
                <c:pt idx="2443">
                  <c:v>1.1685463833504479E-2</c:v>
                </c:pt>
                <c:pt idx="2444">
                  <c:v>1.1675737792711733E-2</c:v>
                </c:pt>
                <c:pt idx="2445">
                  <c:v>1.1665991194669172E-2</c:v>
                </c:pt>
                <c:pt idx="2446">
                  <c:v>1.1656224039527109E-2</c:v>
                </c:pt>
                <c:pt idx="2447">
                  <c:v>1.1646436327439337E-2</c:v>
                </c:pt>
                <c:pt idx="2448">
                  <c:v>1.1636628058563117E-2</c:v>
                </c:pt>
                <c:pt idx="2449">
                  <c:v>1.1626799233049637E-2</c:v>
                </c:pt>
                <c:pt idx="2450">
                  <c:v>1.1616949851056161E-2</c:v>
                </c:pt>
                <c:pt idx="2451">
                  <c:v>1.1607079912733001E-2</c:v>
                </c:pt>
                <c:pt idx="2452">
                  <c:v>1.1597189418238295E-2</c:v>
                </c:pt>
                <c:pt idx="2453">
                  <c:v>1.1587278367728439E-2</c:v>
                </c:pt>
                <c:pt idx="2454">
                  <c:v>1.1577346761358957E-2</c:v>
                </c:pt>
                <c:pt idx="2455">
                  <c:v>1.1567394599284513E-2</c:v>
                </c:pt>
                <c:pt idx="2456">
                  <c:v>1.1557952744898568E-2</c:v>
                </c:pt>
                <c:pt idx="2457">
                  <c:v>1.1547961260294495E-2</c:v>
                </c:pt>
                <c:pt idx="2458">
                  <c:v>1.1537949220826238E-2</c:v>
                </c:pt>
                <c:pt idx="2459">
                  <c:v>1.1527916626651912E-2</c:v>
                </c:pt>
                <c:pt idx="2460">
                  <c:v>1.1515710308999011E-2</c:v>
                </c:pt>
                <c:pt idx="2461">
                  <c:v>1.1507249965837857E-2</c:v>
                </c:pt>
                <c:pt idx="2462">
                  <c:v>1.1497153918234703E-2</c:v>
                </c:pt>
                <c:pt idx="2463">
                  <c:v>1.1487037316189054E-2</c:v>
                </c:pt>
                <c:pt idx="2464">
                  <c:v>1.1476900159859912E-2</c:v>
                </c:pt>
                <c:pt idx="2465">
                  <c:v>1.1466742449405411E-2</c:v>
                </c:pt>
                <c:pt idx="2466">
                  <c:v>1.1456564184984554E-2</c:v>
                </c:pt>
                <c:pt idx="2467">
                  <c:v>1.144636536676156E-2</c:v>
                </c:pt>
                <c:pt idx="2468">
                  <c:v>1.1436145994892824E-2</c:v>
                </c:pt>
                <c:pt idx="2469">
                  <c:v>1.1427014168738481E-2</c:v>
                </c:pt>
                <c:pt idx="2470">
                  <c:v>1.141675727616942E-2</c:v>
                </c:pt>
                <c:pt idx="2471">
                  <c:v>1.1406479831133964E-2</c:v>
                </c:pt>
                <c:pt idx="2472">
                  <c:v>1.1396181833791097E-2</c:v>
                </c:pt>
                <c:pt idx="2473">
                  <c:v>1.1385863284295361E-2</c:v>
                </c:pt>
                <c:pt idx="2474">
                  <c:v>1.1375524182809293E-2</c:v>
                </c:pt>
                <c:pt idx="2475">
                  <c:v>1.1365164529491878E-2</c:v>
                </c:pt>
                <c:pt idx="2476">
                  <c:v>1.1354784324500322E-2</c:v>
                </c:pt>
                <c:pt idx="2477">
                  <c:v>1.1344383567996275E-2</c:v>
                </c:pt>
                <c:pt idx="2478">
                  <c:v>1.1334532184821227E-2</c:v>
                </c:pt>
                <c:pt idx="2479">
                  <c:v>1.1324092121796804E-2</c:v>
                </c:pt>
                <c:pt idx="2480">
                  <c:v>1.1313631759927528E-2</c:v>
                </c:pt>
                <c:pt idx="2481">
                  <c:v>1.1303153825447021E-2</c:v>
                </c:pt>
                <c:pt idx="2482">
                  <c:v>1.1290937502960417E-2</c:v>
                </c:pt>
                <c:pt idx="2483">
                  <c:v>1.1280436631302116E-2</c:v>
                </c:pt>
                <c:pt idx="2484">
                  <c:v>1.1269931828235571E-2</c:v>
                </c:pt>
                <c:pt idx="2485">
                  <c:v>1.1259427105450895E-2</c:v>
                </c:pt>
                <c:pt idx="2486">
                  <c:v>1.1249499327613068E-2</c:v>
                </c:pt>
                <c:pt idx="2487">
                  <c:v>1.1239005498110129E-2</c:v>
                </c:pt>
                <c:pt idx="2488">
                  <c:v>1.122852356262E-2</c:v>
                </c:pt>
                <c:pt idx="2489">
                  <c:v>1.1218057576617754E-2</c:v>
                </c:pt>
                <c:pt idx="2490">
                  <c:v>1.1207611595543333E-2</c:v>
                </c:pt>
                <c:pt idx="2491">
                  <c:v>1.1196625103901283E-2</c:v>
                </c:pt>
                <c:pt idx="2492">
                  <c:v>1.1186233266808706E-2</c:v>
                </c:pt>
                <c:pt idx="2493">
                  <c:v>1.1175872933381023E-2</c:v>
                </c:pt>
                <c:pt idx="2494">
                  <c:v>1.1165544771964481E-2</c:v>
                </c:pt>
                <c:pt idx="2495">
                  <c:v>1.1155248782306242E-2</c:v>
                </c:pt>
                <c:pt idx="2496">
                  <c:v>1.1144984964149117E-2</c:v>
                </c:pt>
                <c:pt idx="2497">
                  <c:v>1.113475331724461E-2</c:v>
                </c:pt>
                <c:pt idx="2498">
                  <c:v>1.1124553841339013E-2</c:v>
                </c:pt>
                <c:pt idx="2499">
                  <c:v>1.1114386536182087E-2</c:v>
                </c:pt>
                <c:pt idx="2500">
                  <c:v>1.110425140152534E-2</c:v>
                </c:pt>
                <c:pt idx="2501">
                  <c:v>1.1094148437116797E-2</c:v>
                </c:pt>
                <c:pt idx="2502">
                  <c:v>1.1084077642711437E-2</c:v>
                </c:pt>
                <c:pt idx="2503">
                  <c:v>1.1074039018059026E-2</c:v>
                </c:pt>
                <c:pt idx="2504">
                  <c:v>1.1064032562914541E-2</c:v>
                </c:pt>
                <c:pt idx="2505">
                  <c:v>1.1054058277031225E-2</c:v>
                </c:pt>
                <c:pt idx="2506">
                  <c:v>1.1044116160164054E-2</c:v>
                </c:pt>
                <c:pt idx="2507">
                  <c:v>1.103420621206801E-2</c:v>
                </c:pt>
                <c:pt idx="2508">
                  <c:v>1.1024859258334513E-2</c:v>
                </c:pt>
                <c:pt idx="2509">
                  <c:v>1.1015011650366759E-2</c:v>
                </c:pt>
                <c:pt idx="2510">
                  <c:v>1.1005196209212394E-2</c:v>
                </c:pt>
                <c:pt idx="2511">
                  <c:v>1.0995412934626339E-2</c:v>
                </c:pt>
                <c:pt idx="2512">
                  <c:v>1.0985138994669276E-2</c:v>
                </c:pt>
                <c:pt idx="2513">
                  <c:v>1.0975422054116222E-2</c:v>
                </c:pt>
                <c:pt idx="2514">
                  <c:v>1.0965737280647817E-2</c:v>
                </c:pt>
                <c:pt idx="2515">
                  <c:v>1.0956084674021645E-2</c:v>
                </c:pt>
                <c:pt idx="2516">
                  <c:v>1.094646423400485E-2</c:v>
                </c:pt>
                <c:pt idx="2517">
                  <c:v>1.0936875960360228E-2</c:v>
                </c:pt>
                <c:pt idx="2518">
                  <c:v>1.0927319852851447E-2</c:v>
                </c:pt>
                <c:pt idx="2519">
                  <c:v>1.0917795911242178E-2</c:v>
                </c:pt>
                <c:pt idx="2520">
                  <c:v>1.0908304135300428E-2</c:v>
                </c:pt>
                <c:pt idx="2521">
                  <c:v>1.0899349298255902E-2</c:v>
                </c:pt>
                <c:pt idx="2522">
                  <c:v>1.0889919840429474E-2</c:v>
                </c:pt>
                <c:pt idx="2523">
                  <c:v>1.0880522546370079E-2</c:v>
                </c:pt>
                <c:pt idx="2524">
                  <c:v>1.0871157415852846E-2</c:v>
                </c:pt>
                <c:pt idx="2525">
                  <c:v>1.086182444864499E-2</c:v>
                </c:pt>
                <c:pt idx="2526">
                  <c:v>1.0852523644525151E-2</c:v>
                </c:pt>
                <c:pt idx="2527">
                  <c:v>1.0843255003263184E-2</c:v>
                </c:pt>
                <c:pt idx="2528">
                  <c:v>1.0834018524636849E-2</c:v>
                </c:pt>
                <c:pt idx="2529">
                  <c:v>1.0824814208417756E-2</c:v>
                </c:pt>
                <c:pt idx="2530">
                  <c:v>1.0816128855205775E-2</c:v>
                </c:pt>
                <c:pt idx="2531">
                  <c:v>1.0806986840061761E-2</c:v>
                </c:pt>
                <c:pt idx="2532">
                  <c:v>1.0797876985476407E-2</c:v>
                </c:pt>
                <c:pt idx="2533">
                  <c:v>1.0788799291233886E-2</c:v>
                </c:pt>
                <c:pt idx="2534">
                  <c:v>1.0778796537914258E-2</c:v>
                </c:pt>
                <c:pt idx="2535">
                  <c:v>1.0769787219419546E-2</c:v>
                </c:pt>
                <c:pt idx="2536">
                  <c:v>1.0760810062954394E-2</c:v>
                </c:pt>
                <c:pt idx="2537">
                  <c:v>1.0751865068296373E-2</c:v>
                </c:pt>
                <c:pt idx="2538">
                  <c:v>1.0742952235227395E-2</c:v>
                </c:pt>
                <c:pt idx="2539">
                  <c:v>1.0734539929918659E-2</c:v>
                </c:pt>
                <c:pt idx="2540">
                  <c:v>1.0725689385607159E-2</c:v>
                </c:pt>
                <c:pt idx="2541">
                  <c:v>1.0716871001072041E-2</c:v>
                </c:pt>
                <c:pt idx="2542">
                  <c:v>1.0708084776099846E-2</c:v>
                </c:pt>
                <c:pt idx="2543">
                  <c:v>1.0698870486065163E-2</c:v>
                </c:pt>
                <c:pt idx="2544">
                  <c:v>1.069015061795411E-2</c:v>
                </c:pt>
                <c:pt idx="2545">
                  <c:v>1.0681462909910712E-2</c:v>
                </c:pt>
                <c:pt idx="2546">
                  <c:v>1.0672807361727306E-2</c:v>
                </c:pt>
                <c:pt idx="2547">
                  <c:v>1.066418397318928E-2</c:v>
                </c:pt>
                <c:pt idx="2548">
                  <c:v>1.0655592744083764E-2</c:v>
                </c:pt>
                <c:pt idx="2549">
                  <c:v>1.0647033674200487E-2</c:v>
                </c:pt>
                <c:pt idx="2550">
                  <c:v>1.0638506763329187E-2</c:v>
                </c:pt>
                <c:pt idx="2551">
                  <c:v>1.0630012011260464E-2</c:v>
                </c:pt>
                <c:pt idx="2552">
                  <c:v>1.0621549417782315E-2</c:v>
                </c:pt>
                <c:pt idx="2553">
                  <c:v>1.0613118982691423E-2</c:v>
                </c:pt>
                <c:pt idx="2554">
                  <c:v>1.060472070577839E-2</c:v>
                </c:pt>
                <c:pt idx="2555">
                  <c:v>1.0596354586836427E-2</c:v>
                </c:pt>
                <c:pt idx="2556">
                  <c:v>1.0588020625660478E-2</c:v>
                </c:pt>
                <c:pt idx="2557">
                  <c:v>1.057971882204636E-2</c:v>
                </c:pt>
                <c:pt idx="2558">
                  <c:v>1.0571449175789021E-2</c:v>
                </c:pt>
                <c:pt idx="2559">
                  <c:v>1.0563211686685142E-2</c:v>
                </c:pt>
                <c:pt idx="2560">
                  <c:v>1.0555431771845876E-2</c:v>
                </c:pt>
                <c:pt idx="2561">
                  <c:v>1.0547256538844545E-2</c:v>
                </c:pt>
                <c:pt idx="2562">
                  <c:v>1.0539113461280208E-2</c:v>
                </c:pt>
                <c:pt idx="2563">
                  <c:v>1.0531002538956979E-2</c:v>
                </c:pt>
                <c:pt idx="2564">
                  <c:v>1.0522923771675456E-2</c:v>
                </c:pt>
                <c:pt idx="2565">
                  <c:v>1.0514462041010978E-2</c:v>
                </c:pt>
                <c:pt idx="2566">
                  <c:v>1.0506449646358005E-2</c:v>
                </c:pt>
                <c:pt idx="2567">
                  <c:v>1.0498469407262378E-2</c:v>
                </c:pt>
                <c:pt idx="2568">
                  <c:v>1.0490521323526864E-2</c:v>
                </c:pt>
                <c:pt idx="2569">
                  <c:v>1.048260539495597E-2</c:v>
                </c:pt>
                <c:pt idx="2570">
                  <c:v>1.0474721621355066E-2</c:v>
                </c:pt>
                <c:pt idx="2571">
                  <c:v>1.0466870002530394E-2</c:v>
                </c:pt>
                <c:pt idx="2572">
                  <c:v>1.0459050538290805E-2</c:v>
                </c:pt>
                <c:pt idx="2573">
                  <c:v>1.0452060583108214E-2</c:v>
                </c:pt>
                <c:pt idx="2574">
                  <c:v>1.0444301283851765E-2</c:v>
                </c:pt>
                <c:pt idx="2575">
                  <c:v>1.0436574136434729E-2</c:v>
                </c:pt>
                <c:pt idx="2576">
                  <c:v>1.0428879140672365E-2</c:v>
                </c:pt>
                <c:pt idx="2577">
                  <c:v>1.0419734046671552E-2</c:v>
                </c:pt>
                <c:pt idx="2578">
                  <c:v>1.0412498128959058E-2</c:v>
                </c:pt>
                <c:pt idx="2579">
                  <c:v>1.0404904180054686E-2</c:v>
                </c:pt>
                <c:pt idx="2580">
                  <c:v>1.0397342382045593E-2</c:v>
                </c:pt>
                <c:pt idx="2581">
                  <c:v>1.0389812734746151E-2</c:v>
                </c:pt>
                <c:pt idx="2582">
                  <c:v>1.0382695219522092E-2</c:v>
                </c:pt>
                <c:pt idx="2583">
                  <c:v>1.0375227791683763E-2</c:v>
                </c:pt>
                <c:pt idx="2584">
                  <c:v>1.0367792512950386E-2</c:v>
                </c:pt>
                <c:pt idx="2585">
                  <c:v>1.0360389383143227E-2</c:v>
                </c:pt>
                <c:pt idx="2586">
                  <c:v>1.0351162071405259E-2</c:v>
                </c:pt>
                <c:pt idx="2587">
                  <c:v>1.0343833668767339E-2</c:v>
                </c:pt>
                <c:pt idx="2588">
                  <c:v>1.0336537419821892E-2</c:v>
                </c:pt>
                <c:pt idx="2589">
                  <c:v>1.0329273324386937E-2</c:v>
                </c:pt>
                <c:pt idx="2590">
                  <c:v>1.0323129553291826E-2</c:v>
                </c:pt>
                <c:pt idx="2591">
                  <c:v>1.0315923493327703E-2</c:v>
                </c:pt>
                <c:pt idx="2592">
                  <c:v>1.0308749583176064E-2</c:v>
                </c:pt>
                <c:pt idx="2593">
                  <c:v>1.0297541251124569E-2</c:v>
                </c:pt>
                <c:pt idx="2594">
                  <c:v>1.0294498211619795E-2</c:v>
                </c:pt>
                <c:pt idx="2595">
                  <c:v>1.0286363965333771E-2</c:v>
                </c:pt>
                <c:pt idx="2596">
                  <c:v>1.0279324939407378E-2</c:v>
                </c:pt>
                <c:pt idx="2597">
                  <c:v>1.0272318065554332E-2</c:v>
                </c:pt>
                <c:pt idx="2598">
                  <c:v>1.0265343343599449E-2</c:v>
                </c:pt>
                <c:pt idx="2599">
                  <c:v>1.0258400773367551E-2</c:v>
                </c:pt>
                <c:pt idx="2600">
                  <c:v>1.0251490354683463E-2</c:v>
                </c:pt>
                <c:pt idx="2601">
                  <c:v>1.0244612087372852E-2</c:v>
                </c:pt>
                <c:pt idx="2602">
                  <c:v>1.0237765971265644E-2</c:v>
                </c:pt>
                <c:pt idx="2603">
                  <c:v>1.0231958409916737E-2</c:v>
                </c:pt>
                <c:pt idx="2604">
                  <c:v>1.0224170191967518E-2</c:v>
                </c:pt>
                <c:pt idx="2605">
                  <c:v>1.0217420528436447E-2</c:v>
                </c:pt>
                <c:pt idx="2606">
                  <c:v>1.0210703015425921E-2</c:v>
                </c:pt>
                <c:pt idx="2607">
                  <c:v>1.020401765276331E-2</c:v>
                </c:pt>
                <c:pt idx="2608">
                  <c:v>1.0197364440285342E-2</c:v>
                </c:pt>
                <c:pt idx="2609">
                  <c:v>1.0190743377821087E-2</c:v>
                </c:pt>
                <c:pt idx="2610">
                  <c:v>1.0184154465206426E-2</c:v>
                </c:pt>
                <c:pt idx="2611">
                  <c:v>1.0177597702274679E-2</c:v>
                </c:pt>
                <c:pt idx="2612">
                  <c:v>1.0172022578222969E-2</c:v>
                </c:pt>
                <c:pt idx="2613">
                  <c:v>1.0165523775082503E-2</c:v>
                </c:pt>
                <c:pt idx="2614">
                  <c:v>1.015905711809942E-2</c:v>
                </c:pt>
                <c:pt idx="2615">
                  <c:v>1.0152622607115608E-2</c:v>
                </c:pt>
                <c:pt idx="2616">
                  <c:v>1.0145296127139155E-2</c:v>
                </c:pt>
                <c:pt idx="2617">
                  <c:v>1.0138932258881258E-2</c:v>
                </c:pt>
                <c:pt idx="2618">
                  <c:v>1.0132600539170167E-2</c:v>
                </c:pt>
                <c:pt idx="2619">
                  <c:v>1.0126300967847706E-2</c:v>
                </c:pt>
                <c:pt idx="2620">
                  <c:v>1.0120033544757408E-2</c:v>
                </c:pt>
                <c:pt idx="2621">
                  <c:v>1.0113798269740248E-2</c:v>
                </c:pt>
                <c:pt idx="2622">
                  <c:v>1.0107595142639758E-2</c:v>
                </c:pt>
                <c:pt idx="2623">
                  <c:v>1.0101424163300317E-2</c:v>
                </c:pt>
                <c:pt idx="2624">
                  <c:v>1.0095285331568006E-2</c:v>
                </c:pt>
                <c:pt idx="2625">
                  <c:v>1.0090334836350578E-2</c:v>
                </c:pt>
                <c:pt idx="2626">
                  <c:v>1.0084251795445809E-2</c:v>
                </c:pt>
                <c:pt idx="2627">
                  <c:v>1.0078200897726042E-2</c:v>
                </c:pt>
                <c:pt idx="2628">
                  <c:v>1.0072182143045616E-2</c:v>
                </c:pt>
                <c:pt idx="2629">
                  <c:v>1.0064200116238764E-2</c:v>
                </c:pt>
                <c:pt idx="2630">
                  <c:v>1.0057421195244441E-2</c:v>
                </c:pt>
                <c:pt idx="2631">
                  <c:v>1.0051239313250958E-2</c:v>
                </c:pt>
                <c:pt idx="2632">
                  <c:v>1.0045640498758418E-2</c:v>
                </c:pt>
                <c:pt idx="2633">
                  <c:v>1.0039798365452065E-2</c:v>
                </c:pt>
                <c:pt idx="2634">
                  <c:v>1.0033988375245323E-2</c:v>
                </c:pt>
                <c:pt idx="2635">
                  <c:v>1.0028210528001159E-2</c:v>
                </c:pt>
                <c:pt idx="2636">
                  <c:v>1.002246482357551E-2</c:v>
                </c:pt>
                <c:pt idx="2637">
                  <c:v>1.0016751261829588E-2</c:v>
                </c:pt>
                <c:pt idx="2638">
                  <c:v>1.0010809326877408E-2</c:v>
                </c:pt>
                <c:pt idx="2639">
                  <c:v>1.0005162189162567E-2</c:v>
                </c:pt>
                <c:pt idx="2640">
                  <c:v>9.9995471946844969E-3</c:v>
                </c:pt>
                <c:pt idx="2641">
                  <c:v>9.993964343301567E-3</c:v>
                </c:pt>
                <c:pt idx="2642">
                  <c:v>9.9886655884698517E-3</c:v>
                </c:pt>
                <c:pt idx="2643">
                  <c:v>9.9831448799140507E-3</c:v>
                </c:pt>
                <c:pt idx="2644">
                  <c:v>9.9760940546954266E-3</c:v>
                </c:pt>
                <c:pt idx="2645">
                  <c:v>9.9721998878435879E-3</c:v>
                </c:pt>
                <c:pt idx="2646">
                  <c:v>9.9667756040618862E-3</c:v>
                </c:pt>
                <c:pt idx="2647">
                  <c:v>9.9611422324428021E-3</c:v>
                </c:pt>
                <c:pt idx="2648">
                  <c:v>9.9557843789488884E-3</c:v>
                </c:pt>
                <c:pt idx="2649">
                  <c:v>9.9504586674779311E-3</c:v>
                </c:pt>
                <c:pt idx="2650">
                  <c:v>9.9451650978995988E-3</c:v>
                </c:pt>
                <c:pt idx="2651">
                  <c:v>9.9399036700809559E-3</c:v>
                </c:pt>
                <c:pt idx="2652">
                  <c:v>9.9346743838960149E-3</c:v>
                </c:pt>
                <c:pt idx="2653">
                  <c:v>9.9294772392144459E-3</c:v>
                </c:pt>
                <c:pt idx="2654">
                  <c:v>9.9243122359093938E-3</c:v>
                </c:pt>
                <c:pt idx="2655">
                  <c:v>9.9191793738513979E-3</c:v>
                </c:pt>
                <c:pt idx="2656">
                  <c:v>9.9140786529179452E-3</c:v>
                </c:pt>
                <c:pt idx="2657">
                  <c:v>9.909010072981313E-3</c:v>
                </c:pt>
                <c:pt idx="2658">
                  <c:v>9.9039736339181228E-3</c:v>
                </c:pt>
                <c:pt idx="2659">
                  <c:v>9.8989693356032558E-3</c:v>
                </c:pt>
                <c:pt idx="2660">
                  <c:v>9.8939971779159388E-3</c:v>
                </c:pt>
                <c:pt idx="2661">
                  <c:v>9.8890571607310549E-3</c:v>
                </c:pt>
                <c:pt idx="2662">
                  <c:v>9.8841492839295709E-3</c:v>
                </c:pt>
                <c:pt idx="2663">
                  <c:v>9.8792735473898427E-3</c:v>
                </c:pt>
                <c:pt idx="2664">
                  <c:v>9.8746345387971807E-3</c:v>
                </c:pt>
                <c:pt idx="2665">
                  <c:v>9.8698209185580695E-3</c:v>
                </c:pt>
                <c:pt idx="2666">
                  <c:v>9.8650394372882463E-3</c:v>
                </c:pt>
                <c:pt idx="2667">
                  <c:v>9.8602900948700032E-3</c:v>
                </c:pt>
                <c:pt idx="2668">
                  <c:v>9.8553769644556567E-3</c:v>
                </c:pt>
                <c:pt idx="2669">
                  <c:v>9.8506940669988909E-3</c:v>
                </c:pt>
                <c:pt idx="2670">
                  <c:v>9.8460433089827982E-3</c:v>
                </c:pt>
                <c:pt idx="2671">
                  <c:v>9.8414246902909525E-3</c:v>
                </c:pt>
                <c:pt idx="2672">
                  <c:v>9.8368382108121374E-3</c:v>
                </c:pt>
                <c:pt idx="2673">
                  <c:v>9.8322838704316597E-3</c:v>
                </c:pt>
                <c:pt idx="2674">
                  <c:v>9.8277616690383065E-3</c:v>
                </c:pt>
                <c:pt idx="2675">
                  <c:v>9.8232716065225992E-3</c:v>
                </c:pt>
                <c:pt idx="2676">
                  <c:v>9.8188136827715849E-3</c:v>
                </c:pt>
                <c:pt idx="2677">
                  <c:v>9.8145642826134114E-3</c:v>
                </c:pt>
                <c:pt idx="2678">
                  <c:v>9.8101684601337655E-3</c:v>
                </c:pt>
                <c:pt idx="2679">
                  <c:v>9.8058047751731405E-3</c:v>
                </c:pt>
                <c:pt idx="2680">
                  <c:v>9.8014732276270021E-3</c:v>
                </c:pt>
                <c:pt idx="2681">
                  <c:v>9.7974021311061071E-3</c:v>
                </c:pt>
                <c:pt idx="2682">
                  <c:v>9.7924649468010827E-3</c:v>
                </c:pt>
                <c:pt idx="2683">
                  <c:v>9.7882322213447281E-3</c:v>
                </c:pt>
                <c:pt idx="2684">
                  <c:v>9.7840316319572906E-3</c:v>
                </c:pt>
                <c:pt idx="2685">
                  <c:v>9.7798631785357415E-3</c:v>
                </c:pt>
                <c:pt idx="2686">
                  <c:v>9.7757268609797165E-3</c:v>
                </c:pt>
                <c:pt idx="2687">
                  <c:v>9.7716226791915162E-3</c:v>
                </c:pt>
                <c:pt idx="2688">
                  <c:v>9.7675506330707762E-3</c:v>
                </c:pt>
                <c:pt idx="2689">
                  <c:v>9.7635107225215734E-3</c:v>
                </c:pt>
                <c:pt idx="2690">
                  <c:v>9.7592073139047934E-3</c:v>
                </c:pt>
                <c:pt idx="2691">
                  <c:v>9.7552360499592768E-3</c:v>
                </c:pt>
                <c:pt idx="2692">
                  <c:v>9.7512969231067469E-3</c:v>
                </c:pt>
                <c:pt idx="2693">
                  <c:v>9.7473899332524983E-3</c:v>
                </c:pt>
                <c:pt idx="2694">
                  <c:v>9.7425522127273477E-3</c:v>
                </c:pt>
                <c:pt idx="2695">
                  <c:v>9.7387164866898947E-3</c:v>
                </c:pt>
                <c:pt idx="2696">
                  <c:v>9.7349128964339515E-3</c:v>
                </c:pt>
                <c:pt idx="2697">
                  <c:v>9.7311414418672811E-3</c:v>
                </c:pt>
                <c:pt idx="2698">
                  <c:v>9.7264834455486719E-3</c:v>
                </c:pt>
                <c:pt idx="2699">
                  <c:v>9.7235675769501099E-3</c:v>
                </c:pt>
                <c:pt idx="2700">
                  <c:v>9.7198947252264828E-3</c:v>
                </c:pt>
                <c:pt idx="2701">
                  <c:v>9.7162540097278424E-3</c:v>
                </c:pt>
                <c:pt idx="2702">
                  <c:v>9.7126454303646925E-3</c:v>
                </c:pt>
                <c:pt idx="2703">
                  <c:v>9.7090689870501477E-3</c:v>
                </c:pt>
                <c:pt idx="2704">
                  <c:v>9.7055246796929756E-3</c:v>
                </c:pt>
                <c:pt idx="2705">
                  <c:v>9.7020125082097671E-3</c:v>
                </c:pt>
                <c:pt idx="2706">
                  <c:v>9.698532472510157E-3</c:v>
                </c:pt>
                <c:pt idx="2707">
                  <c:v>9.6950845725124711E-3</c:v>
                </c:pt>
                <c:pt idx="2708">
                  <c:v>9.6916688081306948E-3</c:v>
                </c:pt>
                <c:pt idx="2709">
                  <c:v>9.6882851792805449E-3</c:v>
                </c:pt>
                <c:pt idx="2710">
                  <c:v>9.6849336858786106E-3</c:v>
                </c:pt>
                <c:pt idx="2711">
                  <c:v>9.6816143278432177E-3</c:v>
                </c:pt>
                <c:pt idx="2712">
                  <c:v>9.678327105092692E-3</c:v>
                </c:pt>
                <c:pt idx="2713">
                  <c:v>9.6750720175462299E-3</c:v>
                </c:pt>
                <c:pt idx="2714">
                  <c:v>9.6718490651212883E-3</c:v>
                </c:pt>
                <c:pt idx="2715">
                  <c:v>9.6686582477422765E-3</c:v>
                </c:pt>
                <c:pt idx="2716">
                  <c:v>9.6655894689721897E-3</c:v>
                </c:pt>
                <c:pt idx="2717">
                  <c:v>9.662460709993697E-3</c:v>
                </c:pt>
                <c:pt idx="2718">
                  <c:v>9.6593640849450078E-3</c:v>
                </c:pt>
                <c:pt idx="2719">
                  <c:v>9.6559677844176971E-3</c:v>
                </c:pt>
                <c:pt idx="2720">
                  <c:v>9.6531861838018047E-3</c:v>
                </c:pt>
                <c:pt idx="2721">
                  <c:v>9.6501881750718378E-3</c:v>
                </c:pt>
                <c:pt idx="2722">
                  <c:v>9.6472223008543141E-3</c:v>
                </c:pt>
                <c:pt idx="2723">
                  <c:v>9.6442885610762471E-3</c:v>
                </c:pt>
                <c:pt idx="2724">
                  <c:v>9.6413869556646534E-3</c:v>
                </c:pt>
                <c:pt idx="2725">
                  <c:v>9.6385174845491518E-3</c:v>
                </c:pt>
                <c:pt idx="2726">
                  <c:v>9.6356801476611027E-3</c:v>
                </c:pt>
                <c:pt idx="2727">
                  <c:v>9.632874944927523E-3</c:v>
                </c:pt>
                <c:pt idx="2728">
                  <c:v>9.6301018762806386E-3</c:v>
                </c:pt>
                <c:pt idx="2729">
                  <c:v>9.6274220277453165E-3</c:v>
                </c:pt>
                <c:pt idx="2730">
                  <c:v>9.6247110041954888E-3</c:v>
                </c:pt>
                <c:pt idx="2731">
                  <c:v>9.622032113655761E-3</c:v>
                </c:pt>
                <c:pt idx="2732">
                  <c:v>9.6178873501677337E-3</c:v>
                </c:pt>
                <c:pt idx="2733">
                  <c:v>9.6163998366268193E-3</c:v>
                </c:pt>
                <c:pt idx="2734">
                  <c:v>9.6141882394611983E-3</c:v>
                </c:pt>
                <c:pt idx="2735">
                  <c:v>9.6116378803250118E-3</c:v>
                </c:pt>
                <c:pt idx="2736">
                  <c:v>9.6091196538818178E-3</c:v>
                </c:pt>
                <c:pt idx="2737">
                  <c:v>9.6066335600701221E-3</c:v>
                </c:pt>
                <c:pt idx="2738">
                  <c:v>9.6042208595168432E-3</c:v>
                </c:pt>
                <c:pt idx="2739">
                  <c:v>9.6017968002009013E-3</c:v>
                </c:pt>
                <c:pt idx="2740">
                  <c:v>9.5994048724694636E-3</c:v>
                </c:pt>
                <c:pt idx="2741">
                  <c:v>9.5970450762665749E-3</c:v>
                </c:pt>
                <c:pt idx="2742">
                  <c:v>9.5946529576236388E-3</c:v>
                </c:pt>
                <c:pt idx="2743">
                  <c:v>9.5923618925459857E-3</c:v>
                </c:pt>
                <c:pt idx="2744">
                  <c:v>9.5901029605584345E-3</c:v>
                </c:pt>
                <c:pt idx="2745">
                  <c:v>9.587876161605377E-3</c:v>
                </c:pt>
                <c:pt idx="2746">
                  <c:v>9.5857046745136502E-3</c:v>
                </c:pt>
                <c:pt idx="2747">
                  <c:v>9.5835399038300614E-3</c:v>
                </c:pt>
                <c:pt idx="2748">
                  <c:v>9.581407265157809E-3</c:v>
                </c:pt>
                <c:pt idx="2749">
                  <c:v>9.5793067584441886E-3</c:v>
                </c:pt>
                <c:pt idx="2750">
                  <c:v>9.5772383836400105E-3</c:v>
                </c:pt>
                <c:pt idx="2751">
                  <c:v>9.57519015863466E-3</c:v>
                </c:pt>
                <c:pt idx="2752">
                  <c:v>9.5731882894459826E-3</c:v>
                </c:pt>
                <c:pt idx="2753">
                  <c:v>9.5712185528764801E-3</c:v>
                </c:pt>
                <c:pt idx="2754">
                  <c:v>9.5692809488792316E-3</c:v>
                </c:pt>
                <c:pt idx="2755">
                  <c:v>9.5673754774038434E-3</c:v>
                </c:pt>
                <c:pt idx="2756">
                  <c:v>9.5655021384094784E-3</c:v>
                </c:pt>
                <c:pt idx="2757">
                  <c:v>9.5636609318422681E-3</c:v>
                </c:pt>
                <c:pt idx="2758">
                  <c:v>9.5618518576622447E-3</c:v>
                </c:pt>
                <c:pt idx="2759">
                  <c:v>9.5600749158250928E-3</c:v>
                </c:pt>
                <c:pt idx="2760">
                  <c:v>9.5583301062856351E-3</c:v>
                </c:pt>
                <c:pt idx="2761">
                  <c:v>9.5566174289995563E-3</c:v>
                </c:pt>
                <c:pt idx="2762">
                  <c:v>9.5549368839277574E-3</c:v>
                </c:pt>
                <c:pt idx="2763">
                  <c:v>9.5532884710276648E-3</c:v>
                </c:pt>
                <c:pt idx="2764">
                  <c:v>9.5516721902575725E-3</c:v>
                </c:pt>
                <c:pt idx="2765">
                  <c:v>9.5500880415783813E-3</c:v>
                </c:pt>
                <c:pt idx="2766">
                  <c:v>9.5485360249535998E-3</c:v>
                </c:pt>
                <c:pt idx="2767">
                  <c:v>9.5470161403423889E-3</c:v>
                </c:pt>
                <c:pt idx="2768">
                  <c:v>9.5455021398119389E-3</c:v>
                </c:pt>
                <c:pt idx="2769">
                  <c:v>9.5440442625890388E-3</c:v>
                </c:pt>
                <c:pt idx="2770">
                  <c:v>9.5426185164164869E-3</c:v>
                </c:pt>
                <c:pt idx="2771">
                  <c:v>9.5412249012591464E-3</c:v>
                </c:pt>
                <c:pt idx="2772">
                  <c:v>9.5398986962178817E-3</c:v>
                </c:pt>
                <c:pt idx="2773">
                  <c:v>9.5385716029373971E-3</c:v>
                </c:pt>
                <c:pt idx="2774">
                  <c:v>9.5372766414228548E-3</c:v>
                </c:pt>
                <c:pt idx="2775">
                  <c:v>9.5360138116481908E-3</c:v>
                </c:pt>
                <c:pt idx="2776">
                  <c:v>9.5347831135786498E-3</c:v>
                </c:pt>
                <c:pt idx="2777">
                  <c:v>9.5335845471864276E-3</c:v>
                </c:pt>
                <c:pt idx="2778">
                  <c:v>9.5324181124402455E-3</c:v>
                </c:pt>
                <c:pt idx="2779">
                  <c:v>9.5312838093131666E-3</c:v>
                </c:pt>
                <c:pt idx="2780">
                  <c:v>9.5301816377756522E-3</c:v>
                </c:pt>
                <c:pt idx="2781">
                  <c:v>9.5290005162738112E-3</c:v>
                </c:pt>
                <c:pt idx="2782">
                  <c:v>9.5279580727396507E-3</c:v>
                </c:pt>
                <c:pt idx="2783">
                  <c:v>9.5269477590163021E-3</c:v>
                </c:pt>
                <c:pt idx="2784">
                  <c:v>9.5259695750788964E-3</c:v>
                </c:pt>
                <c:pt idx="2785">
                  <c:v>9.5250235209034528E-3</c:v>
                </c:pt>
                <c:pt idx="2786">
                  <c:v>9.5241095964686551E-3</c:v>
                </c:pt>
                <c:pt idx="2787">
                  <c:v>9.5232278017522987E-3</c:v>
                </c:pt>
                <c:pt idx="2788">
                  <c:v>9.5223781367295146E-3</c:v>
                </c:pt>
                <c:pt idx="2789">
                  <c:v>9.5215606013869802E-3</c:v>
                </c:pt>
                <c:pt idx="2790">
                  <c:v>9.5206995436169558E-3</c:v>
                </c:pt>
                <c:pt idx="2791">
                  <c:v>9.5199439925507494E-3</c:v>
                </c:pt>
                <c:pt idx="2792">
                  <c:v>9.5192205702578931E-3</c:v>
                </c:pt>
                <c:pt idx="2793">
                  <c:v>9.5185292767168313E-3</c:v>
                </c:pt>
                <c:pt idx="2794">
                  <c:v>9.5181250395063362E-3</c:v>
                </c:pt>
                <c:pt idx="2795">
                  <c:v>9.5175048390153724E-3</c:v>
                </c:pt>
                <c:pt idx="2796">
                  <c:v>9.5169167697768502E-3</c:v>
                </c:pt>
                <c:pt idx="2797">
                  <c:v>9.5163608317751294E-3</c:v>
                </c:pt>
                <c:pt idx="2798">
                  <c:v>9.5157427108003238E-3</c:v>
                </c:pt>
                <c:pt idx="2799">
                  <c:v>9.5152487531879274E-3</c:v>
                </c:pt>
                <c:pt idx="2800">
                  <c:v>9.5147869259257813E-3</c:v>
                </c:pt>
                <c:pt idx="2801">
                  <c:v>9.5143572290050972E-3</c:v>
                </c:pt>
                <c:pt idx="2802">
                  <c:v>9.5139596624135812E-3</c:v>
                </c:pt>
                <c:pt idx="2803">
                  <c:v>9.5136999590381983E-3</c:v>
                </c:pt>
                <c:pt idx="2804">
                  <c:v>9.513368939359574E-3</c:v>
                </c:pt>
                <c:pt idx="2805">
                  <c:v>9.513070050830864E-3</c:v>
                </c:pt>
                <c:pt idx="2806">
                  <c:v>9.5128032934451191E-3</c:v>
                </c:pt>
                <c:pt idx="2807">
                  <c:v>9.5125686671945174E-3</c:v>
                </c:pt>
                <c:pt idx="2808">
                  <c:v>9.5123661720755825E-3</c:v>
                </c:pt>
                <c:pt idx="2809">
                  <c:v>9.5121958080813668E-3</c:v>
                </c:pt>
                <c:pt idx="2810">
                  <c:v>9.5120575752083922E-3</c:v>
                </c:pt>
                <c:pt idx="2811">
                  <c:v>9.511951473453184E-3</c:v>
                </c:pt>
                <c:pt idx="2812">
                  <c:v>9.5118775028131368E-3</c:v>
                </c:pt>
                <c:pt idx="2813">
                  <c:v>9.5118356632873796E-3</c:v>
                </c:pt>
                <c:pt idx="2814">
                  <c:v>9.511825954873307E-3</c:v>
                </c:pt>
                <c:pt idx="2815">
                  <c:v>9.5118483775700497E-3</c:v>
                </c:pt>
                <c:pt idx="2816">
                  <c:v>9.5119029313819534E-3</c:v>
                </c:pt>
                <c:pt idx="2817">
                  <c:v>9.511989616307278E-3</c:v>
                </c:pt>
                <c:pt idx="2818">
                  <c:v>9.5121084323477618E-3</c:v>
                </c:pt>
                <c:pt idx="2819">
                  <c:v>9.5122593795077502E-3</c:v>
                </c:pt>
                <c:pt idx="2820">
                  <c:v>9.512297742747082E-3</c:v>
                </c:pt>
                <c:pt idx="2821">
                  <c:v>9.5125106514575234E-3</c:v>
                </c:pt>
                <c:pt idx="2822">
                  <c:v>9.5127556904514542E-3</c:v>
                </c:pt>
                <c:pt idx="2823">
                  <c:v>9.5130328597350239E-3</c:v>
                </c:pt>
                <c:pt idx="2824">
                  <c:v>9.5133421593170137E-3</c:v>
                </c:pt>
                <c:pt idx="2825">
                  <c:v>9.513839816233589E-3</c:v>
                </c:pt>
                <c:pt idx="2826">
                  <c:v>9.5142156813752075E-3</c:v>
                </c:pt>
                <c:pt idx="2827">
                  <c:v>9.5146236776884642E-3</c:v>
                </c:pt>
                <c:pt idx="2828">
                  <c:v>9.5150638051837832E-3</c:v>
                </c:pt>
                <c:pt idx="2829">
                  <c:v>9.5155360638681154E-3</c:v>
                </c:pt>
                <c:pt idx="2830">
                  <c:v>9.5160404537571013E-3</c:v>
                </c:pt>
                <c:pt idx="2831">
                  <c:v>9.516576974861168E-3</c:v>
                </c:pt>
                <c:pt idx="2832">
                  <c:v>9.5171456271950835E-3</c:v>
                </c:pt>
                <c:pt idx="2833">
                  <c:v>9.5173972533890705E-3</c:v>
                </c:pt>
                <c:pt idx="2834">
                  <c:v>9.5180255448577E-3</c:v>
                </c:pt>
                <c:pt idx="2835">
                  <c:v>9.5186859658982215E-3</c:v>
                </c:pt>
                <c:pt idx="2836">
                  <c:v>9.519378516526622E-3</c:v>
                </c:pt>
                <c:pt idx="2837">
                  <c:v>9.5201031967588889E-3</c:v>
                </c:pt>
                <c:pt idx="2838">
                  <c:v>9.5208600066110094E-3</c:v>
                </c:pt>
                <c:pt idx="2839">
                  <c:v>9.5216489461051879E-3</c:v>
                </c:pt>
                <c:pt idx="2840">
                  <c:v>9.5224700152565234E-3</c:v>
                </c:pt>
                <c:pt idx="2841">
                  <c:v>9.5233232140872204E-3</c:v>
                </c:pt>
                <c:pt idx="2842">
                  <c:v>9.524013464814636E-3</c:v>
                </c:pt>
                <c:pt idx="2843">
                  <c:v>9.5249286038991479E-3</c:v>
                </c:pt>
                <c:pt idx="2844">
                  <c:v>9.5258758718728721E-3</c:v>
                </c:pt>
                <c:pt idx="2845">
                  <c:v>9.5268552687582629E-3</c:v>
                </c:pt>
                <c:pt idx="2846">
                  <c:v>9.5284805481630017E-3</c:v>
                </c:pt>
                <c:pt idx="2847">
                  <c:v>9.5295311710482146E-3</c:v>
                </c:pt>
                <c:pt idx="2848">
                  <c:v>9.530613925482153E-3</c:v>
                </c:pt>
                <c:pt idx="2849">
                  <c:v>9.5317288114891447E-3</c:v>
                </c:pt>
                <c:pt idx="2850">
                  <c:v>9.5328758290996029E-3</c:v>
                </c:pt>
                <c:pt idx="2851">
                  <c:v>9.5338385461808013E-3</c:v>
                </c:pt>
                <c:pt idx="2852">
                  <c:v>9.5350474999767749E-3</c:v>
                </c:pt>
                <c:pt idx="2853">
                  <c:v>9.536288584602615E-3</c:v>
                </c:pt>
                <c:pt idx="2854">
                  <c:v>9.5375618000916977E-3</c:v>
                </c:pt>
                <c:pt idx="2855">
                  <c:v>9.5390928921743907E-3</c:v>
                </c:pt>
                <c:pt idx="2856">
                  <c:v>9.5404327000103706E-3</c:v>
                </c:pt>
                <c:pt idx="2857">
                  <c:v>9.5418046396609519E-3</c:v>
                </c:pt>
                <c:pt idx="2858">
                  <c:v>9.5432087111617572E-3</c:v>
                </c:pt>
                <c:pt idx="2859">
                  <c:v>9.5446449145431961E-3</c:v>
                </c:pt>
                <c:pt idx="2860">
                  <c:v>9.5461132498452384E-3</c:v>
                </c:pt>
                <c:pt idx="2861">
                  <c:v>9.5476137171026376E-3</c:v>
                </c:pt>
                <c:pt idx="2862">
                  <c:v>9.5491463163501489E-3</c:v>
                </c:pt>
                <c:pt idx="2863">
                  <c:v>9.5507110476268711E-3</c:v>
                </c:pt>
                <c:pt idx="2864">
                  <c:v>9.5523079109727724E-3</c:v>
                </c:pt>
                <c:pt idx="2865">
                  <c:v>9.553936906424346E-3</c:v>
                </c:pt>
                <c:pt idx="2866">
                  <c:v>9.5555980340241674E-3</c:v>
                </c:pt>
                <c:pt idx="2867">
                  <c:v>9.557291293812201E-3</c:v>
                </c:pt>
                <c:pt idx="2868">
                  <c:v>9.5590166858284184E-3</c:v>
                </c:pt>
                <c:pt idx="2869">
                  <c:v>9.5607742101162622E-3</c:v>
                </c:pt>
                <c:pt idx="2870">
                  <c:v>9.5625638667191752E-3</c:v>
                </c:pt>
                <c:pt idx="2871">
                  <c:v>9.5643856556806017E-3</c:v>
                </c:pt>
                <c:pt idx="2872">
                  <c:v>9.5659740953563423E-3</c:v>
                </c:pt>
                <c:pt idx="2873">
                  <c:v>9.5678578039924498E-3</c:v>
                </c:pt>
                <c:pt idx="2874">
                  <c:v>9.56977364425954E-3</c:v>
                </c:pt>
                <c:pt idx="2875">
                  <c:v>9.5717216162015326E-3</c:v>
                </c:pt>
                <c:pt idx="2876">
                  <c:v>9.5737017198667413E-3</c:v>
                </c:pt>
                <c:pt idx="2877">
                  <c:v>9.57599117155674E-3</c:v>
                </c:pt>
                <c:pt idx="2878">
                  <c:v>9.5780378883293243E-3</c:v>
                </c:pt>
                <c:pt idx="2879">
                  <c:v>9.5801167378427258E-3</c:v>
                </c:pt>
                <c:pt idx="2880">
                  <c:v>9.5822277201438617E-3</c:v>
                </c:pt>
                <c:pt idx="2881">
                  <c:v>9.5843708352892094E-3</c:v>
                </c:pt>
                <c:pt idx="2882">
                  <c:v>9.5865460833300317E-3</c:v>
                </c:pt>
                <c:pt idx="2883">
                  <c:v>9.5887534643175933E-3</c:v>
                </c:pt>
                <c:pt idx="2884">
                  <c:v>9.5909929783074988E-3</c:v>
                </c:pt>
                <c:pt idx="2885">
                  <c:v>9.5926727816566526E-3</c:v>
                </c:pt>
                <c:pt idx="2886">
                  <c:v>9.594971848971845E-3</c:v>
                </c:pt>
                <c:pt idx="2887">
                  <c:v>9.5973030477054522E-3</c:v>
                </c:pt>
                <c:pt idx="2888">
                  <c:v>9.5996663779178704E-3</c:v>
                </c:pt>
                <c:pt idx="2889">
                  <c:v>9.6027122461793818E-3</c:v>
                </c:pt>
                <c:pt idx="2890">
                  <c:v>9.6048388550400432E-3</c:v>
                </c:pt>
                <c:pt idx="2891">
                  <c:v>9.6073031702692546E-3</c:v>
                </c:pt>
                <c:pt idx="2892">
                  <c:v>9.6097996172153088E-3</c:v>
                </c:pt>
                <c:pt idx="2893">
                  <c:v>9.6123281959412665E-3</c:v>
                </c:pt>
                <c:pt idx="2894">
                  <c:v>9.6145717540227649E-3</c:v>
                </c:pt>
                <c:pt idx="2895">
                  <c:v>9.6171622322322337E-3</c:v>
                </c:pt>
                <c:pt idx="2896">
                  <c:v>9.6197848415233191E-3</c:v>
                </c:pt>
                <c:pt idx="2897">
                  <c:v>9.6224395819606862E-3</c:v>
                </c:pt>
                <c:pt idx="2898">
                  <c:v>9.6267618422588071E-3</c:v>
                </c:pt>
                <c:pt idx="2899">
                  <c:v>9.6294926853551423E-3</c:v>
                </c:pt>
                <c:pt idx="2900">
                  <c:v>9.6322556642085121E-3</c:v>
                </c:pt>
                <c:pt idx="2901">
                  <c:v>9.6350507788894972E-3</c:v>
                </c:pt>
                <c:pt idx="2902">
                  <c:v>9.6368676679274186E-3</c:v>
                </c:pt>
                <c:pt idx="2903">
                  <c:v>9.6397199393504236E-3</c:v>
                </c:pt>
                <c:pt idx="2904">
                  <c:v>9.6442670027188926E-3</c:v>
                </c:pt>
                <c:pt idx="2905">
                  <c:v>9.6455208823941468E-3</c:v>
                </c:pt>
                <c:pt idx="2906">
                  <c:v>9.6484695541562918E-3</c:v>
                </c:pt>
                <c:pt idx="2907">
                  <c:v>9.6524963232824182E-3</c:v>
                </c:pt>
                <c:pt idx="2908">
                  <c:v>9.6555163907491651E-3</c:v>
                </c:pt>
                <c:pt idx="2909">
                  <c:v>9.6585685946251904E-3</c:v>
                </c:pt>
                <c:pt idx="2910">
                  <c:v>9.6616529349878785E-3</c:v>
                </c:pt>
                <c:pt idx="2911">
                  <c:v>9.6647694119137637E-3</c:v>
                </c:pt>
                <c:pt idx="2912">
                  <c:v>9.6679180254819318E-3</c:v>
                </c:pt>
                <c:pt idx="2913">
                  <c:v>9.6710987757706209E-3</c:v>
                </c:pt>
                <c:pt idx="2914">
                  <c:v>9.6743116628597633E-3</c:v>
                </c:pt>
                <c:pt idx="2915">
                  <c:v>9.676453620371353E-3</c:v>
                </c:pt>
                <c:pt idx="2916">
                  <c:v>9.6808338477659614E-3</c:v>
                </c:pt>
                <c:pt idx="2917">
                  <c:v>9.6841431457437375E-3</c:v>
                </c:pt>
                <c:pt idx="2918">
                  <c:v>9.6874845808502183E-3</c:v>
                </c:pt>
                <c:pt idx="2919">
                  <c:v>9.6908581531712883E-3</c:v>
                </c:pt>
                <c:pt idx="2920">
                  <c:v>9.6942638627868886E-3</c:v>
                </c:pt>
                <c:pt idx="2921">
                  <c:v>9.6977017097854556E-3</c:v>
                </c:pt>
                <c:pt idx="2922">
                  <c:v>9.7011716942520271E-3</c:v>
                </c:pt>
                <c:pt idx="2923">
                  <c:v>9.7046738162758963E-3</c:v>
                </c:pt>
                <c:pt idx="2924">
                  <c:v>9.7070405627998797E-3</c:v>
                </c:pt>
                <c:pt idx="2925">
                  <c:v>9.7105997858954705E-3</c:v>
                </c:pt>
                <c:pt idx="2926">
                  <c:v>9.7141911440917963E-3</c:v>
                </c:pt>
                <c:pt idx="2927">
                  <c:v>9.7178146374731836E-3</c:v>
                </c:pt>
                <c:pt idx="2928">
                  <c:v>9.7226664928330726E-3</c:v>
                </c:pt>
                <c:pt idx="2929">
                  <c:v>9.7263614420673109E-3</c:v>
                </c:pt>
                <c:pt idx="2930">
                  <c:v>9.73008852948898E-3</c:v>
                </c:pt>
                <c:pt idx="2931">
                  <c:v>9.7338477551907714E-3</c:v>
                </c:pt>
                <c:pt idx="2932">
                  <c:v>9.7376391192713282E-3</c:v>
                </c:pt>
                <c:pt idx="2933">
                  <c:v>9.7414626218224939E-3</c:v>
                </c:pt>
                <c:pt idx="2934">
                  <c:v>9.7453182629403615E-3</c:v>
                </c:pt>
                <c:pt idx="2935">
                  <c:v>9.7492060427235763E-3</c:v>
                </c:pt>
                <c:pt idx="2936">
                  <c:v>9.7531259612682279E-3</c:v>
                </c:pt>
                <c:pt idx="2937">
                  <c:v>9.7558170263054491E-3</c:v>
                </c:pt>
                <c:pt idx="2938">
                  <c:v>9.7597940127238762E-3</c:v>
                </c:pt>
                <c:pt idx="2939">
                  <c:v>9.7638031354359296E-3</c:v>
                </c:pt>
                <c:pt idx="2940">
                  <c:v>9.7678443945391144E-3</c:v>
                </c:pt>
                <c:pt idx="2941">
                  <c:v>9.7736733688287333E-3</c:v>
                </c:pt>
                <c:pt idx="2942">
                  <c:v>9.778225824989913E-3</c:v>
                </c:pt>
                <c:pt idx="2943">
                  <c:v>9.7819441156370372E-3</c:v>
                </c:pt>
                <c:pt idx="2944">
                  <c:v>9.7861276942432188E-3</c:v>
                </c:pt>
                <c:pt idx="2945">
                  <c:v>9.7903434097816339E-3</c:v>
                </c:pt>
                <c:pt idx="2946">
                  <c:v>9.7945912623585759E-3</c:v>
                </c:pt>
                <c:pt idx="2947">
                  <c:v>9.7988712520750594E-3</c:v>
                </c:pt>
                <c:pt idx="2948">
                  <c:v>9.8031833790391317E-3</c:v>
                </c:pt>
                <c:pt idx="2949">
                  <c:v>9.8075276433509332E-3</c:v>
                </c:pt>
                <c:pt idx="2950">
                  <c:v>9.8123564878615111E-3</c:v>
                </c:pt>
                <c:pt idx="2951">
                  <c:v>9.8167674428410439E-3</c:v>
                </c:pt>
                <c:pt idx="2952">
                  <c:v>9.8212105364280048E-3</c:v>
                </c:pt>
                <c:pt idx="2953">
                  <c:v>9.8256857687301323E-3</c:v>
                </c:pt>
                <c:pt idx="2954">
                  <c:v>9.8297310288767027E-3</c:v>
                </c:pt>
                <c:pt idx="2955">
                  <c:v>9.8355703340593861E-3</c:v>
                </c:pt>
                <c:pt idx="2956">
                  <c:v>9.8388373482921569E-3</c:v>
                </c:pt>
                <c:pt idx="2957">
                  <c:v>9.8434387152666336E-3</c:v>
                </c:pt>
                <c:pt idx="2958">
                  <c:v>9.8480722205709099E-3</c:v>
                </c:pt>
                <c:pt idx="2959">
                  <c:v>9.853881572109183E-3</c:v>
                </c:pt>
                <c:pt idx="2960">
                  <c:v>9.85858636990662E-3</c:v>
                </c:pt>
                <c:pt idx="2961">
                  <c:v>9.8633233073410972E-3</c:v>
                </c:pt>
                <c:pt idx="2962">
                  <c:v>9.8680923845229571E-3</c:v>
                </c:pt>
                <c:pt idx="2963">
                  <c:v>9.8728936015738452E-3</c:v>
                </c:pt>
                <c:pt idx="2964">
                  <c:v>9.8777269586084512E-3</c:v>
                </c:pt>
                <c:pt idx="2965">
                  <c:v>9.8825924557484172E-3</c:v>
                </c:pt>
                <c:pt idx="2966">
                  <c:v>9.8874900931119093E-3</c:v>
                </c:pt>
                <c:pt idx="2967">
                  <c:v>9.8924198708197006E-3</c:v>
                </c:pt>
                <c:pt idx="2968">
                  <c:v>9.8973817889908243E-3</c:v>
                </c:pt>
                <c:pt idx="2969">
                  <c:v>9.9023758477512699E-3</c:v>
                </c:pt>
                <c:pt idx="2970">
                  <c:v>9.907402047221809E-3</c:v>
                </c:pt>
                <c:pt idx="2971">
                  <c:v>9.9124603875249528E-3</c:v>
                </c:pt>
                <c:pt idx="2972">
                  <c:v>9.9175508687849474E-3</c:v>
                </c:pt>
                <c:pt idx="2973">
                  <c:v>9.9226734911286515E-3</c:v>
                </c:pt>
                <c:pt idx="2974">
                  <c:v>9.9278282546811786E-3</c:v>
                </c:pt>
                <c:pt idx="2975">
                  <c:v>9.933015159568518E-3</c:v>
                </c:pt>
                <c:pt idx="2976">
                  <c:v>9.937718299659273E-3</c:v>
                </c:pt>
                <c:pt idx="2977">
                  <c:v>9.9429670470133832E-3</c:v>
                </c:pt>
                <c:pt idx="2978">
                  <c:v>9.9482479351146996E-3</c:v>
                </c:pt>
                <c:pt idx="2979">
                  <c:v>9.953560964093229E-3</c:v>
                </c:pt>
                <c:pt idx="2980">
                  <c:v>9.959431808528995E-3</c:v>
                </c:pt>
                <c:pt idx="2981">
                  <c:v>9.9648115641334679E-3</c:v>
                </c:pt>
                <c:pt idx="2982">
                  <c:v>9.9702234619815922E-3</c:v>
                </c:pt>
                <c:pt idx="2983">
                  <c:v>9.9756675022097761E-3</c:v>
                </c:pt>
                <c:pt idx="2984">
                  <c:v>9.9811436849466164E-3</c:v>
                </c:pt>
                <c:pt idx="2985">
                  <c:v>9.9866520103293922E-3</c:v>
                </c:pt>
                <c:pt idx="2986">
                  <c:v>9.9921924784936479E-3</c:v>
                </c:pt>
                <c:pt idx="2987">
                  <c:v>9.9977650895757952E-3</c:v>
                </c:pt>
                <c:pt idx="2988">
                  <c:v>1.000336984371138E-2</c:v>
                </c:pt>
                <c:pt idx="2989">
                  <c:v>1.0007911564545502E-2</c:v>
                </c:pt>
                <c:pt idx="2990">
                  <c:v>1.0013575698649468E-2</c:v>
                </c:pt>
                <c:pt idx="2991">
                  <c:v>1.0019271974237576E-2</c:v>
                </c:pt>
                <c:pt idx="2992">
                  <c:v>1.0025000391446603E-2</c:v>
                </c:pt>
                <c:pt idx="2993">
                  <c:v>1.0031586511239254E-2</c:v>
                </c:pt>
                <c:pt idx="2994">
                  <c:v>1.0037383803819466E-2</c:v>
                </c:pt>
                <c:pt idx="2995">
                  <c:v>1.0043213238455806E-2</c:v>
                </c:pt>
                <c:pt idx="2996">
                  <c:v>1.0049074815290382E-2</c:v>
                </c:pt>
                <c:pt idx="2997">
                  <c:v>1.0054968534463526E-2</c:v>
                </c:pt>
                <c:pt idx="2998">
                  <c:v>1.0060324708673681E-2</c:v>
                </c:pt>
                <c:pt idx="2999">
                  <c:v>1.0066280250761932E-2</c:v>
                </c:pt>
                <c:pt idx="3000">
                  <c:v>1.0072267724467086E-2</c:v>
                </c:pt>
                <c:pt idx="3001">
                  <c:v>1.0078284855368488E-2</c:v>
                </c:pt>
                <c:pt idx="3002">
                  <c:v>1.0086061773946799E-2</c:v>
                </c:pt>
                <c:pt idx="3003">
                  <c:v>1.0092130933978732E-2</c:v>
                </c:pt>
                <c:pt idx="3004">
                  <c:v>1.0098218372181814E-2</c:v>
                </c:pt>
                <c:pt idx="3005">
                  <c:v>1.0104320741397844E-2</c:v>
                </c:pt>
                <c:pt idx="3006">
                  <c:v>1.011072882346817E-2</c:v>
                </c:pt>
                <c:pt idx="3007">
                  <c:v>1.0116852061618541E-2</c:v>
                </c:pt>
                <c:pt idx="3008">
                  <c:v>1.012297988943031E-2</c:v>
                </c:pt>
                <c:pt idx="3009">
                  <c:v>1.0129108922975612E-2</c:v>
                </c:pt>
                <c:pt idx="3010">
                  <c:v>1.0135814317590851E-2</c:v>
                </c:pt>
                <c:pt idx="3011">
                  <c:v>1.0141934972084522E-2</c:v>
                </c:pt>
                <c:pt idx="3012">
                  <c:v>1.0148046650335835E-2</c:v>
                </c:pt>
                <c:pt idx="3013">
                  <c:v>1.0154146832892315E-2</c:v>
                </c:pt>
                <c:pt idx="3014">
                  <c:v>1.0160235168380253E-2</c:v>
                </c:pt>
                <c:pt idx="3015">
                  <c:v>1.016631165674404E-2</c:v>
                </c:pt>
                <c:pt idx="3016">
                  <c:v>1.0172376297929804E-2</c:v>
                </c:pt>
                <c:pt idx="3017">
                  <c:v>1.0178429091881071E-2</c:v>
                </c:pt>
                <c:pt idx="3018">
                  <c:v>1.0184470038546578E-2</c:v>
                </c:pt>
                <c:pt idx="3019">
                  <c:v>1.0190499137866372E-2</c:v>
                </c:pt>
                <c:pt idx="3020">
                  <c:v>1.0196516389788319E-2</c:v>
                </c:pt>
                <c:pt idx="3021">
                  <c:v>1.0202521794259421E-2</c:v>
                </c:pt>
                <c:pt idx="3022">
                  <c:v>1.0208515351224067E-2</c:v>
                </c:pt>
                <c:pt idx="3023">
                  <c:v>1.0214497060626652E-2</c:v>
                </c:pt>
                <c:pt idx="3024">
                  <c:v>1.0220466922412437E-2</c:v>
                </c:pt>
                <c:pt idx="3025">
                  <c:v>1.0226424936530159E-2</c:v>
                </c:pt>
                <c:pt idx="3026">
                  <c:v>1.0232371102924208E-2</c:v>
                </c:pt>
                <c:pt idx="3027">
                  <c:v>1.0238305421542452E-2</c:v>
                </c:pt>
                <c:pt idx="3028">
                  <c:v>1.0243661481205061E-2</c:v>
                </c:pt>
                <c:pt idx="3029">
                  <c:v>1.024957278235122E-2</c:v>
                </c:pt>
                <c:pt idx="3030">
                  <c:v>1.0255472235802688E-2</c:v>
                </c:pt>
                <c:pt idx="3031">
                  <c:v>1.0261359841506756E-2</c:v>
                </c:pt>
                <c:pt idx="3032">
                  <c:v>1.0269490061748971E-2</c:v>
                </c:pt>
                <c:pt idx="3033">
                  <c:v>1.0273662526916388E-2</c:v>
                </c:pt>
                <c:pt idx="3034">
                  <c:v>1.0279513909590433E-2</c:v>
                </c:pt>
                <c:pt idx="3035">
                  <c:v>1.0285353444061191E-2</c:v>
                </c:pt>
                <c:pt idx="3036">
                  <c:v>1.0291181130274791E-2</c:v>
                </c:pt>
                <c:pt idx="3037">
                  <c:v>1.0296996968177364E-2</c:v>
                </c:pt>
                <c:pt idx="3038">
                  <c:v>1.0302800957718513E-2</c:v>
                </c:pt>
                <c:pt idx="3039">
                  <c:v>1.0308593098840893E-2</c:v>
                </c:pt>
                <c:pt idx="3040">
                  <c:v>1.031437339149672E-2</c:v>
                </c:pt>
                <c:pt idx="3041">
                  <c:v>1.0319026631825601E-2</c:v>
                </c:pt>
                <c:pt idx="3042">
                  <c:v>1.0324784590282299E-2</c:v>
                </c:pt>
                <c:pt idx="3043">
                  <c:v>1.0330530700614737E-2</c:v>
                </c:pt>
                <c:pt idx="3044">
                  <c:v>1.0336264962775843E-2</c:v>
                </c:pt>
                <c:pt idx="3045">
                  <c:v>1.0341987376713213E-2</c:v>
                </c:pt>
                <c:pt idx="3046">
                  <c:v>1.0347697942374445E-2</c:v>
                </c:pt>
                <c:pt idx="3047">
                  <c:v>1.0353396659709801E-2</c:v>
                </c:pt>
                <c:pt idx="3048">
                  <c:v>1.0359083528670432E-2</c:v>
                </c:pt>
                <c:pt idx="3049">
                  <c:v>1.0364758549204822E-2</c:v>
                </c:pt>
                <c:pt idx="3050">
                  <c:v>1.0369870179567114E-2</c:v>
                </c:pt>
                <c:pt idx="3051">
                  <c:v>1.0375522186779031E-2</c:v>
                </c:pt>
                <c:pt idx="3052">
                  <c:v>1.0381162345669074E-2</c:v>
                </c:pt>
                <c:pt idx="3053">
                  <c:v>1.0386790656191436E-2</c:v>
                </c:pt>
                <c:pt idx="3054">
                  <c:v>1.0394053370368169E-2</c:v>
                </c:pt>
                <c:pt idx="3055">
                  <c:v>1.0399655929773269E-2</c:v>
                </c:pt>
                <c:pt idx="3056">
                  <c:v>1.0405246639883781E-2</c:v>
                </c:pt>
                <c:pt idx="3057">
                  <c:v>1.0410825500651914E-2</c:v>
                </c:pt>
                <c:pt idx="3058">
                  <c:v>1.0415846556721382E-2</c:v>
                </c:pt>
                <c:pt idx="3059">
                  <c:v>1.0421402404461932E-2</c:v>
                </c:pt>
                <c:pt idx="3060">
                  <c:v>1.0426946402966165E-2</c:v>
                </c:pt>
                <c:pt idx="3061">
                  <c:v>1.0432478552185766E-2</c:v>
                </c:pt>
                <c:pt idx="3062">
                  <c:v>1.0437998852070668E-2</c:v>
                </c:pt>
                <c:pt idx="3063">
                  <c:v>1.0444049826198322E-2</c:v>
                </c:pt>
                <c:pt idx="3064">
                  <c:v>1.0449545740144003E-2</c:v>
                </c:pt>
                <c:pt idx="3065">
                  <c:v>1.0455029804345019E-2</c:v>
                </c:pt>
                <c:pt idx="3066">
                  <c:v>1.0460502018750976E-2</c:v>
                </c:pt>
                <c:pt idx="3067">
                  <c:v>1.0465962383310613E-2</c:v>
                </c:pt>
                <c:pt idx="3068">
                  <c:v>1.0471410897975273E-2</c:v>
                </c:pt>
                <c:pt idx="3069">
                  <c:v>1.0476847562697164E-2</c:v>
                </c:pt>
                <c:pt idx="3070">
                  <c:v>1.0482272377425028E-2</c:v>
                </c:pt>
                <c:pt idx="3071">
                  <c:v>1.0487685342111072E-2</c:v>
                </c:pt>
                <c:pt idx="3072">
                  <c:v>1.0493086456704038E-2</c:v>
                </c:pt>
                <c:pt idx="3073">
                  <c:v>1.0498475721157871E-2</c:v>
                </c:pt>
                <c:pt idx="3074">
                  <c:v>1.0503853135420441E-2</c:v>
                </c:pt>
                <c:pt idx="3075">
                  <c:v>1.0509218699447436E-2</c:v>
                </c:pt>
                <c:pt idx="3076">
                  <c:v>1.0514572413184986E-2</c:v>
                </c:pt>
                <c:pt idx="3077">
                  <c:v>1.0519914276587911E-2</c:v>
                </c:pt>
                <c:pt idx="3078">
                  <c:v>1.0525244289608418E-2</c:v>
                </c:pt>
                <c:pt idx="3079">
                  <c:v>1.0530562452196988E-2</c:v>
                </c:pt>
                <c:pt idx="3080">
                  <c:v>1.0535337957950456E-2</c:v>
                </c:pt>
                <c:pt idx="3081">
                  <c:v>1.0540633111204348E-2</c:v>
                </c:pt>
                <c:pt idx="3082">
                  <c:v>1.0545916414152888E-2</c:v>
                </c:pt>
                <c:pt idx="3083">
                  <c:v>1.0551187866749519E-2</c:v>
                </c:pt>
                <c:pt idx="3084">
                  <c:v>1.0556975506969908E-2</c:v>
                </c:pt>
                <c:pt idx="3085">
                  <c:v>1.056222256595634E-2</c:v>
                </c:pt>
                <c:pt idx="3086">
                  <c:v>1.0567457774175448E-2</c:v>
                </c:pt>
                <c:pt idx="3087">
                  <c:v>1.0572681131581184E-2</c:v>
                </c:pt>
                <c:pt idx="3088">
                  <c:v>1.0577892638124886E-2</c:v>
                </c:pt>
                <c:pt idx="3089">
                  <c:v>1.0583092293757033E-2</c:v>
                </c:pt>
                <c:pt idx="3090">
                  <c:v>1.0588280098433312E-2</c:v>
                </c:pt>
                <c:pt idx="3091">
                  <c:v>1.059345605210767E-2</c:v>
                </c:pt>
                <c:pt idx="3092">
                  <c:v>1.0598620154730586E-2</c:v>
                </c:pt>
                <c:pt idx="3093">
                  <c:v>1.0602728763804414E-2</c:v>
                </c:pt>
                <c:pt idx="3094">
                  <c:v>1.0607870554659726E-2</c:v>
                </c:pt>
                <c:pt idx="3095">
                  <c:v>1.0613000494883451E-2</c:v>
                </c:pt>
                <c:pt idx="3096">
                  <c:v>1.0618118584430292E-2</c:v>
                </c:pt>
                <c:pt idx="3097">
                  <c:v>1.0623224823252286E-2</c:v>
                </c:pt>
                <c:pt idx="3098">
                  <c:v>1.0628319211305914E-2</c:v>
                </c:pt>
                <c:pt idx="3099">
                  <c:v>1.0633401748545879E-2</c:v>
                </c:pt>
                <c:pt idx="3100">
                  <c:v>1.0638472434926882E-2</c:v>
                </c:pt>
                <c:pt idx="3101">
                  <c:v>1.0643531270403628E-2</c:v>
                </c:pt>
                <c:pt idx="3102">
                  <c:v>1.064806261637697E-2</c:v>
                </c:pt>
                <c:pt idx="3103">
                  <c:v>1.0653098447623804E-2</c:v>
                </c:pt>
                <c:pt idx="3104">
                  <c:v>1.0658122428116552E-2</c:v>
                </c:pt>
                <c:pt idx="3105">
                  <c:v>1.0663134557808509E-2</c:v>
                </c:pt>
                <c:pt idx="3106">
                  <c:v>1.0669673205143478E-2</c:v>
                </c:pt>
                <c:pt idx="3107">
                  <c:v>1.0674659536453071E-2</c:v>
                </c:pt>
                <c:pt idx="3108">
                  <c:v>1.0679634015977024E-2</c:v>
                </c:pt>
                <c:pt idx="3109">
                  <c:v>1.0684596643668417E-2</c:v>
                </c:pt>
                <c:pt idx="3110">
                  <c:v>1.0689037483898345E-2</c:v>
                </c:pt>
                <c:pt idx="3111">
                  <c:v>1.069397710785832E-2</c:v>
                </c:pt>
                <c:pt idx="3112">
                  <c:v>1.0698904880139096E-2</c:v>
                </c:pt>
                <c:pt idx="3113">
                  <c:v>1.0703820800694997E-2</c:v>
                </c:pt>
                <c:pt idx="3114">
                  <c:v>1.0708724869486493E-2</c:v>
                </c:pt>
                <c:pt idx="3115">
                  <c:v>1.0714123518845467E-2</c:v>
                </c:pt>
                <c:pt idx="3116">
                  <c:v>1.0719003182464727E-2</c:v>
                </c:pt>
                <c:pt idx="3117">
                  <c:v>1.0723870993891715E-2</c:v>
                </c:pt>
                <c:pt idx="3118">
                  <c:v>1.0728726953088203E-2</c:v>
                </c:pt>
                <c:pt idx="3119">
                  <c:v>1.0733571060009007E-2</c:v>
                </c:pt>
                <c:pt idx="3120">
                  <c:v>1.0738403314608949E-2</c:v>
                </c:pt>
                <c:pt idx="3121">
                  <c:v>1.0743223716843713E-2</c:v>
                </c:pt>
                <c:pt idx="3122">
                  <c:v>1.0748032266669857E-2</c:v>
                </c:pt>
                <c:pt idx="3123">
                  <c:v>1.0752828964044808E-2</c:v>
                </c:pt>
                <c:pt idx="3124">
                  <c:v>1.075761380892599E-2</c:v>
                </c:pt>
                <c:pt idx="3125">
                  <c:v>1.0762386801266483E-2</c:v>
                </c:pt>
                <c:pt idx="3126">
                  <c:v>1.0767147941027188E-2</c:v>
                </c:pt>
                <c:pt idx="3127">
                  <c:v>1.0771897228162925E-2</c:v>
                </c:pt>
                <c:pt idx="3128">
                  <c:v>1.0776634662629382E-2</c:v>
                </c:pt>
                <c:pt idx="3129">
                  <c:v>1.0781360244386589E-2</c:v>
                </c:pt>
                <c:pt idx="3130">
                  <c:v>1.0786073973389368E-2</c:v>
                </c:pt>
                <c:pt idx="3131">
                  <c:v>1.0790775849596878E-2</c:v>
                </c:pt>
                <c:pt idx="3132">
                  <c:v>1.0794971405918686E-2</c:v>
                </c:pt>
                <c:pt idx="3133">
                  <c:v>1.0799650282900366E-2</c:v>
                </c:pt>
                <c:pt idx="3134">
                  <c:v>1.0804317307255035E-2</c:v>
                </c:pt>
                <c:pt idx="3135">
                  <c:v>1.0808972478942285E-2</c:v>
                </c:pt>
                <c:pt idx="3136">
                  <c:v>1.0813615797919073E-2</c:v>
                </c:pt>
                <c:pt idx="3137">
                  <c:v>1.0818738195727613E-2</c:v>
                </c:pt>
                <c:pt idx="3138">
                  <c:v>1.0823357101172689E-2</c:v>
                </c:pt>
                <c:pt idx="3139">
                  <c:v>1.0827964153482771E-2</c:v>
                </c:pt>
                <c:pt idx="3140">
                  <c:v>1.0832559352615281E-2</c:v>
                </c:pt>
                <c:pt idx="3141">
                  <c:v>1.0837142698530254E-2</c:v>
                </c:pt>
                <c:pt idx="3142">
                  <c:v>1.0841714191185983E-2</c:v>
                </c:pt>
                <c:pt idx="3143">
                  <c:v>1.0846273830541632E-2</c:v>
                </c:pt>
                <c:pt idx="3144">
                  <c:v>1.0850821616552887E-2</c:v>
                </c:pt>
                <c:pt idx="3145">
                  <c:v>1.0854872289928147E-2</c:v>
                </c:pt>
                <c:pt idx="3146">
                  <c:v>1.0859397079531367E-2</c:v>
                </c:pt>
                <c:pt idx="3147">
                  <c:v>1.0863910015975253E-2</c:v>
                </c:pt>
                <c:pt idx="3148">
                  <c:v>1.0868411099214128E-2</c:v>
                </c:pt>
                <c:pt idx="3149">
                  <c:v>1.0872900329211978E-2</c:v>
                </c:pt>
                <c:pt idx="3150">
                  <c:v>1.087737770592488E-2</c:v>
                </c:pt>
                <c:pt idx="3151">
                  <c:v>1.0881843229316819E-2</c:v>
                </c:pt>
                <c:pt idx="3152">
                  <c:v>1.0886296899343877E-2</c:v>
                </c:pt>
                <c:pt idx="3153">
                  <c:v>1.0890738715966523E-2</c:v>
                </c:pt>
                <c:pt idx="3154">
                  <c:v>1.0894689766113075E-2</c:v>
                </c:pt>
                <c:pt idx="3155">
                  <c:v>1.0899108588917628E-2</c:v>
                </c:pt>
                <c:pt idx="3156">
                  <c:v>1.090351555850777E-2</c:v>
                </c:pt>
                <c:pt idx="3157">
                  <c:v>1.0907910674841759E-2</c:v>
                </c:pt>
                <c:pt idx="3158">
                  <c:v>1.0913245996916876E-2</c:v>
                </c:pt>
                <c:pt idx="3159">
                  <c:v>1.0917615977912203E-2</c:v>
                </c:pt>
                <c:pt idx="3160">
                  <c:v>1.0921974104914091E-2</c:v>
                </c:pt>
                <c:pt idx="3161">
                  <c:v>1.0926320377892131E-2</c:v>
                </c:pt>
                <c:pt idx="3162">
                  <c:v>1.09306547967994E-2</c:v>
                </c:pt>
                <c:pt idx="3163">
                  <c:v>1.093450493631635E-2</c:v>
                </c:pt>
                <c:pt idx="3164">
                  <c:v>1.0938816362898254E-2</c:v>
                </c:pt>
                <c:pt idx="3165">
                  <c:v>1.0943115935605791E-2</c:v>
                </c:pt>
                <c:pt idx="3166">
                  <c:v>1.0947403654402946E-2</c:v>
                </c:pt>
                <c:pt idx="3167">
                  <c:v>1.0953697584618793E-2</c:v>
                </c:pt>
                <c:pt idx="3168">
                  <c:v>1.0957957750264577E-2</c:v>
                </c:pt>
                <c:pt idx="3169">
                  <c:v>1.096220606093889E-2</c:v>
                </c:pt>
                <c:pt idx="3170">
                  <c:v>1.0966442516600911E-2</c:v>
                </c:pt>
                <c:pt idx="3171">
                  <c:v>1.0970667117212373E-2</c:v>
                </c:pt>
                <c:pt idx="3172">
                  <c:v>1.097487986273331E-2</c:v>
                </c:pt>
                <c:pt idx="3173">
                  <c:v>1.0979080753128005E-2</c:v>
                </c:pt>
                <c:pt idx="3174">
                  <c:v>1.0983269788353088E-2</c:v>
                </c:pt>
                <c:pt idx="3175">
                  <c:v>1.0986056013746909E-2</c:v>
                </c:pt>
                <c:pt idx="3176">
                  <c:v>1.0991612293147301E-2</c:v>
                </c:pt>
                <c:pt idx="3177">
                  <c:v>1.0995765762637345E-2</c:v>
                </c:pt>
                <c:pt idx="3178">
                  <c:v>1.0999907376805559E-2</c:v>
                </c:pt>
                <c:pt idx="3179">
                  <c:v>1.1004037135613676E-2</c:v>
                </c:pt>
                <c:pt idx="3180">
                  <c:v>1.1008155039020875E-2</c:v>
                </c:pt>
                <c:pt idx="3181">
                  <c:v>1.1012261086993142E-2</c:v>
                </c:pt>
                <c:pt idx="3182">
                  <c:v>1.1016355279489661E-2</c:v>
                </c:pt>
                <c:pt idx="3183">
                  <c:v>1.1020437616473863E-2</c:v>
                </c:pt>
                <c:pt idx="3184">
                  <c:v>1.1023136611436418E-2</c:v>
                </c:pt>
                <c:pt idx="3185">
                  <c:v>1.1027197405184274E-2</c:v>
                </c:pt>
                <c:pt idx="3186">
                  <c:v>1.103124634426543E-2</c:v>
                </c:pt>
                <c:pt idx="3187">
                  <c:v>1.1035283428642116E-2</c:v>
                </c:pt>
                <c:pt idx="3188">
                  <c:v>1.1040671467379273E-2</c:v>
                </c:pt>
                <c:pt idx="3189">
                  <c:v>1.1044682670496167E-2</c:v>
                </c:pt>
                <c:pt idx="3190">
                  <c:v>1.1048682017837127E-2</c:v>
                </c:pt>
                <c:pt idx="3191">
                  <c:v>1.1052669509365584E-2</c:v>
                </c:pt>
                <c:pt idx="3192">
                  <c:v>1.1056645145044971E-2</c:v>
                </c:pt>
                <c:pt idx="3193">
                  <c:v>1.1060608924838726E-2</c:v>
                </c:pt>
                <c:pt idx="3194">
                  <c:v>1.1064560848709427E-2</c:v>
                </c:pt>
                <c:pt idx="3195">
                  <c:v>1.1068500916619661E-2</c:v>
                </c:pt>
                <c:pt idx="3196">
                  <c:v>1.107242912853626E-2</c:v>
                </c:pt>
                <c:pt idx="3197">
                  <c:v>1.1074554392763503E-2</c:v>
                </c:pt>
                <c:pt idx="3198">
                  <c:v>1.1078461799778339E-2</c:v>
                </c:pt>
                <c:pt idx="3199">
                  <c:v>1.1082357351988037E-2</c:v>
                </c:pt>
                <c:pt idx="3200">
                  <c:v>1.1086241049357959E-2</c:v>
                </c:pt>
                <c:pt idx="3201">
                  <c:v>1.1090879158576105E-2</c:v>
                </c:pt>
                <c:pt idx="3202">
                  <c:v>1.10960674448036E-2</c:v>
                </c:pt>
                <c:pt idx="3203">
                  <c:v>1.1100352893389896E-2</c:v>
                </c:pt>
                <c:pt idx="3204">
                  <c:v>1.1103740236360876E-2</c:v>
                </c:pt>
                <c:pt idx="3205">
                  <c:v>1.1107558849127529E-2</c:v>
                </c:pt>
                <c:pt idx="3206">
                  <c:v>1.1111365606505422E-2</c:v>
                </c:pt>
                <c:pt idx="3207">
                  <c:v>1.1115160508463813E-2</c:v>
                </c:pt>
                <c:pt idx="3208">
                  <c:v>1.1118943554965807E-2</c:v>
                </c:pt>
                <c:pt idx="3209">
                  <c:v>1.1122714745978902E-2</c:v>
                </c:pt>
                <c:pt idx="3210">
                  <c:v>1.1126912097624914E-2</c:v>
                </c:pt>
                <c:pt idx="3211">
                  <c:v>1.1130658846386596E-2</c:v>
                </c:pt>
                <c:pt idx="3212">
                  <c:v>1.1134393739228553E-2</c:v>
                </c:pt>
                <c:pt idx="3213">
                  <c:v>1.1138116776117767E-2</c:v>
                </c:pt>
                <c:pt idx="3214">
                  <c:v>1.1141392867521525E-2</c:v>
                </c:pt>
                <c:pt idx="3215">
                  <c:v>1.114509292489059E-2</c:v>
                </c:pt>
                <c:pt idx="3216">
                  <c:v>1.1149832720849387E-2</c:v>
                </c:pt>
                <c:pt idx="3217">
                  <c:v>1.1152457472425912E-2</c:v>
                </c:pt>
                <c:pt idx="3218">
                  <c:v>1.1156121962526286E-2</c:v>
                </c:pt>
                <c:pt idx="3219">
                  <c:v>1.1160206020527027E-2</c:v>
                </c:pt>
                <c:pt idx="3220">
                  <c:v>1.1163846064796508E-2</c:v>
                </c:pt>
                <c:pt idx="3221">
                  <c:v>1.1167474252845637E-2</c:v>
                </c:pt>
                <c:pt idx="3222">
                  <c:v>1.1171090584640527E-2</c:v>
                </c:pt>
                <c:pt idx="3223">
                  <c:v>1.1174695060149897E-2</c:v>
                </c:pt>
                <c:pt idx="3224">
                  <c:v>1.1178287679338995E-2</c:v>
                </c:pt>
                <c:pt idx="3225">
                  <c:v>1.1181868442176541E-2</c:v>
                </c:pt>
                <c:pt idx="3226">
                  <c:v>1.1185437348628646E-2</c:v>
                </c:pt>
                <c:pt idx="3227">
                  <c:v>1.1188994398665773E-2</c:v>
                </c:pt>
                <c:pt idx="3228">
                  <c:v>1.1192539592252295E-2</c:v>
                </c:pt>
                <c:pt idx="3229">
                  <c:v>1.1196072929356935E-2</c:v>
                </c:pt>
                <c:pt idx="3230">
                  <c:v>1.119959440994928E-2</c:v>
                </c:pt>
                <c:pt idx="3231">
                  <c:v>1.1203104033997182E-2</c:v>
                </c:pt>
                <c:pt idx="3232">
                  <c:v>1.1206601801468496E-2</c:v>
                </c:pt>
                <c:pt idx="3233">
                  <c:v>1.1210087712328464E-2</c:v>
                </c:pt>
                <c:pt idx="3234">
                  <c:v>1.1213561766551021E-2</c:v>
                </c:pt>
                <c:pt idx="3235">
                  <c:v>1.1217023964100544E-2</c:v>
                </c:pt>
                <c:pt idx="3236">
                  <c:v>1.1220055407284369E-2</c:v>
                </c:pt>
                <c:pt idx="3237">
                  <c:v>1.122349463125372E-2</c:v>
                </c:pt>
                <c:pt idx="3238">
                  <c:v>1.1226921998794265E-2</c:v>
                </c:pt>
                <c:pt idx="3239">
                  <c:v>1.1230337509878773E-2</c:v>
                </c:pt>
                <c:pt idx="3240">
                  <c:v>1.1234157100676106E-2</c:v>
                </c:pt>
                <c:pt idx="3241">
                  <c:v>1.1237548157539244E-2</c:v>
                </c:pt>
                <c:pt idx="3242">
                  <c:v>1.1240927357513867E-2</c:v>
                </c:pt>
                <c:pt idx="3243">
                  <c:v>1.1244294700567826E-2</c:v>
                </c:pt>
                <c:pt idx="3244">
                  <c:v>1.1247650186671582E-2</c:v>
                </c:pt>
                <c:pt idx="3245">
                  <c:v>1.1250993815795593E-2</c:v>
                </c:pt>
                <c:pt idx="3246">
                  <c:v>1.1254325587907709E-2</c:v>
                </c:pt>
                <c:pt idx="3247">
                  <c:v>1.1257645502978388E-2</c:v>
                </c:pt>
                <c:pt idx="3248">
                  <c:v>1.126095356097896E-2</c:v>
                </c:pt>
                <c:pt idx="3249">
                  <c:v>1.1263840508857814E-2</c:v>
                </c:pt>
                <c:pt idx="3250">
                  <c:v>1.1267125596908192E-2</c:v>
                </c:pt>
                <c:pt idx="3251">
                  <c:v>1.1270398828141502E-2</c:v>
                </c:pt>
                <c:pt idx="3252">
                  <c:v>1.1273660202527881E-2</c:v>
                </c:pt>
                <c:pt idx="3253">
                  <c:v>1.1275341193287779E-2</c:v>
                </c:pt>
                <c:pt idx="3254">
                  <c:v>1.1280203451402571E-2</c:v>
                </c:pt>
                <c:pt idx="3255">
                  <c:v>1.1283428307224064E-2</c:v>
                </c:pt>
                <c:pt idx="3256">
                  <c:v>1.1286641306424094E-2</c:v>
                </c:pt>
                <c:pt idx="3257">
                  <c:v>1.1289842448972465E-2</c:v>
                </c:pt>
                <c:pt idx="3258">
                  <c:v>1.1293031734838976E-2</c:v>
                </c:pt>
                <c:pt idx="3259">
                  <c:v>1.1296209163996984E-2</c:v>
                </c:pt>
                <c:pt idx="3260">
                  <c:v>1.1299374736419843E-2</c:v>
                </c:pt>
                <c:pt idx="3261">
                  <c:v>1.1302528452074689E-2</c:v>
                </c:pt>
                <c:pt idx="3262">
                  <c:v>1.1306469261036609E-2</c:v>
                </c:pt>
                <c:pt idx="3263">
                  <c:v>1.1309597765493843E-2</c:v>
                </c:pt>
                <c:pt idx="3264">
                  <c:v>1.1312714412409173E-2</c:v>
                </c:pt>
                <c:pt idx="3265">
                  <c:v>1.1315819201752186E-2</c:v>
                </c:pt>
                <c:pt idx="3266">
                  <c:v>1.1319397418473015E-2</c:v>
                </c:pt>
                <c:pt idx="3267">
                  <c:v>1.1322475854996733E-2</c:v>
                </c:pt>
                <c:pt idx="3268">
                  <c:v>1.1325542434207077E-2</c:v>
                </c:pt>
                <c:pt idx="3269">
                  <c:v>1.1328597156075941E-2</c:v>
                </c:pt>
                <c:pt idx="3270">
                  <c:v>1.133325292088158E-2</c:v>
                </c:pt>
                <c:pt idx="3271">
                  <c:v>1.1335063504543507E-2</c:v>
                </c:pt>
                <c:pt idx="3272">
                  <c:v>1.1338081902172737E-2</c:v>
                </c:pt>
                <c:pt idx="3273">
                  <c:v>1.1341088442001141E-2</c:v>
                </c:pt>
                <c:pt idx="3274">
                  <c:v>1.1344083124001781E-2</c:v>
                </c:pt>
                <c:pt idx="3275">
                  <c:v>1.1347065948147722E-2</c:v>
                </c:pt>
                <c:pt idx="3276">
                  <c:v>1.1350036914410293E-2</c:v>
                </c:pt>
                <c:pt idx="3277">
                  <c:v>1.1352996022763427E-2</c:v>
                </c:pt>
                <c:pt idx="3278">
                  <c:v>1.1355943273181925E-2</c:v>
                </c:pt>
                <c:pt idx="3279">
                  <c:v>1.1358878665637987E-2</c:v>
                </c:pt>
                <c:pt idx="3280">
                  <c:v>1.1361802200104677E-2</c:v>
                </c:pt>
                <c:pt idx="3281">
                  <c:v>1.1364713876554187E-2</c:v>
                </c:pt>
                <c:pt idx="3282">
                  <c:v>1.1367613694963931E-2</c:v>
                </c:pt>
                <c:pt idx="3283">
                  <c:v>1.1370501655303497E-2</c:v>
                </c:pt>
                <c:pt idx="3284">
                  <c:v>1.1373377757549426E-2</c:v>
                </c:pt>
                <c:pt idx="3285">
                  <c:v>1.1376242001674782E-2</c:v>
                </c:pt>
                <c:pt idx="3286">
                  <c:v>1.1379094387652632E-2</c:v>
                </c:pt>
                <c:pt idx="3287">
                  <c:v>1.1381934915459514E-2</c:v>
                </c:pt>
                <c:pt idx="3288">
                  <c:v>1.1384383940793831E-2</c:v>
                </c:pt>
                <c:pt idx="3289">
                  <c:v>1.1387201510209414E-2</c:v>
                </c:pt>
                <c:pt idx="3290">
                  <c:v>1.139000722173187E-2</c:v>
                </c:pt>
                <c:pt idx="3291">
                  <c:v>1.1394310165285254E-2</c:v>
                </c:pt>
                <c:pt idx="3292">
                  <c:v>1.1395959681004071E-2</c:v>
                </c:pt>
                <c:pt idx="3293">
                  <c:v>1.1398729059237764E-2</c:v>
                </c:pt>
                <c:pt idx="3294">
                  <c:v>1.140148657912237E-2</c:v>
                </c:pt>
                <c:pt idx="3295">
                  <c:v>1.1404232240630958E-2</c:v>
                </c:pt>
                <c:pt idx="3296">
                  <c:v>1.1406966043739196E-2</c:v>
                </c:pt>
                <c:pt idx="3297">
                  <c:v>1.140968798842015E-2</c:v>
                </c:pt>
                <c:pt idx="3298">
                  <c:v>1.1412398074652099E-2</c:v>
                </c:pt>
                <c:pt idx="3299">
                  <c:v>1.1415096302411583E-2</c:v>
                </c:pt>
                <c:pt idx="3300">
                  <c:v>1.1417782671670798E-2</c:v>
                </c:pt>
                <c:pt idx="3301">
                  <c:v>1.1419717593277312E-2</c:v>
                </c:pt>
                <c:pt idx="3302">
                  <c:v>1.142238177074173E-2</c:v>
                </c:pt>
                <c:pt idx="3303">
                  <c:v>1.1425034090349229E-2</c:v>
                </c:pt>
                <c:pt idx="3304">
                  <c:v>1.1429545165141691E-2</c:v>
                </c:pt>
                <c:pt idx="3305">
                  <c:v>1.1430677702742642E-2</c:v>
                </c:pt>
                <c:pt idx="3306">
                  <c:v>1.143291990180284E-2</c:v>
                </c:pt>
                <c:pt idx="3307">
                  <c:v>1.1435524789753515E-2</c:v>
                </c:pt>
                <c:pt idx="3308">
                  <c:v>1.1438117819731808E-2</c:v>
                </c:pt>
                <c:pt idx="3309">
                  <c:v>1.144069899171285E-2</c:v>
                </c:pt>
                <c:pt idx="3310">
                  <c:v>1.1442905289776885E-2</c:v>
                </c:pt>
                <c:pt idx="3311">
                  <c:v>1.1445463511493146E-2</c:v>
                </c:pt>
                <c:pt idx="3312">
                  <c:v>1.1448009875506275E-2</c:v>
                </c:pt>
                <c:pt idx="3313">
                  <c:v>1.1450544381792917E-2</c:v>
                </c:pt>
                <c:pt idx="3314">
                  <c:v>1.1454146685481364E-2</c:v>
                </c:pt>
                <c:pt idx="3315">
                  <c:v>1.1456655174395343E-2</c:v>
                </c:pt>
                <c:pt idx="3316">
                  <c:v>1.1459151804432834E-2</c:v>
                </c:pt>
                <c:pt idx="3317">
                  <c:v>1.146163657557385E-2</c:v>
                </c:pt>
                <c:pt idx="3318">
                  <c:v>1.1463752739759882E-2</c:v>
                </c:pt>
                <c:pt idx="3319">
                  <c:v>1.1466214561816861E-2</c:v>
                </c:pt>
                <c:pt idx="3320">
                  <c:v>1.1468664525268315E-2</c:v>
                </c:pt>
                <c:pt idx="3321">
                  <c:v>1.1471102630096673E-2</c:v>
                </c:pt>
                <c:pt idx="3322">
                  <c:v>1.147388254701596E-2</c:v>
                </c:pt>
                <c:pt idx="3323">
                  <c:v>1.1476296164297651E-2</c:v>
                </c:pt>
                <c:pt idx="3324">
                  <c:v>1.1478697922525602E-2</c:v>
                </c:pt>
                <c:pt idx="3325">
                  <c:v>1.1481087821677224E-2</c:v>
                </c:pt>
                <c:pt idx="3326">
                  <c:v>1.14834658617334E-2</c:v>
                </c:pt>
                <c:pt idx="3327">
                  <c:v>1.1485832042669803E-2</c:v>
                </c:pt>
                <c:pt idx="3328">
                  <c:v>1.1488186364464713E-2</c:v>
                </c:pt>
                <c:pt idx="3329">
                  <c:v>1.1490528827100749E-2</c:v>
                </c:pt>
                <c:pt idx="3330">
                  <c:v>1.1492859430551847E-2</c:v>
                </c:pt>
                <c:pt idx="3331">
                  <c:v>1.1495178174798891E-2</c:v>
                </c:pt>
                <c:pt idx="3332">
                  <c:v>1.1497485059821897E-2</c:v>
                </c:pt>
                <c:pt idx="3333">
                  <c:v>1.1499780085600014E-2</c:v>
                </c:pt>
                <c:pt idx="3334">
                  <c:v>1.1502063252109781E-2</c:v>
                </c:pt>
                <c:pt idx="3335">
                  <c:v>1.1504334559333819E-2</c:v>
                </c:pt>
                <c:pt idx="3336">
                  <c:v>1.150659400724954E-2</c:v>
                </c:pt>
                <c:pt idx="3337">
                  <c:v>1.1508841595836091E-2</c:v>
                </c:pt>
                <c:pt idx="3338">
                  <c:v>1.1511077325074354E-2</c:v>
                </c:pt>
                <c:pt idx="3339">
                  <c:v>1.1513301194945218E-2</c:v>
                </c:pt>
                <c:pt idx="3340">
                  <c:v>1.1515173454520333E-2</c:v>
                </c:pt>
                <c:pt idx="3341">
                  <c:v>1.1517374382388422E-2</c:v>
                </c:pt>
                <c:pt idx="3342">
                  <c:v>1.1519563451193328E-2</c:v>
                </c:pt>
                <c:pt idx="3343">
                  <c:v>1.1521740660916605E-2</c:v>
                </c:pt>
                <c:pt idx="3344">
                  <c:v>1.1525252175493418E-2</c:v>
                </c:pt>
                <c:pt idx="3345">
                  <c:v>1.152639536628808E-2</c:v>
                </c:pt>
                <c:pt idx="3346">
                  <c:v>1.1528536220016285E-2</c:v>
                </c:pt>
                <c:pt idx="3347">
                  <c:v>1.1530665214215483E-2</c:v>
                </c:pt>
                <c:pt idx="3348">
                  <c:v>1.1532782348869159E-2</c:v>
                </c:pt>
                <c:pt idx="3349">
                  <c:v>1.1534887623958202E-2</c:v>
                </c:pt>
                <c:pt idx="3350">
                  <c:v>1.1536981039460017E-2</c:v>
                </c:pt>
                <c:pt idx="3351">
                  <c:v>1.153906259535897E-2</c:v>
                </c:pt>
                <c:pt idx="3352">
                  <c:v>1.154113229163594E-2</c:v>
                </c:pt>
                <c:pt idx="3353">
                  <c:v>1.1542860504402107E-2</c:v>
                </c:pt>
                <c:pt idx="3354">
                  <c:v>1.1544907262959033E-2</c:v>
                </c:pt>
                <c:pt idx="3355">
                  <c:v>1.1546942162207698E-2</c:v>
                </c:pt>
                <c:pt idx="3356">
                  <c:v>1.154896520212702E-2</c:v>
                </c:pt>
                <c:pt idx="3357">
                  <c:v>1.1550976382703821E-2</c:v>
                </c:pt>
                <c:pt idx="3358">
                  <c:v>1.1552975703914389E-2</c:v>
                </c:pt>
                <c:pt idx="3359">
                  <c:v>1.1554963165743785E-2</c:v>
                </c:pt>
                <c:pt idx="3360">
                  <c:v>1.1556938768174445E-2</c:v>
                </c:pt>
                <c:pt idx="3361">
                  <c:v>1.1558902511187919E-2</c:v>
                </c:pt>
                <c:pt idx="3362">
                  <c:v>1.1560531750546055E-2</c:v>
                </c:pt>
                <c:pt idx="3363">
                  <c:v>1.1562472559537795E-2</c:v>
                </c:pt>
                <c:pt idx="3364">
                  <c:v>1.1564401509429167E-2</c:v>
                </c:pt>
                <c:pt idx="3365">
                  <c:v>1.156631860020596E-2</c:v>
                </c:pt>
                <c:pt idx="3366">
                  <c:v>1.1568862768800909E-2</c:v>
                </c:pt>
                <c:pt idx="3367">
                  <c:v>1.1570754568543855E-2</c:v>
                </c:pt>
                <c:pt idx="3368">
                  <c:v>1.1572634508378093E-2</c:v>
                </c:pt>
                <c:pt idx="3369">
                  <c:v>1.157450258828451E-2</c:v>
                </c:pt>
                <c:pt idx="3370">
                  <c:v>1.1576042521670486E-2</c:v>
                </c:pt>
                <c:pt idx="3371">
                  <c:v>1.1577887669561667E-2</c:v>
                </c:pt>
                <c:pt idx="3372">
                  <c:v>1.1579720957848561E-2</c:v>
                </c:pt>
                <c:pt idx="3373">
                  <c:v>1.1581542386514477E-2</c:v>
                </c:pt>
                <c:pt idx="3374">
                  <c:v>1.1583351955541846E-2</c:v>
                </c:pt>
                <c:pt idx="3375">
                  <c:v>1.1585462008310784E-2</c:v>
                </c:pt>
                <c:pt idx="3376">
                  <c:v>1.1587247068257598E-2</c:v>
                </c:pt>
                <c:pt idx="3377">
                  <c:v>1.1589020268146257E-2</c:v>
                </c:pt>
                <c:pt idx="3378">
                  <c:v>1.1590781607959389E-2</c:v>
                </c:pt>
                <c:pt idx="3379">
                  <c:v>1.1592531087681348E-2</c:v>
                </c:pt>
                <c:pt idx="3380">
                  <c:v>1.1594268707294762E-2</c:v>
                </c:pt>
                <c:pt idx="3381">
                  <c:v>1.1595994466784856E-2</c:v>
                </c:pt>
                <c:pt idx="3382">
                  <c:v>1.1597708366135993E-2</c:v>
                </c:pt>
                <c:pt idx="3383">
                  <c:v>1.1599410405332532E-2</c:v>
                </c:pt>
                <c:pt idx="3384">
                  <c:v>1.1601100584360572E-2</c:v>
                </c:pt>
                <c:pt idx="3385">
                  <c:v>1.1602778903201867E-2</c:v>
                </c:pt>
                <c:pt idx="3386">
                  <c:v>1.1604445361843381E-2</c:v>
                </c:pt>
                <c:pt idx="3387">
                  <c:v>1.1606099960269478E-2</c:v>
                </c:pt>
                <c:pt idx="3388">
                  <c:v>1.1607742698464518E-2</c:v>
                </c:pt>
                <c:pt idx="3389">
                  <c:v>1.1609373576414596E-2</c:v>
                </c:pt>
                <c:pt idx="3390">
                  <c:v>1.1610992594104943E-2</c:v>
                </c:pt>
                <c:pt idx="3391">
                  <c:v>1.1612599751519051E-2</c:v>
                </c:pt>
                <c:pt idx="3392">
                  <c:v>1.1613896182007737E-2</c:v>
                </c:pt>
                <c:pt idx="3393">
                  <c:v>1.161548041495652E-2</c:v>
                </c:pt>
                <c:pt idx="3394">
                  <c:v>1.1617052787962823E-2</c:v>
                </c:pt>
                <c:pt idx="3395">
                  <c:v>1.1618613301014349E-2</c:v>
                </c:pt>
                <c:pt idx="3396">
                  <c:v>1.1620161954095288E-2</c:v>
                </c:pt>
                <c:pt idx="3397">
                  <c:v>1.1621993629427643E-2</c:v>
                </c:pt>
                <c:pt idx="3398">
                  <c:v>1.1623517764516216E-2</c:v>
                </c:pt>
                <c:pt idx="3399">
                  <c:v>1.1625030039215596E-2</c:v>
                </c:pt>
                <c:pt idx="3400">
                  <c:v>1.1626530453514488E-2</c:v>
                </c:pt>
                <c:pt idx="3401">
                  <c:v>1.1628019007397251E-2</c:v>
                </c:pt>
                <c:pt idx="3402">
                  <c:v>1.1629495700849118E-2</c:v>
                </c:pt>
                <c:pt idx="3403">
                  <c:v>1.1630960533859659E-2</c:v>
                </c:pt>
                <c:pt idx="3404">
                  <c:v>1.1632413506414106E-2</c:v>
                </c:pt>
                <c:pt idx="3405">
                  <c:v>1.1633277573178447E-2</c:v>
                </c:pt>
                <c:pt idx="3406">
                  <c:v>1.1634708426788265E-2</c:v>
                </c:pt>
                <c:pt idx="3407">
                  <c:v>1.1636127420660891E-2</c:v>
                </c:pt>
                <c:pt idx="3408">
                  <c:v>1.163753455477945E-2</c:v>
                </c:pt>
                <c:pt idx="3409">
                  <c:v>1.1638929829135058E-2</c:v>
                </c:pt>
                <c:pt idx="3410">
                  <c:v>1.1640313243714395E-2</c:v>
                </c:pt>
                <c:pt idx="3411">
                  <c:v>1.1641684798505025E-2</c:v>
                </c:pt>
                <c:pt idx="3412">
                  <c:v>1.1643044493493626E-2</c:v>
                </c:pt>
                <c:pt idx="3413">
                  <c:v>1.1644392328670428E-2</c:v>
                </c:pt>
                <c:pt idx="3414">
                  <c:v>1.164544689810065E-2</c:v>
                </c:pt>
                <c:pt idx="3415">
                  <c:v>1.1646771817948192E-2</c:v>
                </c:pt>
                <c:pt idx="3416">
                  <c:v>1.1648084878324126E-2</c:v>
                </c:pt>
                <c:pt idx="3417">
                  <c:v>1.1649386079220371E-2</c:v>
                </c:pt>
                <c:pt idx="3418">
                  <c:v>1.1651509767122486E-2</c:v>
                </c:pt>
                <c:pt idx="3419">
                  <c:v>1.1652784831317584E-2</c:v>
                </c:pt>
                <c:pt idx="3420">
                  <c:v>1.1654048034859352E-2</c:v>
                </c:pt>
                <c:pt idx="3421">
                  <c:v>1.1655299377734758E-2</c:v>
                </c:pt>
                <c:pt idx="3422">
                  <c:v>1.1656538859934245E-2</c:v>
                </c:pt>
                <c:pt idx="3423">
                  <c:v>1.165749247033834E-2</c:v>
                </c:pt>
                <c:pt idx="3424">
                  <c:v>1.1658709039004806E-2</c:v>
                </c:pt>
                <c:pt idx="3425">
                  <c:v>1.165991374734229E-2</c:v>
                </c:pt>
                <c:pt idx="3426">
                  <c:v>1.1661106595338493E-2</c:v>
                </c:pt>
                <c:pt idx="3427">
                  <c:v>1.1662558360392332E-2</c:v>
                </c:pt>
                <c:pt idx="3428">
                  <c:v>1.1663726678299098E-2</c:v>
                </c:pt>
                <c:pt idx="3429">
                  <c:v>1.1664883135454353E-2</c:v>
                </c:pt>
                <c:pt idx="3430">
                  <c:v>1.1666027731845064E-2</c:v>
                </c:pt>
                <c:pt idx="3431">
                  <c:v>1.1667160467462544E-2</c:v>
                </c:pt>
                <c:pt idx="3432">
                  <c:v>1.1668281342295493E-2</c:v>
                </c:pt>
                <c:pt idx="3433">
                  <c:v>1.1669390356335225E-2</c:v>
                </c:pt>
                <c:pt idx="3434">
                  <c:v>1.1670487509568707E-2</c:v>
                </c:pt>
                <c:pt idx="3435">
                  <c:v>1.1671572801988987E-2</c:v>
                </c:pt>
                <c:pt idx="3436">
                  <c:v>1.167264623358564E-2</c:v>
                </c:pt>
                <c:pt idx="3437">
                  <c:v>1.1673707804347372E-2</c:v>
                </c:pt>
                <c:pt idx="3438">
                  <c:v>1.167475751426549E-2</c:v>
                </c:pt>
                <c:pt idx="3439">
                  <c:v>1.167579536333044E-2</c:v>
                </c:pt>
                <c:pt idx="3440">
                  <c:v>1.1676821351533532E-2</c:v>
                </c:pt>
                <c:pt idx="3441">
                  <c:v>1.1677835478866076E-2</c:v>
                </c:pt>
                <c:pt idx="3442">
                  <c:v>1.167883774531678E-2</c:v>
                </c:pt>
                <c:pt idx="3443">
                  <c:v>1.1679828150876953E-2</c:v>
                </c:pt>
                <c:pt idx="3444">
                  <c:v>1.1680549729364368E-2</c:v>
                </c:pt>
                <c:pt idx="3445">
                  <c:v>1.1681517228979735E-2</c:v>
                </c:pt>
                <c:pt idx="3446">
                  <c:v>1.1682472868060571E-2</c:v>
                </c:pt>
                <c:pt idx="3447">
                  <c:v>1.1683416646599847E-2</c:v>
                </c:pt>
                <c:pt idx="3448">
                  <c:v>1.1684348564586144E-2</c:v>
                </c:pt>
                <c:pt idx="3449">
                  <c:v>1.1685521505055491E-2</c:v>
                </c:pt>
                <c:pt idx="3450">
                  <c:v>1.1686428884140404E-2</c:v>
                </c:pt>
                <c:pt idx="3451">
                  <c:v>1.1687324402267014E-2</c:v>
                </c:pt>
                <c:pt idx="3452">
                  <c:v>1.1688208059426632E-2</c:v>
                </c:pt>
                <c:pt idx="3453">
                  <c:v>1.1689079855610572E-2</c:v>
                </c:pt>
                <c:pt idx="3454">
                  <c:v>1.1689939790811879E-2</c:v>
                </c:pt>
                <c:pt idx="3455">
                  <c:v>1.1690787865023606E-2</c:v>
                </c:pt>
                <c:pt idx="3456">
                  <c:v>1.1691624078235324E-2</c:v>
                </c:pt>
                <c:pt idx="3457">
                  <c:v>1.1691955697279433E-2</c:v>
                </c:pt>
                <c:pt idx="3458">
                  <c:v>1.1692769830096594E-2</c:v>
                </c:pt>
                <c:pt idx="3459">
                  <c:v>1.1693572102658756E-2</c:v>
                </c:pt>
                <c:pt idx="3460">
                  <c:v>1.16943625149597E-2</c:v>
                </c:pt>
                <c:pt idx="3461">
                  <c:v>1.1695494320671251E-2</c:v>
                </c:pt>
                <c:pt idx="3462">
                  <c:v>1.1696016317958247E-2</c:v>
                </c:pt>
                <c:pt idx="3463">
                  <c:v>1.1696769455108225E-2</c:v>
                </c:pt>
                <c:pt idx="3464">
                  <c:v>1.1697510731968563E-2</c:v>
                </c:pt>
                <c:pt idx="3465">
                  <c:v>1.1698240148532157E-2</c:v>
                </c:pt>
                <c:pt idx="3466">
                  <c:v>1.1698718746960012E-2</c:v>
                </c:pt>
                <c:pt idx="3467">
                  <c:v>1.1699425267151576E-2</c:v>
                </c:pt>
                <c:pt idx="3468">
                  <c:v>1.170011992741078E-2</c:v>
                </c:pt>
                <c:pt idx="3469">
                  <c:v>1.1700802727733129E-2</c:v>
                </c:pt>
                <c:pt idx="3470">
                  <c:v>1.1702651224833828E-2</c:v>
                </c:pt>
                <c:pt idx="3471">
                  <c:v>1.1703306175850654E-2</c:v>
                </c:pt>
                <c:pt idx="3472">
                  <c:v>1.170394926499004E-2</c:v>
                </c:pt>
                <c:pt idx="3473">
                  <c:v>1.1704580492249438E-2</c:v>
                </c:pt>
                <c:pt idx="3474">
                  <c:v>1.1704503462602182E-2</c:v>
                </c:pt>
                <c:pt idx="3475">
                  <c:v>1.1705113448502216E-2</c:v>
                </c:pt>
                <c:pt idx="3476">
                  <c:v>1.1706048034222677E-2</c:v>
                </c:pt>
                <c:pt idx="3477">
                  <c:v>1.1706297838057437E-2</c:v>
                </c:pt>
                <c:pt idx="3478">
                  <c:v>1.1706872241703843E-2</c:v>
                </c:pt>
                <c:pt idx="3479">
                  <c:v>1.1708118755955295E-2</c:v>
                </c:pt>
                <c:pt idx="3480">
                  <c:v>1.1708666949880443E-2</c:v>
                </c:pt>
                <c:pt idx="3481">
                  <c:v>1.1709203281882232E-2</c:v>
                </c:pt>
                <c:pt idx="3482">
                  <c:v>1.1709727751951308E-2</c:v>
                </c:pt>
                <c:pt idx="3483">
                  <c:v>1.1710240360085122E-2</c:v>
                </c:pt>
                <c:pt idx="3484">
                  <c:v>1.1710741106278568E-2</c:v>
                </c:pt>
                <c:pt idx="3485">
                  <c:v>1.1711229990527396E-2</c:v>
                </c:pt>
                <c:pt idx="3486">
                  <c:v>1.1711707012826504E-2</c:v>
                </c:pt>
                <c:pt idx="3487">
                  <c:v>1.1711508139656835E-2</c:v>
                </c:pt>
                <c:pt idx="3488">
                  <c:v>1.1712625471558552E-2</c:v>
                </c:pt>
                <c:pt idx="3489">
                  <c:v>1.1713066907983837E-2</c:v>
                </c:pt>
                <c:pt idx="3490">
                  <c:v>1.1713496482441545E-2</c:v>
                </c:pt>
                <c:pt idx="3491">
                  <c:v>1.1713914194928272E-2</c:v>
                </c:pt>
                <c:pt idx="3492">
                  <c:v>1.1714320045441469E-2</c:v>
                </c:pt>
                <c:pt idx="3493">
                  <c:v>1.1714714033976033E-2</c:v>
                </c:pt>
                <c:pt idx="3494">
                  <c:v>1.171509616052941E-2</c:v>
                </c:pt>
                <c:pt idx="3495">
                  <c:v>1.1715466425098204E-2</c:v>
                </c:pt>
                <c:pt idx="3496">
                  <c:v>1.1715183312609616E-2</c:v>
                </c:pt>
                <c:pt idx="3497">
                  <c:v>1.1715532361023524E-2</c:v>
                </c:pt>
                <c:pt idx="3498">
                  <c:v>1.1715869548598967E-2</c:v>
                </c:pt>
                <c:pt idx="3499">
                  <c:v>1.1716194875332432E-2</c:v>
                </c:pt>
                <c:pt idx="3500">
                  <c:v>1.1717139818039865E-2</c:v>
                </c:pt>
                <c:pt idx="3501">
                  <c:v>1.1717438910626307E-2</c:v>
                </c:pt>
                <c:pt idx="3502">
                  <c:v>1.1717726141206903E-2</c:v>
                </c:pt>
                <c:pt idx="3503">
                  <c:v>1.1718001509778253E-2</c:v>
                </c:pt>
                <c:pt idx="3504">
                  <c:v>1.1718265016336105E-2</c:v>
                </c:pt>
                <c:pt idx="3505">
                  <c:v>1.1718516660880455E-2</c:v>
                </c:pt>
                <c:pt idx="3506">
                  <c:v>1.1718756443407056E-2</c:v>
                </c:pt>
                <c:pt idx="3507">
                  <c:v>1.1718984363914204E-2</c:v>
                </c:pt>
                <c:pt idx="3508">
                  <c:v>1.1719200422400199E-2</c:v>
                </c:pt>
                <c:pt idx="3509">
                  <c:v>1.1718592703211073E-2</c:v>
                </c:pt>
                <c:pt idx="3510">
                  <c:v>1.1718788401354097E-2</c:v>
                </c:pt>
                <c:pt idx="3511">
                  <c:v>1.171897223901297E-2</c:v>
                </c:pt>
                <c:pt idx="3512">
                  <c:v>1.1719144216182364E-2</c:v>
                </c:pt>
                <c:pt idx="3513">
                  <c:v>1.1718970363870122E-2</c:v>
                </c:pt>
                <c:pt idx="3514">
                  <c:v>1.1719909467263709E-2</c:v>
                </c:pt>
                <c:pt idx="3515">
                  <c:v>1.171984148968533E-2</c:v>
                </c:pt>
                <c:pt idx="3516">
                  <c:v>1.17199600985048E-2</c:v>
                </c:pt>
                <c:pt idx="3517">
                  <c:v>1.1720066846446275E-2</c:v>
                </c:pt>
                <c:pt idx="3518">
                  <c:v>1.1720161733507121E-2</c:v>
                </c:pt>
                <c:pt idx="3519">
                  <c:v>1.1720244759688216E-2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2084608"/>
        <c:axId val="682086784"/>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42172</c:v>
                </c:pt>
                <c:pt idx="1">
                  <c:v>42263</c:v>
                </c:pt>
                <c:pt idx="2">
                  <c:v>42354</c:v>
                </c:pt>
                <c:pt idx="3">
                  <c:v>42445</c:v>
                </c:pt>
                <c:pt idx="4">
                  <c:v>42536</c:v>
                </c:pt>
                <c:pt idx="5">
                  <c:v>42634</c:v>
                </c:pt>
                <c:pt idx="6">
                  <c:v>42725</c:v>
                </c:pt>
                <c:pt idx="7">
                  <c:v>42809</c:v>
                </c:pt>
                <c:pt idx="8">
                  <c:v>42907</c:v>
                </c:pt>
                <c:pt idx="9">
                  <c:v>42998</c:v>
                </c:pt>
                <c:pt idx="10">
                  <c:v>43089</c:v>
                </c:pt>
                <c:pt idx="11">
                  <c:v>43180</c:v>
                </c:pt>
                <c:pt idx="12">
                  <c:v>43271</c:v>
                </c:pt>
                <c:pt idx="13">
                  <c:v>43362</c:v>
                </c:pt>
                <c:pt idx="14">
                  <c:v>43453</c:v>
                </c:pt>
                <c:pt idx="15">
                  <c:v>43544</c:v>
                </c:pt>
              </c:numCache>
            </c:numRef>
          </c:xVal>
          <c:yVal>
            <c:numRef>
              <c:f>[0]!IMMFutSeries</c:f>
              <c:numCache>
                <c:formatCode>0.0000%</c:formatCode>
                <c:ptCount val="16"/>
                <c:pt idx="0">
                  <c:v>-2.4999999999941735E-5</c:v>
                </c:pt>
                <c:pt idx="1">
                  <c:v>-7.4999999999825206E-5</c:v>
                </c:pt>
                <c:pt idx="2">
                  <c:v>-2.4999999999941735E-5</c:v>
                </c:pt>
                <c:pt idx="3">
                  <c:v>7.4999999999936229E-5</c:v>
                </c:pt>
                <c:pt idx="4">
                  <c:v>2.2500000000003073E-4</c:v>
                </c:pt>
                <c:pt idx="5">
                  <c:v>5.2500000000010871E-4</c:v>
                </c:pt>
                <c:pt idx="6">
                  <c:v>9.2500000000006466E-4</c:v>
                </c:pt>
                <c:pt idx="7">
                  <c:v>1.3750000000000151E-3</c:v>
                </c:pt>
                <c:pt idx="8">
                  <c:v>1.87499999999996E-3</c:v>
                </c:pt>
                <c:pt idx="9">
                  <c:v>2.4250000000001215E-3</c:v>
                </c:pt>
                <c:pt idx="10">
                  <c:v>3.0250000000000554E-3</c:v>
                </c:pt>
                <c:pt idx="11">
                  <c:v>3.6750000000000949E-3</c:v>
                </c:pt>
                <c:pt idx="12">
                  <c:v>4.350000000000076E-3</c:v>
                </c:pt>
                <c:pt idx="13">
                  <c:v>5.0249999999999462E-3</c:v>
                </c:pt>
                <c:pt idx="14">
                  <c:v>5.6749999999999856E-3</c:v>
                </c:pt>
                <c:pt idx="15">
                  <c:v>6.324999999999914E-3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42170</c:v>
                </c:pt>
                <c:pt idx="1">
                  <c:v>42198</c:v>
                </c:pt>
                <c:pt idx="2">
                  <c:v>42229</c:v>
                </c:pt>
                <c:pt idx="3">
                  <c:v>42261</c:v>
                </c:pt>
                <c:pt idx="4">
                  <c:v>42290</c:v>
                </c:pt>
                <c:pt idx="5">
                  <c:v>42321</c:v>
                </c:pt>
                <c:pt idx="6">
                  <c:v>0</c:v>
                </c:pt>
                <c:pt idx="7">
                  <c:v>0</c:v>
                </c:pt>
              </c:numCache>
            </c:numRef>
          </c:xVal>
          <c:yVal>
            <c:numRef>
              <c:f>[0]!FRASeries</c:f>
              <c:numCache>
                <c:formatCode>0.0000%</c:formatCode>
                <c:ptCount val="8"/>
                <c:pt idx="0">
                  <c:v>-4.9999999999999996E-5</c:v>
                </c:pt>
                <c:pt idx="1">
                  <c:v>-4.9999999999999996E-5</c:v>
                </c:pt>
                <c:pt idx="2">
                  <c:v>-4.9999999999999996E-5</c:v>
                </c:pt>
                <c:pt idx="3">
                  <c:v>-4.9999999999999996E-5</c:v>
                </c:pt>
                <c:pt idx="4">
                  <c:v>-4.9999999999999996E-5</c:v>
                </c:pt>
                <c:pt idx="5">
                  <c:v>-4.9999999999999996E-5</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42144</c:v>
                </c:pt>
                <c:pt idx="1">
                  <c:v>42144</c:v>
                </c:pt>
                <c:pt idx="2">
                  <c:v>42144</c:v>
                </c:pt>
                <c:pt idx="3">
                  <c:v>42144</c:v>
                </c:pt>
                <c:pt idx="4">
                  <c:v>42144</c:v>
                </c:pt>
                <c:pt idx="5">
                  <c:v>42144</c:v>
                </c:pt>
                <c:pt idx="6">
                  <c:v>42144</c:v>
                </c:pt>
                <c:pt idx="7">
                  <c:v>42144</c:v>
                </c:pt>
              </c:numCache>
            </c:numRef>
          </c:xVal>
          <c:yVal>
            <c:numRef>
              <c:f>[0]!SerialFutSeries</c:f>
            </c:numRef>
          </c:yVal>
          <c:smooth val="0"/>
        </c:ser>
        <c:dLbls>
          <c:showLegendKey val="0"/>
          <c:showVal val="0"/>
          <c:showCatName val="0"/>
          <c:showSerName val="0"/>
          <c:showPercent val="0"/>
          <c:showBubbleSize val="0"/>
        </c:dLbls>
        <c:axId val="682084608"/>
        <c:axId val="682086784"/>
      </c:scatterChart>
      <c:dateAx>
        <c:axId val="68208460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682086784"/>
        <c:crosses val="autoZero"/>
        <c:auto val="1"/>
        <c:lblOffset val="100"/>
        <c:baseTimeUnit val="days"/>
        <c:majorUnit val="3"/>
        <c:majorTimeUnit val="months"/>
        <c:minorUnit val="1"/>
        <c:minorTimeUnit val="years"/>
      </c:dateAx>
      <c:valAx>
        <c:axId val="682086784"/>
        <c:scaling>
          <c:orientation val="minMax"/>
          <c:max val="2E-3"/>
          <c:min val="-1E-3"/>
        </c:scaling>
        <c:delete val="0"/>
        <c:axPos val="l"/>
        <c:majorGridlines/>
        <c:numFmt formatCode="0.00%" sourceLinked="0"/>
        <c:majorTickMark val="out"/>
        <c:minorTickMark val="none"/>
        <c:tickLblPos val="nextTo"/>
        <c:crossAx val="682084608"/>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Monitor!$AA$19:$AA$3552</c:f>
              <c:numCache>
                <c:formatCode>0.0000%</c:formatCode>
                <c:ptCount val="3534"/>
                <c:pt idx="0">
                  <c:v>-2.4930252342514336E-4</c:v>
                </c:pt>
                <c:pt idx="1">
                  <c:v>-2.4923218069350384E-4</c:v>
                </c:pt>
                <c:pt idx="2">
                  <c:v>-2.4885684712927514E-4</c:v>
                </c:pt>
                <c:pt idx="3">
                  <c:v>-2.4824738173112593E-4</c:v>
                </c:pt>
                <c:pt idx="4">
                  <c:v>-2.4782532490164044E-4</c:v>
                </c:pt>
                <c:pt idx="5">
                  <c:v>-2.4733292550038755E-4</c:v>
                </c:pt>
                <c:pt idx="6">
                  <c:v>-2.4677018316765498E-4</c:v>
                </c:pt>
                <c:pt idx="7">
                  <c:v>-2.4541005533063043E-4</c:v>
                </c:pt>
                <c:pt idx="8">
                  <c:v>-2.4381578608068111E-4</c:v>
                </c:pt>
                <c:pt idx="9">
                  <c:v>-2.4290132988991076E-4</c:v>
                </c:pt>
                <c:pt idx="10">
                  <c:v>-2.4191653088756482E-4</c:v>
                </c:pt>
                <c:pt idx="11">
                  <c:v>-2.4086138907364329E-4</c:v>
                </c:pt>
                <c:pt idx="12">
                  <c:v>3.6148533601121358E-4</c:v>
                </c:pt>
                <c:pt idx="13">
                  <c:v>-2.3593739386207346E-4</c:v>
                </c:pt>
                <c:pt idx="14">
                  <c:v>-2.345305381101781E-4</c:v>
                </c:pt>
                <c:pt idx="15">
                  <c:v>-2.3305333958667518E-4</c:v>
                </c:pt>
                <c:pt idx="16">
                  <c:v>-2.3150579821162864E-4</c:v>
                </c:pt>
                <c:pt idx="17">
                  <c:v>-2.2817609485858981E-4</c:v>
                </c:pt>
                <c:pt idx="18">
                  <c:v>-2.2461220471559074E-4</c:v>
                </c:pt>
                <c:pt idx="19">
                  <c:v>-2.2271294944253839E-4</c:v>
                </c:pt>
                <c:pt idx="20">
                  <c:v>-2.2074335123800637E-4</c:v>
                </c:pt>
                <c:pt idx="21">
                  <c:v>-2.1870341026186679E-4</c:v>
                </c:pt>
                <c:pt idx="22">
                  <c:v>-2.1438892470637683E-4</c:v>
                </c:pt>
                <c:pt idx="23">
                  <c:v>-2.098591727195398E-4</c:v>
                </c:pt>
                <c:pt idx="24">
                  <c:v>-2.0758124331443639E-4</c:v>
                </c:pt>
                <c:pt idx="25">
                  <c:v>-2.053466967266715E-4</c:v>
                </c:pt>
                <c:pt idx="26">
                  <c:v>-2.0315553287630905E-4</c:v>
                </c:pt>
                <c:pt idx="27">
                  <c:v>-1.9891770489444127E-4</c:v>
                </c:pt>
                <c:pt idx="28">
                  <c:v>-1.9482470600795665E-4</c:v>
                </c:pt>
                <c:pt idx="29">
                  <c:v>-1.9285045628425479E-4</c:v>
                </c:pt>
                <c:pt idx="30">
                  <c:v>-1.9091958933792341E-4</c:v>
                </c:pt>
                <c:pt idx="31">
                  <c:v>-1.890321052888666E-4</c:v>
                </c:pt>
                <c:pt idx="32">
                  <c:v>-1.8540165093838823E-4</c:v>
                </c:pt>
                <c:pt idx="33">
                  <c:v>-1.8191599698624827E-4</c:v>
                </c:pt>
                <c:pt idx="34">
                  <c:v>-1.8024542698391599E-4</c:v>
                </c:pt>
                <c:pt idx="35">
                  <c:v>-1.7861823967901813E-4</c:v>
                </c:pt>
                <c:pt idx="36">
                  <c:v>-1.7703443543126696E-4</c:v>
                </c:pt>
                <c:pt idx="37">
                  <c:v>-1.7401135180783456E-4</c:v>
                </c:pt>
                <c:pt idx="38">
                  <c:v>-1.7113304593419087E-4</c:v>
                </c:pt>
                <c:pt idx="39">
                  <c:v>-1.6976615561326014E-4</c:v>
                </c:pt>
                <c:pt idx="40">
                  <c:v>-1.6844264806969989E-4</c:v>
                </c:pt>
                <c:pt idx="41">
                  <c:v>-1.6716252354331829E-4</c:v>
                </c:pt>
                <c:pt idx="42">
                  <c:v>-1.6474680808897801E-4</c:v>
                </c:pt>
                <c:pt idx="43">
                  <c:v>-1.6240830648328597E-4</c:v>
                </c:pt>
                <c:pt idx="44">
                  <c:v>-1.6093981723308559E-4</c:v>
                </c:pt>
                <c:pt idx="45">
                  <c:v>-1.5910943198971239E-4</c:v>
                </c:pt>
                <c:pt idx="46">
                  <c:v>-1.569171507931344E-4</c:v>
                </c:pt>
                <c:pt idx="47">
                  <c:v>-1.513262052865727E-4</c:v>
                </c:pt>
                <c:pt idx="48">
                  <c:v>-1.4452906703432689E-4</c:v>
                </c:pt>
                <c:pt idx="49">
                  <c:v>-1.4052730623159704E-4</c:v>
                </c:pt>
                <c:pt idx="50">
                  <c:v>-1.361636494756624E-4</c:v>
                </c:pt>
                <c:pt idx="51">
                  <c:v>-1.3143809660665084E-4</c:v>
                </c:pt>
                <c:pt idx="52">
                  <c:v>-1.2078063052367582E-4</c:v>
                </c:pt>
                <c:pt idx="53">
                  <c:v>-1.0891692535874853E-4</c:v>
                </c:pt>
                <c:pt idx="54">
                  <c:v>-1.0238189232403272E-4</c:v>
                </c:pt>
                <c:pt idx="55">
                  <c:v>-9.5484963336112116E-5</c:v>
                </c:pt>
                <c:pt idx="56">
                  <c:v>-8.8226138075242488E-5</c:v>
                </c:pt>
                <c:pt idx="57">
                  <c:v>-1.2502159094651688E-5</c:v>
                </c:pt>
                <c:pt idx="58">
                  <c:v>-5.5571876060866998E-5</c:v>
                </c:pt>
                <c:pt idx="59">
                  <c:v>-4.6503569914868592E-5</c:v>
                </c:pt>
                <c:pt idx="60">
                  <c:v>-3.7073367615825248E-5</c:v>
                </c:pt>
                <c:pt idx="61">
                  <c:v>-2.7281269083800908E-5</c:v>
                </c:pt>
                <c:pt idx="62">
                  <c:v>-6.4907507235645312E-6</c:v>
                </c:pt>
                <c:pt idx="63">
                  <c:v>1.5506088812955454E-5</c:v>
                </c:pt>
                <c:pt idx="64">
                  <c:v>2.7107669229309295E-5</c:v>
                </c:pt>
                <c:pt idx="65">
                  <c:v>3.9071146318292449E-5</c:v>
                </c:pt>
                <c:pt idx="66">
                  <c:v>5.123951319241371E-5</c:v>
                </c:pt>
                <c:pt idx="67">
                  <c:v>7.3956468495950389E-5</c:v>
                </c:pt>
                <c:pt idx="68">
                  <c:v>9.4739586575798285E-5</c:v>
                </c:pt>
                <c:pt idx="69">
                  <c:v>1.0416424930603796E-4</c:v>
                </c:pt>
                <c:pt idx="70">
                  <c:v>1.1300876994191356E-4</c:v>
                </c:pt>
                <c:pt idx="71">
                  <c:v>1.2127314832355296E-4</c:v>
                </c:pt>
                <c:pt idx="72">
                  <c:v>1.3586814817223569E-4</c:v>
                </c:pt>
                <c:pt idx="73">
                  <c:v>1.4852923754915537E-4</c:v>
                </c:pt>
                <c:pt idx="74">
                  <c:v>1.5389290378031717E-4</c:v>
                </c:pt>
                <c:pt idx="75">
                  <c:v>1.5867642735756249E-4</c:v>
                </c:pt>
                <c:pt idx="76">
                  <c:v>1.6287980868057161E-4</c:v>
                </c:pt>
                <c:pt idx="77">
                  <c:v>1.6935284206986978E-4</c:v>
                </c:pt>
                <c:pt idx="78">
                  <c:v>1.7389190759331541E-4</c:v>
                </c:pt>
                <c:pt idx="79">
                  <c:v>1.7519457580661424E-4</c:v>
                </c:pt>
                <c:pt idx="80">
                  <c:v>1.759171015258687E-4</c:v>
                </c:pt>
                <c:pt idx="81">
                  <c:v>1.7605948443133457E-4</c:v>
                </c:pt>
                <c:pt idx="82">
                  <c:v>1.7441052634126208E-4</c:v>
                </c:pt>
                <c:pt idx="83">
                  <c:v>1.7082759055320196E-4</c:v>
                </c:pt>
                <c:pt idx="84">
                  <c:v>1.680692605887657E-4</c:v>
                </c:pt>
                <c:pt idx="85">
                  <c:v>1.647307878904769E-4</c:v>
                </c:pt>
                <c:pt idx="86">
                  <c:v>1.6081217285801586E-4</c:v>
                </c:pt>
                <c:pt idx="87">
                  <c:v>1.5104119746922606E-4</c:v>
                </c:pt>
                <c:pt idx="88">
                  <c:v>1.3933628706830348E-4</c:v>
                </c:pt>
                <c:pt idx="89">
                  <c:v>1.325169595656206E-4</c:v>
                </c:pt>
                <c:pt idx="90">
                  <c:v>1.2511748948895729E-4</c:v>
                </c:pt>
                <c:pt idx="91">
                  <c:v>1.1725168276299769E-4</c:v>
                </c:pt>
                <c:pt idx="92">
                  <c:v>1.0163479308822332E-4</c:v>
                </c:pt>
                <c:pt idx="93">
                  <c:v>8.6360152229403297E-5</c:v>
                </c:pt>
                <c:pt idx="94">
                  <c:v>7.8893999413409688E-5</c:v>
                </c:pt>
                <c:pt idx="95">
                  <c:v>7.1530538292563506E-5</c:v>
                </c:pt>
                <c:pt idx="96">
                  <c:v>6.4269769106672925E-5</c:v>
                </c:pt>
                <c:pt idx="97">
                  <c:v>5.0090543739500504E-5</c:v>
                </c:pt>
                <c:pt idx="98">
                  <c:v>3.625361067349786E-5</c:v>
                </c:pt>
                <c:pt idx="99">
                  <c:v>2.9506300682768938E-5</c:v>
                </c:pt>
                <c:pt idx="100">
                  <c:v>1.6686174929780861E-4</c:v>
                </c:pt>
                <c:pt idx="101">
                  <c:v>1.6319756106497607E-5</c:v>
                </c:pt>
                <c:pt idx="102">
                  <c:v>3.578209515353592E-6</c:v>
                </c:pt>
                <c:pt idx="103">
                  <c:v>-8.8210311455227952E-6</c:v>
                </c:pt>
                <c:pt idx="104">
                  <c:v>-1.4849498510827175E-5</c:v>
                </c:pt>
                <c:pt idx="105">
                  <c:v>-2.0775274141016098E-5</c:v>
                </c:pt>
                <c:pt idx="106">
                  <c:v>-2.6598357876217449E-5</c:v>
                </c:pt>
                <c:pt idx="107">
                  <c:v>-3.7902215526131044E-5</c:v>
                </c:pt>
                <c:pt idx="108">
                  <c:v>-4.8863775226060113E-5</c:v>
                </c:pt>
                <c:pt idx="109">
                  <c:v>-5.4173400165780095E-5</c:v>
                </c:pt>
                <c:pt idx="110">
                  <c:v>-5.9380333450320677E-5</c:v>
                </c:pt>
                <c:pt idx="111">
                  <c:v>-6.448457475993763E-5</c:v>
                </c:pt>
                <c:pt idx="112">
                  <c:v>-7.4350736594119837E-5</c:v>
                </c:pt>
                <c:pt idx="113">
                  <c:v>-8.3874623166835249E-5</c:v>
                </c:pt>
                <c:pt idx="114">
                  <c:v>-8.8465406000715063E-5</c:v>
                </c:pt>
                <c:pt idx="115">
                  <c:v>-9.2953497019543363E-5</c:v>
                </c:pt>
                <c:pt idx="116">
                  <c:v>-9.7338896263288177E-5</c:v>
                </c:pt>
                <c:pt idx="117">
                  <c:v>-1.0576735821832273E-4</c:v>
                </c:pt>
                <c:pt idx="118">
                  <c:v>-1.1385357652660133E-4</c:v>
                </c:pt>
                <c:pt idx="119">
                  <c:v>-1.1772551725464098E-4</c:v>
                </c:pt>
                <c:pt idx="120">
                  <c:v>-1.2149476644740531E-4</c:v>
                </c:pt>
                <c:pt idx="121">
                  <c:v>-1.2516132366524602E-4</c:v>
                </c:pt>
                <c:pt idx="122">
                  <c:v>-1.3215208436889725E-4</c:v>
                </c:pt>
                <c:pt idx="123">
                  <c:v>-1.3880063646443119E-4</c:v>
                </c:pt>
                <c:pt idx="124">
                  <c:v>-1.4195373536640687E-4</c:v>
                </c:pt>
                <c:pt idx="125">
                  <c:v>-1.450041425332671E-4</c:v>
                </c:pt>
                <c:pt idx="126">
                  <c:v>-1.479518582847561E-4</c:v>
                </c:pt>
                <c:pt idx="127">
                  <c:v>-1.5350491842980318E-4</c:v>
                </c:pt>
                <c:pt idx="128">
                  <c:v>-1.5871580393955753E-4</c:v>
                </c:pt>
                <c:pt idx="129">
                  <c:v>-1.6115006117534136E-4</c:v>
                </c:pt>
                <c:pt idx="130">
                  <c:v>-1.634816267559458E-4</c:v>
                </c:pt>
                <c:pt idx="131">
                  <c:v>-1.6571050076130689E-4</c:v>
                </c:pt>
                <c:pt idx="132">
                  <c:v>-1.6982586298563973E-4</c:v>
                </c:pt>
                <c:pt idx="133">
                  <c:v>-1.7359907991121304E-4</c:v>
                </c:pt>
                <c:pt idx="134">
                  <c:v>-1.7531449564067714E-4</c:v>
                </c:pt>
                <c:pt idx="135">
                  <c:v>-1.7692721963502578E-4</c:v>
                </c:pt>
                <c:pt idx="136">
                  <c:v>-1.7843725201416305E-4</c:v>
                </c:pt>
                <c:pt idx="137">
                  <c:v>-1.811149201680351E-4</c:v>
                </c:pt>
                <c:pt idx="138">
                  <c:v>-1.8345046509882224E-4</c:v>
                </c:pt>
                <c:pt idx="139">
                  <c:v>-1.8444703916209448E-4</c:v>
                </c:pt>
                <c:pt idx="140">
                  <c:v>-1.8534092173005945E-4</c:v>
                </c:pt>
                <c:pt idx="141">
                  <c:v>-1.8613211264284502E-4</c:v>
                </c:pt>
                <c:pt idx="142">
                  <c:v>-1.8737209133590227E-4</c:v>
                </c:pt>
                <c:pt idx="143">
                  <c:v>1.6477384437685316E-3</c:v>
                </c:pt>
                <c:pt idx="144">
                  <c:v>-1.8854769229914581E-4</c:v>
                </c:pt>
                <c:pt idx="145">
                  <c:v>-1.8872273348069513E-4</c:v>
                </c:pt>
                <c:pt idx="146">
                  <c:v>-1.887950828072249E-4</c:v>
                </c:pt>
                <c:pt idx="147">
                  <c:v>-1.885973773552152E-4</c:v>
                </c:pt>
                <c:pt idx="148">
                  <c:v>-1.8805756408113439E-4</c:v>
                </c:pt>
                <c:pt idx="149">
                  <c:v>-1.8761645521170323E-4</c:v>
                </c:pt>
                <c:pt idx="150">
                  <c:v>-1.8707265480699675E-4</c:v>
                </c:pt>
                <c:pt idx="151">
                  <c:v>-1.8642616278707891E-4</c:v>
                </c:pt>
                <c:pt idx="152">
                  <c:v>-1.8479077831923263E-4</c:v>
                </c:pt>
                <c:pt idx="153">
                  <c:v>-1.8281327807567749E-4</c:v>
                </c:pt>
                <c:pt idx="154">
                  <c:v>-1.8165332777986265E-4</c:v>
                </c:pt>
                <c:pt idx="155">
                  <c:v>-1.8040559366383491E-4</c:v>
                </c:pt>
                <c:pt idx="156">
                  <c:v>-1.7912970650790783E-4</c:v>
                </c:pt>
                <c:pt idx="157">
                  <c:v>-1.7653369470238545E-4</c:v>
                </c:pt>
                <c:pt idx="158">
                  <c:v>-1.7389370519538261E-4</c:v>
                </c:pt>
                <c:pt idx="159">
                  <c:v>-1.7255159173501511E-4</c:v>
                </c:pt>
                <c:pt idx="160">
                  <c:v>-1.7119623294981068E-4</c:v>
                </c:pt>
                <c:pt idx="161">
                  <c:v>-1.677414926459786E-4</c:v>
                </c:pt>
                <c:pt idx="162">
                  <c:v>-1.6422076051014756E-4</c:v>
                </c:pt>
                <c:pt idx="163">
                  <c:v>-1.6278593017560183E-4</c:v>
                </c:pt>
                <c:pt idx="164">
                  <c:v>-1.6133785463612327E-4</c:v>
                </c:pt>
                <c:pt idx="165">
                  <c:v>1.1743660447094406E-3</c:v>
                </c:pt>
                <c:pt idx="166">
                  <c:v>-1.5389879806537721E-4</c:v>
                </c:pt>
                <c:pt idx="167">
                  <c:v>-1.5237125085665326E-4</c:v>
                </c:pt>
                <c:pt idx="168">
                  <c:v>-1.5083045840302844E-4</c:v>
                </c:pt>
                <c:pt idx="169">
                  <c:v>-1.492764209043429E-4</c:v>
                </c:pt>
                <c:pt idx="170">
                  <c:v>-1.4612413540504576E-4</c:v>
                </c:pt>
                <c:pt idx="171">
                  <c:v>-1.4292781770119944E-4</c:v>
                </c:pt>
                <c:pt idx="172">
                  <c:v>-1.4130755373820136E-4</c:v>
                </c:pt>
                <c:pt idx="173">
                  <c:v>-1.396740446502065E-4</c:v>
                </c:pt>
                <c:pt idx="174">
                  <c:v>-1.3802728999756653E-4</c:v>
                </c:pt>
                <c:pt idx="175">
                  <c:v>-1.3468957984930086E-4</c:v>
                </c:pt>
                <c:pt idx="176">
                  <c:v>-1.3130781961745441E-4</c:v>
                </c:pt>
                <c:pt idx="177">
                  <c:v>-1.2959483866037402E-4</c:v>
                </c:pt>
                <c:pt idx="178">
                  <c:v>-1.2786861273816896E-4</c:v>
                </c:pt>
                <c:pt idx="179">
                  <c:v>-1.2612914133125486E-4</c:v>
                </c:pt>
                <c:pt idx="180">
                  <c:v>-1.2260600612101769E-4</c:v>
                </c:pt>
                <c:pt idx="181">
                  <c:v>-1.1903880349439788E-4</c:v>
                </c:pt>
                <c:pt idx="182">
                  <c:v>-1.172331057031073E-4</c:v>
                </c:pt>
                <c:pt idx="183">
                  <c:v>-1.1541416294669204E-4</c:v>
                </c:pt>
                <c:pt idx="184">
                  <c:v>-1.1358197474553577E-4</c:v>
                </c:pt>
                <c:pt idx="185">
                  <c:v>5.5012961175826547E-4</c:v>
                </c:pt>
                <c:pt idx="186">
                  <c:v>-1.0612076933202985E-4</c:v>
                </c:pt>
                <c:pt idx="187">
                  <c:v>-1.0422235482643316E-4</c:v>
                </c:pt>
                <c:pt idx="188">
                  <c:v>-1.023106950759356E-4</c:v>
                </c:pt>
                <c:pt idx="189">
                  <c:v>-1.0038579004056913E-4</c:v>
                </c:pt>
                <c:pt idx="190">
                  <c:v>-9.6491803214249217E-5</c:v>
                </c:pt>
                <c:pt idx="191">
                  <c:v>-9.255371717031835E-5</c:v>
                </c:pt>
                <c:pt idx="192">
                  <c:v>-9.0562585830511466E-5</c:v>
                </c:pt>
                <c:pt idx="193">
                  <c:v>-8.8558209125899623E-5</c:v>
                </c:pt>
                <c:pt idx="194">
                  <c:v>-8.6540587336259023E-5</c:v>
                </c:pt>
                <c:pt idx="195">
                  <c:v>-8.2461173609438276E-5</c:v>
                </c:pt>
                <c:pt idx="196">
                  <c:v>-7.833764692932732E-5</c:v>
                </c:pt>
                <c:pt idx="197">
                  <c:v>-7.6253798675374185E-5</c:v>
                </c:pt>
                <c:pt idx="198">
                  <c:v>-7.415670505661609E-5</c:v>
                </c:pt>
                <c:pt idx="199">
                  <c:v>-7.204636631286121E-5</c:v>
                </c:pt>
                <c:pt idx="200">
                  <c:v>-6.7781525019405819E-5</c:v>
                </c:pt>
                <c:pt idx="201">
                  <c:v>-6.3472558409216617E-5</c:v>
                </c:pt>
                <c:pt idx="202">
                  <c:v>-6.1295993201149201E-5</c:v>
                </c:pt>
                <c:pt idx="203">
                  <c:v>-5.9106182748180913E-5</c:v>
                </c:pt>
                <c:pt idx="204">
                  <c:v>-5.6903127090279781E-5</c:v>
                </c:pt>
                <c:pt idx="205">
                  <c:v>-5.2452857124407615E-5</c:v>
                </c:pt>
                <c:pt idx="206">
                  <c:v>-4.7958451570018212E-5</c:v>
                </c:pt>
                <c:pt idx="207">
                  <c:v>-4.5689169447804545E-5</c:v>
                </c:pt>
                <c:pt idx="208">
                  <c:v>-4.3406642160626063E-5</c:v>
                </c:pt>
                <c:pt idx="209">
                  <c:v>-4.1110869508642622E-5</c:v>
                </c:pt>
                <c:pt idx="210">
                  <c:v>-3.6475169724603518E-5</c:v>
                </c:pt>
                <c:pt idx="211">
                  <c:v>-3.1795326291828019E-5</c:v>
                </c:pt>
                <c:pt idx="212">
                  <c:v>-2.9433327415340216E-5</c:v>
                </c:pt>
                <c:pt idx="213">
                  <c:v>-2.7058083054143367E-5</c:v>
                </c:pt>
                <c:pt idx="214">
                  <c:v>-2.4669593607917761E-5</c:v>
                </c:pt>
                <c:pt idx="215">
                  <c:v>-1.9848462486926621E-5</c:v>
                </c:pt>
                <c:pt idx="216">
                  <c:v>-1.4983182614614066E-5</c:v>
                </c:pt>
                <c:pt idx="217">
                  <c:v>-1.2528466784011982E-5</c:v>
                </c:pt>
                <c:pt idx="218">
                  <c:v>-1.0065930249325561E-5</c:v>
                </c:pt>
                <c:pt idx="219">
                  <c:v>-7.6172721730216608E-6</c:v>
                </c:pt>
                <c:pt idx="220">
                  <c:v>-2.7842995509175239E-6</c:v>
                </c:pt>
                <c:pt idx="221">
                  <c:v>1.9843294207788631E-6</c:v>
                </c:pt>
                <c:pt idx="222">
                  <c:v>4.3364720614391672E-6</c:v>
                </c:pt>
                <c:pt idx="223">
                  <c:v>6.669311582996329E-6</c:v>
                </c:pt>
                <c:pt idx="224">
                  <c:v>1.3532709784769281E-5</c:v>
                </c:pt>
                <c:pt idx="225">
                  <c:v>2.026098433027812E-5</c:v>
                </c:pt>
                <c:pt idx="226">
                  <c:v>2.2458702337857517E-5</c:v>
                </c:pt>
                <c:pt idx="227">
                  <c:v>2.4637117146397713E-5</c:v>
                </c:pt>
                <c:pt idx="228">
                  <c:v>2.89296056177335E-5</c:v>
                </c:pt>
                <c:pt idx="229">
                  <c:v>3.3157745669143424E-5</c:v>
                </c:pt>
                <c:pt idx="230">
                  <c:v>3.523964520191214E-5</c:v>
                </c:pt>
                <c:pt idx="231">
                  <c:v>3.7302241535641656E-5</c:v>
                </c:pt>
                <c:pt idx="232">
                  <c:v>3.9345534670331972E-5</c:v>
                </c:pt>
                <c:pt idx="233">
                  <c:v>4.3367782778247488E-5</c:v>
                </c:pt>
                <c:pt idx="234">
                  <c:v>4.7325676737486333E-5</c:v>
                </c:pt>
                <c:pt idx="235">
                  <c:v>4.9272454436533053E-5</c:v>
                </c:pt>
                <c:pt idx="236">
                  <c:v>5.1199929176348746E-5</c:v>
                </c:pt>
                <c:pt idx="237">
                  <c:v>5.3108100717125239E-5</c:v>
                </c:pt>
                <c:pt idx="238">
                  <c:v>5.6860109207690357E-5</c:v>
                </c:pt>
                <c:pt idx="239">
                  <c:v>6.0547756088880078E-5</c:v>
                </c:pt>
                <c:pt idx="240">
                  <c:v>6.2359412114076918E-5</c:v>
                </c:pt>
                <c:pt idx="241">
                  <c:v>6.4151765259978788E-5</c:v>
                </c:pt>
                <c:pt idx="242">
                  <c:v>6.5924814967033285E-5</c:v>
                </c:pt>
                <c:pt idx="243">
                  <c:v>6.9406584612963229E-5</c:v>
                </c:pt>
                <c:pt idx="244">
                  <c:v>7.2823983643388601E-5</c:v>
                </c:pt>
                <c:pt idx="245">
                  <c:v>7.4500518154607676E-5</c:v>
                </c:pt>
                <c:pt idx="246">
                  <c:v>7.6157749386851492E-5</c:v>
                </c:pt>
                <c:pt idx="247">
                  <c:v>7.7795677579928224E-5</c:v>
                </c:pt>
                <c:pt idx="248">
                  <c:v>8.1007208621031168E-5</c:v>
                </c:pt>
                <c:pt idx="249">
                  <c:v>8.415435948094796E-5</c:v>
                </c:pt>
                <c:pt idx="250">
                  <c:v>8.5695772158445038E-5</c:v>
                </c:pt>
                <c:pt idx="251">
                  <c:v>8.7217881796775032E-5</c:v>
                </c:pt>
                <c:pt idx="252">
                  <c:v>8.8720688316001883E-5</c:v>
                </c:pt>
                <c:pt idx="253">
                  <c:v>9.1661980992086001E-5</c:v>
                </c:pt>
                <c:pt idx="254">
                  <c:v>9.4538883361749981E-5</c:v>
                </c:pt>
                <c:pt idx="255">
                  <c:v>9.5945174365397179E-5</c:v>
                </c:pt>
                <c:pt idx="256">
                  <c:v>9.7332162170005176E-5</c:v>
                </c:pt>
                <c:pt idx="257">
                  <c:v>9.8699847095318205E-5</c:v>
                </c:pt>
                <c:pt idx="258">
                  <c:v>1.0137090151296491E-4</c:v>
                </c:pt>
                <c:pt idx="259">
                  <c:v>1.0397755504598649E-4</c:v>
                </c:pt>
                <c:pt idx="260">
                  <c:v>1.0524872453565592E-4</c:v>
                </c:pt>
                <c:pt idx="261">
                  <c:v>1.0650059066641404E-4</c:v>
                </c:pt>
                <c:pt idx="262">
                  <c:v>1.0773315375800507E-4</c:v>
                </c:pt>
                <c:pt idx="263">
                  <c:v>1.1013396991721436E-4</c:v>
                </c:pt>
                <c:pt idx="264">
                  <c:v>1.124703750932099E-4</c:v>
                </c:pt>
                <c:pt idx="265">
                  <c:v>1.1360642250934916E-4</c:v>
                </c:pt>
                <c:pt idx="266">
                  <c:v>1.1472316696625739E-4</c:v>
                </c:pt>
                <c:pt idx="267">
                  <c:v>1.1582060830406249E-4</c:v>
                </c:pt>
                <c:pt idx="268">
                  <c:v>1.1795118599167154E-4</c:v>
                </c:pt>
                <c:pt idx="269">
                  <c:v>1.2001734262412356E-4</c:v>
                </c:pt>
                <c:pt idx="270">
                  <c:v>1.21018268446349E-4</c:v>
                </c:pt>
                <c:pt idx="271">
                  <c:v>1.2199989122940735E-4</c:v>
                </c:pt>
                <c:pt idx="272">
                  <c:v>1.2296221073349045E-4</c:v>
                </c:pt>
                <c:pt idx="273">
                  <c:v>1.2482254954981897E-4</c:v>
                </c:pt>
                <c:pt idx="274">
                  <c:v>1.2661845811834382E-4</c:v>
                </c:pt>
                <c:pt idx="275">
                  <c:v>1.2748426218678333E-4</c:v>
                </c:pt>
                <c:pt idx="276">
                  <c:v>1.2833076305618363E-4</c:v>
                </c:pt>
                <c:pt idx="277">
                  <c:v>1.291579609663529E-4</c:v>
                </c:pt>
                <c:pt idx="278">
                  <c:v>1.3074806051172061E-4</c:v>
                </c:pt>
                <c:pt idx="279">
                  <c:v>1.3227372125612646E-4</c:v>
                </c:pt>
                <c:pt idx="280">
                  <c:v>1.3300440357078003E-4</c:v>
                </c:pt>
                <c:pt idx="281">
                  <c:v>1.3371578292620256E-4</c:v>
                </c:pt>
                <c:pt idx="282">
                  <c:v>1.3441837499073017E-4</c:v>
                </c:pt>
                <c:pt idx="283">
                  <c:v>1.3594855641230197E-4</c:v>
                </c:pt>
                <c:pt idx="284">
                  <c:v>1.3762461306576768E-4</c:v>
                </c:pt>
                <c:pt idx="285">
                  <c:v>1.3853565598687112E-4</c:v>
                </c:pt>
                <c:pt idx="286">
                  <c:v>1.3949049219696974E-4</c:v>
                </c:pt>
                <c:pt idx="287">
                  <c:v>1.4048912193587171E-4</c:v>
                </c:pt>
                <c:pt idx="288">
                  <c:v>1.4263241563838847E-4</c:v>
                </c:pt>
                <c:pt idx="289">
                  <c:v>1.4492157426104768E-4</c:v>
                </c:pt>
                <c:pt idx="290">
                  <c:v>1.4613917076466976E-4</c:v>
                </c:pt>
                <c:pt idx="291">
                  <c:v>1.4740056055728701E-4</c:v>
                </c:pt>
                <c:pt idx="292">
                  <c:v>1.4870574379877155E-4</c:v>
                </c:pt>
                <c:pt idx="293">
                  <c:v>1.5146215194050683E-4</c:v>
                </c:pt>
                <c:pt idx="294">
                  <c:v>1.5436441045402205E-4</c:v>
                </c:pt>
                <c:pt idx="295">
                  <c:v>1.5588856054016276E-4</c:v>
                </c:pt>
                <c:pt idx="296">
                  <c:v>1.5745650407517076E-4</c:v>
                </c:pt>
                <c:pt idx="297">
                  <c:v>1.5906824089917393E-4</c:v>
                </c:pt>
                <c:pt idx="298">
                  <c:v>1.624377657449827E-4</c:v>
                </c:pt>
                <c:pt idx="299">
                  <c:v>1.6595312196443501E-4</c:v>
                </c:pt>
                <c:pt idx="300">
                  <c:v>1.6778382571303041E-4</c:v>
                </c:pt>
                <c:pt idx="301">
                  <c:v>1.6965832275062098E-4</c:v>
                </c:pt>
                <c:pt idx="302">
                  <c:v>1.715766133170149E-4</c:v>
                </c:pt>
                <c:pt idx="303">
                  <c:v>1.7555925774459524E-4</c:v>
                </c:pt>
                <c:pt idx="304">
                  <c:v>1.7968770903209474E-4</c:v>
                </c:pt>
                <c:pt idx="305">
                  <c:v>1.8182496628327272E-4</c:v>
                </c:pt>
                <c:pt idx="306">
                  <c:v>1.8400601714319009E-4</c:v>
                </c:pt>
                <c:pt idx="307">
                  <c:v>1.8623086113223053E-4</c:v>
                </c:pt>
                <c:pt idx="308">
                  <c:v>1.9082662860547828E-4</c:v>
                </c:pt>
                <c:pt idx="309">
                  <c:v>1.9556817165700124E-4</c:v>
                </c:pt>
                <c:pt idx="310">
                  <c:v>1.9801198265056996E-4</c:v>
                </c:pt>
                <c:pt idx="311">
                  <c:v>2.0049958709300597E-4</c:v>
                </c:pt>
                <c:pt idx="312">
                  <c:v>2.0303098490437321E-4</c:v>
                </c:pt>
                <c:pt idx="313">
                  <c:v>2.0823987910034703E-4</c:v>
                </c:pt>
                <c:pt idx="314">
                  <c:v>2.135945102388348E-4</c:v>
                </c:pt>
                <c:pt idx="315">
                  <c:v>2.1634487505473032E-4</c:v>
                </c:pt>
                <c:pt idx="316">
                  <c:v>2.1913903323955708E-4</c:v>
                </c:pt>
                <c:pt idx="317">
                  <c:v>2.2197698487325113E-4</c:v>
                </c:pt>
                <c:pt idx="318">
                  <c:v>2.2779901018843418E-4</c:v>
                </c:pt>
                <c:pt idx="319">
                  <c:v>2.337667251772757E-4</c:v>
                </c:pt>
                <c:pt idx="320">
                  <c:v>2.3682364381549803E-4</c:v>
                </c:pt>
                <c:pt idx="321">
                  <c:v>2.3992435582265159E-4</c:v>
                </c:pt>
                <c:pt idx="322">
                  <c:v>2.4306886119873639E-4</c:v>
                </c:pt>
                <c:pt idx="323">
                  <c:v>2.495040229089085E-4</c:v>
                </c:pt>
                <c:pt idx="324">
                  <c:v>2.5608481687200424E-4</c:v>
                </c:pt>
                <c:pt idx="325">
                  <c:v>2.5944828925261731E-4</c:v>
                </c:pt>
                <c:pt idx="326">
                  <c:v>2.6285555516203374E-4</c:v>
                </c:pt>
                <c:pt idx="327">
                  <c:v>2.6630661428050928E-4</c:v>
                </c:pt>
                <c:pt idx="328">
                  <c:v>2.7335491848745619E-4</c:v>
                </c:pt>
                <c:pt idx="329">
                  <c:v>2.8054878548289253E-4</c:v>
                </c:pt>
                <c:pt idx="330">
                  <c:v>2.8421881184570452E-4</c:v>
                </c:pt>
                <c:pt idx="331">
                  <c:v>2.8793263165738381E-4</c:v>
                </c:pt>
                <c:pt idx="332">
                  <c:v>2.9169024475805827E-4</c:v>
                </c:pt>
                <c:pt idx="333">
                  <c:v>2.9935169809647277E-4</c:v>
                </c:pt>
                <c:pt idx="334">
                  <c:v>3.0715863172936508E-4</c:v>
                </c:pt>
                <c:pt idx="335">
                  <c:v>3.1113521199443994E-4</c:v>
                </c:pt>
                <c:pt idx="336">
                  <c:v>3.1515558578831815E-4</c:v>
                </c:pt>
                <c:pt idx="337">
                  <c:v>3.1921975295112759E-4</c:v>
                </c:pt>
                <c:pt idx="338">
                  <c:v>3.27494363228098E-4</c:v>
                </c:pt>
                <c:pt idx="339">
                  <c:v>3.3591435593116614E-4</c:v>
                </c:pt>
                <c:pt idx="340">
                  <c:v>3.4019749017843992E-4</c:v>
                </c:pt>
                <c:pt idx="341">
                  <c:v>3.4452441803445311E-4</c:v>
                </c:pt>
                <c:pt idx="342">
                  <c:v>3.4889513917946147E-4</c:v>
                </c:pt>
                <c:pt idx="343">
                  <c:v>3.577829153744716E-4</c:v>
                </c:pt>
                <c:pt idx="344">
                  <c:v>3.6681595856791205E-4</c:v>
                </c:pt>
                <c:pt idx="345">
                  <c:v>3.7140564703719292E-4</c:v>
                </c:pt>
                <c:pt idx="346">
                  <c:v>3.7603912895534108E-4</c:v>
                </c:pt>
                <c:pt idx="347">
                  <c:v>3.8069970232257333E-4</c:v>
                </c:pt>
                <c:pt idx="348">
                  <c:v>3.8986661392570454E-4</c:v>
                </c:pt>
                <c:pt idx="349">
                  <c:v>3.9884461981110064E-4</c:v>
                </c:pt>
                <c:pt idx="350">
                  <c:v>4.0323980322831687E-4</c:v>
                </c:pt>
                <c:pt idx="351">
                  <c:v>4.0757856825557326E-4</c:v>
                </c:pt>
                <c:pt idx="352">
                  <c:v>4.118609148928698E-4</c:v>
                </c:pt>
                <c:pt idx="353">
                  <c:v>4.2023803724866582E-4</c:v>
                </c:pt>
                <c:pt idx="354">
                  <c:v>4.2842611722271329E-4</c:v>
                </c:pt>
                <c:pt idx="355">
                  <c:v>4.3242637183027455E-4</c:v>
                </c:pt>
                <c:pt idx="356">
                  <c:v>4.3637020788800385E-4</c:v>
                </c:pt>
                <c:pt idx="357">
                  <c:v>4.4025762571564542E-4</c:v>
                </c:pt>
                <c:pt idx="358">
                  <c:v>4.4784495690564086E-4</c:v>
                </c:pt>
                <c:pt idx="359">
                  <c:v>4.5524311256706085E-4</c:v>
                </c:pt>
                <c:pt idx="360">
                  <c:v>4.5884843820509502E-4</c:v>
                </c:pt>
                <c:pt idx="361">
                  <c:v>4.6239734537323329E-4</c:v>
                </c:pt>
                <c:pt idx="362">
                  <c:v>4.6588983415141172E-4</c:v>
                </c:pt>
                <c:pt idx="363">
                  <c:v>4.7268737103145497E-4</c:v>
                </c:pt>
                <c:pt idx="364">
                  <c:v>4.792956051247188E-4</c:v>
                </c:pt>
                <c:pt idx="365">
                  <c:v>4.8250600179322589E-4</c:v>
                </c:pt>
                <c:pt idx="366">
                  <c:v>4.8565997999183708E-4</c:v>
                </c:pt>
                <c:pt idx="367">
                  <c:v>4.8875753980048842E-4</c:v>
                </c:pt>
                <c:pt idx="368">
                  <c:v>4.9476527781422419E-4</c:v>
                </c:pt>
                <c:pt idx="369">
                  <c:v>5.0058359449600687E-4</c:v>
                </c:pt>
                <c:pt idx="370">
                  <c:v>5.0339906203511475E-4</c:v>
                </c:pt>
                <c:pt idx="371">
                  <c:v>5.0615811118426279E-4</c:v>
                </c:pt>
                <c:pt idx="372">
                  <c:v>5.0886074186351493E-4</c:v>
                </c:pt>
                <c:pt idx="373">
                  <c:v>5.1407867584174483E-4</c:v>
                </c:pt>
                <c:pt idx="374">
                  <c:v>5.1910708012137263E-4</c:v>
                </c:pt>
                <c:pt idx="375">
                  <c:v>5.2152761853108132E-4</c:v>
                </c:pt>
                <c:pt idx="376">
                  <c:v>5.238917384708941E-4</c:v>
                </c:pt>
                <c:pt idx="377">
                  <c:v>5.2619944010068309E-4</c:v>
                </c:pt>
                <c:pt idx="378">
                  <c:v>5.3062756367516783E-4</c:v>
                </c:pt>
                <c:pt idx="379">
                  <c:v>5.3486606152119975E-4</c:v>
                </c:pt>
                <c:pt idx="380">
                  <c:v>5.3689167080150924E-4</c:v>
                </c:pt>
                <c:pt idx="381">
                  <c:v>5.3886086161192281E-4</c:v>
                </c:pt>
                <c:pt idx="382">
                  <c:v>5.4077363387250443E-4</c:v>
                </c:pt>
                <c:pt idx="383">
                  <c:v>5.4441194024867912E-4</c:v>
                </c:pt>
                <c:pt idx="384">
                  <c:v>5.4786053853561612E-4</c:v>
                </c:pt>
                <c:pt idx="385">
                  <c:v>5.4949121844671822E-4</c:v>
                </c:pt>
                <c:pt idx="386">
                  <c:v>5.5106547996786048E-4</c:v>
                </c:pt>
                <c:pt idx="387">
                  <c:v>5.5258332301910684E-4</c:v>
                </c:pt>
                <c:pt idx="388">
                  <c:v>5.5543180457640062E-4</c:v>
                </c:pt>
                <c:pt idx="389">
                  <c:v>5.5809051052513325E-4</c:v>
                </c:pt>
                <c:pt idx="390">
                  <c:v>5.5932626130683616E-4</c:v>
                </c:pt>
                <c:pt idx="391">
                  <c:v>5.605055935387071E-4</c:v>
                </c:pt>
                <c:pt idx="392">
                  <c:v>5.6162850730068214E-4</c:v>
                </c:pt>
                <c:pt idx="393">
                  <c:v>5.6368715588561713E-4</c:v>
                </c:pt>
                <c:pt idx="394">
                  <c:v>5.6555597764962329E-4</c:v>
                </c:pt>
                <c:pt idx="395">
                  <c:v>5.6639679906211882E-4</c:v>
                </c:pt>
                <c:pt idx="396">
                  <c:v>5.6718120192478239E-4</c:v>
                </c:pt>
                <c:pt idx="397">
                  <c:v>5.6790918639748611E-4</c:v>
                </c:pt>
                <c:pt idx="398">
                  <c:v>5.6917799361677623E-4</c:v>
                </c:pt>
                <c:pt idx="399">
                  <c:v>5.7025693942946987E-4</c:v>
                </c:pt>
                <c:pt idx="400">
                  <c:v>5.7070283155269408E-4</c:v>
                </c:pt>
                <c:pt idx="401">
                  <c:v>5.7109230512608633E-4</c:v>
                </c:pt>
                <c:pt idx="402">
                  <c:v>5.7142536022958268E-4</c:v>
                </c:pt>
                <c:pt idx="403">
                  <c:v>5.7190431742348835E-4</c:v>
                </c:pt>
                <c:pt idx="404">
                  <c:v>5.7219339586467299E-4</c:v>
                </c:pt>
                <c:pt idx="405">
                  <c:v>5.7224435861868983E-4</c:v>
                </c:pt>
                <c:pt idx="406">
                  <c:v>5.7223890290281076E-4</c:v>
                </c:pt>
                <c:pt idx="407">
                  <c:v>5.721770287170358E-4</c:v>
                </c:pt>
                <c:pt idx="408">
                  <c:v>5.7186612706594531E-4</c:v>
                </c:pt>
                <c:pt idx="409">
                  <c:v>5.7136534703516872E-4</c:v>
                </c:pt>
                <c:pt idx="410">
                  <c:v>5.7102138041997819E-4</c:v>
                </c:pt>
                <c:pt idx="411">
                  <c:v>5.7062099533489175E-4</c:v>
                </c:pt>
                <c:pt idx="412">
                  <c:v>5.7016419169997334E-4</c:v>
                </c:pt>
                <c:pt idx="413">
                  <c:v>5.690634225441471E-4</c:v>
                </c:pt>
                <c:pt idx="414">
                  <c:v>5.6777279278108495E-4</c:v>
                </c:pt>
                <c:pt idx="415">
                  <c:v>5.6703389671675097E-4</c:v>
                </c:pt>
                <c:pt idx="416">
                  <c:v>5.6626971767670398E-4</c:v>
                </c:pt>
                <c:pt idx="417">
                  <c:v>5.6560479683831488E-4</c:v>
                </c:pt>
                <c:pt idx="418">
                  <c:v>5.6459579061973741E-4</c:v>
                </c:pt>
                <c:pt idx="419">
                  <c:v>5.6423609576583544E-4</c:v>
                </c:pt>
                <c:pt idx="420">
                  <c:v>5.643535362231944E-4</c:v>
                </c:pt>
                <c:pt idx="421">
                  <c:v>5.6460137021652201E-4</c:v>
                </c:pt>
                <c:pt idx="422">
                  <c:v>7.1059198444345384E-3</c:v>
                </c:pt>
                <c:pt idx="423">
                  <c:v>5.6689664170939125E-4</c:v>
                </c:pt>
                <c:pt idx="424">
                  <c:v>5.6779644346249825E-4</c:v>
                </c:pt>
                <c:pt idx="425">
                  <c:v>5.6882663883150997E-4</c:v>
                </c:pt>
                <c:pt idx="426">
                  <c:v>5.699872276565543E-4</c:v>
                </c:pt>
                <c:pt idx="427">
                  <c:v>5.7274396183082388E-4</c:v>
                </c:pt>
                <c:pt idx="428">
                  <c:v>5.759335187960346E-4</c:v>
                </c:pt>
                <c:pt idx="429">
                  <c:v>5.7774607546079437E-4</c:v>
                </c:pt>
                <c:pt idx="430">
                  <c:v>5.7968902566152281E-4</c:v>
                </c:pt>
                <c:pt idx="431">
                  <c:v>5.8176236955809202E-4</c:v>
                </c:pt>
                <c:pt idx="432">
                  <c:v>5.863446573606268E-4</c:v>
                </c:pt>
                <c:pt idx="433">
                  <c:v>5.9135968050405552E-4</c:v>
                </c:pt>
                <c:pt idx="434">
                  <c:v>5.9408499216040411E-4</c:v>
                </c:pt>
                <c:pt idx="435">
                  <c:v>5.9694069743265743E-4</c:v>
                </c:pt>
                <c:pt idx="436">
                  <c:v>5.9992679632081547E-4</c:v>
                </c:pt>
                <c:pt idx="437">
                  <c:v>6.0633466053339191E-4</c:v>
                </c:pt>
                <c:pt idx="438">
                  <c:v>6.1317512771275062E-4</c:v>
                </c:pt>
                <c:pt idx="439">
                  <c:v>6.168131944406241E-4</c:v>
                </c:pt>
                <c:pt idx="440">
                  <c:v>6.2058165502421048E-4</c:v>
                </c:pt>
                <c:pt idx="441">
                  <c:v>6.2448050906382946E-4</c:v>
                </c:pt>
                <c:pt idx="442">
                  <c:v>6.3271397457320688E-4</c:v>
                </c:pt>
                <c:pt idx="443">
                  <c:v>6.4137986146128867E-4</c:v>
                </c:pt>
                <c:pt idx="444">
                  <c:v>6.4593068374030338E-4</c:v>
                </c:pt>
                <c:pt idx="445">
                  <c:v>6.5061189955528675E-4</c:v>
                </c:pt>
                <c:pt idx="446">
                  <c:v>6.5542350906611091E-4</c:v>
                </c:pt>
                <c:pt idx="447">
                  <c:v>6.6548260369003742E-4</c:v>
                </c:pt>
                <c:pt idx="448">
                  <c:v>6.7597388358819899E-4</c:v>
                </c:pt>
                <c:pt idx="449">
                  <c:v>6.8143746133841887E-4</c:v>
                </c:pt>
                <c:pt idx="450">
                  <c:v>6.8703143278447953E-4</c:v>
                </c:pt>
                <c:pt idx="451">
                  <c:v>6.9275579792638098E-4</c:v>
                </c:pt>
                <c:pt idx="452">
                  <c:v>7.0464055310637264E-4</c:v>
                </c:pt>
                <c:pt idx="453">
                  <c:v>7.1695719553233062E-4</c:v>
                </c:pt>
                <c:pt idx="454">
                  <c:v>7.2333352923337202E-4</c:v>
                </c:pt>
                <c:pt idx="455">
                  <c:v>7.298402566302542E-4</c:v>
                </c:pt>
                <c:pt idx="456">
                  <c:v>7.3647737772297717E-4</c:v>
                </c:pt>
                <c:pt idx="457">
                  <c:v>7.5018782905722503E-4</c:v>
                </c:pt>
                <c:pt idx="458">
                  <c:v>7.6432979977170135E-4</c:v>
                </c:pt>
                <c:pt idx="459">
                  <c:v>7.7161888958343638E-4</c:v>
                </c:pt>
                <c:pt idx="460">
                  <c:v>7.7903837333082038E-4</c:v>
                </c:pt>
                <c:pt idx="461">
                  <c:v>7.8658825077404515E-4</c:v>
                </c:pt>
                <c:pt idx="462">
                  <c:v>8.0212443884342122E-4</c:v>
                </c:pt>
                <c:pt idx="463">
                  <c:v>8.1809169862445685E-4</c:v>
                </c:pt>
                <c:pt idx="464">
                  <c:v>8.2629354510643793E-4</c:v>
                </c:pt>
                <c:pt idx="465">
                  <c:v>8.3462578552406796E-4</c:v>
                </c:pt>
                <c:pt idx="466">
                  <c:v>8.4308841971747484E-4</c:v>
                </c:pt>
                <c:pt idx="467">
                  <c:v>8.604503907783112E-4</c:v>
                </c:pt>
                <c:pt idx="468">
                  <c:v>8.7824289504823128E-4</c:v>
                </c:pt>
                <c:pt idx="469">
                  <c:v>8.8735749860013868E-4</c:v>
                </c:pt>
                <c:pt idx="470">
                  <c:v>8.9660249608769504E-4</c:v>
                </c:pt>
                <c:pt idx="471">
                  <c:v>9.059778874309643E-4</c:v>
                </c:pt>
                <c:pt idx="472">
                  <c:v>9.2516569413447769E-4</c:v>
                </c:pt>
                <c:pt idx="473">
                  <c:v>9.4478339232040298E-4</c:v>
                </c:pt>
                <c:pt idx="474">
                  <c:v>9.5481075334191701E-4</c:v>
                </c:pt>
                <c:pt idx="475">
                  <c:v>9.649685084589521E-4</c:v>
                </c:pt>
                <c:pt idx="476">
                  <c:v>9.7525665751163615E-4</c:v>
                </c:pt>
                <c:pt idx="477">
                  <c:v>9.9627035927696284E-4</c:v>
                </c:pt>
                <c:pt idx="478">
                  <c:v>1.0177131937982864E-3</c:v>
                </c:pt>
                <c:pt idx="479">
                  <c:v>1.0286191333896966E-3</c:v>
                </c:pt>
                <c:pt idx="480">
                  <c:v>1.0394845689809529E-3</c:v>
                </c:pt>
                <c:pt idx="481">
                  <c:v>1.0502753210328564E-3</c:v>
                </c:pt>
                <c:pt idx="482">
                  <c:v>1.0716110697739367E-3</c:v>
                </c:pt>
                <c:pt idx="483">
                  <c:v>1.0926914937670062E-3</c:v>
                </c:pt>
                <c:pt idx="484">
                  <c:v>1.1031088280422097E-3</c:v>
                </c:pt>
                <c:pt idx="485">
                  <c:v>1.1134514786181882E-3</c:v>
                </c:pt>
                <c:pt idx="486">
                  <c:v>1.123719445814686E-3</c:v>
                </c:pt>
                <c:pt idx="487">
                  <c:v>1.1440100698489886E-3</c:v>
                </c:pt>
                <c:pt idx="488">
                  <c:v>1.1640444780081083E-3</c:v>
                </c:pt>
                <c:pt idx="489">
                  <c:v>1.1739390269482897E-3</c:v>
                </c:pt>
                <c:pt idx="490">
                  <c:v>1.1837588923491182E-3</c:v>
                </c:pt>
                <c:pt idx="491">
                  <c:v>1.1935040740507219E-3</c:v>
                </c:pt>
                <c:pt idx="492">
                  <c:v>1.212749577481631E-3</c:v>
                </c:pt>
                <c:pt idx="493">
                  <c:v>1.2317379645843118E-3</c:v>
                </c:pt>
                <c:pt idx="494">
                  <c:v>1.2411097281894712E-3</c:v>
                </c:pt>
                <c:pt idx="495">
                  <c:v>1.2504068078555974E-3</c:v>
                </c:pt>
                <c:pt idx="496">
                  <c:v>1.2777843320073146E-3</c:v>
                </c:pt>
                <c:pt idx="497">
                  <c:v>1.3046209293676725E-3</c:v>
                </c:pt>
                <c:pt idx="498">
                  <c:v>1.3133952232990964E-3</c:v>
                </c:pt>
                <c:pt idx="499">
                  <c:v>1.3220948336112315E-3</c:v>
                </c:pt>
                <c:pt idx="500">
                  <c:v>1.3392500903997018E-3</c:v>
                </c:pt>
                <c:pt idx="501">
                  <c:v>1.3561464372280341E-3</c:v>
                </c:pt>
                <c:pt idx="502">
                  <c:v>1.3644726288042364E-3</c:v>
                </c:pt>
                <c:pt idx="503">
                  <c:v>1.3727241366812137E-3</c:v>
                </c:pt>
                <c:pt idx="504">
                  <c:v>1.3809009607790301E-3</c:v>
                </c:pt>
                <c:pt idx="505">
                  <c:v>1.4009777800061407E-3</c:v>
                </c:pt>
                <c:pt idx="506">
                  <c:v>1.4206648246606335E-3</c:v>
                </c:pt>
                <c:pt idx="507">
                  <c:v>1.428393546083484E-3</c:v>
                </c:pt>
                <c:pt idx="508">
                  <c:v>1.4360475838071096E-3</c:v>
                </c:pt>
                <c:pt idx="509">
                  <c:v>1.4511125622451715E-3</c:v>
                </c:pt>
                <c:pt idx="510">
                  <c:v>1.4659168964303859E-3</c:v>
                </c:pt>
                <c:pt idx="511">
                  <c:v>1.4731975150183985E-3</c:v>
                </c:pt>
                <c:pt idx="512">
                  <c:v>1.4804034499871221E-3</c:v>
                </c:pt>
                <c:pt idx="513">
                  <c:v>1.4875347009368767E-3</c:v>
                </c:pt>
                <c:pt idx="514">
                  <c:v>1.5015545197627489E-3</c:v>
                </c:pt>
                <c:pt idx="515">
                  <c:v>1.5153128667044768E-3</c:v>
                </c:pt>
                <c:pt idx="516">
                  <c:v>1.5220706985985544E-3</c:v>
                </c:pt>
                <c:pt idx="517">
                  <c:v>1.5287538466335349E-3</c:v>
                </c:pt>
                <c:pt idx="518">
                  <c:v>1.5734447345838731E-3</c:v>
                </c:pt>
                <c:pt idx="519">
                  <c:v>1.6144761126390961E-3</c:v>
                </c:pt>
                <c:pt idx="520">
                  <c:v>1.6518479793603547E-3</c:v>
                </c:pt>
                <c:pt idx="521">
                  <c:v>1.6855603337084801E-3</c:v>
                </c:pt>
                <c:pt idx="522">
                  <c:v>1.7173397995673412E-3</c:v>
                </c:pt>
                <c:pt idx="523">
                  <c:v>1.7494432250853009E-3</c:v>
                </c:pt>
                <c:pt idx="524">
                  <c:v>1.7818842059469375E-3</c:v>
                </c:pt>
                <c:pt idx="525">
                  <c:v>1.8146627419923789E-3</c:v>
                </c:pt>
                <c:pt idx="526">
                  <c:v>1.8477788335413692E-3</c:v>
                </c:pt>
                <c:pt idx="527">
                  <c:v>1.8812324805939085E-3</c:v>
                </c:pt>
                <c:pt idx="528">
                  <c:v>1.9150236832299328E-3</c:v>
                </c:pt>
                <c:pt idx="529">
                  <c:v>1.9491524416093142E-3</c:v>
                </c:pt>
                <c:pt idx="530">
                  <c:v>1.9836187557320528E-3</c:v>
                </c:pt>
                <c:pt idx="531">
                  <c:v>2.0184226256780846E-3</c:v>
                </c:pt>
                <c:pt idx="532">
                  <c:v>2.0535640516872178E-3</c:v>
                </c:pt>
                <c:pt idx="533">
                  <c:v>2.0890430337594523E-3</c:v>
                </c:pt>
                <c:pt idx="534">
                  <c:v>2.1248595720546604E-3</c:v>
                </c:pt>
                <c:pt idx="535">
                  <c:v>2.1610136665728419E-3</c:v>
                </c:pt>
                <c:pt idx="536">
                  <c:v>2.1975053175538051E-3</c:v>
                </c:pt>
                <c:pt idx="537">
                  <c:v>2.2343345249176139E-3</c:v>
                </c:pt>
                <c:pt idx="538">
                  <c:v>2.2715012889840125E-3</c:v>
                </c:pt>
                <c:pt idx="539">
                  <c:v>2.309005609753001E-3</c:v>
                </c:pt>
                <c:pt idx="540">
                  <c:v>2.3468474872245793E-3</c:v>
                </c:pt>
                <c:pt idx="541">
                  <c:v>2.3850269216385556E-3</c:v>
                </c:pt>
                <c:pt idx="542">
                  <c:v>2.423543913154802E-3</c:v>
                </c:pt>
                <c:pt idx="543">
                  <c:v>2.4623984617733186E-3</c:v>
                </c:pt>
                <c:pt idx="544">
                  <c:v>2.5015905675740413E-3</c:v>
                </c:pt>
                <c:pt idx="545">
                  <c:v>2.5411202307168423E-3</c:v>
                </c:pt>
                <c:pt idx="546">
                  <c:v>2.5809874513615938E-3</c:v>
                </c:pt>
                <c:pt idx="547">
                  <c:v>2.6211922295082957E-3</c:v>
                </c:pt>
                <c:pt idx="548">
                  <c:v>2.6617345654766922E-3</c:v>
                </c:pt>
                <c:pt idx="549">
                  <c:v>2.7232161947443601E-3</c:v>
                </c:pt>
                <c:pt idx="550">
                  <c:v>2.7616233477889551E-3</c:v>
                </c:pt>
                <c:pt idx="551">
                  <c:v>2.8033236697577735E-3</c:v>
                </c:pt>
                <c:pt idx="552">
                  <c:v>2.8453615649493003E-3</c:v>
                </c:pt>
                <c:pt idx="553">
                  <c:v>2.8877370336566344E-3</c:v>
                </c:pt>
                <c:pt idx="554">
                  <c:v>2.9304500762794561E-3</c:v>
                </c:pt>
                <c:pt idx="555">
                  <c:v>2.9735006931375096E-3</c:v>
                </c:pt>
                <c:pt idx="556">
                  <c:v>3.01688888460383E-3</c:v>
                </c:pt>
                <c:pt idx="557">
                  <c:v>3.0606146511047427E-3</c:v>
                </c:pt>
                <c:pt idx="558">
                  <c:v>3.1046779929866375E-3</c:v>
                </c:pt>
                <c:pt idx="559">
                  <c:v>3.1490789105692585E-3</c:v>
                </c:pt>
                <c:pt idx="560">
                  <c:v>3.1938174042789313E-3</c:v>
                </c:pt>
                <c:pt idx="561">
                  <c:v>3.2388934744620457E-3</c:v>
                </c:pt>
                <c:pt idx="562">
                  <c:v>3.3038408361907301E-3</c:v>
                </c:pt>
                <c:pt idx="563">
                  <c:v>3.3300583458206745E-3</c:v>
                </c:pt>
                <c:pt idx="564">
                  <c:v>3.3761471477422589E-3</c:v>
                </c:pt>
                <c:pt idx="565">
                  <c:v>3.4225735277093605E-3</c:v>
                </c:pt>
                <c:pt idx="566">
                  <c:v>3.4693374860950144E-3</c:v>
                </c:pt>
                <c:pt idx="567">
                  <c:v>3.5164390232722553E-3</c:v>
                </c:pt>
                <c:pt idx="568">
                  <c:v>3.5638781396940544E-3</c:v>
                </c:pt>
                <c:pt idx="569">
                  <c:v>3.6115560017790926E-3</c:v>
                </c:pt>
                <c:pt idx="570">
                  <c:v>3.6592685655723045E-3</c:v>
                </c:pt>
                <c:pt idx="571">
                  <c:v>3.70700626653786E-3</c:v>
                </c:pt>
                <c:pt idx="572">
                  <c:v>3.7547691047024045E-3</c:v>
                </c:pt>
                <c:pt idx="573">
                  <c:v>3.8025570800659381E-3</c:v>
                </c:pt>
                <c:pt idx="574">
                  <c:v>3.8503701927083966E-3</c:v>
                </c:pt>
                <c:pt idx="575">
                  <c:v>3.8982084426297803E-3</c:v>
                </c:pt>
                <c:pt idx="576">
                  <c:v>3.9460718298567343E-3</c:v>
                </c:pt>
                <c:pt idx="577">
                  <c:v>3.9939603544159041E-3</c:v>
                </c:pt>
                <c:pt idx="578">
                  <c:v>4.0418740163605804E-3</c:v>
                </c:pt>
                <c:pt idx="579">
                  <c:v>4.0898128157174085E-3</c:v>
                </c:pt>
                <c:pt idx="580">
                  <c:v>4.1377767524863884E-3</c:v>
                </c:pt>
                <c:pt idx="581">
                  <c:v>4.1857658267208109E-3</c:v>
                </c:pt>
                <c:pt idx="582">
                  <c:v>4.2337800384739666E-3</c:v>
                </c:pt>
                <c:pt idx="583">
                  <c:v>4.2818193877192101E-3</c:v>
                </c:pt>
                <c:pt idx="584">
                  <c:v>4.329883874563123E-3</c:v>
                </c:pt>
                <c:pt idx="585">
                  <c:v>4.377973498925769E-3</c:v>
                </c:pt>
                <c:pt idx="586">
                  <c:v>4.4260882609670205E-3</c:v>
                </c:pt>
                <c:pt idx="587">
                  <c:v>4.4742281606069412E-3</c:v>
                </c:pt>
                <c:pt idx="588">
                  <c:v>4.5223931979254672E-3</c:v>
                </c:pt>
                <c:pt idx="589">
                  <c:v>4.5705833729758893E-3</c:v>
                </c:pt>
                <c:pt idx="590">
                  <c:v>4.6187986857582075E-3</c:v>
                </c:pt>
                <c:pt idx="591">
                  <c:v>4.6670391362990671E-3</c:v>
                </c:pt>
                <c:pt idx="592">
                  <c:v>4.7153047246251134E-3</c:v>
                </c:pt>
                <c:pt idx="593">
                  <c:v>4.7635954507629918E-3</c:v>
                </c:pt>
                <c:pt idx="594">
                  <c:v>4.8119113147926384E-3</c:v>
                </c:pt>
                <c:pt idx="595">
                  <c:v>4.8602523166874079E-3</c:v>
                </c:pt>
                <c:pt idx="596">
                  <c:v>4.9086184565272362E-3</c:v>
                </c:pt>
                <c:pt idx="597">
                  <c:v>4.957009734285478E-3</c:v>
                </c:pt>
                <c:pt idx="598">
                  <c:v>5.0054261500420694E-3</c:v>
                </c:pt>
                <c:pt idx="599">
                  <c:v>5.053867703770365E-3</c:v>
                </c:pt>
                <c:pt idx="600">
                  <c:v>5.1023343955769462E-3</c:v>
                </c:pt>
                <c:pt idx="601">
                  <c:v>5.1681136252135218E-3</c:v>
                </c:pt>
                <c:pt idx="602">
                  <c:v>5.2131341391703501E-3</c:v>
                </c:pt>
                <c:pt idx="603">
                  <c:v>5.261682015049729E-3</c:v>
                </c:pt>
                <c:pt idx="604">
                  <c:v>5.3102550151518102E-3</c:v>
                </c:pt>
                <c:pt idx="605">
                  <c:v>5.3588531397164019E-3</c:v>
                </c:pt>
                <c:pt idx="606">
                  <c:v>5.4074763885836319E-3</c:v>
                </c:pt>
                <c:pt idx="607">
                  <c:v>5.4561247617535003E-3</c:v>
                </c:pt>
                <c:pt idx="608">
                  <c:v>5.5047982593858791E-3</c:v>
                </c:pt>
                <c:pt idx="609">
                  <c:v>5.5534968814008323E-3</c:v>
                </c:pt>
                <c:pt idx="610">
                  <c:v>5.6022206277184239E-3</c:v>
                </c:pt>
                <c:pt idx="611">
                  <c:v>5.650969498578462E-3</c:v>
                </c:pt>
                <c:pt idx="612">
                  <c:v>5.6997434937411384E-3</c:v>
                </c:pt>
                <c:pt idx="613">
                  <c:v>5.7485426133663253E-3</c:v>
                </c:pt>
                <c:pt idx="614">
                  <c:v>5.7973668573740866E-3</c:v>
                </c:pt>
                <c:pt idx="615">
                  <c:v>5.8462162259242945E-3</c:v>
                </c:pt>
                <c:pt idx="616">
                  <c:v>5.8950907188570767E-3</c:v>
                </c:pt>
                <c:pt idx="617">
                  <c:v>5.9579662702624603E-3</c:v>
                </c:pt>
                <c:pt idx="618">
                  <c:v>5.9929150781901086E-3</c:v>
                </c:pt>
                <c:pt idx="619">
                  <c:v>6.0418649446702943E-3</c:v>
                </c:pt>
                <c:pt idx="620">
                  <c:v>6.0908396556769162E-3</c:v>
                </c:pt>
                <c:pt idx="621">
                  <c:v>6.1397927610862268E-3</c:v>
                </c:pt>
                <c:pt idx="622">
                  <c:v>6.1886887234852139E-3</c:v>
                </c:pt>
                <c:pt idx="623">
                  <c:v>6.2375275427939414E-3</c:v>
                </c:pt>
                <c:pt idx="624">
                  <c:v>6.2863092189324732E-3</c:v>
                </c:pt>
                <c:pt idx="625">
                  <c:v>6.3350337520606814E-3</c:v>
                </c:pt>
                <c:pt idx="626">
                  <c:v>6.38370114209863E-3</c:v>
                </c:pt>
                <c:pt idx="627">
                  <c:v>6.4323113888864469E-3</c:v>
                </c:pt>
                <c:pt idx="628">
                  <c:v>6.4808644926639403E-3</c:v>
                </c:pt>
                <c:pt idx="629">
                  <c:v>6.5293604531913019E-3</c:v>
                </c:pt>
                <c:pt idx="630">
                  <c:v>6.5777992704685317E-3</c:v>
                </c:pt>
                <c:pt idx="631">
                  <c:v>6.6261809444956299E-3</c:v>
                </c:pt>
                <c:pt idx="632">
                  <c:v>6.6745054752725963E-3</c:v>
                </c:pt>
                <c:pt idx="633">
                  <c:v>6.722772862799431E-3</c:v>
                </c:pt>
                <c:pt idx="634">
                  <c:v>6.7709831069961979E-3</c:v>
                </c:pt>
                <c:pt idx="635">
                  <c:v>6.819136207862897E-3</c:v>
                </c:pt>
                <c:pt idx="636">
                  <c:v>6.8672321653195922E-3</c:v>
                </c:pt>
                <c:pt idx="637">
                  <c:v>6.9152709795261558E-3</c:v>
                </c:pt>
                <c:pt idx="638">
                  <c:v>6.9632526501628433E-3</c:v>
                </c:pt>
                <c:pt idx="639">
                  <c:v>7.0111771775493992E-3</c:v>
                </c:pt>
                <c:pt idx="640">
                  <c:v>7.0590445613660791E-3</c:v>
                </c:pt>
                <c:pt idx="641">
                  <c:v>7.1068548017727551E-3</c:v>
                </c:pt>
                <c:pt idx="642">
                  <c:v>7.1546078986894912E-3</c:v>
                </c:pt>
                <c:pt idx="643">
                  <c:v>7.2023038521162874E-3</c:v>
                </c:pt>
                <c:pt idx="644">
                  <c:v>7.2499426618932716E-3</c:v>
                </c:pt>
                <c:pt idx="645">
                  <c:v>7.297524328260252E-3</c:v>
                </c:pt>
                <c:pt idx="646">
                  <c:v>7.3450488509774203E-3</c:v>
                </c:pt>
                <c:pt idx="647">
                  <c:v>7.3925162301247127E-3</c:v>
                </c:pt>
                <c:pt idx="648">
                  <c:v>7.439926465542257E-3</c:v>
                </c:pt>
                <c:pt idx="649">
                  <c:v>7.4872795573899253E-3</c:v>
                </c:pt>
                <c:pt idx="650">
                  <c:v>7.5345755055877817E-3</c:v>
                </c:pt>
                <c:pt idx="651">
                  <c:v>7.5818143100558899E-3</c:v>
                </c:pt>
                <c:pt idx="652">
                  <c:v>7.6289959707942501E-3</c:v>
                </c:pt>
                <c:pt idx="653">
                  <c:v>7.686293070898742E-3</c:v>
                </c:pt>
                <c:pt idx="654">
                  <c:v>7.7299071067216119E-3</c:v>
                </c:pt>
                <c:pt idx="655">
                  <c:v>7.7769091728807638E-3</c:v>
                </c:pt>
                <c:pt idx="656">
                  <c:v>7.8238540950703594E-3</c:v>
                </c:pt>
                <c:pt idx="657">
                  <c:v>7.870741873530207E-3</c:v>
                </c:pt>
                <c:pt idx="658">
                  <c:v>7.9175725081004344E-3</c:v>
                </c:pt>
                <c:pt idx="659">
                  <c:v>7.9643459988609777E-3</c:v>
                </c:pt>
                <c:pt idx="660">
                  <c:v>8.0110623456519647E-3</c:v>
                </c:pt>
                <c:pt idx="661">
                  <c:v>8.0577215484733955E-3</c:v>
                </c:pt>
                <c:pt idx="662">
                  <c:v>8.1043236074052061E-3</c:v>
                </c:pt>
                <c:pt idx="663">
                  <c:v>8.1508685224473965E-3</c:v>
                </c:pt>
                <c:pt idx="664">
                  <c:v>8.1973562933601585E-3</c:v>
                </c:pt>
                <c:pt idx="665">
                  <c:v>8.2437869203833003E-3</c:v>
                </c:pt>
                <c:pt idx="666">
                  <c:v>8.2901604032770138E-3</c:v>
                </c:pt>
                <c:pt idx="667">
                  <c:v>8.336476742201171E-3</c:v>
                </c:pt>
                <c:pt idx="668">
                  <c:v>8.3959423539958777E-3</c:v>
                </c:pt>
                <c:pt idx="669">
                  <c:v>8.4421280778013141E-3</c:v>
                </c:pt>
                <c:pt idx="670">
                  <c:v>8.4984341038030209E-3</c:v>
                </c:pt>
                <c:pt idx="671">
                  <c:v>8.5343280930239018E-3</c:v>
                </c:pt>
                <c:pt idx="672">
                  <c:v>8.5803441668552693E-3</c:v>
                </c:pt>
                <c:pt idx="673">
                  <c:v>8.6263547850506939E-3</c:v>
                </c:pt>
                <c:pt idx="674">
                  <c:v>8.6723831183554978E-3</c:v>
                </c:pt>
                <c:pt idx="675">
                  <c:v>8.7184291669295533E-3</c:v>
                </c:pt>
                <c:pt idx="676">
                  <c:v>8.7644929306929242E-3</c:v>
                </c:pt>
                <c:pt idx="677">
                  <c:v>8.8105744098054828E-3</c:v>
                </c:pt>
                <c:pt idx="678">
                  <c:v>8.8566736040274208E-3</c:v>
                </c:pt>
                <c:pt idx="679">
                  <c:v>8.9027905135186103E-3</c:v>
                </c:pt>
                <c:pt idx="680">
                  <c:v>8.9489251381991153E-3</c:v>
                </c:pt>
                <c:pt idx="681">
                  <c:v>8.9950774782288079E-3</c:v>
                </c:pt>
                <c:pt idx="682">
                  <c:v>9.0412475333678799E-3</c:v>
                </c:pt>
                <c:pt idx="683">
                  <c:v>9.0874353038561395E-3</c:v>
                </c:pt>
                <c:pt idx="684">
                  <c:v>9.1336407896136507E-3</c:v>
                </c:pt>
                <c:pt idx="685">
                  <c:v>9.1798639906404134E-3</c:v>
                </c:pt>
                <c:pt idx="686">
                  <c:v>9.2261049070163637E-3</c:v>
                </c:pt>
                <c:pt idx="687">
                  <c:v>9.2723635385816294E-3</c:v>
                </c:pt>
                <c:pt idx="688">
                  <c:v>9.3186398854161467E-3</c:v>
                </c:pt>
                <c:pt idx="689">
                  <c:v>9.3649339475998516E-3</c:v>
                </c:pt>
                <c:pt idx="690">
                  <c:v>9.4112457250528081E-3</c:v>
                </c:pt>
                <c:pt idx="691">
                  <c:v>9.4575752179348882E-3</c:v>
                </c:pt>
                <c:pt idx="692">
                  <c:v>9.5039224260062838E-3</c:v>
                </c:pt>
                <c:pt idx="693">
                  <c:v>9.550287349506803E-3</c:v>
                </c:pt>
                <c:pt idx="694">
                  <c:v>9.5966699882765738E-3</c:v>
                </c:pt>
                <c:pt idx="695">
                  <c:v>9.6430703423955322E-3</c:v>
                </c:pt>
                <c:pt idx="696">
                  <c:v>9.6894884119436142E-3</c:v>
                </c:pt>
                <c:pt idx="697">
                  <c:v>9.7359241967609478E-3</c:v>
                </c:pt>
                <c:pt idx="698">
                  <c:v>9.7823776969274689E-3</c:v>
                </c:pt>
                <c:pt idx="699">
                  <c:v>9.8288489125231138E-3</c:v>
                </c:pt>
                <c:pt idx="700">
                  <c:v>9.8753378435478822E-3</c:v>
                </c:pt>
                <c:pt idx="701">
                  <c:v>9.9218444897619662E-3</c:v>
                </c:pt>
                <c:pt idx="702">
                  <c:v>9.9683688514851099E-3</c:v>
                </c:pt>
                <c:pt idx="703">
                  <c:v>1.0014910928637377E-2</c:v>
                </c:pt>
                <c:pt idx="704">
                  <c:v>1.0071873000276899E-2</c:v>
                </c:pt>
                <c:pt idx="705">
                  <c:v>1.0118458223036253E-2</c:v>
                </c:pt>
                <c:pt idx="706">
                  <c:v>1.0154643452509049E-2</c:v>
                </c:pt>
                <c:pt idx="707">
                  <c:v>1.0201256391217939E-2</c:v>
                </c:pt>
                <c:pt idx="708">
                  <c:v>1.0247887045435888E-2</c:v>
                </c:pt>
                <c:pt idx="709">
                  <c:v>1.0294535415082962E-2</c:v>
                </c:pt>
                <c:pt idx="710">
                  <c:v>1.0341201500239094E-2</c:v>
                </c:pt>
                <c:pt idx="711">
                  <c:v>1.0387885300744415E-2</c:v>
                </c:pt>
                <c:pt idx="712">
                  <c:v>1.0434586816758795E-2</c:v>
                </c:pt>
                <c:pt idx="713">
                  <c:v>1.0481306048202299E-2</c:v>
                </c:pt>
                <c:pt idx="714">
                  <c:v>1.0528042995154863E-2</c:v>
                </c:pt>
                <c:pt idx="715">
                  <c:v>1.057479765753655E-2</c:v>
                </c:pt>
                <c:pt idx="716">
                  <c:v>1.0621570035427297E-2</c:v>
                </c:pt>
                <c:pt idx="717">
                  <c:v>1.0668360128827103E-2</c:v>
                </c:pt>
                <c:pt idx="718">
                  <c:v>1.0729184685562387E-2</c:v>
                </c:pt>
                <c:pt idx="719">
                  <c:v>1.0761993462153896E-2</c:v>
                </c:pt>
                <c:pt idx="720">
                  <c:v>1.0808836702080882E-2</c:v>
                </c:pt>
                <c:pt idx="721">
                  <c:v>1.0855697657516927E-2</c:v>
                </c:pt>
                <c:pt idx="722">
                  <c:v>1.0902576328541969E-2</c:v>
                </c:pt>
                <c:pt idx="723">
                  <c:v>1.0949472714996134E-2</c:v>
                </c:pt>
                <c:pt idx="724">
                  <c:v>1.0996385558206256E-2</c:v>
                </c:pt>
                <c:pt idx="725">
                  <c:v>1.1043105880537141E-2</c:v>
                </c:pt>
                <c:pt idx="726">
                  <c:v>1.1089473801799699E-2</c:v>
                </c:pt>
                <c:pt idx="727">
                  <c:v>1.1135489321674186E-2</c:v>
                </c:pt>
                <c:pt idx="728">
                  <c:v>1.1181152440160602E-2</c:v>
                </c:pt>
                <c:pt idx="729">
                  <c:v>1.1226463157099076E-2</c:v>
                </c:pt>
                <c:pt idx="730">
                  <c:v>1.1271421472409671E-2</c:v>
                </c:pt>
                <c:pt idx="731">
                  <c:v>1.1316027385772642E-2</c:v>
                </c:pt>
                <c:pt idx="732">
                  <c:v>1.1360280897187991E-2</c:v>
                </c:pt>
                <c:pt idx="733">
                  <c:v>1.140418200657578E-2</c:v>
                </c:pt>
                <c:pt idx="734">
                  <c:v>1.1447730713696203E-2</c:v>
                </c:pt>
                <c:pt idx="735">
                  <c:v>1.1490927018469321E-2</c:v>
                </c:pt>
                <c:pt idx="736">
                  <c:v>1.1533770920815201E-2</c:v>
                </c:pt>
                <c:pt idx="737">
                  <c:v>1.1576262420494032E-2</c:v>
                </c:pt>
                <c:pt idx="738">
                  <c:v>1.1618401517505816E-2</c:v>
                </c:pt>
                <c:pt idx="739">
                  <c:v>1.1660188211690681E-2</c:v>
                </c:pt>
                <c:pt idx="740">
                  <c:v>1.1701622502808817E-2</c:v>
                </c:pt>
                <c:pt idx="741">
                  <c:v>1.1742704390860226E-2</c:v>
                </c:pt>
                <c:pt idx="742">
                  <c:v>1.178343387576497E-2</c:v>
                </c:pt>
                <c:pt idx="743">
                  <c:v>1.1823810957283243E-2</c:v>
                </c:pt>
                <c:pt idx="744">
                  <c:v>1.1863835635335107E-2</c:v>
                </c:pt>
                <c:pt idx="745">
                  <c:v>1.1903507909840627E-2</c:v>
                </c:pt>
                <c:pt idx="746">
                  <c:v>1.1942827780639931E-2</c:v>
                </c:pt>
                <c:pt idx="747">
                  <c:v>1.1981795247573146E-2</c:v>
                </c:pt>
                <c:pt idx="748">
                  <c:v>1.2020410310720209E-2</c:v>
                </c:pt>
                <c:pt idx="749">
                  <c:v>1.2058672969761375E-2</c:v>
                </c:pt>
                <c:pt idx="750">
                  <c:v>1.2096583224696644E-2</c:v>
                </c:pt>
                <c:pt idx="751">
                  <c:v>1.2134141075366145E-2</c:v>
                </c:pt>
                <c:pt idx="752">
                  <c:v>1.2171346521689941E-2</c:v>
                </c:pt>
                <c:pt idx="753">
                  <c:v>1.220819956350816E-2</c:v>
                </c:pt>
                <c:pt idx="754">
                  <c:v>1.2244700200740866E-2</c:v>
                </c:pt>
                <c:pt idx="755">
                  <c:v>1.2280848433308122E-2</c:v>
                </c:pt>
                <c:pt idx="756">
                  <c:v>1.2316644261129994E-2</c:v>
                </c:pt>
                <c:pt idx="757">
                  <c:v>1.2352087683886737E-2</c:v>
                </c:pt>
                <c:pt idx="758">
                  <c:v>1.2387178701738222E-2</c:v>
                </c:pt>
                <c:pt idx="759">
                  <c:v>1.2421917314604514E-2</c:v>
                </c:pt>
                <c:pt idx="760">
                  <c:v>1.2456303522085932E-2</c:v>
                </c:pt>
                <c:pt idx="761">
                  <c:v>1.2490337324342349E-2</c:v>
                </c:pt>
                <c:pt idx="762">
                  <c:v>1.2524018721133956E-2</c:v>
                </c:pt>
                <c:pt idx="763">
                  <c:v>1.2557347712380817E-2</c:v>
                </c:pt>
                <c:pt idx="764">
                  <c:v>1.2590324298162869E-2</c:v>
                </c:pt>
                <c:pt idx="765">
                  <c:v>1.2622948478240303E-2</c:v>
                </c:pt>
                <c:pt idx="766">
                  <c:v>1.2655220252373311E-2</c:v>
                </c:pt>
                <c:pt idx="767">
                  <c:v>1.2687139620721766E-2</c:v>
                </c:pt>
                <c:pt idx="768">
                  <c:v>1.2718706583045858E-2</c:v>
                </c:pt>
                <c:pt idx="769">
                  <c:v>1.2749921139265652E-2</c:v>
                </c:pt>
                <c:pt idx="770">
                  <c:v>1.2780783289301212E-2</c:v>
                </c:pt>
                <c:pt idx="771">
                  <c:v>1.2811293033072602E-2</c:v>
                </c:pt>
                <c:pt idx="772">
                  <c:v>1.2850912212226007E-2</c:v>
                </c:pt>
                <c:pt idx="773">
                  <c:v>1.2871255301662998E-2</c:v>
                </c:pt>
                <c:pt idx="774">
                  <c:v>1.2900707826082325E-2</c:v>
                </c:pt>
                <c:pt idx="775">
                  <c:v>1.2929807943917737E-2</c:v>
                </c:pt>
                <c:pt idx="776">
                  <c:v>1.2958555655089299E-2</c:v>
                </c:pt>
                <c:pt idx="777">
                  <c:v>1.2987072095898E-2</c:v>
                </c:pt>
                <c:pt idx="778">
                  <c:v>1.3015515601768612E-2</c:v>
                </c:pt>
                <c:pt idx="779">
                  <c:v>1.3043887126658049E-2</c:v>
                </c:pt>
                <c:pt idx="780">
                  <c:v>1.307218667056631E-2</c:v>
                </c:pt>
                <c:pt idx="781">
                  <c:v>1.310041423341346E-2</c:v>
                </c:pt>
                <c:pt idx="782">
                  <c:v>1.3128569815279434E-2</c:v>
                </c:pt>
                <c:pt idx="783">
                  <c:v>1.315665341600436E-2</c:v>
                </c:pt>
                <c:pt idx="784">
                  <c:v>1.3184665035668175E-2</c:v>
                </c:pt>
                <c:pt idx="785">
                  <c:v>1.3212604674270878E-2</c:v>
                </c:pt>
                <c:pt idx="786">
                  <c:v>1.3240472331732533E-2</c:v>
                </c:pt>
                <c:pt idx="787">
                  <c:v>1.3268268008053141E-2</c:v>
                </c:pt>
                <c:pt idx="788">
                  <c:v>1.3295991703232701E-2</c:v>
                </c:pt>
                <c:pt idx="789">
                  <c:v>1.3323643417271214E-2</c:v>
                </c:pt>
                <c:pt idx="790">
                  <c:v>1.3351223150088742E-2</c:v>
                </c:pt>
                <c:pt idx="791">
                  <c:v>1.3378730901685287E-2</c:v>
                </c:pt>
                <c:pt idx="792">
                  <c:v>1.3406166672140785E-2</c:v>
                </c:pt>
                <c:pt idx="793">
                  <c:v>1.3433530461295362E-2</c:v>
                </c:pt>
                <c:pt idx="794">
                  <c:v>1.3460822269308892E-2</c:v>
                </c:pt>
                <c:pt idx="795">
                  <c:v>1.3488042095941566E-2</c:v>
                </c:pt>
                <c:pt idx="796">
                  <c:v>1.3515189941353256E-2</c:v>
                </c:pt>
                <c:pt idx="797">
                  <c:v>1.3542265805464027E-2</c:v>
                </c:pt>
                <c:pt idx="798">
                  <c:v>1.3569269688273877E-2</c:v>
                </c:pt>
                <c:pt idx="799">
                  <c:v>1.3596201589702872E-2</c:v>
                </c:pt>
                <c:pt idx="800">
                  <c:v>1.3623061509830947E-2</c:v>
                </c:pt>
                <c:pt idx="801">
                  <c:v>1.3649849448658102E-2</c:v>
                </c:pt>
                <c:pt idx="802">
                  <c:v>1.367656540594453E-2</c:v>
                </c:pt>
                <c:pt idx="803">
                  <c:v>1.3703209381930037E-2</c:v>
                </c:pt>
                <c:pt idx="804">
                  <c:v>1.3729781376454753E-2</c:v>
                </c:pt>
                <c:pt idx="805">
                  <c:v>1.3756281389678549E-2</c:v>
                </c:pt>
                <c:pt idx="806">
                  <c:v>1.3782709421361616E-2</c:v>
                </c:pt>
                <c:pt idx="807">
                  <c:v>1.3809065471663828E-2</c:v>
                </c:pt>
                <c:pt idx="808">
                  <c:v>1.3835349540345376E-2</c:v>
                </c:pt>
                <c:pt idx="809">
                  <c:v>1.3861561627646068E-2</c:v>
                </c:pt>
                <c:pt idx="810">
                  <c:v>1.3887701733406033E-2</c:v>
                </c:pt>
                <c:pt idx="811">
                  <c:v>1.3913769857705205E-2</c:v>
                </c:pt>
                <c:pt idx="812">
                  <c:v>1.3939766000383713E-2</c:v>
                </c:pt>
                <c:pt idx="813">
                  <c:v>1.396569016160143E-2</c:v>
                </c:pt>
                <c:pt idx="814">
                  <c:v>1.3991542341198482E-2</c:v>
                </c:pt>
                <c:pt idx="815">
                  <c:v>1.401732253917487E-2</c:v>
                </c:pt>
                <c:pt idx="816">
                  <c:v>1.4043030755690467E-2</c:v>
                </c:pt>
                <c:pt idx="817">
                  <c:v>1.4068666990505463E-2</c:v>
                </c:pt>
                <c:pt idx="818">
                  <c:v>1.4094231243619859E-2</c:v>
                </c:pt>
                <c:pt idx="819">
                  <c:v>1.4119723515193527E-2</c:v>
                </c:pt>
                <c:pt idx="820">
                  <c:v>1.4145143805066596E-2</c:v>
                </c:pt>
                <c:pt idx="821">
                  <c:v>1.4170492113319E-2</c:v>
                </c:pt>
                <c:pt idx="822">
                  <c:v>1.4195768439870804E-2</c:v>
                </c:pt>
                <c:pt idx="823">
                  <c:v>1.4229284049806168E-2</c:v>
                </c:pt>
                <c:pt idx="824">
                  <c:v>1.424610514771274E-2</c:v>
                </c:pt>
                <c:pt idx="825">
                  <c:v>1.4271165529082808E-2</c:v>
                </c:pt>
                <c:pt idx="826">
                  <c:v>1.4296153928672339E-2</c:v>
                </c:pt>
                <c:pt idx="827">
                  <c:v>1.4321070346481335E-2</c:v>
                </c:pt>
                <c:pt idx="828">
                  <c:v>1.434591478258973E-2</c:v>
                </c:pt>
                <c:pt idx="829">
                  <c:v>1.4370636722924601E-2</c:v>
                </c:pt>
                <c:pt idx="830">
                  <c:v>1.439493581414375E-2</c:v>
                </c:pt>
                <c:pt idx="831">
                  <c:v>1.4418761542094316E-2</c:v>
                </c:pt>
                <c:pt idx="832">
                  <c:v>1.4442113906936171E-2</c:v>
                </c:pt>
                <c:pt idx="833">
                  <c:v>1.4464992908349572E-2</c:v>
                </c:pt>
                <c:pt idx="834">
                  <c:v>1.4487398546334518E-2</c:v>
                </c:pt>
                <c:pt idx="835">
                  <c:v>1.4509330820811073E-2</c:v>
                </c:pt>
                <c:pt idx="836">
                  <c:v>1.4530789731699301E-2</c:v>
                </c:pt>
                <c:pt idx="837">
                  <c:v>1.455177527883933E-2</c:v>
                </c:pt>
                <c:pt idx="838">
                  <c:v>1.4572287462311095E-2</c:v>
                </c:pt>
                <c:pt idx="839">
                  <c:v>1.4592326281794854E-2</c:v>
                </c:pt>
                <c:pt idx="840">
                  <c:v>1.4611891737370541E-2</c:v>
                </c:pt>
                <c:pt idx="841">
                  <c:v>1.4630983828958222E-2</c:v>
                </c:pt>
                <c:pt idx="842">
                  <c:v>1.4649602556398023E-2</c:v>
                </c:pt>
                <c:pt idx="843">
                  <c:v>1.466774791976988E-2</c:v>
                </c:pt>
                <c:pt idx="844">
                  <c:v>1.468541991875405E-2</c:v>
                </c:pt>
                <c:pt idx="845">
                  <c:v>1.4702618553590341E-2</c:v>
                </c:pt>
                <c:pt idx="846">
                  <c:v>1.4719343823959008E-2</c:v>
                </c:pt>
                <c:pt idx="847">
                  <c:v>1.4735595729939988E-2</c:v>
                </c:pt>
                <c:pt idx="848">
                  <c:v>1.4751374271373408E-2</c:v>
                </c:pt>
                <c:pt idx="849">
                  <c:v>1.4766679448339204E-2</c:v>
                </c:pt>
                <c:pt idx="850">
                  <c:v>1.4781511260517632E-2</c:v>
                </c:pt>
                <c:pt idx="851">
                  <c:v>1.4795869708148501E-2</c:v>
                </c:pt>
                <c:pt idx="852">
                  <c:v>1.4809754790912066E-2</c:v>
                </c:pt>
                <c:pt idx="853">
                  <c:v>1.48231665089682E-2</c:v>
                </c:pt>
                <c:pt idx="854">
                  <c:v>1.4836104862157029E-2</c:v>
                </c:pt>
                <c:pt idx="855">
                  <c:v>1.4848569850478555E-2</c:v>
                </c:pt>
                <c:pt idx="856">
                  <c:v>1.4860561473772904E-2</c:v>
                </c:pt>
                <c:pt idx="857">
                  <c:v>1.4872079732120014E-2</c:v>
                </c:pt>
                <c:pt idx="858">
                  <c:v>1.4883124625439947E-2</c:v>
                </c:pt>
                <c:pt idx="859">
                  <c:v>1.4893696153572833E-2</c:v>
                </c:pt>
                <c:pt idx="860">
                  <c:v>1.4903794316678542E-2</c:v>
                </c:pt>
                <c:pt idx="861">
                  <c:v>1.4917662932474318E-2</c:v>
                </c:pt>
                <c:pt idx="862">
                  <c:v>1.4925713859632594E-2</c:v>
                </c:pt>
                <c:pt idx="863">
                  <c:v>1.4934257388450334E-2</c:v>
                </c:pt>
                <c:pt idx="864">
                  <c:v>1.4942327513098874E-2</c:v>
                </c:pt>
                <c:pt idx="865">
                  <c:v>1.4949924233444989E-2</c:v>
                </c:pt>
                <c:pt idx="866">
                  <c:v>1.4957047549435387E-2</c:v>
                </c:pt>
                <c:pt idx="867">
                  <c:v>1.4963697460990133E-2</c:v>
                </c:pt>
                <c:pt idx="868">
                  <c:v>1.4969873968055936E-2</c:v>
                </c:pt>
                <c:pt idx="869">
                  <c:v>1.4975577070472923E-2</c:v>
                </c:pt>
                <c:pt idx="870">
                  <c:v>1.498080676826774E-2</c:v>
                </c:pt>
                <c:pt idx="871">
                  <c:v>1.4985563061280516E-2</c:v>
                </c:pt>
                <c:pt idx="872">
                  <c:v>1.498984594956454E-2</c:v>
                </c:pt>
                <c:pt idx="873">
                  <c:v>1.4993655433013231E-2</c:v>
                </c:pt>
                <c:pt idx="874">
                  <c:v>1.4997654746826683E-2</c:v>
                </c:pt>
                <c:pt idx="875">
                  <c:v>1.4999854185191452E-2</c:v>
                </c:pt>
                <c:pt idx="876">
                  <c:v>1.5002243453894337E-2</c:v>
                </c:pt>
                <c:pt idx="877">
                  <c:v>1.5004159317602017E-2</c:v>
                </c:pt>
                <c:pt idx="878">
                  <c:v>1.5005601776261202E-2</c:v>
                </c:pt>
                <c:pt idx="879">
                  <c:v>1.5006138450646134E-2</c:v>
                </c:pt>
                <c:pt idx="880">
                  <c:v>1.500650170471296E-2</c:v>
                </c:pt>
                <c:pt idx="881">
                  <c:v>1.5006874906182688E-2</c:v>
                </c:pt>
                <c:pt idx="882">
                  <c:v>1.5007625604326336E-2</c:v>
                </c:pt>
                <c:pt idx="883">
                  <c:v>1.500875379922384E-2</c:v>
                </c:pt>
                <c:pt idx="884">
                  <c:v>1.50102594908752E-2</c:v>
                </c:pt>
                <c:pt idx="885">
                  <c:v>1.5012142679120544E-2</c:v>
                </c:pt>
                <c:pt idx="886">
                  <c:v>1.5014403364119744E-2</c:v>
                </c:pt>
                <c:pt idx="887">
                  <c:v>1.5017041545952736E-2</c:v>
                </c:pt>
                <c:pt idx="888">
                  <c:v>1.5020057224379713E-2</c:v>
                </c:pt>
                <c:pt idx="889">
                  <c:v>1.5023450399560545E-2</c:v>
                </c:pt>
                <c:pt idx="890">
                  <c:v>1.502722107157517E-2</c:v>
                </c:pt>
                <c:pt idx="891">
                  <c:v>1.5031369240263714E-2</c:v>
                </c:pt>
                <c:pt idx="892">
                  <c:v>1.5035894905865987E-2</c:v>
                </c:pt>
                <c:pt idx="893">
                  <c:v>1.504079806814218E-2</c:v>
                </c:pt>
                <c:pt idx="894">
                  <c:v>1.5046078727252166E-2</c:v>
                </c:pt>
                <c:pt idx="895">
                  <c:v>1.5051736883195943E-2</c:v>
                </c:pt>
                <c:pt idx="896">
                  <c:v>1.5057772535973513E-2</c:v>
                </c:pt>
                <c:pt idx="897">
                  <c:v>1.5064185685584874E-2</c:v>
                </c:pt>
                <c:pt idx="898">
                  <c:v>1.50709763321899E-2</c:v>
                </c:pt>
                <c:pt idx="899">
                  <c:v>1.5078144475548783E-2</c:v>
                </c:pt>
                <c:pt idx="900">
                  <c:v>1.5085690115981265E-2</c:v>
                </c:pt>
                <c:pt idx="901">
                  <c:v>1.509361325324754E-2</c:v>
                </c:pt>
                <c:pt idx="902">
                  <c:v>1.5101913887587415E-2</c:v>
                </c:pt>
                <c:pt idx="903">
                  <c:v>1.5110592018920954E-2</c:v>
                </c:pt>
                <c:pt idx="904">
                  <c:v>1.5119647647168222E-2</c:v>
                </c:pt>
                <c:pt idx="905">
                  <c:v>1.5129080772569026E-2</c:v>
                </c:pt>
                <c:pt idx="906">
                  <c:v>1.513889139504343E-2</c:v>
                </c:pt>
                <c:pt idx="907">
                  <c:v>1.5149079514591435E-2</c:v>
                </c:pt>
                <c:pt idx="908">
                  <c:v>1.5159645131372912E-2</c:v>
                </c:pt>
                <c:pt idx="909">
                  <c:v>1.5170588245307925E-2</c:v>
                </c:pt>
                <c:pt idx="910">
                  <c:v>1.5181908856396475E-2</c:v>
                </c:pt>
                <c:pt idx="911">
                  <c:v>1.5193606964718498E-2</c:v>
                </c:pt>
                <c:pt idx="912">
                  <c:v>1.5205682570433865E-2</c:v>
                </c:pt>
                <c:pt idx="913">
                  <c:v>1.5221176041699813E-2</c:v>
                </c:pt>
                <c:pt idx="914">
                  <c:v>1.5232830032791966E-2</c:v>
                </c:pt>
                <c:pt idx="915">
                  <c:v>1.5246092058749383E-2</c:v>
                </c:pt>
                <c:pt idx="916">
                  <c:v>1.5259731582180081E-2</c:v>
                </c:pt>
                <c:pt idx="917">
                  <c:v>1.5273748603163995E-2</c:v>
                </c:pt>
                <c:pt idx="918">
                  <c:v>1.5288143121701125E-2</c:v>
                </c:pt>
                <c:pt idx="919">
                  <c:v>1.5302915137711537E-2</c:v>
                </c:pt>
                <c:pt idx="920">
                  <c:v>1.5318064651435037E-2</c:v>
                </c:pt>
                <c:pt idx="921">
                  <c:v>1.5333591662711754E-2</c:v>
                </c:pt>
                <c:pt idx="922">
                  <c:v>1.5349496171861432E-2</c:v>
                </c:pt>
                <c:pt idx="923">
                  <c:v>1.5365778178724199E-2</c:v>
                </c:pt>
                <c:pt idx="924">
                  <c:v>1.5382437683539862E-2</c:v>
                </c:pt>
                <c:pt idx="925">
                  <c:v>1.5399474686068615E-2</c:v>
                </c:pt>
                <c:pt idx="926">
                  <c:v>1.5416889186550264E-2</c:v>
                </c:pt>
                <c:pt idx="927">
                  <c:v>1.5434681185064747E-2</c:v>
                </c:pt>
                <c:pt idx="928">
                  <c:v>1.5452850681691999E-2</c:v>
                </c:pt>
                <c:pt idx="929">
                  <c:v>1.5476766154094435E-2</c:v>
                </c:pt>
                <c:pt idx="930">
                  <c:v>1.5501975705500826E-2</c:v>
                </c:pt>
                <c:pt idx="931">
                  <c:v>1.5515208351359888E-2</c:v>
                </c:pt>
                <c:pt idx="932">
                  <c:v>1.5534958974017243E-2</c:v>
                </c:pt>
                <c:pt idx="933">
                  <c:v>1.5554636750145789E-2</c:v>
                </c:pt>
                <c:pt idx="934">
                  <c:v>1.557412377853673E-2</c:v>
                </c:pt>
                <c:pt idx="935">
                  <c:v>1.5593420058950258E-2</c:v>
                </c:pt>
                <c:pt idx="936">
                  <c:v>1.5612525591466309E-2</c:v>
                </c:pt>
                <c:pt idx="937">
                  <c:v>1.5631440376084882E-2</c:v>
                </c:pt>
                <c:pt idx="938">
                  <c:v>1.5650164412646106E-2</c:v>
                </c:pt>
                <c:pt idx="939">
                  <c:v>1.5668697701309853E-2</c:v>
                </c:pt>
                <c:pt idx="940">
                  <c:v>1.5687040241756378E-2</c:v>
                </c:pt>
                <c:pt idx="941">
                  <c:v>1.5705192034305426E-2</c:v>
                </c:pt>
                <c:pt idx="942">
                  <c:v>1.5723153078717189E-2</c:v>
                </c:pt>
                <c:pt idx="943">
                  <c:v>1.5740923374991667E-2</c:v>
                </c:pt>
                <c:pt idx="944">
                  <c:v>1.5758502923048923E-2</c:v>
                </c:pt>
                <c:pt idx="945">
                  <c:v>1.5775891722968893E-2</c:v>
                </c:pt>
                <c:pt idx="946">
                  <c:v>1.5793089774671643E-2</c:v>
                </c:pt>
                <c:pt idx="947">
                  <c:v>1.581009707815717E-2</c:v>
                </c:pt>
                <c:pt idx="948">
                  <c:v>1.5826913633345541E-2</c:v>
                </c:pt>
                <c:pt idx="949">
                  <c:v>1.5843539440236754E-2</c:v>
                </c:pt>
                <c:pt idx="950">
                  <c:v>1.5859974498830809E-2</c:v>
                </c:pt>
                <c:pt idx="951">
                  <c:v>1.5876218809127707E-2</c:v>
                </c:pt>
                <c:pt idx="952">
                  <c:v>1.5892272371047511E-2</c:v>
                </c:pt>
                <c:pt idx="953">
                  <c:v>1.590813518443035E-2</c:v>
                </c:pt>
                <c:pt idx="954">
                  <c:v>1.5923807249516031E-2</c:v>
                </c:pt>
                <c:pt idx="955">
                  <c:v>1.5939288566144683E-2</c:v>
                </c:pt>
                <c:pt idx="956">
                  <c:v>1.5954579134316305E-2</c:v>
                </c:pt>
                <c:pt idx="957">
                  <c:v>1.5969678954030897E-2</c:v>
                </c:pt>
                <c:pt idx="958">
                  <c:v>1.5984588025048652E-2</c:v>
                </c:pt>
                <c:pt idx="959">
                  <c:v>1.5999306347689313E-2</c:v>
                </c:pt>
                <c:pt idx="960">
                  <c:v>1.6013833921713072E-2</c:v>
                </c:pt>
                <c:pt idx="961">
                  <c:v>1.602817074711993E-2</c:v>
                </c:pt>
                <c:pt idx="962">
                  <c:v>1.6042316824069758E-2</c:v>
                </c:pt>
                <c:pt idx="963">
                  <c:v>1.6056272152162876E-2</c:v>
                </c:pt>
                <c:pt idx="964">
                  <c:v>1.6077816563457858E-2</c:v>
                </c:pt>
                <c:pt idx="965">
                  <c:v>1.6088171383499272E-2</c:v>
                </c:pt>
                <c:pt idx="966">
                  <c:v>1.609699364474082E-2</c:v>
                </c:pt>
                <c:pt idx="967">
                  <c:v>1.6110185978206459E-2</c:v>
                </c:pt>
                <c:pt idx="968">
                  <c:v>1.6123187562815389E-2</c:v>
                </c:pt>
                <c:pt idx="969">
                  <c:v>1.6135998398807416E-2</c:v>
                </c:pt>
                <c:pt idx="970">
                  <c:v>1.6148618485942734E-2</c:v>
                </c:pt>
                <c:pt idx="971">
                  <c:v>1.6161047824301278E-2</c:v>
                </c:pt>
                <c:pt idx="972">
                  <c:v>1.6173286413803112E-2</c:v>
                </c:pt>
                <c:pt idx="973">
                  <c:v>1.6185334254528172E-2</c:v>
                </c:pt>
                <c:pt idx="974">
                  <c:v>1.6197191346316586E-2</c:v>
                </c:pt>
                <c:pt idx="975">
                  <c:v>1.6208857689248291E-2</c:v>
                </c:pt>
                <c:pt idx="976">
                  <c:v>1.6220333283323285E-2</c:v>
                </c:pt>
                <c:pt idx="977">
                  <c:v>1.6231618128461633E-2</c:v>
                </c:pt>
                <c:pt idx="978">
                  <c:v>1.6247309367617646E-2</c:v>
                </c:pt>
                <c:pt idx="979">
                  <c:v>1.6253615571848457E-2</c:v>
                </c:pt>
                <c:pt idx="980">
                  <c:v>1.6264328170176867E-2</c:v>
                </c:pt>
                <c:pt idx="981">
                  <c:v>1.627485001940876E-2</c:v>
                </c:pt>
                <c:pt idx="982">
                  <c:v>1.628847303680292E-2</c:v>
                </c:pt>
                <c:pt idx="983">
                  <c:v>1.6295321470902735E-2</c:v>
                </c:pt>
                <c:pt idx="984">
                  <c:v>1.6305271073164818E-2</c:v>
                </c:pt>
                <c:pt idx="985">
                  <c:v>1.6315029926250446E-2</c:v>
                </c:pt>
                <c:pt idx="986">
                  <c:v>1.6324598030399429E-2</c:v>
                </c:pt>
                <c:pt idx="987">
                  <c:v>1.6333975385451893E-2</c:v>
                </c:pt>
                <c:pt idx="988">
                  <c:v>1.6343161991327904E-2</c:v>
                </c:pt>
                <c:pt idx="989">
                  <c:v>1.6352157848107396E-2</c:v>
                </c:pt>
                <c:pt idx="990">
                  <c:v>1.6360962955870306E-2</c:v>
                </c:pt>
                <c:pt idx="991">
                  <c:v>1.6369577314376826E-2</c:v>
                </c:pt>
                <c:pt idx="992">
                  <c:v>1.6378000923786828E-2</c:v>
                </c:pt>
                <c:pt idx="993">
                  <c:v>1.6386233784020376E-2</c:v>
                </c:pt>
                <c:pt idx="994">
                  <c:v>1.6394275894997534E-2</c:v>
                </c:pt>
                <c:pt idx="995">
                  <c:v>1.6402127256878174E-2</c:v>
                </c:pt>
                <c:pt idx="996">
                  <c:v>1.6409787869502424E-2</c:v>
                </c:pt>
                <c:pt idx="997">
                  <c:v>1.6417257732950219E-2</c:v>
                </c:pt>
                <c:pt idx="998">
                  <c:v>1.6424536847061688E-2</c:v>
                </c:pt>
                <c:pt idx="999">
                  <c:v>1.6431625212076639E-2</c:v>
                </c:pt>
                <c:pt idx="1000">
                  <c:v>1.6438522827755264E-2</c:v>
                </c:pt>
                <c:pt idx="1001">
                  <c:v>1.6445229694177499E-2</c:v>
                </c:pt>
                <c:pt idx="1002">
                  <c:v>1.6451745811343343E-2</c:v>
                </c:pt>
                <c:pt idx="1003">
                  <c:v>1.6458071179172862E-2</c:v>
                </c:pt>
                <c:pt idx="1004">
                  <c:v>1.6464205797825926E-2</c:v>
                </c:pt>
                <c:pt idx="1005">
                  <c:v>1.6470149666982792E-2</c:v>
                </c:pt>
                <c:pt idx="1006">
                  <c:v>1.6475902786963204E-2</c:v>
                </c:pt>
                <c:pt idx="1007">
                  <c:v>1.6481465157607289E-2</c:v>
                </c:pt>
                <c:pt idx="1008">
                  <c:v>1.6486836778835112E-2</c:v>
                </c:pt>
                <c:pt idx="1009">
                  <c:v>1.6492017650886481E-2</c:v>
                </c:pt>
                <c:pt idx="1010">
                  <c:v>1.6497007773521588E-2</c:v>
                </c:pt>
                <c:pt idx="1011">
                  <c:v>1.6501807146740433E-2</c:v>
                </c:pt>
                <c:pt idx="1012">
                  <c:v>1.6506415770622951E-2</c:v>
                </c:pt>
                <c:pt idx="1013">
                  <c:v>1.6510833645169143E-2</c:v>
                </c:pt>
                <c:pt idx="1014">
                  <c:v>1.6515060770299073E-2</c:v>
                </c:pt>
                <c:pt idx="1015">
                  <c:v>1.651909714601274E-2</c:v>
                </c:pt>
                <c:pt idx="1016">
                  <c:v>1.6524877261638871E-2</c:v>
                </c:pt>
                <c:pt idx="1017">
                  <c:v>1.6528491761458319E-2</c:v>
                </c:pt>
                <c:pt idx="1018">
                  <c:v>1.6530061776895977E-2</c:v>
                </c:pt>
                <c:pt idx="1019">
                  <c:v>1.6533335155104467E-2</c:v>
                </c:pt>
                <c:pt idx="1020">
                  <c:v>1.6536417783896695E-2</c:v>
                </c:pt>
                <c:pt idx="1021">
                  <c:v>1.6539309663112789E-2</c:v>
                </c:pt>
                <c:pt idx="1022">
                  <c:v>1.6542010792992556E-2</c:v>
                </c:pt>
                <c:pt idx="1023">
                  <c:v>1.6544521173456062E-2</c:v>
                </c:pt>
                <c:pt idx="1024">
                  <c:v>1.6546840804503304E-2</c:v>
                </c:pt>
                <c:pt idx="1025">
                  <c:v>1.6548969686134285E-2</c:v>
                </c:pt>
                <c:pt idx="1026">
                  <c:v>1.6550907818269067E-2</c:v>
                </c:pt>
                <c:pt idx="1027">
                  <c:v>1.6552655200987587E-2</c:v>
                </c:pt>
                <c:pt idx="1028">
                  <c:v>1.6554211834289845E-2</c:v>
                </c:pt>
                <c:pt idx="1029">
                  <c:v>1.6557451883207008E-2</c:v>
                </c:pt>
                <c:pt idx="1030">
                  <c:v>1.6556752852405765E-2</c:v>
                </c:pt>
                <c:pt idx="1031">
                  <c:v>1.65577372373793E-2</c:v>
                </c:pt>
                <c:pt idx="1032">
                  <c:v>1.65585308727767E-2</c:v>
                </c:pt>
                <c:pt idx="1033">
                  <c:v>1.6559133758837774E-2</c:v>
                </c:pt>
                <c:pt idx="1034">
                  <c:v>1.655954589540265E-2</c:v>
                </c:pt>
                <c:pt idx="1035">
                  <c:v>1.6559767282471327E-2</c:v>
                </c:pt>
                <c:pt idx="1036">
                  <c:v>1.6559798497501887E-2</c:v>
                </c:pt>
                <c:pt idx="1037">
                  <c:v>1.6559735385026642E-2</c:v>
                </c:pt>
                <c:pt idx="1038">
                  <c:v>1.6559651272070042E-2</c:v>
                </c:pt>
                <c:pt idx="1039">
                  <c:v>1.6559546158632088E-2</c:v>
                </c:pt>
                <c:pt idx="1040">
                  <c:v>1.6559420044632844E-2</c:v>
                </c:pt>
                <c:pt idx="1041">
                  <c:v>1.6559272929992375E-2</c:v>
                </c:pt>
                <c:pt idx="1042">
                  <c:v>1.6559104815030423E-2</c:v>
                </c:pt>
                <c:pt idx="1043">
                  <c:v>1.655891569934731E-2</c:v>
                </c:pt>
                <c:pt idx="1044">
                  <c:v>1.6558705583342714E-2</c:v>
                </c:pt>
                <c:pt idx="1045">
                  <c:v>1.6558474466616957E-2</c:v>
                </c:pt>
                <c:pt idx="1046">
                  <c:v>1.6558222349489782E-2</c:v>
                </c:pt>
                <c:pt idx="1047">
                  <c:v>1.6557949231721381E-2</c:v>
                </c:pt>
                <c:pt idx="1048">
                  <c:v>1.6557655113551561E-2</c:v>
                </c:pt>
                <c:pt idx="1049">
                  <c:v>1.6557339994740516E-2</c:v>
                </c:pt>
                <c:pt idx="1050">
                  <c:v>1.6557003875448117E-2</c:v>
                </c:pt>
                <c:pt idx="1051">
                  <c:v>1.6556646755594429E-2</c:v>
                </c:pt>
                <c:pt idx="1052">
                  <c:v>1.6556268635259386E-2</c:v>
                </c:pt>
                <c:pt idx="1053">
                  <c:v>1.6555869514363053E-2</c:v>
                </c:pt>
                <c:pt idx="1054">
                  <c:v>1.6555449392985366E-2</c:v>
                </c:pt>
                <c:pt idx="1055">
                  <c:v>1.655500827104639E-2</c:v>
                </c:pt>
                <c:pt idx="1056">
                  <c:v>1.6554546148626059E-2</c:v>
                </c:pt>
                <c:pt idx="1057">
                  <c:v>1.6554063025644439E-2</c:v>
                </c:pt>
                <c:pt idx="1058">
                  <c:v>1.6553558902101528E-2</c:v>
                </c:pt>
                <c:pt idx="1059">
                  <c:v>1.6553033778077264E-2</c:v>
                </c:pt>
                <c:pt idx="1060">
                  <c:v>1.655248765349171E-2</c:v>
                </c:pt>
                <c:pt idx="1061">
                  <c:v>1.6551920528344866E-2</c:v>
                </c:pt>
                <c:pt idx="1062">
                  <c:v>1.6551332402796604E-2</c:v>
                </c:pt>
                <c:pt idx="1063">
                  <c:v>1.6550723276607116E-2</c:v>
                </c:pt>
                <c:pt idx="1064">
                  <c:v>1.6550093149936274E-2</c:v>
                </c:pt>
                <c:pt idx="1065">
                  <c:v>1.6549442022704142E-2</c:v>
                </c:pt>
                <c:pt idx="1066">
                  <c:v>1.6548769894990656E-2</c:v>
                </c:pt>
                <c:pt idx="1067">
                  <c:v>1.654807676671588E-2</c:v>
                </c:pt>
                <c:pt idx="1068">
                  <c:v>1.654736263795975E-2</c:v>
                </c:pt>
                <c:pt idx="1069">
                  <c:v>1.6546627508642331E-2</c:v>
                </c:pt>
                <c:pt idx="1070">
                  <c:v>1.6545871378843557E-2</c:v>
                </c:pt>
                <c:pt idx="1071">
                  <c:v>1.6545094248403558E-2</c:v>
                </c:pt>
                <c:pt idx="1072">
                  <c:v>1.6544296117562141E-2</c:v>
                </c:pt>
                <c:pt idx="1073">
                  <c:v>1.6543476986079497E-2</c:v>
                </c:pt>
                <c:pt idx="1074">
                  <c:v>1.6542636854195436E-2</c:v>
                </c:pt>
                <c:pt idx="1075">
                  <c:v>1.6541775721750085E-2</c:v>
                </c:pt>
                <c:pt idx="1076">
                  <c:v>1.6540893588743444E-2</c:v>
                </c:pt>
                <c:pt idx="1077">
                  <c:v>1.6539990455175513E-2</c:v>
                </c:pt>
                <c:pt idx="1078">
                  <c:v>1.65390663212861E-2</c:v>
                </c:pt>
                <c:pt idx="1079">
                  <c:v>1.6538121186675525E-2</c:v>
                </c:pt>
                <c:pt idx="1080">
                  <c:v>1.6537155051583596E-2</c:v>
                </c:pt>
                <c:pt idx="1081">
                  <c:v>1.6536167916010314E-2</c:v>
                </c:pt>
                <c:pt idx="1082">
                  <c:v>1.6535159779875741E-2</c:v>
                </c:pt>
                <c:pt idx="1083">
                  <c:v>1.6534130643179878E-2</c:v>
                </c:pt>
                <c:pt idx="1084">
                  <c:v>1.6534294765639501E-2</c:v>
                </c:pt>
                <c:pt idx="1085">
                  <c:v>1.6532009368264156E-2</c:v>
                </c:pt>
                <c:pt idx="1086">
                  <c:v>1.6530917229964359E-2</c:v>
                </c:pt>
                <c:pt idx="1087">
                  <c:v>1.6529804091343081E-2</c:v>
                </c:pt>
                <c:pt idx="1088">
                  <c:v>1.6528669952000641E-2</c:v>
                </c:pt>
                <c:pt idx="1089">
                  <c:v>1.6527514812176847E-2</c:v>
                </c:pt>
                <c:pt idx="1090">
                  <c:v>1.6526338671871699E-2</c:v>
                </c:pt>
                <c:pt idx="1091">
                  <c:v>1.6525141531005261E-2</c:v>
                </c:pt>
                <c:pt idx="1092">
                  <c:v>1.6523923389657469E-2</c:v>
                </c:pt>
                <c:pt idx="1093">
                  <c:v>1.6522684247828323E-2</c:v>
                </c:pt>
                <c:pt idx="1094">
                  <c:v>1.6521424105357951E-2</c:v>
                </c:pt>
                <c:pt idx="1095">
                  <c:v>1.6520142962406226E-2</c:v>
                </c:pt>
                <c:pt idx="1096">
                  <c:v>1.6518840818973146E-2</c:v>
                </c:pt>
                <c:pt idx="1097">
                  <c:v>1.6517517674978777E-2</c:v>
                </c:pt>
                <c:pt idx="1098">
                  <c:v>1.6516173530503053E-2</c:v>
                </c:pt>
                <c:pt idx="1099">
                  <c:v>1.6514808385545976E-2</c:v>
                </c:pt>
                <c:pt idx="1100">
                  <c:v>1.6513422240027609E-2</c:v>
                </c:pt>
                <c:pt idx="1101">
                  <c:v>1.6512015093868015E-2</c:v>
                </c:pt>
                <c:pt idx="1102">
                  <c:v>1.6510586947307004E-2</c:v>
                </c:pt>
                <c:pt idx="1103">
                  <c:v>1.6509137800184703E-2</c:v>
                </c:pt>
                <c:pt idx="1104">
                  <c:v>1.6507667652581048E-2</c:v>
                </c:pt>
                <c:pt idx="1105">
                  <c:v>1.650617650449604E-2</c:v>
                </c:pt>
                <c:pt idx="1106">
                  <c:v>1.6504664355769805E-2</c:v>
                </c:pt>
                <c:pt idx="1107">
                  <c:v>1.6503131206642152E-2</c:v>
                </c:pt>
                <c:pt idx="1108">
                  <c:v>1.6501577056873273E-2</c:v>
                </c:pt>
                <c:pt idx="1109">
                  <c:v>1.6500001906782913E-2</c:v>
                </c:pt>
                <c:pt idx="1110">
                  <c:v>1.649840575597139E-2</c:v>
                </c:pt>
                <c:pt idx="1111">
                  <c:v>1.649678860475845E-2</c:v>
                </c:pt>
                <c:pt idx="1112">
                  <c:v>1.649515045298422E-2</c:v>
                </c:pt>
                <c:pt idx="1113">
                  <c:v>1.6493491300728635E-2</c:v>
                </c:pt>
                <c:pt idx="1114">
                  <c:v>1.6491811147911761E-2</c:v>
                </c:pt>
                <c:pt idx="1115">
                  <c:v>1.6490109994533597E-2</c:v>
                </c:pt>
                <c:pt idx="1116">
                  <c:v>1.6488387840754015E-2</c:v>
                </c:pt>
                <c:pt idx="1117">
                  <c:v>1.6486644686413143E-2</c:v>
                </c:pt>
                <c:pt idx="1118">
                  <c:v>1.6484880531590917E-2</c:v>
                </c:pt>
                <c:pt idx="1119">
                  <c:v>1.6483095376207402E-2</c:v>
                </c:pt>
                <c:pt idx="1120">
                  <c:v>1.6481289220262596E-2</c:v>
                </c:pt>
                <c:pt idx="1121">
                  <c:v>1.6479935647708555E-2</c:v>
                </c:pt>
                <c:pt idx="1122">
                  <c:v>1.6477836024160197E-2</c:v>
                </c:pt>
                <c:pt idx="1123">
                  <c:v>1.6475960694934955E-2</c:v>
                </c:pt>
                <c:pt idx="1124">
                  <c:v>1.6474064363309893E-2</c:v>
                </c:pt>
                <c:pt idx="1125">
                  <c:v>1.6472147029231721E-2</c:v>
                </c:pt>
                <c:pt idx="1126">
                  <c:v>1.6470208692780375E-2</c:v>
                </c:pt>
                <c:pt idx="1127">
                  <c:v>1.6468249353902564E-2</c:v>
                </c:pt>
                <c:pt idx="1128">
                  <c:v>1.6466269012571644E-2</c:v>
                </c:pt>
                <c:pt idx="1129">
                  <c:v>1.6464267668867549E-2</c:v>
                </c:pt>
                <c:pt idx="1130">
                  <c:v>1.6462245322763636E-2</c:v>
                </c:pt>
                <c:pt idx="1131">
                  <c:v>1.6460201974233257E-2</c:v>
                </c:pt>
                <c:pt idx="1132">
                  <c:v>1.645813762330306E-2</c:v>
                </c:pt>
                <c:pt idx="1133">
                  <c:v>1.6456052269946397E-2</c:v>
                </c:pt>
                <c:pt idx="1134">
                  <c:v>1.6452285010029044E-2</c:v>
                </c:pt>
                <c:pt idx="1135">
                  <c:v>1.645181855606026E-2</c:v>
                </c:pt>
                <c:pt idx="1136">
                  <c:v>1.6449670195530786E-2</c:v>
                </c:pt>
                <c:pt idx="1137">
                  <c:v>1.6447500832574846E-2</c:v>
                </c:pt>
                <c:pt idx="1138">
                  <c:v>1.6445310467192442E-2</c:v>
                </c:pt>
                <c:pt idx="1139">
                  <c:v>1.6443099099436864E-2</c:v>
                </c:pt>
                <c:pt idx="1140">
                  <c:v>1.6440866729281467E-2</c:v>
                </c:pt>
                <c:pt idx="1141">
                  <c:v>1.6438613356752896E-2</c:v>
                </c:pt>
                <c:pt idx="1142">
                  <c:v>1.643633898179786E-2</c:v>
                </c:pt>
                <c:pt idx="1143">
                  <c:v>1.6434043604443005E-2</c:v>
                </c:pt>
                <c:pt idx="1144">
                  <c:v>1.6431727224714976E-2</c:v>
                </c:pt>
                <c:pt idx="1145">
                  <c:v>1.6429389842560482E-2</c:v>
                </c:pt>
                <c:pt idx="1146">
                  <c:v>1.642703145805946E-2</c:v>
                </c:pt>
                <c:pt idx="1147">
                  <c:v>1.6424652071131973E-2</c:v>
                </c:pt>
                <c:pt idx="1148">
                  <c:v>1.6422251681831312E-2</c:v>
                </c:pt>
                <c:pt idx="1149">
                  <c:v>1.6419830290157478E-2</c:v>
                </c:pt>
                <c:pt idx="1150">
                  <c:v>1.6417387896083824E-2</c:v>
                </c:pt>
                <c:pt idx="1151">
                  <c:v>1.641492449961035E-2</c:v>
                </c:pt>
                <c:pt idx="1152">
                  <c:v>1.6412440100763703E-2</c:v>
                </c:pt>
                <c:pt idx="1153">
                  <c:v>1.6409934699570528E-2</c:v>
                </c:pt>
                <c:pt idx="1154">
                  <c:v>1.6407408295950887E-2</c:v>
                </c:pt>
                <c:pt idx="1155">
                  <c:v>1.6404860889958073E-2</c:v>
                </c:pt>
                <c:pt idx="1156">
                  <c:v>1.6402292481592085E-2</c:v>
                </c:pt>
                <c:pt idx="1157">
                  <c:v>1.6399703070852922E-2</c:v>
                </c:pt>
                <c:pt idx="1158">
                  <c:v>1.6397092657713941E-2</c:v>
                </c:pt>
                <c:pt idx="1159">
                  <c:v>1.6394461242228431E-2</c:v>
                </c:pt>
                <c:pt idx="1160">
                  <c:v>1.6391808824343101E-2</c:v>
                </c:pt>
                <c:pt idx="1161">
                  <c:v>1.6389135404111244E-2</c:v>
                </c:pt>
                <c:pt idx="1162">
                  <c:v>1.6386440981506212E-2</c:v>
                </c:pt>
                <c:pt idx="1163">
                  <c:v>1.6383725556528006E-2</c:v>
                </c:pt>
                <c:pt idx="1164">
                  <c:v>1.6380989129176626E-2</c:v>
                </c:pt>
                <c:pt idx="1165">
                  <c:v>1.6378231699452073E-2</c:v>
                </c:pt>
                <c:pt idx="1166">
                  <c:v>1.637545326738099E-2</c:v>
                </c:pt>
                <c:pt idx="1167">
                  <c:v>1.6372653832936734E-2</c:v>
                </c:pt>
                <c:pt idx="1168">
                  <c:v>1.636983339614595E-2</c:v>
                </c:pt>
                <c:pt idx="1169">
                  <c:v>1.6366991956981991E-2</c:v>
                </c:pt>
                <c:pt idx="1170">
                  <c:v>1.6364129515444858E-2</c:v>
                </c:pt>
                <c:pt idx="1171">
                  <c:v>1.6361246071561197E-2</c:v>
                </c:pt>
                <c:pt idx="1172">
                  <c:v>1.6358341625331008E-2</c:v>
                </c:pt>
                <c:pt idx="1173">
                  <c:v>1.6353994916045167E-2</c:v>
                </c:pt>
                <c:pt idx="1174">
                  <c:v>1.6350881514188842E-2</c:v>
                </c:pt>
                <c:pt idx="1175">
                  <c:v>1.6347908330249794E-2</c:v>
                </c:pt>
                <c:pt idx="1176">
                  <c:v>1.6344914145909328E-2</c:v>
                </c:pt>
                <c:pt idx="1177">
                  <c:v>1.6341898960927637E-2</c:v>
                </c:pt>
                <c:pt idx="1178">
                  <c:v>1.6338862775624463E-2</c:v>
                </c:pt>
                <c:pt idx="1179">
                  <c:v>1.6335805589680064E-2</c:v>
                </c:pt>
                <c:pt idx="1180">
                  <c:v>1.6332727403414182E-2</c:v>
                </c:pt>
                <c:pt idx="1181">
                  <c:v>1.6329628216507075E-2</c:v>
                </c:pt>
                <c:pt idx="1182">
                  <c:v>1.632650802919855E-2</c:v>
                </c:pt>
                <c:pt idx="1183">
                  <c:v>1.6323366841408671E-2</c:v>
                </c:pt>
                <c:pt idx="1184">
                  <c:v>1.6320204653057502E-2</c:v>
                </c:pt>
                <c:pt idx="1185">
                  <c:v>1.6317021464224979E-2</c:v>
                </c:pt>
                <c:pt idx="1186">
                  <c:v>1.6313817274991038E-2</c:v>
                </c:pt>
                <c:pt idx="1187">
                  <c:v>1.6310592085275744E-2</c:v>
                </c:pt>
                <c:pt idx="1188">
                  <c:v>1.6307345894919223E-2</c:v>
                </c:pt>
                <c:pt idx="1189">
                  <c:v>1.6303141363955831E-2</c:v>
                </c:pt>
                <c:pt idx="1190">
                  <c:v>1.6300790513001928E-2</c:v>
                </c:pt>
                <c:pt idx="1191">
                  <c:v>1.6297481321281282E-2</c:v>
                </c:pt>
                <c:pt idx="1192">
                  <c:v>1.6294151126441392E-2</c:v>
                </c:pt>
                <c:pt idx="1193">
                  <c:v>1.629079948315848E-2</c:v>
                </c:pt>
                <c:pt idx="1194">
                  <c:v>1.6287426050745069E-2</c:v>
                </c:pt>
                <c:pt idx="1195">
                  <c:v>1.6284030829121221E-2</c:v>
                </c:pt>
                <c:pt idx="1196">
                  <c:v>1.628061381844681E-2</c:v>
                </c:pt>
                <c:pt idx="1197">
                  <c:v>1.6277175018641898E-2</c:v>
                </c:pt>
                <c:pt idx="1198">
                  <c:v>1.6273714429706487E-2</c:v>
                </c:pt>
                <c:pt idx="1199">
                  <c:v>1.6270232051640576E-2</c:v>
                </c:pt>
                <c:pt idx="1200">
                  <c:v>1.6266727884364229E-2</c:v>
                </c:pt>
                <c:pt idx="1201">
                  <c:v>1.6263201928037319E-2</c:v>
                </c:pt>
                <c:pt idx="1202">
                  <c:v>1.6259654182659844E-2</c:v>
                </c:pt>
                <c:pt idx="1203">
                  <c:v>1.6256084648071933E-2</c:v>
                </c:pt>
                <c:pt idx="1204">
                  <c:v>1.6252493324353523E-2</c:v>
                </c:pt>
                <c:pt idx="1205">
                  <c:v>1.6248880211504613E-2</c:v>
                </c:pt>
                <c:pt idx="1206">
                  <c:v>1.6245245309605139E-2</c:v>
                </c:pt>
                <c:pt idx="1207">
                  <c:v>1.6241588618495229E-2</c:v>
                </c:pt>
                <c:pt idx="1208">
                  <c:v>1.6237910138494627E-2</c:v>
                </c:pt>
                <c:pt idx="1209">
                  <c:v>1.6234209869123717E-2</c:v>
                </c:pt>
                <c:pt idx="1210">
                  <c:v>1.6230487810702243E-2</c:v>
                </c:pt>
                <c:pt idx="1211">
                  <c:v>1.6226743963230206E-2</c:v>
                </c:pt>
                <c:pt idx="1212">
                  <c:v>1.6222978326547732E-2</c:v>
                </c:pt>
                <c:pt idx="1213">
                  <c:v>1.6219190900734759E-2</c:v>
                </c:pt>
                <c:pt idx="1214">
                  <c:v>1.6215381685871222E-2</c:v>
                </c:pt>
                <c:pt idx="1215">
                  <c:v>1.6211550681877185E-2</c:v>
                </c:pt>
                <c:pt idx="1216">
                  <c:v>1.6207697888832584E-2</c:v>
                </c:pt>
                <c:pt idx="1217">
                  <c:v>1.6203823306657483E-2</c:v>
                </c:pt>
                <c:pt idx="1218">
                  <c:v>1.6199926935271947E-2</c:v>
                </c:pt>
                <c:pt idx="1219">
                  <c:v>1.6196008774915782E-2</c:v>
                </c:pt>
                <c:pt idx="1220">
                  <c:v>1.6192068825349182E-2</c:v>
                </c:pt>
                <c:pt idx="1221">
                  <c:v>1.6188107086652082E-2</c:v>
                </c:pt>
                <c:pt idx="1222">
                  <c:v>1.6184123558904417E-2</c:v>
                </c:pt>
                <c:pt idx="1223">
                  <c:v>1.6180118242026253E-2</c:v>
                </c:pt>
                <c:pt idx="1224">
                  <c:v>1.6176091136097526E-2</c:v>
                </c:pt>
                <c:pt idx="1225">
                  <c:v>1.6171534934121823E-2</c:v>
                </c:pt>
                <c:pt idx="1226">
                  <c:v>1.6167388251764336E-2</c:v>
                </c:pt>
                <c:pt idx="1227">
                  <c:v>1.6163292665813955E-2</c:v>
                </c:pt>
                <c:pt idx="1228">
                  <c:v>1.6159175290573202E-2</c:v>
                </c:pt>
                <c:pt idx="1229">
                  <c:v>1.6155036126441757E-2</c:v>
                </c:pt>
                <c:pt idx="1230">
                  <c:v>1.6150875173099877E-2</c:v>
                </c:pt>
                <c:pt idx="1231">
                  <c:v>1.6146692430707432E-2</c:v>
                </c:pt>
                <c:pt idx="1232">
                  <c:v>1.6142487899104552E-2</c:v>
                </c:pt>
                <c:pt idx="1233">
                  <c:v>1.6138261578371171E-2</c:v>
                </c:pt>
                <c:pt idx="1234">
                  <c:v>1.6134013468747099E-2</c:v>
                </c:pt>
                <c:pt idx="1235">
                  <c:v>1.6129743569832655E-2</c:v>
                </c:pt>
                <c:pt idx="1236">
                  <c:v>1.6125451881947583E-2</c:v>
                </c:pt>
                <c:pt idx="1237">
                  <c:v>1.6121138404932012E-2</c:v>
                </c:pt>
                <c:pt idx="1238">
                  <c:v>1.611680313878594E-2</c:v>
                </c:pt>
                <c:pt idx="1239">
                  <c:v>1.6112446083589305E-2</c:v>
                </c:pt>
                <c:pt idx="1240">
                  <c:v>1.6106812138758642E-2</c:v>
                </c:pt>
                <c:pt idx="1241">
                  <c:v>1.6102405279880827E-2</c:v>
                </c:pt>
                <c:pt idx="1242">
                  <c:v>1.6097426897641043E-2</c:v>
                </c:pt>
                <c:pt idx="1243">
                  <c:v>1.609352619489357E-2</c:v>
                </c:pt>
                <c:pt idx="1244">
                  <c:v>1.6089053968704192E-2</c:v>
                </c:pt>
                <c:pt idx="1245">
                  <c:v>1.6084559953384314E-2</c:v>
                </c:pt>
                <c:pt idx="1246">
                  <c:v>1.6080044149173744E-2</c:v>
                </c:pt>
                <c:pt idx="1247">
                  <c:v>1.6075506555672803E-2</c:v>
                </c:pt>
                <c:pt idx="1248">
                  <c:v>1.6070947173201233E-2</c:v>
                </c:pt>
                <c:pt idx="1249">
                  <c:v>1.6066366001599164E-2</c:v>
                </c:pt>
                <c:pt idx="1250">
                  <c:v>1.6061763040866595E-2</c:v>
                </c:pt>
                <c:pt idx="1251">
                  <c:v>1.6057138291083461E-2</c:v>
                </c:pt>
                <c:pt idx="1252">
                  <c:v>1.6052491752249765E-2</c:v>
                </c:pt>
                <c:pt idx="1253">
                  <c:v>1.6047823424365504E-2</c:v>
                </c:pt>
                <c:pt idx="1254">
                  <c:v>1.6043133307350743E-2</c:v>
                </c:pt>
                <c:pt idx="1255">
                  <c:v>1.6038421401205483E-2</c:v>
                </c:pt>
                <c:pt idx="1256">
                  <c:v>1.6033687706009658E-2</c:v>
                </c:pt>
                <c:pt idx="1257">
                  <c:v>1.602893222176327E-2</c:v>
                </c:pt>
                <c:pt idx="1258">
                  <c:v>1.6024154948386382E-2</c:v>
                </c:pt>
                <c:pt idx="1259">
                  <c:v>1.601935588595893E-2</c:v>
                </c:pt>
                <c:pt idx="1260">
                  <c:v>1.6014535034400978E-2</c:v>
                </c:pt>
                <c:pt idx="1261">
                  <c:v>1.6009692393872399E-2</c:v>
                </c:pt>
                <c:pt idx="1262">
                  <c:v>1.600482796421332E-2</c:v>
                </c:pt>
                <c:pt idx="1263">
                  <c:v>1.5999941745503676E-2</c:v>
                </c:pt>
                <c:pt idx="1264">
                  <c:v>1.5995033737663533E-2</c:v>
                </c:pt>
                <c:pt idx="1265">
                  <c:v>1.5990103940772826E-2</c:v>
                </c:pt>
                <c:pt idx="1266">
                  <c:v>1.5985152354751619E-2</c:v>
                </c:pt>
                <c:pt idx="1267">
                  <c:v>1.5980178979759785E-2</c:v>
                </c:pt>
                <c:pt idx="1268">
                  <c:v>1.597518381563745E-2</c:v>
                </c:pt>
                <c:pt idx="1269">
                  <c:v>1.5970166862464552E-2</c:v>
                </c:pt>
                <c:pt idx="1270">
                  <c:v>1.596512812024109E-2</c:v>
                </c:pt>
                <c:pt idx="1271">
                  <c:v>1.5960067588887128E-2</c:v>
                </c:pt>
                <c:pt idx="1272">
                  <c:v>1.5954985268562538E-2</c:v>
                </c:pt>
                <c:pt idx="1273">
                  <c:v>1.5949881159187385E-2</c:v>
                </c:pt>
                <c:pt idx="1274">
                  <c:v>1.5944755260521859E-2</c:v>
                </c:pt>
                <c:pt idx="1275">
                  <c:v>1.5939607572965642E-2</c:v>
                </c:pt>
                <c:pt idx="1276">
                  <c:v>1.5931474326809081E-2</c:v>
                </c:pt>
                <c:pt idx="1277">
                  <c:v>1.5928464176200308E-2</c:v>
                </c:pt>
                <c:pt idx="1278">
                  <c:v>1.5924033775913671E-2</c:v>
                </c:pt>
                <c:pt idx="1279">
                  <c:v>1.5918798932075262E-2</c:v>
                </c:pt>
                <c:pt idx="1280">
                  <c:v>1.591354229918629E-2</c:v>
                </c:pt>
                <c:pt idx="1281">
                  <c:v>1.5908263877166817E-2</c:v>
                </c:pt>
                <c:pt idx="1282">
                  <c:v>1.5902963666256653E-2</c:v>
                </c:pt>
                <c:pt idx="1283">
                  <c:v>1.5897641666136053E-2</c:v>
                </c:pt>
                <c:pt idx="1284">
                  <c:v>1.5892297877044825E-2</c:v>
                </c:pt>
                <c:pt idx="1285">
                  <c:v>1.5886932298903034E-2</c:v>
                </c:pt>
                <c:pt idx="1286">
                  <c:v>1.5881544931630742E-2</c:v>
                </c:pt>
                <c:pt idx="1287">
                  <c:v>1.5876135775307887E-2</c:v>
                </c:pt>
                <c:pt idx="1288">
                  <c:v>1.5870704830014404E-2</c:v>
                </c:pt>
                <c:pt idx="1289">
                  <c:v>1.5865087878870199E-2</c:v>
                </c:pt>
                <c:pt idx="1290">
                  <c:v>1.5859777572115874E-2</c:v>
                </c:pt>
                <c:pt idx="1291">
                  <c:v>1.5854281259670699E-2</c:v>
                </c:pt>
                <c:pt idx="1292">
                  <c:v>1.5848763158174961E-2</c:v>
                </c:pt>
                <c:pt idx="1293">
                  <c:v>1.5843223267548723E-2</c:v>
                </c:pt>
                <c:pt idx="1294">
                  <c:v>1.5837661587951857E-2</c:v>
                </c:pt>
                <c:pt idx="1295">
                  <c:v>1.5832078119224491E-2</c:v>
                </c:pt>
                <c:pt idx="1296">
                  <c:v>1.5826472861526497E-2</c:v>
                </c:pt>
                <c:pt idx="1297">
                  <c:v>1.5820845814698004E-2</c:v>
                </c:pt>
                <c:pt idx="1298">
                  <c:v>1.5815196978978818E-2</c:v>
                </c:pt>
                <c:pt idx="1299">
                  <c:v>1.5809526354129133E-2</c:v>
                </c:pt>
                <c:pt idx="1300">
                  <c:v>1.5803833940228884E-2</c:v>
                </c:pt>
                <c:pt idx="1301">
                  <c:v>1.5798119737358007E-2</c:v>
                </c:pt>
                <c:pt idx="1302">
                  <c:v>1.5792383745356631E-2</c:v>
                </c:pt>
                <c:pt idx="1303">
                  <c:v>1.578662596430469E-2</c:v>
                </c:pt>
                <c:pt idx="1304">
                  <c:v>1.5780846394282122E-2</c:v>
                </c:pt>
                <c:pt idx="1305">
                  <c:v>1.5775045035288926E-2</c:v>
                </c:pt>
                <c:pt idx="1306">
                  <c:v>1.5769221887085294E-2</c:v>
                </c:pt>
                <c:pt idx="1307">
                  <c:v>1.576337694999097E-2</c:v>
                </c:pt>
                <c:pt idx="1308">
                  <c:v>1.5757510223766147E-2</c:v>
                </c:pt>
                <c:pt idx="1309">
                  <c:v>1.5751621708570696E-2</c:v>
                </c:pt>
                <c:pt idx="1310">
                  <c:v>1.5745711404404616E-2</c:v>
                </c:pt>
                <c:pt idx="1311">
                  <c:v>1.5739779311187974E-2</c:v>
                </c:pt>
                <c:pt idx="1312">
                  <c:v>1.5733825428840831E-2</c:v>
                </c:pt>
                <c:pt idx="1313">
                  <c:v>1.5727849757443124E-2</c:v>
                </c:pt>
                <c:pt idx="1314">
                  <c:v>1.5721852297154726E-2</c:v>
                </c:pt>
                <c:pt idx="1315">
                  <c:v>1.5715833047815764E-2</c:v>
                </c:pt>
                <c:pt idx="1316">
                  <c:v>1.5709792009426238E-2</c:v>
                </c:pt>
                <c:pt idx="1317">
                  <c:v>1.5703729181986148E-2</c:v>
                </c:pt>
                <c:pt idx="1318">
                  <c:v>1.569764456557543E-2</c:v>
                </c:pt>
                <c:pt idx="1319">
                  <c:v>1.5691538160114149E-2</c:v>
                </c:pt>
                <c:pt idx="1320">
                  <c:v>1.568540996568224E-2</c:v>
                </c:pt>
                <c:pt idx="1321">
                  <c:v>1.5679259982119831E-2</c:v>
                </c:pt>
                <c:pt idx="1322">
                  <c:v>1.567308820966673E-2</c:v>
                </c:pt>
                <c:pt idx="1323">
                  <c:v>1.5666894648163066E-2</c:v>
                </c:pt>
                <c:pt idx="1324">
                  <c:v>1.5660679297608837E-2</c:v>
                </c:pt>
                <c:pt idx="1325">
                  <c:v>1.5654442158004045E-2</c:v>
                </c:pt>
                <c:pt idx="1326">
                  <c:v>1.5648183229508561E-2</c:v>
                </c:pt>
                <c:pt idx="1327">
                  <c:v>1.5641902511882577E-2</c:v>
                </c:pt>
                <c:pt idx="1328">
                  <c:v>1.5635600005285966E-2</c:v>
                </c:pt>
                <c:pt idx="1329">
                  <c:v>1.5629275709718726E-2</c:v>
                </c:pt>
                <c:pt idx="1330">
                  <c:v>1.5622929625100923E-2</c:v>
                </c:pt>
                <c:pt idx="1331">
                  <c:v>1.5616561751512492E-2</c:v>
                </c:pt>
                <c:pt idx="1332">
                  <c:v>1.5610172088953433E-2</c:v>
                </c:pt>
                <c:pt idx="1333">
                  <c:v>1.5603760637263875E-2</c:v>
                </c:pt>
                <c:pt idx="1334">
                  <c:v>1.5597327396683625E-2</c:v>
                </c:pt>
                <c:pt idx="1335">
                  <c:v>1.559087236705281E-2</c:v>
                </c:pt>
                <c:pt idx="1336">
                  <c:v>1.5584395548451369E-2</c:v>
                </c:pt>
                <c:pt idx="1337">
                  <c:v>1.5577896940799363E-2</c:v>
                </c:pt>
                <c:pt idx="1338">
                  <c:v>1.5571376544256665E-2</c:v>
                </c:pt>
                <c:pt idx="1339">
                  <c:v>1.5564834358583468E-2</c:v>
                </c:pt>
                <c:pt idx="1340">
                  <c:v>1.5558270383939643E-2</c:v>
                </c:pt>
                <c:pt idx="1341">
                  <c:v>1.5551684620405126E-2</c:v>
                </c:pt>
                <c:pt idx="1342">
                  <c:v>1.5545077067820046E-2</c:v>
                </c:pt>
                <c:pt idx="1343">
                  <c:v>1.5538447726104465E-2</c:v>
                </c:pt>
                <c:pt idx="1344">
                  <c:v>1.5531231758840747E-2</c:v>
                </c:pt>
                <c:pt idx="1345">
                  <c:v>1.5525123676001229E-2</c:v>
                </c:pt>
                <c:pt idx="1346">
                  <c:v>1.5518428967453701E-2</c:v>
                </c:pt>
                <c:pt idx="1347">
                  <c:v>1.5511712469935546E-2</c:v>
                </c:pt>
                <c:pt idx="1348">
                  <c:v>1.5504974183446762E-2</c:v>
                </c:pt>
                <c:pt idx="1349">
                  <c:v>1.5498214107907415E-2</c:v>
                </c:pt>
                <c:pt idx="1350">
                  <c:v>1.5491432243317504E-2</c:v>
                </c:pt>
                <c:pt idx="1351">
                  <c:v>1.5484628589836902E-2</c:v>
                </c:pt>
                <c:pt idx="1352">
                  <c:v>1.5477803147305735E-2</c:v>
                </c:pt>
                <c:pt idx="1353">
                  <c:v>1.5470955915963813E-2</c:v>
                </c:pt>
                <c:pt idx="1354">
                  <c:v>1.5464086895491391E-2</c:v>
                </c:pt>
                <c:pt idx="1355">
                  <c:v>1.5457196086128278E-2</c:v>
                </c:pt>
                <c:pt idx="1356">
                  <c:v>1.5450283487794536E-2</c:v>
                </c:pt>
                <c:pt idx="1357">
                  <c:v>1.5443349100330295E-2</c:v>
                </c:pt>
                <c:pt idx="1358">
                  <c:v>1.5436392924055298E-2</c:v>
                </c:pt>
                <c:pt idx="1359">
                  <c:v>1.5429414958729737E-2</c:v>
                </c:pt>
                <c:pt idx="1360">
                  <c:v>1.5422415204433548E-2</c:v>
                </c:pt>
                <c:pt idx="1361">
                  <c:v>1.5415393661246668E-2</c:v>
                </c:pt>
                <c:pt idx="1362">
                  <c:v>1.5408350329009224E-2</c:v>
                </c:pt>
                <c:pt idx="1363">
                  <c:v>1.5401285207801152E-2</c:v>
                </c:pt>
                <c:pt idx="1364">
                  <c:v>1.5394198297702388E-2</c:v>
                </c:pt>
                <c:pt idx="1365">
                  <c:v>1.5387089598553061E-2</c:v>
                </c:pt>
                <c:pt idx="1366">
                  <c:v>1.5379959110513042E-2</c:v>
                </c:pt>
                <c:pt idx="1367">
                  <c:v>1.5372806833422459E-2</c:v>
                </c:pt>
                <c:pt idx="1368">
                  <c:v>1.5365632767441184E-2</c:v>
                </c:pt>
                <c:pt idx="1369">
                  <c:v>1.5358436912489282E-2</c:v>
                </c:pt>
                <c:pt idx="1370">
                  <c:v>1.5351219268566751E-2</c:v>
                </c:pt>
                <c:pt idx="1371">
                  <c:v>1.5343979835673593E-2</c:v>
                </c:pt>
                <c:pt idx="1372">
                  <c:v>1.5336718613889744E-2</c:v>
                </c:pt>
                <c:pt idx="1373">
                  <c:v>1.532943560305533E-2</c:v>
                </c:pt>
                <c:pt idx="1374">
                  <c:v>1.5322130803330225E-2</c:v>
                </c:pt>
                <c:pt idx="1375">
                  <c:v>1.5314804214634492E-2</c:v>
                </c:pt>
                <c:pt idx="1376">
                  <c:v>1.5307455837048067E-2</c:v>
                </c:pt>
                <c:pt idx="1377">
                  <c:v>1.5300085670411079E-2</c:v>
                </c:pt>
                <c:pt idx="1378">
                  <c:v>1.5292693714883399E-2</c:v>
                </c:pt>
                <c:pt idx="1379">
                  <c:v>1.5285279970385091E-2</c:v>
                </c:pt>
                <c:pt idx="1380">
                  <c:v>1.5277844436996091E-2</c:v>
                </c:pt>
                <c:pt idx="1381">
                  <c:v>1.5270387114556527E-2</c:v>
                </c:pt>
                <c:pt idx="1382">
                  <c:v>1.5262908003306208E-2</c:v>
                </c:pt>
                <c:pt idx="1383">
                  <c:v>1.5255407103005325E-2</c:v>
                </c:pt>
                <c:pt idx="1384">
                  <c:v>1.524788441381375E-2</c:v>
                </c:pt>
                <c:pt idx="1385">
                  <c:v>1.5240339935731484E-2</c:v>
                </c:pt>
                <c:pt idx="1386">
                  <c:v>1.5232773668598654E-2</c:v>
                </c:pt>
                <c:pt idx="1387">
                  <c:v>1.5225185612655068E-2</c:v>
                </c:pt>
                <c:pt idx="1388">
                  <c:v>1.5217575767660918E-2</c:v>
                </c:pt>
                <c:pt idx="1389">
                  <c:v>1.5209944133776077E-2</c:v>
                </c:pt>
                <c:pt idx="1390">
                  <c:v>1.5202290711000543E-2</c:v>
                </c:pt>
                <c:pt idx="1391">
                  <c:v>1.5194615499254382E-2</c:v>
                </c:pt>
                <c:pt idx="1392">
                  <c:v>1.518691849861753E-2</c:v>
                </c:pt>
                <c:pt idx="1393">
                  <c:v>1.5179199709010049E-2</c:v>
                </c:pt>
                <c:pt idx="1394">
                  <c:v>1.5171459130511877E-2</c:v>
                </c:pt>
                <c:pt idx="1395">
                  <c:v>1.5162751608128744E-2</c:v>
                </c:pt>
                <c:pt idx="1396">
                  <c:v>1.5155912606683586E-2</c:v>
                </c:pt>
                <c:pt idx="1397">
                  <c:v>1.5148106661353467E-2</c:v>
                </c:pt>
                <c:pt idx="1398">
                  <c:v>1.5140278927292528E-2</c:v>
                </c:pt>
                <c:pt idx="1399">
                  <c:v>1.5132429404101089E-2</c:v>
                </c:pt>
                <c:pt idx="1400">
                  <c:v>1.5124558092098894E-2</c:v>
                </c:pt>
                <c:pt idx="1401">
                  <c:v>1.5116664991126072E-2</c:v>
                </c:pt>
                <c:pt idx="1402">
                  <c:v>1.5108750101182622E-2</c:v>
                </c:pt>
                <c:pt idx="1403">
                  <c:v>1.5100813422428416E-2</c:v>
                </c:pt>
                <c:pt idx="1404">
                  <c:v>1.5092854954783519E-2</c:v>
                </c:pt>
                <c:pt idx="1405">
                  <c:v>1.5084874698167994E-2</c:v>
                </c:pt>
                <c:pt idx="1406">
                  <c:v>1.5076872652581841E-2</c:v>
                </c:pt>
                <c:pt idx="1407">
                  <c:v>1.5068848818184932E-2</c:v>
                </c:pt>
                <c:pt idx="1408">
                  <c:v>1.5060803194817396E-2</c:v>
                </c:pt>
                <c:pt idx="1409">
                  <c:v>1.5052735782639104E-2</c:v>
                </c:pt>
                <c:pt idx="1410">
                  <c:v>1.5044646581490184E-2</c:v>
                </c:pt>
                <c:pt idx="1411">
                  <c:v>1.5036535591450573E-2</c:v>
                </c:pt>
                <c:pt idx="1412">
                  <c:v>1.502840281252027E-2</c:v>
                </c:pt>
                <c:pt idx="1413">
                  <c:v>1.5020248244619339E-2</c:v>
                </c:pt>
                <c:pt idx="1414">
                  <c:v>1.5012071887907652E-2</c:v>
                </c:pt>
                <c:pt idx="1415">
                  <c:v>1.5003873742305274E-2</c:v>
                </c:pt>
                <c:pt idx="1416">
                  <c:v>1.4995653807732268E-2</c:v>
                </c:pt>
                <c:pt idx="1417">
                  <c:v>1.498741208426857E-2</c:v>
                </c:pt>
                <c:pt idx="1418">
                  <c:v>1.4979148572074052E-2</c:v>
                </c:pt>
                <c:pt idx="1419">
                  <c:v>1.4970863270908907E-2</c:v>
                </c:pt>
                <c:pt idx="1420">
                  <c:v>1.4962556180773134E-2</c:v>
                </c:pt>
                <c:pt idx="1421">
                  <c:v>1.4954227301826606E-2</c:v>
                </c:pt>
                <c:pt idx="1422">
                  <c:v>1.494587663390945E-2</c:v>
                </c:pt>
                <c:pt idx="1423">
                  <c:v>1.4937504177181538E-2</c:v>
                </c:pt>
                <c:pt idx="1424">
                  <c:v>1.4929109931562934E-2</c:v>
                </c:pt>
                <c:pt idx="1425">
                  <c:v>1.4920693897133575E-2</c:v>
                </c:pt>
                <c:pt idx="1426">
                  <c:v>1.4912256073653651E-2</c:v>
                </c:pt>
                <c:pt idx="1427">
                  <c:v>1.4903796461442909E-2</c:v>
                </c:pt>
                <c:pt idx="1428">
                  <c:v>1.4895315060261538E-2</c:v>
                </c:pt>
                <c:pt idx="1429">
                  <c:v>1.4886811870349348E-2</c:v>
                </c:pt>
                <c:pt idx="1430">
                  <c:v>1.4878286891306658E-2</c:v>
                </c:pt>
                <c:pt idx="1431">
                  <c:v>1.486974012369302E-2</c:v>
                </c:pt>
                <c:pt idx="1432">
                  <c:v>1.4861171567028819E-2</c:v>
                </c:pt>
                <c:pt idx="1433">
                  <c:v>1.4850426490680135E-2</c:v>
                </c:pt>
                <c:pt idx="1434">
                  <c:v>1.4842116197293365E-2</c:v>
                </c:pt>
                <c:pt idx="1435">
                  <c:v>1.4833475336439861E-2</c:v>
                </c:pt>
                <c:pt idx="1436">
                  <c:v>1.4824812685390043E-2</c:v>
                </c:pt>
                <c:pt idx="1437">
                  <c:v>1.4816128244090621E-2</c:v>
                </c:pt>
                <c:pt idx="1438">
                  <c:v>1.4807422012568239E-2</c:v>
                </c:pt>
                <c:pt idx="1439">
                  <c:v>1.4798693990796252E-2</c:v>
                </c:pt>
                <c:pt idx="1440">
                  <c:v>1.4789944178801306E-2</c:v>
                </c:pt>
                <c:pt idx="1441">
                  <c:v>1.4781172576583401E-2</c:v>
                </c:pt>
                <c:pt idx="1442">
                  <c:v>1.4772379184169182E-2</c:v>
                </c:pt>
                <c:pt idx="1443">
                  <c:v>1.4763564001505358E-2</c:v>
                </c:pt>
                <c:pt idx="1444">
                  <c:v>1.4754727028671866E-2</c:v>
                </c:pt>
                <c:pt idx="1445">
                  <c:v>1.4741461481584395E-2</c:v>
                </c:pt>
                <c:pt idx="1446">
                  <c:v>1.4736987712415939E-2</c:v>
                </c:pt>
                <c:pt idx="1447">
                  <c:v>1.4728085368993504E-2</c:v>
                </c:pt>
                <c:pt idx="1448">
                  <c:v>1.4719161235374756E-2</c:v>
                </c:pt>
                <c:pt idx="1449">
                  <c:v>1.4710215311612984E-2</c:v>
                </c:pt>
                <c:pt idx="1450">
                  <c:v>1.4701247597628253E-2</c:v>
                </c:pt>
                <c:pt idx="1451">
                  <c:v>1.4692258093500499E-2</c:v>
                </c:pt>
                <c:pt idx="1452">
                  <c:v>1.468324679917643E-2</c:v>
                </c:pt>
                <c:pt idx="1453">
                  <c:v>1.4674233558915617E-2</c:v>
                </c:pt>
                <c:pt idx="1454">
                  <c:v>1.4665259341386516E-2</c:v>
                </c:pt>
                <c:pt idx="1455">
                  <c:v>1.4656326066999625E-2</c:v>
                </c:pt>
                <c:pt idx="1456">
                  <c:v>1.4647433735728299E-2</c:v>
                </c:pt>
                <c:pt idx="1457">
                  <c:v>1.4638582347572537E-2</c:v>
                </c:pt>
                <c:pt idx="1458">
                  <c:v>1.462977190247905E-2</c:v>
                </c:pt>
                <c:pt idx="1459">
                  <c:v>1.4621002400501126E-2</c:v>
                </c:pt>
                <c:pt idx="1460">
                  <c:v>1.4612273841612122E-2</c:v>
                </c:pt>
                <c:pt idx="1461">
                  <c:v>1.4603586225812037E-2</c:v>
                </c:pt>
                <c:pt idx="1462">
                  <c:v>1.4594939553047581E-2</c:v>
                </c:pt>
                <c:pt idx="1463">
                  <c:v>1.4586333823345399E-2</c:v>
                </c:pt>
                <c:pt idx="1464">
                  <c:v>1.457776903670549E-2</c:v>
                </c:pt>
                <c:pt idx="1465">
                  <c:v>1.456924519310121E-2</c:v>
                </c:pt>
                <c:pt idx="1466">
                  <c:v>1.4560762292505913E-2</c:v>
                </c:pt>
                <c:pt idx="1467">
                  <c:v>1.4552320334946245E-2</c:v>
                </c:pt>
                <c:pt idx="1468">
                  <c:v>1.454391932039556E-2</c:v>
                </c:pt>
                <c:pt idx="1469">
                  <c:v>1.4535559248853858E-2</c:v>
                </c:pt>
                <c:pt idx="1470">
                  <c:v>1.4527240120294493E-2</c:v>
                </c:pt>
                <c:pt idx="1471">
                  <c:v>1.4518961934744112E-2</c:v>
                </c:pt>
                <c:pt idx="1472">
                  <c:v>1.4510724692149424E-2</c:v>
                </c:pt>
                <c:pt idx="1473">
                  <c:v>1.4502528392537073E-2</c:v>
                </c:pt>
                <c:pt idx="1474">
                  <c:v>1.4494373035880415E-2</c:v>
                </c:pt>
                <c:pt idx="1475">
                  <c:v>1.4486258622179449E-2</c:v>
                </c:pt>
                <c:pt idx="1476">
                  <c:v>1.4478185151434175E-2</c:v>
                </c:pt>
                <c:pt idx="1477">
                  <c:v>1.4470152623617949E-2</c:v>
                </c:pt>
                <c:pt idx="1478">
                  <c:v>1.4462161038704124E-2</c:v>
                </c:pt>
                <c:pt idx="1479">
                  <c:v>1.4454210396745992E-2</c:v>
                </c:pt>
                <c:pt idx="1480">
                  <c:v>1.4446300697716907E-2</c:v>
                </c:pt>
                <c:pt idx="1481">
                  <c:v>1.4438431941563579E-2</c:v>
                </c:pt>
                <c:pt idx="1482">
                  <c:v>1.4430604128286006E-2</c:v>
                </c:pt>
                <c:pt idx="1483">
                  <c:v>1.4422817257910836E-2</c:v>
                </c:pt>
                <c:pt idx="1484">
                  <c:v>1.4415071330411422E-2</c:v>
                </c:pt>
                <c:pt idx="1485">
                  <c:v>1.4404336144218099E-2</c:v>
                </c:pt>
                <c:pt idx="1486">
                  <c:v>1.4396944056196403E-2</c:v>
                </c:pt>
                <c:pt idx="1487">
                  <c:v>1.4389333263800097E-2</c:v>
                </c:pt>
                <c:pt idx="1488">
                  <c:v>1.4381763410735715E-2</c:v>
                </c:pt>
                <c:pt idx="1489">
                  <c:v>1.4374234496923322E-2</c:v>
                </c:pt>
                <c:pt idx="1490">
                  <c:v>1.4366746522362916E-2</c:v>
                </c:pt>
                <c:pt idx="1491">
                  <c:v>1.4359299486974564E-2</c:v>
                </c:pt>
                <c:pt idx="1492">
                  <c:v>1.43518933908382E-2</c:v>
                </c:pt>
                <c:pt idx="1493">
                  <c:v>1.4344528233953824E-2</c:v>
                </c:pt>
                <c:pt idx="1494">
                  <c:v>1.43372040162415E-2</c:v>
                </c:pt>
                <c:pt idx="1495">
                  <c:v>1.4329920737941038E-2</c:v>
                </c:pt>
                <c:pt idx="1496">
                  <c:v>1.4322678398652755E-2</c:v>
                </c:pt>
                <c:pt idx="1497">
                  <c:v>1.4315476998776333E-2</c:v>
                </c:pt>
                <c:pt idx="1498">
                  <c:v>1.43083165381519E-2</c:v>
                </c:pt>
                <c:pt idx="1499">
                  <c:v>1.4301197016699518E-2</c:v>
                </c:pt>
                <c:pt idx="1500">
                  <c:v>1.4292103501798437E-2</c:v>
                </c:pt>
                <c:pt idx="1501">
                  <c:v>1.4287080791390849E-2</c:v>
                </c:pt>
                <c:pt idx="1502">
                  <c:v>1.4280084087534561E-2</c:v>
                </c:pt>
                <c:pt idx="1503">
                  <c:v>1.4272137984239208E-2</c:v>
                </c:pt>
                <c:pt idx="1504">
                  <c:v>1.4265229007328628E-2</c:v>
                </c:pt>
                <c:pt idx="1505">
                  <c:v>1.42583609695901E-2</c:v>
                </c:pt>
                <c:pt idx="1506">
                  <c:v>1.4251533871183497E-2</c:v>
                </c:pt>
                <c:pt idx="1507">
                  <c:v>1.4244747711789074E-2</c:v>
                </c:pt>
                <c:pt idx="1508">
                  <c:v>1.4238002491726576E-2</c:v>
                </c:pt>
                <c:pt idx="1509">
                  <c:v>1.423129821083613E-2</c:v>
                </c:pt>
                <c:pt idx="1510">
                  <c:v>1.4224634869117736E-2</c:v>
                </c:pt>
                <c:pt idx="1511">
                  <c:v>1.4218012466651331E-2</c:v>
                </c:pt>
                <c:pt idx="1512">
                  <c:v>1.4211431003356978E-2</c:v>
                </c:pt>
                <c:pt idx="1513">
                  <c:v>1.4204890479234678E-2</c:v>
                </c:pt>
                <c:pt idx="1514">
                  <c:v>1.4198390894284429E-2</c:v>
                </c:pt>
                <c:pt idx="1515">
                  <c:v>1.419193224858617E-2</c:v>
                </c:pt>
                <c:pt idx="1516">
                  <c:v>1.4185514541980027E-2</c:v>
                </c:pt>
                <c:pt idx="1517">
                  <c:v>1.4179137774625872E-2</c:v>
                </c:pt>
                <c:pt idx="1518">
                  <c:v>1.4172801946443769E-2</c:v>
                </c:pt>
                <c:pt idx="1519">
                  <c:v>1.4166507057433719E-2</c:v>
                </c:pt>
                <c:pt idx="1520">
                  <c:v>1.4160253107595722E-2</c:v>
                </c:pt>
                <c:pt idx="1521">
                  <c:v>1.4154040096929776E-2</c:v>
                </c:pt>
                <c:pt idx="1522">
                  <c:v>1.414786802551582E-2</c:v>
                </c:pt>
                <c:pt idx="1523">
                  <c:v>1.4141736893273915E-2</c:v>
                </c:pt>
                <c:pt idx="1524">
                  <c:v>1.4135646700124127E-2</c:v>
                </c:pt>
                <c:pt idx="1525">
                  <c:v>1.4129597446066455E-2</c:v>
                </c:pt>
                <c:pt idx="1526">
                  <c:v>1.4123589131260772E-2</c:v>
                </c:pt>
                <c:pt idx="1527">
                  <c:v>1.4117621755627141E-2</c:v>
                </c:pt>
                <c:pt idx="1528">
                  <c:v>1.4111695319165563E-2</c:v>
                </c:pt>
                <c:pt idx="1529">
                  <c:v>1.41058098217961E-2</c:v>
                </c:pt>
                <c:pt idx="1530">
                  <c:v>1.4099965263598691E-2</c:v>
                </c:pt>
                <c:pt idx="1531">
                  <c:v>1.4094161644653269E-2</c:v>
                </c:pt>
                <c:pt idx="1532">
                  <c:v>1.4088398964799964E-2</c:v>
                </c:pt>
                <c:pt idx="1533">
                  <c:v>1.4082677224198648E-2</c:v>
                </c:pt>
                <c:pt idx="1534">
                  <c:v>1.4076996422609511E-2</c:v>
                </c:pt>
                <c:pt idx="1535">
                  <c:v>1.4071356560112491E-2</c:v>
                </c:pt>
                <c:pt idx="1536">
                  <c:v>1.4065757636947396E-2</c:v>
                </c:pt>
                <c:pt idx="1537">
                  <c:v>1.4059288608954112E-2</c:v>
                </c:pt>
                <c:pt idx="1538">
                  <c:v>1.4053897800474502E-2</c:v>
                </c:pt>
                <c:pt idx="1539">
                  <c:v>1.4048427543107422E-2</c:v>
                </c:pt>
                <c:pt idx="1540">
                  <c:v>1.4042998224832459E-2</c:v>
                </c:pt>
                <c:pt idx="1541">
                  <c:v>1.4037609845729548E-2</c:v>
                </c:pt>
                <c:pt idx="1542">
                  <c:v>1.4032262405638818E-2</c:v>
                </c:pt>
                <c:pt idx="1543">
                  <c:v>1.4026955904800076E-2</c:v>
                </c:pt>
                <c:pt idx="1544">
                  <c:v>1.402169034305345E-2</c:v>
                </c:pt>
                <c:pt idx="1545">
                  <c:v>1.4016465720478877E-2</c:v>
                </c:pt>
                <c:pt idx="1546">
                  <c:v>1.4011282037076356E-2</c:v>
                </c:pt>
                <c:pt idx="1547">
                  <c:v>1.4006139292686015E-2</c:v>
                </c:pt>
                <c:pt idx="1548">
                  <c:v>1.4001037487467727E-2</c:v>
                </c:pt>
                <c:pt idx="1549">
                  <c:v>1.3995976621421491E-2</c:v>
                </c:pt>
                <c:pt idx="1550">
                  <c:v>1.3990956694387435E-2</c:v>
                </c:pt>
                <c:pt idx="1551">
                  <c:v>1.398526976450043E-2</c:v>
                </c:pt>
                <c:pt idx="1552">
                  <c:v>1.398033756425221E-2</c:v>
                </c:pt>
                <c:pt idx="1553">
                  <c:v>1.3975446303096106E-2</c:v>
                </c:pt>
                <c:pt idx="1554">
                  <c:v>1.3970375615166564E-2</c:v>
                </c:pt>
                <c:pt idx="1555">
                  <c:v>1.3965786597900376E-2</c:v>
                </c:pt>
                <c:pt idx="1556">
                  <c:v>1.3961018154100557E-2</c:v>
                </c:pt>
                <c:pt idx="1557">
                  <c:v>1.3956290649312919E-2</c:v>
                </c:pt>
                <c:pt idx="1558">
                  <c:v>1.3951604083697333E-2</c:v>
                </c:pt>
                <c:pt idx="1559">
                  <c:v>1.3946958457173864E-2</c:v>
                </c:pt>
                <c:pt idx="1560">
                  <c:v>1.394235376974251E-2</c:v>
                </c:pt>
                <c:pt idx="1561">
                  <c:v>1.3937790021403273E-2</c:v>
                </c:pt>
                <c:pt idx="1562">
                  <c:v>1.3933267212076217E-2</c:v>
                </c:pt>
                <c:pt idx="1563">
                  <c:v>1.3928785342001149E-2</c:v>
                </c:pt>
                <c:pt idx="1564">
                  <c:v>1.3924344410938261E-2</c:v>
                </c:pt>
                <c:pt idx="1565">
                  <c:v>1.3919944419047425E-2</c:v>
                </c:pt>
                <c:pt idx="1566">
                  <c:v>1.391558536616877E-2</c:v>
                </c:pt>
                <c:pt idx="1567">
                  <c:v>1.3911267252382231E-2</c:v>
                </c:pt>
                <c:pt idx="1568">
                  <c:v>1.3906990077767745E-2</c:v>
                </c:pt>
                <c:pt idx="1569">
                  <c:v>1.3902753842085502E-2</c:v>
                </c:pt>
                <c:pt idx="1570">
                  <c:v>1.3898558545655249E-2</c:v>
                </c:pt>
                <c:pt idx="1571">
                  <c:v>1.3894404188237175E-2</c:v>
                </c:pt>
                <c:pt idx="1572">
                  <c:v>1.3890290769911218E-2</c:v>
                </c:pt>
                <c:pt idx="1573">
                  <c:v>1.3886218290597441E-2</c:v>
                </c:pt>
                <c:pt idx="1574">
                  <c:v>1.388218675037578E-2</c:v>
                </c:pt>
                <c:pt idx="1575">
                  <c:v>1.3878196149486044E-2</c:v>
                </c:pt>
                <c:pt idx="1576">
                  <c:v>1.387424648736868E-2</c:v>
                </c:pt>
                <c:pt idx="1577">
                  <c:v>1.3870337764503304E-2</c:v>
                </c:pt>
                <c:pt idx="1578">
                  <c:v>1.3866469980570173E-2</c:v>
                </c:pt>
                <c:pt idx="1579">
                  <c:v>1.386264313588903E-2</c:v>
                </c:pt>
                <c:pt idx="1580">
                  <c:v>1.3858857230060195E-2</c:v>
                </c:pt>
                <c:pt idx="1581">
                  <c:v>1.3855112263483349E-2</c:v>
                </c:pt>
                <c:pt idx="1582">
                  <c:v>1.3851408235918683E-2</c:v>
                </c:pt>
                <c:pt idx="1583">
                  <c:v>1.3847745147446133E-2</c:v>
                </c:pt>
                <c:pt idx="1584">
                  <c:v>1.38441229980657E-2</c:v>
                </c:pt>
                <c:pt idx="1585">
                  <c:v>1.3840541787697447E-2</c:v>
                </c:pt>
                <c:pt idx="1586">
                  <c:v>1.3837001516341374E-2</c:v>
                </c:pt>
                <c:pt idx="1587">
                  <c:v>1.383350218423729E-2</c:v>
                </c:pt>
                <c:pt idx="1588">
                  <c:v>1.3830105449683661E-2</c:v>
                </c:pt>
                <c:pt idx="1589">
                  <c:v>1.3826696375420777E-2</c:v>
                </c:pt>
                <c:pt idx="1590">
                  <c:v>1.3823249821838246E-2</c:v>
                </c:pt>
                <c:pt idx="1591">
                  <c:v>1.3819914245942755E-2</c:v>
                </c:pt>
                <c:pt idx="1592">
                  <c:v>1.3816619608979508E-2</c:v>
                </c:pt>
                <c:pt idx="1593">
                  <c:v>1.3813365911188313E-2</c:v>
                </c:pt>
                <c:pt idx="1594">
                  <c:v>1.3810153152409299E-2</c:v>
                </c:pt>
                <c:pt idx="1595">
                  <c:v>1.3806981332642465E-2</c:v>
                </c:pt>
                <c:pt idx="1596">
                  <c:v>1.3803850451887811E-2</c:v>
                </c:pt>
                <c:pt idx="1597">
                  <c:v>1.3800760510225274E-2</c:v>
                </c:pt>
                <c:pt idx="1598">
                  <c:v>1.3797711507654853E-2</c:v>
                </c:pt>
                <c:pt idx="1599">
                  <c:v>1.3794703444256484E-2</c:v>
                </c:pt>
                <c:pt idx="1600">
                  <c:v>1.3791736319710424E-2</c:v>
                </c:pt>
                <c:pt idx="1601">
                  <c:v>1.378881013425648E-2</c:v>
                </c:pt>
                <c:pt idx="1602">
                  <c:v>1.3785924887894652E-2</c:v>
                </c:pt>
                <c:pt idx="1603">
                  <c:v>1.3783080580545004E-2</c:v>
                </c:pt>
                <c:pt idx="1604">
                  <c:v>1.3780277212287473E-2</c:v>
                </c:pt>
                <c:pt idx="1605">
                  <c:v>1.3777788348324549E-2</c:v>
                </c:pt>
                <c:pt idx="1606">
                  <c:v>1.3774793292888887E-2</c:v>
                </c:pt>
                <c:pt idx="1607">
                  <c:v>1.3772112741667897E-2</c:v>
                </c:pt>
                <c:pt idx="1608">
                  <c:v>1.3769473129539023E-2</c:v>
                </c:pt>
                <c:pt idx="1609">
                  <c:v>1.3766874456502265E-2</c:v>
                </c:pt>
                <c:pt idx="1610">
                  <c:v>1.3764316722397751E-2</c:v>
                </c:pt>
                <c:pt idx="1611">
                  <c:v>1.376179992746529E-2</c:v>
                </c:pt>
                <c:pt idx="1612">
                  <c:v>1.3759324071545009E-2</c:v>
                </c:pt>
                <c:pt idx="1613">
                  <c:v>1.3756889154556973E-2</c:v>
                </c:pt>
                <c:pt idx="1614">
                  <c:v>1.3754495176740988E-2</c:v>
                </c:pt>
                <c:pt idx="1615">
                  <c:v>1.3752142137857248E-2</c:v>
                </c:pt>
                <c:pt idx="1616">
                  <c:v>1.3749830038145561E-2</c:v>
                </c:pt>
                <c:pt idx="1617">
                  <c:v>1.3747558877366117E-2</c:v>
                </c:pt>
                <c:pt idx="1618">
                  <c:v>1.374532865567879E-2</c:v>
                </c:pt>
                <c:pt idx="1619">
                  <c:v>1.3743139373003643E-2</c:v>
                </c:pt>
                <c:pt idx="1620">
                  <c:v>1.3740991029260741E-2</c:v>
                </c:pt>
                <c:pt idx="1621">
                  <c:v>1.3738883624609954E-2</c:v>
                </c:pt>
                <c:pt idx="1622">
                  <c:v>1.3736817159051284E-2</c:v>
                </c:pt>
                <c:pt idx="1623">
                  <c:v>1.3734791632424859E-2</c:v>
                </c:pt>
                <c:pt idx="1624">
                  <c:v>1.3732807044890549E-2</c:v>
                </c:pt>
                <c:pt idx="1625">
                  <c:v>1.3730863396448356E-2</c:v>
                </c:pt>
                <c:pt idx="1626">
                  <c:v>1.3728960686938407E-2</c:v>
                </c:pt>
                <c:pt idx="1627">
                  <c:v>1.3727098916520575E-2</c:v>
                </c:pt>
                <c:pt idx="1628">
                  <c:v>1.3725278085034986E-2</c:v>
                </c:pt>
                <c:pt idx="1629">
                  <c:v>1.3723498192721451E-2</c:v>
                </c:pt>
                <c:pt idx="1630">
                  <c:v>1.3721759239340159E-2</c:v>
                </c:pt>
                <c:pt idx="1631">
                  <c:v>1.3720061224971047E-2</c:v>
                </c:pt>
                <c:pt idx="1632">
                  <c:v>1.3718404149694052E-2</c:v>
                </c:pt>
                <c:pt idx="1633">
                  <c:v>1.3716788013429237E-2</c:v>
                </c:pt>
                <c:pt idx="1634">
                  <c:v>1.3715212816096667E-2</c:v>
                </c:pt>
                <c:pt idx="1635">
                  <c:v>1.3713678557856213E-2</c:v>
                </c:pt>
                <c:pt idx="1636">
                  <c:v>1.3712185238627939E-2</c:v>
                </c:pt>
                <c:pt idx="1637">
                  <c:v>1.3710732858491781E-2</c:v>
                </c:pt>
                <c:pt idx="1638">
                  <c:v>1.3709321417207931E-2</c:v>
                </c:pt>
                <c:pt idx="1639">
                  <c:v>1.370795091517607E-2</c:v>
                </c:pt>
                <c:pt idx="1640">
                  <c:v>1.3706621351996517E-2</c:v>
                </c:pt>
                <c:pt idx="1641">
                  <c:v>1.3705332727829145E-2</c:v>
                </c:pt>
                <c:pt idx="1642">
                  <c:v>1.3704085042753889E-2</c:v>
                </c:pt>
                <c:pt idx="1643">
                  <c:v>1.3702878296610876E-2</c:v>
                </c:pt>
                <c:pt idx="1644">
                  <c:v>1.3701712489559981E-2</c:v>
                </c:pt>
                <c:pt idx="1645">
                  <c:v>1.3700587621601201E-2</c:v>
                </c:pt>
                <c:pt idx="1646">
                  <c:v>1.369950369249473E-2</c:v>
                </c:pt>
                <c:pt idx="1647">
                  <c:v>1.3698460702560311E-2</c:v>
                </c:pt>
                <c:pt idx="1648">
                  <c:v>1.3697458651638073E-2</c:v>
                </c:pt>
                <c:pt idx="1649">
                  <c:v>1.3696497539648078E-2</c:v>
                </c:pt>
                <c:pt idx="1650">
                  <c:v>1.3695577366670264E-2</c:v>
                </c:pt>
                <c:pt idx="1651">
                  <c:v>1.369469813270463E-2</c:v>
                </c:pt>
                <c:pt idx="1652">
                  <c:v>1.3693859837751177E-2</c:v>
                </c:pt>
                <c:pt idx="1653">
                  <c:v>1.3693062481889839E-2</c:v>
                </c:pt>
                <c:pt idx="1654">
                  <c:v>1.3692306065040682E-2</c:v>
                </c:pt>
                <c:pt idx="1655">
                  <c:v>1.3692435972101791E-2</c:v>
                </c:pt>
                <c:pt idx="1656">
                  <c:v>1.3690916048298973E-2</c:v>
                </c:pt>
                <c:pt idx="1657">
                  <c:v>1.3690282448566293E-2</c:v>
                </c:pt>
                <c:pt idx="1658">
                  <c:v>1.3689689787685921E-2</c:v>
                </c:pt>
                <c:pt idx="1659">
                  <c:v>1.3689138065897666E-2</c:v>
                </c:pt>
                <c:pt idx="1660">
                  <c:v>1.3688627283041654E-2</c:v>
                </c:pt>
                <c:pt idx="1661">
                  <c:v>1.3688157439277759E-2</c:v>
                </c:pt>
                <c:pt idx="1662">
                  <c:v>1.3687728534446109E-2</c:v>
                </c:pt>
                <c:pt idx="1663">
                  <c:v>1.3687340568706574E-2</c:v>
                </c:pt>
                <c:pt idx="1664">
                  <c:v>1.368699354197922E-2</c:v>
                </c:pt>
                <c:pt idx="1665">
                  <c:v>1.3686687454343982E-2</c:v>
                </c:pt>
                <c:pt idx="1666">
                  <c:v>1.3686422305561052E-2</c:v>
                </c:pt>
                <c:pt idx="1667">
                  <c:v>1.3686198095870239E-2</c:v>
                </c:pt>
                <c:pt idx="1668">
                  <c:v>1.368601482511167E-2</c:v>
                </c:pt>
                <c:pt idx="1669">
                  <c:v>1.3685872493525153E-2</c:v>
                </c:pt>
                <c:pt idx="1670">
                  <c:v>1.368577110087088E-2</c:v>
                </c:pt>
                <c:pt idx="1671">
                  <c:v>1.3685710647308724E-2</c:v>
                </c:pt>
                <c:pt idx="1672">
                  <c:v>1.3685691132598876E-2</c:v>
                </c:pt>
                <c:pt idx="1673">
                  <c:v>1.368571255706108E-2</c:v>
                </c:pt>
                <c:pt idx="1674">
                  <c:v>1.3685774920375593E-2</c:v>
                </c:pt>
                <c:pt idx="1675">
                  <c:v>1.3685878222782222E-2</c:v>
                </c:pt>
                <c:pt idx="1676">
                  <c:v>1.3686022464201031E-2</c:v>
                </c:pt>
                <c:pt idx="1677">
                  <c:v>1.3686207644711956E-2</c:v>
                </c:pt>
                <c:pt idx="1678">
                  <c:v>1.368643376407519E-2</c:v>
                </c:pt>
                <c:pt idx="1679">
                  <c:v>1.368670082253054E-2</c:v>
                </c:pt>
                <c:pt idx="1680">
                  <c:v>1.3687008820078006E-2</c:v>
                </c:pt>
                <c:pt idx="1681">
                  <c:v>1.3687357756557716E-2</c:v>
                </c:pt>
                <c:pt idx="1682">
                  <c:v>1.3687747632129543E-2</c:v>
                </c:pt>
                <c:pt idx="1683">
                  <c:v>1.3688178446553678E-2</c:v>
                </c:pt>
                <c:pt idx="1684">
                  <c:v>1.3688650200149866E-2</c:v>
                </c:pt>
                <c:pt idx="1685">
                  <c:v>1.3689162892758233E-2</c:v>
                </c:pt>
                <c:pt idx="1686">
                  <c:v>1.3689716524298845E-2</c:v>
                </c:pt>
                <c:pt idx="1687">
                  <c:v>1.3690311094771701E-2</c:v>
                </c:pt>
                <c:pt idx="1688">
                  <c:v>1.3690946604416609E-2</c:v>
                </c:pt>
                <c:pt idx="1689">
                  <c:v>1.3691623052993762E-2</c:v>
                </c:pt>
                <c:pt idx="1690">
                  <c:v>1.3692340440663031E-2</c:v>
                </c:pt>
                <c:pt idx="1691">
                  <c:v>1.3693098767264544E-2</c:v>
                </c:pt>
                <c:pt idx="1692">
                  <c:v>1.3693898032878238E-2</c:v>
                </c:pt>
                <c:pt idx="1693">
                  <c:v>1.3694738237663984E-2</c:v>
                </c:pt>
                <c:pt idx="1694">
                  <c:v>1.3695619381302038E-2</c:v>
                </c:pt>
                <c:pt idx="1695">
                  <c:v>1.3696541464032208E-2</c:v>
                </c:pt>
                <c:pt idx="1696">
                  <c:v>1.3697504485694623E-2</c:v>
                </c:pt>
                <c:pt idx="1697">
                  <c:v>1.3698508446449154E-2</c:v>
                </c:pt>
                <c:pt idx="1698">
                  <c:v>1.3699553346215865E-2</c:v>
                </c:pt>
                <c:pt idx="1699">
                  <c:v>1.3700639184994756E-2</c:v>
                </c:pt>
                <c:pt idx="1700">
                  <c:v>1.3701765962785828E-2</c:v>
                </c:pt>
                <c:pt idx="1701">
                  <c:v>1.3702933679669016E-2</c:v>
                </c:pt>
                <c:pt idx="1702">
                  <c:v>1.3704142335484448E-2</c:v>
                </c:pt>
                <c:pt idx="1703">
                  <c:v>1.3705391930232125E-2</c:v>
                </c:pt>
                <c:pt idx="1704">
                  <c:v>1.370668246423179E-2</c:v>
                </c:pt>
                <c:pt idx="1705">
                  <c:v>1.3708013937003827E-2</c:v>
                </c:pt>
                <c:pt idx="1706">
                  <c:v>1.3710831073863616E-2</c:v>
                </c:pt>
                <c:pt idx="1707">
                  <c:v>1.3710799699984122E-2</c:v>
                </c:pt>
                <c:pt idx="1708">
                  <c:v>1.3712253989872636E-2</c:v>
                </c:pt>
                <c:pt idx="1709">
                  <c:v>1.3713749218853266E-2</c:v>
                </c:pt>
                <c:pt idx="1710">
                  <c:v>1.3715285386846077E-2</c:v>
                </c:pt>
                <c:pt idx="1711">
                  <c:v>1.3717843580716149E-2</c:v>
                </c:pt>
                <c:pt idx="1712">
                  <c:v>1.3719473447837416E-2</c:v>
                </c:pt>
                <c:pt idx="1713">
                  <c:v>1.3721129467771931E-2</c:v>
                </c:pt>
                <c:pt idx="1714">
                  <c:v>1.372278110755687E-2</c:v>
                </c:pt>
                <c:pt idx="1715">
                  <c:v>1.3724426936017053E-2</c:v>
                </c:pt>
                <c:pt idx="1716">
                  <c:v>1.3726066953125837E-2</c:v>
                </c:pt>
                <c:pt idx="1717">
                  <c:v>1.3727701158936512E-2</c:v>
                </c:pt>
                <c:pt idx="1718">
                  <c:v>1.3729329553395786E-2</c:v>
                </c:pt>
                <c:pt idx="1719">
                  <c:v>1.373095213650366E-2</c:v>
                </c:pt>
                <c:pt idx="1720">
                  <c:v>1.3732568908260134E-2</c:v>
                </c:pt>
                <c:pt idx="1721">
                  <c:v>1.3734179868718499E-2</c:v>
                </c:pt>
                <c:pt idx="1722">
                  <c:v>1.3735785017825464E-2</c:v>
                </c:pt>
                <c:pt idx="1723">
                  <c:v>1.3737384355554383E-2</c:v>
                </c:pt>
                <c:pt idx="1724">
                  <c:v>1.3738977881985193E-2</c:v>
                </c:pt>
                <c:pt idx="1725">
                  <c:v>1.3740565597064602E-2</c:v>
                </c:pt>
                <c:pt idx="1726">
                  <c:v>1.3742147500792612E-2</c:v>
                </c:pt>
                <c:pt idx="1727">
                  <c:v>1.3743723593195867E-2</c:v>
                </c:pt>
                <c:pt idx="1728">
                  <c:v>1.3745293874247722E-2</c:v>
                </c:pt>
                <c:pt idx="1729">
                  <c:v>1.3746858344001467E-2</c:v>
                </c:pt>
                <c:pt idx="1730">
                  <c:v>1.3748417002323876E-2</c:v>
                </c:pt>
                <c:pt idx="1731">
                  <c:v>1.3749969849374821E-2</c:v>
                </c:pt>
                <c:pt idx="1732">
                  <c:v>1.3751516885074366E-2</c:v>
                </c:pt>
                <c:pt idx="1733">
                  <c:v>1.3753058109422511E-2</c:v>
                </c:pt>
                <c:pt idx="1734">
                  <c:v>1.3754593522419256E-2</c:v>
                </c:pt>
                <c:pt idx="1735">
                  <c:v>1.3756123124117892E-2</c:v>
                </c:pt>
                <c:pt idx="1736">
                  <c:v>1.3757646914411836E-2</c:v>
                </c:pt>
                <c:pt idx="1737">
                  <c:v>1.3759164893434317E-2</c:v>
                </c:pt>
                <c:pt idx="1738">
                  <c:v>1.3760677061052107E-2</c:v>
                </c:pt>
                <c:pt idx="1739">
                  <c:v>1.3762183417318496E-2</c:v>
                </c:pt>
                <c:pt idx="1740">
                  <c:v>1.3763683962286777E-2</c:v>
                </c:pt>
                <c:pt idx="1741">
                  <c:v>1.3765178695877012E-2</c:v>
                </c:pt>
                <c:pt idx="1742">
                  <c:v>1.3766667618142492E-2</c:v>
                </c:pt>
                <c:pt idx="1743">
                  <c:v>1.3768150729083217E-2</c:v>
                </c:pt>
                <c:pt idx="1744">
                  <c:v>1.3769628028672543E-2</c:v>
                </c:pt>
                <c:pt idx="1745">
                  <c:v>1.3771360264827059E-2</c:v>
                </c:pt>
                <c:pt idx="1746">
                  <c:v>1.3772456033702696E-2</c:v>
                </c:pt>
                <c:pt idx="1747">
                  <c:v>1.3773914127188647E-2</c:v>
                </c:pt>
                <c:pt idx="1748">
                  <c:v>1.3775366409962686E-2</c:v>
                </c:pt>
                <c:pt idx="1749">
                  <c:v>1.3776812881625133E-2</c:v>
                </c:pt>
                <c:pt idx="1750">
                  <c:v>1.3778253542495733E-2</c:v>
                </c:pt>
                <c:pt idx="1751">
                  <c:v>1.3779688392494549E-2</c:v>
                </c:pt>
                <c:pt idx="1752">
                  <c:v>1.3781117431461709E-2</c:v>
                </c:pt>
                <c:pt idx="1753">
                  <c:v>1.3782540659557085E-2</c:v>
                </c:pt>
                <c:pt idx="1754">
                  <c:v>1.3783958076780678E-2</c:v>
                </c:pt>
                <c:pt idx="1755">
                  <c:v>1.3785369682972615E-2</c:v>
                </c:pt>
                <c:pt idx="1756">
                  <c:v>1.378677547845264E-2</c:v>
                </c:pt>
                <c:pt idx="1757">
                  <c:v>1.3788175462901009E-2</c:v>
                </c:pt>
                <c:pt idx="1758">
                  <c:v>1.3789569636397658E-2</c:v>
                </c:pt>
                <c:pt idx="1759">
                  <c:v>1.379095799910246E-2</c:v>
                </c:pt>
                <c:pt idx="1760">
                  <c:v>1.3792340550775606E-2</c:v>
                </c:pt>
                <c:pt idx="1761">
                  <c:v>1.3794109578819658E-2</c:v>
                </c:pt>
                <c:pt idx="1762">
                  <c:v>1.3795088221506546E-2</c:v>
                </c:pt>
                <c:pt idx="1763">
                  <c:v>1.3796453340404469E-2</c:v>
                </c:pt>
                <c:pt idx="1764">
                  <c:v>1.3797812648430607E-2</c:v>
                </c:pt>
                <c:pt idx="1765">
                  <c:v>1.3799166145664898E-2</c:v>
                </c:pt>
                <c:pt idx="1766">
                  <c:v>1.380051383194747E-2</c:v>
                </c:pt>
                <c:pt idx="1767">
                  <c:v>1.3801855707278321E-2</c:v>
                </c:pt>
                <c:pt idx="1768">
                  <c:v>1.3803191771737389E-2</c:v>
                </c:pt>
                <c:pt idx="1769">
                  <c:v>1.38045220251648E-2</c:v>
                </c:pt>
                <c:pt idx="1770">
                  <c:v>1.3805846467800365E-2</c:v>
                </c:pt>
                <c:pt idx="1771">
                  <c:v>1.3807165099404273E-2</c:v>
                </c:pt>
                <c:pt idx="1772">
                  <c:v>1.3808477920296269E-2</c:v>
                </c:pt>
                <c:pt idx="1773">
                  <c:v>1.3809784929996738E-2</c:v>
                </c:pt>
                <c:pt idx="1774">
                  <c:v>1.3811086128905359E-2</c:v>
                </c:pt>
                <c:pt idx="1775">
                  <c:v>1.3812381517022132E-2</c:v>
                </c:pt>
                <c:pt idx="1776">
                  <c:v>1.3813671094187185E-2</c:v>
                </c:pt>
                <c:pt idx="1777">
                  <c:v>1.3814954860320583E-2</c:v>
                </c:pt>
                <c:pt idx="1778">
                  <c:v>1.3816232815582197E-2</c:v>
                </c:pt>
                <c:pt idx="1779">
                  <c:v>1.3817504959892091E-2</c:v>
                </c:pt>
                <c:pt idx="1780">
                  <c:v>1.3818771293330201E-2</c:v>
                </c:pt>
                <c:pt idx="1781">
                  <c:v>1.3820031815896527E-2</c:v>
                </c:pt>
                <c:pt idx="1782">
                  <c:v>1.3821286527511134E-2</c:v>
                </c:pt>
                <c:pt idx="1783">
                  <c:v>1.3822535428253957E-2</c:v>
                </c:pt>
                <c:pt idx="1784">
                  <c:v>1.382377851804506E-2</c:v>
                </c:pt>
                <c:pt idx="1785">
                  <c:v>1.3825015796884443E-2</c:v>
                </c:pt>
                <c:pt idx="1786">
                  <c:v>1.3826247264931979E-2</c:v>
                </c:pt>
                <c:pt idx="1787">
                  <c:v>1.3827472921947859E-2</c:v>
                </c:pt>
                <c:pt idx="1788">
                  <c:v>1.3828692768091955E-2</c:v>
                </c:pt>
                <c:pt idx="1789">
                  <c:v>1.3829906803284331E-2</c:v>
                </c:pt>
                <c:pt idx="1790">
                  <c:v>1.3831115027524987E-2</c:v>
                </c:pt>
                <c:pt idx="1791">
                  <c:v>1.3832317441053732E-2</c:v>
                </c:pt>
                <c:pt idx="1792">
                  <c:v>1.3833514043390949E-2</c:v>
                </c:pt>
                <c:pt idx="1793">
                  <c:v>1.3834704834936318E-2</c:v>
                </c:pt>
                <c:pt idx="1794">
                  <c:v>1.3835889815609903E-2</c:v>
                </c:pt>
                <c:pt idx="1795">
                  <c:v>1.3837068985411705E-2</c:v>
                </c:pt>
                <c:pt idx="1796">
                  <c:v>1.383824234418185E-2</c:v>
                </c:pt>
                <c:pt idx="1797">
                  <c:v>1.3839925332530534E-2</c:v>
                </c:pt>
                <c:pt idx="1798">
                  <c:v>1.3840737117050139E-2</c:v>
                </c:pt>
                <c:pt idx="1799">
                  <c:v>1.3841892213068974E-2</c:v>
                </c:pt>
                <c:pt idx="1800">
                  <c:v>1.3843041498136088E-2</c:v>
                </c:pt>
                <c:pt idx="1801">
                  <c:v>1.3844184972251483E-2</c:v>
                </c:pt>
                <c:pt idx="1802">
                  <c:v>1.3845322635335222E-2</c:v>
                </c:pt>
                <c:pt idx="1803">
                  <c:v>1.3846454487627113E-2</c:v>
                </c:pt>
                <c:pt idx="1804">
                  <c:v>1.3847580528967285E-2</c:v>
                </c:pt>
                <c:pt idx="1805">
                  <c:v>1.3848700759515609E-2</c:v>
                </c:pt>
                <c:pt idx="1806">
                  <c:v>1.384981517895234E-2</c:v>
                </c:pt>
                <c:pt idx="1807">
                  <c:v>1.3850923787597225E-2</c:v>
                </c:pt>
                <c:pt idx="1808">
                  <c:v>1.3852026585290389E-2</c:v>
                </c:pt>
                <c:pt idx="1809">
                  <c:v>1.3853123572031834E-2</c:v>
                </c:pt>
                <c:pt idx="1810">
                  <c:v>1.3854214747901494E-2</c:v>
                </c:pt>
                <c:pt idx="1811">
                  <c:v>1.3855609149855397E-2</c:v>
                </c:pt>
                <c:pt idx="1812">
                  <c:v>1.3856687043549698E-2</c:v>
                </c:pt>
                <c:pt idx="1813">
                  <c:v>1.3857759126452152E-2</c:v>
                </c:pt>
                <c:pt idx="1814">
                  <c:v>1.3859662490425251E-2</c:v>
                </c:pt>
                <c:pt idx="1815">
                  <c:v>1.3859885859401899E-2</c:v>
                </c:pt>
                <c:pt idx="1816">
                  <c:v>1.3860940509449193E-2</c:v>
                </c:pt>
                <c:pt idx="1817">
                  <c:v>1.386198934870464E-2</c:v>
                </c:pt>
                <c:pt idx="1818">
                  <c:v>1.386303237692843E-2</c:v>
                </c:pt>
                <c:pt idx="1819">
                  <c:v>1.3864069594360373E-2</c:v>
                </c:pt>
                <c:pt idx="1820">
                  <c:v>1.386510100076066E-2</c:v>
                </c:pt>
                <c:pt idx="1821">
                  <c:v>1.3866126596209227E-2</c:v>
                </c:pt>
                <c:pt idx="1822">
                  <c:v>1.3867146380865947E-2</c:v>
                </c:pt>
                <c:pt idx="1823">
                  <c:v>1.386816035449101E-2</c:v>
                </c:pt>
                <c:pt idx="1824">
                  <c:v>1.3869168517324226E-2</c:v>
                </c:pt>
                <c:pt idx="1825">
                  <c:v>1.3870170869125786E-2</c:v>
                </c:pt>
                <c:pt idx="1826">
                  <c:v>1.3871167410135499E-2</c:v>
                </c:pt>
                <c:pt idx="1827">
                  <c:v>1.3872158140113555E-2</c:v>
                </c:pt>
                <c:pt idx="1828">
                  <c:v>1.3873143059219828E-2</c:v>
                </c:pt>
                <c:pt idx="1829">
                  <c:v>1.3874122167374381E-2</c:v>
                </c:pt>
                <c:pt idx="1830">
                  <c:v>1.387509546465715E-2</c:v>
                </c:pt>
                <c:pt idx="1831">
                  <c:v>1.3876062951068135E-2</c:v>
                </c:pt>
                <c:pt idx="1832">
                  <c:v>1.3877024626527401E-2</c:v>
                </c:pt>
                <c:pt idx="1833">
                  <c:v>1.3877980490955011E-2</c:v>
                </c:pt>
                <c:pt idx="1834">
                  <c:v>1.3878930544590773E-2</c:v>
                </c:pt>
                <c:pt idx="1835">
                  <c:v>1.3879874787194879E-2</c:v>
                </c:pt>
                <c:pt idx="1836">
                  <c:v>1.3880813219087074E-2</c:v>
                </c:pt>
                <c:pt idx="1837">
                  <c:v>1.3881745839867676E-2</c:v>
                </c:pt>
                <c:pt idx="1838">
                  <c:v>1.3882672649776495E-2</c:v>
                </c:pt>
                <c:pt idx="1839">
                  <c:v>1.3883593648733594E-2</c:v>
                </c:pt>
                <c:pt idx="1840">
                  <c:v>1.3884508836898846E-2</c:v>
                </c:pt>
                <c:pt idx="1841">
                  <c:v>1.3885418214112377E-2</c:v>
                </c:pt>
                <c:pt idx="1842">
                  <c:v>1.3886321780454125E-2</c:v>
                </c:pt>
                <c:pt idx="1843">
                  <c:v>1.3887219535764217E-2</c:v>
                </c:pt>
                <c:pt idx="1844">
                  <c:v>1.3888111480122589E-2</c:v>
                </c:pt>
                <c:pt idx="1845">
                  <c:v>1.3888997613609178E-2</c:v>
                </c:pt>
                <c:pt idx="1846">
                  <c:v>1.3889877936223982E-2</c:v>
                </c:pt>
                <c:pt idx="1847">
                  <c:v>1.3890752447887067E-2</c:v>
                </c:pt>
                <c:pt idx="1848">
                  <c:v>1.3892114940086131E-2</c:v>
                </c:pt>
                <c:pt idx="1849">
                  <c:v>1.3893265611670813E-2</c:v>
                </c:pt>
                <c:pt idx="1850">
                  <c:v>1.3893341117325875E-2</c:v>
                </c:pt>
                <c:pt idx="1851">
                  <c:v>1.3894192385421889E-2</c:v>
                </c:pt>
                <c:pt idx="1852">
                  <c:v>1.3895037842486246E-2</c:v>
                </c:pt>
                <c:pt idx="1853">
                  <c:v>1.3895877488758757E-2</c:v>
                </c:pt>
                <c:pt idx="1854">
                  <c:v>1.3896711323919675E-2</c:v>
                </c:pt>
                <c:pt idx="1855">
                  <c:v>1.3897539348208809E-2</c:v>
                </c:pt>
                <c:pt idx="1856">
                  <c:v>1.3898361561546224E-2</c:v>
                </c:pt>
                <c:pt idx="1857">
                  <c:v>1.3899177964091791E-2</c:v>
                </c:pt>
                <c:pt idx="1858">
                  <c:v>1.3899988555685638E-2</c:v>
                </c:pt>
                <c:pt idx="1859">
                  <c:v>1.3900793336327766E-2</c:v>
                </c:pt>
                <c:pt idx="1860">
                  <c:v>1.3901592306098109E-2</c:v>
                </c:pt>
                <c:pt idx="1861">
                  <c:v>1.3903684729436705E-2</c:v>
                </c:pt>
                <c:pt idx="1862">
                  <c:v>1.3903172812783637E-2</c:v>
                </c:pt>
                <c:pt idx="1863">
                  <c:v>1.3903954349778758E-2</c:v>
                </c:pt>
                <c:pt idx="1864">
                  <c:v>1.3904730075822158E-2</c:v>
                </c:pt>
                <c:pt idx="1865">
                  <c:v>1.3905499990993775E-2</c:v>
                </c:pt>
                <c:pt idx="1866">
                  <c:v>1.3907232808763048E-2</c:v>
                </c:pt>
                <c:pt idx="1867">
                  <c:v>1.3907022388481849E-2</c:v>
                </c:pt>
                <c:pt idx="1868">
                  <c:v>1.3907774870878242E-2</c:v>
                </c:pt>
                <c:pt idx="1869">
                  <c:v>1.3908521542402852E-2</c:v>
                </c:pt>
                <c:pt idx="1870">
                  <c:v>1.3909262402895806E-2</c:v>
                </c:pt>
                <c:pt idx="1871">
                  <c:v>1.3909997452596912E-2</c:v>
                </c:pt>
                <c:pt idx="1872">
                  <c:v>1.3910726691346298E-2</c:v>
                </c:pt>
                <c:pt idx="1873">
                  <c:v>1.3911450119064028E-2</c:v>
                </c:pt>
                <c:pt idx="1874">
                  <c:v>1.3912167735909975E-2</c:v>
                </c:pt>
                <c:pt idx="1875">
                  <c:v>1.3912879541964074E-2</c:v>
                </c:pt>
                <c:pt idx="1876">
                  <c:v>1.3913585536986517E-2</c:v>
                </c:pt>
                <c:pt idx="1877">
                  <c:v>1.391428572105724E-2</c:v>
                </c:pt>
                <c:pt idx="1878">
                  <c:v>1.3914980094176244E-2</c:v>
                </c:pt>
                <c:pt idx="1879">
                  <c:v>1.3915668656583335E-2</c:v>
                </c:pt>
                <c:pt idx="1880">
                  <c:v>1.3916351407878835E-2</c:v>
                </c:pt>
                <c:pt idx="1881">
                  <c:v>1.3917028348382487E-2</c:v>
                </c:pt>
                <c:pt idx="1882">
                  <c:v>1.3917699477854484E-2</c:v>
                </c:pt>
                <c:pt idx="1883">
                  <c:v>1.3918364796454696E-2</c:v>
                </c:pt>
                <c:pt idx="1884">
                  <c:v>1.3919024304183125E-2</c:v>
                </c:pt>
                <c:pt idx="1885">
                  <c:v>1.3919678000959834E-2</c:v>
                </c:pt>
                <c:pt idx="1886">
                  <c:v>1.3920325886864759E-2</c:v>
                </c:pt>
                <c:pt idx="1887">
                  <c:v>1.3920967961738029E-2</c:v>
                </c:pt>
                <c:pt idx="1888">
                  <c:v>1.3921604225739515E-2</c:v>
                </c:pt>
                <c:pt idx="1889">
                  <c:v>1.392223467878928E-2</c:v>
                </c:pt>
                <c:pt idx="1890">
                  <c:v>1.3922859320967262E-2</c:v>
                </c:pt>
                <c:pt idx="1891">
                  <c:v>1.3923478152193525E-2</c:v>
                </c:pt>
                <c:pt idx="1892">
                  <c:v>1.3924091172627939E-2</c:v>
                </c:pt>
                <c:pt idx="1893">
                  <c:v>1.3924698381950762E-2</c:v>
                </c:pt>
                <c:pt idx="1894">
                  <c:v>1.3925299780481737E-2</c:v>
                </c:pt>
                <c:pt idx="1895">
                  <c:v>1.3925895368060992E-2</c:v>
                </c:pt>
                <c:pt idx="1896">
                  <c:v>1.3926485144768463E-2</c:v>
                </c:pt>
                <c:pt idx="1897">
                  <c:v>1.3927069110524215E-2</c:v>
                </c:pt>
                <c:pt idx="1898">
                  <c:v>1.3927647265248311E-2</c:v>
                </c:pt>
                <c:pt idx="1899">
                  <c:v>1.3928219609100623E-2</c:v>
                </c:pt>
                <c:pt idx="1900">
                  <c:v>1.3929715126270725E-2</c:v>
                </c:pt>
                <c:pt idx="1901">
                  <c:v>1.3930274668083609E-2</c:v>
                </c:pt>
                <c:pt idx="1902">
                  <c:v>1.392990177534692E-2</c:v>
                </c:pt>
                <c:pt idx="1903">
                  <c:v>1.3930450875552225E-2</c:v>
                </c:pt>
                <c:pt idx="1904">
                  <c:v>1.393099416480581E-2</c:v>
                </c:pt>
                <c:pt idx="1905">
                  <c:v>1.3931531643107675E-2</c:v>
                </c:pt>
                <c:pt idx="1906">
                  <c:v>1.3932063310617693E-2</c:v>
                </c:pt>
                <c:pt idx="1907">
                  <c:v>1.3932589167255927E-2</c:v>
                </c:pt>
                <c:pt idx="1908">
                  <c:v>1.3933109212782568E-2</c:v>
                </c:pt>
                <c:pt idx="1909">
                  <c:v>1.3933623447597299E-2</c:v>
                </c:pt>
                <c:pt idx="1910">
                  <c:v>1.3934131871220501E-2</c:v>
                </c:pt>
                <c:pt idx="1911">
                  <c:v>1.3934634484131792E-2</c:v>
                </c:pt>
                <c:pt idx="1912">
                  <c:v>1.3935131286091362E-2</c:v>
                </c:pt>
                <c:pt idx="1913">
                  <c:v>1.3935622277099213E-2</c:v>
                </c:pt>
                <c:pt idx="1914">
                  <c:v>1.3936107457235281E-2</c:v>
                </c:pt>
                <c:pt idx="1915">
                  <c:v>1.3936586826419628E-2</c:v>
                </c:pt>
                <c:pt idx="1916">
                  <c:v>1.3938273683937297E-2</c:v>
                </c:pt>
                <c:pt idx="1917">
                  <c:v>1.3937528131933163E-2</c:v>
                </c:pt>
                <c:pt idx="1918">
                  <c:v>1.3937990068422224E-2</c:v>
                </c:pt>
                <c:pt idx="1919">
                  <c:v>1.3938446193879628E-2</c:v>
                </c:pt>
                <c:pt idx="1920">
                  <c:v>1.3938896508385312E-2</c:v>
                </c:pt>
                <c:pt idx="1921">
                  <c:v>1.3939341012099149E-2</c:v>
                </c:pt>
                <c:pt idx="1922">
                  <c:v>1.3939779704861266E-2</c:v>
                </c:pt>
                <c:pt idx="1923">
                  <c:v>1.3940212586671663E-2</c:v>
                </c:pt>
                <c:pt idx="1924">
                  <c:v>1.394063965753034E-2</c:v>
                </c:pt>
                <c:pt idx="1925">
                  <c:v>1.394106091759717E-2</c:v>
                </c:pt>
                <c:pt idx="1926">
                  <c:v>1.3941476366552408E-2</c:v>
                </c:pt>
                <c:pt idx="1927">
                  <c:v>1.3941886004795734E-2</c:v>
                </c:pt>
                <c:pt idx="1928">
                  <c:v>1.3942289831927468E-2</c:v>
                </c:pt>
                <c:pt idx="1929">
                  <c:v>1.3942687848187418E-2</c:v>
                </c:pt>
                <c:pt idx="1930">
                  <c:v>1.3943080053575585E-2</c:v>
                </c:pt>
                <c:pt idx="1931">
                  <c:v>1.3943466448091968E-2</c:v>
                </c:pt>
                <c:pt idx="1932">
                  <c:v>1.3943847031656631E-2</c:v>
                </c:pt>
                <c:pt idx="1933">
                  <c:v>1.3944221804189638E-2</c:v>
                </c:pt>
                <c:pt idx="1934">
                  <c:v>1.3944590765930798E-2</c:v>
                </c:pt>
                <c:pt idx="1935">
                  <c:v>1.3944953916720237E-2</c:v>
                </c:pt>
                <c:pt idx="1936">
                  <c:v>1.3945311256557957E-2</c:v>
                </c:pt>
                <c:pt idx="1937">
                  <c:v>1.3945662785364021E-2</c:v>
                </c:pt>
                <c:pt idx="1938">
                  <c:v>1.3946008503378238E-2</c:v>
                </c:pt>
                <c:pt idx="1939">
                  <c:v>1.394634841052067E-2</c:v>
                </c:pt>
                <c:pt idx="1940">
                  <c:v>1.3946682506871255E-2</c:v>
                </c:pt>
                <c:pt idx="1941">
                  <c:v>1.3947010791950376E-2</c:v>
                </c:pt>
                <c:pt idx="1942">
                  <c:v>1.3947333266317585E-2</c:v>
                </c:pt>
                <c:pt idx="1943">
                  <c:v>1.3947649929733075E-2</c:v>
                </c:pt>
                <c:pt idx="1944">
                  <c:v>1.3947960782196844E-2</c:v>
                </c:pt>
                <c:pt idx="1945">
                  <c:v>1.3948265823868766E-2</c:v>
                </c:pt>
                <c:pt idx="1946">
                  <c:v>1.3948565054509032E-2</c:v>
                </c:pt>
                <c:pt idx="1947">
                  <c:v>1.3948858474197579E-2</c:v>
                </c:pt>
                <c:pt idx="1948">
                  <c:v>1.3949146082934405E-2</c:v>
                </c:pt>
                <c:pt idx="1949">
                  <c:v>1.3949427880799448E-2</c:v>
                </c:pt>
                <c:pt idx="1950">
                  <c:v>1.3949703867792707E-2</c:v>
                </c:pt>
                <c:pt idx="1951">
                  <c:v>1.3949974043834246E-2</c:v>
                </c:pt>
                <c:pt idx="1952">
                  <c:v>1.3950238409004001E-2</c:v>
                </c:pt>
                <c:pt idx="1953">
                  <c:v>1.3950496963142101E-2</c:v>
                </c:pt>
                <c:pt idx="1954">
                  <c:v>1.3950749706488352E-2</c:v>
                </c:pt>
                <c:pt idx="1955">
                  <c:v>1.3950996638802948E-2</c:v>
                </c:pt>
                <c:pt idx="1956">
                  <c:v>1.395123776024576E-2</c:v>
                </c:pt>
                <c:pt idx="1957">
                  <c:v>1.3951473070816789E-2</c:v>
                </c:pt>
                <c:pt idx="1958">
                  <c:v>1.3951702570356161E-2</c:v>
                </c:pt>
                <c:pt idx="1959">
                  <c:v>1.395192625902375E-2</c:v>
                </c:pt>
                <c:pt idx="1960">
                  <c:v>1.3952144136819555E-2</c:v>
                </c:pt>
                <c:pt idx="1961">
                  <c:v>1.3952356203663641E-2</c:v>
                </c:pt>
                <c:pt idx="1962">
                  <c:v>1.3952562459556006E-2</c:v>
                </c:pt>
                <c:pt idx="1963">
                  <c:v>1.3952762904576588E-2</c:v>
                </c:pt>
                <c:pt idx="1964">
                  <c:v>1.395295753864545E-2</c:v>
                </c:pt>
                <c:pt idx="1965">
                  <c:v>1.3953146361762592E-2</c:v>
                </c:pt>
                <c:pt idx="1966">
                  <c:v>1.395332937400795E-2</c:v>
                </c:pt>
                <c:pt idx="1967">
                  <c:v>1.3954637736530273E-2</c:v>
                </c:pt>
                <c:pt idx="1968">
                  <c:v>1.3953677965643507E-2</c:v>
                </c:pt>
                <c:pt idx="1969">
                  <c:v>1.3953843545113642E-2</c:v>
                </c:pt>
                <c:pt idx="1970">
                  <c:v>1.3954003313711993E-2</c:v>
                </c:pt>
                <c:pt idx="1971">
                  <c:v>1.3954157271278689E-2</c:v>
                </c:pt>
                <c:pt idx="1972">
                  <c:v>1.3954305418053536E-2</c:v>
                </c:pt>
                <c:pt idx="1973">
                  <c:v>1.395444590247763E-2</c:v>
                </c:pt>
                <c:pt idx="1974">
                  <c:v>1.3954567717355815E-2</c:v>
                </c:pt>
                <c:pt idx="1975">
                  <c:v>1.395466901120912E-2</c:v>
                </c:pt>
                <c:pt idx="1976">
                  <c:v>1.3954749784037546E-2</c:v>
                </c:pt>
                <c:pt idx="1977">
                  <c:v>1.3954810036000964E-2</c:v>
                </c:pt>
                <c:pt idx="1978">
                  <c:v>1.3954849766859567E-2</c:v>
                </c:pt>
                <c:pt idx="1979">
                  <c:v>1.3954868976853163E-2</c:v>
                </c:pt>
                <c:pt idx="1980">
                  <c:v>1.395486766582188E-2</c:v>
                </c:pt>
                <c:pt idx="1981">
                  <c:v>1.3954845833845653E-2</c:v>
                </c:pt>
                <c:pt idx="1982">
                  <c:v>1.3954803480924483E-2</c:v>
                </c:pt>
                <c:pt idx="1983">
                  <c:v>1.3954740606978433E-2</c:v>
                </c:pt>
                <c:pt idx="1984">
                  <c:v>1.3954657212007504E-2</c:v>
                </c:pt>
                <c:pt idx="1985">
                  <c:v>1.3954553296171568E-2</c:v>
                </c:pt>
                <c:pt idx="1986">
                  <c:v>1.3954428859230816E-2</c:v>
                </c:pt>
                <c:pt idx="1987">
                  <c:v>1.3954283901425057E-2</c:v>
                </c:pt>
                <c:pt idx="1988">
                  <c:v>1.3954118422594419E-2</c:v>
                </c:pt>
                <c:pt idx="1989">
                  <c:v>1.3953932422898774E-2</c:v>
                </c:pt>
                <c:pt idx="1990">
                  <c:v>1.3953725902098313E-2</c:v>
                </c:pt>
                <c:pt idx="1991">
                  <c:v>1.3953498860432845E-2</c:v>
                </c:pt>
                <c:pt idx="1992">
                  <c:v>1.3953251297742497E-2</c:v>
                </c:pt>
                <c:pt idx="1993">
                  <c:v>1.395298321402727E-2</c:v>
                </c:pt>
                <c:pt idx="1994">
                  <c:v>1.3952694609447036E-2</c:v>
                </c:pt>
                <c:pt idx="1995">
                  <c:v>1.3952385483761987E-2</c:v>
                </c:pt>
                <c:pt idx="1996">
                  <c:v>1.395205583721193E-2</c:v>
                </c:pt>
                <c:pt idx="1997">
                  <c:v>1.3951705669716929E-2</c:v>
                </c:pt>
                <c:pt idx="1998">
                  <c:v>1.395133498119705E-2</c:v>
                </c:pt>
                <c:pt idx="1999">
                  <c:v>1.3950943771732227E-2</c:v>
                </c:pt>
                <c:pt idx="2000">
                  <c:v>1.3950532041242525E-2</c:v>
                </c:pt>
                <c:pt idx="2001">
                  <c:v>1.3950099789807879E-2</c:v>
                </c:pt>
                <c:pt idx="2002">
                  <c:v>1.3949647017348354E-2</c:v>
                </c:pt>
                <c:pt idx="2003">
                  <c:v>1.3949173723943886E-2</c:v>
                </c:pt>
                <c:pt idx="2004">
                  <c:v>1.3948679909594475E-2</c:v>
                </c:pt>
                <c:pt idx="2005">
                  <c:v>1.3948787277728858E-2</c:v>
                </c:pt>
                <c:pt idx="2006">
                  <c:v>1.3948014366960138E-2</c:v>
                </c:pt>
                <c:pt idx="2007">
                  <c:v>1.3947453083087424E-2</c:v>
                </c:pt>
                <c:pt idx="2008">
                  <c:v>1.3946871276644401E-2</c:v>
                </c:pt>
                <c:pt idx="2009">
                  <c:v>1.3946268947604423E-2</c:v>
                </c:pt>
                <c:pt idx="2010">
                  <c:v>1.3945646096047426E-2</c:v>
                </c:pt>
                <c:pt idx="2011">
                  <c:v>1.3945002721920119E-2</c:v>
                </c:pt>
                <c:pt idx="2012">
                  <c:v>1.3944338825249147E-2</c:v>
                </c:pt>
                <c:pt idx="2013">
                  <c:v>1.3943654406007866E-2</c:v>
                </c:pt>
                <c:pt idx="2014">
                  <c:v>1.394294946422292E-2</c:v>
                </c:pt>
                <c:pt idx="2015">
                  <c:v>1.394222399989431E-2</c:v>
                </c:pt>
                <c:pt idx="2016">
                  <c:v>1.3941478012968744E-2</c:v>
                </c:pt>
                <c:pt idx="2017">
                  <c:v>1.3939837074570249E-2</c:v>
                </c:pt>
                <c:pt idx="2018">
                  <c:v>1.393992447148662E-2</c:v>
                </c:pt>
                <c:pt idx="2019">
                  <c:v>1.3939116916903416E-2</c:v>
                </c:pt>
                <c:pt idx="2020">
                  <c:v>1.3938288839803192E-2</c:v>
                </c:pt>
                <c:pt idx="2021">
                  <c:v>1.3937440240106014E-2</c:v>
                </c:pt>
                <c:pt idx="2022">
                  <c:v>1.3936571117865171E-2</c:v>
                </c:pt>
                <c:pt idx="2023">
                  <c:v>1.3935681473080663E-2</c:v>
                </c:pt>
                <c:pt idx="2024">
                  <c:v>1.3934771305725846E-2</c:v>
                </c:pt>
                <c:pt idx="2025">
                  <c:v>1.393384061585401E-2</c:v>
                </c:pt>
                <c:pt idx="2026">
                  <c:v>1.3932889403385218E-2</c:v>
                </c:pt>
                <c:pt idx="2027">
                  <c:v>1.3931917668399407E-2</c:v>
                </c:pt>
                <c:pt idx="2028">
                  <c:v>1.3930925410843287E-2</c:v>
                </c:pt>
                <c:pt idx="2029">
                  <c:v>1.3929912630743502E-2</c:v>
                </c:pt>
                <c:pt idx="2030">
                  <c:v>1.3928879328073407E-2</c:v>
                </c:pt>
                <c:pt idx="2031">
                  <c:v>1.3927825502886293E-2</c:v>
                </c:pt>
                <c:pt idx="2032">
                  <c:v>1.3926751155128869E-2</c:v>
                </c:pt>
                <c:pt idx="2033">
                  <c:v>1.3925656284827781E-2</c:v>
                </c:pt>
                <c:pt idx="2034">
                  <c:v>1.3924540891983028E-2</c:v>
                </c:pt>
                <c:pt idx="2035">
                  <c:v>1.3923404976567966E-2</c:v>
                </c:pt>
                <c:pt idx="2036">
                  <c:v>1.3922248538635884E-2</c:v>
                </c:pt>
                <c:pt idx="2037">
                  <c:v>1.3921071578133493E-2</c:v>
                </c:pt>
                <c:pt idx="2038">
                  <c:v>1.3919874095087437E-2</c:v>
                </c:pt>
                <c:pt idx="2039">
                  <c:v>1.3918656089524362E-2</c:v>
                </c:pt>
                <c:pt idx="2040">
                  <c:v>1.3917417561390977E-2</c:v>
                </c:pt>
                <c:pt idx="2041">
                  <c:v>1.3916158510740573E-2</c:v>
                </c:pt>
                <c:pt idx="2042">
                  <c:v>1.3914878937519859E-2</c:v>
                </c:pt>
                <c:pt idx="2043">
                  <c:v>1.3913578841755481E-2</c:v>
                </c:pt>
                <c:pt idx="2044">
                  <c:v>1.3912258223500729E-2</c:v>
                </c:pt>
                <c:pt idx="2045">
                  <c:v>1.3910917082649021E-2</c:v>
                </c:pt>
                <c:pt idx="2046">
                  <c:v>1.3909555419280295E-2</c:v>
                </c:pt>
                <c:pt idx="2047">
                  <c:v>1.3908173233341259E-2</c:v>
                </c:pt>
                <c:pt idx="2048">
                  <c:v>1.3906770524885204E-2</c:v>
                </c:pt>
                <c:pt idx="2049">
                  <c:v>1.3905347293912129E-2</c:v>
                </c:pt>
                <c:pt idx="2050">
                  <c:v>1.3903903540368745E-2</c:v>
                </c:pt>
                <c:pt idx="2051">
                  <c:v>1.3902439264334987E-2</c:v>
                </c:pt>
                <c:pt idx="2052">
                  <c:v>1.3900954465677628E-2</c:v>
                </c:pt>
                <c:pt idx="2053">
                  <c:v>1.3899449144556542E-2</c:v>
                </c:pt>
                <c:pt idx="2054">
                  <c:v>1.389792330089179E-2</c:v>
                </c:pt>
                <c:pt idx="2055">
                  <c:v>1.3896376934683374E-2</c:v>
                </c:pt>
                <c:pt idx="2056">
                  <c:v>1.3894810045904649E-2</c:v>
                </c:pt>
                <c:pt idx="2057">
                  <c:v>1.389238276604754E-2</c:v>
                </c:pt>
                <c:pt idx="2058">
                  <c:v>1.3890615684486463E-2</c:v>
                </c:pt>
                <c:pt idx="2059">
                  <c:v>1.3888981490586261E-2</c:v>
                </c:pt>
                <c:pt idx="2060">
                  <c:v>1.3887326775821052E-2</c:v>
                </c:pt>
                <c:pt idx="2061">
                  <c:v>1.3885651540190835E-2</c:v>
                </c:pt>
                <c:pt idx="2062">
                  <c:v>1.3883955783455804E-2</c:v>
                </c:pt>
                <c:pt idx="2063">
                  <c:v>1.3882239505855765E-2</c:v>
                </c:pt>
                <c:pt idx="2064">
                  <c:v>1.388050270715091E-2</c:v>
                </c:pt>
                <c:pt idx="2065">
                  <c:v>1.3878745387581048E-2</c:v>
                </c:pt>
                <c:pt idx="2066">
                  <c:v>1.3876967546986307E-2</c:v>
                </c:pt>
                <c:pt idx="2067">
                  <c:v>1.3875169185606495E-2</c:v>
                </c:pt>
                <c:pt idx="2068">
                  <c:v>1.3873350303121867E-2</c:v>
                </c:pt>
                <c:pt idx="2069">
                  <c:v>1.3871510899692296E-2</c:v>
                </c:pt>
                <c:pt idx="2070">
                  <c:v>1.3869650975397718E-2</c:v>
                </c:pt>
                <c:pt idx="2071">
                  <c:v>1.3867770529998324E-2</c:v>
                </c:pt>
                <c:pt idx="2072">
                  <c:v>1.3865322661370527E-2</c:v>
                </c:pt>
                <c:pt idx="2073">
                  <c:v>1.3863948076524579E-2</c:v>
                </c:pt>
                <c:pt idx="2074">
                  <c:v>1.3862006068370292E-2</c:v>
                </c:pt>
                <c:pt idx="2075">
                  <c:v>1.3860043539191125E-2</c:v>
                </c:pt>
                <c:pt idx="2076">
                  <c:v>1.3858060488987078E-2</c:v>
                </c:pt>
                <c:pt idx="2077">
                  <c:v>1.3856056918077897E-2</c:v>
                </c:pt>
                <c:pt idx="2078">
                  <c:v>1.3854032825983964E-2</c:v>
                </c:pt>
                <c:pt idx="2079">
                  <c:v>1.3851988212945088E-2</c:v>
                </c:pt>
                <c:pt idx="2080">
                  <c:v>1.3849923079041204E-2</c:v>
                </c:pt>
                <c:pt idx="2081">
                  <c:v>1.3847837424192377E-2</c:v>
                </c:pt>
                <c:pt idx="2082">
                  <c:v>1.3845731248318671E-2</c:v>
                </c:pt>
                <c:pt idx="2083">
                  <c:v>1.3843604551579958E-2</c:v>
                </c:pt>
                <c:pt idx="2084">
                  <c:v>1.3841457333816365E-2</c:v>
                </c:pt>
                <c:pt idx="2085">
                  <c:v>1.3839289595107829E-2</c:v>
                </c:pt>
                <c:pt idx="2086">
                  <c:v>1.3837101335454349E-2</c:v>
                </c:pt>
                <c:pt idx="2087">
                  <c:v>1.3834892554935863E-2</c:v>
                </c:pt>
                <c:pt idx="2088">
                  <c:v>1.3832663253392496E-2</c:v>
                </c:pt>
                <c:pt idx="2089">
                  <c:v>1.3830413430904187E-2</c:v>
                </c:pt>
                <c:pt idx="2090">
                  <c:v>1.3828143087390998E-2</c:v>
                </c:pt>
                <c:pt idx="2091">
                  <c:v>1.3825852222932866E-2</c:v>
                </c:pt>
                <c:pt idx="2092">
                  <c:v>1.3823540837609727E-2</c:v>
                </c:pt>
                <c:pt idx="2093">
                  <c:v>1.3821208931261708E-2</c:v>
                </c:pt>
                <c:pt idx="2094">
                  <c:v>1.3818856504048682E-2</c:v>
                </c:pt>
                <c:pt idx="2095">
                  <c:v>1.3816483555890713E-2</c:v>
                </c:pt>
                <c:pt idx="2096">
                  <c:v>1.3814090086707864E-2</c:v>
                </c:pt>
                <c:pt idx="2097">
                  <c:v>1.3811676096580072E-2</c:v>
                </c:pt>
                <c:pt idx="2098">
                  <c:v>1.3809241585507337E-2</c:v>
                </c:pt>
                <c:pt idx="2099">
                  <c:v>1.3806786553569594E-2</c:v>
                </c:pt>
                <c:pt idx="2100">
                  <c:v>1.3804311000606972E-2</c:v>
                </c:pt>
                <c:pt idx="2101">
                  <c:v>1.3801814926699407E-2</c:v>
                </c:pt>
                <c:pt idx="2102">
                  <c:v>1.3799298331846899E-2</c:v>
                </c:pt>
                <c:pt idx="2103">
                  <c:v>1.3796761216129383E-2</c:v>
                </c:pt>
                <c:pt idx="2104">
                  <c:v>1.3794203579386988E-2</c:v>
                </c:pt>
                <c:pt idx="2105">
                  <c:v>1.3791625421699649E-2</c:v>
                </c:pt>
                <c:pt idx="2106">
                  <c:v>1.3789026743147303E-2</c:v>
                </c:pt>
                <c:pt idx="2107">
                  <c:v>1.3786407543570078E-2</c:v>
                </c:pt>
                <c:pt idx="2108">
                  <c:v>1.3783767822967974E-2</c:v>
                </c:pt>
                <c:pt idx="2109">
                  <c:v>1.3780798562010865E-2</c:v>
                </c:pt>
                <c:pt idx="2110">
                  <c:v>1.3778042177969851E-2</c:v>
                </c:pt>
                <c:pt idx="2111">
                  <c:v>1.377533796303787E-2</c:v>
                </c:pt>
                <c:pt idx="2112">
                  <c:v>1.3772613227240882E-2</c:v>
                </c:pt>
                <c:pt idx="2113">
                  <c:v>1.3769867970419014E-2</c:v>
                </c:pt>
                <c:pt idx="2114">
                  <c:v>1.3767102192732139E-2</c:v>
                </c:pt>
                <c:pt idx="2115">
                  <c:v>1.3764315894020385E-2</c:v>
                </c:pt>
                <c:pt idx="2116">
                  <c:v>1.3761509074443623E-2</c:v>
                </c:pt>
                <c:pt idx="2117">
                  <c:v>1.3758681733921918E-2</c:v>
                </c:pt>
                <c:pt idx="2118">
                  <c:v>1.3755833872375334E-2</c:v>
                </c:pt>
                <c:pt idx="2119">
                  <c:v>1.3752965490043678E-2</c:v>
                </c:pt>
                <c:pt idx="2120">
                  <c:v>1.3750076586687143E-2</c:v>
                </c:pt>
                <c:pt idx="2121">
                  <c:v>1.3747167162385665E-2</c:v>
                </c:pt>
                <c:pt idx="2122">
                  <c:v>1.3744237217139244E-2</c:v>
                </c:pt>
                <c:pt idx="2123">
                  <c:v>1.3740439991405395E-2</c:v>
                </c:pt>
                <c:pt idx="2124">
                  <c:v>1.3737463141278994E-2</c:v>
                </c:pt>
                <c:pt idx="2125">
                  <c:v>1.3734465770127713E-2</c:v>
                </c:pt>
                <c:pt idx="2126">
                  <c:v>1.373158383701556E-2</c:v>
                </c:pt>
                <c:pt idx="2127">
                  <c:v>1.3728409464990321E-2</c:v>
                </c:pt>
                <c:pt idx="2128">
                  <c:v>1.3725350531084146E-2</c:v>
                </c:pt>
                <c:pt idx="2129">
                  <c:v>1.3722271076153092E-2</c:v>
                </c:pt>
                <c:pt idx="2130">
                  <c:v>1.371917110035703E-2</c:v>
                </c:pt>
                <c:pt idx="2131">
                  <c:v>1.371605060353609E-2</c:v>
                </c:pt>
                <c:pt idx="2132">
                  <c:v>1.3712909585850142E-2</c:v>
                </c:pt>
                <c:pt idx="2133">
                  <c:v>1.370974804721925E-2</c:v>
                </c:pt>
                <c:pt idx="2134">
                  <c:v>1.3706565987723351E-2</c:v>
                </c:pt>
                <c:pt idx="2135">
                  <c:v>1.3703363407282509E-2</c:v>
                </c:pt>
                <c:pt idx="2136">
                  <c:v>1.3700140305816788E-2</c:v>
                </c:pt>
                <c:pt idx="2137">
                  <c:v>1.3696896683406123E-2</c:v>
                </c:pt>
                <c:pt idx="2138">
                  <c:v>1.3693632540130452E-2</c:v>
                </c:pt>
                <c:pt idx="2139">
                  <c:v>1.3690347875989772E-2</c:v>
                </c:pt>
                <c:pt idx="2140">
                  <c:v>1.3687042690824214E-2</c:v>
                </c:pt>
                <c:pt idx="2141">
                  <c:v>1.3683716984793648E-2</c:v>
                </c:pt>
                <c:pt idx="2142">
                  <c:v>1.3680370757818139E-2</c:v>
                </c:pt>
                <c:pt idx="2143">
                  <c:v>1.3677004009897686E-2</c:v>
                </c:pt>
                <c:pt idx="2144">
                  <c:v>1.3673616741112227E-2</c:v>
                </c:pt>
                <c:pt idx="2145">
                  <c:v>1.3670208951381824E-2</c:v>
                </c:pt>
                <c:pt idx="2146">
                  <c:v>1.3666780640706477E-2</c:v>
                </c:pt>
                <c:pt idx="2147">
                  <c:v>1.3663331809086188E-2</c:v>
                </c:pt>
                <c:pt idx="2148">
                  <c:v>1.3659862456520955E-2</c:v>
                </c:pt>
                <c:pt idx="2149">
                  <c:v>1.3656372583170651E-2</c:v>
                </c:pt>
                <c:pt idx="2150">
                  <c:v>1.3652862188795467E-2</c:v>
                </c:pt>
                <c:pt idx="2151">
                  <c:v>1.364933127347534E-2</c:v>
                </c:pt>
                <c:pt idx="2152">
                  <c:v>1.3645779837290206E-2</c:v>
                </c:pt>
                <c:pt idx="2153">
                  <c:v>1.3642207880160129E-2</c:v>
                </c:pt>
                <c:pt idx="2154">
                  <c:v>1.3638615402165044E-2</c:v>
                </c:pt>
                <c:pt idx="2155">
                  <c:v>1.363500240314508E-2</c:v>
                </c:pt>
                <c:pt idx="2156">
                  <c:v>1.3631368883260109E-2</c:v>
                </c:pt>
                <c:pt idx="2157">
                  <c:v>1.3627714842430194E-2</c:v>
                </c:pt>
                <c:pt idx="2158">
                  <c:v>1.3624040280815208E-2</c:v>
                </c:pt>
                <c:pt idx="2159">
                  <c:v>1.3620345198175343E-2</c:v>
                </c:pt>
                <c:pt idx="2160">
                  <c:v>1.3616602943589129E-2</c:v>
                </c:pt>
                <c:pt idx="2161">
                  <c:v>1.3612861997436276E-2</c:v>
                </c:pt>
                <c:pt idx="2162">
                  <c:v>1.3609136824825896E-2</c:v>
                </c:pt>
                <c:pt idx="2163">
                  <c:v>1.3605359658486194E-2</c:v>
                </c:pt>
                <c:pt idx="2164">
                  <c:v>1.360156197136142E-2</c:v>
                </c:pt>
                <c:pt idx="2165">
                  <c:v>1.3597743763211767E-2</c:v>
                </c:pt>
                <c:pt idx="2166">
                  <c:v>1.3593905034117171E-2</c:v>
                </c:pt>
                <c:pt idx="2167">
                  <c:v>1.3590045784237503E-2</c:v>
                </c:pt>
                <c:pt idx="2168">
                  <c:v>1.3586166013492829E-2</c:v>
                </c:pt>
                <c:pt idx="2169">
                  <c:v>1.3582265721643338E-2</c:v>
                </c:pt>
                <c:pt idx="2170">
                  <c:v>1.3578344909008777E-2</c:v>
                </c:pt>
                <c:pt idx="2171">
                  <c:v>1.3574403575429272E-2</c:v>
                </c:pt>
                <c:pt idx="2172">
                  <c:v>1.3570441721064697E-2</c:v>
                </c:pt>
                <c:pt idx="2173">
                  <c:v>1.3566459345675241E-2</c:v>
                </c:pt>
                <c:pt idx="2174">
                  <c:v>1.3562456449260907E-2</c:v>
                </c:pt>
                <c:pt idx="2175">
                  <c:v>1.3558433032141437E-2</c:v>
                </c:pt>
                <c:pt idx="2176">
                  <c:v>1.3554250033793735E-2</c:v>
                </c:pt>
                <c:pt idx="2177">
                  <c:v>1.3550324635067668E-2</c:v>
                </c:pt>
                <c:pt idx="2178">
                  <c:v>1.3546239655193304E-2</c:v>
                </c:pt>
                <c:pt idx="2179">
                  <c:v>1.3542134154373997E-2</c:v>
                </c:pt>
                <c:pt idx="2180">
                  <c:v>1.3538008132609747E-2</c:v>
                </c:pt>
                <c:pt idx="2181">
                  <c:v>1.3533861589900553E-2</c:v>
                </c:pt>
                <c:pt idx="2182">
                  <c:v>1.3529694526486225E-2</c:v>
                </c:pt>
                <c:pt idx="2183">
                  <c:v>1.3525506942206889E-2</c:v>
                </c:pt>
                <c:pt idx="2184">
                  <c:v>1.3521298836822737E-2</c:v>
                </c:pt>
                <c:pt idx="2185">
                  <c:v>1.3517070210573578E-2</c:v>
                </c:pt>
                <c:pt idx="2186">
                  <c:v>1.3512821063459413E-2</c:v>
                </c:pt>
                <c:pt idx="2187">
                  <c:v>1.3508551395560175E-2</c:v>
                </c:pt>
                <c:pt idx="2188">
                  <c:v>1.3504261206556123E-2</c:v>
                </c:pt>
                <c:pt idx="2189">
                  <c:v>1.3499950496766999E-2</c:v>
                </c:pt>
                <c:pt idx="2190">
                  <c:v>1.3495619266192804E-2</c:v>
                </c:pt>
                <c:pt idx="2191">
                  <c:v>1.3491267514513794E-2</c:v>
                </c:pt>
                <c:pt idx="2192">
                  <c:v>1.3486895242049712E-2</c:v>
                </c:pt>
                <c:pt idx="2193">
                  <c:v>1.3482502448720624E-2</c:v>
                </c:pt>
                <c:pt idx="2194">
                  <c:v>1.3478089134446591E-2</c:v>
                </c:pt>
                <c:pt idx="2195">
                  <c:v>1.3473655299307552E-2</c:v>
                </c:pt>
                <c:pt idx="2196">
                  <c:v>1.3469200943223569E-2</c:v>
                </c:pt>
                <c:pt idx="2197">
                  <c:v>1.3464726066274579E-2</c:v>
                </c:pt>
                <c:pt idx="2198">
                  <c:v>1.3460230668540518E-2</c:v>
                </c:pt>
                <c:pt idx="2199">
                  <c:v>1.3455714749781578E-2</c:v>
                </c:pt>
                <c:pt idx="2200">
                  <c:v>1.3451178310237566E-2</c:v>
                </c:pt>
                <c:pt idx="2201">
                  <c:v>1.3446621349748611E-2</c:v>
                </c:pt>
                <c:pt idx="2202">
                  <c:v>1.3442043868394649E-2</c:v>
                </c:pt>
                <c:pt idx="2203">
                  <c:v>1.3437445866175679E-2</c:v>
                </c:pt>
                <c:pt idx="2204">
                  <c:v>1.3432827343091702E-2</c:v>
                </c:pt>
                <c:pt idx="2205">
                  <c:v>1.3428188299062782E-2</c:v>
                </c:pt>
                <c:pt idx="2206">
                  <c:v>1.3423528734088919E-2</c:v>
                </c:pt>
                <c:pt idx="2207">
                  <c:v>1.3418848648489856E-2</c:v>
                </c:pt>
                <c:pt idx="2208">
                  <c:v>1.3414148041706042E-2</c:v>
                </c:pt>
                <c:pt idx="2209">
                  <c:v>1.3409426914137157E-2</c:v>
                </c:pt>
                <c:pt idx="2210">
                  <c:v>1.3404685265783201E-2</c:v>
                </c:pt>
                <c:pt idx="2211">
                  <c:v>1.3399923096404365E-2</c:v>
                </c:pt>
                <c:pt idx="2212">
                  <c:v>1.3395140406320394E-2</c:v>
                </c:pt>
                <c:pt idx="2213">
                  <c:v>1.3390337195211544E-2</c:v>
                </c:pt>
                <c:pt idx="2214">
                  <c:v>1.3385513463317622E-2</c:v>
                </c:pt>
                <c:pt idx="2215">
                  <c:v>1.3380669210558693E-2</c:v>
                </c:pt>
                <c:pt idx="2216">
                  <c:v>1.3375804436934757E-2</c:v>
                </c:pt>
                <c:pt idx="2217">
                  <c:v>1.3370919142365878E-2</c:v>
                </c:pt>
                <c:pt idx="2218">
                  <c:v>1.3366013326852055E-2</c:v>
                </c:pt>
                <c:pt idx="2219">
                  <c:v>1.3361086990633098E-2</c:v>
                </c:pt>
                <c:pt idx="2220">
                  <c:v>1.335614013338926E-2</c:v>
                </c:pt>
                <c:pt idx="2221">
                  <c:v>1.3351172755360352E-2</c:v>
                </c:pt>
                <c:pt idx="2222">
                  <c:v>1.3346184856546373E-2</c:v>
                </c:pt>
                <c:pt idx="2223">
                  <c:v>1.334117643678745E-2</c:v>
                </c:pt>
                <c:pt idx="2224">
                  <c:v>1.3336147496083584E-2</c:v>
                </c:pt>
                <c:pt idx="2225">
                  <c:v>1.3331098034674582E-2</c:v>
                </c:pt>
                <c:pt idx="2226">
                  <c:v>1.3326028052240702E-2</c:v>
                </c:pt>
                <c:pt idx="2227">
                  <c:v>1.3320464570933055E-2</c:v>
                </c:pt>
                <c:pt idx="2228">
                  <c:v>1.3315826524857854E-2</c:v>
                </c:pt>
                <c:pt idx="2229">
                  <c:v>1.3310694979988824E-2</c:v>
                </c:pt>
                <c:pt idx="2230">
                  <c:v>1.330554291417485E-2</c:v>
                </c:pt>
                <c:pt idx="2231">
                  <c:v>1.330037032749587E-2</c:v>
                </c:pt>
                <c:pt idx="2232">
                  <c:v>1.3295177219951881E-2</c:v>
                </c:pt>
                <c:pt idx="2233">
                  <c:v>1.3289963591542886E-2</c:v>
                </c:pt>
                <c:pt idx="2234">
                  <c:v>1.3284729442348819E-2</c:v>
                </c:pt>
                <c:pt idx="2235">
                  <c:v>1.3279474772049937E-2</c:v>
                </c:pt>
                <c:pt idx="2236">
                  <c:v>1.3274199581125856E-2</c:v>
                </c:pt>
                <c:pt idx="2237">
                  <c:v>1.3268903869336768E-2</c:v>
                </c:pt>
                <c:pt idx="2238">
                  <c:v>1.3263587636602736E-2</c:v>
                </c:pt>
                <c:pt idx="2239">
                  <c:v>1.3258250883083633E-2</c:v>
                </c:pt>
                <c:pt idx="2240">
                  <c:v>1.3252893608779459E-2</c:v>
                </c:pt>
                <c:pt idx="2241">
                  <c:v>1.3247515813530342E-2</c:v>
                </c:pt>
                <c:pt idx="2242">
                  <c:v>1.3242117497336281E-2</c:v>
                </c:pt>
                <c:pt idx="2243">
                  <c:v>1.3236698660437085E-2</c:v>
                </c:pt>
                <c:pt idx="2244">
                  <c:v>1.3231259302592946E-2</c:v>
                </c:pt>
                <c:pt idx="2245">
                  <c:v>1.3225799423963736E-2</c:v>
                </c:pt>
                <c:pt idx="2246">
                  <c:v>1.3220319024469518E-2</c:v>
                </c:pt>
                <c:pt idx="2247">
                  <c:v>1.3214818104110293E-2</c:v>
                </c:pt>
                <c:pt idx="2248">
                  <c:v>1.3209296662965997E-2</c:v>
                </c:pt>
                <c:pt idx="2249">
                  <c:v>1.3203754700876758E-2</c:v>
                </c:pt>
                <c:pt idx="2250">
                  <c:v>1.3198192217922511E-2</c:v>
                </c:pt>
                <c:pt idx="2251">
                  <c:v>1.3192609214343065E-2</c:v>
                </c:pt>
                <c:pt idx="2252">
                  <c:v>1.318700568973874E-2</c:v>
                </c:pt>
                <c:pt idx="2253">
                  <c:v>1.3181381644269408E-2</c:v>
                </c:pt>
                <c:pt idx="2254">
                  <c:v>1.3175737078174876E-2</c:v>
                </c:pt>
                <c:pt idx="2255">
                  <c:v>1.3170071991135401E-2</c:v>
                </c:pt>
                <c:pt idx="2256">
                  <c:v>1.3164386383150983E-2</c:v>
                </c:pt>
                <c:pt idx="2257">
                  <c:v>1.3158680254381494E-2</c:v>
                </c:pt>
                <c:pt idx="2258">
                  <c:v>1.3152953604746997E-2</c:v>
                </c:pt>
                <c:pt idx="2259">
                  <c:v>1.314720643432743E-2</c:v>
                </c:pt>
                <c:pt idx="2260">
                  <c:v>1.3141438743122791E-2</c:v>
                </c:pt>
                <c:pt idx="2261">
                  <c:v>1.3135650531053145E-2</c:v>
                </c:pt>
                <c:pt idx="2262">
                  <c:v>1.3129841798118491E-2</c:v>
                </c:pt>
                <c:pt idx="2263">
                  <c:v>1.3124012544398767E-2</c:v>
                </c:pt>
                <c:pt idx="2264">
                  <c:v>1.3118162769734099E-2</c:v>
                </c:pt>
                <c:pt idx="2265">
                  <c:v>1.3112292474364295E-2</c:v>
                </c:pt>
                <c:pt idx="2266">
                  <c:v>1.3106401658049549E-2</c:v>
                </c:pt>
                <c:pt idx="2267">
                  <c:v>1.3100490320949731E-2</c:v>
                </c:pt>
                <c:pt idx="2268">
                  <c:v>1.3094558463144779E-2</c:v>
                </c:pt>
                <c:pt idx="2269">
                  <c:v>1.3088606084394883E-2</c:v>
                </c:pt>
                <c:pt idx="2270">
                  <c:v>1.3082633184859915E-2</c:v>
                </c:pt>
                <c:pt idx="2271">
                  <c:v>1.3076639764459941E-2</c:v>
                </c:pt>
                <c:pt idx="2272">
                  <c:v>1.3070625823274895E-2</c:v>
                </c:pt>
                <c:pt idx="2273">
                  <c:v>1.3064591361304778E-2</c:v>
                </c:pt>
                <c:pt idx="2274">
                  <c:v>1.3058536378389718E-2</c:v>
                </c:pt>
                <c:pt idx="2275">
                  <c:v>1.3052460874769523E-2</c:v>
                </c:pt>
                <c:pt idx="2276">
                  <c:v>1.304636485028432E-2</c:v>
                </c:pt>
                <c:pt idx="2277">
                  <c:v>1.3040248305014046E-2</c:v>
                </c:pt>
                <c:pt idx="2278">
                  <c:v>1.3033297205701899E-2</c:v>
                </c:pt>
                <c:pt idx="2279">
                  <c:v>1.3027953652038349E-2</c:v>
                </c:pt>
                <c:pt idx="2280">
                  <c:v>1.3021775544252989E-2</c:v>
                </c:pt>
                <c:pt idx="2281">
                  <c:v>1.3015576915762495E-2</c:v>
                </c:pt>
                <c:pt idx="2282">
                  <c:v>1.3009357766327057E-2</c:v>
                </c:pt>
                <c:pt idx="2283">
                  <c:v>1.3003118096186483E-2</c:v>
                </c:pt>
                <c:pt idx="2284">
                  <c:v>1.2996857905340775E-2</c:v>
                </c:pt>
                <c:pt idx="2285">
                  <c:v>1.2990577193470187E-2</c:v>
                </c:pt>
                <c:pt idx="2286">
                  <c:v>1.2984275960814529E-2</c:v>
                </c:pt>
                <c:pt idx="2287">
                  <c:v>1.2977954207453735E-2</c:v>
                </c:pt>
                <c:pt idx="2288">
                  <c:v>1.2971611933227933E-2</c:v>
                </c:pt>
                <c:pt idx="2289">
                  <c:v>1.2965249138217061E-2</c:v>
                </c:pt>
                <c:pt idx="2290">
                  <c:v>1.2958865822421117E-2</c:v>
                </c:pt>
                <c:pt idx="2291">
                  <c:v>1.2952461985840102E-2</c:v>
                </c:pt>
                <c:pt idx="2292">
                  <c:v>1.294603762839408E-2</c:v>
                </c:pt>
                <c:pt idx="2293">
                  <c:v>1.2939592750083051E-2</c:v>
                </c:pt>
                <c:pt idx="2294">
                  <c:v>1.2933127351226759E-2</c:v>
                </c:pt>
                <c:pt idx="2295">
                  <c:v>1.2926641431265651E-2</c:v>
                </c:pt>
                <c:pt idx="2296">
                  <c:v>1.2920134990679344E-2</c:v>
                </c:pt>
                <c:pt idx="2297">
                  <c:v>1.2913608029307966E-2</c:v>
                </c:pt>
                <c:pt idx="2298">
                  <c:v>1.290706054707158E-2</c:v>
                </c:pt>
                <c:pt idx="2299">
                  <c:v>1.290049254413006E-2</c:v>
                </c:pt>
                <c:pt idx="2300">
                  <c:v>1.2893904020243596E-2</c:v>
                </c:pt>
                <c:pt idx="2301">
                  <c:v>1.2887294975811869E-2</c:v>
                </c:pt>
                <c:pt idx="2302">
                  <c:v>1.2880665410355263E-2</c:v>
                </c:pt>
                <c:pt idx="2303">
                  <c:v>1.2874015324273458E-2</c:v>
                </c:pt>
                <c:pt idx="2304">
                  <c:v>1.2867344717326645E-2</c:v>
                </c:pt>
                <c:pt idx="2305">
                  <c:v>1.2860653589594762E-2</c:v>
                </c:pt>
                <c:pt idx="2306">
                  <c:v>1.2853941941157743E-2</c:v>
                </c:pt>
                <c:pt idx="2307">
                  <c:v>1.2847209771855717E-2</c:v>
                </c:pt>
                <c:pt idx="2308">
                  <c:v>1.2840457081688683E-2</c:v>
                </c:pt>
                <c:pt idx="2309">
                  <c:v>1.2833683870896451E-2</c:v>
                </c:pt>
                <c:pt idx="2310">
                  <c:v>1.2826890139239211E-2</c:v>
                </c:pt>
                <c:pt idx="2311">
                  <c:v>1.28200758867969E-2</c:v>
                </c:pt>
                <c:pt idx="2312">
                  <c:v>1.2813241113649454E-2</c:v>
                </c:pt>
                <c:pt idx="2313">
                  <c:v>1.2806385819637001E-2</c:v>
                </c:pt>
                <c:pt idx="2314">
                  <c:v>1.2799510004839476E-2</c:v>
                </c:pt>
                <c:pt idx="2315">
                  <c:v>1.2792613669336816E-2</c:v>
                </c:pt>
                <c:pt idx="2316">
                  <c:v>1.2785696813049086E-2</c:v>
                </c:pt>
                <c:pt idx="2317">
                  <c:v>1.2776956721018973E-2</c:v>
                </c:pt>
                <c:pt idx="2318">
                  <c:v>1.27702626307169E-2</c:v>
                </c:pt>
                <c:pt idx="2319">
                  <c:v>1.2763277853666821E-2</c:v>
                </c:pt>
                <c:pt idx="2320">
                  <c:v>1.2756272554659276E-2</c:v>
                </c:pt>
                <c:pt idx="2321">
                  <c:v>1.2749246733694264E-2</c:v>
                </c:pt>
                <c:pt idx="2322">
                  <c:v>1.2742200390825076E-2</c:v>
                </c:pt>
                <c:pt idx="2323">
                  <c:v>1.2735133525998421E-2</c:v>
                </c:pt>
                <c:pt idx="2324">
                  <c:v>1.2728046139187654E-2</c:v>
                </c:pt>
                <c:pt idx="2325">
                  <c:v>1.2720938230472711E-2</c:v>
                </c:pt>
                <c:pt idx="2326">
                  <c:v>1.2713809799826947E-2</c:v>
                </c:pt>
                <c:pt idx="2327">
                  <c:v>1.2706660847277007E-2</c:v>
                </c:pt>
                <c:pt idx="2328">
                  <c:v>1.2699491372796246E-2</c:v>
                </c:pt>
                <c:pt idx="2329">
                  <c:v>1.2692301376384663E-2</c:v>
                </c:pt>
                <c:pt idx="2330">
                  <c:v>1.2685090858068904E-2</c:v>
                </c:pt>
                <c:pt idx="2331">
                  <c:v>1.2677859817848969E-2</c:v>
                </c:pt>
                <c:pt idx="2332">
                  <c:v>1.2670608255724858E-2</c:v>
                </c:pt>
                <c:pt idx="2333">
                  <c:v>1.2659768222613721E-2</c:v>
                </c:pt>
                <c:pt idx="2334">
                  <c:v>1.2656043565684172E-2</c:v>
                </c:pt>
                <c:pt idx="2335">
                  <c:v>1.2646193098309055E-2</c:v>
                </c:pt>
                <c:pt idx="2336">
                  <c:v>1.2638854100739394E-2</c:v>
                </c:pt>
                <c:pt idx="2337">
                  <c:v>1.2631494582384661E-2</c:v>
                </c:pt>
                <c:pt idx="2338">
                  <c:v>1.2624114543164922E-2</c:v>
                </c:pt>
                <c:pt idx="2339">
                  <c:v>1.2616713983319983E-2</c:v>
                </c:pt>
                <c:pt idx="2340">
                  <c:v>1.2609292902610036E-2</c:v>
                </c:pt>
                <c:pt idx="2341">
                  <c:v>1.2601851301274891E-2</c:v>
                </c:pt>
                <c:pt idx="2342">
                  <c:v>1.2594389179154675E-2</c:v>
                </c:pt>
                <c:pt idx="2343">
                  <c:v>1.2586906536329323E-2</c:v>
                </c:pt>
                <c:pt idx="2344">
                  <c:v>1.2579403372638964E-2</c:v>
                </c:pt>
                <c:pt idx="2345">
                  <c:v>1.2571879688323406E-2</c:v>
                </c:pt>
                <c:pt idx="2346">
                  <c:v>1.2564335483222777E-2</c:v>
                </c:pt>
                <c:pt idx="2347">
                  <c:v>1.2556770757417013E-2</c:v>
                </c:pt>
                <c:pt idx="2348">
                  <c:v>1.2549185510906113E-2</c:v>
                </c:pt>
                <c:pt idx="2349">
                  <c:v>1.2541579743610143E-2</c:v>
                </c:pt>
                <c:pt idx="2350">
                  <c:v>1.2533953455609037E-2</c:v>
                </c:pt>
                <c:pt idx="2351">
                  <c:v>1.2526306646902796E-2</c:v>
                </c:pt>
                <c:pt idx="2352">
                  <c:v>1.2518639317411484E-2</c:v>
                </c:pt>
                <c:pt idx="2353">
                  <c:v>1.2510951467135101E-2</c:v>
                </c:pt>
                <c:pt idx="2354">
                  <c:v>1.2503243096233518E-2</c:v>
                </c:pt>
                <c:pt idx="2355">
                  <c:v>1.2495514204626801E-2</c:v>
                </c:pt>
                <c:pt idx="2356">
                  <c:v>1.2487764792314948E-2</c:v>
                </c:pt>
                <c:pt idx="2357">
                  <c:v>1.2479994859218024E-2</c:v>
                </c:pt>
                <c:pt idx="2358">
                  <c:v>1.2472204405415965E-2</c:v>
                </c:pt>
                <c:pt idx="2359">
                  <c:v>1.2464393430908771E-2</c:v>
                </c:pt>
                <c:pt idx="2360">
                  <c:v>1.2456561935616506E-2</c:v>
                </c:pt>
                <c:pt idx="2361">
                  <c:v>1.2448709919778977E-2</c:v>
                </c:pt>
                <c:pt idx="2362">
                  <c:v>1.2440837383076442E-2</c:v>
                </c:pt>
                <c:pt idx="2363">
                  <c:v>1.2432944325588835E-2</c:v>
                </c:pt>
                <c:pt idx="2364">
                  <c:v>1.2425030747555965E-2</c:v>
                </c:pt>
                <c:pt idx="2365">
                  <c:v>1.2417096648738024E-2</c:v>
                </c:pt>
                <c:pt idx="2366">
                  <c:v>1.2409142029214948E-2</c:v>
                </c:pt>
                <c:pt idx="2367">
                  <c:v>1.2401166888906801E-2</c:v>
                </c:pt>
                <c:pt idx="2368">
                  <c:v>1.239317122805339E-2</c:v>
                </c:pt>
                <c:pt idx="2369">
                  <c:v>1.2383647556402089E-2</c:v>
                </c:pt>
                <c:pt idx="2370">
                  <c:v>1.2375968568596463E-2</c:v>
                </c:pt>
                <c:pt idx="2371">
                  <c:v>1.2367908414052664E-2</c:v>
                </c:pt>
                <c:pt idx="2372">
                  <c:v>1.2359827738643858E-2</c:v>
                </c:pt>
                <c:pt idx="2373">
                  <c:v>1.2351726542769725E-2</c:v>
                </c:pt>
                <c:pt idx="2374">
                  <c:v>1.2343604826030585E-2</c:v>
                </c:pt>
                <c:pt idx="2375">
                  <c:v>1.2335462588666246E-2</c:v>
                </c:pt>
                <c:pt idx="2376">
                  <c:v>1.2327299830676708E-2</c:v>
                </c:pt>
                <c:pt idx="2377">
                  <c:v>1.2319116551902098E-2</c:v>
                </c:pt>
                <c:pt idx="2378">
                  <c:v>1.231091275250229E-2</c:v>
                </c:pt>
                <c:pt idx="2379">
                  <c:v>1.2302688432397346E-2</c:v>
                </c:pt>
                <c:pt idx="2380">
                  <c:v>1.2294443591507331E-2</c:v>
                </c:pt>
                <c:pt idx="2381">
                  <c:v>1.2286178229912181E-2</c:v>
                </c:pt>
                <c:pt idx="2382">
                  <c:v>1.2277892347771768E-2</c:v>
                </c:pt>
                <c:pt idx="2383">
                  <c:v>1.2267208917791095E-2</c:v>
                </c:pt>
                <c:pt idx="2384">
                  <c:v>1.2258876131170382E-2</c:v>
                </c:pt>
                <c:pt idx="2385">
                  <c:v>1.2250522823844534E-2</c:v>
                </c:pt>
                <c:pt idx="2386">
                  <c:v>1.2240168712782662E-2</c:v>
                </c:pt>
                <c:pt idx="2387">
                  <c:v>1.2233754647237305E-2</c:v>
                </c:pt>
                <c:pt idx="2388">
                  <c:v>1.2225339777955924E-2</c:v>
                </c:pt>
                <c:pt idx="2389">
                  <c:v>1.2216904387729599E-2</c:v>
                </c:pt>
                <c:pt idx="2390">
                  <c:v>1.2208448477117884E-2</c:v>
                </c:pt>
                <c:pt idx="2391">
                  <c:v>1.2199972045721097E-2</c:v>
                </c:pt>
                <c:pt idx="2392">
                  <c:v>1.2191475093699111E-2</c:v>
                </c:pt>
                <c:pt idx="2393">
                  <c:v>1.2182957620892054E-2</c:v>
                </c:pt>
                <c:pt idx="2394">
                  <c:v>1.217441962761967E-2</c:v>
                </c:pt>
                <c:pt idx="2395">
                  <c:v>1.2165861113482279E-2</c:v>
                </c:pt>
                <c:pt idx="2396">
                  <c:v>1.2157282078719689E-2</c:v>
                </c:pt>
                <c:pt idx="2397">
                  <c:v>1.2148682523411836E-2</c:v>
                </c:pt>
                <c:pt idx="2398">
                  <c:v>1.2140062447318911E-2</c:v>
                </c:pt>
                <c:pt idx="2399">
                  <c:v>1.2131421850600788E-2</c:v>
                </c:pt>
                <c:pt idx="2400">
                  <c:v>1.2122760733257465E-2</c:v>
                </c:pt>
                <c:pt idx="2401">
                  <c:v>1.2114079095368879E-2</c:v>
                </c:pt>
                <c:pt idx="2402">
                  <c:v>1.210537693653535E-2</c:v>
                </c:pt>
                <c:pt idx="2403">
                  <c:v>1.2096654257236494E-2</c:v>
                </c:pt>
                <c:pt idx="2404">
                  <c:v>1.2087911057232503E-2</c:v>
                </c:pt>
                <c:pt idx="2405">
                  <c:v>1.2079147336603313E-2</c:v>
                </c:pt>
                <c:pt idx="2406">
                  <c:v>1.2070363095348924E-2</c:v>
                </c:pt>
                <c:pt idx="2407">
                  <c:v>1.2061558333309463E-2</c:v>
                </c:pt>
                <c:pt idx="2408">
                  <c:v>1.2052733050644804E-2</c:v>
                </c:pt>
                <c:pt idx="2409">
                  <c:v>1.2043887247594753E-2</c:v>
                </c:pt>
                <c:pt idx="2410">
                  <c:v>1.203502092359976E-2</c:v>
                </c:pt>
                <c:pt idx="2411">
                  <c:v>1.2026134078979567E-2</c:v>
                </c:pt>
                <c:pt idx="2412">
                  <c:v>1.2017226713973983E-2</c:v>
                </c:pt>
                <c:pt idx="2413">
                  <c:v>1.2008298828023456E-2</c:v>
                </c:pt>
                <c:pt idx="2414">
                  <c:v>1.199935042144773E-2</c:v>
                </c:pt>
                <c:pt idx="2415">
                  <c:v>1.1990381494406677E-2</c:v>
                </c:pt>
                <c:pt idx="2416">
                  <c:v>1.1981392046820361E-2</c:v>
                </c:pt>
                <c:pt idx="2417">
                  <c:v>1.1972382078369037E-2</c:v>
                </c:pt>
                <c:pt idx="2418">
                  <c:v>1.1963351589292515E-2</c:v>
                </c:pt>
                <c:pt idx="2419">
                  <c:v>1.1954300579750665E-2</c:v>
                </c:pt>
                <c:pt idx="2420">
                  <c:v>1.1940036104469698E-2</c:v>
                </c:pt>
                <c:pt idx="2421">
                  <c:v>1.1933930946677052E-2</c:v>
                </c:pt>
                <c:pt idx="2422">
                  <c:v>1.1927024427054178E-2</c:v>
                </c:pt>
                <c:pt idx="2423">
                  <c:v>1.1917891334931596E-2</c:v>
                </c:pt>
                <c:pt idx="2424">
                  <c:v>1.1908737722183815E-2</c:v>
                </c:pt>
                <c:pt idx="2425">
                  <c:v>1.1899563588650963E-2</c:v>
                </c:pt>
                <c:pt idx="2426">
                  <c:v>1.189036893473272E-2</c:v>
                </c:pt>
                <c:pt idx="2427">
                  <c:v>1.1881153760109342E-2</c:v>
                </c:pt>
                <c:pt idx="2428">
                  <c:v>1.1871918064860765E-2</c:v>
                </c:pt>
                <c:pt idx="2429">
                  <c:v>1.1862661848986988E-2</c:v>
                </c:pt>
                <c:pt idx="2430">
                  <c:v>1.1853385112408077E-2</c:v>
                </c:pt>
                <c:pt idx="2431">
                  <c:v>1.1844087855283902E-2</c:v>
                </c:pt>
                <c:pt idx="2432">
                  <c:v>1.1834770077614465E-2</c:v>
                </c:pt>
                <c:pt idx="2433">
                  <c:v>1.1823536074190955E-2</c:v>
                </c:pt>
                <c:pt idx="2434">
                  <c:v>1.1816072960479929E-2</c:v>
                </c:pt>
                <c:pt idx="2435">
                  <c:v>1.1806693620934894E-2</c:v>
                </c:pt>
                <c:pt idx="2436">
                  <c:v>1.1797293760684724E-2</c:v>
                </c:pt>
                <c:pt idx="2437">
                  <c:v>1.1787873380049163E-2</c:v>
                </c:pt>
                <c:pt idx="2438">
                  <c:v>1.177698435842478E-2</c:v>
                </c:pt>
                <c:pt idx="2439">
                  <c:v>1.1768971056742572E-2</c:v>
                </c:pt>
                <c:pt idx="2440">
                  <c:v>1.1759489114071542E-2</c:v>
                </c:pt>
                <c:pt idx="2441">
                  <c:v>1.1749986651015121E-2</c:v>
                </c:pt>
                <c:pt idx="2442">
                  <c:v>1.1740463667413437E-2</c:v>
                </c:pt>
                <c:pt idx="2443">
                  <c:v>1.1730920163026681E-2</c:v>
                </c:pt>
                <c:pt idx="2444">
                  <c:v>1.1721356138014727E-2</c:v>
                </c:pt>
                <c:pt idx="2445">
                  <c:v>1.1711771592537445E-2</c:v>
                </c:pt>
                <c:pt idx="2446">
                  <c:v>1.1702166526514901E-2</c:v>
                </c:pt>
                <c:pt idx="2447">
                  <c:v>1.1692540939787222E-2</c:v>
                </c:pt>
                <c:pt idx="2448">
                  <c:v>1.1682894832434343E-2</c:v>
                </c:pt>
                <c:pt idx="2449">
                  <c:v>1.1673228204696073E-2</c:v>
                </c:pt>
                <c:pt idx="2450">
                  <c:v>1.1663541056332605E-2</c:v>
                </c:pt>
                <c:pt idx="2451">
                  <c:v>1.1653833387264001E-2</c:v>
                </c:pt>
                <c:pt idx="2452">
                  <c:v>1.1644105197570198E-2</c:v>
                </c:pt>
                <c:pt idx="2453">
                  <c:v>1.1634356487411068E-2</c:v>
                </c:pt>
                <c:pt idx="2454">
                  <c:v>1.1624587256706675E-2</c:v>
                </c:pt>
                <c:pt idx="2455">
                  <c:v>1.1614797505377084E-2</c:v>
                </c:pt>
                <c:pt idx="2456">
                  <c:v>1.1604987233502229E-2</c:v>
                </c:pt>
                <c:pt idx="2457">
                  <c:v>1.1595156441002175E-2</c:v>
                </c:pt>
                <c:pt idx="2458">
                  <c:v>1.1585305127956858E-2</c:v>
                </c:pt>
                <c:pt idx="2459">
                  <c:v>1.1575433294446213E-2</c:v>
                </c:pt>
                <c:pt idx="2460">
                  <c:v>1.1565540940150498E-2</c:v>
                </c:pt>
                <c:pt idx="2461">
                  <c:v>1.1555628065469392E-2</c:v>
                </c:pt>
                <c:pt idx="2462">
                  <c:v>1.1545694670163087E-2</c:v>
                </c:pt>
                <c:pt idx="2463">
                  <c:v>1.1535740754391455E-2</c:v>
                </c:pt>
                <c:pt idx="2464">
                  <c:v>1.1525766317994623E-2</c:v>
                </c:pt>
                <c:pt idx="2465">
                  <c:v>1.1515771360892657E-2</c:v>
                </c:pt>
                <c:pt idx="2466">
                  <c:v>1.1505755883325364E-2</c:v>
                </c:pt>
                <c:pt idx="2467">
                  <c:v>1.1495719885372679E-2</c:v>
                </c:pt>
                <c:pt idx="2468">
                  <c:v>1.1485663366634924E-2</c:v>
                </c:pt>
                <c:pt idx="2469">
                  <c:v>1.1475586327511778E-2</c:v>
                </c:pt>
                <c:pt idx="2470">
                  <c:v>1.1465488767763432E-2</c:v>
                </c:pt>
                <c:pt idx="2471">
                  <c:v>1.1455370687629696E-2</c:v>
                </c:pt>
                <c:pt idx="2472">
                  <c:v>1.1443602207539261E-2</c:v>
                </c:pt>
                <c:pt idx="2473">
                  <c:v>1.1433437720127504E-2</c:v>
                </c:pt>
                <c:pt idx="2474">
                  <c:v>1.1424893323477292E-2</c:v>
                </c:pt>
                <c:pt idx="2475">
                  <c:v>1.1414693160922695E-2</c:v>
                </c:pt>
                <c:pt idx="2476">
                  <c:v>1.1404472477982708E-2</c:v>
                </c:pt>
                <c:pt idx="2477">
                  <c:v>1.1394231274497457E-2</c:v>
                </c:pt>
                <c:pt idx="2478">
                  <c:v>1.138396955054688E-2</c:v>
                </c:pt>
                <c:pt idx="2479">
                  <c:v>1.1373687305811231E-2</c:v>
                </c:pt>
                <c:pt idx="2480">
                  <c:v>1.1363384540770127E-2</c:v>
                </c:pt>
                <c:pt idx="2481">
                  <c:v>1.1353061255023889E-2</c:v>
                </c:pt>
                <c:pt idx="2482">
                  <c:v>1.1342717448892259E-2</c:v>
                </c:pt>
                <c:pt idx="2483">
                  <c:v>1.1332353122215366E-2</c:v>
                </c:pt>
                <c:pt idx="2484">
                  <c:v>1.132196827499321E-2</c:v>
                </c:pt>
                <c:pt idx="2485">
                  <c:v>1.1311562907305728E-2</c:v>
                </c:pt>
                <c:pt idx="2486">
                  <c:v>1.1301137019072982E-2</c:v>
                </c:pt>
                <c:pt idx="2487">
                  <c:v>1.1290690610135101E-2</c:v>
                </c:pt>
                <c:pt idx="2488">
                  <c:v>1.1277935496689651E-2</c:v>
                </c:pt>
                <c:pt idx="2489">
                  <c:v>1.1269736231103167E-2</c:v>
                </c:pt>
                <c:pt idx="2490">
                  <c:v>1.1259228260689369E-2</c:v>
                </c:pt>
                <c:pt idx="2491">
                  <c:v>1.1248699769970116E-2</c:v>
                </c:pt>
                <c:pt idx="2492">
                  <c:v>1.1238150937442626E-2</c:v>
                </c:pt>
                <c:pt idx="2493">
                  <c:v>1.122761144840112E-2</c:v>
                </c:pt>
                <c:pt idx="2494">
                  <c:v>1.1217104013878654E-2</c:v>
                </c:pt>
                <c:pt idx="2495">
                  <c:v>1.1206628633875226E-2</c:v>
                </c:pt>
                <c:pt idx="2496">
                  <c:v>1.1196185308470774E-2</c:v>
                </c:pt>
                <c:pt idx="2497">
                  <c:v>1.1185774037425489E-2</c:v>
                </c:pt>
                <c:pt idx="2498">
                  <c:v>1.1175394820979179E-2</c:v>
                </c:pt>
                <c:pt idx="2499">
                  <c:v>1.1165047658892036E-2</c:v>
                </c:pt>
                <c:pt idx="2500">
                  <c:v>1.1154732551483804E-2</c:v>
                </c:pt>
                <c:pt idx="2501">
                  <c:v>1.1144449498354803E-2</c:v>
                </c:pt>
                <c:pt idx="2502">
                  <c:v>1.1134198499824777E-2</c:v>
                </c:pt>
                <c:pt idx="2503">
                  <c:v>1.1123979555733854E-2</c:v>
                </c:pt>
                <c:pt idx="2504">
                  <c:v>1.1113792666082034E-2</c:v>
                </c:pt>
                <c:pt idx="2505">
                  <c:v>1.1103637831109126E-2</c:v>
                </c:pt>
                <c:pt idx="2506">
                  <c:v>1.1093515050415448E-2</c:v>
                </c:pt>
                <c:pt idx="2507">
                  <c:v>1.1083424324160873E-2</c:v>
                </c:pt>
                <c:pt idx="2508">
                  <c:v>1.107336565258521E-2</c:v>
                </c:pt>
                <c:pt idx="2509">
                  <c:v>1.1063339035208841E-2</c:v>
                </c:pt>
                <c:pt idx="2510">
                  <c:v>1.105334447259132E-2</c:v>
                </c:pt>
                <c:pt idx="2511">
                  <c:v>1.1043381964173093E-2</c:v>
                </c:pt>
                <c:pt idx="2512">
                  <c:v>1.1033451510273906E-2</c:v>
                </c:pt>
                <c:pt idx="2513">
                  <c:v>1.1023553110893758E-2</c:v>
                </c:pt>
                <c:pt idx="2514">
                  <c:v>1.1013686765872777E-2</c:v>
                </c:pt>
                <c:pt idx="2515">
                  <c:v>1.1003852475370834E-2</c:v>
                </c:pt>
                <c:pt idx="2516">
                  <c:v>1.0994050239228059E-2</c:v>
                </c:pt>
                <c:pt idx="2517">
                  <c:v>1.0984280057604323E-2</c:v>
                </c:pt>
                <c:pt idx="2518">
                  <c:v>1.097454193041969E-2</c:v>
                </c:pt>
                <c:pt idx="2519">
                  <c:v>1.0964835857594224E-2</c:v>
                </c:pt>
                <c:pt idx="2520">
                  <c:v>1.0955161839287797E-2</c:v>
                </c:pt>
                <c:pt idx="2521">
                  <c:v>1.0945519875420473E-2</c:v>
                </c:pt>
                <c:pt idx="2522">
                  <c:v>1.0935909965992252E-2</c:v>
                </c:pt>
                <c:pt idx="2523">
                  <c:v>1.0926332110923198E-2</c:v>
                </c:pt>
                <c:pt idx="2524">
                  <c:v>1.0916786310293247E-2</c:v>
                </c:pt>
                <c:pt idx="2525">
                  <c:v>1.0907272564022463E-2</c:v>
                </c:pt>
                <c:pt idx="2526">
                  <c:v>1.0897790872350654E-2</c:v>
                </c:pt>
                <c:pt idx="2527">
                  <c:v>1.0888341234958077E-2</c:v>
                </c:pt>
                <c:pt idx="2528">
                  <c:v>1.0878923652004602E-2</c:v>
                </c:pt>
                <c:pt idx="2529">
                  <c:v>1.086953812349023E-2</c:v>
                </c:pt>
                <c:pt idx="2530">
                  <c:v>1.0860184649255089E-2</c:v>
                </c:pt>
                <c:pt idx="2531">
                  <c:v>1.0850863229618923E-2</c:v>
                </c:pt>
                <c:pt idx="2532">
                  <c:v>1.0841573864261989E-2</c:v>
                </c:pt>
                <c:pt idx="2533">
                  <c:v>1.0832316553344157E-2</c:v>
                </c:pt>
                <c:pt idx="2534">
                  <c:v>1.0823091296945364E-2</c:v>
                </c:pt>
                <c:pt idx="2535">
                  <c:v>1.0813898094745866E-2</c:v>
                </c:pt>
                <c:pt idx="2536">
                  <c:v>1.0804736947065408E-2</c:v>
                </c:pt>
                <c:pt idx="2537">
                  <c:v>1.0795607853584244E-2</c:v>
                </c:pt>
                <c:pt idx="2538">
                  <c:v>1.0784564293421894E-2</c:v>
                </c:pt>
                <c:pt idx="2539">
                  <c:v>1.0777445830099097E-2</c:v>
                </c:pt>
                <c:pt idx="2540">
                  <c:v>1.0768412899935242E-2</c:v>
                </c:pt>
                <c:pt idx="2541">
                  <c:v>1.0759412024130555E-2</c:v>
                </c:pt>
                <c:pt idx="2542">
                  <c:v>1.075044320276497E-2</c:v>
                </c:pt>
                <c:pt idx="2543">
                  <c:v>1.0741506435678616E-2</c:v>
                </c:pt>
                <c:pt idx="2544">
                  <c:v>1.0732601723191237E-2</c:v>
                </c:pt>
                <c:pt idx="2545">
                  <c:v>1.0723729064743281E-2</c:v>
                </c:pt>
                <c:pt idx="2546">
                  <c:v>1.0714888460894301E-2</c:v>
                </c:pt>
                <c:pt idx="2547">
                  <c:v>1.0706079911324551E-2</c:v>
                </c:pt>
                <c:pt idx="2548">
                  <c:v>1.0697303416034032E-2</c:v>
                </c:pt>
                <c:pt idx="2549">
                  <c:v>1.0688558975262552E-2</c:v>
                </c:pt>
                <c:pt idx="2550">
                  <c:v>1.0679846588850239E-2</c:v>
                </c:pt>
                <c:pt idx="2551">
                  <c:v>1.0671166256797093E-2</c:v>
                </c:pt>
                <c:pt idx="2552">
                  <c:v>1.0662517978943242E-2</c:v>
                </c:pt>
                <c:pt idx="2553">
                  <c:v>1.065390175560843E-2</c:v>
                </c:pt>
                <c:pt idx="2554">
                  <c:v>1.0645317586552849E-2</c:v>
                </c:pt>
                <c:pt idx="2555">
                  <c:v>1.0636765471776499E-2</c:v>
                </c:pt>
                <c:pt idx="2556">
                  <c:v>1.0628245411439252E-2</c:v>
                </c:pt>
                <c:pt idx="2557">
                  <c:v>1.0619757405461172E-2</c:v>
                </c:pt>
                <c:pt idx="2558">
                  <c:v>1.0611301453842259E-2</c:v>
                </c:pt>
                <c:pt idx="2559">
                  <c:v>1.0602877556422641E-2</c:v>
                </c:pt>
                <c:pt idx="2560">
                  <c:v>1.0594485713442126E-2</c:v>
                </c:pt>
                <c:pt idx="2561">
                  <c:v>1.0586125924820777E-2</c:v>
                </c:pt>
                <c:pt idx="2562">
                  <c:v>1.057779819047866E-2</c:v>
                </c:pt>
                <c:pt idx="2563">
                  <c:v>1.056950251049571E-2</c:v>
                </c:pt>
                <c:pt idx="2564">
                  <c:v>1.0561238884951862E-2</c:v>
                </c:pt>
                <c:pt idx="2565">
                  <c:v>1.055300731360731E-2</c:v>
                </c:pt>
                <c:pt idx="2566">
                  <c:v>1.0544807796462052E-2</c:v>
                </c:pt>
                <c:pt idx="2567">
                  <c:v>1.0536640333835834E-2</c:v>
                </c:pt>
                <c:pt idx="2568">
                  <c:v>1.0528504925488846E-2</c:v>
                </c:pt>
                <c:pt idx="2569">
                  <c:v>1.052040157142109E-2</c:v>
                </c:pt>
                <c:pt idx="2570">
                  <c:v>1.0512330271552628E-2</c:v>
                </c:pt>
                <c:pt idx="2571">
                  <c:v>1.0504291026283141E-2</c:v>
                </c:pt>
                <c:pt idx="2572">
                  <c:v>1.0496283835133013E-2</c:v>
                </c:pt>
                <c:pt idx="2573">
                  <c:v>1.0488308698262117E-2</c:v>
                </c:pt>
                <c:pt idx="2574">
                  <c:v>1.0480365615830323E-2</c:v>
                </c:pt>
                <c:pt idx="2575">
                  <c:v>1.0472454587757696E-2</c:v>
                </c:pt>
                <c:pt idx="2576">
                  <c:v>1.0464575613724492E-2</c:v>
                </c:pt>
                <c:pt idx="2577">
                  <c:v>1.0454389761962446E-2</c:v>
                </c:pt>
                <c:pt idx="2578">
                  <c:v>1.0446990266705924E-2</c:v>
                </c:pt>
                <c:pt idx="2579">
                  <c:v>1.0439216163131704E-2</c:v>
                </c:pt>
                <c:pt idx="2580">
                  <c:v>1.0431474115968342E-2</c:v>
                </c:pt>
                <c:pt idx="2581">
                  <c:v>1.0423764125322421E-2</c:v>
                </c:pt>
                <c:pt idx="2582">
                  <c:v>1.041608619114065E-2</c:v>
                </c:pt>
                <c:pt idx="2583">
                  <c:v>1.0408440313423029E-2</c:v>
                </c:pt>
                <c:pt idx="2584">
                  <c:v>1.0400826492222848E-2</c:v>
                </c:pt>
                <c:pt idx="2585">
                  <c:v>1.0393244727406881E-2</c:v>
                </c:pt>
                <c:pt idx="2586">
                  <c:v>1.0385695019108354E-2</c:v>
                </c:pt>
                <c:pt idx="2587">
                  <c:v>1.0378177367194041E-2</c:v>
                </c:pt>
                <c:pt idx="2588">
                  <c:v>1.0370691771717233E-2</c:v>
                </c:pt>
                <c:pt idx="2589">
                  <c:v>1.0363238232677929E-2</c:v>
                </c:pt>
                <c:pt idx="2590">
                  <c:v>1.035581675007613E-2</c:v>
                </c:pt>
                <c:pt idx="2591">
                  <c:v>1.0348427323938481E-2</c:v>
                </c:pt>
                <c:pt idx="2592">
                  <c:v>1.0341069954131754E-2</c:v>
                </c:pt>
                <c:pt idx="2593">
                  <c:v>1.0330318381193138E-2</c:v>
                </c:pt>
                <c:pt idx="2594">
                  <c:v>1.0326451383884105E-2</c:v>
                </c:pt>
                <c:pt idx="2595">
                  <c:v>1.0319190183309956E-2</c:v>
                </c:pt>
                <c:pt idx="2596">
                  <c:v>1.0311961039146667E-2</c:v>
                </c:pt>
                <c:pt idx="2597">
                  <c:v>1.03047639513143E-2</c:v>
                </c:pt>
                <c:pt idx="2598">
                  <c:v>1.0297598919946083E-2</c:v>
                </c:pt>
                <c:pt idx="2599">
                  <c:v>1.0290465944935434E-2</c:v>
                </c:pt>
                <c:pt idx="2600">
                  <c:v>1.0283365026282354E-2</c:v>
                </c:pt>
                <c:pt idx="2601">
                  <c:v>1.0276296163986842E-2</c:v>
                </c:pt>
                <c:pt idx="2602">
                  <c:v>1.0269259358048899E-2</c:v>
                </c:pt>
                <c:pt idx="2603">
                  <c:v>1.0262254608441879E-2</c:v>
                </c:pt>
                <c:pt idx="2604">
                  <c:v>1.0255281915192427E-2</c:v>
                </c:pt>
                <c:pt idx="2605">
                  <c:v>1.0248341278273898E-2</c:v>
                </c:pt>
                <c:pt idx="2606">
                  <c:v>1.0241432697712938E-2</c:v>
                </c:pt>
                <c:pt idx="2607">
                  <c:v>1.02345561734829E-2</c:v>
                </c:pt>
                <c:pt idx="2608">
                  <c:v>1.0227711705583786E-2</c:v>
                </c:pt>
                <c:pt idx="2609">
                  <c:v>1.0220899293962304E-2</c:v>
                </c:pt>
                <c:pt idx="2610">
                  <c:v>1.0214118938671746E-2</c:v>
                </c:pt>
                <c:pt idx="2611">
                  <c:v>1.0207370639685465E-2</c:v>
                </c:pt>
                <c:pt idx="2612">
                  <c:v>1.0200654397003461E-2</c:v>
                </c:pt>
                <c:pt idx="2613">
                  <c:v>1.0193970210625736E-2</c:v>
                </c:pt>
                <c:pt idx="2614">
                  <c:v>1.0187318080525642E-2</c:v>
                </c:pt>
                <c:pt idx="2615">
                  <c:v>1.0180698006703182E-2</c:v>
                </c:pt>
                <c:pt idx="2616">
                  <c:v>1.0174109989184998E-2</c:v>
                </c:pt>
                <c:pt idx="2617">
                  <c:v>1.0167554027944448E-2</c:v>
                </c:pt>
                <c:pt idx="2618">
                  <c:v>1.0161030122954884E-2</c:v>
                </c:pt>
                <c:pt idx="2619">
                  <c:v>1.0154538274242952E-2</c:v>
                </c:pt>
                <c:pt idx="2620">
                  <c:v>1.0148078481755363E-2</c:v>
                </c:pt>
                <c:pt idx="2621">
                  <c:v>1.0141650745598696E-2</c:v>
                </c:pt>
                <c:pt idx="2622">
                  <c:v>1.013525506561308E-2</c:v>
                </c:pt>
                <c:pt idx="2623">
                  <c:v>1.0128891441905097E-2</c:v>
                </c:pt>
                <c:pt idx="2624">
                  <c:v>1.0122559874421455E-2</c:v>
                </c:pt>
                <c:pt idx="2625">
                  <c:v>1.01162603631888E-2</c:v>
                </c:pt>
                <c:pt idx="2626">
                  <c:v>1.0109992908153842E-2</c:v>
                </c:pt>
                <c:pt idx="2627">
                  <c:v>1.0103757509369871E-2</c:v>
                </c:pt>
                <c:pt idx="2628">
                  <c:v>1.0097554166810241E-2</c:v>
                </c:pt>
                <c:pt idx="2629">
                  <c:v>1.008904510999109E-2</c:v>
                </c:pt>
                <c:pt idx="2630">
                  <c:v>1.0083212831810684E-2</c:v>
                </c:pt>
                <c:pt idx="2631">
                  <c:v>1.0077115158244609E-2</c:v>
                </c:pt>
                <c:pt idx="2632">
                  <c:v>1.007104953887783E-2</c:v>
                </c:pt>
                <c:pt idx="2633">
                  <c:v>1.0065015973630409E-2</c:v>
                </c:pt>
                <c:pt idx="2634">
                  <c:v>1.0059014462662219E-2</c:v>
                </c:pt>
                <c:pt idx="2635">
                  <c:v>1.005304500597326E-2</c:v>
                </c:pt>
                <c:pt idx="2636">
                  <c:v>1.0047107603323724E-2</c:v>
                </c:pt>
                <c:pt idx="2637">
                  <c:v>1.0041202255033355E-2</c:v>
                </c:pt>
                <c:pt idx="2638">
                  <c:v>1.0035328960782408E-2</c:v>
                </c:pt>
                <c:pt idx="2639">
                  <c:v>1.0029487720730756E-2</c:v>
                </c:pt>
                <c:pt idx="2640">
                  <c:v>1.00236785348784E-2</c:v>
                </c:pt>
                <c:pt idx="2641">
                  <c:v>1.0017901403305274E-2</c:v>
                </c:pt>
                <c:pt idx="2642">
                  <c:v>1.0012156325851507E-2</c:v>
                </c:pt>
                <c:pt idx="2643">
                  <c:v>1.0006443302437162E-2</c:v>
                </c:pt>
                <c:pt idx="2644">
                  <c:v>9.9991450868053278E-3</c:v>
                </c:pt>
                <c:pt idx="2645">
                  <c:v>9.9951134184461665E-3</c:v>
                </c:pt>
                <c:pt idx="2646">
                  <c:v>9.9894965576297068E-3</c:v>
                </c:pt>
                <c:pt idx="2647">
                  <c:v>9.983911751092478E-3</c:v>
                </c:pt>
                <c:pt idx="2648">
                  <c:v>9.9783589985946719E-3</c:v>
                </c:pt>
                <c:pt idx="2649">
                  <c:v>9.9728383004560328E-3</c:v>
                </c:pt>
                <c:pt idx="2650">
                  <c:v>9.9673496563568165E-3</c:v>
                </c:pt>
                <c:pt idx="2651">
                  <c:v>9.9618930663769589E-3</c:v>
                </c:pt>
                <c:pt idx="2652">
                  <c:v>9.9564685306763323E-3</c:v>
                </c:pt>
                <c:pt idx="2653">
                  <c:v>9.9510760491750005E-3</c:v>
                </c:pt>
                <c:pt idx="2654">
                  <c:v>9.9457156217130915E-3</c:v>
                </c:pt>
                <c:pt idx="2655">
                  <c:v>9.9403872483705413E-3</c:v>
                </c:pt>
                <c:pt idx="2656">
                  <c:v>9.9350909293871581E-3</c:v>
                </c:pt>
                <c:pt idx="2657">
                  <c:v>9.9298266643632616E-3</c:v>
                </c:pt>
                <c:pt idx="2658">
                  <c:v>9.9245944536185959E-3</c:v>
                </c:pt>
                <c:pt idx="2659">
                  <c:v>9.9193942970732252E-3</c:v>
                </c:pt>
                <c:pt idx="2660">
                  <c:v>9.9142261944873411E-3</c:v>
                </c:pt>
                <c:pt idx="2661">
                  <c:v>9.909090146260624E-3</c:v>
                </c:pt>
                <c:pt idx="2662">
                  <c:v>9.9039861520733297E-3</c:v>
                </c:pt>
                <c:pt idx="2663">
                  <c:v>9.8989142120853302E-3</c:v>
                </c:pt>
                <c:pt idx="2664">
                  <c:v>9.8938743261367534E-3</c:v>
                </c:pt>
                <c:pt idx="2665">
                  <c:v>9.8888664944674076E-3</c:v>
                </c:pt>
                <c:pt idx="2666">
                  <c:v>9.8838907169973567E-3</c:v>
                </c:pt>
                <c:pt idx="2667">
                  <c:v>9.8789469935667285E-3</c:v>
                </c:pt>
                <c:pt idx="2668">
                  <c:v>9.874035324255459E-3</c:v>
                </c:pt>
                <c:pt idx="2669">
                  <c:v>9.8691557091434845E-3</c:v>
                </c:pt>
                <c:pt idx="2670">
                  <c:v>9.8643081482308048E-3</c:v>
                </c:pt>
                <c:pt idx="2671">
                  <c:v>9.8594926412776118E-3</c:v>
                </c:pt>
                <c:pt idx="2672">
                  <c:v>9.8547091886036497E-3</c:v>
                </c:pt>
                <c:pt idx="2673">
                  <c:v>9.8499577900490465E-3</c:v>
                </c:pt>
                <c:pt idx="2674">
                  <c:v>9.845238445533866E-3</c:v>
                </c:pt>
                <c:pt idx="2675">
                  <c:v>9.8405511552979164E-3</c:v>
                </c:pt>
                <c:pt idx="2676">
                  <c:v>9.8358959191013895E-3</c:v>
                </c:pt>
                <c:pt idx="2677">
                  <c:v>9.8312727371041575E-3</c:v>
                </c:pt>
                <c:pt idx="2678">
                  <c:v>9.8266816091463483E-3</c:v>
                </c:pt>
                <c:pt idx="2679">
                  <c:v>9.8221225353878339E-3</c:v>
                </c:pt>
                <c:pt idx="2680">
                  <c:v>9.8175955158286143E-3</c:v>
                </c:pt>
                <c:pt idx="2681">
                  <c:v>9.8122753150686748E-3</c:v>
                </c:pt>
                <c:pt idx="2682">
                  <c:v>9.8080026967295453E-3</c:v>
                </c:pt>
                <c:pt idx="2683">
                  <c:v>9.8035764186654717E-3</c:v>
                </c:pt>
                <c:pt idx="2684">
                  <c:v>9.799182194800693E-3</c:v>
                </c:pt>
                <c:pt idx="2685">
                  <c:v>9.7948200248154649E-3</c:v>
                </c:pt>
                <c:pt idx="2686">
                  <c:v>9.7904899090295316E-3</c:v>
                </c:pt>
                <c:pt idx="2687">
                  <c:v>9.7861918475228293E-3</c:v>
                </c:pt>
                <c:pt idx="2688">
                  <c:v>9.7819258400555498E-3</c:v>
                </c:pt>
                <c:pt idx="2689">
                  <c:v>9.777691886707629E-3</c:v>
                </c:pt>
                <c:pt idx="2690">
                  <c:v>9.773489987399131E-3</c:v>
                </c:pt>
                <c:pt idx="2691">
                  <c:v>9.7693201422899278E-3</c:v>
                </c:pt>
                <c:pt idx="2692">
                  <c:v>9.7651823512201474E-3</c:v>
                </c:pt>
                <c:pt idx="2693">
                  <c:v>9.7610766142697258E-3</c:v>
                </c:pt>
                <c:pt idx="2694">
                  <c:v>9.755844909680178E-3</c:v>
                </c:pt>
                <c:pt idx="2695">
                  <c:v>9.7518124392426131E-3</c:v>
                </c:pt>
                <c:pt idx="2696">
                  <c:v>9.747812022924407E-3</c:v>
                </c:pt>
                <c:pt idx="2697">
                  <c:v>9.7438436608854317E-3</c:v>
                </c:pt>
                <c:pt idx="2698">
                  <c:v>9.7390522568652216E-3</c:v>
                </c:pt>
                <c:pt idx="2699">
                  <c:v>9.7360030988458135E-3</c:v>
                </c:pt>
                <c:pt idx="2700">
                  <c:v>9.7321308991649147E-3</c:v>
                </c:pt>
                <c:pt idx="2701">
                  <c:v>9.7282907532836305E-3</c:v>
                </c:pt>
                <c:pt idx="2702">
                  <c:v>9.7244826616016411E-3</c:v>
                </c:pt>
                <c:pt idx="2703">
                  <c:v>9.7207066241988827E-3</c:v>
                </c:pt>
                <c:pt idx="2704">
                  <c:v>9.7169626408355469E-3</c:v>
                </c:pt>
                <c:pt idx="2705">
                  <c:v>9.7132507114316979E-3</c:v>
                </c:pt>
                <c:pt idx="2706">
                  <c:v>9.7095708362271438E-3</c:v>
                </c:pt>
                <c:pt idx="2707">
                  <c:v>9.7059230151419484E-3</c:v>
                </c:pt>
                <c:pt idx="2708">
                  <c:v>9.7023072480162398E-3</c:v>
                </c:pt>
                <c:pt idx="2709">
                  <c:v>9.698723535169762E-3</c:v>
                </c:pt>
                <c:pt idx="2710">
                  <c:v>9.6951718763627071E-3</c:v>
                </c:pt>
                <c:pt idx="2711">
                  <c:v>9.6916522716750109E-3</c:v>
                </c:pt>
                <c:pt idx="2712">
                  <c:v>9.6881647210267374E-3</c:v>
                </c:pt>
                <c:pt idx="2713">
                  <c:v>9.6847092244178867E-3</c:v>
                </c:pt>
                <c:pt idx="2714">
                  <c:v>9.6812857820083309E-3</c:v>
                </c:pt>
                <c:pt idx="2715">
                  <c:v>9.6778943936381978E-3</c:v>
                </c:pt>
                <c:pt idx="2716">
                  <c:v>9.6745350593874235E-3</c:v>
                </c:pt>
                <c:pt idx="2717">
                  <c:v>9.6712077790961359E-3</c:v>
                </c:pt>
                <c:pt idx="2718">
                  <c:v>9.6679125531640153E-3</c:v>
                </c:pt>
                <c:pt idx="2719">
                  <c:v>9.6646493811114453E-3</c:v>
                </c:pt>
                <c:pt idx="2720">
                  <c:v>9.6614182631782342E-3</c:v>
                </c:pt>
                <c:pt idx="2721">
                  <c:v>9.6582191993643818E-3</c:v>
                </c:pt>
                <c:pt idx="2722">
                  <c:v>9.6550521896698882E-3</c:v>
                </c:pt>
                <c:pt idx="2723">
                  <c:v>9.6519172339348813E-3</c:v>
                </c:pt>
                <c:pt idx="2724">
                  <c:v>9.6488143323991693E-3</c:v>
                </c:pt>
                <c:pt idx="2725">
                  <c:v>9.645743484822944E-3</c:v>
                </c:pt>
                <c:pt idx="2726">
                  <c:v>9.6427046915259496E-3</c:v>
                </c:pt>
                <c:pt idx="2727">
                  <c:v>9.6396979521085058E-3</c:v>
                </c:pt>
                <c:pt idx="2728">
                  <c:v>9.6367232668903569E-3</c:v>
                </c:pt>
                <c:pt idx="2729">
                  <c:v>9.6337806357116307E-3</c:v>
                </c:pt>
                <c:pt idx="2730">
                  <c:v>9.6308700586522633E-3</c:v>
                </c:pt>
                <c:pt idx="2731">
                  <c:v>9.6279915356323187E-3</c:v>
                </c:pt>
                <c:pt idx="2732">
                  <c:v>9.6235329047278384E-3</c:v>
                </c:pt>
                <c:pt idx="2733">
                  <c:v>9.6217897908346117E-3</c:v>
                </c:pt>
                <c:pt idx="2734">
                  <c:v>9.6195482910488295E-3</c:v>
                </c:pt>
                <c:pt idx="2735">
                  <c:v>9.6167979843464479E-3</c:v>
                </c:pt>
                <c:pt idx="2736">
                  <c:v>9.6140797316834892E-3</c:v>
                </c:pt>
                <c:pt idx="2737">
                  <c:v>9.6113935330599531E-3</c:v>
                </c:pt>
                <c:pt idx="2738">
                  <c:v>9.608739388635712E-3</c:v>
                </c:pt>
                <c:pt idx="2739">
                  <c:v>9.6061172982508936E-3</c:v>
                </c:pt>
                <c:pt idx="2740">
                  <c:v>9.6035272618255618E-3</c:v>
                </c:pt>
                <c:pt idx="2741">
                  <c:v>9.600969279599525E-3</c:v>
                </c:pt>
                <c:pt idx="2742">
                  <c:v>9.5984433513329748E-3</c:v>
                </c:pt>
                <c:pt idx="2743">
                  <c:v>9.5959494772657195E-3</c:v>
                </c:pt>
                <c:pt idx="2744">
                  <c:v>9.5934876573178229E-3</c:v>
                </c:pt>
                <c:pt idx="2745">
                  <c:v>9.591057891169541E-3</c:v>
                </c:pt>
                <c:pt idx="2746">
                  <c:v>9.588660179380426E-3</c:v>
                </c:pt>
                <c:pt idx="2747">
                  <c:v>9.5862945213909256E-3</c:v>
                </c:pt>
                <c:pt idx="2748">
                  <c:v>9.5838109491950263E-3</c:v>
                </c:pt>
                <c:pt idx="2749">
                  <c:v>9.5816593677700013E-3</c:v>
                </c:pt>
                <c:pt idx="2750">
                  <c:v>9.5793898722185133E-3</c:v>
                </c:pt>
                <c:pt idx="2751">
                  <c:v>9.5771524306265121E-3</c:v>
                </c:pt>
                <c:pt idx="2752">
                  <c:v>9.5749470431538697E-3</c:v>
                </c:pt>
                <c:pt idx="2753">
                  <c:v>9.5727737095607779E-3</c:v>
                </c:pt>
                <c:pt idx="2754">
                  <c:v>9.570632430166981E-3</c:v>
                </c:pt>
                <c:pt idx="2755">
                  <c:v>9.5685232047326707E-3</c:v>
                </c:pt>
                <c:pt idx="2756">
                  <c:v>9.5664460335775914E-3</c:v>
                </c:pt>
                <c:pt idx="2757">
                  <c:v>9.5644009163020627E-3</c:v>
                </c:pt>
                <c:pt idx="2758">
                  <c:v>9.5623878530659567E-3</c:v>
                </c:pt>
                <c:pt idx="2759">
                  <c:v>9.5604068440291456E-3</c:v>
                </c:pt>
                <c:pt idx="2760">
                  <c:v>9.5584578888718852E-3</c:v>
                </c:pt>
                <c:pt idx="2761">
                  <c:v>9.5565409879938557E-3</c:v>
                </c:pt>
                <c:pt idx="2762">
                  <c:v>9.5546561410753128E-3</c:v>
                </c:pt>
                <c:pt idx="2763">
                  <c:v>9.5528033481162566E-3</c:v>
                </c:pt>
                <c:pt idx="2764">
                  <c:v>9.5509826093564953E-3</c:v>
                </c:pt>
                <c:pt idx="2765">
                  <c:v>9.5491939244762847E-3</c:v>
                </c:pt>
                <c:pt idx="2766">
                  <c:v>9.547437293955241E-3</c:v>
                </c:pt>
                <c:pt idx="2767">
                  <c:v>9.5457127172338119E-3</c:v>
                </c:pt>
                <c:pt idx="2768">
                  <c:v>9.5440201946317416E-3</c:v>
                </c:pt>
                <c:pt idx="2769">
                  <c:v>9.5423597262289661E-3</c:v>
                </c:pt>
                <c:pt idx="2770">
                  <c:v>9.5407313115458692E-3</c:v>
                </c:pt>
                <c:pt idx="2771">
                  <c:v>9.5391349511420032E-3</c:v>
                </c:pt>
                <c:pt idx="2772">
                  <c:v>9.5375706447775599E-3</c:v>
                </c:pt>
                <c:pt idx="2773">
                  <c:v>9.5360383925324754E-3</c:v>
                </c:pt>
                <c:pt idx="2774">
                  <c:v>9.5345381941669416E-3</c:v>
                </c:pt>
                <c:pt idx="2775">
                  <c:v>9.5330700499207666E-3</c:v>
                </c:pt>
                <c:pt idx="2776">
                  <c:v>9.5316339598738864E-3</c:v>
                </c:pt>
                <c:pt idx="2777">
                  <c:v>9.5302299237065569E-3</c:v>
                </c:pt>
                <c:pt idx="2778">
                  <c:v>9.528857941498714E-3</c:v>
                </c:pt>
                <c:pt idx="2779">
                  <c:v>9.5275180135701021E-3</c:v>
                </c:pt>
                <c:pt idx="2780">
                  <c:v>9.5262101396809129E-3</c:v>
                </c:pt>
                <c:pt idx="2781">
                  <c:v>9.5249343196712744E-3</c:v>
                </c:pt>
                <c:pt idx="2782">
                  <c:v>9.5236905537809946E-3</c:v>
                </c:pt>
                <c:pt idx="2783">
                  <c:v>9.5224788419301376E-3</c:v>
                </c:pt>
                <c:pt idx="2784">
                  <c:v>9.5212991841986394E-3</c:v>
                </c:pt>
                <c:pt idx="2785">
                  <c:v>9.5201515804266279E-3</c:v>
                </c:pt>
                <c:pt idx="2786">
                  <c:v>9.5190360309338473E-3</c:v>
                </c:pt>
                <c:pt idx="2787">
                  <c:v>9.5179525351607452E-3</c:v>
                </c:pt>
                <c:pt idx="2788">
                  <c:v>9.5169010936668741E-3</c:v>
                </c:pt>
                <c:pt idx="2789">
                  <c:v>9.5158817060525536E-3</c:v>
                </c:pt>
                <c:pt idx="2790">
                  <c:v>9.5148943726375279E-3</c:v>
                </c:pt>
                <c:pt idx="2791">
                  <c:v>9.5139390931819889E-3</c:v>
                </c:pt>
                <c:pt idx="2792">
                  <c:v>9.5130158677658727E-3</c:v>
                </c:pt>
                <c:pt idx="2793">
                  <c:v>9.5121246964691153E-3</c:v>
                </c:pt>
                <c:pt idx="2794">
                  <c:v>9.5112655792117806E-3</c:v>
                </c:pt>
                <c:pt idx="2795">
                  <c:v>9.5104385159139326E-3</c:v>
                </c:pt>
                <c:pt idx="2796">
                  <c:v>9.5096435067354435E-3</c:v>
                </c:pt>
                <c:pt idx="2797">
                  <c:v>9.508880551596377E-3</c:v>
                </c:pt>
                <c:pt idx="2798">
                  <c:v>9.5081496504167973E-3</c:v>
                </c:pt>
                <c:pt idx="2799">
                  <c:v>9.5077598429504917E-3</c:v>
                </c:pt>
                <c:pt idx="2800">
                  <c:v>9.5067840102558421E-3</c:v>
                </c:pt>
                <c:pt idx="2801">
                  <c:v>9.5061492713544027E-3</c:v>
                </c:pt>
                <c:pt idx="2802">
                  <c:v>9.505546586492386E-3</c:v>
                </c:pt>
                <c:pt idx="2803">
                  <c:v>9.50497595550992E-3</c:v>
                </c:pt>
                <c:pt idx="2804">
                  <c:v>9.5044373786468128E-3</c:v>
                </c:pt>
                <c:pt idx="2805">
                  <c:v>9.5039308559030644E-3</c:v>
                </c:pt>
                <c:pt idx="2806">
                  <c:v>9.5034563871987388E-3</c:v>
                </c:pt>
                <c:pt idx="2807">
                  <c:v>9.5030139723739637E-3</c:v>
                </c:pt>
                <c:pt idx="2808">
                  <c:v>9.5026036118284196E-3</c:v>
                </c:pt>
                <c:pt idx="2809">
                  <c:v>9.5022253050824901E-3</c:v>
                </c:pt>
                <c:pt idx="2810">
                  <c:v>9.5018790526157915E-3</c:v>
                </c:pt>
                <c:pt idx="2811">
                  <c:v>9.5015648540286435E-3</c:v>
                </c:pt>
                <c:pt idx="2812">
                  <c:v>9.5012827095608543E-3</c:v>
                </c:pt>
                <c:pt idx="2813">
                  <c:v>9.5010326191324879E-3</c:v>
                </c:pt>
                <c:pt idx="2814">
                  <c:v>9.5008145827435442E-3</c:v>
                </c:pt>
                <c:pt idx="2815">
                  <c:v>9.5006286003140872E-3</c:v>
                </c:pt>
                <c:pt idx="2816">
                  <c:v>9.500474672003989E-3</c:v>
                </c:pt>
                <c:pt idx="2817">
                  <c:v>9.5003527977333135E-3</c:v>
                </c:pt>
                <c:pt idx="2818">
                  <c:v>9.5002629775020608E-3</c:v>
                </c:pt>
                <c:pt idx="2819">
                  <c:v>9.5002052112302948E-3</c:v>
                </c:pt>
                <c:pt idx="2820">
                  <c:v>9.5001794991578237E-3</c:v>
                </c:pt>
                <c:pt idx="2821">
                  <c:v>9.5001858410448392E-3</c:v>
                </c:pt>
                <c:pt idx="2822">
                  <c:v>9.5002242369712775E-3</c:v>
                </c:pt>
                <c:pt idx="2823">
                  <c:v>9.5002946868572025E-3</c:v>
                </c:pt>
                <c:pt idx="2824">
                  <c:v>9.5003971909424223E-3</c:v>
                </c:pt>
                <c:pt idx="2825">
                  <c:v>9.5005317489871288E-3</c:v>
                </c:pt>
                <c:pt idx="2826">
                  <c:v>9.5006983610712581E-3</c:v>
                </c:pt>
                <c:pt idx="2827">
                  <c:v>9.5008970272747462E-3</c:v>
                </c:pt>
                <c:pt idx="2828">
                  <c:v>9.5011277474377209E-3</c:v>
                </c:pt>
                <c:pt idx="2829">
                  <c:v>9.5013905217200545E-3</c:v>
                </c:pt>
                <c:pt idx="2830">
                  <c:v>9.5016853500418108E-3</c:v>
                </c:pt>
                <c:pt idx="2831">
                  <c:v>9.5020122323230538E-3</c:v>
                </c:pt>
                <c:pt idx="2832">
                  <c:v>9.5023711687236556E-3</c:v>
                </c:pt>
                <c:pt idx="2833">
                  <c:v>9.5027621590837441E-3</c:v>
                </c:pt>
                <c:pt idx="2834">
                  <c:v>9.5031852034832553E-3</c:v>
                </c:pt>
                <c:pt idx="2835">
                  <c:v>9.5036403020820615E-3</c:v>
                </c:pt>
                <c:pt idx="2836">
                  <c:v>9.5041274546403542E-3</c:v>
                </c:pt>
                <c:pt idx="2837">
                  <c:v>9.5046466611581337E-3</c:v>
                </c:pt>
                <c:pt idx="2838">
                  <c:v>9.505197921795272E-3</c:v>
                </c:pt>
                <c:pt idx="2839">
                  <c:v>9.5057812365517691E-3</c:v>
                </c:pt>
                <c:pt idx="2840">
                  <c:v>9.5063966052677529E-3</c:v>
                </c:pt>
                <c:pt idx="2841">
                  <c:v>9.5070440281030955E-3</c:v>
                </c:pt>
                <c:pt idx="2842">
                  <c:v>9.5077235048979247E-3</c:v>
                </c:pt>
                <c:pt idx="2843">
                  <c:v>9.5084350356522407E-3</c:v>
                </c:pt>
                <c:pt idx="2844">
                  <c:v>9.5091786205259154E-3</c:v>
                </c:pt>
                <c:pt idx="2845">
                  <c:v>9.509954259518949E-3</c:v>
                </c:pt>
                <c:pt idx="2846">
                  <c:v>9.5107619525514053E-3</c:v>
                </c:pt>
                <c:pt idx="2847">
                  <c:v>9.5116016996232844E-3</c:v>
                </c:pt>
                <c:pt idx="2848">
                  <c:v>9.5124735006546501E-3</c:v>
                </c:pt>
                <c:pt idx="2849">
                  <c:v>9.514144984949624E-3</c:v>
                </c:pt>
                <c:pt idx="2850">
                  <c:v>9.5143132649155859E-3</c:v>
                </c:pt>
                <c:pt idx="2851">
                  <c:v>9.515281228145156E-3</c:v>
                </c:pt>
                <c:pt idx="2852">
                  <c:v>9.5162812454141488E-3</c:v>
                </c:pt>
                <c:pt idx="2853">
                  <c:v>9.5173133167225643E-3</c:v>
                </c:pt>
                <c:pt idx="2854">
                  <c:v>9.5183774421503387E-3</c:v>
                </c:pt>
                <c:pt idx="2855">
                  <c:v>9.5194736215375997E-3</c:v>
                </c:pt>
                <c:pt idx="2856">
                  <c:v>9.5206018550442195E-3</c:v>
                </c:pt>
                <c:pt idx="2857">
                  <c:v>9.521762142510326E-3</c:v>
                </c:pt>
                <c:pt idx="2858">
                  <c:v>9.5229544840158553E-3</c:v>
                </c:pt>
                <c:pt idx="2859">
                  <c:v>9.5241788797206794E-3</c:v>
                </c:pt>
                <c:pt idx="2860">
                  <c:v>9.5254353292251182E-3</c:v>
                </c:pt>
                <c:pt idx="2861">
                  <c:v>9.5267238331686599E-3</c:v>
                </c:pt>
                <c:pt idx="2862">
                  <c:v>9.5280443907519441E-3</c:v>
                </c:pt>
                <c:pt idx="2863">
                  <c:v>9.5293970026943953E-3</c:v>
                </c:pt>
                <c:pt idx="2864">
                  <c:v>9.5307816685163971E-3</c:v>
                </c:pt>
                <c:pt idx="2865">
                  <c:v>9.5321983882179495E-3</c:v>
                </c:pt>
                <c:pt idx="2866">
                  <c:v>9.533647162358605E-3</c:v>
                </c:pt>
                <c:pt idx="2867">
                  <c:v>9.5351279903788111E-3</c:v>
                </c:pt>
                <c:pt idx="2868">
                  <c:v>9.5366408724384399E-3</c:v>
                </c:pt>
                <c:pt idx="2869">
                  <c:v>9.5381858086174276E-3</c:v>
                </c:pt>
                <c:pt idx="2870">
                  <c:v>9.5397627987559019E-3</c:v>
                </c:pt>
                <c:pt idx="2871">
                  <c:v>9.5413718430137351E-3</c:v>
                </c:pt>
                <c:pt idx="2872">
                  <c:v>9.5430129411511189E-3</c:v>
                </c:pt>
                <c:pt idx="2873">
                  <c:v>9.5446860935677336E-3</c:v>
                </c:pt>
                <c:pt idx="2874">
                  <c:v>9.546391300023771E-3</c:v>
                </c:pt>
                <c:pt idx="2875">
                  <c:v>9.5481285605192312E-3</c:v>
                </c:pt>
                <c:pt idx="2876">
                  <c:v>9.549897874814306E-3</c:v>
                </c:pt>
                <c:pt idx="2877">
                  <c:v>9.5516992433886116E-3</c:v>
                </c:pt>
                <c:pt idx="2878">
                  <c:v>9.5535326660822761E-3</c:v>
                </c:pt>
                <c:pt idx="2879">
                  <c:v>9.5553981428153634E-3</c:v>
                </c:pt>
                <c:pt idx="2880">
                  <c:v>9.5572956735079373E-3</c:v>
                </c:pt>
                <c:pt idx="2881">
                  <c:v>9.55922525831987E-3</c:v>
                </c:pt>
                <c:pt idx="2882">
                  <c:v>9.5611868970912894E-3</c:v>
                </c:pt>
                <c:pt idx="2883">
                  <c:v>9.5631805900620037E-3</c:v>
                </c:pt>
                <c:pt idx="2884">
                  <c:v>9.5652063369122686E-3</c:v>
                </c:pt>
                <c:pt idx="2885">
                  <c:v>9.5672641380417645E-3</c:v>
                </c:pt>
                <c:pt idx="2886">
                  <c:v>9.569353993210683E-3</c:v>
                </c:pt>
                <c:pt idx="2887">
                  <c:v>9.5714759022591522E-3</c:v>
                </c:pt>
                <c:pt idx="2888">
                  <c:v>9.5736298655069163E-3</c:v>
                </c:pt>
                <c:pt idx="2889">
                  <c:v>9.5769869176631772E-3</c:v>
                </c:pt>
                <c:pt idx="2890">
                  <c:v>9.5789286604031076E-3</c:v>
                </c:pt>
                <c:pt idx="2891">
                  <c:v>9.581188064347046E-3</c:v>
                </c:pt>
                <c:pt idx="2892">
                  <c:v>9.5834795240890003E-3</c:v>
                </c:pt>
                <c:pt idx="2893">
                  <c:v>9.585803039655616E-3</c:v>
                </c:pt>
                <c:pt idx="2894">
                  <c:v>9.588158610966957E-3</c:v>
                </c:pt>
                <c:pt idx="2895">
                  <c:v>9.5905462381296047E-3</c:v>
                </c:pt>
                <c:pt idx="2896">
                  <c:v>9.5929659211435592E-3</c:v>
                </c:pt>
                <c:pt idx="2897">
                  <c:v>9.5954176599022389E-3</c:v>
                </c:pt>
                <c:pt idx="2898">
                  <c:v>9.5979014544322894E-3</c:v>
                </c:pt>
                <c:pt idx="2899">
                  <c:v>9.6004173048669372E-3</c:v>
                </c:pt>
                <c:pt idx="2900">
                  <c:v>9.6029652110729558E-3</c:v>
                </c:pt>
                <c:pt idx="2901">
                  <c:v>9.6055451731036356E-3</c:v>
                </c:pt>
                <c:pt idx="2902">
                  <c:v>9.6081571909323316E-3</c:v>
                </c:pt>
                <c:pt idx="2903">
                  <c:v>9.6108012646389795E-3</c:v>
                </c:pt>
                <c:pt idx="2904">
                  <c:v>9.6143771321077764E-3</c:v>
                </c:pt>
                <c:pt idx="2905">
                  <c:v>9.6161855794196782E-3</c:v>
                </c:pt>
                <c:pt idx="2906">
                  <c:v>9.618925820573665E-3</c:v>
                </c:pt>
                <c:pt idx="2907">
                  <c:v>9.6216981175523131E-3</c:v>
                </c:pt>
                <c:pt idx="2908">
                  <c:v>9.6245024703289772E-3</c:v>
                </c:pt>
                <c:pt idx="2909">
                  <c:v>9.6273388790102388E-3</c:v>
                </c:pt>
                <c:pt idx="2910">
                  <c:v>9.6302073434895163E-3</c:v>
                </c:pt>
                <c:pt idx="2911">
                  <c:v>9.6331078637934553E-3</c:v>
                </c:pt>
                <c:pt idx="2912">
                  <c:v>9.636040439948701E-3</c:v>
                </c:pt>
                <c:pt idx="2913">
                  <c:v>9.639005071928608E-3</c:v>
                </c:pt>
                <c:pt idx="2914">
                  <c:v>9.6420017598131125E-3</c:v>
                </c:pt>
                <c:pt idx="2915">
                  <c:v>9.645030503495633E-3</c:v>
                </c:pt>
                <c:pt idx="2916">
                  <c:v>9.6480913030561055E-3</c:v>
                </c:pt>
                <c:pt idx="2917">
                  <c:v>9.6511841584412394E-3</c:v>
                </c:pt>
                <c:pt idx="2918">
                  <c:v>9.6543090696776801E-3</c:v>
                </c:pt>
                <c:pt idx="2919">
                  <c:v>9.6574660368187182E-3</c:v>
                </c:pt>
                <c:pt idx="2920">
                  <c:v>9.6606550597844176E-3</c:v>
                </c:pt>
                <c:pt idx="2921">
                  <c:v>9.6638761386280692E-3</c:v>
                </c:pt>
                <c:pt idx="2922">
                  <c:v>9.6671292733230274E-3</c:v>
                </c:pt>
                <c:pt idx="2923">
                  <c:v>9.6704144638959377E-3</c:v>
                </c:pt>
                <c:pt idx="2924">
                  <c:v>9.6737317103201548E-3</c:v>
                </c:pt>
                <c:pt idx="2925">
                  <c:v>9.6770810126223239E-3</c:v>
                </c:pt>
                <c:pt idx="2926">
                  <c:v>9.6804623708557358E-3</c:v>
                </c:pt>
                <c:pt idx="2927">
                  <c:v>9.6838757849138091E-3</c:v>
                </c:pt>
                <c:pt idx="2928">
                  <c:v>9.6873212548231891E-3</c:v>
                </c:pt>
                <c:pt idx="2929">
                  <c:v>9.6907987807171025E-3</c:v>
                </c:pt>
                <c:pt idx="2930">
                  <c:v>9.6943083624356774E-3</c:v>
                </c:pt>
                <c:pt idx="2931">
                  <c:v>9.6978500000322043E-3</c:v>
                </c:pt>
                <c:pt idx="2932">
                  <c:v>9.701423693559974E-3</c:v>
                </c:pt>
                <c:pt idx="2933">
                  <c:v>9.7050294429656958E-3</c:v>
                </c:pt>
                <c:pt idx="2934">
                  <c:v>9.7086672482493697E-3</c:v>
                </c:pt>
                <c:pt idx="2935">
                  <c:v>9.7123371094642863E-3</c:v>
                </c:pt>
                <c:pt idx="2936">
                  <c:v>9.7160390265838004E-3</c:v>
                </c:pt>
                <c:pt idx="2937">
                  <c:v>9.7197729995812665E-3</c:v>
                </c:pt>
                <c:pt idx="2938">
                  <c:v>9.7235390285366208E-3</c:v>
                </c:pt>
                <c:pt idx="2939">
                  <c:v>9.7273371133965725E-3</c:v>
                </c:pt>
                <c:pt idx="2940">
                  <c:v>9.7311672541344763E-3</c:v>
                </c:pt>
                <c:pt idx="2941">
                  <c:v>9.73628478024402E-3</c:v>
                </c:pt>
                <c:pt idx="2942">
                  <c:v>9.7397785053132679E-3</c:v>
                </c:pt>
                <c:pt idx="2943">
                  <c:v>9.7437137595957068E-3</c:v>
                </c:pt>
                <c:pt idx="2944">
                  <c:v>9.7476810681573767E-3</c:v>
                </c:pt>
                <c:pt idx="2945">
                  <c:v>9.7516804307584692E-3</c:v>
                </c:pt>
                <c:pt idx="2946">
                  <c:v>9.7557118473190485E-3</c:v>
                </c:pt>
                <c:pt idx="2947">
                  <c:v>9.7597753182387947E-3</c:v>
                </c:pt>
                <c:pt idx="2948">
                  <c:v>9.7638708431979637E-3</c:v>
                </c:pt>
                <c:pt idx="2949">
                  <c:v>9.7679984222764915E-3</c:v>
                </c:pt>
                <c:pt idx="2950">
                  <c:v>9.772158055394442E-3</c:v>
                </c:pt>
                <c:pt idx="2951">
                  <c:v>9.7763497426317514E-3</c:v>
                </c:pt>
                <c:pt idx="2952">
                  <c:v>9.7805734841482916E-3</c:v>
                </c:pt>
                <c:pt idx="2953">
                  <c:v>9.7848292796243186E-3</c:v>
                </c:pt>
                <c:pt idx="2954">
                  <c:v>9.7891171291397683E-3</c:v>
                </c:pt>
                <c:pt idx="2955">
                  <c:v>9.7946771786805442E-3</c:v>
                </c:pt>
                <c:pt idx="2956">
                  <c:v>9.7977889908484883E-3</c:v>
                </c:pt>
                <c:pt idx="2957">
                  <c:v>9.8021730027220144E-3</c:v>
                </c:pt>
                <c:pt idx="2958">
                  <c:v>9.8065890689547075E-3</c:v>
                </c:pt>
                <c:pt idx="2959">
                  <c:v>9.8116752515498007E-3</c:v>
                </c:pt>
                <c:pt idx="2960">
                  <c:v>9.8161600051582809E-3</c:v>
                </c:pt>
                <c:pt idx="2961">
                  <c:v>9.8206768128061839E-3</c:v>
                </c:pt>
                <c:pt idx="2962">
                  <c:v>9.8252256745734456E-3</c:v>
                </c:pt>
                <c:pt idx="2963">
                  <c:v>9.8298065903801302E-3</c:v>
                </c:pt>
                <c:pt idx="2964">
                  <c:v>9.8344195604660456E-3</c:v>
                </c:pt>
                <c:pt idx="2965">
                  <c:v>9.8390645847512559E-3</c:v>
                </c:pt>
                <c:pt idx="2966">
                  <c:v>9.8437416629959529E-3</c:v>
                </c:pt>
                <c:pt idx="2967">
                  <c:v>9.8484507955198808E-3</c:v>
                </c:pt>
                <c:pt idx="2968">
                  <c:v>9.8531919820032954E-3</c:v>
                </c:pt>
                <c:pt idx="2969">
                  <c:v>9.8579652227659409E-3</c:v>
                </c:pt>
                <c:pt idx="2970">
                  <c:v>9.8627705176479452E-3</c:v>
                </c:pt>
                <c:pt idx="2971">
                  <c:v>9.8676078666493083E-3</c:v>
                </c:pt>
                <c:pt idx="2972">
                  <c:v>9.8724772697700303E-3</c:v>
                </c:pt>
                <c:pt idx="2973">
                  <c:v>9.877378727010111E-3</c:v>
                </c:pt>
                <c:pt idx="2974">
                  <c:v>9.8823122384494866E-3</c:v>
                </c:pt>
                <c:pt idx="2975">
                  <c:v>9.887277804008221E-3</c:v>
                </c:pt>
                <c:pt idx="2976">
                  <c:v>9.8922754237662502E-3</c:v>
                </c:pt>
                <c:pt idx="2977">
                  <c:v>9.8973050976436383E-3</c:v>
                </c:pt>
                <c:pt idx="2978">
                  <c:v>9.9023668255604491E-3</c:v>
                </c:pt>
                <c:pt idx="2979">
                  <c:v>9.9074606078364269E-3</c:v>
                </c:pt>
                <c:pt idx="2980">
                  <c:v>9.9125864442317635E-3</c:v>
                </c:pt>
                <c:pt idx="2981">
                  <c:v>9.9177443345865868E-3</c:v>
                </c:pt>
                <c:pt idx="2982">
                  <c:v>9.9229342791407049E-3</c:v>
                </c:pt>
                <c:pt idx="2983">
                  <c:v>9.92815627805399E-3</c:v>
                </c:pt>
                <c:pt idx="2984">
                  <c:v>9.9334103309267618E-3</c:v>
                </c:pt>
                <c:pt idx="2985">
                  <c:v>9.9386964380787646E-3</c:v>
                </c:pt>
                <c:pt idx="2986">
                  <c:v>9.94401459927019E-3</c:v>
                </c:pt>
                <c:pt idx="2987">
                  <c:v>9.9493648147408464E-3</c:v>
                </c:pt>
                <c:pt idx="2988">
                  <c:v>9.9547470842509256E-3</c:v>
                </c:pt>
                <c:pt idx="2989">
                  <c:v>9.9601614080402356E-3</c:v>
                </c:pt>
                <c:pt idx="2990">
                  <c:v>9.9656077860288406E-3</c:v>
                </c:pt>
                <c:pt idx="2991">
                  <c:v>9.9710862179769322E-3</c:v>
                </c:pt>
                <c:pt idx="2992">
                  <c:v>9.9765967042042547E-3</c:v>
                </c:pt>
                <c:pt idx="2993">
                  <c:v>9.983469610288509E-3</c:v>
                </c:pt>
                <c:pt idx="2994">
                  <c:v>9.9885128266130607E-3</c:v>
                </c:pt>
                <c:pt idx="2995">
                  <c:v>9.9941240545753374E-3</c:v>
                </c:pt>
                <c:pt idx="2996">
                  <c:v>9.9997673365770368E-3</c:v>
                </c:pt>
                <c:pt idx="2997">
                  <c:v>1.0005442672937903E-2</c:v>
                </c:pt>
                <c:pt idx="2998">
                  <c:v>1.0011150063498064E-2</c:v>
                </c:pt>
                <c:pt idx="2999">
                  <c:v>1.0016889508017712E-2</c:v>
                </c:pt>
                <c:pt idx="3000">
                  <c:v>1.0022661006816591E-2</c:v>
                </c:pt>
                <c:pt idx="3001">
                  <c:v>1.0028464559814765E-2</c:v>
                </c:pt>
                <c:pt idx="3002">
                  <c:v>1.0034300167092169E-2</c:v>
                </c:pt>
                <c:pt idx="3003">
                  <c:v>1.0040167828408997E-2</c:v>
                </c:pt>
                <c:pt idx="3004">
                  <c:v>1.0046067544005055E-2</c:v>
                </c:pt>
                <c:pt idx="3005">
                  <c:v>1.0051999313800408E-2</c:v>
                </c:pt>
                <c:pt idx="3006">
                  <c:v>1.0058817729232672E-2</c:v>
                </c:pt>
                <c:pt idx="3007">
                  <c:v>1.0064818186563684E-2</c:v>
                </c:pt>
                <c:pt idx="3008">
                  <c:v>1.0070850698014056E-2</c:v>
                </c:pt>
                <c:pt idx="3009">
                  <c:v>1.0076915263663722E-2</c:v>
                </c:pt>
                <c:pt idx="3010">
                  <c:v>1.0084746612413209E-2</c:v>
                </c:pt>
                <c:pt idx="3011">
                  <c:v>1.008914055772081E-2</c:v>
                </c:pt>
                <c:pt idx="3012">
                  <c:v>1.0095300241204086E-2</c:v>
                </c:pt>
                <c:pt idx="3013">
                  <c:v>1.0101461680642743E-2</c:v>
                </c:pt>
                <c:pt idx="3014">
                  <c:v>1.0107611294021268E-2</c:v>
                </c:pt>
                <c:pt idx="3015">
                  <c:v>1.0113749081339662E-2</c:v>
                </c:pt>
                <c:pt idx="3016">
                  <c:v>1.011987504251799E-2</c:v>
                </c:pt>
                <c:pt idx="3017">
                  <c:v>1.0125989177636185E-2</c:v>
                </c:pt>
                <c:pt idx="3018">
                  <c:v>1.013209148669425E-2</c:v>
                </c:pt>
                <c:pt idx="3019">
                  <c:v>1.0138181969692184E-2</c:v>
                </c:pt>
                <c:pt idx="3020">
                  <c:v>1.0144260626470114E-2</c:v>
                </c:pt>
                <c:pt idx="3021">
                  <c:v>1.0150327457427721E-2</c:v>
                </c:pt>
                <c:pt idx="3022">
                  <c:v>1.0156382462165325E-2</c:v>
                </c:pt>
                <c:pt idx="3023">
                  <c:v>1.0162425640842798E-2</c:v>
                </c:pt>
                <c:pt idx="3024">
                  <c:v>1.0168456993300268E-2</c:v>
                </c:pt>
                <c:pt idx="3025">
                  <c:v>1.0174476519937414E-2</c:v>
                </c:pt>
                <c:pt idx="3026">
                  <c:v>1.0180484220274622E-2</c:v>
                </c:pt>
                <c:pt idx="3027">
                  <c:v>1.018648009471157E-2</c:v>
                </c:pt>
                <c:pt idx="3028">
                  <c:v>1.0192464142928515E-2</c:v>
                </c:pt>
                <c:pt idx="3029">
                  <c:v>1.0198436365085328E-2</c:v>
                </c:pt>
                <c:pt idx="3030">
                  <c:v>1.0204396761182011E-2</c:v>
                </c:pt>
                <c:pt idx="3031">
                  <c:v>1.0210345331298498E-2</c:v>
                </c:pt>
                <c:pt idx="3032">
                  <c:v>1.0216282075115046E-2</c:v>
                </c:pt>
                <c:pt idx="3033">
                  <c:v>1.0222206993031335E-2</c:v>
                </c:pt>
                <c:pt idx="3034">
                  <c:v>1.0228120084727621E-2</c:v>
                </c:pt>
                <c:pt idx="3035">
                  <c:v>1.0234021350443712E-2</c:v>
                </c:pt>
                <c:pt idx="3036">
                  <c:v>1.0239910790019735E-2</c:v>
                </c:pt>
                <c:pt idx="3037">
                  <c:v>1.0245788403455691E-2</c:v>
                </c:pt>
                <c:pt idx="3038">
                  <c:v>1.0251654190831516E-2</c:v>
                </c:pt>
                <c:pt idx="3039">
                  <c:v>1.025750815214721E-2</c:v>
                </c:pt>
                <c:pt idx="3040">
                  <c:v>1.0263350287482709E-2</c:v>
                </c:pt>
                <c:pt idx="3041">
                  <c:v>1.0269180596518268E-2</c:v>
                </c:pt>
                <c:pt idx="3042">
                  <c:v>1.0274999079573632E-2</c:v>
                </c:pt>
                <c:pt idx="3043">
                  <c:v>1.0280805736488929E-2</c:v>
                </c:pt>
                <c:pt idx="3044">
                  <c:v>1.028828163442963E-2</c:v>
                </c:pt>
                <c:pt idx="3045">
                  <c:v>1.0294062600755272E-2</c:v>
                </c:pt>
                <c:pt idx="3046">
                  <c:v>1.0298154750794097E-2</c:v>
                </c:pt>
                <c:pt idx="3047">
                  <c:v>1.0303914103388934E-2</c:v>
                </c:pt>
                <c:pt idx="3048">
                  <c:v>1.0309661629843703E-2</c:v>
                </c:pt>
                <c:pt idx="3049">
                  <c:v>1.0315397330238341E-2</c:v>
                </c:pt>
                <c:pt idx="3050">
                  <c:v>1.0321121204572847E-2</c:v>
                </c:pt>
                <c:pt idx="3051">
                  <c:v>1.0326833252927159E-2</c:v>
                </c:pt>
                <c:pt idx="3052">
                  <c:v>1.0332533474821659E-2</c:v>
                </c:pt>
                <c:pt idx="3053">
                  <c:v>1.03382218708159E-2</c:v>
                </c:pt>
                <c:pt idx="3054">
                  <c:v>1.034389844075001E-2</c:v>
                </c:pt>
                <c:pt idx="3055">
                  <c:v>1.0349563184623989E-2</c:v>
                </c:pt>
                <c:pt idx="3056">
                  <c:v>1.0355216102277964E-2</c:v>
                </c:pt>
                <c:pt idx="3057">
                  <c:v>1.0360857193951745E-2</c:v>
                </c:pt>
                <c:pt idx="3058">
                  <c:v>1.0366486459405522E-2</c:v>
                </c:pt>
                <c:pt idx="3059">
                  <c:v>1.0374304339668683E-2</c:v>
                </c:pt>
                <c:pt idx="3060">
                  <c:v>1.0377709512212618E-2</c:v>
                </c:pt>
                <c:pt idx="3061">
                  <c:v>1.0383303299486002E-2</c:v>
                </c:pt>
                <c:pt idx="3062">
                  <c:v>1.0388885260459446E-2</c:v>
                </c:pt>
                <c:pt idx="3063">
                  <c:v>1.0394455395532631E-2</c:v>
                </c:pt>
                <c:pt idx="3064">
                  <c:v>1.0400013704465749E-2</c:v>
                </c:pt>
                <c:pt idx="3065">
                  <c:v>1.04055601872588E-2</c:v>
                </c:pt>
                <c:pt idx="3066">
                  <c:v>1.0411094843911783E-2</c:v>
                </c:pt>
                <c:pt idx="3067">
                  <c:v>1.0416617674584572E-2</c:v>
                </c:pt>
                <c:pt idx="3068">
                  <c:v>1.0422128678957421E-2</c:v>
                </c:pt>
                <c:pt idx="3069">
                  <c:v>1.0427627857350075E-2</c:v>
                </c:pt>
                <c:pt idx="3070">
                  <c:v>1.0433115209682597E-2</c:v>
                </c:pt>
                <c:pt idx="3071">
                  <c:v>1.0438590735715181E-2</c:v>
                </c:pt>
                <c:pt idx="3072">
                  <c:v>1.0444054435847505E-2</c:v>
                </c:pt>
                <c:pt idx="3073">
                  <c:v>1.0449506309919698E-2</c:v>
                </c:pt>
                <c:pt idx="3074">
                  <c:v>1.0454946357612016E-2</c:v>
                </c:pt>
                <c:pt idx="3075">
                  <c:v>1.0460374579404075E-2</c:v>
                </c:pt>
                <c:pt idx="3076">
                  <c:v>1.046579097497613E-2</c:v>
                </c:pt>
                <c:pt idx="3077">
                  <c:v>1.0471195544488054E-2</c:v>
                </c:pt>
                <c:pt idx="3078">
                  <c:v>1.0476588287939848E-2</c:v>
                </c:pt>
                <c:pt idx="3079">
                  <c:v>1.0481969205251573E-2</c:v>
                </c:pt>
                <c:pt idx="3080">
                  <c:v>1.0487338296423232E-2</c:v>
                </c:pt>
                <c:pt idx="3081">
                  <c:v>1.0492695561534759E-2</c:v>
                </c:pt>
                <c:pt idx="3082">
                  <c:v>1.049804100050622E-2</c:v>
                </c:pt>
                <c:pt idx="3083">
                  <c:v>1.0503374613257677E-2</c:v>
                </c:pt>
                <c:pt idx="3084">
                  <c:v>1.0508696400028938E-2</c:v>
                </c:pt>
                <c:pt idx="3085">
                  <c:v>1.0514006360660133E-2</c:v>
                </c:pt>
                <c:pt idx="3086">
                  <c:v>1.051930449515126E-2</c:v>
                </c:pt>
                <c:pt idx="3087">
                  <c:v>1.0524590803502321E-2</c:v>
                </c:pt>
                <c:pt idx="3088">
                  <c:v>1.0529865285873186E-2</c:v>
                </c:pt>
                <c:pt idx="3089">
                  <c:v>1.0535127941944111E-2</c:v>
                </c:pt>
                <c:pt idx="3090">
                  <c:v>1.054037877187497E-2</c:v>
                </c:pt>
                <c:pt idx="3091">
                  <c:v>1.0545617775905569E-2</c:v>
                </c:pt>
                <c:pt idx="3092">
                  <c:v>1.0550844953716165E-2</c:v>
                </c:pt>
                <c:pt idx="3093">
                  <c:v>1.055606030546663E-2</c:v>
                </c:pt>
                <c:pt idx="3094">
                  <c:v>1.0561263830917156E-2</c:v>
                </c:pt>
                <c:pt idx="3095">
                  <c:v>1.0566455530467422E-2</c:v>
                </c:pt>
                <c:pt idx="3096">
                  <c:v>1.057163540371775E-2</c:v>
                </c:pt>
                <c:pt idx="3097">
                  <c:v>1.0576803450907946E-2</c:v>
                </c:pt>
                <c:pt idx="3098">
                  <c:v>1.058195967203801E-2</c:v>
                </c:pt>
                <c:pt idx="3099">
                  <c:v>1.0587104066948072E-2</c:v>
                </c:pt>
                <c:pt idx="3100">
                  <c:v>1.0592236635877939E-2</c:v>
                </c:pt>
                <c:pt idx="3101">
                  <c:v>1.0597357378587802E-2</c:v>
                </c:pt>
                <c:pt idx="3102">
                  <c:v>1.0602466295077662E-2</c:v>
                </c:pt>
                <c:pt idx="3103">
                  <c:v>1.0607563385587326E-2</c:v>
                </c:pt>
                <c:pt idx="3104">
                  <c:v>1.061264865003686E-2</c:v>
                </c:pt>
                <c:pt idx="3105">
                  <c:v>1.0617722088186454E-2</c:v>
                </c:pt>
                <c:pt idx="3106">
                  <c:v>1.0622783700195981E-2</c:v>
                </c:pt>
                <c:pt idx="3107">
                  <c:v>1.0627833486145377E-2</c:v>
                </c:pt>
                <c:pt idx="3108">
                  <c:v>1.0632871446034642E-2</c:v>
                </c:pt>
                <c:pt idx="3109">
                  <c:v>1.0637897579783839E-2</c:v>
                </c:pt>
                <c:pt idx="3110">
                  <c:v>1.0644971607435494E-2</c:v>
                </c:pt>
                <c:pt idx="3111">
                  <c:v>1.0647914368862033E-2</c:v>
                </c:pt>
                <c:pt idx="3112">
                  <c:v>1.0652905024191028E-2</c:v>
                </c:pt>
                <c:pt idx="3113">
                  <c:v>1.0657883853300021E-2</c:v>
                </c:pt>
                <c:pt idx="3114">
                  <c:v>1.0662850856508754E-2</c:v>
                </c:pt>
                <c:pt idx="3115">
                  <c:v>1.0667806033337612E-2</c:v>
                </c:pt>
                <c:pt idx="3116">
                  <c:v>1.0672749384266211E-2</c:v>
                </c:pt>
                <c:pt idx="3117">
                  <c:v>1.0677680908814935E-2</c:v>
                </c:pt>
                <c:pt idx="3118">
                  <c:v>1.0682600607303527E-2</c:v>
                </c:pt>
                <c:pt idx="3119">
                  <c:v>1.0687508479891861E-2</c:v>
                </c:pt>
                <c:pt idx="3120">
                  <c:v>1.0692404526260191E-2</c:v>
                </c:pt>
                <c:pt idx="3121">
                  <c:v>1.0697288746328582E-2</c:v>
                </c:pt>
                <c:pt idx="3122">
                  <c:v>1.0702161140336841E-2</c:v>
                </c:pt>
                <c:pt idx="3123">
                  <c:v>1.0707021708284969E-2</c:v>
                </c:pt>
                <c:pt idx="3124">
                  <c:v>1.0711870450013095E-2</c:v>
                </c:pt>
                <c:pt idx="3125">
                  <c:v>1.0716707365601152E-2</c:v>
                </c:pt>
                <c:pt idx="3126">
                  <c:v>1.0721532455209015E-2</c:v>
                </c:pt>
                <c:pt idx="3127">
                  <c:v>1.0726345718516939E-2</c:v>
                </c:pt>
                <c:pt idx="3128">
                  <c:v>1.0731147155604859E-2</c:v>
                </c:pt>
                <c:pt idx="3129">
                  <c:v>1.073593676679252E-2</c:v>
                </c:pt>
                <c:pt idx="3130">
                  <c:v>1.0740714551680242E-2</c:v>
                </c:pt>
                <c:pt idx="3131">
                  <c:v>1.0745480510587768E-2</c:v>
                </c:pt>
                <c:pt idx="3132">
                  <c:v>1.0750234643195355E-2</c:v>
                </c:pt>
                <c:pt idx="3133">
                  <c:v>1.0754976949822748E-2</c:v>
                </c:pt>
                <c:pt idx="3134">
                  <c:v>1.07597074301502E-2</c:v>
                </c:pt>
                <c:pt idx="3135">
                  <c:v>1.0764426084417522E-2</c:v>
                </c:pt>
                <c:pt idx="3136">
                  <c:v>1.0769132912464841E-2</c:v>
                </c:pt>
                <c:pt idx="3137">
                  <c:v>1.0773827914452028E-2</c:v>
                </c:pt>
                <c:pt idx="3138">
                  <c:v>1.0778511090219212E-2</c:v>
                </c:pt>
                <c:pt idx="3139">
                  <c:v>1.0783182439926264E-2</c:v>
                </c:pt>
                <c:pt idx="3140">
                  <c:v>1.0787841963573186E-2</c:v>
                </c:pt>
                <c:pt idx="3141">
                  <c:v>1.0792489661000104E-2</c:v>
                </c:pt>
                <c:pt idx="3142">
                  <c:v>1.0797125532127083E-2</c:v>
                </c:pt>
                <c:pt idx="3143">
                  <c:v>1.0801749577433739E-2</c:v>
                </c:pt>
                <c:pt idx="3144">
                  <c:v>1.0806361796280584E-2</c:v>
                </c:pt>
                <c:pt idx="3145">
                  <c:v>1.0810962189227169E-2</c:v>
                </c:pt>
                <c:pt idx="3146">
                  <c:v>1.0815550755873815E-2</c:v>
                </c:pt>
                <c:pt idx="3147">
                  <c:v>1.0820127496380394E-2</c:v>
                </c:pt>
                <c:pt idx="3148">
                  <c:v>1.0824692410906778E-2</c:v>
                </c:pt>
                <c:pt idx="3149">
                  <c:v>1.0829245499053286E-2</c:v>
                </c:pt>
                <c:pt idx="3150">
                  <c:v>1.0833786761059727E-2</c:v>
                </c:pt>
                <c:pt idx="3151">
                  <c:v>1.0838316197245845E-2</c:v>
                </c:pt>
                <c:pt idx="3152">
                  <c:v>1.0842833807052088E-2</c:v>
                </c:pt>
                <c:pt idx="3153">
                  <c:v>1.0847339590638327E-2</c:v>
                </c:pt>
                <c:pt idx="3154">
                  <c:v>1.0851833548164436E-2</c:v>
                </c:pt>
                <c:pt idx="3155">
                  <c:v>1.0856315679550477E-2</c:v>
                </c:pt>
                <c:pt idx="3156">
                  <c:v>1.0860785984796451E-2</c:v>
                </c:pt>
                <c:pt idx="3157">
                  <c:v>1.0865244463902357E-2</c:v>
                </c:pt>
                <c:pt idx="3158">
                  <c:v>1.086969111678826E-2</c:v>
                </c:pt>
                <c:pt idx="3159">
                  <c:v>1.0874125943693969E-2</c:v>
                </c:pt>
                <c:pt idx="3160">
                  <c:v>1.0878548944139865E-2</c:v>
                </c:pt>
                <c:pt idx="3161">
                  <c:v>1.0882960118765439E-2</c:v>
                </c:pt>
                <c:pt idx="3162">
                  <c:v>1.0887359467011137E-2</c:v>
                </c:pt>
                <c:pt idx="3163">
                  <c:v>1.0891746989276641E-2</c:v>
                </c:pt>
                <c:pt idx="3164">
                  <c:v>1.0896122685242204E-2</c:v>
                </c:pt>
                <c:pt idx="3165">
                  <c:v>1.0902391246784049E-2</c:v>
                </c:pt>
                <c:pt idx="3166">
                  <c:v>1.0904838598833066E-2</c:v>
                </c:pt>
                <c:pt idx="3167">
                  <c:v>1.0910747288157552E-2</c:v>
                </c:pt>
                <c:pt idx="3168">
                  <c:v>1.09150725628826E-2</c:v>
                </c:pt>
                <c:pt idx="3169">
                  <c:v>1.0919386010828092E-2</c:v>
                </c:pt>
                <c:pt idx="3170">
                  <c:v>1.0923687632020673E-2</c:v>
                </c:pt>
                <c:pt idx="3171">
                  <c:v>1.0927977426433699E-2</c:v>
                </c:pt>
                <c:pt idx="3172">
                  <c:v>1.093225539406717E-2</c:v>
                </c:pt>
                <c:pt idx="3173">
                  <c:v>1.093652153494773E-2</c:v>
                </c:pt>
                <c:pt idx="3174">
                  <c:v>1.0940775849048734E-2</c:v>
                </c:pt>
                <c:pt idx="3175">
                  <c:v>1.0945018336370183E-2</c:v>
                </c:pt>
                <c:pt idx="3176">
                  <c:v>1.0949248996938721E-2</c:v>
                </c:pt>
                <c:pt idx="3177">
                  <c:v>1.0953467830674413E-2</c:v>
                </c:pt>
                <c:pt idx="3178">
                  <c:v>1.095767483768384E-2</c:v>
                </c:pt>
                <c:pt idx="3179">
                  <c:v>1.0961870017887065E-2</c:v>
                </c:pt>
                <c:pt idx="3180">
                  <c:v>1.096605337128409E-2</c:v>
                </c:pt>
                <c:pt idx="3181">
                  <c:v>1.0970224897928205E-2</c:v>
                </c:pt>
                <c:pt idx="3182">
                  <c:v>1.0974384597819409E-2</c:v>
                </c:pt>
                <c:pt idx="3183">
                  <c:v>1.0978532470877767E-2</c:v>
                </c:pt>
                <c:pt idx="3184">
                  <c:v>1.0982668517156569E-2</c:v>
                </c:pt>
                <c:pt idx="3185">
                  <c:v>1.0986792736655815E-2</c:v>
                </c:pt>
                <c:pt idx="3186">
                  <c:v>1.099090512934886E-2</c:v>
                </c:pt>
                <c:pt idx="3187">
                  <c:v>1.099500569526235E-2</c:v>
                </c:pt>
                <c:pt idx="3188">
                  <c:v>1.0999094434369638E-2</c:v>
                </c:pt>
                <c:pt idx="3189">
                  <c:v>1.1003171346750662E-2</c:v>
                </c:pt>
                <c:pt idx="3190">
                  <c:v>1.1007236432298839E-2</c:v>
                </c:pt>
                <c:pt idx="3191">
                  <c:v>1.1011289691040815E-2</c:v>
                </c:pt>
                <c:pt idx="3192">
                  <c:v>1.1015331123003236E-2</c:v>
                </c:pt>
                <c:pt idx="3193">
                  <c:v>1.101936072813281E-2</c:v>
                </c:pt>
                <c:pt idx="3194">
                  <c:v>1.1023378506509474E-2</c:v>
                </c:pt>
                <c:pt idx="3195">
                  <c:v>1.1027384458026646E-2</c:v>
                </c:pt>
                <c:pt idx="3196">
                  <c:v>1.1031378582790907E-2</c:v>
                </c:pt>
                <c:pt idx="3197">
                  <c:v>1.1035360880722322E-2</c:v>
                </c:pt>
                <c:pt idx="3198">
                  <c:v>1.1039331351900827E-2</c:v>
                </c:pt>
                <c:pt idx="3199">
                  <c:v>1.1043289996219841E-2</c:v>
                </c:pt>
                <c:pt idx="3200">
                  <c:v>1.1047236813785943E-2</c:v>
                </c:pt>
                <c:pt idx="3201">
                  <c:v>1.1052404683504768E-2</c:v>
                </c:pt>
                <c:pt idx="3202">
                  <c:v>1.1055874242824615E-2</c:v>
                </c:pt>
                <c:pt idx="3203">
                  <c:v>1.1059781960813808E-2</c:v>
                </c:pt>
                <c:pt idx="3204">
                  <c:v>1.1063677852503062E-2</c:v>
                </c:pt>
                <c:pt idx="3205">
                  <c:v>1.1067561918212121E-2</c:v>
                </c:pt>
                <c:pt idx="3206">
                  <c:v>1.1071434157541304E-2</c:v>
                </c:pt>
                <c:pt idx="3207">
                  <c:v>1.1075294570890293E-2</c:v>
                </c:pt>
                <c:pt idx="3208">
                  <c:v>1.1079143157939342E-2</c:v>
                </c:pt>
                <c:pt idx="3209">
                  <c:v>1.1082979918848324E-2</c:v>
                </c:pt>
                <c:pt idx="3210">
                  <c:v>1.1086804853617238E-2</c:v>
                </c:pt>
                <c:pt idx="3211">
                  <c:v>1.1090617962246085E-2</c:v>
                </c:pt>
                <c:pt idx="3212">
                  <c:v>1.1094419244734866E-2</c:v>
                </c:pt>
                <c:pt idx="3213">
                  <c:v>1.1098208701003642E-2</c:v>
                </c:pt>
                <c:pt idx="3214">
                  <c:v>1.1101986331132352E-2</c:v>
                </c:pt>
                <c:pt idx="3215">
                  <c:v>1.1105752134961122E-2</c:v>
                </c:pt>
                <c:pt idx="3216">
                  <c:v>1.1110576505624081E-2</c:v>
                </c:pt>
                <c:pt idx="3217">
                  <c:v>1.1113248264198461E-2</c:v>
                </c:pt>
                <c:pt idx="3218">
                  <c:v>1.1116978589686966E-2</c:v>
                </c:pt>
                <c:pt idx="3219">
                  <c:v>1.1120697088875531E-2</c:v>
                </c:pt>
                <c:pt idx="3220">
                  <c:v>1.1124403761924029E-2</c:v>
                </c:pt>
                <c:pt idx="3221">
                  <c:v>1.1128098608672587E-2</c:v>
                </c:pt>
                <c:pt idx="3222">
                  <c:v>1.1131781629440951E-2</c:v>
                </c:pt>
                <c:pt idx="3223">
                  <c:v>1.1135452824069247E-2</c:v>
                </c:pt>
                <c:pt idx="3224">
                  <c:v>1.1139112192317668E-2</c:v>
                </c:pt>
                <c:pt idx="3225">
                  <c:v>1.1142759734505958E-2</c:v>
                </c:pt>
                <c:pt idx="3226">
                  <c:v>1.1146395450554181E-2</c:v>
                </c:pt>
                <c:pt idx="3227">
                  <c:v>1.1150019340302464E-2</c:v>
                </c:pt>
                <c:pt idx="3228">
                  <c:v>1.115363140391068E-2</c:v>
                </c:pt>
                <c:pt idx="3229">
                  <c:v>1.1157231641378829E-2</c:v>
                </c:pt>
                <c:pt idx="3230">
                  <c:v>1.1160820052626974E-2</c:v>
                </c:pt>
                <c:pt idx="3231">
                  <c:v>1.1164396637655116E-2</c:v>
                </c:pt>
                <c:pt idx="3232">
                  <c:v>1.1167961396703063E-2</c:v>
                </c:pt>
                <c:pt idx="3233">
                  <c:v>1.1171514329451071E-2</c:v>
                </c:pt>
                <c:pt idx="3234">
                  <c:v>1.1175055435979075E-2</c:v>
                </c:pt>
                <c:pt idx="3235">
                  <c:v>1.1178584716287077E-2</c:v>
                </c:pt>
                <c:pt idx="3236">
                  <c:v>1.1182102170455011E-2</c:v>
                </c:pt>
                <c:pt idx="3237">
                  <c:v>1.1185607798482877E-2</c:v>
                </c:pt>
                <c:pt idx="3238">
                  <c:v>1.1189101600450613E-2</c:v>
                </c:pt>
                <c:pt idx="3239">
                  <c:v>1.1192583576038473E-2</c:v>
                </c:pt>
                <c:pt idx="3240">
                  <c:v>1.1196053725486266E-2</c:v>
                </c:pt>
                <c:pt idx="3241">
                  <c:v>1.1199512048793991E-2</c:v>
                </c:pt>
                <c:pt idx="3242">
                  <c:v>1.1202958545881714E-2</c:v>
                </c:pt>
                <c:pt idx="3243">
                  <c:v>1.1206393216829369E-2</c:v>
                </c:pt>
                <c:pt idx="3244">
                  <c:v>1.1209816061636957E-2</c:v>
                </c:pt>
                <c:pt idx="3245">
                  <c:v>1.1213227080224542E-2</c:v>
                </c:pt>
                <c:pt idx="3246">
                  <c:v>1.1216626272432251E-2</c:v>
                </c:pt>
                <c:pt idx="3247">
                  <c:v>1.1220013638739701E-2</c:v>
                </c:pt>
                <c:pt idx="3248">
                  <c:v>1.1223389178747212E-2</c:v>
                </c:pt>
                <c:pt idx="3249">
                  <c:v>1.1226752892614655E-2</c:v>
                </c:pt>
                <c:pt idx="3250">
                  <c:v>1.123010478018216E-2</c:v>
                </c:pt>
                <c:pt idx="3251">
                  <c:v>1.1233444841689533E-2</c:v>
                </c:pt>
                <c:pt idx="3252">
                  <c:v>1.1236773076896966E-2</c:v>
                </c:pt>
                <c:pt idx="3253">
                  <c:v>1.124097407013025E-2</c:v>
                </c:pt>
                <c:pt idx="3254">
                  <c:v>1.1243865186756352E-2</c:v>
                </c:pt>
                <c:pt idx="3255">
                  <c:v>1.1247156253935131E-2</c:v>
                </c:pt>
                <c:pt idx="3256">
                  <c:v>1.1250435495133715E-2</c:v>
                </c:pt>
                <c:pt idx="3257">
                  <c:v>1.1253702909952423E-2</c:v>
                </c:pt>
                <c:pt idx="3258">
                  <c:v>1.1256958498551128E-2</c:v>
                </c:pt>
                <c:pt idx="3259">
                  <c:v>1.1260202261009766E-2</c:v>
                </c:pt>
                <c:pt idx="3260">
                  <c:v>1.1263434197488209E-2</c:v>
                </c:pt>
                <c:pt idx="3261">
                  <c:v>1.126665430750684E-2</c:v>
                </c:pt>
                <c:pt idx="3262">
                  <c:v>1.1269862591385404E-2</c:v>
                </c:pt>
                <c:pt idx="3263">
                  <c:v>1.1273059049123901E-2</c:v>
                </c:pt>
                <c:pt idx="3264">
                  <c:v>1.1276243680882203E-2</c:v>
                </c:pt>
                <c:pt idx="3265">
                  <c:v>1.1279416486100757E-2</c:v>
                </c:pt>
                <c:pt idx="3266">
                  <c:v>1.1283478430081928E-2</c:v>
                </c:pt>
                <c:pt idx="3267">
                  <c:v>1.1286624204203122E-2</c:v>
                </c:pt>
                <c:pt idx="3268">
                  <c:v>1.1289758152024376E-2</c:v>
                </c:pt>
                <c:pt idx="3269">
                  <c:v>1.1292880273705563E-2</c:v>
                </c:pt>
                <c:pt idx="3270">
                  <c:v>1.1297231474571845E-2</c:v>
                </c:pt>
                <c:pt idx="3271">
                  <c:v>1.1299089038487864E-2</c:v>
                </c:pt>
                <c:pt idx="3272">
                  <c:v>1.1302175681588977E-2</c:v>
                </c:pt>
                <c:pt idx="3273">
                  <c:v>1.1305250498550024E-2</c:v>
                </c:pt>
                <c:pt idx="3274">
                  <c:v>1.130831348921113E-2</c:v>
                </c:pt>
                <c:pt idx="3275">
                  <c:v>1.1311364653812106E-2</c:v>
                </c:pt>
                <c:pt idx="3276">
                  <c:v>1.1314403992113142E-2</c:v>
                </c:pt>
                <c:pt idx="3277">
                  <c:v>1.1317431504354047E-2</c:v>
                </c:pt>
                <c:pt idx="3278">
                  <c:v>1.1320447190295013E-2</c:v>
                </c:pt>
                <c:pt idx="3279">
                  <c:v>1.1323451050015976E-2</c:v>
                </c:pt>
                <c:pt idx="3280">
                  <c:v>1.1326443083676807E-2</c:v>
                </c:pt>
                <c:pt idx="3281">
                  <c:v>1.1329423291037699E-2</c:v>
                </c:pt>
                <c:pt idx="3282">
                  <c:v>1.1332391672178588E-2</c:v>
                </c:pt>
                <c:pt idx="3283">
                  <c:v>1.1335348227179409E-2</c:v>
                </c:pt>
                <c:pt idx="3284">
                  <c:v>1.1338292955880291E-2</c:v>
                </c:pt>
                <c:pt idx="3285">
                  <c:v>1.1341225858441106E-2</c:v>
                </c:pt>
                <c:pt idx="3286">
                  <c:v>1.134414693494179E-2</c:v>
                </c:pt>
                <c:pt idx="3287">
                  <c:v>1.1347056185222471E-2</c:v>
                </c:pt>
                <c:pt idx="3288">
                  <c:v>1.1349953609203212E-2</c:v>
                </c:pt>
                <c:pt idx="3289">
                  <c:v>1.1352839206963949E-2</c:v>
                </c:pt>
                <c:pt idx="3290">
                  <c:v>1.1355712978504684E-2</c:v>
                </c:pt>
                <c:pt idx="3291">
                  <c:v>1.1358574923985287E-2</c:v>
                </c:pt>
                <c:pt idx="3292">
                  <c:v>1.1361425043165951E-2</c:v>
                </c:pt>
                <c:pt idx="3293">
                  <c:v>1.1364263336206548E-2</c:v>
                </c:pt>
                <c:pt idx="3294">
                  <c:v>1.1367089802947206E-2</c:v>
                </c:pt>
                <c:pt idx="3295">
                  <c:v>1.1369904443707668E-2</c:v>
                </c:pt>
                <c:pt idx="3296">
                  <c:v>1.1372707258008319E-2</c:v>
                </c:pt>
                <c:pt idx="3297">
                  <c:v>1.1375498246168902E-2</c:v>
                </c:pt>
                <c:pt idx="3298">
                  <c:v>1.1378277408189419E-2</c:v>
                </c:pt>
                <c:pt idx="3299">
                  <c:v>1.1381044743989932E-2</c:v>
                </c:pt>
                <c:pt idx="3300">
                  <c:v>1.1383800253570442E-2</c:v>
                </c:pt>
                <c:pt idx="3301">
                  <c:v>1.1386543937010885E-2</c:v>
                </c:pt>
                <c:pt idx="3302">
                  <c:v>1.138927579431126E-2</c:v>
                </c:pt>
                <c:pt idx="3303">
                  <c:v>1.139199582523176E-2</c:v>
                </c:pt>
                <c:pt idx="3304">
                  <c:v>1.1396246266031085E-2</c:v>
                </c:pt>
                <c:pt idx="3305">
                  <c:v>1.1398529437816052E-2</c:v>
                </c:pt>
                <c:pt idx="3306">
                  <c:v>1.1400084960992984E-2</c:v>
                </c:pt>
                <c:pt idx="3307">
                  <c:v>1.1402757687273279E-2</c:v>
                </c:pt>
                <c:pt idx="3308">
                  <c:v>1.1405418587333571E-2</c:v>
                </c:pt>
                <c:pt idx="3309">
                  <c:v>1.1408067661093924E-2</c:v>
                </c:pt>
                <c:pt idx="3310">
                  <c:v>1.1410704908714209E-2</c:v>
                </c:pt>
                <c:pt idx="3311">
                  <c:v>1.1413330330034555E-2</c:v>
                </c:pt>
                <c:pt idx="3312">
                  <c:v>1.1415943925294769E-2</c:v>
                </c:pt>
                <c:pt idx="3313">
                  <c:v>1.1418545694255045E-2</c:v>
                </c:pt>
                <c:pt idx="3314">
                  <c:v>1.1421135637155189E-2</c:v>
                </c:pt>
                <c:pt idx="3315">
                  <c:v>1.1423713753595521E-2</c:v>
                </c:pt>
                <c:pt idx="3316">
                  <c:v>1.1426280043975723E-2</c:v>
                </c:pt>
                <c:pt idx="3317">
                  <c:v>1.1428834508215857E-2</c:v>
                </c:pt>
                <c:pt idx="3318">
                  <c:v>1.1431377146156052E-2</c:v>
                </c:pt>
                <c:pt idx="3319">
                  <c:v>1.1433907957876244E-2</c:v>
                </c:pt>
                <c:pt idx="3320">
                  <c:v>1.1437870975806064E-2</c:v>
                </c:pt>
                <c:pt idx="3321">
                  <c:v>1.1438934102896425E-2</c:v>
                </c:pt>
                <c:pt idx="3322">
                  <c:v>1.1442507966061832E-2</c:v>
                </c:pt>
                <c:pt idx="3323">
                  <c:v>1.1443912942876722E-2</c:v>
                </c:pt>
                <c:pt idx="3324">
                  <c:v>1.1446384623576833E-2</c:v>
                </c:pt>
                <c:pt idx="3325">
                  <c:v>1.1448844478136877E-2</c:v>
                </c:pt>
                <c:pt idx="3326">
                  <c:v>1.1451292506556854E-2</c:v>
                </c:pt>
                <c:pt idx="3327">
                  <c:v>1.1453728708596955E-2</c:v>
                </c:pt>
                <c:pt idx="3328">
                  <c:v>1.1456153084417053E-2</c:v>
                </c:pt>
                <c:pt idx="3329">
                  <c:v>1.1458565634097084E-2</c:v>
                </c:pt>
                <c:pt idx="3330">
                  <c:v>1.1460966357716984E-2</c:v>
                </c:pt>
                <c:pt idx="3331">
                  <c:v>1.1463355254957008E-2</c:v>
                </c:pt>
                <c:pt idx="3332">
                  <c:v>1.1465732325897093E-2</c:v>
                </c:pt>
                <c:pt idx="3333">
                  <c:v>1.1468097570856983E-2</c:v>
                </c:pt>
                <c:pt idx="3334">
                  <c:v>1.1470450989436998E-2</c:v>
                </c:pt>
                <c:pt idx="3335">
                  <c:v>1.1472792581876945E-2</c:v>
                </c:pt>
                <c:pt idx="3336">
                  <c:v>1.1475122348096889E-2</c:v>
                </c:pt>
                <c:pt idx="3337">
                  <c:v>1.1477440288176766E-2</c:v>
                </c:pt>
                <c:pt idx="3338">
                  <c:v>1.1479746401876767E-2</c:v>
                </c:pt>
                <c:pt idx="3339">
                  <c:v>1.1482040689676509E-2</c:v>
                </c:pt>
                <c:pt idx="3340">
                  <c:v>1.1484323150936504E-2</c:v>
                </c:pt>
                <c:pt idx="3341">
                  <c:v>1.1486593786216304E-2</c:v>
                </c:pt>
                <c:pt idx="3342">
                  <c:v>1.1488852595196164E-2</c:v>
                </c:pt>
                <c:pt idx="3343">
                  <c:v>1.1491099577876085E-2</c:v>
                </c:pt>
                <c:pt idx="3344">
                  <c:v>1.1493334734336003E-2</c:v>
                </c:pt>
                <c:pt idx="3345">
                  <c:v>1.1495558064735789E-2</c:v>
                </c:pt>
                <c:pt idx="3346">
                  <c:v>1.1497769568915572E-2</c:v>
                </c:pt>
                <c:pt idx="3347">
                  <c:v>1.1499969246795416E-2</c:v>
                </c:pt>
                <c:pt idx="3348">
                  <c:v>1.1502157098535193E-2</c:v>
                </c:pt>
                <c:pt idx="3349">
                  <c:v>1.1504333124054966E-2</c:v>
                </c:pt>
                <c:pt idx="3350">
                  <c:v>1.15064973232748E-2</c:v>
                </c:pt>
                <c:pt idx="3351">
                  <c:v>1.1508649696274631E-2</c:v>
                </c:pt>
                <c:pt idx="3352">
                  <c:v>1.1510790243294267E-2</c:v>
                </c:pt>
                <c:pt idx="3353">
                  <c:v>1.1512918963854091E-2</c:v>
                </c:pt>
                <c:pt idx="3354">
                  <c:v>1.1515035858273848E-2</c:v>
                </c:pt>
                <c:pt idx="3355">
                  <c:v>1.1517140926473601E-2</c:v>
                </c:pt>
                <c:pt idx="3356">
                  <c:v>1.1520233972053262E-2</c:v>
                </c:pt>
                <c:pt idx="3357">
                  <c:v>1.1522313053280442E-2</c:v>
                </c:pt>
                <c:pt idx="3358">
                  <c:v>1.1523385173752843E-2</c:v>
                </c:pt>
                <c:pt idx="3359">
                  <c:v>1.1525442937232455E-2</c:v>
                </c:pt>
                <c:pt idx="3360">
                  <c:v>1.1527488874332192E-2</c:v>
                </c:pt>
                <c:pt idx="3361">
                  <c:v>1.1529522985211926E-2</c:v>
                </c:pt>
                <c:pt idx="3362">
                  <c:v>1.1531545269951593E-2</c:v>
                </c:pt>
                <c:pt idx="3363">
                  <c:v>1.1533555728471256E-2</c:v>
                </c:pt>
                <c:pt idx="3364">
                  <c:v>1.1535554360770917E-2</c:v>
                </c:pt>
                <c:pt idx="3365">
                  <c:v>1.1537541166770637E-2</c:v>
                </c:pt>
                <c:pt idx="3366">
                  <c:v>1.1539516146630291E-2</c:v>
                </c:pt>
                <c:pt idx="3367">
                  <c:v>1.1541479300349877E-2</c:v>
                </c:pt>
                <c:pt idx="3368">
                  <c:v>1.1543430627689588E-2</c:v>
                </c:pt>
                <c:pt idx="3369">
                  <c:v>1.1545370128969168E-2</c:v>
                </c:pt>
                <c:pt idx="3370">
                  <c:v>1.1547297803948808E-2</c:v>
                </c:pt>
                <c:pt idx="3371">
                  <c:v>1.1550499742343234E-2</c:v>
                </c:pt>
                <c:pt idx="3372">
                  <c:v>1.1551117675248079E-2</c:v>
                </c:pt>
                <c:pt idx="3373">
                  <c:v>1.155300987156771E-2</c:v>
                </c:pt>
                <c:pt idx="3374">
                  <c:v>1.1554890241747273E-2</c:v>
                </c:pt>
                <c:pt idx="3375">
                  <c:v>1.1556758785626897E-2</c:v>
                </c:pt>
                <c:pt idx="3376">
                  <c:v>1.1558615503286518E-2</c:v>
                </c:pt>
                <c:pt idx="3377">
                  <c:v>1.1560460394726135E-2</c:v>
                </c:pt>
                <c:pt idx="3378">
                  <c:v>1.1562293460025685E-2</c:v>
                </c:pt>
                <c:pt idx="3379">
                  <c:v>1.1564114699025296E-2</c:v>
                </c:pt>
                <c:pt idx="3380">
                  <c:v>1.1565924111804904E-2</c:v>
                </c:pt>
                <c:pt idx="3381">
                  <c:v>1.1567721698444444E-2</c:v>
                </c:pt>
                <c:pt idx="3382">
                  <c:v>1.1569507458863981E-2</c:v>
                </c:pt>
                <c:pt idx="3383">
                  <c:v>1.1571281392903643E-2</c:v>
                </c:pt>
                <c:pt idx="3384">
                  <c:v>1.1573043500883173E-2</c:v>
                </c:pt>
                <c:pt idx="3385">
                  <c:v>1.1574793782562764E-2</c:v>
                </c:pt>
                <c:pt idx="3386">
                  <c:v>1.1576532238102288E-2</c:v>
                </c:pt>
                <c:pt idx="3387">
                  <c:v>1.1578258867341873E-2</c:v>
                </c:pt>
                <c:pt idx="3388">
                  <c:v>1.157997367044139E-2</c:v>
                </c:pt>
                <c:pt idx="3389">
                  <c:v>1.1581676647240968E-2</c:v>
                </c:pt>
                <c:pt idx="3390">
                  <c:v>1.1583367797900479E-2</c:v>
                </c:pt>
                <c:pt idx="3391">
                  <c:v>1.158504712226005E-2</c:v>
                </c:pt>
                <c:pt idx="3392">
                  <c:v>1.1586714620479555E-2</c:v>
                </c:pt>
                <c:pt idx="3393">
                  <c:v>1.1588370292479055E-2</c:v>
                </c:pt>
                <c:pt idx="3394">
                  <c:v>1.1590014138178617E-2</c:v>
                </c:pt>
                <c:pt idx="3395">
                  <c:v>1.1591646157578239E-2</c:v>
                </c:pt>
                <c:pt idx="3396">
                  <c:v>1.1593266350997666E-2</c:v>
                </c:pt>
                <c:pt idx="3397">
                  <c:v>1.1594874718117154E-2</c:v>
                </c:pt>
                <c:pt idx="3398">
                  <c:v>1.1596471258936702E-2</c:v>
                </c:pt>
                <c:pt idx="3399">
                  <c:v>1.1598055973536248E-2</c:v>
                </c:pt>
                <c:pt idx="3400">
                  <c:v>1.1599628861995726E-2</c:v>
                </c:pt>
                <c:pt idx="3401">
                  <c:v>1.1601189924155264E-2</c:v>
                </c:pt>
                <c:pt idx="3402">
                  <c:v>1.1602739160014863E-2</c:v>
                </c:pt>
                <c:pt idx="3403">
                  <c:v>1.1604276569814331E-2</c:v>
                </c:pt>
                <c:pt idx="3404">
                  <c:v>1.160580215331386E-2</c:v>
                </c:pt>
                <c:pt idx="3405">
                  <c:v>1.1607315910593385E-2</c:v>
                </c:pt>
                <c:pt idx="3406">
                  <c:v>1.1608817841652908E-2</c:v>
                </c:pt>
                <c:pt idx="3407">
                  <c:v>1.1610307946572362E-2</c:v>
                </c:pt>
                <c:pt idx="3408">
                  <c:v>1.1611786225191878E-2</c:v>
                </c:pt>
                <c:pt idx="3409">
                  <c:v>1.161325267759139E-2</c:v>
                </c:pt>
                <c:pt idx="3410">
                  <c:v>1.1614707303770899E-2</c:v>
                </c:pt>
                <c:pt idx="3411">
                  <c:v>1.1616150103810341E-2</c:v>
                </c:pt>
                <c:pt idx="3412">
                  <c:v>1.1617581077389971E-2</c:v>
                </c:pt>
                <c:pt idx="3413">
                  <c:v>1.1619000224989406E-2</c:v>
                </c:pt>
                <c:pt idx="3414">
                  <c:v>1.1620407546288902E-2</c:v>
                </c:pt>
                <c:pt idx="3415">
                  <c:v>1.1621803041368395E-2</c:v>
                </c:pt>
                <c:pt idx="3416">
                  <c:v>1.1623186710147948E-2</c:v>
                </c:pt>
                <c:pt idx="3417">
                  <c:v>1.1624558552787434E-2</c:v>
                </c:pt>
                <c:pt idx="3418">
                  <c:v>1.1625918569206917E-2</c:v>
                </c:pt>
                <c:pt idx="3419">
                  <c:v>1.162726675932646E-2</c:v>
                </c:pt>
                <c:pt idx="3420">
                  <c:v>1.1628603123305936E-2</c:v>
                </c:pt>
                <c:pt idx="3421">
                  <c:v>1.1631055177577565E-2</c:v>
                </c:pt>
                <c:pt idx="3422">
                  <c:v>1.1631240372524942E-2</c:v>
                </c:pt>
                <c:pt idx="3423">
                  <c:v>1.1632541257764473E-2</c:v>
                </c:pt>
                <c:pt idx="3424">
                  <c:v>1.1633830316784E-2</c:v>
                </c:pt>
                <c:pt idx="3425">
                  <c:v>1.1635107549663459E-2</c:v>
                </c:pt>
                <c:pt idx="3426">
                  <c:v>1.1636372956163044E-2</c:v>
                </c:pt>
                <c:pt idx="3427">
                  <c:v>1.1637626536602497E-2</c:v>
                </c:pt>
                <c:pt idx="3428">
                  <c:v>1.163886829074201E-2</c:v>
                </c:pt>
                <c:pt idx="3429">
                  <c:v>1.1640098218661521E-2</c:v>
                </c:pt>
                <c:pt idx="3430">
                  <c:v>1.1641316320361028E-2</c:v>
                </c:pt>
                <c:pt idx="3431">
                  <c:v>1.1642522595760596E-2</c:v>
                </c:pt>
                <c:pt idx="3432">
                  <c:v>1.1643717045020097E-2</c:v>
                </c:pt>
                <c:pt idx="3433">
                  <c:v>1.164489966813953E-2</c:v>
                </c:pt>
                <c:pt idx="3434">
                  <c:v>1.1646070464799152E-2</c:v>
                </c:pt>
                <c:pt idx="3435">
                  <c:v>1.1647229435398643E-2</c:v>
                </c:pt>
                <c:pt idx="3436">
                  <c:v>1.164837657977813E-2</c:v>
                </c:pt>
                <c:pt idx="3437">
                  <c:v>1.1649511897857678E-2</c:v>
                </c:pt>
                <c:pt idx="3438">
                  <c:v>1.1650635389717223E-2</c:v>
                </c:pt>
                <c:pt idx="3439">
                  <c:v>1.1651747055356765E-2</c:v>
                </c:pt>
                <c:pt idx="3440">
                  <c:v>1.1652846894776303E-2</c:v>
                </c:pt>
                <c:pt idx="3441">
                  <c:v>1.1653934907975838E-2</c:v>
                </c:pt>
                <c:pt idx="3442">
                  <c:v>1.165501109495537E-2</c:v>
                </c:pt>
                <c:pt idx="3443">
                  <c:v>1.1656075455714898E-2</c:v>
                </c:pt>
                <c:pt idx="3444">
                  <c:v>1.1657127990254423E-2</c:v>
                </c:pt>
                <c:pt idx="3445">
                  <c:v>1.1658168698573945E-2</c:v>
                </c:pt>
                <c:pt idx="3446">
                  <c:v>1.1659197580593528E-2</c:v>
                </c:pt>
                <c:pt idx="3447">
                  <c:v>1.1660214636473043E-2</c:v>
                </c:pt>
                <c:pt idx="3448">
                  <c:v>1.1661219866052619E-2</c:v>
                </c:pt>
                <c:pt idx="3449">
                  <c:v>1.1662213269412192E-2</c:v>
                </c:pt>
                <c:pt idx="3450">
                  <c:v>1.1663194846551761E-2</c:v>
                </c:pt>
                <c:pt idx="3451">
                  <c:v>1.1664164597551263E-2</c:v>
                </c:pt>
                <c:pt idx="3452">
                  <c:v>1.166512252217089E-2</c:v>
                </c:pt>
                <c:pt idx="3453">
                  <c:v>1.1666068620570513E-2</c:v>
                </c:pt>
                <c:pt idx="3454">
                  <c:v>1.1667002892910006E-2</c:v>
                </c:pt>
                <c:pt idx="3455">
                  <c:v>1.1667925338949559E-2</c:v>
                </c:pt>
                <c:pt idx="3456">
                  <c:v>1.1668835958609236E-2</c:v>
                </c:pt>
                <c:pt idx="3457">
                  <c:v>1.1669734752208782E-2</c:v>
                </c:pt>
                <c:pt idx="3458">
                  <c:v>1.1670621719588326E-2</c:v>
                </c:pt>
                <c:pt idx="3459">
                  <c:v>1.1671496860667929E-2</c:v>
                </c:pt>
                <c:pt idx="3460">
                  <c:v>1.1672360175447594E-2</c:v>
                </c:pt>
                <c:pt idx="3461">
                  <c:v>1.1674080558004007E-2</c:v>
                </c:pt>
                <c:pt idx="3462">
                  <c:v>1.167466756215596E-2</c:v>
                </c:pt>
                <c:pt idx="3463">
                  <c:v>1.1675492072908966E-2</c:v>
                </c:pt>
                <c:pt idx="3464">
                  <c:v>1.1676304756642608E-2</c:v>
                </c:pt>
                <c:pt idx="3465">
                  <c:v>1.1677105613410177E-2</c:v>
                </c:pt>
                <c:pt idx="3466">
                  <c:v>1.1677894643158382E-2</c:v>
                </c:pt>
                <c:pt idx="3467">
                  <c:v>1.1678671845913868E-2</c:v>
                </c:pt>
                <c:pt idx="3468">
                  <c:v>1.1679437221676636E-2</c:v>
                </c:pt>
                <c:pt idx="3469">
                  <c:v>1.1680190770446686E-2</c:v>
                </c:pt>
                <c:pt idx="3470">
                  <c:v>1.1680932492224017E-2</c:v>
                </c:pt>
                <c:pt idx="3471">
                  <c:v>1.1681662387008629E-2</c:v>
                </c:pt>
                <c:pt idx="3472">
                  <c:v>1.1682380454773877E-2</c:v>
                </c:pt>
                <c:pt idx="3473">
                  <c:v>1.1683086695599698E-2</c:v>
                </c:pt>
                <c:pt idx="3474">
                  <c:v>1.168378110937951E-2</c:v>
                </c:pt>
                <c:pt idx="3475">
                  <c:v>1.1684463696166603E-2</c:v>
                </c:pt>
                <c:pt idx="3476">
                  <c:v>1.1685039102076189E-2</c:v>
                </c:pt>
                <c:pt idx="3477">
                  <c:v>1.1685793388815924E-2</c:v>
                </c:pt>
                <c:pt idx="3478">
                  <c:v>1.1686440494624861E-2</c:v>
                </c:pt>
                <c:pt idx="3479">
                  <c:v>1.168707577344108E-2</c:v>
                </c:pt>
                <c:pt idx="3480">
                  <c:v>1.1687699225264581E-2</c:v>
                </c:pt>
                <c:pt idx="3481">
                  <c:v>1.1688310850095363E-2</c:v>
                </c:pt>
                <c:pt idx="3482">
                  <c:v>1.1688910647933426E-2</c:v>
                </c:pt>
                <c:pt idx="3483">
                  <c:v>1.1689498618752125E-2</c:v>
                </c:pt>
                <c:pt idx="3484">
                  <c:v>1.1690074762631397E-2</c:v>
                </c:pt>
                <c:pt idx="3485">
                  <c:v>1.1690639079438014E-2</c:v>
                </c:pt>
                <c:pt idx="3486">
                  <c:v>1.1691191569278558E-2</c:v>
                </c:pt>
                <c:pt idx="3487">
                  <c:v>1.1691732232153029E-2</c:v>
                </c:pt>
                <c:pt idx="3488">
                  <c:v>1.1692261067981491E-2</c:v>
                </c:pt>
                <c:pt idx="3489">
                  <c:v>1.1692778076843879E-2</c:v>
                </c:pt>
                <c:pt idx="3490">
                  <c:v>1.1693283258713549E-2</c:v>
                </c:pt>
                <c:pt idx="3491">
                  <c:v>1.169377661353721E-2</c:v>
                </c:pt>
                <c:pt idx="3492">
                  <c:v>1.1694258141421443E-2</c:v>
                </c:pt>
                <c:pt idx="3493">
                  <c:v>1.1694727842259667E-2</c:v>
                </c:pt>
                <c:pt idx="3494">
                  <c:v>1.1695185716131817E-2</c:v>
                </c:pt>
                <c:pt idx="3495">
                  <c:v>1.1695631762984604E-2</c:v>
                </c:pt>
                <c:pt idx="3496">
                  <c:v>1.1696065982871318E-2</c:v>
                </c:pt>
                <c:pt idx="3497">
                  <c:v>1.1696488375712022E-2</c:v>
                </c:pt>
                <c:pt idx="3498">
                  <c:v>1.1696898941586653E-2</c:v>
                </c:pt>
                <c:pt idx="3499">
                  <c:v>1.1697297680495211E-2</c:v>
                </c:pt>
                <c:pt idx="3500">
                  <c:v>1.169768459235776E-2</c:v>
                </c:pt>
                <c:pt idx="3501">
                  <c:v>1.1698059677200945E-2</c:v>
                </c:pt>
                <c:pt idx="3502">
                  <c:v>1.1698422935104702E-2</c:v>
                </c:pt>
                <c:pt idx="3503">
                  <c:v>1.169877436596245E-2</c:v>
                </c:pt>
                <c:pt idx="3504">
                  <c:v>1.1699113969827479E-2</c:v>
                </c:pt>
                <c:pt idx="3505">
                  <c:v>1.169944174669979E-2</c:v>
                </c:pt>
                <c:pt idx="3506">
                  <c:v>1.1699757696579383E-2</c:v>
                </c:pt>
                <c:pt idx="3507">
                  <c:v>1.1700061819439611E-2</c:v>
                </c:pt>
                <c:pt idx="3508">
                  <c:v>1.1700354115333766E-2</c:v>
                </c:pt>
                <c:pt idx="3509">
                  <c:v>1.1700634584181913E-2</c:v>
                </c:pt>
                <c:pt idx="3510">
                  <c:v>1.1700903226063986E-2</c:v>
                </c:pt>
                <c:pt idx="3511">
                  <c:v>1.1701160040926695E-2</c:v>
                </c:pt>
                <c:pt idx="3512">
                  <c:v>1.1701405028796685E-2</c:v>
                </c:pt>
                <c:pt idx="3513">
                  <c:v>1.1701528472864986E-2</c:v>
                </c:pt>
                <c:pt idx="3514">
                  <c:v>1.1701540315751657E-2</c:v>
                </c:pt>
                <c:pt idx="3515">
                  <c:v>1.1701746430077264E-2</c:v>
                </c:pt>
                <c:pt idx="3516">
                  <c:v>1.1701940718102932E-2</c:v>
                </c:pt>
                <c:pt idx="3517">
                  <c:v>1.1702123179988533E-2</c:v>
                </c:pt>
                <c:pt idx="3518">
                  <c:v>1.1702293815574194E-2</c:v>
                </c:pt>
                <c:pt idx="3519">
                  <c:v>1.1702452625019788E-2</c:v>
                </c:pt>
                <c:pt idx="3520">
                  <c:v>1.1702599608165443E-2</c:v>
                </c:pt>
                <c:pt idx="3521">
                  <c:v>1.1702734765091094E-2</c:v>
                </c:pt>
                <c:pt idx="3522">
                  <c:v>1.1702858095876678E-2</c:v>
                </c:pt>
                <c:pt idx="3523">
                  <c:v>1.1702969600282387E-2</c:v>
                </c:pt>
                <c:pt idx="3524">
                  <c:v>1.1703069278627964E-2</c:v>
                </c:pt>
                <c:pt idx="3525">
                  <c:v>1.1703157130513731E-2</c:v>
                </c:pt>
                <c:pt idx="3526">
                  <c:v>1.1703233156339365E-2</c:v>
                </c:pt>
                <c:pt idx="3527">
                  <c:v>1.1703313526449932E-2</c:v>
                </c:pt>
                <c:pt idx="3528">
                  <c:v>1.1703349729250689E-2</c:v>
                </c:pt>
                <c:pt idx="3529">
                  <c:v>1.1703390276256442E-2</c:v>
                </c:pt>
                <c:pt idx="3530">
                  <c:v>1.1703418997122128E-2</c:v>
                </c:pt>
                <c:pt idx="3531">
                  <c:v>1.1703435891767811E-2</c:v>
                </c:pt>
                <c:pt idx="3532">
                  <c:v>#N/A</c:v>
                </c:pt>
                <c:pt idx="3533">
                  <c:v>#N/A</c:v>
                </c:pt>
              </c:numCache>
            </c:numRef>
          </c:val>
          <c:smooth val="0"/>
        </c:ser>
        <c:dLbls>
          <c:showLegendKey val="0"/>
          <c:showVal val="0"/>
          <c:showCatName val="0"/>
          <c:showSerName val="0"/>
          <c:showPercent val="0"/>
          <c:showBubbleSize val="0"/>
        </c:dLbls>
        <c:marker val="1"/>
        <c:smooth val="0"/>
        <c:axId val="680644992"/>
        <c:axId val="680646912"/>
      </c:lineChart>
      <c:dateAx>
        <c:axId val="680644992"/>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80646912"/>
        <c:crosses val="autoZero"/>
        <c:auto val="1"/>
        <c:lblOffset val="100"/>
        <c:baseTimeUnit val="days"/>
        <c:majorUnit val="3"/>
        <c:majorTimeUnit val="months"/>
      </c:dateAx>
      <c:valAx>
        <c:axId val="680646912"/>
        <c:scaling>
          <c:orientation val="minMax"/>
          <c:max val="8.0000000000000002E-3"/>
          <c:min val="-1E-3"/>
        </c:scaling>
        <c:delete val="0"/>
        <c:axPos val="l"/>
        <c:majorGridlines/>
        <c:numFmt formatCode="0.00%" sourceLinked="0"/>
        <c:majorTickMark val="out"/>
        <c:minorTickMark val="none"/>
        <c:tickLblPos val="nextTo"/>
        <c:crossAx val="68064499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May  8 2015 13:08:40</v>
      </c>
    </row>
    <row r="2" spans="2:13" ht="16.5" thickBot="1" x14ac:dyDescent="0.3">
      <c r="B2" s="317" t="s">
        <v>116</v>
      </c>
      <c r="C2" s="318"/>
      <c r="D2" s="318"/>
      <c r="E2" s="319"/>
      <c r="J2" s="317" t="s">
        <v>116</v>
      </c>
      <c r="K2" s="318"/>
      <c r="L2" s="318"/>
      <c r="M2" s="320"/>
    </row>
    <row r="3" spans="2:13" ht="12" thickBot="1" x14ac:dyDescent="0.25">
      <c r="B3" s="50"/>
      <c r="C3" s="74"/>
      <c r="D3" s="49"/>
      <c r="E3" s="48"/>
      <c r="J3" s="89"/>
      <c r="K3" s="92"/>
      <c r="L3" s="92"/>
      <c r="M3" s="91"/>
    </row>
    <row r="4" spans="2:13" x14ac:dyDescent="0.2">
      <c r="B4" s="50"/>
      <c r="C4" s="73" t="s">
        <v>98</v>
      </c>
      <c r="D4" s="61" t="s">
        <v>95</v>
      </c>
      <c r="E4" s="48"/>
      <c r="G4" s="95" t="s">
        <v>97</v>
      </c>
      <c r="H4" s="96"/>
      <c r="J4" s="89"/>
      <c r="K4" s="88" t="s">
        <v>115</v>
      </c>
      <c r="L4" s="82" t="b">
        <v>0</v>
      </c>
      <c r="M4" s="87"/>
    </row>
    <row r="5" spans="2:13" x14ac:dyDescent="0.2">
      <c r="B5" s="50"/>
      <c r="C5" s="72" t="s">
        <v>96</v>
      </c>
      <c r="D5" s="51">
        <v>3</v>
      </c>
      <c r="E5" s="48"/>
      <c r="G5" s="97" t="s">
        <v>95</v>
      </c>
      <c r="H5" s="98" t="s">
        <v>94</v>
      </c>
      <c r="J5" s="89"/>
      <c r="K5" s="88" t="s">
        <v>114</v>
      </c>
      <c r="L5" s="90"/>
      <c r="M5" s="87"/>
    </row>
    <row r="6" spans="2:13" x14ac:dyDescent="0.2">
      <c r="B6" s="50"/>
      <c r="C6" s="72" t="s">
        <v>93</v>
      </c>
      <c r="D6" s="51" t="str">
        <f>_xll.qlPeriodEquivalent(D5&amp;"M")</f>
        <v>3M</v>
      </c>
      <c r="E6" s="48"/>
      <c r="G6" s="97" t="s">
        <v>92</v>
      </c>
      <c r="H6" s="98"/>
      <c r="J6" s="89"/>
      <c r="K6" s="88" t="s">
        <v>113</v>
      </c>
      <c r="L6" s="79" t="b">
        <v>1</v>
      </c>
      <c r="M6" s="87"/>
    </row>
    <row r="7" spans="2:13" ht="12" thickBot="1" x14ac:dyDescent="0.25">
      <c r="B7" s="50"/>
      <c r="C7" s="72" t="s">
        <v>91</v>
      </c>
      <c r="D7" s="51" t="str">
        <f>Months&amp;IF(UPPER(Currency)="EUR","E","L")</f>
        <v>3E</v>
      </c>
      <c r="E7" s="48"/>
      <c r="G7" s="97" t="s">
        <v>90</v>
      </c>
      <c r="H7" s="98"/>
      <c r="J7" s="86"/>
      <c r="K7" s="85"/>
      <c r="L7" s="85"/>
      <c r="M7" s="84"/>
    </row>
    <row r="8" spans="2:13" ht="12" thickBot="1" x14ac:dyDescent="0.25">
      <c r="B8" s="50"/>
      <c r="C8" s="72" t="s">
        <v>89</v>
      </c>
      <c r="D8" s="51" t="str">
        <f>VLOOKUP(Currency,G4:H8,2)</f>
        <v>AB</v>
      </c>
      <c r="E8" s="48"/>
      <c r="G8" s="99" t="s">
        <v>88</v>
      </c>
      <c r="H8" s="100" t="s">
        <v>87</v>
      </c>
      <c r="J8" s="94"/>
      <c r="K8" s="94"/>
      <c r="L8" s="94"/>
      <c r="M8" s="94"/>
    </row>
    <row r="9" spans="2:13" ht="16.5" thickBot="1" x14ac:dyDescent="0.3">
      <c r="B9" s="50"/>
      <c r="C9" s="72" t="s">
        <v>86</v>
      </c>
      <c r="D9" s="51" t="str">
        <f>Currency&amp;"_YC"&amp;IndexTenor&amp;"RH"</f>
        <v>EUR_YC3MRH</v>
      </c>
      <c r="E9" s="48"/>
      <c r="J9" s="317" t="s">
        <v>112</v>
      </c>
      <c r="K9" s="318"/>
      <c r="L9" s="318"/>
      <c r="M9" s="320"/>
    </row>
    <row r="10" spans="2:13" ht="12.75" x14ac:dyDescent="0.2">
      <c r="B10" s="50"/>
      <c r="C10" s="71" t="s">
        <v>85</v>
      </c>
      <c r="D10" s="51" t="b">
        <v>1</v>
      </c>
      <c r="E10" s="48"/>
      <c r="J10" s="81"/>
      <c r="K10" s="83"/>
      <c r="L10" s="83"/>
      <c r="M10" s="78"/>
    </row>
    <row r="11" spans="2:13" ht="12.75" x14ac:dyDescent="0.2">
      <c r="B11" s="50"/>
      <c r="C11" s="71" t="s">
        <v>84</v>
      </c>
      <c r="D11" s="70"/>
      <c r="E11" s="48"/>
      <c r="J11" s="81"/>
      <c r="K11" s="80" t="s">
        <v>111</v>
      </c>
      <c r="L11" s="82" t="s">
        <v>110</v>
      </c>
      <c r="M11" s="78"/>
    </row>
    <row r="12" spans="2:13" ht="12.75" x14ac:dyDescent="0.2">
      <c r="B12" s="50"/>
      <c r="C12" s="69" t="s">
        <v>83</v>
      </c>
      <c r="D12" s="68" t="b">
        <v>1</v>
      </c>
      <c r="E12" s="48"/>
      <c r="J12" s="81"/>
      <c r="K12" s="80" t="s">
        <v>109</v>
      </c>
      <c r="L12" s="79" t="s">
        <v>108</v>
      </c>
      <c r="M12" s="78"/>
    </row>
    <row r="13" spans="2:13" ht="12.75" x14ac:dyDescent="0.2">
      <c r="B13" s="50"/>
      <c r="C13" s="55"/>
      <c r="D13" s="55"/>
      <c r="E13" s="48"/>
      <c r="J13" s="81"/>
      <c r="K13" s="80" t="s">
        <v>137</v>
      </c>
      <c r="L13" s="82" t="s">
        <v>136</v>
      </c>
      <c r="M13" s="78"/>
    </row>
    <row r="14" spans="2:13" ht="12.75" x14ac:dyDescent="0.2">
      <c r="B14" s="50"/>
      <c r="C14" s="65" t="s">
        <v>82</v>
      </c>
      <c r="D14" s="67" t="str">
        <f>_xll.qlPiecewiseYieldCurve(D16,NDays,Calendar,_xll.ohPack(Selected!D2:D126),DayCounter,JumpQuotes,JumpDates,Accuracy,TraitsID,InterpolatorID,Permanent,,ObjectOverwrite)</f>
        <v>_EURYC3M#0004</v>
      </c>
      <c r="E14" s="48"/>
      <c r="J14" s="81"/>
      <c r="K14" s="80" t="s">
        <v>135</v>
      </c>
      <c r="L14" s="82" t="s">
        <v>123</v>
      </c>
      <c r="M14" s="78"/>
    </row>
    <row r="15" spans="2:13" ht="12.75" x14ac:dyDescent="0.2">
      <c r="B15" s="50"/>
      <c r="C15" s="57" t="s">
        <v>0</v>
      </c>
      <c r="D15" s="66" t="str">
        <f>_xll.ohRangeRetrieveError(YieldCurve)</f>
        <v/>
      </c>
      <c r="E15" s="48"/>
      <c r="J15" s="81"/>
      <c r="K15" s="80" t="s">
        <v>134</v>
      </c>
      <c r="L15" s="82" t="str">
        <f>PROPER(Currency)&amp;"ON"</f>
        <v>EurON</v>
      </c>
      <c r="M15" s="78"/>
    </row>
    <row r="16" spans="2:13" ht="13.5" thickBot="1" x14ac:dyDescent="0.25">
      <c r="B16" s="50"/>
      <c r="C16" s="65" t="s">
        <v>81</v>
      </c>
      <c r="D16" s="64" t="str">
        <f>"_"&amp;Currency&amp;"YC"&amp;IndexTenor</f>
        <v>_EURYC3M</v>
      </c>
      <c r="E16" s="48"/>
      <c r="J16" s="77"/>
      <c r="K16" s="76"/>
      <c r="L16" s="76"/>
      <c r="M16" s="75"/>
    </row>
    <row r="17" spans="2:5" x14ac:dyDescent="0.2">
      <c r="B17" s="50"/>
      <c r="C17" s="59" t="s">
        <v>80</v>
      </c>
      <c r="D17" s="63">
        <v>2</v>
      </c>
      <c r="E17" s="48"/>
    </row>
    <row r="18" spans="2:5" x14ac:dyDescent="0.2">
      <c r="B18" s="50"/>
      <c r="C18" s="59" t="s">
        <v>79</v>
      </c>
      <c r="D18" s="62" t="s">
        <v>78</v>
      </c>
      <c r="E18" s="48"/>
    </row>
    <row r="19" spans="2:5" x14ac:dyDescent="0.2">
      <c r="B19" s="50"/>
      <c r="C19" s="59" t="s">
        <v>77</v>
      </c>
      <c r="D19" s="62"/>
      <c r="E19" s="48"/>
    </row>
    <row r="20" spans="2:5" x14ac:dyDescent="0.2">
      <c r="B20" s="50"/>
      <c r="C20" s="59" t="s">
        <v>76</v>
      </c>
      <c r="D20" s="60" t="e">
        <f>NA()</f>
        <v>#N/A</v>
      </c>
      <c r="E20" s="48"/>
    </row>
    <row r="21" spans="2:5" x14ac:dyDescent="0.2">
      <c r="B21" s="50"/>
      <c r="C21" s="59" t="s">
        <v>75</v>
      </c>
      <c r="D21" s="58" t="s">
        <v>74</v>
      </c>
      <c r="E21" s="48"/>
    </row>
    <row r="22" spans="2:5" x14ac:dyDescent="0.2">
      <c r="B22" s="50"/>
      <c r="C22" s="57" t="s">
        <v>73</v>
      </c>
      <c r="D22" s="56" t="s">
        <v>72</v>
      </c>
      <c r="E22" s="48"/>
    </row>
    <row r="23" spans="2:5" x14ac:dyDescent="0.2">
      <c r="B23" s="50"/>
      <c r="C23" s="55"/>
      <c r="D23" s="55"/>
      <c r="E23" s="48"/>
    </row>
    <row r="24" spans="2:5" x14ac:dyDescent="0.2">
      <c r="B24" s="50"/>
      <c r="C24" s="54">
        <f>_xll.qlTermStructureReferenceDate(YieldCurve)</f>
        <v>42137</v>
      </c>
      <c r="D24" s="53">
        <f>MAX(_xll.ohPack(Selected!J1:J126))</f>
        <v>1.0000811609089648</v>
      </c>
      <c r="E24" s="48"/>
    </row>
    <row r="25" spans="2:5" x14ac:dyDescent="0.2">
      <c r="B25" s="50"/>
      <c r="C25" s="52">
        <f>MAX(_xll.ohPack(Selected!I2:I126))</f>
        <v>64052</v>
      </c>
      <c r="D25" s="51">
        <f>MIN(_xll.ohPack(Selected!J1:J126))</f>
        <v>0.48100898903402756</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168</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disablePrompts="1"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1:18" ht="22.5" x14ac:dyDescent="0.2">
      <c r="B1" s="321" t="s">
        <v>71</v>
      </c>
      <c r="C1" s="322"/>
      <c r="D1" s="323"/>
      <c r="E1" s="45" t="s">
        <v>70</v>
      </c>
      <c r="F1" s="45" t="s">
        <v>177</v>
      </c>
      <c r="G1" s="45" t="s">
        <v>69</v>
      </c>
      <c r="H1" s="45" t="s">
        <v>68</v>
      </c>
      <c r="I1" s="45" t="s">
        <v>67</v>
      </c>
      <c r="J1" s="45" t="s">
        <v>66</v>
      </c>
      <c r="K1" s="45" t="s">
        <v>65</v>
      </c>
      <c r="L1" s="45" t="s">
        <v>7</v>
      </c>
      <c r="M1" s="45" t="s">
        <v>6</v>
      </c>
    </row>
    <row r="2" spans="1:18" x14ac:dyDescent="0.2">
      <c r="B2" s="44"/>
      <c r="C2" s="32"/>
      <c r="D2" s="31" t="s">
        <v>64</v>
      </c>
      <c r="E2" s="31" t="str">
        <f>Deposits!J3</f>
        <v>obj_00772#0002</v>
      </c>
      <c r="F2" s="31" t="str">
        <f>_xll.qlRateHelperQuoteName(E2)</f>
        <v>EURSND_SYNTH3M_Quote</v>
      </c>
      <c r="G2" s="30">
        <f>_xll.qlRateHelperQuoteValue($E2,Trigger)</f>
        <v>-3.0299999999999999E-4</v>
      </c>
      <c r="H2" s="30"/>
      <c r="I2" s="29" t="b">
        <v>0</v>
      </c>
      <c r="J2" s="29">
        <v>10</v>
      </c>
      <c r="K2" s="29">
        <v>1</v>
      </c>
      <c r="L2" s="28">
        <f>_xll.qlRateHelperEarliestDate($E2,Trigger)</f>
        <v>42137</v>
      </c>
      <c r="M2" s="27">
        <f>_xll.qlRateHelperLatestDate($E2,Trigger)</f>
        <v>42138</v>
      </c>
      <c r="N2" s="1">
        <v>30</v>
      </c>
      <c r="O2" s="1" t="s">
        <v>63</v>
      </c>
    </row>
    <row r="3" spans="1:18" x14ac:dyDescent="0.2">
      <c r="B3" s="44"/>
      <c r="C3" s="32"/>
      <c r="D3" s="31" t="s">
        <v>62</v>
      </c>
      <c r="E3" s="31" t="str">
        <f>Deposits!J4</f>
        <v>obj_00773#0002</v>
      </c>
      <c r="F3" s="31" t="str">
        <f>_xll.qlRateHelperQuoteName(E3)</f>
        <v>EURSWD_SYNTH3M_Quote</v>
      </c>
      <c r="G3" s="30">
        <f>_xll.qlRateHelperQuoteValue($E3,Trigger)</f>
        <v>-2.7700000000000001E-4</v>
      </c>
      <c r="H3" s="30"/>
      <c r="I3" s="29" t="b">
        <v>0</v>
      </c>
      <c r="J3" s="29">
        <v>10</v>
      </c>
      <c r="K3" s="29">
        <v>1</v>
      </c>
      <c r="L3" s="28">
        <f>_xll.qlRateHelperEarliestDate($E3,Trigger)</f>
        <v>42137</v>
      </c>
      <c r="M3" s="27">
        <f>_xll.qlRateHelperLatestDate($E3,Trigger)</f>
        <v>42144</v>
      </c>
      <c r="N3" s="1">
        <v>40</v>
      </c>
      <c r="O3" s="1" t="s">
        <v>61</v>
      </c>
    </row>
    <row r="4" spans="1:18" x14ac:dyDescent="0.2">
      <c r="B4" s="44"/>
      <c r="C4" s="32"/>
      <c r="D4" s="31" t="s">
        <v>60</v>
      </c>
      <c r="E4" s="31" t="str">
        <f>Deposits!J5</f>
        <v>obj_00776#0002</v>
      </c>
      <c r="F4" s="31" t="str">
        <f>_xll.qlRateHelperQuoteName(E4)</f>
        <v>EUR2WD_SYNTH3M_Quote</v>
      </c>
      <c r="G4" s="30">
        <f>_xll.qlRateHelperQuoteValue($E4,Trigger)</f>
        <v>-2.7E-4</v>
      </c>
      <c r="H4" s="30"/>
      <c r="I4" s="29" t="b">
        <v>0</v>
      </c>
      <c r="J4" s="29">
        <v>10</v>
      </c>
      <c r="K4" s="29">
        <v>1</v>
      </c>
      <c r="L4" s="28">
        <f>_xll.qlRateHelperEarliestDate($E4,Trigger)</f>
        <v>42137</v>
      </c>
      <c r="M4" s="27">
        <f>_xll.qlRateHelperLatestDate($E4,Trigger)</f>
        <v>42151</v>
      </c>
      <c r="N4" s="1">
        <v>50</v>
      </c>
      <c r="O4" s="1" t="s">
        <v>59</v>
      </c>
    </row>
    <row r="5" spans="1:18" x14ac:dyDescent="0.2">
      <c r="B5" s="44"/>
      <c r="C5" s="32"/>
      <c r="D5" s="31" t="s">
        <v>58</v>
      </c>
      <c r="E5" s="31" t="str">
        <f>Deposits!J6</f>
        <v>obj_00770#0002</v>
      </c>
      <c r="F5" s="31" t="str">
        <f>_xll.qlRateHelperQuoteName(E5)</f>
        <v>EUR3WD_SYNTH3M_Quote</v>
      </c>
      <c r="G5" s="30">
        <f>_xll.qlRateHelperQuoteValue($E5,Trigger)</f>
        <v>-1.73E-4</v>
      </c>
      <c r="H5" s="30"/>
      <c r="I5" s="29" t="b">
        <v>0</v>
      </c>
      <c r="J5" s="29">
        <v>10</v>
      </c>
      <c r="K5" s="29">
        <v>1</v>
      </c>
      <c r="L5" s="28">
        <f>_xll.qlRateHelperEarliestDate($E5,Trigger)</f>
        <v>42137</v>
      </c>
      <c r="M5" s="27">
        <f>_xll.qlRateHelperLatestDate($E5,Trigger)</f>
        <v>42158</v>
      </c>
      <c r="N5" s="1">
        <v>60</v>
      </c>
      <c r="O5" s="1" t="s">
        <v>57</v>
      </c>
    </row>
    <row r="6" spans="1:18" x14ac:dyDescent="0.2">
      <c r="B6" s="44"/>
      <c r="C6" s="32"/>
      <c r="D6" s="31" t="s">
        <v>56</v>
      </c>
      <c r="E6" s="31" t="str">
        <f>Deposits!J7</f>
        <v>obj_00771#0002</v>
      </c>
      <c r="F6" s="31" t="str">
        <f>_xll.qlRateHelperQuoteName(E6)</f>
        <v>EUR1MD_SYNTH3M_Quote</v>
      </c>
      <c r="G6" s="30">
        <f>_xll.qlRateHelperQuoteValue($E6,Trigger)</f>
        <v>-1.8200000000000001E-4</v>
      </c>
      <c r="H6" s="30"/>
      <c r="I6" s="29" t="b">
        <v>1</v>
      </c>
      <c r="J6" s="29">
        <v>10</v>
      </c>
      <c r="K6" s="29">
        <v>1</v>
      </c>
      <c r="L6" s="28">
        <f>_xll.qlRateHelperEarliestDate($E6,Trigger)</f>
        <v>42137</v>
      </c>
      <c r="M6" s="27">
        <f>_xll.qlRateHelperLatestDate($E6,Trigger)</f>
        <v>42170</v>
      </c>
      <c r="N6" s="1">
        <v>70</v>
      </c>
      <c r="O6" s="1" t="s">
        <v>55</v>
      </c>
    </row>
    <row r="7" spans="1:18" x14ac:dyDescent="0.2">
      <c r="B7" s="44"/>
      <c r="C7" s="32"/>
      <c r="D7" s="31" t="s">
        <v>54</v>
      </c>
      <c r="E7" s="31" t="str">
        <f>Deposits!J8</f>
        <v>obj_00775#0002</v>
      </c>
      <c r="F7" s="31" t="str">
        <f>_xll.qlRateHelperQuoteName(E7)</f>
        <v>EUR2MD_SYNTH3M_Quote</v>
      </c>
      <c r="G7" s="30">
        <f>_xll.qlRateHelperQuoteValue($E7,Trigger)</f>
        <v>-1.83E-4</v>
      </c>
      <c r="H7" s="30"/>
      <c r="I7" s="29" t="b">
        <v>1</v>
      </c>
      <c r="J7" s="29">
        <v>10</v>
      </c>
      <c r="K7" s="29">
        <v>1</v>
      </c>
      <c r="L7" s="28">
        <f>_xll.qlRateHelperEarliestDate($E7,Trigger)</f>
        <v>42137</v>
      </c>
      <c r="M7" s="27">
        <f>_xll.qlRateHelperLatestDate($E7,Trigger)</f>
        <v>42198</v>
      </c>
    </row>
    <row r="8" spans="1:18" x14ac:dyDescent="0.2">
      <c r="B8" s="44"/>
      <c r="C8" s="32"/>
      <c r="D8" s="31" t="s">
        <v>53</v>
      </c>
      <c r="E8" s="31" t="str">
        <f>Deposits!J9</f>
        <v>obj_00774#0002</v>
      </c>
      <c r="F8" s="31" t="str">
        <f>_xll.qlRateHelperQuoteName(E8)</f>
        <v>EUR3MD_SYNTH3M_Quote</v>
      </c>
      <c r="G8" s="30">
        <f>_xll.qlRateHelperQuoteValue($E8,Trigger)</f>
        <v>-1.4899999999999999E-4</v>
      </c>
      <c r="H8" s="30"/>
      <c r="I8" s="29" t="b">
        <v>1</v>
      </c>
      <c r="J8" s="29">
        <v>10</v>
      </c>
      <c r="K8" s="29">
        <v>1</v>
      </c>
      <c r="L8" s="28">
        <f>_xll.qlRateHelperEarliestDate($E8,Trigger)</f>
        <v>42137</v>
      </c>
      <c r="M8" s="27">
        <f>_xll.qlRateHelperLatestDate($E8,Trigger)</f>
        <v>42229</v>
      </c>
    </row>
    <row r="9" spans="1:18" x14ac:dyDescent="0.2">
      <c r="B9" s="41">
        <v>1</v>
      </c>
      <c r="C9" s="40" t="s">
        <v>52</v>
      </c>
      <c r="D9" s="39" t="str">
        <f t="shared" ref="D9:D14" si="0">(B9+Months)&amp;"F"</f>
        <v>4F</v>
      </c>
      <c r="E9" s="39" t="str">
        <f>FRAs!G3</f>
        <v>obj_0076f#0003</v>
      </c>
      <c r="F9" s="39" t="str">
        <f>_xll.qlRateHelperQuoteName(E9)</f>
        <v>EUR1x4F_Quote</v>
      </c>
      <c r="G9" s="38">
        <f>_xll.qlRateHelperQuoteValue($E9,Trigger)</f>
        <v>-4.9999999999999996E-5</v>
      </c>
      <c r="H9" s="38"/>
      <c r="I9" s="37" t="b">
        <v>0</v>
      </c>
      <c r="J9" s="37">
        <v>20</v>
      </c>
      <c r="K9" s="37">
        <v>1</v>
      </c>
      <c r="L9" s="36">
        <f>_xll.qlRateHelperEarliestDate($E9,Trigger)</f>
        <v>42170</v>
      </c>
      <c r="M9" s="35">
        <f>_xll.qlRateHelperLatestDate($E9,Trigger)</f>
        <v>42262</v>
      </c>
      <c r="P9" s="166"/>
    </row>
    <row r="10" spans="1:18" x14ac:dyDescent="0.2">
      <c r="B10" s="33">
        <v>2</v>
      </c>
      <c r="C10" s="32" t="s">
        <v>52</v>
      </c>
      <c r="D10" s="31" t="str">
        <f t="shared" si="0"/>
        <v>5F</v>
      </c>
      <c r="E10" s="31" t="str">
        <f>FRAs!G4</f>
        <v>obj_0076e#0003</v>
      </c>
      <c r="F10" s="31" t="str">
        <f>_xll.qlRateHelperQuoteName(E10)</f>
        <v>EUR2x5F_Quote</v>
      </c>
      <c r="G10" s="30">
        <f>_xll.qlRateHelperQuoteValue($E10,Trigger)</f>
        <v>-4.9999999999999996E-5</v>
      </c>
      <c r="H10" s="30"/>
      <c r="I10" s="29" t="b">
        <v>0</v>
      </c>
      <c r="J10" s="29">
        <v>20</v>
      </c>
      <c r="K10" s="29">
        <v>1</v>
      </c>
      <c r="L10" s="28">
        <f>_xll.qlRateHelperEarliestDate($E10,Trigger)</f>
        <v>42198</v>
      </c>
      <c r="M10" s="27">
        <f>_xll.qlRateHelperLatestDate($E10,Trigger)</f>
        <v>42290</v>
      </c>
      <c r="P10" s="166"/>
    </row>
    <row r="11" spans="1:18" x14ac:dyDescent="0.2">
      <c r="B11" s="33">
        <v>3</v>
      </c>
      <c r="C11" s="32" t="s">
        <v>52</v>
      </c>
      <c r="D11" s="31" t="str">
        <f t="shared" si="0"/>
        <v>6F</v>
      </c>
      <c r="E11" s="31" t="str">
        <f>FRAs!G5</f>
        <v>obj_0076b#0003</v>
      </c>
      <c r="F11" s="31" t="str">
        <f>_xll.qlRateHelperQuoteName(E11)</f>
        <v>EUR3x6F_Quote</v>
      </c>
      <c r="G11" s="30">
        <f>_xll.qlRateHelperQuoteValue($E11,Trigger)</f>
        <v>-4.9999999999999996E-5</v>
      </c>
      <c r="H11" s="30"/>
      <c r="I11" s="29" t="b">
        <v>0</v>
      </c>
      <c r="J11" s="29">
        <v>20</v>
      </c>
      <c r="K11" s="29">
        <v>1</v>
      </c>
      <c r="L11" s="28">
        <f>_xll.qlRateHelperEarliestDate($E11,Trigger)</f>
        <v>42229</v>
      </c>
      <c r="M11" s="27">
        <f>_xll.qlRateHelperLatestDate($E11,Trigger)</f>
        <v>42321</v>
      </c>
      <c r="P11" s="166"/>
    </row>
    <row r="12" spans="1:18" x14ac:dyDescent="0.2">
      <c r="B12" s="33">
        <v>4</v>
      </c>
      <c r="C12" s="32" t="s">
        <v>52</v>
      </c>
      <c r="D12" s="31" t="str">
        <f t="shared" si="0"/>
        <v>7F</v>
      </c>
      <c r="E12" s="31" t="str">
        <f>FRAs!G6</f>
        <v>obj_0076c#0003</v>
      </c>
      <c r="F12" s="31" t="str">
        <f>_xll.qlRateHelperQuoteName(E12)</f>
        <v>EUR4x7F_Quote</v>
      </c>
      <c r="G12" s="30">
        <f>_xll.qlRateHelperQuoteValue($E12,Trigger)</f>
        <v>-4.9999999999999996E-5</v>
      </c>
      <c r="H12" s="30"/>
      <c r="I12" s="29" t="b">
        <v>0</v>
      </c>
      <c r="J12" s="29">
        <v>20</v>
      </c>
      <c r="K12" s="29">
        <v>1</v>
      </c>
      <c r="L12" s="28">
        <f>_xll.qlRateHelperEarliestDate($E12,Trigger)</f>
        <v>42261</v>
      </c>
      <c r="M12" s="27">
        <f>_xll.qlRateHelperLatestDate($E12,Trigger)</f>
        <v>42352</v>
      </c>
      <c r="P12" s="166"/>
    </row>
    <row r="13" spans="1:18" x14ac:dyDescent="0.2">
      <c r="B13" s="33">
        <v>5</v>
      </c>
      <c r="C13" s="32" t="s">
        <v>52</v>
      </c>
      <c r="D13" s="31" t="str">
        <f t="shared" si="0"/>
        <v>8F</v>
      </c>
      <c r="E13" s="31" t="str">
        <f>FRAs!G7</f>
        <v>obj_0076a#0003</v>
      </c>
      <c r="F13" s="31" t="str">
        <f>_xll.qlRateHelperQuoteName(E13)</f>
        <v>EUR5x8F_Quote</v>
      </c>
      <c r="G13" s="30">
        <f>_xll.qlRateHelperQuoteValue($E13,Trigger)</f>
        <v>-4.9999999999999996E-5</v>
      </c>
      <c r="H13" s="30"/>
      <c r="I13" s="29" t="b">
        <v>0</v>
      </c>
      <c r="J13" s="29">
        <v>20</v>
      </c>
      <c r="K13" s="29">
        <v>1</v>
      </c>
      <c r="L13" s="28">
        <f>_xll.qlRateHelperEarliestDate($E13,Trigger)</f>
        <v>42290</v>
      </c>
      <c r="M13" s="27">
        <f>_xll.qlRateHelperLatestDate($E13,Trigger)</f>
        <v>42382</v>
      </c>
      <c r="P13" s="166"/>
    </row>
    <row r="14" spans="1:18" x14ac:dyDescent="0.2">
      <c r="B14" s="33">
        <v>6</v>
      </c>
      <c r="C14" s="32" t="s">
        <v>52</v>
      </c>
      <c r="D14" s="31" t="str">
        <f t="shared" si="0"/>
        <v>9F</v>
      </c>
      <c r="E14" s="24" t="str">
        <f>FRAs!G8</f>
        <v>obj_0076d#0003</v>
      </c>
      <c r="F14" s="31" t="str">
        <f>_xll.qlRateHelperQuoteName(E14)</f>
        <v>EUR6x9F_Quote</v>
      </c>
      <c r="G14" s="30">
        <f>_xll.qlRateHelperQuoteValue($E14,Trigger)</f>
        <v>-4.9999999999999996E-5</v>
      </c>
      <c r="H14" s="30"/>
      <c r="I14" s="29" t="b">
        <v>0</v>
      </c>
      <c r="J14" s="29">
        <v>20</v>
      </c>
      <c r="K14" s="29">
        <v>1</v>
      </c>
      <c r="L14" s="28">
        <f>_xll.qlRateHelperEarliestDate($E14,Trigger)</f>
        <v>42321</v>
      </c>
      <c r="M14" s="27">
        <f>_xll.qlRateHelperLatestDate($E14,Trigger)</f>
        <v>42415</v>
      </c>
      <c r="P14" s="166"/>
    </row>
    <row r="15" spans="1:18" ht="11.25" customHeight="1" x14ac:dyDescent="0.2">
      <c r="A15" s="40" t="b">
        <v>0</v>
      </c>
      <c r="B15" s="41"/>
      <c r="C15" s="40" t="str">
        <f t="shared" ref="C15:C56" si="1">IF(IndexTenor="6M","IMMFRA","FUT")&amp;IndexTenor</f>
        <v>FUT3M</v>
      </c>
      <c r="D15" s="39" t="str">
        <f t="array" ref="D15:D56">_xll.qlIMMNextCodes(_xll.qlSettingsEvaluationDate(Trigger)-1,$A15:$A56)</f>
        <v>K5</v>
      </c>
      <c r="E15" s="39" t="str">
        <f>Futures!J3</f>
        <v>obj_00756#0003</v>
      </c>
      <c r="F15" s="39" t="str">
        <f>_xll.qlRateHelperQuoteName(E15)</f>
        <v>EURFUT3MK5_Quote</v>
      </c>
      <c r="G15" s="194">
        <f>_xll.qlRateHelperQuoteValue($E15,Trigger)</f>
        <v>100.0125</v>
      </c>
      <c r="H15" s="38">
        <f>_xll.qlFuturesRateHelperConvexityAdjustment($E15,Trigger)</f>
        <v>0</v>
      </c>
      <c r="I15" s="37" t="b">
        <v>1</v>
      </c>
      <c r="J15" s="37">
        <v>60</v>
      </c>
      <c r="K15" s="37">
        <v>3</v>
      </c>
      <c r="L15" s="36">
        <f>_xll.qlRateHelperEarliestDate($E15,Trigger)</f>
        <v>42144</v>
      </c>
      <c r="M15" s="35">
        <f>_xll.qlRateHelperLatestDate($E15,Trigger)</f>
        <v>42236</v>
      </c>
      <c r="P15" s="166" t="b">
        <f>IF(ISERROR(G15),FALSE,TRUE)</f>
        <v>1</v>
      </c>
      <c r="Q15" s="171" t="b">
        <f>AND(_xll.qlIMMIsIMMcode(D15),IF(ISERROR(G15),FALSE,TRUE))</f>
        <v>0</v>
      </c>
      <c r="R15" s="169" t="b">
        <f>AND(NOT(_xll.qlIMMIsIMMcode(D15)),P15)</f>
        <v>1</v>
      </c>
    </row>
    <row r="16" spans="1:18" x14ac:dyDescent="0.2">
      <c r="A16" s="32" t="b">
        <v>0</v>
      </c>
      <c r="B16" s="33"/>
      <c r="C16" s="32" t="str">
        <f t="shared" si="1"/>
        <v>FUT3M</v>
      </c>
      <c r="D16" s="31" t="str">
        <v>M5</v>
      </c>
      <c r="E16" s="31" t="str">
        <f>Futures!J4</f>
        <v>obj_00742#0003</v>
      </c>
      <c r="F16" s="31" t="str">
        <f>_xll.qlRateHelperQuoteName(E16)</f>
        <v>EURFUT3MM5_Quote</v>
      </c>
      <c r="G16" s="43">
        <f>_xll.qlRateHelperQuoteValue($E16,Trigger)</f>
        <v>100.0025</v>
      </c>
      <c r="H16" s="30">
        <f>_xll.qlFuturesRateHelperConvexityAdjustment($E16,Trigger)</f>
        <v>0</v>
      </c>
      <c r="I16" s="29" t="b">
        <v>1</v>
      </c>
      <c r="J16" s="29">
        <v>60</v>
      </c>
      <c r="K16" s="29">
        <v>3</v>
      </c>
      <c r="L16" s="28">
        <f>_xll.qlRateHelperEarliestDate($E16,Trigger)</f>
        <v>42172</v>
      </c>
      <c r="M16" s="27">
        <f>_xll.qlRateHelperLatestDate($E16,Trigger)</f>
        <v>42264</v>
      </c>
      <c r="P16" s="166" t="b">
        <f>IF(ISERROR(G16),FALSE,TRUE)</f>
        <v>1</v>
      </c>
      <c r="Q16" s="171" t="b">
        <f>AND(_xll.qlIMMIsIMMcode(D16),IF(ISERROR(G16),FALSE,TRUE))</f>
        <v>1</v>
      </c>
      <c r="R16" s="169" t="b">
        <f>AND(NOT(_xll.qlIMMIsIMMcode(D16)),P16)</f>
        <v>0</v>
      </c>
    </row>
    <row r="17" spans="1:18" x14ac:dyDescent="0.2">
      <c r="A17" s="32" t="b">
        <v>0</v>
      </c>
      <c r="B17" s="33"/>
      <c r="C17" s="32" t="str">
        <f t="shared" si="1"/>
        <v>FUT3M</v>
      </c>
      <c r="D17" s="31" t="str">
        <v>N5</v>
      </c>
      <c r="E17" s="31" t="str">
        <f>Futures!J5</f>
        <v>obj_0075b#0003</v>
      </c>
      <c r="F17" s="31" t="str">
        <f>_xll.qlRateHelperQuoteName(E17)</f>
        <v>EURFUT3MN5_Quote</v>
      </c>
      <c r="G17" s="43" t="e">
        <f>_xll.qlRateHelperQuoteValue($E17,Trigger)</f>
        <v>#NUM!</v>
      </c>
      <c r="H17" s="30" t="e">
        <f>_xll.qlFuturesRateHelperConvexityAdjustment($E17,Trigger)</f>
        <v>#NUM!</v>
      </c>
      <c r="I17" s="29" t="b">
        <v>1</v>
      </c>
      <c r="J17" s="29">
        <v>60</v>
      </c>
      <c r="K17" s="29">
        <v>3</v>
      </c>
      <c r="L17" s="28">
        <f>_xll.qlRateHelperEarliestDate($E17,Trigger)</f>
        <v>42200</v>
      </c>
      <c r="M17" s="27">
        <f>_xll.qlRateHelperLatestDate($E17,Trigger)</f>
        <v>42292</v>
      </c>
      <c r="P17" s="166" t="b">
        <f>IF(ISERROR(G17),FALSE,TRUE)</f>
        <v>0</v>
      </c>
      <c r="Q17" s="171" t="b">
        <f>AND(_xll.qlIMMIsIMMcode(D17),IF(ISERROR(G17),FALSE,TRUE))</f>
        <v>0</v>
      </c>
      <c r="R17" s="169" t="b">
        <f>AND(NOT(_xll.qlIMMIsIMMcode(D17)),P17)</f>
        <v>0</v>
      </c>
    </row>
    <row r="18" spans="1:18" x14ac:dyDescent="0.2">
      <c r="A18" s="32" t="b">
        <v>0</v>
      </c>
      <c r="B18" s="33"/>
      <c r="C18" s="32" t="str">
        <f t="shared" si="1"/>
        <v>FUT3M</v>
      </c>
      <c r="D18" s="31" t="str">
        <v>Q5</v>
      </c>
      <c r="E18" s="31" t="str">
        <f>Futures!J6</f>
        <v>obj_00750#0003</v>
      </c>
      <c r="F18" s="31" t="str">
        <f>_xll.qlRateHelperQuoteName(E18)</f>
        <v>EURFUT3MQ5_Quote</v>
      </c>
      <c r="G18" s="43" t="e">
        <f>_xll.qlRateHelperQuoteValue($E18,Trigger)</f>
        <v>#NUM!</v>
      </c>
      <c r="H18" s="30" t="e">
        <f>_xll.qlFuturesRateHelperConvexityAdjustment($E18,Trigger)</f>
        <v>#NUM!</v>
      </c>
      <c r="I18" s="29" t="b">
        <v>1</v>
      </c>
      <c r="J18" s="29">
        <v>60</v>
      </c>
      <c r="K18" s="29">
        <v>21</v>
      </c>
      <c r="L18" s="28">
        <f>_xll.qlRateHelperEarliestDate($E18,Trigger)</f>
        <v>42235</v>
      </c>
      <c r="M18" s="27">
        <f>_xll.qlRateHelperLatestDate($E18,Trigger)</f>
        <v>42327</v>
      </c>
      <c r="P18" s="166" t="b">
        <f>IF(ISERROR(G18),FALSE,TRUE)</f>
        <v>0</v>
      </c>
      <c r="Q18" s="171" t="b">
        <f>AND(_xll.qlIMMIsIMMcode(D18),IF(ISERROR(G18),FALSE,TRUE))</f>
        <v>0</v>
      </c>
      <c r="R18" s="169" t="b">
        <f>AND(NOT(_xll.qlIMMIsIMMcode(D18)),P18)</f>
        <v>0</v>
      </c>
    </row>
    <row r="19" spans="1:18" x14ac:dyDescent="0.2">
      <c r="A19" s="32" t="b">
        <v>0</v>
      </c>
      <c r="B19" s="33"/>
      <c r="C19" s="32" t="str">
        <f t="shared" si="1"/>
        <v>FUT3M</v>
      </c>
      <c r="D19" s="31" t="str">
        <v>U5</v>
      </c>
      <c r="E19" s="31" t="str">
        <f>Futures!J7</f>
        <v>obj_00769#0003</v>
      </c>
      <c r="F19" s="31" t="str">
        <f>_xll.qlRateHelperQuoteName(E19)</f>
        <v>EURFUT3MU5_Quote</v>
      </c>
      <c r="G19" s="43">
        <f>_xll.qlRateHelperQuoteValue($E19,Trigger)</f>
        <v>100.00749999999999</v>
      </c>
      <c r="H19" s="30">
        <f>_xll.qlFuturesRateHelperConvexityAdjustment($E19,Trigger)</f>
        <v>0</v>
      </c>
      <c r="I19" s="29" t="b">
        <v>1</v>
      </c>
      <c r="J19" s="29">
        <v>60</v>
      </c>
      <c r="K19" s="29">
        <v>21</v>
      </c>
      <c r="L19" s="28">
        <f>_xll.qlRateHelperEarliestDate($E19,Trigger)</f>
        <v>42263</v>
      </c>
      <c r="M19" s="27">
        <f>_xll.qlRateHelperLatestDate($E19,Trigger)</f>
        <v>42354</v>
      </c>
      <c r="P19" s="166" t="b">
        <f>IF(ISERROR(G19),FALSE,TRUE)</f>
        <v>1</v>
      </c>
      <c r="Q19" s="171" t="b">
        <f>AND(_xll.qlIMMIsIMMcode(D19),IF(ISERROR(G19),FALSE,TRUE))</f>
        <v>1</v>
      </c>
      <c r="R19" s="169" t="b">
        <f>AND(NOT(_xll.qlIMMIsIMMcode(D19)),P19)</f>
        <v>0</v>
      </c>
    </row>
    <row r="20" spans="1:18" x14ac:dyDescent="0.2">
      <c r="A20" s="32" t="b">
        <v>0</v>
      </c>
      <c r="B20" s="33"/>
      <c r="C20" s="32" t="str">
        <f t="shared" si="1"/>
        <v>FUT3M</v>
      </c>
      <c r="D20" s="31" t="str">
        <v>V5</v>
      </c>
      <c r="E20" s="31" t="str">
        <f>Futures!J8</f>
        <v>obj_00749#0003</v>
      </c>
      <c r="F20" s="31" t="str">
        <f>_xll.qlRateHelperQuoteName(E20)</f>
        <v>EURFUT3MV5_Quote</v>
      </c>
      <c r="G20" s="43" t="e">
        <f>_xll.qlRateHelperQuoteValue($E20,Trigger)</f>
        <v>#NUM!</v>
      </c>
      <c r="H20" s="30" t="e">
        <f>_xll.qlFuturesRateHelperConvexityAdjustment($E20,Trigger)</f>
        <v>#NUM!</v>
      </c>
      <c r="I20" s="29" t="b">
        <v>1</v>
      </c>
      <c r="J20" s="29">
        <v>60</v>
      </c>
      <c r="K20" s="29">
        <v>21</v>
      </c>
      <c r="L20" s="28">
        <f>_xll.qlRateHelperEarliestDate($E20,Trigger)</f>
        <v>42298</v>
      </c>
      <c r="M20" s="27">
        <f>_xll.qlRateHelperLatestDate($E20,Trigger)</f>
        <v>42390</v>
      </c>
      <c r="P20" s="166" t="b">
        <f>IF(ISERROR(G20),FALSE,TRUE)</f>
        <v>0</v>
      </c>
      <c r="Q20" s="171" t="b">
        <f>AND(_xll.qlIMMIsIMMcode(D20),IF(ISERROR(G20),FALSE,TRUE))</f>
        <v>0</v>
      </c>
      <c r="R20" s="169" t="b">
        <f>AND(NOT(_xll.qlIMMIsIMMcode(D20)),P20)</f>
        <v>0</v>
      </c>
    </row>
    <row r="21" spans="1:18" x14ac:dyDescent="0.2">
      <c r="A21" s="32" t="b">
        <v>0</v>
      </c>
      <c r="B21" s="33"/>
      <c r="C21" s="32" t="str">
        <f t="shared" si="1"/>
        <v>FUT3M</v>
      </c>
      <c r="D21" s="31" t="str">
        <v>X5</v>
      </c>
      <c r="E21" s="31" t="str">
        <f>Futures!J9</f>
        <v>obj_00753#0003</v>
      </c>
      <c r="F21" s="31" t="str">
        <f>_xll.qlRateHelperQuoteName(E21)</f>
        <v>EURFUT3MX5_Quote</v>
      </c>
      <c r="G21" s="43" t="e">
        <f>_xll.qlRateHelperQuoteValue($E21,Trigger)</f>
        <v>#NUM!</v>
      </c>
      <c r="H21" s="30" t="e">
        <f>_xll.qlFuturesRateHelperConvexityAdjustment($E21,Trigger)</f>
        <v>#NUM!</v>
      </c>
      <c r="I21" s="29" t="b">
        <v>1</v>
      </c>
      <c r="J21" s="29">
        <v>60</v>
      </c>
      <c r="K21" s="29">
        <v>21</v>
      </c>
      <c r="L21" s="28">
        <f>_xll.qlRateHelperEarliestDate($E21,Trigger)</f>
        <v>42326</v>
      </c>
      <c r="M21" s="27">
        <f>_xll.qlRateHelperLatestDate($E21,Trigger)</f>
        <v>42418</v>
      </c>
      <c r="P21" s="166" t="b">
        <f t="shared" ref="P15:P56" si="2">IF(ISERROR(G21),FALSE,TRUE)</f>
        <v>0</v>
      </c>
      <c r="Q21" s="171" t="b">
        <f>AND(_xll.qlIMMIsIMMcode(D21),IF(ISERROR(G21),FALSE,TRUE))</f>
        <v>0</v>
      </c>
      <c r="R21" s="169" t="b">
        <f>AND(NOT(_xll.qlIMMIsIMMcode(D21)),P21)</f>
        <v>0</v>
      </c>
    </row>
    <row r="22" spans="1:18" x14ac:dyDescent="0.2">
      <c r="A22" s="32" t="b">
        <v>0</v>
      </c>
      <c r="B22" s="33"/>
      <c r="C22" s="32" t="str">
        <f t="shared" si="1"/>
        <v>FUT3M</v>
      </c>
      <c r="D22" s="31" t="str">
        <v>Z5</v>
      </c>
      <c r="E22" s="31" t="str">
        <f>Futures!J10</f>
        <v>obj_0074b#0003</v>
      </c>
      <c r="F22" s="31" t="str">
        <f>_xll.qlRateHelperQuoteName(E22)</f>
        <v>EURFUT3MZ5_Quote</v>
      </c>
      <c r="G22" s="43">
        <f>_xll.qlRateHelperQuoteValue($E22,Trigger)</f>
        <v>100.0025</v>
      </c>
      <c r="H22" s="30">
        <f>_xll.qlFuturesRateHelperConvexityAdjustment($E22,Trigger)</f>
        <v>0</v>
      </c>
      <c r="I22" s="29" t="b">
        <v>1</v>
      </c>
      <c r="J22" s="29">
        <v>60</v>
      </c>
      <c r="K22" s="29">
        <v>21</v>
      </c>
      <c r="L22" s="28">
        <f>_xll.qlRateHelperEarliestDate($E22,Trigger)</f>
        <v>42354</v>
      </c>
      <c r="M22" s="27">
        <f>_xll.qlRateHelperLatestDate($E22,Trigger)</f>
        <v>42445</v>
      </c>
      <c r="P22" s="166" t="b">
        <f t="shared" si="2"/>
        <v>1</v>
      </c>
      <c r="Q22" s="171" t="b">
        <f>AND(_xll.qlIMMIsIMMcode(D22),IF(ISERROR(G22),FALSE,TRUE))</f>
        <v>1</v>
      </c>
      <c r="R22" s="169" t="b">
        <f>AND(NOT(_xll.qlIMMIsIMMcode(D22)),P22)</f>
        <v>0</v>
      </c>
    </row>
    <row r="23" spans="1:18" x14ac:dyDescent="0.2">
      <c r="A23" s="32" t="b">
        <v>0</v>
      </c>
      <c r="B23" s="33"/>
      <c r="C23" s="32" t="str">
        <f t="shared" si="1"/>
        <v>FUT3M</v>
      </c>
      <c r="D23" s="31" t="str">
        <v>F6</v>
      </c>
      <c r="E23" s="31" t="str">
        <f>Futures!J11</f>
        <v>obj_00759#0003</v>
      </c>
      <c r="F23" s="31" t="str">
        <f>_xll.qlRateHelperQuoteName(E23)</f>
        <v>EURFUT3MF6_Quote</v>
      </c>
      <c r="G23" s="43" t="e">
        <f>_xll.qlRateHelperQuoteValue($E23,Trigger)</f>
        <v>#NUM!</v>
      </c>
      <c r="H23" s="30" t="e">
        <f>_xll.qlFuturesRateHelperConvexityAdjustment($E23,Trigger)</f>
        <v>#NUM!</v>
      </c>
      <c r="I23" s="29" t="b">
        <v>1</v>
      </c>
      <c r="J23" s="29">
        <v>60</v>
      </c>
      <c r="K23" s="29">
        <v>21</v>
      </c>
      <c r="L23" s="28">
        <f>_xll.qlRateHelperEarliestDate($E23,Trigger)</f>
        <v>42389</v>
      </c>
      <c r="M23" s="27">
        <f>_xll.qlRateHelperLatestDate($E23,Trigger)</f>
        <v>42480</v>
      </c>
      <c r="P23" s="166" t="b">
        <f t="shared" si="2"/>
        <v>0</v>
      </c>
      <c r="Q23" s="171" t="b">
        <f>AND(_xll.qlIMMIsIMMcode(D23),IF(ISERROR(G23),FALSE,TRUE))</f>
        <v>0</v>
      </c>
      <c r="R23" s="169" t="b">
        <f>AND(NOT(_xll.qlIMMIsIMMcode(D23)),P23)</f>
        <v>0</v>
      </c>
    </row>
    <row r="24" spans="1:18" x14ac:dyDescent="0.2">
      <c r="A24" s="32" t="b">
        <v>0</v>
      </c>
      <c r="B24" s="33"/>
      <c r="C24" s="32" t="str">
        <f t="shared" si="1"/>
        <v>FUT3M</v>
      </c>
      <c r="D24" s="31" t="str">
        <v>G6</v>
      </c>
      <c r="E24" s="31" t="str">
        <f>Futures!J12</f>
        <v>obj_00762#0003</v>
      </c>
      <c r="F24" s="31" t="str">
        <f>_xll.qlRateHelperQuoteName(E24)</f>
        <v>EURFUT3MG6_Quote</v>
      </c>
      <c r="G24" s="43" t="e">
        <f>_xll.qlRateHelperQuoteValue($E24,Trigger)</f>
        <v>#NUM!</v>
      </c>
      <c r="H24" s="30" t="e">
        <f>_xll.qlFuturesRateHelperConvexityAdjustment($E24,Trigger)</f>
        <v>#NUM!</v>
      </c>
      <c r="I24" s="29" t="b">
        <v>1</v>
      </c>
      <c r="J24" s="29">
        <v>60</v>
      </c>
      <c r="K24" s="29">
        <v>21</v>
      </c>
      <c r="L24" s="28">
        <f>_xll.qlRateHelperEarliestDate($E24,Trigger)</f>
        <v>42417</v>
      </c>
      <c r="M24" s="27">
        <f>_xll.qlRateHelperLatestDate($E24,Trigger)</f>
        <v>42507</v>
      </c>
      <c r="P24" s="166" t="b">
        <f t="shared" si="2"/>
        <v>0</v>
      </c>
      <c r="Q24" s="171" t="b">
        <f>AND(_xll.qlIMMIsIMMcode(D24),IF(ISERROR(G24),FALSE,TRUE))</f>
        <v>0</v>
      </c>
      <c r="R24" s="169" t="b">
        <f>AND(NOT(_xll.qlIMMIsIMMcode(D24)),P24)</f>
        <v>0</v>
      </c>
    </row>
    <row r="25" spans="1:18" x14ac:dyDescent="0.2">
      <c r="A25" s="32" t="b">
        <v>0</v>
      </c>
      <c r="B25" s="33"/>
      <c r="C25" s="32" t="str">
        <f t="shared" si="1"/>
        <v>FUT3M</v>
      </c>
      <c r="D25" s="31" t="str">
        <v>H6</v>
      </c>
      <c r="E25" s="31" t="str">
        <f>Futures!J13</f>
        <v>obj_00766#0003</v>
      </c>
      <c r="F25" s="31" t="str">
        <f>_xll.qlRateHelperQuoteName(E25)</f>
        <v>EURFUT3MH6_Quote</v>
      </c>
      <c r="G25" s="43">
        <f>_xll.qlRateHelperQuoteValue($E25,Trigger)</f>
        <v>99.992500000000007</v>
      </c>
      <c r="H25" s="30">
        <f>_xll.qlFuturesRateHelperConvexityAdjustment($E25,Trigger)</f>
        <v>0</v>
      </c>
      <c r="I25" s="29" t="b">
        <v>1</v>
      </c>
      <c r="J25" s="29">
        <v>60</v>
      </c>
      <c r="K25" s="29">
        <v>21</v>
      </c>
      <c r="L25" s="28">
        <f>_xll.qlRateHelperEarliestDate($E25,Trigger)</f>
        <v>42445</v>
      </c>
      <c r="M25" s="27">
        <f>_xll.qlRateHelperLatestDate($E25,Trigger)</f>
        <v>42537</v>
      </c>
      <c r="P25" s="166" t="b">
        <f t="shared" si="2"/>
        <v>1</v>
      </c>
      <c r="Q25" s="171" t="b">
        <f>AND(_xll.qlIMMIsIMMcode(D25),IF(ISERROR(G25),FALSE,TRUE))</f>
        <v>1</v>
      </c>
      <c r="R25" s="169" t="b">
        <f>AND(NOT(_xll.qlIMMIsIMMcode(D25)),P25)</f>
        <v>0</v>
      </c>
    </row>
    <row r="26" spans="1:18" x14ac:dyDescent="0.2">
      <c r="A26" s="32" t="b">
        <v>0</v>
      </c>
      <c r="B26" s="33"/>
      <c r="C26" s="32" t="str">
        <f t="shared" si="1"/>
        <v>FUT3M</v>
      </c>
      <c r="D26" s="31" t="str">
        <v>J6</v>
      </c>
      <c r="E26" s="31" t="str">
        <f>Futures!J14</f>
        <v>obj_0074c#0003</v>
      </c>
      <c r="F26" s="31" t="str">
        <f>_xll.qlRateHelperQuoteName(E26)</f>
        <v>EURFUT3MJ6_Quote</v>
      </c>
      <c r="G26" s="43" t="e">
        <f>_xll.qlRateHelperQuoteValue($E26,Trigger)</f>
        <v>#NUM!</v>
      </c>
      <c r="H26" s="30" t="e">
        <f>_xll.qlFuturesRateHelperConvexityAdjustment($E26,Trigger)</f>
        <v>#NUM!</v>
      </c>
      <c r="I26" s="29" t="b">
        <v>1</v>
      </c>
      <c r="J26" s="29">
        <v>60</v>
      </c>
      <c r="K26" s="29">
        <v>21</v>
      </c>
      <c r="L26" s="28">
        <f>_xll.qlRateHelperEarliestDate($E26,Trigger)</f>
        <v>42480</v>
      </c>
      <c r="M26" s="27">
        <f>_xll.qlRateHelperLatestDate($E26,Trigger)</f>
        <v>42571</v>
      </c>
      <c r="P26" s="166" t="b">
        <f t="shared" si="2"/>
        <v>0</v>
      </c>
      <c r="Q26" s="171" t="b">
        <f>AND(_xll.qlIMMIsIMMcode(D26),IF(ISERROR(G26),FALSE,TRUE))</f>
        <v>0</v>
      </c>
      <c r="R26" s="169" t="b">
        <f>AND(NOT(_xll.qlIMMIsIMMcode(D26)),P26)</f>
        <v>0</v>
      </c>
    </row>
    <row r="27" spans="1:18" x14ac:dyDescent="0.2">
      <c r="A27" s="32" t="b">
        <v>1</v>
      </c>
      <c r="B27" s="33"/>
      <c r="C27" s="32" t="str">
        <f t="shared" si="1"/>
        <v>FUT3M</v>
      </c>
      <c r="D27" s="31" t="str">
        <v>M6</v>
      </c>
      <c r="E27" s="31" t="str">
        <f>Futures!J15</f>
        <v>obj_00763#0003</v>
      </c>
      <c r="F27" s="31" t="str">
        <f>_xll.qlRateHelperQuoteName(E27)</f>
        <v>EURFUT3MM6_Quote</v>
      </c>
      <c r="G27" s="43">
        <f>_xll.qlRateHelperQuoteValue($E27,Trigger)</f>
        <v>99.977499999999992</v>
      </c>
      <c r="H27" s="30">
        <f>_xll.qlFuturesRateHelperConvexityAdjustment($E27,Trigger)</f>
        <v>0</v>
      </c>
      <c r="I27" s="29" t="b">
        <v>1</v>
      </c>
      <c r="J27" s="29">
        <v>60</v>
      </c>
      <c r="K27" s="29">
        <v>21</v>
      </c>
      <c r="L27" s="28">
        <f>_xll.qlRateHelperEarliestDate($E27,Trigger)</f>
        <v>42536</v>
      </c>
      <c r="M27" s="27">
        <f>_xll.qlRateHelperLatestDate($E27,Trigger)</f>
        <v>42628</v>
      </c>
      <c r="P27" s="166" t="b">
        <f t="shared" si="2"/>
        <v>1</v>
      </c>
      <c r="Q27" s="171" t="b">
        <f>AND(_xll.qlIMMIsIMMcode(D27),IF(ISERROR(G27),FALSE,TRUE))</f>
        <v>1</v>
      </c>
      <c r="R27" s="169" t="b">
        <f>AND(NOT(_xll.qlIMMIsIMMcode(D27)),P27)</f>
        <v>0</v>
      </c>
    </row>
    <row r="28" spans="1:18" x14ac:dyDescent="0.2">
      <c r="A28" s="32" t="b">
        <v>1</v>
      </c>
      <c r="B28" s="33"/>
      <c r="C28" s="32" t="str">
        <f t="shared" si="1"/>
        <v>FUT3M</v>
      </c>
      <c r="D28" s="31" t="str">
        <v>U6</v>
      </c>
      <c r="E28" s="31" t="str">
        <f>Futures!J16</f>
        <v>obj_00743#0003</v>
      </c>
      <c r="F28" s="31" t="str">
        <f>_xll.qlRateHelperQuoteName(E28)</f>
        <v>EURFUT3MU6_Quote</v>
      </c>
      <c r="G28" s="43">
        <f>_xll.qlRateHelperQuoteValue($E28,Trigger)</f>
        <v>99.947499999999991</v>
      </c>
      <c r="H28" s="30">
        <f>_xll.qlFuturesRateHelperConvexityAdjustment($E28,Trigger)</f>
        <v>0</v>
      </c>
      <c r="I28" s="29" t="b">
        <v>1</v>
      </c>
      <c r="J28" s="29">
        <v>60</v>
      </c>
      <c r="K28" s="29">
        <v>21</v>
      </c>
      <c r="L28" s="28">
        <f>_xll.qlRateHelperEarliestDate($E28,Trigger)</f>
        <v>42634</v>
      </c>
      <c r="M28" s="27">
        <f>_xll.qlRateHelperLatestDate($E28,Trigger)</f>
        <v>42725</v>
      </c>
      <c r="P28" s="166" t="b">
        <f t="shared" si="2"/>
        <v>1</v>
      </c>
      <c r="Q28" s="171" t="b">
        <f>AND(_xll.qlIMMIsIMMcode(D28),IF(ISERROR(G28),FALSE,TRUE))</f>
        <v>1</v>
      </c>
      <c r="R28" s="169" t="b">
        <f>AND(NOT(_xll.qlIMMIsIMMcode(D28)),P28)</f>
        <v>0</v>
      </c>
    </row>
    <row r="29" spans="1:18" x14ac:dyDescent="0.2">
      <c r="A29" s="32" t="b">
        <v>1</v>
      </c>
      <c r="B29" s="33"/>
      <c r="C29" s="32" t="str">
        <f t="shared" si="1"/>
        <v>FUT3M</v>
      </c>
      <c r="D29" s="31" t="str">
        <v>Z6</v>
      </c>
      <c r="E29" s="31" t="str">
        <f>Futures!J17</f>
        <v>obj_00765#0003</v>
      </c>
      <c r="F29" s="31" t="str">
        <f>_xll.qlRateHelperQuoteName(E29)</f>
        <v>EURFUT3MZ6_Quote</v>
      </c>
      <c r="G29" s="43">
        <f>_xll.qlRateHelperQuoteValue($E29,Trigger)</f>
        <v>99.907499999999999</v>
      </c>
      <c r="H29" s="30">
        <f>_xll.qlFuturesRateHelperConvexityAdjustment($E29,Trigger)</f>
        <v>0</v>
      </c>
      <c r="I29" s="29" t="b">
        <v>1</v>
      </c>
      <c r="J29" s="29">
        <v>60</v>
      </c>
      <c r="K29" s="29">
        <v>21</v>
      </c>
      <c r="L29" s="28">
        <f>_xll.qlRateHelperEarliestDate($E29,Trigger)</f>
        <v>42725</v>
      </c>
      <c r="M29" s="27">
        <f>_xll.qlRateHelperLatestDate($E29,Trigger)</f>
        <v>42815</v>
      </c>
      <c r="P29" s="166" t="b">
        <f t="shared" si="2"/>
        <v>1</v>
      </c>
      <c r="Q29" s="171" t="b">
        <f>AND(_xll.qlIMMIsIMMcode(D29),IF(ISERROR(G29),FALSE,TRUE))</f>
        <v>1</v>
      </c>
      <c r="R29" s="169" t="b">
        <f>AND(NOT(_xll.qlIMMIsIMMcode(D29)),P29)</f>
        <v>0</v>
      </c>
    </row>
    <row r="30" spans="1:18" x14ac:dyDescent="0.2">
      <c r="A30" s="32" t="b">
        <v>1</v>
      </c>
      <c r="B30" s="33"/>
      <c r="C30" s="32" t="str">
        <f t="shared" si="1"/>
        <v>FUT3M</v>
      </c>
      <c r="D30" s="31" t="str">
        <v>H7</v>
      </c>
      <c r="E30" s="31" t="str">
        <f>Futures!J18</f>
        <v>obj_00755#0003</v>
      </c>
      <c r="F30" s="31" t="str">
        <f>_xll.qlRateHelperQuoteName(E30)</f>
        <v>EURFUT3MH7_Quote</v>
      </c>
      <c r="G30" s="43">
        <f>_xll.qlRateHelperQuoteValue($E30,Trigger)</f>
        <v>99.862499999999997</v>
      </c>
      <c r="H30" s="30">
        <f>_xll.qlFuturesRateHelperConvexityAdjustment($E30,Trigger)</f>
        <v>0</v>
      </c>
      <c r="I30" s="29" t="b">
        <v>1</v>
      </c>
      <c r="J30" s="29">
        <v>60</v>
      </c>
      <c r="K30" s="29">
        <v>21</v>
      </c>
      <c r="L30" s="28">
        <f>_xll.qlRateHelperEarliestDate($E30,Trigger)</f>
        <v>42809</v>
      </c>
      <c r="M30" s="27">
        <f>_xll.qlRateHelperLatestDate($E30,Trigger)</f>
        <v>42901</v>
      </c>
      <c r="P30" s="166" t="b">
        <f t="shared" si="2"/>
        <v>1</v>
      </c>
      <c r="Q30" s="171" t="b">
        <f>AND(_xll.qlIMMIsIMMcode(D30),IF(ISERROR(G30),FALSE,TRUE))</f>
        <v>1</v>
      </c>
      <c r="R30" s="169" t="b">
        <f>AND(NOT(_xll.qlIMMIsIMMcode(D30)),P30)</f>
        <v>0</v>
      </c>
    </row>
    <row r="31" spans="1:18" x14ac:dyDescent="0.2">
      <c r="A31" s="32" t="b">
        <v>1</v>
      </c>
      <c r="B31" s="33"/>
      <c r="C31" s="32" t="str">
        <f t="shared" si="1"/>
        <v>FUT3M</v>
      </c>
      <c r="D31" s="31" t="str">
        <v>M7</v>
      </c>
      <c r="E31" s="31" t="str">
        <f>Futures!J19</f>
        <v>obj_00751#0003</v>
      </c>
      <c r="F31" s="31" t="str">
        <f>_xll.qlRateHelperQuoteName(E31)</f>
        <v>EURFUT3MM7_Quote</v>
      </c>
      <c r="G31" s="43">
        <f>_xll.qlRateHelperQuoteValue($E31,Trigger)</f>
        <v>99.8125</v>
      </c>
      <c r="H31" s="30">
        <f>_xll.qlFuturesRateHelperConvexityAdjustment($E31,Trigger)</f>
        <v>0</v>
      </c>
      <c r="I31" s="29" t="b">
        <v>1</v>
      </c>
      <c r="J31" s="29">
        <v>60</v>
      </c>
      <c r="K31" s="29">
        <v>21</v>
      </c>
      <c r="L31" s="28">
        <f>_xll.qlRateHelperEarliestDate($E31,Trigger)</f>
        <v>42907</v>
      </c>
      <c r="M31" s="27">
        <f>_xll.qlRateHelperLatestDate($E31,Trigger)</f>
        <v>42999</v>
      </c>
      <c r="P31" s="166" t="b">
        <f t="shared" si="2"/>
        <v>1</v>
      </c>
      <c r="Q31" s="171" t="b">
        <f>AND(_xll.qlIMMIsIMMcode(D31),IF(ISERROR(G31),FALSE,TRUE))</f>
        <v>1</v>
      </c>
      <c r="R31" s="169" t="b">
        <f>AND(NOT(_xll.qlIMMIsIMMcode(D31)),P31)</f>
        <v>0</v>
      </c>
    </row>
    <row r="32" spans="1:18" x14ac:dyDescent="0.2">
      <c r="A32" s="32" t="b">
        <v>1</v>
      </c>
      <c r="B32" s="33"/>
      <c r="C32" s="32" t="str">
        <f t="shared" si="1"/>
        <v>FUT3M</v>
      </c>
      <c r="D32" s="31" t="str">
        <v>U7</v>
      </c>
      <c r="E32" s="31" t="str">
        <f>Futures!J20</f>
        <v>obj_00760#0003</v>
      </c>
      <c r="F32" s="31" t="str">
        <f>_xll.qlRateHelperQuoteName(E32)</f>
        <v>EURFUT3MU7_Quote</v>
      </c>
      <c r="G32" s="43">
        <f>_xll.qlRateHelperQuoteValue($E32,Trigger)</f>
        <v>99.757499999999993</v>
      </c>
      <c r="H32" s="30">
        <f>_xll.qlFuturesRateHelperConvexityAdjustment($E32,Trigger)</f>
        <v>0</v>
      </c>
      <c r="I32" s="29" t="b">
        <v>1</v>
      </c>
      <c r="J32" s="29">
        <v>30</v>
      </c>
      <c r="K32" s="29">
        <v>21</v>
      </c>
      <c r="L32" s="28">
        <f>_xll.qlRateHelperEarliestDate($E32,Trigger)</f>
        <v>42998</v>
      </c>
      <c r="M32" s="27">
        <f>_xll.qlRateHelperLatestDate($E32,Trigger)</f>
        <v>43089</v>
      </c>
      <c r="P32" s="166" t="b">
        <f t="shared" si="2"/>
        <v>1</v>
      </c>
      <c r="Q32" s="171" t="b">
        <f>AND(_xll.qlIMMIsIMMcode(D32),IF(ISERROR(G32),FALSE,TRUE))</f>
        <v>1</v>
      </c>
      <c r="R32" s="169" t="b">
        <f>AND(NOT(_xll.qlIMMIsIMMcode(D32)),P32)</f>
        <v>0</v>
      </c>
    </row>
    <row r="33" spans="1:18" x14ac:dyDescent="0.2">
      <c r="A33" s="32" t="b">
        <v>1</v>
      </c>
      <c r="B33" s="33"/>
      <c r="C33" s="32" t="str">
        <f t="shared" si="1"/>
        <v>FUT3M</v>
      </c>
      <c r="D33" s="31" t="str">
        <v>Z7</v>
      </c>
      <c r="E33" s="31" t="str">
        <f>Futures!J21</f>
        <v>obj_0074f#0003</v>
      </c>
      <c r="F33" s="31" t="str">
        <f>_xll.qlRateHelperQuoteName(E33)</f>
        <v>EURFUT3MZ7_Quote</v>
      </c>
      <c r="G33" s="43">
        <f>_xll.qlRateHelperQuoteValue($E33,Trigger)</f>
        <v>99.697499999999991</v>
      </c>
      <c r="H33" s="30">
        <f>_xll.qlFuturesRateHelperConvexityAdjustment($E33,Trigger)</f>
        <v>0</v>
      </c>
      <c r="I33" s="29" t="b">
        <v>1</v>
      </c>
      <c r="J33" s="29">
        <v>30</v>
      </c>
      <c r="K33" s="29">
        <v>21</v>
      </c>
      <c r="L33" s="28">
        <f>_xll.qlRateHelperEarliestDate($E33,Trigger)</f>
        <v>43089</v>
      </c>
      <c r="M33" s="27">
        <f>_xll.qlRateHelperLatestDate($E33,Trigger)</f>
        <v>43179</v>
      </c>
      <c r="P33" s="166" t="b">
        <f t="shared" si="2"/>
        <v>1</v>
      </c>
      <c r="Q33" s="171" t="b">
        <f>AND(_xll.qlIMMIsIMMcode(D33),IF(ISERROR(G33),FALSE,TRUE))</f>
        <v>1</v>
      </c>
      <c r="R33" s="169" t="b">
        <f>AND(NOT(_xll.qlIMMIsIMMcode(D33)),P33)</f>
        <v>0</v>
      </c>
    </row>
    <row r="34" spans="1:18" x14ac:dyDescent="0.2">
      <c r="A34" s="32" t="b">
        <v>1</v>
      </c>
      <c r="B34" s="33"/>
      <c r="C34" s="32" t="str">
        <f t="shared" si="1"/>
        <v>FUT3M</v>
      </c>
      <c r="D34" s="31" t="str">
        <v>H8</v>
      </c>
      <c r="E34" s="31" t="str">
        <f>Futures!J22</f>
        <v>obj_0075f#0003</v>
      </c>
      <c r="F34" s="31" t="str">
        <f>_xll.qlRateHelperQuoteName(E34)</f>
        <v>EURFUT3MH8_Quote</v>
      </c>
      <c r="G34" s="43">
        <f>_xll.qlRateHelperQuoteValue($E34,Trigger)</f>
        <v>99.632499999999993</v>
      </c>
      <c r="H34" s="30">
        <f>_xll.qlFuturesRateHelperConvexityAdjustment($E34,Trigger)</f>
        <v>0</v>
      </c>
      <c r="I34" s="29" t="b">
        <v>1</v>
      </c>
      <c r="J34" s="29">
        <v>30</v>
      </c>
      <c r="K34" s="29">
        <v>21</v>
      </c>
      <c r="L34" s="28">
        <f>_xll.qlRateHelperEarliestDate($E34,Trigger)</f>
        <v>43180</v>
      </c>
      <c r="M34" s="27">
        <f>_xll.qlRateHelperLatestDate($E34,Trigger)</f>
        <v>43272</v>
      </c>
      <c r="P34" s="166" t="b">
        <f t="shared" si="2"/>
        <v>1</v>
      </c>
      <c r="Q34" s="171" t="b">
        <f>AND(_xll.qlIMMIsIMMcode(D34),IF(ISERROR(G34),FALSE,TRUE))</f>
        <v>1</v>
      </c>
      <c r="R34" s="169" t="b">
        <f>AND(NOT(_xll.qlIMMIsIMMcode(D34)),P34)</f>
        <v>0</v>
      </c>
    </row>
    <row r="35" spans="1:18" x14ac:dyDescent="0.2">
      <c r="A35" s="32" t="b">
        <v>1</v>
      </c>
      <c r="B35" s="33"/>
      <c r="C35" s="32" t="str">
        <f t="shared" si="1"/>
        <v>FUT3M</v>
      </c>
      <c r="D35" s="31" t="str">
        <v>M8</v>
      </c>
      <c r="E35" s="31" t="str">
        <f>Futures!J23</f>
        <v>obj_00764#0003</v>
      </c>
      <c r="F35" s="31" t="str">
        <f>_xll.qlRateHelperQuoteName(E35)</f>
        <v>EURFUT3MM8_Quote</v>
      </c>
      <c r="G35" s="43">
        <f>_xll.qlRateHelperQuoteValue($E35,Trigger)</f>
        <v>99.564999999999998</v>
      </c>
      <c r="H35" s="30">
        <f>_xll.qlFuturesRateHelperConvexityAdjustment($E35,Trigger)</f>
        <v>0</v>
      </c>
      <c r="I35" s="29" t="b">
        <v>1</v>
      </c>
      <c r="J35" s="29">
        <v>30</v>
      </c>
      <c r="K35" s="29">
        <v>21</v>
      </c>
      <c r="L35" s="28">
        <f>_xll.qlRateHelperEarliestDate($E35,Trigger)</f>
        <v>43271</v>
      </c>
      <c r="M35" s="27">
        <f>_xll.qlRateHelperLatestDate($E35,Trigger)</f>
        <v>43363</v>
      </c>
      <c r="P35" s="166" t="b">
        <f t="shared" si="2"/>
        <v>1</v>
      </c>
      <c r="Q35" s="171" t="b">
        <f>AND(_xll.qlIMMIsIMMcode(D35),IF(ISERROR(G35),FALSE,TRUE))</f>
        <v>1</v>
      </c>
      <c r="R35" s="169" t="b">
        <f>AND(NOT(_xll.qlIMMIsIMMcode(D35)),P35)</f>
        <v>0</v>
      </c>
    </row>
    <row r="36" spans="1:18" x14ac:dyDescent="0.2">
      <c r="A36" s="32" t="b">
        <v>1</v>
      </c>
      <c r="B36" s="33"/>
      <c r="C36" s="32" t="str">
        <f t="shared" si="1"/>
        <v>FUT3M</v>
      </c>
      <c r="D36" s="31" t="str">
        <v>U8</v>
      </c>
      <c r="E36" s="31" t="str">
        <f>Futures!J24</f>
        <v>obj_00758#0003</v>
      </c>
      <c r="F36" s="31" t="str">
        <f>_xll.qlRateHelperQuoteName(E36)</f>
        <v>EURFUT3MU8_Quote</v>
      </c>
      <c r="G36" s="43">
        <f>_xll.qlRateHelperQuoteValue($E36,Trigger)</f>
        <v>99.497500000000002</v>
      </c>
      <c r="H36" s="30">
        <f>_xll.qlFuturesRateHelperConvexityAdjustment($E36,Trigger)</f>
        <v>0</v>
      </c>
      <c r="I36" s="29" t="b">
        <v>1</v>
      </c>
      <c r="J36" s="29">
        <v>30</v>
      </c>
      <c r="K36" s="29">
        <v>21</v>
      </c>
      <c r="L36" s="28">
        <f>_xll.qlRateHelperEarliestDate($E36,Trigger)</f>
        <v>43362</v>
      </c>
      <c r="M36" s="27">
        <f>_xll.qlRateHelperLatestDate($E36,Trigger)</f>
        <v>43453</v>
      </c>
      <c r="P36" s="166" t="b">
        <f t="shared" si="2"/>
        <v>1</v>
      </c>
      <c r="Q36" s="171" t="b">
        <f>AND(_xll.qlIMMIsIMMcode(D36),IF(ISERROR(G36),FALSE,TRUE))</f>
        <v>1</v>
      </c>
      <c r="R36" s="169" t="b">
        <f>AND(NOT(_xll.qlIMMIsIMMcode(D36)),P36)</f>
        <v>0</v>
      </c>
    </row>
    <row r="37" spans="1:18" x14ac:dyDescent="0.2">
      <c r="A37" s="32" t="b">
        <v>1</v>
      </c>
      <c r="B37" s="33"/>
      <c r="C37" s="32" t="str">
        <f t="shared" si="1"/>
        <v>FUT3M</v>
      </c>
      <c r="D37" s="31" t="str">
        <v>Z8</v>
      </c>
      <c r="E37" s="31" t="str">
        <f>Futures!J25</f>
        <v>obj_0075e#0003</v>
      </c>
      <c r="F37" s="31" t="str">
        <f>_xll.qlRateHelperQuoteName(E37)</f>
        <v>EURFUT3MZ8_Quote</v>
      </c>
      <c r="G37" s="43">
        <f>_xll.qlRateHelperQuoteValue($E37,Trigger)</f>
        <v>99.432500000000005</v>
      </c>
      <c r="H37" s="30">
        <f>_xll.qlFuturesRateHelperConvexityAdjustment($E37,Trigger)</f>
        <v>0</v>
      </c>
      <c r="I37" s="29" t="b">
        <v>1</v>
      </c>
      <c r="J37" s="29">
        <v>30</v>
      </c>
      <c r="K37" s="29">
        <v>21</v>
      </c>
      <c r="L37" s="28">
        <f>_xll.qlRateHelperEarliestDate($E37,Trigger)</f>
        <v>43453</v>
      </c>
      <c r="M37" s="27">
        <f>_xll.qlRateHelperLatestDate($E37,Trigger)</f>
        <v>43543</v>
      </c>
      <c r="P37" s="166" t="b">
        <f t="shared" si="2"/>
        <v>1</v>
      </c>
      <c r="Q37" s="171" t="b">
        <f>AND(_xll.qlIMMIsIMMcode(D37),IF(ISERROR(G37),FALSE,TRUE))</f>
        <v>1</v>
      </c>
      <c r="R37" s="169" t="b">
        <f>AND(NOT(_xll.qlIMMIsIMMcode(D37)),P37)</f>
        <v>0</v>
      </c>
    </row>
    <row r="38" spans="1:18" x14ac:dyDescent="0.2">
      <c r="A38" s="32" t="b">
        <v>1</v>
      </c>
      <c r="B38" s="33"/>
      <c r="C38" s="32" t="str">
        <f t="shared" si="1"/>
        <v>FUT3M</v>
      </c>
      <c r="D38" s="31" t="str">
        <v>H9</v>
      </c>
      <c r="E38" s="31" t="str">
        <f>Futures!J26</f>
        <v>obj_00754#0003</v>
      </c>
      <c r="F38" s="31" t="str">
        <f>_xll.qlRateHelperQuoteName(E38)</f>
        <v>EURFUT3MH9_Quote</v>
      </c>
      <c r="G38" s="43">
        <f>_xll.qlRateHelperQuoteValue($E38,Trigger)</f>
        <v>99.367500000000007</v>
      </c>
      <c r="H38" s="30">
        <f>_xll.qlFuturesRateHelperConvexityAdjustment($E38,Trigger)</f>
        <v>0</v>
      </c>
      <c r="I38" s="29" t="b">
        <v>1</v>
      </c>
      <c r="J38" s="29">
        <v>30</v>
      </c>
      <c r="K38" s="29">
        <v>21</v>
      </c>
      <c r="L38" s="28">
        <f>_xll.qlRateHelperEarliestDate($E38,Trigger)</f>
        <v>43544</v>
      </c>
      <c r="M38" s="27">
        <f>_xll.qlRateHelperLatestDate($E38,Trigger)</f>
        <v>43636</v>
      </c>
      <c r="P38" s="166" t="b">
        <f t="shared" si="2"/>
        <v>1</v>
      </c>
      <c r="Q38" s="171" t="b">
        <f>AND(_xll.qlIMMIsIMMcode(D38),IF(ISERROR(G38),FALSE,TRUE))</f>
        <v>1</v>
      </c>
      <c r="R38" s="169" t="b">
        <f>AND(NOT(_xll.qlIMMIsIMMcode(D38)),P38)</f>
        <v>0</v>
      </c>
    </row>
    <row r="39" spans="1:18" x14ac:dyDescent="0.2">
      <c r="A39" s="32" t="b">
        <v>1</v>
      </c>
      <c r="B39" s="33"/>
      <c r="C39" s="32" t="str">
        <f t="shared" si="1"/>
        <v>FUT3M</v>
      </c>
      <c r="D39" s="31" t="str">
        <v>M9</v>
      </c>
      <c r="E39" s="31" t="str">
        <f>Futures!J27</f>
        <v>obj_00741#0003</v>
      </c>
      <c r="F39" s="31" t="str">
        <f>_xll.qlRateHelperQuoteName(E39)</f>
        <v>EURFUT3MM9_Quote</v>
      </c>
      <c r="G39" s="43">
        <f>_xll.qlRateHelperQuoteValue($E39,Trigger)</f>
        <v>99.300000000000011</v>
      </c>
      <c r="H39" s="30">
        <f>_xll.qlFuturesRateHelperConvexityAdjustment($E39,Trigger)</f>
        <v>0</v>
      </c>
      <c r="I39" s="29" t="b">
        <v>1</v>
      </c>
      <c r="J39" s="29">
        <v>30</v>
      </c>
      <c r="K39" s="29">
        <v>21</v>
      </c>
      <c r="L39" s="28">
        <f>_xll.qlRateHelperEarliestDate($E39,Trigger)</f>
        <v>43635</v>
      </c>
      <c r="M39" s="27">
        <f>_xll.qlRateHelperLatestDate($E39,Trigger)</f>
        <v>43727</v>
      </c>
      <c r="P39" s="166" t="b">
        <f t="shared" si="2"/>
        <v>1</v>
      </c>
      <c r="Q39" s="171" t="b">
        <f>AND(_xll.qlIMMIsIMMcode(D39),IF(ISERROR(G39),FALSE,TRUE))</f>
        <v>1</v>
      </c>
      <c r="R39" s="169" t="b">
        <f>AND(NOT(_xll.qlIMMIsIMMcode(D39)),P39)</f>
        <v>0</v>
      </c>
    </row>
    <row r="40" spans="1:18" x14ac:dyDescent="0.2">
      <c r="A40" s="32" t="b">
        <v>1</v>
      </c>
      <c r="B40" s="33"/>
      <c r="C40" s="32" t="str">
        <f t="shared" si="1"/>
        <v>FUT3M</v>
      </c>
      <c r="D40" s="31" t="str">
        <v>U9</v>
      </c>
      <c r="E40" s="31" t="str">
        <f>Futures!J28</f>
        <v>obj_00745#0003</v>
      </c>
      <c r="F40" s="31" t="str">
        <f>_xll.qlRateHelperQuoteName(E40)</f>
        <v>EURFUT3MU9_Quote</v>
      </c>
      <c r="G40" s="43">
        <f>_xll.qlRateHelperQuoteValue($E40,Trigger)</f>
        <v>99.237500000000011</v>
      </c>
      <c r="H40" s="30">
        <f>_xll.qlFuturesRateHelperConvexityAdjustment($E40,Trigger)</f>
        <v>0</v>
      </c>
      <c r="I40" s="29" t="b">
        <v>1</v>
      </c>
      <c r="J40" s="29">
        <v>30</v>
      </c>
      <c r="K40" s="29">
        <v>21</v>
      </c>
      <c r="L40" s="28">
        <f>_xll.qlRateHelperEarliestDate($E40,Trigger)</f>
        <v>43726</v>
      </c>
      <c r="M40" s="27">
        <f>_xll.qlRateHelperLatestDate($E40,Trigger)</f>
        <v>43817</v>
      </c>
      <c r="P40" s="166" t="b">
        <f t="shared" si="2"/>
        <v>1</v>
      </c>
      <c r="Q40" s="171" t="b">
        <f>AND(_xll.qlIMMIsIMMcode(D40),IF(ISERROR(G40),FALSE,TRUE))</f>
        <v>1</v>
      </c>
      <c r="R40" s="169" t="b">
        <f>AND(NOT(_xll.qlIMMIsIMMcode(D40)),P40)</f>
        <v>0</v>
      </c>
    </row>
    <row r="41" spans="1:18" x14ac:dyDescent="0.2">
      <c r="A41" s="32" t="b">
        <v>1</v>
      </c>
      <c r="B41" s="33"/>
      <c r="C41" s="32" t="str">
        <f t="shared" si="1"/>
        <v>FUT3M</v>
      </c>
      <c r="D41" s="31" t="str">
        <v>Z9</v>
      </c>
      <c r="E41" s="31" t="str">
        <f>Futures!J29</f>
        <v>obj_00740#0003</v>
      </c>
      <c r="F41" s="31" t="str">
        <f>_xll.qlRateHelperQuoteName(E41)</f>
        <v>EURFUT3MZ9_Quote</v>
      </c>
      <c r="G41" s="43">
        <f>_xll.qlRateHelperQuoteValue($E41,Trigger)</f>
        <v>99.17</v>
      </c>
      <c r="H41" s="30">
        <f>_xll.qlFuturesRateHelperConvexityAdjustment($E41,Trigger)</f>
        <v>0</v>
      </c>
      <c r="I41" s="29" t="b">
        <v>1</v>
      </c>
      <c r="J41" s="29">
        <v>30</v>
      </c>
      <c r="K41" s="29">
        <v>21</v>
      </c>
      <c r="L41" s="28">
        <f>_xll.qlRateHelperEarliestDate($E41,Trigger)</f>
        <v>43817</v>
      </c>
      <c r="M41" s="27">
        <f>_xll.qlRateHelperLatestDate($E41,Trigger)</f>
        <v>43908</v>
      </c>
      <c r="P41" s="166" t="b">
        <f t="shared" si="2"/>
        <v>1</v>
      </c>
      <c r="Q41" s="171" t="b">
        <f>AND(_xll.qlIMMIsIMMcode(D41),IF(ISERROR(G41),FALSE,TRUE))</f>
        <v>1</v>
      </c>
      <c r="R41" s="169" t="b">
        <f>AND(NOT(_xll.qlIMMIsIMMcode(D41)),P41)</f>
        <v>0</v>
      </c>
    </row>
    <row r="42" spans="1:18" x14ac:dyDescent="0.2">
      <c r="A42" s="32" t="b">
        <v>1</v>
      </c>
      <c r="B42" s="33"/>
      <c r="C42" s="32" t="str">
        <f t="shared" si="1"/>
        <v>FUT3M</v>
      </c>
      <c r="D42" s="31" t="str">
        <v>H0</v>
      </c>
      <c r="E42" s="31" t="str">
        <f>Futures!J30</f>
        <v>obj_00757#0003</v>
      </c>
      <c r="F42" s="31" t="str">
        <f>_xll.qlRateHelperQuoteName(E42)</f>
        <v>EURFUT3MH0_Quote</v>
      </c>
      <c r="G42" s="43">
        <f>_xll.qlRateHelperQuoteValue($E42,Trigger)</f>
        <v>99.102499999999992</v>
      </c>
      <c r="H42" s="30">
        <f>_xll.qlFuturesRateHelperConvexityAdjustment($E42,Trigger)</f>
        <v>0</v>
      </c>
      <c r="I42" s="29" t="b">
        <v>1</v>
      </c>
      <c r="J42" s="29">
        <v>30</v>
      </c>
      <c r="K42" s="29">
        <v>21</v>
      </c>
      <c r="L42" s="28">
        <f>_xll.qlRateHelperEarliestDate($E42,Trigger)</f>
        <v>43908</v>
      </c>
      <c r="M42" s="27">
        <f>_xll.qlRateHelperLatestDate($E42,Trigger)</f>
        <v>44000</v>
      </c>
      <c r="P42" s="166" t="b">
        <f t="shared" si="2"/>
        <v>1</v>
      </c>
      <c r="Q42" s="171" t="b">
        <f>AND(_xll.qlIMMIsIMMcode(D42),IF(ISERROR(G42),FALSE,TRUE))</f>
        <v>1</v>
      </c>
      <c r="R42" s="169" t="b">
        <f>AND(NOT(_xll.qlIMMIsIMMcode(D42)),P42)</f>
        <v>0</v>
      </c>
    </row>
    <row r="43" spans="1:18" x14ac:dyDescent="0.2">
      <c r="A43" s="32" t="b">
        <v>1</v>
      </c>
      <c r="B43" s="33"/>
      <c r="C43" s="32" t="str">
        <f t="shared" si="1"/>
        <v>FUT3M</v>
      </c>
      <c r="D43" s="31" t="str">
        <v>M0</v>
      </c>
      <c r="E43" s="31" t="str">
        <f>Futures!J31</f>
        <v>obj_0075d#0003</v>
      </c>
      <c r="F43" s="31" t="str">
        <f>_xll.qlRateHelperQuoteName(E43)</f>
        <v>EURFUT3MM0_Quote</v>
      </c>
      <c r="G43" s="43">
        <f>_xll.qlRateHelperQuoteValue($E43,Trigger)</f>
        <v>99.034999999999997</v>
      </c>
      <c r="H43" s="30">
        <f>_xll.qlFuturesRateHelperConvexityAdjustment($E43,Trigger)</f>
        <v>0</v>
      </c>
      <c r="I43" s="29" t="b">
        <v>1</v>
      </c>
      <c r="J43" s="29">
        <v>30</v>
      </c>
      <c r="K43" s="29">
        <v>21</v>
      </c>
      <c r="L43" s="28">
        <f>_xll.qlRateHelperEarliestDate($E43,Trigger)</f>
        <v>43999</v>
      </c>
      <c r="M43" s="27">
        <f>_xll.qlRateHelperLatestDate($E43,Trigger)</f>
        <v>44091</v>
      </c>
      <c r="P43" s="166" t="b">
        <f t="shared" si="2"/>
        <v>1</v>
      </c>
      <c r="Q43" s="171" t="b">
        <f>AND(_xll.qlIMMIsIMMcode(D43),IF(ISERROR(G43),FALSE,TRUE))</f>
        <v>1</v>
      </c>
      <c r="R43" s="169" t="b">
        <f>AND(NOT(_xll.qlIMMIsIMMcode(D43)),P43)</f>
        <v>0</v>
      </c>
    </row>
    <row r="44" spans="1:18" x14ac:dyDescent="0.2">
      <c r="A44" s="32" t="b">
        <v>1</v>
      </c>
      <c r="B44" s="33"/>
      <c r="C44" s="32" t="str">
        <f t="shared" si="1"/>
        <v>FUT3M</v>
      </c>
      <c r="D44" s="31" t="str">
        <v>U0</v>
      </c>
      <c r="E44" s="31" t="str">
        <f>Futures!J32</f>
        <v>obj_0075c#0003</v>
      </c>
      <c r="F44" s="31" t="str">
        <f>_xll.qlRateHelperQuoteName(E44)</f>
        <v>EURFUT3MU0_Quote</v>
      </c>
      <c r="G44" s="43">
        <f>_xll.qlRateHelperQuoteValue($E44,Trigger)</f>
        <v>98.97</v>
      </c>
      <c r="H44" s="30">
        <f>_xll.qlFuturesRateHelperConvexityAdjustment($E44,Trigger)</f>
        <v>0</v>
      </c>
      <c r="I44" s="29" t="b">
        <v>1</v>
      </c>
      <c r="J44" s="29">
        <v>30</v>
      </c>
      <c r="K44" s="29">
        <v>21</v>
      </c>
      <c r="L44" s="28">
        <f>_xll.qlRateHelperEarliestDate($E44,Trigger)</f>
        <v>44090</v>
      </c>
      <c r="M44" s="27">
        <f>_xll.qlRateHelperLatestDate($E44,Trigger)</f>
        <v>44181</v>
      </c>
      <c r="P44" s="166" t="b">
        <f t="shared" si="2"/>
        <v>1</v>
      </c>
      <c r="Q44" s="171" t="b">
        <f>AND(_xll.qlIMMIsIMMcode(D44),IF(ISERROR(G44),FALSE,TRUE))</f>
        <v>1</v>
      </c>
      <c r="R44" s="169" t="b">
        <f>AND(NOT(_xll.qlIMMIsIMMcode(D44)),P44)</f>
        <v>0</v>
      </c>
    </row>
    <row r="45" spans="1:18" x14ac:dyDescent="0.2">
      <c r="A45" s="32" t="b">
        <v>1</v>
      </c>
      <c r="B45" s="33"/>
      <c r="C45" s="32" t="str">
        <f t="shared" si="1"/>
        <v>FUT3M</v>
      </c>
      <c r="D45" s="31" t="str">
        <v>Z0</v>
      </c>
      <c r="E45" s="31" t="str">
        <f>Futures!J33</f>
        <v>obj_00768#0003</v>
      </c>
      <c r="F45" s="31" t="str">
        <f>_xll.qlRateHelperQuoteName(E45)</f>
        <v>EURFUT3MZ0_Quote</v>
      </c>
      <c r="G45" s="43">
        <f>_xll.qlRateHelperQuoteValue($E45,Trigger)</f>
        <v>98.9</v>
      </c>
      <c r="H45" s="30">
        <f>_xll.qlFuturesRateHelperConvexityAdjustment($E45,Trigger)</f>
        <v>0</v>
      </c>
      <c r="I45" s="29" t="b">
        <v>1</v>
      </c>
      <c r="J45" s="29">
        <v>30</v>
      </c>
      <c r="K45" s="29">
        <v>21</v>
      </c>
      <c r="L45" s="28">
        <f>_xll.qlRateHelperEarliestDate($E45,Trigger)</f>
        <v>44181</v>
      </c>
      <c r="M45" s="27">
        <f>_xll.qlRateHelperLatestDate($E45,Trigger)</f>
        <v>44271</v>
      </c>
      <c r="P45" s="166" t="b">
        <f t="shared" si="2"/>
        <v>1</v>
      </c>
      <c r="Q45" s="171" t="b">
        <f>AND(_xll.qlIMMIsIMMcode(D45),IF(ISERROR(G45),FALSE,TRUE))</f>
        <v>1</v>
      </c>
      <c r="R45" s="169" t="b">
        <f>AND(NOT(_xll.qlIMMIsIMMcode(D45)),P45)</f>
        <v>0</v>
      </c>
    </row>
    <row r="46" spans="1:18" x14ac:dyDescent="0.2">
      <c r="A46" s="32" t="b">
        <v>1</v>
      </c>
      <c r="B46" s="33"/>
      <c r="C46" s="32" t="str">
        <f t="shared" si="1"/>
        <v>FUT3M</v>
      </c>
      <c r="D46" s="31" t="str">
        <v>H1</v>
      </c>
      <c r="E46" s="31" t="str">
        <f>Futures!J34</f>
        <v>obj_00746#0003</v>
      </c>
      <c r="F46" s="31" t="str">
        <f>_xll.qlRateHelperQuoteName(E46)</f>
        <v>EURFUT3MH1_Quote</v>
      </c>
      <c r="G46" s="43">
        <f>_xll.qlRateHelperQuoteValue($E46,Trigger)</f>
        <v>98.84</v>
      </c>
      <c r="H46" s="30">
        <f>_xll.qlFuturesRateHelperConvexityAdjustment($E46,Trigger)</f>
        <v>0</v>
      </c>
      <c r="I46" s="29" t="b">
        <v>1</v>
      </c>
      <c r="J46" s="29">
        <v>30</v>
      </c>
      <c r="K46" s="29">
        <v>21</v>
      </c>
      <c r="L46" s="28">
        <f>_xll.qlRateHelperEarliestDate($E46,Trigger)</f>
        <v>44272</v>
      </c>
      <c r="M46" s="27">
        <f>_xll.qlRateHelperLatestDate($E46,Trigger)</f>
        <v>44364</v>
      </c>
      <c r="P46" s="166" t="b">
        <f t="shared" si="2"/>
        <v>1</v>
      </c>
      <c r="Q46" s="171" t="b">
        <f>AND(_xll.qlIMMIsIMMcode(D46),IF(ISERROR(G46),FALSE,TRUE))</f>
        <v>1</v>
      </c>
      <c r="R46" s="169" t="b">
        <f>AND(NOT(_xll.qlIMMIsIMMcode(D46)),P46)</f>
        <v>0</v>
      </c>
    </row>
    <row r="47" spans="1:18" x14ac:dyDescent="0.2">
      <c r="A47" s="32" t="b">
        <v>1</v>
      </c>
      <c r="B47" s="33"/>
      <c r="C47" s="32" t="str">
        <f t="shared" si="1"/>
        <v>FUT3M</v>
      </c>
      <c r="D47" s="31" t="str">
        <v>M1</v>
      </c>
      <c r="E47" s="31" t="str">
        <f>Futures!J35</f>
        <v>obj_00767#0003</v>
      </c>
      <c r="F47" s="31" t="str">
        <f>_xll.qlRateHelperQuoteName(E47)</f>
        <v>EURFUT3MM1_Quote</v>
      </c>
      <c r="G47" s="43" t="e">
        <f>_xll.qlRateHelperQuoteValue($E47,Trigger)</f>
        <v>#NUM!</v>
      </c>
      <c r="H47" s="30" t="e">
        <f>_xll.qlFuturesRateHelperConvexityAdjustment($E47,Trigger)</f>
        <v>#NUM!</v>
      </c>
      <c r="I47" s="29" t="b">
        <v>1</v>
      </c>
      <c r="J47" s="29">
        <v>30</v>
      </c>
      <c r="K47" s="29">
        <v>21</v>
      </c>
      <c r="L47" s="28">
        <f>_xll.qlRateHelperEarliestDate($E47,Trigger)</f>
        <v>44363</v>
      </c>
      <c r="M47" s="27">
        <f>_xll.qlRateHelperLatestDate($E47,Trigger)</f>
        <v>44455</v>
      </c>
      <c r="P47" s="166" t="b">
        <f t="shared" si="2"/>
        <v>0</v>
      </c>
      <c r="Q47" s="171" t="b">
        <f>AND(_xll.qlIMMIsIMMcode(D47),IF(ISERROR(G47),FALSE,TRUE))</f>
        <v>0</v>
      </c>
      <c r="R47" s="169" t="b">
        <f>AND(NOT(_xll.qlIMMIsIMMcode(D47)),P47)</f>
        <v>0</v>
      </c>
    </row>
    <row r="48" spans="1:18" x14ac:dyDescent="0.2">
      <c r="A48" s="32" t="b">
        <v>1</v>
      </c>
      <c r="B48" s="33"/>
      <c r="C48" s="32" t="str">
        <f t="shared" si="1"/>
        <v>FUT3M</v>
      </c>
      <c r="D48" s="31" t="str">
        <v>U1</v>
      </c>
      <c r="E48" s="31" t="str">
        <f>Futures!J36</f>
        <v>obj_0075a#0003</v>
      </c>
      <c r="F48" s="31" t="str">
        <f>_xll.qlRateHelperQuoteName(E48)</f>
        <v>EURFUT3MU1_Quote</v>
      </c>
      <c r="G48" s="43" t="e">
        <f>_xll.qlRateHelperQuoteValue($E48,Trigger)</f>
        <v>#NUM!</v>
      </c>
      <c r="H48" s="30" t="e">
        <f>_xll.qlFuturesRateHelperConvexityAdjustment($E48,Trigger)</f>
        <v>#NUM!</v>
      </c>
      <c r="I48" s="29" t="b">
        <v>1</v>
      </c>
      <c r="J48" s="29">
        <v>30</v>
      </c>
      <c r="K48" s="29">
        <v>21</v>
      </c>
      <c r="L48" s="28">
        <f>_xll.qlRateHelperEarliestDate($E48,Trigger)</f>
        <v>44454</v>
      </c>
      <c r="M48" s="27">
        <f>_xll.qlRateHelperLatestDate($E48,Trigger)</f>
        <v>44545</v>
      </c>
      <c r="P48" s="166" t="b">
        <f t="shared" si="2"/>
        <v>0</v>
      </c>
      <c r="Q48" s="171" t="b">
        <f>AND(_xll.qlIMMIsIMMcode(D48),IF(ISERROR(G48),FALSE,TRUE))</f>
        <v>0</v>
      </c>
      <c r="R48" s="169" t="b">
        <f>AND(NOT(_xll.qlIMMIsIMMcode(D48)),P48)</f>
        <v>0</v>
      </c>
    </row>
    <row r="49" spans="1:18" x14ac:dyDescent="0.2">
      <c r="A49" s="32" t="b">
        <v>1</v>
      </c>
      <c r="B49" s="33"/>
      <c r="C49" s="32" t="str">
        <f t="shared" si="1"/>
        <v>FUT3M</v>
      </c>
      <c r="D49" s="31" t="str">
        <v>Z1</v>
      </c>
      <c r="E49" s="31" t="str">
        <f>Futures!J37</f>
        <v>obj_0074d#0003</v>
      </c>
      <c r="F49" s="31" t="str">
        <f>_xll.qlRateHelperQuoteName(E49)</f>
        <v>EURFUT3MZ1_Quote</v>
      </c>
      <c r="G49" s="43" t="e">
        <f>_xll.qlRateHelperQuoteValue($E49,Trigger)</f>
        <v>#NUM!</v>
      </c>
      <c r="H49" s="30" t="e">
        <f>_xll.qlFuturesRateHelperConvexityAdjustment($E49,Trigger)</f>
        <v>#NUM!</v>
      </c>
      <c r="I49" s="29" t="b">
        <v>1</v>
      </c>
      <c r="J49" s="29">
        <v>30</v>
      </c>
      <c r="K49" s="29">
        <v>21</v>
      </c>
      <c r="L49" s="28">
        <f>_xll.qlRateHelperEarliestDate($E49,Trigger)</f>
        <v>44545</v>
      </c>
      <c r="M49" s="27">
        <f>_xll.qlRateHelperLatestDate($E49,Trigger)</f>
        <v>44635</v>
      </c>
      <c r="P49" s="166" t="b">
        <f t="shared" si="2"/>
        <v>0</v>
      </c>
      <c r="Q49" s="171" t="b">
        <f>AND(_xll.qlIMMIsIMMcode(D49),IF(ISERROR(G49),FALSE,TRUE))</f>
        <v>0</v>
      </c>
      <c r="R49" s="169" t="b">
        <f>AND(NOT(_xll.qlIMMIsIMMcode(D49)),P49)</f>
        <v>0</v>
      </c>
    </row>
    <row r="50" spans="1:18" x14ac:dyDescent="0.2">
      <c r="A50" s="32" t="b">
        <v>1</v>
      </c>
      <c r="B50" s="33"/>
      <c r="C50" s="32" t="str">
        <f t="shared" si="1"/>
        <v>FUT3M</v>
      </c>
      <c r="D50" s="31" t="str">
        <v>H2</v>
      </c>
      <c r="E50" s="31" t="str">
        <f>Futures!J38</f>
        <v>obj_00744#0003</v>
      </c>
      <c r="F50" s="31" t="str">
        <f>_xll.qlRateHelperQuoteName(E50)</f>
        <v>EURFUT3MH2_Quote</v>
      </c>
      <c r="G50" s="43" t="e">
        <f>_xll.qlRateHelperQuoteValue($E50,Trigger)</f>
        <v>#NUM!</v>
      </c>
      <c r="H50" s="30" t="e">
        <f>_xll.qlFuturesRateHelperConvexityAdjustment($E50,Trigger)</f>
        <v>#NUM!</v>
      </c>
      <c r="I50" s="29" t="b">
        <v>1</v>
      </c>
      <c r="J50" s="29">
        <v>30</v>
      </c>
      <c r="K50" s="29">
        <v>21</v>
      </c>
      <c r="L50" s="28">
        <f>_xll.qlRateHelperEarliestDate($E50,Trigger)</f>
        <v>44636</v>
      </c>
      <c r="M50" s="27">
        <f>_xll.qlRateHelperLatestDate($E50,Trigger)</f>
        <v>44728</v>
      </c>
      <c r="P50" s="166" t="b">
        <f t="shared" si="2"/>
        <v>0</v>
      </c>
      <c r="Q50" s="171" t="b">
        <f>AND(_xll.qlIMMIsIMMcode(D50),IF(ISERROR(G50),FALSE,TRUE))</f>
        <v>0</v>
      </c>
      <c r="R50" s="169" t="b">
        <f>AND(NOT(_xll.qlIMMIsIMMcode(D50)),P50)</f>
        <v>0</v>
      </c>
    </row>
    <row r="51" spans="1:18" x14ac:dyDescent="0.2">
      <c r="A51" s="32" t="b">
        <v>1</v>
      </c>
      <c r="B51" s="33"/>
      <c r="C51" s="32" t="str">
        <f t="shared" si="1"/>
        <v>FUT3M</v>
      </c>
      <c r="D51" s="31" t="str">
        <v>M2</v>
      </c>
      <c r="E51" s="31" t="str">
        <f>Futures!J39</f>
        <v>obj_00761#0003</v>
      </c>
      <c r="F51" s="31" t="str">
        <f>_xll.qlRateHelperQuoteName(E51)</f>
        <v>EURFUT3MM2_Quote</v>
      </c>
      <c r="G51" s="43" t="e">
        <f>_xll.qlRateHelperQuoteValue($E51,Trigger)</f>
        <v>#NUM!</v>
      </c>
      <c r="H51" s="30" t="e">
        <f>_xll.qlFuturesRateHelperConvexityAdjustment($E51,Trigger)</f>
        <v>#NUM!</v>
      </c>
      <c r="I51" s="29" t="b">
        <v>1</v>
      </c>
      <c r="J51" s="29">
        <v>30</v>
      </c>
      <c r="K51" s="29">
        <v>21</v>
      </c>
      <c r="L51" s="28">
        <f>_xll.qlRateHelperEarliestDate($E51,Trigger)</f>
        <v>44727</v>
      </c>
      <c r="M51" s="27">
        <f>_xll.qlRateHelperLatestDate($E51,Trigger)</f>
        <v>44819</v>
      </c>
      <c r="P51" s="166" t="b">
        <f t="shared" si="2"/>
        <v>0</v>
      </c>
      <c r="Q51" s="171" t="b">
        <f>AND(_xll.qlIMMIsIMMcode(D51),IF(ISERROR(G51),FALSE,TRUE))</f>
        <v>0</v>
      </c>
      <c r="R51" s="169" t="b">
        <f>AND(NOT(_xll.qlIMMIsIMMcode(D51)),P51)</f>
        <v>0</v>
      </c>
    </row>
    <row r="52" spans="1:18" x14ac:dyDescent="0.2">
      <c r="A52" s="32" t="b">
        <v>1</v>
      </c>
      <c r="B52" s="33"/>
      <c r="C52" s="32" t="str">
        <f t="shared" si="1"/>
        <v>FUT3M</v>
      </c>
      <c r="D52" s="31" t="str">
        <v>U2</v>
      </c>
      <c r="E52" s="31" t="str">
        <f>Futures!J40</f>
        <v>obj_00752#0003</v>
      </c>
      <c r="F52" s="31" t="str">
        <f>_xll.qlRateHelperQuoteName(E52)</f>
        <v>EURFUT3MU2_Quote</v>
      </c>
      <c r="G52" s="43" t="e">
        <f>_xll.qlRateHelperQuoteValue($E52,Trigger)</f>
        <v>#NUM!</v>
      </c>
      <c r="H52" s="30" t="e">
        <f>_xll.qlFuturesRateHelperConvexityAdjustment($E52,Trigger)</f>
        <v>#NUM!</v>
      </c>
      <c r="I52" s="29" t="b">
        <v>1</v>
      </c>
      <c r="J52" s="29">
        <v>30</v>
      </c>
      <c r="K52" s="29">
        <v>21</v>
      </c>
      <c r="L52" s="28">
        <f>_xll.qlRateHelperEarliestDate($E52,Trigger)</f>
        <v>44825</v>
      </c>
      <c r="M52" s="27">
        <f>_xll.qlRateHelperLatestDate($E52,Trigger)</f>
        <v>44916</v>
      </c>
      <c r="P52" s="166" t="b">
        <f t="shared" si="2"/>
        <v>0</v>
      </c>
      <c r="Q52" s="171" t="b">
        <f>AND(_xll.qlIMMIsIMMcode(D52),IF(ISERROR(G52),FALSE,TRUE))</f>
        <v>0</v>
      </c>
      <c r="R52" s="169" t="b">
        <f>AND(NOT(_xll.qlIMMIsIMMcode(D52)),P52)</f>
        <v>0</v>
      </c>
    </row>
    <row r="53" spans="1:18" x14ac:dyDescent="0.2">
      <c r="A53" s="32" t="b">
        <v>1</v>
      </c>
      <c r="B53" s="33"/>
      <c r="C53" s="32" t="str">
        <f t="shared" si="1"/>
        <v>FUT3M</v>
      </c>
      <c r="D53" s="31" t="str">
        <v>Z2</v>
      </c>
      <c r="E53" s="31" t="str">
        <f>Futures!J41</f>
        <v>obj_00747#0003</v>
      </c>
      <c r="F53" s="31" t="str">
        <f>_xll.qlRateHelperQuoteName(E53)</f>
        <v>EURFUT3MZ2_Quote</v>
      </c>
      <c r="G53" s="43" t="e">
        <f>_xll.qlRateHelperQuoteValue($E53,Trigger)</f>
        <v>#NUM!</v>
      </c>
      <c r="H53" s="30" t="e">
        <f>_xll.qlFuturesRateHelperConvexityAdjustment($E53,Trigger)</f>
        <v>#NUM!</v>
      </c>
      <c r="I53" s="29" t="b">
        <v>1</v>
      </c>
      <c r="J53" s="29">
        <v>30</v>
      </c>
      <c r="K53" s="29">
        <v>21</v>
      </c>
      <c r="L53" s="28">
        <f>_xll.qlRateHelperEarliestDate($E53,Trigger)</f>
        <v>44916</v>
      </c>
      <c r="M53" s="27">
        <f>_xll.qlRateHelperLatestDate($E53,Trigger)</f>
        <v>45006</v>
      </c>
      <c r="P53" s="166" t="b">
        <f t="shared" si="2"/>
        <v>0</v>
      </c>
      <c r="Q53" s="171" t="b">
        <f>AND(_xll.qlIMMIsIMMcode(D53),IF(ISERROR(G53),FALSE,TRUE))</f>
        <v>0</v>
      </c>
      <c r="R53" s="169" t="b">
        <f>AND(NOT(_xll.qlIMMIsIMMcode(D53)),P53)</f>
        <v>0</v>
      </c>
    </row>
    <row r="54" spans="1:18" x14ac:dyDescent="0.2">
      <c r="A54" s="32" t="b">
        <v>1</v>
      </c>
      <c r="B54" s="33"/>
      <c r="C54" s="32" t="str">
        <f t="shared" si="1"/>
        <v>FUT3M</v>
      </c>
      <c r="D54" s="31" t="str">
        <v>H3</v>
      </c>
      <c r="E54" s="31" t="str">
        <f>Futures!J42</f>
        <v>obj_0074e#0003</v>
      </c>
      <c r="F54" s="31" t="str">
        <f>_xll.qlRateHelperQuoteName(E54)</f>
        <v>EURFUT3MH3_Quote</v>
      </c>
      <c r="G54" s="43" t="e">
        <f>_xll.qlRateHelperQuoteValue($E54,Trigger)</f>
        <v>#NUM!</v>
      </c>
      <c r="H54" s="30" t="e">
        <f>_xll.qlFuturesRateHelperConvexityAdjustment($E54,Trigger)</f>
        <v>#NUM!</v>
      </c>
      <c r="I54" s="29" t="b">
        <v>1</v>
      </c>
      <c r="J54" s="29">
        <v>30</v>
      </c>
      <c r="K54" s="29">
        <v>21</v>
      </c>
      <c r="L54" s="28">
        <f>_xll.qlRateHelperEarliestDate($E54,Trigger)</f>
        <v>45000</v>
      </c>
      <c r="M54" s="27">
        <f>_xll.qlRateHelperLatestDate($E54,Trigger)</f>
        <v>45092</v>
      </c>
      <c r="P54" s="166" t="b">
        <f t="shared" si="2"/>
        <v>0</v>
      </c>
      <c r="Q54" s="171" t="b">
        <f>AND(_xll.qlIMMIsIMMcode(D54),IF(ISERROR(G54),FALSE,TRUE))</f>
        <v>0</v>
      </c>
      <c r="R54" s="169" t="b">
        <f>AND(NOT(_xll.qlIMMIsIMMcode(D54)),P54)</f>
        <v>0</v>
      </c>
    </row>
    <row r="55" spans="1:18" x14ac:dyDescent="0.2">
      <c r="A55" s="32" t="b">
        <v>1</v>
      </c>
      <c r="B55" s="33"/>
      <c r="C55" s="32" t="str">
        <f t="shared" si="1"/>
        <v>FUT3M</v>
      </c>
      <c r="D55" s="31" t="str">
        <v>M3</v>
      </c>
      <c r="E55" s="31" t="str">
        <f>Futures!J43</f>
        <v>obj_0074a#0003</v>
      </c>
      <c r="F55" s="31" t="str">
        <f>_xll.qlRateHelperQuoteName(E55)</f>
        <v>EURFUT3MM3_Quote</v>
      </c>
      <c r="G55" s="43" t="e">
        <f>_xll.qlRateHelperQuoteValue($E55,Trigger)</f>
        <v>#NUM!</v>
      </c>
      <c r="H55" s="30" t="e">
        <f>_xll.qlFuturesRateHelperConvexityAdjustment($E55,Trigger)</f>
        <v>#NUM!</v>
      </c>
      <c r="I55" s="29" t="b">
        <v>1</v>
      </c>
      <c r="J55" s="29">
        <v>30</v>
      </c>
      <c r="K55" s="29">
        <v>21</v>
      </c>
      <c r="L55" s="28">
        <f>_xll.qlRateHelperEarliestDate($E55,Trigger)</f>
        <v>45098</v>
      </c>
      <c r="M55" s="27">
        <f>_xll.qlRateHelperLatestDate($E55,Trigger)</f>
        <v>45190</v>
      </c>
      <c r="P55" s="166" t="b">
        <f t="shared" si="2"/>
        <v>0</v>
      </c>
      <c r="Q55" s="171" t="b">
        <f>AND(_xll.qlIMMIsIMMcode(D55),IF(ISERROR(G55),FALSE,TRUE))</f>
        <v>0</v>
      </c>
      <c r="R55" s="169" t="b">
        <f>AND(NOT(_xll.qlIMMIsIMMcode(D55)),P55)</f>
        <v>0</v>
      </c>
    </row>
    <row r="56" spans="1:18" x14ac:dyDescent="0.2">
      <c r="A56" s="25" t="b">
        <v>1</v>
      </c>
      <c r="B56" s="26"/>
      <c r="C56" s="25" t="str">
        <f t="shared" si="1"/>
        <v>FUT3M</v>
      </c>
      <c r="D56" s="24" t="str">
        <v>U3</v>
      </c>
      <c r="E56" s="24" t="str">
        <f>Futures!J44</f>
        <v>obj_00748#0003</v>
      </c>
      <c r="F56" s="24" t="str">
        <f>_xll.qlRateHelperQuoteName(E56)</f>
        <v>EURFUT3MU3_Quote</v>
      </c>
      <c r="G56" s="42" t="e">
        <f>_xll.qlRateHelperQuoteValue($E56,Trigger)</f>
        <v>#NUM!</v>
      </c>
      <c r="H56" s="23" t="e">
        <f>_xll.qlFuturesRateHelperConvexityAdjustment($E56,Trigger)</f>
        <v>#NUM!</v>
      </c>
      <c r="I56" s="22" t="b">
        <v>1</v>
      </c>
      <c r="J56" s="22">
        <v>30</v>
      </c>
      <c r="K56" s="29">
        <v>21</v>
      </c>
      <c r="L56" s="21">
        <f>_xll.qlRateHelperEarliestDate($E56,Trigger)</f>
        <v>45189</v>
      </c>
      <c r="M56" s="20">
        <f>_xll.qlRateHelperLatestDate($E56,Trigger)</f>
        <v>45280</v>
      </c>
      <c r="P56" s="166" t="b">
        <f t="shared" si="2"/>
        <v>0</v>
      </c>
      <c r="Q56" s="171" t="b">
        <f>AND(_xll.qlIMMIsIMMcode(D56),IF(ISERROR(G56),FALSE,TRUE))</f>
        <v>0</v>
      </c>
      <c r="R56" s="170" t="b">
        <f>AND(NOT(_xll.qlIMMIsIMMcode(D56)),P56)</f>
        <v>0</v>
      </c>
    </row>
    <row r="57" spans="1:18" x14ac:dyDescent="0.2">
      <c r="B57" s="41" t="s">
        <v>48</v>
      </c>
      <c r="C57" s="40">
        <v>12</v>
      </c>
      <c r="D57" s="39"/>
      <c r="E57" s="39" t="str">
        <f t="shared" ref="E57:E63" si="3">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166"/>
    </row>
    <row r="58" spans="1:18" x14ac:dyDescent="0.2">
      <c r="B58" s="33" t="s">
        <v>49</v>
      </c>
      <c r="C58" s="32">
        <v>12</v>
      </c>
      <c r="D58" s="31"/>
      <c r="E58" s="31" t="str">
        <f t="shared" si="3"/>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166"/>
    </row>
    <row r="59" spans="1:18" x14ac:dyDescent="0.2">
      <c r="B59" s="33" t="s">
        <v>51</v>
      </c>
      <c r="C59" s="32">
        <v>12</v>
      </c>
      <c r="D59" s="31"/>
      <c r="E59" s="31" t="str">
        <f t="shared" si="3"/>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166"/>
    </row>
    <row r="60" spans="1:18" x14ac:dyDescent="0.2">
      <c r="B60" s="33" t="s">
        <v>50</v>
      </c>
      <c r="C60" s="32">
        <v>12</v>
      </c>
      <c r="D60" s="31"/>
      <c r="E60" s="31" t="str">
        <f t="shared" si="3"/>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166"/>
    </row>
    <row r="61" spans="1:18" x14ac:dyDescent="0.2">
      <c r="B61" s="33" t="s">
        <v>48</v>
      </c>
      <c r="C61" s="32">
        <v>24</v>
      </c>
      <c r="D61" s="31"/>
      <c r="E61" s="31" t="str">
        <f t="shared" si="3"/>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166"/>
    </row>
    <row r="62" spans="1:18" x14ac:dyDescent="0.2">
      <c r="B62" s="33" t="s">
        <v>49</v>
      </c>
      <c r="C62" s="32">
        <v>24</v>
      </c>
      <c r="D62" s="31"/>
      <c r="E62" s="31" t="str">
        <f t="shared" si="3"/>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166"/>
    </row>
    <row r="63" spans="1:18" x14ac:dyDescent="0.2">
      <c r="B63" s="26" t="s">
        <v>48</v>
      </c>
      <c r="C63" s="25">
        <v>36</v>
      </c>
      <c r="D63" s="24"/>
      <c r="E63" s="24" t="str">
        <f t="shared" si="3"/>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166"/>
    </row>
    <row r="64" spans="1:18" x14ac:dyDescent="0.2">
      <c r="B64" s="33" t="str">
        <f t="shared" ref="B64:B95" si="4">SwapFixedFreq</f>
        <v>AB</v>
      </c>
      <c r="C64" s="32" t="str">
        <f t="shared" ref="C64:C100" si="5">IborType</f>
        <v>3E</v>
      </c>
      <c r="D64" s="31" t="s">
        <v>47</v>
      </c>
      <c r="E64" s="31" t="str">
        <f>Swaps!L6</f>
        <v>obj_0070a#0004</v>
      </c>
      <c r="F64" s="31" t="str">
        <f>_xll.qlRateHelperQuoteName(E64)</f>
        <v>EURAB3E1Y_Quote</v>
      </c>
      <c r="G64" s="30">
        <f>_xll.qlRateHelperQuoteValue($E64,Trigger)</f>
        <v>-4.9999999999999996E-5</v>
      </c>
      <c r="H64" s="30">
        <f>_xll.qlSwapRateHelperSpread($E64,Trigger)</f>
        <v>0</v>
      </c>
      <c r="I64" s="29" t="b">
        <v>0</v>
      </c>
      <c r="J64" s="29">
        <v>50</v>
      </c>
      <c r="K64" s="29">
        <v>1</v>
      </c>
      <c r="L64" s="28">
        <f>_xll.qlRateHelperEarliestDate($E64,Trigger)</f>
        <v>42137</v>
      </c>
      <c r="M64" s="27">
        <f>_xll.qlRateHelperLatestDate($E64,Trigger)</f>
        <v>42503</v>
      </c>
      <c r="P64" s="166"/>
      <c r="Q64" s="34"/>
      <c r="R64" s="34"/>
    </row>
    <row r="65" spans="2:18" x14ac:dyDescent="0.2">
      <c r="B65" s="33" t="str">
        <f t="shared" si="4"/>
        <v>AB</v>
      </c>
      <c r="C65" s="32" t="str">
        <f t="shared" si="5"/>
        <v>3E</v>
      </c>
      <c r="D65" s="31" t="s">
        <v>46</v>
      </c>
      <c r="E65" s="31" t="str">
        <f>Swaps!L7</f>
        <v>obj_00739#0004</v>
      </c>
      <c r="F65" s="31" t="str">
        <f>_xll.qlRateHelperQuoteName(E65)</f>
        <v>EURAB3E15M_Quote</v>
      </c>
      <c r="G65" s="30">
        <f>_xll.qlRateHelperQuoteValue($E65,Trigger)</f>
        <v>0</v>
      </c>
      <c r="H65" s="30">
        <f>_xll.qlSwapRateHelperSpread($E65,Trigger)</f>
        <v>0</v>
      </c>
      <c r="I65" s="29" t="b">
        <v>0</v>
      </c>
      <c r="J65" s="29">
        <v>50</v>
      </c>
      <c r="K65" s="29">
        <v>1</v>
      </c>
      <c r="L65" s="28">
        <f>_xll.qlRateHelperEarliestDate($E65,Trigger)</f>
        <v>42137</v>
      </c>
      <c r="M65" s="27">
        <f>_xll.qlRateHelperLatestDate($E65,Trigger)</f>
        <v>42597</v>
      </c>
      <c r="P65" s="166"/>
      <c r="Q65" s="34"/>
      <c r="R65" s="34"/>
    </row>
    <row r="66" spans="2:18" x14ac:dyDescent="0.2">
      <c r="B66" s="33" t="str">
        <f t="shared" si="4"/>
        <v>AB</v>
      </c>
      <c r="C66" s="32" t="str">
        <f t="shared" si="5"/>
        <v>3E</v>
      </c>
      <c r="D66" s="31" t="s">
        <v>45</v>
      </c>
      <c r="E66" s="31" t="str">
        <f>Swaps!L8</f>
        <v>obj_0070f#0004</v>
      </c>
      <c r="F66" s="31" t="str">
        <f>_xll.qlRateHelperQuoteName(E66)</f>
        <v>EURAB3E18M_Quote</v>
      </c>
      <c r="G66" s="30">
        <f>_xll.qlRateHelperQuoteValue($E66,Trigger)</f>
        <v>6.0000000000000002E-5</v>
      </c>
      <c r="H66" s="30">
        <f>_xll.qlSwapRateHelperSpread($E66,Trigger)</f>
        <v>0</v>
      </c>
      <c r="I66" s="29" t="b">
        <v>0</v>
      </c>
      <c r="J66" s="29">
        <v>50</v>
      </c>
      <c r="K66" s="29">
        <v>1</v>
      </c>
      <c r="L66" s="28">
        <f>_xll.qlRateHelperEarliestDate($E66,Trigger)</f>
        <v>42137</v>
      </c>
      <c r="M66" s="27">
        <f>_xll.qlRateHelperLatestDate($E66,Trigger)</f>
        <v>42688</v>
      </c>
      <c r="P66" s="166"/>
      <c r="Q66" s="34"/>
      <c r="R66" s="34"/>
    </row>
    <row r="67" spans="2:18" x14ac:dyDescent="0.2">
      <c r="B67" s="33" t="str">
        <f t="shared" si="4"/>
        <v>AB</v>
      </c>
      <c r="C67" s="32" t="str">
        <f t="shared" si="5"/>
        <v>3E</v>
      </c>
      <c r="D67" s="31" t="s">
        <v>44</v>
      </c>
      <c r="E67" s="31" t="str">
        <f>Swaps!L9</f>
        <v>obj_00726#0003</v>
      </c>
      <c r="F67" s="31" t="str">
        <f>_xll.qlRateHelperQuoteName(E67)</f>
        <v>EURAB3E21M_Quote</v>
      </c>
      <c r="G67" s="30">
        <f>_xll.qlRateHelperQuoteValue($E67,Trigger)</f>
        <v>1.5999999999999996E-4</v>
      </c>
      <c r="H67" s="30">
        <f>_xll.qlSwapRateHelperSpread($E67,Trigger)</f>
        <v>0</v>
      </c>
      <c r="I67" s="29" t="b">
        <v>0</v>
      </c>
      <c r="J67" s="29">
        <v>50</v>
      </c>
      <c r="K67" s="29">
        <v>1</v>
      </c>
      <c r="L67" s="28">
        <f>_xll.qlRateHelperEarliestDate($E67,Trigger)</f>
        <v>42137</v>
      </c>
      <c r="M67" s="27">
        <f>_xll.qlRateHelperLatestDate($E67,Trigger)</f>
        <v>42779</v>
      </c>
      <c r="P67" s="166"/>
      <c r="Q67" s="34"/>
      <c r="R67" s="34"/>
    </row>
    <row r="68" spans="2:18" x14ac:dyDescent="0.2">
      <c r="B68" s="33" t="str">
        <f t="shared" si="4"/>
        <v>AB</v>
      </c>
      <c r="C68" s="32" t="str">
        <f t="shared" si="5"/>
        <v>3E</v>
      </c>
      <c r="D68" s="31" t="s">
        <v>43</v>
      </c>
      <c r="E68" s="31" t="str">
        <f>Swaps!L10</f>
        <v>obj_0070c#0003</v>
      </c>
      <c r="F68" s="31" t="str">
        <f>_xll.qlRateHelperQuoteName(E68)</f>
        <v>EURAB3E2Y_Quote</v>
      </c>
      <c r="G68" s="30">
        <f>_xll.qlRateHelperQuoteValue($E68,Trigger)</f>
        <v>2.8000000000000003E-4</v>
      </c>
      <c r="H68" s="30">
        <f>_xll.qlSwapRateHelperSpread($E68,Trigger)</f>
        <v>0</v>
      </c>
      <c r="I68" s="29" t="b">
        <v>0</v>
      </c>
      <c r="J68" s="29">
        <v>50</v>
      </c>
      <c r="K68" s="29">
        <v>1</v>
      </c>
      <c r="L68" s="28">
        <f>_xll.qlRateHelperEarliestDate($E68,Trigger)</f>
        <v>42137</v>
      </c>
      <c r="M68" s="27">
        <f>_xll.qlRateHelperLatestDate($E68,Trigger)</f>
        <v>42870</v>
      </c>
      <c r="P68" s="166"/>
      <c r="Q68" s="34"/>
      <c r="R68" s="34"/>
    </row>
    <row r="69" spans="2:18" x14ac:dyDescent="0.2">
      <c r="B69" s="33" t="str">
        <f t="shared" si="4"/>
        <v>AB</v>
      </c>
      <c r="C69" s="32" t="str">
        <f t="shared" si="5"/>
        <v>3E</v>
      </c>
      <c r="D69" s="31" t="s">
        <v>42</v>
      </c>
      <c r="E69" s="31" t="str">
        <f>Swaps!L11</f>
        <v>obj_00733#0003</v>
      </c>
      <c r="F69" s="31" t="str">
        <f>_xll.qlRateHelperQuoteName(E69)</f>
        <v>EURAB3E3Y_Quote</v>
      </c>
      <c r="G69" s="30">
        <f>_xll.qlRateHelperQuoteValue($E69,Trigger)</f>
        <v>1.0400000000000001E-3</v>
      </c>
      <c r="H69" s="30">
        <f>_xll.qlSwapRateHelperSpread($E69,Trigger)</f>
        <v>0</v>
      </c>
      <c r="I69" s="29" t="b">
        <v>1</v>
      </c>
      <c r="J69" s="29">
        <v>50</v>
      </c>
      <c r="K69" s="29">
        <v>1</v>
      </c>
      <c r="L69" s="28">
        <f>_xll.qlRateHelperEarliestDate($E69,Trigger)</f>
        <v>42137</v>
      </c>
      <c r="M69" s="27">
        <f>_xll.qlRateHelperLatestDate($E69,Trigger)</f>
        <v>43234</v>
      </c>
      <c r="P69" s="166"/>
      <c r="Q69" s="34"/>
      <c r="R69" s="34"/>
    </row>
    <row r="70" spans="2:18" x14ac:dyDescent="0.2">
      <c r="B70" s="33" t="str">
        <f t="shared" si="4"/>
        <v>AB</v>
      </c>
      <c r="C70" s="32" t="str">
        <f t="shared" si="5"/>
        <v>3E</v>
      </c>
      <c r="D70" s="31" t="s">
        <v>41</v>
      </c>
      <c r="E70" s="31" t="str">
        <f>Swaps!L12</f>
        <v>obj_00738#0004</v>
      </c>
      <c r="F70" s="31" t="str">
        <f>_xll.qlRateHelperQuoteName(E70)</f>
        <v>EURAB3E4Y_Quote</v>
      </c>
      <c r="G70" s="30">
        <f>_xll.qlRateHelperQuoteValue($E70,Trigger)</f>
        <v>2E-3</v>
      </c>
      <c r="H70" s="30">
        <f>_xll.qlSwapRateHelperSpread($E70,Trigger)</f>
        <v>0</v>
      </c>
      <c r="I70" s="29" t="b">
        <v>1</v>
      </c>
      <c r="J70" s="29">
        <v>50</v>
      </c>
      <c r="K70" s="29">
        <v>1</v>
      </c>
      <c r="L70" s="28">
        <f>_xll.qlRateHelperEarliestDate($E70,Trigger)</f>
        <v>42137</v>
      </c>
      <c r="M70" s="27">
        <f>_xll.qlRateHelperLatestDate($E70,Trigger)</f>
        <v>43598</v>
      </c>
      <c r="P70" s="166"/>
      <c r="Q70" s="34"/>
      <c r="R70" s="34"/>
    </row>
    <row r="71" spans="2:18" x14ac:dyDescent="0.2">
      <c r="B71" s="33" t="str">
        <f t="shared" si="4"/>
        <v>AB</v>
      </c>
      <c r="C71" s="32" t="str">
        <f t="shared" si="5"/>
        <v>3E</v>
      </c>
      <c r="D71" s="31" t="s">
        <v>40</v>
      </c>
      <c r="E71" s="31" t="str">
        <f>Swaps!L13</f>
        <v>obj_0070e#0004</v>
      </c>
      <c r="F71" s="31" t="str">
        <f>_xll.qlRateHelperQuoteName(E71)</f>
        <v>EURAB3E5Y_Quote</v>
      </c>
      <c r="G71" s="30">
        <f>_xll.qlRateHelperQuoteValue($E71,Trigger)</f>
        <v>3.0899999999999994E-3</v>
      </c>
      <c r="H71" s="30">
        <f>_xll.qlSwapRateHelperSpread($E71,Trigger)</f>
        <v>0</v>
      </c>
      <c r="I71" s="29" t="b">
        <v>1</v>
      </c>
      <c r="J71" s="29">
        <v>50</v>
      </c>
      <c r="K71" s="29">
        <v>1</v>
      </c>
      <c r="L71" s="28">
        <f>_xll.qlRateHelperEarliestDate($E71,Trigger)</f>
        <v>42137</v>
      </c>
      <c r="M71" s="27">
        <f>_xll.qlRateHelperLatestDate($E71,Trigger)</f>
        <v>43964</v>
      </c>
      <c r="P71" s="166"/>
      <c r="Q71" s="34"/>
      <c r="R71" s="34"/>
    </row>
    <row r="72" spans="2:18" x14ac:dyDescent="0.2">
      <c r="B72" s="33" t="str">
        <f t="shared" si="4"/>
        <v>AB</v>
      </c>
      <c r="C72" s="32" t="str">
        <f t="shared" si="5"/>
        <v>3E</v>
      </c>
      <c r="D72" s="31" t="s">
        <v>39</v>
      </c>
      <c r="E72" s="31" t="str">
        <f>Swaps!L14</f>
        <v>obj_0073f#0004</v>
      </c>
      <c r="F72" s="31" t="str">
        <f>_xll.qlRateHelperQuoteName(E72)</f>
        <v>EURAB3E6Y_Quote</v>
      </c>
      <c r="G72" s="30">
        <f>_xll.qlRateHelperQuoteValue($E72,Trigger)</f>
        <v>4.2199999999999989E-3</v>
      </c>
      <c r="H72" s="30">
        <f>_xll.qlSwapRateHelperSpread($E72,Trigger)</f>
        <v>0</v>
      </c>
      <c r="I72" s="29" t="b">
        <v>1</v>
      </c>
      <c r="J72" s="29">
        <v>50</v>
      </c>
      <c r="K72" s="29">
        <v>1</v>
      </c>
      <c r="L72" s="28">
        <f>_xll.qlRateHelperEarliestDate($E72,Trigger)</f>
        <v>42137</v>
      </c>
      <c r="M72" s="27">
        <f>_xll.qlRateHelperLatestDate($E72,Trigger)</f>
        <v>44329</v>
      </c>
      <c r="P72" s="166"/>
      <c r="Q72" s="34"/>
      <c r="R72" s="34"/>
    </row>
    <row r="73" spans="2:18" x14ac:dyDescent="0.2">
      <c r="B73" s="33" t="str">
        <f t="shared" si="4"/>
        <v>AB</v>
      </c>
      <c r="C73" s="32" t="str">
        <f t="shared" si="5"/>
        <v>3E</v>
      </c>
      <c r="D73" s="31" t="s">
        <v>38</v>
      </c>
      <c r="E73" s="31" t="str">
        <f>Swaps!L15</f>
        <v>obj_00732#0003</v>
      </c>
      <c r="F73" s="31" t="str">
        <f>_xll.qlRateHelperQuoteName(E73)</f>
        <v>EURAB3E7Y_Quote</v>
      </c>
      <c r="G73" s="30">
        <f>_xll.qlRateHelperQuoteValue($E73,Trigger)</f>
        <v>5.3499999999999989E-3</v>
      </c>
      <c r="H73" s="30">
        <f>_xll.qlSwapRateHelperSpread($E73,Trigger)</f>
        <v>0</v>
      </c>
      <c r="I73" s="29" t="b">
        <v>1</v>
      </c>
      <c r="J73" s="29">
        <v>50</v>
      </c>
      <c r="K73" s="29">
        <v>1</v>
      </c>
      <c r="L73" s="28">
        <f>_xll.qlRateHelperEarliestDate($E73,Trigger)</f>
        <v>42137</v>
      </c>
      <c r="M73" s="27">
        <f>_xll.qlRateHelperLatestDate($E73,Trigger)</f>
        <v>44694</v>
      </c>
      <c r="P73" s="166"/>
      <c r="Q73" s="34"/>
      <c r="R73" s="34"/>
    </row>
    <row r="74" spans="2:18" x14ac:dyDescent="0.2">
      <c r="B74" s="33" t="str">
        <f t="shared" si="4"/>
        <v>AB</v>
      </c>
      <c r="C74" s="32" t="str">
        <f t="shared" si="5"/>
        <v>3E</v>
      </c>
      <c r="D74" s="31" t="s">
        <v>37</v>
      </c>
      <c r="E74" s="31" t="str">
        <f>Swaps!L16</f>
        <v>obj_0073d#0003</v>
      </c>
      <c r="F74" s="31" t="str">
        <f>_xll.qlRateHelperQuoteName(E74)</f>
        <v>EURAB3E8Y_Quote</v>
      </c>
      <c r="G74" s="30">
        <f>_xll.qlRateHelperQuoteValue($E74,Trigger)</f>
        <v>6.4000000000000003E-3</v>
      </c>
      <c r="H74" s="30">
        <f>_xll.qlSwapRateHelperSpread($E74,Trigger)</f>
        <v>0</v>
      </c>
      <c r="I74" s="29" t="b">
        <v>1</v>
      </c>
      <c r="J74" s="29">
        <v>50</v>
      </c>
      <c r="K74" s="29">
        <v>1</v>
      </c>
      <c r="L74" s="28">
        <f>_xll.qlRateHelperEarliestDate($E74,Trigger)</f>
        <v>42137</v>
      </c>
      <c r="M74" s="27">
        <f>_xll.qlRateHelperLatestDate($E74,Trigger)</f>
        <v>45061</v>
      </c>
      <c r="P74" s="166"/>
      <c r="Q74" s="34"/>
      <c r="R74" s="34"/>
    </row>
    <row r="75" spans="2:18" x14ac:dyDescent="0.2">
      <c r="B75" s="33" t="str">
        <f t="shared" si="4"/>
        <v>AB</v>
      </c>
      <c r="C75" s="32" t="str">
        <f t="shared" si="5"/>
        <v>3E</v>
      </c>
      <c r="D75" s="31" t="s">
        <v>36</v>
      </c>
      <c r="E75" s="31" t="str">
        <f>Swaps!L17</f>
        <v>obj_00723#0003</v>
      </c>
      <c r="F75" s="31" t="str">
        <f>_xll.qlRateHelperQuoteName(E75)</f>
        <v>EURAB3E9Y_Quote</v>
      </c>
      <c r="G75" s="30">
        <f>_xll.qlRateHelperQuoteValue($E75,Trigger)</f>
        <v>7.3299999999999997E-3</v>
      </c>
      <c r="H75" s="30">
        <f>_xll.qlSwapRateHelperSpread($E75,Trigger)</f>
        <v>0</v>
      </c>
      <c r="I75" s="29" t="b">
        <v>1</v>
      </c>
      <c r="J75" s="29">
        <v>50</v>
      </c>
      <c r="K75" s="29">
        <v>1</v>
      </c>
      <c r="L75" s="28">
        <f>_xll.qlRateHelperEarliestDate($E75,Trigger)</f>
        <v>42137</v>
      </c>
      <c r="M75" s="27">
        <f>_xll.qlRateHelperLatestDate($E75,Trigger)</f>
        <v>45425</v>
      </c>
      <c r="P75" s="166"/>
      <c r="Q75" s="34"/>
      <c r="R75" s="34"/>
    </row>
    <row r="76" spans="2:18" x14ac:dyDescent="0.2">
      <c r="B76" s="33" t="str">
        <f t="shared" si="4"/>
        <v>AB</v>
      </c>
      <c r="C76" s="32" t="str">
        <f t="shared" si="5"/>
        <v>3E</v>
      </c>
      <c r="D76" s="31" t="s">
        <v>35</v>
      </c>
      <c r="E76" s="31" t="str">
        <f>Swaps!L18</f>
        <v>obj_00712#0003</v>
      </c>
      <c r="F76" s="31" t="str">
        <f>_xll.qlRateHelperQuoteName(E76)</f>
        <v>EURAB3E10Y_Quote</v>
      </c>
      <c r="G76" s="30">
        <f>_xll.qlRateHelperQuoteValue($E76,Trigger)</f>
        <v>8.1099999999999992E-3</v>
      </c>
      <c r="H76" s="30">
        <f>_xll.qlSwapRateHelperSpread($E76,Trigger)</f>
        <v>0</v>
      </c>
      <c r="I76" s="29" t="b">
        <v>1</v>
      </c>
      <c r="J76" s="29">
        <v>50</v>
      </c>
      <c r="K76" s="29">
        <v>1</v>
      </c>
      <c r="L76" s="28">
        <f>_xll.qlRateHelperEarliestDate($E76,Trigger)</f>
        <v>42137</v>
      </c>
      <c r="M76" s="27">
        <f>_xll.qlRateHelperLatestDate($E76,Trigger)</f>
        <v>45790</v>
      </c>
      <c r="P76" s="166"/>
      <c r="Q76" s="34"/>
      <c r="R76" s="34"/>
    </row>
    <row r="77" spans="2:18" x14ac:dyDescent="0.2">
      <c r="B77" s="33" t="str">
        <f t="shared" si="4"/>
        <v>AB</v>
      </c>
      <c r="C77" s="32" t="str">
        <f t="shared" si="5"/>
        <v>3E</v>
      </c>
      <c r="D77" s="31" t="s">
        <v>34</v>
      </c>
      <c r="E77" s="31" t="str">
        <f>Swaps!L19</f>
        <v>obj_0072f#0003</v>
      </c>
      <c r="F77" s="31" t="str">
        <f>_xll.qlRateHelperQuoteName(E77)</f>
        <v>EURAB3E11Y_Quote</v>
      </c>
      <c r="G77" s="30">
        <f>_xll.qlRateHelperQuoteValue($E77,Trigger)</f>
        <v>8.8100000000000001E-3</v>
      </c>
      <c r="H77" s="30">
        <f>_xll.qlSwapRateHelperSpread($E77,Trigger)</f>
        <v>0</v>
      </c>
      <c r="I77" s="29" t="b">
        <v>0</v>
      </c>
      <c r="J77" s="29">
        <v>50</v>
      </c>
      <c r="K77" s="29">
        <v>1</v>
      </c>
      <c r="L77" s="28">
        <f>_xll.qlRateHelperEarliestDate($E77,Trigger)</f>
        <v>42137</v>
      </c>
      <c r="M77" s="27">
        <f>_xll.qlRateHelperLatestDate($E77,Trigger)</f>
        <v>46155</v>
      </c>
      <c r="P77" s="166"/>
      <c r="Q77" s="34"/>
      <c r="R77" s="34"/>
    </row>
    <row r="78" spans="2:18" x14ac:dyDescent="0.2">
      <c r="B78" s="33" t="str">
        <f t="shared" si="4"/>
        <v>AB</v>
      </c>
      <c r="C78" s="32" t="str">
        <f t="shared" si="5"/>
        <v>3E</v>
      </c>
      <c r="D78" s="31" t="s">
        <v>33</v>
      </c>
      <c r="E78" s="31" t="str">
        <f>Swaps!L20</f>
        <v>obj_00727#0003</v>
      </c>
      <c r="F78" s="31" t="str">
        <f>_xll.qlRateHelperQuoteName(E78)</f>
        <v>EURAB3E12Y_Quote</v>
      </c>
      <c r="G78" s="30">
        <f>_xll.qlRateHelperQuoteValue($E78,Trigger)</f>
        <v>9.4399999999999987E-3</v>
      </c>
      <c r="H78" s="30">
        <f>_xll.qlSwapRateHelperSpread($E78,Trigger)</f>
        <v>0</v>
      </c>
      <c r="I78" s="29" t="b">
        <v>1</v>
      </c>
      <c r="J78" s="29">
        <v>50</v>
      </c>
      <c r="K78" s="29">
        <v>1</v>
      </c>
      <c r="L78" s="28">
        <f>_xll.qlRateHelperEarliestDate($E78,Trigger)</f>
        <v>42137</v>
      </c>
      <c r="M78" s="27">
        <f>_xll.qlRateHelperLatestDate($E78,Trigger)</f>
        <v>46520</v>
      </c>
      <c r="P78" s="166"/>
      <c r="Q78" s="34"/>
      <c r="R78" s="34"/>
    </row>
    <row r="79" spans="2:18" x14ac:dyDescent="0.2">
      <c r="B79" s="33" t="str">
        <f t="shared" si="4"/>
        <v>AB</v>
      </c>
      <c r="C79" s="32" t="str">
        <f t="shared" si="5"/>
        <v>3E</v>
      </c>
      <c r="D79" s="31" t="s">
        <v>32</v>
      </c>
      <c r="E79" s="31" t="str">
        <f>Swaps!L21</f>
        <v>obj_00702#0004</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42137</v>
      </c>
      <c r="M79" s="27">
        <f>_xll.qlRateHelperLatestDate($E79,Trigger)</f>
        <v>46888</v>
      </c>
      <c r="P79" s="166"/>
      <c r="Q79" s="34"/>
      <c r="R79" s="34"/>
    </row>
    <row r="80" spans="2:18" x14ac:dyDescent="0.2">
      <c r="B80" s="33" t="str">
        <f t="shared" si="4"/>
        <v>AB</v>
      </c>
      <c r="C80" s="32" t="str">
        <f t="shared" si="5"/>
        <v>3E</v>
      </c>
      <c r="D80" s="31" t="s">
        <v>31</v>
      </c>
      <c r="E80" s="31" t="str">
        <f>Swaps!L22</f>
        <v>obj_00729#0003</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42137</v>
      </c>
      <c r="M80" s="27">
        <f>_xll.qlRateHelperLatestDate($E80,Trigger)</f>
        <v>47252</v>
      </c>
      <c r="P80" s="166"/>
      <c r="Q80" s="34"/>
      <c r="R80" s="34"/>
    </row>
    <row r="81" spans="2:18" x14ac:dyDescent="0.2">
      <c r="B81" s="33" t="str">
        <f t="shared" si="4"/>
        <v>AB</v>
      </c>
      <c r="C81" s="32" t="str">
        <f t="shared" si="5"/>
        <v>3E</v>
      </c>
      <c r="D81" s="31" t="s">
        <v>30</v>
      </c>
      <c r="E81" s="31" t="str">
        <f>Swaps!L23</f>
        <v>obj_0070b#0004</v>
      </c>
      <c r="F81" s="31" t="str">
        <f>_xll.qlRateHelperQuoteName(E81)</f>
        <v>EURAB3E15Y_Quote</v>
      </c>
      <c r="G81" s="30">
        <f>_xll.qlRateHelperQuoteValue($E81,Trigger)</f>
        <v>1.081E-2</v>
      </c>
      <c r="H81" s="30">
        <f>_xll.qlSwapRateHelperSpread($E81,Trigger)</f>
        <v>0</v>
      </c>
      <c r="I81" s="29" t="b">
        <v>1</v>
      </c>
      <c r="J81" s="29">
        <v>50</v>
      </c>
      <c r="K81" s="29">
        <v>1</v>
      </c>
      <c r="L81" s="28">
        <f>_xll.qlRateHelperEarliestDate($E81,Trigger)</f>
        <v>42137</v>
      </c>
      <c r="M81" s="27">
        <f>_xll.qlRateHelperLatestDate($E81,Trigger)</f>
        <v>47616</v>
      </c>
      <c r="P81" s="166"/>
      <c r="Q81" s="34"/>
      <c r="R81" s="34"/>
    </row>
    <row r="82" spans="2:18" x14ac:dyDescent="0.2">
      <c r="B82" s="33" t="str">
        <f t="shared" si="4"/>
        <v>AB</v>
      </c>
      <c r="C82" s="32" t="str">
        <f t="shared" si="5"/>
        <v>3E</v>
      </c>
      <c r="D82" s="31" t="s">
        <v>29</v>
      </c>
      <c r="E82" s="31" t="str">
        <f>Swaps!L24</f>
        <v>obj_00737#0004</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42137</v>
      </c>
      <c r="M82" s="27">
        <f>_xll.qlRateHelperLatestDate($E82,Trigger)</f>
        <v>47981</v>
      </c>
      <c r="P82" s="166"/>
      <c r="Q82" s="34"/>
      <c r="R82" s="34"/>
    </row>
    <row r="83" spans="2:18" x14ac:dyDescent="0.2">
      <c r="B83" s="33" t="str">
        <f t="shared" si="4"/>
        <v>AB</v>
      </c>
      <c r="C83" s="32" t="str">
        <f t="shared" si="5"/>
        <v>3E</v>
      </c>
      <c r="D83" s="31" t="s">
        <v>28</v>
      </c>
      <c r="E83" s="31" t="str">
        <f>Swaps!L25</f>
        <v>obj_0073c#0003</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42137</v>
      </c>
      <c r="M83" s="27">
        <f>_xll.qlRateHelperLatestDate($E83,Trigger)</f>
        <v>48347</v>
      </c>
      <c r="P83" s="166"/>
      <c r="Q83" s="34"/>
      <c r="R83" s="34"/>
    </row>
    <row r="84" spans="2:18" x14ac:dyDescent="0.2">
      <c r="B84" s="33" t="str">
        <f t="shared" si="4"/>
        <v>AB</v>
      </c>
      <c r="C84" s="32" t="str">
        <f t="shared" si="5"/>
        <v>3E</v>
      </c>
      <c r="D84" s="31" t="s">
        <v>27</v>
      </c>
      <c r="E84" s="31" t="str">
        <f>Swaps!L26</f>
        <v>obj_0073b#0003</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42137</v>
      </c>
      <c r="M84" s="27">
        <f>_xll.qlRateHelperLatestDate($E84,Trigger)</f>
        <v>48712</v>
      </c>
      <c r="P84" s="166"/>
      <c r="Q84" s="34"/>
      <c r="R84" s="34"/>
    </row>
    <row r="85" spans="2:18" x14ac:dyDescent="0.2">
      <c r="B85" s="33" t="str">
        <f t="shared" si="4"/>
        <v>AB</v>
      </c>
      <c r="C85" s="32" t="str">
        <f t="shared" si="5"/>
        <v>3E</v>
      </c>
      <c r="D85" s="31" t="s">
        <v>26</v>
      </c>
      <c r="E85" s="31" t="str">
        <f>Swaps!L27</f>
        <v>obj_0072c#0004</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42137</v>
      </c>
      <c r="M85" s="27">
        <f>_xll.qlRateHelperLatestDate($E85,Trigger)</f>
        <v>49079</v>
      </c>
      <c r="P85" s="166"/>
      <c r="Q85" s="34"/>
      <c r="R85" s="34"/>
    </row>
    <row r="86" spans="2:18" x14ac:dyDescent="0.2">
      <c r="B86" s="33" t="str">
        <f t="shared" si="4"/>
        <v>AB</v>
      </c>
      <c r="C86" s="32" t="str">
        <f t="shared" si="5"/>
        <v>3E</v>
      </c>
      <c r="D86" s="31" t="s">
        <v>25</v>
      </c>
      <c r="E86" s="31" t="str">
        <f>Swaps!L28</f>
        <v>obj_00724#0003</v>
      </c>
      <c r="F86" s="31" t="str">
        <f>_xll.qlRateHelperQuoteName(E86)</f>
        <v>EURAB3E20Y_Quote</v>
      </c>
      <c r="G86" s="30">
        <f>_xll.qlRateHelperQuoteValue($E86,Trigger)</f>
        <v>1.1970000000000001E-2</v>
      </c>
      <c r="H86" s="30">
        <f>_xll.qlSwapRateHelperSpread($E86,Trigger)</f>
        <v>0</v>
      </c>
      <c r="I86" s="29" t="b">
        <v>1</v>
      </c>
      <c r="J86" s="29">
        <v>50</v>
      </c>
      <c r="K86" s="29">
        <v>1</v>
      </c>
      <c r="L86" s="28">
        <f>_xll.qlRateHelperEarliestDate($E86,Trigger)</f>
        <v>42137</v>
      </c>
      <c r="M86" s="27">
        <f>_xll.qlRateHelperLatestDate($E86,Trigger)</f>
        <v>49443</v>
      </c>
      <c r="P86" s="166"/>
      <c r="Q86" s="34"/>
      <c r="R86" s="34"/>
    </row>
    <row r="87" spans="2:18" x14ac:dyDescent="0.2">
      <c r="B87" s="33" t="str">
        <f t="shared" si="4"/>
        <v>AB</v>
      </c>
      <c r="C87" s="32" t="str">
        <f t="shared" si="5"/>
        <v>3E</v>
      </c>
      <c r="D87" s="31" t="s">
        <v>24</v>
      </c>
      <c r="E87" s="31" t="str">
        <f>Swaps!L29</f>
        <v>obj_0072b#0003</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42137</v>
      </c>
      <c r="M87" s="27">
        <f>_xll.qlRateHelperLatestDate($E87,Trigger)</f>
        <v>49808</v>
      </c>
      <c r="P87" s="166"/>
      <c r="Q87" s="34"/>
      <c r="R87" s="34"/>
    </row>
    <row r="88" spans="2:18" x14ac:dyDescent="0.2">
      <c r="B88" s="33" t="str">
        <f t="shared" si="4"/>
        <v>AB</v>
      </c>
      <c r="C88" s="32" t="str">
        <f t="shared" si="5"/>
        <v>3E</v>
      </c>
      <c r="D88" s="31" t="s">
        <v>23</v>
      </c>
      <c r="E88" s="31" t="str">
        <f>Swaps!L30</f>
        <v>obj_00703#0004</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42137</v>
      </c>
      <c r="M88" s="27">
        <f>_xll.qlRateHelperLatestDate($E88,Trigger)</f>
        <v>50173</v>
      </c>
      <c r="P88" s="166"/>
      <c r="Q88" s="34"/>
      <c r="R88" s="34"/>
    </row>
    <row r="89" spans="2:18" x14ac:dyDescent="0.2">
      <c r="B89" s="33" t="str">
        <f t="shared" si="4"/>
        <v>AB</v>
      </c>
      <c r="C89" s="32" t="str">
        <f t="shared" si="5"/>
        <v>3E</v>
      </c>
      <c r="D89" s="31" t="s">
        <v>22</v>
      </c>
      <c r="E89" s="31" t="str">
        <f>Swaps!L31</f>
        <v>obj_00728#0003</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42137</v>
      </c>
      <c r="M89" s="27">
        <f>_xll.qlRateHelperLatestDate($E89,Trigger)</f>
        <v>50538</v>
      </c>
      <c r="P89" s="166"/>
      <c r="Q89" s="34"/>
      <c r="R89" s="34"/>
    </row>
    <row r="90" spans="2:18" x14ac:dyDescent="0.2">
      <c r="B90" s="33" t="str">
        <f t="shared" si="4"/>
        <v>AB</v>
      </c>
      <c r="C90" s="32" t="str">
        <f t="shared" si="5"/>
        <v>3E</v>
      </c>
      <c r="D90" s="31" t="s">
        <v>21</v>
      </c>
      <c r="E90" s="31" t="str">
        <f>Swaps!L32</f>
        <v>obj_00731#0004</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42137</v>
      </c>
      <c r="M90" s="27">
        <f>_xll.qlRateHelperLatestDate($E90,Trigger)</f>
        <v>50903</v>
      </c>
      <c r="P90" s="166"/>
      <c r="Q90" s="34"/>
      <c r="R90" s="34"/>
    </row>
    <row r="91" spans="2:18" x14ac:dyDescent="0.2">
      <c r="B91" s="33" t="str">
        <f t="shared" si="4"/>
        <v>AB</v>
      </c>
      <c r="C91" s="32" t="str">
        <f t="shared" si="5"/>
        <v>3E</v>
      </c>
      <c r="D91" s="31" t="s">
        <v>20</v>
      </c>
      <c r="E91" s="31" t="str">
        <f>Swaps!L33</f>
        <v>obj_00736#0003</v>
      </c>
      <c r="F91" s="31" t="str">
        <f>_xll.qlRateHelperQuoteName(E91)</f>
        <v>EURAB3E25Y_Quote</v>
      </c>
      <c r="G91" s="30">
        <f>_xll.qlRateHelperQuoteValue($E91,Trigger)</f>
        <v>1.2370000000000001E-2</v>
      </c>
      <c r="H91" s="30">
        <f>_xll.qlSwapRateHelperSpread($E91,Trigger)</f>
        <v>0</v>
      </c>
      <c r="I91" s="29" t="b">
        <v>1</v>
      </c>
      <c r="J91" s="29">
        <v>50</v>
      </c>
      <c r="K91" s="29">
        <v>1</v>
      </c>
      <c r="L91" s="28">
        <f>_xll.qlRateHelperEarliestDate($E91,Trigger)</f>
        <v>42137</v>
      </c>
      <c r="M91" s="27">
        <f>_xll.qlRateHelperLatestDate($E91,Trigger)</f>
        <v>51270</v>
      </c>
      <c r="P91" s="166"/>
      <c r="Q91" s="34"/>
      <c r="R91" s="34"/>
    </row>
    <row r="92" spans="2:18" x14ac:dyDescent="0.2">
      <c r="B92" s="33" t="str">
        <f t="shared" si="4"/>
        <v>AB</v>
      </c>
      <c r="C92" s="32" t="str">
        <f t="shared" si="5"/>
        <v>3E</v>
      </c>
      <c r="D92" s="31" t="s">
        <v>19</v>
      </c>
      <c r="E92" s="31" t="str">
        <f>Swaps!L34</f>
        <v>obj_00735#0003</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42137</v>
      </c>
      <c r="M92" s="27">
        <f>_xll.qlRateHelperLatestDate($E92,Trigger)</f>
        <v>51634</v>
      </c>
      <c r="P92" s="166"/>
      <c r="Q92" s="34"/>
      <c r="R92" s="34"/>
    </row>
    <row r="93" spans="2:18" x14ac:dyDescent="0.2">
      <c r="B93" s="33" t="str">
        <f t="shared" si="4"/>
        <v>AB</v>
      </c>
      <c r="C93" s="32" t="str">
        <f t="shared" si="5"/>
        <v>3E</v>
      </c>
      <c r="D93" s="31" t="s">
        <v>18</v>
      </c>
      <c r="E93" s="31" t="str">
        <f>Swaps!L35</f>
        <v>obj_00706#0003</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42137</v>
      </c>
      <c r="M93" s="27">
        <f>_xll.qlRateHelperLatestDate($E93,Trigger)</f>
        <v>51999</v>
      </c>
      <c r="P93" s="166"/>
      <c r="Q93" s="34"/>
      <c r="R93" s="34"/>
    </row>
    <row r="94" spans="2:18" x14ac:dyDescent="0.2">
      <c r="B94" s="33" t="str">
        <f t="shared" si="4"/>
        <v>AB</v>
      </c>
      <c r="C94" s="32" t="str">
        <f t="shared" si="5"/>
        <v>3E</v>
      </c>
      <c r="D94" s="31" t="s">
        <v>17</v>
      </c>
      <c r="E94" s="31" t="str">
        <f>Swaps!L36</f>
        <v>obj_0073e#0003</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42137</v>
      </c>
      <c r="M94" s="27">
        <f>_xll.qlRateHelperLatestDate($E94,Trigger)</f>
        <v>52364</v>
      </c>
      <c r="P94" s="166"/>
      <c r="Q94" s="34"/>
      <c r="R94" s="34"/>
    </row>
    <row r="95" spans="2:18" x14ac:dyDescent="0.2">
      <c r="B95" s="33" t="str">
        <f t="shared" si="4"/>
        <v>AB</v>
      </c>
      <c r="C95" s="32" t="str">
        <f t="shared" si="5"/>
        <v>3E</v>
      </c>
      <c r="D95" s="31" t="s">
        <v>16</v>
      </c>
      <c r="E95" s="31" t="str">
        <f>Swaps!L37</f>
        <v>obj_00720#0004</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42137</v>
      </c>
      <c r="M95" s="27">
        <f>_xll.qlRateHelperLatestDate($E95,Trigger)</f>
        <v>52730</v>
      </c>
      <c r="P95" s="166"/>
      <c r="Q95" s="34"/>
      <c r="R95" s="34"/>
    </row>
    <row r="96" spans="2:18" x14ac:dyDescent="0.2">
      <c r="B96" s="33" t="str">
        <f t="shared" ref="B96:B127" si="6">SwapFixedFreq</f>
        <v>AB</v>
      </c>
      <c r="C96" s="32" t="str">
        <f t="shared" si="5"/>
        <v>3E</v>
      </c>
      <c r="D96" s="31" t="s">
        <v>15</v>
      </c>
      <c r="E96" s="31" t="str">
        <f>Swaps!L38</f>
        <v>obj_00707#0004</v>
      </c>
      <c r="F96" s="31" t="str">
        <f>_xll.qlRateHelperQuoteName(E96)</f>
        <v>EURAB3E30Y_Quote</v>
      </c>
      <c r="G96" s="30">
        <f>_xll.qlRateHelperQuoteValue($E96,Trigger)</f>
        <v>1.2619999999999999E-2</v>
      </c>
      <c r="H96" s="30">
        <f>_xll.qlSwapRateHelperSpread($E96,Trigger)</f>
        <v>0</v>
      </c>
      <c r="I96" s="29" t="b">
        <v>1</v>
      </c>
      <c r="J96" s="29">
        <v>50</v>
      </c>
      <c r="K96" s="29">
        <v>1</v>
      </c>
      <c r="L96" s="28">
        <f>_xll.qlRateHelperEarliestDate($E96,Trigger)</f>
        <v>42137</v>
      </c>
      <c r="M96" s="27">
        <f>_xll.qlRateHelperLatestDate($E96,Trigger)</f>
        <v>53097</v>
      </c>
      <c r="P96" s="166"/>
      <c r="Q96" s="34"/>
      <c r="R96" s="34"/>
    </row>
    <row r="97" spans="2:18" x14ac:dyDescent="0.2">
      <c r="B97" s="33" t="str">
        <f t="shared" si="6"/>
        <v>AB</v>
      </c>
      <c r="C97" s="32" t="str">
        <f t="shared" si="5"/>
        <v>3E</v>
      </c>
      <c r="D97" s="31" t="s">
        <v>14</v>
      </c>
      <c r="E97" s="31" t="str">
        <f>Swaps!L39</f>
        <v>obj_00721#0004</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42137</v>
      </c>
      <c r="M97" s="27">
        <f>_xll.qlRateHelperLatestDate($E97,Trigger)</f>
        <v>54921</v>
      </c>
      <c r="P97" s="166"/>
      <c r="Q97" s="34"/>
      <c r="R97" s="34"/>
    </row>
    <row r="98" spans="2:18" x14ac:dyDescent="0.2">
      <c r="B98" s="33" t="str">
        <f t="shared" si="6"/>
        <v>AB</v>
      </c>
      <c r="C98" s="32" t="str">
        <f t="shared" si="5"/>
        <v>3E</v>
      </c>
      <c r="D98" s="31" t="s">
        <v>13</v>
      </c>
      <c r="E98" s="31" t="str">
        <f>Swaps!L40</f>
        <v>obj_0072e#0004</v>
      </c>
      <c r="F98" s="31" t="str">
        <f>_xll.qlRateHelperQuoteName(E98)</f>
        <v>EURAB3E40Y_Quote</v>
      </c>
      <c r="G98" s="30">
        <f>_xll.qlRateHelperQuoteValue($E98,Trigger)</f>
        <v>1.2770000000000002E-2</v>
      </c>
      <c r="H98" s="30">
        <f>_xll.qlSwapRateHelperSpread($E98,Trigger)</f>
        <v>0</v>
      </c>
      <c r="I98" s="29" t="b">
        <v>1</v>
      </c>
      <c r="J98" s="29">
        <v>50</v>
      </c>
      <c r="K98" s="29">
        <v>1</v>
      </c>
      <c r="L98" s="28">
        <f>_xll.qlRateHelperEarliestDate($E98,Trigger)</f>
        <v>42137</v>
      </c>
      <c r="M98" s="27">
        <f>_xll.qlRateHelperLatestDate($E98,Trigger)</f>
        <v>56747</v>
      </c>
      <c r="P98" s="166"/>
      <c r="Q98" s="34"/>
      <c r="R98" s="34"/>
    </row>
    <row r="99" spans="2:18" x14ac:dyDescent="0.2">
      <c r="B99" s="33" t="str">
        <f t="shared" si="6"/>
        <v>AB</v>
      </c>
      <c r="C99" s="32" t="str">
        <f t="shared" si="5"/>
        <v>3E</v>
      </c>
      <c r="D99" s="31" t="s">
        <v>12</v>
      </c>
      <c r="E99" s="31" t="str">
        <f>Swaps!L41</f>
        <v>obj_00722#0003</v>
      </c>
      <c r="F99" s="31" t="str">
        <f>_xll.qlRateHelperQuoteName(E99)</f>
        <v>EURAB3E50Y_Quote</v>
      </c>
      <c r="G99" s="30">
        <f>_xll.qlRateHelperQuoteValue($E99,Trigger)</f>
        <v>1.2370000000000001E-2</v>
      </c>
      <c r="H99" s="30">
        <f>_xll.qlSwapRateHelperSpread($E99,Trigger)</f>
        <v>0</v>
      </c>
      <c r="I99" s="29" t="b">
        <v>1</v>
      </c>
      <c r="J99" s="29">
        <v>50</v>
      </c>
      <c r="K99" s="29">
        <v>1</v>
      </c>
      <c r="L99" s="28">
        <f>_xll.qlRateHelperEarliestDate($E99,Trigger)</f>
        <v>42137</v>
      </c>
      <c r="M99" s="27">
        <f>_xll.qlRateHelperLatestDate($E99,Trigger)</f>
        <v>60400</v>
      </c>
      <c r="P99" s="166"/>
      <c r="Q99" s="34"/>
      <c r="R99" s="34"/>
    </row>
    <row r="100" spans="2:18" x14ac:dyDescent="0.2">
      <c r="B100" s="26" t="str">
        <f t="shared" si="6"/>
        <v>AB</v>
      </c>
      <c r="C100" s="25" t="str">
        <f t="shared" si="5"/>
        <v>3E</v>
      </c>
      <c r="D100" s="24" t="s">
        <v>11</v>
      </c>
      <c r="E100" s="24" t="str">
        <f>Swaps!L42</f>
        <v>obj_00730#0003</v>
      </c>
      <c r="F100" s="24" t="str">
        <f>_xll.qlRateHelperQuoteName(E100)</f>
        <v>EURAB3E60Y_Quote</v>
      </c>
      <c r="G100" s="23">
        <f>_xll.qlRateHelperQuoteValue($E100,Trigger)</f>
        <v>1.225E-2</v>
      </c>
      <c r="H100" s="23">
        <f>_xll.qlSwapRateHelperSpread($E100,Trigger)</f>
        <v>0</v>
      </c>
      <c r="I100" s="22" t="b">
        <v>1</v>
      </c>
      <c r="J100" s="22">
        <v>50</v>
      </c>
      <c r="K100" s="22">
        <v>1</v>
      </c>
      <c r="L100" s="21">
        <f>_xll.qlRateHelperEarliestDate($E100,Trigger)</f>
        <v>42137</v>
      </c>
      <c r="M100" s="20">
        <f>_xll.qlRateHelperLatestDate($E100,Trigger)</f>
        <v>64052</v>
      </c>
      <c r="P100" s="166"/>
      <c r="Q100" s="34"/>
      <c r="R100" s="34"/>
    </row>
    <row r="101" spans="2:18" x14ac:dyDescent="0.2">
      <c r="B101" s="33" t="str">
        <f t="shared" si="6"/>
        <v>AB</v>
      </c>
      <c r="C101" s="32" t="str">
        <f t="shared" ref="C101:C137" si="7">IborType&amp;"BASIS"</f>
        <v>3EBASIS</v>
      </c>
      <c r="D101" s="31" t="s">
        <v>47</v>
      </c>
      <c r="E101" s="31" t="str">
        <f>SwapsFromBasis!L6</f>
        <v>obj_0071b#0004</v>
      </c>
      <c r="F101" s="31" t="str">
        <f>_xll.qlRateHelperQuoteName(E101)</f>
        <v>EURAB3EBASIS1Y_Quote</v>
      </c>
      <c r="G101" s="30">
        <f>_xll.qlRateHelperQuoteValue($E101,Trigger)</f>
        <v>-5.0000000000000023E-5</v>
      </c>
      <c r="H101" s="30">
        <f>_xll.qlSwapRateHelperSpread($E101,Trigger)</f>
        <v>0</v>
      </c>
      <c r="I101" s="29" t="b">
        <v>0</v>
      </c>
      <c r="J101" s="29">
        <v>40</v>
      </c>
      <c r="K101" s="29">
        <v>1</v>
      </c>
      <c r="L101" s="28">
        <f>_xll.qlRateHelperEarliestDate($E101,Trigger)</f>
        <v>42137</v>
      </c>
      <c r="M101" s="27">
        <f>_xll.qlRateHelperLatestDate($E101,Trigger)</f>
        <v>42503</v>
      </c>
      <c r="P101" s="166"/>
    </row>
    <row r="102" spans="2:18" x14ac:dyDescent="0.2">
      <c r="B102" s="33" t="str">
        <f t="shared" si="6"/>
        <v>AB</v>
      </c>
      <c r="C102" s="32" t="str">
        <f t="shared" si="7"/>
        <v>3EBASIS</v>
      </c>
      <c r="D102" s="31" t="s">
        <v>46</v>
      </c>
      <c r="E102" s="31" t="str">
        <f>SwapsFromBasis!L7</f>
        <v>obj_0071d#0004</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42137</v>
      </c>
      <c r="M102" s="27">
        <f>_xll.qlRateHelperLatestDate($E102,Trigger)</f>
        <v>42597</v>
      </c>
      <c r="P102" s="166"/>
    </row>
    <row r="103" spans="2:18" x14ac:dyDescent="0.2">
      <c r="B103" s="33" t="str">
        <f t="shared" si="6"/>
        <v>AB</v>
      </c>
      <c r="C103" s="32" t="str">
        <f t="shared" si="7"/>
        <v>3EBASIS</v>
      </c>
      <c r="D103" s="31" t="s">
        <v>45</v>
      </c>
      <c r="E103" s="31" t="str">
        <f>SwapsFromBasis!L8</f>
        <v>obj_00714#0004</v>
      </c>
      <c r="F103" s="31" t="str">
        <f>_xll.qlRateHelperQuoteName(E103)</f>
        <v>EURAB3EBASIS18M_Quote</v>
      </c>
      <c r="G103" s="30">
        <f>_xll.qlRateHelperQuoteValue($E103,Trigger)</f>
        <v>6.0000000000000157E-5</v>
      </c>
      <c r="H103" s="30">
        <f>_xll.qlSwapRateHelperSpread($E103,Trigger)</f>
        <v>0</v>
      </c>
      <c r="I103" s="29" t="b">
        <v>0</v>
      </c>
      <c r="J103" s="29">
        <v>40</v>
      </c>
      <c r="K103" s="29">
        <v>1</v>
      </c>
      <c r="L103" s="28">
        <f>_xll.qlRateHelperEarliestDate($E103,Trigger)</f>
        <v>42137</v>
      </c>
      <c r="M103" s="27">
        <f>_xll.qlRateHelperLatestDate($E103,Trigger)</f>
        <v>42688</v>
      </c>
      <c r="P103" s="166"/>
    </row>
    <row r="104" spans="2:18" x14ac:dyDescent="0.2">
      <c r="B104" s="33" t="str">
        <f t="shared" si="6"/>
        <v>AB</v>
      </c>
      <c r="C104" s="32" t="str">
        <f t="shared" si="7"/>
        <v>3EBASIS</v>
      </c>
      <c r="D104" s="31" t="s">
        <v>44</v>
      </c>
      <c r="E104" s="31" t="str">
        <f>SwapsFromBasis!L9</f>
        <v>obj_00718#0004</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42137</v>
      </c>
      <c r="M104" s="27">
        <f>_xll.qlRateHelperLatestDate($E104,Trigger)</f>
        <v>42779</v>
      </c>
      <c r="P104" s="166"/>
    </row>
    <row r="105" spans="2:18" x14ac:dyDescent="0.2">
      <c r="B105" s="33" t="str">
        <f t="shared" si="6"/>
        <v>AB</v>
      </c>
      <c r="C105" s="32" t="str">
        <f t="shared" si="7"/>
        <v>3EBASIS</v>
      </c>
      <c r="D105" s="31" t="s">
        <v>43</v>
      </c>
      <c r="E105" s="31" t="str">
        <f>SwapsFromBasis!L10</f>
        <v>obj_00717#0004</v>
      </c>
      <c r="F105" s="31" t="str">
        <f>_xll.qlRateHelperQuoteName(E105)</f>
        <v>EURAB3EBASIS2Y_Quote</v>
      </c>
      <c r="G105" s="30">
        <f>_xll.qlRateHelperQuoteValue($E105,Trigger)</f>
        <v>2.7999999999999987E-4</v>
      </c>
      <c r="H105" s="30">
        <f>_xll.qlSwapRateHelperSpread($E105,Trigger)</f>
        <v>0</v>
      </c>
      <c r="I105" s="29" t="b">
        <v>0</v>
      </c>
      <c r="J105" s="29">
        <v>40</v>
      </c>
      <c r="K105" s="29">
        <v>1</v>
      </c>
      <c r="L105" s="28">
        <f>_xll.qlRateHelperEarliestDate($E105,Trigger)</f>
        <v>42137</v>
      </c>
      <c r="M105" s="27">
        <f>_xll.qlRateHelperLatestDate($E105,Trigger)</f>
        <v>42870</v>
      </c>
      <c r="P105" s="166"/>
    </row>
    <row r="106" spans="2:18" x14ac:dyDescent="0.2">
      <c r="B106" s="33" t="str">
        <f t="shared" si="6"/>
        <v>AB</v>
      </c>
      <c r="C106" s="32" t="str">
        <f t="shared" si="7"/>
        <v>3EBASIS</v>
      </c>
      <c r="D106" s="31" t="s">
        <v>42</v>
      </c>
      <c r="E106" s="31" t="str">
        <f>SwapsFromBasis!L11</f>
        <v>obj_006ee#0004</v>
      </c>
      <c r="F106" s="31" t="str">
        <f>_xll.qlRateHelperQuoteName(E106)</f>
        <v>EURAB3EBASIS3Y_Quote</v>
      </c>
      <c r="G106" s="30">
        <f>_xll.qlRateHelperQuoteValue($E106,Trigger)</f>
        <v>1.0349999999999999E-3</v>
      </c>
      <c r="H106" s="30">
        <f>_xll.qlSwapRateHelperSpread($E106,Trigger)</f>
        <v>0</v>
      </c>
      <c r="I106" s="29" t="b">
        <v>0</v>
      </c>
      <c r="J106" s="29">
        <v>40</v>
      </c>
      <c r="K106" s="29">
        <v>1</v>
      </c>
      <c r="L106" s="28">
        <f>_xll.qlRateHelperEarliestDate($E106,Trigger)</f>
        <v>42137</v>
      </c>
      <c r="M106" s="27">
        <f>_xll.qlRateHelperLatestDate($E106,Trigger)</f>
        <v>43234</v>
      </c>
      <c r="P106" s="166"/>
    </row>
    <row r="107" spans="2:18" x14ac:dyDescent="0.2">
      <c r="B107" s="33" t="str">
        <f t="shared" si="6"/>
        <v>AB</v>
      </c>
      <c r="C107" s="32" t="str">
        <f t="shared" si="7"/>
        <v>3EBASIS</v>
      </c>
      <c r="D107" s="31" t="s">
        <v>41</v>
      </c>
      <c r="E107" s="31" t="str">
        <f>SwapsFromBasis!L12</f>
        <v>obj_006f8#0004</v>
      </c>
      <c r="F107" s="31" t="str">
        <f>_xll.qlRateHelperQuoteName(E107)</f>
        <v>EURAB3EBASIS4Y_Quote</v>
      </c>
      <c r="G107" s="30">
        <f>_xll.qlRateHelperQuoteValue($E107,Trigger)</f>
        <v>2.0000000000000005E-3</v>
      </c>
      <c r="H107" s="30">
        <f>_xll.qlSwapRateHelperSpread($E107,Trigger)</f>
        <v>0</v>
      </c>
      <c r="I107" s="29" t="b">
        <v>0</v>
      </c>
      <c r="J107" s="29">
        <v>40</v>
      </c>
      <c r="K107" s="29">
        <v>1</v>
      </c>
      <c r="L107" s="28">
        <f>_xll.qlRateHelperEarliestDate($E107,Trigger)</f>
        <v>42137</v>
      </c>
      <c r="M107" s="27">
        <f>_xll.qlRateHelperLatestDate($E107,Trigger)</f>
        <v>43598</v>
      </c>
      <c r="P107" s="166"/>
    </row>
    <row r="108" spans="2:18" x14ac:dyDescent="0.2">
      <c r="B108" s="33" t="str">
        <f t="shared" si="6"/>
        <v>AB</v>
      </c>
      <c r="C108" s="32" t="str">
        <f t="shared" si="7"/>
        <v>3EBASIS</v>
      </c>
      <c r="D108" s="31" t="s">
        <v>40</v>
      </c>
      <c r="E108" s="31" t="str">
        <f>SwapsFromBasis!L13</f>
        <v>obj_00716#0004</v>
      </c>
      <c r="F108" s="31" t="str">
        <f>_xll.qlRateHelperQuoteName(E108)</f>
        <v>EURAB3EBASIS5Y_Quote</v>
      </c>
      <c r="G108" s="30">
        <f>_xll.qlRateHelperQuoteValue($E108,Trigger)</f>
        <v>3.0899999999999999E-3</v>
      </c>
      <c r="H108" s="30">
        <f>_xll.qlSwapRateHelperSpread($E108,Trigger)</f>
        <v>0</v>
      </c>
      <c r="I108" s="29" t="b">
        <v>0</v>
      </c>
      <c r="J108" s="29">
        <v>40</v>
      </c>
      <c r="K108" s="29">
        <v>1</v>
      </c>
      <c r="L108" s="28">
        <f>_xll.qlRateHelperEarliestDate($E108,Trigger)</f>
        <v>42137</v>
      </c>
      <c r="M108" s="27">
        <f>_xll.qlRateHelperLatestDate($E108,Trigger)</f>
        <v>43964</v>
      </c>
      <c r="P108" s="166"/>
    </row>
    <row r="109" spans="2:18" x14ac:dyDescent="0.2">
      <c r="B109" s="33" t="str">
        <f t="shared" si="6"/>
        <v>AB</v>
      </c>
      <c r="C109" s="32" t="str">
        <f t="shared" si="7"/>
        <v>3EBASIS</v>
      </c>
      <c r="D109" s="31" t="s">
        <v>39</v>
      </c>
      <c r="E109" s="31" t="str">
        <f>SwapsFromBasis!L14</f>
        <v>obj_006ef#0004</v>
      </c>
      <c r="F109" s="31" t="str">
        <f>_xll.qlRateHelperQuoteName(E109)</f>
        <v>EURAB3EBASIS6Y_Quote</v>
      </c>
      <c r="G109" s="30">
        <f>_xll.qlRateHelperQuoteValue($E109,Trigger)</f>
        <v>4.215E-3</v>
      </c>
      <c r="H109" s="30">
        <f>_xll.qlSwapRateHelperSpread($E109,Trigger)</f>
        <v>0</v>
      </c>
      <c r="I109" s="29" t="b">
        <v>0</v>
      </c>
      <c r="J109" s="29">
        <v>40</v>
      </c>
      <c r="K109" s="29">
        <v>1</v>
      </c>
      <c r="L109" s="28">
        <f>_xll.qlRateHelperEarliestDate($E109,Trigger)</f>
        <v>42137</v>
      </c>
      <c r="M109" s="27">
        <f>_xll.qlRateHelperLatestDate($E109,Trigger)</f>
        <v>44329</v>
      </c>
      <c r="P109" s="166"/>
    </row>
    <row r="110" spans="2:18" x14ac:dyDescent="0.2">
      <c r="B110" s="33" t="str">
        <f t="shared" si="6"/>
        <v>AB</v>
      </c>
      <c r="C110" s="32" t="str">
        <f t="shared" si="7"/>
        <v>3EBASIS</v>
      </c>
      <c r="D110" s="31" t="s">
        <v>38</v>
      </c>
      <c r="E110" s="31" t="str">
        <f>SwapsFromBasis!L15</f>
        <v>obj_006f9#0004</v>
      </c>
      <c r="F110" s="31" t="str">
        <f>_xll.qlRateHelperQuoteName(E110)</f>
        <v>EURAB3EBASIS7Y_Quote</v>
      </c>
      <c r="G110" s="30">
        <f>_xll.qlRateHelperQuoteValue($E110,Trigger)</f>
        <v>5.3500000000000015E-3</v>
      </c>
      <c r="H110" s="30">
        <f>_xll.qlSwapRateHelperSpread($E110,Trigger)</f>
        <v>0</v>
      </c>
      <c r="I110" s="29" t="b">
        <v>0</v>
      </c>
      <c r="J110" s="29">
        <v>40</v>
      </c>
      <c r="K110" s="29">
        <v>1</v>
      </c>
      <c r="L110" s="28">
        <f>_xll.qlRateHelperEarliestDate($E110,Trigger)</f>
        <v>42137</v>
      </c>
      <c r="M110" s="27">
        <f>_xll.qlRateHelperLatestDate($E110,Trigger)</f>
        <v>44694</v>
      </c>
      <c r="P110" s="166"/>
    </row>
    <row r="111" spans="2:18" x14ac:dyDescent="0.2">
      <c r="B111" s="33" t="str">
        <f t="shared" si="6"/>
        <v>AB</v>
      </c>
      <c r="C111" s="32" t="str">
        <f t="shared" si="7"/>
        <v>3EBASIS</v>
      </c>
      <c r="D111" s="31" t="s">
        <v>37</v>
      </c>
      <c r="E111" s="31" t="str">
        <f>SwapsFromBasis!L16</f>
        <v>obj_006fd#0004</v>
      </c>
      <c r="F111" s="31" t="str">
        <f>_xll.qlRateHelperQuoteName(E111)</f>
        <v>EURAB3EBASIS8Y_Quote</v>
      </c>
      <c r="G111" s="30">
        <f>_xll.qlRateHelperQuoteValue($E111,Trigger)</f>
        <v>6.3999999999999994E-3</v>
      </c>
      <c r="H111" s="30">
        <f>_xll.qlSwapRateHelperSpread($E111,Trigger)</f>
        <v>0</v>
      </c>
      <c r="I111" s="29" t="b">
        <v>0</v>
      </c>
      <c r="J111" s="29">
        <v>40</v>
      </c>
      <c r="K111" s="29">
        <v>1</v>
      </c>
      <c r="L111" s="28">
        <f>_xll.qlRateHelperEarliestDate($E111,Trigger)</f>
        <v>42137</v>
      </c>
      <c r="M111" s="27">
        <f>_xll.qlRateHelperLatestDate($E111,Trigger)</f>
        <v>45061</v>
      </c>
      <c r="P111" s="166"/>
    </row>
    <row r="112" spans="2:18" x14ac:dyDescent="0.2">
      <c r="B112" s="33" t="str">
        <f t="shared" si="6"/>
        <v>AB</v>
      </c>
      <c r="C112" s="32" t="str">
        <f t="shared" si="7"/>
        <v>3EBASIS</v>
      </c>
      <c r="D112" s="31" t="s">
        <v>36</v>
      </c>
      <c r="E112" s="31" t="str">
        <f>SwapsFromBasis!L17</f>
        <v>obj_006fa#0004</v>
      </c>
      <c r="F112" s="31" t="str">
        <f>_xll.qlRateHelperQuoteName(E112)</f>
        <v>EURAB3EBASIS9Y_Quote</v>
      </c>
      <c r="G112" s="30">
        <f>_xll.qlRateHelperQuoteValue($E112,Trigger)</f>
        <v>7.3299999999999997E-3</v>
      </c>
      <c r="H112" s="30">
        <f>_xll.qlSwapRateHelperSpread($E112,Trigger)</f>
        <v>0</v>
      </c>
      <c r="I112" s="29" t="b">
        <v>0</v>
      </c>
      <c r="J112" s="29">
        <v>40</v>
      </c>
      <c r="K112" s="29">
        <v>1</v>
      </c>
      <c r="L112" s="28">
        <f>_xll.qlRateHelperEarliestDate($E112,Trigger)</f>
        <v>42137</v>
      </c>
      <c r="M112" s="27">
        <f>_xll.qlRateHelperLatestDate($E112,Trigger)</f>
        <v>45425</v>
      </c>
      <c r="P112" s="166"/>
    </row>
    <row r="113" spans="2:16" x14ac:dyDescent="0.2">
      <c r="B113" s="33" t="str">
        <f t="shared" si="6"/>
        <v>AB</v>
      </c>
      <c r="C113" s="32" t="str">
        <f t="shared" si="7"/>
        <v>3EBASIS</v>
      </c>
      <c r="D113" s="31" t="s">
        <v>35</v>
      </c>
      <c r="E113" s="31" t="str">
        <f>SwapsFromBasis!L18</f>
        <v>obj_00713#0004</v>
      </c>
      <c r="F113" s="31" t="str">
        <f>_xll.qlRateHelperQuoteName(E113)</f>
        <v>EURAB3EBASIS10Y_Quote</v>
      </c>
      <c r="G113" s="30">
        <f>_xll.qlRateHelperQuoteValue($E113,Trigger)</f>
        <v>8.1050000000000011E-3</v>
      </c>
      <c r="H113" s="30">
        <f>_xll.qlSwapRateHelperSpread($E113,Trigger)</f>
        <v>0</v>
      </c>
      <c r="I113" s="29" t="b">
        <v>0</v>
      </c>
      <c r="J113" s="29">
        <v>40</v>
      </c>
      <c r="K113" s="29">
        <v>1</v>
      </c>
      <c r="L113" s="28">
        <f>_xll.qlRateHelperEarliestDate($E113,Trigger)</f>
        <v>42137</v>
      </c>
      <c r="M113" s="27">
        <f>_xll.qlRateHelperLatestDate($E113,Trigger)</f>
        <v>45790</v>
      </c>
      <c r="P113" s="166"/>
    </row>
    <row r="114" spans="2:16" x14ac:dyDescent="0.2">
      <c r="B114" s="33" t="str">
        <f t="shared" si="6"/>
        <v>AB</v>
      </c>
      <c r="C114" s="32" t="str">
        <f t="shared" si="7"/>
        <v>3EBASIS</v>
      </c>
      <c r="D114" s="31" t="s">
        <v>34</v>
      </c>
      <c r="E114" s="31" t="str">
        <f>SwapsFromBasis!L19</f>
        <v>obj_006f2#0004</v>
      </c>
      <c r="F114" s="31" t="str">
        <f>_xll.qlRateHelperQuoteName(E114)</f>
        <v>EURAB3EBASIS11Y_Quote</v>
      </c>
      <c r="G114" s="30">
        <f>_xll.qlRateHelperQuoteValue($E114,Trigger)</f>
        <v>8.8050000000000003E-3</v>
      </c>
      <c r="H114" s="30">
        <f>_xll.qlSwapRateHelperSpread($E114,Trigger)</f>
        <v>0</v>
      </c>
      <c r="I114" s="29" t="b">
        <v>0</v>
      </c>
      <c r="J114" s="29">
        <v>40</v>
      </c>
      <c r="K114" s="29">
        <v>1</v>
      </c>
      <c r="L114" s="28">
        <f>_xll.qlRateHelperEarliestDate($E114,Trigger)</f>
        <v>42137</v>
      </c>
      <c r="M114" s="27">
        <f>_xll.qlRateHelperLatestDate($E114,Trigger)</f>
        <v>46155</v>
      </c>
      <c r="P114" s="166"/>
    </row>
    <row r="115" spans="2:16" x14ac:dyDescent="0.2">
      <c r="B115" s="33" t="str">
        <f t="shared" si="6"/>
        <v>AB</v>
      </c>
      <c r="C115" s="32" t="str">
        <f t="shared" si="7"/>
        <v>3EBASIS</v>
      </c>
      <c r="D115" s="31" t="s">
        <v>33</v>
      </c>
      <c r="E115" s="31" t="str">
        <f>SwapsFromBasis!L20</f>
        <v>obj_0070d#0004</v>
      </c>
      <c r="F115" s="31" t="str">
        <f>_xll.qlRateHelperQuoteName(E115)</f>
        <v>EURAB3EBASIS12Y_Quote</v>
      </c>
      <c r="G115" s="30">
        <f>_xll.qlRateHelperQuoteValue($E115,Trigger)</f>
        <v>9.4349999999999989E-3</v>
      </c>
      <c r="H115" s="30">
        <f>_xll.qlSwapRateHelperSpread($E115,Trigger)</f>
        <v>0</v>
      </c>
      <c r="I115" s="29" t="b">
        <v>0</v>
      </c>
      <c r="J115" s="29">
        <v>40</v>
      </c>
      <c r="K115" s="29">
        <v>1</v>
      </c>
      <c r="L115" s="28">
        <f>_xll.qlRateHelperEarliestDate($E115,Trigger)</f>
        <v>42137</v>
      </c>
      <c r="M115" s="27">
        <f>_xll.qlRateHelperLatestDate($E115,Trigger)</f>
        <v>46520</v>
      </c>
      <c r="P115" s="166"/>
    </row>
    <row r="116" spans="2:16" x14ac:dyDescent="0.2">
      <c r="B116" s="33" t="str">
        <f t="shared" si="6"/>
        <v>AB</v>
      </c>
      <c r="C116" s="32" t="str">
        <f t="shared" si="7"/>
        <v>3EBASIS</v>
      </c>
      <c r="D116" s="31" t="s">
        <v>32</v>
      </c>
      <c r="E116" s="31" t="str">
        <f>SwapsFromBasis!L21</f>
        <v>obj_00715#0004</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42137</v>
      </c>
      <c r="M116" s="27">
        <f>_xll.qlRateHelperLatestDate($E116,Trigger)</f>
        <v>46888</v>
      </c>
      <c r="P116" s="166"/>
    </row>
    <row r="117" spans="2:16" x14ac:dyDescent="0.2">
      <c r="B117" s="33" t="str">
        <f t="shared" si="6"/>
        <v>AB</v>
      </c>
      <c r="C117" s="32" t="str">
        <f t="shared" si="7"/>
        <v>3EBASIS</v>
      </c>
      <c r="D117" s="31" t="s">
        <v>31</v>
      </c>
      <c r="E117" s="31" t="str">
        <f>SwapsFromBasis!L22</f>
        <v>obj_0071e#0004</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42137</v>
      </c>
      <c r="M117" s="27">
        <f>_xll.qlRateHelperLatestDate($E117,Trigger)</f>
        <v>47252</v>
      </c>
      <c r="P117" s="166"/>
    </row>
    <row r="118" spans="2:16" x14ac:dyDescent="0.2">
      <c r="B118" s="33" t="str">
        <f t="shared" si="6"/>
        <v>AB</v>
      </c>
      <c r="C118" s="32" t="str">
        <f t="shared" si="7"/>
        <v>3EBASIS</v>
      </c>
      <c r="D118" s="31" t="s">
        <v>30</v>
      </c>
      <c r="E118" s="31" t="str">
        <f>SwapsFromBasis!L23</f>
        <v>obj_00719#0004</v>
      </c>
      <c r="F118" s="31" t="str">
        <f>_xll.qlRateHelperQuoteName(E118)</f>
        <v>EURAB3EBASIS15Y_Quote</v>
      </c>
      <c r="G118" s="30">
        <f>_xll.qlRateHelperQuoteValue($E118,Trigger)</f>
        <v>1.081E-2</v>
      </c>
      <c r="H118" s="30">
        <f>_xll.qlSwapRateHelperSpread($E118,Trigger)</f>
        <v>0</v>
      </c>
      <c r="I118" s="29" t="b">
        <v>0</v>
      </c>
      <c r="J118" s="29">
        <v>40</v>
      </c>
      <c r="K118" s="29">
        <v>1</v>
      </c>
      <c r="L118" s="28">
        <f>_xll.qlRateHelperEarliestDate($E118,Trigger)</f>
        <v>42137</v>
      </c>
      <c r="M118" s="27">
        <f>_xll.qlRateHelperLatestDate($E118,Trigger)</f>
        <v>47616</v>
      </c>
      <c r="P118" s="166"/>
    </row>
    <row r="119" spans="2:16" x14ac:dyDescent="0.2">
      <c r="B119" s="33" t="str">
        <f t="shared" si="6"/>
        <v>AB</v>
      </c>
      <c r="C119" s="32" t="str">
        <f t="shared" si="7"/>
        <v>3EBASIS</v>
      </c>
      <c r="D119" s="31" t="s">
        <v>29</v>
      </c>
      <c r="E119" s="31" t="str">
        <f>SwapsFromBasis!L24</f>
        <v>obj_006f0#0004</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42137</v>
      </c>
      <c r="M119" s="27">
        <f>_xll.qlRateHelperLatestDate($E119,Trigger)</f>
        <v>47981</v>
      </c>
      <c r="P119" s="166"/>
    </row>
    <row r="120" spans="2:16" x14ac:dyDescent="0.2">
      <c r="B120" s="33" t="str">
        <f t="shared" si="6"/>
        <v>AB</v>
      </c>
      <c r="C120" s="32" t="str">
        <f t="shared" si="7"/>
        <v>3EBASIS</v>
      </c>
      <c r="D120" s="31" t="s">
        <v>28</v>
      </c>
      <c r="E120" s="31" t="str">
        <f>SwapsFromBasis!L25</f>
        <v>obj_006fe#0004</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42137</v>
      </c>
      <c r="M120" s="27">
        <f>_xll.qlRateHelperLatestDate($E120,Trigger)</f>
        <v>48347</v>
      </c>
      <c r="P120" s="166"/>
    </row>
    <row r="121" spans="2:16" x14ac:dyDescent="0.2">
      <c r="B121" s="33" t="str">
        <f t="shared" si="6"/>
        <v>AB</v>
      </c>
      <c r="C121" s="32" t="str">
        <f t="shared" si="7"/>
        <v>3EBASIS</v>
      </c>
      <c r="D121" s="31" t="s">
        <v>27</v>
      </c>
      <c r="E121" s="31" t="str">
        <f>SwapsFromBasis!L26</f>
        <v>obj_006ff#0004</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42137</v>
      </c>
      <c r="M121" s="27">
        <f>_xll.qlRateHelperLatestDate($E121,Trigger)</f>
        <v>48712</v>
      </c>
      <c r="P121" s="166"/>
    </row>
    <row r="122" spans="2:16" x14ac:dyDescent="0.2">
      <c r="B122" s="33" t="str">
        <f t="shared" si="6"/>
        <v>AB</v>
      </c>
      <c r="C122" s="32" t="str">
        <f t="shared" si="7"/>
        <v>3EBASIS</v>
      </c>
      <c r="D122" s="31" t="s">
        <v>26</v>
      </c>
      <c r="E122" s="31" t="str">
        <f>SwapsFromBasis!L27</f>
        <v>obj_006f5#0004</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42137</v>
      </c>
      <c r="M122" s="27">
        <f>_xll.qlRateHelperLatestDate($E122,Trigger)</f>
        <v>49079</v>
      </c>
      <c r="P122" s="166"/>
    </row>
    <row r="123" spans="2:16" x14ac:dyDescent="0.2">
      <c r="B123" s="33" t="str">
        <f t="shared" si="6"/>
        <v>AB</v>
      </c>
      <c r="C123" s="32" t="str">
        <f t="shared" si="7"/>
        <v>3EBASIS</v>
      </c>
      <c r="D123" s="31" t="s">
        <v>25</v>
      </c>
      <c r="E123" s="31" t="str">
        <f>SwapsFromBasis!L28</f>
        <v>obj_0071f#0004</v>
      </c>
      <c r="F123" s="31" t="str">
        <f>_xll.qlRateHelperQuoteName(E123)</f>
        <v>EURAB3EBASIS20Y_Quote</v>
      </c>
      <c r="G123" s="30">
        <f>_xll.qlRateHelperQuoteValue($E123,Trigger)</f>
        <v>1.1965E-2</v>
      </c>
      <c r="H123" s="30">
        <f>_xll.qlSwapRateHelperSpread($E123,Trigger)</f>
        <v>0</v>
      </c>
      <c r="I123" s="29" t="b">
        <v>0</v>
      </c>
      <c r="J123" s="29">
        <v>40</v>
      </c>
      <c r="K123" s="29">
        <v>1</v>
      </c>
      <c r="L123" s="28">
        <f>_xll.qlRateHelperEarliestDate($E123,Trigger)</f>
        <v>42137</v>
      </c>
      <c r="M123" s="27">
        <f>_xll.qlRateHelperLatestDate($E123,Trigger)</f>
        <v>49443</v>
      </c>
      <c r="P123" s="166"/>
    </row>
    <row r="124" spans="2:16" x14ac:dyDescent="0.2">
      <c r="B124" s="33" t="str">
        <f t="shared" si="6"/>
        <v>AB</v>
      </c>
      <c r="C124" s="32" t="str">
        <f t="shared" si="7"/>
        <v>3EBASIS</v>
      </c>
      <c r="D124" s="31" t="s">
        <v>24</v>
      </c>
      <c r="E124" s="31" t="str">
        <f>SwapsFromBasis!L29</f>
        <v>obj_006f7#0004</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42137</v>
      </c>
      <c r="M124" s="27">
        <f>_xll.qlRateHelperLatestDate($E124,Trigger)</f>
        <v>49808</v>
      </c>
      <c r="P124" s="166"/>
    </row>
    <row r="125" spans="2:16" x14ac:dyDescent="0.2">
      <c r="B125" s="33" t="str">
        <f t="shared" si="6"/>
        <v>AB</v>
      </c>
      <c r="C125" s="32" t="str">
        <f t="shared" si="7"/>
        <v>3EBASIS</v>
      </c>
      <c r="D125" s="31" t="s">
        <v>23</v>
      </c>
      <c r="E125" s="31" t="str">
        <f>SwapsFromBasis!L30</f>
        <v>obj_006fb#0004</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42137</v>
      </c>
      <c r="M125" s="27">
        <f>_xll.qlRateHelperLatestDate($E125,Trigger)</f>
        <v>50173</v>
      </c>
      <c r="P125" s="166"/>
    </row>
    <row r="126" spans="2:16" x14ac:dyDescent="0.2">
      <c r="B126" s="33" t="str">
        <f t="shared" si="6"/>
        <v>AB</v>
      </c>
      <c r="C126" s="32" t="str">
        <f t="shared" si="7"/>
        <v>3EBASIS</v>
      </c>
      <c r="D126" s="31" t="s">
        <v>22</v>
      </c>
      <c r="E126" s="31" t="str">
        <f>SwapsFromBasis!L31</f>
        <v>obj_0071c#0004</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42137</v>
      </c>
      <c r="M126" s="27">
        <f>_xll.qlRateHelperLatestDate($E126,Trigger)</f>
        <v>50538</v>
      </c>
      <c r="P126" s="166"/>
    </row>
    <row r="127" spans="2:16" x14ac:dyDescent="0.2">
      <c r="B127" s="33" t="str">
        <f t="shared" si="6"/>
        <v>AB</v>
      </c>
      <c r="C127" s="32" t="str">
        <f t="shared" si="7"/>
        <v>3EBASIS</v>
      </c>
      <c r="D127" s="31" t="s">
        <v>21</v>
      </c>
      <c r="E127" s="31" t="str">
        <f>SwapsFromBasis!L32</f>
        <v>obj_006f3#0004</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42137</v>
      </c>
      <c r="M127" s="27">
        <f>_xll.qlRateHelperLatestDate($E127,Trigger)</f>
        <v>50903</v>
      </c>
      <c r="P127" s="166"/>
    </row>
    <row r="128" spans="2:16" x14ac:dyDescent="0.2">
      <c r="B128" s="33" t="str">
        <f t="shared" ref="B128:B137" si="8">SwapFixedFreq</f>
        <v>AB</v>
      </c>
      <c r="C128" s="32" t="str">
        <f t="shared" si="7"/>
        <v>3EBASIS</v>
      </c>
      <c r="D128" s="31" t="s">
        <v>20</v>
      </c>
      <c r="E128" s="31" t="str">
        <f>SwapsFromBasis!L33</f>
        <v>obj_006f1#0004</v>
      </c>
      <c r="F128" s="31" t="str">
        <f>_xll.qlRateHelperQuoteName(E128)</f>
        <v>EURAB3EBASIS25Y_Quote</v>
      </c>
      <c r="G128" s="30">
        <f>_xll.qlRateHelperQuoteValue($E128,Trigger)</f>
        <v>1.2370000000000003E-2</v>
      </c>
      <c r="H128" s="30">
        <f>_xll.qlSwapRateHelperSpread($E128,Trigger)</f>
        <v>0</v>
      </c>
      <c r="I128" s="29" t="b">
        <v>0</v>
      </c>
      <c r="J128" s="29">
        <v>40</v>
      </c>
      <c r="K128" s="29">
        <v>1</v>
      </c>
      <c r="L128" s="28">
        <f>_xll.qlRateHelperEarliestDate($E128,Trigger)</f>
        <v>42137</v>
      </c>
      <c r="M128" s="27">
        <f>_xll.qlRateHelperLatestDate($E128,Trigger)</f>
        <v>51270</v>
      </c>
      <c r="P128" s="166"/>
    </row>
    <row r="129" spans="2:16" x14ac:dyDescent="0.2">
      <c r="B129" s="33" t="str">
        <f t="shared" si="8"/>
        <v>AB</v>
      </c>
      <c r="C129" s="32" t="str">
        <f t="shared" si="7"/>
        <v>3EBASIS</v>
      </c>
      <c r="D129" s="31" t="s">
        <v>19</v>
      </c>
      <c r="E129" s="31" t="str">
        <f>SwapsFromBasis!L34</f>
        <v>obj_00701#0004</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42137</v>
      </c>
      <c r="M129" s="27">
        <f>_xll.qlRateHelperLatestDate($E129,Trigger)</f>
        <v>51634</v>
      </c>
      <c r="P129" s="166"/>
    </row>
    <row r="130" spans="2:16" x14ac:dyDescent="0.2">
      <c r="B130" s="33" t="str">
        <f t="shared" si="8"/>
        <v>AB</v>
      </c>
      <c r="C130" s="32" t="str">
        <f t="shared" si="7"/>
        <v>3EBASIS</v>
      </c>
      <c r="D130" s="31" t="s">
        <v>18</v>
      </c>
      <c r="E130" s="31" t="str">
        <f>SwapsFromBasis!L35</f>
        <v>obj_00711#0004</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42137</v>
      </c>
      <c r="M130" s="27">
        <f>_xll.qlRateHelperLatestDate($E130,Trigger)</f>
        <v>51999</v>
      </c>
      <c r="P130" s="166"/>
    </row>
    <row r="131" spans="2:16" x14ac:dyDescent="0.2">
      <c r="B131" s="33" t="str">
        <f t="shared" si="8"/>
        <v>AB</v>
      </c>
      <c r="C131" s="32" t="str">
        <f t="shared" si="7"/>
        <v>3EBASIS</v>
      </c>
      <c r="D131" s="31" t="s">
        <v>17</v>
      </c>
      <c r="E131" s="31" t="str">
        <f>SwapsFromBasis!L36</f>
        <v>obj_0071a#0004</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42137</v>
      </c>
      <c r="M131" s="27">
        <f>_xll.qlRateHelperLatestDate($E131,Trigger)</f>
        <v>52364</v>
      </c>
      <c r="P131" s="166"/>
    </row>
    <row r="132" spans="2:16" x14ac:dyDescent="0.2">
      <c r="B132" s="33" t="str">
        <f t="shared" si="8"/>
        <v>AB</v>
      </c>
      <c r="C132" s="32" t="str">
        <f t="shared" si="7"/>
        <v>3EBASIS</v>
      </c>
      <c r="D132" s="31" t="s">
        <v>16</v>
      </c>
      <c r="E132" s="31" t="str">
        <f>SwapsFromBasis!L37</f>
        <v>obj_006fc#0004</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42137</v>
      </c>
      <c r="M132" s="27">
        <f>_xll.qlRateHelperLatestDate($E132,Trigger)</f>
        <v>52730</v>
      </c>
      <c r="P132" s="166"/>
    </row>
    <row r="133" spans="2:16" x14ac:dyDescent="0.2">
      <c r="B133" s="33" t="str">
        <f t="shared" si="8"/>
        <v>AB</v>
      </c>
      <c r="C133" s="32" t="str">
        <f t="shared" si="7"/>
        <v>3EBASIS</v>
      </c>
      <c r="D133" s="31" t="s">
        <v>15</v>
      </c>
      <c r="E133" s="31" t="str">
        <f>SwapsFromBasis!L38</f>
        <v>obj_00704#0004</v>
      </c>
      <c r="F133" s="31" t="str">
        <f>_xll.qlRateHelperQuoteName(E133)</f>
        <v>EURAB3EBASIS30Y_Quote</v>
      </c>
      <c r="G133" s="30">
        <f>_xll.qlRateHelperQuoteValue($E133,Trigger)</f>
        <v>1.2620000000000001E-2</v>
      </c>
      <c r="H133" s="30">
        <f>_xll.qlSwapRateHelperSpread($E133,Trigger)</f>
        <v>0</v>
      </c>
      <c r="I133" s="29" t="b">
        <v>0</v>
      </c>
      <c r="J133" s="29">
        <v>40</v>
      </c>
      <c r="K133" s="29">
        <v>1</v>
      </c>
      <c r="L133" s="28">
        <f>_xll.qlRateHelperEarliestDate($E133,Trigger)</f>
        <v>42137</v>
      </c>
      <c r="M133" s="27">
        <f>_xll.qlRateHelperLatestDate($E133,Trigger)</f>
        <v>53097</v>
      </c>
      <c r="P133" s="166"/>
    </row>
    <row r="134" spans="2:16" x14ac:dyDescent="0.2">
      <c r="B134" s="33" t="str">
        <f t="shared" si="8"/>
        <v>AB</v>
      </c>
      <c r="C134" s="32" t="str">
        <f t="shared" si="7"/>
        <v>3EBASIS</v>
      </c>
      <c r="D134" s="31" t="s">
        <v>14</v>
      </c>
      <c r="E134" s="31" t="str">
        <f>SwapsFromBasis!L39</f>
        <v>obj_00709#0004</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42137</v>
      </c>
      <c r="M134" s="27">
        <f>_xll.qlRateHelperLatestDate($E134,Trigger)</f>
        <v>54921</v>
      </c>
      <c r="P134" s="166"/>
    </row>
    <row r="135" spans="2:16" x14ac:dyDescent="0.2">
      <c r="B135" s="33" t="str">
        <f t="shared" si="8"/>
        <v>AB</v>
      </c>
      <c r="C135" s="32" t="str">
        <f t="shared" si="7"/>
        <v>3EBASIS</v>
      </c>
      <c r="D135" s="31" t="s">
        <v>13</v>
      </c>
      <c r="E135" s="31" t="str">
        <f>SwapsFromBasis!L40</f>
        <v>obj_006f6#0004</v>
      </c>
      <c r="F135" s="31" t="str">
        <f>_xll.qlRateHelperQuoteName(E135)</f>
        <v>EURAB3EBASIS40Y_Quote</v>
      </c>
      <c r="G135" s="30">
        <f>_xll.qlRateHelperQuoteValue($E135,Trigger)</f>
        <v>1.2765E-2</v>
      </c>
      <c r="H135" s="30">
        <f>_xll.qlSwapRateHelperSpread($E135,Trigger)</f>
        <v>0</v>
      </c>
      <c r="I135" s="29" t="b">
        <v>0</v>
      </c>
      <c r="J135" s="29">
        <v>40</v>
      </c>
      <c r="K135" s="29">
        <v>1</v>
      </c>
      <c r="L135" s="28">
        <f>_xll.qlRateHelperEarliestDate($E135,Trigger)</f>
        <v>42137</v>
      </c>
      <c r="M135" s="27">
        <f>_xll.qlRateHelperLatestDate($E135,Trigger)</f>
        <v>56747</v>
      </c>
      <c r="P135" s="166"/>
    </row>
    <row r="136" spans="2:16" x14ac:dyDescent="0.2">
      <c r="B136" s="33" t="str">
        <f t="shared" si="8"/>
        <v>AB</v>
      </c>
      <c r="C136" s="32" t="str">
        <f t="shared" si="7"/>
        <v>3EBASIS</v>
      </c>
      <c r="D136" s="31" t="s">
        <v>12</v>
      </c>
      <c r="E136" s="31" t="str">
        <f>SwapsFromBasis!L41</f>
        <v>obj_00705#0004</v>
      </c>
      <c r="F136" s="31" t="str">
        <f>_xll.qlRateHelperQuoteName(E136)</f>
        <v>EURAB3EBASIS50Y_Quote</v>
      </c>
      <c r="G136" s="30">
        <f>_xll.qlRateHelperQuoteValue($E136,Trigger)</f>
        <v>1.2365000000000001E-2</v>
      </c>
      <c r="H136" s="30">
        <f>_xll.qlSwapRateHelperSpread($E136,Trigger)</f>
        <v>0</v>
      </c>
      <c r="I136" s="29" t="b">
        <v>0</v>
      </c>
      <c r="J136" s="29">
        <v>40</v>
      </c>
      <c r="K136" s="29">
        <v>1</v>
      </c>
      <c r="L136" s="28">
        <f>_xll.qlRateHelperEarliestDate($E136,Trigger)</f>
        <v>42137</v>
      </c>
      <c r="M136" s="27">
        <f>_xll.qlRateHelperLatestDate($E136,Trigger)</f>
        <v>60400</v>
      </c>
      <c r="P136" s="166"/>
    </row>
    <row r="137" spans="2:16" x14ac:dyDescent="0.2">
      <c r="B137" s="26" t="str">
        <f t="shared" si="8"/>
        <v>AB</v>
      </c>
      <c r="C137" s="25" t="str">
        <f t="shared" si="7"/>
        <v>3EBASIS</v>
      </c>
      <c r="D137" s="24" t="s">
        <v>11</v>
      </c>
      <c r="E137" s="31" t="str">
        <f>SwapsFromBasis!L42</f>
        <v>obj_006f4#0004</v>
      </c>
      <c r="F137" s="31" t="str">
        <f>_xll.qlRateHelperQuoteName(E137)</f>
        <v>EURAB3EBASIS60Y_Quote</v>
      </c>
      <c r="G137" s="30">
        <f>_xll.qlRateHelperQuoteValue($E137,Trigger)</f>
        <v>1.2245000000000001E-2</v>
      </c>
      <c r="H137" s="30">
        <f>_xll.qlSwapRateHelperSpread($E137,Trigger)</f>
        <v>0</v>
      </c>
      <c r="I137" s="29" t="b">
        <v>0</v>
      </c>
      <c r="J137" s="29">
        <v>40</v>
      </c>
      <c r="K137" s="29">
        <v>1</v>
      </c>
      <c r="L137" s="28">
        <f>_xll.qlRateHelperEarliestDate($E137,Trigger)</f>
        <v>42137</v>
      </c>
      <c r="M137" s="27">
        <f>_xll.qlRateHelperLatestDate($E137,Trigger)</f>
        <v>64052</v>
      </c>
      <c r="P137" s="166"/>
    </row>
    <row r="138" spans="2:16" x14ac:dyDescent="0.2">
      <c r="E138" s="106"/>
      <c r="F138" s="106"/>
      <c r="G138" s="106"/>
      <c r="H138" s="106"/>
      <c r="I138" s="106"/>
      <c r="J138" s="106"/>
      <c r="K138" s="106"/>
      <c r="L138" s="106"/>
      <c r="M138" s="106"/>
      <c r="O138"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4" t="s">
        <v>10</v>
      </c>
      <c r="B1" s="325"/>
      <c r="D1" s="183" t="s">
        <v>9</v>
      </c>
      <c r="E1" s="19" t="s">
        <v>177</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obj_00771</v>
      </c>
      <c r="E2" s="11" t="str">
        <f>_xll.qlRateHelperQuoteName(D2)</f>
        <v>EUR1MD_SYNTH3M_Quote</v>
      </c>
      <c r="F2" s="10">
        <f>_xll.qlRateHelperRate($D2)</f>
        <v>-1.8200000000000001E-4</v>
      </c>
      <c r="G2" s="10" t="str">
        <f>IF(ISERROR(_xll.qlSwapRateHelperSpread($D2)),IF(ISERROR(_xll.qlFuturesRateHelperConvexityAdjustment($D2)),"--",_xll.qlFuturesRateHelperConvexityAdjustment($D2)),_xll.qlSwapRateHelperSpread($D2))</f>
        <v>--</v>
      </c>
      <c r="H2" s="9">
        <f>_xll.qlRateHelperEarliestDate($D2)</f>
        <v>42137</v>
      </c>
      <c r="I2" s="8">
        <f>_xll.qlRateHelperLatestDate($D2)</f>
        <v>42170</v>
      </c>
      <c r="J2" s="3">
        <v>1.0000216837200901</v>
      </c>
      <c r="L2" s="3"/>
    </row>
    <row r="3" spans="1:12" x14ac:dyDescent="0.2">
      <c r="A3" s="12" t="s">
        <v>4</v>
      </c>
      <c r="B3" s="14">
        <v>0</v>
      </c>
      <c r="D3" s="11" t="str">
        <v>obj_00775</v>
      </c>
      <c r="E3" s="11" t="str">
        <f>_xll.qlRateHelperQuoteName(D3)</f>
        <v>EUR2MD_SYNTH3M_Quote</v>
      </c>
      <c r="F3" s="10">
        <f>_xll.qlRateHelperRate($D3)</f>
        <v>-1.83E-4</v>
      </c>
      <c r="G3" s="10" t="str">
        <f>IF(ISERROR(_xll.qlSwapRateHelperSpread($D3)),IF(ISERROR(_xll.qlFuturesRateHelperConvexityAdjustment($D3)),"--",_xll.qlFuturesRateHelperConvexityAdjustment($D3)),_xll.qlSwapRateHelperSpread($D3))</f>
        <v>--</v>
      </c>
      <c r="H3" s="9">
        <f>_xll.qlRateHelperEarliestDate($D3)</f>
        <v>42137</v>
      </c>
      <c r="I3" s="8">
        <f>_xll.qlRateHelperLatestDate($D3)</f>
        <v>42198</v>
      </c>
      <c r="J3" s="3">
        <v>1.0000360094748368</v>
      </c>
      <c r="L3" s="3"/>
    </row>
    <row r="4" spans="1:12" x14ac:dyDescent="0.2">
      <c r="A4" s="12" t="s">
        <v>3</v>
      </c>
      <c r="B4" s="14">
        <v>4</v>
      </c>
      <c r="D4" s="11" t="str">
        <v>obj_00774</v>
      </c>
      <c r="E4" s="11" t="str">
        <f>_xll.qlRateHelperQuoteName(D4)</f>
        <v>EUR3MD_SYNTH3M_Quote</v>
      </c>
      <c r="F4" s="10">
        <f>_xll.qlRateHelperRate($D4)</f>
        <v>-1.4899999999999999E-4</v>
      </c>
      <c r="G4" s="10" t="str">
        <f>IF(ISERROR(_xll.qlSwapRateHelperSpread($D4)),IF(ISERROR(_xll.qlFuturesRateHelperConvexityAdjustment($D4)),"--",_xll.qlFuturesRateHelperConvexityAdjustment($D4)),_xll.qlSwapRateHelperSpread($D4))</f>
        <v>--</v>
      </c>
      <c r="H4" s="9">
        <f>_xll.qlRateHelperEarliestDate($D4)</f>
        <v>42137</v>
      </c>
      <c r="I4" s="8">
        <f>_xll.qlRateHelperLatestDate($D4)</f>
        <v>42229</v>
      </c>
      <c r="J4" s="3">
        <v>1.0000435794649372</v>
      </c>
      <c r="L4" s="3"/>
    </row>
    <row r="5" spans="1:12" x14ac:dyDescent="0.2">
      <c r="A5" s="12" t="s">
        <v>2</v>
      </c>
      <c r="B5" s="13" t="s">
        <v>1</v>
      </c>
      <c r="D5" s="11" t="str">
        <v>obj_00742</v>
      </c>
      <c r="E5" s="11" t="str">
        <f>_xll.qlRateHelperQuoteName(D5)</f>
        <v>EURFUT3MM5_Quote</v>
      </c>
      <c r="F5" s="10">
        <f>_xll.qlRateHelperRate($D5)</f>
        <v>-2.4999999999941735E-5</v>
      </c>
      <c r="G5" s="10">
        <f>IF(ISERROR(_xll.qlSwapRateHelperSpread($D5)),IF(ISERROR(_xll.qlFuturesRateHelperConvexityAdjustment($D5)),"--",_xll.qlFuturesRateHelperConvexityAdjustment($D5)),_xll.qlSwapRateHelperSpread($D5))</f>
        <v>0</v>
      </c>
      <c r="H5" s="9">
        <f>_xll.qlRateHelperEarliestDate($D5)</f>
        <v>42172</v>
      </c>
      <c r="I5" s="8">
        <f>_xll.qlRateHelperLatestDate($D5)</f>
        <v>42264</v>
      </c>
      <c r="J5" s="3">
        <v>1.0000297323938097</v>
      </c>
      <c r="L5" s="3"/>
    </row>
    <row r="6" spans="1:12" x14ac:dyDescent="0.2">
      <c r="D6" s="11" t="str">
        <v>obj_00769</v>
      </c>
      <c r="E6" s="11" t="str">
        <f>_xll.qlRateHelperQuoteName(D6)</f>
        <v>EURFUT3MU5_Quote</v>
      </c>
      <c r="F6" s="10">
        <f>_xll.qlRateHelperRate($D6)</f>
        <v>-7.4999999999825206E-5</v>
      </c>
      <c r="G6" s="10">
        <f>IF(ISERROR(_xll.qlSwapRateHelperSpread($D6)),IF(ISERROR(_xll.qlFuturesRateHelperConvexityAdjustment($D6)),"--",_xll.qlFuturesRateHelperConvexityAdjustment($D6)),_xll.qlSwapRateHelperSpread($D6))</f>
        <v>0</v>
      </c>
      <c r="H6" s="9">
        <f>_xll.qlRateHelperEarliestDate($D6)</f>
        <v>42263</v>
      </c>
      <c r="I6" s="8">
        <f>_xll.qlRateHelperLatestDate($D6)</f>
        <v>42354</v>
      </c>
      <c r="J6" s="3">
        <v>1.0000545395137634</v>
      </c>
      <c r="L6" s="3"/>
    </row>
    <row r="7" spans="1:12" x14ac:dyDescent="0.2">
      <c r="D7" s="11" t="str">
        <v>obj_0074b</v>
      </c>
      <c r="E7" s="11" t="str">
        <f>_xll.qlRateHelperQuoteName(D7)</f>
        <v>EURFUT3MZ5_Quote</v>
      </c>
      <c r="F7" s="10">
        <f>_xll.qlRateHelperRate($D7)</f>
        <v>-2.4999999999941735E-5</v>
      </c>
      <c r="G7" s="10">
        <f>IF(ISERROR(_xll.qlSwapRateHelperSpread($D7)),IF(ISERROR(_xll.qlFuturesRateHelperConvexityAdjustment($D7)),"--",_xll.qlFuturesRateHelperConvexityAdjustment($D7)),_xll.qlSwapRateHelperSpread($D7))</f>
        <v>0</v>
      </c>
      <c r="H7" s="9">
        <f>_xll.qlRateHelperEarliestDate($D7)</f>
        <v>42354</v>
      </c>
      <c r="I7" s="8">
        <f>_xll.qlRateHelperLatestDate($D7)</f>
        <v>42445</v>
      </c>
      <c r="J7" s="3">
        <v>1.0000811609089648</v>
      </c>
      <c r="L7" s="3"/>
    </row>
    <row r="8" spans="1:12" x14ac:dyDescent="0.2">
      <c r="D8" s="11" t="str">
        <v>obj_00766</v>
      </c>
      <c r="E8" s="11" t="str">
        <f>_xll.qlRateHelperQuoteName(D8)</f>
        <v>EURFUT3MH6_Quote</v>
      </c>
      <c r="F8" s="10">
        <f>_xll.qlRateHelperRate($D8)</f>
        <v>7.4999999999936229E-5</v>
      </c>
      <c r="G8" s="10">
        <f>IF(ISERROR(_xll.qlSwapRateHelperSpread($D8)),IF(ISERROR(_xll.qlFuturesRateHelperConvexityAdjustment($D8)),"--",_xll.qlFuturesRateHelperConvexityAdjustment($D8)),_xll.qlSwapRateHelperSpread($D8))</f>
        <v>0</v>
      </c>
      <c r="H8" s="9">
        <f>_xll.qlRateHelperEarliestDate($D8)</f>
        <v>42445</v>
      </c>
      <c r="I8" s="8">
        <f>_xll.qlRateHelperLatestDate($D8)</f>
        <v>42537</v>
      </c>
      <c r="J8" s="3">
        <v>1.0000619930540979</v>
      </c>
      <c r="L8" s="3"/>
    </row>
    <row r="9" spans="1:12" x14ac:dyDescent="0.2">
      <c r="D9" s="11" t="str">
        <v>obj_00763</v>
      </c>
      <c r="E9" s="11" t="str">
        <f>_xll.qlRateHelperQuoteName(D9)</f>
        <v>EURFUT3MM6_Quote</v>
      </c>
      <c r="F9" s="10">
        <f>_xll.qlRateHelperRate($D9)</f>
        <v>2.2500000000003073E-4</v>
      </c>
      <c r="G9" s="10">
        <f>IF(ISERROR(_xll.qlSwapRateHelperSpread($D9)),IF(ISERROR(_xll.qlFuturesRateHelperConvexityAdjustment($D9)),"--",_xll.qlFuturesRateHelperConvexityAdjustment($D9)),_xll.qlSwapRateHelperSpread($D9))</f>
        <v>0</v>
      </c>
      <c r="H9" s="9">
        <f>_xll.qlRateHelperEarliestDate($D9)</f>
        <v>42536</v>
      </c>
      <c r="I9" s="8">
        <f>_xll.qlRateHelperLatestDate($D9)</f>
        <v>42628</v>
      </c>
      <c r="J9" s="3">
        <v>1.0000048642306807</v>
      </c>
      <c r="L9" s="3"/>
    </row>
    <row r="10" spans="1:12" x14ac:dyDescent="0.2">
      <c r="D10" s="11" t="str">
        <v>obj_00743</v>
      </c>
      <c r="E10" s="11" t="str">
        <f>_xll.qlRateHelperQuoteName(D10)</f>
        <v>EURFUT3MU6_Quote</v>
      </c>
      <c r="F10" s="10">
        <f>_xll.qlRateHelperRate($D10)</f>
        <v>5.2500000000010871E-4</v>
      </c>
      <c r="G10" s="10">
        <f>IF(ISERROR(_xll.qlSwapRateHelperSpread($D10)),IF(ISERROR(_xll.qlFuturesRateHelperConvexityAdjustment($D10)),"--",_xll.qlFuturesRateHelperConvexityAdjustment($D10)),_xll.qlSwapRateHelperSpread($D10))</f>
        <v>0</v>
      </c>
      <c r="H10" s="9">
        <f>_xll.qlRateHelperEarliestDate($D10)</f>
        <v>42634</v>
      </c>
      <c r="I10" s="8">
        <f>_xll.qlRateHelperLatestDate($D10)</f>
        <v>42725</v>
      </c>
      <c r="J10" s="3">
        <v>0.99986563932472794</v>
      </c>
      <c r="L10" s="3"/>
    </row>
    <row r="11" spans="1:12" x14ac:dyDescent="0.2">
      <c r="D11" s="11" t="str">
        <v>obj_00765</v>
      </c>
      <c r="E11" s="11" t="str">
        <f>_xll.qlRateHelperQuoteName(D11)</f>
        <v>EURFUT3MZ6_Quote</v>
      </c>
      <c r="F11" s="10">
        <f>_xll.qlRateHelperRate($D11)</f>
        <v>9.2500000000006466E-4</v>
      </c>
      <c r="G11" s="10">
        <f>IF(ISERROR(_xll.qlSwapRateHelperSpread($D11)),IF(ISERROR(_xll.qlFuturesRateHelperConvexityAdjustment($D11)),"--",_xll.qlFuturesRateHelperConvexityAdjustment($D11)),_xll.qlSwapRateHelperSpread($D11))</f>
        <v>0</v>
      </c>
      <c r="H11" s="9">
        <f>_xll.qlRateHelperEarliestDate($D11)</f>
        <v>42725</v>
      </c>
      <c r="I11" s="8">
        <f>_xll.qlRateHelperLatestDate($D11)</f>
        <v>42815</v>
      </c>
      <c r="J11" s="3">
        <v>0.99968895690080062</v>
      </c>
      <c r="L11" s="3"/>
    </row>
    <row r="12" spans="1:12" x14ac:dyDescent="0.2">
      <c r="D12" s="11" t="str">
        <v>obj_00755</v>
      </c>
      <c r="E12" s="11" t="str">
        <f>_xll.qlRateHelperQuoteName(D12)</f>
        <v>EURFUT3MH7_Quote</v>
      </c>
      <c r="F12" s="10">
        <f>_xll.qlRateHelperRate($D12)</f>
        <v>1.3750000000000151E-3</v>
      </c>
      <c r="G12" s="10">
        <f>IF(ISERROR(_xll.qlSwapRateHelperSpread($D12)),IF(ISERROR(_xll.qlFuturesRateHelperConvexityAdjustment($D12)),"--",_xll.qlFuturesRateHelperConvexityAdjustment($D12)),_xll.qlSwapRateHelperSpread($D12))</f>
        <v>0</v>
      </c>
      <c r="H12" s="9">
        <f>_xll.qlRateHelperEarliestDate($D12)</f>
        <v>42809</v>
      </c>
      <c r="I12" s="8">
        <f>_xll.qlRateHelperLatestDate($D12)</f>
        <v>42901</v>
      </c>
      <c r="J12" s="3">
        <v>0.99935430860177454</v>
      </c>
      <c r="L12" s="3"/>
    </row>
    <row r="13" spans="1:12" x14ac:dyDescent="0.2">
      <c r="D13" s="11" t="str">
        <v>obj_00733</v>
      </c>
      <c r="E13" s="11" t="str">
        <f>_xll.qlRateHelperQuoteName(D13)</f>
        <v>EURAB3E3Y_Quote</v>
      </c>
      <c r="F13" s="10">
        <f>_xll.qlRateHelperRate($D13)</f>
        <v>1.0400000000000001E-3</v>
      </c>
      <c r="G13" s="10">
        <f>IF(ISERROR(_xll.qlSwapRateHelperSpread($D13)),IF(ISERROR(_xll.qlFuturesRateHelperConvexityAdjustment($D13)),"--",_xll.qlFuturesRateHelperConvexityAdjustment($D13)),_xll.qlSwapRateHelperSpread($D13))</f>
        <v>0</v>
      </c>
      <c r="H13" s="9">
        <f>_xll.qlRateHelperEarliestDate($D13)</f>
        <v>42137</v>
      </c>
      <c r="I13" s="8">
        <f>_xll.qlRateHelperLatestDate($D13)</f>
        <v>43234</v>
      </c>
      <c r="J13" s="3">
        <v>0.99698393091365123</v>
      </c>
      <c r="L13" s="3"/>
    </row>
    <row r="14" spans="1:12" x14ac:dyDescent="0.2">
      <c r="D14" s="11" t="str">
        <v>obj_00738</v>
      </c>
      <c r="E14" s="11" t="str">
        <f>_xll.qlRateHelperQuoteName(D14)</f>
        <v>EURAB3E4Y_Quote</v>
      </c>
      <c r="F14" s="10">
        <f>_xll.qlRateHelperRate($D14)</f>
        <v>2E-3</v>
      </c>
      <c r="G14" s="10">
        <f>IF(ISERROR(_xll.qlSwapRateHelperSpread($D14)),IF(ISERROR(_xll.qlFuturesRateHelperConvexityAdjustment($D14)),"--",_xll.qlFuturesRateHelperConvexityAdjustment($D14)),_xll.qlSwapRateHelperSpread($D14))</f>
        <v>0</v>
      </c>
      <c r="H14" s="9">
        <f>_xll.qlRateHelperEarliestDate($D14)</f>
        <v>42137</v>
      </c>
      <c r="I14" s="8">
        <f>_xll.qlRateHelperLatestDate($D14)</f>
        <v>43598</v>
      </c>
      <c r="J14" s="3">
        <v>0.99213187849030582</v>
      </c>
      <c r="L14" s="3"/>
    </row>
    <row r="15" spans="1:12" x14ac:dyDescent="0.2">
      <c r="D15" s="11" t="str">
        <v>obj_0070e</v>
      </c>
      <c r="E15" s="11" t="str">
        <f>_xll.qlRateHelperQuoteName(D15)</f>
        <v>EURAB3E5Y_Quote</v>
      </c>
      <c r="F15" s="10">
        <f>_xll.qlRateHelperRate($D15)</f>
        <v>3.0899999999999994E-3</v>
      </c>
      <c r="G15" s="10">
        <f>IF(ISERROR(_xll.qlSwapRateHelperSpread($D15)),IF(ISERROR(_xll.qlFuturesRateHelperConvexityAdjustment($D15)),"--",_xll.qlFuturesRateHelperConvexityAdjustment($D15)),_xll.qlSwapRateHelperSpread($D15))</f>
        <v>0</v>
      </c>
      <c r="H15" s="9">
        <f>_xll.qlRateHelperEarliestDate($D15)</f>
        <v>42137</v>
      </c>
      <c r="I15" s="8">
        <f>_xll.qlRateHelperLatestDate($D15)</f>
        <v>43964</v>
      </c>
      <c r="J15" s="3">
        <v>0.9847539564655784</v>
      </c>
      <c r="L15" s="3"/>
    </row>
    <row r="16" spans="1:12" x14ac:dyDescent="0.2">
      <c r="D16" s="11" t="str">
        <v>obj_0073f</v>
      </c>
      <c r="E16" s="11" t="str">
        <f>_xll.qlRateHelperQuoteName(D16)</f>
        <v>EURAB3E6Y_Quote</v>
      </c>
      <c r="F16" s="10">
        <f>_xll.qlRateHelperRate($D16)</f>
        <v>4.2199999999999989E-3</v>
      </c>
      <c r="G16" s="10">
        <f>IF(ISERROR(_xll.qlSwapRateHelperSpread($D16)),IF(ISERROR(_xll.qlFuturesRateHelperConvexityAdjustment($D16)),"--",_xll.qlFuturesRateHelperConvexityAdjustment($D16)),_xll.qlSwapRateHelperSpread($D16))</f>
        <v>0</v>
      </c>
      <c r="H16" s="9">
        <f>_xll.qlRateHelperEarliestDate($D16)</f>
        <v>42137</v>
      </c>
      <c r="I16" s="8">
        <f>_xll.qlRateHelperLatestDate($D16)</f>
        <v>44329</v>
      </c>
      <c r="J16" s="3">
        <v>0.97503991200643747</v>
      </c>
      <c r="L16" s="3"/>
    </row>
    <row r="17" spans="4:12" x14ac:dyDescent="0.2">
      <c r="D17" s="11" t="str">
        <v>obj_00732</v>
      </c>
      <c r="E17" s="11" t="str">
        <f>_xll.qlRateHelperQuoteName(D17)</f>
        <v>EURAB3E7Y_Quote</v>
      </c>
      <c r="F17" s="10">
        <f>_xll.qlRateHelperRate($D17)</f>
        <v>5.3499999999999989E-3</v>
      </c>
      <c r="G17" s="10">
        <f>IF(ISERROR(_xll.qlSwapRateHelperSpread($D17)),IF(ISERROR(_xll.qlFuturesRateHelperConvexityAdjustment($D17)),"--",_xll.qlFuturesRateHelperConvexityAdjustment($D17)),_xll.qlSwapRateHelperSpread($D17))</f>
        <v>0</v>
      </c>
      <c r="H17" s="9">
        <f>_xll.qlRateHelperEarliestDate($D17)</f>
        <v>42137</v>
      </c>
      <c r="I17" s="8">
        <f>_xll.qlRateHelperLatestDate($D17)</f>
        <v>44694</v>
      </c>
      <c r="J17" s="3">
        <v>0.96319366376493565</v>
      </c>
      <c r="L17" s="3"/>
    </row>
    <row r="18" spans="4:12" x14ac:dyDescent="0.2">
      <c r="D18" s="11" t="str">
        <v>obj_0073d</v>
      </c>
      <c r="E18" s="11" t="str">
        <f>_xll.qlRateHelperQuoteName(D18)</f>
        <v>EURAB3E8Y_Quote</v>
      </c>
      <c r="F18" s="10">
        <f>_xll.qlRateHelperRate($D18)</f>
        <v>6.4000000000000003E-3</v>
      </c>
      <c r="G18" s="10">
        <f>IF(ISERROR(_xll.qlSwapRateHelperSpread($D18)),IF(ISERROR(_xll.qlFuturesRateHelperConvexityAdjustment($D18)),"--",_xll.qlFuturesRateHelperConvexityAdjustment($D18)),_xll.qlSwapRateHelperSpread($D18))</f>
        <v>0</v>
      </c>
      <c r="H18" s="9">
        <f>_xll.qlRateHelperEarliestDate($D18)</f>
        <v>42137</v>
      </c>
      <c r="I18" s="8">
        <f>_xll.qlRateHelperLatestDate($D18)</f>
        <v>45061</v>
      </c>
      <c r="J18" s="3">
        <v>0.94985837918008509</v>
      </c>
      <c r="L18" s="3"/>
    </row>
    <row r="19" spans="4:12" x14ac:dyDescent="0.2">
      <c r="D19" s="11" t="str">
        <v>obj_00723</v>
      </c>
      <c r="E19" s="11" t="str">
        <f>_xll.qlRateHelperQuoteName(D19)</f>
        <v>EURAB3E9Y_Quote</v>
      </c>
      <c r="F19" s="10">
        <f>_xll.qlRateHelperRate($D19)</f>
        <v>7.3299999999999997E-3</v>
      </c>
      <c r="G19" s="10">
        <f>IF(ISERROR(_xll.qlSwapRateHelperSpread($D19)),IF(ISERROR(_xll.qlFuturesRateHelperConvexityAdjustment($D19)),"--",_xll.qlFuturesRateHelperConvexityAdjustment($D19)),_xll.qlSwapRateHelperSpread($D19))</f>
        <v>0</v>
      </c>
      <c r="H19" s="9">
        <f>_xll.qlRateHelperEarliestDate($D19)</f>
        <v>42137</v>
      </c>
      <c r="I19" s="8">
        <f>_xll.qlRateHelperLatestDate($D19)</f>
        <v>45425</v>
      </c>
      <c r="J19" s="3">
        <v>0.93576073490609613</v>
      </c>
      <c r="L19" s="3"/>
    </row>
    <row r="20" spans="4:12" x14ac:dyDescent="0.2">
      <c r="D20" s="11" t="str">
        <v>obj_00712</v>
      </c>
      <c r="E20" s="11" t="str">
        <f>_xll.qlRateHelperQuoteName(D20)</f>
        <v>EURAB3E10Y_Quote</v>
      </c>
      <c r="F20" s="10">
        <f>_xll.qlRateHelperRate($D20)</f>
        <v>8.1099999999999992E-3</v>
      </c>
      <c r="G20" s="10">
        <f>IF(ISERROR(_xll.qlSwapRateHelperSpread($D20)),IF(ISERROR(_xll.qlFuturesRateHelperConvexityAdjustment($D20)),"--",_xll.qlFuturesRateHelperConvexityAdjustment($D20)),_xll.qlSwapRateHelperSpread($D20))</f>
        <v>0</v>
      </c>
      <c r="H20" s="9">
        <f>_xll.qlRateHelperEarliestDate($D20)</f>
        <v>42137</v>
      </c>
      <c r="I20" s="8">
        <f>_xll.qlRateHelperLatestDate($D20)</f>
        <v>45790</v>
      </c>
      <c r="J20" s="3">
        <v>0.92146761298274449</v>
      </c>
      <c r="L20" s="3"/>
    </row>
    <row r="21" spans="4:12" x14ac:dyDescent="0.2">
      <c r="D21" s="11" t="str">
        <v>obj_00727</v>
      </c>
      <c r="E21" s="11" t="str">
        <f>_xll.qlRateHelperQuoteName(D21)</f>
        <v>EURAB3E12Y_Quote</v>
      </c>
      <c r="F21" s="10">
        <f>_xll.qlRateHelperRate($D21)</f>
        <v>9.4399999999999987E-3</v>
      </c>
      <c r="G21" s="10">
        <f>IF(ISERROR(_xll.qlSwapRateHelperSpread($D21)),IF(ISERROR(_xll.qlFuturesRateHelperConvexityAdjustment($D21)),"--",_xll.qlFuturesRateHelperConvexityAdjustment($D21)),_xll.qlSwapRateHelperSpread($D21))</f>
        <v>0</v>
      </c>
      <c r="H21" s="9">
        <f>_xll.qlRateHelperEarliestDate($D21)</f>
        <v>42137</v>
      </c>
      <c r="I21" s="8">
        <f>_xll.qlRateHelperLatestDate($D21)</f>
        <v>46520</v>
      </c>
      <c r="J21" s="3">
        <v>0.89165962278330191</v>
      </c>
      <c r="L21" s="3"/>
    </row>
    <row r="22" spans="4:12" x14ac:dyDescent="0.2">
      <c r="D22" s="11" t="str">
        <v>obj_0070b</v>
      </c>
      <c r="E22" s="11" t="str">
        <f>_xll.qlRateHelperQuoteName(D22)</f>
        <v>EURAB3E15Y_Quote</v>
      </c>
      <c r="F22" s="10">
        <f>_xll.qlRateHelperRate($D22)</f>
        <v>1.081E-2</v>
      </c>
      <c r="G22" s="10">
        <f>IF(ISERROR(_xll.qlSwapRateHelperSpread($D22)),IF(ISERROR(_xll.qlFuturesRateHelperConvexityAdjustment($D22)),"--",_xll.qlFuturesRateHelperConvexityAdjustment($D22)),_xll.qlSwapRateHelperSpread($D22))</f>
        <v>0</v>
      </c>
      <c r="H22" s="9">
        <f>_xll.qlRateHelperEarliestDate($D22)</f>
        <v>42137</v>
      </c>
      <c r="I22" s="8">
        <f>_xll.qlRateHelperLatestDate($D22)</f>
        <v>47616</v>
      </c>
      <c r="J22" s="3">
        <v>0.84805341676705193</v>
      </c>
      <c r="L22" s="3"/>
    </row>
    <row r="23" spans="4:12" x14ac:dyDescent="0.2">
      <c r="D23" s="11" t="str">
        <v>obj_00724</v>
      </c>
      <c r="E23" s="11" t="str">
        <f>_xll.qlRateHelperQuoteName(D23)</f>
        <v>EURAB3E20Y_Quote</v>
      </c>
      <c r="F23" s="10">
        <f>_xll.qlRateHelperRate($D23)</f>
        <v>1.1970000000000001E-2</v>
      </c>
      <c r="G23" s="10">
        <f>IF(ISERROR(_xll.qlSwapRateHelperSpread($D23)),IF(ISERROR(_xll.qlFuturesRateHelperConvexityAdjustment($D23)),"--",_xll.qlFuturesRateHelperConvexityAdjustment($D23)),_xll.qlSwapRateHelperSpread($D23))</f>
        <v>0</v>
      </c>
      <c r="H23" s="9">
        <f>_xll.qlRateHelperEarliestDate($D23)</f>
        <v>42137</v>
      </c>
      <c r="I23" s="8">
        <f>_xll.qlRateHelperLatestDate($D23)</f>
        <v>49443</v>
      </c>
      <c r="J23" s="3">
        <v>0.78345865218480693</v>
      </c>
      <c r="L23" s="3"/>
    </row>
    <row r="24" spans="4:12" x14ac:dyDescent="0.2">
      <c r="D24" s="11" t="str">
        <v>obj_00736</v>
      </c>
      <c r="E24" s="11" t="str">
        <f>_xll.qlRateHelperQuoteName(D24)</f>
        <v>EURAB3E25Y_Quote</v>
      </c>
      <c r="F24" s="10">
        <f>_xll.qlRateHelperRate($D24)</f>
        <v>1.2370000000000001E-2</v>
      </c>
      <c r="G24" s="10">
        <f>IF(ISERROR(_xll.qlSwapRateHelperSpread($D24)),IF(ISERROR(_xll.qlFuturesRateHelperConvexityAdjustment($D24)),"--",_xll.qlFuturesRateHelperConvexityAdjustment($D24)),_xll.qlSwapRateHelperSpread($D24))</f>
        <v>0</v>
      </c>
      <c r="H24" s="9">
        <f>_xll.qlRateHelperEarliestDate($D24)</f>
        <v>42137</v>
      </c>
      <c r="I24" s="8">
        <f>_xll.qlRateHelperLatestDate($D24)</f>
        <v>51270</v>
      </c>
      <c r="J24" s="3">
        <v>0.72984636196128316</v>
      </c>
      <c r="L24" s="3"/>
    </row>
    <row r="25" spans="4:12" x14ac:dyDescent="0.2">
      <c r="D25" s="11" t="str">
        <v>obj_00707</v>
      </c>
      <c r="E25" s="11" t="str">
        <f>_xll.qlRateHelperQuoteName(D25)</f>
        <v>EURAB3E30Y_Quote</v>
      </c>
      <c r="F25" s="10">
        <f>_xll.qlRateHelperRate($D25)</f>
        <v>1.2619999999999999E-2</v>
      </c>
      <c r="G25" s="10">
        <f>IF(ISERROR(_xll.qlSwapRateHelperSpread($D25)),IF(ISERROR(_xll.qlFuturesRateHelperConvexityAdjustment($D25)),"--",_xll.qlFuturesRateHelperConvexityAdjustment($D25)),_xll.qlSwapRateHelperSpread($D25))</f>
        <v>0</v>
      </c>
      <c r="H25" s="9">
        <f>_xll.qlRateHelperEarliestDate($D25)</f>
        <v>42137</v>
      </c>
      <c r="I25" s="8">
        <f>_xll.qlRateHelperLatestDate($D25)</f>
        <v>53097</v>
      </c>
      <c r="J25" s="3">
        <v>0.68024023779371579</v>
      </c>
      <c r="L25" s="3"/>
    </row>
    <row r="26" spans="4:12" x14ac:dyDescent="0.2">
      <c r="D26" s="11" t="str">
        <v>obj_0072e</v>
      </c>
      <c r="E26" s="11" t="str">
        <f>_xll.qlRateHelperQuoteName(D26)</f>
        <v>EURAB3E40Y_Quote</v>
      </c>
      <c r="F26" s="10">
        <f>_xll.qlRateHelperRate($D26)</f>
        <v>1.2770000000000002E-2</v>
      </c>
      <c r="G26" s="10">
        <f>IF(ISERROR(_xll.qlSwapRateHelperSpread($D26)),IF(ISERROR(_xll.qlFuturesRateHelperConvexityAdjustment($D26)),"--",_xll.qlFuturesRateHelperConvexityAdjustment($D26)),_xll.qlSwapRateHelperSpread($D26))</f>
        <v>0</v>
      </c>
      <c r="H26" s="9">
        <f>_xll.qlRateHelperEarliestDate($D26)</f>
        <v>42137</v>
      </c>
      <c r="I26" s="8">
        <f>_xll.qlRateHelperLatestDate($D26)</f>
        <v>56747</v>
      </c>
      <c r="J26" s="3">
        <v>0.59586757187403827</v>
      </c>
      <c r="L26" s="3"/>
    </row>
    <row r="27" spans="4:12" x14ac:dyDescent="0.2">
      <c r="D27" s="11" t="str">
        <v>obj_00722</v>
      </c>
      <c r="E27" s="11" t="str">
        <f>_xll.qlRateHelperQuoteName(D27)</f>
        <v>EURAB3E50Y_Quote</v>
      </c>
      <c r="F27" s="10">
        <f>_xll.qlRateHelperRate($D27)</f>
        <v>1.2370000000000001E-2</v>
      </c>
      <c r="G27" s="10">
        <f>IF(ISERROR(_xll.qlSwapRateHelperSpread($D27)),IF(ISERROR(_xll.qlFuturesRateHelperConvexityAdjustment($D27)),"--",_xll.qlFuturesRateHelperConvexityAdjustment($D27)),_xll.qlSwapRateHelperSpread($D27))</f>
        <v>0</v>
      </c>
      <c r="H27" s="9">
        <f>_xll.qlRateHelperEarliestDate($D27)</f>
        <v>42137</v>
      </c>
      <c r="I27" s="8">
        <f>_xll.qlRateHelperLatestDate($D27)</f>
        <v>60400</v>
      </c>
      <c r="J27" s="3">
        <v>0.53870425708873393</v>
      </c>
      <c r="L27" s="3"/>
    </row>
    <row r="28" spans="4:12" x14ac:dyDescent="0.2">
      <c r="D28" s="11" t="str">
        <v>obj_00730</v>
      </c>
      <c r="E28" s="11" t="str">
        <f>_xll.qlRateHelperQuoteName(D28)</f>
        <v>EURAB3E60Y_Quote</v>
      </c>
      <c r="F28" s="10">
        <f>_xll.qlRateHelperRate($D28)</f>
        <v>1.225E-2</v>
      </c>
      <c r="G28" s="10">
        <f>IF(ISERROR(_xll.qlSwapRateHelperSpread($D28)),IF(ISERROR(_xll.qlFuturesRateHelperConvexityAdjustment($D28)),"--",_xll.qlFuturesRateHelperConvexityAdjustment($D28)),_xll.qlSwapRateHelperSpread($D28))</f>
        <v>0</v>
      </c>
      <c r="H28" s="9">
        <f>_xll.qlRateHelperEarliestDate($D28)</f>
        <v>42137</v>
      </c>
      <c r="I28" s="8">
        <f>_xll.qlRateHelperLatestDate($D28)</f>
        <v>64052</v>
      </c>
      <c r="J28" s="3">
        <v>0.48100898903402756</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99</v>
      </c>
      <c r="I1" s="166" t="str">
        <f>Currency&amp;"_YC"&amp;$H$1&amp;"RH"</f>
        <v>EUR_YC3MRH</v>
      </c>
      <c r="J1" s="272" t="str">
        <f>$I$1&amp;"_Deposits.xml"</f>
        <v>EUR_YC3MRH_Deposits.xml</v>
      </c>
      <c r="L1" s="274"/>
    </row>
    <row r="2" spans="1:12" ht="25.5" customHeight="1" x14ac:dyDescent="0.2">
      <c r="A2" s="220"/>
      <c r="B2" s="302"/>
      <c r="C2" s="302" t="s">
        <v>138</v>
      </c>
      <c r="D2" s="302" t="s">
        <v>139</v>
      </c>
      <c r="E2" s="302" t="s">
        <v>140</v>
      </c>
      <c r="F2" s="302" t="s">
        <v>141</v>
      </c>
      <c r="G2" s="302" t="s">
        <v>142</v>
      </c>
      <c r="H2" s="302" t="s">
        <v>143</v>
      </c>
      <c r="I2" s="302" t="s">
        <v>106</v>
      </c>
      <c r="J2" s="308" t="str">
        <f>IF(Serialize,_xll.ohObjectSave(J3:J9,SerializationPath&amp;J1,FileOverwrite,Serialize),"---")</f>
        <v>---</v>
      </c>
      <c r="K2" s="278" t="str">
        <f>_xll.ohRangeRetrieveError(J2)</f>
        <v/>
      </c>
      <c r="L2" s="274"/>
    </row>
    <row r="3" spans="1:12" ht="11.25" customHeight="1" x14ac:dyDescent="0.2">
      <c r="A3" s="220"/>
      <c r="B3" s="309" t="s">
        <v>105</v>
      </c>
      <c r="C3" s="310" t="s">
        <v>117</v>
      </c>
      <c r="D3" s="235">
        <f>_xll.qlInterestRateIndexFixingDays($F$1,Trigger)</f>
        <v>2</v>
      </c>
      <c r="E3" s="310" t="str">
        <f>_xll.qlIndexFixingCalendar($F$1,Trigger)</f>
        <v>TARGET</v>
      </c>
      <c r="F3" s="310" t="s">
        <v>145</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obj_00772#0002</v>
      </c>
      <c r="K3" s="284" t="str">
        <f>_xll.ohRangeRetrieveError(J3)</f>
        <v/>
      </c>
      <c r="L3" s="274"/>
    </row>
    <row r="4" spans="1:12" ht="11.25" customHeight="1" x14ac:dyDescent="0.2">
      <c r="A4" s="220"/>
      <c r="B4" s="312" t="s">
        <v>104</v>
      </c>
      <c r="C4" s="313" t="s">
        <v>144</v>
      </c>
      <c r="D4" s="244">
        <f>_xll.qlInterestRateIndexFixingDays($F$1,Trigger)</f>
        <v>2</v>
      </c>
      <c r="E4" s="313" t="str">
        <f>_xll.qlIndexFixingCalendar($F$1,Trigger)</f>
        <v>TARGET</v>
      </c>
      <c r="F4" s="313" t="s">
        <v>145</v>
      </c>
      <c r="G4" s="313" t="b">
        <v>0</v>
      </c>
      <c r="H4" s="244" t="str">
        <f>_xll.qlInterestRateIndexDayCounter($F$1,Trigger)</f>
        <v>Actual/360</v>
      </c>
      <c r="I4" s="314" t="str">
        <f t="shared" si="0"/>
        <v>EURSWD_SYNTH3M_Quote</v>
      </c>
      <c r="J4" s="243" t="str">
        <f>_xll.qlDepositRateHelper2(,I4,C4,D4,E4,F4,G4,H4,Permanent,Trigger,ObjectOverwrite)</f>
        <v>obj_00773#0002</v>
      </c>
      <c r="K4" s="290" t="str">
        <f>_xll.ohRangeRetrieveError(J4)</f>
        <v/>
      </c>
      <c r="L4" s="274"/>
    </row>
    <row r="5" spans="1:12" ht="11.25" customHeight="1" x14ac:dyDescent="0.2">
      <c r="A5" s="220"/>
      <c r="B5" s="312" t="s">
        <v>103</v>
      </c>
      <c r="C5" s="313" t="s">
        <v>103</v>
      </c>
      <c r="D5" s="244">
        <f>_xll.qlInterestRateIndexFixingDays($F$1,Trigger)</f>
        <v>2</v>
      </c>
      <c r="E5" s="313" t="str">
        <f>_xll.qlIndexFixingCalendar($F$1,Trigger)</f>
        <v>TARGET</v>
      </c>
      <c r="F5" s="313" t="s">
        <v>145</v>
      </c>
      <c r="G5" s="313" t="b">
        <v>0</v>
      </c>
      <c r="H5" s="244" t="str">
        <f>_xll.qlInterestRateIndexDayCounter($F$1,Trigger)</f>
        <v>Actual/360</v>
      </c>
      <c r="I5" s="314" t="str">
        <f t="shared" si="0"/>
        <v>EUR2WD_SYNTH3M_Quote</v>
      </c>
      <c r="J5" s="243" t="str">
        <f>_xll.qlDepositRateHelper2(,I5,C5,D5,E5,F5,G5,H5,Permanent,Trigger,ObjectOverwrite)</f>
        <v>obj_00776#0002</v>
      </c>
      <c r="K5" s="290" t="str">
        <f>_xll.ohRangeRetrieveError(J5)</f>
        <v/>
      </c>
      <c r="L5" s="274"/>
    </row>
    <row r="6" spans="1:12" ht="11.25" customHeight="1" x14ac:dyDescent="0.2">
      <c r="A6" s="220"/>
      <c r="B6" s="312" t="s">
        <v>102</v>
      </c>
      <c r="C6" s="313" t="s">
        <v>102</v>
      </c>
      <c r="D6" s="244">
        <f>_xll.qlInterestRateIndexFixingDays($F$1,Trigger)</f>
        <v>2</v>
      </c>
      <c r="E6" s="313" t="str">
        <f>_xll.qlIndexFixingCalendar($F$1,Trigger)</f>
        <v>TARGET</v>
      </c>
      <c r="F6" s="313" t="s">
        <v>145</v>
      </c>
      <c r="G6" s="313" t="b">
        <v>0</v>
      </c>
      <c r="H6" s="244" t="str">
        <f>_xll.qlInterestRateIndexDayCounter($F$1,Trigger)</f>
        <v>Actual/360</v>
      </c>
      <c r="I6" s="314" t="str">
        <f t="shared" si="0"/>
        <v>EUR3WD_SYNTH3M_Quote</v>
      </c>
      <c r="J6" s="243" t="str">
        <f>_xll.qlDepositRateHelper2(,I6,C6,D6,E6,F6,G6,H6,Permanent,Trigger,ObjectOverwrite)</f>
        <v>obj_00770#0002</v>
      </c>
      <c r="K6" s="290" t="str">
        <f>_xll.ohRangeRetrieveError(J6)</f>
        <v/>
      </c>
      <c r="L6" s="274"/>
    </row>
    <row r="7" spans="1:12" ht="11.25" customHeight="1" x14ac:dyDescent="0.2">
      <c r="A7" s="220"/>
      <c r="B7" s="312" t="s">
        <v>101</v>
      </c>
      <c r="C7" s="313" t="s">
        <v>101</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obj_00771#0002</v>
      </c>
      <c r="K7" s="290" t="str">
        <f>_xll.ohRangeRetrieveError(J7)</f>
        <v/>
      </c>
      <c r="L7" s="274"/>
    </row>
    <row r="8" spans="1:12" ht="11.25" customHeight="1" x14ac:dyDescent="0.2">
      <c r="A8" s="220"/>
      <c r="B8" s="312" t="s">
        <v>100</v>
      </c>
      <c r="C8" s="313" t="s">
        <v>100</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obj_00775#0002</v>
      </c>
      <c r="K8" s="290" t="str">
        <f>_xll.ohRangeRetrieveError(J8)</f>
        <v/>
      </c>
      <c r="L8" s="274"/>
    </row>
    <row r="9" spans="1:12" ht="11.25" customHeight="1" x14ac:dyDescent="0.2">
      <c r="A9" s="220"/>
      <c r="B9" s="315" t="s">
        <v>99</v>
      </c>
      <c r="C9" s="307" t="s">
        <v>99</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obj_00774#0002</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0" style="1" bestFit="1" customWidth="1"/>
    <col min="6" max="6" width="14.140625" style="1" bestFit="1" customWidth="1"/>
    <col min="7" max="7" width="15.42578125" style="2"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107</v>
      </c>
      <c r="F2" s="302" t="s">
        <v>106</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8" si="2">PROPER(Currency)&amp;FamilyName&amp;$E$1</f>
        <v>Euribor3M</v>
      </c>
      <c r="F3" s="234" t="str">
        <f t="shared" ref="F3:F8" si="3">Currency&amp;C3&amp;D3&amp;"_Quote"</f>
        <v>EUR1x4F_Quote</v>
      </c>
      <c r="G3" s="234" t="str">
        <f>_xll.qlFraRateHelper(,F3,B3,E3,Permanent,Trigger,ObjectOverwrite)</f>
        <v>obj_0076f#0003</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obj_0076e#0003</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obj_0076b#0003</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obj_0076c#0003</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obj_0076a#0003</v>
      </c>
      <c r="H7" s="305" t="str">
        <f>_xll.ohRangeRetrieveError(G7)</f>
        <v/>
      </c>
      <c r="I7" s="274"/>
    </row>
    <row r="8" spans="1:9" x14ac:dyDescent="0.2">
      <c r="A8" s="220"/>
      <c r="B8" s="254" t="str">
        <f t="shared" si="0"/>
        <v>6M</v>
      </c>
      <c r="C8" s="254">
        <v>6</v>
      </c>
      <c r="D8" s="254" t="str">
        <f t="shared" si="1"/>
        <v>x9F</v>
      </c>
      <c r="E8" s="254" t="str">
        <f t="shared" si="2"/>
        <v>Euribor3M</v>
      </c>
      <c r="F8" s="254" t="str">
        <f t="shared" si="3"/>
        <v>EUR6x9F_Quote</v>
      </c>
      <c r="G8" s="254" t="str">
        <f>_xll.qlFraRateHelper(,F8,B8,E8,Permanent,Trigger,ObjectOverwrite)</f>
        <v>obj_0076d#0003</v>
      </c>
      <c r="H8" s="306" t="str">
        <f>_xll.ohRangeRetrieveError(G8)</f>
        <v/>
      </c>
      <c r="I8" s="274"/>
    </row>
    <row r="9" spans="1:9" ht="12" thickBot="1" x14ac:dyDescent="0.25">
      <c r="A9" s="257"/>
      <c r="B9" s="258"/>
      <c r="C9" s="258"/>
      <c r="D9" s="258"/>
      <c r="E9" s="258"/>
      <c r="F9" s="258"/>
      <c r="G9" s="267"/>
      <c r="H9" s="267"/>
      <c r="I9" s="298"/>
    </row>
    <row r="11" spans="1:9" x14ac:dyDescent="0.2">
      <c r="G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99</v>
      </c>
      <c r="H1" s="270"/>
      <c r="I1" s="271" t="str">
        <f>Currency&amp;"_YC"&amp;$G$1&amp;"RH"</f>
        <v>EUR_YC3MRH</v>
      </c>
      <c r="J1" s="272" t="str">
        <f>$I$1&amp;"_Futures"&amp;$G$1&amp;".xml"</f>
        <v>EUR_YC3MRH_Futures3M.xml</v>
      </c>
      <c r="K1" s="273"/>
      <c r="L1" s="274"/>
    </row>
    <row r="2" spans="1:13" ht="25.5" customHeight="1" x14ac:dyDescent="0.25">
      <c r="A2" s="227"/>
      <c r="B2" s="276" t="s">
        <v>122</v>
      </c>
      <c r="C2" s="276" t="s">
        <v>187</v>
      </c>
      <c r="D2" s="224" t="s">
        <v>121</v>
      </c>
      <c r="E2" s="277" t="s">
        <v>120</v>
      </c>
      <c r="F2" s="277" t="s">
        <v>188</v>
      </c>
      <c r="G2" s="224" t="s">
        <v>107</v>
      </c>
      <c r="H2" s="224" t="s">
        <v>106</v>
      </c>
      <c r="I2" s="276" t="s">
        <v>119</v>
      </c>
      <c r="J2" s="225" t="str">
        <f>IF(Serialize,_xll.ohObjectSave(J3:J44,SerializationPath&amp;J1,FileOverwrite,Serialize),"---")</f>
        <v>---</v>
      </c>
      <c r="K2" s="278" t="str">
        <f>_xll.ohRangeRetrieveError(J2)</f>
        <v/>
      </c>
      <c r="L2" s="274"/>
    </row>
    <row r="3" spans="1:13" ht="12" customHeight="1" x14ac:dyDescent="0.25">
      <c r="A3" s="279"/>
      <c r="B3" s="232">
        <v>1</v>
      </c>
      <c r="C3" s="232" t="s">
        <v>186</v>
      </c>
      <c r="D3" s="232" t="b">
        <v>0</v>
      </c>
      <c r="E3" s="280" t="str">
        <f t="array" ref="E3:E44">_xll.qlIMMNextCodes(_xll.qlSettingsEvaluationDate(Trigger)-1,$D3:$D122)</f>
        <v>K5</v>
      </c>
      <c r="F3" s="281">
        <f>_xll.qlIMMdate(E3)</f>
        <v>42144</v>
      </c>
      <c r="G3" s="232" t="str">
        <f t="shared" ref="G3:G34" si="0">PROPER(Currency)&amp;FamilyName&amp;$G$1</f>
        <v>Euribor3M</v>
      </c>
      <c r="H3" s="282" t="str">
        <f t="shared" ref="H3:H34" si="1">Currency&amp;"FUT"&amp;$G$1&amp;$E3&amp;QuoteSuffix</f>
        <v>EURFUT3MK5_Quote</v>
      </c>
      <c r="I3" s="282" t="str">
        <f t="shared" ref="I3:I34" si="2">Currency&amp;"FUT"&amp;$G$1&amp;$E3&amp;"ConvAdj"&amp;QuoteSuffix</f>
        <v>EURFUT3MK5ConvAdj_Quote</v>
      </c>
      <c r="J3" s="283" t="str">
        <f>_xll.qlFuturesRateHelper(,$H3,$C3,$F3,$G3,$I3,Permanent,Trigger,ObjectOverwrite)</f>
        <v>obj_00756#0003</v>
      </c>
      <c r="K3" s="284" t="str">
        <f>_xll.ohRangeRetrieveError(J3)</f>
        <v/>
      </c>
      <c r="L3" s="274"/>
      <c r="M3" s="285"/>
    </row>
    <row r="4" spans="1:13" ht="12" customHeight="1" x14ac:dyDescent="0.25">
      <c r="A4" s="279"/>
      <c r="B4" s="160">
        <v>2</v>
      </c>
      <c r="C4" s="160" t="s">
        <v>186</v>
      </c>
      <c r="D4" s="160" t="b">
        <v>0</v>
      </c>
      <c r="E4" s="286" t="str">
        <v>M5</v>
      </c>
      <c r="F4" s="287">
        <f>_xll.qlIMMdate(E4)</f>
        <v>42172</v>
      </c>
      <c r="G4" s="160" t="str">
        <f t="shared" si="0"/>
        <v>Euribor3M</v>
      </c>
      <c r="H4" s="288" t="str">
        <f t="shared" si="1"/>
        <v>EURFUT3MM5_Quote</v>
      </c>
      <c r="I4" s="288" t="str">
        <f t="shared" si="2"/>
        <v>EURFUT3MM5ConvAdj_Quote</v>
      </c>
      <c r="J4" s="289" t="str">
        <f>_xll.qlFuturesRateHelper(,$H4,$C4,$F4,$G4,$I4,Permanent,Trigger,ObjectOverwrite)</f>
        <v>obj_00742#0003</v>
      </c>
      <c r="K4" s="290" t="str">
        <f>_xll.ohRangeRetrieveError(J4)</f>
        <v/>
      </c>
      <c r="L4" s="274"/>
      <c r="M4" s="285"/>
    </row>
    <row r="5" spans="1:13" ht="12" customHeight="1" x14ac:dyDescent="0.25">
      <c r="A5" s="279"/>
      <c r="B5" s="160">
        <v>3</v>
      </c>
      <c r="C5" s="160" t="s">
        <v>186</v>
      </c>
      <c r="D5" s="160" t="b">
        <v>0</v>
      </c>
      <c r="E5" s="286" t="str">
        <v>N5</v>
      </c>
      <c r="F5" s="287">
        <f>_xll.qlIMMdate(E5)</f>
        <v>42200</v>
      </c>
      <c r="G5" s="160" t="str">
        <f t="shared" si="0"/>
        <v>Euribor3M</v>
      </c>
      <c r="H5" s="288" t="str">
        <f t="shared" si="1"/>
        <v>EURFUT3MN5_Quote</v>
      </c>
      <c r="I5" s="288" t="str">
        <f t="shared" si="2"/>
        <v>EURFUT3MN5ConvAdj_Quote</v>
      </c>
      <c r="J5" s="289" t="str">
        <f>_xll.qlFuturesRateHelper(,$H5,$C5,$F5,$G5,$I5,Permanent,Trigger,ObjectOverwrite)</f>
        <v>obj_0075b#0003</v>
      </c>
      <c r="K5" s="290" t="str">
        <f>_xll.ohRangeRetrieveError(J5)</f>
        <v/>
      </c>
      <c r="L5" s="274"/>
      <c r="M5" s="285"/>
    </row>
    <row r="6" spans="1:13" ht="12" customHeight="1" x14ac:dyDescent="0.25">
      <c r="A6" s="279"/>
      <c r="B6" s="160">
        <v>4</v>
      </c>
      <c r="C6" s="160" t="s">
        <v>186</v>
      </c>
      <c r="D6" s="160" t="b">
        <v>0</v>
      </c>
      <c r="E6" s="286" t="str">
        <v>Q5</v>
      </c>
      <c r="F6" s="287">
        <f>_xll.qlIMMdate(E6)</f>
        <v>42235</v>
      </c>
      <c r="G6" s="160" t="str">
        <f t="shared" si="0"/>
        <v>Euribor3M</v>
      </c>
      <c r="H6" s="288" t="str">
        <f t="shared" si="1"/>
        <v>EURFUT3MQ5_Quote</v>
      </c>
      <c r="I6" s="288" t="str">
        <f t="shared" si="2"/>
        <v>EURFUT3MQ5ConvAdj_Quote</v>
      </c>
      <c r="J6" s="289" t="str">
        <f>_xll.qlFuturesRateHelper(,$H6,$C6,$F6,$G6,$I6,Permanent,Trigger,ObjectOverwrite)</f>
        <v>obj_00750#0003</v>
      </c>
      <c r="K6" s="290" t="str">
        <f>_xll.ohRangeRetrieveError(J6)</f>
        <v/>
      </c>
      <c r="L6" s="274"/>
      <c r="M6" s="285"/>
    </row>
    <row r="7" spans="1:13" ht="12" customHeight="1" x14ac:dyDescent="0.25">
      <c r="A7" s="279"/>
      <c r="B7" s="160">
        <v>5</v>
      </c>
      <c r="C7" s="160" t="s">
        <v>186</v>
      </c>
      <c r="D7" s="160" t="b">
        <v>0</v>
      </c>
      <c r="E7" s="286" t="str">
        <v>U5</v>
      </c>
      <c r="F7" s="287">
        <f>_xll.qlIMMdate(E7)</f>
        <v>42263</v>
      </c>
      <c r="G7" s="160" t="str">
        <f t="shared" si="0"/>
        <v>Euribor3M</v>
      </c>
      <c r="H7" s="288" t="str">
        <f t="shared" si="1"/>
        <v>EURFUT3MU5_Quote</v>
      </c>
      <c r="I7" s="288" t="str">
        <f t="shared" si="2"/>
        <v>EURFUT3MU5ConvAdj_Quote</v>
      </c>
      <c r="J7" s="289" t="str">
        <f>_xll.qlFuturesRateHelper(,$H7,$C7,$F7,$G7,$I7,Permanent,Trigger,ObjectOverwrite)</f>
        <v>obj_00769#0003</v>
      </c>
      <c r="K7" s="290" t="str">
        <f>_xll.ohRangeRetrieveError(J7)</f>
        <v/>
      </c>
      <c r="L7" s="274"/>
      <c r="M7" s="285"/>
    </row>
    <row r="8" spans="1:13" ht="12" customHeight="1" x14ac:dyDescent="0.25">
      <c r="A8" s="279"/>
      <c r="B8" s="160">
        <v>6</v>
      </c>
      <c r="C8" s="160" t="s">
        <v>186</v>
      </c>
      <c r="D8" s="160" t="b">
        <v>0</v>
      </c>
      <c r="E8" s="286" t="str">
        <v>V5</v>
      </c>
      <c r="F8" s="287">
        <f>_xll.qlIMMdate(E8)</f>
        <v>42298</v>
      </c>
      <c r="G8" s="160" t="str">
        <f t="shared" si="0"/>
        <v>Euribor3M</v>
      </c>
      <c r="H8" s="288" t="str">
        <f t="shared" si="1"/>
        <v>EURFUT3MV5_Quote</v>
      </c>
      <c r="I8" s="288" t="str">
        <f t="shared" si="2"/>
        <v>EURFUT3MV5ConvAdj_Quote</v>
      </c>
      <c r="J8" s="289" t="str">
        <f>_xll.qlFuturesRateHelper(,$H8,$C8,$F8,$G8,$I8,Permanent,Trigger,ObjectOverwrite)</f>
        <v>obj_00749#0003</v>
      </c>
      <c r="K8" s="290" t="str">
        <f>_xll.ohRangeRetrieveError(J8)</f>
        <v/>
      </c>
      <c r="L8" s="274"/>
      <c r="M8" s="285"/>
    </row>
    <row r="9" spans="1:13" ht="12" customHeight="1" x14ac:dyDescent="0.25">
      <c r="A9" s="279"/>
      <c r="B9" s="160">
        <v>7</v>
      </c>
      <c r="C9" s="160" t="s">
        <v>186</v>
      </c>
      <c r="D9" s="160" t="b">
        <v>0</v>
      </c>
      <c r="E9" s="286" t="str">
        <v>X5</v>
      </c>
      <c r="F9" s="287">
        <f>_xll.qlIMMdate(E9)</f>
        <v>42326</v>
      </c>
      <c r="G9" s="160" t="str">
        <f t="shared" si="0"/>
        <v>Euribor3M</v>
      </c>
      <c r="H9" s="288" t="str">
        <f t="shared" si="1"/>
        <v>EURFUT3MX5_Quote</v>
      </c>
      <c r="I9" s="288" t="str">
        <f t="shared" si="2"/>
        <v>EURFUT3MX5ConvAdj_Quote</v>
      </c>
      <c r="J9" s="289" t="str">
        <f>_xll.qlFuturesRateHelper(,$H9,$C9,$F9,$G9,$I9,Permanent,Trigger,ObjectOverwrite)</f>
        <v>obj_00753#0003</v>
      </c>
      <c r="K9" s="290" t="str">
        <f>_xll.ohRangeRetrieveError(J9)</f>
        <v/>
      </c>
      <c r="L9" s="274"/>
      <c r="M9" s="285"/>
    </row>
    <row r="10" spans="1:13" ht="12" customHeight="1" x14ac:dyDescent="0.25">
      <c r="A10" s="279"/>
      <c r="B10" s="160">
        <v>8</v>
      </c>
      <c r="C10" s="160" t="s">
        <v>186</v>
      </c>
      <c r="D10" s="160" t="b">
        <v>0</v>
      </c>
      <c r="E10" s="286" t="str">
        <v>Z5</v>
      </c>
      <c r="F10" s="287">
        <f>_xll.qlIMMdate(E10)</f>
        <v>42354</v>
      </c>
      <c r="G10" s="160" t="str">
        <f t="shared" si="0"/>
        <v>Euribor3M</v>
      </c>
      <c r="H10" s="288" t="str">
        <f t="shared" si="1"/>
        <v>EURFUT3MZ5_Quote</v>
      </c>
      <c r="I10" s="288" t="str">
        <f t="shared" si="2"/>
        <v>EURFUT3MZ5ConvAdj_Quote</v>
      </c>
      <c r="J10" s="289" t="str">
        <f>_xll.qlFuturesRateHelper(,$H10,$C10,$F10,$G10,$I10,Permanent,Trigger,ObjectOverwrite)</f>
        <v>obj_0074b#0003</v>
      </c>
      <c r="K10" s="290" t="str">
        <f>_xll.ohRangeRetrieveError(J10)</f>
        <v/>
      </c>
      <c r="L10" s="274"/>
      <c r="M10" s="285"/>
    </row>
    <row r="11" spans="1:13" ht="12" customHeight="1" x14ac:dyDescent="0.25">
      <c r="A11" s="279"/>
      <c r="B11" s="160">
        <v>9</v>
      </c>
      <c r="C11" s="160" t="s">
        <v>186</v>
      </c>
      <c r="D11" s="160" t="b">
        <v>0</v>
      </c>
      <c r="E11" s="286" t="str">
        <v>F6</v>
      </c>
      <c r="F11" s="287">
        <f>_xll.qlIMMdate(E11)</f>
        <v>42389</v>
      </c>
      <c r="G11" s="160" t="str">
        <f t="shared" si="0"/>
        <v>Euribor3M</v>
      </c>
      <c r="H11" s="288" t="str">
        <f t="shared" si="1"/>
        <v>EURFUT3MF6_Quote</v>
      </c>
      <c r="I11" s="288" t="str">
        <f t="shared" si="2"/>
        <v>EURFUT3MF6ConvAdj_Quote</v>
      </c>
      <c r="J11" s="289" t="str">
        <f>_xll.qlFuturesRateHelper(,$H11,$C11,$F11,$G11,$I11,Permanent,Trigger,ObjectOverwrite)</f>
        <v>obj_00759#0003</v>
      </c>
      <c r="K11" s="290" t="str">
        <f>_xll.ohRangeRetrieveError(J11)</f>
        <v/>
      </c>
      <c r="L11" s="274"/>
      <c r="M11" s="285"/>
    </row>
    <row r="12" spans="1:13" ht="12" customHeight="1" x14ac:dyDescent="0.25">
      <c r="A12" s="279"/>
      <c r="B12" s="160">
        <v>10</v>
      </c>
      <c r="C12" s="160" t="s">
        <v>186</v>
      </c>
      <c r="D12" s="160" t="b">
        <v>0</v>
      </c>
      <c r="E12" s="286" t="str">
        <v>G6</v>
      </c>
      <c r="F12" s="287">
        <f>_xll.qlIMMdate(E12)</f>
        <v>42417</v>
      </c>
      <c r="G12" s="160" t="str">
        <f t="shared" si="0"/>
        <v>Euribor3M</v>
      </c>
      <c r="H12" s="288" t="str">
        <f t="shared" si="1"/>
        <v>EURFUT3MG6_Quote</v>
      </c>
      <c r="I12" s="288" t="str">
        <f t="shared" si="2"/>
        <v>EURFUT3MG6ConvAdj_Quote</v>
      </c>
      <c r="J12" s="289" t="str">
        <f>_xll.qlFuturesRateHelper(,$H12,$C12,$F12,$G12,$I12,Permanent,Trigger,ObjectOverwrite)</f>
        <v>obj_00762#0003</v>
      </c>
      <c r="K12" s="290" t="str">
        <f>_xll.ohRangeRetrieveError(J12)</f>
        <v/>
      </c>
      <c r="L12" s="274"/>
      <c r="M12" s="285"/>
    </row>
    <row r="13" spans="1:13" ht="12" customHeight="1" x14ac:dyDescent="0.25">
      <c r="A13" s="279"/>
      <c r="B13" s="160">
        <v>11</v>
      </c>
      <c r="C13" s="160" t="s">
        <v>186</v>
      </c>
      <c r="D13" s="160" t="b">
        <v>0</v>
      </c>
      <c r="E13" s="286" t="str">
        <v>H6</v>
      </c>
      <c r="F13" s="287">
        <f>_xll.qlIMMdate(E13)</f>
        <v>42445</v>
      </c>
      <c r="G13" s="160" t="str">
        <f t="shared" si="0"/>
        <v>Euribor3M</v>
      </c>
      <c r="H13" s="288" t="str">
        <f t="shared" si="1"/>
        <v>EURFUT3MH6_Quote</v>
      </c>
      <c r="I13" s="288" t="str">
        <f t="shared" si="2"/>
        <v>EURFUT3MH6ConvAdj_Quote</v>
      </c>
      <c r="J13" s="289" t="str">
        <f>_xll.qlFuturesRateHelper(,$H13,$C13,$F13,$G13,$I13,Permanent,Trigger,ObjectOverwrite)</f>
        <v>obj_00766#0003</v>
      </c>
      <c r="K13" s="290" t="str">
        <f>_xll.ohRangeRetrieveError(J13)</f>
        <v/>
      </c>
      <c r="L13" s="274"/>
      <c r="M13" s="285"/>
    </row>
    <row r="14" spans="1:13" ht="12" customHeight="1" x14ac:dyDescent="0.25">
      <c r="A14" s="279"/>
      <c r="B14" s="160">
        <v>12</v>
      </c>
      <c r="C14" s="160" t="s">
        <v>186</v>
      </c>
      <c r="D14" s="160" t="b">
        <v>0</v>
      </c>
      <c r="E14" s="286" t="str">
        <v>J6</v>
      </c>
      <c r="F14" s="287">
        <f>_xll.qlIMMdate(E14)</f>
        <v>42480</v>
      </c>
      <c r="G14" s="160" t="str">
        <f t="shared" si="0"/>
        <v>Euribor3M</v>
      </c>
      <c r="H14" s="288" t="str">
        <f t="shared" si="1"/>
        <v>EURFUT3MJ6_Quote</v>
      </c>
      <c r="I14" s="288" t="str">
        <f t="shared" si="2"/>
        <v>EURFUT3MJ6ConvAdj_Quote</v>
      </c>
      <c r="J14" s="289" t="str">
        <f>_xll.qlFuturesRateHelper(,$H14,$C14,$F14,$G14,$I14,Permanent,Trigger,ObjectOverwrite)</f>
        <v>obj_0074c#0003</v>
      </c>
      <c r="K14" s="290" t="str">
        <f>_xll.ohRangeRetrieveError(J14)</f>
        <v/>
      </c>
      <c r="L14" s="274"/>
      <c r="M14" s="285"/>
    </row>
    <row r="15" spans="1:13" ht="12" customHeight="1" x14ac:dyDescent="0.25">
      <c r="A15" s="279"/>
      <c r="B15" s="160">
        <v>13</v>
      </c>
      <c r="C15" s="160" t="s">
        <v>186</v>
      </c>
      <c r="D15" s="160" t="b">
        <v>1</v>
      </c>
      <c r="E15" s="286" t="str">
        <v>M6</v>
      </c>
      <c r="F15" s="287">
        <f>_xll.qlIMMdate(E15)</f>
        <v>42536</v>
      </c>
      <c r="G15" s="160" t="str">
        <f t="shared" si="0"/>
        <v>Euribor3M</v>
      </c>
      <c r="H15" s="288" t="str">
        <f t="shared" si="1"/>
        <v>EURFUT3MM6_Quote</v>
      </c>
      <c r="I15" s="288" t="str">
        <f t="shared" si="2"/>
        <v>EURFUT3MM6ConvAdj_Quote</v>
      </c>
      <c r="J15" s="289" t="str">
        <f>_xll.qlFuturesRateHelper(,$H15,$C15,$F15,$G15,$I15,Permanent,Trigger,ObjectOverwrite)</f>
        <v>obj_00763#0003</v>
      </c>
      <c r="K15" s="290" t="str">
        <f>_xll.ohRangeRetrieveError(J15)</f>
        <v/>
      </c>
      <c r="L15" s="274"/>
      <c r="M15" s="285"/>
    </row>
    <row r="16" spans="1:13" ht="12" customHeight="1" x14ac:dyDescent="0.25">
      <c r="A16" s="279"/>
      <c r="B16" s="160">
        <v>14</v>
      </c>
      <c r="C16" s="160" t="s">
        <v>186</v>
      </c>
      <c r="D16" s="160" t="b">
        <v>1</v>
      </c>
      <c r="E16" s="286" t="str">
        <v>U6</v>
      </c>
      <c r="F16" s="287">
        <f>_xll.qlIMMdate(E16)</f>
        <v>42634</v>
      </c>
      <c r="G16" s="160" t="str">
        <f t="shared" si="0"/>
        <v>Euribor3M</v>
      </c>
      <c r="H16" s="288" t="str">
        <f t="shared" si="1"/>
        <v>EURFUT3MU6_Quote</v>
      </c>
      <c r="I16" s="288" t="str">
        <f t="shared" si="2"/>
        <v>EURFUT3MU6ConvAdj_Quote</v>
      </c>
      <c r="J16" s="289" t="str">
        <f>_xll.qlFuturesRateHelper(,$H16,$C16,$F16,$G16,$I16,Permanent,Trigger,ObjectOverwrite)</f>
        <v>obj_00743#0003</v>
      </c>
      <c r="K16" s="290" t="str">
        <f>_xll.ohRangeRetrieveError(J16)</f>
        <v/>
      </c>
      <c r="L16" s="274"/>
      <c r="M16" s="285"/>
    </row>
    <row r="17" spans="1:13" ht="12" customHeight="1" x14ac:dyDescent="0.25">
      <c r="A17" s="279"/>
      <c r="B17" s="160">
        <v>15</v>
      </c>
      <c r="C17" s="160" t="s">
        <v>186</v>
      </c>
      <c r="D17" s="160" t="b">
        <v>1</v>
      </c>
      <c r="E17" s="286" t="str">
        <v>Z6</v>
      </c>
      <c r="F17" s="287">
        <f>_xll.qlIMMdate(E17)</f>
        <v>42725</v>
      </c>
      <c r="G17" s="160" t="str">
        <f t="shared" si="0"/>
        <v>Euribor3M</v>
      </c>
      <c r="H17" s="288" t="str">
        <f t="shared" si="1"/>
        <v>EURFUT3MZ6_Quote</v>
      </c>
      <c r="I17" s="288" t="str">
        <f t="shared" si="2"/>
        <v>EURFUT3MZ6ConvAdj_Quote</v>
      </c>
      <c r="J17" s="289" t="str">
        <f>_xll.qlFuturesRateHelper(,$H17,$C17,$F17,$G17,$I17,Permanent,Trigger,ObjectOverwrite)</f>
        <v>obj_00765#0003</v>
      </c>
      <c r="K17" s="290" t="str">
        <f>_xll.ohRangeRetrieveError(J17)</f>
        <v/>
      </c>
      <c r="L17" s="274"/>
      <c r="M17" s="285"/>
    </row>
    <row r="18" spans="1:13" ht="12" customHeight="1" x14ac:dyDescent="0.25">
      <c r="A18" s="279"/>
      <c r="B18" s="160">
        <v>16</v>
      </c>
      <c r="C18" s="160" t="s">
        <v>186</v>
      </c>
      <c r="D18" s="160" t="b">
        <v>1</v>
      </c>
      <c r="E18" s="286" t="str">
        <v>H7</v>
      </c>
      <c r="F18" s="287">
        <f>_xll.qlIMMdate(E18)</f>
        <v>42809</v>
      </c>
      <c r="G18" s="160" t="str">
        <f t="shared" si="0"/>
        <v>Euribor3M</v>
      </c>
      <c r="H18" s="288" t="str">
        <f t="shared" si="1"/>
        <v>EURFUT3MH7_Quote</v>
      </c>
      <c r="I18" s="288" t="str">
        <f t="shared" si="2"/>
        <v>EURFUT3MH7ConvAdj_Quote</v>
      </c>
      <c r="J18" s="289" t="str">
        <f>_xll.qlFuturesRateHelper(,$H18,$C18,$F18,$G18,$I18,Permanent,Trigger,ObjectOverwrite)</f>
        <v>obj_00755#0003</v>
      </c>
      <c r="K18" s="290" t="str">
        <f>_xll.ohRangeRetrieveError(J18)</f>
        <v/>
      </c>
      <c r="L18" s="274"/>
      <c r="M18" s="285"/>
    </row>
    <row r="19" spans="1:13" ht="12" customHeight="1" x14ac:dyDescent="0.25">
      <c r="A19" s="279"/>
      <c r="B19" s="160">
        <v>17</v>
      </c>
      <c r="C19" s="160" t="s">
        <v>186</v>
      </c>
      <c r="D19" s="160" t="b">
        <v>1</v>
      </c>
      <c r="E19" s="286" t="str">
        <v>M7</v>
      </c>
      <c r="F19" s="287">
        <f>_xll.qlIMMdate(E19)</f>
        <v>42907</v>
      </c>
      <c r="G19" s="160" t="str">
        <f t="shared" si="0"/>
        <v>Euribor3M</v>
      </c>
      <c r="H19" s="288" t="str">
        <f t="shared" si="1"/>
        <v>EURFUT3MM7_Quote</v>
      </c>
      <c r="I19" s="288" t="str">
        <f t="shared" si="2"/>
        <v>EURFUT3MM7ConvAdj_Quote</v>
      </c>
      <c r="J19" s="289" t="str">
        <f>_xll.qlFuturesRateHelper(,$H19,$C19,$F19,$G19,$I19,Permanent,Trigger,ObjectOverwrite)</f>
        <v>obj_00751#0003</v>
      </c>
      <c r="K19" s="290" t="str">
        <f>_xll.ohRangeRetrieveError(J19)</f>
        <v/>
      </c>
      <c r="L19" s="274"/>
      <c r="M19" s="285"/>
    </row>
    <row r="20" spans="1:13" ht="12" customHeight="1" x14ac:dyDescent="0.25">
      <c r="A20" s="279"/>
      <c r="B20" s="160">
        <v>18</v>
      </c>
      <c r="C20" s="160" t="s">
        <v>186</v>
      </c>
      <c r="D20" s="160" t="b">
        <v>1</v>
      </c>
      <c r="E20" s="286" t="str">
        <v>U7</v>
      </c>
      <c r="F20" s="287">
        <f>_xll.qlIMMdate(E20)</f>
        <v>42998</v>
      </c>
      <c r="G20" s="160" t="str">
        <f t="shared" si="0"/>
        <v>Euribor3M</v>
      </c>
      <c r="H20" s="288" t="str">
        <f t="shared" si="1"/>
        <v>EURFUT3MU7_Quote</v>
      </c>
      <c r="I20" s="288" t="str">
        <f t="shared" si="2"/>
        <v>EURFUT3MU7ConvAdj_Quote</v>
      </c>
      <c r="J20" s="289" t="str">
        <f>_xll.qlFuturesRateHelper(,$H20,$C20,$F20,$G20,$I20,Permanent,Trigger,ObjectOverwrite)</f>
        <v>obj_00760#0003</v>
      </c>
      <c r="K20" s="290" t="str">
        <f>_xll.ohRangeRetrieveError(J20)</f>
        <v/>
      </c>
      <c r="L20" s="274"/>
      <c r="M20" s="285"/>
    </row>
    <row r="21" spans="1:13" ht="12" customHeight="1" x14ac:dyDescent="0.25">
      <c r="A21" s="279"/>
      <c r="B21" s="160">
        <v>19</v>
      </c>
      <c r="C21" s="160" t="s">
        <v>186</v>
      </c>
      <c r="D21" s="160" t="b">
        <v>1</v>
      </c>
      <c r="E21" s="286" t="str">
        <v>Z7</v>
      </c>
      <c r="F21" s="287">
        <f>_xll.qlIMMdate(E21)</f>
        <v>43089</v>
      </c>
      <c r="G21" s="160" t="str">
        <f t="shared" si="0"/>
        <v>Euribor3M</v>
      </c>
      <c r="H21" s="288" t="str">
        <f t="shared" si="1"/>
        <v>EURFUT3MZ7_Quote</v>
      </c>
      <c r="I21" s="288" t="str">
        <f t="shared" si="2"/>
        <v>EURFUT3MZ7ConvAdj_Quote</v>
      </c>
      <c r="J21" s="289" t="str">
        <f>_xll.qlFuturesRateHelper(,$H21,$C21,$F21,$G21,$I21,Permanent,Trigger,ObjectOverwrite)</f>
        <v>obj_0074f#0003</v>
      </c>
      <c r="K21" s="290" t="str">
        <f>_xll.ohRangeRetrieveError(J21)</f>
        <v/>
      </c>
      <c r="L21" s="274"/>
      <c r="M21" s="285"/>
    </row>
    <row r="22" spans="1:13" ht="12" customHeight="1" x14ac:dyDescent="0.25">
      <c r="A22" s="279"/>
      <c r="B22" s="160">
        <v>20</v>
      </c>
      <c r="C22" s="160" t="s">
        <v>186</v>
      </c>
      <c r="D22" s="160" t="b">
        <v>1</v>
      </c>
      <c r="E22" s="286" t="str">
        <v>H8</v>
      </c>
      <c r="F22" s="287">
        <f>_xll.qlIMMdate(E22)</f>
        <v>43180</v>
      </c>
      <c r="G22" s="160" t="str">
        <f t="shared" si="0"/>
        <v>Euribor3M</v>
      </c>
      <c r="H22" s="288" t="str">
        <f t="shared" si="1"/>
        <v>EURFUT3MH8_Quote</v>
      </c>
      <c r="I22" s="288" t="str">
        <f t="shared" si="2"/>
        <v>EURFUT3MH8ConvAdj_Quote</v>
      </c>
      <c r="J22" s="289" t="str">
        <f>_xll.qlFuturesRateHelper(,$H22,$C22,$F22,$G22,$I22,Permanent,Trigger,ObjectOverwrite)</f>
        <v>obj_0075f#0003</v>
      </c>
      <c r="K22" s="290" t="str">
        <f>_xll.ohRangeRetrieveError(J22)</f>
        <v/>
      </c>
      <c r="L22" s="274"/>
      <c r="M22" s="285"/>
    </row>
    <row r="23" spans="1:13" ht="12" customHeight="1" x14ac:dyDescent="0.25">
      <c r="A23" s="279"/>
      <c r="B23" s="160">
        <v>21</v>
      </c>
      <c r="C23" s="160" t="s">
        <v>186</v>
      </c>
      <c r="D23" s="160" t="b">
        <v>1</v>
      </c>
      <c r="E23" s="286" t="str">
        <v>M8</v>
      </c>
      <c r="F23" s="287">
        <f>_xll.qlIMMdate(E23)</f>
        <v>43271</v>
      </c>
      <c r="G23" s="160" t="str">
        <f t="shared" si="0"/>
        <v>Euribor3M</v>
      </c>
      <c r="H23" s="288" t="str">
        <f t="shared" si="1"/>
        <v>EURFUT3MM8_Quote</v>
      </c>
      <c r="I23" s="288" t="str">
        <f t="shared" si="2"/>
        <v>EURFUT3MM8ConvAdj_Quote</v>
      </c>
      <c r="J23" s="289" t="str">
        <f>_xll.qlFuturesRateHelper(,$H23,$C23,$F23,$G23,$I23,Permanent,Trigger,ObjectOverwrite)</f>
        <v>obj_00764#0003</v>
      </c>
      <c r="K23" s="290" t="str">
        <f>_xll.ohRangeRetrieveError(J23)</f>
        <v/>
      </c>
      <c r="L23" s="274"/>
      <c r="M23" s="285"/>
    </row>
    <row r="24" spans="1:13" ht="12" customHeight="1" x14ac:dyDescent="0.25">
      <c r="A24" s="279"/>
      <c r="B24" s="160">
        <v>22</v>
      </c>
      <c r="C24" s="160" t="s">
        <v>186</v>
      </c>
      <c r="D24" s="160" t="b">
        <v>1</v>
      </c>
      <c r="E24" s="286" t="str">
        <v>U8</v>
      </c>
      <c r="F24" s="287">
        <f>_xll.qlIMMdate(E24)</f>
        <v>43362</v>
      </c>
      <c r="G24" s="160" t="str">
        <f t="shared" si="0"/>
        <v>Euribor3M</v>
      </c>
      <c r="H24" s="288" t="str">
        <f t="shared" si="1"/>
        <v>EURFUT3MU8_Quote</v>
      </c>
      <c r="I24" s="288" t="str">
        <f t="shared" si="2"/>
        <v>EURFUT3MU8ConvAdj_Quote</v>
      </c>
      <c r="J24" s="289" t="str">
        <f>_xll.qlFuturesRateHelper(,$H24,$C24,$F24,$G24,$I24,Permanent,Trigger,ObjectOverwrite)</f>
        <v>obj_00758#0003</v>
      </c>
      <c r="K24" s="290" t="str">
        <f>_xll.ohRangeRetrieveError(J24)</f>
        <v/>
      </c>
      <c r="L24" s="274"/>
      <c r="M24" s="285"/>
    </row>
    <row r="25" spans="1:13" ht="12" customHeight="1" x14ac:dyDescent="0.25">
      <c r="A25" s="279"/>
      <c r="B25" s="160">
        <v>23</v>
      </c>
      <c r="C25" s="160" t="s">
        <v>186</v>
      </c>
      <c r="D25" s="160" t="b">
        <v>1</v>
      </c>
      <c r="E25" s="286" t="str">
        <v>Z8</v>
      </c>
      <c r="F25" s="287">
        <f>_xll.qlIMMdate(E25)</f>
        <v>43453</v>
      </c>
      <c r="G25" s="160" t="str">
        <f t="shared" si="0"/>
        <v>Euribor3M</v>
      </c>
      <c r="H25" s="288" t="str">
        <f t="shared" si="1"/>
        <v>EURFUT3MZ8_Quote</v>
      </c>
      <c r="I25" s="288" t="str">
        <f t="shared" si="2"/>
        <v>EURFUT3MZ8ConvAdj_Quote</v>
      </c>
      <c r="J25" s="289" t="str">
        <f>_xll.qlFuturesRateHelper(,$H25,$C25,$F25,$G25,$I25,Permanent,Trigger,ObjectOverwrite)</f>
        <v>obj_0075e#0003</v>
      </c>
      <c r="K25" s="290" t="str">
        <f>_xll.ohRangeRetrieveError(J25)</f>
        <v/>
      </c>
      <c r="L25" s="274"/>
      <c r="M25" s="285"/>
    </row>
    <row r="26" spans="1:13" ht="12" customHeight="1" x14ac:dyDescent="0.25">
      <c r="A26" s="279"/>
      <c r="B26" s="160">
        <v>24</v>
      </c>
      <c r="C26" s="160" t="s">
        <v>186</v>
      </c>
      <c r="D26" s="160" t="b">
        <v>1</v>
      </c>
      <c r="E26" s="286" t="str">
        <v>H9</v>
      </c>
      <c r="F26" s="287">
        <f>_xll.qlIMMdate(E26)</f>
        <v>43544</v>
      </c>
      <c r="G26" s="160" t="str">
        <f t="shared" si="0"/>
        <v>Euribor3M</v>
      </c>
      <c r="H26" s="288" t="str">
        <f t="shared" si="1"/>
        <v>EURFUT3MH9_Quote</v>
      </c>
      <c r="I26" s="288" t="str">
        <f t="shared" si="2"/>
        <v>EURFUT3MH9ConvAdj_Quote</v>
      </c>
      <c r="J26" s="289" t="str">
        <f>_xll.qlFuturesRateHelper(,$H26,$C26,$F26,$G26,$I26,Permanent,Trigger,ObjectOverwrite)</f>
        <v>obj_00754#0003</v>
      </c>
      <c r="K26" s="290" t="str">
        <f>_xll.ohRangeRetrieveError(J26)</f>
        <v/>
      </c>
      <c r="L26" s="274"/>
      <c r="M26" s="285"/>
    </row>
    <row r="27" spans="1:13" ht="12" customHeight="1" x14ac:dyDescent="0.25">
      <c r="A27" s="279"/>
      <c r="B27" s="160">
        <v>25</v>
      </c>
      <c r="C27" s="160" t="s">
        <v>186</v>
      </c>
      <c r="D27" s="160" t="b">
        <v>1</v>
      </c>
      <c r="E27" s="286" t="str">
        <v>M9</v>
      </c>
      <c r="F27" s="287">
        <f>_xll.qlIMMdate(E27)</f>
        <v>43635</v>
      </c>
      <c r="G27" s="160" t="str">
        <f t="shared" si="0"/>
        <v>Euribor3M</v>
      </c>
      <c r="H27" s="288" t="str">
        <f t="shared" si="1"/>
        <v>EURFUT3MM9_Quote</v>
      </c>
      <c r="I27" s="288" t="str">
        <f t="shared" si="2"/>
        <v>EURFUT3MM9ConvAdj_Quote</v>
      </c>
      <c r="J27" s="289" t="str">
        <f>_xll.qlFuturesRateHelper(,$H27,$C27,$F27,$G27,$I27,Permanent,Trigger,ObjectOverwrite)</f>
        <v>obj_00741#0003</v>
      </c>
      <c r="K27" s="290" t="str">
        <f>_xll.ohRangeRetrieveError(J27)</f>
        <v/>
      </c>
      <c r="L27" s="274"/>
      <c r="M27" s="285"/>
    </row>
    <row r="28" spans="1:13" ht="12" customHeight="1" x14ac:dyDescent="0.25">
      <c r="A28" s="279"/>
      <c r="B28" s="160">
        <v>26</v>
      </c>
      <c r="C28" s="160" t="s">
        <v>186</v>
      </c>
      <c r="D28" s="160" t="b">
        <v>1</v>
      </c>
      <c r="E28" s="286" t="str">
        <v>U9</v>
      </c>
      <c r="F28" s="287">
        <f>_xll.qlIMMdate(E28)</f>
        <v>43726</v>
      </c>
      <c r="G28" s="160" t="str">
        <f t="shared" si="0"/>
        <v>Euribor3M</v>
      </c>
      <c r="H28" s="288" t="str">
        <f t="shared" si="1"/>
        <v>EURFUT3MU9_Quote</v>
      </c>
      <c r="I28" s="288" t="str">
        <f t="shared" si="2"/>
        <v>EURFUT3MU9ConvAdj_Quote</v>
      </c>
      <c r="J28" s="289" t="str">
        <f>_xll.qlFuturesRateHelper(,$H28,$C28,$F28,$G28,$I28,Permanent,Trigger,ObjectOverwrite)</f>
        <v>obj_00745#0003</v>
      </c>
      <c r="K28" s="290" t="str">
        <f>_xll.ohRangeRetrieveError(J28)</f>
        <v/>
      </c>
      <c r="L28" s="274"/>
      <c r="M28" s="285"/>
    </row>
    <row r="29" spans="1:13" ht="12" customHeight="1" x14ac:dyDescent="0.25">
      <c r="A29" s="279"/>
      <c r="B29" s="160">
        <v>27</v>
      </c>
      <c r="C29" s="160" t="s">
        <v>186</v>
      </c>
      <c r="D29" s="160" t="b">
        <v>1</v>
      </c>
      <c r="E29" s="286" t="str">
        <v>Z9</v>
      </c>
      <c r="F29" s="287">
        <f>_xll.qlIMMdate(E29)</f>
        <v>43817</v>
      </c>
      <c r="G29" s="160" t="str">
        <f t="shared" si="0"/>
        <v>Euribor3M</v>
      </c>
      <c r="H29" s="288" t="str">
        <f t="shared" si="1"/>
        <v>EURFUT3MZ9_Quote</v>
      </c>
      <c r="I29" s="288" t="str">
        <f t="shared" si="2"/>
        <v>EURFUT3MZ9ConvAdj_Quote</v>
      </c>
      <c r="J29" s="289" t="str">
        <f>_xll.qlFuturesRateHelper(,$H29,$C29,$F29,$G29,$I29,Permanent,Trigger,ObjectOverwrite)</f>
        <v>obj_00740#0003</v>
      </c>
      <c r="K29" s="290" t="str">
        <f>_xll.ohRangeRetrieveError(J29)</f>
        <v/>
      </c>
      <c r="L29" s="274"/>
      <c r="M29" s="285"/>
    </row>
    <row r="30" spans="1:13" ht="12" customHeight="1" x14ac:dyDescent="0.25">
      <c r="A30" s="279"/>
      <c r="B30" s="160">
        <v>28</v>
      </c>
      <c r="C30" s="160" t="s">
        <v>186</v>
      </c>
      <c r="D30" s="160" t="b">
        <v>1</v>
      </c>
      <c r="E30" s="286" t="str">
        <v>H0</v>
      </c>
      <c r="F30" s="287">
        <f>_xll.qlIMMdate(E30)</f>
        <v>43908</v>
      </c>
      <c r="G30" s="160" t="str">
        <f t="shared" si="0"/>
        <v>Euribor3M</v>
      </c>
      <c r="H30" s="288" t="str">
        <f t="shared" si="1"/>
        <v>EURFUT3MH0_Quote</v>
      </c>
      <c r="I30" s="288" t="str">
        <f t="shared" si="2"/>
        <v>EURFUT3MH0ConvAdj_Quote</v>
      </c>
      <c r="J30" s="289" t="str">
        <f>_xll.qlFuturesRateHelper(,$H30,$C30,$F30,$G30,$I30,Permanent,Trigger,ObjectOverwrite)</f>
        <v>obj_00757#0003</v>
      </c>
      <c r="K30" s="290" t="str">
        <f>_xll.ohRangeRetrieveError(J30)</f>
        <v/>
      </c>
      <c r="L30" s="274"/>
      <c r="M30" s="285"/>
    </row>
    <row r="31" spans="1:13" ht="12" customHeight="1" x14ac:dyDescent="0.25">
      <c r="A31" s="279"/>
      <c r="B31" s="160">
        <v>29</v>
      </c>
      <c r="C31" s="160" t="s">
        <v>186</v>
      </c>
      <c r="D31" s="160" t="b">
        <v>1</v>
      </c>
      <c r="E31" s="286" t="str">
        <v>M0</v>
      </c>
      <c r="F31" s="287">
        <f>_xll.qlIMMdate(E31)</f>
        <v>43999</v>
      </c>
      <c r="G31" s="160" t="str">
        <f t="shared" si="0"/>
        <v>Euribor3M</v>
      </c>
      <c r="H31" s="288" t="str">
        <f t="shared" si="1"/>
        <v>EURFUT3MM0_Quote</v>
      </c>
      <c r="I31" s="288" t="str">
        <f t="shared" si="2"/>
        <v>EURFUT3MM0ConvAdj_Quote</v>
      </c>
      <c r="J31" s="289" t="str">
        <f>_xll.qlFuturesRateHelper(,$H31,$C31,$F31,$G31,$I31,Permanent,Trigger,ObjectOverwrite)</f>
        <v>obj_0075d#0003</v>
      </c>
      <c r="K31" s="290" t="str">
        <f>_xll.ohRangeRetrieveError(J31)</f>
        <v/>
      </c>
      <c r="L31" s="274"/>
      <c r="M31" s="285"/>
    </row>
    <row r="32" spans="1:13" ht="12" customHeight="1" x14ac:dyDescent="0.25">
      <c r="A32" s="279"/>
      <c r="B32" s="160">
        <v>30</v>
      </c>
      <c r="C32" s="160" t="s">
        <v>186</v>
      </c>
      <c r="D32" s="160" t="b">
        <v>1</v>
      </c>
      <c r="E32" s="286" t="str">
        <v>U0</v>
      </c>
      <c r="F32" s="287">
        <f>_xll.qlIMMdate(E32)</f>
        <v>44090</v>
      </c>
      <c r="G32" s="160" t="str">
        <f t="shared" si="0"/>
        <v>Euribor3M</v>
      </c>
      <c r="H32" s="288" t="str">
        <f t="shared" si="1"/>
        <v>EURFUT3MU0_Quote</v>
      </c>
      <c r="I32" s="288" t="str">
        <f t="shared" si="2"/>
        <v>EURFUT3MU0ConvAdj_Quote</v>
      </c>
      <c r="J32" s="289" t="str">
        <f>_xll.qlFuturesRateHelper(,$H32,$C32,$F32,$G32,$I32,Permanent,Trigger,ObjectOverwrite)</f>
        <v>obj_0075c#0003</v>
      </c>
      <c r="K32" s="290" t="str">
        <f>_xll.ohRangeRetrieveError(J32)</f>
        <v/>
      </c>
      <c r="L32" s="274"/>
      <c r="M32" s="285"/>
    </row>
    <row r="33" spans="1:13" ht="12" customHeight="1" x14ac:dyDescent="0.25">
      <c r="A33" s="279"/>
      <c r="B33" s="160">
        <v>31</v>
      </c>
      <c r="C33" s="160" t="s">
        <v>186</v>
      </c>
      <c r="D33" s="160" t="b">
        <v>1</v>
      </c>
      <c r="E33" s="286" t="str">
        <v>Z0</v>
      </c>
      <c r="F33" s="287">
        <f>_xll.qlIMMdate(E33)</f>
        <v>44181</v>
      </c>
      <c r="G33" s="160" t="str">
        <f t="shared" si="0"/>
        <v>Euribor3M</v>
      </c>
      <c r="H33" s="288" t="str">
        <f t="shared" si="1"/>
        <v>EURFUT3MZ0_Quote</v>
      </c>
      <c r="I33" s="288" t="str">
        <f t="shared" si="2"/>
        <v>EURFUT3MZ0ConvAdj_Quote</v>
      </c>
      <c r="J33" s="289" t="str">
        <f>_xll.qlFuturesRateHelper(,$H33,$C33,$F33,$G33,$I33,Permanent,Trigger,ObjectOverwrite)</f>
        <v>obj_00768#0003</v>
      </c>
      <c r="K33" s="290" t="str">
        <f>_xll.ohRangeRetrieveError(J33)</f>
        <v/>
      </c>
      <c r="L33" s="274"/>
      <c r="M33" s="285"/>
    </row>
    <row r="34" spans="1:13" ht="12" customHeight="1" x14ac:dyDescent="0.25">
      <c r="A34" s="279"/>
      <c r="B34" s="160">
        <v>32</v>
      </c>
      <c r="C34" s="160" t="s">
        <v>186</v>
      </c>
      <c r="D34" s="160" t="b">
        <v>1</v>
      </c>
      <c r="E34" s="286" t="str">
        <v>H1</v>
      </c>
      <c r="F34" s="287">
        <f>_xll.qlIMMdate(E34)</f>
        <v>44272</v>
      </c>
      <c r="G34" s="160" t="str">
        <f t="shared" si="0"/>
        <v>Euribor3M</v>
      </c>
      <c r="H34" s="288" t="str">
        <f t="shared" si="1"/>
        <v>EURFUT3MH1_Quote</v>
      </c>
      <c r="I34" s="288" t="str">
        <f t="shared" si="2"/>
        <v>EURFUT3MH1ConvAdj_Quote</v>
      </c>
      <c r="J34" s="289" t="str">
        <f>_xll.qlFuturesRateHelper(,$H34,$C34,$F34,$G34,$I34,Permanent,Trigger,ObjectOverwrite)</f>
        <v>obj_00746#0003</v>
      </c>
      <c r="K34" s="290" t="str">
        <f>_xll.ohRangeRetrieveError(J34)</f>
        <v/>
      </c>
      <c r="L34" s="274"/>
      <c r="M34" s="285"/>
    </row>
    <row r="35" spans="1:13" ht="12" customHeight="1" x14ac:dyDescent="0.25">
      <c r="A35" s="279"/>
      <c r="B35" s="160">
        <v>33</v>
      </c>
      <c r="C35" s="160" t="s">
        <v>186</v>
      </c>
      <c r="D35" s="160" t="b">
        <v>1</v>
      </c>
      <c r="E35" s="286" t="str">
        <v>M1</v>
      </c>
      <c r="F35" s="287">
        <f>_xll.qlIMMdate(E35)</f>
        <v>44363</v>
      </c>
      <c r="G35" s="160" t="str">
        <f t="shared" ref="G35:G44" si="3">PROPER(Currency)&amp;FamilyName&amp;$G$1</f>
        <v>Euribor3M</v>
      </c>
      <c r="H35" s="288" t="str">
        <f t="shared" ref="H35:H44" si="4">Currency&amp;"FUT"&amp;$G$1&amp;$E35&amp;QuoteSuffix</f>
        <v>EURFUT3MM1_Quote</v>
      </c>
      <c r="I35" s="288" t="str">
        <f t="shared" ref="I35:I44" si="5">Currency&amp;"FUT"&amp;$G$1&amp;$E35&amp;"ConvAdj"&amp;QuoteSuffix</f>
        <v>EURFUT3MM1ConvAdj_Quote</v>
      </c>
      <c r="J35" s="289" t="str">
        <f>_xll.qlFuturesRateHelper(,$H35,$C35,$F35,$G35,$I35,Permanent,Trigger,ObjectOverwrite)</f>
        <v>obj_00767#0003</v>
      </c>
      <c r="K35" s="290" t="str">
        <f>_xll.ohRangeRetrieveError(J35)</f>
        <v/>
      </c>
      <c r="L35" s="274"/>
      <c r="M35" s="285"/>
    </row>
    <row r="36" spans="1:13" ht="12" customHeight="1" x14ac:dyDescent="0.25">
      <c r="A36" s="279"/>
      <c r="B36" s="160">
        <v>34</v>
      </c>
      <c r="C36" s="160" t="s">
        <v>186</v>
      </c>
      <c r="D36" s="160" t="b">
        <v>1</v>
      </c>
      <c r="E36" s="286" t="str">
        <v>U1</v>
      </c>
      <c r="F36" s="287">
        <f>_xll.qlIMMdate(E36)</f>
        <v>44454</v>
      </c>
      <c r="G36" s="160" t="str">
        <f t="shared" si="3"/>
        <v>Euribor3M</v>
      </c>
      <c r="H36" s="288" t="str">
        <f t="shared" si="4"/>
        <v>EURFUT3MU1_Quote</v>
      </c>
      <c r="I36" s="288" t="str">
        <f t="shared" si="5"/>
        <v>EURFUT3MU1ConvAdj_Quote</v>
      </c>
      <c r="J36" s="289" t="str">
        <f>_xll.qlFuturesRateHelper(,$H36,$C36,$F36,$G36,$I36,Permanent,Trigger,ObjectOverwrite)</f>
        <v>obj_0075a#0003</v>
      </c>
      <c r="K36" s="290" t="str">
        <f>_xll.ohRangeRetrieveError(J36)</f>
        <v/>
      </c>
      <c r="L36" s="274"/>
      <c r="M36" s="285"/>
    </row>
    <row r="37" spans="1:13" ht="12" customHeight="1" x14ac:dyDescent="0.25">
      <c r="A37" s="279"/>
      <c r="B37" s="160">
        <v>35</v>
      </c>
      <c r="C37" s="160" t="s">
        <v>186</v>
      </c>
      <c r="D37" s="160" t="b">
        <v>1</v>
      </c>
      <c r="E37" s="286" t="str">
        <v>Z1</v>
      </c>
      <c r="F37" s="287">
        <f>_xll.qlIMMdate(E37)</f>
        <v>44545</v>
      </c>
      <c r="G37" s="160" t="str">
        <f t="shared" si="3"/>
        <v>Euribor3M</v>
      </c>
      <c r="H37" s="288" t="str">
        <f t="shared" si="4"/>
        <v>EURFUT3MZ1_Quote</v>
      </c>
      <c r="I37" s="288" t="str">
        <f t="shared" si="5"/>
        <v>EURFUT3MZ1ConvAdj_Quote</v>
      </c>
      <c r="J37" s="289" t="str">
        <f>_xll.qlFuturesRateHelper(,$H37,$C37,$F37,$G37,$I37,Permanent,Trigger,ObjectOverwrite)</f>
        <v>obj_0074d#0003</v>
      </c>
      <c r="K37" s="290" t="str">
        <f>_xll.ohRangeRetrieveError(J37)</f>
        <v/>
      </c>
      <c r="L37" s="274"/>
      <c r="M37" s="285"/>
    </row>
    <row r="38" spans="1:13" ht="12" customHeight="1" x14ac:dyDescent="0.25">
      <c r="A38" s="279"/>
      <c r="B38" s="160">
        <v>36</v>
      </c>
      <c r="C38" s="160" t="s">
        <v>186</v>
      </c>
      <c r="D38" s="160" t="b">
        <v>1</v>
      </c>
      <c r="E38" s="286" t="str">
        <v>H2</v>
      </c>
      <c r="F38" s="287">
        <f>_xll.qlIMMdate(E38)</f>
        <v>44636</v>
      </c>
      <c r="G38" s="160" t="str">
        <f t="shared" si="3"/>
        <v>Euribor3M</v>
      </c>
      <c r="H38" s="288" t="str">
        <f t="shared" si="4"/>
        <v>EURFUT3MH2_Quote</v>
      </c>
      <c r="I38" s="288" t="str">
        <f t="shared" si="5"/>
        <v>EURFUT3MH2ConvAdj_Quote</v>
      </c>
      <c r="J38" s="289" t="str">
        <f>_xll.qlFuturesRateHelper(,$H38,$C38,$F38,$G38,$I38,Permanent,Trigger,ObjectOverwrite)</f>
        <v>obj_00744#0003</v>
      </c>
      <c r="K38" s="290" t="str">
        <f>_xll.ohRangeRetrieveError(J38)</f>
        <v/>
      </c>
      <c r="L38" s="274"/>
      <c r="M38" s="285"/>
    </row>
    <row r="39" spans="1:13" ht="12" customHeight="1" x14ac:dyDescent="0.25">
      <c r="A39" s="279"/>
      <c r="B39" s="160">
        <v>37</v>
      </c>
      <c r="C39" s="160" t="s">
        <v>186</v>
      </c>
      <c r="D39" s="160" t="b">
        <v>1</v>
      </c>
      <c r="E39" s="286" t="str">
        <v>M2</v>
      </c>
      <c r="F39" s="287">
        <f>_xll.qlIMMdate(E39)</f>
        <v>44727</v>
      </c>
      <c r="G39" s="160" t="str">
        <f t="shared" si="3"/>
        <v>Euribor3M</v>
      </c>
      <c r="H39" s="288" t="str">
        <f t="shared" si="4"/>
        <v>EURFUT3MM2_Quote</v>
      </c>
      <c r="I39" s="288" t="str">
        <f t="shared" si="5"/>
        <v>EURFUT3MM2ConvAdj_Quote</v>
      </c>
      <c r="J39" s="289" t="str">
        <f>_xll.qlFuturesRateHelper(,$H39,$C39,$F39,$G39,$I39,Permanent,Trigger,ObjectOverwrite)</f>
        <v>obj_00761#0003</v>
      </c>
      <c r="K39" s="290" t="str">
        <f>_xll.ohRangeRetrieveError(J39)</f>
        <v/>
      </c>
      <c r="L39" s="274"/>
      <c r="M39" s="285"/>
    </row>
    <row r="40" spans="1:13" ht="12" customHeight="1" x14ac:dyDescent="0.25">
      <c r="A40" s="279"/>
      <c r="B40" s="160">
        <v>38</v>
      </c>
      <c r="C40" s="160" t="s">
        <v>186</v>
      </c>
      <c r="D40" s="160" t="b">
        <v>1</v>
      </c>
      <c r="E40" s="286" t="str">
        <v>U2</v>
      </c>
      <c r="F40" s="287">
        <f>_xll.qlIMMdate(E40)</f>
        <v>44825</v>
      </c>
      <c r="G40" s="160" t="str">
        <f t="shared" si="3"/>
        <v>Euribor3M</v>
      </c>
      <c r="H40" s="288" t="str">
        <f t="shared" si="4"/>
        <v>EURFUT3MU2_Quote</v>
      </c>
      <c r="I40" s="288" t="str">
        <f t="shared" si="5"/>
        <v>EURFUT3MU2ConvAdj_Quote</v>
      </c>
      <c r="J40" s="289" t="str">
        <f>_xll.qlFuturesRateHelper(,$H40,$C40,$F40,$G40,$I40,Permanent,Trigger,ObjectOverwrite)</f>
        <v>obj_00752#0003</v>
      </c>
      <c r="K40" s="290" t="str">
        <f>_xll.ohRangeRetrieveError(J40)</f>
        <v/>
      </c>
      <c r="L40" s="274"/>
    </row>
    <row r="41" spans="1:13" ht="12" customHeight="1" x14ac:dyDescent="0.25">
      <c r="A41" s="279"/>
      <c r="B41" s="160">
        <v>39</v>
      </c>
      <c r="C41" s="160" t="s">
        <v>186</v>
      </c>
      <c r="D41" s="160" t="b">
        <v>1</v>
      </c>
      <c r="E41" s="286" t="str">
        <v>Z2</v>
      </c>
      <c r="F41" s="287">
        <f>_xll.qlIMMdate(E41)</f>
        <v>44916</v>
      </c>
      <c r="G41" s="160" t="str">
        <f t="shared" si="3"/>
        <v>Euribor3M</v>
      </c>
      <c r="H41" s="288" t="str">
        <f t="shared" si="4"/>
        <v>EURFUT3MZ2_Quote</v>
      </c>
      <c r="I41" s="288" t="str">
        <f t="shared" si="5"/>
        <v>EURFUT3MZ2ConvAdj_Quote</v>
      </c>
      <c r="J41" s="289" t="str">
        <f>_xll.qlFuturesRateHelper(,$H41,$C41,$F41,$G41,$I41,Permanent,Trigger,ObjectOverwrite)</f>
        <v>obj_00747#0003</v>
      </c>
      <c r="K41" s="290" t="str">
        <f>_xll.ohRangeRetrieveError(J41)</f>
        <v/>
      </c>
      <c r="L41" s="274"/>
    </row>
    <row r="42" spans="1:13" ht="12" customHeight="1" x14ac:dyDescent="0.25">
      <c r="A42" s="279"/>
      <c r="B42" s="160">
        <v>40</v>
      </c>
      <c r="C42" s="160" t="s">
        <v>186</v>
      </c>
      <c r="D42" s="160" t="b">
        <v>1</v>
      </c>
      <c r="E42" s="286" t="str">
        <v>H3</v>
      </c>
      <c r="F42" s="287">
        <f>_xll.qlIMMdate(E42)</f>
        <v>45000</v>
      </c>
      <c r="G42" s="160" t="str">
        <f t="shared" si="3"/>
        <v>Euribor3M</v>
      </c>
      <c r="H42" s="288" t="str">
        <f t="shared" si="4"/>
        <v>EURFUT3MH3_Quote</v>
      </c>
      <c r="I42" s="288" t="str">
        <f t="shared" si="5"/>
        <v>EURFUT3MH3ConvAdj_Quote</v>
      </c>
      <c r="J42" s="289" t="str">
        <f>_xll.qlFuturesRateHelper(,$H42,$C42,$F42,$G42,$I42,Permanent,Trigger,ObjectOverwrite)</f>
        <v>obj_0074e#0003</v>
      </c>
      <c r="K42" s="290" t="str">
        <f>_xll.ohRangeRetrieveError(J42)</f>
        <v/>
      </c>
      <c r="L42" s="274"/>
    </row>
    <row r="43" spans="1:13" ht="12" customHeight="1" x14ac:dyDescent="0.25">
      <c r="A43" s="279"/>
      <c r="B43" s="160">
        <v>41</v>
      </c>
      <c r="C43" s="160" t="s">
        <v>186</v>
      </c>
      <c r="D43" s="160" t="b">
        <v>1</v>
      </c>
      <c r="E43" s="286" t="str">
        <v>M3</v>
      </c>
      <c r="F43" s="287">
        <f>_xll.qlIMMdate(E43)</f>
        <v>45098</v>
      </c>
      <c r="G43" s="160" t="str">
        <f t="shared" si="3"/>
        <v>Euribor3M</v>
      </c>
      <c r="H43" s="288" t="str">
        <f t="shared" si="4"/>
        <v>EURFUT3MM3_Quote</v>
      </c>
      <c r="I43" s="288" t="str">
        <f t="shared" si="5"/>
        <v>EURFUT3MM3ConvAdj_Quote</v>
      </c>
      <c r="J43" s="289" t="str">
        <f>_xll.qlFuturesRateHelper(,$H43,$C43,$F43,$G43,$I43,Permanent,Trigger,ObjectOverwrite)</f>
        <v>obj_0074a#0003</v>
      </c>
      <c r="K43" s="290" t="str">
        <f>_xll.ohRangeRetrieveError(J43)</f>
        <v/>
      </c>
      <c r="L43" s="274"/>
    </row>
    <row r="44" spans="1:13" ht="12" customHeight="1" x14ac:dyDescent="0.25">
      <c r="A44" s="279"/>
      <c r="B44" s="252">
        <v>42</v>
      </c>
      <c r="C44" s="252" t="s">
        <v>186</v>
      </c>
      <c r="D44" s="252" t="b">
        <v>1</v>
      </c>
      <c r="E44" s="291" t="str">
        <v>U3</v>
      </c>
      <c r="F44" s="292">
        <f>_xll.qlIMMdate(E44)</f>
        <v>45189</v>
      </c>
      <c r="G44" s="252" t="str">
        <f t="shared" si="3"/>
        <v>Euribor3M</v>
      </c>
      <c r="H44" s="293" t="str">
        <f t="shared" si="4"/>
        <v>EURFUT3MU3_Quote</v>
      </c>
      <c r="I44" s="293" t="str">
        <f t="shared" si="5"/>
        <v>EURFUT3MU3ConvAdj_Quote</v>
      </c>
      <c r="J44" s="294" t="str">
        <f>_xll.qlFuturesRateHelper(,$H44,$C44,$F44,$G44,$I44,Permanent,Trigger,ObjectOverwrite)</f>
        <v>obj_00748#0003</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K2&amp;"_Swaps.xml"</f>
        <v>EUR_YC3MRH_Swaps.xml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obj_00700#0004</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118</v>
      </c>
      <c r="D6" s="231" t="s">
        <v>47</v>
      </c>
      <c r="E6" s="230" t="str">
        <f t="array" ref="E6:E42">VLOOKUP(Currency,Conventions,2)</f>
        <v>AB</v>
      </c>
      <c r="F6" s="230" t="str">
        <f t="array" ref="F6:F42">VLOOKUP(Currency,Conventions,3)</f>
        <v>3E</v>
      </c>
      <c r="G6" s="230" t="str">
        <f t="shared" ref="G6:G42" si="0">IF(UPPER(LEFT($E6))="A","Annual",IF(UPPER(LEFT($E6))="S","Semiannual","--"))</f>
        <v>Annual</v>
      </c>
      <c r="H6" s="232" t="s">
        <v>124</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obj_0070a#0004</v>
      </c>
      <c r="M6" s="236" t="str">
        <f>_xll.ohRangeRetrieveError(L6)</f>
        <v/>
      </c>
      <c r="N6" s="223"/>
      <c r="P6" s="237" t="s">
        <v>97</v>
      </c>
      <c r="Q6" s="238" t="s">
        <v>94</v>
      </c>
      <c r="R6" s="239" t="s">
        <v>126</v>
      </c>
    </row>
    <row r="7" spans="1:18" x14ac:dyDescent="0.2">
      <c r="A7" s="220"/>
      <c r="B7" s="240">
        <v>2</v>
      </c>
      <c r="C7" s="240" t="s">
        <v>118</v>
      </c>
      <c r="D7" s="241" t="s">
        <v>46</v>
      </c>
      <c r="E7" s="240" t="str">
        <v>AB</v>
      </c>
      <c r="F7" s="240" t="str">
        <v>3E</v>
      </c>
      <c r="G7" s="240" t="str">
        <f t="shared" si="0"/>
        <v>Annual</v>
      </c>
      <c r="H7" s="160" t="s">
        <v>124</v>
      </c>
      <c r="I7" s="160" t="str">
        <f t="shared" si="1"/>
        <v>30/360 (Bond Basis)</v>
      </c>
      <c r="J7" s="242">
        <v>0</v>
      </c>
      <c r="K7" s="243" t="str">
        <f t="shared" si="2"/>
        <v>EURAB3E15M_Quote</v>
      </c>
      <c r="L7" s="244" t="str">
        <f>_xll.qlSwapRateHelper2(,$K7,$B7,$D7,Calendar,$G7,$H7,$I7,$L$4,$J7,C7,Discounting,Permanent,,ObjectOverwrite)</f>
        <v>obj_00739#0004</v>
      </c>
      <c r="M7" s="245" t="str">
        <f>_xll.ohRangeRetrieveError(L7)</f>
        <v/>
      </c>
      <c r="N7" s="223"/>
      <c r="P7" s="130" t="s">
        <v>95</v>
      </c>
      <c r="Q7" s="246" t="s">
        <v>94</v>
      </c>
      <c r="R7" s="247" t="s">
        <v>128</v>
      </c>
    </row>
    <row r="8" spans="1:18" x14ac:dyDescent="0.2">
      <c r="A8" s="220"/>
      <c r="B8" s="240">
        <v>2</v>
      </c>
      <c r="C8" s="240" t="s">
        <v>118</v>
      </c>
      <c r="D8" s="241" t="s">
        <v>45</v>
      </c>
      <c r="E8" s="240" t="str">
        <v>AB</v>
      </c>
      <c r="F8" s="240" t="str">
        <v>3E</v>
      </c>
      <c r="G8" s="240" t="str">
        <f t="shared" si="0"/>
        <v>Annual</v>
      </c>
      <c r="H8" s="160" t="s">
        <v>124</v>
      </c>
      <c r="I8" s="160" t="str">
        <f t="shared" si="1"/>
        <v>30/360 (Bond Basis)</v>
      </c>
      <c r="J8" s="242">
        <v>0</v>
      </c>
      <c r="K8" s="243" t="str">
        <f t="shared" si="2"/>
        <v>EURAB3E18M_Quote</v>
      </c>
      <c r="L8" s="244" t="str">
        <f>_xll.qlSwapRateHelper2(,$K8,$B8,$D8,Calendar,$G8,$H8,$I8,$L$4,$J8,C8,Discounting,Permanent,,ObjectOverwrite)</f>
        <v>obj_0070f#0004</v>
      </c>
      <c r="M8" s="245" t="str">
        <f>_xll.ohRangeRetrieveError(L8)</f>
        <v/>
      </c>
      <c r="N8" s="223"/>
      <c r="P8" s="130" t="s">
        <v>92</v>
      </c>
      <c r="Q8" s="246" t="s">
        <v>87</v>
      </c>
      <c r="R8" s="247" t="s">
        <v>126</v>
      </c>
    </row>
    <row r="9" spans="1:18" x14ac:dyDescent="0.2">
      <c r="A9" s="220"/>
      <c r="B9" s="240">
        <v>2</v>
      </c>
      <c r="C9" s="240" t="s">
        <v>118</v>
      </c>
      <c r="D9" s="241" t="s">
        <v>44</v>
      </c>
      <c r="E9" s="240" t="str">
        <v>AB</v>
      </c>
      <c r="F9" s="240" t="str">
        <v>3E</v>
      </c>
      <c r="G9" s="240" t="str">
        <f t="shared" si="0"/>
        <v>Annual</v>
      </c>
      <c r="H9" s="160" t="s">
        <v>124</v>
      </c>
      <c r="I9" s="160" t="str">
        <f t="shared" si="1"/>
        <v>30/360 (Bond Basis)</v>
      </c>
      <c r="J9" s="242">
        <v>0</v>
      </c>
      <c r="K9" s="243" t="str">
        <f t="shared" si="2"/>
        <v>EURAB3E21M_Quote</v>
      </c>
      <c r="L9" s="244" t="str">
        <f>_xll.qlSwapRateHelper2(,$K9,$B9,$D9,Calendar,$G9,$H9,$I9,$L$4,$J9,C9,Discounting,Permanent,,ObjectOverwrite)</f>
        <v>obj_00726#0003</v>
      </c>
      <c r="M9" s="245" t="str">
        <f>_xll.ohRangeRetrieveError(L9)</f>
        <v/>
      </c>
      <c r="N9" s="223"/>
      <c r="P9" s="130" t="s">
        <v>90</v>
      </c>
      <c r="Q9" s="246" t="s">
        <v>127</v>
      </c>
      <c r="R9" s="247" t="s">
        <v>126</v>
      </c>
    </row>
    <row r="10" spans="1:18" ht="12" thickBot="1" x14ac:dyDescent="0.25">
      <c r="A10" s="220"/>
      <c r="B10" s="240">
        <v>2</v>
      </c>
      <c r="C10" s="240" t="s">
        <v>118</v>
      </c>
      <c r="D10" s="241" t="s">
        <v>43</v>
      </c>
      <c r="E10" s="240" t="str">
        <v>AB</v>
      </c>
      <c r="F10" s="240" t="str">
        <v>3E</v>
      </c>
      <c r="G10" s="240" t="str">
        <f t="shared" si="0"/>
        <v>Annual</v>
      </c>
      <c r="H10" s="160" t="s">
        <v>124</v>
      </c>
      <c r="I10" s="160" t="str">
        <f t="shared" si="1"/>
        <v>30/360 (Bond Basis)</v>
      </c>
      <c r="J10" s="242">
        <v>0</v>
      </c>
      <c r="K10" s="243" t="str">
        <f t="shared" si="2"/>
        <v>EURAB3E2Y_Quote</v>
      </c>
      <c r="L10" s="244" t="str">
        <f>_xll.qlSwapRateHelper2(,$K10,$B10,$D10,Calendar,$G10,$H10,$I10,$L$4,$J10,C10,Discounting,Permanent,,ObjectOverwrite)</f>
        <v>obj_0070c#0003</v>
      </c>
      <c r="M10" s="245" t="str">
        <f>_xll.ohRangeRetrieveError(L10)</f>
        <v/>
      </c>
      <c r="N10" s="223"/>
      <c r="P10" s="147" t="s">
        <v>88</v>
      </c>
      <c r="Q10" s="248" t="s">
        <v>87</v>
      </c>
      <c r="R10" s="249" t="s">
        <v>126</v>
      </c>
    </row>
    <row r="11" spans="1:18" x14ac:dyDescent="0.2">
      <c r="A11" s="220"/>
      <c r="B11" s="240">
        <v>2</v>
      </c>
      <c r="C11" s="240" t="s">
        <v>118</v>
      </c>
      <c r="D11" s="241" t="s">
        <v>42</v>
      </c>
      <c r="E11" s="240" t="str">
        <v>AB</v>
      </c>
      <c r="F11" s="240" t="str">
        <v>3E</v>
      </c>
      <c r="G11" s="240" t="str">
        <f t="shared" si="0"/>
        <v>Annual</v>
      </c>
      <c r="H11" s="160" t="s">
        <v>124</v>
      </c>
      <c r="I11" s="160" t="str">
        <f t="shared" si="1"/>
        <v>30/360 (Bond Basis)</v>
      </c>
      <c r="J11" s="242">
        <v>0</v>
      </c>
      <c r="K11" s="243" t="str">
        <f t="shared" si="2"/>
        <v>EURAB3E3Y_Quote</v>
      </c>
      <c r="L11" s="244" t="str">
        <f>_xll.qlSwapRateHelper2(,$K11,$B11,$D11,Calendar,$G11,$H11,$I11,$L$4,$J11,C11,Discounting,Permanent,,ObjectOverwrite)</f>
        <v>obj_00733#0003</v>
      </c>
      <c r="M11" s="245" t="str">
        <f>_xll.ohRangeRetrieveError(L11)</f>
        <v/>
      </c>
      <c r="N11" s="223"/>
    </row>
    <row r="12" spans="1:18" x14ac:dyDescent="0.2">
      <c r="A12" s="220"/>
      <c r="B12" s="240">
        <v>2</v>
      </c>
      <c r="C12" s="240" t="s">
        <v>118</v>
      </c>
      <c r="D12" s="241" t="s">
        <v>41</v>
      </c>
      <c r="E12" s="240" t="str">
        <v>AB</v>
      </c>
      <c r="F12" s="240" t="str">
        <v>3E</v>
      </c>
      <c r="G12" s="240" t="str">
        <f t="shared" si="0"/>
        <v>Annual</v>
      </c>
      <c r="H12" s="160" t="s">
        <v>124</v>
      </c>
      <c r="I12" s="160" t="str">
        <f t="shared" si="1"/>
        <v>30/360 (Bond Basis)</v>
      </c>
      <c r="J12" s="242">
        <v>0</v>
      </c>
      <c r="K12" s="243" t="str">
        <f t="shared" si="2"/>
        <v>EURAB3E4Y_Quote</v>
      </c>
      <c r="L12" s="244" t="str">
        <f>_xll.qlSwapRateHelper2(,$K12,$B12,$D12,Calendar,$G12,$H12,$I12,$L$4,$J12,C12,Discounting,Permanent,,ObjectOverwrite)</f>
        <v>obj_00738#0004</v>
      </c>
      <c r="M12" s="245" t="str">
        <f>_xll.ohRangeRetrieveError(L12)</f>
        <v/>
      </c>
      <c r="N12" s="223"/>
    </row>
    <row r="13" spans="1:18" x14ac:dyDescent="0.2">
      <c r="A13" s="220"/>
      <c r="B13" s="240">
        <v>2</v>
      </c>
      <c r="C13" s="240" t="s">
        <v>118</v>
      </c>
      <c r="D13" s="241" t="s">
        <v>40</v>
      </c>
      <c r="E13" s="240" t="str">
        <v>AB</v>
      </c>
      <c r="F13" s="240" t="str">
        <v>3E</v>
      </c>
      <c r="G13" s="240" t="str">
        <f t="shared" si="0"/>
        <v>Annual</v>
      </c>
      <c r="H13" s="160" t="s">
        <v>124</v>
      </c>
      <c r="I13" s="160" t="str">
        <f t="shared" si="1"/>
        <v>30/360 (Bond Basis)</v>
      </c>
      <c r="J13" s="242">
        <v>0</v>
      </c>
      <c r="K13" s="243" t="str">
        <f t="shared" si="2"/>
        <v>EURAB3E5Y_Quote</v>
      </c>
      <c r="L13" s="244" t="str">
        <f>_xll.qlSwapRateHelper2(,$K13,$B13,$D13,Calendar,$G13,$H13,$I13,$L$4,$J13,C13,Discounting,Permanent,,ObjectOverwrite)</f>
        <v>obj_0070e#0004</v>
      </c>
      <c r="M13" s="245" t="str">
        <f>_xll.ohRangeRetrieveError(L13)</f>
        <v/>
      </c>
      <c r="N13" s="223"/>
    </row>
    <row r="14" spans="1:18" x14ac:dyDescent="0.2">
      <c r="A14" s="220"/>
      <c r="B14" s="240">
        <v>2</v>
      </c>
      <c r="C14" s="240" t="s">
        <v>118</v>
      </c>
      <c r="D14" s="241" t="s">
        <v>39</v>
      </c>
      <c r="E14" s="240" t="str">
        <v>AB</v>
      </c>
      <c r="F14" s="240" t="str">
        <v>3E</v>
      </c>
      <c r="G14" s="240" t="str">
        <f t="shared" si="0"/>
        <v>Annual</v>
      </c>
      <c r="H14" s="160" t="s">
        <v>124</v>
      </c>
      <c r="I14" s="160" t="str">
        <f t="shared" si="1"/>
        <v>30/360 (Bond Basis)</v>
      </c>
      <c r="J14" s="242">
        <v>0</v>
      </c>
      <c r="K14" s="243" t="str">
        <f t="shared" si="2"/>
        <v>EURAB3E6Y_Quote</v>
      </c>
      <c r="L14" s="244" t="str">
        <f>_xll.qlSwapRateHelper2(,$K14,$B14,$D14,Calendar,$G14,$H14,$I14,$L$4,$J14,C14,Discounting,Permanent,,ObjectOverwrite)</f>
        <v>obj_0073f#0004</v>
      </c>
      <c r="M14" s="245" t="str">
        <f>_xll.ohRangeRetrieveError(L14)</f>
        <v/>
      </c>
      <c r="N14" s="223"/>
    </row>
    <row r="15" spans="1:18" x14ac:dyDescent="0.2">
      <c r="A15" s="220"/>
      <c r="B15" s="240">
        <v>2</v>
      </c>
      <c r="C15" s="240" t="s">
        <v>118</v>
      </c>
      <c r="D15" s="241" t="s">
        <v>38</v>
      </c>
      <c r="E15" s="240" t="str">
        <v>AB</v>
      </c>
      <c r="F15" s="240" t="str">
        <v>3E</v>
      </c>
      <c r="G15" s="240" t="str">
        <f t="shared" si="0"/>
        <v>Annual</v>
      </c>
      <c r="H15" s="160" t="s">
        <v>124</v>
      </c>
      <c r="I15" s="160" t="str">
        <f t="shared" si="1"/>
        <v>30/360 (Bond Basis)</v>
      </c>
      <c r="J15" s="242">
        <v>0</v>
      </c>
      <c r="K15" s="243" t="str">
        <f t="shared" si="2"/>
        <v>EURAB3E7Y_Quote</v>
      </c>
      <c r="L15" s="244" t="str">
        <f>_xll.qlSwapRateHelper2(,$K15,$B15,$D15,Calendar,$G15,$H15,$I15,$L$4,$J15,C15,Discounting,Permanent,,ObjectOverwrite)</f>
        <v>obj_00732#0003</v>
      </c>
      <c r="M15" s="245" t="str">
        <f>_xll.ohRangeRetrieveError(L15)</f>
        <v/>
      </c>
      <c r="N15" s="223"/>
    </row>
    <row r="16" spans="1:18" x14ac:dyDescent="0.2">
      <c r="A16" s="220"/>
      <c r="B16" s="240">
        <v>2</v>
      </c>
      <c r="C16" s="240" t="s">
        <v>118</v>
      </c>
      <c r="D16" s="241" t="s">
        <v>37</v>
      </c>
      <c r="E16" s="240" t="str">
        <v>AB</v>
      </c>
      <c r="F16" s="240" t="str">
        <v>3E</v>
      </c>
      <c r="G16" s="240" t="str">
        <f t="shared" si="0"/>
        <v>Annual</v>
      </c>
      <c r="H16" s="160" t="s">
        <v>124</v>
      </c>
      <c r="I16" s="160" t="str">
        <f t="shared" si="1"/>
        <v>30/360 (Bond Basis)</v>
      </c>
      <c r="J16" s="242">
        <v>0</v>
      </c>
      <c r="K16" s="243" t="str">
        <f t="shared" si="2"/>
        <v>EURAB3E8Y_Quote</v>
      </c>
      <c r="L16" s="244" t="str">
        <f>_xll.qlSwapRateHelper2(,$K16,$B16,$D16,Calendar,$G16,$H16,$I16,$L$4,$J16,C16,Discounting,Permanent,,ObjectOverwrite)</f>
        <v>obj_0073d#0003</v>
      </c>
      <c r="M16" s="245" t="str">
        <f>_xll.ohRangeRetrieveError(L16)</f>
        <v/>
      </c>
      <c r="N16" s="223"/>
    </row>
    <row r="17" spans="1:14" x14ac:dyDescent="0.2">
      <c r="A17" s="220"/>
      <c r="B17" s="240">
        <v>2</v>
      </c>
      <c r="C17" s="240" t="s">
        <v>118</v>
      </c>
      <c r="D17" s="241" t="s">
        <v>36</v>
      </c>
      <c r="E17" s="240" t="str">
        <v>AB</v>
      </c>
      <c r="F17" s="240" t="str">
        <v>3E</v>
      </c>
      <c r="G17" s="240" t="str">
        <f t="shared" si="0"/>
        <v>Annual</v>
      </c>
      <c r="H17" s="160" t="s">
        <v>124</v>
      </c>
      <c r="I17" s="160" t="str">
        <f t="shared" si="1"/>
        <v>30/360 (Bond Basis)</v>
      </c>
      <c r="J17" s="242">
        <v>0</v>
      </c>
      <c r="K17" s="243" t="str">
        <f t="shared" si="2"/>
        <v>EURAB3E9Y_Quote</v>
      </c>
      <c r="L17" s="244" t="str">
        <f>_xll.qlSwapRateHelper2(,$K17,$B17,$D17,Calendar,$G17,$H17,$I17,$L$4,$J17,C17,Discounting,Permanent,,ObjectOverwrite)</f>
        <v>obj_00723#0003</v>
      </c>
      <c r="M17" s="245" t="str">
        <f>_xll.ohRangeRetrieveError(L17)</f>
        <v/>
      </c>
      <c r="N17" s="223"/>
    </row>
    <row r="18" spans="1:14" x14ac:dyDescent="0.2">
      <c r="A18" s="220"/>
      <c r="B18" s="240">
        <v>2</v>
      </c>
      <c r="C18" s="240" t="s">
        <v>118</v>
      </c>
      <c r="D18" s="241" t="s">
        <v>35</v>
      </c>
      <c r="E18" s="240" t="str">
        <v>AB</v>
      </c>
      <c r="F18" s="240" t="str">
        <v>3E</v>
      </c>
      <c r="G18" s="240" t="str">
        <f t="shared" si="0"/>
        <v>Annual</v>
      </c>
      <c r="H18" s="160" t="s">
        <v>124</v>
      </c>
      <c r="I18" s="160" t="str">
        <f t="shared" si="1"/>
        <v>30/360 (Bond Basis)</v>
      </c>
      <c r="J18" s="242">
        <v>0</v>
      </c>
      <c r="K18" s="243" t="str">
        <f t="shared" si="2"/>
        <v>EURAB3E10Y_Quote</v>
      </c>
      <c r="L18" s="244" t="str">
        <f>_xll.qlSwapRateHelper2(,$K18,$B18,$D18,Calendar,$G18,$H18,$I18,$L$4,$J18,C18,Discounting,Permanent,,ObjectOverwrite)</f>
        <v>obj_00712#0003</v>
      </c>
      <c r="M18" s="245" t="str">
        <f>_xll.ohRangeRetrieveError(L18)</f>
        <v/>
      </c>
      <c r="N18" s="223"/>
    </row>
    <row r="19" spans="1:14" x14ac:dyDescent="0.2">
      <c r="A19" s="220"/>
      <c r="B19" s="240">
        <v>2</v>
      </c>
      <c r="C19" s="240" t="s">
        <v>118</v>
      </c>
      <c r="D19" s="241" t="s">
        <v>34</v>
      </c>
      <c r="E19" s="240" t="str">
        <v>AB</v>
      </c>
      <c r="F19" s="240" t="str">
        <v>3E</v>
      </c>
      <c r="G19" s="240" t="str">
        <f t="shared" si="0"/>
        <v>Annual</v>
      </c>
      <c r="H19" s="160" t="s">
        <v>124</v>
      </c>
      <c r="I19" s="160" t="str">
        <f t="shared" si="1"/>
        <v>30/360 (Bond Basis)</v>
      </c>
      <c r="J19" s="242">
        <v>0</v>
      </c>
      <c r="K19" s="243" t="str">
        <f t="shared" si="2"/>
        <v>EURAB3E11Y_Quote</v>
      </c>
      <c r="L19" s="244" t="str">
        <f>_xll.qlSwapRateHelper2(,$K19,$B19,$D19,Calendar,$G19,$H19,$I19,$L$4,$J19,C19,Discounting,Permanent,,ObjectOverwrite)</f>
        <v>obj_0072f#0003</v>
      </c>
      <c r="M19" s="245" t="str">
        <f>_xll.ohRangeRetrieveError(L19)</f>
        <v/>
      </c>
      <c r="N19" s="223"/>
    </row>
    <row r="20" spans="1:14" x14ac:dyDescent="0.2">
      <c r="A20" s="220"/>
      <c r="B20" s="240">
        <v>2</v>
      </c>
      <c r="C20" s="240" t="s">
        <v>118</v>
      </c>
      <c r="D20" s="241" t="s">
        <v>33</v>
      </c>
      <c r="E20" s="240" t="str">
        <v>AB</v>
      </c>
      <c r="F20" s="240" t="str">
        <v>3E</v>
      </c>
      <c r="G20" s="240" t="str">
        <f t="shared" si="0"/>
        <v>Annual</v>
      </c>
      <c r="H20" s="160" t="s">
        <v>124</v>
      </c>
      <c r="I20" s="160" t="str">
        <f t="shared" si="1"/>
        <v>30/360 (Bond Basis)</v>
      </c>
      <c r="J20" s="242">
        <v>0</v>
      </c>
      <c r="K20" s="243" t="str">
        <f t="shared" si="2"/>
        <v>EURAB3E12Y_Quote</v>
      </c>
      <c r="L20" s="244" t="str">
        <f>_xll.qlSwapRateHelper2(,$K20,$B20,$D20,Calendar,$G20,$H20,$I20,$L$4,$J20,C20,Discounting,Permanent,,ObjectOverwrite)</f>
        <v>obj_00727#0003</v>
      </c>
      <c r="M20" s="245" t="str">
        <f>_xll.ohRangeRetrieveError(L20)</f>
        <v/>
      </c>
      <c r="N20" s="223"/>
    </row>
    <row r="21" spans="1:14" x14ac:dyDescent="0.2">
      <c r="A21" s="220"/>
      <c r="B21" s="240">
        <v>2</v>
      </c>
      <c r="C21" s="240" t="s">
        <v>118</v>
      </c>
      <c r="D21" s="241" t="s">
        <v>32</v>
      </c>
      <c r="E21" s="240" t="str">
        <v>AB</v>
      </c>
      <c r="F21" s="240" t="str">
        <v>3E</v>
      </c>
      <c r="G21" s="240" t="str">
        <f t="shared" si="0"/>
        <v>Annual</v>
      </c>
      <c r="H21" s="160" t="s">
        <v>124</v>
      </c>
      <c r="I21" s="160" t="str">
        <f t="shared" si="1"/>
        <v>30/360 (Bond Basis)</v>
      </c>
      <c r="J21" s="242">
        <v>0</v>
      </c>
      <c r="K21" s="243" t="str">
        <f t="shared" si="2"/>
        <v>EURAB3E13Y_Quote</v>
      </c>
      <c r="L21" s="244" t="str">
        <f>_xll.qlSwapRateHelper2(,$K21,$B21,$D21,Calendar,$G21,$H21,$I21,$L$4,$J21,C21,Discounting,Permanent,,ObjectOverwrite)</f>
        <v>obj_00702#0004</v>
      </c>
      <c r="M21" s="245" t="str">
        <f>_xll.ohRangeRetrieveError(L21)</f>
        <v/>
      </c>
      <c r="N21" s="223"/>
    </row>
    <row r="22" spans="1:14" x14ac:dyDescent="0.2">
      <c r="A22" s="220"/>
      <c r="B22" s="240">
        <v>2</v>
      </c>
      <c r="C22" s="240" t="s">
        <v>118</v>
      </c>
      <c r="D22" s="241" t="s">
        <v>31</v>
      </c>
      <c r="E22" s="240" t="str">
        <v>AB</v>
      </c>
      <c r="F22" s="240" t="str">
        <v>3E</v>
      </c>
      <c r="G22" s="240" t="str">
        <f t="shared" si="0"/>
        <v>Annual</v>
      </c>
      <c r="H22" s="160" t="s">
        <v>124</v>
      </c>
      <c r="I22" s="160" t="str">
        <f t="shared" si="1"/>
        <v>30/360 (Bond Basis)</v>
      </c>
      <c r="J22" s="242">
        <v>0</v>
      </c>
      <c r="K22" s="243" t="str">
        <f t="shared" si="2"/>
        <v>EURAB3E14Y_Quote</v>
      </c>
      <c r="L22" s="244" t="str">
        <f>_xll.qlSwapRateHelper2(,$K22,$B22,$D22,Calendar,$G22,$H22,$I22,$L$4,$J22,C22,Discounting,Permanent,,ObjectOverwrite)</f>
        <v>obj_00729#0003</v>
      </c>
      <c r="M22" s="245" t="str">
        <f>_xll.ohRangeRetrieveError(L22)</f>
        <v/>
      </c>
      <c r="N22" s="223"/>
    </row>
    <row r="23" spans="1:14" x14ac:dyDescent="0.2">
      <c r="A23" s="220"/>
      <c r="B23" s="240">
        <v>2</v>
      </c>
      <c r="C23" s="240" t="s">
        <v>118</v>
      </c>
      <c r="D23" s="241" t="s">
        <v>30</v>
      </c>
      <c r="E23" s="240" t="str">
        <v>AB</v>
      </c>
      <c r="F23" s="240" t="str">
        <v>3E</v>
      </c>
      <c r="G23" s="240" t="str">
        <f t="shared" si="0"/>
        <v>Annual</v>
      </c>
      <c r="H23" s="160" t="s">
        <v>124</v>
      </c>
      <c r="I23" s="160" t="str">
        <f t="shared" si="1"/>
        <v>30/360 (Bond Basis)</v>
      </c>
      <c r="J23" s="242">
        <v>0</v>
      </c>
      <c r="K23" s="243" t="str">
        <f t="shared" si="2"/>
        <v>EURAB3E15Y_Quote</v>
      </c>
      <c r="L23" s="244" t="str">
        <f>_xll.qlSwapRateHelper2(,$K23,$B23,$D23,Calendar,$G23,$H23,$I23,$L$4,$J23,C23,Discounting,Permanent,,ObjectOverwrite)</f>
        <v>obj_0070b#0004</v>
      </c>
      <c r="M23" s="245" t="str">
        <f>_xll.ohRangeRetrieveError(L23)</f>
        <v/>
      </c>
      <c r="N23" s="223"/>
    </row>
    <row r="24" spans="1:14" x14ac:dyDescent="0.2">
      <c r="A24" s="220"/>
      <c r="B24" s="240">
        <v>2</v>
      </c>
      <c r="C24" s="240" t="s">
        <v>118</v>
      </c>
      <c r="D24" s="241" t="s">
        <v>29</v>
      </c>
      <c r="E24" s="240" t="str">
        <v>AB</v>
      </c>
      <c r="F24" s="240" t="str">
        <v>3E</v>
      </c>
      <c r="G24" s="240" t="str">
        <f t="shared" si="0"/>
        <v>Annual</v>
      </c>
      <c r="H24" s="160" t="s">
        <v>124</v>
      </c>
      <c r="I24" s="160" t="str">
        <f t="shared" si="1"/>
        <v>30/360 (Bond Basis)</v>
      </c>
      <c r="J24" s="242">
        <v>0</v>
      </c>
      <c r="K24" s="243" t="str">
        <f t="shared" si="2"/>
        <v>EURAB3E16Y_Quote</v>
      </c>
      <c r="L24" s="244" t="str">
        <f>_xll.qlSwapRateHelper2(,$K24,$B24,$D24,Calendar,$G24,$H24,$I24,$L$4,$J24,C24,Discounting,Permanent,,ObjectOverwrite)</f>
        <v>obj_00737#0004</v>
      </c>
      <c r="M24" s="245" t="str">
        <f>_xll.ohRangeRetrieveError(L24)</f>
        <v/>
      </c>
      <c r="N24" s="223"/>
    </row>
    <row r="25" spans="1:14" x14ac:dyDescent="0.2">
      <c r="A25" s="220"/>
      <c r="B25" s="240">
        <v>2</v>
      </c>
      <c r="C25" s="240" t="s">
        <v>118</v>
      </c>
      <c r="D25" s="241" t="s">
        <v>28</v>
      </c>
      <c r="E25" s="240" t="str">
        <v>AB</v>
      </c>
      <c r="F25" s="240" t="str">
        <v>3E</v>
      </c>
      <c r="G25" s="240" t="str">
        <f t="shared" si="0"/>
        <v>Annual</v>
      </c>
      <c r="H25" s="160" t="s">
        <v>124</v>
      </c>
      <c r="I25" s="160" t="str">
        <f t="shared" si="1"/>
        <v>30/360 (Bond Basis)</v>
      </c>
      <c r="J25" s="242">
        <v>0</v>
      </c>
      <c r="K25" s="243" t="str">
        <f t="shared" si="2"/>
        <v>EURAB3E17Y_Quote</v>
      </c>
      <c r="L25" s="244" t="str">
        <f>_xll.qlSwapRateHelper2(,$K25,$B25,$D25,Calendar,$G25,$H25,$I25,$L$4,$J25,C25,Discounting,Permanent,,ObjectOverwrite)</f>
        <v>obj_0073c#0003</v>
      </c>
      <c r="M25" s="245" t="str">
        <f>_xll.ohRangeRetrieveError(L25)</f>
        <v/>
      </c>
      <c r="N25" s="223"/>
    </row>
    <row r="26" spans="1:14" x14ac:dyDescent="0.2">
      <c r="A26" s="220"/>
      <c r="B26" s="240">
        <v>2</v>
      </c>
      <c r="C26" s="240" t="s">
        <v>118</v>
      </c>
      <c r="D26" s="241" t="s">
        <v>27</v>
      </c>
      <c r="E26" s="240" t="str">
        <v>AB</v>
      </c>
      <c r="F26" s="240" t="str">
        <v>3E</v>
      </c>
      <c r="G26" s="240" t="str">
        <f t="shared" si="0"/>
        <v>Annual</v>
      </c>
      <c r="H26" s="160" t="s">
        <v>124</v>
      </c>
      <c r="I26" s="160" t="str">
        <f t="shared" si="1"/>
        <v>30/360 (Bond Basis)</v>
      </c>
      <c r="J26" s="242">
        <v>0</v>
      </c>
      <c r="K26" s="243" t="str">
        <f t="shared" si="2"/>
        <v>EURAB3E18Y_Quote</v>
      </c>
      <c r="L26" s="244" t="str">
        <f>_xll.qlSwapRateHelper2(,$K26,$B26,$D26,Calendar,$G26,$H26,$I26,$L$4,$J26,C26,Discounting,Permanent,,ObjectOverwrite)</f>
        <v>obj_0073b#0003</v>
      </c>
      <c r="M26" s="245" t="str">
        <f>_xll.ohRangeRetrieveError(L26)</f>
        <v/>
      </c>
      <c r="N26" s="223"/>
    </row>
    <row r="27" spans="1:14" x14ac:dyDescent="0.2">
      <c r="A27" s="220"/>
      <c r="B27" s="240">
        <v>2</v>
      </c>
      <c r="C27" s="240" t="s">
        <v>118</v>
      </c>
      <c r="D27" s="241" t="s">
        <v>26</v>
      </c>
      <c r="E27" s="240" t="str">
        <v>AB</v>
      </c>
      <c r="F27" s="240" t="str">
        <v>3E</v>
      </c>
      <c r="G27" s="240" t="str">
        <f t="shared" si="0"/>
        <v>Annual</v>
      </c>
      <c r="H27" s="160" t="s">
        <v>124</v>
      </c>
      <c r="I27" s="160" t="str">
        <f t="shared" si="1"/>
        <v>30/360 (Bond Basis)</v>
      </c>
      <c r="J27" s="242">
        <v>0</v>
      </c>
      <c r="K27" s="243" t="str">
        <f t="shared" si="2"/>
        <v>EURAB3E19Y_Quote</v>
      </c>
      <c r="L27" s="244" t="str">
        <f>_xll.qlSwapRateHelper2(,$K27,$B27,$D27,Calendar,$G27,$H27,$I27,$L$4,$J27,C27,Discounting,Permanent,,ObjectOverwrite)</f>
        <v>obj_0072c#0004</v>
      </c>
      <c r="M27" s="245" t="str">
        <f>_xll.ohRangeRetrieveError(L27)</f>
        <v/>
      </c>
      <c r="N27" s="223"/>
    </row>
    <row r="28" spans="1:14" x14ac:dyDescent="0.2">
      <c r="A28" s="220"/>
      <c r="B28" s="240">
        <v>2</v>
      </c>
      <c r="C28" s="240" t="s">
        <v>118</v>
      </c>
      <c r="D28" s="241" t="s">
        <v>25</v>
      </c>
      <c r="E28" s="240" t="str">
        <v>AB</v>
      </c>
      <c r="F28" s="240" t="str">
        <v>3E</v>
      </c>
      <c r="G28" s="240" t="str">
        <f t="shared" si="0"/>
        <v>Annual</v>
      </c>
      <c r="H28" s="160" t="s">
        <v>124</v>
      </c>
      <c r="I28" s="160" t="str">
        <f t="shared" si="1"/>
        <v>30/360 (Bond Basis)</v>
      </c>
      <c r="J28" s="242">
        <v>0</v>
      </c>
      <c r="K28" s="243" t="str">
        <f t="shared" si="2"/>
        <v>EURAB3E20Y_Quote</v>
      </c>
      <c r="L28" s="244" t="str">
        <f>_xll.qlSwapRateHelper2(,$K28,$B28,$D28,Calendar,$G28,$H28,$I28,$L$4,$J28,C28,Discounting,Permanent,,ObjectOverwrite)</f>
        <v>obj_00724#0003</v>
      </c>
      <c r="M28" s="245" t="str">
        <f>_xll.ohRangeRetrieveError(L28)</f>
        <v/>
      </c>
      <c r="N28" s="223"/>
    </row>
    <row r="29" spans="1:14" x14ac:dyDescent="0.2">
      <c r="A29" s="220"/>
      <c r="B29" s="240">
        <v>2</v>
      </c>
      <c r="C29" s="240" t="s">
        <v>118</v>
      </c>
      <c r="D29" s="241" t="s">
        <v>24</v>
      </c>
      <c r="E29" s="240" t="str">
        <v>AB</v>
      </c>
      <c r="F29" s="240" t="str">
        <v>3E</v>
      </c>
      <c r="G29" s="240" t="str">
        <f t="shared" si="0"/>
        <v>Annual</v>
      </c>
      <c r="H29" s="160" t="s">
        <v>124</v>
      </c>
      <c r="I29" s="160" t="str">
        <f t="shared" si="1"/>
        <v>30/360 (Bond Basis)</v>
      </c>
      <c r="J29" s="242">
        <v>0</v>
      </c>
      <c r="K29" s="243" t="str">
        <f t="shared" si="2"/>
        <v>EURAB3E21Y_Quote</v>
      </c>
      <c r="L29" s="244" t="str">
        <f>_xll.qlSwapRateHelper2(,$K29,$B29,$D29,Calendar,$G29,$H29,$I29,$L$4,$J29,C29,Discounting,Permanent,,ObjectOverwrite)</f>
        <v>obj_0072b#0003</v>
      </c>
      <c r="M29" s="245" t="str">
        <f>_xll.ohRangeRetrieveError(L29)</f>
        <v/>
      </c>
      <c r="N29" s="223"/>
    </row>
    <row r="30" spans="1:14" x14ac:dyDescent="0.2">
      <c r="A30" s="220"/>
      <c r="B30" s="240">
        <v>2</v>
      </c>
      <c r="C30" s="240" t="s">
        <v>118</v>
      </c>
      <c r="D30" s="241" t="s">
        <v>23</v>
      </c>
      <c r="E30" s="240" t="str">
        <v>AB</v>
      </c>
      <c r="F30" s="240" t="str">
        <v>3E</v>
      </c>
      <c r="G30" s="240" t="str">
        <f t="shared" si="0"/>
        <v>Annual</v>
      </c>
      <c r="H30" s="160" t="s">
        <v>124</v>
      </c>
      <c r="I30" s="160" t="str">
        <f t="shared" si="1"/>
        <v>30/360 (Bond Basis)</v>
      </c>
      <c r="J30" s="242">
        <v>0</v>
      </c>
      <c r="K30" s="243" t="str">
        <f t="shared" si="2"/>
        <v>EURAB3E22Y_Quote</v>
      </c>
      <c r="L30" s="244" t="str">
        <f>_xll.qlSwapRateHelper2(,$K30,$B30,$D30,Calendar,$G30,$H30,$I30,$L$4,$J30,C30,Discounting,Permanent,,ObjectOverwrite)</f>
        <v>obj_00703#0004</v>
      </c>
      <c r="M30" s="245" t="str">
        <f>_xll.ohRangeRetrieveError(L30)</f>
        <v/>
      </c>
      <c r="N30" s="223"/>
    </row>
    <row r="31" spans="1:14" x14ac:dyDescent="0.2">
      <c r="A31" s="220"/>
      <c r="B31" s="240">
        <v>2</v>
      </c>
      <c r="C31" s="240" t="s">
        <v>118</v>
      </c>
      <c r="D31" s="241" t="s">
        <v>22</v>
      </c>
      <c r="E31" s="240" t="str">
        <v>AB</v>
      </c>
      <c r="F31" s="240" t="str">
        <v>3E</v>
      </c>
      <c r="G31" s="240" t="str">
        <f t="shared" si="0"/>
        <v>Annual</v>
      </c>
      <c r="H31" s="160" t="s">
        <v>124</v>
      </c>
      <c r="I31" s="160" t="str">
        <f t="shared" si="1"/>
        <v>30/360 (Bond Basis)</v>
      </c>
      <c r="J31" s="242">
        <v>0</v>
      </c>
      <c r="K31" s="243" t="str">
        <f t="shared" si="2"/>
        <v>EURAB3E23Y_Quote</v>
      </c>
      <c r="L31" s="244" t="str">
        <f>_xll.qlSwapRateHelper2(,$K31,$B31,$D31,Calendar,$G31,$H31,$I31,$L$4,$J31,C31,Discounting,Permanent,,ObjectOverwrite)</f>
        <v>obj_00728#0003</v>
      </c>
      <c r="M31" s="245" t="str">
        <f>_xll.ohRangeRetrieveError(L31)</f>
        <v/>
      </c>
      <c r="N31" s="223"/>
    </row>
    <row r="32" spans="1:14" x14ac:dyDescent="0.2">
      <c r="A32" s="220"/>
      <c r="B32" s="240">
        <v>2</v>
      </c>
      <c r="C32" s="240" t="s">
        <v>118</v>
      </c>
      <c r="D32" s="241" t="s">
        <v>21</v>
      </c>
      <c r="E32" s="240" t="str">
        <v>AB</v>
      </c>
      <c r="F32" s="240" t="str">
        <v>3E</v>
      </c>
      <c r="G32" s="240" t="str">
        <f t="shared" si="0"/>
        <v>Annual</v>
      </c>
      <c r="H32" s="160" t="s">
        <v>124</v>
      </c>
      <c r="I32" s="160" t="str">
        <f t="shared" si="1"/>
        <v>30/360 (Bond Basis)</v>
      </c>
      <c r="J32" s="242">
        <v>0</v>
      </c>
      <c r="K32" s="243" t="str">
        <f t="shared" si="2"/>
        <v>EURAB3E24Y_Quote</v>
      </c>
      <c r="L32" s="244" t="str">
        <f>_xll.qlSwapRateHelper2(,$K32,$B32,$D32,Calendar,$G32,$H32,$I32,$L$4,$J32,C32,Discounting,Permanent,,ObjectOverwrite)</f>
        <v>obj_00731#0004</v>
      </c>
      <c r="M32" s="245" t="str">
        <f>_xll.ohRangeRetrieveError(L32)</f>
        <v/>
      </c>
      <c r="N32" s="223"/>
    </row>
    <row r="33" spans="1:17" x14ac:dyDescent="0.2">
      <c r="A33" s="220"/>
      <c r="B33" s="240">
        <v>2</v>
      </c>
      <c r="C33" s="240" t="s">
        <v>118</v>
      </c>
      <c r="D33" s="241" t="s">
        <v>20</v>
      </c>
      <c r="E33" s="240" t="str">
        <v>AB</v>
      </c>
      <c r="F33" s="240" t="str">
        <v>3E</v>
      </c>
      <c r="G33" s="240" t="str">
        <f t="shared" si="0"/>
        <v>Annual</v>
      </c>
      <c r="H33" s="160" t="s">
        <v>124</v>
      </c>
      <c r="I33" s="160" t="str">
        <f t="shared" si="1"/>
        <v>30/360 (Bond Basis)</v>
      </c>
      <c r="J33" s="242">
        <v>0</v>
      </c>
      <c r="K33" s="243" t="str">
        <f t="shared" si="2"/>
        <v>EURAB3E25Y_Quote</v>
      </c>
      <c r="L33" s="244" t="str">
        <f>_xll.qlSwapRateHelper2(,$K33,$B33,$D33,Calendar,$G33,$H33,$I33,$L$4,$J33,C33,Discounting,Permanent,,ObjectOverwrite)</f>
        <v>obj_00736#0003</v>
      </c>
      <c r="M33" s="245" t="str">
        <f>_xll.ohRangeRetrieveError(L33)</f>
        <v/>
      </c>
      <c r="N33" s="223"/>
    </row>
    <row r="34" spans="1:17" x14ac:dyDescent="0.2">
      <c r="A34" s="220"/>
      <c r="B34" s="240">
        <v>2</v>
      </c>
      <c r="C34" s="240" t="s">
        <v>118</v>
      </c>
      <c r="D34" s="241" t="s">
        <v>19</v>
      </c>
      <c r="E34" s="240" t="str">
        <v>AB</v>
      </c>
      <c r="F34" s="240" t="str">
        <v>3E</v>
      </c>
      <c r="G34" s="240" t="str">
        <f t="shared" si="0"/>
        <v>Annual</v>
      </c>
      <c r="H34" s="160" t="s">
        <v>124</v>
      </c>
      <c r="I34" s="160" t="str">
        <f t="shared" si="1"/>
        <v>30/360 (Bond Basis)</v>
      </c>
      <c r="J34" s="242">
        <v>0</v>
      </c>
      <c r="K34" s="243" t="str">
        <f t="shared" si="2"/>
        <v>EURAB3E26Y_Quote</v>
      </c>
      <c r="L34" s="244" t="str">
        <f>_xll.qlSwapRateHelper2(,$K34,$B34,$D34,Calendar,$G34,$H34,$I34,$L$4,$J34,C34,Discounting,Permanent,,ObjectOverwrite)</f>
        <v>obj_00735#0003</v>
      </c>
      <c r="M34" s="245" t="str">
        <f>_xll.ohRangeRetrieveError(L34)</f>
        <v/>
      </c>
      <c r="N34" s="223"/>
    </row>
    <row r="35" spans="1:17" x14ac:dyDescent="0.2">
      <c r="A35" s="220"/>
      <c r="B35" s="240">
        <v>2</v>
      </c>
      <c r="C35" s="240" t="s">
        <v>118</v>
      </c>
      <c r="D35" s="241" t="s">
        <v>18</v>
      </c>
      <c r="E35" s="240" t="str">
        <v>AB</v>
      </c>
      <c r="F35" s="240" t="str">
        <v>3E</v>
      </c>
      <c r="G35" s="240" t="str">
        <f t="shared" si="0"/>
        <v>Annual</v>
      </c>
      <c r="H35" s="160" t="s">
        <v>124</v>
      </c>
      <c r="I35" s="160" t="str">
        <f t="shared" si="1"/>
        <v>30/360 (Bond Basis)</v>
      </c>
      <c r="J35" s="242">
        <v>0</v>
      </c>
      <c r="K35" s="243" t="str">
        <f t="shared" si="2"/>
        <v>EURAB3E27Y_Quote</v>
      </c>
      <c r="L35" s="244" t="str">
        <f>_xll.qlSwapRateHelper2(,$K35,$B35,$D35,Calendar,$G35,$H35,$I35,$L$4,$J35,C35,Discounting,Permanent,,ObjectOverwrite)</f>
        <v>obj_00706#0003</v>
      </c>
      <c r="M35" s="245" t="str">
        <f>_xll.ohRangeRetrieveError(L35)</f>
        <v/>
      </c>
      <c r="N35" s="223"/>
    </row>
    <row r="36" spans="1:17" x14ac:dyDescent="0.2">
      <c r="A36" s="220"/>
      <c r="B36" s="240">
        <v>2</v>
      </c>
      <c r="C36" s="240" t="s">
        <v>118</v>
      </c>
      <c r="D36" s="241" t="s">
        <v>17</v>
      </c>
      <c r="E36" s="240" t="str">
        <v>AB</v>
      </c>
      <c r="F36" s="240" t="str">
        <v>3E</v>
      </c>
      <c r="G36" s="240" t="str">
        <f t="shared" si="0"/>
        <v>Annual</v>
      </c>
      <c r="H36" s="160" t="s">
        <v>124</v>
      </c>
      <c r="I36" s="160" t="str">
        <f t="shared" si="1"/>
        <v>30/360 (Bond Basis)</v>
      </c>
      <c r="J36" s="242">
        <v>0</v>
      </c>
      <c r="K36" s="243" t="str">
        <f t="shared" si="2"/>
        <v>EURAB3E28Y_Quote</v>
      </c>
      <c r="L36" s="244" t="str">
        <f>_xll.qlSwapRateHelper2(,$K36,$B36,$D36,Calendar,$G36,$H36,$I36,$L$4,$J36,C36,Discounting,Permanent,,ObjectOverwrite)</f>
        <v>obj_0073e#0003</v>
      </c>
      <c r="M36" s="245" t="str">
        <f>_xll.ohRangeRetrieveError(L36)</f>
        <v/>
      </c>
      <c r="N36" s="223"/>
    </row>
    <row r="37" spans="1:17" x14ac:dyDescent="0.2">
      <c r="A37" s="220"/>
      <c r="B37" s="240">
        <v>2</v>
      </c>
      <c r="C37" s="240" t="s">
        <v>118</v>
      </c>
      <c r="D37" s="241" t="s">
        <v>16</v>
      </c>
      <c r="E37" s="240" t="str">
        <v>AB</v>
      </c>
      <c r="F37" s="240" t="str">
        <v>3E</v>
      </c>
      <c r="G37" s="240" t="str">
        <f t="shared" si="0"/>
        <v>Annual</v>
      </c>
      <c r="H37" s="160" t="s">
        <v>124</v>
      </c>
      <c r="I37" s="160" t="str">
        <f t="shared" si="1"/>
        <v>30/360 (Bond Basis)</v>
      </c>
      <c r="J37" s="242">
        <v>0</v>
      </c>
      <c r="K37" s="243" t="str">
        <f t="shared" si="2"/>
        <v>EURAB3E29Y_Quote</v>
      </c>
      <c r="L37" s="244" t="str">
        <f>_xll.qlSwapRateHelper2(,$K37,$B37,$D37,Calendar,$G37,$H37,$I37,$L$4,$J37,C37,Discounting,Permanent,,ObjectOverwrite)</f>
        <v>obj_00720#0004</v>
      </c>
      <c r="M37" s="245" t="str">
        <f>_xll.ohRangeRetrieveError(L37)</f>
        <v/>
      </c>
      <c r="N37" s="223"/>
    </row>
    <row r="38" spans="1:17" x14ac:dyDescent="0.2">
      <c r="A38" s="220"/>
      <c r="B38" s="240">
        <v>2</v>
      </c>
      <c r="C38" s="240" t="s">
        <v>118</v>
      </c>
      <c r="D38" s="241" t="s">
        <v>15</v>
      </c>
      <c r="E38" s="240" t="str">
        <v>AB</v>
      </c>
      <c r="F38" s="240" t="str">
        <v>3E</v>
      </c>
      <c r="G38" s="240" t="str">
        <f t="shared" si="0"/>
        <v>Annual</v>
      </c>
      <c r="H38" s="160" t="s">
        <v>124</v>
      </c>
      <c r="I38" s="160" t="str">
        <f t="shared" si="1"/>
        <v>30/360 (Bond Basis)</v>
      </c>
      <c r="J38" s="242">
        <v>0</v>
      </c>
      <c r="K38" s="243" t="str">
        <f t="shared" si="2"/>
        <v>EURAB3E30Y_Quote</v>
      </c>
      <c r="L38" s="244" t="str">
        <f>_xll.qlSwapRateHelper2(,$K38,$B38,$D38,Calendar,$G38,$H38,$I38,$L$4,$J38,C38,Discounting,Permanent,,ObjectOverwrite)</f>
        <v>obj_00707#0004</v>
      </c>
      <c r="M38" s="245" t="str">
        <f>_xll.ohRangeRetrieveError(L38)</f>
        <v/>
      </c>
      <c r="N38" s="223"/>
    </row>
    <row r="39" spans="1:17" x14ac:dyDescent="0.2">
      <c r="A39" s="220"/>
      <c r="B39" s="240">
        <v>2</v>
      </c>
      <c r="C39" s="240" t="s">
        <v>118</v>
      </c>
      <c r="D39" s="241" t="s">
        <v>14</v>
      </c>
      <c r="E39" s="240" t="str">
        <v>AB</v>
      </c>
      <c r="F39" s="240" t="str">
        <v>3E</v>
      </c>
      <c r="G39" s="240" t="str">
        <f t="shared" si="0"/>
        <v>Annual</v>
      </c>
      <c r="H39" s="160" t="s">
        <v>124</v>
      </c>
      <c r="I39" s="160" t="str">
        <f t="shared" si="1"/>
        <v>30/360 (Bond Basis)</v>
      </c>
      <c r="J39" s="242">
        <v>0</v>
      </c>
      <c r="K39" s="243" t="str">
        <f t="shared" si="2"/>
        <v>EURAB3E35Y_Quote</v>
      </c>
      <c r="L39" s="244" t="str">
        <f>_xll.qlSwapRateHelper2(,$K39,$B39,$D39,Calendar,$G39,$H39,$I39,$L$4,$J39,C39,Discounting,Permanent,,ObjectOverwrite)</f>
        <v>obj_00721#0004</v>
      </c>
      <c r="M39" s="245" t="str">
        <f>_xll.ohRangeRetrieveError(L39)</f>
        <v/>
      </c>
      <c r="N39" s="223"/>
    </row>
    <row r="40" spans="1:17" x14ac:dyDescent="0.2">
      <c r="A40" s="220"/>
      <c r="B40" s="240">
        <v>2</v>
      </c>
      <c r="C40" s="240" t="s">
        <v>118</v>
      </c>
      <c r="D40" s="241" t="s">
        <v>13</v>
      </c>
      <c r="E40" s="240" t="str">
        <v>AB</v>
      </c>
      <c r="F40" s="240" t="str">
        <v>3E</v>
      </c>
      <c r="G40" s="240" t="str">
        <f t="shared" si="0"/>
        <v>Annual</v>
      </c>
      <c r="H40" s="160" t="s">
        <v>124</v>
      </c>
      <c r="I40" s="160" t="str">
        <f t="shared" si="1"/>
        <v>30/360 (Bond Basis)</v>
      </c>
      <c r="J40" s="242">
        <v>0</v>
      </c>
      <c r="K40" s="243" t="str">
        <f t="shared" si="2"/>
        <v>EURAB3E40Y_Quote</v>
      </c>
      <c r="L40" s="244" t="str">
        <f>_xll.qlSwapRateHelper2(,$K40,$B40,$D40,Calendar,$G40,$H40,$I40,$L$4,$J40,C40,Discounting,Permanent,,ObjectOverwrite)</f>
        <v>obj_0072e#0004</v>
      </c>
      <c r="M40" s="245" t="str">
        <f>_xll.ohRangeRetrieveError(L40)</f>
        <v/>
      </c>
      <c r="N40" s="223"/>
    </row>
    <row r="41" spans="1:17" x14ac:dyDescent="0.2">
      <c r="A41" s="220"/>
      <c r="B41" s="240">
        <v>2</v>
      </c>
      <c r="C41" s="240" t="s">
        <v>118</v>
      </c>
      <c r="D41" s="241" t="s">
        <v>12</v>
      </c>
      <c r="E41" s="240" t="str">
        <v>AB</v>
      </c>
      <c r="F41" s="240" t="str">
        <v>3E</v>
      </c>
      <c r="G41" s="240" t="str">
        <f t="shared" si="0"/>
        <v>Annual</v>
      </c>
      <c r="H41" s="160" t="s">
        <v>124</v>
      </c>
      <c r="I41" s="160" t="str">
        <f t="shared" si="1"/>
        <v>30/360 (Bond Basis)</v>
      </c>
      <c r="J41" s="242">
        <v>0</v>
      </c>
      <c r="K41" s="243" t="str">
        <f t="shared" si="2"/>
        <v>EURAB3E50Y_Quote</v>
      </c>
      <c r="L41" s="244" t="str">
        <f>_xll.qlSwapRateHelper2(,$K41,$B41,$D41,Calendar,$G41,$H41,$I41,$L$4,$J41,C41,Discounting,Permanent,,ObjectOverwrite)</f>
        <v>obj_00722#0003</v>
      </c>
      <c r="M41" s="245" t="str">
        <f>_xll.ohRangeRetrieveError(L41)</f>
        <v/>
      </c>
      <c r="N41" s="223"/>
    </row>
    <row r="42" spans="1:17" x14ac:dyDescent="0.2">
      <c r="A42" s="220"/>
      <c r="B42" s="250">
        <v>2</v>
      </c>
      <c r="C42" s="250" t="s">
        <v>118</v>
      </c>
      <c r="D42" s="251" t="s">
        <v>11</v>
      </c>
      <c r="E42" s="250" t="str">
        <v>AB</v>
      </c>
      <c r="F42" s="250" t="str">
        <v>3E</v>
      </c>
      <c r="G42" s="250" t="str">
        <f t="shared" si="0"/>
        <v>Annual</v>
      </c>
      <c r="H42" s="252" t="s">
        <v>124</v>
      </c>
      <c r="I42" s="252" t="str">
        <f t="shared" si="1"/>
        <v>30/360 (Bond Basis)</v>
      </c>
      <c r="J42" s="253">
        <v>0</v>
      </c>
      <c r="K42" s="254" t="str">
        <f t="shared" si="2"/>
        <v>EURAB3E60Y_Quote</v>
      </c>
      <c r="L42" s="255" t="str">
        <f>_xll.qlSwapRateHelper2(,$K42,$B42,$D42,Calendar,$G42,$H42,$I42,$L$4,$J42,C42,Discounting,Permanent,,ObjectOverwrite)</f>
        <v>obj_00730#0003</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118</v>
      </c>
      <c r="D44" s="231"/>
      <c r="E44" s="230" t="s">
        <v>48</v>
      </c>
      <c r="F44" s="230">
        <v>12</v>
      </c>
      <c r="G44" s="230" t="s">
        <v>125</v>
      </c>
      <c r="H44" s="232" t="s">
        <v>124</v>
      </c>
      <c r="I44" s="232" t="s">
        <v>123</v>
      </c>
      <c r="J44" s="233">
        <v>0</v>
      </c>
      <c r="K44" s="234" t="str">
        <f t="shared" ref="K44:K50" si="3">Currency&amp;$E44&amp;$F44&amp;QuoteSuffix</f>
        <v>EUR1S12_Quote</v>
      </c>
      <c r="L44" s="235" t="str">
        <f>_xll.qlSwapRateHelper2(,$K44,$B44,$F44&amp;"M",Calendar,$G44,$H44,$I44,$L$4,$J44,C44,Discounting,Permanent,,ObjectOverwrite)</f>
        <v>obj_0072d#0004</v>
      </c>
      <c r="M44" s="236" t="str">
        <f>_xll.ohRangeRetrieveError(L44)</f>
        <v/>
      </c>
      <c r="N44" s="223"/>
      <c r="O44" s="140"/>
      <c r="P44" s="140"/>
      <c r="Q44" s="140"/>
    </row>
    <row r="45" spans="1:17" x14ac:dyDescent="0.2">
      <c r="A45" s="220"/>
      <c r="B45" s="240">
        <v>2</v>
      </c>
      <c r="C45" s="240" t="s">
        <v>118</v>
      </c>
      <c r="D45" s="241"/>
      <c r="E45" s="240" t="s">
        <v>49</v>
      </c>
      <c r="F45" s="240">
        <v>12</v>
      </c>
      <c r="G45" s="240" t="s">
        <v>125</v>
      </c>
      <c r="H45" s="160" t="s">
        <v>124</v>
      </c>
      <c r="I45" s="160" t="s">
        <v>123</v>
      </c>
      <c r="J45" s="242">
        <v>0</v>
      </c>
      <c r="K45" s="243" t="str">
        <f t="shared" si="3"/>
        <v>EUR2S12_Quote</v>
      </c>
      <c r="L45" s="244" t="str">
        <f>_xll.qlSwapRateHelper2(,$K45,$B45,$F45&amp;"M",Calendar,$G45,$H45,$I45,$L$4,$J45,C45,Discounting,Permanent,,ObjectOverwrite)</f>
        <v>obj_0072a#0004</v>
      </c>
      <c r="M45" s="245" t="str">
        <f>_xll.ohRangeRetrieveError(L45)</f>
        <v/>
      </c>
      <c r="N45" s="223"/>
      <c r="O45" s="140"/>
      <c r="P45" s="140"/>
      <c r="Q45" s="140"/>
    </row>
    <row r="46" spans="1:17" x14ac:dyDescent="0.2">
      <c r="A46" s="220"/>
      <c r="B46" s="240">
        <v>2</v>
      </c>
      <c r="C46" s="240" t="s">
        <v>118</v>
      </c>
      <c r="D46" s="241"/>
      <c r="E46" s="240" t="s">
        <v>51</v>
      </c>
      <c r="F46" s="240">
        <v>12</v>
      </c>
      <c r="G46" s="240" t="s">
        <v>125</v>
      </c>
      <c r="H46" s="160" t="s">
        <v>124</v>
      </c>
      <c r="I46" s="160" t="s">
        <v>123</v>
      </c>
      <c r="J46" s="242">
        <v>0</v>
      </c>
      <c r="K46" s="243" t="str">
        <f t="shared" si="3"/>
        <v>EUR3S12_Quote</v>
      </c>
      <c r="L46" s="244" t="str">
        <f>_xll.qlSwapRateHelper2(,$K46,$B46,$F46&amp;"M",Calendar,$G46,$H46,$I46,$L$4,$J46,C46,Discounting,Permanent,,ObjectOverwrite)</f>
        <v>obj_00708#0004</v>
      </c>
      <c r="M46" s="245" t="str">
        <f>_xll.ohRangeRetrieveError(L46)</f>
        <v/>
      </c>
      <c r="N46" s="223"/>
      <c r="O46" s="140"/>
      <c r="P46" s="140"/>
      <c r="Q46" s="140"/>
    </row>
    <row r="47" spans="1:17" x14ac:dyDescent="0.2">
      <c r="A47" s="220"/>
      <c r="B47" s="240">
        <v>2</v>
      </c>
      <c r="C47" s="240" t="s">
        <v>118</v>
      </c>
      <c r="D47" s="241"/>
      <c r="E47" s="240" t="s">
        <v>50</v>
      </c>
      <c r="F47" s="240">
        <v>12</v>
      </c>
      <c r="G47" s="240" t="s">
        <v>125</v>
      </c>
      <c r="H47" s="160" t="s">
        <v>124</v>
      </c>
      <c r="I47" s="160" t="s">
        <v>123</v>
      </c>
      <c r="J47" s="242">
        <v>0</v>
      </c>
      <c r="K47" s="243" t="str">
        <f t="shared" si="3"/>
        <v>EUR4S12_Quote</v>
      </c>
      <c r="L47" s="244" t="str">
        <f>_xll.qlSwapRateHelper2(,$K47,$B47,$F47&amp;"M",Calendar,$G47,$H47,$I47,$L$4,$J47,C47,Discounting,Permanent,,ObjectOverwrite)</f>
        <v>obj_00725#0004</v>
      </c>
      <c r="M47" s="245" t="str">
        <f>_xll.ohRangeRetrieveError(L47)</f>
        <v/>
      </c>
      <c r="N47" s="223"/>
      <c r="O47" s="140"/>
      <c r="P47" s="140"/>
      <c r="Q47" s="140"/>
    </row>
    <row r="48" spans="1:17" x14ac:dyDescent="0.2">
      <c r="A48" s="220"/>
      <c r="B48" s="240">
        <v>2</v>
      </c>
      <c r="C48" s="240" t="s">
        <v>118</v>
      </c>
      <c r="D48" s="241"/>
      <c r="E48" s="240" t="s">
        <v>48</v>
      </c>
      <c r="F48" s="240">
        <v>24</v>
      </c>
      <c r="G48" s="240" t="s">
        <v>125</v>
      </c>
      <c r="H48" s="160" t="s">
        <v>124</v>
      </c>
      <c r="I48" s="160" t="s">
        <v>123</v>
      </c>
      <c r="J48" s="242">
        <v>0</v>
      </c>
      <c r="K48" s="243" t="str">
        <f t="shared" si="3"/>
        <v>EUR1S24_Quote</v>
      </c>
      <c r="L48" s="244" t="str">
        <f>_xll.qlSwapRateHelper2(,$K48,$B48,$F48&amp;"M",Calendar,$G48,$H48,$I48,$L$4,$J48,C48,Discounting,Permanent,,ObjectOverwrite)</f>
        <v>obj_00710#0004</v>
      </c>
      <c r="M48" s="245" t="str">
        <f>_xll.ohRangeRetrieveError(L48)</f>
        <v/>
      </c>
      <c r="N48" s="223"/>
      <c r="O48" s="140"/>
      <c r="P48" s="140"/>
      <c r="Q48" s="140"/>
    </row>
    <row r="49" spans="1:17" x14ac:dyDescent="0.2">
      <c r="A49" s="220"/>
      <c r="B49" s="240">
        <v>2</v>
      </c>
      <c r="C49" s="240" t="s">
        <v>118</v>
      </c>
      <c r="D49" s="241"/>
      <c r="E49" s="240" t="s">
        <v>49</v>
      </c>
      <c r="F49" s="240">
        <v>24</v>
      </c>
      <c r="G49" s="240" t="s">
        <v>125</v>
      </c>
      <c r="H49" s="160" t="s">
        <v>124</v>
      </c>
      <c r="I49" s="160" t="s">
        <v>123</v>
      </c>
      <c r="J49" s="242">
        <v>0</v>
      </c>
      <c r="K49" s="243" t="str">
        <f t="shared" si="3"/>
        <v>EUR2S24_Quote</v>
      </c>
      <c r="L49" s="244" t="str">
        <f>_xll.qlSwapRateHelper2(,$K49,$B49,$F49&amp;"M",Calendar,$G49,$H49,$I49,$L$4,$J49,C49,Discounting,Permanent,,ObjectOverwrite)</f>
        <v>obj_0073a#0004</v>
      </c>
      <c r="M49" s="245" t="str">
        <f>_xll.ohRangeRetrieveError(L49)</f>
        <v/>
      </c>
      <c r="N49" s="223"/>
      <c r="O49" s="140"/>
      <c r="P49" s="140"/>
      <c r="Q49" s="140"/>
    </row>
    <row r="50" spans="1:17" x14ac:dyDescent="0.2">
      <c r="A50" s="220"/>
      <c r="B50" s="250">
        <v>2</v>
      </c>
      <c r="C50" s="250" t="s">
        <v>118</v>
      </c>
      <c r="D50" s="251"/>
      <c r="E50" s="250" t="s">
        <v>48</v>
      </c>
      <c r="F50" s="250">
        <v>36</v>
      </c>
      <c r="G50" s="250" t="s">
        <v>125</v>
      </c>
      <c r="H50" s="252" t="s">
        <v>124</v>
      </c>
      <c r="I50" s="252" t="s">
        <v>123</v>
      </c>
      <c r="J50" s="253">
        <v>0</v>
      </c>
      <c r="K50" s="254" t="str">
        <f t="shared" si="3"/>
        <v>EUR1S36_Quote</v>
      </c>
      <c r="L50" s="255" t="str">
        <f>_xll.qlSwapRateHelper2(,$K50,$B50,$F50&amp;"M",Calendar,$G50,$H50,$I50,$L$4,$J50,C50,Discounting,Permanent,,ObjectOverwrite)</f>
        <v>obj_00734#0004</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K2&amp;"_SwapsFromBasis.xml"</f>
        <v>EUR_YC3MRH_SwapsFromBasis.xml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obj_006ed#0004</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118</v>
      </c>
      <c r="D6" s="230" t="s">
        <v>47</v>
      </c>
      <c r="E6" s="260" t="str">
        <f>VLOOKUP(Currency,Swap3MConventions,2)</f>
        <v>AB</v>
      </c>
      <c r="F6" s="260" t="str">
        <f>VLOOKUP(Currency,Swap3MConventions,3)</f>
        <v>3E</v>
      </c>
      <c r="G6" s="232" t="str">
        <f t="shared" ref="G6:G42" si="0">IF(UPPER(LEFT($E6))="A","Annual",IF(UPPER(LEFT($E6))="S","Semiannual","--"))</f>
        <v>Annual</v>
      </c>
      <c r="H6" s="232" t="s">
        <v>124</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obj_0071b#0004</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124</v>
      </c>
      <c r="I7" s="160" t="str">
        <f t="shared" si="1"/>
        <v>30/360 (Bond Basis)</v>
      </c>
      <c r="J7" s="242">
        <v>0</v>
      </c>
      <c r="K7" s="262" t="str">
        <f t="shared" si="2"/>
        <v>EURAB3EBASIS15M_Quote</v>
      </c>
      <c r="L7" s="244" t="str">
        <f>_xll.qlSwapRateHelper2(,$K7,$B7,$D7,Calendar,$G7,$H7,$I7,$L$4,$J7,C7,Discounting,Permanent,,ObjectOverwrite)</f>
        <v>obj_0071d#0004</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124</v>
      </c>
      <c r="I8" s="160" t="str">
        <f t="shared" si="1"/>
        <v>30/360 (Bond Basis)</v>
      </c>
      <c r="J8" s="242">
        <v>0</v>
      </c>
      <c r="K8" s="262" t="str">
        <f t="shared" si="2"/>
        <v>EURAB3EBASIS18M_Quote</v>
      </c>
      <c r="L8" s="244" t="str">
        <f>_xll.qlSwapRateHelper2(,$K8,$B8,$D8,Calendar,$G8,$H8,$I8,$L$4,$J8,C8,Discounting,Permanent,,ObjectOverwrite)</f>
        <v>obj_00714#0004</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124</v>
      </c>
      <c r="I9" s="160" t="str">
        <f t="shared" si="1"/>
        <v>30/360 (Bond Basis)</v>
      </c>
      <c r="J9" s="242">
        <v>0</v>
      </c>
      <c r="K9" s="262" t="str">
        <f t="shared" si="2"/>
        <v>EURAB3EBASIS21M_Quote</v>
      </c>
      <c r="L9" s="244" t="str">
        <f>_xll.qlSwapRateHelper2(,$K9,$B9,$D9,Calendar,$G9,$H9,$I9,$L$4,$J9,C9,Discounting,Permanent,,ObjectOverwrite)</f>
        <v>obj_00718#0004</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124</v>
      </c>
      <c r="I10" s="160" t="str">
        <f t="shared" si="1"/>
        <v>30/360 (Bond Basis)</v>
      </c>
      <c r="J10" s="242">
        <v>0</v>
      </c>
      <c r="K10" s="262" t="str">
        <f t="shared" si="2"/>
        <v>EURAB3EBASIS2Y_Quote</v>
      </c>
      <c r="L10" s="244" t="str">
        <f>_xll.qlSwapRateHelper2(,$K10,$B10,$D10,Calendar,$G10,$H10,$I10,$L$4,$J10,C10,Discounting,Permanent,,ObjectOverwrite)</f>
        <v>obj_00717#0004</v>
      </c>
      <c r="M10" s="245" t="str">
        <f>_xll.ohRangeRetrieveError(L10)</f>
        <v/>
      </c>
      <c r="N10" s="223"/>
      <c r="P10" s="237" t="s">
        <v>97</v>
      </c>
      <c r="Q10" s="185" t="s">
        <v>94</v>
      </c>
      <c r="R10" s="263" t="s">
        <v>126</v>
      </c>
    </row>
    <row r="11" spans="1:18" x14ac:dyDescent="0.2">
      <c r="A11" s="220"/>
      <c r="B11" s="240">
        <v>2</v>
      </c>
      <c r="C11" s="240" t="str">
        <f t="shared" si="3"/>
        <v>0D</v>
      </c>
      <c r="D11" s="240" t="s">
        <v>42</v>
      </c>
      <c r="E11" s="240" t="str">
        <f t="shared" si="4"/>
        <v>AB</v>
      </c>
      <c r="F11" s="240" t="str">
        <f t="shared" si="5"/>
        <v>3E</v>
      </c>
      <c r="G11" s="160" t="str">
        <f t="shared" si="0"/>
        <v>Annual</v>
      </c>
      <c r="H11" s="160" t="s">
        <v>124</v>
      </c>
      <c r="I11" s="160" t="str">
        <f t="shared" si="1"/>
        <v>30/360 (Bond Basis)</v>
      </c>
      <c r="J11" s="242">
        <v>0</v>
      </c>
      <c r="K11" s="262" t="str">
        <f t="shared" si="2"/>
        <v>EURAB3EBASIS3Y_Quote</v>
      </c>
      <c r="L11" s="244" t="str">
        <f>_xll.qlSwapRateHelper2(,$K11,$B11,$D11,Calendar,$G11,$H11,$I11,$L$4,$J11,C11,Discounting,Permanent,,ObjectOverwrite)</f>
        <v>obj_006ee#0004</v>
      </c>
      <c r="M11" s="245" t="str">
        <f>_xll.ohRangeRetrieveError(L11)</f>
        <v/>
      </c>
      <c r="N11" s="223"/>
      <c r="P11" s="130" t="s">
        <v>95</v>
      </c>
      <c r="Q11" s="140" t="s">
        <v>94</v>
      </c>
      <c r="R11" s="264" t="s">
        <v>128</v>
      </c>
    </row>
    <row r="12" spans="1:18" x14ac:dyDescent="0.2">
      <c r="A12" s="220"/>
      <c r="B12" s="240">
        <v>2</v>
      </c>
      <c r="C12" s="240" t="str">
        <f t="shared" si="3"/>
        <v>0D</v>
      </c>
      <c r="D12" s="240" t="s">
        <v>41</v>
      </c>
      <c r="E12" s="240" t="str">
        <f t="shared" si="4"/>
        <v>AB</v>
      </c>
      <c r="F12" s="240" t="str">
        <f t="shared" si="5"/>
        <v>3E</v>
      </c>
      <c r="G12" s="160" t="str">
        <f t="shared" si="0"/>
        <v>Annual</v>
      </c>
      <c r="H12" s="160" t="s">
        <v>124</v>
      </c>
      <c r="I12" s="160" t="str">
        <f t="shared" si="1"/>
        <v>30/360 (Bond Basis)</v>
      </c>
      <c r="J12" s="242">
        <v>0</v>
      </c>
      <c r="K12" s="262" t="str">
        <f t="shared" si="2"/>
        <v>EURAB3EBASIS4Y_Quote</v>
      </c>
      <c r="L12" s="244" t="str">
        <f>_xll.qlSwapRateHelper2(,$K12,$B12,$D12,Calendar,$G12,$H12,$I12,$L$4,$J12,C12,Discounting,Permanent,,ObjectOverwrite)</f>
        <v>obj_006f8#0004</v>
      </c>
      <c r="M12" s="245" t="str">
        <f>_xll.ohRangeRetrieveError(L12)</f>
        <v/>
      </c>
      <c r="N12" s="223"/>
      <c r="P12" s="130" t="s">
        <v>92</v>
      </c>
      <c r="Q12" s="140" t="s">
        <v>87</v>
      </c>
      <c r="R12" s="264" t="s">
        <v>126</v>
      </c>
    </row>
    <row r="13" spans="1:18" x14ac:dyDescent="0.2">
      <c r="A13" s="220"/>
      <c r="B13" s="240">
        <v>2</v>
      </c>
      <c r="C13" s="240" t="str">
        <f t="shared" si="3"/>
        <v>0D</v>
      </c>
      <c r="D13" s="240" t="s">
        <v>40</v>
      </c>
      <c r="E13" s="240" t="str">
        <f t="shared" si="4"/>
        <v>AB</v>
      </c>
      <c r="F13" s="240" t="str">
        <f t="shared" si="5"/>
        <v>3E</v>
      </c>
      <c r="G13" s="160" t="str">
        <f t="shared" si="0"/>
        <v>Annual</v>
      </c>
      <c r="H13" s="160" t="s">
        <v>124</v>
      </c>
      <c r="I13" s="160" t="str">
        <f t="shared" si="1"/>
        <v>30/360 (Bond Basis)</v>
      </c>
      <c r="J13" s="242">
        <v>0</v>
      </c>
      <c r="K13" s="262" t="str">
        <f t="shared" si="2"/>
        <v>EURAB3EBASIS5Y_Quote</v>
      </c>
      <c r="L13" s="244" t="str">
        <f>_xll.qlSwapRateHelper2(,$K13,$B13,$D13,Calendar,$G13,$H13,$I13,$L$4,$J13,C13,Discounting,Permanent,,ObjectOverwrite)</f>
        <v>obj_00716#0004</v>
      </c>
      <c r="M13" s="245" t="str">
        <f>_xll.ohRangeRetrieveError(L13)</f>
        <v/>
      </c>
      <c r="N13" s="223"/>
      <c r="P13" s="130" t="s">
        <v>90</v>
      </c>
      <c r="Q13" s="140" t="s">
        <v>127</v>
      </c>
      <c r="R13" s="264" t="s">
        <v>126</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124</v>
      </c>
      <c r="I14" s="160" t="str">
        <f t="shared" si="1"/>
        <v>30/360 (Bond Basis)</v>
      </c>
      <c r="J14" s="242">
        <v>0</v>
      </c>
      <c r="K14" s="262" t="str">
        <f t="shared" si="2"/>
        <v>EURAB3EBASIS6Y_Quote</v>
      </c>
      <c r="L14" s="244" t="str">
        <f>_xll.qlSwapRateHelper2(,$K14,$B14,$D14,Calendar,$G14,$H14,$I14,$L$4,$J14,C14,Discounting,Permanent,,ObjectOverwrite)</f>
        <v>obj_006ef#0004</v>
      </c>
      <c r="M14" s="245" t="str">
        <f>_xll.ohRangeRetrieveError(L14)</f>
        <v/>
      </c>
      <c r="N14" s="223"/>
      <c r="P14" s="147" t="s">
        <v>88</v>
      </c>
      <c r="Q14" s="150" t="s">
        <v>87</v>
      </c>
      <c r="R14" s="265" t="s">
        <v>126</v>
      </c>
    </row>
    <row r="15" spans="1:18" x14ac:dyDescent="0.2">
      <c r="A15" s="220"/>
      <c r="B15" s="240">
        <v>2</v>
      </c>
      <c r="C15" s="240" t="str">
        <f t="shared" si="3"/>
        <v>0D</v>
      </c>
      <c r="D15" s="240" t="s">
        <v>38</v>
      </c>
      <c r="E15" s="240" t="str">
        <f t="shared" si="4"/>
        <v>AB</v>
      </c>
      <c r="F15" s="240" t="str">
        <f t="shared" si="5"/>
        <v>3E</v>
      </c>
      <c r="G15" s="160" t="str">
        <f t="shared" si="0"/>
        <v>Annual</v>
      </c>
      <c r="H15" s="160" t="s">
        <v>124</v>
      </c>
      <c r="I15" s="160" t="str">
        <f t="shared" si="1"/>
        <v>30/360 (Bond Basis)</v>
      </c>
      <c r="J15" s="242">
        <v>0</v>
      </c>
      <c r="K15" s="262" t="str">
        <f t="shared" si="2"/>
        <v>EURAB3EBASIS7Y_Quote</v>
      </c>
      <c r="L15" s="244" t="str">
        <f>_xll.qlSwapRateHelper2(,$K15,$B15,$D15,Calendar,$G15,$H15,$I15,$L$4,$J15,C15,Discounting,Permanent,,ObjectOverwrite)</f>
        <v>obj_006f9#0004</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124</v>
      </c>
      <c r="I16" s="160" t="str">
        <f t="shared" si="1"/>
        <v>30/360 (Bond Basis)</v>
      </c>
      <c r="J16" s="242">
        <v>0</v>
      </c>
      <c r="K16" s="262" t="str">
        <f t="shared" si="2"/>
        <v>EURAB3EBASIS8Y_Quote</v>
      </c>
      <c r="L16" s="244" t="str">
        <f>_xll.qlSwapRateHelper2(,$K16,$B16,$D16,Calendar,$G16,$H16,$I16,$L$4,$J16,C16,Discounting,Permanent,,ObjectOverwrite)</f>
        <v>obj_006fd#0004</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124</v>
      </c>
      <c r="I17" s="160" t="str">
        <f t="shared" si="1"/>
        <v>30/360 (Bond Basis)</v>
      </c>
      <c r="J17" s="242">
        <v>0</v>
      </c>
      <c r="K17" s="262" t="str">
        <f t="shared" si="2"/>
        <v>EURAB3EBASIS9Y_Quote</v>
      </c>
      <c r="L17" s="244" t="str">
        <f>_xll.qlSwapRateHelper2(,$K17,$B17,$D17,Calendar,$G17,$H17,$I17,$L$4,$J17,C17,Discounting,Permanent,,ObjectOverwrite)</f>
        <v>obj_006fa#0004</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124</v>
      </c>
      <c r="I18" s="160" t="str">
        <f t="shared" si="1"/>
        <v>30/360 (Bond Basis)</v>
      </c>
      <c r="J18" s="242">
        <v>0</v>
      </c>
      <c r="K18" s="262" t="str">
        <f t="shared" si="2"/>
        <v>EURAB3EBASIS10Y_Quote</v>
      </c>
      <c r="L18" s="244" t="str">
        <f>_xll.qlSwapRateHelper2(,$K18,$B18,$D18,Calendar,$G18,$H18,$I18,$L$4,$J18,C18,Discounting,Permanent,,ObjectOverwrite)</f>
        <v>obj_00713#0004</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124</v>
      </c>
      <c r="I19" s="160" t="str">
        <f t="shared" si="1"/>
        <v>30/360 (Bond Basis)</v>
      </c>
      <c r="J19" s="242">
        <v>0</v>
      </c>
      <c r="K19" s="262" t="str">
        <f t="shared" si="2"/>
        <v>EURAB3EBASIS11Y_Quote</v>
      </c>
      <c r="L19" s="244" t="str">
        <f>_xll.qlSwapRateHelper2(,$K19,$B19,$D19,Calendar,$G19,$H19,$I19,$L$4,$J19,C19,Discounting,Permanent,,ObjectOverwrite)</f>
        <v>obj_006f2#0004</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124</v>
      </c>
      <c r="I20" s="160" t="str">
        <f t="shared" si="1"/>
        <v>30/360 (Bond Basis)</v>
      </c>
      <c r="J20" s="242">
        <v>0</v>
      </c>
      <c r="K20" s="262" t="str">
        <f t="shared" si="2"/>
        <v>EURAB3EBASIS12Y_Quote</v>
      </c>
      <c r="L20" s="244" t="str">
        <f>_xll.qlSwapRateHelper2(,$K20,$B20,$D20,Calendar,$G20,$H20,$I20,$L$4,$J20,C20,Discounting,Permanent,,ObjectOverwrite)</f>
        <v>obj_0070d#0004</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124</v>
      </c>
      <c r="I21" s="160" t="str">
        <f t="shared" si="1"/>
        <v>30/360 (Bond Basis)</v>
      </c>
      <c r="J21" s="242">
        <v>0</v>
      </c>
      <c r="K21" s="262" t="str">
        <f t="shared" si="2"/>
        <v>EURAB3EBASIS13Y_Quote</v>
      </c>
      <c r="L21" s="244" t="str">
        <f>_xll.qlSwapRateHelper2(,$K21,$B21,$D21,Calendar,$G21,$H21,$I21,$L$4,$J21,C21,Discounting,Permanent,,ObjectOverwrite)</f>
        <v>obj_00715#0004</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124</v>
      </c>
      <c r="I22" s="160" t="str">
        <f t="shared" si="1"/>
        <v>30/360 (Bond Basis)</v>
      </c>
      <c r="J22" s="242">
        <v>0</v>
      </c>
      <c r="K22" s="262" t="str">
        <f t="shared" si="2"/>
        <v>EURAB3EBASIS14Y_Quote</v>
      </c>
      <c r="L22" s="244" t="str">
        <f>_xll.qlSwapRateHelper2(,$K22,$B22,$D22,Calendar,$G22,$H22,$I22,$L$4,$J22,C22,Discounting,Permanent,,ObjectOverwrite)</f>
        <v>obj_0071e#0004</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124</v>
      </c>
      <c r="I23" s="160" t="str">
        <f t="shared" si="1"/>
        <v>30/360 (Bond Basis)</v>
      </c>
      <c r="J23" s="242">
        <v>0</v>
      </c>
      <c r="K23" s="262" t="str">
        <f t="shared" si="2"/>
        <v>EURAB3EBASIS15Y_Quote</v>
      </c>
      <c r="L23" s="244" t="str">
        <f>_xll.qlSwapRateHelper2(,$K23,$B23,$D23,Calendar,$G23,$H23,$I23,$L$4,$J23,C23,Discounting,Permanent,,ObjectOverwrite)</f>
        <v>obj_00719#0004</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124</v>
      </c>
      <c r="I24" s="160" t="str">
        <f t="shared" si="1"/>
        <v>30/360 (Bond Basis)</v>
      </c>
      <c r="J24" s="242">
        <v>0</v>
      </c>
      <c r="K24" s="262" t="str">
        <f t="shared" si="2"/>
        <v>EURAB3EBASIS16Y_Quote</v>
      </c>
      <c r="L24" s="244" t="str">
        <f>_xll.qlSwapRateHelper2(,$K24,$B24,$D24,Calendar,$G24,$H24,$I24,$L$4,$J24,C24,Discounting,Permanent,,ObjectOverwrite)</f>
        <v>obj_006f0#0004</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124</v>
      </c>
      <c r="I25" s="160" t="str">
        <f t="shared" si="1"/>
        <v>30/360 (Bond Basis)</v>
      </c>
      <c r="J25" s="242">
        <v>0</v>
      </c>
      <c r="K25" s="262" t="str">
        <f t="shared" si="2"/>
        <v>EURAB3EBASIS17Y_Quote</v>
      </c>
      <c r="L25" s="244" t="str">
        <f>_xll.qlSwapRateHelper2(,$K25,$B25,$D25,Calendar,$G25,$H25,$I25,$L$4,$J25,C25,Discounting,Permanent,,ObjectOverwrite)</f>
        <v>obj_006fe#0004</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124</v>
      </c>
      <c r="I26" s="160" t="str">
        <f t="shared" si="1"/>
        <v>30/360 (Bond Basis)</v>
      </c>
      <c r="J26" s="242">
        <v>0</v>
      </c>
      <c r="K26" s="262" t="str">
        <f t="shared" si="2"/>
        <v>EURAB3EBASIS18Y_Quote</v>
      </c>
      <c r="L26" s="244" t="str">
        <f>_xll.qlSwapRateHelper2(,$K26,$B26,$D26,Calendar,$G26,$H26,$I26,$L$4,$J26,C26,Discounting,Permanent,,ObjectOverwrite)</f>
        <v>obj_006ff#0004</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124</v>
      </c>
      <c r="I27" s="160" t="str">
        <f t="shared" si="1"/>
        <v>30/360 (Bond Basis)</v>
      </c>
      <c r="J27" s="242">
        <v>0</v>
      </c>
      <c r="K27" s="262" t="str">
        <f t="shared" si="2"/>
        <v>EURAB3EBASIS19Y_Quote</v>
      </c>
      <c r="L27" s="244" t="str">
        <f>_xll.qlSwapRateHelper2(,$K27,$B27,$D27,Calendar,$G27,$H27,$I27,$L$4,$J27,C27,Discounting,Permanent,,ObjectOverwrite)</f>
        <v>obj_006f5#0004</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124</v>
      </c>
      <c r="I28" s="160" t="str">
        <f t="shared" si="1"/>
        <v>30/360 (Bond Basis)</v>
      </c>
      <c r="J28" s="242">
        <v>0</v>
      </c>
      <c r="K28" s="262" t="str">
        <f t="shared" si="2"/>
        <v>EURAB3EBASIS20Y_Quote</v>
      </c>
      <c r="L28" s="244" t="str">
        <f>_xll.qlSwapRateHelper2(,$K28,$B28,$D28,Calendar,$G28,$H28,$I28,$L$4,$J28,C28,Discounting,Permanent,,ObjectOverwrite)</f>
        <v>obj_0071f#0004</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124</v>
      </c>
      <c r="I29" s="160" t="str">
        <f t="shared" si="1"/>
        <v>30/360 (Bond Basis)</v>
      </c>
      <c r="J29" s="242">
        <v>0</v>
      </c>
      <c r="K29" s="262" t="str">
        <f t="shared" si="2"/>
        <v>EURAB3EBASIS21Y_Quote</v>
      </c>
      <c r="L29" s="244" t="str">
        <f>_xll.qlSwapRateHelper2(,$K29,$B29,$D29,Calendar,$G29,$H29,$I29,$L$4,$J29,C29,Discounting,Permanent,,ObjectOverwrite)</f>
        <v>obj_006f7#0004</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124</v>
      </c>
      <c r="I30" s="160" t="str">
        <f t="shared" si="1"/>
        <v>30/360 (Bond Basis)</v>
      </c>
      <c r="J30" s="242">
        <v>0</v>
      </c>
      <c r="K30" s="262" t="str">
        <f t="shared" si="2"/>
        <v>EURAB3EBASIS22Y_Quote</v>
      </c>
      <c r="L30" s="244" t="str">
        <f>_xll.qlSwapRateHelper2(,$K30,$B30,$D30,Calendar,$G30,$H30,$I30,$L$4,$J30,C30,Discounting,Permanent,,ObjectOverwrite)</f>
        <v>obj_006fb#0004</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124</v>
      </c>
      <c r="I31" s="160" t="str">
        <f t="shared" si="1"/>
        <v>30/360 (Bond Basis)</v>
      </c>
      <c r="J31" s="242">
        <v>0</v>
      </c>
      <c r="K31" s="262" t="str">
        <f t="shared" si="2"/>
        <v>EURAB3EBASIS23Y_Quote</v>
      </c>
      <c r="L31" s="244" t="str">
        <f>_xll.qlSwapRateHelper2(,$K31,$B31,$D31,Calendar,$G31,$H31,$I31,$L$4,$J31,C31,Discounting,Permanent,,ObjectOverwrite)</f>
        <v>obj_0071c#0004</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124</v>
      </c>
      <c r="I32" s="160" t="str">
        <f t="shared" si="1"/>
        <v>30/360 (Bond Basis)</v>
      </c>
      <c r="J32" s="242">
        <v>0</v>
      </c>
      <c r="K32" s="262" t="str">
        <f t="shared" si="2"/>
        <v>EURAB3EBASIS24Y_Quote</v>
      </c>
      <c r="L32" s="244" t="str">
        <f>_xll.qlSwapRateHelper2(,$K32,$B32,$D32,Calendar,$G32,$H32,$I32,$L$4,$J32,C32,Discounting,Permanent,,ObjectOverwrite)</f>
        <v>obj_006f3#0004</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124</v>
      </c>
      <c r="I33" s="160" t="str">
        <f t="shared" si="1"/>
        <v>30/360 (Bond Basis)</v>
      </c>
      <c r="J33" s="242">
        <v>0</v>
      </c>
      <c r="K33" s="262" t="str">
        <f t="shared" si="2"/>
        <v>EURAB3EBASIS25Y_Quote</v>
      </c>
      <c r="L33" s="244" t="str">
        <f>_xll.qlSwapRateHelper2(,$K33,$B33,$D33,Calendar,$G33,$H33,$I33,$L$4,$J33,C33,Discounting,Permanent,,ObjectOverwrite)</f>
        <v>obj_006f1#0004</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124</v>
      </c>
      <c r="I34" s="160" t="str">
        <f t="shared" si="1"/>
        <v>30/360 (Bond Basis)</v>
      </c>
      <c r="J34" s="242">
        <v>0</v>
      </c>
      <c r="K34" s="262" t="str">
        <f t="shared" si="2"/>
        <v>EURAB3EBASIS26Y_Quote</v>
      </c>
      <c r="L34" s="244" t="str">
        <f>_xll.qlSwapRateHelper2(,$K34,$B34,$D34,Calendar,$G34,$H34,$I34,$L$4,$J34,C34,Discounting,Permanent,,ObjectOverwrite)</f>
        <v>obj_00701#0004</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124</v>
      </c>
      <c r="I35" s="160" t="str">
        <f t="shared" si="1"/>
        <v>30/360 (Bond Basis)</v>
      </c>
      <c r="J35" s="242">
        <v>0</v>
      </c>
      <c r="K35" s="262" t="str">
        <f t="shared" si="2"/>
        <v>EURAB3EBASIS27Y_Quote</v>
      </c>
      <c r="L35" s="244" t="str">
        <f>_xll.qlSwapRateHelper2(,$K35,$B35,$D35,Calendar,$G35,$H35,$I35,$L$4,$J35,C35,Discounting,Permanent,,ObjectOverwrite)</f>
        <v>obj_00711#0004</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124</v>
      </c>
      <c r="I36" s="160" t="str">
        <f t="shared" si="1"/>
        <v>30/360 (Bond Basis)</v>
      </c>
      <c r="J36" s="242">
        <v>0</v>
      </c>
      <c r="K36" s="262" t="str">
        <f t="shared" si="2"/>
        <v>EURAB3EBASIS28Y_Quote</v>
      </c>
      <c r="L36" s="244" t="str">
        <f>_xll.qlSwapRateHelper2(,$K36,$B36,$D36,Calendar,$G36,$H36,$I36,$L$4,$J36,C36,Discounting,Permanent,,ObjectOverwrite)</f>
        <v>obj_0071a#0004</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124</v>
      </c>
      <c r="I37" s="160" t="str">
        <f t="shared" si="1"/>
        <v>30/360 (Bond Basis)</v>
      </c>
      <c r="J37" s="242">
        <v>0</v>
      </c>
      <c r="K37" s="262" t="str">
        <f t="shared" si="2"/>
        <v>EURAB3EBASIS29Y_Quote</v>
      </c>
      <c r="L37" s="244" t="str">
        <f>_xll.qlSwapRateHelper2(,$K37,$B37,$D37,Calendar,$G37,$H37,$I37,$L$4,$J37,C37,Discounting,Permanent,,ObjectOverwrite)</f>
        <v>obj_006fc#0004</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124</v>
      </c>
      <c r="I38" s="160" t="str">
        <f t="shared" si="1"/>
        <v>30/360 (Bond Basis)</v>
      </c>
      <c r="J38" s="242">
        <v>0</v>
      </c>
      <c r="K38" s="262" t="str">
        <f t="shared" si="2"/>
        <v>EURAB3EBASIS30Y_Quote</v>
      </c>
      <c r="L38" s="244" t="str">
        <f>_xll.qlSwapRateHelper2(,$K38,$B38,$D38,Calendar,$G38,$H38,$I38,$L$4,$J38,C38,Discounting,Permanent,,ObjectOverwrite)</f>
        <v>obj_00704#0004</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124</v>
      </c>
      <c r="I39" s="160" t="str">
        <f t="shared" si="1"/>
        <v>30/360 (Bond Basis)</v>
      </c>
      <c r="J39" s="242">
        <v>0</v>
      </c>
      <c r="K39" s="262" t="str">
        <f t="shared" si="2"/>
        <v>EURAB3EBASIS35Y_Quote</v>
      </c>
      <c r="L39" s="244" t="str">
        <f>_xll.qlSwapRateHelper2(,$K39,$B39,$D39,Calendar,$G39,$H39,$I39,$L$4,$J39,C39,Discounting,Permanent,,ObjectOverwrite)</f>
        <v>obj_00709#0004</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124</v>
      </c>
      <c r="I40" s="160" t="str">
        <f t="shared" si="1"/>
        <v>30/360 (Bond Basis)</v>
      </c>
      <c r="J40" s="242">
        <v>0</v>
      </c>
      <c r="K40" s="262" t="str">
        <f t="shared" si="2"/>
        <v>EURAB3EBASIS40Y_Quote</v>
      </c>
      <c r="L40" s="244" t="str">
        <f>_xll.qlSwapRateHelper2(,$K40,$B40,$D40,Calendar,$G40,$H40,$I40,$L$4,$J40,C40,Discounting,Permanent,,ObjectOverwrite)</f>
        <v>obj_006f6#0004</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124</v>
      </c>
      <c r="I41" s="160" t="str">
        <f t="shared" si="1"/>
        <v>30/360 (Bond Basis)</v>
      </c>
      <c r="J41" s="242">
        <v>0</v>
      </c>
      <c r="K41" s="262" t="str">
        <f t="shared" si="2"/>
        <v>EURAB3EBASIS50Y_Quote</v>
      </c>
      <c r="L41" s="244" t="str">
        <f>_xll.qlSwapRateHelper2(,$K41,$B41,$D41,Calendar,$G41,$H41,$I41,$L$4,$J41,C41,Discounting,Permanent,,ObjectOverwrite)</f>
        <v>obj_00705#0004</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124</v>
      </c>
      <c r="I42" s="252" t="str">
        <f t="shared" si="1"/>
        <v>30/360 (Bond Basis)</v>
      </c>
      <c r="J42" s="253">
        <v>0</v>
      </c>
      <c r="K42" s="266" t="str">
        <f t="shared" si="2"/>
        <v>EURAB3EBASIS60Y_Quote</v>
      </c>
      <c r="L42" s="255" t="str">
        <f>_xll.qlSwapRateHelper2(,$K42,$B42,$D42,Calendar,$G42,$H42,$I42,$L$4,$J42,C42,Discounting,Permanent,,ObjectOverwrite)</f>
        <v>obj_006f4#0004</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26" t="s">
        <v>179</v>
      </c>
      <c r="D2" s="328">
        <f>_xll.qlCalendarAdvance(Calendar,_xll.qlSettingsEvaluationDate(),NDays&amp;"D","f",,Trigger)</f>
        <v>42137</v>
      </c>
      <c r="E2" s="198"/>
      <c r="F2" s="198"/>
      <c r="G2" s="198"/>
      <c r="H2" s="199"/>
    </row>
    <row r="3" spans="1:8" ht="22.5" x14ac:dyDescent="0.2">
      <c r="A3" s="198"/>
      <c r="B3" s="198"/>
      <c r="C3" s="326" t="s">
        <v>180</v>
      </c>
      <c r="D3" s="329">
        <f>_xll.qlCalendarEndOfMonth(Calendar,EDATE(DATE(YEAR(D2),MONTH(D2),1),-1))</f>
        <v>42124</v>
      </c>
      <c r="E3" s="198"/>
      <c r="F3" s="198"/>
      <c r="G3" s="198"/>
      <c r="H3" s="199"/>
    </row>
    <row r="4" spans="1:8" ht="13.35" customHeight="1" x14ac:dyDescent="0.2">
      <c r="A4" s="198"/>
      <c r="B4" s="198"/>
      <c r="C4" s="198"/>
      <c r="D4" s="198"/>
      <c r="E4" s="198"/>
      <c r="F4" s="198"/>
      <c r="G4" s="198"/>
      <c r="H4" s="199"/>
    </row>
    <row r="5" spans="1:8" ht="13.35" customHeight="1" x14ac:dyDescent="0.2">
      <c r="A5" s="198"/>
      <c r="B5" s="326" t="s">
        <v>122</v>
      </c>
      <c r="C5" s="327" t="s">
        <v>181</v>
      </c>
      <c r="D5" s="327" t="s">
        <v>182</v>
      </c>
      <c r="E5" s="327" t="s">
        <v>183</v>
      </c>
      <c r="F5" s="327" t="s">
        <v>184</v>
      </c>
      <c r="G5" s="327" t="s">
        <v>185</v>
      </c>
      <c r="H5" s="199"/>
    </row>
    <row r="6" spans="1:8" ht="13.35" customHeight="1" x14ac:dyDescent="0.2">
      <c r="A6" s="198"/>
      <c r="B6" s="202">
        <v>1</v>
      </c>
      <c r="C6" s="203">
        <f>_xll.qlCalendarEndOfMonth(Calendar,_xll.qlCalendarAdvance(Calendar,D3,"1m","mf",FALSE),Trigger)</f>
        <v>42153</v>
      </c>
      <c r="D6" s="202" t="str">
        <f t="shared" ref="D6:D18" si="0">Currency&amp;"Jump"&amp;B6&amp;"_SYNTHON"&amp;QuoteSuffix</f>
        <v>EURJump1_SYNTHON_Quote</v>
      </c>
      <c r="E6" s="204">
        <f>IF(_xll.qlQuoteIsValid(D6,Trigger),_xll.qlQuoteValue(D6,Trigger),1)</f>
        <v>0.99999499999999997</v>
      </c>
      <c r="F6" s="205"/>
      <c r="G6" s="204" t="str">
        <f>IF(ISBLANK(F6),D6,F6)</f>
        <v>EURJump1_SYNTHON_Quote</v>
      </c>
      <c r="H6" s="199"/>
    </row>
    <row r="7" spans="1:8" ht="13.35" customHeight="1" x14ac:dyDescent="0.2">
      <c r="A7" s="198"/>
      <c r="B7" s="206">
        <v>2</v>
      </c>
      <c r="C7" s="207">
        <f>_xll.qlCalendarEndOfMonth(Calendar,_xll.qlCalendarAdvance(Calendar,C6,"1m","mf",TRUE),Trigger)</f>
        <v>42185</v>
      </c>
      <c r="D7" s="206" t="str">
        <f t="shared" si="0"/>
        <v>EURJump2_SYNTHON_Quote</v>
      </c>
      <c r="E7" s="208">
        <f>IF(_xll.qlQuoteIsValid(D7,Trigger),_xll.qlQuoteValue(D7,Trigger),1)</f>
        <v>1</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42216</v>
      </c>
      <c r="D8" s="206" t="str">
        <f t="shared" si="0"/>
        <v>EURJump3_SYNTHON_Quote</v>
      </c>
      <c r="E8" s="208">
        <f>IF(_xll.qlQuoteIsValid(D8,Trigger),_xll.qlQuoteValue(D8,Trigger),1)</f>
        <v>0.99999950000000004</v>
      </c>
      <c r="F8" s="209"/>
      <c r="G8" s="208" t="str">
        <f t="shared" si="1"/>
        <v>EURJump3_SYNTHON_Quote</v>
      </c>
      <c r="H8" s="199"/>
    </row>
    <row r="9" spans="1:8" ht="13.35" customHeight="1" x14ac:dyDescent="0.2">
      <c r="A9" s="198"/>
      <c r="B9" s="206">
        <v>4</v>
      </c>
      <c r="C9" s="207">
        <f>_xll.qlCalendarEndOfMonth(Calendar,_xll.qlCalendarAdvance(Calendar,C8,"1m","mf",TRUE),Trigger)</f>
        <v>42247</v>
      </c>
      <c r="D9" s="206" t="str">
        <f t="shared" si="0"/>
        <v>EURJump4_SYNTHON_Quote</v>
      </c>
      <c r="E9" s="208">
        <f>IF(_xll.qlQuoteIsValid(D9,Trigger),_xll.qlQuoteValue(D9,Trigger),1)</f>
        <v>1</v>
      </c>
      <c r="F9" s="209"/>
      <c r="G9" s="208" t="str">
        <f t="shared" si="1"/>
        <v>EURJump4_SYNTHON_Quote</v>
      </c>
      <c r="H9" s="199"/>
    </row>
    <row r="10" spans="1:8" ht="13.35" customHeight="1" x14ac:dyDescent="0.2">
      <c r="A10" s="198"/>
      <c r="B10" s="206">
        <v>5</v>
      </c>
      <c r="C10" s="207">
        <f>_xll.qlCalendarEndOfMonth(Calendar,_xll.qlCalendarAdvance(Calendar,C9,"1m","mf",TRUE),Trigger)</f>
        <v>42277</v>
      </c>
      <c r="D10" s="206" t="str">
        <f t="shared" si="0"/>
        <v>EURJump5_SYNTHON_Quote</v>
      </c>
      <c r="E10" s="208">
        <f>IF(_xll.qlQuoteIsValid(D10,Trigger),_xll.qlQuoteValue(D10,Trigger),1)</f>
        <v>0.99999959999999999</v>
      </c>
      <c r="F10" s="209"/>
      <c r="G10" s="208" t="str">
        <f t="shared" si="1"/>
        <v>EURJump5_SYNTHON_Quote</v>
      </c>
      <c r="H10" s="199"/>
    </row>
    <row r="11" spans="1:8" ht="13.35" customHeight="1" x14ac:dyDescent="0.2">
      <c r="A11" s="198"/>
      <c r="B11" s="206">
        <v>6</v>
      </c>
      <c r="C11" s="207">
        <f>_xll.qlCalendarEndOfMonth(Calendar,_xll.qlCalendarAdvance(Calendar,C10,"1m","mf",TRUE),Trigger)</f>
        <v>42307</v>
      </c>
      <c r="D11" s="206" t="str">
        <f t="shared" si="0"/>
        <v>EURJump6_SYNTHON_Quote</v>
      </c>
      <c r="E11" s="208">
        <f>IF(_xll.qlQuoteIsValid(D11,Trigger),_xll.qlQuoteValue(D11,Trigger),1)</f>
        <v>1</v>
      </c>
      <c r="F11" s="209"/>
      <c r="G11" s="208" t="str">
        <f t="shared" si="1"/>
        <v>EURJump6_SYNTHON_Quote</v>
      </c>
      <c r="H11" s="199"/>
    </row>
    <row r="12" spans="1:8" ht="13.35" customHeight="1" x14ac:dyDescent="0.2">
      <c r="A12" s="198"/>
      <c r="B12" s="206">
        <v>7</v>
      </c>
      <c r="C12" s="207">
        <f>_xll.qlCalendarEndOfMonth(Calendar,_xll.qlCalendarAdvance(Calendar,C11,"1m","mf",TRUE),Trigger)</f>
        <v>42338</v>
      </c>
      <c r="D12" s="206" t="str">
        <f t="shared" si="0"/>
        <v>EURJump7_SYNTHON_Quote</v>
      </c>
      <c r="E12" s="208">
        <f>IF(_xll.qlQuoteIsValid(D12,Trigger),_xll.qlQuoteValue(D12,Trigger),1)</f>
        <v>0.99999490000000002</v>
      </c>
      <c r="F12" s="209"/>
      <c r="G12" s="208" t="str">
        <f t="shared" si="1"/>
        <v>EURJump7_SYNTHON_Quote</v>
      </c>
      <c r="H12" s="199"/>
    </row>
    <row r="13" spans="1:8" ht="13.35" customHeight="1" x14ac:dyDescent="0.2">
      <c r="A13" s="198"/>
      <c r="B13" s="206">
        <v>8</v>
      </c>
      <c r="C13" s="207">
        <f>_xll.qlCalendarEndOfMonth(Calendar,_xll.qlCalendarAdvance(Calendar,C12,"1m","mf",TRUE),Trigger)</f>
        <v>42369</v>
      </c>
      <c r="D13" s="206" t="str">
        <f t="shared" si="0"/>
        <v>EURJump8_SYNTHON_Quote</v>
      </c>
      <c r="E13" s="208">
        <f>IF(_xll.qlQuoteIsValid(D13,Trigger),_xll.qlQuoteValue(D13,Trigger),1)</f>
        <v>0.99998520000000002</v>
      </c>
      <c r="F13" s="209"/>
      <c r="G13" s="208" t="str">
        <f t="shared" si="1"/>
        <v>EURJump8_SYNTHON_Quote</v>
      </c>
      <c r="H13" s="199"/>
    </row>
    <row r="14" spans="1:8" ht="13.35" customHeight="1" x14ac:dyDescent="0.2">
      <c r="A14" s="198"/>
      <c r="B14" s="206">
        <v>9</v>
      </c>
      <c r="C14" s="207">
        <f>_xll.qlCalendarEndOfMonth(Calendar,_xll.qlCalendarAdvance(Calendar,C13,"1m","mf",TRUE),Trigger)</f>
        <v>42398</v>
      </c>
      <c r="D14" s="206" t="str">
        <f t="shared" si="0"/>
        <v>EURJump9_SYNTHON_Quote</v>
      </c>
      <c r="E14" s="208">
        <f>IF(_xll.qlQuoteIsValid(D14,Trigger),_xll.qlQuoteValue(D14,Trigger),1)</f>
        <v>0.99999450000000001</v>
      </c>
      <c r="F14" s="209"/>
      <c r="G14" s="208" t="str">
        <f t="shared" si="1"/>
        <v>EURJump9_SYNTHON_Quote</v>
      </c>
      <c r="H14" s="199"/>
    </row>
    <row r="15" spans="1:8" ht="13.35" customHeight="1" x14ac:dyDescent="0.2">
      <c r="A15" s="198"/>
      <c r="B15" s="206">
        <v>10</v>
      </c>
      <c r="C15" s="207">
        <f>_xll.qlCalendarEndOfMonth(Calendar,_xll.qlCalendarAdvance(Calendar,C14,"1m","mf",TRUE),Trigger)</f>
        <v>42429</v>
      </c>
      <c r="D15" s="206" t="str">
        <f t="shared" si="0"/>
        <v>EURJump10_SYNTHON_Quote</v>
      </c>
      <c r="E15" s="208">
        <f>IF(_xll.qlQuoteIsValid(D15,Trigger),_xll.qlQuoteValue(D15,Trigger),1)</f>
        <v>1</v>
      </c>
      <c r="F15" s="209"/>
      <c r="G15" s="208" t="str">
        <f t="shared" si="1"/>
        <v>EURJump10_SYNTHON_Quote</v>
      </c>
      <c r="H15" s="199"/>
    </row>
    <row r="16" spans="1:8" ht="13.35" customHeight="1" x14ac:dyDescent="0.2">
      <c r="A16" s="198"/>
      <c r="B16" s="206">
        <v>11</v>
      </c>
      <c r="C16" s="207">
        <f>_xll.qlCalendarEndOfMonth(Calendar,_xll.qlCalendarAdvance(Calendar,C15,"1m","mf",TRUE),Trigger)</f>
        <v>42460</v>
      </c>
      <c r="D16" s="206" t="str">
        <f t="shared" si="0"/>
        <v>EURJump11_SYNTHON_Quote</v>
      </c>
      <c r="E16" s="208">
        <f>IF(_xll.qlQuoteIsValid(D16,Trigger),_xll.qlQuoteValue(D16,Trigger),1)</f>
        <v>1</v>
      </c>
      <c r="F16" s="209"/>
      <c r="G16" s="208" t="str">
        <f t="shared" si="1"/>
        <v>EURJump11_SYNTHON_Quote</v>
      </c>
      <c r="H16" s="199"/>
    </row>
    <row r="17" spans="1:8" ht="13.35" customHeight="1" x14ac:dyDescent="0.2">
      <c r="A17" s="198"/>
      <c r="B17" s="206">
        <v>12</v>
      </c>
      <c r="C17" s="207">
        <f>_xll.qlCalendarEndOfMonth(Calendar,_xll.qlCalendarAdvance(Calendar,C16,"1m","mf",TRUE),Trigger)</f>
        <v>42489</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0.99994550000000004</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167</v>
      </c>
      <c r="C1" s="113"/>
      <c r="D1" s="111"/>
      <c r="E1" s="112"/>
      <c r="F1" s="115"/>
      <c r="G1" s="114" t="s">
        <v>166</v>
      </c>
      <c r="H1" s="153"/>
      <c r="I1" s="115"/>
      <c r="J1" s="153"/>
      <c r="K1" s="115"/>
    </row>
    <row r="2" spans="1:28" hidden="1" outlineLevel="1" x14ac:dyDescent="0.2">
      <c r="A2" s="116"/>
      <c r="B2" s="154" t="s">
        <v>147</v>
      </c>
      <c r="C2" s="155" t="s">
        <v>148</v>
      </c>
      <c r="D2" s="155" t="s">
        <v>96</v>
      </c>
      <c r="E2" s="155" t="s">
        <v>149</v>
      </c>
      <c r="F2" s="156" t="s">
        <v>165</v>
      </c>
      <c r="G2" s="154" t="s">
        <v>148</v>
      </c>
      <c r="H2" s="155" t="s">
        <v>149</v>
      </c>
      <c r="I2" s="156" t="s">
        <v>175</v>
      </c>
      <c r="J2" s="155" t="s">
        <v>173</v>
      </c>
      <c r="K2" s="156" t="s">
        <v>174</v>
      </c>
      <c r="L2" s="107"/>
      <c r="M2" s="107"/>
    </row>
    <row r="3" spans="1:28" hidden="1" outlineLevel="1" x14ac:dyDescent="0.2">
      <c r="A3" s="157"/>
      <c r="B3" s="158" t="str">
        <f>_xll.qlPeriodEquivalent(D3&amp;"M")</f>
        <v>1Y</v>
      </c>
      <c r="C3" s="159">
        <f>_xll.qlDateEndOfMonth(EDATE(_xll.qlSettingsEvaluationDate(Trigger),-1))</f>
        <v>42124</v>
      </c>
      <c r="D3" s="117">
        <v>12</v>
      </c>
      <c r="E3" s="159">
        <f t="shared" ref="E3:E16" si="0">EDATE($Y$19,$D3)</f>
        <v>42503</v>
      </c>
      <c r="F3" s="187">
        <f>IF(D3&lt;=12,1,IF(D3&lt;=24,3,IF(D3&lt;=120,6,IF(D3&lt;=240,12,IF(D3&lt;=360,36,60)))))</f>
        <v>1</v>
      </c>
      <c r="G3" s="214">
        <f>IF(J3&gt;=0,ROUNDDOWN(J3*10,2)/10,ROUNDUP(J3*10,2)/10)</f>
        <v>-1E-3</v>
      </c>
      <c r="H3" s="188">
        <f>IF(K3-J3&gt;1%,(QUOTIENT(K3*10000,50)+1)*0.5%,(QUOTIENT(K3*10000,10)+1)*0.1%)</f>
        <v>1E-3</v>
      </c>
      <c r="I3" s="189">
        <f>IF(H3-G3&lt;0.5%,0.05%,IF(H3-G3&lt;1%,0.1%,IF(H3-G3&lt;2%,0.25%,0.5%)))</f>
        <v>5.0000000000000001E-4</v>
      </c>
      <c r="J3" s="188">
        <f>MIN(_xll.ohPack($Z$19:INDEX($Z$19:$Z$3552,MATCH(E3+1,$Y$19:$Y$3552,1),1)))</f>
        <v>-1.4899999999991613E-4</v>
      </c>
      <c r="K3" s="189">
        <f>MAX(_xll.ohPack($Z$19:INDEX($Z$19:$Z$3552,MATCH(E3+1,$Y$19:$Y$3552,1),1)))</f>
        <v>1.5849200515324606E-4</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42094</v>
      </c>
      <c r="D4" s="117">
        <v>24</v>
      </c>
      <c r="E4" s="159">
        <f t="shared" si="0"/>
        <v>42868</v>
      </c>
      <c r="F4" s="187">
        <f t="shared" ref="F4:F16" si="1">IF(D4&lt;=12,1,IF(D4&lt;=24,3,IF(D4&lt;=120,6,IF(D4&lt;=240,12,IF(D4&lt;=360,36,60)))))</f>
        <v>3</v>
      </c>
      <c r="G4" s="214">
        <f t="shared" ref="G4:G16" si="2">IF(J4&gt;=0,ROUNDDOWN(J4*10,2)/10,ROUNDUP(J4*10,2)/10)</f>
        <v>-1E-3</v>
      </c>
      <c r="H4" s="188">
        <f t="shared" ref="H4:H16" si="3">IF(K4-J4&gt;1%,(QUOTIENT(K4*10000,50)+1)*0.5%,(QUOTIENT(K4*10000,10)+1)*0.1%)</f>
        <v>2E-3</v>
      </c>
      <c r="I4" s="189">
        <f t="shared" ref="I4:I16" si="4">IF(H4-G4&lt;0.5%,0.05%,IF(H4-G4&lt;1%,0.1%,IF(H4-G4&lt;2%,0.25%,0.5%)))</f>
        <v>5.0000000000000001E-4</v>
      </c>
      <c r="J4" s="188">
        <f>MIN(_xll.ohPack($Z$19:INDEX($Z$19:$Z$3552,MATCH(E4+1,$Y$19:$Y$3552,1),1)))</f>
        <v>-1.4899999999991613E-4</v>
      </c>
      <c r="K4" s="189">
        <f>MAX(_xll.ohPack($Z$19:INDEX($Z$19:$Z$3552,MATCH(E4+1,$Y$19:$Y$3552,1),1)))</f>
        <v>1.7443831523976353E-3</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7">
        <v>60</v>
      </c>
      <c r="E5" s="159">
        <f t="shared" si="0"/>
        <v>43964</v>
      </c>
      <c r="F5" s="187">
        <f t="shared" si="1"/>
        <v>6</v>
      </c>
      <c r="G5" s="214">
        <f t="shared" si="2"/>
        <v>-1E-3</v>
      </c>
      <c r="H5" s="188">
        <f t="shared" si="3"/>
        <v>9.0000000000000011E-3</v>
      </c>
      <c r="I5" s="189">
        <f t="shared" si="4"/>
        <v>2.5000000000000001E-3</v>
      </c>
      <c r="J5" s="188">
        <f>MIN(_xll.ohPack($Z$19:INDEX($Z$19:$Z$3552,MATCH(E5+1,$Y$19:$Y$3552,1),1)))</f>
        <v>-1.4899999999991613E-4</v>
      </c>
      <c r="K5" s="189">
        <f>MAX(_xll.ohPack($Z$19:INDEX($Z$19:$Z$3552,MATCH(E5+1,$Y$19:$Y$3552,1),1)))</f>
        <v>8.8898306667115918E-3</v>
      </c>
      <c r="L5" s="107"/>
      <c r="M5" s="107"/>
    </row>
    <row r="6" spans="1:28" hidden="1" outlineLevel="1" x14ac:dyDescent="0.2">
      <c r="A6" s="157" t="s">
        <v>150</v>
      </c>
      <c r="B6" s="158" t="str">
        <f>_xll.qlPeriodEquivalent(D6&amp;"M")</f>
        <v>10Y</v>
      </c>
      <c r="C6" s="159">
        <f>C5</f>
        <v>42004</v>
      </c>
      <c r="D6" s="117">
        <v>120</v>
      </c>
      <c r="E6" s="159">
        <f t="shared" si="0"/>
        <v>45790</v>
      </c>
      <c r="F6" s="187">
        <f t="shared" si="1"/>
        <v>6</v>
      </c>
      <c r="G6" s="214">
        <f t="shared" si="2"/>
        <v>-1E-3</v>
      </c>
      <c r="H6" s="188">
        <f t="shared" si="3"/>
        <v>0.02</v>
      </c>
      <c r="I6" s="189">
        <f t="shared" si="4"/>
        <v>5.0000000000000001E-3</v>
      </c>
      <c r="J6" s="188">
        <f>MIN(_xll.ohPack($Z$19:INDEX($Z$19:$Z$3552,MATCH(E6+1,$Y$19:$Y$3552,1),1)))</f>
        <v>-1.4899999999991613E-4</v>
      </c>
      <c r="K6" s="189">
        <f>MAX(_xll.ohPack($Z$19:INDEX($Z$19:$Z$3552,MATCH(E6+1,$Y$19:$Y$3552,1),1)))</f>
        <v>1.5670410266697615E-2</v>
      </c>
      <c r="L6" s="107"/>
      <c r="M6" s="107"/>
    </row>
    <row r="7" spans="1:28" hidden="1" outlineLevel="1" x14ac:dyDescent="0.2">
      <c r="A7" s="157"/>
      <c r="B7" s="158" t="str">
        <f>_xll.qlPeriodEquivalent(D7&amp;"M")</f>
        <v>20Y</v>
      </c>
      <c r="C7" s="159">
        <f>IF(AND(MONTH(C6)=12),C6,_xll.qlDateEndOfMonth(EDATE(C6,-6)))</f>
        <v>42004</v>
      </c>
      <c r="D7" s="117">
        <v>240</v>
      </c>
      <c r="E7" s="159">
        <f t="shared" si="0"/>
        <v>49442</v>
      </c>
      <c r="F7" s="187">
        <f t="shared" si="1"/>
        <v>12</v>
      </c>
      <c r="G7" s="214">
        <f t="shared" si="2"/>
        <v>-1E-3</v>
      </c>
      <c r="H7" s="188">
        <f t="shared" si="3"/>
        <v>0.02</v>
      </c>
      <c r="I7" s="189">
        <f t="shared" si="4"/>
        <v>5.0000000000000001E-3</v>
      </c>
      <c r="J7" s="188">
        <f>MIN(_xll.ohPack($Z$19:INDEX($Z$19:$Z$3552,MATCH(E7+1,$Y$19:$Y$3552,1),1)))</f>
        <v>-1.4899999999991613E-4</v>
      </c>
      <c r="K7" s="189">
        <f>MAX(_xll.ohPack($Z$19:INDEX($Z$19:$Z$3552,MATCH(E7+1,$Y$19:$Y$3552,1),1)))</f>
        <v>1.6593742141849339E-2</v>
      </c>
      <c r="L7" s="107"/>
      <c r="M7" s="107"/>
    </row>
    <row r="8" spans="1:28" hidden="1" outlineLevel="1" x14ac:dyDescent="0.2">
      <c r="A8" s="157"/>
      <c r="B8" s="158" t="str">
        <f>_xll.qlPeriodEquivalent(D8&amp;"M")</f>
        <v>30Y</v>
      </c>
      <c r="C8" s="159">
        <f>C7</f>
        <v>42004</v>
      </c>
      <c r="D8" s="117">
        <v>360</v>
      </c>
      <c r="E8" s="159">
        <f t="shared" si="0"/>
        <v>53095</v>
      </c>
      <c r="F8" s="187">
        <f t="shared" si="1"/>
        <v>36</v>
      </c>
      <c r="G8" s="214">
        <f t="shared" si="2"/>
        <v>-1E-3</v>
      </c>
      <c r="H8" s="188">
        <f t="shared" si="3"/>
        <v>0.02</v>
      </c>
      <c r="I8" s="189">
        <f t="shared" si="4"/>
        <v>5.0000000000000001E-3</v>
      </c>
      <c r="J8" s="188">
        <f>MIN(_xll.ohPack($Z$19:INDEX($Z$19:$Z$3552,MATCH(E8+1,$Y$19:$Y$3552,1),1)))</f>
        <v>-1.4899999999991613E-4</v>
      </c>
      <c r="K8" s="189">
        <f>MAX(_xll.ohPack($Z$19:INDEX($Z$19:$Z$3552,MATCH(E8+1,$Y$19:$Y$3552,1),1)))</f>
        <v>1.6593742141849339E-2</v>
      </c>
      <c r="L8" s="107"/>
      <c r="M8" s="107"/>
      <c r="AA8" s="118"/>
    </row>
    <row r="9" spans="1:28" ht="12" hidden="1" outlineLevel="1" thickBot="1" x14ac:dyDescent="0.25">
      <c r="A9" s="157"/>
      <c r="B9" s="158" t="str">
        <f>_xll.qlPeriodEquivalent(D9&amp;"M")</f>
        <v>60Y</v>
      </c>
      <c r="C9" s="159">
        <f>C8</f>
        <v>42004</v>
      </c>
      <c r="D9" s="117">
        <f>60*12</f>
        <v>720</v>
      </c>
      <c r="E9" s="159">
        <f t="shared" si="0"/>
        <v>64052</v>
      </c>
      <c r="F9" s="187">
        <f t="shared" si="1"/>
        <v>60</v>
      </c>
      <c r="G9" s="214">
        <f t="shared" si="2"/>
        <v>-1E-3</v>
      </c>
      <c r="H9" s="188">
        <f t="shared" si="3"/>
        <v>0.02</v>
      </c>
      <c r="I9" s="189">
        <f t="shared" si="4"/>
        <v>5.0000000000000001E-3</v>
      </c>
      <c r="J9" s="188">
        <f>MIN(_xll.ohPack($Z$19:INDEX($Z$19:$Z$3552,MATCH(E9+1,$Y$19:$Y$3552,1),1)))</f>
        <v>-1.4899999999991613E-4</v>
      </c>
      <c r="K9" s="189">
        <f>MAX(_xll.ohPack($Z$19:INDEX($Z$19:$Z$3552,MATCH(E9+1,$Y$19:$Y$3552,1),1)))</f>
        <v>1.6593742141849339E-2</v>
      </c>
      <c r="L9" s="107"/>
      <c r="M9" s="107"/>
      <c r="AA9" s="118"/>
    </row>
    <row r="10" spans="1:28" hidden="1" outlineLevel="1" x14ac:dyDescent="0.2">
      <c r="A10" s="172"/>
      <c r="B10" s="173" t="str">
        <f>_xll.qlPeriodEquivalent(D10&amp;"M")</f>
        <v>1Y</v>
      </c>
      <c r="C10" s="174">
        <f>C3</f>
        <v>42124</v>
      </c>
      <c r="D10" s="175">
        <v>12</v>
      </c>
      <c r="E10" s="174">
        <f t="shared" si="0"/>
        <v>42503</v>
      </c>
      <c r="F10" s="190">
        <f t="shared" si="1"/>
        <v>1</v>
      </c>
      <c r="G10" s="215">
        <f t="shared" si="2"/>
        <v>-1E-3</v>
      </c>
      <c r="H10" s="191">
        <f t="shared" si="3"/>
        <v>2E-3</v>
      </c>
      <c r="I10" s="192">
        <f t="shared" si="4"/>
        <v>5.0000000000000001E-4</v>
      </c>
      <c r="J10" s="191">
        <f>MIN(_xll.ohPack($AA$19:INDEX($AA$19:$AA$3552,MATCH(E10+1,$Y$19:$Y$3552,1),1)))</f>
        <v>-2.4930252342514336E-4</v>
      </c>
      <c r="K10" s="192">
        <f>MAX(_xll.ohPack($AA$19:INDEX($AA$19:$AA$3552,MATCH(E10+1,$Y$19:$Y$3552,1),1)))</f>
        <v>1.6477384437685316E-3</v>
      </c>
      <c r="L10" s="107"/>
      <c r="M10" s="107"/>
    </row>
    <row r="11" spans="1:28" hidden="1" outlineLevel="1" x14ac:dyDescent="0.2">
      <c r="A11" s="157"/>
      <c r="B11" s="158" t="str">
        <f>_xll.qlPeriodEquivalent(D11&amp;"M")</f>
        <v>2Y</v>
      </c>
      <c r="C11" s="159">
        <f t="shared" ref="C11:C16" si="5">C4</f>
        <v>42094</v>
      </c>
      <c r="D11" s="117">
        <v>24</v>
      </c>
      <c r="E11" s="159">
        <f t="shared" si="0"/>
        <v>42868</v>
      </c>
      <c r="F11" s="187">
        <f t="shared" si="1"/>
        <v>3</v>
      </c>
      <c r="G11" s="214">
        <f t="shared" si="2"/>
        <v>-1E-3</v>
      </c>
      <c r="H11" s="188">
        <f t="shared" si="3"/>
        <v>8.0000000000000002E-3</v>
      </c>
      <c r="I11" s="189">
        <f t="shared" si="4"/>
        <v>1E-3</v>
      </c>
      <c r="J11" s="188">
        <f>MIN(_xll.ohPack($AA$19:INDEX($AA$19:$AA$3552,MATCH(E11+1,$Y$19:$Y$3552,1),1)))</f>
        <v>-2.4930252342514336E-4</v>
      </c>
      <c r="K11" s="189">
        <f>MAX(_xll.ohPack($AA$19:INDEX($AA$19:$AA$3552,MATCH(E11+1,$Y$19:$Y$3552,1),1)))</f>
        <v>7.1059198444345384E-3</v>
      </c>
      <c r="L11" s="107"/>
      <c r="M11" s="107"/>
    </row>
    <row r="12" spans="1:28" hidden="1" outlineLevel="1" x14ac:dyDescent="0.2">
      <c r="A12" s="157"/>
      <c r="B12" s="158" t="str">
        <f>_xll.qlPeriodEquivalent(D12&amp;"M")</f>
        <v>5Y</v>
      </c>
      <c r="C12" s="159">
        <f t="shared" si="5"/>
        <v>42004</v>
      </c>
      <c r="D12" s="117">
        <v>60</v>
      </c>
      <c r="E12" s="159">
        <f t="shared" si="0"/>
        <v>43964</v>
      </c>
      <c r="F12" s="187">
        <f t="shared" si="1"/>
        <v>6</v>
      </c>
      <c r="G12" s="214">
        <f t="shared" si="2"/>
        <v>-1E-3</v>
      </c>
      <c r="H12" s="188">
        <f t="shared" si="3"/>
        <v>9.0000000000000011E-3</v>
      </c>
      <c r="I12" s="189">
        <f t="shared" si="4"/>
        <v>2.5000000000000001E-3</v>
      </c>
      <c r="J12" s="188">
        <f>MIN(_xll.ohPack($AA$19:INDEX($AA$19:$AA$3552,MATCH(E12+1,$Y$19:$Y$3552,1),1)))</f>
        <v>-2.4930252342514336E-4</v>
      </c>
      <c r="K12" s="189">
        <f>MAX(_xll.ohPack($AA$19:INDEX($AA$19:$AA$3552,MATCH(E12+1,$Y$19:$Y$3552,1),1)))</f>
        <v>8.5803441668552693E-3</v>
      </c>
      <c r="L12" s="107"/>
      <c r="M12" s="107"/>
    </row>
    <row r="13" spans="1:28" hidden="1" outlineLevel="1" x14ac:dyDescent="0.2">
      <c r="A13" s="157" t="s">
        <v>151</v>
      </c>
      <c r="B13" s="158" t="str">
        <f>_xll.qlPeriodEquivalent(D13&amp;"M")</f>
        <v>10Y</v>
      </c>
      <c r="C13" s="159">
        <f t="shared" si="5"/>
        <v>42004</v>
      </c>
      <c r="D13" s="117">
        <v>120</v>
      </c>
      <c r="E13" s="159">
        <f t="shared" si="0"/>
        <v>45790</v>
      </c>
      <c r="F13" s="187">
        <f t="shared" si="1"/>
        <v>6</v>
      </c>
      <c r="G13" s="214">
        <f t="shared" si="2"/>
        <v>-1E-3</v>
      </c>
      <c r="H13" s="188">
        <f t="shared" si="3"/>
        <v>0.02</v>
      </c>
      <c r="I13" s="189">
        <f t="shared" si="4"/>
        <v>5.0000000000000001E-3</v>
      </c>
      <c r="J13" s="188">
        <f>MIN(_xll.ohPack($AA$19:INDEX($AA$19:$AA$3552,MATCH(E13+1,$Y$19:$Y$3552,1),1)))</f>
        <v>-2.4930252342514336E-4</v>
      </c>
      <c r="K13" s="189">
        <f>MAX(_xll.ohPack($AA$19:INDEX($AA$19:$AA$3552,MATCH(E13+1,$Y$19:$Y$3552,1),1)))</f>
        <v>1.5515208351359888E-2</v>
      </c>
      <c r="L13" s="107"/>
      <c r="M13" s="107"/>
    </row>
    <row r="14" spans="1:28" hidden="1" outlineLevel="1" x14ac:dyDescent="0.2">
      <c r="A14" s="157"/>
      <c r="B14" s="158" t="str">
        <f>_xll.qlPeriodEquivalent(D14&amp;"M")</f>
        <v>20Y</v>
      </c>
      <c r="C14" s="159">
        <f t="shared" si="5"/>
        <v>42004</v>
      </c>
      <c r="D14" s="117">
        <v>240</v>
      </c>
      <c r="E14" s="159">
        <f t="shared" si="0"/>
        <v>49442</v>
      </c>
      <c r="F14" s="187">
        <f t="shared" si="1"/>
        <v>12</v>
      </c>
      <c r="G14" s="214">
        <f t="shared" si="2"/>
        <v>-1E-3</v>
      </c>
      <c r="H14" s="188">
        <f t="shared" si="3"/>
        <v>0.02</v>
      </c>
      <c r="I14" s="189">
        <f t="shared" si="4"/>
        <v>5.0000000000000001E-3</v>
      </c>
      <c r="J14" s="188">
        <f>MIN(_xll.ohPack($AA$19:INDEX($AA$19:$AA$3552,MATCH(E14+1,$Y$19:$Y$3552,1),1)))</f>
        <v>-2.4930252342514336E-4</v>
      </c>
      <c r="K14" s="189">
        <f>MAX(_xll.ohPack($AA$19:INDEX($AA$19:$AA$3552,MATCH(E14+1,$Y$19:$Y$3552,1),1)))</f>
        <v>1.6559798497501887E-2</v>
      </c>
      <c r="L14" s="107"/>
      <c r="M14" s="107"/>
    </row>
    <row r="15" spans="1:28" hidden="1" outlineLevel="1" x14ac:dyDescent="0.2">
      <c r="A15" s="157"/>
      <c r="B15" s="158" t="str">
        <f>_xll.qlPeriodEquivalent(D15&amp;"M")</f>
        <v>30Y</v>
      </c>
      <c r="C15" s="159">
        <f t="shared" si="5"/>
        <v>42004</v>
      </c>
      <c r="D15" s="117">
        <v>360</v>
      </c>
      <c r="E15" s="159">
        <f t="shared" si="0"/>
        <v>53095</v>
      </c>
      <c r="F15" s="187">
        <f t="shared" si="1"/>
        <v>36</v>
      </c>
      <c r="G15" s="214">
        <f t="shared" si="2"/>
        <v>-1E-3</v>
      </c>
      <c r="H15" s="188">
        <f t="shared" si="3"/>
        <v>0.02</v>
      </c>
      <c r="I15" s="189">
        <f t="shared" si="4"/>
        <v>5.0000000000000001E-3</v>
      </c>
      <c r="J15" s="188">
        <f>MIN(_xll.ohPack($AA$19:INDEX($AA$19:$AA$3552,MATCH(E15+1,$Y$19:$Y$3552,1),1)))</f>
        <v>-2.4930252342514336E-4</v>
      </c>
      <c r="K15" s="189">
        <f>MAX(_xll.ohPack($AA$19:INDEX($AA$19:$AA$3552,MATCH(E15+1,$Y$19:$Y$3552,1),1)))</f>
        <v>1.6559798497501887E-2</v>
      </c>
      <c r="L15" s="107"/>
      <c r="M15" s="107"/>
      <c r="Y15" s="119" t="s">
        <v>152</v>
      </c>
      <c r="Z15" s="119" t="s">
        <v>153</v>
      </c>
    </row>
    <row r="16" spans="1:28" ht="12" hidden="1" outlineLevel="1" thickBot="1" x14ac:dyDescent="0.25">
      <c r="A16" s="184"/>
      <c r="B16" s="158" t="str">
        <f>_xll.qlPeriodEquivalent(D16&amp;"M")</f>
        <v>60Y</v>
      </c>
      <c r="C16" s="159">
        <f t="shared" si="5"/>
        <v>42004</v>
      </c>
      <c r="D16" s="117">
        <v>720</v>
      </c>
      <c r="E16" s="159">
        <f t="shared" si="0"/>
        <v>64052</v>
      </c>
      <c r="F16" s="187">
        <f t="shared" si="1"/>
        <v>60</v>
      </c>
      <c r="G16" s="214">
        <f t="shared" si="2"/>
        <v>-1E-3</v>
      </c>
      <c r="H16" s="188">
        <f t="shared" si="3"/>
        <v>0.02</v>
      </c>
      <c r="I16" s="189">
        <f t="shared" si="4"/>
        <v>5.0000000000000001E-3</v>
      </c>
      <c r="J16" s="188">
        <f>MIN(_xll.ohPack($AA$19:INDEX($AA$19:$AA$3552,MATCH(E16+1,$Y$19:$Y$3552,1),1)))</f>
        <v>-2.4930252342514336E-4</v>
      </c>
      <c r="K16" s="189">
        <f>MAX(_xll.ohPack($AA$19:INDEX($AA$19:$AA$3552,MATCH(E16+1,$Y$19:$Y$3552,1),1)))</f>
        <v>1.6559798497501887E-2</v>
      </c>
      <c r="L16" s="107"/>
      <c r="M16" s="107"/>
      <c r="Y16" s="123" t="str">
        <f>_xll.qlEuribor(,IndexTenor,YieldCurve)</f>
        <v>obj_00778#0004</v>
      </c>
      <c r="Z16" s="123" t="str">
        <f>_xll.qlEonia(,YieldCurve)</f>
        <v>obj_00785#0004</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176</v>
      </c>
      <c r="N18" s="120" t="s">
        <v>154</v>
      </c>
      <c r="O18" s="121" t="s">
        <v>155</v>
      </c>
      <c r="P18" s="164" t="s">
        <v>69</v>
      </c>
      <c r="Q18" s="121" t="s">
        <v>156</v>
      </c>
      <c r="R18" s="121" t="s">
        <v>158</v>
      </c>
      <c r="S18" s="121" t="s">
        <v>170</v>
      </c>
      <c r="T18" s="137" t="s">
        <v>162</v>
      </c>
      <c r="U18" s="119" t="s">
        <v>163</v>
      </c>
      <c r="V18" s="107"/>
      <c r="W18" s="124" t="s">
        <v>157</v>
      </c>
      <c r="X18" s="125" t="s">
        <v>158</v>
      </c>
      <c r="Y18" s="125" t="s">
        <v>155</v>
      </c>
      <c r="Z18" s="126" t="s">
        <v>169</v>
      </c>
      <c r="AA18" s="127" t="s">
        <v>151</v>
      </c>
    </row>
    <row r="19" spans="1:27" ht="12" thickBot="1" x14ac:dyDescent="0.25">
      <c r="J19" s="108" t="s">
        <v>146</v>
      </c>
      <c r="M19" s="130" t="str">
        <f t="array" ref="M19:M26">_xll.ohFilter(RateHelpers!E9:E14,IF(ISERROR(RateHelpers!G9:G14),FALSE,TRUE))</f>
        <v>obj_0076f#0003</v>
      </c>
      <c r="N19" s="130" t="str">
        <f>_xll.qlRateHelperQuoteName(M19)</f>
        <v>EUR1x4F_Quote</v>
      </c>
      <c r="O19" s="128">
        <f>_xll.qlRateHelperEarliestDate(M19)</f>
        <v>42170</v>
      </c>
      <c r="P19" s="144">
        <f>_xll.qlRateHelperQuoteValue(M19,"ohTrigger(Trigger,RecalcTrigger))")</f>
        <v>-4.9999999999999996E-5</v>
      </c>
      <c r="Q19" s="140" t="e">
        <f>NA()</f>
        <v>#N/A</v>
      </c>
      <c r="R19" s="128">
        <f>_xll.qlInterestRateIndexFixingDate(IborIndex,O19)</f>
        <v>42166</v>
      </c>
      <c r="S19" s="144">
        <f>_xll.qlIndexFixing(IborIndex,R19,TRUE,RecalcTrigger)</f>
        <v>-3.233771865241841E-5</v>
      </c>
      <c r="T19" s="165">
        <f>S19-P19</f>
        <v>1.7662281347581586E-5</v>
      </c>
      <c r="U19" s="145">
        <f t="array" ref="U19">MAX(ABS(T19:T24))</f>
        <v>8.6296019143277216E-5</v>
      </c>
      <c r="V19" s="122"/>
      <c r="W19" s="130" t="s">
        <v>117</v>
      </c>
      <c r="X19" s="131">
        <f>_xll.qlSettingsEvaluationDate(Trigger)</f>
        <v>42135</v>
      </c>
      <c r="Y19" s="131">
        <f>_xll.qlCalendarAdvance(Calendar,X19,NDays&amp;"D")</f>
        <v>42137</v>
      </c>
      <c r="Z19" s="132">
        <f t="array" ref="Z19:Z3552">IFERROR(_xll.qlIndexFixing(IborIndex,X19:X3552,TRUE,RecalcTrigger),NA())</f>
        <v>-1.4899999999991613E-4</v>
      </c>
      <c r="AA19" s="129">
        <f t="array" ref="AA19:AA3552">IFERROR(_xll.qlIndexFixing(OverNightIndex,Y19:Y3552,TRUE,RecalcTrigger),NA())</f>
        <v>-2.4930252342514336E-4</v>
      </c>
    </row>
    <row r="20" spans="1:27" ht="12" thickBot="1" x14ac:dyDescent="0.25">
      <c r="J20" s="110"/>
      <c r="M20" s="130" t="str">
        <v>obj_0076e#0003</v>
      </c>
      <c r="N20" s="130" t="str">
        <f>_xll.qlRateHelperQuoteName(M20)</f>
        <v>EUR2x5F_Quote</v>
      </c>
      <c r="O20" s="128">
        <f>_xll.qlRateHelperEarliestDate(M20)</f>
        <v>42198</v>
      </c>
      <c r="P20" s="144">
        <f>_xll.qlRateHelperQuoteValue(M20,"ohTrigger(Trigger,RecalcTrigger))")</f>
        <v>-4.9999999999999996E-5</v>
      </c>
      <c r="Q20" s="140" t="e">
        <f>NA()</f>
        <v>#N/A</v>
      </c>
      <c r="R20" s="128">
        <f>_xll.qlInterestRateIndexFixingDate(IborIndex,O20)</f>
        <v>42194</v>
      </c>
      <c r="S20" s="144">
        <f>_xll.qlIndexFixing(IborIndex,R20,TRUE,RecalcTrigger)</f>
        <v>3.629601914327722E-5</v>
      </c>
      <c r="T20" s="165">
        <f>S20-P20</f>
        <v>8.6296019143277216E-5</v>
      </c>
      <c r="W20" s="130" t="str">
        <f>W19</f>
        <v>1D</v>
      </c>
      <c r="X20" s="128">
        <f>_xll.qlCalendarAdvance(Calendar,X19,W20,"f",FALSE)</f>
        <v>42136</v>
      </c>
      <c r="Y20" s="131">
        <f>_xll.qlCalendarAdvance(Calendar,X20,NDays&amp;"D")</f>
        <v>42138</v>
      </c>
      <c r="Z20" s="132">
        <v>-1.4573336086072834E-4</v>
      </c>
      <c r="AA20" s="129">
        <v>-2.4923218069350384E-4</v>
      </c>
    </row>
    <row r="21" spans="1:27" ht="12" thickBot="1" x14ac:dyDescent="0.25">
      <c r="M21" s="130" t="str">
        <v>obj_0076b#0003</v>
      </c>
      <c r="N21" s="130" t="str">
        <f>_xll.qlRateHelperQuoteName(M21)</f>
        <v>EUR3x6F_Quote</v>
      </c>
      <c r="O21" s="128">
        <f>_xll.qlRateHelperEarliestDate(M21)</f>
        <v>42229</v>
      </c>
      <c r="P21" s="144">
        <f>_xll.qlRateHelperQuoteValue(M21,"ohTrigger(Trigger,RecalcTrigger))")</f>
        <v>-4.9999999999999996E-5</v>
      </c>
      <c r="Q21" s="140" t="e">
        <f>NA()</f>
        <v>#N/A</v>
      </c>
      <c r="R21" s="128">
        <f>_xll.qlInterestRateIndexFixingDate(IborIndex,O21)</f>
        <v>42227</v>
      </c>
      <c r="S21" s="144">
        <f>_xll.qlIndexFixing(IborIndex,R21,TRUE,RecalcTrigger)</f>
        <v>2.4405570964169957E-5</v>
      </c>
      <c r="T21" s="165">
        <f t="shared" ref="T21:T26" si="6">S21-P21</f>
        <v>7.4405570964169949E-5</v>
      </c>
      <c r="W21" s="130" t="str">
        <f t="shared" ref="W21:W84" si="7">W20</f>
        <v>1D</v>
      </c>
      <c r="X21" s="128">
        <f>_xll.qlCalendarAdvance(Calendar,X20,W21,"f",FALSE)</f>
        <v>42137</v>
      </c>
      <c r="Y21" s="131">
        <f>_xll.qlCalendarAdvance(Calendar,X21,NDays&amp;"D")</f>
        <v>42139</v>
      </c>
      <c r="Z21" s="132">
        <v>-1.37621115235657E-4</v>
      </c>
      <c r="AA21" s="129">
        <v>-2.4885684712927514E-4</v>
      </c>
    </row>
    <row r="22" spans="1:27" ht="23.25" thickBot="1" x14ac:dyDescent="0.25">
      <c r="J22" s="197" t="s">
        <v>178</v>
      </c>
      <c r="M22" s="130" t="str">
        <v>obj_0076c#0003</v>
      </c>
      <c r="N22" s="130" t="str">
        <f>_xll.qlRateHelperQuoteName(M22)</f>
        <v>EUR4x7F_Quote</v>
      </c>
      <c r="O22" s="128">
        <f>_xll.qlRateHelperEarliestDate(M22)</f>
        <v>42261</v>
      </c>
      <c r="P22" s="144">
        <f>_xll.qlRateHelperQuoteValue(M22,"ohTrigger(Trigger,RecalcTrigger))")</f>
        <v>-4.9999999999999996E-5</v>
      </c>
      <c r="Q22" s="140" t="e">
        <f>NA()</f>
        <v>#N/A</v>
      </c>
      <c r="R22" s="128">
        <f>_xll.qlInterestRateIndexFixingDate(IborIndex,O22)</f>
        <v>42257</v>
      </c>
      <c r="S22" s="144">
        <f>_xll.qlIndexFixing(IborIndex,R22,TRUE,RecalcTrigger)</f>
        <v>-6.8007600386330971E-5</v>
      </c>
      <c r="T22" s="165">
        <f t="shared" si="6"/>
        <v>-1.8007600386330975E-5</v>
      </c>
      <c r="W22" s="130" t="str">
        <f t="shared" si="7"/>
        <v>1D</v>
      </c>
      <c r="X22" s="128">
        <f>_xll.qlCalendarAdvance(Calendar,X21,W22,"f",FALSE)</f>
        <v>42138</v>
      </c>
      <c r="Y22" s="131">
        <f>_xll.qlCalendarAdvance(Calendar,X22,NDays&amp;"D")</f>
        <v>42142</v>
      </c>
      <c r="Z22" s="132">
        <v>-1.3146851295131118E-4</v>
      </c>
      <c r="AA22" s="129">
        <v>-2.4824738173112593E-4</v>
      </c>
    </row>
    <row r="23" spans="1:27" ht="12" thickBot="1" x14ac:dyDescent="0.25">
      <c r="J23" s="196" t="str">
        <f>ROUNDDOWN((_xll.qlTermStructureMaxDate(YieldCurve,Trigger)-_xll.qlTermStructureReferenceDate(YieldCurve,Trigger))/365,)&amp;"Y"</f>
        <v>60Y</v>
      </c>
      <c r="M23" s="130" t="str">
        <v>obj_0076a#0003</v>
      </c>
      <c r="N23" s="130" t="str">
        <f>_xll.qlRateHelperQuoteName(M23)</f>
        <v>EUR5x8F_Quote</v>
      </c>
      <c r="O23" s="128">
        <f>_xll.qlRateHelperEarliestDate(M23)</f>
        <v>42290</v>
      </c>
      <c r="P23" s="144">
        <f>_xll.qlRateHelperQuoteValue(M23,"ohTrigger(Trigger,RecalcTrigger))")</f>
        <v>-4.9999999999999996E-5</v>
      </c>
      <c r="Q23" s="140" t="e">
        <f>NA()</f>
        <v>#N/A</v>
      </c>
      <c r="R23" s="128">
        <f>_xll.qlInterestRateIndexFixingDate(IborIndex,O23)</f>
        <v>42286</v>
      </c>
      <c r="S23" s="144">
        <f>_xll.qlIndexFixing(IborIndex,R23,TRUE,RecalcTrigger)</f>
        <v>-7.6601064601389268E-5</v>
      </c>
      <c r="T23" s="165">
        <f t="shared" si="6"/>
        <v>-2.6601064601389273E-5</v>
      </c>
      <c r="W23" s="130" t="str">
        <f t="shared" si="7"/>
        <v>1D</v>
      </c>
      <c r="X23" s="128">
        <f>_xll.qlCalendarAdvance(Calendar,X22,W23,"f",FALSE)</f>
        <v>42139</v>
      </c>
      <c r="Y23" s="131">
        <f>_xll.qlCalendarAdvance(Calendar,X23,NDays&amp;"D")</f>
        <v>42143</v>
      </c>
      <c r="Z23" s="132">
        <v>-1.27638077800942E-4</v>
      </c>
      <c r="AA23" s="129">
        <v>-2.4782532490164044E-4</v>
      </c>
    </row>
    <row r="24" spans="1:27" x14ac:dyDescent="0.2">
      <c r="M24" s="130" t="str">
        <v>obj_0076d#0003</v>
      </c>
      <c r="N24" s="130" t="str">
        <f>_xll.qlRateHelperQuoteName(M24)</f>
        <v>EUR6x9F_Quote</v>
      </c>
      <c r="O24" s="128">
        <f>_xll.qlRateHelperEarliestDate(M24)</f>
        <v>42321</v>
      </c>
      <c r="P24" s="144">
        <f>_xll.qlRateHelperQuoteValue(M24,"ohTrigger(Trigger,RecalcTrigger))")</f>
        <v>-4.9999999999999996E-5</v>
      </c>
      <c r="Q24" s="140" t="e">
        <f>NA()</f>
        <v>#N/A</v>
      </c>
      <c r="R24" s="128">
        <f>_xll.qlInterestRateIndexFixingDate(IborIndex,O24)</f>
        <v>42319</v>
      </c>
      <c r="S24" s="144">
        <f>_xll.qlIndexFixing(IborIndex,R24,TRUE,RecalcTrigger)</f>
        <v>-5.4210811068666287E-5</v>
      </c>
      <c r="T24" s="165">
        <f t="shared" si="6"/>
        <v>-4.2108110686662917E-6</v>
      </c>
      <c r="W24" s="130" t="str">
        <f t="shared" si="7"/>
        <v>1D</v>
      </c>
      <c r="X24" s="128">
        <f>_xll.qlCalendarAdvance(Calendar,X23,W24,"f",FALSE)</f>
        <v>42142</v>
      </c>
      <c r="Y24" s="131">
        <f>_xll.qlCalendarAdvance(Calendar,X24,NDays&amp;"D")</f>
        <v>42144</v>
      </c>
      <c r="Z24" s="132">
        <v>-1.2371609330768361E-4</v>
      </c>
      <c r="AA24" s="129">
        <v>-2.4733292550038755E-4</v>
      </c>
    </row>
    <row r="25" spans="1:27" x14ac:dyDescent="0.2">
      <c r="M25" s="130" t="e">
        <v>#N/A</v>
      </c>
      <c r="N25" s="130" t="e">
        <f>_xll.qlRateHelperQuoteName(M25)</f>
        <v>#VALUE!</v>
      </c>
      <c r="O25" s="128" t="e">
        <f>_xll.qlRateHelperEarliestDate(M25)</f>
        <v>#VALUE!</v>
      </c>
      <c r="P25" s="144" t="e">
        <f>_xll.qlRateHelperQuoteValue(M25,"ohTrigger(Trigger,RecalcTrigger))")</f>
        <v>#VALUE!</v>
      </c>
      <c r="Q25" s="140" t="e">
        <f>NA()</f>
        <v>#N/A</v>
      </c>
      <c r="R25" s="128" t="e">
        <f>_xll.qlInterestRateIndexFixingDate(IborIndex,O25)</f>
        <v>#NUM!</v>
      </c>
      <c r="S25" s="144" t="e">
        <f>_xll.qlIndexFixing(IborIndex,R25,TRUE,RecalcTrigger)</f>
        <v>#NUM!</v>
      </c>
      <c r="T25" s="165" t="e">
        <f t="shared" si="6"/>
        <v>#NUM!</v>
      </c>
      <c r="W25" s="130" t="str">
        <f t="shared" si="7"/>
        <v>1D</v>
      </c>
      <c r="X25" s="128">
        <f>_xll.qlCalendarAdvance(Calendar,X24,W25,"f",FALSE)</f>
        <v>42143</v>
      </c>
      <c r="Y25" s="131">
        <f>_xll.qlCalendarAdvance(Calendar,X25,NDays&amp;"D")</f>
        <v>42145</v>
      </c>
      <c r="Z25" s="132">
        <v>-1.1970962947003574E-4</v>
      </c>
      <c r="AA25" s="129">
        <v>-2.4677018316765498E-4</v>
      </c>
    </row>
    <row r="26" spans="1:27" ht="12" thickBot="1" x14ac:dyDescent="0.25">
      <c r="M26" s="130" t="e">
        <v>#N/A</v>
      </c>
      <c r="N26" s="147" t="e">
        <f>_xll.qlRateHelperQuoteName(M26)</f>
        <v>#VALUE!</v>
      </c>
      <c r="O26" s="128" t="e">
        <f>_xll.qlRateHelperEarliestDate(M26)</f>
        <v>#VALUE!</v>
      </c>
      <c r="P26" s="144" t="e">
        <f>_xll.qlRateHelperQuoteValue(M26,"ohTrigger(Trigger,RecalcTrigger))")</f>
        <v>#VALUE!</v>
      </c>
      <c r="Q26" s="140" t="e">
        <f>NA()</f>
        <v>#N/A</v>
      </c>
      <c r="R26" s="128" t="e">
        <f>_xll.qlInterestRateIndexFixingDate(IborIndex,O26)</f>
        <v>#NUM!</v>
      </c>
      <c r="S26" s="144" t="e">
        <f>_xll.qlIndexFixing(IborIndex,R26,TRUE,RecalcTrigger)</f>
        <v>#NUM!</v>
      </c>
      <c r="T26" s="165" t="e">
        <f t="shared" si="6"/>
        <v>#NUM!</v>
      </c>
      <c r="W26" s="130" t="str">
        <f t="shared" si="7"/>
        <v>1D</v>
      </c>
      <c r="X26" s="128">
        <f>_xll.qlCalendarAdvance(Calendar,X25,W26,"f",FALSE)</f>
        <v>42144</v>
      </c>
      <c r="Y26" s="131">
        <f>_xll.qlCalendarAdvance(Calendar,X26,NDays&amp;"D")</f>
        <v>42146</v>
      </c>
      <c r="Z26" s="132">
        <v>-1.1020139206323656E-4</v>
      </c>
      <c r="AA26" s="129">
        <v>-2.4541005533063043E-4</v>
      </c>
    </row>
    <row r="27" spans="1:27" ht="12" thickBot="1" x14ac:dyDescent="0.25">
      <c r="M27" s="185"/>
      <c r="N27" s="176"/>
      <c r="O27" s="185"/>
      <c r="P27" s="185"/>
      <c r="Q27" s="185"/>
      <c r="R27" s="185"/>
      <c r="S27" s="185"/>
      <c r="T27" s="182"/>
      <c r="W27" s="130" t="str">
        <f t="shared" si="7"/>
        <v>1D</v>
      </c>
      <c r="X27" s="128">
        <f>_xll.qlCalendarAdvance(Calendar,X26,W27,"f",FALSE)</f>
        <v>42145</v>
      </c>
      <c r="Y27" s="131">
        <f>_xll.qlCalendarAdvance(Calendar,X27,NDays&amp;"D")</f>
        <v>42149</v>
      </c>
      <c r="Z27" s="132">
        <v>-1.0298038152006082E-4</v>
      </c>
      <c r="AA27" s="129">
        <v>-2.4381578608068111E-4</v>
      </c>
    </row>
    <row r="28" spans="1:27" x14ac:dyDescent="0.2">
      <c r="M28" s="121"/>
      <c r="N28" s="120" t="s">
        <v>171</v>
      </c>
      <c r="O28" s="121" t="s">
        <v>155</v>
      </c>
      <c r="P28" s="164" t="s">
        <v>69</v>
      </c>
      <c r="Q28" s="121" t="s">
        <v>156</v>
      </c>
      <c r="R28" s="121" t="s">
        <v>158</v>
      </c>
      <c r="S28" s="121" t="s">
        <v>170</v>
      </c>
      <c r="T28" s="137" t="s">
        <v>162</v>
      </c>
      <c r="U28" s="119" t="s">
        <v>163</v>
      </c>
      <c r="W28" s="130" t="str">
        <f t="shared" si="7"/>
        <v>1D</v>
      </c>
      <c r="X28" s="128">
        <f>_xll.qlCalendarAdvance(Calendar,X27,W28,"f",FALSE)</f>
        <v>42146</v>
      </c>
      <c r="Y28" s="131">
        <f>_xll.qlCalendarAdvance(Calendar,X28,NDays&amp;"D")</f>
        <v>42150</v>
      </c>
      <c r="Z28" s="132">
        <v>-9.8657571816822951E-5</v>
      </c>
      <c r="AA28" s="129">
        <v>-2.4290132988991076E-4</v>
      </c>
    </row>
    <row r="29" spans="1:27" x14ac:dyDescent="0.2">
      <c r="M29" s="161" t="str">
        <f t="array" ref="M29:M62">_xll.ohFilter(RateHelpers!E15:E56,RateHelpers!Q15:Q56)</f>
        <v>obj_00742#0003</v>
      </c>
      <c r="N29" s="130" t="str">
        <f>_xll.qlRateHelperQuoteName(M29)</f>
        <v>EURFUT3MM5_Quote</v>
      </c>
      <c r="O29" s="128">
        <f>_xll.qlRateHelperEarliestDate(M29)</f>
        <v>42172</v>
      </c>
      <c r="P29" s="144">
        <f>1-_xll.qlRateHelperQuoteValue(M29,_xll.ohTrigger(RecalcTrigger,Trigger))/100</f>
        <v>-2.4999999999941735E-5</v>
      </c>
      <c r="Q29" s="132" t="e">
        <f>NA()</f>
        <v>#N/A</v>
      </c>
      <c r="R29" s="128">
        <f>_xll.qlInterestRateIndexFixingDate(IborIndex,O29)</f>
        <v>42170</v>
      </c>
      <c r="S29" s="144">
        <f>_xll.qlIndexFixing(IborIndex,R29,TRUE,RecalcTrigger)</f>
        <v>-2.5000001325625263E-5</v>
      </c>
      <c r="T29" s="165">
        <f t="shared" ref="T29:T62" si="8">S29-P29</f>
        <v>-1.3256835272546993E-12</v>
      </c>
      <c r="U29" s="145">
        <f t="array" ref="U29">MAX(ABS(T29:T37))</f>
        <v>5.9948088396580626E-5</v>
      </c>
      <c r="W29" s="130" t="str">
        <f t="shared" si="7"/>
        <v>1D</v>
      </c>
      <c r="X29" s="128">
        <f>_xll.qlCalendarAdvance(Calendar,X28,W29,"f",FALSE)</f>
        <v>42149</v>
      </c>
      <c r="Y29" s="131">
        <f>_xll.qlCalendarAdvance(Calendar,X29,NDays&amp;"D")</f>
        <v>42151</v>
      </c>
      <c r="Z29" s="132">
        <v>-9.4292703301499827E-5</v>
      </c>
      <c r="AA29" s="129">
        <v>-2.4191653088756482E-4</v>
      </c>
    </row>
    <row r="30" spans="1:27" x14ac:dyDescent="0.2">
      <c r="M30" s="161" t="str">
        <v>obj_00769#0003</v>
      </c>
      <c r="N30" s="130" t="str">
        <f>_xll.qlRateHelperQuoteName(M30)</f>
        <v>EURFUT3MU5_Quote</v>
      </c>
      <c r="O30" s="128">
        <f>_xll.qlRateHelperEarliestDate(M30)</f>
        <v>42263</v>
      </c>
      <c r="P30" s="144">
        <f>1-_xll.qlRateHelperQuoteValue(M30,_xll.ohTrigger(RecalcTrigger,Trigger))/100</f>
        <v>-7.4999999999825206E-5</v>
      </c>
      <c r="Q30" s="132" t="e">
        <f>NA()</f>
        <v>#N/A</v>
      </c>
      <c r="R30" s="128">
        <f>_xll.qlInterestRateIndexFixingDate(IborIndex,O30)</f>
        <v>42261</v>
      </c>
      <c r="S30" s="144">
        <f>_xll.qlIndexFixing(IborIndex,R30,TRUE,RecalcTrigger)</f>
        <v>-7.500000030080057E-5</v>
      </c>
      <c r="T30" s="165">
        <f t="shared" si="8"/>
        <v>-3.0097536333865971E-13</v>
      </c>
      <c r="W30" s="130" t="str">
        <f t="shared" si="7"/>
        <v>1D</v>
      </c>
      <c r="X30" s="128">
        <f>_xll.qlCalendarAdvance(Calendar,X29,W30,"f",FALSE)</f>
        <v>42150</v>
      </c>
      <c r="Y30" s="131">
        <f>_xll.qlCalendarAdvance(Calendar,X30,NDays&amp;"D")</f>
        <v>42152</v>
      </c>
      <c r="Z30" s="132">
        <v>-8.9892846158094912E-5</v>
      </c>
      <c r="AA30" s="129">
        <v>-2.4086138907364329E-4</v>
      </c>
    </row>
    <row r="31" spans="1:27" x14ac:dyDescent="0.2">
      <c r="M31" s="161" t="str">
        <v>obj_0074b#0003</v>
      </c>
      <c r="N31" s="130" t="str">
        <f>_xll.qlRateHelperQuoteName(M31)</f>
        <v>EURFUT3MZ5_Quote</v>
      </c>
      <c r="O31" s="128">
        <f>_xll.qlRateHelperEarliestDate(M31)</f>
        <v>42354</v>
      </c>
      <c r="P31" s="144">
        <f>1-_xll.qlRateHelperQuoteValue(M31,_xll.ohTrigger(RecalcTrigger,Trigger))/100</f>
        <v>-2.4999999999941735E-5</v>
      </c>
      <c r="Q31" s="132" t="e">
        <f>NA()</f>
        <v>#N/A</v>
      </c>
      <c r="R31" s="128">
        <f>_xll.qlInterestRateIndexFixingDate(IborIndex,O31)</f>
        <v>42352</v>
      </c>
      <c r="S31" s="144">
        <f>_xll.qlIndexFixing(IborIndex,R31,TRUE,RecalcTrigger)</f>
        <v>-2.4999999999834376E-5</v>
      </c>
      <c r="T31" s="165">
        <f t="shared" si="8"/>
        <v>1.0735973199858806E-16</v>
      </c>
      <c r="W31" s="130" t="str">
        <f t="shared" si="7"/>
        <v>1D</v>
      </c>
      <c r="X31" s="128">
        <f>_xll.qlCalendarAdvance(Calendar,X30,W31,"f",FALSE)</f>
        <v>42151</v>
      </c>
      <c r="Y31" s="131">
        <f>_xll.qlCalendarAdvance(Calendar,X31,NDays&amp;"D")</f>
        <v>42153</v>
      </c>
      <c r="Z31" s="132">
        <v>-8.001317696659556E-5</v>
      </c>
      <c r="AA31" s="129">
        <v>3.6148533601121358E-4</v>
      </c>
    </row>
    <row r="32" spans="1:27" x14ac:dyDescent="0.2">
      <c r="M32" s="161" t="str">
        <v>obj_00766#0003</v>
      </c>
      <c r="N32" s="130" t="str">
        <f>_xll.qlRateHelperQuoteName(M32)</f>
        <v>EURFUT3MH6_Quote</v>
      </c>
      <c r="O32" s="128">
        <f>_xll.qlRateHelperEarliestDate(M32)</f>
        <v>42445</v>
      </c>
      <c r="P32" s="144">
        <f>1-_xll.qlRateHelperQuoteValue(M32,_xll.ohTrigger(RecalcTrigger,Trigger))/100</f>
        <v>7.4999999999936229E-5</v>
      </c>
      <c r="Q32" s="132" t="e">
        <f>NA()</f>
        <v>#N/A</v>
      </c>
      <c r="R32" s="128">
        <f>_xll.qlInterestRateIndexFixingDate(IborIndex,O32)</f>
        <v>42443</v>
      </c>
      <c r="S32" s="144">
        <f>_xll.qlIndexFixing(IborIndex,R32,TRUE,RecalcTrigger)</f>
        <v>7.500000000092578E-5</v>
      </c>
      <c r="T32" s="165">
        <f t="shared" si="8"/>
        <v>9.895513228275199E-16</v>
      </c>
      <c r="W32" s="130" t="str">
        <f t="shared" si="7"/>
        <v>1D</v>
      </c>
      <c r="X32" s="128">
        <f>_xll.qlCalendarAdvance(Calendar,X31,W32,"f",FALSE)</f>
        <v>42152</v>
      </c>
      <c r="Y32" s="131">
        <f>_xll.qlCalendarAdvance(Calendar,X32,NDays&amp;"D")</f>
        <v>42156</v>
      </c>
      <c r="Z32" s="132">
        <v>-9.1649793136868197E-5</v>
      </c>
      <c r="AA32" s="129">
        <v>-2.3593739386207346E-4</v>
      </c>
    </row>
    <row r="33" spans="10:27" x14ac:dyDescent="0.2">
      <c r="M33" s="161" t="str">
        <v>obj_00763#0003</v>
      </c>
      <c r="N33" s="130" t="str">
        <f>_xll.qlRateHelperQuoteName(M33)</f>
        <v>EURFUT3MM6_Quote</v>
      </c>
      <c r="O33" s="128">
        <f>_xll.qlRateHelperEarliestDate(M33)</f>
        <v>42536</v>
      </c>
      <c r="P33" s="144">
        <f>1-_xll.qlRateHelperQuoteValue(M33,_xll.ohTrigger(RecalcTrigger,Trigger))/100</f>
        <v>2.2500000000003073E-4</v>
      </c>
      <c r="Q33" s="132" t="e">
        <f>NA()</f>
        <v>#N/A</v>
      </c>
      <c r="R33" s="128">
        <f>_xll.qlInterestRateIndexFixingDate(IborIndex,O33)</f>
        <v>42534</v>
      </c>
      <c r="S33" s="144">
        <f>_xll.qlIndexFixing(IborIndex,R33,TRUE,RecalcTrigger)</f>
        <v>2.2499999796701448E-4</v>
      </c>
      <c r="T33" s="165">
        <f t="shared" si="8"/>
        <v>-2.0330162520901945E-12</v>
      </c>
      <c r="W33" s="130" t="str">
        <f t="shared" si="7"/>
        <v>1D</v>
      </c>
      <c r="X33" s="128">
        <f>_xll.qlCalendarAdvance(Calendar,X32,W33,"f",FALSE)</f>
        <v>42153</v>
      </c>
      <c r="Y33" s="131">
        <f>_xll.qlCalendarAdvance(Calendar,X33,NDays&amp;"D")</f>
        <v>42157</v>
      </c>
      <c r="Z33" s="132">
        <v>-8.718106911778294E-5</v>
      </c>
      <c r="AA33" s="129">
        <v>-2.345305381101781E-4</v>
      </c>
    </row>
    <row r="34" spans="10:27" x14ac:dyDescent="0.2">
      <c r="M34" s="161" t="str">
        <v>obj_00743#0003</v>
      </c>
      <c r="N34" s="130" t="str">
        <f>_xll.qlRateHelperQuoteName(M34)</f>
        <v>EURFUT3MU6_Quote</v>
      </c>
      <c r="O34" s="128">
        <f>_xll.qlRateHelperEarliestDate(M34)</f>
        <v>42634</v>
      </c>
      <c r="P34" s="144">
        <f>1-_xll.qlRateHelperQuoteValue(M34,_xll.ohTrigger(RecalcTrigger,Trigger))/100</f>
        <v>5.2500000000010871E-4</v>
      </c>
      <c r="Q34" s="132" t="e">
        <f>NA()</f>
        <v>#N/A</v>
      </c>
      <c r="R34" s="128">
        <f>_xll.qlInterestRateIndexFixingDate(IborIndex,O34)</f>
        <v>42632</v>
      </c>
      <c r="S34" s="144">
        <f>_xll.qlIndexFixing(IborIndex,R34,TRUE,RecalcTrigger)</f>
        <v>5.2500000053060016E-4</v>
      </c>
      <c r="T34" s="165">
        <f t="shared" si="8"/>
        <v>5.3049144937977744E-13</v>
      </c>
      <c r="W34" s="130" t="str">
        <f t="shared" si="7"/>
        <v>1D</v>
      </c>
      <c r="X34" s="128">
        <f>_xll.qlCalendarAdvance(Calendar,X33,W34,"f",FALSE)</f>
        <v>42156</v>
      </c>
      <c r="Y34" s="131">
        <f>_xll.qlCalendarAdvance(Calendar,X34,NDays&amp;"D")</f>
        <v>42158</v>
      </c>
      <c r="Z34" s="132">
        <v>-8.2719778222379475E-5</v>
      </c>
      <c r="AA34" s="129">
        <v>-2.3305333958667518E-4</v>
      </c>
    </row>
    <row r="35" spans="10:27" x14ac:dyDescent="0.2">
      <c r="M35" s="161" t="str">
        <v>obj_00765#0003</v>
      </c>
      <c r="N35" s="130" t="str">
        <f>_xll.qlRateHelperQuoteName(M35)</f>
        <v>EURFUT3MZ6_Quote</v>
      </c>
      <c r="O35" s="128">
        <f>_xll.qlRateHelperEarliestDate(M35)</f>
        <v>42725</v>
      </c>
      <c r="P35" s="144">
        <f>1-_xll.qlRateHelperQuoteValue(M35,_xll.ohTrigger(RecalcTrigger,Trigger))/100</f>
        <v>9.2500000000006466E-4</v>
      </c>
      <c r="Q35" s="132" t="e">
        <f>NA()</f>
        <v>#N/A</v>
      </c>
      <c r="R35" s="128">
        <f>_xll.qlInterestRateIndexFixingDate(IborIndex,O35)</f>
        <v>42723</v>
      </c>
      <c r="S35" s="144">
        <f>_xll.qlIndexFixing(IborIndex,R35,TRUE,RecalcTrigger)</f>
        <v>9.2499999999962057E-4</v>
      </c>
      <c r="T35" s="165">
        <f t="shared" si="8"/>
        <v>-4.4408920985006262E-16</v>
      </c>
      <c r="W35" s="130" t="str">
        <f t="shared" si="7"/>
        <v>1D</v>
      </c>
      <c r="X35" s="128">
        <f>_xll.qlCalendarAdvance(Calendar,X34,W35,"f",FALSE)</f>
        <v>42157</v>
      </c>
      <c r="Y35" s="131">
        <f>_xll.qlCalendarAdvance(Calendar,X35,NDays&amp;"D")</f>
        <v>42159</v>
      </c>
      <c r="Z35" s="132">
        <v>-7.8272990826247152E-5</v>
      </c>
      <c r="AA35" s="129">
        <v>-2.3150579821162864E-4</v>
      </c>
    </row>
    <row r="36" spans="10:27" x14ac:dyDescent="0.2">
      <c r="M36" s="161" t="str">
        <v>obj_00755#0003</v>
      </c>
      <c r="N36" s="130" t="str">
        <f>_xll.qlRateHelperQuoteName(M36)</f>
        <v>EURFUT3MH7_Quote</v>
      </c>
      <c r="O36" s="128">
        <f>_xll.qlRateHelperEarliestDate(M36)</f>
        <v>42809</v>
      </c>
      <c r="P36" s="144">
        <f>1-_xll.qlRateHelperQuoteValue(M36,_xll.ohTrigger(RecalcTrigger,Trigger))/100</f>
        <v>1.3750000000000151E-3</v>
      </c>
      <c r="Q36" s="132" t="e">
        <f>NA()</f>
        <v>#N/A</v>
      </c>
      <c r="R36" s="128">
        <f>_xll.qlInterestRateIndexFixingDate(IborIndex,O36)</f>
        <v>42807</v>
      </c>
      <c r="S36" s="144">
        <f>_xll.qlIndexFixing(IborIndex,R36,TRUE,RecalcTrigger)</f>
        <v>1.3750000000007537E-3</v>
      </c>
      <c r="T36" s="165">
        <f t="shared" si="8"/>
        <v>7.3855851989712562E-16</v>
      </c>
      <c r="W36" s="130" t="str">
        <f t="shared" si="7"/>
        <v>1D</v>
      </c>
      <c r="X36" s="128">
        <f>_xll.qlCalendarAdvance(Calendar,X35,W36,"f",FALSE)</f>
        <v>42158</v>
      </c>
      <c r="Y36" s="131">
        <f>_xll.qlCalendarAdvance(Calendar,X36,NDays&amp;"D")</f>
        <v>42160</v>
      </c>
      <c r="Z36" s="132">
        <v>-6.8578642451608453E-5</v>
      </c>
      <c r="AA36" s="129">
        <v>-2.2817609485858981E-4</v>
      </c>
    </row>
    <row r="37" spans="10:27" x14ac:dyDescent="0.2">
      <c r="M37" s="161" t="str">
        <v>obj_00751#0003</v>
      </c>
      <c r="N37" s="130" t="str">
        <f>_xll.qlRateHelperQuoteName(M37)</f>
        <v>EURFUT3MM7_Quote</v>
      </c>
      <c r="O37" s="128">
        <f>_xll.qlRateHelperEarliestDate(M37)</f>
        <v>42907</v>
      </c>
      <c r="P37" s="144">
        <f>1-_xll.qlRateHelperQuoteValue(M37,_xll.ohTrigger(RecalcTrigger,Trigger))/100</f>
        <v>1.87499999999996E-3</v>
      </c>
      <c r="Q37" s="132" t="e">
        <f>NA()</f>
        <v>#N/A</v>
      </c>
      <c r="R37" s="128">
        <f>_xll.qlInterestRateIndexFixingDate(IborIndex,O37)</f>
        <v>42905</v>
      </c>
      <c r="S37" s="144">
        <f>_xll.qlIndexFixing(IborIndex,R37,TRUE,RecalcTrigger)</f>
        <v>1.9349480883965407E-3</v>
      </c>
      <c r="T37" s="165">
        <f t="shared" si="8"/>
        <v>5.9948088396580626E-5</v>
      </c>
      <c r="W37" s="130" t="str">
        <f t="shared" si="7"/>
        <v>1D</v>
      </c>
      <c r="X37" s="128">
        <f>_xll.qlCalendarAdvance(Calendar,X36,W37,"f",FALSE)</f>
        <v>42159</v>
      </c>
      <c r="Y37" s="131">
        <f>_xll.qlCalendarAdvance(Calendar,X37,NDays&amp;"D")</f>
        <v>42163</v>
      </c>
      <c r="Z37" s="132">
        <v>-6.0772284842730322E-5</v>
      </c>
      <c r="AA37" s="129">
        <v>-2.2461220471559074E-4</v>
      </c>
    </row>
    <row r="38" spans="10:27" x14ac:dyDescent="0.2">
      <c r="M38" s="161" t="str">
        <v>obj_00760#0003</v>
      </c>
      <c r="N38" s="130" t="str">
        <f>_xll.qlRateHelperQuoteName(M38)</f>
        <v>EURFUT3MU7_Quote</v>
      </c>
      <c r="O38" s="128">
        <f>_xll.qlRateHelperEarliestDate(M38)</f>
        <v>42998</v>
      </c>
      <c r="P38" s="144">
        <f>1-_xll.qlRateHelperQuoteValue(M38,_xll.ohTrigger(RecalcTrigger,Trigger))/100</f>
        <v>2.4250000000001215E-3</v>
      </c>
      <c r="Q38" s="132" t="e">
        <f>NA()</f>
        <v>#N/A</v>
      </c>
      <c r="R38" s="128">
        <f>_xll.qlInterestRateIndexFixingDate(IborIndex,O38)</f>
        <v>42996</v>
      </c>
      <c r="S38" s="144">
        <f>_xll.qlIndexFixing(IborIndex,R38,TRUE,RecalcTrigger)</f>
        <v>2.4045919852464662E-3</v>
      </c>
      <c r="T38" s="165">
        <f t="shared" si="8"/>
        <v>-2.04080147536553E-5</v>
      </c>
      <c r="W38" s="130" t="str">
        <f t="shared" si="7"/>
        <v>1D</v>
      </c>
      <c r="X38" s="128">
        <f>_xll.qlCalendarAdvance(Calendar,X37,W38,"f",FALSE)</f>
        <v>42160</v>
      </c>
      <c r="Y38" s="131">
        <f>_xll.qlCalendarAdvance(Calendar,X38,NDays&amp;"D")</f>
        <v>42164</v>
      </c>
      <c r="Z38" s="132">
        <v>-5.6504071672004784E-5</v>
      </c>
      <c r="AA38" s="129">
        <v>-2.2271294944253839E-4</v>
      </c>
    </row>
    <row r="39" spans="10:27" x14ac:dyDescent="0.2">
      <c r="M39" s="161" t="str">
        <v>obj_0074f#0003</v>
      </c>
      <c r="N39" s="130" t="str">
        <f>_xll.qlRateHelperQuoteName(M39)</f>
        <v>EURFUT3MZ7_Quote</v>
      </c>
      <c r="O39" s="128">
        <f>_xll.qlRateHelperEarliestDate(M39)</f>
        <v>43089</v>
      </c>
      <c r="P39" s="144">
        <f>1-_xll.qlRateHelperQuoteValue(M39,_xll.ohTrigger(RecalcTrigger,Trigger))/100</f>
        <v>3.0250000000000554E-3</v>
      </c>
      <c r="Q39" s="132" t="e">
        <f>NA()</f>
        <v>#N/A</v>
      </c>
      <c r="R39" s="128">
        <f>_xll.qlInterestRateIndexFixingDate(IborIndex,O39)</f>
        <v>43087</v>
      </c>
      <c r="S39" s="144">
        <f>_xll.qlIndexFixing(IborIndex,R39,TRUE,RecalcTrigger)</f>
        <v>2.930747762883712E-3</v>
      </c>
      <c r="T39" s="165">
        <f t="shared" si="8"/>
        <v>-9.4252237116343451E-5</v>
      </c>
      <c r="W39" s="130" t="str">
        <f t="shared" si="7"/>
        <v>1D</v>
      </c>
      <c r="X39" s="128">
        <f>_xll.qlCalendarAdvance(Calendar,X38,W39,"f",FALSE)</f>
        <v>42163</v>
      </c>
      <c r="Y39" s="131">
        <f>_xll.qlCalendarAdvance(Calendar,X39,NDays&amp;"D")</f>
        <v>42165</v>
      </c>
      <c r="Z39" s="132">
        <v>-5.2292784907476857E-5</v>
      </c>
      <c r="AA39" s="129">
        <v>-2.2074335123800637E-4</v>
      </c>
    </row>
    <row r="40" spans="10:27" x14ac:dyDescent="0.2">
      <c r="M40" s="161" t="str">
        <v>obj_0075f#0003</v>
      </c>
      <c r="N40" s="130" t="str">
        <f>_xll.qlRateHelperQuoteName(M40)</f>
        <v>EURFUT3MH8_Quote</v>
      </c>
      <c r="O40" s="128">
        <f>_xll.qlRateHelperEarliestDate(M40)</f>
        <v>43180</v>
      </c>
      <c r="P40" s="144">
        <f>1-_xll.qlRateHelperQuoteValue(M40,_xll.ohTrigger(RecalcTrigger,Trigger))/100</f>
        <v>3.6750000000000949E-3</v>
      </c>
      <c r="Q40" s="132" t="e">
        <f>NA()</f>
        <v>#N/A</v>
      </c>
      <c r="R40" s="128">
        <f>_xll.qlInterestRateIndexFixingDate(IborIndex,O40)</f>
        <v>43178</v>
      </c>
      <c r="S40" s="144">
        <f>_xll.qlIndexFixing(IborIndex,R40,TRUE,RecalcTrigger)</f>
        <v>3.523142843961549E-3</v>
      </c>
      <c r="T40" s="165">
        <f t="shared" si="8"/>
        <v>-1.5185715603854583E-4</v>
      </c>
      <c r="W40" s="130" t="str">
        <f t="shared" si="7"/>
        <v>1D</v>
      </c>
      <c r="X40" s="128">
        <f>_xll.qlCalendarAdvance(Calendar,X39,W40,"f",FALSE)</f>
        <v>42164</v>
      </c>
      <c r="Y40" s="131">
        <f>_xll.qlCalendarAdvance(Calendar,X40,NDays&amp;"D")</f>
        <v>42166</v>
      </c>
      <c r="Z40" s="132">
        <v>-4.8145495135002491E-5</v>
      </c>
      <c r="AA40" s="129">
        <v>-2.1870341026186679E-4</v>
      </c>
    </row>
    <row r="41" spans="10:27" x14ac:dyDescent="0.2">
      <c r="M41" s="161" t="str">
        <v>obj_00764#0003</v>
      </c>
      <c r="N41" s="130" t="str">
        <f>_xll.qlRateHelperQuoteName(M41)</f>
        <v>EURFUT3MM8_Quote</v>
      </c>
      <c r="O41" s="128">
        <f>_xll.qlRateHelperEarliestDate(M41)</f>
        <v>43271</v>
      </c>
      <c r="P41" s="144">
        <f>1-_xll.qlRateHelperQuoteValue(M41,_xll.ohTrigger(RecalcTrigger,Trigger))/100</f>
        <v>4.350000000000076E-3</v>
      </c>
      <c r="Q41" s="132" t="e">
        <f>NA()</f>
        <v>#N/A</v>
      </c>
      <c r="R41" s="128">
        <f>_xll.qlInterestRateIndexFixingDate(IborIndex,O41)</f>
        <v>43269</v>
      </c>
      <c r="S41" s="144">
        <f>_xll.qlIndexFixing(IborIndex,R41,TRUE,RecalcTrigger)</f>
        <v>4.143505062305629E-3</v>
      </c>
      <c r="T41" s="165">
        <f t="shared" si="8"/>
        <v>-2.0649493769444704E-4</v>
      </c>
      <c r="U41" s="143"/>
      <c r="W41" s="130" t="str">
        <f t="shared" si="7"/>
        <v>1D</v>
      </c>
      <c r="X41" s="128">
        <f>_xll.qlCalendarAdvance(Calendar,X40,W41,"f",FALSE)</f>
        <v>42165</v>
      </c>
      <c r="Y41" s="131">
        <f>_xll.qlCalendarAdvance(Calendar,X41,NDays&amp;"D")</f>
        <v>42167</v>
      </c>
      <c r="Z41" s="132">
        <v>-3.9974110720265645E-5</v>
      </c>
      <c r="AA41" s="129">
        <v>-2.1438892470637683E-4</v>
      </c>
    </row>
    <row r="42" spans="10:27" x14ac:dyDescent="0.2">
      <c r="M42" s="161" t="str">
        <v>obj_00758#0003</v>
      </c>
      <c r="N42" s="130" t="str">
        <f>_xll.qlRateHelperQuoteName(M42)</f>
        <v>EURFUT3MU8_Quote</v>
      </c>
      <c r="O42" s="128">
        <f>_xll.qlRateHelperEarliestDate(M42)</f>
        <v>43362</v>
      </c>
      <c r="P42" s="144">
        <f>1-_xll.qlRateHelperQuoteValue(M42,_xll.ohTrigger(RecalcTrigger,Trigger))/100</f>
        <v>5.0249999999999462E-3</v>
      </c>
      <c r="Q42" s="132" t="e">
        <f>NA()</f>
        <v>#N/A</v>
      </c>
      <c r="R42" s="128">
        <f>_xll.qlInterestRateIndexFixingDate(IborIndex,O42)</f>
        <v>43360</v>
      </c>
      <c r="S42" s="144">
        <f>_xll.qlIndexFixing(IborIndex,R42,TRUE,RecalcTrigger)</f>
        <v>4.7665468272878502E-3</v>
      </c>
      <c r="T42" s="165">
        <f t="shared" si="8"/>
        <v>-2.58453172712096E-4</v>
      </c>
      <c r="U42" s="143"/>
      <c r="W42" s="130" t="str">
        <f t="shared" si="7"/>
        <v>1D</v>
      </c>
      <c r="X42" s="128">
        <f>_xll.qlCalendarAdvance(Calendar,X41,W42,"f",FALSE)</f>
        <v>42166</v>
      </c>
      <c r="Y42" s="131">
        <f>_xll.qlCalendarAdvance(Calendar,X42,NDays&amp;"D")</f>
        <v>42170</v>
      </c>
      <c r="Z42" s="132">
        <v>-3.233771865241841E-5</v>
      </c>
      <c r="AA42" s="129">
        <v>-2.098591727195398E-4</v>
      </c>
    </row>
    <row r="43" spans="10:27" x14ac:dyDescent="0.2">
      <c r="M43" s="161" t="str">
        <v>obj_0075e#0003</v>
      </c>
      <c r="N43" s="130" t="str">
        <f>_xll.qlRateHelperQuoteName(M43)</f>
        <v>EURFUT3MZ8_Quote</v>
      </c>
      <c r="O43" s="128">
        <f>_xll.qlRateHelperEarliestDate(M43)</f>
        <v>43453</v>
      </c>
      <c r="P43" s="144">
        <f>1-_xll.qlRateHelperQuoteValue(M43,_xll.ohTrigger(RecalcTrigger,Trigger))/100</f>
        <v>5.6749999999999856E-3</v>
      </c>
      <c r="Q43" s="132" t="e">
        <f>NA()</f>
        <v>#N/A</v>
      </c>
      <c r="R43" s="128">
        <f>_xll.qlInterestRateIndexFixingDate(IborIndex,O43)</f>
        <v>43451</v>
      </c>
      <c r="S43" s="144">
        <f>_xll.qlIndexFixing(IborIndex,R43,TRUE,RecalcTrigger)</f>
        <v>5.3938741570132009E-3</v>
      </c>
      <c r="T43" s="165">
        <f t="shared" si="8"/>
        <v>-2.8112584298678467E-4</v>
      </c>
      <c r="U43" s="143"/>
      <c r="W43" s="130" t="str">
        <f t="shared" si="7"/>
        <v>1D</v>
      </c>
      <c r="X43" s="128">
        <f>_xll.qlCalendarAdvance(Calendar,X42,W43,"f",FALSE)</f>
        <v>42167</v>
      </c>
      <c r="Y43" s="131">
        <f>_xll.qlCalendarAdvance(Calendar,X43,NDays&amp;"D")</f>
        <v>42171</v>
      </c>
      <c r="Z43" s="132">
        <v>-2.8616267539061589E-5</v>
      </c>
      <c r="AA43" s="129">
        <v>-2.0758124331443639E-4</v>
      </c>
    </row>
    <row r="44" spans="10:27" x14ac:dyDescent="0.2">
      <c r="M44" s="161" t="str">
        <v>obj_00754#0003</v>
      </c>
      <c r="N44" s="130" t="str">
        <f>_xll.qlRateHelperQuoteName(M44)</f>
        <v>EURFUT3MH9_Quote</v>
      </c>
      <c r="O44" s="128">
        <f>_xll.qlRateHelperEarliestDate(M44)</f>
        <v>43544</v>
      </c>
      <c r="P44" s="144">
        <f>1-_xll.qlRateHelperQuoteValue(M44,_xll.ohTrigger(RecalcTrigger,Trigger))/100</f>
        <v>6.324999999999914E-3</v>
      </c>
      <c r="Q44" s="132" t="e">
        <f>NA()</f>
        <v>#N/A</v>
      </c>
      <c r="R44" s="128">
        <f>_xll.qlInterestRateIndexFixingDate(IborIndex,O44)</f>
        <v>43542</v>
      </c>
      <c r="S44" s="144">
        <f>_xll.qlIndexFixing(IborIndex,R44,TRUE,RecalcTrigger)</f>
        <v>6.0359874765076975E-3</v>
      </c>
      <c r="T44" s="165">
        <f t="shared" si="8"/>
        <v>-2.8901252349221654E-4</v>
      </c>
      <c r="W44" s="130" t="str">
        <f t="shared" si="7"/>
        <v>1D</v>
      </c>
      <c r="X44" s="128">
        <f>_xll.qlCalendarAdvance(Calendar,X43,W44,"f",FALSE)</f>
        <v>42170</v>
      </c>
      <c r="Y44" s="131">
        <f>_xll.qlCalendarAdvance(Calendar,X44,NDays&amp;"D")</f>
        <v>42172</v>
      </c>
      <c r="Z44" s="132">
        <v>-2.5000001325625263E-5</v>
      </c>
      <c r="AA44" s="129">
        <v>-2.053466967266715E-4</v>
      </c>
    </row>
    <row r="45" spans="10:27" x14ac:dyDescent="0.2">
      <c r="M45" s="161" t="str">
        <v>obj_00741#0003</v>
      </c>
      <c r="N45" s="130" t="str">
        <f>_xll.qlRateHelperQuoteName(M45)</f>
        <v>EURFUT3MM9_Quote</v>
      </c>
      <c r="O45" s="128">
        <f>_xll.qlRateHelperEarliestDate(M45)</f>
        <v>43635</v>
      </c>
      <c r="P45" s="144">
        <f>1-_xll.qlRateHelperQuoteValue(M45,_xll.ohTrigger(RecalcTrigger,Trigger))/100</f>
        <v>6.9999999999998952E-3</v>
      </c>
      <c r="Q45" s="132" t="e">
        <f>NA()</f>
        <v>#N/A</v>
      </c>
      <c r="R45" s="128">
        <f>_xll.qlInterestRateIndexFixingDate(IborIndex,O45)</f>
        <v>43633</v>
      </c>
      <c r="S45" s="144">
        <f>_xll.qlIndexFixing(IborIndex,R45,TRUE,RecalcTrigger)</f>
        <v>6.6693592323121267E-3</v>
      </c>
      <c r="T45" s="165">
        <f t="shared" si="8"/>
        <v>-3.3064076768776849E-4</v>
      </c>
      <c r="W45" s="130" t="str">
        <f t="shared" si="7"/>
        <v>1D</v>
      </c>
      <c r="X45" s="128">
        <f>_xll.qlCalendarAdvance(Calendar,X44,W45,"f",FALSE)</f>
        <v>42171</v>
      </c>
      <c r="Y45" s="131">
        <f>_xll.qlCalendarAdvance(Calendar,X45,NDays&amp;"D")</f>
        <v>42173</v>
      </c>
      <c r="Z45" s="132">
        <v>-2.1493517602678558E-5</v>
      </c>
      <c r="AA45" s="129">
        <v>-2.0315553287630905E-4</v>
      </c>
    </row>
    <row r="46" spans="10:27" x14ac:dyDescent="0.2">
      <c r="M46" s="161" t="str">
        <v>obj_00745#0003</v>
      </c>
      <c r="N46" s="130" t="str">
        <f>_xll.qlRateHelperQuoteName(M46)</f>
        <v>EURFUT3MU9_Quote</v>
      </c>
      <c r="O46" s="128">
        <f>_xll.qlRateHelperEarliestDate(M46)</f>
        <v>43726</v>
      </c>
      <c r="P46" s="144">
        <f>1-_xll.qlRateHelperQuoteValue(M46,_xll.ohTrigger(RecalcTrigger,Trigger))/100</f>
        <v>7.6249999999998819E-3</v>
      </c>
      <c r="Q46" s="132" t="e">
        <f>NA()</f>
        <v>#N/A</v>
      </c>
      <c r="R46" s="128">
        <f>_xll.qlInterestRateIndexFixingDate(IborIndex,O46)</f>
        <v>43724</v>
      </c>
      <c r="S46" s="144">
        <f>_xll.qlIndexFixing(IborIndex,R46,TRUE,RecalcTrigger)</f>
        <v>7.2901682293504671E-3</v>
      </c>
      <c r="T46" s="165">
        <f t="shared" si="8"/>
        <v>-3.3483177064941479E-4</v>
      </c>
      <c r="U46" s="143"/>
      <c r="W46" s="130" t="str">
        <f t="shared" si="7"/>
        <v>1D</v>
      </c>
      <c r="X46" s="128">
        <f>_xll.qlCalendarAdvance(Calendar,X45,W46,"f",FALSE)</f>
        <v>42172</v>
      </c>
      <c r="Y46" s="131">
        <f>_xll.qlCalendarAdvance(Calendar,X46,NDays&amp;"D")</f>
        <v>42174</v>
      </c>
      <c r="Z46" s="132">
        <v>-1.5631342673430403E-5</v>
      </c>
      <c r="AA46" s="129">
        <v>-1.9891770489444127E-4</v>
      </c>
    </row>
    <row r="47" spans="10:27" x14ac:dyDescent="0.2">
      <c r="M47" s="161" t="str">
        <v>obj_00740#0003</v>
      </c>
      <c r="N47" s="130" t="str">
        <f>_xll.qlRateHelperQuoteName(M47)</f>
        <v>EURFUT3MZ9_Quote</v>
      </c>
      <c r="O47" s="128">
        <f>_xll.qlRateHelperEarliestDate(M47)</f>
        <v>43817</v>
      </c>
      <c r="P47" s="144">
        <f>1-_xll.qlRateHelperQuoteValue(M47,_xll.ohTrigger(RecalcTrigger,Trigger))/100</f>
        <v>8.2999999999999741E-3</v>
      </c>
      <c r="Q47" s="132" t="e">
        <f>NA()</f>
        <v>#N/A</v>
      </c>
      <c r="R47" s="128">
        <f>_xll.qlInterestRateIndexFixingDate(IborIndex,O47)</f>
        <v>43815</v>
      </c>
      <c r="S47" s="144">
        <f>_xll.qlIndexFixing(IborIndex,R47,TRUE,RecalcTrigger)</f>
        <v>7.9049074636990749E-3</v>
      </c>
      <c r="T47" s="165">
        <f t="shared" si="8"/>
        <v>-3.9509253630089919E-4</v>
      </c>
      <c r="U47" s="143"/>
      <c r="W47" s="130" t="str">
        <f t="shared" si="7"/>
        <v>1D</v>
      </c>
      <c r="X47" s="128">
        <f>_xll.qlCalendarAdvance(Calendar,X46,W47,"f",FALSE)</f>
        <v>42173</v>
      </c>
      <c r="Y47" s="131">
        <f>_xll.qlCalendarAdvance(Calendar,X47,NDays&amp;"D")</f>
        <v>42177</v>
      </c>
      <c r="Z47" s="132">
        <v>-8.546028262014083E-6</v>
      </c>
      <c r="AA47" s="129">
        <v>-1.9482470600795665E-4</v>
      </c>
    </row>
    <row r="48" spans="10:27" x14ac:dyDescent="0.2">
      <c r="J48" s="168" t="b">
        <v>1</v>
      </c>
      <c r="M48" s="161" t="str">
        <v>obj_00757#0003</v>
      </c>
      <c r="N48" s="130" t="str">
        <f>_xll.qlRateHelperQuoteName(M48)</f>
        <v>EURFUT3MH0_Quote</v>
      </c>
      <c r="O48" s="128">
        <f>_xll.qlRateHelperEarliestDate(M48)</f>
        <v>43908</v>
      </c>
      <c r="P48" s="144">
        <f>1-_xll.qlRateHelperQuoteValue(M48,_xll.ohTrigger(RecalcTrigger,Trigger))/100</f>
        <v>8.9750000000000663E-3</v>
      </c>
      <c r="Q48" s="132" t="e">
        <f>NA()</f>
        <v>#N/A</v>
      </c>
      <c r="R48" s="128">
        <f>_xll.qlInterestRateIndexFixingDate(IborIndex,O48)</f>
        <v>43906</v>
      </c>
      <c r="S48" s="144">
        <f>_xll.qlIndexFixing(IborIndex,R48,TRUE,RecalcTrigger)</f>
        <v>8.513582763556583E-3</v>
      </c>
      <c r="T48" s="165">
        <f t="shared" si="8"/>
        <v>-4.6141723644348327E-4</v>
      </c>
      <c r="U48" s="143"/>
      <c r="W48" s="130" t="str">
        <f t="shared" si="7"/>
        <v>1D</v>
      </c>
      <c r="X48" s="128">
        <f>_xll.qlCalendarAdvance(Calendar,X47,W48,"f",FALSE)</f>
        <v>42174</v>
      </c>
      <c r="Y48" s="131">
        <f>_xll.qlCalendarAdvance(Calendar,X48,NDays&amp;"D")</f>
        <v>42178</v>
      </c>
      <c r="Z48" s="132">
        <v>-5.5708298296114593E-6</v>
      </c>
      <c r="AA48" s="129">
        <v>-1.9285045628425479E-4</v>
      </c>
    </row>
    <row r="49" spans="10:27" x14ac:dyDescent="0.2">
      <c r="M49" s="161" t="str">
        <v>obj_0075d#0003</v>
      </c>
      <c r="N49" s="130" t="str">
        <f>_xll.qlRateHelperQuoteName(M49)</f>
        <v>EURFUT3MM0_Quote</v>
      </c>
      <c r="O49" s="128">
        <f>_xll.qlRateHelperEarliestDate(M49)</f>
        <v>43999</v>
      </c>
      <c r="P49" s="144">
        <f>1-_xll.qlRateHelperQuoteValue(M49,_xll.ohTrigger(RecalcTrigger,Trigger))/100</f>
        <v>9.6500000000000474E-3</v>
      </c>
      <c r="Q49" s="132" t="e">
        <f>NA()</f>
        <v>#N/A</v>
      </c>
      <c r="R49" s="128">
        <f>_xll.qlInterestRateIndexFixingDate(IborIndex,O49)</f>
        <v>43997</v>
      </c>
      <c r="S49" s="144">
        <f>_xll.qlIndexFixing(IborIndex,R49,TRUE,RecalcTrigger)</f>
        <v>9.1145462367208975E-3</v>
      </c>
      <c r="T49" s="165">
        <f t="shared" si="8"/>
        <v>-5.3545376327914992E-4</v>
      </c>
      <c r="U49" s="143"/>
      <c r="W49" s="130" t="str">
        <f t="shared" si="7"/>
        <v>1D</v>
      </c>
      <c r="X49" s="128">
        <f>_xll.qlCalendarAdvance(Calendar,X48,W49,"f",FALSE)</f>
        <v>42177</v>
      </c>
      <c r="Y49" s="131">
        <f>_xll.qlCalendarAdvance(Calendar,X49,NDays&amp;"D")</f>
        <v>42179</v>
      </c>
      <c r="Z49" s="132">
        <v>-2.6971259191261483E-6</v>
      </c>
      <c r="AA49" s="129">
        <v>-1.9091958933792341E-4</v>
      </c>
    </row>
    <row r="50" spans="10:27" x14ac:dyDescent="0.2">
      <c r="M50" s="161" t="str">
        <v>obj_0075c#0003</v>
      </c>
      <c r="N50" s="130" t="str">
        <f>_xll.qlRateHelperQuoteName(M50)</f>
        <v>EURFUT3MU0_Quote</v>
      </c>
      <c r="O50" s="128">
        <f>_xll.qlRateHelperEarliestDate(M50)</f>
        <v>44090</v>
      </c>
      <c r="P50" s="144">
        <f>1-_xll.qlRateHelperQuoteValue(M50,_xll.ohTrigger(RecalcTrigger,Trigger))/100</f>
        <v>1.0299999999999976E-2</v>
      </c>
      <c r="Q50" s="132" t="e">
        <f>NA()</f>
        <v>#N/A</v>
      </c>
      <c r="R50" s="128">
        <f>_xll.qlInterestRateIndexFixingDate(IborIndex,O50)</f>
        <v>44088</v>
      </c>
      <c r="S50" s="144">
        <f>_xll.qlIndexFixing(IborIndex,R50,TRUE,RecalcTrigger)</f>
        <v>9.7146563068510952E-3</v>
      </c>
      <c r="T50" s="165">
        <f t="shared" si="8"/>
        <v>-5.8534369314888063E-4</v>
      </c>
      <c r="U50" s="143"/>
      <c r="W50" s="130" t="str">
        <f t="shared" si="7"/>
        <v>1D</v>
      </c>
      <c r="X50" s="128">
        <f>_xll.qlCalendarAdvance(Calendar,X49,W50,"f",FALSE)</f>
        <v>42178</v>
      </c>
      <c r="Y50" s="131">
        <f>_xll.qlCalendarAdvance(Calendar,X50,NDays&amp;"D")</f>
        <v>42180</v>
      </c>
      <c r="Z50" s="132">
        <v>7.6671014754450456E-8</v>
      </c>
      <c r="AA50" s="129">
        <v>-1.890321052888666E-4</v>
      </c>
    </row>
    <row r="51" spans="10:27" x14ac:dyDescent="0.2">
      <c r="M51" s="161" t="str">
        <v>obj_00768#0003</v>
      </c>
      <c r="N51" s="130" t="str">
        <f>_xll.qlRateHelperQuoteName(M51)</f>
        <v>EURFUT3MZ0_Quote</v>
      </c>
      <c r="O51" s="128">
        <f>_xll.qlRateHelperEarliestDate(M51)</f>
        <v>44181</v>
      </c>
      <c r="P51" s="144">
        <f>1-_xll.qlRateHelperQuoteValue(M51,_xll.ohTrigger(RecalcTrigger,Trigger))/100</f>
        <v>1.0999999999999899E-2</v>
      </c>
      <c r="Q51" s="132" t="e">
        <f>NA()</f>
        <v>#N/A</v>
      </c>
      <c r="R51" s="128">
        <f>_xll.qlInterestRateIndexFixingDate(IborIndex,O51)</f>
        <v>44179</v>
      </c>
      <c r="S51" s="144">
        <f>_xll.qlIndexFixing(IborIndex,R51,TRUE,RecalcTrigger)</f>
        <v>1.0317792550649685E-2</v>
      </c>
      <c r="T51" s="165">
        <f t="shared" si="8"/>
        <v>-6.8220744935021393E-4</v>
      </c>
      <c r="U51" s="143"/>
      <c r="W51" s="130" t="str">
        <f t="shared" si="7"/>
        <v>1D</v>
      </c>
      <c r="X51" s="128">
        <f>_xll.qlCalendarAdvance(Calendar,X50,W51,"f",FALSE)</f>
        <v>42179</v>
      </c>
      <c r="Y51" s="131">
        <f>_xll.qlCalendarAdvance(Calendar,X51,NDays&amp;"D")</f>
        <v>42181</v>
      </c>
      <c r="Z51" s="132">
        <v>3.6846559012437355E-6</v>
      </c>
      <c r="AA51" s="129">
        <v>-1.8540165093838823E-4</v>
      </c>
    </row>
    <row r="52" spans="10:27" x14ac:dyDescent="0.2">
      <c r="J52" s="168" t="b">
        <v>1</v>
      </c>
      <c r="M52" s="161" t="str">
        <v>obj_00746#0003</v>
      </c>
      <c r="N52" s="130" t="str">
        <f>_xll.qlRateHelperQuoteName(M52)</f>
        <v>EURFUT3MH1_Quote</v>
      </c>
      <c r="O52" s="128">
        <f>_xll.qlRateHelperEarliestDate(M52)</f>
        <v>44272</v>
      </c>
      <c r="P52" s="144">
        <f>1-_xll.qlRateHelperQuoteValue(M52,_xll.ohTrigger(RecalcTrigger,Trigger))/100</f>
        <v>1.1599999999999944E-2</v>
      </c>
      <c r="Q52" s="132" t="e">
        <f>NA()</f>
        <v>#N/A</v>
      </c>
      <c r="R52" s="128">
        <f>_xll.qlInterestRateIndexFixingDate(IborIndex,O52)</f>
        <v>44270</v>
      </c>
      <c r="S52" s="144">
        <f>_xll.qlIndexFixing(IborIndex,R52,TRUE,RecalcTrigger)</f>
        <v>1.0933945764397835E-2</v>
      </c>
      <c r="T52" s="165">
        <f t="shared" si="8"/>
        <v>-6.6605423560210826E-4</v>
      </c>
      <c r="U52" s="143"/>
      <c r="W52" s="130" t="str">
        <f t="shared" si="7"/>
        <v>1D</v>
      </c>
      <c r="X52" s="128">
        <f>_xll.qlCalendarAdvance(Calendar,X51,W52,"f",FALSE)</f>
        <v>42180</v>
      </c>
      <c r="Y52" s="131">
        <f>_xll.qlCalendarAdvance(Calendar,X52,NDays&amp;"D")</f>
        <v>42184</v>
      </c>
      <c r="Z52" s="132">
        <v>1.0204540256276079E-5</v>
      </c>
      <c r="AA52" s="129">
        <v>-1.8191599698624827E-4</v>
      </c>
    </row>
    <row r="53" spans="10:27" x14ac:dyDescent="0.2">
      <c r="M53" s="161" t="e">
        <v>#N/A</v>
      </c>
      <c r="N53" s="130" t="e">
        <f>_xll.qlRateHelperQuoteName(M53)</f>
        <v>#VALUE!</v>
      </c>
      <c r="O53" s="128" t="e">
        <f>_xll.qlRateHelperEarliestDate(M53)</f>
        <v>#VALUE!</v>
      </c>
      <c r="P53" s="162" t="e">
        <f>1-_xll.qlRateHelperQuoteValue(M53,_xll.ohTrigger(RecalcTrigger,Trigger))/100</f>
        <v>#VALUE!</v>
      </c>
      <c r="Q53" s="132" t="e">
        <f>NA()</f>
        <v>#N/A</v>
      </c>
      <c r="R53" s="128" t="e">
        <f>_xll.qlInterestRateIndexFixingDate(IborIndex,O53)</f>
        <v>#NUM!</v>
      </c>
      <c r="S53" s="144" t="e">
        <f>_xll.qlIndexFixing(IborIndex,R53,TRUE,RecalcTrigger)</f>
        <v>#NUM!</v>
      </c>
      <c r="T53" s="165" t="e">
        <f t="shared" si="8"/>
        <v>#NUM!</v>
      </c>
      <c r="U53" s="143"/>
      <c r="W53" s="130" t="str">
        <f t="shared" si="7"/>
        <v>1D</v>
      </c>
      <c r="X53" s="128">
        <f>_xll.qlCalendarAdvance(Calendar,X52,W53,"f",FALSE)</f>
        <v>42181</v>
      </c>
      <c r="Y53" s="131">
        <f>_xll.qlCalendarAdvance(Calendar,X53,NDays&amp;"D")</f>
        <v>42185</v>
      </c>
      <c r="Z53" s="132">
        <v>1.250261586347735E-5</v>
      </c>
      <c r="AA53" s="129">
        <v>-1.8024542698391599E-4</v>
      </c>
    </row>
    <row r="54" spans="10:27" x14ac:dyDescent="0.2">
      <c r="M54" s="161" t="e">
        <v>#N/A</v>
      </c>
      <c r="N54" s="130" t="e">
        <f>_xll.qlRateHelperQuoteName(M54)</f>
        <v>#VALUE!</v>
      </c>
      <c r="O54" s="128" t="e">
        <f>_xll.qlRateHelperEarliestDate(M54)</f>
        <v>#VALUE!</v>
      </c>
      <c r="P54" s="162" t="e">
        <f>1-_xll.qlRateHelperQuoteValue(M54,_xll.ohTrigger(RecalcTrigger,Trigger))/100</f>
        <v>#VALUE!</v>
      </c>
      <c r="Q54" s="132" t="e">
        <f>NA()</f>
        <v>#N/A</v>
      </c>
      <c r="R54" s="128" t="e">
        <f>_xll.qlInterestRateIndexFixingDate(IborIndex,O54)</f>
        <v>#NUM!</v>
      </c>
      <c r="S54" s="144" t="e">
        <f>_xll.qlIndexFixing(IborIndex,R54,TRUE,RecalcTrigger)</f>
        <v>#NUM!</v>
      </c>
      <c r="T54" s="165" t="e">
        <f t="shared" si="8"/>
        <v>#NUM!</v>
      </c>
      <c r="U54" s="143"/>
      <c r="W54" s="130" t="str">
        <f t="shared" si="7"/>
        <v>1D</v>
      </c>
      <c r="X54" s="128">
        <f>_xll.qlCalendarAdvance(Calendar,X53,W54,"f",FALSE)</f>
        <v>42184</v>
      </c>
      <c r="Y54" s="131">
        <f>_xll.qlCalendarAdvance(Calendar,X54,NDays&amp;"D")</f>
        <v>42186</v>
      </c>
      <c r="Z54" s="132">
        <v>1.6275533897993828E-5</v>
      </c>
      <c r="AA54" s="129">
        <v>-1.7861823967901813E-4</v>
      </c>
    </row>
    <row r="55" spans="10:27" x14ac:dyDescent="0.2">
      <c r="J55" s="168" t="b">
        <v>0</v>
      </c>
      <c r="M55" s="130" t="e">
        <v>#N/A</v>
      </c>
      <c r="N55" s="130" t="e">
        <f>_xll.qlRateHelperQuoteName(M55)</f>
        <v>#VALUE!</v>
      </c>
      <c r="O55" s="128" t="e">
        <f>_xll.qlRateHelperEarliestDate(M55)</f>
        <v>#VALUE!</v>
      </c>
      <c r="P55" s="162" t="e">
        <f>1-_xll.qlRateHelperQuoteValue(M55,_xll.ohTrigger(RecalcTrigger,Trigger))/100</f>
        <v>#VALUE!</v>
      </c>
      <c r="Q55" s="132" t="e">
        <f>NA()</f>
        <v>#N/A</v>
      </c>
      <c r="R55" s="128" t="e">
        <f>_xll.qlInterestRateIndexFixingDate(IborIndex,O55)</f>
        <v>#NUM!</v>
      </c>
      <c r="S55" s="144" t="e">
        <f>_xll.qlIndexFixing(IborIndex,R55,TRUE,RecalcTrigger)</f>
        <v>#NUM!</v>
      </c>
      <c r="T55" s="165" t="e">
        <f t="shared" si="8"/>
        <v>#NUM!</v>
      </c>
      <c r="U55" s="143"/>
      <c r="W55" s="130" t="str">
        <f t="shared" si="7"/>
        <v>1D</v>
      </c>
      <c r="X55" s="128">
        <f>_xll.qlCalendarAdvance(Calendar,X54,W55,"f",FALSE)</f>
        <v>42185</v>
      </c>
      <c r="Y55" s="131">
        <f>_xll.qlCalendarAdvance(Calendar,X55,NDays&amp;"D")</f>
        <v>42187</v>
      </c>
      <c r="Z55" s="132">
        <v>1.839443502124978E-5</v>
      </c>
      <c r="AA55" s="129">
        <v>-1.7703443543126696E-4</v>
      </c>
    </row>
    <row r="56" spans="10:27" x14ac:dyDescent="0.2">
      <c r="M56" s="130" t="e">
        <v>#N/A</v>
      </c>
      <c r="N56" s="130" t="e">
        <f>_xll.qlRateHelperQuoteName(M56)</f>
        <v>#VALUE!</v>
      </c>
      <c r="O56" s="128" t="e">
        <f>_xll.qlRateHelperEarliestDate(M56)</f>
        <v>#VALUE!</v>
      </c>
      <c r="P56" s="162" t="e">
        <f>1-_xll.qlRateHelperQuoteValue(M56,_xll.ohTrigger(RecalcTrigger,Trigger))/100</f>
        <v>#VALUE!</v>
      </c>
      <c r="Q56" s="132" t="e">
        <f>NA()</f>
        <v>#N/A</v>
      </c>
      <c r="R56" s="128" t="e">
        <f>_xll.qlInterestRateIndexFixingDate(IborIndex,O56)</f>
        <v>#NUM!</v>
      </c>
      <c r="S56" s="144" t="e">
        <f>_xll.qlIndexFixing(IborIndex,R56,TRUE,RecalcTrigger)</f>
        <v>#NUM!</v>
      </c>
      <c r="T56" s="165" t="e">
        <f t="shared" si="8"/>
        <v>#NUM!</v>
      </c>
      <c r="U56" s="143"/>
      <c r="W56" s="130" t="str">
        <f t="shared" si="7"/>
        <v>1D</v>
      </c>
      <c r="X56" s="128">
        <f>_xll.qlCalendarAdvance(Calendar,X55,W56,"f",FALSE)</f>
        <v>42186</v>
      </c>
      <c r="Y56" s="131">
        <f>_xll.qlCalendarAdvance(Calendar,X56,NDays&amp;"D")</f>
        <v>42188</v>
      </c>
      <c r="Z56" s="132">
        <v>2.0000617669280894E-5</v>
      </c>
      <c r="AA56" s="129">
        <v>-1.7401135180783456E-4</v>
      </c>
    </row>
    <row r="57" spans="10:27" x14ac:dyDescent="0.2">
      <c r="M57" s="130"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42187</v>
      </c>
      <c r="Y57" s="131">
        <f>_xll.qlCalendarAdvance(Calendar,X57,NDays&amp;"D")</f>
        <v>42191</v>
      </c>
      <c r="Z57" s="132">
        <v>2.6013853364469522E-5</v>
      </c>
      <c r="AA57" s="129">
        <v>-1.7113304593419087E-4</v>
      </c>
    </row>
    <row r="58" spans="10:27" x14ac:dyDescent="0.2">
      <c r="M58" s="130"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42188</v>
      </c>
      <c r="Y58" s="131">
        <f>_xll.qlCalendarAdvance(Calendar,X58,NDays&amp;"D")</f>
        <v>42192</v>
      </c>
      <c r="Z58" s="132">
        <v>2.7712599676782656E-5</v>
      </c>
      <c r="AA58" s="129">
        <v>-1.6976615561326014E-4</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42191</v>
      </c>
      <c r="Y59" s="131">
        <f>_xll.qlCalendarAdvance(Calendar,X59,NDays&amp;"D")</f>
        <v>42193</v>
      </c>
      <c r="Z59" s="132">
        <v>2.933207801256528E-5</v>
      </c>
      <c r="AA59" s="129">
        <v>-1.6844264806969989E-4</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42192</v>
      </c>
      <c r="Y60" s="131">
        <f>_xll.qlCalendarAdvance(Calendar,X60,NDays&amp;"D")</f>
        <v>42194</v>
      </c>
      <c r="Z60" s="132">
        <v>3.087387605397705E-5</v>
      </c>
      <c r="AA60" s="129">
        <v>-1.6716252354331829E-4</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42193</v>
      </c>
      <c r="Y61" s="131">
        <f>_xll.qlCalendarAdvance(Calendar,X61,NDays&amp;"D")</f>
        <v>42195</v>
      </c>
      <c r="Z61" s="132">
        <v>3.0785669367803574E-5</v>
      </c>
      <c r="AA61" s="129">
        <v>-1.6474680808897801E-4</v>
      </c>
    </row>
    <row r="62" spans="10:27" ht="12" thickBot="1" x14ac:dyDescent="0.25">
      <c r="M62" s="147" t="e">
        <v>#N/A</v>
      </c>
      <c r="N62" s="147" t="e">
        <f>_xll.qlRateHelperQuoteName(M62)</f>
        <v>#VALUE!</v>
      </c>
      <c r="O62" s="128" t="e">
        <f>_xll.qlRateHelperEarliestDate(M62)</f>
        <v>#VALUE!</v>
      </c>
      <c r="P62" s="162" t="e">
        <f>1-_xll.qlRateHelperQuoteValue(M62,_xll.ohTrigger(RecalcTrigger,Trigger))/100</f>
        <v>#VALUE!</v>
      </c>
      <c r="Q62" s="132" t="e">
        <f>NA()</f>
        <v>#N/A</v>
      </c>
      <c r="R62" s="140" t="e">
        <f>_xll.qlInterestRateIndexFixingDate(IborIndex,O62)</f>
        <v>#NUM!</v>
      </c>
      <c r="S62" s="144" t="e">
        <f>_xll.qlIndexFixing(IborIndex,R62,TRUE,RecalcTrigger)</f>
        <v>#NUM!</v>
      </c>
      <c r="T62" s="165" t="e">
        <f t="shared" si="8"/>
        <v>#NUM!</v>
      </c>
      <c r="U62" s="143"/>
      <c r="W62" s="130" t="str">
        <f t="shared" si="7"/>
        <v>1D</v>
      </c>
      <c r="X62" s="128">
        <f>_xll.qlCalendarAdvance(Calendar,X61,W62,"f",FALSE)</f>
        <v>42194</v>
      </c>
      <c r="Y62" s="131">
        <f>_xll.qlCalendarAdvance(Calendar,X62,NDays&amp;"D")</f>
        <v>42198</v>
      </c>
      <c r="Z62" s="132">
        <v>3.629601914327722E-5</v>
      </c>
      <c r="AA62" s="129">
        <v>-1.6240830648328597E-4</v>
      </c>
    </row>
    <row r="63" spans="10:27" ht="12" thickBot="1" x14ac:dyDescent="0.25">
      <c r="N63" s="176"/>
      <c r="O63" s="177"/>
      <c r="P63" s="178"/>
      <c r="Q63" s="179"/>
      <c r="R63" s="176"/>
      <c r="S63" s="180"/>
      <c r="T63" s="181"/>
      <c r="U63" s="143"/>
      <c r="W63" s="130" t="str">
        <f t="shared" si="7"/>
        <v>1D</v>
      </c>
      <c r="X63" s="128">
        <f>_xll.qlCalendarAdvance(Calendar,X62,W63,"f",FALSE)</f>
        <v>42195</v>
      </c>
      <c r="Y63" s="131">
        <f>_xll.qlCalendarAdvance(Calendar,X63,NDays&amp;"D")</f>
        <v>42199</v>
      </c>
      <c r="Z63" s="132">
        <v>3.7472496959314029E-5</v>
      </c>
      <c r="AA63" s="129">
        <v>-1.6093981723308559E-4</v>
      </c>
    </row>
    <row r="64" spans="10:27" x14ac:dyDescent="0.2">
      <c r="M64" s="120"/>
      <c r="N64" s="120" t="s">
        <v>172</v>
      </c>
      <c r="O64" s="121" t="s">
        <v>155</v>
      </c>
      <c r="P64" s="121" t="s">
        <v>69</v>
      </c>
      <c r="Q64" s="136"/>
      <c r="R64" s="121" t="s">
        <v>158</v>
      </c>
      <c r="S64" s="121" t="s">
        <v>170</v>
      </c>
      <c r="T64" s="137" t="s">
        <v>162</v>
      </c>
      <c r="U64" s="119" t="s">
        <v>163</v>
      </c>
      <c r="W64" s="130" t="str">
        <f t="shared" si="7"/>
        <v>1D</v>
      </c>
      <c r="X64" s="128">
        <f>_xll.qlCalendarAdvance(Calendar,X63,W64,"f",FALSE)</f>
        <v>42198</v>
      </c>
      <c r="Y64" s="131">
        <f>_xll.qlCalendarAdvance(Calendar,X64,NDays&amp;"D")</f>
        <v>42200</v>
      </c>
      <c r="Z64" s="132">
        <v>3.8576415456797299E-5</v>
      </c>
      <c r="AA64" s="129">
        <v>-1.5910943198971239E-4</v>
      </c>
    </row>
    <row r="65" spans="10:27" x14ac:dyDescent="0.2">
      <c r="M65" s="130" t="str">
        <f t="array" ref="M65:M72">_xll.ohFilter(RateHelpers!E15:E56,RateHelpers!R15:R56)</f>
        <v>obj_00756#0003</v>
      </c>
      <c r="N65" s="130" t="str">
        <f>_xll.qlRateHelperQuoteName(M65)</f>
        <v>EURFUT3MK5_Quote</v>
      </c>
      <c r="O65" s="128">
        <f>_xll.qlRateHelperEarliestDate(M65)</f>
        <v>42144</v>
      </c>
      <c r="P65" s="162">
        <f>1-_xll.qlRateHelperQuoteValue(M65,_xll.ohTrigger(RecalcTrigger,Trigger))/100</f>
        <v>-1.2499999999993072E-4</v>
      </c>
      <c r="Q65" s="132" t="e">
        <f>NA()</f>
        <v>#N/A</v>
      </c>
      <c r="R65" s="128">
        <f>_xll.qlInterestRateIndexFixingDate(IborIndex,O65)</f>
        <v>42142</v>
      </c>
      <c r="S65" s="144">
        <f>_xll.qlIndexFixing(IborIndex,R65,TRUE,RecalcTrigger)</f>
        <v>-1.2371609330768361E-4</v>
      </c>
      <c r="T65" s="165">
        <f>S65-P65</f>
        <v>1.2839066922471149E-6</v>
      </c>
      <c r="U65" s="145">
        <f t="array" ref="U65">MAX(ABS(T65:T66))</f>
        <v>1.2839066922471149E-6</v>
      </c>
      <c r="W65" s="130" t="str">
        <f t="shared" si="7"/>
        <v>1D</v>
      </c>
      <c r="X65" s="128">
        <f>_xll.qlCalendarAdvance(Calendar,X64,W65,"f",FALSE)</f>
        <v>42199</v>
      </c>
      <c r="Y65" s="131">
        <f>_xll.qlCalendarAdvance(Calendar,X65,NDays&amp;"D")</f>
        <v>42201</v>
      </c>
      <c r="Z65" s="132">
        <v>3.960495710777694E-5</v>
      </c>
      <c r="AA65" s="129">
        <v>-1.569171507931344E-4</v>
      </c>
    </row>
    <row r="66" spans="10:27" x14ac:dyDescent="0.2">
      <c r="M66" s="130" t="str">
        <v>obj_00756#0003</v>
      </c>
      <c r="N66" s="130" t="str">
        <f>_xll.qlRateHelperQuoteName(M66)</f>
        <v>EURFUT3MK5_Quote</v>
      </c>
      <c r="O66" s="128">
        <f>_xll.qlRateHelperEarliestDate(M66)</f>
        <v>42144</v>
      </c>
      <c r="P66" s="162">
        <f>1-_xll.qlRateHelperQuoteValue(M66,_xll.ohTrigger(RecalcTrigger,Trigger))/100</f>
        <v>-1.2499999999993072E-4</v>
      </c>
      <c r="Q66" s="132" t="e">
        <f>NA()</f>
        <v>#N/A</v>
      </c>
      <c r="R66" s="128">
        <f>_xll.qlInterestRateIndexFixingDate(IborIndex,O66)</f>
        <v>42142</v>
      </c>
      <c r="S66" s="144">
        <f>_xll.qlIndexFixing(IborIndex,R66,TRUE,RecalcTrigger)</f>
        <v>-1.2371609330768361E-4</v>
      </c>
      <c r="T66" s="165">
        <f t="shared" ref="T66:T72" si="9">S66-P66</f>
        <v>1.2839066922471149E-6</v>
      </c>
      <c r="W66" s="130" t="str">
        <f t="shared" si="7"/>
        <v>1D</v>
      </c>
      <c r="X66" s="128">
        <f>_xll.qlCalendarAdvance(Calendar,X65,W66,"f",FALSE)</f>
        <v>42200</v>
      </c>
      <c r="Y66" s="131">
        <f>_xll.qlCalendarAdvance(Calendar,X66,NDays&amp;"D")</f>
        <v>42202</v>
      </c>
      <c r="Z66" s="132">
        <v>3.8058726560901667E-5</v>
      </c>
      <c r="AA66" s="129">
        <v>-1.513262052865727E-4</v>
      </c>
    </row>
    <row r="67" spans="10:27" x14ac:dyDescent="0.2">
      <c r="M67" s="130" t="str">
        <v>obj_00756#0003</v>
      </c>
      <c r="N67" s="130" t="str">
        <f>_xll.qlRateHelperQuoteName(M67)</f>
        <v>EURFUT3MK5_Quote</v>
      </c>
      <c r="O67" s="128">
        <f>_xll.qlRateHelperEarliestDate(M67)</f>
        <v>42144</v>
      </c>
      <c r="P67" s="162">
        <f>1-_xll.qlRateHelperQuoteValue(M67,_xll.ohTrigger(RecalcTrigger,Trigger))/100</f>
        <v>-1.2499999999993072E-4</v>
      </c>
      <c r="Q67" s="132" t="e">
        <f>NA()</f>
        <v>#N/A</v>
      </c>
      <c r="R67" s="128">
        <f>_xll.qlInterestRateIndexFixingDate(IborIndex,O67)</f>
        <v>42142</v>
      </c>
      <c r="S67" s="144">
        <f>_xll.qlIndexFixing(IborIndex,R67,TRUE,RecalcTrigger)</f>
        <v>-1.2371609330768361E-4</v>
      </c>
      <c r="T67" s="165">
        <f t="shared" si="9"/>
        <v>1.2839066922471149E-6</v>
      </c>
      <c r="U67" s="143"/>
      <c r="W67" s="130" t="str">
        <f t="shared" si="7"/>
        <v>1D</v>
      </c>
      <c r="X67" s="128">
        <f>_xll.qlCalendarAdvance(Calendar,X66,W67,"f",FALSE)</f>
        <v>42201</v>
      </c>
      <c r="Y67" s="131">
        <f>_xll.qlCalendarAdvance(Calendar,X67,NDays&amp;"D")</f>
        <v>42205</v>
      </c>
      <c r="Z67" s="132">
        <v>4.2909004718936991E-5</v>
      </c>
      <c r="AA67" s="129">
        <v>-1.4452906703432689E-4</v>
      </c>
    </row>
    <row r="68" spans="10:27" x14ac:dyDescent="0.2">
      <c r="M68" s="130" t="str">
        <v>obj_00756#0003</v>
      </c>
      <c r="N68" s="130" t="str">
        <f>_xll.qlRateHelperQuoteName(M68)</f>
        <v>EURFUT3MK5_Quote</v>
      </c>
      <c r="O68" s="128">
        <f>_xll.qlRateHelperEarliestDate(M68)</f>
        <v>42144</v>
      </c>
      <c r="P68" s="162">
        <f>1-_xll.qlRateHelperQuoteValue(M68,_xll.ohTrigger(RecalcTrigger,Trigger))/100</f>
        <v>-1.2499999999993072E-4</v>
      </c>
      <c r="Q68" s="132" t="e">
        <f>NA()</f>
        <v>#N/A</v>
      </c>
      <c r="R68" s="128">
        <f>_xll.qlInterestRateIndexFixingDate(IborIndex,O68)</f>
        <v>42142</v>
      </c>
      <c r="S68" s="144">
        <f>_xll.qlIndexFixing(IborIndex,R68,TRUE,RecalcTrigger)</f>
        <v>-1.2371609330768361E-4</v>
      </c>
      <c r="T68" s="165">
        <f t="shared" si="9"/>
        <v>1.2839066922471149E-6</v>
      </c>
      <c r="W68" s="130" t="str">
        <f t="shared" si="7"/>
        <v>1D</v>
      </c>
      <c r="X68" s="128">
        <f>_xll.qlCalendarAdvance(Calendar,X67,W68,"f",FALSE)</f>
        <v>42202</v>
      </c>
      <c r="Y68" s="131">
        <f>_xll.qlCalendarAdvance(Calendar,X68,NDays&amp;"D")</f>
        <v>42206</v>
      </c>
      <c r="Z68" s="132">
        <v>4.35183992650663E-5</v>
      </c>
      <c r="AA68" s="129">
        <v>-1.4052730623159704E-4</v>
      </c>
    </row>
    <row r="69" spans="10:27" x14ac:dyDescent="0.2">
      <c r="M69" s="130" t="str">
        <v>obj_00756#0003</v>
      </c>
      <c r="N69" s="130" t="str">
        <f>_xll.qlRateHelperQuoteName(M69)</f>
        <v>EURFUT3MK5_Quote</v>
      </c>
      <c r="O69" s="128">
        <f>_xll.qlRateHelperEarliestDate(M69)</f>
        <v>42144</v>
      </c>
      <c r="P69" s="162">
        <f>1-_xll.qlRateHelperQuoteValue(M69,_xll.ohTrigger(RecalcTrigger,Trigger))/100</f>
        <v>-1.2499999999993072E-4</v>
      </c>
      <c r="Q69" s="132" t="e">
        <f>NA()</f>
        <v>#N/A</v>
      </c>
      <c r="R69" s="128">
        <f>_xll.qlInterestRateIndexFixingDate(IborIndex,O69)</f>
        <v>42142</v>
      </c>
      <c r="S69" s="144">
        <f>_xll.qlIndexFixing(IborIndex,R69,TRUE,RecalcTrigger)</f>
        <v>-1.2371609330768361E-4</v>
      </c>
      <c r="T69" s="165">
        <f t="shared" si="9"/>
        <v>1.2839066922471149E-6</v>
      </c>
      <c r="W69" s="130" t="str">
        <f t="shared" si="7"/>
        <v>1D</v>
      </c>
      <c r="X69" s="128">
        <f>_xll.qlCalendarAdvance(Calendar,X68,W69,"f",FALSE)</f>
        <v>42205</v>
      </c>
      <c r="Y69" s="131">
        <f>_xll.qlCalendarAdvance(Calendar,X69,NDays&amp;"D")</f>
        <v>42207</v>
      </c>
      <c r="Z69" s="132">
        <v>4.4035511839566141E-5</v>
      </c>
      <c r="AA69" s="129">
        <v>-1.361636494756624E-4</v>
      </c>
    </row>
    <row r="70" spans="10:27" x14ac:dyDescent="0.2">
      <c r="M70" s="130" t="str">
        <v>obj_00756#0003</v>
      </c>
      <c r="N70" s="130" t="str">
        <f>_xll.qlRateHelperQuoteName(M70)</f>
        <v>EURFUT3MK5_Quote</v>
      </c>
      <c r="O70" s="128">
        <f>_xll.qlRateHelperEarliestDate(M70)</f>
        <v>42144</v>
      </c>
      <c r="P70" s="162">
        <f>1-_xll.qlRateHelperQuoteValue(M70,_xll.ohTrigger(RecalcTrigger,Trigger))/100</f>
        <v>-1.2499999999993072E-4</v>
      </c>
      <c r="Q70" s="132" t="e">
        <f>NA()</f>
        <v>#N/A</v>
      </c>
      <c r="R70" s="128">
        <f>_xll.qlInterestRateIndexFixingDate(IborIndex,O70)</f>
        <v>42142</v>
      </c>
      <c r="S70" s="144">
        <f>_xll.qlIndexFixing(IborIndex,R70,TRUE,RecalcTrigger)</f>
        <v>-1.2371609330768361E-4</v>
      </c>
      <c r="T70" s="165">
        <f t="shared" si="9"/>
        <v>1.2839066922471149E-6</v>
      </c>
      <c r="U70" s="143"/>
      <c r="W70" s="130" t="str">
        <f t="shared" si="7"/>
        <v>1D</v>
      </c>
      <c r="X70" s="128">
        <f>_xll.qlCalendarAdvance(Calendar,X69,W70,"f",FALSE)</f>
        <v>42206</v>
      </c>
      <c r="Y70" s="131">
        <f>_xll.qlCalendarAdvance(Calendar,X70,NDays&amp;"D")</f>
        <v>42208</v>
      </c>
      <c r="Z70" s="132">
        <v>4.4457524935339322E-5</v>
      </c>
      <c r="AA70" s="129">
        <v>-1.3143809660665084E-4</v>
      </c>
    </row>
    <row r="71" spans="10:27" x14ac:dyDescent="0.2">
      <c r="J71" s="1"/>
      <c r="M71" s="130" t="str">
        <v>obj_00756#0003</v>
      </c>
      <c r="N71" s="130" t="str">
        <f>_xll.qlRateHelperQuoteName(M71)</f>
        <v>EURFUT3MK5_Quote</v>
      </c>
      <c r="O71" s="128">
        <f>_xll.qlRateHelperEarliestDate(M71)</f>
        <v>42144</v>
      </c>
      <c r="P71" s="162">
        <f>1-_xll.qlRateHelperQuoteValue(M71,_xll.ohTrigger(RecalcTrigger,Trigger))/100</f>
        <v>-1.2499999999993072E-4</v>
      </c>
      <c r="Q71" s="132" t="e">
        <f>NA()</f>
        <v>#N/A</v>
      </c>
      <c r="R71" s="128">
        <f>_xll.qlInterestRateIndexFixingDate(IborIndex,O71)</f>
        <v>42142</v>
      </c>
      <c r="S71" s="144">
        <f>_xll.qlIndexFixing(IborIndex,R71,TRUE,RecalcTrigger)</f>
        <v>-1.2371609330768361E-4</v>
      </c>
      <c r="T71" s="165">
        <f t="shared" si="9"/>
        <v>1.2839066922471149E-6</v>
      </c>
      <c r="U71" s="143"/>
      <c r="W71" s="130" t="str">
        <f t="shared" si="7"/>
        <v>1D</v>
      </c>
      <c r="X71" s="128">
        <f>_xll.qlCalendarAdvance(Calendar,X70,W71,"f",FALSE)</f>
        <v>42207</v>
      </c>
      <c r="Y71" s="131">
        <f>_xll.qlCalendarAdvance(Calendar,X71,NDays&amp;"D")</f>
        <v>42209</v>
      </c>
      <c r="Z71" s="132">
        <v>4.1534320600705833E-5</v>
      </c>
      <c r="AA71" s="129">
        <v>-1.2078063052367582E-4</v>
      </c>
    </row>
    <row r="72" spans="10:27" ht="12" thickBot="1" x14ac:dyDescent="0.25">
      <c r="M72" s="147" t="str">
        <v>obj_00756#0003</v>
      </c>
      <c r="N72" s="147" t="str">
        <f>_xll.qlRateHelperQuoteName(M72)</f>
        <v>EURFUT3MK5_Quote</v>
      </c>
      <c r="O72" s="135">
        <f>_xll.qlRateHelperEarliestDate(M72)</f>
        <v>42144</v>
      </c>
      <c r="P72" s="163">
        <f>1-_xll.qlRateHelperQuoteValue(M72,_xll.ohTrigger(RecalcTrigger,Trigger))/100</f>
        <v>-1.2499999999993072E-4</v>
      </c>
      <c r="Q72" s="133" t="e">
        <f>NA()</f>
        <v>#N/A</v>
      </c>
      <c r="R72" s="150">
        <f>_xll.qlInterestRateIndexFixingDate(IborIndex,O72)</f>
        <v>42142</v>
      </c>
      <c r="S72" s="167">
        <f>_xll.qlIndexFixing(IborIndex,R72,TRUE,RecalcTrigger)</f>
        <v>-1.2371609330768361E-4</v>
      </c>
      <c r="T72" s="165">
        <f t="shared" si="9"/>
        <v>1.2839066922471149E-6</v>
      </c>
      <c r="U72" s="143"/>
      <c r="W72" s="130" t="str">
        <f t="shared" si="7"/>
        <v>1D</v>
      </c>
      <c r="X72" s="128">
        <f>_xll.qlCalendarAdvance(Calendar,X71,W72,"f",FALSE)</f>
        <v>42208</v>
      </c>
      <c r="Y72" s="131">
        <f>_xll.qlCalendarAdvance(Calendar,X72,NDays&amp;"D")</f>
        <v>42212</v>
      </c>
      <c r="Z72" s="132">
        <v>4.513823257081539E-5</v>
      </c>
      <c r="AA72" s="129">
        <v>-1.0891692535874853E-4</v>
      </c>
    </row>
    <row r="73" spans="10:27" ht="12" thickBot="1" x14ac:dyDescent="0.25">
      <c r="N73" s="176"/>
      <c r="S73" s="1"/>
      <c r="T73" s="181"/>
      <c r="U73" s="143"/>
      <c r="W73" s="130" t="str">
        <f t="shared" si="7"/>
        <v>1D</v>
      </c>
      <c r="X73" s="128">
        <f>_xll.qlCalendarAdvance(Calendar,X72,W73,"f",FALSE)</f>
        <v>42209</v>
      </c>
      <c r="Y73" s="131">
        <f>_xll.qlCalendarAdvance(Calendar,X73,NDays&amp;"D")</f>
        <v>42213</v>
      </c>
      <c r="Z73" s="132">
        <v>4.5042485872419562E-5</v>
      </c>
      <c r="AA73" s="129">
        <v>-1.0238189232403272E-4</v>
      </c>
    </row>
    <row r="74" spans="10:27" x14ac:dyDescent="0.2">
      <c r="M74" s="120"/>
      <c r="N74" s="120" t="s">
        <v>159</v>
      </c>
      <c r="O74" s="121" t="s">
        <v>6</v>
      </c>
      <c r="P74" s="121" t="s">
        <v>69</v>
      </c>
      <c r="Q74" s="136" t="s">
        <v>160</v>
      </c>
      <c r="R74" s="121" t="s">
        <v>161</v>
      </c>
      <c r="S74" s="121" t="s">
        <v>170</v>
      </c>
      <c r="T74" s="137" t="s">
        <v>162</v>
      </c>
      <c r="W74" s="130" t="str">
        <f t="shared" si="7"/>
        <v>1D</v>
      </c>
      <c r="X74" s="128">
        <f>_xll.qlCalendarAdvance(Calendar,X73,W74,"f",FALSE)</f>
        <v>42212</v>
      </c>
      <c r="Y74" s="131">
        <f>_xll.qlCalendarAdvance(Calendar,X74,NDays&amp;"D")</f>
        <v>42214</v>
      </c>
      <c r="Z74" s="132">
        <v>4.4834734790864267E-5</v>
      </c>
      <c r="AA74" s="129">
        <v>-9.5484963336112116E-5</v>
      </c>
    </row>
    <row r="75" spans="10:27" x14ac:dyDescent="0.2">
      <c r="M75" s="130" t="str">
        <f t="array" ref="M75:M111">_xll.ohFilter(RateHelpers!E64:E100,IF(ISERROR(RateHelpers!G64:G100),FALSE,TRUE))</f>
        <v>obj_0070a#0004</v>
      </c>
      <c r="N75" s="130" t="str">
        <f>_xll.qlRateHelperQuoteName(M75)</f>
        <v>EURAB3E1Y_Quote</v>
      </c>
      <c r="O75" s="128">
        <f>_xll.qlRateHelperLatestDate(M75,Trigger)</f>
        <v>42503</v>
      </c>
      <c r="P75" s="138">
        <f>_xll.qlRateHelperQuoteValue(M75,_xll.ohTrigger(RecalcTrigger,YieldCurve))</f>
        <v>-4.9999999999999996E-5</v>
      </c>
      <c r="Q75" s="139" t="str">
        <f t="array" ref="Q75:Q111">_xll.ohFilter(RateHelpers!D64:D100,IF(ISERROR(RateHelpers!G64:G100),FALSE,TRUE))</f>
        <v>1Y</v>
      </c>
      <c r="R75" s="140" t="str">
        <f>_xll.qlSwapIndex(,"Euribor",Q75,NDays,Currency,Calendar,"1y","mf",BondBasisDayCounter,IborIndex,Discounting,,_xll.ohTrigger(Trigger,RecalcTrigger))</f>
        <v>obj_0077f#0004</v>
      </c>
      <c r="S75" s="141">
        <f>_xll.qlIndexFixing(R75,$X$19,TRUE,Trigger)</f>
        <v>-2.6788905709520635E-5</v>
      </c>
      <c r="T75" s="165">
        <f t="shared" ref="T75:T111" si="10">S75-P75</f>
        <v>2.321109429047936E-5</v>
      </c>
      <c r="W75" s="130" t="str">
        <f t="shared" si="7"/>
        <v>1D</v>
      </c>
      <c r="X75" s="128">
        <f>_xll.qlCalendarAdvance(Calendar,X74,W75,"f",FALSE)</f>
        <v>42213</v>
      </c>
      <c r="Y75" s="131">
        <f>_xll.qlCalendarAdvance(Calendar,X75,NDays&amp;"D")</f>
        <v>42215</v>
      </c>
      <c r="Z75" s="132">
        <v>4.4512161875528861E-5</v>
      </c>
      <c r="AA75" s="129">
        <v>-8.8226138075242488E-5</v>
      </c>
    </row>
    <row r="76" spans="10:27" x14ac:dyDescent="0.2">
      <c r="M76" s="130" t="str">
        <v>obj_00739#0004</v>
      </c>
      <c r="N76" s="130" t="str">
        <f>_xll.qlRateHelperQuoteName(M76)</f>
        <v>EURAB3E15M_Quote</v>
      </c>
      <c r="O76" s="128">
        <f>_xll.qlRateHelperLatestDate(M76,Trigger)</f>
        <v>42597</v>
      </c>
      <c r="P76" s="138">
        <f>_xll.qlRateHelperQuoteValue(M76,_xll.ohTrigger(RecalcTrigger,YieldCurve))</f>
        <v>0</v>
      </c>
      <c r="Q76" s="142" t="str">
        <v>15M</v>
      </c>
      <c r="R76" s="140" t="str">
        <f>_xll.qlSwapIndex(,"Euribor",Q76,NDays,Currency,Calendar,"1y","mf",BondBasisDayCounter,IborIndex,Discounting,,_xll.ohTrigger(Trigger,RecalcTrigger))</f>
        <v>obj_0078c#0004</v>
      </c>
      <c r="S76" s="141">
        <f>_xll.qlIndexFixing(R76,$X$19,TRUE,Trigger)</f>
        <v>1.1633985038024478E-5</v>
      </c>
      <c r="T76" s="165">
        <f t="shared" si="10"/>
        <v>1.1633985038024478E-5</v>
      </c>
      <c r="U76" s="143"/>
      <c r="W76" s="130" t="str">
        <f t="shared" si="7"/>
        <v>1D</v>
      </c>
      <c r="X76" s="128">
        <f>_xll.qlCalendarAdvance(Calendar,X75,W76,"f",FALSE)</f>
        <v>42214</v>
      </c>
      <c r="Y76" s="131">
        <f>_xll.qlCalendarAdvance(Calendar,X76,NDays&amp;"D")</f>
        <v>42216</v>
      </c>
      <c r="Z76" s="132">
        <v>4.5970835778064156E-5</v>
      </c>
      <c r="AA76" s="129">
        <v>-1.2502159094651688E-5</v>
      </c>
    </row>
    <row r="77" spans="10:27" x14ac:dyDescent="0.2">
      <c r="M77" s="130" t="str">
        <v>obj_0070f#0004</v>
      </c>
      <c r="N77" s="130" t="str">
        <f>_xll.qlRateHelperQuoteName(M77)</f>
        <v>EURAB3E18M_Quote</v>
      </c>
      <c r="O77" s="128">
        <f>_xll.qlRateHelperLatestDate(M77,Trigger)</f>
        <v>42688</v>
      </c>
      <c r="P77" s="138">
        <f>_xll.qlRateHelperQuoteValue(M77,_xll.ohTrigger(RecalcTrigger,YieldCurve))</f>
        <v>6.0000000000000002E-5</v>
      </c>
      <c r="Q77" s="142" t="str">
        <v>18M</v>
      </c>
      <c r="R77" s="140" t="str">
        <f>_xll.qlSwapIndex(,"Euribor",Q77,NDays,Currency,Calendar,"1y","mf",BondBasisDayCounter,IborIndex,Discounting,,_xll.ohTrigger(Trigger,RecalcTrigger))</f>
        <v>obj_0078d#0004</v>
      </c>
      <c r="S77" s="141">
        <f>_xll.qlIndexFixing(R77,$X$19,TRUE,Trigger)</f>
        <v>8.1452132316031496E-5</v>
      </c>
      <c r="T77" s="165">
        <f t="shared" si="10"/>
        <v>2.1452132316031494E-5</v>
      </c>
      <c r="W77" s="130" t="str">
        <f t="shared" si="7"/>
        <v>1D</v>
      </c>
      <c r="X77" s="128">
        <f>_xll.qlCalendarAdvance(Calendar,X76,W77,"f",FALSE)</f>
        <v>42215</v>
      </c>
      <c r="Y77" s="131">
        <f>_xll.qlCalendarAdvance(Calendar,X77,NDays&amp;"D")</f>
        <v>42219</v>
      </c>
      <c r="Z77" s="132">
        <v>4.0060760440245772E-5</v>
      </c>
      <c r="AA77" s="129">
        <v>-5.5571876060866998E-5</v>
      </c>
    </row>
    <row r="78" spans="10:27" x14ac:dyDescent="0.2">
      <c r="M78" s="130" t="str">
        <v>obj_00726#0003</v>
      </c>
      <c r="N78" s="130" t="str">
        <f>_xll.qlRateHelperQuoteName(M78)</f>
        <v>EURAB3E21M_Quote</v>
      </c>
      <c r="O78" s="128">
        <f>_xll.qlRateHelperLatestDate(M78,Trigger)</f>
        <v>42779</v>
      </c>
      <c r="P78" s="138">
        <f>_xll.qlRateHelperQuoteValue(M78,_xll.ohTrigger(RecalcTrigger,YieldCurve))</f>
        <v>1.5999999999999996E-4</v>
      </c>
      <c r="Q78" s="142" t="str">
        <v>21M</v>
      </c>
      <c r="R78" s="140" t="str">
        <f>_xll.qlSwapIndex(,"Euribor",Q78,NDays,Currency,Calendar,"1y","mf",BondBasisDayCounter,IborIndex,Discounting,,_xll.ohTrigger(Trigger,RecalcTrigger))</f>
        <v>obj_0077e#0004</v>
      </c>
      <c r="S78" s="141">
        <f>_xll.qlIndexFixing(R78,$X$19,TRUE,Trigger)</f>
        <v>1.8669393527212508E-4</v>
      </c>
      <c r="T78" s="165">
        <f t="shared" si="10"/>
        <v>2.6693935272125124E-5</v>
      </c>
      <c r="W78" s="130" t="str">
        <f t="shared" si="7"/>
        <v>1D</v>
      </c>
      <c r="X78" s="128">
        <f>_xll.qlCalendarAdvance(Calendar,X77,W78,"f",FALSE)</f>
        <v>42216</v>
      </c>
      <c r="Y78" s="131">
        <f>_xll.qlCalendarAdvance(Calendar,X78,NDays&amp;"D")</f>
        <v>42220</v>
      </c>
      <c r="Z78" s="132">
        <v>3.9121817429077985E-5</v>
      </c>
      <c r="AA78" s="129">
        <v>-4.6503569914868592E-5</v>
      </c>
    </row>
    <row r="79" spans="10:27" x14ac:dyDescent="0.2">
      <c r="M79" s="130" t="str">
        <v>obj_0070c#0003</v>
      </c>
      <c r="N79" s="130" t="str">
        <f>_xll.qlRateHelperQuoteName(M79)</f>
        <v>EURAB3E2Y_Quote</v>
      </c>
      <c r="O79" s="128">
        <f>_xll.qlRateHelperLatestDate(M79,Trigger)</f>
        <v>42870</v>
      </c>
      <c r="P79" s="138">
        <f>_xll.qlRateHelperQuoteValue(M79,_xll.ohTrigger(RecalcTrigger,YieldCurve))</f>
        <v>2.8000000000000003E-4</v>
      </c>
      <c r="Q79" s="142" t="str">
        <v>2Y</v>
      </c>
      <c r="R79" s="140" t="str">
        <f>_xll.qlSwapIndex(,"Euribor",Q79,NDays,Currency,Calendar,"1y","mf",BondBasisDayCounter,IborIndex,Discounting,,_xll.ohTrigger(Trigger,RecalcTrigger))</f>
        <v>obj_00787#0004</v>
      </c>
      <c r="S79" s="141">
        <f>_xll.qlIndexFixing(R79,$X$19,TRUE,Trigger)</f>
        <v>3.0355542281213746E-4</v>
      </c>
      <c r="T79" s="165">
        <f t="shared" si="10"/>
        <v>2.3555422812137434E-5</v>
      </c>
      <c r="U79" s="119" t="s">
        <v>163</v>
      </c>
      <c r="W79" s="130" t="str">
        <f t="shared" si="7"/>
        <v>1D</v>
      </c>
      <c r="X79" s="128">
        <f>_xll.qlCalendarAdvance(Calendar,X78,W79,"f",FALSE)</f>
        <v>42219</v>
      </c>
      <c r="Y79" s="131">
        <f>_xll.qlCalendarAdvance(Calendar,X79,NDays&amp;"D")</f>
        <v>42221</v>
      </c>
      <c r="Z79" s="132">
        <v>3.8051148188855208E-5</v>
      </c>
      <c r="AA79" s="129">
        <v>-3.7073367615825248E-5</v>
      </c>
    </row>
    <row r="80" spans="10:27" x14ac:dyDescent="0.2">
      <c r="M80" s="130" t="str">
        <v>obj_00733#0003</v>
      </c>
      <c r="N80" s="130" t="str">
        <f>_xll.qlRateHelperQuoteName(M80)</f>
        <v>EURAB3E3Y_Quote</v>
      </c>
      <c r="O80" s="128">
        <f>_xll.qlRateHelperLatestDate(M80,Trigger)</f>
        <v>43234</v>
      </c>
      <c r="P80" s="138">
        <f>_xll.qlRateHelperQuoteValue(M80,_xll.ohTrigger(RecalcTrigger,YieldCurve))</f>
        <v>1.0400000000000001E-3</v>
      </c>
      <c r="Q80" s="142" t="str">
        <v>3Y</v>
      </c>
      <c r="R80" s="140" t="str">
        <f>_xll.qlSwapIndex(,"Euribor",Q80,NDays,Currency,Calendar,"1y","mf",BondBasisDayCounter,IborIndex,Discounting,,_xll.ohTrigger(Trigger,RecalcTrigger))</f>
        <v>obj_0077b#0004</v>
      </c>
      <c r="S80" s="141">
        <f>_xll.qlIndexFixing(R80,$X$19,TRUE,Trigger)</f>
        <v>1.0400000002479556E-3</v>
      </c>
      <c r="T80" s="165">
        <f>S80-P80</f>
        <v>2.4795551896439338E-13</v>
      </c>
      <c r="U80" s="145">
        <f t="array" ref="U80">MAX(ABS(T80:T96))</f>
        <v>4.195036988282469E-6</v>
      </c>
      <c r="W80" s="130" t="str">
        <f t="shared" si="7"/>
        <v>1D</v>
      </c>
      <c r="X80" s="128">
        <f>_xll.qlCalendarAdvance(Calendar,X79,W80,"f",FALSE)</f>
        <v>42220</v>
      </c>
      <c r="Y80" s="131">
        <f>_xll.qlCalendarAdvance(Calendar,X80,NDays&amp;"D")</f>
        <v>42222</v>
      </c>
      <c r="Z80" s="132">
        <v>3.6845935359319313E-5</v>
      </c>
      <c r="AA80" s="129">
        <v>-2.7281269083800908E-5</v>
      </c>
    </row>
    <row r="81" spans="13:27" x14ac:dyDescent="0.2">
      <c r="M81" s="130" t="str">
        <v>obj_00738#0004</v>
      </c>
      <c r="N81" s="130" t="str">
        <f>_xll.qlRateHelperQuoteName(M81)</f>
        <v>EURAB3E4Y_Quote</v>
      </c>
      <c r="O81" s="128">
        <f>_xll.qlRateHelperLatestDate(M81,Trigger)</f>
        <v>43598</v>
      </c>
      <c r="P81" s="138">
        <f>_xll.qlRateHelperQuoteValue(M81,_xll.ohTrigger(RecalcTrigger,YieldCurve))</f>
        <v>2E-3</v>
      </c>
      <c r="Q81" s="142" t="str">
        <v>4Y</v>
      </c>
      <c r="R81" s="140" t="str">
        <f>_xll.qlSwapIndex(,"Euribor",Q81,NDays,Currency,Calendar,"1y","mf",BondBasisDayCounter,IborIndex,Discounting,,_xll.ohTrigger(Trigger,RecalcTrigger))</f>
        <v>obj_00782#0004</v>
      </c>
      <c r="S81" s="141">
        <f>_xll.qlIndexFixing(R81,$X$19,TRUE,Trigger)</f>
        <v>1.9999999999904179E-3</v>
      </c>
      <c r="T81" s="165">
        <f t="shared" si="10"/>
        <v>-9.5821788004268882E-15</v>
      </c>
      <c r="W81" s="130" t="str">
        <f t="shared" si="7"/>
        <v>1D</v>
      </c>
      <c r="X81" s="128">
        <f>_xll.qlCalendarAdvance(Calendar,X80,W81,"f",FALSE)</f>
        <v>42221</v>
      </c>
      <c r="Y81" s="131">
        <f>_xll.qlCalendarAdvance(Calendar,X81,NDays&amp;"D")</f>
        <v>42223</v>
      </c>
      <c r="Z81" s="132">
        <v>3.1453068666183103E-5</v>
      </c>
      <c r="AA81" s="129">
        <v>-6.4907507235645312E-6</v>
      </c>
    </row>
    <row r="82" spans="13:27" x14ac:dyDescent="0.2">
      <c r="M82" s="130" t="str">
        <v>obj_0070e#0004</v>
      </c>
      <c r="N82" s="130" t="str">
        <f>_xll.qlRateHelperQuoteName(M82)</f>
        <v>EURAB3E5Y_Quote</v>
      </c>
      <c r="O82" s="128">
        <f>_xll.qlRateHelperLatestDate(M82,Trigger)</f>
        <v>43964</v>
      </c>
      <c r="P82" s="138">
        <f>_xll.qlRateHelperQuoteValue(M82,_xll.ohTrigger(RecalcTrigger,YieldCurve))</f>
        <v>3.0899999999999994E-3</v>
      </c>
      <c r="Q82" s="142" t="str">
        <v>5Y</v>
      </c>
      <c r="R82" s="140" t="str">
        <f>_xll.qlSwapIndex(,"Euribor",Q82,NDays,Currency,Calendar,"1y","mf",BondBasisDayCounter,IborIndex,Discounting,,_xll.ohTrigger(Trigger,RecalcTrigger))</f>
        <v>obj_0078e#0004</v>
      </c>
      <c r="S82" s="141">
        <f>_xll.qlIndexFixing(R82,$X$19,TRUE,Trigger)</f>
        <v>3.0899999999942991E-3</v>
      </c>
      <c r="T82" s="165">
        <f t="shared" si="10"/>
        <v>-5.7003013420597881E-15</v>
      </c>
      <c r="W82" s="130" t="str">
        <f t="shared" si="7"/>
        <v>1D</v>
      </c>
      <c r="X82" s="128">
        <f>_xll.qlCalendarAdvance(Calendar,X81,W82,"f",FALSE)</f>
        <v>42222</v>
      </c>
      <c r="Y82" s="131">
        <f>_xll.qlCalendarAdvance(Calendar,X82,NDays&amp;"D")</f>
        <v>42226</v>
      </c>
      <c r="Z82" s="132">
        <v>3.0623301649273351E-5</v>
      </c>
      <c r="AA82" s="129">
        <v>1.5506088812955454E-5</v>
      </c>
    </row>
    <row r="83" spans="13:27" x14ac:dyDescent="0.2">
      <c r="M83" s="130" t="str">
        <v>obj_0073f#0004</v>
      </c>
      <c r="N83" s="130" t="str">
        <f>_xll.qlRateHelperQuoteName(M83)</f>
        <v>EURAB3E6Y_Quote</v>
      </c>
      <c r="O83" s="128">
        <f>_xll.qlRateHelperLatestDate(M83,Trigger)</f>
        <v>44329</v>
      </c>
      <c r="P83" s="138">
        <f>_xll.qlRateHelperQuoteValue(M83,_xll.ohTrigger(RecalcTrigger,YieldCurve))</f>
        <v>4.2199999999999989E-3</v>
      </c>
      <c r="Q83" s="142" t="str">
        <v>6Y</v>
      </c>
      <c r="R83" s="140" t="str">
        <f>_xll.qlSwapIndex(,"Euribor",Q83,NDays,Currency,Calendar,"1y","mf",BondBasisDayCounter,IborIndex,Discounting,,_xll.ohTrigger(Trigger,RecalcTrigger))</f>
        <v>obj_00786#0004</v>
      </c>
      <c r="S83" s="141">
        <f>_xll.qlIndexFixing(R83,$X$19,TRUE,Trigger)</f>
        <v>4.2199999999821998E-3</v>
      </c>
      <c r="T83" s="165">
        <f t="shared" si="10"/>
        <v>-1.7799130225260029E-14</v>
      </c>
      <c r="W83" s="130" t="str">
        <f t="shared" si="7"/>
        <v>1D</v>
      </c>
      <c r="X83" s="128">
        <f>_xll.qlCalendarAdvance(Calendar,X82,W83,"f",FALSE)</f>
        <v>42223</v>
      </c>
      <c r="Y83" s="131">
        <f>_xll.qlCalendarAdvance(Calendar,X83,NDays&amp;"D")</f>
        <v>42227</v>
      </c>
      <c r="Z83" s="132">
        <v>2.8703111161789408E-5</v>
      </c>
      <c r="AA83" s="129">
        <v>2.7107669229309295E-5</v>
      </c>
    </row>
    <row r="84" spans="13:27" x14ac:dyDescent="0.2">
      <c r="M84" s="130" t="str">
        <v>obj_00732#0003</v>
      </c>
      <c r="N84" s="130" t="str">
        <f>_xll.qlRateHelperQuoteName(M84)</f>
        <v>EURAB3E7Y_Quote</v>
      </c>
      <c r="O84" s="128">
        <f>_xll.qlRateHelperLatestDate(M84,Trigger)</f>
        <v>44694</v>
      </c>
      <c r="P84" s="138">
        <f>_xll.qlRateHelperQuoteValue(M84,_xll.ohTrigger(RecalcTrigger,YieldCurve))</f>
        <v>5.3499999999999989E-3</v>
      </c>
      <c r="Q84" s="142" t="str">
        <v>7Y</v>
      </c>
      <c r="R84" s="140" t="str">
        <f>_xll.qlSwapIndex(,"Euribor",Q84,NDays,Currency,Calendar,"1y","mf",BondBasisDayCounter,IborIndex,Discounting,,_xll.ohTrigger(Trigger,RecalcTrigger))</f>
        <v>obj_0078b#0004</v>
      </c>
      <c r="S84" s="141">
        <f>_xll.qlIndexFixing(R84,$X$19,TRUE,Trigger)</f>
        <v>5.3500000000167181E-3</v>
      </c>
      <c r="T84" s="165">
        <f t="shared" si="10"/>
        <v>1.6719264861464467E-14</v>
      </c>
      <c r="W84" s="130" t="str">
        <f t="shared" si="7"/>
        <v>1D</v>
      </c>
      <c r="X84" s="128">
        <f>_xll.qlCalendarAdvance(Calendar,X83,W84,"f",FALSE)</f>
        <v>42226</v>
      </c>
      <c r="Y84" s="131">
        <f>_xll.qlCalendarAdvance(Calendar,X84,NDays&amp;"D")</f>
        <v>42228</v>
      </c>
      <c r="Z84" s="132">
        <v>2.6631473339632375E-5</v>
      </c>
      <c r="AA84" s="129">
        <v>3.9071146318292449E-5</v>
      </c>
    </row>
    <row r="85" spans="13:27" x14ac:dyDescent="0.2">
      <c r="M85" s="130" t="str">
        <v>obj_0073d#0003</v>
      </c>
      <c r="N85" s="130" t="str">
        <f>_xll.qlRateHelperQuoteName(M85)</f>
        <v>EURAB3E8Y_Quote</v>
      </c>
      <c r="O85" s="128">
        <f>_xll.qlRateHelperLatestDate(M85,Trigger)</f>
        <v>45061</v>
      </c>
      <c r="P85" s="138">
        <f>_xll.qlRateHelperQuoteValue(M85,_xll.ohTrigger(RecalcTrigger,YieldCurve))</f>
        <v>6.4000000000000003E-3</v>
      </c>
      <c r="Q85" s="142" t="str">
        <v>8Y</v>
      </c>
      <c r="R85" s="140" t="str">
        <f>_xll.qlSwapIndex(,"Euribor",Q85,NDays,Currency,Calendar,"1y","mf",BondBasisDayCounter,IborIndex,Discounting,,_xll.ohTrigger(Trigger,RecalcTrigger))</f>
        <v>obj_0078f#0004</v>
      </c>
      <c r="S85" s="141">
        <f>_xll.qlIndexFixing(R85,$X$19,TRUE,Trigger)</f>
        <v>6.3999999999658531E-3</v>
      </c>
      <c r="T85" s="165">
        <f t="shared" si="10"/>
        <v>-3.4147164262865459E-14</v>
      </c>
      <c r="W85" s="130" t="str">
        <f t="shared" ref="W85:W148" si="11">W84</f>
        <v>1D</v>
      </c>
      <c r="X85" s="128">
        <f>_xll.qlCalendarAdvance(Calendar,X84,W85,"f",FALSE)</f>
        <v>42227</v>
      </c>
      <c r="Y85" s="131">
        <f>_xll.qlCalendarAdvance(Calendar,X85,NDays&amp;"D")</f>
        <v>42229</v>
      </c>
      <c r="Z85" s="132">
        <v>2.4405570964169957E-5</v>
      </c>
      <c r="AA85" s="129">
        <v>5.123951319241371E-5</v>
      </c>
    </row>
    <row r="86" spans="13:27" x14ac:dyDescent="0.2">
      <c r="M86" s="130" t="str">
        <v>obj_00723#0003</v>
      </c>
      <c r="N86" s="130" t="str">
        <f>_xll.qlRateHelperQuoteName(M86)</f>
        <v>EURAB3E9Y_Quote</v>
      </c>
      <c r="O86" s="128">
        <f>_xll.qlRateHelperLatestDate(M86,Trigger)</f>
        <v>45425</v>
      </c>
      <c r="P86" s="138">
        <f>_xll.qlRateHelperQuoteValue(M86,_xll.ohTrigger(RecalcTrigger,YieldCurve))</f>
        <v>7.3299999999999997E-3</v>
      </c>
      <c r="Q86" s="142" t="str">
        <v>9Y</v>
      </c>
      <c r="R86" s="140" t="str">
        <f>_xll.qlSwapIndex(,"Euribor",Q86,NDays,Currency,Calendar,"1y","mf",BondBasisDayCounter,IborIndex,Discounting,,_xll.ohTrigger(Trigger,RecalcTrigger))</f>
        <v>obj_0077c#0004</v>
      </c>
      <c r="S86" s="141">
        <f>_xll.qlIndexFixing(R86,$X$19,TRUE,Trigger)</f>
        <v>7.3300000000417944E-3</v>
      </c>
      <c r="T86" s="165">
        <f t="shared" si="10"/>
        <v>4.1794692706709213E-14</v>
      </c>
      <c r="W86" s="130" t="str">
        <f t="shared" si="11"/>
        <v>1D</v>
      </c>
      <c r="X86" s="128">
        <f>_xll.qlCalendarAdvance(Calendar,X85,W86,"f",FALSE)</f>
        <v>42228</v>
      </c>
      <c r="Y86" s="131">
        <f>_xll.qlCalendarAdvance(Calendar,X86,NDays&amp;"D")</f>
        <v>42230</v>
      </c>
      <c r="Z86" s="132">
        <v>1.7921191586892859E-5</v>
      </c>
      <c r="AA86" s="129">
        <v>7.3956468495950389E-5</v>
      </c>
    </row>
    <row r="87" spans="13:27" x14ac:dyDescent="0.2">
      <c r="M87" s="130" t="str">
        <v>obj_00712#0003</v>
      </c>
      <c r="N87" s="130" t="str">
        <f>_xll.qlRateHelperQuoteName(M87)</f>
        <v>EURAB3E10Y_Quote</v>
      </c>
      <c r="O87" s="128">
        <f>_xll.qlRateHelperLatestDate(M87,Trigger)</f>
        <v>45790</v>
      </c>
      <c r="P87" s="138">
        <f>_xll.qlRateHelperQuoteValue(M87,_xll.ohTrigger(RecalcTrigger,YieldCurve))</f>
        <v>8.1099999999999992E-3</v>
      </c>
      <c r="Q87" s="142" t="str">
        <v>10Y</v>
      </c>
      <c r="R87" s="140" t="str">
        <f>_xll.qlSwapIndex(,"Euribor",Q87,NDays,Currency,Calendar,"1y","mf",BondBasisDayCounter,IborIndex,Discounting,,_xll.ohTrigger(Trigger,RecalcTrigger))</f>
        <v>obj_00780#0004</v>
      </c>
      <c r="S87" s="141">
        <f>_xll.qlIndexFixing(R87,$X$19,TRUE,Trigger)</f>
        <v>8.1099999998706963E-3</v>
      </c>
      <c r="T87" s="165">
        <f t="shared" si="10"/>
        <v>-1.2930281845235925E-13</v>
      </c>
      <c r="W87" s="130" t="str">
        <f t="shared" si="11"/>
        <v>1D</v>
      </c>
      <c r="X87" s="128">
        <f>_xll.qlCalendarAdvance(Calendar,X86,W87,"f",FALSE)</f>
        <v>42229</v>
      </c>
      <c r="Y87" s="131">
        <f>_xll.qlCalendarAdvance(Calendar,X87,NDays&amp;"D")</f>
        <v>42233</v>
      </c>
      <c r="Z87" s="132">
        <v>1.4012194749719212E-5</v>
      </c>
      <c r="AA87" s="129">
        <v>9.4739586575798285E-5</v>
      </c>
    </row>
    <row r="88" spans="13:27" x14ac:dyDescent="0.2">
      <c r="M88" s="130" t="str">
        <v>obj_0072f#0003</v>
      </c>
      <c r="N88" s="130" t="str">
        <f>_xll.qlRateHelperQuoteName(M88)</f>
        <v>EURAB3E11Y_Quote</v>
      </c>
      <c r="O88" s="128">
        <f>_xll.qlRateHelperLatestDate(M88,Trigger)</f>
        <v>46155</v>
      </c>
      <c r="P88" s="138">
        <f>_xll.qlRateHelperQuoteValue(M88,_xll.ohTrigger(RecalcTrigger,YieldCurve))</f>
        <v>8.8100000000000001E-3</v>
      </c>
      <c r="Q88" s="142" t="str">
        <v>11Y</v>
      </c>
      <c r="R88" s="140" t="str">
        <f>_xll.qlSwapIndex(,"Euribor",Q88,NDays,Currency,Calendar,"1y","mf",BondBasisDayCounter,IborIndex,Discounting,,_xll.ohTrigger(Trigger,RecalcTrigger))</f>
        <v>obj_00779#0004</v>
      </c>
      <c r="S88" s="141">
        <f>_xll.qlIndexFixing(R88,$X$19,TRUE,Trigger)</f>
        <v>8.8141950369882826E-3</v>
      </c>
      <c r="T88" s="165">
        <f t="shared" si="10"/>
        <v>4.195036988282469E-6</v>
      </c>
      <c r="W88" s="130" t="str">
        <f t="shared" si="11"/>
        <v>1D</v>
      </c>
      <c r="X88" s="128">
        <f>_xll.qlCalendarAdvance(Calendar,X87,W88,"f",FALSE)</f>
        <v>42230</v>
      </c>
      <c r="Y88" s="131">
        <f>_xll.qlCalendarAdvance(Calendar,X88,NDays&amp;"D")</f>
        <v>42234</v>
      </c>
      <c r="Z88" s="132">
        <v>1.1076814552547354E-5</v>
      </c>
      <c r="AA88" s="129">
        <v>1.0416424930603796E-4</v>
      </c>
    </row>
    <row r="89" spans="13:27" x14ac:dyDescent="0.2">
      <c r="M89" s="130" t="str">
        <v>obj_00727#0003</v>
      </c>
      <c r="N89" s="130" t="str">
        <f>_xll.qlRateHelperQuoteName(M89)</f>
        <v>EURAB3E12Y_Quote</v>
      </c>
      <c r="O89" s="128">
        <f>_xll.qlRateHelperLatestDate(M89,Trigger)</f>
        <v>46520</v>
      </c>
      <c r="P89" s="138">
        <f>_xll.qlRateHelperQuoteValue(M89,_xll.ohTrigger(RecalcTrigger,YieldCurve))</f>
        <v>9.4399999999999987E-3</v>
      </c>
      <c r="Q89" s="142" t="str">
        <v>12Y</v>
      </c>
      <c r="R89" s="140" t="str">
        <f>_xll.qlSwapIndex(,"Euribor",Q89,NDays,Currency,Calendar,"1y","mf",BondBasisDayCounter,IborIndex,Discounting,,_xll.ohTrigger(Trigger,RecalcTrigger))</f>
        <v>obj_00783#0004</v>
      </c>
      <c r="S89" s="141">
        <f>_xll.qlIndexFixing(R89,$X$19,TRUE,Trigger)</f>
        <v>9.4400000000209195E-3</v>
      </c>
      <c r="T89" s="165">
        <f t="shared" si="10"/>
        <v>2.0920765120280294E-14</v>
      </c>
      <c r="W89" s="130" t="str">
        <f t="shared" si="11"/>
        <v>1D</v>
      </c>
      <c r="X89" s="128">
        <f>_xll.qlCalendarAdvance(Calendar,X88,W89,"f",FALSE)</f>
        <v>42233</v>
      </c>
      <c r="Y89" s="131">
        <f>_xll.qlCalendarAdvance(Calendar,X89,NDays&amp;"D")</f>
        <v>42235</v>
      </c>
      <c r="Z89" s="132">
        <v>8.0214647341816576E-6</v>
      </c>
      <c r="AA89" s="129">
        <v>1.1300876994191356E-4</v>
      </c>
    </row>
    <row r="90" spans="13:27" x14ac:dyDescent="0.2">
      <c r="M90" s="130" t="str">
        <v>obj_0070b#0004</v>
      </c>
      <c r="N90" s="130" t="str">
        <f>_xll.qlRateHelperQuoteName(M90)</f>
        <v>EURAB3E15Y_Quote</v>
      </c>
      <c r="O90" s="128">
        <f>_xll.qlRateHelperLatestDate(M90,Trigger)</f>
        <v>47616</v>
      </c>
      <c r="P90" s="138">
        <f>_xll.qlRateHelperQuoteValue(M90,_xll.ohTrigger(RecalcTrigger,YieldCurve))</f>
        <v>1.081E-2</v>
      </c>
      <c r="Q90" s="142" t="str">
        <v>15Y</v>
      </c>
      <c r="R90" s="140" t="str">
        <f>_xll.qlSwapIndex(,"Euribor",Q90,NDays,Currency,Calendar,"1y","mf",BondBasisDayCounter,IborIndex,Discounting,,_xll.ohTrigger(Trigger,RecalcTrigger))</f>
        <v>obj_00789#0004</v>
      </c>
      <c r="S90" s="141">
        <f>_xll.qlIndexFixing(R90,$X$19,TRUE,Trigger)</f>
        <v>1.0809999999870104E-2</v>
      </c>
      <c r="T90" s="165">
        <f t="shared" si="10"/>
        <v>-1.2989609388114332E-13</v>
      </c>
      <c r="W90" s="130" t="str">
        <f t="shared" si="11"/>
        <v>1D</v>
      </c>
      <c r="X90" s="128">
        <f>_xll.qlCalendarAdvance(Calendar,X89,W90,"f",FALSE)</f>
        <v>42234</v>
      </c>
      <c r="Y90" s="131">
        <f>_xll.qlCalendarAdvance(Calendar,X90,NDays&amp;"D")</f>
        <v>42236</v>
      </c>
      <c r="Z90" s="132">
        <v>4.8535676912325023E-6</v>
      </c>
      <c r="AA90" s="129">
        <v>1.2127314832355296E-4</v>
      </c>
    </row>
    <row r="91" spans="13:27" x14ac:dyDescent="0.2">
      <c r="M91" s="130" t="str">
        <v>obj_00724#0003</v>
      </c>
      <c r="N91" s="130" t="str">
        <f>_xll.qlRateHelperQuoteName(M91)</f>
        <v>EURAB3E20Y_Quote</v>
      </c>
      <c r="O91" s="128">
        <f>_xll.qlRateHelperLatestDate(M91,Trigger)</f>
        <v>49443</v>
      </c>
      <c r="P91" s="138">
        <f>_xll.qlRateHelperQuoteValue(M91,_xll.ohTrigger(RecalcTrigger,YieldCurve))</f>
        <v>1.1970000000000001E-2</v>
      </c>
      <c r="Q91" s="142" t="str">
        <v>20Y</v>
      </c>
      <c r="R91" s="140" t="str">
        <f>_xll.qlSwapIndex(,"Euribor",Q91,NDays,Currency,Calendar,"1y","mf",BondBasisDayCounter,IborIndex,Discounting,,_xll.ohTrigger(Trigger,RecalcTrigger))</f>
        <v>obj_0078a#0004</v>
      </c>
      <c r="S91" s="141">
        <f>_xll.qlIndexFixing(R91,$X$19,TRUE,Trigger)</f>
        <v>1.1969999999971771E-2</v>
      </c>
      <c r="T91" s="165">
        <f t="shared" si="10"/>
        <v>-2.8230889848046559E-14</v>
      </c>
      <c r="W91" s="130" t="str">
        <f t="shared" si="11"/>
        <v>1D</v>
      </c>
      <c r="X91" s="128">
        <f>_xll.qlCalendarAdvance(Calendar,X90,W91,"f",FALSE)</f>
        <v>42235</v>
      </c>
      <c r="Y91" s="131">
        <f>_xll.qlCalendarAdvance(Calendar,X91,NDays&amp;"D")</f>
        <v>42237</v>
      </c>
      <c r="Z91" s="132">
        <v>-2.3201093795102771E-6</v>
      </c>
      <c r="AA91" s="129">
        <v>1.3586814817223569E-4</v>
      </c>
    </row>
    <row r="92" spans="13:27" x14ac:dyDescent="0.2">
      <c r="M92" s="130" t="str">
        <v>obj_00736#0003</v>
      </c>
      <c r="N92" s="130" t="str">
        <f>_xll.qlRateHelperQuoteName(M92)</f>
        <v>EURAB3E25Y_Quote</v>
      </c>
      <c r="O92" s="128">
        <f>_xll.qlRateHelperLatestDate(M92,Trigger)</f>
        <v>51270</v>
      </c>
      <c r="P92" s="138">
        <f>_xll.qlRateHelperQuoteValue(M92,_xll.ohTrigger(RecalcTrigger,YieldCurve))</f>
        <v>1.2370000000000001E-2</v>
      </c>
      <c r="Q92" s="142" t="str">
        <v>25Y</v>
      </c>
      <c r="R92" s="140" t="str">
        <f>_xll.qlSwapIndex(,"Euribor",Q92,NDays,Currency,Calendar,"1y","mf",BondBasisDayCounter,IborIndex,Discounting,,_xll.ohTrigger(Trigger,RecalcTrigger))</f>
        <v>obj_0077a#0004</v>
      </c>
      <c r="S92" s="141">
        <f>_xll.qlIndexFixing(R92,$X$19,TRUE,Trigger)</f>
        <v>1.2370000000010968E-2</v>
      </c>
      <c r="T92" s="165">
        <f t="shared" si="10"/>
        <v>1.0966921815125374E-14</v>
      </c>
      <c r="W92" s="130" t="str">
        <f t="shared" si="11"/>
        <v>1D</v>
      </c>
      <c r="X92" s="128">
        <f>_xll.qlCalendarAdvance(Calendar,X91,W92,"f",FALSE)</f>
        <v>42236</v>
      </c>
      <c r="Y92" s="131">
        <f>_xll.qlCalendarAdvance(Calendar,X92,NDays&amp;"D")</f>
        <v>42240</v>
      </c>
      <c r="Z92" s="132">
        <v>-8.7950452612088803E-6</v>
      </c>
      <c r="AA92" s="129">
        <v>1.4852923754915537E-4</v>
      </c>
    </row>
    <row r="93" spans="13:27" x14ac:dyDescent="0.2">
      <c r="M93" s="130" t="str">
        <v>obj_00707#0004</v>
      </c>
      <c r="N93" s="130" t="str">
        <f>_xll.qlRateHelperQuoteName(M93)</f>
        <v>EURAB3E30Y_Quote</v>
      </c>
      <c r="O93" s="128">
        <f>_xll.qlRateHelperLatestDate(M93,Trigger)</f>
        <v>53097</v>
      </c>
      <c r="P93" s="138">
        <f>_xll.qlRateHelperQuoteValue(M93,_xll.ohTrigger(RecalcTrigger,YieldCurve))</f>
        <v>1.2619999999999999E-2</v>
      </c>
      <c r="Q93" s="142" t="str">
        <v>30Y</v>
      </c>
      <c r="R93" s="140" t="str">
        <f>_xll.qlSwapIndex(,"Euribor",Q93,NDays,Currency,Calendar,"1y","mf",BondBasisDayCounter,IborIndex,Discounting,,_xll.ohTrigger(Trigger,RecalcTrigger))</f>
        <v>obj_00784#0004</v>
      </c>
      <c r="S93" s="141">
        <f>_xll.qlIndexFixing(R93,$X$19,TRUE,Trigger)</f>
        <v>1.2619999999995688E-2</v>
      </c>
      <c r="T93" s="165">
        <f t="shared" si="10"/>
        <v>-4.3107878378023656E-15</v>
      </c>
      <c r="W93" s="130" t="str">
        <f t="shared" si="11"/>
        <v>1D</v>
      </c>
      <c r="X93" s="128">
        <f>_xll.qlCalendarAdvance(Calendar,X92,W93,"f",FALSE)</f>
        <v>42237</v>
      </c>
      <c r="Y93" s="131">
        <f>_xll.qlCalendarAdvance(Calendar,X93,NDays&amp;"D")</f>
        <v>42241</v>
      </c>
      <c r="Z93" s="132">
        <v>-1.2414342988380898E-5</v>
      </c>
      <c r="AA93" s="129">
        <v>1.5389290378031717E-4</v>
      </c>
    </row>
    <row r="94" spans="13:27" x14ac:dyDescent="0.2">
      <c r="M94" s="130" t="str">
        <v>obj_0072e#0004</v>
      </c>
      <c r="N94" s="130" t="str">
        <f>_xll.qlRateHelperQuoteName(M94)</f>
        <v>EURAB3E40Y_Quote</v>
      </c>
      <c r="O94" s="128">
        <f>_xll.qlRateHelperLatestDate(M94,Trigger)</f>
        <v>56747</v>
      </c>
      <c r="P94" s="138">
        <f>_xll.qlRateHelperQuoteValue(M94,_xll.ohTrigger(RecalcTrigger,YieldCurve))</f>
        <v>1.2770000000000002E-2</v>
      </c>
      <c r="Q94" s="146" t="str">
        <v>40Y</v>
      </c>
      <c r="R94" s="140" t="str">
        <f>_xll.qlSwapIndex(,"Euribor",Q94,NDays,Currency,Calendar,"1y","mf",BondBasisDayCounter,IborIndex,Discounting,,_xll.ohTrigger(Trigger,RecalcTrigger))</f>
        <v>obj_0077d#0004</v>
      </c>
      <c r="S94" s="141">
        <f>_xll.qlIndexFixing(R94,$X$19,TRUE,Trigger)</f>
        <v>1.2770000000040903E-2</v>
      </c>
      <c r="T94" s="165">
        <f t="shared" si="10"/>
        <v>4.0901310116581158E-14</v>
      </c>
      <c r="W94" s="130" t="str">
        <f t="shared" si="11"/>
        <v>1D</v>
      </c>
      <c r="X94" s="128">
        <f>_xll.qlCalendarAdvance(Calendar,X93,W94,"f",FALSE)</f>
        <v>42240</v>
      </c>
      <c r="Y94" s="131">
        <f>_xll.qlCalendarAdvance(Calendar,X94,NDays&amp;"D")</f>
        <v>42242</v>
      </c>
      <c r="Z94" s="132">
        <v>-1.6101653904546701E-5</v>
      </c>
      <c r="AA94" s="129">
        <v>1.5867642735756249E-4</v>
      </c>
    </row>
    <row r="95" spans="13:27" x14ac:dyDescent="0.2">
      <c r="M95" s="130" t="str">
        <v>obj_00722#0003</v>
      </c>
      <c r="N95" s="130" t="str">
        <f>_xll.qlRateHelperQuoteName(M95)</f>
        <v>EURAB3E50Y_Quote</v>
      </c>
      <c r="O95" s="128">
        <f>_xll.qlRateHelperLatestDate(M95,Trigger)</f>
        <v>60400</v>
      </c>
      <c r="P95" s="138">
        <f>_xll.qlRateHelperQuoteValue(M95,_xll.ohTrigger(RecalcTrigger,YieldCurve))</f>
        <v>1.2370000000000001E-2</v>
      </c>
      <c r="Q95" s="146" t="str">
        <v>50Y</v>
      </c>
      <c r="R95" s="140" t="str">
        <f>_xll.qlSwapIndex(,"Euribor",Q95,NDays,Currency,Calendar,"1y","mf",BondBasisDayCounter,IborIndex,Discounting,,_xll.ohTrigger(Trigger,RecalcTrigger))</f>
        <v>obj_00788#0004</v>
      </c>
      <c r="S95" s="141">
        <f>_xll.qlIndexFixing(R95,$X$19,TRUE,Trigger)</f>
        <v>1.236999999999536E-2</v>
      </c>
      <c r="T95" s="165">
        <f t="shared" si="10"/>
        <v>-4.640385298237959E-15</v>
      </c>
      <c r="W95" s="130" t="str">
        <f t="shared" si="11"/>
        <v>1D</v>
      </c>
      <c r="X95" s="128">
        <f>_xll.qlCalendarAdvance(Calendar,X94,W95,"f",FALSE)</f>
        <v>42241</v>
      </c>
      <c r="Y95" s="131">
        <f>_xll.qlCalendarAdvance(Calendar,X95,NDays&amp;"D")</f>
        <v>42243</v>
      </c>
      <c r="Z95" s="132">
        <v>-1.9849555743426446E-5</v>
      </c>
      <c r="AA95" s="129">
        <v>1.6287980868057161E-4</v>
      </c>
    </row>
    <row r="96" spans="13:27" x14ac:dyDescent="0.2">
      <c r="M96" s="130" t="str">
        <v>obj_00730#0003</v>
      </c>
      <c r="N96" s="130" t="str">
        <f>_xll.qlRateHelperQuoteName(M96)</f>
        <v>EURAB3E60Y_Quote</v>
      </c>
      <c r="O96" s="128">
        <f>_xll.qlRateHelperLatestDate(M96,Trigger)</f>
        <v>64052</v>
      </c>
      <c r="P96" s="138">
        <f>_xll.qlRateHelperQuoteValue(M96,_xll.ohTrigger(RecalcTrigger,YieldCurve))</f>
        <v>1.225E-2</v>
      </c>
      <c r="Q96" s="146" t="str">
        <v>60Y</v>
      </c>
      <c r="R96" s="140" t="str">
        <f>_xll.qlSwapIndex(,"Euribor",Q96,NDays,Currency,Calendar,"1y","mf",BondBasisDayCounter,IborIndex,Discounting,,_xll.ohTrigger(Trigger,RecalcTrigger))</f>
        <v>obj_00781#0004</v>
      </c>
      <c r="S96" s="141">
        <f>_xll.qlIndexFixing(R96,$X$19,TRUE,Trigger)</f>
        <v>1.224999999999035E-2</v>
      </c>
      <c r="T96" s="165">
        <f t="shared" si="10"/>
        <v>-9.6502666968589779E-15</v>
      </c>
      <c r="W96" s="130" t="str">
        <f t="shared" si="11"/>
        <v>1D</v>
      </c>
      <c r="X96" s="128">
        <f>_xll.qlCalendarAdvance(Calendar,X95,W96,"f",FALSE)</f>
        <v>42242</v>
      </c>
      <c r="Y96" s="131">
        <f>_xll.qlCalendarAdvance(Calendar,X96,NDays&amp;"D")</f>
        <v>42244</v>
      </c>
      <c r="Z96" s="132">
        <v>-2.713990644050766E-5</v>
      </c>
      <c r="AA96" s="129">
        <v>1.6935284206986978E-4</v>
      </c>
    </row>
    <row r="97" spans="13:27" x14ac:dyDescent="0.2">
      <c r="M97" s="130" t="e">
        <v>#N/A</v>
      </c>
      <c r="N97" s="130" t="e">
        <f>_xll.qlRateHelperQuoteName(M97)</f>
        <v>#VALUE!</v>
      </c>
      <c r="O97" s="128" t="e">
        <f>_xll.qlRateHelperLatestDate(M97,Trigger)</f>
        <v>#VALUE!</v>
      </c>
      <c r="P97" s="138" t="e">
        <f>_xll.qlRateHelperQuoteValue(M97,_xll.ohTrigger(RecalcTrigger,YieldCurve))</f>
        <v>#VALUE!</v>
      </c>
      <c r="Q97" s="146" t="e">
        <v>#N/A</v>
      </c>
      <c r="R97" s="140" t="e">
        <f>_xll.qlSwapIndex(,"Euribor",Q97,NDays,Currency,Calendar,"1y","mf",BondBasisDayCounter,IborIndex,Discounting,,_xll.ohTrigger(Trigger,RecalcTrigger))</f>
        <v>#VALUE!</v>
      </c>
      <c r="S97" s="141" t="e">
        <f>_xll.qlIndexFixing(R97,$X$19,TRUE,Trigger)</f>
        <v>#VALUE!</v>
      </c>
      <c r="T97" s="165" t="e">
        <f t="shared" si="10"/>
        <v>#VALUE!</v>
      </c>
      <c r="W97" s="130" t="str">
        <f t="shared" si="11"/>
        <v>1D</v>
      </c>
      <c r="X97" s="128">
        <f>_xll.qlCalendarAdvance(Calendar,X96,W97,"f",FALSE)</f>
        <v>42243</v>
      </c>
      <c r="Y97" s="131">
        <f>_xll.qlCalendarAdvance(Calendar,X97,NDays&amp;"D")</f>
        <v>42247</v>
      </c>
      <c r="Z97" s="132">
        <v>-3.3617641914625065E-5</v>
      </c>
      <c r="AA97" s="129">
        <v>1.7389190759331541E-4</v>
      </c>
    </row>
    <row r="98" spans="13:27" x14ac:dyDescent="0.2">
      <c r="M98" s="130" t="e">
        <v>#N/A</v>
      </c>
      <c r="N98" s="130" t="e">
        <f>_xll.qlRateHelperQuoteName(M98)</f>
        <v>#VALUE!</v>
      </c>
      <c r="O98" s="128" t="e">
        <f>_xll.qlRateHelperLatestDate(M98,Trigger)</f>
        <v>#VALUE!</v>
      </c>
      <c r="P98" s="138" t="e">
        <f>_xll.qlRateHelperQuoteValue(M98,_xll.ohTrigger(RecalcTrigger,YieldCurve))</f>
        <v>#VALUE!</v>
      </c>
      <c r="Q98" s="146" t="e">
        <v>#N/A</v>
      </c>
      <c r="R98" s="140" t="e">
        <f>_xll.qlSwapIndex(,"Euribor",Q98,NDays,Currency,Calendar,"1y","mf",BondBasisDayCounter,IborIndex,Discounting,,_xll.ohTrigger(Trigger,RecalcTrigger))</f>
        <v>#VALUE!</v>
      </c>
      <c r="S98" s="141" t="e">
        <f>_xll.qlIndexFixing(R98,$X$19,TRUE,Trigger)</f>
        <v>#VALUE!</v>
      </c>
      <c r="T98" s="165" t="e">
        <f t="shared" si="10"/>
        <v>#VALUE!</v>
      </c>
      <c r="W98" s="130" t="str">
        <f t="shared" si="11"/>
        <v>1D</v>
      </c>
      <c r="X98" s="128">
        <f>_xll.qlCalendarAdvance(Calendar,X97,W98,"f",FALSE)</f>
        <v>42244</v>
      </c>
      <c r="Y98" s="131">
        <f>_xll.qlCalendarAdvance(Calendar,X98,NDays&amp;"D")</f>
        <v>42248</v>
      </c>
      <c r="Z98" s="132">
        <v>-1.7421671587117181E-5</v>
      </c>
      <c r="AA98" s="129">
        <v>1.7519457580661424E-4</v>
      </c>
    </row>
    <row r="99" spans="13:27" x14ac:dyDescent="0.2">
      <c r="M99" s="130" t="e">
        <v>#N/A</v>
      </c>
      <c r="N99" s="130" t="e">
        <f>_xll.qlRateHelperQuoteName(M99)</f>
        <v>#VALUE!</v>
      </c>
      <c r="O99" s="128" t="e">
        <f>_xll.qlRateHelperLatestDate(M99,Trigger)</f>
        <v>#VALUE!</v>
      </c>
      <c r="P99" s="138" t="e">
        <f>_xll.qlRateHelperQuoteValue(M99,_xll.ohTrigger(RecalcTrigger,YieldCurve))</f>
        <v>#VALUE!</v>
      </c>
      <c r="Q99" s="142" t="e">
        <v>#N/A</v>
      </c>
      <c r="R99" s="140" t="e">
        <f>_xll.qlSwapIndex(,"Euribor",Q99,NDays,Currency,Calendar,"1y","mf",BondBasisDayCounter,IborIndex,Discounting,,_xll.ohTrigger(Trigger,RecalcTrigger))</f>
        <v>#VALUE!</v>
      </c>
      <c r="S99" s="141" t="e">
        <f>_xll.qlIndexFixing(R99,$X$19,TRUE,Trigger)</f>
        <v>#VALUE!</v>
      </c>
      <c r="T99" s="165" t="e">
        <f t="shared" si="10"/>
        <v>#VALUE!</v>
      </c>
      <c r="W99" s="130" t="str">
        <f t="shared" si="11"/>
        <v>1D</v>
      </c>
      <c r="X99" s="128">
        <f>_xll.qlCalendarAdvance(Calendar,X98,W99,"f",FALSE)</f>
        <v>42247</v>
      </c>
      <c r="Y99" s="131">
        <f>_xll.qlCalendarAdvance(Calendar,X99,NDays&amp;"D")</f>
        <v>42249</v>
      </c>
      <c r="Z99" s="132">
        <v>-2.1418819821058571E-5</v>
      </c>
      <c r="AA99" s="129">
        <v>1.759171015258687E-4</v>
      </c>
    </row>
    <row r="100" spans="13:27" x14ac:dyDescent="0.2">
      <c r="M100" s="130" t="e">
        <v>#N/A</v>
      </c>
      <c r="N100" s="130" t="e">
        <f>_xll.qlRateHelperQuoteName(M100)</f>
        <v>#VALUE!</v>
      </c>
      <c r="O100" s="128" t="e">
        <f>_xll.qlRateHelperLatestDate(M100,Trigger)</f>
        <v>#VALUE!</v>
      </c>
      <c r="P100" s="138" t="e">
        <f>_xll.qlRateHelperQuoteValue(M100,_xll.ohTrigger(RecalcTrigger,YieldCurve))</f>
        <v>#VALUE!</v>
      </c>
      <c r="Q100" s="142" t="e">
        <v>#N/A</v>
      </c>
      <c r="R100" s="140" t="e">
        <f>_xll.qlSwapIndex(,"Euribor",Q100,NDays,Currency,Calendar,"1y","mf",BondBasisDayCounter,IborIndex,Discounting,,_xll.ohTrigger(Trigger,RecalcTrigger))</f>
        <v>#VALUE!</v>
      </c>
      <c r="S100" s="141" t="e">
        <f>_xll.qlIndexFixing(R100,$X$19,TRUE,Trigger)</f>
        <v>#VALUE!</v>
      </c>
      <c r="T100" s="165" t="e">
        <f t="shared" si="10"/>
        <v>#VALUE!</v>
      </c>
      <c r="W100" s="130" t="str">
        <f t="shared" si="11"/>
        <v>1D</v>
      </c>
      <c r="X100" s="128">
        <f>_xll.qlCalendarAdvance(Calendar,X99,W100,"f",FALSE)</f>
        <v>42248</v>
      </c>
      <c r="Y100" s="131">
        <f>_xll.qlCalendarAdvance(Calendar,X100,NDays&amp;"D")</f>
        <v>42250</v>
      </c>
      <c r="Z100" s="132">
        <v>-2.5425827321370308E-5</v>
      </c>
      <c r="AA100" s="129">
        <v>1.7605948443133457E-4</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2"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42249</v>
      </c>
      <c r="Y101" s="131">
        <f>_xll.qlCalendarAdvance(Calendar,X101,NDays&amp;"D")</f>
        <v>42251</v>
      </c>
      <c r="Z101" s="132">
        <v>-2.9435190440678613E-5</v>
      </c>
      <c r="AA101" s="129">
        <v>1.7441052634126208E-4</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2"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42250</v>
      </c>
      <c r="Y102" s="131">
        <f>_xll.qlCalendarAdvance(Calendar,X102,NDays&amp;"D")</f>
        <v>42254</v>
      </c>
      <c r="Z102" s="132">
        <v>-4.1402377532516148E-5</v>
      </c>
      <c r="AA102" s="129">
        <v>1.7082759055320196E-4</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42251</v>
      </c>
      <c r="Y103" s="131">
        <f>_xll.qlCalendarAdvance(Calendar,X103,NDays&amp;"D")</f>
        <v>42255</v>
      </c>
      <c r="Z103" s="132">
        <v>-4.5346127294878993E-5</v>
      </c>
      <c r="AA103" s="129">
        <v>1.680692605887657E-4</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42254</v>
      </c>
      <c r="Y104" s="131">
        <f>_xll.qlCalendarAdvance(Calendar,X104,NDays&amp;"D")</f>
        <v>42256</v>
      </c>
      <c r="Z104" s="132">
        <v>-4.925471490712719E-5</v>
      </c>
      <c r="AA104" s="129">
        <v>1.647307878904769E-4</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42255</v>
      </c>
      <c r="Y105" s="131">
        <f>_xll.qlCalendarAdvance(Calendar,X105,NDays&amp;"D")</f>
        <v>42257</v>
      </c>
      <c r="Z105" s="132">
        <v>-5.3120636902401912E-5</v>
      </c>
      <c r="AA105" s="129">
        <v>1.6081217285801586E-4</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42256</v>
      </c>
      <c r="Y106" s="131">
        <f>_xll.qlCalendarAdvance(Calendar,X106,NDays&amp;"D")</f>
        <v>42258</v>
      </c>
      <c r="Z106" s="132">
        <v>-5.6936389846784999E-5</v>
      </c>
      <c r="AA106" s="129">
        <v>1.5104119746922606E-4</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42257</v>
      </c>
      <c r="Y107" s="131">
        <f>_xll.qlCalendarAdvance(Calendar,X107,NDays&amp;"D")</f>
        <v>42261</v>
      </c>
      <c r="Z107" s="132">
        <v>-6.8007600386330971E-5</v>
      </c>
      <c r="AA107" s="129">
        <v>1.3933628706830348E-4</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42258</v>
      </c>
      <c r="Y108" s="131">
        <f>_xll.qlCalendarAdvance(Calendar,X108,NDays&amp;"D")</f>
        <v>42262</v>
      </c>
      <c r="Z108" s="132">
        <v>-7.1547643271095988E-5</v>
      </c>
      <c r="AA108" s="129">
        <v>1.325169595656206E-4</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42261</v>
      </c>
      <c r="Y109" s="131">
        <f>_xll.qlCalendarAdvance(Calendar,X109,NDays&amp;"D")</f>
        <v>42263</v>
      </c>
      <c r="Z109" s="132">
        <v>-7.500000030080057E-5</v>
      </c>
      <c r="AA109" s="129">
        <v>1.2511748948895729E-4</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42262</v>
      </c>
      <c r="Y110" s="131">
        <f>_xll.qlCalendarAdvance(Calendar,X110,NDays&amp;"D")</f>
        <v>42264</v>
      </c>
      <c r="Z110" s="132">
        <v>-7.8357332001800491E-5</v>
      </c>
      <c r="AA110" s="129">
        <v>1.1725168276299769E-4</v>
      </c>
    </row>
    <row r="111" spans="13:27" ht="12" thickBot="1" x14ac:dyDescent="0.25">
      <c r="M111" s="147" t="e">
        <v>#N/A</v>
      </c>
      <c r="N111" s="147" t="e">
        <f>_xll.qlRateHelperQuoteName(M111)</f>
        <v>#VALUE!</v>
      </c>
      <c r="O111" s="135" t="e">
        <f>_xll.qlRateHelperLatestDate(M111,Trigger)</f>
        <v>#VALUE!</v>
      </c>
      <c r="P111" s="148" t="e">
        <f>_xll.qlRateHelperQuoteValue(M111,_xll.ohTrigger(RecalcTrigger,YieldCurve))</f>
        <v>#VALUE!</v>
      </c>
      <c r="Q111" s="149" t="e">
        <v>#N/A</v>
      </c>
      <c r="R111" s="150" t="e">
        <f>_xll.qlSwapIndex(,"Euribor",Q111,NDays,Currency,Calendar,"1y","mf",BondBasisDayCounter,IborIndex,Discounting,,_xll.ohTrigger(Trigger,RecalcTrigger))</f>
        <v>#VALUE!</v>
      </c>
      <c r="S111" s="151" t="e">
        <f>_xll.qlIndexFixing(R111,$X$19,TRUE,Trigger)</f>
        <v>#VALUE!</v>
      </c>
      <c r="T111" s="165" t="e">
        <f t="shared" si="10"/>
        <v>#VALUE!</v>
      </c>
      <c r="W111" s="130" t="str">
        <f t="shared" si="11"/>
        <v>1D</v>
      </c>
      <c r="X111" s="128">
        <f>_xll.qlCalendarAdvance(Calendar,X110,W111,"f",FALSE)</f>
        <v>42263</v>
      </c>
      <c r="Y111" s="131">
        <f>_xll.qlCalendarAdvance(Calendar,X111,NDays&amp;"D")</f>
        <v>42265</v>
      </c>
      <c r="Z111" s="132">
        <v>-8.1614204775030572E-5</v>
      </c>
      <c r="AA111" s="129">
        <v>1.0163479308822332E-4</v>
      </c>
    </row>
    <row r="112" spans="13:27" x14ac:dyDescent="0.2">
      <c r="N112" s="185"/>
      <c r="S112" s="1"/>
      <c r="T112" s="182"/>
      <c r="W112" s="130" t="str">
        <f t="shared" si="11"/>
        <v>1D</v>
      </c>
      <c r="X112" s="128">
        <f>_xll.qlCalendarAdvance(Calendar,X111,W112,"f",FALSE)</f>
        <v>42264</v>
      </c>
      <c r="Y112" s="131">
        <f>_xll.qlCalendarAdvance(Calendar,X112,NDays&amp;"D")</f>
        <v>42268</v>
      </c>
      <c r="Z112" s="132">
        <v>-9.0784397527872697E-5</v>
      </c>
      <c r="AA112" s="129">
        <v>8.6360152229403297E-5</v>
      </c>
    </row>
    <row r="113" spans="19:27" x14ac:dyDescent="0.2">
      <c r="S113" s="1"/>
      <c r="T113" s="109"/>
      <c r="W113" s="130" t="str">
        <f t="shared" si="11"/>
        <v>1D</v>
      </c>
      <c r="X113" s="128">
        <f>_xll.qlCalendarAdvance(Calendar,X112,W113,"f",FALSE)</f>
        <v>42265</v>
      </c>
      <c r="Y113" s="131">
        <f>_xll.qlCalendarAdvance(Calendar,X113,NDays&amp;"D")</f>
        <v>42269</v>
      </c>
      <c r="Z113" s="132">
        <v>-9.3644263710862853E-5</v>
      </c>
      <c r="AA113" s="129">
        <v>7.8893999413409688E-5</v>
      </c>
    </row>
    <row r="114" spans="19:27" x14ac:dyDescent="0.2">
      <c r="S114" s="1"/>
      <c r="T114" s="109"/>
      <c r="W114" s="130" t="str">
        <f t="shared" si="11"/>
        <v>1D</v>
      </c>
      <c r="X114" s="128">
        <f>_xll.qlCalendarAdvance(Calendar,X113,W114,"f",FALSE)</f>
        <v>42268</v>
      </c>
      <c r="Y114" s="131">
        <f>_xll.qlCalendarAdvance(Calendar,X114,NDays&amp;"D")</f>
        <v>42270</v>
      </c>
      <c r="Z114" s="132">
        <v>-9.6407336062880649E-5</v>
      </c>
      <c r="AA114" s="129">
        <v>7.1530538292563506E-5</v>
      </c>
    </row>
    <row r="115" spans="19:27" x14ac:dyDescent="0.2">
      <c r="S115" s="1"/>
      <c r="T115" s="109"/>
      <c r="W115" s="130" t="str">
        <f t="shared" si="11"/>
        <v>1D</v>
      </c>
      <c r="X115" s="128">
        <f>_xll.qlCalendarAdvance(Calendar,X114,W115,"f",FALSE)</f>
        <v>42269</v>
      </c>
      <c r="Y115" s="131">
        <f>_xll.qlCalendarAdvance(Calendar,X115,NDays&amp;"D")</f>
        <v>42271</v>
      </c>
      <c r="Z115" s="132">
        <v>-9.9074597687195194E-5</v>
      </c>
      <c r="AA115" s="129">
        <v>6.4269769106672925E-5</v>
      </c>
    </row>
    <row r="116" spans="19:27" x14ac:dyDescent="0.2">
      <c r="S116" s="1"/>
      <c r="T116" s="109"/>
      <c r="W116" s="130" t="str">
        <f t="shared" si="11"/>
        <v>1D</v>
      </c>
      <c r="X116" s="128">
        <f>_xll.qlCalendarAdvance(Calendar,X115,W116,"f",FALSE)</f>
        <v>42270</v>
      </c>
      <c r="Y116" s="131">
        <f>_xll.qlCalendarAdvance(Calendar,X116,NDays&amp;"D")</f>
        <v>42272</v>
      </c>
      <c r="Z116" s="132">
        <v>-1.0373410196616317E-4</v>
      </c>
      <c r="AA116" s="129">
        <v>5.0090543739500504E-5</v>
      </c>
    </row>
    <row r="117" spans="19:27" x14ac:dyDescent="0.2">
      <c r="S117" s="1"/>
      <c r="T117" s="109"/>
      <c r="W117" s="130" t="str">
        <f t="shared" si="11"/>
        <v>1D</v>
      </c>
      <c r="X117" s="128">
        <f>_xll.qlCalendarAdvance(Calendar,X116,W117,"f",FALSE)</f>
        <v>42271</v>
      </c>
      <c r="Y117" s="131">
        <f>_xll.qlCalendarAdvance(Calendar,X117,NDays&amp;"D")</f>
        <v>42275</v>
      </c>
      <c r="Z117" s="132">
        <v>-1.0880519871498766E-4</v>
      </c>
      <c r="AA117" s="129">
        <v>3.625361067349786E-5</v>
      </c>
    </row>
    <row r="118" spans="19:27" x14ac:dyDescent="0.2">
      <c r="S118" s="1"/>
      <c r="T118" s="109"/>
      <c r="W118" s="130" t="str">
        <f t="shared" si="11"/>
        <v>1D</v>
      </c>
      <c r="X118" s="128">
        <f>_xll.qlCalendarAdvance(Calendar,X117,W118,"f",FALSE)</f>
        <v>42272</v>
      </c>
      <c r="Y118" s="131">
        <f>_xll.qlCalendarAdvance(Calendar,X118,NDays&amp;"D")</f>
        <v>42276</v>
      </c>
      <c r="Z118" s="132">
        <v>-1.1100815297004663E-4</v>
      </c>
      <c r="AA118" s="129">
        <v>2.9506300682768938E-5</v>
      </c>
    </row>
    <row r="119" spans="19:27" x14ac:dyDescent="0.2">
      <c r="S119" s="1"/>
      <c r="T119" s="109"/>
      <c r="W119" s="130" t="str">
        <f t="shared" si="11"/>
        <v>1D</v>
      </c>
      <c r="X119" s="128">
        <f>_xll.qlCalendarAdvance(Calendar,X118,W119,"f",FALSE)</f>
        <v>42275</v>
      </c>
      <c r="Y119" s="131">
        <f>_xll.qlCalendarAdvance(Calendar,X119,NDays&amp;"D")</f>
        <v>42277</v>
      </c>
      <c r="Z119" s="132">
        <v>-1.1364523892247639E-4</v>
      </c>
      <c r="AA119" s="129">
        <v>1.6686174929780861E-4</v>
      </c>
    </row>
    <row r="120" spans="19:27" x14ac:dyDescent="0.2">
      <c r="S120" s="1"/>
      <c r="T120" s="109"/>
      <c r="W120" s="130" t="str">
        <f t="shared" si="11"/>
        <v>1D</v>
      </c>
      <c r="X120" s="128">
        <f>_xll.qlCalendarAdvance(Calendar,X119,W120,"f",FALSE)</f>
        <v>42276</v>
      </c>
      <c r="Y120" s="131">
        <f>_xll.qlCalendarAdvance(Calendar,X120,NDays&amp;"D")</f>
        <v>42278</v>
      </c>
      <c r="Z120" s="132">
        <v>-6.2367297179729956E-5</v>
      </c>
      <c r="AA120" s="129">
        <v>1.6319756106497607E-5</v>
      </c>
    </row>
    <row r="121" spans="19:27" x14ac:dyDescent="0.2">
      <c r="S121" s="1"/>
      <c r="T121" s="109"/>
      <c r="W121" s="130" t="str">
        <f t="shared" si="11"/>
        <v>1D</v>
      </c>
      <c r="X121" s="128">
        <f>_xll.qlCalendarAdvance(Calendar,X120,W121,"f",FALSE)</f>
        <v>42277</v>
      </c>
      <c r="Y121" s="131">
        <f>_xll.qlCalendarAdvance(Calendar,X121,NDays&amp;"D")</f>
        <v>42279</v>
      </c>
      <c r="Z121" s="132">
        <v>-6.3204390626343243E-5</v>
      </c>
      <c r="AA121" s="129">
        <v>3.578209515353592E-6</v>
      </c>
    </row>
    <row r="122" spans="19:27" x14ac:dyDescent="0.2">
      <c r="S122" s="1"/>
      <c r="T122" s="109"/>
      <c r="W122" s="130" t="str">
        <f t="shared" si="11"/>
        <v>1D</v>
      </c>
      <c r="X122" s="128">
        <f>_xll.qlCalendarAdvance(Calendar,X121,W122,"f",FALSE)</f>
        <v>42278</v>
      </c>
      <c r="Y122" s="131">
        <f>_xll.qlCalendarAdvance(Calendar,X122,NDays&amp;"D")</f>
        <v>42282</v>
      </c>
      <c r="Z122" s="132">
        <v>-6.6367863299402529E-5</v>
      </c>
      <c r="AA122" s="129">
        <v>-8.8210311455227952E-6</v>
      </c>
    </row>
    <row r="123" spans="19:27" x14ac:dyDescent="0.2">
      <c r="S123" s="1"/>
      <c r="T123" s="109"/>
      <c r="W123" s="130" t="str">
        <f t="shared" si="11"/>
        <v>1D</v>
      </c>
      <c r="X123" s="128">
        <f>_xll.qlCalendarAdvance(Calendar,X122,W123,"f",FALSE)</f>
        <v>42279</v>
      </c>
      <c r="Y123" s="131">
        <f>_xll.qlCalendarAdvance(Calendar,X123,NDays&amp;"D")</f>
        <v>42283</v>
      </c>
      <c r="Z123" s="132">
        <v>-6.7928165348271022E-5</v>
      </c>
      <c r="AA123" s="129">
        <v>-1.4849498510827175E-5</v>
      </c>
    </row>
    <row r="124" spans="19:27" x14ac:dyDescent="0.2">
      <c r="S124" s="1"/>
      <c r="T124" s="109"/>
      <c r="W124" s="130" t="str">
        <f t="shared" si="11"/>
        <v>1D</v>
      </c>
      <c r="X124" s="128">
        <f>_xll.qlCalendarAdvance(Calendar,X123,W124,"f",FALSE)</f>
        <v>42282</v>
      </c>
      <c r="Y124" s="131">
        <f>_xll.qlCalendarAdvance(Calendar,X124,NDays&amp;"D")</f>
        <v>42284</v>
      </c>
      <c r="Z124" s="132">
        <v>-6.9406193663226886E-5</v>
      </c>
      <c r="AA124" s="129">
        <v>-2.0775274141016098E-5</v>
      </c>
    </row>
    <row r="125" spans="19:27" x14ac:dyDescent="0.2">
      <c r="S125" s="1"/>
      <c r="T125" s="109"/>
      <c r="W125" s="130" t="str">
        <f t="shared" si="11"/>
        <v>1D</v>
      </c>
      <c r="X125" s="128">
        <f>_xll.qlCalendarAdvance(Calendar,X124,W125,"f",FALSE)</f>
        <v>42283</v>
      </c>
      <c r="Y125" s="131">
        <f>_xll.qlCalendarAdvance(Calendar,X125,NDays&amp;"D")</f>
        <v>42285</v>
      </c>
      <c r="Z125" s="132">
        <v>-7.0802920564755112E-5</v>
      </c>
      <c r="AA125" s="129">
        <v>-2.6598357876217449E-5</v>
      </c>
    </row>
    <row r="126" spans="19:27" x14ac:dyDescent="0.2">
      <c r="S126" s="1"/>
      <c r="T126" s="109"/>
      <c r="W126" s="130" t="str">
        <f t="shared" si="11"/>
        <v>1D</v>
      </c>
      <c r="X126" s="128">
        <f>_xll.qlCalendarAdvance(Calendar,X125,W126,"f",FALSE)</f>
        <v>42284</v>
      </c>
      <c r="Y126" s="131">
        <f>_xll.qlCalendarAdvance(Calendar,X126,NDays&amp;"D")</f>
        <v>42286</v>
      </c>
      <c r="Z126" s="132">
        <v>-7.3676971489701975E-5</v>
      </c>
      <c r="AA126" s="129">
        <v>-3.7902215526131044E-5</v>
      </c>
    </row>
    <row r="127" spans="19:27" x14ac:dyDescent="0.2">
      <c r="S127" s="1"/>
      <c r="T127" s="109"/>
      <c r="W127" s="130" t="str">
        <f t="shared" si="11"/>
        <v>1D</v>
      </c>
      <c r="X127" s="128">
        <f>_xll.qlCalendarAdvance(Calendar,X126,W127,"f",FALSE)</f>
        <v>42285</v>
      </c>
      <c r="Y127" s="131">
        <f>_xll.qlCalendarAdvance(Calendar,X127,NDays&amp;"D")</f>
        <v>42289</v>
      </c>
      <c r="Z127" s="132">
        <v>-7.5596260198229146E-5</v>
      </c>
      <c r="AA127" s="129">
        <v>-4.8863775226060113E-5</v>
      </c>
    </row>
    <row r="128" spans="19:27" x14ac:dyDescent="0.2">
      <c r="S128" s="1"/>
      <c r="T128" s="109"/>
      <c r="W128" s="130" t="str">
        <f t="shared" si="11"/>
        <v>1D</v>
      </c>
      <c r="X128" s="128">
        <f>_xll.qlCalendarAdvance(Calendar,X127,W128,"f",FALSE)</f>
        <v>42286</v>
      </c>
      <c r="Y128" s="131">
        <f>_xll.qlCalendarAdvance(Calendar,X128,NDays&amp;"D")</f>
        <v>42290</v>
      </c>
      <c r="Z128" s="132">
        <v>-7.6601064601389268E-5</v>
      </c>
      <c r="AA128" s="129">
        <v>-5.4173400165780095E-5</v>
      </c>
    </row>
    <row r="129" spans="19:27" x14ac:dyDescent="0.2">
      <c r="S129" s="1"/>
      <c r="T129" s="109"/>
      <c r="W129" s="130" t="str">
        <f t="shared" si="11"/>
        <v>1D</v>
      </c>
      <c r="X129" s="128">
        <f>_xll.qlCalendarAdvance(Calendar,X128,W129,"f",FALSE)</f>
        <v>42289</v>
      </c>
      <c r="Y129" s="131">
        <f>_xll.qlCalendarAdvance(Calendar,X129,NDays&amp;"D")</f>
        <v>42291</v>
      </c>
      <c r="Z129" s="132">
        <v>-7.75304013797913E-5</v>
      </c>
      <c r="AA129" s="129">
        <v>-5.9380333450320677E-5</v>
      </c>
    </row>
    <row r="130" spans="19:27" x14ac:dyDescent="0.2">
      <c r="S130" s="1"/>
      <c r="T130" s="109"/>
      <c r="W130" s="130" t="str">
        <f t="shared" si="11"/>
        <v>1D</v>
      </c>
      <c r="X130" s="128">
        <f>_xll.qlCalendarAdvance(Calendar,X129,W130,"f",FALSE)</f>
        <v>42290</v>
      </c>
      <c r="Y130" s="131">
        <f>_xll.qlCalendarAdvance(Calendar,X130,NDays&amp;"D")</f>
        <v>42292</v>
      </c>
      <c r="Z130" s="132">
        <v>-7.8385242806566779E-5</v>
      </c>
      <c r="AA130" s="129">
        <v>-6.448457475993763E-5</v>
      </c>
    </row>
    <row r="131" spans="19:27" x14ac:dyDescent="0.2">
      <c r="S131" s="1"/>
      <c r="T131" s="109"/>
      <c r="W131" s="130" t="str">
        <f t="shared" si="11"/>
        <v>1D</v>
      </c>
      <c r="X131" s="128">
        <f>_xll.qlCalendarAdvance(Calendar,X130,W131,"f",FALSE)</f>
        <v>42291</v>
      </c>
      <c r="Y131" s="131">
        <f>_xll.qlCalendarAdvance(Calendar,X131,NDays&amp;"D")</f>
        <v>42293</v>
      </c>
      <c r="Z131" s="132">
        <v>-8.0329997460690429E-5</v>
      </c>
      <c r="AA131" s="129">
        <v>-7.4350736594119837E-5</v>
      </c>
    </row>
    <row r="132" spans="19:27" x14ac:dyDescent="0.2">
      <c r="S132" s="1"/>
      <c r="T132" s="109"/>
      <c r="W132" s="130" t="str">
        <f t="shared" si="11"/>
        <v>1D</v>
      </c>
      <c r="X132" s="128">
        <f>_xll.qlCalendarAdvance(Calendar,X131,W132,"f",FALSE)</f>
        <v>42292</v>
      </c>
      <c r="Y132" s="131">
        <f>_xll.qlCalendarAdvance(Calendar,X132,NDays&amp;"D")</f>
        <v>42296</v>
      </c>
      <c r="Z132" s="132">
        <v>-8.1079100420066794E-5</v>
      </c>
      <c r="AA132" s="129">
        <v>-8.3874623166835249E-5</v>
      </c>
    </row>
    <row r="133" spans="19:27" x14ac:dyDescent="0.2">
      <c r="S133" s="1"/>
      <c r="T133" s="109"/>
      <c r="W133" s="130" t="str">
        <f t="shared" si="11"/>
        <v>1D</v>
      </c>
      <c r="X133" s="128">
        <f>_xll.qlCalendarAdvance(Calendar,X132,W133,"f",FALSE)</f>
        <v>42293</v>
      </c>
      <c r="Y133" s="131">
        <f>_xll.qlCalendarAdvance(Calendar,X133,NDays&amp;"D")</f>
        <v>42297</v>
      </c>
      <c r="Z133" s="132">
        <v>-8.1576049102271639E-5</v>
      </c>
      <c r="AA133" s="129">
        <v>-8.8465406000715063E-5</v>
      </c>
    </row>
    <row r="134" spans="19:27" x14ac:dyDescent="0.2">
      <c r="S134" s="1"/>
      <c r="T134" s="109"/>
      <c r="W134" s="130" t="str">
        <f t="shared" si="11"/>
        <v>1D</v>
      </c>
      <c r="X134" s="128">
        <f>_xll.qlCalendarAdvance(Calendar,X133,W134,"f",FALSE)</f>
        <v>42296</v>
      </c>
      <c r="Y134" s="131">
        <f>_xll.qlCalendarAdvance(Calendar,X134,NDays&amp;"D")</f>
        <v>42298</v>
      </c>
      <c r="Z134" s="132">
        <v>-8.2004336003867507E-5</v>
      </c>
      <c r="AA134" s="129">
        <v>-9.2953497019543363E-5</v>
      </c>
    </row>
    <row r="135" spans="19:27" x14ac:dyDescent="0.2">
      <c r="S135" s="1"/>
      <c r="T135" s="109"/>
      <c r="W135" s="130" t="str">
        <f t="shared" si="11"/>
        <v>1D</v>
      </c>
      <c r="X135" s="128">
        <f>_xll.qlCalendarAdvance(Calendar,X134,W135,"f",FALSE)</f>
        <v>42297</v>
      </c>
      <c r="Y135" s="131">
        <f>_xll.qlCalendarAdvance(Calendar,X135,NDays&amp;"D")</f>
        <v>42299</v>
      </c>
      <c r="Z135" s="132">
        <v>-8.2364933369313234E-5</v>
      </c>
      <c r="AA135" s="129">
        <v>-9.7338896263288177E-5</v>
      </c>
    </row>
    <row r="136" spans="19:27" x14ac:dyDescent="0.2">
      <c r="S136" s="1"/>
      <c r="T136" s="109"/>
      <c r="W136" s="130" t="str">
        <f t="shared" si="11"/>
        <v>1D</v>
      </c>
      <c r="X136" s="128">
        <f>_xll.qlCalendarAdvance(Calendar,X135,W136,"f",FALSE)</f>
        <v>42298</v>
      </c>
      <c r="Y136" s="131">
        <f>_xll.qlCalendarAdvance(Calendar,X136,NDays&amp;"D")</f>
        <v>42300</v>
      </c>
      <c r="Z136" s="132">
        <v>-8.3489865658853532E-5</v>
      </c>
      <c r="AA136" s="129">
        <v>-1.0576735821832273E-4</v>
      </c>
    </row>
    <row r="137" spans="19:27" x14ac:dyDescent="0.2">
      <c r="S137" s="1"/>
      <c r="T137" s="109"/>
      <c r="W137" s="130" t="str">
        <f t="shared" si="11"/>
        <v>1D</v>
      </c>
      <c r="X137" s="128">
        <f>_xll.qlCalendarAdvance(Calendar,X136,W137,"f",FALSE)</f>
        <v>42299</v>
      </c>
      <c r="Y137" s="131">
        <f>_xll.qlCalendarAdvance(Calendar,X137,NDays&amp;"D")</f>
        <v>42303</v>
      </c>
      <c r="Z137" s="132">
        <v>-8.3149872263196215E-5</v>
      </c>
      <c r="AA137" s="129">
        <v>-1.1385357652660133E-4</v>
      </c>
    </row>
    <row r="138" spans="19:27" x14ac:dyDescent="0.2">
      <c r="S138" s="1"/>
      <c r="T138" s="109"/>
      <c r="W138" s="130" t="str">
        <f t="shared" si="11"/>
        <v>1D</v>
      </c>
      <c r="X138" s="128">
        <f>_xll.qlCalendarAdvance(Calendar,X137,W138,"f",FALSE)</f>
        <v>42300</v>
      </c>
      <c r="Y138" s="131">
        <f>_xll.qlCalendarAdvance(Calendar,X138,NDays&amp;"D")</f>
        <v>42304</v>
      </c>
      <c r="Z138" s="132">
        <v>-8.3186605507034201E-5</v>
      </c>
      <c r="AA138" s="129">
        <v>-1.1772551725464098E-4</v>
      </c>
    </row>
    <row r="139" spans="19:27" x14ac:dyDescent="0.2">
      <c r="S139" s="1"/>
      <c r="T139" s="109"/>
      <c r="W139" s="130" t="str">
        <f t="shared" si="11"/>
        <v>1D</v>
      </c>
      <c r="X139" s="128">
        <f>_xll.qlCalendarAdvance(Calendar,X138,W139,"f",FALSE)</f>
        <v>42303</v>
      </c>
      <c r="Y139" s="131">
        <f>_xll.qlCalendarAdvance(Calendar,X139,NDays&amp;"D")</f>
        <v>42305</v>
      </c>
      <c r="Z139" s="132">
        <v>-8.3161482616309925E-5</v>
      </c>
      <c r="AA139" s="129">
        <v>-1.2149476644740531E-4</v>
      </c>
    </row>
    <row r="140" spans="19:27" x14ac:dyDescent="0.2">
      <c r="S140" s="1"/>
      <c r="T140" s="109"/>
      <c r="W140" s="130" t="str">
        <f t="shared" si="11"/>
        <v>1D</v>
      </c>
      <c r="X140" s="128">
        <f>_xll.qlCalendarAdvance(Calendar,X139,W140,"f",FALSE)</f>
        <v>42304</v>
      </c>
      <c r="Y140" s="131">
        <f>_xll.qlCalendarAdvance(Calendar,X140,NDays&amp;"D")</f>
        <v>42306</v>
      </c>
      <c r="Z140" s="132">
        <v>-8.3075475809416119E-5</v>
      </c>
      <c r="AA140" s="129">
        <v>-1.2516132366524602E-4</v>
      </c>
    </row>
    <row r="141" spans="19:27" x14ac:dyDescent="0.2">
      <c r="S141" s="1"/>
      <c r="T141" s="109"/>
      <c r="W141" s="130" t="str">
        <f t="shared" si="11"/>
        <v>1D</v>
      </c>
      <c r="X141" s="128">
        <f>_xll.qlCalendarAdvance(Calendar,X140,W141,"f",FALSE)</f>
        <v>42305</v>
      </c>
      <c r="Y141" s="131">
        <f>_xll.qlCalendarAdvance(Calendar,X141,NDays&amp;"D")</f>
        <v>42307</v>
      </c>
      <c r="Z141" s="132">
        <v>-8.2613022686926207E-5</v>
      </c>
      <c r="AA141" s="129">
        <v>-1.3215208436889725E-4</v>
      </c>
    </row>
    <row r="142" spans="19:27" x14ac:dyDescent="0.2">
      <c r="S142" s="1"/>
      <c r="T142" s="109"/>
      <c r="W142" s="130" t="str">
        <f t="shared" si="11"/>
        <v>1D</v>
      </c>
      <c r="X142" s="128">
        <f>_xll.qlCalendarAdvance(Calendar,X141,W142,"f",FALSE)</f>
        <v>42306</v>
      </c>
      <c r="Y142" s="131">
        <f>_xll.qlCalendarAdvance(Calendar,X142,NDays&amp;"D")</f>
        <v>42310</v>
      </c>
      <c r="Z142" s="132">
        <v>-6.0620648069592313E-5</v>
      </c>
      <c r="AA142" s="129">
        <v>-1.3880063646443119E-4</v>
      </c>
    </row>
    <row r="143" spans="19:27" x14ac:dyDescent="0.2">
      <c r="S143" s="1"/>
      <c r="T143" s="109"/>
      <c r="W143" s="130" t="str">
        <f t="shared" si="11"/>
        <v>1D</v>
      </c>
      <c r="X143" s="128">
        <f>_xll.qlCalendarAdvance(Calendar,X142,W143,"f",FALSE)</f>
        <v>42307</v>
      </c>
      <c r="Y143" s="131">
        <f>_xll.qlCalendarAdvance(Calendar,X143,NDays&amp;"D")</f>
        <v>42311</v>
      </c>
      <c r="Z143" s="132">
        <v>-6.0244802860289482E-5</v>
      </c>
      <c r="AA143" s="129">
        <v>-1.4195373536640687E-4</v>
      </c>
    </row>
    <row r="144" spans="19:27" x14ac:dyDescent="0.2">
      <c r="S144" s="1"/>
      <c r="T144" s="109"/>
      <c r="W144" s="130" t="str">
        <f t="shared" si="11"/>
        <v>1D</v>
      </c>
      <c r="X144" s="128">
        <f>_xll.qlCalendarAdvance(Calendar,X143,W144,"f",FALSE)</f>
        <v>42310</v>
      </c>
      <c r="Y144" s="131">
        <f>_xll.qlCalendarAdvance(Calendar,X144,NDays&amp;"D")</f>
        <v>42312</v>
      </c>
      <c r="Z144" s="132">
        <v>-5.9813906712830771E-5</v>
      </c>
      <c r="AA144" s="129">
        <v>-1.450041425332671E-4</v>
      </c>
    </row>
    <row r="145" spans="19:27" x14ac:dyDescent="0.2">
      <c r="S145" s="1"/>
      <c r="T145" s="109"/>
      <c r="W145" s="130" t="str">
        <f t="shared" si="11"/>
        <v>1D</v>
      </c>
      <c r="X145" s="128">
        <f>_xll.qlCalendarAdvance(Calendar,X144,W145,"f",FALSE)</f>
        <v>42311</v>
      </c>
      <c r="Y145" s="131">
        <f>_xll.qlCalendarAdvance(Calendar,X145,NDays&amp;"D")</f>
        <v>42313</v>
      </c>
      <c r="Z145" s="132">
        <v>-5.9328931838223532E-5</v>
      </c>
      <c r="AA145" s="129">
        <v>-1.479518582847561E-4</v>
      </c>
    </row>
    <row r="146" spans="19:27" x14ac:dyDescent="0.2">
      <c r="S146" s="1"/>
      <c r="T146" s="109"/>
      <c r="W146" s="130" t="str">
        <f t="shared" si="11"/>
        <v>1D</v>
      </c>
      <c r="X146" s="128">
        <f>_xll.qlCalendarAdvance(Calendar,X145,W146,"f",FALSE)</f>
        <v>42312</v>
      </c>
      <c r="Y146" s="131">
        <f>_xll.qlCalendarAdvance(Calendar,X146,NDays&amp;"D")</f>
        <v>42314</v>
      </c>
      <c r="Z146" s="132">
        <v>-5.9572161625792589E-5</v>
      </c>
      <c r="AA146" s="129">
        <v>-1.5350491842980318E-4</v>
      </c>
    </row>
    <row r="147" spans="19:27" x14ac:dyDescent="0.2">
      <c r="S147" s="1"/>
      <c r="T147" s="109"/>
      <c r="W147" s="130" t="str">
        <f t="shared" si="11"/>
        <v>1D</v>
      </c>
      <c r="X147" s="128">
        <f>_xll.qlCalendarAdvance(Calendar,X146,W147,"f",FALSE)</f>
        <v>42313</v>
      </c>
      <c r="Y147" s="131">
        <f>_xll.qlCalendarAdvance(Calendar,X147,NDays&amp;"D")</f>
        <v>42317</v>
      </c>
      <c r="Z147" s="132">
        <v>-5.6867689213299058E-5</v>
      </c>
      <c r="AA147" s="129">
        <v>-1.5871580393955753E-4</v>
      </c>
    </row>
    <row r="148" spans="19:27" x14ac:dyDescent="0.2">
      <c r="S148" s="1"/>
      <c r="T148" s="109"/>
      <c r="W148" s="130" t="str">
        <f t="shared" si="11"/>
        <v>1D</v>
      </c>
      <c r="X148" s="128">
        <f>_xll.qlCalendarAdvance(Calendar,X147,W148,"f",FALSE)</f>
        <v>42314</v>
      </c>
      <c r="Y148" s="131">
        <f>_xll.qlCalendarAdvance(Calendar,X148,NDays&amp;"D")</f>
        <v>42318</v>
      </c>
      <c r="Z148" s="132">
        <v>-5.6126903803763056E-5</v>
      </c>
      <c r="AA148" s="129">
        <v>-1.6115006117534136E-4</v>
      </c>
    </row>
    <row r="149" spans="19:27" x14ac:dyDescent="0.2">
      <c r="S149" s="1"/>
      <c r="T149" s="109"/>
      <c r="W149" s="130" t="str">
        <f t="shared" ref="W149:W212" si="12">W148</f>
        <v>1D</v>
      </c>
      <c r="X149" s="128">
        <f>_xll.qlCalendarAdvance(Calendar,X148,W149,"f",FALSE)</f>
        <v>42317</v>
      </c>
      <c r="Y149" s="131">
        <f>_xll.qlCalendarAdvance(Calendar,X149,NDays&amp;"D")</f>
        <v>42319</v>
      </c>
      <c r="Z149" s="132">
        <v>-5.5337872898367834E-5</v>
      </c>
      <c r="AA149" s="129">
        <v>-1.634816267559458E-4</v>
      </c>
    </row>
    <row r="150" spans="19:27" x14ac:dyDescent="0.2">
      <c r="S150" s="1"/>
      <c r="T150" s="109"/>
      <c r="W150" s="130" t="str">
        <f t="shared" si="12"/>
        <v>1D</v>
      </c>
      <c r="X150" s="128">
        <f>_xll.qlCalendarAdvance(Calendar,X149,W150,"f",FALSE)</f>
        <v>42318</v>
      </c>
      <c r="Y150" s="131">
        <f>_xll.qlCalendarAdvance(Calendar,X150,NDays&amp;"D")</f>
        <v>42320</v>
      </c>
      <c r="Z150" s="132">
        <v>-5.4501568699432034E-5</v>
      </c>
      <c r="AA150" s="129">
        <v>-1.6571050076130689E-4</v>
      </c>
    </row>
    <row r="151" spans="19:27" x14ac:dyDescent="0.2">
      <c r="S151" s="1"/>
      <c r="T151" s="109"/>
      <c r="W151" s="130" t="str">
        <f t="shared" si="12"/>
        <v>1D</v>
      </c>
      <c r="X151" s="128">
        <f>_xll.qlCalendarAdvance(Calendar,X150,W151,"f",FALSE)</f>
        <v>42319</v>
      </c>
      <c r="Y151" s="131">
        <f>_xll.qlCalendarAdvance(Calendar,X151,NDays&amp;"D")</f>
        <v>42321</v>
      </c>
      <c r="Z151" s="132">
        <v>-5.4210811068666287E-5</v>
      </c>
      <c r="AA151" s="129">
        <v>-1.6982586298563973E-4</v>
      </c>
    </row>
    <row r="152" spans="19:27" x14ac:dyDescent="0.2">
      <c r="S152" s="1"/>
      <c r="T152" s="109"/>
      <c r="W152" s="130" t="str">
        <f t="shared" si="12"/>
        <v>1D</v>
      </c>
      <c r="X152" s="128">
        <f>_xll.qlCalendarAdvance(Calendar,X151,W152,"f",FALSE)</f>
        <v>42320</v>
      </c>
      <c r="Y152" s="131">
        <f>_xll.qlCalendarAdvance(Calendar,X152,NDays&amp;"D")</f>
        <v>42324</v>
      </c>
      <c r="Z152" s="132">
        <v>-5.0703062946449755E-5</v>
      </c>
      <c r="AA152" s="129">
        <v>-1.7359907991121304E-4</v>
      </c>
    </row>
    <row r="153" spans="19:27" x14ac:dyDescent="0.2">
      <c r="S153" s="1"/>
      <c r="T153" s="109"/>
      <c r="W153" s="130" t="str">
        <f t="shared" si="12"/>
        <v>1D</v>
      </c>
      <c r="X153" s="128">
        <f>_xll.qlCalendarAdvance(Calendar,X152,W153,"f",FALSE)</f>
        <v>42321</v>
      </c>
      <c r="Y153" s="131">
        <f>_xll.qlCalendarAdvance(Calendar,X153,NDays&amp;"D")</f>
        <v>42325</v>
      </c>
      <c r="Z153" s="132">
        <v>-4.9644975263327481E-5</v>
      </c>
      <c r="AA153" s="129">
        <v>-1.7531449564067714E-4</v>
      </c>
    </row>
    <row r="154" spans="19:27" x14ac:dyDescent="0.2">
      <c r="S154" s="1"/>
      <c r="T154" s="109"/>
      <c r="W154" s="130" t="str">
        <f t="shared" si="12"/>
        <v>1D</v>
      </c>
      <c r="X154" s="128">
        <f>_xll.qlCalendarAdvance(Calendar,X153,W154,"f",FALSE)</f>
        <v>42324</v>
      </c>
      <c r="Y154" s="131">
        <f>_xll.qlCalendarAdvance(Calendar,X154,NDays&amp;"D")</f>
        <v>42326</v>
      </c>
      <c r="Z154" s="132">
        <v>-4.8545447475813731E-5</v>
      </c>
      <c r="AA154" s="129">
        <v>-1.7692721963502578E-4</v>
      </c>
    </row>
    <row r="155" spans="19:27" x14ac:dyDescent="0.2">
      <c r="S155" s="1"/>
      <c r="T155" s="109"/>
      <c r="W155" s="130" t="str">
        <f t="shared" si="12"/>
        <v>1D</v>
      </c>
      <c r="X155" s="128">
        <f>_xll.qlCalendarAdvance(Calendar,X154,W155,"f",FALSE)</f>
        <v>42325</v>
      </c>
      <c r="Y155" s="131">
        <f>_xll.qlCalendarAdvance(Calendar,X155,NDays&amp;"D")</f>
        <v>42327</v>
      </c>
      <c r="Z155" s="132">
        <v>-4.7405451783620542E-5</v>
      </c>
      <c r="AA155" s="129">
        <v>-1.7843725201416305E-4</v>
      </c>
    </row>
    <row r="156" spans="19:27" x14ac:dyDescent="0.2">
      <c r="S156" s="1"/>
      <c r="T156" s="109"/>
      <c r="W156" s="130" t="str">
        <f t="shared" si="12"/>
        <v>1D</v>
      </c>
      <c r="X156" s="128">
        <f>_xll.qlCalendarAdvance(Calendar,X155,W156,"f",FALSE)</f>
        <v>42326</v>
      </c>
      <c r="Y156" s="131">
        <f>_xll.qlCalendarAdvance(Calendar,X156,NDays&amp;"D")</f>
        <v>42328</v>
      </c>
      <c r="Z156" s="132">
        <v>-4.6661793592857945E-5</v>
      </c>
      <c r="AA156" s="129">
        <v>-1.811149201680351E-4</v>
      </c>
    </row>
    <row r="157" spans="19:27" x14ac:dyDescent="0.2">
      <c r="S157" s="1"/>
      <c r="T157" s="109"/>
      <c r="W157" s="130" t="str">
        <f t="shared" si="12"/>
        <v>1D</v>
      </c>
      <c r="X157" s="128">
        <f>_xll.qlCalendarAdvance(Calendar,X156,W157,"f",FALSE)</f>
        <v>42327</v>
      </c>
      <c r="Y157" s="131">
        <f>_xll.qlCalendarAdvance(Calendar,X157,NDays&amp;"D")</f>
        <v>42331</v>
      </c>
      <c r="Z157" s="132">
        <v>-4.2460233892350139E-5</v>
      </c>
      <c r="AA157" s="129">
        <v>-1.8345046509882224E-4</v>
      </c>
    </row>
    <row r="158" spans="19:27" x14ac:dyDescent="0.2">
      <c r="S158" s="1"/>
      <c r="T158" s="109"/>
      <c r="W158" s="130" t="str">
        <f t="shared" si="12"/>
        <v>1D</v>
      </c>
      <c r="X158" s="128">
        <f>_xll.qlCalendarAdvance(Calendar,X157,W158,"f",FALSE)</f>
        <v>42328</v>
      </c>
      <c r="Y158" s="131">
        <f>_xll.qlCalendarAdvance(Calendar,X158,NDays&amp;"D")</f>
        <v>42332</v>
      </c>
      <c r="Z158" s="132">
        <v>-4.1132481624652485E-5</v>
      </c>
      <c r="AA158" s="129">
        <v>-1.8444703916209448E-4</v>
      </c>
    </row>
    <row r="159" spans="19:27" x14ac:dyDescent="0.2">
      <c r="S159" s="1"/>
      <c r="T159" s="109"/>
      <c r="W159" s="130" t="str">
        <f t="shared" si="12"/>
        <v>1D</v>
      </c>
      <c r="X159" s="128">
        <f>_xll.qlCalendarAdvance(Calendar,X158,W159,"f",FALSE)</f>
        <v>42331</v>
      </c>
      <c r="Y159" s="131">
        <f>_xll.qlCalendarAdvance(Calendar,X159,NDays&amp;"D")</f>
        <v>42333</v>
      </c>
      <c r="Z159" s="132">
        <v>-3.977009463447353E-5</v>
      </c>
      <c r="AA159" s="129">
        <v>-1.8534092173005945E-4</v>
      </c>
    </row>
    <row r="160" spans="19:27" x14ac:dyDescent="0.2">
      <c r="S160" s="1"/>
      <c r="T160" s="109"/>
      <c r="W160" s="130" t="str">
        <f t="shared" si="12"/>
        <v>1D</v>
      </c>
      <c r="X160" s="128">
        <f>_xll.qlCalendarAdvance(Calendar,X159,W160,"f",FALSE)</f>
        <v>42332</v>
      </c>
      <c r="Y160" s="131">
        <f>_xll.qlCalendarAdvance(Calendar,X160,NDays&amp;"D")</f>
        <v>42334</v>
      </c>
      <c r="Z160" s="132">
        <v>-3.8374045119353141E-5</v>
      </c>
      <c r="AA160" s="129">
        <v>-1.8613211264284502E-4</v>
      </c>
    </row>
    <row r="161" spans="19:27" x14ac:dyDescent="0.2">
      <c r="S161" s="1"/>
      <c r="T161" s="109"/>
      <c r="W161" s="130" t="str">
        <f t="shared" si="12"/>
        <v>1D</v>
      </c>
      <c r="X161" s="128">
        <f>_xll.qlCalendarAdvance(Calendar,X160,W161,"f",FALSE)</f>
        <v>42333</v>
      </c>
      <c r="Y161" s="131">
        <f>_xll.qlCalendarAdvance(Calendar,X161,NDays&amp;"D")</f>
        <v>42335</v>
      </c>
      <c r="Z161" s="132">
        <v>-3.7251477415074927E-5</v>
      </c>
      <c r="AA161" s="129">
        <v>-1.8737209133590227E-4</v>
      </c>
    </row>
    <row r="162" spans="19:27" x14ac:dyDescent="0.2">
      <c r="S162" s="1"/>
      <c r="T162" s="109"/>
      <c r="W162" s="130" t="str">
        <f t="shared" si="12"/>
        <v>1D</v>
      </c>
      <c r="X162" s="128">
        <f>_xll.qlCalendarAdvance(Calendar,X161,W162,"f",FALSE)</f>
        <v>42334</v>
      </c>
      <c r="Y162" s="131">
        <f>_xll.qlCalendarAdvance(Calendar,X162,NDays&amp;"D")</f>
        <v>42338</v>
      </c>
      <c r="Z162" s="132">
        <v>-3.2302496624811408E-5</v>
      </c>
      <c r="AA162" s="129">
        <v>1.6477384437685316E-3</v>
      </c>
    </row>
    <row r="163" spans="19:27" x14ac:dyDescent="0.2">
      <c r="S163" s="1"/>
      <c r="T163" s="109"/>
      <c r="W163" s="130" t="str">
        <f t="shared" si="12"/>
        <v>1D</v>
      </c>
      <c r="X163" s="128">
        <f>_xll.qlCalendarAdvance(Calendar,X162,W163,"f",FALSE)</f>
        <v>42335</v>
      </c>
      <c r="Y163" s="131">
        <f>_xll.qlCalendarAdvance(Calendar,X163,NDays&amp;"D")</f>
        <v>42339</v>
      </c>
      <c r="Z163" s="132">
        <v>-5.0936291000003907E-5</v>
      </c>
      <c r="AA163" s="129">
        <v>-1.8854769229914581E-4</v>
      </c>
    </row>
    <row r="164" spans="19:27" x14ac:dyDescent="0.2">
      <c r="S164" s="1"/>
      <c r="T164" s="109"/>
      <c r="W164" s="130" t="str">
        <f t="shared" si="12"/>
        <v>1D</v>
      </c>
      <c r="X164" s="128">
        <f>_xll.qlCalendarAdvance(Calendar,X163,W164,"f",FALSE)</f>
        <v>42338</v>
      </c>
      <c r="Y164" s="131">
        <f>_xll.qlCalendarAdvance(Calendar,X164,NDays&amp;"D")</f>
        <v>42340</v>
      </c>
      <c r="Z164" s="132">
        <v>-4.9366436513598787E-5</v>
      </c>
      <c r="AA164" s="129">
        <v>-1.8872273348069513E-4</v>
      </c>
    </row>
    <row r="165" spans="19:27" x14ac:dyDescent="0.2">
      <c r="S165" s="1"/>
      <c r="T165" s="109"/>
      <c r="W165" s="130" t="str">
        <f t="shared" si="12"/>
        <v>1D</v>
      </c>
      <c r="X165" s="128">
        <f>_xll.qlCalendarAdvance(Calendar,X164,W165,"f",FALSE)</f>
        <v>42339</v>
      </c>
      <c r="Y165" s="131">
        <f>_xll.qlCalendarAdvance(Calendar,X165,NDays&amp;"D")</f>
        <v>42341</v>
      </c>
      <c r="Z165" s="132">
        <v>-4.7769575479426336E-5</v>
      </c>
      <c r="AA165" s="129">
        <v>-1.887950828072249E-4</v>
      </c>
    </row>
    <row r="166" spans="19:27" x14ac:dyDescent="0.2">
      <c r="S166" s="1"/>
      <c r="T166" s="109"/>
      <c r="W166" s="130" t="str">
        <f t="shared" si="12"/>
        <v>1D</v>
      </c>
      <c r="X166" s="128">
        <f>_xll.qlCalendarAdvance(Calendar,X165,W166,"f",FALSE)</f>
        <v>42340</v>
      </c>
      <c r="Y166" s="131">
        <f>_xll.qlCalendarAdvance(Calendar,X166,NDays&amp;"D")</f>
        <v>42342</v>
      </c>
      <c r="Z166" s="132">
        <v>-4.6146690782468738E-5</v>
      </c>
      <c r="AA166" s="129">
        <v>-1.885973773552152E-4</v>
      </c>
    </row>
    <row r="167" spans="19:27" x14ac:dyDescent="0.2">
      <c r="S167" s="1"/>
      <c r="T167" s="109"/>
      <c r="W167" s="130" t="str">
        <f t="shared" si="12"/>
        <v>1D</v>
      </c>
      <c r="X167" s="128">
        <f>_xll.qlCalendarAdvance(Calendar,X166,W167,"f",FALSE)</f>
        <v>42341</v>
      </c>
      <c r="Y167" s="131">
        <f>_xll.qlCalendarAdvance(Calendar,X167,NDays&amp;"D")</f>
        <v>42345</v>
      </c>
      <c r="Z167" s="132">
        <v>-4.1131723566024672E-5</v>
      </c>
      <c r="AA167" s="129">
        <v>-1.8805756408113439E-4</v>
      </c>
    </row>
    <row r="168" spans="19:27" x14ac:dyDescent="0.2">
      <c r="S168" s="1"/>
      <c r="T168" s="109"/>
      <c r="W168" s="130" t="str">
        <f t="shared" si="12"/>
        <v>1D</v>
      </c>
      <c r="X168" s="128">
        <f>_xll.qlCalendarAdvance(Calendar,X167,W168,"f",FALSE)</f>
        <v>42342</v>
      </c>
      <c r="Y168" s="131">
        <f>_xll.qlCalendarAdvance(Calendar,X168,NDays&amp;"D")</f>
        <v>42346</v>
      </c>
      <c r="Z168" s="132">
        <v>-3.9414573074775797E-5</v>
      </c>
      <c r="AA168" s="129">
        <v>-1.8761645521170323E-4</v>
      </c>
    </row>
    <row r="169" spans="19:27" x14ac:dyDescent="0.2">
      <c r="S169" s="1"/>
      <c r="T169" s="109"/>
      <c r="W169" s="130" t="str">
        <f t="shared" si="12"/>
        <v>1D</v>
      </c>
      <c r="X169" s="128">
        <f>_xll.qlCalendarAdvance(Calendar,X168,W169,"f",FALSE)</f>
        <v>42345</v>
      </c>
      <c r="Y169" s="131">
        <f>_xll.qlCalendarAdvance(Calendar,X169,NDays&amp;"D")</f>
        <v>42347</v>
      </c>
      <c r="Z169" s="132">
        <v>-3.767631335751141E-5</v>
      </c>
      <c r="AA169" s="129">
        <v>-1.8707265480699675E-4</v>
      </c>
    </row>
    <row r="170" spans="19:27" x14ac:dyDescent="0.2">
      <c r="S170" s="1"/>
      <c r="T170" s="109"/>
      <c r="W170" s="130" t="str">
        <f t="shared" si="12"/>
        <v>1D</v>
      </c>
      <c r="X170" s="128">
        <f>_xll.qlCalendarAdvance(Calendar,X169,W170,"f",FALSE)</f>
        <v>42346</v>
      </c>
      <c r="Y170" s="131">
        <f>_xll.qlCalendarAdvance(Calendar,X170,NDays&amp;"D")</f>
        <v>42348</v>
      </c>
      <c r="Z170" s="132">
        <v>-3.5917927303166574E-5</v>
      </c>
      <c r="AA170" s="129">
        <v>-1.8642616278707891E-4</v>
      </c>
    </row>
    <row r="171" spans="19:27" x14ac:dyDescent="0.2">
      <c r="S171" s="1"/>
      <c r="T171" s="109"/>
      <c r="W171" s="130" t="str">
        <f t="shared" si="12"/>
        <v>1D</v>
      </c>
      <c r="X171" s="128">
        <f>_xll.qlCalendarAdvance(Calendar,X170,W171,"f",FALSE)</f>
        <v>42347</v>
      </c>
      <c r="Y171" s="131">
        <f>_xll.qlCalendarAdvance(Calendar,X171,NDays&amp;"D")</f>
        <v>42349</v>
      </c>
      <c r="Z171" s="132">
        <v>-3.4140397805068463E-5</v>
      </c>
      <c r="AA171" s="129">
        <v>-1.8479077831923263E-4</v>
      </c>
    </row>
    <row r="172" spans="19:27" x14ac:dyDescent="0.2">
      <c r="S172" s="1"/>
      <c r="T172" s="109"/>
      <c r="W172" s="130" t="str">
        <f t="shared" si="12"/>
        <v>1D</v>
      </c>
      <c r="X172" s="128">
        <f>_xll.qlCalendarAdvance(Calendar,X171,W172,"f",FALSE)</f>
        <v>42348</v>
      </c>
      <c r="Y172" s="131">
        <f>_xll.qlCalendarAdvance(Calendar,X172,NDays&amp;"D")</f>
        <v>42352</v>
      </c>
      <c r="Z172" s="132">
        <v>-2.8702777594263204E-5</v>
      </c>
      <c r="AA172" s="129">
        <v>-1.8281327807567749E-4</v>
      </c>
    </row>
    <row r="173" spans="19:27" x14ac:dyDescent="0.2">
      <c r="S173" s="1"/>
      <c r="T173" s="109"/>
      <c r="W173" s="130" t="str">
        <f t="shared" si="12"/>
        <v>1D</v>
      </c>
      <c r="X173" s="128">
        <f>_xll.qlCalendarAdvance(Calendar,X172,W173,"f",FALSE)</f>
        <v>42349</v>
      </c>
      <c r="Y173" s="131">
        <f>_xll.qlCalendarAdvance(Calendar,X173,NDays&amp;"D")</f>
        <v>42353</v>
      </c>
      <c r="Z173" s="132">
        <v>-2.6858503275505698E-5</v>
      </c>
      <c r="AA173" s="129">
        <v>-1.8165332777986265E-4</v>
      </c>
    </row>
    <row r="174" spans="19:27" x14ac:dyDescent="0.2">
      <c r="S174" s="1"/>
      <c r="T174" s="109"/>
      <c r="W174" s="130" t="str">
        <f t="shared" si="12"/>
        <v>1D</v>
      </c>
      <c r="X174" s="128">
        <f>_xll.qlCalendarAdvance(Calendar,X173,W174,"f",FALSE)</f>
        <v>42352</v>
      </c>
      <c r="Y174" s="131">
        <f>_xll.qlCalendarAdvance(Calendar,X174,NDays&amp;"D")</f>
        <v>42354</v>
      </c>
      <c r="Z174" s="132">
        <v>-2.4999999999834376E-5</v>
      </c>
      <c r="AA174" s="129">
        <v>-1.8040559366383491E-4</v>
      </c>
    </row>
    <row r="175" spans="19:27" x14ac:dyDescent="0.2">
      <c r="S175" s="1"/>
      <c r="T175" s="109"/>
      <c r="W175" s="130" t="str">
        <f t="shared" si="12"/>
        <v>1D</v>
      </c>
      <c r="X175" s="128">
        <f>_xll.qlCalendarAdvance(Calendar,X174,W175,"f",FALSE)</f>
        <v>42353</v>
      </c>
      <c r="Y175" s="131">
        <f>_xll.qlCalendarAdvance(Calendar,X175,NDays&amp;"D")</f>
        <v>42355</v>
      </c>
      <c r="Z175" s="132">
        <v>-2.3128146457776163E-5</v>
      </c>
      <c r="AA175" s="129">
        <v>-1.7912970650790783E-4</v>
      </c>
    </row>
    <row r="176" spans="19:27" x14ac:dyDescent="0.2">
      <c r="S176" s="1"/>
      <c r="T176" s="109"/>
      <c r="W176" s="130" t="str">
        <f t="shared" si="12"/>
        <v>1D</v>
      </c>
      <c r="X176" s="128">
        <f>_xll.qlCalendarAdvance(Calendar,X175,W176,"f",FALSE)</f>
        <v>42354</v>
      </c>
      <c r="Y176" s="131">
        <f>_xll.qlCalendarAdvance(Calendar,X176,NDays&amp;"D")</f>
        <v>42356</v>
      </c>
      <c r="Z176" s="132">
        <v>-2.1243404513284746E-5</v>
      </c>
      <c r="AA176" s="129">
        <v>-1.7653369470238545E-4</v>
      </c>
    </row>
    <row r="177" spans="19:27" x14ac:dyDescent="0.2">
      <c r="S177" s="1"/>
      <c r="T177" s="109"/>
      <c r="W177" s="130" t="str">
        <f t="shared" si="12"/>
        <v>1D</v>
      </c>
      <c r="X177" s="128">
        <f>_xll.qlCalendarAdvance(Calendar,X176,W177,"f",FALSE)</f>
        <v>42355</v>
      </c>
      <c r="Y177" s="131">
        <f>_xll.qlCalendarAdvance(Calendar,X177,NDays&amp;"D")</f>
        <v>42359</v>
      </c>
      <c r="Z177" s="132">
        <v>-1.5515424807350602E-5</v>
      </c>
      <c r="AA177" s="129">
        <v>-1.7389370519538261E-4</v>
      </c>
    </row>
    <row r="178" spans="19:27" x14ac:dyDescent="0.2">
      <c r="S178" s="1"/>
      <c r="T178" s="109"/>
      <c r="W178" s="130" t="str">
        <f t="shared" si="12"/>
        <v>1D</v>
      </c>
      <c r="X178" s="128">
        <f>_xll.qlCalendarAdvance(Calendar,X177,W178,"f",FALSE)</f>
        <v>42356</v>
      </c>
      <c r="Y178" s="131">
        <f>_xll.qlCalendarAdvance(Calendar,X178,NDays&amp;"D")</f>
        <v>42360</v>
      </c>
      <c r="Z178" s="132">
        <v>-1.35827057992186E-5</v>
      </c>
      <c r="AA178" s="129">
        <v>-1.7255159173501511E-4</v>
      </c>
    </row>
    <row r="179" spans="19:27" x14ac:dyDescent="0.2">
      <c r="S179" s="1"/>
      <c r="T179" s="109"/>
      <c r="W179" s="130" t="str">
        <f t="shared" si="12"/>
        <v>1D</v>
      </c>
      <c r="X179" s="128">
        <f>_xll.qlCalendarAdvance(Calendar,X178,W179,"f",FALSE)</f>
        <v>42359</v>
      </c>
      <c r="Y179" s="131">
        <f>_xll.qlCalendarAdvance(Calendar,X179,NDays&amp;"D")</f>
        <v>42361</v>
      </c>
      <c r="Z179" s="132">
        <v>-1.1638886664115164E-5</v>
      </c>
      <c r="AA179" s="129">
        <v>-1.7119623294981068E-4</v>
      </c>
    </row>
    <row r="180" spans="19:27" x14ac:dyDescent="0.2">
      <c r="S180" s="1"/>
      <c r="T180" s="109"/>
      <c r="W180" s="130" t="str">
        <f t="shared" si="12"/>
        <v>1D</v>
      </c>
      <c r="X180" s="128">
        <f>_xll.qlCalendarAdvance(Calendar,X179,W180,"f",FALSE)</f>
        <v>42360</v>
      </c>
      <c r="Y180" s="131">
        <f>_xll.qlCalendarAdvance(Calendar,X180,NDays&amp;"D")</f>
        <v>42362</v>
      </c>
      <c r="Z180" s="132">
        <v>-9.684325061876109E-6</v>
      </c>
      <c r="AA180" s="129">
        <v>-1.677414926459786E-4</v>
      </c>
    </row>
    <row r="181" spans="19:27" x14ac:dyDescent="0.2">
      <c r="S181" s="1"/>
      <c r="T181" s="109"/>
      <c r="W181" s="130" t="str">
        <f t="shared" si="12"/>
        <v>1D</v>
      </c>
      <c r="X181" s="128">
        <f>_xll.qlCalendarAdvance(Calendar,X180,W181,"f",FALSE)</f>
        <v>42361</v>
      </c>
      <c r="Y181" s="131">
        <f>_xll.qlCalendarAdvance(Calendar,X181,NDays&amp;"D")</f>
        <v>42366</v>
      </c>
      <c r="Z181" s="132">
        <v>-1.5504836154109238E-6</v>
      </c>
      <c r="AA181" s="129">
        <v>-1.6422076051014756E-4</v>
      </c>
    </row>
    <row r="182" spans="19:27" x14ac:dyDescent="0.2">
      <c r="S182" s="1"/>
      <c r="T182" s="109"/>
      <c r="W182" s="130" t="str">
        <f t="shared" si="12"/>
        <v>1D</v>
      </c>
      <c r="X182" s="128">
        <f>_xll.qlCalendarAdvance(Calendar,X181,W182,"f",FALSE)</f>
        <v>42362</v>
      </c>
      <c r="Y182" s="131">
        <f>_xll.qlCalendarAdvance(Calendar,X182,NDays&amp;"D")</f>
        <v>42367</v>
      </c>
      <c r="Z182" s="132">
        <v>2.3710195301623822E-7</v>
      </c>
      <c r="AA182" s="129">
        <v>-1.6278593017560183E-4</v>
      </c>
    </row>
    <row r="183" spans="19:27" x14ac:dyDescent="0.2">
      <c r="S183" s="1"/>
      <c r="T183" s="109"/>
      <c r="W183" s="130" t="str">
        <f t="shared" si="12"/>
        <v>1D</v>
      </c>
      <c r="X183" s="128">
        <f>_xll.qlCalendarAdvance(Calendar,X182,W183,"f",FALSE)</f>
        <v>42366</v>
      </c>
      <c r="Y183" s="131">
        <f>_xll.qlCalendarAdvance(Calendar,X183,NDays&amp;"D")</f>
        <v>42368</v>
      </c>
      <c r="Z183" s="132">
        <v>2.2486075384104768E-6</v>
      </c>
      <c r="AA183" s="129">
        <v>-1.6133785463612327E-4</v>
      </c>
    </row>
    <row r="184" spans="19:27" x14ac:dyDescent="0.2">
      <c r="S184" s="1"/>
      <c r="T184" s="109"/>
      <c r="W184" s="130" t="str">
        <f t="shared" si="12"/>
        <v>1D</v>
      </c>
      <c r="X184" s="128">
        <f>_xll.qlCalendarAdvance(Calendar,X183,W184,"f",FALSE)</f>
        <v>42367</v>
      </c>
      <c r="Y184" s="131">
        <f>_xll.qlCalendarAdvance(Calendar,X184,NDays&amp;"D")</f>
        <v>42369</v>
      </c>
      <c r="Z184" s="132">
        <v>4.2683519760425193E-6</v>
      </c>
      <c r="AA184" s="129">
        <v>1.1743660447094406E-3</v>
      </c>
    </row>
    <row r="185" spans="19:27" x14ac:dyDescent="0.2">
      <c r="S185" s="1"/>
      <c r="T185" s="109"/>
      <c r="W185" s="130" t="str">
        <f t="shared" si="12"/>
        <v>1D</v>
      </c>
      <c r="X185" s="128">
        <f>_xll.qlCalendarAdvance(Calendar,X184,W185,"f",FALSE)</f>
        <v>42368</v>
      </c>
      <c r="Y185" s="131">
        <f>_xll.qlCalendarAdvance(Calendar,X185,NDays&amp;"D")</f>
        <v>42373</v>
      </c>
      <c r="Z185" s="132">
        <v>-4.612706941639835E-5</v>
      </c>
      <c r="AA185" s="129">
        <v>-1.5389879806537721E-4</v>
      </c>
    </row>
    <row r="186" spans="19:27" x14ac:dyDescent="0.2">
      <c r="S186" s="1"/>
      <c r="T186" s="109"/>
      <c r="W186" s="130" t="str">
        <f t="shared" si="12"/>
        <v>1D</v>
      </c>
      <c r="X186" s="128">
        <f>_xll.qlCalendarAdvance(Calendar,X185,W186,"f",FALSE)</f>
        <v>42369</v>
      </c>
      <c r="Y186" s="131">
        <f>_xll.qlCalendarAdvance(Calendar,X186,NDays&amp;"D")</f>
        <v>42374</v>
      </c>
      <c r="Z186" s="132">
        <v>-4.407152609051692E-5</v>
      </c>
      <c r="AA186" s="129">
        <v>-1.5237125085665326E-4</v>
      </c>
    </row>
    <row r="187" spans="19:27" x14ac:dyDescent="0.2">
      <c r="S187" s="1"/>
      <c r="T187" s="109"/>
      <c r="W187" s="130" t="str">
        <f t="shared" si="12"/>
        <v>1D</v>
      </c>
      <c r="X187" s="128">
        <f>_xll.qlCalendarAdvance(Calendar,X186,W187,"f",FALSE)</f>
        <v>42373</v>
      </c>
      <c r="Y187" s="131">
        <f>_xll.qlCalendarAdvance(Calendar,X187,NDays&amp;"D")</f>
        <v>42375</v>
      </c>
      <c r="Z187" s="132">
        <v>-4.2009889986924568E-5</v>
      </c>
      <c r="AA187" s="129">
        <v>-1.5083045840302844E-4</v>
      </c>
    </row>
    <row r="188" spans="19:27" x14ac:dyDescent="0.2">
      <c r="S188" s="1"/>
      <c r="T188" s="109"/>
      <c r="W188" s="130" t="str">
        <f t="shared" si="12"/>
        <v>1D</v>
      </c>
      <c r="X188" s="128">
        <f>_xll.qlCalendarAdvance(Calendar,X187,W188,"f",FALSE)</f>
        <v>42374</v>
      </c>
      <c r="Y188" s="131">
        <f>_xll.qlCalendarAdvance(Calendar,X188,NDays&amp;"D")</f>
        <v>42376</v>
      </c>
      <c r="Z188" s="132">
        <v>-3.9942518767653148E-5</v>
      </c>
      <c r="AA188" s="129">
        <v>-1.492764209043429E-4</v>
      </c>
    </row>
    <row r="189" spans="19:27" x14ac:dyDescent="0.2">
      <c r="S189" s="1"/>
      <c r="T189" s="109"/>
      <c r="W189" s="130" t="str">
        <f t="shared" si="12"/>
        <v>1D</v>
      </c>
      <c r="X189" s="128">
        <f>_xll.qlCalendarAdvance(Calendar,X188,W189,"f",FALSE)</f>
        <v>42375</v>
      </c>
      <c r="Y189" s="131">
        <f>_xll.qlCalendarAdvance(Calendar,X189,NDays&amp;"D")</f>
        <v>42377</v>
      </c>
      <c r="Z189" s="132">
        <v>-3.7869770093416898E-5</v>
      </c>
      <c r="AA189" s="129">
        <v>-1.4612413540504576E-4</v>
      </c>
    </row>
    <row r="190" spans="19:27" x14ac:dyDescent="0.2">
      <c r="S190" s="1"/>
      <c r="T190" s="109"/>
      <c r="W190" s="130" t="str">
        <f t="shared" si="12"/>
        <v>1D</v>
      </c>
      <c r="X190" s="128">
        <f>_xll.qlCalendarAdvance(Calendar,X189,W190,"f",FALSE)</f>
        <v>42376</v>
      </c>
      <c r="Y190" s="131">
        <f>_xll.qlCalendarAdvance(Calendar,X190,NDays&amp;"D")</f>
        <v>42380</v>
      </c>
      <c r="Z190" s="132">
        <v>-3.162283597265717E-5</v>
      </c>
      <c r="AA190" s="129">
        <v>-1.4292781770119944E-4</v>
      </c>
    </row>
    <row r="191" spans="19:27" x14ac:dyDescent="0.2">
      <c r="S191" s="1"/>
      <c r="T191" s="109"/>
      <c r="W191" s="130" t="str">
        <f t="shared" si="12"/>
        <v>1D</v>
      </c>
      <c r="X191" s="128">
        <f>_xll.qlCalendarAdvance(Calendar,X190,W191,"f",FALSE)</f>
        <v>42377</v>
      </c>
      <c r="Y191" s="131">
        <f>_xll.qlCalendarAdvance(Calendar,X191,NDays&amp;"D")</f>
        <v>42381</v>
      </c>
      <c r="Z191" s="132">
        <v>-2.9532154113813289E-5</v>
      </c>
      <c r="AA191" s="129">
        <v>-1.4130755373820136E-4</v>
      </c>
    </row>
    <row r="192" spans="19:27" x14ac:dyDescent="0.2">
      <c r="S192" s="1"/>
      <c r="T192" s="109"/>
      <c r="W192" s="130" t="str">
        <f t="shared" si="12"/>
        <v>1D</v>
      </c>
      <c r="X192" s="128">
        <f>_xll.qlCalendarAdvance(Calendar,X191,W192,"f",FALSE)</f>
        <v>42380</v>
      </c>
      <c r="Y192" s="131">
        <f>_xll.qlCalendarAdvance(Calendar,X192,NDays&amp;"D")</f>
        <v>42382</v>
      </c>
      <c r="Z192" s="132">
        <v>-2.7437883121583306E-5</v>
      </c>
      <c r="AA192" s="129">
        <v>-1.396740446502065E-4</v>
      </c>
    </row>
    <row r="193" spans="19:27" x14ac:dyDescent="0.2">
      <c r="S193" s="1"/>
      <c r="T193" s="109"/>
      <c r="W193" s="130" t="str">
        <f t="shared" si="12"/>
        <v>1D</v>
      </c>
      <c r="X193" s="128">
        <f>_xll.qlCalendarAdvance(Calendar,X192,W193,"f",FALSE)</f>
        <v>42381</v>
      </c>
      <c r="Y193" s="131">
        <f>_xll.qlCalendarAdvance(Calendar,X193,NDays&amp;"D")</f>
        <v>42383</v>
      </c>
      <c r="Z193" s="132">
        <v>-2.5340380659755925E-5</v>
      </c>
      <c r="AA193" s="129">
        <v>-1.3802728999756653E-4</v>
      </c>
    </row>
    <row r="194" spans="19:27" x14ac:dyDescent="0.2">
      <c r="S194" s="1"/>
      <c r="T194" s="109"/>
      <c r="W194" s="130" t="str">
        <f t="shared" si="12"/>
        <v>1D</v>
      </c>
      <c r="X194" s="128">
        <f>_xll.qlCalendarAdvance(Calendar,X193,W194,"f",FALSE)</f>
        <v>42382</v>
      </c>
      <c r="Y194" s="131">
        <f>_xll.qlCalendarAdvance(Calendar,X194,NDays&amp;"D")</f>
        <v>42384</v>
      </c>
      <c r="Z194" s="132">
        <v>-2.3240004399586385E-5</v>
      </c>
      <c r="AA194" s="129">
        <v>-1.3468957984930086E-4</v>
      </c>
    </row>
    <row r="195" spans="19:27" x14ac:dyDescent="0.2">
      <c r="S195" s="1"/>
      <c r="T195" s="109"/>
      <c r="W195" s="130" t="str">
        <f t="shared" si="12"/>
        <v>1D</v>
      </c>
      <c r="X195" s="128">
        <f>_xll.qlCalendarAdvance(Calendar,X194,W195,"f",FALSE)</f>
        <v>42383</v>
      </c>
      <c r="Y195" s="131">
        <f>_xll.qlCalendarAdvance(Calendar,X195,NDays&amp;"D")</f>
        <v>42387</v>
      </c>
      <c r="Z195" s="132">
        <v>-1.6925209494581992E-5</v>
      </c>
      <c r="AA195" s="129">
        <v>-1.3130781961745441E-4</v>
      </c>
    </row>
    <row r="196" spans="19:27" x14ac:dyDescent="0.2">
      <c r="S196" s="1"/>
      <c r="T196" s="109"/>
      <c r="W196" s="130" t="str">
        <f t="shared" si="12"/>
        <v>1D</v>
      </c>
      <c r="X196" s="128">
        <f>_xll.qlCalendarAdvance(Calendar,X195,W196,"f",FALSE)</f>
        <v>42384</v>
      </c>
      <c r="Y196" s="131">
        <f>_xll.qlCalendarAdvance(Calendar,X196,NDays&amp;"D")</f>
        <v>42388</v>
      </c>
      <c r="Z196" s="132">
        <v>-1.4816914716263576E-5</v>
      </c>
      <c r="AA196" s="129">
        <v>-1.2959483866037402E-4</v>
      </c>
    </row>
    <row r="197" spans="19:27" x14ac:dyDescent="0.2">
      <c r="S197" s="1"/>
      <c r="T197" s="109"/>
      <c r="W197" s="130" t="str">
        <f t="shared" si="12"/>
        <v>1D</v>
      </c>
      <c r="X197" s="128">
        <f>_xll.qlCalendarAdvance(Calendar,X196,W197,"f",FALSE)</f>
        <v>42387</v>
      </c>
      <c r="Y197" s="131">
        <f>_xll.qlCalendarAdvance(Calendar,X197,NDays&amp;"D")</f>
        <v>42389</v>
      </c>
      <c r="Z197" s="132">
        <v>-1.2707534486216661E-5</v>
      </c>
      <c r="AA197" s="129">
        <v>-1.2786861273816896E-4</v>
      </c>
    </row>
    <row r="198" spans="19:27" x14ac:dyDescent="0.2">
      <c r="S198" s="1"/>
      <c r="T198" s="109"/>
      <c r="W198" s="130" t="str">
        <f t="shared" si="12"/>
        <v>1D</v>
      </c>
      <c r="X198" s="128">
        <f>_xll.qlCalendarAdvance(Calendar,X197,W198,"f",FALSE)</f>
        <v>42388</v>
      </c>
      <c r="Y198" s="131">
        <f>_xll.qlCalendarAdvance(Calendar,X198,NDays&amp;"D")</f>
        <v>42390</v>
      </c>
      <c r="Z198" s="132">
        <v>-1.0597426471304405E-5</v>
      </c>
      <c r="AA198" s="129">
        <v>-1.2612914133125486E-4</v>
      </c>
    </row>
    <row r="199" spans="19:27" x14ac:dyDescent="0.2">
      <c r="S199" s="1"/>
      <c r="T199" s="109"/>
      <c r="W199" s="130" t="str">
        <f t="shared" si="12"/>
        <v>1D</v>
      </c>
      <c r="X199" s="128">
        <f>_xll.qlCalendarAdvance(Calendar,X198,W199,"f",FALSE)</f>
        <v>42389</v>
      </c>
      <c r="Y199" s="131">
        <f>_xll.qlCalendarAdvance(Calendar,X199,NDays&amp;"D")</f>
        <v>42391</v>
      </c>
      <c r="Z199" s="132">
        <v>-8.4869483493701974E-6</v>
      </c>
      <c r="AA199" s="129">
        <v>-1.2260600612101769E-4</v>
      </c>
    </row>
    <row r="200" spans="19:27" x14ac:dyDescent="0.2">
      <c r="S200" s="1"/>
      <c r="T200" s="109"/>
      <c r="W200" s="130" t="str">
        <f t="shared" si="12"/>
        <v>1D</v>
      </c>
      <c r="X200" s="128">
        <f>_xll.qlCalendarAdvance(Calendar,X199,W200,"f",FALSE)</f>
        <v>42390</v>
      </c>
      <c r="Y200" s="131">
        <f>_xll.qlCalendarAdvance(Calendar,X200,NDays&amp;"D")</f>
        <v>42394</v>
      </c>
      <c r="Z200" s="132">
        <v>-2.1568700531099446E-6</v>
      </c>
      <c r="AA200" s="129">
        <v>-1.1903880349439788E-4</v>
      </c>
    </row>
    <row r="201" spans="19:27" x14ac:dyDescent="0.2">
      <c r="S201" s="1"/>
      <c r="T201" s="109"/>
      <c r="W201" s="130" t="str">
        <f t="shared" si="12"/>
        <v>1D</v>
      </c>
      <c r="X201" s="128">
        <f>_xll.qlCalendarAdvance(Calendar,X200,W201,"f",FALSE)</f>
        <v>42391</v>
      </c>
      <c r="Y201" s="131">
        <f>_xll.qlCalendarAdvance(Calendar,X201,NDays&amp;"D")</f>
        <v>42395</v>
      </c>
      <c r="Z201" s="132">
        <v>-4.8488229695123498E-8</v>
      </c>
      <c r="AA201" s="129">
        <v>-1.172331057031073E-4</v>
      </c>
    </row>
    <row r="202" spans="19:27" x14ac:dyDescent="0.2">
      <c r="S202" s="1"/>
      <c r="T202" s="109"/>
      <c r="W202" s="130" t="str">
        <f t="shared" si="12"/>
        <v>1D</v>
      </c>
      <c r="X202" s="128">
        <f>_xll.qlCalendarAdvance(Calendar,X201,W202,"f",FALSE)</f>
        <v>42394</v>
      </c>
      <c r="Y202" s="131">
        <f>_xll.qlCalendarAdvance(Calendar,X202,NDays&amp;"D")</f>
        <v>42396</v>
      </c>
      <c r="Z202" s="132">
        <v>2.058475329532287E-6</v>
      </c>
      <c r="AA202" s="129">
        <v>-1.1541416294669204E-4</v>
      </c>
    </row>
    <row r="203" spans="19:27" x14ac:dyDescent="0.2">
      <c r="S203" s="1"/>
      <c r="T203" s="109"/>
      <c r="W203" s="130" t="str">
        <f t="shared" si="12"/>
        <v>1D</v>
      </c>
      <c r="X203" s="128">
        <f>_xll.qlCalendarAdvance(Calendar,X202,W203,"f",FALSE)</f>
        <v>42395</v>
      </c>
      <c r="Y203" s="131">
        <f>_xll.qlCalendarAdvance(Calendar,X203,NDays&amp;"D")</f>
        <v>42397</v>
      </c>
      <c r="Z203" s="132">
        <v>4.1636629502425734E-6</v>
      </c>
      <c r="AA203" s="129">
        <v>-1.1358197474553577E-4</v>
      </c>
    </row>
    <row r="204" spans="19:27" x14ac:dyDescent="0.2">
      <c r="S204" s="1"/>
      <c r="T204" s="109"/>
      <c r="W204" s="130" t="str">
        <f t="shared" si="12"/>
        <v>1D</v>
      </c>
      <c r="X204" s="128">
        <f>_xll.qlCalendarAdvance(Calendar,X203,W204,"f",FALSE)</f>
        <v>42396</v>
      </c>
      <c r="Y204" s="131">
        <f>_xll.qlCalendarAdvance(Calendar,X204,NDays&amp;"D")</f>
        <v>42398</v>
      </c>
      <c r="Z204" s="132">
        <v>6.2667169510786739E-6</v>
      </c>
      <c r="AA204" s="129">
        <v>5.5012961175826547E-4</v>
      </c>
    </row>
    <row r="205" spans="19:27" x14ac:dyDescent="0.2">
      <c r="S205" s="1"/>
      <c r="T205" s="109"/>
      <c r="W205" s="130" t="str">
        <f t="shared" si="12"/>
        <v>1D</v>
      </c>
      <c r="X205" s="128">
        <f>_xll.qlCalendarAdvance(Calendar,X204,W205,"f",FALSE)</f>
        <v>42397</v>
      </c>
      <c r="Y205" s="131">
        <f>_xll.qlCalendarAdvance(Calendar,X205,NDays&amp;"D")</f>
        <v>42401</v>
      </c>
      <c r="Z205" s="132">
        <v>-9.1988103771563493E-6</v>
      </c>
      <c r="AA205" s="129">
        <v>-1.0612076933202985E-4</v>
      </c>
    </row>
    <row r="206" spans="19:27" x14ac:dyDescent="0.2">
      <c r="S206" s="1"/>
      <c r="T206" s="109"/>
      <c r="W206" s="130" t="str">
        <f t="shared" si="12"/>
        <v>1D</v>
      </c>
      <c r="X206" s="128">
        <f>_xll.qlCalendarAdvance(Calendar,X205,W206,"f",FALSE)</f>
        <v>42398</v>
      </c>
      <c r="Y206" s="131">
        <f>_xll.qlCalendarAdvance(Calendar,X206,NDays&amp;"D")</f>
        <v>42402</v>
      </c>
      <c r="Z206" s="132">
        <v>-8.1219021161871296E-6</v>
      </c>
      <c r="AA206" s="129">
        <v>-1.0422235482643316E-4</v>
      </c>
    </row>
    <row r="207" spans="19:27" x14ac:dyDescent="0.2">
      <c r="S207" s="1"/>
      <c r="T207" s="109"/>
      <c r="W207" s="130" t="str">
        <f t="shared" si="12"/>
        <v>1D</v>
      </c>
      <c r="X207" s="128">
        <f>_xll.qlCalendarAdvance(Calendar,X206,W207,"f",FALSE)</f>
        <v>42401</v>
      </c>
      <c r="Y207" s="131">
        <f>_xll.qlCalendarAdvance(Calendar,X207,NDays&amp;"D")</f>
        <v>42403</v>
      </c>
      <c r="Z207" s="132">
        <v>-6.0288311569678399E-6</v>
      </c>
      <c r="AA207" s="129">
        <v>-1.023106950759356E-4</v>
      </c>
    </row>
    <row r="208" spans="19:27" x14ac:dyDescent="0.2">
      <c r="S208" s="1"/>
      <c r="T208" s="109"/>
      <c r="W208" s="130" t="str">
        <f t="shared" si="12"/>
        <v>1D</v>
      </c>
      <c r="X208" s="128">
        <f>_xll.qlCalendarAdvance(Calendar,X207,W208,"f",FALSE)</f>
        <v>42402</v>
      </c>
      <c r="Y208" s="131">
        <f>_xll.qlCalendarAdvance(Calendar,X208,NDays&amp;"D")</f>
        <v>42404</v>
      </c>
      <c r="Z208" s="132">
        <v>-3.9398729643203012E-6</v>
      </c>
      <c r="AA208" s="129">
        <v>-1.0038579004056913E-4</v>
      </c>
    </row>
    <row r="209" spans="19:27" x14ac:dyDescent="0.2">
      <c r="S209" s="1"/>
      <c r="T209" s="109"/>
      <c r="W209" s="130" t="str">
        <f t="shared" si="12"/>
        <v>1D</v>
      </c>
      <c r="X209" s="128">
        <f>_xll.qlCalendarAdvance(Calendar,X208,W209,"f",FALSE)</f>
        <v>42403</v>
      </c>
      <c r="Y209" s="131">
        <f>_xll.qlCalendarAdvance(Calendar,X209,NDays&amp;"D")</f>
        <v>42405</v>
      </c>
      <c r="Z209" s="132">
        <v>-1.8553891938388745E-6</v>
      </c>
      <c r="AA209" s="129">
        <v>-9.6491803214249217E-5</v>
      </c>
    </row>
    <row r="210" spans="19:27" x14ac:dyDescent="0.2">
      <c r="S210" s="1"/>
      <c r="T210" s="109"/>
      <c r="W210" s="130" t="str">
        <f t="shared" si="12"/>
        <v>1D</v>
      </c>
      <c r="X210" s="128">
        <f>_xll.qlCalendarAdvance(Calendar,X209,W210,"f",FALSE)</f>
        <v>42404</v>
      </c>
      <c r="Y210" s="131">
        <f>_xll.qlCalendarAdvance(Calendar,X210,NDays&amp;"D")</f>
        <v>42408</v>
      </c>
      <c r="Z210" s="132">
        <v>5.3428275105226201E-6</v>
      </c>
      <c r="AA210" s="129">
        <v>-9.255371717031835E-5</v>
      </c>
    </row>
    <row r="211" spans="19:27" x14ac:dyDescent="0.2">
      <c r="S211" s="1"/>
      <c r="T211" s="109"/>
      <c r="W211" s="130" t="str">
        <f t="shared" si="12"/>
        <v>1D</v>
      </c>
      <c r="X211" s="128">
        <f>_xll.qlCalendarAdvance(Calendar,X210,W211,"f",FALSE)</f>
        <v>42405</v>
      </c>
      <c r="Y211" s="131">
        <f>_xll.qlCalendarAdvance(Calendar,X211,NDays&amp;"D")</f>
        <v>42409</v>
      </c>
      <c r="Z211" s="132">
        <v>6.4305685487653363E-6</v>
      </c>
      <c r="AA211" s="129">
        <v>-9.0562585830511466E-5</v>
      </c>
    </row>
    <row r="212" spans="19:27" x14ac:dyDescent="0.2">
      <c r="S212" s="1"/>
      <c r="T212" s="109"/>
      <c r="W212" s="130" t="str">
        <f t="shared" si="12"/>
        <v>1D</v>
      </c>
      <c r="X212" s="128">
        <f>_xll.qlCalendarAdvance(Calendar,X211,W212,"f",FALSE)</f>
        <v>42408</v>
      </c>
      <c r="Y212" s="131">
        <f>_xll.qlCalendarAdvance(Calendar,X212,NDays&amp;"D")</f>
        <v>42410</v>
      </c>
      <c r="Z212" s="132">
        <v>8.4872553633985603E-6</v>
      </c>
      <c r="AA212" s="129">
        <v>-8.8558209125899623E-5</v>
      </c>
    </row>
    <row r="213" spans="19:27" x14ac:dyDescent="0.2">
      <c r="S213" s="1"/>
      <c r="T213" s="109"/>
      <c r="W213" s="130" t="str">
        <f t="shared" ref="W213:W276" si="13">W212</f>
        <v>1D</v>
      </c>
      <c r="X213" s="128">
        <f>_xll.qlCalendarAdvance(Calendar,X212,W213,"f",FALSE)</f>
        <v>42409</v>
      </c>
      <c r="Y213" s="131">
        <f>_xll.qlCalendarAdvance(Calendar,X213,NDays&amp;"D")</f>
        <v>42411</v>
      </c>
      <c r="Z213" s="132">
        <v>1.0537297811197277E-5</v>
      </c>
      <c r="AA213" s="129">
        <v>-8.6540587336259023E-5</v>
      </c>
    </row>
    <row r="214" spans="19:27" x14ac:dyDescent="0.2">
      <c r="S214" s="1"/>
      <c r="T214" s="109"/>
      <c r="W214" s="130" t="str">
        <f t="shared" si="13"/>
        <v>1D</v>
      </c>
      <c r="X214" s="128">
        <f>_xll.qlCalendarAdvance(Calendar,X213,W214,"f",FALSE)</f>
        <v>42410</v>
      </c>
      <c r="Y214" s="131">
        <f>_xll.qlCalendarAdvance(Calendar,X214,NDays&amp;"D")</f>
        <v>42412</v>
      </c>
      <c r="Z214" s="132">
        <v>1.2580334234790769E-5</v>
      </c>
      <c r="AA214" s="129">
        <v>-8.2461173609438276E-5</v>
      </c>
    </row>
    <row r="215" spans="19:27" x14ac:dyDescent="0.2">
      <c r="S215" s="1"/>
      <c r="T215" s="109"/>
      <c r="W215" s="130" t="str">
        <f t="shared" si="13"/>
        <v>1D</v>
      </c>
      <c r="X215" s="128">
        <f>_xll.qlCalendarAdvance(Calendar,X214,W215,"f",FALSE)</f>
        <v>42411</v>
      </c>
      <c r="Y215" s="131">
        <f>_xll.qlCalendarAdvance(Calendar,X215,NDays&amp;"D")</f>
        <v>42415</v>
      </c>
      <c r="Z215" s="132">
        <v>1.9587128886745386E-5</v>
      </c>
      <c r="AA215" s="129">
        <v>-7.833764692932732E-5</v>
      </c>
    </row>
    <row r="216" spans="19:27" x14ac:dyDescent="0.2">
      <c r="S216" s="1"/>
      <c r="T216" s="109"/>
      <c r="W216" s="130" t="str">
        <f t="shared" si="13"/>
        <v>1D</v>
      </c>
      <c r="X216" s="128">
        <f>_xll.qlCalendarAdvance(Calendar,X215,W216,"f",FALSE)</f>
        <v>42412</v>
      </c>
      <c r="Y216" s="131">
        <f>_xll.qlCalendarAdvance(Calendar,X216,NDays&amp;"D")</f>
        <v>42416</v>
      </c>
      <c r="Z216" s="132">
        <v>2.0675186449992111E-5</v>
      </c>
      <c r="AA216" s="129">
        <v>-7.6253798675374185E-5</v>
      </c>
    </row>
    <row r="217" spans="19:27" x14ac:dyDescent="0.2">
      <c r="S217" s="1"/>
      <c r="T217" s="109"/>
      <c r="W217" s="130" t="str">
        <f t="shared" si="13"/>
        <v>1D</v>
      </c>
      <c r="X217" s="128">
        <f>_xll.qlCalendarAdvance(Calendar,X216,W217,"f",FALSE)</f>
        <v>42415</v>
      </c>
      <c r="Y217" s="131">
        <f>_xll.qlCalendarAdvance(Calendar,X217,NDays&amp;"D")</f>
        <v>42417</v>
      </c>
      <c r="Z217" s="132">
        <v>2.2677767822720796E-5</v>
      </c>
      <c r="AA217" s="129">
        <v>-7.415670505661609E-5</v>
      </c>
    </row>
    <row r="218" spans="19:27" x14ac:dyDescent="0.2">
      <c r="S218" s="1"/>
      <c r="T218" s="109"/>
      <c r="W218" s="130" t="str">
        <f t="shared" si="13"/>
        <v>1D</v>
      </c>
      <c r="X218" s="128">
        <f>_xll.qlCalendarAdvance(Calendar,X217,W218,"f",FALSE)</f>
        <v>42416</v>
      </c>
      <c r="Y218" s="131">
        <f>_xll.qlCalendarAdvance(Calendar,X218,NDays&amp;"D")</f>
        <v>42418</v>
      </c>
      <c r="Z218" s="132">
        <v>2.4671173196821883E-5</v>
      </c>
      <c r="AA218" s="129">
        <v>-7.204636631286121E-5</v>
      </c>
    </row>
    <row r="219" spans="19:27" x14ac:dyDescent="0.2">
      <c r="S219" s="1"/>
      <c r="T219" s="109"/>
      <c r="W219" s="130" t="str">
        <f t="shared" si="13"/>
        <v>1D</v>
      </c>
      <c r="X219" s="128">
        <f>_xll.qlCalendarAdvance(Calendar,X218,W219,"f",FALSE)</f>
        <v>42417</v>
      </c>
      <c r="Y219" s="131">
        <f>_xll.qlCalendarAdvance(Calendar,X219,NDays&amp;"D")</f>
        <v>42419</v>
      </c>
      <c r="Z219" s="132">
        <v>2.6655040906931049E-5</v>
      </c>
      <c r="AA219" s="129">
        <v>-6.7781525019405819E-5</v>
      </c>
    </row>
    <row r="220" spans="19:27" x14ac:dyDescent="0.2">
      <c r="S220" s="1"/>
      <c r="T220" s="109"/>
      <c r="W220" s="130" t="str">
        <f t="shared" si="13"/>
        <v>1D</v>
      </c>
      <c r="X220" s="128">
        <f>_xll.qlCalendarAdvance(Calendar,X219,W220,"f",FALSE)</f>
        <v>42418</v>
      </c>
      <c r="Y220" s="131">
        <f>_xll.qlCalendarAdvance(Calendar,X220,NDays&amp;"D")</f>
        <v>42422</v>
      </c>
      <c r="Z220" s="132">
        <v>3.3411407209267813E-5</v>
      </c>
      <c r="AA220" s="129">
        <v>-6.3472558409216617E-5</v>
      </c>
    </row>
    <row r="221" spans="19:27" x14ac:dyDescent="0.2">
      <c r="S221" s="1"/>
      <c r="T221" s="109"/>
      <c r="W221" s="130" t="str">
        <f t="shared" si="13"/>
        <v>1D</v>
      </c>
      <c r="X221" s="128">
        <f>_xll.qlCalendarAdvance(Calendar,X220,W221,"f",FALSE)</f>
        <v>42419</v>
      </c>
      <c r="Y221" s="131">
        <f>_xll.qlCalendarAdvance(Calendar,X221,NDays&amp;"D")</f>
        <v>42423</v>
      </c>
      <c r="Z221" s="132">
        <v>3.4487901796609322E-5</v>
      </c>
      <c r="AA221" s="129">
        <v>-6.1295993201149201E-5</v>
      </c>
    </row>
    <row r="222" spans="19:27" x14ac:dyDescent="0.2">
      <c r="S222" s="1"/>
      <c r="T222" s="109"/>
      <c r="W222" s="130" t="str">
        <f t="shared" si="13"/>
        <v>1D</v>
      </c>
      <c r="X222" s="128">
        <f>_xll.qlCalendarAdvance(Calendar,X221,W222,"f",FALSE)</f>
        <v>42422</v>
      </c>
      <c r="Y222" s="131">
        <f>_xll.qlCalendarAdvance(Calendar,X222,NDays&amp;"D")</f>
        <v>42424</v>
      </c>
      <c r="Z222" s="132">
        <v>3.6418656197412247E-5</v>
      </c>
      <c r="AA222" s="129">
        <v>-5.9106182748180913E-5</v>
      </c>
    </row>
    <row r="223" spans="19:27" x14ac:dyDescent="0.2">
      <c r="S223" s="1"/>
      <c r="T223" s="109"/>
      <c r="W223" s="130" t="str">
        <f t="shared" si="13"/>
        <v>1D</v>
      </c>
      <c r="X223" s="128">
        <f>_xll.qlCalendarAdvance(Calendar,X222,W223,"f",FALSE)</f>
        <v>42423</v>
      </c>
      <c r="Y223" s="131">
        <f>_xll.qlCalendarAdvance(Calendar,X223,NDays&amp;"D")</f>
        <v>42425</v>
      </c>
      <c r="Z223" s="132">
        <v>3.8337702932267348E-5</v>
      </c>
      <c r="AA223" s="129">
        <v>-5.6903127090279781E-5</v>
      </c>
    </row>
    <row r="224" spans="19:27" x14ac:dyDescent="0.2">
      <c r="S224" s="1"/>
      <c r="T224" s="109"/>
      <c r="W224" s="130" t="str">
        <f t="shared" si="13"/>
        <v>1D</v>
      </c>
      <c r="X224" s="128">
        <f>_xll.qlCalendarAdvance(Calendar,X223,W224,"f",FALSE)</f>
        <v>42424</v>
      </c>
      <c r="Y224" s="131">
        <f>_xll.qlCalendarAdvance(Calendar,X224,NDays&amp;"D")</f>
        <v>42426</v>
      </c>
      <c r="Z224" s="132">
        <v>4.0244680333145766E-5</v>
      </c>
      <c r="AA224" s="129">
        <v>-5.2452857124407615E-5</v>
      </c>
    </row>
    <row r="225" spans="19:27" x14ac:dyDescent="0.2">
      <c r="S225" s="1"/>
      <c r="T225" s="109"/>
      <c r="W225" s="130" t="str">
        <f t="shared" si="13"/>
        <v>1D</v>
      </c>
      <c r="X225" s="128">
        <f>_xll.qlCalendarAdvance(Calendar,X224,W225,"f",FALSE)</f>
        <v>42425</v>
      </c>
      <c r="Y225" s="131">
        <f>_xll.qlCalendarAdvance(Calendar,X225,NDays&amp;"D")</f>
        <v>42429</v>
      </c>
      <c r="Z225" s="132">
        <v>4.7489993734017375E-5</v>
      </c>
      <c r="AA225" s="129">
        <v>-4.7958451570018212E-5</v>
      </c>
    </row>
    <row r="226" spans="19:27" x14ac:dyDescent="0.2">
      <c r="S226" s="1"/>
      <c r="T226" s="109"/>
      <c r="W226" s="130" t="str">
        <f t="shared" si="13"/>
        <v>1D</v>
      </c>
      <c r="X226" s="128">
        <f>_xll.qlCalendarAdvance(Calendar,X225,W226,"f",FALSE)</f>
        <v>42426</v>
      </c>
      <c r="Y226" s="131">
        <f>_xll.qlCalendarAdvance(Calendar,X226,NDays&amp;"D")</f>
        <v>42430</v>
      </c>
      <c r="Z226" s="132">
        <v>4.9326719747907916E-5</v>
      </c>
      <c r="AA226" s="129">
        <v>-4.5689169447804545E-5</v>
      </c>
    </row>
    <row r="227" spans="19:27" x14ac:dyDescent="0.2">
      <c r="S227" s="1"/>
      <c r="T227" s="109"/>
      <c r="W227" s="130" t="str">
        <f t="shared" si="13"/>
        <v>1D</v>
      </c>
      <c r="X227" s="128">
        <f>_xll.qlCalendarAdvance(Calendar,X226,W227,"f",FALSE)</f>
        <v>42429</v>
      </c>
      <c r="Y227" s="131">
        <f>_xll.qlCalendarAdvance(Calendar,X227,NDays&amp;"D")</f>
        <v>42431</v>
      </c>
      <c r="Z227" s="132">
        <v>5.1149450137139254E-5</v>
      </c>
      <c r="AA227" s="129">
        <v>-4.3406642160626063E-5</v>
      </c>
    </row>
    <row r="228" spans="19:27" x14ac:dyDescent="0.2">
      <c r="S228" s="1"/>
      <c r="T228" s="109"/>
      <c r="W228" s="130" t="str">
        <f t="shared" si="13"/>
        <v>1D</v>
      </c>
      <c r="X228" s="128">
        <f>_xll.qlCalendarAdvance(Calendar,X227,W228,"f",FALSE)</f>
        <v>42430</v>
      </c>
      <c r="Y228" s="131">
        <f>_xll.qlCalendarAdvance(Calendar,X228,NDays&amp;"D")</f>
        <v>42432</v>
      </c>
      <c r="Z228" s="132">
        <v>5.295783108994889E-5</v>
      </c>
      <c r="AA228" s="129">
        <v>-4.1110869508642622E-5</v>
      </c>
    </row>
    <row r="229" spans="19:27" x14ac:dyDescent="0.2">
      <c r="S229" s="1"/>
      <c r="T229" s="109"/>
      <c r="W229" s="130" t="str">
        <f t="shared" si="13"/>
        <v>1D</v>
      </c>
      <c r="X229" s="128">
        <f>_xll.qlCalendarAdvance(Calendar,X228,W229,"f",FALSE)</f>
        <v>42431</v>
      </c>
      <c r="Y229" s="131">
        <f>_xll.qlCalendarAdvance(Calendar,X229,NDays&amp;"D")</f>
        <v>42433</v>
      </c>
      <c r="Z229" s="132">
        <v>5.6252177129962129E-5</v>
      </c>
      <c r="AA229" s="129">
        <v>-3.6475169724603518E-5</v>
      </c>
    </row>
    <row r="230" spans="19:27" x14ac:dyDescent="0.2">
      <c r="S230" s="1"/>
      <c r="T230" s="109"/>
      <c r="W230" s="130" t="str">
        <f t="shared" si="13"/>
        <v>1D</v>
      </c>
      <c r="X230" s="128">
        <f>_xll.qlCalendarAdvance(Calendar,X229,W230,"f",FALSE)</f>
        <v>42432</v>
      </c>
      <c r="Y230" s="131">
        <f>_xll.qlCalendarAdvance(Calendar,X230,NDays&amp;"D")</f>
        <v>42436</v>
      </c>
      <c r="Z230" s="132">
        <v>6.0040784307802617E-5</v>
      </c>
      <c r="AA230" s="129">
        <v>-3.1795326291828019E-5</v>
      </c>
    </row>
    <row r="231" spans="19:27" x14ac:dyDescent="0.2">
      <c r="S231" s="1"/>
      <c r="T231" s="109"/>
      <c r="W231" s="130" t="str">
        <f t="shared" si="13"/>
        <v>1D</v>
      </c>
      <c r="X231" s="128">
        <f>_xll.qlCalendarAdvance(Calendar,X230,W231,"f",FALSE)</f>
        <v>42433</v>
      </c>
      <c r="Y231" s="131">
        <f>_xll.qlCalendarAdvance(Calendar,X231,NDays&amp;"D")</f>
        <v>42437</v>
      </c>
      <c r="Z231" s="132">
        <v>6.177211090032857E-5</v>
      </c>
      <c r="AA231" s="129">
        <v>-2.9433327415340216E-5</v>
      </c>
    </row>
    <row r="232" spans="19:27" x14ac:dyDescent="0.2">
      <c r="S232" s="1"/>
      <c r="T232" s="109"/>
      <c r="W232" s="130" t="str">
        <f t="shared" si="13"/>
        <v>1D</v>
      </c>
      <c r="X232" s="128">
        <f>_xll.qlCalendarAdvance(Calendar,X231,W232,"f",FALSE)</f>
        <v>42436</v>
      </c>
      <c r="Y232" s="131">
        <f>_xll.qlCalendarAdvance(Calendar,X232,NDays&amp;"D")</f>
        <v>42438</v>
      </c>
      <c r="Z232" s="132">
        <v>6.3486965181513497E-5</v>
      </c>
      <c r="AA232" s="129">
        <v>-2.7058083054143367E-5</v>
      </c>
    </row>
    <row r="233" spans="19:27" x14ac:dyDescent="0.2">
      <c r="S233" s="1"/>
      <c r="T233" s="109"/>
      <c r="W233" s="130" t="str">
        <f t="shared" si="13"/>
        <v>1D</v>
      </c>
      <c r="X233" s="128">
        <f>_xll.qlCalendarAdvance(Calendar,X232,W233,"f",FALSE)</f>
        <v>42437</v>
      </c>
      <c r="Y233" s="131">
        <f>_xll.qlCalendarAdvance(Calendar,X233,NDays&amp;"D")</f>
        <v>42439</v>
      </c>
      <c r="Z233" s="132">
        <v>6.5184993336988285E-5</v>
      </c>
      <c r="AA233" s="129">
        <v>-2.4669593607917761E-5</v>
      </c>
    </row>
    <row r="234" spans="19:27" x14ac:dyDescent="0.2">
      <c r="S234" s="1"/>
      <c r="T234" s="109"/>
      <c r="W234" s="130" t="str">
        <f t="shared" si="13"/>
        <v>1D</v>
      </c>
      <c r="X234" s="128">
        <f>_xll.qlCalendarAdvance(Calendar,X233,W234,"f",FALSE)</f>
        <v>42438</v>
      </c>
      <c r="Y234" s="131">
        <f>_xll.qlCalendarAdvance(Calendar,X234,NDays&amp;"D")</f>
        <v>42440</v>
      </c>
      <c r="Z234" s="132">
        <v>6.8233405700081381E-5</v>
      </c>
      <c r="AA234" s="129">
        <v>-1.9848462486926621E-5</v>
      </c>
    </row>
    <row r="235" spans="19:27" x14ac:dyDescent="0.2">
      <c r="S235" s="1"/>
      <c r="T235" s="109"/>
      <c r="W235" s="130" t="str">
        <f t="shared" si="13"/>
        <v>1D</v>
      </c>
      <c r="X235" s="128">
        <f>_xll.qlCalendarAdvance(Calendar,X234,W235,"f",FALSE)</f>
        <v>42439</v>
      </c>
      <c r="Y235" s="131">
        <f>_xll.qlCalendarAdvance(Calendar,X235,NDays&amp;"D")</f>
        <v>42443</v>
      </c>
      <c r="Z235" s="132">
        <v>7.1801768411797326E-5</v>
      </c>
      <c r="AA235" s="129">
        <v>-1.4983182614614066E-5</v>
      </c>
    </row>
    <row r="236" spans="19:27" x14ac:dyDescent="0.2">
      <c r="S236" s="1"/>
      <c r="T236" s="109"/>
      <c r="W236" s="130" t="str">
        <f t="shared" si="13"/>
        <v>1D</v>
      </c>
      <c r="X236" s="128">
        <f>_xll.qlCalendarAdvance(Calendar,X235,W236,"f",FALSE)</f>
        <v>42440</v>
      </c>
      <c r="Y236" s="131">
        <f>_xll.qlCalendarAdvance(Calendar,X236,NDays&amp;"D")</f>
        <v>42444</v>
      </c>
      <c r="Z236" s="132">
        <v>7.3410358713627246E-5</v>
      </c>
      <c r="AA236" s="129">
        <v>-1.2528466784011982E-5</v>
      </c>
    </row>
    <row r="237" spans="19:27" x14ac:dyDescent="0.2">
      <c r="S237" s="1"/>
      <c r="T237" s="109"/>
      <c r="W237" s="130" t="str">
        <f t="shared" si="13"/>
        <v>1D</v>
      </c>
      <c r="X237" s="128">
        <f>_xll.qlCalendarAdvance(Calendar,X236,W237,"f",FALSE)</f>
        <v>42443</v>
      </c>
      <c r="Y237" s="131">
        <f>_xll.qlCalendarAdvance(Calendar,X237,NDays&amp;"D")</f>
        <v>42445</v>
      </c>
      <c r="Z237" s="132">
        <v>7.500000000092578E-5</v>
      </c>
      <c r="AA237" s="129">
        <v>-1.0065930249325561E-5</v>
      </c>
    </row>
    <row r="238" spans="19:27" x14ac:dyDescent="0.2">
      <c r="S238" s="1"/>
      <c r="T238" s="109"/>
      <c r="W238" s="130" t="str">
        <f t="shared" si="13"/>
        <v>1D</v>
      </c>
      <c r="X238" s="128">
        <f>_xll.qlCalendarAdvance(Calendar,X237,W238,"f",FALSE)</f>
        <v>42444</v>
      </c>
      <c r="Y238" s="131">
        <f>_xll.qlCalendarAdvance(Calendar,X238,NDays&amp;"D")</f>
        <v>42446</v>
      </c>
      <c r="Z238" s="132">
        <v>7.6570511724204522E-5</v>
      </c>
      <c r="AA238" s="129">
        <v>-7.6172721730216608E-6</v>
      </c>
    </row>
    <row r="239" spans="19:27" x14ac:dyDescent="0.2">
      <c r="S239" s="1"/>
      <c r="T239" s="109"/>
      <c r="W239" s="130" t="str">
        <f t="shared" si="13"/>
        <v>1D</v>
      </c>
      <c r="X239" s="128">
        <f>_xll.qlCalendarAdvance(Calendar,X238,W239,"f",FALSE)</f>
        <v>42445</v>
      </c>
      <c r="Y239" s="131">
        <f>_xll.qlCalendarAdvance(Calendar,X239,NDays&amp;"D")</f>
        <v>42447</v>
      </c>
      <c r="Z239" s="132">
        <v>7.9361257006877966E-5</v>
      </c>
      <c r="AA239" s="129">
        <v>-2.7842995509175239E-6</v>
      </c>
    </row>
    <row r="240" spans="19:27" x14ac:dyDescent="0.2">
      <c r="S240" s="1"/>
      <c r="T240" s="109"/>
      <c r="W240" s="130" t="str">
        <f t="shared" si="13"/>
        <v>1D</v>
      </c>
      <c r="X240" s="128">
        <f>_xll.qlCalendarAdvance(Calendar,X239,W240,"f",FALSE)</f>
        <v>42446</v>
      </c>
      <c r="Y240" s="131">
        <f>_xll.qlCalendarAdvance(Calendar,X240,NDays&amp;"D")</f>
        <v>42450</v>
      </c>
      <c r="Z240" s="132">
        <v>8.2673246725028591E-5</v>
      </c>
      <c r="AA240" s="129">
        <v>1.9843294207788631E-6</v>
      </c>
    </row>
    <row r="241" spans="19:27" x14ac:dyDescent="0.2">
      <c r="S241" s="1"/>
      <c r="T241" s="109"/>
      <c r="W241" s="130" t="str">
        <f t="shared" si="13"/>
        <v>1D</v>
      </c>
      <c r="X241" s="128">
        <f>_xll.qlCalendarAdvance(Calendar,X240,W241,"f",FALSE)</f>
        <v>42447</v>
      </c>
      <c r="Y241" s="131">
        <f>_xll.qlCalendarAdvance(Calendar,X241,NDays&amp;"D")</f>
        <v>42451</v>
      </c>
      <c r="Z241" s="132">
        <v>8.4157531625234341E-5</v>
      </c>
      <c r="AA241" s="129">
        <v>4.3364720614391672E-6</v>
      </c>
    </row>
    <row r="242" spans="19:27" x14ac:dyDescent="0.2">
      <c r="S242" s="1"/>
      <c r="T242" s="109"/>
      <c r="W242" s="130" t="str">
        <f t="shared" si="13"/>
        <v>1D</v>
      </c>
      <c r="X242" s="128">
        <f>_xll.qlCalendarAdvance(Calendar,X241,W242,"f",FALSE)</f>
        <v>42450</v>
      </c>
      <c r="Y242" s="131">
        <f>_xll.qlCalendarAdvance(Calendar,X242,NDays&amp;"D")</f>
        <v>42452</v>
      </c>
      <c r="Z242" s="132">
        <v>8.5626628638839534E-5</v>
      </c>
      <c r="AA242" s="129">
        <v>6.669311582996329E-6</v>
      </c>
    </row>
    <row r="243" spans="19:27" x14ac:dyDescent="0.2">
      <c r="S243" s="1"/>
      <c r="T243" s="109"/>
      <c r="W243" s="130" t="str">
        <f t="shared" si="13"/>
        <v>1D</v>
      </c>
      <c r="X243" s="128">
        <f>_xll.qlCalendarAdvance(Calendar,X242,W243,"f",FALSE)</f>
        <v>42451</v>
      </c>
      <c r="Y243" s="131">
        <f>_xll.qlCalendarAdvance(Calendar,X243,NDays&amp;"D")</f>
        <v>42453</v>
      </c>
      <c r="Z243" s="132">
        <v>8.7081223597235862E-5</v>
      </c>
      <c r="AA243" s="129">
        <v>1.3532709784769281E-5</v>
      </c>
    </row>
    <row r="244" spans="19:27" x14ac:dyDescent="0.2">
      <c r="S244" s="1"/>
      <c r="T244" s="109"/>
      <c r="W244" s="130" t="str">
        <f t="shared" si="13"/>
        <v>1D</v>
      </c>
      <c r="X244" s="128">
        <f>_xll.qlCalendarAdvance(Calendar,X243,W244,"f",FALSE)</f>
        <v>42452</v>
      </c>
      <c r="Y244" s="131">
        <f>_xll.qlCalendarAdvance(Calendar,X244,NDays&amp;"D")</f>
        <v>42458</v>
      </c>
      <c r="Z244" s="132">
        <v>9.4160671632858168E-5</v>
      </c>
      <c r="AA244" s="129">
        <v>2.026098433027812E-5</v>
      </c>
    </row>
    <row r="245" spans="19:27" x14ac:dyDescent="0.2">
      <c r="S245" s="1"/>
      <c r="T245" s="109"/>
      <c r="W245" s="130" t="str">
        <f t="shared" si="13"/>
        <v>1D</v>
      </c>
      <c r="X245" s="128">
        <f>_xll.qlCalendarAdvance(Calendar,X244,W245,"f",FALSE)</f>
        <v>42453</v>
      </c>
      <c r="Y245" s="131">
        <f>_xll.qlCalendarAdvance(Calendar,X245,NDays&amp;"D")</f>
        <v>42459</v>
      </c>
      <c r="Z245" s="132">
        <v>9.5542656724439723E-5</v>
      </c>
      <c r="AA245" s="129">
        <v>2.2458702337857517E-5</v>
      </c>
    </row>
    <row r="246" spans="19:27" x14ac:dyDescent="0.2">
      <c r="S246" s="1"/>
      <c r="T246" s="109"/>
      <c r="W246" s="130" t="str">
        <f t="shared" si="13"/>
        <v>1D</v>
      </c>
      <c r="X246" s="128">
        <f>_xll.qlCalendarAdvance(Calendar,X245,W246,"f",FALSE)</f>
        <v>42458</v>
      </c>
      <c r="Y246" s="131">
        <f>_xll.qlCalendarAdvance(Calendar,X246,NDays&amp;"D")</f>
        <v>42460</v>
      </c>
      <c r="Z246" s="132">
        <v>9.6345771092176804E-5</v>
      </c>
      <c r="AA246" s="129">
        <v>2.4637117146397713E-5</v>
      </c>
    </row>
    <row r="247" spans="19:27" x14ac:dyDescent="0.2">
      <c r="S247" s="1"/>
      <c r="T247" s="109"/>
      <c r="W247" s="130" t="str">
        <f t="shared" si="13"/>
        <v>1D</v>
      </c>
      <c r="X247" s="128">
        <f>_xll.qlCalendarAdvance(Calendar,X246,W247,"f",FALSE)</f>
        <v>42459</v>
      </c>
      <c r="Y247" s="131">
        <f>_xll.qlCalendarAdvance(Calendar,X247,NDays&amp;"D")</f>
        <v>42461</v>
      </c>
      <c r="Z247" s="132">
        <v>9.7709195704069103E-5</v>
      </c>
      <c r="AA247" s="129">
        <v>2.89296056177335E-5</v>
      </c>
    </row>
    <row r="248" spans="19:27" x14ac:dyDescent="0.2">
      <c r="S248" s="1"/>
      <c r="T248" s="109"/>
      <c r="W248" s="130" t="str">
        <f t="shared" si="13"/>
        <v>1D</v>
      </c>
      <c r="X248" s="128">
        <f>_xll.qlCalendarAdvance(Calendar,X247,W248,"f",FALSE)</f>
        <v>42460</v>
      </c>
      <c r="Y248" s="131">
        <f>_xll.qlCalendarAdvance(Calendar,X248,NDays&amp;"D")</f>
        <v>42464</v>
      </c>
      <c r="Z248" s="132">
        <v>1.0174882899568021E-4</v>
      </c>
      <c r="AA248" s="129">
        <v>3.3157745669143424E-5</v>
      </c>
    </row>
    <row r="249" spans="19:27" x14ac:dyDescent="0.2">
      <c r="S249" s="1"/>
      <c r="T249" s="109"/>
      <c r="W249" s="130" t="str">
        <f t="shared" si="13"/>
        <v>1D</v>
      </c>
      <c r="X249" s="128">
        <f>_xll.qlCalendarAdvance(Calendar,X248,W249,"f",FALSE)</f>
        <v>42461</v>
      </c>
      <c r="Y249" s="131">
        <f>_xll.qlCalendarAdvance(Calendar,X249,NDays&amp;"D")</f>
        <v>42465</v>
      </c>
      <c r="Z249" s="132">
        <v>1.0308080450139611E-4</v>
      </c>
      <c r="AA249" s="129">
        <v>3.523964520191214E-5</v>
      </c>
    </row>
    <row r="250" spans="19:27" x14ac:dyDescent="0.2">
      <c r="S250" s="1"/>
      <c r="T250" s="109"/>
      <c r="W250" s="130" t="str">
        <f t="shared" si="13"/>
        <v>1D</v>
      </c>
      <c r="X250" s="128">
        <f>_xll.qlCalendarAdvance(Calendar,X249,W250,"f",FALSE)</f>
        <v>42464</v>
      </c>
      <c r="Y250" s="131">
        <f>_xll.qlCalendarAdvance(Calendar,X250,NDays&amp;"D")</f>
        <v>42466</v>
      </c>
      <c r="Z250" s="132">
        <v>1.0440665117340775E-4</v>
      </c>
      <c r="AA250" s="129">
        <v>3.7302241535641656E-5</v>
      </c>
    </row>
    <row r="251" spans="19:27" x14ac:dyDescent="0.2">
      <c r="S251" s="1"/>
      <c r="T251" s="109"/>
      <c r="W251" s="130" t="str">
        <f t="shared" si="13"/>
        <v>1D</v>
      </c>
      <c r="X251" s="128">
        <f>_xll.qlCalendarAdvance(Calendar,X250,W251,"f",FALSE)</f>
        <v>42465</v>
      </c>
      <c r="Y251" s="131">
        <f>_xll.qlCalendarAdvance(Calendar,X251,NDays&amp;"D")</f>
        <v>42467</v>
      </c>
      <c r="Z251" s="132">
        <v>1.0572706239552699E-4</v>
      </c>
      <c r="AA251" s="129">
        <v>3.9345534670331972E-5</v>
      </c>
    </row>
    <row r="252" spans="19:27" x14ac:dyDescent="0.2">
      <c r="S252" s="1"/>
      <c r="T252" s="109"/>
      <c r="W252" s="130" t="str">
        <f t="shared" si="13"/>
        <v>1D</v>
      </c>
      <c r="X252" s="128">
        <f>_xll.qlCalendarAdvance(Calendar,X251,W252,"f",FALSE)</f>
        <v>42466</v>
      </c>
      <c r="Y252" s="131">
        <f>_xll.qlCalendarAdvance(Calendar,X252,NDays&amp;"D")</f>
        <v>42468</v>
      </c>
      <c r="Z252" s="132">
        <v>1.0704273154717369E-4</v>
      </c>
      <c r="AA252" s="129">
        <v>4.3367782778247488E-5</v>
      </c>
    </row>
    <row r="253" spans="19:27" x14ac:dyDescent="0.2">
      <c r="S253" s="1"/>
      <c r="T253" s="109"/>
      <c r="W253" s="130" t="str">
        <f t="shared" si="13"/>
        <v>1D</v>
      </c>
      <c r="X253" s="128">
        <f>_xll.qlCalendarAdvance(Calendar,X252,W253,"f",FALSE)</f>
        <v>42467</v>
      </c>
      <c r="Y253" s="131">
        <f>_xll.qlCalendarAdvance(Calendar,X253,NDays&amp;"D")</f>
        <v>42471</v>
      </c>
      <c r="Z253" s="132">
        <v>1.1096822039543701E-4</v>
      </c>
      <c r="AA253" s="129">
        <v>4.7325676737486333E-5</v>
      </c>
    </row>
    <row r="254" spans="19:27" x14ac:dyDescent="0.2">
      <c r="S254" s="1"/>
      <c r="T254" s="109"/>
      <c r="W254" s="130" t="str">
        <f t="shared" si="13"/>
        <v>1D</v>
      </c>
      <c r="X254" s="128">
        <f>_xll.qlCalendarAdvance(Calendar,X253,W254,"f",FALSE)</f>
        <v>42468</v>
      </c>
      <c r="Y254" s="131">
        <f>_xll.qlCalendarAdvance(Calendar,X254,NDays&amp;"D")</f>
        <v>42472</v>
      </c>
      <c r="Z254" s="132">
        <v>1.1227185509013624E-4</v>
      </c>
      <c r="AA254" s="129">
        <v>4.9272454436533053E-5</v>
      </c>
    </row>
    <row r="255" spans="19:27" x14ac:dyDescent="0.2">
      <c r="S255" s="1"/>
      <c r="T255" s="109"/>
      <c r="W255" s="130" t="str">
        <f t="shared" si="13"/>
        <v>1D</v>
      </c>
      <c r="X255" s="128">
        <f>_xll.qlCalendarAdvance(Calendar,X254,W255,"f",FALSE)</f>
        <v>42471</v>
      </c>
      <c r="Y255" s="131">
        <f>_xll.qlCalendarAdvance(Calendar,X255,NDays&amp;"D")</f>
        <v>42473</v>
      </c>
      <c r="Z255" s="132">
        <v>1.1357421463254402E-4</v>
      </c>
      <c r="AA255" s="129">
        <v>5.1199929176348746E-5</v>
      </c>
    </row>
    <row r="256" spans="19:27" x14ac:dyDescent="0.2">
      <c r="S256" s="1"/>
      <c r="T256" s="109"/>
      <c r="W256" s="130" t="str">
        <f t="shared" si="13"/>
        <v>1D</v>
      </c>
      <c r="X256" s="128">
        <f>_xll.qlCalendarAdvance(Calendar,X255,W256,"f",FALSE)</f>
        <v>42472</v>
      </c>
      <c r="Y256" s="131">
        <f>_xll.qlCalendarAdvance(Calendar,X256,NDays&amp;"D")</f>
        <v>42474</v>
      </c>
      <c r="Z256" s="132">
        <v>1.1487599240822909E-4</v>
      </c>
      <c r="AA256" s="129">
        <v>5.3108100717125239E-5</v>
      </c>
    </row>
    <row r="257" spans="19:27" x14ac:dyDescent="0.2">
      <c r="S257" s="1"/>
      <c r="T257" s="109"/>
      <c r="W257" s="130" t="str">
        <f t="shared" si="13"/>
        <v>1D</v>
      </c>
      <c r="X257" s="128">
        <f>_xll.qlCalendarAdvance(Calendar,X256,W257,"f",FALSE)</f>
        <v>42473</v>
      </c>
      <c r="Y257" s="131">
        <f>_xll.qlCalendarAdvance(Calendar,X257,NDays&amp;"D")</f>
        <v>42475</v>
      </c>
      <c r="Z257" s="132">
        <v>1.161778818071523E-4</v>
      </c>
      <c r="AA257" s="129">
        <v>5.6860109207690357E-5</v>
      </c>
    </row>
    <row r="258" spans="19:27" x14ac:dyDescent="0.2">
      <c r="S258" s="1"/>
      <c r="T258" s="109"/>
      <c r="W258" s="130" t="str">
        <f t="shared" si="13"/>
        <v>1D</v>
      </c>
      <c r="X258" s="128">
        <f>_xll.qlCalendarAdvance(Calendar,X257,W258,"f",FALSE)</f>
        <v>42474</v>
      </c>
      <c r="Y258" s="131">
        <f>_xll.qlCalendarAdvance(Calendar,X258,NDays&amp;"D")</f>
        <v>42478</v>
      </c>
      <c r="Z258" s="132">
        <v>1.2009115361397119E-4</v>
      </c>
      <c r="AA258" s="129">
        <v>6.0547756088880078E-5</v>
      </c>
    </row>
    <row r="259" spans="19:27" x14ac:dyDescent="0.2">
      <c r="S259" s="1"/>
      <c r="T259" s="109"/>
      <c r="W259" s="130" t="str">
        <f t="shared" si="13"/>
        <v>1D</v>
      </c>
      <c r="X259" s="128">
        <f>_xll.qlCalendarAdvance(Calendar,X258,W259,"f",FALSE)</f>
        <v>42475</v>
      </c>
      <c r="Y259" s="131">
        <f>_xll.qlCalendarAdvance(Calendar,X259,NDays&amp;"D")</f>
        <v>42479</v>
      </c>
      <c r="Z259" s="132">
        <v>1.2140042338876527E-4</v>
      </c>
      <c r="AA259" s="129">
        <v>6.2359412114076918E-5</v>
      </c>
    </row>
    <row r="260" spans="19:27" x14ac:dyDescent="0.2">
      <c r="S260" s="1"/>
      <c r="T260" s="109"/>
      <c r="W260" s="130" t="str">
        <f t="shared" si="13"/>
        <v>1D</v>
      </c>
      <c r="X260" s="128">
        <f>_xll.qlCalendarAdvance(Calendar,X259,W260,"f",FALSE)</f>
        <v>42478</v>
      </c>
      <c r="Y260" s="131">
        <f>_xll.qlCalendarAdvance(Calendar,X260,NDays&amp;"D")</f>
        <v>42480</v>
      </c>
      <c r="Z260" s="132">
        <v>1.2271327173484482E-4</v>
      </c>
      <c r="AA260" s="129">
        <v>6.4151765259978788E-5</v>
      </c>
    </row>
    <row r="261" spans="19:27" x14ac:dyDescent="0.2">
      <c r="S261" s="1"/>
      <c r="T261" s="109"/>
      <c r="W261" s="130" t="str">
        <f t="shared" si="13"/>
        <v>1D</v>
      </c>
      <c r="X261" s="128">
        <f>_xll.qlCalendarAdvance(Calendar,X260,W261,"f",FALSE)</f>
        <v>42479</v>
      </c>
      <c r="Y261" s="131">
        <f>_xll.qlCalendarAdvance(Calendar,X261,NDays&amp;"D")</f>
        <v>42481</v>
      </c>
      <c r="Z261" s="132">
        <v>1.2403039204656274E-4</v>
      </c>
      <c r="AA261" s="129">
        <v>6.5924814967033285E-5</v>
      </c>
    </row>
    <row r="262" spans="19:27" x14ac:dyDescent="0.2">
      <c r="S262" s="1"/>
      <c r="T262" s="109"/>
      <c r="W262" s="130" t="str">
        <f t="shared" si="13"/>
        <v>1D</v>
      </c>
      <c r="X262" s="128">
        <f>_xll.qlCalendarAdvance(Calendar,X261,W262,"f",FALSE)</f>
        <v>42480</v>
      </c>
      <c r="Y262" s="131">
        <f>_xll.qlCalendarAdvance(Calendar,X262,NDays&amp;"D")</f>
        <v>42482</v>
      </c>
      <c r="Z262" s="132">
        <v>1.2535247771651512E-4</v>
      </c>
      <c r="AA262" s="129">
        <v>6.9406584612963229E-5</v>
      </c>
    </row>
    <row r="263" spans="19:27" x14ac:dyDescent="0.2">
      <c r="S263" s="1"/>
      <c r="T263" s="109"/>
      <c r="W263" s="130" t="str">
        <f t="shared" si="13"/>
        <v>1D</v>
      </c>
      <c r="X263" s="128">
        <f>_xll.qlCalendarAdvance(Calendar,X262,W263,"f",FALSE)</f>
        <v>42481</v>
      </c>
      <c r="Y263" s="131">
        <f>_xll.qlCalendarAdvance(Calendar,X263,NDays&amp;"D")</f>
        <v>42485</v>
      </c>
      <c r="Z263" s="132">
        <v>1.2935546083072777E-4</v>
      </c>
      <c r="AA263" s="129">
        <v>7.2823983643388601E-5</v>
      </c>
    </row>
    <row r="264" spans="19:27" x14ac:dyDescent="0.2">
      <c r="S264" s="1"/>
      <c r="T264" s="109"/>
      <c r="W264" s="130" t="str">
        <f t="shared" si="13"/>
        <v>1D</v>
      </c>
      <c r="X264" s="128">
        <f>_xll.qlCalendarAdvance(Calendar,X263,W264,"f",FALSE)</f>
        <v>42482</v>
      </c>
      <c r="Y264" s="131">
        <f>_xll.qlCalendarAdvance(Calendar,X264,NDays&amp;"D")</f>
        <v>42486</v>
      </c>
      <c r="Z264" s="132">
        <v>1.3070434189383723E-4</v>
      </c>
      <c r="AA264" s="129">
        <v>7.4500518154607676E-5</v>
      </c>
    </row>
    <row r="265" spans="19:27" x14ac:dyDescent="0.2">
      <c r="S265" s="1"/>
      <c r="T265" s="109"/>
      <c r="W265" s="130" t="str">
        <f t="shared" si="13"/>
        <v>1D</v>
      </c>
      <c r="X265" s="128">
        <f>_xll.qlCalendarAdvance(Calendar,X264,W265,"f",FALSE)</f>
        <v>42485</v>
      </c>
      <c r="Y265" s="131">
        <f>_xll.qlCalendarAdvance(Calendar,X265,NDays&amp;"D")</f>
        <v>42487</v>
      </c>
      <c r="Z265" s="132">
        <v>1.3206165529660837E-4</v>
      </c>
      <c r="AA265" s="129">
        <v>7.6157749386851492E-5</v>
      </c>
    </row>
    <row r="266" spans="19:27" x14ac:dyDescent="0.2">
      <c r="S266" s="1"/>
      <c r="T266" s="109"/>
      <c r="W266" s="130" t="str">
        <f t="shared" si="13"/>
        <v>1D</v>
      </c>
      <c r="X266" s="128">
        <f>_xll.qlCalendarAdvance(Calendar,X265,W266,"f",FALSE)</f>
        <v>42486</v>
      </c>
      <c r="Y266" s="131">
        <f>_xll.qlCalendarAdvance(Calendar,X266,NDays&amp;"D")</f>
        <v>42488</v>
      </c>
      <c r="Z266" s="132">
        <v>1.3342809444217828E-4</v>
      </c>
      <c r="AA266" s="129">
        <v>7.7795677579928224E-5</v>
      </c>
    </row>
    <row r="267" spans="19:27" x14ac:dyDescent="0.2">
      <c r="S267" s="1"/>
      <c r="T267" s="109"/>
      <c r="W267" s="130" t="str">
        <f t="shared" si="13"/>
        <v>1D</v>
      </c>
      <c r="X267" s="128">
        <f>_xll.qlCalendarAdvance(Calendar,X266,W267,"f",FALSE)</f>
        <v>42487</v>
      </c>
      <c r="Y267" s="131">
        <f>_xll.qlCalendarAdvance(Calendar,X267,NDays&amp;"D")</f>
        <v>42489</v>
      </c>
      <c r="Z267" s="132">
        <v>1.3480435272929202E-4</v>
      </c>
      <c r="AA267" s="129">
        <v>8.1007208621031168E-5</v>
      </c>
    </row>
    <row r="268" spans="19:27" x14ac:dyDescent="0.2">
      <c r="S268" s="1"/>
      <c r="T268" s="109"/>
      <c r="W268" s="130" t="str">
        <f t="shared" si="13"/>
        <v>1D</v>
      </c>
      <c r="X268" s="128">
        <f>_xll.qlCalendarAdvance(Calendar,X267,W268,"f",FALSE)</f>
        <v>42488</v>
      </c>
      <c r="Y268" s="131">
        <f>_xll.qlCalendarAdvance(Calendar,X268,NDays&amp;"D")</f>
        <v>42492</v>
      </c>
      <c r="Z268" s="132">
        <v>1.3980987906348909E-4</v>
      </c>
      <c r="AA268" s="129">
        <v>8.415435948094796E-5</v>
      </c>
    </row>
    <row r="269" spans="19:27" x14ac:dyDescent="0.2">
      <c r="S269" s="1"/>
      <c r="T269" s="109"/>
      <c r="W269" s="130" t="str">
        <f t="shared" si="13"/>
        <v>1D</v>
      </c>
      <c r="X269" s="128">
        <f>_xll.qlCalendarAdvance(Calendar,X268,W269,"f",FALSE)</f>
        <v>42489</v>
      </c>
      <c r="Y269" s="131">
        <f>_xll.qlCalendarAdvance(Calendar,X269,NDays&amp;"D")</f>
        <v>42493</v>
      </c>
      <c r="Z269" s="132">
        <v>1.4124678349545036E-4</v>
      </c>
      <c r="AA269" s="129">
        <v>8.5695772158445038E-5</v>
      </c>
    </row>
    <row r="270" spans="19:27" x14ac:dyDescent="0.2">
      <c r="S270" s="1"/>
      <c r="T270" s="109"/>
      <c r="W270" s="130" t="str">
        <f t="shared" si="13"/>
        <v>1D</v>
      </c>
      <c r="X270" s="128">
        <f>_xll.qlCalendarAdvance(Calendar,X269,W270,"f",FALSE)</f>
        <v>42492</v>
      </c>
      <c r="Y270" s="131">
        <f>_xll.qlCalendarAdvance(Calendar,X270,NDays&amp;"D")</f>
        <v>42494</v>
      </c>
      <c r="Z270" s="132">
        <v>1.4269730573516264E-4</v>
      </c>
      <c r="AA270" s="129">
        <v>8.7217881796775032E-5</v>
      </c>
    </row>
    <row r="271" spans="19:27" x14ac:dyDescent="0.2">
      <c r="S271" s="1"/>
      <c r="T271" s="109"/>
      <c r="W271" s="130" t="str">
        <f t="shared" si="13"/>
        <v>1D</v>
      </c>
      <c r="X271" s="128">
        <f>_xll.qlCalendarAdvance(Calendar,X270,W271,"f",FALSE)</f>
        <v>42493</v>
      </c>
      <c r="Y271" s="131">
        <f>_xll.qlCalendarAdvance(Calendar,X271,NDays&amp;"D")</f>
        <v>42495</v>
      </c>
      <c r="Z271" s="132">
        <v>1.4416213165572338E-4</v>
      </c>
      <c r="AA271" s="129">
        <v>8.8720688316001883E-5</v>
      </c>
    </row>
    <row r="272" spans="19:27" x14ac:dyDescent="0.2">
      <c r="S272" s="1"/>
      <c r="T272" s="109"/>
      <c r="W272" s="130" t="str">
        <f t="shared" si="13"/>
        <v>1D</v>
      </c>
      <c r="X272" s="128">
        <f>_xll.qlCalendarAdvance(Calendar,X271,W272,"f",FALSE)</f>
        <v>42494</v>
      </c>
      <c r="Y272" s="131">
        <f>_xll.qlCalendarAdvance(Calendar,X272,NDays&amp;"D")</f>
        <v>42496</v>
      </c>
      <c r="Z272" s="132">
        <v>1.4742142783795637E-4</v>
      </c>
      <c r="AA272" s="129">
        <v>9.1661980992086001E-5</v>
      </c>
    </row>
    <row r="273" spans="19:27" x14ac:dyDescent="0.2">
      <c r="S273" s="1"/>
      <c r="T273" s="109"/>
      <c r="W273" s="130" t="str">
        <f t="shared" si="13"/>
        <v>1D</v>
      </c>
      <c r="X273" s="128">
        <f>_xll.qlCalendarAdvance(Calendar,X272,W273,"f",FALSE)</f>
        <v>42495</v>
      </c>
      <c r="Y273" s="131">
        <f>_xll.qlCalendarAdvance(Calendar,X273,NDays&amp;"D")</f>
        <v>42499</v>
      </c>
      <c r="Z273" s="132">
        <v>1.501781896066621E-4</v>
      </c>
      <c r="AA273" s="129">
        <v>9.4538883361749981E-5</v>
      </c>
    </row>
    <row r="274" spans="19:27" x14ac:dyDescent="0.2">
      <c r="S274" s="1"/>
      <c r="T274" s="109"/>
      <c r="W274" s="130" t="str">
        <f t="shared" si="13"/>
        <v>1D</v>
      </c>
      <c r="X274" s="128">
        <f>_xll.qlCalendarAdvance(Calendar,X273,W274,"f",FALSE)</f>
        <v>42496</v>
      </c>
      <c r="Y274" s="131">
        <f>_xll.qlCalendarAdvance(Calendar,X274,NDays&amp;"D")</f>
        <v>42500</v>
      </c>
      <c r="Z274" s="132">
        <v>1.5172482204009103E-4</v>
      </c>
      <c r="AA274" s="129">
        <v>9.5945174365397179E-5</v>
      </c>
    </row>
    <row r="275" spans="19:27" x14ac:dyDescent="0.2">
      <c r="S275" s="1"/>
      <c r="T275" s="109"/>
      <c r="W275" s="130" t="str">
        <f t="shared" si="13"/>
        <v>1D</v>
      </c>
      <c r="X275" s="128">
        <f>_xll.qlCalendarAdvance(Calendar,X274,W275,"f",FALSE)</f>
        <v>42499</v>
      </c>
      <c r="Y275" s="131">
        <f>_xll.qlCalendarAdvance(Calendar,X275,NDays&amp;"D")</f>
        <v>42501</v>
      </c>
      <c r="Z275" s="132">
        <v>1.5328987340685501E-4</v>
      </c>
      <c r="AA275" s="129">
        <v>9.7332162170005176E-5</v>
      </c>
    </row>
    <row r="276" spans="19:27" x14ac:dyDescent="0.2">
      <c r="S276" s="1"/>
      <c r="T276" s="109"/>
      <c r="W276" s="130" t="str">
        <f t="shared" si="13"/>
        <v>1D</v>
      </c>
      <c r="X276" s="128">
        <f>_xll.qlCalendarAdvance(Calendar,X275,W276,"f",FALSE)</f>
        <v>42500</v>
      </c>
      <c r="Y276" s="131">
        <f>_xll.qlCalendarAdvance(Calendar,X276,NDays&amp;"D")</f>
        <v>42502</v>
      </c>
      <c r="Z276" s="132">
        <v>1.5487402958787132E-4</v>
      </c>
      <c r="AA276" s="129">
        <v>9.8699847095318205E-5</v>
      </c>
    </row>
    <row r="277" spans="19:27" x14ac:dyDescent="0.2">
      <c r="S277" s="1"/>
      <c r="T277" s="109"/>
      <c r="W277" s="130" t="str">
        <f t="shared" ref="W277:W340" si="14">W276</f>
        <v>1D</v>
      </c>
      <c r="X277" s="128">
        <f>_xll.qlCalendarAdvance(Calendar,X276,W277,"f",FALSE)</f>
        <v>42501</v>
      </c>
      <c r="Y277" s="131">
        <f>_xll.qlCalendarAdvance(Calendar,X277,NDays&amp;"D")</f>
        <v>42503</v>
      </c>
      <c r="Z277" s="132">
        <v>1.5849200515324606E-4</v>
      </c>
      <c r="AA277" s="129">
        <v>1.0137090151296491E-4</v>
      </c>
    </row>
    <row r="278" spans="19:27" x14ac:dyDescent="0.2">
      <c r="S278" s="1"/>
      <c r="T278" s="109"/>
      <c r="W278" s="130" t="str">
        <f t="shared" si="14"/>
        <v>1D</v>
      </c>
      <c r="X278" s="128">
        <f>_xll.qlCalendarAdvance(Calendar,X277,W278,"f",FALSE)</f>
        <v>42502</v>
      </c>
      <c r="Y278" s="131">
        <f>_xll.qlCalendarAdvance(Calendar,X278,NDays&amp;"D")</f>
        <v>42506</v>
      </c>
      <c r="Z278" s="132">
        <v>1.6141542010582262E-4</v>
      </c>
      <c r="AA278" s="129">
        <v>1.0397755504598649E-4</v>
      </c>
    </row>
    <row r="279" spans="19:27" x14ac:dyDescent="0.2">
      <c r="S279" s="1"/>
      <c r="T279" s="109"/>
      <c r="W279" s="130" t="str">
        <f t="shared" si="14"/>
        <v>1D</v>
      </c>
      <c r="X279" s="128">
        <f>_xll.qlCalendarAdvance(Calendar,X278,W279,"f",FALSE)</f>
        <v>42503</v>
      </c>
      <c r="Y279" s="131">
        <f>_xll.qlCalendarAdvance(Calendar,X279,NDays&amp;"D")</f>
        <v>42507</v>
      </c>
      <c r="Z279" s="132">
        <v>1.6310538861182786E-4</v>
      </c>
      <c r="AA279" s="129">
        <v>1.0524872453565592E-4</v>
      </c>
    </row>
    <row r="280" spans="19:27" x14ac:dyDescent="0.2">
      <c r="S280" s="1"/>
      <c r="T280" s="109"/>
      <c r="W280" s="130" t="str">
        <f t="shared" si="14"/>
        <v>1D</v>
      </c>
      <c r="X280" s="128">
        <f>_xll.qlCalendarAdvance(Calendar,X279,W280,"f",FALSE)</f>
        <v>42506</v>
      </c>
      <c r="Y280" s="131">
        <f>_xll.qlCalendarAdvance(Calendar,X280,NDays&amp;"D")</f>
        <v>42508</v>
      </c>
      <c r="Z280" s="132">
        <v>1.6481857724191747E-4</v>
      </c>
      <c r="AA280" s="129">
        <v>1.0650059066641404E-4</v>
      </c>
    </row>
    <row r="281" spans="19:27" x14ac:dyDescent="0.2">
      <c r="S281" s="1"/>
      <c r="T281" s="109"/>
      <c r="W281" s="130" t="str">
        <f t="shared" si="14"/>
        <v>1D</v>
      </c>
      <c r="X281" s="128">
        <f>_xll.qlCalendarAdvance(Calendar,X280,W281,"f",FALSE)</f>
        <v>42507</v>
      </c>
      <c r="Y281" s="131">
        <f>_xll.qlCalendarAdvance(Calendar,X281,NDays&amp;"D")</f>
        <v>42509</v>
      </c>
      <c r="Z281" s="132">
        <v>1.6655567188830406E-4</v>
      </c>
      <c r="AA281" s="129">
        <v>1.0773315375800507E-4</v>
      </c>
    </row>
    <row r="282" spans="19:27" x14ac:dyDescent="0.2">
      <c r="S282" s="1"/>
      <c r="T282" s="109"/>
      <c r="W282" s="130" t="str">
        <f t="shared" si="14"/>
        <v>1D</v>
      </c>
      <c r="X282" s="128">
        <f>_xll.qlCalendarAdvance(Calendar,X281,W282,"f",FALSE)</f>
        <v>42508</v>
      </c>
      <c r="Y282" s="131">
        <f>_xll.qlCalendarAdvance(Calendar,X282,NDays&amp;"D")</f>
        <v>42510</v>
      </c>
      <c r="Z282" s="132">
        <v>1.7059025023558993E-4</v>
      </c>
      <c r="AA282" s="129">
        <v>1.1013396991721436E-4</v>
      </c>
    </row>
    <row r="283" spans="19:27" x14ac:dyDescent="0.2">
      <c r="S283" s="1"/>
      <c r="T283" s="109"/>
      <c r="W283" s="130" t="str">
        <f t="shared" si="14"/>
        <v>1D</v>
      </c>
      <c r="X283" s="128">
        <f>_xll.qlCalendarAdvance(Calendar,X282,W283,"f",FALSE)</f>
        <v>42509</v>
      </c>
      <c r="Y283" s="131">
        <f>_xll.qlCalendarAdvance(Calendar,X283,NDays&amp;"D")</f>
        <v>42513</v>
      </c>
      <c r="Z283" s="132">
        <v>1.7375682851148241E-4</v>
      </c>
      <c r="AA283" s="129">
        <v>1.124703750932099E-4</v>
      </c>
    </row>
    <row r="284" spans="19:27" x14ac:dyDescent="0.2">
      <c r="S284" s="1"/>
      <c r="T284" s="109"/>
      <c r="W284" s="130" t="str">
        <f t="shared" si="14"/>
        <v>1D</v>
      </c>
      <c r="X284" s="128">
        <f>_xll.qlCalendarAdvance(Calendar,X283,W284,"f",FALSE)</f>
        <v>42510</v>
      </c>
      <c r="Y284" s="131">
        <f>_xll.qlCalendarAdvance(Calendar,X284,NDays&amp;"D")</f>
        <v>42514</v>
      </c>
      <c r="Z284" s="132">
        <v>1.7562374165903529E-4</v>
      </c>
      <c r="AA284" s="129">
        <v>1.1360642250934916E-4</v>
      </c>
    </row>
    <row r="285" spans="19:27" x14ac:dyDescent="0.2">
      <c r="S285" s="1"/>
      <c r="T285" s="109"/>
      <c r="W285" s="130" t="str">
        <f t="shared" si="14"/>
        <v>1D</v>
      </c>
      <c r="X285" s="128">
        <f>_xll.qlCalendarAdvance(Calendar,X284,W285,"f",FALSE)</f>
        <v>42513</v>
      </c>
      <c r="Y285" s="131">
        <f>_xll.qlCalendarAdvance(Calendar,X285,NDays&amp;"D")</f>
        <v>42515</v>
      </c>
      <c r="Z285" s="132">
        <v>1.775186762039645E-4</v>
      </c>
      <c r="AA285" s="129">
        <v>1.1472316696625739E-4</v>
      </c>
    </row>
    <row r="286" spans="19:27" x14ac:dyDescent="0.2">
      <c r="S286" s="1"/>
      <c r="T286" s="109"/>
      <c r="W286" s="130" t="str">
        <f t="shared" si="14"/>
        <v>1D</v>
      </c>
      <c r="X286" s="128">
        <f>_xll.qlCalendarAdvance(Calendar,X285,W286,"f",FALSE)</f>
        <v>42514</v>
      </c>
      <c r="Y286" s="131">
        <f>_xll.qlCalendarAdvance(Calendar,X286,NDays&amp;"D")</f>
        <v>42516</v>
      </c>
      <c r="Z286" s="132">
        <v>1.7944231804890916E-4</v>
      </c>
      <c r="AA286" s="129">
        <v>1.1582060830406249E-4</v>
      </c>
    </row>
    <row r="287" spans="19:27" x14ac:dyDescent="0.2">
      <c r="S287" s="1"/>
      <c r="T287" s="109"/>
      <c r="W287" s="130" t="str">
        <f t="shared" si="14"/>
        <v>1D</v>
      </c>
      <c r="X287" s="128">
        <f>_xll.qlCalendarAdvance(Calendar,X286,W287,"f",FALSE)</f>
        <v>42515</v>
      </c>
      <c r="Y287" s="131">
        <f>_xll.qlCalendarAdvance(Calendar,X287,NDays&amp;"D")</f>
        <v>42517</v>
      </c>
      <c r="Z287" s="132">
        <v>1.8394641878800294E-4</v>
      </c>
      <c r="AA287" s="129">
        <v>1.1795118599167154E-4</v>
      </c>
    </row>
    <row r="288" spans="19:27" x14ac:dyDescent="0.2">
      <c r="S288" s="1"/>
      <c r="T288" s="109"/>
      <c r="W288" s="130" t="str">
        <f t="shared" si="14"/>
        <v>1D</v>
      </c>
      <c r="X288" s="128">
        <f>_xll.qlCalendarAdvance(Calendar,X287,W288,"f",FALSE)</f>
        <v>42516</v>
      </c>
      <c r="Y288" s="131">
        <f>_xll.qlCalendarAdvance(Calendar,X288,NDays&amp;"D")</f>
        <v>42520</v>
      </c>
      <c r="Z288" s="132">
        <v>1.8743767655373861E-4</v>
      </c>
      <c r="AA288" s="129">
        <v>1.2001734262412356E-4</v>
      </c>
    </row>
    <row r="289" spans="19:27" x14ac:dyDescent="0.2">
      <c r="S289" s="1"/>
      <c r="T289" s="109"/>
      <c r="W289" s="130" t="str">
        <f t="shared" si="14"/>
        <v>1D</v>
      </c>
      <c r="X289" s="128">
        <f>_xll.qlCalendarAdvance(Calendar,X288,W289,"f",FALSE)</f>
        <v>42517</v>
      </c>
      <c r="Y289" s="131">
        <f>_xll.qlCalendarAdvance(Calendar,X289,NDays&amp;"D")</f>
        <v>42521</v>
      </c>
      <c r="Z289" s="132">
        <v>1.8951514351393746E-4</v>
      </c>
      <c r="AA289" s="129">
        <v>1.21018268446349E-4</v>
      </c>
    </row>
    <row r="290" spans="19:27" x14ac:dyDescent="0.2">
      <c r="S290" s="1"/>
      <c r="T290" s="109"/>
      <c r="W290" s="130" t="str">
        <f t="shared" si="14"/>
        <v>1D</v>
      </c>
      <c r="X290" s="128">
        <f>_xll.qlCalendarAdvance(Calendar,X289,W290,"f",FALSE)</f>
        <v>42520</v>
      </c>
      <c r="Y290" s="131">
        <f>_xll.qlCalendarAdvance(Calendar,X290,NDays&amp;"D")</f>
        <v>42522</v>
      </c>
      <c r="Z290" s="132">
        <v>1.9162543323603606E-4</v>
      </c>
      <c r="AA290" s="129">
        <v>1.2199989122940735E-4</v>
      </c>
    </row>
    <row r="291" spans="19:27" x14ac:dyDescent="0.2">
      <c r="S291" s="1"/>
      <c r="T291" s="109"/>
      <c r="W291" s="130" t="str">
        <f t="shared" si="14"/>
        <v>1D</v>
      </c>
      <c r="X291" s="128">
        <f>_xll.qlCalendarAdvance(Calendar,X290,W291,"f",FALSE)</f>
        <v>42521</v>
      </c>
      <c r="Y291" s="131">
        <f>_xll.qlCalendarAdvance(Calendar,X291,NDays&amp;"D")</f>
        <v>42523</v>
      </c>
      <c r="Z291" s="132">
        <v>1.9376923163744419E-4</v>
      </c>
      <c r="AA291" s="129">
        <v>1.2296221073349045E-4</v>
      </c>
    </row>
    <row r="292" spans="19:27" x14ac:dyDescent="0.2">
      <c r="S292" s="1"/>
      <c r="T292" s="109"/>
      <c r="W292" s="130" t="str">
        <f t="shared" si="14"/>
        <v>1D</v>
      </c>
      <c r="X292" s="128">
        <f>_xll.qlCalendarAdvance(Calendar,X291,W292,"f",FALSE)</f>
        <v>42522</v>
      </c>
      <c r="Y292" s="131">
        <f>_xll.qlCalendarAdvance(Calendar,X292,NDays&amp;"D")</f>
        <v>42524</v>
      </c>
      <c r="Z292" s="132">
        <v>1.9879077083429896E-4</v>
      </c>
      <c r="AA292" s="129">
        <v>1.2482254954981897E-4</v>
      </c>
    </row>
    <row r="293" spans="19:27" x14ac:dyDescent="0.2">
      <c r="S293" s="1"/>
      <c r="T293" s="109"/>
      <c r="W293" s="130" t="str">
        <f t="shared" si="14"/>
        <v>1D</v>
      </c>
      <c r="X293" s="128">
        <f>_xll.qlCalendarAdvance(Calendar,X292,W293,"f",FALSE)</f>
        <v>42523</v>
      </c>
      <c r="Y293" s="131">
        <f>_xll.qlCalendarAdvance(Calendar,X293,NDays&amp;"D")</f>
        <v>42527</v>
      </c>
      <c r="Z293" s="132">
        <v>2.026932304851577E-4</v>
      </c>
      <c r="AA293" s="129">
        <v>1.2661845811834382E-4</v>
      </c>
    </row>
    <row r="294" spans="19:27" x14ac:dyDescent="0.2">
      <c r="S294" s="1"/>
      <c r="T294" s="109"/>
      <c r="W294" s="130" t="str">
        <f t="shared" si="14"/>
        <v>1D</v>
      </c>
      <c r="X294" s="128">
        <f>_xll.qlCalendarAdvance(Calendar,X293,W294,"f",FALSE)</f>
        <v>42524</v>
      </c>
      <c r="Y294" s="131">
        <f>_xll.qlCalendarAdvance(Calendar,X294,NDays&amp;"D")</f>
        <v>42528</v>
      </c>
      <c r="Z294" s="132">
        <v>2.0501486113896786E-4</v>
      </c>
      <c r="AA294" s="129">
        <v>1.2748426218678333E-4</v>
      </c>
    </row>
    <row r="295" spans="19:27" x14ac:dyDescent="0.2">
      <c r="S295" s="1"/>
      <c r="T295" s="109"/>
      <c r="W295" s="130" t="str">
        <f t="shared" si="14"/>
        <v>1D</v>
      </c>
      <c r="X295" s="128">
        <f>_xll.qlCalendarAdvance(Calendar,X294,W295,"f",FALSE)</f>
        <v>42527</v>
      </c>
      <c r="Y295" s="131">
        <f>_xll.qlCalendarAdvance(Calendar,X295,NDays&amp;"D")</f>
        <v>42529</v>
      </c>
      <c r="Z295" s="132">
        <v>2.0737411603389196E-4</v>
      </c>
      <c r="AA295" s="129">
        <v>1.2833076305618363E-4</v>
      </c>
    </row>
    <row r="296" spans="19:27" x14ac:dyDescent="0.2">
      <c r="S296" s="1"/>
      <c r="T296" s="109"/>
      <c r="W296" s="130" t="str">
        <f t="shared" si="14"/>
        <v>1D</v>
      </c>
      <c r="X296" s="128">
        <f>_xll.qlCalendarAdvance(Calendar,X295,W296,"f",FALSE)</f>
        <v>42528</v>
      </c>
      <c r="Y296" s="131">
        <f>_xll.qlCalendarAdvance(Calendar,X296,NDays&amp;"D")</f>
        <v>42530</v>
      </c>
      <c r="Z296" s="132">
        <v>2.0977168110471723E-4</v>
      </c>
      <c r="AA296" s="129">
        <v>1.291579609663529E-4</v>
      </c>
    </row>
    <row r="297" spans="19:27" x14ac:dyDescent="0.2">
      <c r="S297" s="1"/>
      <c r="T297" s="109"/>
      <c r="W297" s="130" t="str">
        <f t="shared" si="14"/>
        <v>1D</v>
      </c>
      <c r="X297" s="128">
        <f>_xll.qlCalendarAdvance(Calendar,X296,W297,"f",FALSE)</f>
        <v>42529</v>
      </c>
      <c r="Y297" s="131">
        <f>_xll.qlCalendarAdvance(Calendar,X297,NDays&amp;"D")</f>
        <v>42531</v>
      </c>
      <c r="Z297" s="132">
        <v>2.1535357153630968E-4</v>
      </c>
      <c r="AA297" s="129">
        <v>1.3074806051172061E-4</v>
      </c>
    </row>
    <row r="298" spans="19:27" x14ac:dyDescent="0.2">
      <c r="S298" s="1"/>
      <c r="T298" s="109"/>
      <c r="W298" s="130" t="str">
        <f t="shared" si="14"/>
        <v>1D</v>
      </c>
      <c r="X298" s="128">
        <f>_xll.qlCalendarAdvance(Calendar,X297,W298,"f",FALSE)</f>
        <v>42530</v>
      </c>
      <c r="Y298" s="131">
        <f>_xll.qlCalendarAdvance(Calendar,X298,NDays&amp;"D")</f>
        <v>42534</v>
      </c>
      <c r="Z298" s="132">
        <v>2.1975876194877688E-4</v>
      </c>
      <c r="AA298" s="129">
        <v>1.3227372125612646E-4</v>
      </c>
    </row>
    <row r="299" spans="19:27" x14ac:dyDescent="0.2">
      <c r="S299" s="1"/>
      <c r="T299" s="109"/>
      <c r="W299" s="130" t="str">
        <f t="shared" si="14"/>
        <v>1D</v>
      </c>
      <c r="X299" s="128">
        <f>_xll.qlCalendarAdvance(Calendar,X298,W299,"f",FALSE)</f>
        <v>42531</v>
      </c>
      <c r="Y299" s="131">
        <f>_xll.qlCalendarAdvance(Calendar,X299,NDays&amp;"D")</f>
        <v>42535</v>
      </c>
      <c r="Z299" s="132">
        <v>2.2235816703213189E-4</v>
      </c>
      <c r="AA299" s="129">
        <v>1.3300440357078003E-4</v>
      </c>
    </row>
    <row r="300" spans="19:27" x14ac:dyDescent="0.2">
      <c r="S300" s="1"/>
      <c r="T300" s="109"/>
      <c r="W300" s="130" t="str">
        <f t="shared" si="14"/>
        <v>1D</v>
      </c>
      <c r="X300" s="128">
        <f>_xll.qlCalendarAdvance(Calendar,X299,W300,"f",FALSE)</f>
        <v>42534</v>
      </c>
      <c r="Y300" s="131">
        <f>_xll.qlCalendarAdvance(Calendar,X300,NDays&amp;"D")</f>
        <v>42536</v>
      </c>
      <c r="Z300" s="132">
        <v>2.2499999796701448E-4</v>
      </c>
      <c r="AA300" s="129">
        <v>1.3371578292620256E-4</v>
      </c>
    </row>
    <row r="301" spans="19:27" x14ac:dyDescent="0.2">
      <c r="S301" s="1"/>
      <c r="T301" s="109"/>
      <c r="W301" s="130" t="str">
        <f t="shared" si="14"/>
        <v>1D</v>
      </c>
      <c r="X301" s="128">
        <f>_xll.qlCalendarAdvance(Calendar,X300,W301,"f",FALSE)</f>
        <v>42535</v>
      </c>
      <c r="Y301" s="131">
        <f>_xll.qlCalendarAdvance(Calendar,X301,NDays&amp;"D")</f>
        <v>42537</v>
      </c>
      <c r="Z301" s="132">
        <v>2.2768475915429354E-4</v>
      </c>
      <c r="AA301" s="129">
        <v>1.3441837499073017E-4</v>
      </c>
    </row>
    <row r="302" spans="19:27" x14ac:dyDescent="0.2">
      <c r="S302" s="1"/>
      <c r="T302" s="109"/>
      <c r="W302" s="130" t="str">
        <f t="shared" si="14"/>
        <v>1D</v>
      </c>
      <c r="X302" s="128">
        <f>_xll.qlCalendarAdvance(Calendar,X301,W302,"f",FALSE)</f>
        <v>42536</v>
      </c>
      <c r="Y302" s="131">
        <f>_xll.qlCalendarAdvance(Calendar,X302,NDays&amp;"D")</f>
        <v>42538</v>
      </c>
      <c r="Z302" s="132">
        <v>2.3385360803903182E-4</v>
      </c>
      <c r="AA302" s="129">
        <v>1.3594855641230197E-4</v>
      </c>
    </row>
    <row r="303" spans="19:27" x14ac:dyDescent="0.2">
      <c r="S303" s="1"/>
      <c r="T303" s="109"/>
      <c r="W303" s="130" t="str">
        <f t="shared" si="14"/>
        <v>1D</v>
      </c>
      <c r="X303" s="128">
        <f>_xll.qlCalendarAdvance(Calendar,X302,W303,"f",FALSE)</f>
        <v>42537</v>
      </c>
      <c r="Y303" s="131">
        <f>_xll.qlCalendarAdvance(Calendar,X303,NDays&amp;"D")</f>
        <v>42541</v>
      </c>
      <c r="Z303" s="132">
        <v>2.3883953876907321E-4</v>
      </c>
      <c r="AA303" s="129">
        <v>1.3762461306576768E-4</v>
      </c>
    </row>
    <row r="304" spans="19:27" x14ac:dyDescent="0.2">
      <c r="S304" s="1"/>
      <c r="T304" s="109"/>
      <c r="W304" s="130" t="str">
        <f t="shared" si="14"/>
        <v>1D</v>
      </c>
      <c r="X304" s="128">
        <f>_xll.qlCalendarAdvance(Calendar,X303,W304,"f",FALSE)</f>
        <v>42538</v>
      </c>
      <c r="Y304" s="131">
        <f>_xll.qlCalendarAdvance(Calendar,X304,NDays&amp;"D")</f>
        <v>42542</v>
      </c>
      <c r="Z304" s="132">
        <v>2.4172683551858679E-4</v>
      </c>
      <c r="AA304" s="129">
        <v>1.3853565598687112E-4</v>
      </c>
    </row>
    <row r="305" spans="19:27" x14ac:dyDescent="0.2">
      <c r="S305" s="1"/>
      <c r="T305" s="109"/>
      <c r="W305" s="130" t="str">
        <f t="shared" si="14"/>
        <v>1D</v>
      </c>
      <c r="X305" s="128">
        <f>_xll.qlCalendarAdvance(Calendar,X304,W305,"f",FALSE)</f>
        <v>42541</v>
      </c>
      <c r="Y305" s="131">
        <f>_xll.qlCalendarAdvance(Calendar,X305,NDays&amp;"D")</f>
        <v>42543</v>
      </c>
      <c r="Z305" s="132">
        <v>2.4465139452659653E-4</v>
      </c>
      <c r="AA305" s="129">
        <v>1.3949049219696974E-4</v>
      </c>
    </row>
    <row r="306" spans="19:27" x14ac:dyDescent="0.2">
      <c r="S306" s="1"/>
      <c r="T306" s="109"/>
      <c r="W306" s="130" t="str">
        <f t="shared" si="14"/>
        <v>1D</v>
      </c>
      <c r="X306" s="128">
        <f>_xll.qlCalendarAdvance(Calendar,X305,W306,"f",FALSE)</f>
        <v>42542</v>
      </c>
      <c r="Y306" s="131">
        <f>_xll.qlCalendarAdvance(Calendar,X306,NDays&amp;"D")</f>
        <v>42544</v>
      </c>
      <c r="Z306" s="132">
        <v>2.4761212655136214E-4</v>
      </c>
      <c r="AA306" s="129">
        <v>1.4048912193587171E-4</v>
      </c>
    </row>
    <row r="307" spans="19:27" x14ac:dyDescent="0.2">
      <c r="S307" s="1"/>
      <c r="T307" s="109"/>
      <c r="W307" s="130" t="str">
        <f t="shared" si="14"/>
        <v>1D</v>
      </c>
      <c r="X307" s="128">
        <f>_xll.qlCalendarAdvance(Calendar,X306,W307,"f",FALSE)</f>
        <v>42543</v>
      </c>
      <c r="Y307" s="131">
        <f>_xll.qlCalendarAdvance(Calendar,X307,NDays&amp;"D")</f>
        <v>42545</v>
      </c>
      <c r="Z307" s="132">
        <v>2.5426182001725531E-4</v>
      </c>
      <c r="AA307" s="129">
        <v>1.4263241563838847E-4</v>
      </c>
    </row>
    <row r="308" spans="19:27" x14ac:dyDescent="0.2">
      <c r="S308" s="1"/>
      <c r="T308" s="109"/>
      <c r="W308" s="130" t="str">
        <f t="shared" si="14"/>
        <v>1D</v>
      </c>
      <c r="X308" s="128">
        <f>_xll.qlCalendarAdvance(Calendar,X307,W308,"f",FALSE)</f>
        <v>42544</v>
      </c>
      <c r="Y308" s="131">
        <f>_xll.qlCalendarAdvance(Calendar,X308,NDays&amp;"D")</f>
        <v>42548</v>
      </c>
      <c r="Z308" s="132">
        <v>2.5979499985284704E-4</v>
      </c>
      <c r="AA308" s="129">
        <v>1.4492157426104768E-4</v>
      </c>
    </row>
    <row r="309" spans="19:27" x14ac:dyDescent="0.2">
      <c r="S309" s="1"/>
      <c r="T309" s="109"/>
      <c r="W309" s="130" t="str">
        <f t="shared" si="14"/>
        <v>1D</v>
      </c>
      <c r="X309" s="128">
        <f>_xll.qlCalendarAdvance(Calendar,X308,W309,"f",FALSE)</f>
        <v>42545</v>
      </c>
      <c r="Y309" s="131">
        <f>_xll.qlCalendarAdvance(Calendar,X309,NDays&amp;"D")</f>
        <v>42549</v>
      </c>
      <c r="Z309" s="132">
        <v>2.6292025822059691E-4</v>
      </c>
      <c r="AA309" s="129">
        <v>1.4613917076466976E-4</v>
      </c>
    </row>
    <row r="310" spans="19:27" x14ac:dyDescent="0.2">
      <c r="S310" s="1"/>
      <c r="T310" s="109"/>
      <c r="W310" s="130" t="str">
        <f t="shared" si="14"/>
        <v>1D</v>
      </c>
      <c r="X310" s="128">
        <f>_xll.qlCalendarAdvance(Calendar,X309,W310,"f",FALSE)</f>
        <v>42548</v>
      </c>
      <c r="Y310" s="131">
        <f>_xll.qlCalendarAdvance(Calendar,X310,NDays&amp;"D")</f>
        <v>42550</v>
      </c>
      <c r="Z310" s="132">
        <v>2.6607515409210231E-4</v>
      </c>
      <c r="AA310" s="129">
        <v>1.4740056055728701E-4</v>
      </c>
    </row>
    <row r="311" spans="19:27" x14ac:dyDescent="0.2">
      <c r="S311" s="1"/>
      <c r="T311" s="109"/>
      <c r="W311" s="130" t="str">
        <f t="shared" si="14"/>
        <v>1D</v>
      </c>
      <c r="X311" s="128">
        <f>_xll.qlCalendarAdvance(Calendar,X310,W311,"f",FALSE)</f>
        <v>42549</v>
      </c>
      <c r="Y311" s="131">
        <f>_xll.qlCalendarAdvance(Calendar,X311,NDays&amp;"D")</f>
        <v>42551</v>
      </c>
      <c r="Z311" s="132">
        <v>2.6925859820737662E-4</v>
      </c>
      <c r="AA311" s="129">
        <v>1.4870574379877155E-4</v>
      </c>
    </row>
    <row r="312" spans="19:27" x14ac:dyDescent="0.2">
      <c r="S312" s="1"/>
      <c r="T312" s="109"/>
      <c r="W312" s="130" t="str">
        <f t="shared" si="14"/>
        <v>1D</v>
      </c>
      <c r="X312" s="128">
        <f>_xll.qlCalendarAdvance(Calendar,X311,W312,"f",FALSE)</f>
        <v>42550</v>
      </c>
      <c r="Y312" s="131">
        <f>_xll.qlCalendarAdvance(Calendar,X312,NDays&amp;"D")</f>
        <v>42552</v>
      </c>
      <c r="Z312" s="132">
        <v>2.7624150941771226E-4</v>
      </c>
      <c r="AA312" s="129">
        <v>1.5146215194050683E-4</v>
      </c>
    </row>
    <row r="313" spans="19:27" x14ac:dyDescent="0.2">
      <c r="S313" s="1"/>
      <c r="T313" s="109"/>
      <c r="W313" s="130" t="str">
        <f t="shared" si="14"/>
        <v>1D</v>
      </c>
      <c r="X313" s="128">
        <f>_xll.qlCalendarAdvance(Calendar,X312,W313,"f",FALSE)</f>
        <v>42551</v>
      </c>
      <c r="Y313" s="131">
        <f>_xll.qlCalendarAdvance(Calendar,X313,NDays&amp;"D")</f>
        <v>42555</v>
      </c>
      <c r="Z313" s="132">
        <v>2.822560717691511E-4</v>
      </c>
      <c r="AA313" s="129">
        <v>1.5436441045402205E-4</v>
      </c>
    </row>
    <row r="314" spans="19:27" x14ac:dyDescent="0.2">
      <c r="S314" s="1"/>
      <c r="T314" s="109"/>
      <c r="W314" s="130" t="str">
        <f t="shared" si="14"/>
        <v>1D</v>
      </c>
      <c r="X314" s="128">
        <f>_xll.qlCalendarAdvance(Calendar,X313,W314,"f",FALSE)</f>
        <v>42552</v>
      </c>
      <c r="Y314" s="131">
        <f>_xll.qlCalendarAdvance(Calendar,X314,NDays&amp;"D")</f>
        <v>42556</v>
      </c>
      <c r="Z314" s="132">
        <v>2.8556591807574801E-4</v>
      </c>
      <c r="AA314" s="129">
        <v>1.5588856054016276E-4</v>
      </c>
    </row>
    <row r="315" spans="19:27" x14ac:dyDescent="0.2">
      <c r="S315" s="1"/>
      <c r="T315" s="109"/>
      <c r="W315" s="130" t="str">
        <f t="shared" si="14"/>
        <v>1D</v>
      </c>
      <c r="X315" s="128">
        <f>_xll.qlCalendarAdvance(Calendar,X314,W315,"f",FALSE)</f>
        <v>42555</v>
      </c>
      <c r="Y315" s="131">
        <f>_xll.qlCalendarAdvance(Calendar,X315,NDays&amp;"D")</f>
        <v>42557</v>
      </c>
      <c r="Z315" s="132">
        <v>2.8889777699494721E-4</v>
      </c>
      <c r="AA315" s="129">
        <v>1.5745650407517076E-4</v>
      </c>
    </row>
    <row r="316" spans="19:27" x14ac:dyDescent="0.2">
      <c r="S316" s="1"/>
      <c r="T316" s="109"/>
      <c r="W316" s="130" t="str">
        <f t="shared" si="14"/>
        <v>1D</v>
      </c>
      <c r="X316" s="128">
        <f>_xll.qlCalendarAdvance(Calendar,X315,W316,"f",FALSE)</f>
        <v>42556</v>
      </c>
      <c r="Y316" s="131">
        <f>_xll.qlCalendarAdvance(Calendar,X316,NDays&amp;"D")</f>
        <v>42558</v>
      </c>
      <c r="Z316" s="132">
        <v>2.9225055924069599E-4</v>
      </c>
      <c r="AA316" s="129">
        <v>1.5906824089917393E-4</v>
      </c>
    </row>
    <row r="317" spans="19:27" x14ac:dyDescent="0.2">
      <c r="S317" s="1"/>
      <c r="T317" s="109"/>
      <c r="W317" s="130" t="str">
        <f t="shared" si="14"/>
        <v>1D</v>
      </c>
      <c r="X317" s="128">
        <f>_xll.qlCalendarAdvance(Calendar,X316,W317,"f",FALSE)</f>
        <v>42557</v>
      </c>
      <c r="Y317" s="131">
        <f>_xll.qlCalendarAdvance(Calendar,X317,NDays&amp;"D")</f>
        <v>42559</v>
      </c>
      <c r="Z317" s="132">
        <v>2.9942700846264297E-4</v>
      </c>
      <c r="AA317" s="129">
        <v>1.624377657449827E-4</v>
      </c>
    </row>
    <row r="318" spans="19:27" x14ac:dyDescent="0.2">
      <c r="S318" s="1"/>
      <c r="T318" s="109"/>
      <c r="W318" s="130" t="str">
        <f t="shared" si="14"/>
        <v>1D</v>
      </c>
      <c r="X318" s="128">
        <f>_xll.qlCalendarAdvance(Calendar,X317,W318,"f",FALSE)</f>
        <v>42558</v>
      </c>
      <c r="Y318" s="131">
        <f>_xll.qlCalendarAdvance(Calendar,X318,NDays&amp;"D")</f>
        <v>42562</v>
      </c>
      <c r="Z318" s="132">
        <v>3.0584913573164149E-4</v>
      </c>
      <c r="AA318" s="129">
        <v>1.6595312196443501E-4</v>
      </c>
    </row>
    <row r="319" spans="19:27" x14ac:dyDescent="0.2">
      <c r="S319" s="1"/>
      <c r="T319" s="109"/>
      <c r="W319" s="130" t="str">
        <f t="shared" si="14"/>
        <v>1D</v>
      </c>
      <c r="X319" s="128">
        <f>_xll.qlCalendarAdvance(Calendar,X318,W319,"f",FALSE)</f>
        <v>42559</v>
      </c>
      <c r="Y319" s="131">
        <f>_xll.qlCalendarAdvance(Calendar,X319,NDays&amp;"D")</f>
        <v>42563</v>
      </c>
      <c r="Z319" s="132">
        <v>3.0929019525505197E-4</v>
      </c>
      <c r="AA319" s="129">
        <v>1.6778382571303041E-4</v>
      </c>
    </row>
    <row r="320" spans="19:27" x14ac:dyDescent="0.2">
      <c r="S320" s="1"/>
      <c r="T320" s="109"/>
      <c r="W320" s="130" t="str">
        <f t="shared" si="14"/>
        <v>1D</v>
      </c>
      <c r="X320" s="128">
        <f>_xll.qlCalendarAdvance(Calendar,X319,W320,"f",FALSE)</f>
        <v>42562</v>
      </c>
      <c r="Y320" s="131">
        <f>_xll.qlCalendarAdvance(Calendar,X320,NDays&amp;"D")</f>
        <v>42564</v>
      </c>
      <c r="Z320" s="132">
        <v>3.1274564233395731E-4</v>
      </c>
      <c r="AA320" s="129">
        <v>1.6965832275062098E-4</v>
      </c>
    </row>
    <row r="321" spans="19:27" x14ac:dyDescent="0.2">
      <c r="S321" s="1"/>
      <c r="T321" s="109"/>
      <c r="W321" s="130" t="str">
        <f t="shared" si="14"/>
        <v>1D</v>
      </c>
      <c r="X321" s="128">
        <f>_xll.qlCalendarAdvance(Calendar,X320,W321,"f",FALSE)</f>
        <v>42563</v>
      </c>
      <c r="Y321" s="131">
        <f>_xll.qlCalendarAdvance(Calendar,X321,NDays&amp;"D")</f>
        <v>42565</v>
      </c>
      <c r="Z321" s="132">
        <v>3.162143876623208E-4</v>
      </c>
      <c r="AA321" s="129">
        <v>1.715766133170149E-4</v>
      </c>
    </row>
    <row r="322" spans="19:27" x14ac:dyDescent="0.2">
      <c r="S322" s="1"/>
      <c r="T322" s="109"/>
      <c r="W322" s="130" t="str">
        <f t="shared" si="14"/>
        <v>1D</v>
      </c>
      <c r="X322" s="128">
        <f>_xll.qlCalendarAdvance(Calendar,X321,W322,"f",FALSE)</f>
        <v>42564</v>
      </c>
      <c r="Y322" s="131">
        <f>_xll.qlCalendarAdvance(Calendar,X322,NDays&amp;"D")</f>
        <v>42566</v>
      </c>
      <c r="Z322" s="132">
        <v>3.2345264192237643E-4</v>
      </c>
      <c r="AA322" s="129">
        <v>1.7555925774459524E-4</v>
      </c>
    </row>
    <row r="323" spans="19:27" x14ac:dyDescent="0.2">
      <c r="S323" s="1"/>
      <c r="T323" s="109"/>
      <c r="W323" s="130" t="str">
        <f t="shared" si="14"/>
        <v>1D</v>
      </c>
      <c r="X323" s="128">
        <f>_xll.qlCalendarAdvance(Calendar,X322,W323,"f",FALSE)</f>
        <v>42565</v>
      </c>
      <c r="Y323" s="131">
        <f>_xll.qlCalendarAdvance(Calendar,X323,NDays&amp;"D")</f>
        <v>42569</v>
      </c>
      <c r="Z323" s="132">
        <v>3.3020056517758621E-4</v>
      </c>
      <c r="AA323" s="129">
        <v>1.7968770903209474E-4</v>
      </c>
    </row>
    <row r="324" spans="19:27" x14ac:dyDescent="0.2">
      <c r="S324" s="1"/>
      <c r="T324" s="109"/>
      <c r="W324" s="130" t="str">
        <f t="shared" si="14"/>
        <v>1D</v>
      </c>
      <c r="X324" s="128">
        <f>_xll.qlCalendarAdvance(Calendar,X323,W324,"f",FALSE)</f>
        <v>42566</v>
      </c>
      <c r="Y324" s="131">
        <f>_xll.qlCalendarAdvance(Calendar,X324,NDays&amp;"D")</f>
        <v>42570</v>
      </c>
      <c r="Z324" s="132">
        <v>3.3371946200021148E-4</v>
      </c>
      <c r="AA324" s="129">
        <v>1.8182496628327272E-4</v>
      </c>
    </row>
    <row r="325" spans="19:27" x14ac:dyDescent="0.2">
      <c r="S325" s="1"/>
      <c r="T325" s="109"/>
      <c r="W325" s="130" t="str">
        <f t="shared" si="14"/>
        <v>1D</v>
      </c>
      <c r="X325" s="128">
        <f>_xll.qlCalendarAdvance(Calendar,X324,W325,"f",FALSE)</f>
        <v>42569</v>
      </c>
      <c r="Y325" s="131">
        <f>_xll.qlCalendarAdvance(Calendar,X325,NDays&amp;"D")</f>
        <v>42571</v>
      </c>
      <c r="Z325" s="132">
        <v>3.3724512114658123E-4</v>
      </c>
      <c r="AA325" s="129">
        <v>1.8400601714319009E-4</v>
      </c>
    </row>
    <row r="326" spans="19:27" x14ac:dyDescent="0.2">
      <c r="S326" s="1"/>
      <c r="T326" s="109"/>
      <c r="W326" s="130" t="str">
        <f t="shared" si="14"/>
        <v>1D</v>
      </c>
      <c r="X326" s="128">
        <f>_xll.qlCalendarAdvance(Calendar,X325,W326,"f",FALSE)</f>
        <v>42570</v>
      </c>
      <c r="Y326" s="131">
        <f>_xll.qlCalendarAdvance(Calendar,X326,NDays&amp;"D")</f>
        <v>42572</v>
      </c>
      <c r="Z326" s="132">
        <v>3.4077645327937941E-4</v>
      </c>
      <c r="AA326" s="129">
        <v>1.8623086113223053E-4</v>
      </c>
    </row>
    <row r="327" spans="19:27" x14ac:dyDescent="0.2">
      <c r="S327" s="1"/>
      <c r="T327" s="109"/>
      <c r="W327" s="130" t="str">
        <f t="shared" si="14"/>
        <v>1D</v>
      </c>
      <c r="X327" s="128">
        <f>_xll.qlCalendarAdvance(Calendar,X326,W327,"f",FALSE)</f>
        <v>42571</v>
      </c>
      <c r="Y327" s="131">
        <f>_xll.qlCalendarAdvance(Calendar,X327,NDays&amp;"D")</f>
        <v>42573</v>
      </c>
      <c r="Z327" s="132">
        <v>3.4795272614164096E-4</v>
      </c>
      <c r="AA327" s="129">
        <v>1.9082662860547828E-4</v>
      </c>
    </row>
    <row r="328" spans="19:27" x14ac:dyDescent="0.2">
      <c r="S328" s="1"/>
      <c r="T328" s="109"/>
      <c r="W328" s="130" t="str">
        <f t="shared" si="14"/>
        <v>1D</v>
      </c>
      <c r="X328" s="128">
        <f>_xll.qlCalendarAdvance(Calendar,X327,W328,"f",FALSE)</f>
        <v>42572</v>
      </c>
      <c r="Y328" s="131">
        <f>_xll.qlCalendarAdvance(Calendar,X328,NDays&amp;"D")</f>
        <v>42576</v>
      </c>
      <c r="Z328" s="132">
        <v>3.5493672486337118E-4</v>
      </c>
      <c r="AA328" s="129">
        <v>1.9556817165700124E-4</v>
      </c>
    </row>
    <row r="329" spans="19:27" x14ac:dyDescent="0.2">
      <c r="S329" s="1"/>
      <c r="T329" s="109"/>
      <c r="W329" s="130" t="str">
        <f t="shared" si="14"/>
        <v>1D</v>
      </c>
      <c r="X329" s="128">
        <f>_xll.qlCalendarAdvance(Calendar,X328,W329,"f",FALSE)</f>
        <v>42573</v>
      </c>
      <c r="Y329" s="131">
        <f>_xll.qlCalendarAdvance(Calendar,X329,NDays&amp;"D")</f>
        <v>42577</v>
      </c>
      <c r="Z329" s="132">
        <v>3.5848008177907792E-4</v>
      </c>
      <c r="AA329" s="129">
        <v>1.9801198265056996E-4</v>
      </c>
    </row>
    <row r="330" spans="19:27" x14ac:dyDescent="0.2">
      <c r="S330" s="1"/>
      <c r="T330" s="109"/>
      <c r="W330" s="130" t="str">
        <f t="shared" si="14"/>
        <v>1D</v>
      </c>
      <c r="X330" s="128">
        <f>_xll.qlCalendarAdvance(Calendar,X329,W330,"f",FALSE)</f>
        <v>42576</v>
      </c>
      <c r="Y330" s="131">
        <f>_xll.qlCalendarAdvance(Calendar,X330,NDays&amp;"D")</f>
        <v>42578</v>
      </c>
      <c r="Z330" s="132">
        <v>3.6202257559388948E-4</v>
      </c>
      <c r="AA330" s="129">
        <v>2.0049958709300597E-4</v>
      </c>
    </row>
    <row r="331" spans="19:27" x14ac:dyDescent="0.2">
      <c r="S331" s="1"/>
      <c r="T331" s="109"/>
      <c r="W331" s="130" t="str">
        <f t="shared" si="14"/>
        <v>1D</v>
      </c>
      <c r="X331" s="128">
        <f>_xll.qlCalendarAdvance(Calendar,X330,W331,"f",FALSE)</f>
        <v>42577</v>
      </c>
      <c r="Y331" s="131">
        <f>_xll.qlCalendarAdvance(Calendar,X331,NDays&amp;"D")</f>
        <v>42579</v>
      </c>
      <c r="Z331" s="132">
        <v>3.6556311694442388E-4</v>
      </c>
      <c r="AA331" s="129">
        <v>2.0303098490437321E-4</v>
      </c>
    </row>
    <row r="332" spans="19:27" x14ac:dyDescent="0.2">
      <c r="S332" s="1"/>
      <c r="T332" s="109"/>
      <c r="W332" s="130" t="str">
        <f t="shared" si="14"/>
        <v>1D</v>
      </c>
      <c r="X332" s="128">
        <f>_xll.qlCalendarAdvance(Calendar,X331,W332,"f",FALSE)</f>
        <v>42578</v>
      </c>
      <c r="Y332" s="131">
        <f>_xll.qlCalendarAdvance(Calendar,X332,NDays&amp;"D")</f>
        <v>42580</v>
      </c>
      <c r="Z332" s="132">
        <v>3.7256156841028036E-4</v>
      </c>
      <c r="AA332" s="129">
        <v>2.0823987910034703E-4</v>
      </c>
    </row>
    <row r="333" spans="19:27" x14ac:dyDescent="0.2">
      <c r="S333" s="1"/>
      <c r="T333" s="109"/>
      <c r="W333" s="130" t="str">
        <f t="shared" si="14"/>
        <v>1D</v>
      </c>
      <c r="X333" s="128">
        <f>_xll.qlCalendarAdvance(Calendar,X332,W333,"f",FALSE)</f>
        <v>42579</v>
      </c>
      <c r="Y333" s="131">
        <f>_xll.qlCalendarAdvance(Calendar,X333,NDays&amp;"D")</f>
        <v>42583</v>
      </c>
      <c r="Z333" s="132">
        <v>3.7968397032319404E-4</v>
      </c>
      <c r="AA333" s="129">
        <v>2.135945102388348E-4</v>
      </c>
    </row>
    <row r="334" spans="19:27" x14ac:dyDescent="0.2">
      <c r="S334" s="1"/>
      <c r="T334" s="109"/>
      <c r="W334" s="130" t="str">
        <f t="shared" si="14"/>
        <v>1D</v>
      </c>
      <c r="X334" s="128">
        <f>_xll.qlCalendarAdvance(Calendar,X333,W334,"f",FALSE)</f>
        <v>42580</v>
      </c>
      <c r="Y334" s="131">
        <f>_xll.qlCalendarAdvance(Calendar,X334,NDays&amp;"D")</f>
        <v>42584</v>
      </c>
      <c r="Z334" s="132">
        <v>3.8319840878344439E-4</v>
      </c>
      <c r="AA334" s="129">
        <v>2.1634487505473032E-4</v>
      </c>
    </row>
    <row r="335" spans="19:27" x14ac:dyDescent="0.2">
      <c r="S335" s="1"/>
      <c r="T335" s="109"/>
      <c r="W335" s="130" t="str">
        <f t="shared" si="14"/>
        <v>1D</v>
      </c>
      <c r="X335" s="128">
        <f>_xll.qlCalendarAdvance(Calendar,X334,W335,"f",FALSE)</f>
        <v>42583</v>
      </c>
      <c r="Y335" s="131">
        <f>_xll.qlCalendarAdvance(Calendar,X335,NDays&amp;"D")</f>
        <v>42585</v>
      </c>
      <c r="Z335" s="132">
        <v>3.8670435852527086E-4</v>
      </c>
      <c r="AA335" s="129">
        <v>2.1913903323955708E-4</v>
      </c>
    </row>
    <row r="336" spans="19:27" x14ac:dyDescent="0.2">
      <c r="S336" s="1"/>
      <c r="T336" s="109"/>
      <c r="W336" s="130" t="str">
        <f t="shared" si="14"/>
        <v>1D</v>
      </c>
      <c r="X336" s="128">
        <f>_xll.qlCalendarAdvance(Calendar,X335,W336,"f",FALSE)</f>
        <v>42584</v>
      </c>
      <c r="Y336" s="131">
        <f>_xll.qlCalendarAdvance(Calendar,X336,NDays&amp;"D")</f>
        <v>42586</v>
      </c>
      <c r="Z336" s="132">
        <v>3.9020073015748758E-4</v>
      </c>
      <c r="AA336" s="129">
        <v>2.2197698487325113E-4</v>
      </c>
    </row>
    <row r="337" spans="19:27" x14ac:dyDescent="0.2">
      <c r="S337" s="1"/>
      <c r="T337" s="109"/>
      <c r="W337" s="130" t="str">
        <f t="shared" si="14"/>
        <v>1D</v>
      </c>
      <c r="X337" s="128">
        <f>_xll.qlCalendarAdvance(Calendar,X336,W337,"f",FALSE)</f>
        <v>42585</v>
      </c>
      <c r="Y337" s="131">
        <f>_xll.qlCalendarAdvance(Calendar,X337,NDays&amp;"D")</f>
        <v>42587</v>
      </c>
      <c r="Z337" s="132">
        <v>3.969134666800763E-4</v>
      </c>
      <c r="AA337" s="129">
        <v>2.2779901018843418E-4</v>
      </c>
    </row>
    <row r="338" spans="19:27" x14ac:dyDescent="0.2">
      <c r="S338" s="1"/>
      <c r="T338" s="109"/>
      <c r="W338" s="130" t="str">
        <f t="shared" si="14"/>
        <v>1D</v>
      </c>
      <c r="X338" s="128">
        <f>_xll.qlCalendarAdvance(Calendar,X337,W338,"f",FALSE)</f>
        <v>42586</v>
      </c>
      <c r="Y338" s="131">
        <f>_xll.qlCalendarAdvance(Calendar,X338,NDays&amp;"D")</f>
        <v>42590</v>
      </c>
      <c r="Z338" s="132">
        <v>4.0406864767791271E-4</v>
      </c>
      <c r="AA338" s="129">
        <v>2.337667251772757E-4</v>
      </c>
    </row>
    <row r="339" spans="19:27" x14ac:dyDescent="0.2">
      <c r="S339" s="1"/>
      <c r="T339" s="109"/>
      <c r="W339" s="130" t="str">
        <f t="shared" si="14"/>
        <v>1D</v>
      </c>
      <c r="X339" s="128">
        <f>_xll.qlCalendarAdvance(Calendar,X338,W339,"f",FALSE)</f>
        <v>42587</v>
      </c>
      <c r="Y339" s="131">
        <f>_xll.qlCalendarAdvance(Calendar,X339,NDays&amp;"D")</f>
        <v>42591</v>
      </c>
      <c r="Z339" s="132">
        <v>4.0750078779350224E-4</v>
      </c>
      <c r="AA339" s="129">
        <v>2.3682364381549803E-4</v>
      </c>
    </row>
    <row r="340" spans="19:27" x14ac:dyDescent="0.2">
      <c r="S340" s="1"/>
      <c r="T340" s="109"/>
      <c r="W340" s="130" t="str">
        <f t="shared" si="14"/>
        <v>1D</v>
      </c>
      <c r="X340" s="128">
        <f>_xll.qlCalendarAdvance(Calendar,X339,W340,"f",FALSE)</f>
        <v>42590</v>
      </c>
      <c r="Y340" s="131">
        <f>_xll.qlCalendarAdvance(Calendar,X340,NDays&amp;"D")</f>
        <v>42592</v>
      </c>
      <c r="Z340" s="132">
        <v>4.1091681338372544E-4</v>
      </c>
      <c r="AA340" s="129">
        <v>2.3992435582265159E-4</v>
      </c>
    </row>
    <row r="341" spans="19:27" x14ac:dyDescent="0.2">
      <c r="S341" s="1"/>
      <c r="T341" s="109"/>
      <c r="W341" s="130" t="str">
        <f t="shared" ref="W341:W404" si="15">W340</f>
        <v>1D</v>
      </c>
      <c r="X341" s="128">
        <f>_xll.qlCalendarAdvance(Calendar,X340,W341,"f",FALSE)</f>
        <v>42591</v>
      </c>
      <c r="Y341" s="131">
        <f>_xll.qlCalendarAdvance(Calendar,X341,NDays&amp;"D")</f>
        <v>42593</v>
      </c>
      <c r="Z341" s="132">
        <v>4.1431563503393695E-4</v>
      </c>
      <c r="AA341" s="129">
        <v>2.4306886119873639E-4</v>
      </c>
    </row>
    <row r="342" spans="19:27" x14ac:dyDescent="0.2">
      <c r="S342" s="1"/>
      <c r="T342" s="109"/>
      <c r="W342" s="130" t="str">
        <f t="shared" si="15"/>
        <v>1D</v>
      </c>
      <c r="X342" s="128">
        <f>_xll.qlCalendarAdvance(Calendar,X341,W342,"f",FALSE)</f>
        <v>42592</v>
      </c>
      <c r="Y342" s="131">
        <f>_xll.qlCalendarAdvance(Calendar,X342,NDays&amp;"D")</f>
        <v>42594</v>
      </c>
      <c r="Z342" s="132">
        <v>4.2064270964638483E-4</v>
      </c>
      <c r="AA342" s="129">
        <v>2.495040229089085E-4</v>
      </c>
    </row>
    <row r="343" spans="19:27" x14ac:dyDescent="0.2">
      <c r="S343" s="1"/>
      <c r="T343" s="109"/>
      <c r="W343" s="130" t="str">
        <f t="shared" si="15"/>
        <v>1D</v>
      </c>
      <c r="X343" s="128">
        <f>_xll.qlCalendarAdvance(Calendar,X342,W343,"f",FALSE)</f>
        <v>42593</v>
      </c>
      <c r="Y343" s="131">
        <f>_xll.qlCalendarAdvance(Calendar,X343,NDays&amp;"D")</f>
        <v>42597</v>
      </c>
      <c r="Z343" s="132">
        <v>4.2771709380186865E-4</v>
      </c>
      <c r="AA343" s="129">
        <v>2.5608481687200424E-4</v>
      </c>
    </row>
    <row r="344" spans="19:27" x14ac:dyDescent="0.2">
      <c r="S344" s="1"/>
      <c r="T344" s="109"/>
      <c r="W344" s="130" t="str">
        <f t="shared" si="15"/>
        <v>1D</v>
      </c>
      <c r="X344" s="128">
        <f>_xll.qlCalendarAdvance(Calendar,X343,W344,"f",FALSE)</f>
        <v>42594</v>
      </c>
      <c r="Y344" s="131">
        <f>_xll.qlCalendarAdvance(Calendar,X344,NDays&amp;"D")</f>
        <v>42598</v>
      </c>
      <c r="Z344" s="132">
        <v>4.3101355439592717E-4</v>
      </c>
      <c r="AA344" s="129">
        <v>2.5944828925261731E-4</v>
      </c>
    </row>
    <row r="345" spans="19:27" x14ac:dyDescent="0.2">
      <c r="S345" s="1"/>
      <c r="T345" s="109"/>
      <c r="W345" s="130" t="str">
        <f t="shared" si="15"/>
        <v>1D</v>
      </c>
      <c r="X345" s="128">
        <f>_xll.qlCalendarAdvance(Calendar,X344,W345,"f",FALSE)</f>
        <v>42597</v>
      </c>
      <c r="Y345" s="131">
        <f>_xll.qlCalendarAdvance(Calendar,X345,NDays&amp;"D")</f>
        <v>42599</v>
      </c>
      <c r="Z345" s="132">
        <v>4.3428627448390293E-4</v>
      </c>
      <c r="AA345" s="129">
        <v>2.6285555516203374E-4</v>
      </c>
    </row>
    <row r="346" spans="19:27" x14ac:dyDescent="0.2">
      <c r="S346" s="1"/>
      <c r="T346" s="109"/>
      <c r="W346" s="130" t="str">
        <f t="shared" si="15"/>
        <v>1D</v>
      </c>
      <c r="X346" s="128">
        <f>_xll.qlCalendarAdvance(Calendar,X345,W346,"f",FALSE)</f>
        <v>42598</v>
      </c>
      <c r="Y346" s="131">
        <f>_xll.qlCalendarAdvance(Calendar,X346,NDays&amp;"D")</f>
        <v>42600</v>
      </c>
      <c r="Z346" s="132">
        <v>4.3753416462595328E-4</v>
      </c>
      <c r="AA346" s="129">
        <v>2.6630661428050928E-4</v>
      </c>
    </row>
    <row r="347" spans="19:27" x14ac:dyDescent="0.2">
      <c r="S347" s="1"/>
      <c r="T347" s="109"/>
      <c r="W347" s="130" t="str">
        <f t="shared" si="15"/>
        <v>1D</v>
      </c>
      <c r="X347" s="128">
        <f>_xll.qlCalendarAdvance(Calendar,X346,W347,"f",FALSE)</f>
        <v>42599</v>
      </c>
      <c r="Y347" s="131">
        <f>_xll.qlCalendarAdvance(Calendar,X347,NDays&amp;"D")</f>
        <v>42601</v>
      </c>
      <c r="Z347" s="132">
        <v>4.4338357715802162E-4</v>
      </c>
      <c r="AA347" s="129">
        <v>2.7335491848745619E-4</v>
      </c>
    </row>
    <row r="348" spans="19:27" x14ac:dyDescent="0.2">
      <c r="S348" s="1"/>
      <c r="T348" s="109"/>
      <c r="W348" s="130" t="str">
        <f t="shared" si="15"/>
        <v>1D</v>
      </c>
      <c r="X348" s="128">
        <f>_xll.qlCalendarAdvance(Calendar,X347,W348,"f",FALSE)</f>
        <v>42600</v>
      </c>
      <c r="Y348" s="131">
        <f>_xll.qlCalendarAdvance(Calendar,X348,NDays&amp;"D")</f>
        <v>42604</v>
      </c>
      <c r="Z348" s="132">
        <v>4.5025563684507759E-4</v>
      </c>
      <c r="AA348" s="129">
        <v>2.8054878548289253E-4</v>
      </c>
    </row>
    <row r="349" spans="19:27" x14ac:dyDescent="0.2">
      <c r="S349" s="1"/>
      <c r="T349" s="109"/>
      <c r="W349" s="130" t="str">
        <f t="shared" si="15"/>
        <v>1D</v>
      </c>
      <c r="X349" s="128">
        <f>_xll.qlCalendarAdvance(Calendar,X348,W349,"f",FALSE)</f>
        <v>42601</v>
      </c>
      <c r="Y349" s="131">
        <f>_xll.qlCalendarAdvance(Calendar,X349,NDays&amp;"D")</f>
        <v>42605</v>
      </c>
      <c r="Z349" s="132">
        <v>4.5336303556254702E-4</v>
      </c>
      <c r="AA349" s="129">
        <v>2.8421881184570452E-4</v>
      </c>
    </row>
    <row r="350" spans="19:27" x14ac:dyDescent="0.2">
      <c r="S350" s="1"/>
      <c r="T350" s="109"/>
      <c r="W350" s="130" t="str">
        <f t="shared" si="15"/>
        <v>1D</v>
      </c>
      <c r="X350" s="128">
        <f>_xll.qlCalendarAdvance(Calendar,X349,W350,"f",FALSE)</f>
        <v>42604</v>
      </c>
      <c r="Y350" s="131">
        <f>_xll.qlCalendarAdvance(Calendar,X350,NDays&amp;"D")</f>
        <v>42606</v>
      </c>
      <c r="Z350" s="132">
        <v>4.564390676333451E-4</v>
      </c>
      <c r="AA350" s="129">
        <v>2.8793263165738381E-4</v>
      </c>
    </row>
    <row r="351" spans="19:27" x14ac:dyDescent="0.2">
      <c r="S351" s="1"/>
      <c r="T351" s="109"/>
      <c r="W351" s="130" t="str">
        <f t="shared" si="15"/>
        <v>1D</v>
      </c>
      <c r="X351" s="128">
        <f>_xll.qlCalendarAdvance(Calendar,X350,W351,"f",FALSE)</f>
        <v>42605</v>
      </c>
      <c r="Y351" s="131">
        <f>_xll.qlCalendarAdvance(Calendar,X351,NDays&amp;"D")</f>
        <v>42607</v>
      </c>
      <c r="Z351" s="132">
        <v>4.594826435985141E-4</v>
      </c>
      <c r="AA351" s="129">
        <v>2.9169024475805827E-4</v>
      </c>
    </row>
    <row r="352" spans="19:27" x14ac:dyDescent="0.2">
      <c r="S352" s="1"/>
      <c r="T352" s="109"/>
      <c r="W352" s="130" t="str">
        <f t="shared" si="15"/>
        <v>1D</v>
      </c>
      <c r="X352" s="128">
        <f>_xll.qlCalendarAdvance(Calendar,X351,W352,"f",FALSE)</f>
        <v>42606</v>
      </c>
      <c r="Y352" s="131">
        <f>_xll.qlCalendarAdvance(Calendar,X352,NDays&amp;"D")</f>
        <v>42608</v>
      </c>
      <c r="Z352" s="132">
        <v>4.6477034098855975E-4</v>
      </c>
      <c r="AA352" s="129">
        <v>2.9935169809647277E-4</v>
      </c>
    </row>
    <row r="353" spans="19:27" x14ac:dyDescent="0.2">
      <c r="S353" s="1"/>
      <c r="T353" s="109"/>
      <c r="W353" s="130" t="str">
        <f t="shared" si="15"/>
        <v>1D</v>
      </c>
      <c r="X353" s="128">
        <f>_xll.qlCalendarAdvance(Calendar,X352,W353,"f",FALSE)</f>
        <v>42607</v>
      </c>
      <c r="Y353" s="131">
        <f>_xll.qlCalendarAdvance(Calendar,X353,NDays&amp;"D")</f>
        <v>42611</v>
      </c>
      <c r="Z353" s="132">
        <v>4.7131059712295271E-4</v>
      </c>
      <c r="AA353" s="129">
        <v>3.0715863172936508E-4</v>
      </c>
    </row>
    <row r="354" spans="19:27" x14ac:dyDescent="0.2">
      <c r="S354" s="1"/>
      <c r="T354" s="109"/>
      <c r="W354" s="130" t="str">
        <f t="shared" si="15"/>
        <v>1D</v>
      </c>
      <c r="X354" s="128">
        <f>_xll.qlCalendarAdvance(Calendar,X353,W354,"f",FALSE)</f>
        <v>42608</v>
      </c>
      <c r="Y354" s="131">
        <f>_xll.qlCalendarAdvance(Calendar,X354,NDays&amp;"D")</f>
        <v>42612</v>
      </c>
      <c r="Z354" s="132">
        <v>4.7417555057742606E-4</v>
      </c>
      <c r="AA354" s="129">
        <v>3.1113521199443994E-4</v>
      </c>
    </row>
    <row r="355" spans="19:27" x14ac:dyDescent="0.2">
      <c r="S355" s="1"/>
      <c r="T355" s="109"/>
      <c r="W355" s="130" t="str">
        <f t="shared" si="15"/>
        <v>1D</v>
      </c>
      <c r="X355" s="128">
        <f>_xll.qlCalendarAdvance(Calendar,X354,W355,"f",FALSE)</f>
        <v>42611</v>
      </c>
      <c r="Y355" s="131">
        <f>_xll.qlCalendarAdvance(Calendar,X355,NDays&amp;"D")</f>
        <v>42613</v>
      </c>
      <c r="Z355" s="132">
        <v>4.7596679128827224E-4</v>
      </c>
      <c r="AA355" s="129">
        <v>3.1515558578831815E-4</v>
      </c>
    </row>
    <row r="356" spans="19:27" x14ac:dyDescent="0.2">
      <c r="S356" s="1"/>
      <c r="T356" s="109"/>
      <c r="W356" s="130" t="str">
        <f t="shared" si="15"/>
        <v>1D</v>
      </c>
      <c r="X356" s="128">
        <f>_xll.qlCalendarAdvance(Calendar,X355,W356,"f",FALSE)</f>
        <v>42612</v>
      </c>
      <c r="Y356" s="131">
        <f>_xll.qlCalendarAdvance(Calendar,X356,NDays&amp;"D")</f>
        <v>42614</v>
      </c>
      <c r="Z356" s="132">
        <v>4.7877961862899051E-4</v>
      </c>
      <c r="AA356" s="129">
        <v>3.1921975295112759E-4</v>
      </c>
    </row>
    <row r="357" spans="19:27" x14ac:dyDescent="0.2">
      <c r="S357" s="1"/>
      <c r="T357" s="109"/>
      <c r="W357" s="130" t="str">
        <f t="shared" si="15"/>
        <v>1D</v>
      </c>
      <c r="X357" s="128">
        <f>_xll.qlCalendarAdvance(Calendar,X356,W357,"f",FALSE)</f>
        <v>42613</v>
      </c>
      <c r="Y357" s="131">
        <f>_xll.qlCalendarAdvance(Calendar,X357,NDays&amp;"D")</f>
        <v>42615</v>
      </c>
      <c r="Z357" s="132">
        <v>4.8155144178065366E-4</v>
      </c>
      <c r="AA357" s="129">
        <v>3.27494363228098E-4</v>
      </c>
    </row>
    <row r="358" spans="19:27" x14ac:dyDescent="0.2">
      <c r="S358" s="1"/>
      <c r="T358" s="109"/>
      <c r="W358" s="130" t="str">
        <f t="shared" si="15"/>
        <v>1D</v>
      </c>
      <c r="X358" s="128">
        <f>_xll.qlCalendarAdvance(Calendar,X357,W358,"f",FALSE)</f>
        <v>42614</v>
      </c>
      <c r="Y358" s="131">
        <f>_xll.qlCalendarAdvance(Calendar,X358,NDays&amp;"D")</f>
        <v>42618</v>
      </c>
      <c r="Z358" s="132">
        <v>4.8960987160474455E-4</v>
      </c>
      <c r="AA358" s="129">
        <v>3.3591435593116614E-4</v>
      </c>
    </row>
    <row r="359" spans="19:27" x14ac:dyDescent="0.2">
      <c r="S359" s="1"/>
      <c r="T359" s="109"/>
      <c r="W359" s="130" t="str">
        <f t="shared" si="15"/>
        <v>1D</v>
      </c>
      <c r="X359" s="128">
        <f>_xll.qlCalendarAdvance(Calendar,X358,W359,"f",FALSE)</f>
        <v>42615</v>
      </c>
      <c r="Y359" s="131">
        <f>_xll.qlCalendarAdvance(Calendar,X359,NDays&amp;"D")</f>
        <v>42619</v>
      </c>
      <c r="Z359" s="132">
        <v>4.9220666349395696E-4</v>
      </c>
      <c r="AA359" s="129">
        <v>3.4019749017843992E-4</v>
      </c>
    </row>
    <row r="360" spans="19:27" x14ac:dyDescent="0.2">
      <c r="S360" s="1"/>
      <c r="T360" s="109"/>
      <c r="W360" s="130" t="str">
        <f t="shared" si="15"/>
        <v>1D</v>
      </c>
      <c r="X360" s="128">
        <f>_xll.qlCalendarAdvance(Calendar,X359,W360,"f",FALSE)</f>
        <v>42618</v>
      </c>
      <c r="Y360" s="131">
        <f>_xll.qlCalendarAdvance(Calendar,X360,NDays&amp;"D")</f>
        <v>42620</v>
      </c>
      <c r="Z360" s="132">
        <v>4.9475694393528926E-4</v>
      </c>
      <c r="AA360" s="129">
        <v>3.4452441803445311E-4</v>
      </c>
    </row>
    <row r="361" spans="19:27" x14ac:dyDescent="0.2">
      <c r="S361" s="1"/>
      <c r="T361" s="109"/>
      <c r="W361" s="130" t="str">
        <f t="shared" si="15"/>
        <v>1D</v>
      </c>
      <c r="X361" s="128">
        <f>_xll.qlCalendarAdvance(Calendar,X360,W361,"f",FALSE)</f>
        <v>42619</v>
      </c>
      <c r="Y361" s="131">
        <f>_xll.qlCalendarAdvance(Calendar,X361,NDays&amp;"D")</f>
        <v>42621</v>
      </c>
      <c r="Z361" s="132">
        <v>4.9725961147047647E-4</v>
      </c>
      <c r="AA361" s="129">
        <v>3.4889513917946147E-4</v>
      </c>
    </row>
    <row r="362" spans="19:27" x14ac:dyDescent="0.2">
      <c r="S362" s="1"/>
      <c r="T362" s="109"/>
      <c r="W362" s="130" t="str">
        <f t="shared" si="15"/>
        <v>1D</v>
      </c>
      <c r="X362" s="128">
        <f>_xll.qlCalendarAdvance(Calendar,X361,W362,"f",FALSE)</f>
        <v>42620</v>
      </c>
      <c r="Y362" s="131">
        <f>_xll.qlCalendarAdvance(Calendar,X362,NDays&amp;"D")</f>
        <v>42622</v>
      </c>
      <c r="Z362" s="132">
        <v>4.9971356464300991E-4</v>
      </c>
      <c r="AA362" s="129">
        <v>3.577829153744716E-4</v>
      </c>
    </row>
    <row r="363" spans="19:27" x14ac:dyDescent="0.2">
      <c r="S363" s="1"/>
      <c r="T363" s="109"/>
      <c r="W363" s="130" t="str">
        <f t="shared" si="15"/>
        <v>1D</v>
      </c>
      <c r="X363" s="128">
        <f>_xll.qlCalendarAdvance(Calendar,X362,W363,"f",FALSE)</f>
        <v>42621</v>
      </c>
      <c r="Y363" s="131">
        <f>_xll.qlCalendarAdvance(Calendar,X363,NDays&amp;"D")</f>
        <v>42625</v>
      </c>
      <c r="Z363" s="132">
        <v>5.0677212339764405E-4</v>
      </c>
      <c r="AA363" s="129">
        <v>3.6681595856791205E-4</v>
      </c>
    </row>
    <row r="364" spans="19:27" x14ac:dyDescent="0.2">
      <c r="S364" s="1"/>
      <c r="T364" s="109"/>
      <c r="W364" s="130" t="str">
        <f t="shared" si="15"/>
        <v>1D</v>
      </c>
      <c r="X364" s="128">
        <f>_xll.qlCalendarAdvance(Calendar,X363,W364,"f",FALSE)</f>
        <v>42622</v>
      </c>
      <c r="Y364" s="131">
        <f>_xll.qlCalendarAdvance(Calendar,X364,NDays&amp;"D")</f>
        <v>42626</v>
      </c>
      <c r="Z364" s="132">
        <v>5.0902020452812632E-4</v>
      </c>
      <c r="AA364" s="129">
        <v>3.7140564703719292E-4</v>
      </c>
    </row>
    <row r="365" spans="19:27" x14ac:dyDescent="0.2">
      <c r="S365" s="1"/>
      <c r="T365" s="109"/>
      <c r="W365" s="130" t="str">
        <f t="shared" si="15"/>
        <v>1D</v>
      </c>
      <c r="X365" s="128">
        <f>_xll.qlCalendarAdvance(Calendar,X364,W365,"f",FALSE)</f>
        <v>42625</v>
      </c>
      <c r="Y365" s="131">
        <f>_xll.qlCalendarAdvance(Calendar,X365,NDays&amp;"D")</f>
        <v>42627</v>
      </c>
      <c r="Z365" s="132">
        <v>5.1121406399760123E-4</v>
      </c>
      <c r="AA365" s="129">
        <v>3.7603912895534108E-4</v>
      </c>
    </row>
    <row r="366" spans="19:27" x14ac:dyDescent="0.2">
      <c r="S366" s="1"/>
      <c r="T366" s="109"/>
      <c r="W366" s="130" t="str">
        <f t="shared" si="15"/>
        <v>1D</v>
      </c>
      <c r="X366" s="128">
        <f>_xll.qlCalendarAdvance(Calendar,X365,W366,"f",FALSE)</f>
        <v>42626</v>
      </c>
      <c r="Y366" s="131">
        <f>_xll.qlCalendarAdvance(Calendar,X366,NDays&amp;"D")</f>
        <v>42628</v>
      </c>
      <c r="Z366" s="132">
        <v>5.1335260034604687E-4</v>
      </c>
      <c r="AA366" s="129">
        <v>3.8069970232257333E-4</v>
      </c>
    </row>
    <row r="367" spans="19:27" x14ac:dyDescent="0.2">
      <c r="S367" s="1"/>
      <c r="T367" s="109"/>
      <c r="W367" s="130" t="str">
        <f t="shared" si="15"/>
        <v>1D</v>
      </c>
      <c r="X367" s="128">
        <f>_xll.qlCalendarAdvance(Calendar,X366,W367,"f",FALSE)</f>
        <v>42627</v>
      </c>
      <c r="Y367" s="131">
        <f>_xll.qlCalendarAdvance(Calendar,X367,NDays&amp;"D")</f>
        <v>42629</v>
      </c>
      <c r="Z367" s="132">
        <v>5.1543489567298223E-4</v>
      </c>
      <c r="AA367" s="129">
        <v>3.8986661392570454E-4</v>
      </c>
    </row>
    <row r="368" spans="19:27" x14ac:dyDescent="0.2">
      <c r="S368" s="1"/>
      <c r="T368" s="109"/>
      <c r="W368" s="130" t="str">
        <f t="shared" si="15"/>
        <v>1D</v>
      </c>
      <c r="X368" s="128">
        <f>_xll.qlCalendarAdvance(Calendar,X367,W368,"f",FALSE)</f>
        <v>42628</v>
      </c>
      <c r="Y368" s="131">
        <f>_xll.qlCalendarAdvance(Calendar,X368,NDays&amp;"D")</f>
        <v>42632</v>
      </c>
      <c r="Z368" s="132">
        <v>5.2134323327676375E-4</v>
      </c>
      <c r="AA368" s="129">
        <v>3.9884461981110064E-4</v>
      </c>
    </row>
    <row r="369" spans="19:27" x14ac:dyDescent="0.2">
      <c r="S369" s="1"/>
      <c r="T369" s="109"/>
      <c r="W369" s="130" t="str">
        <f t="shared" si="15"/>
        <v>1D</v>
      </c>
      <c r="X369" s="128">
        <f>_xll.qlCalendarAdvance(Calendar,X368,W369,"f",FALSE)</f>
        <v>42629</v>
      </c>
      <c r="Y369" s="131">
        <f>_xll.qlCalendarAdvance(Calendar,X369,NDays&amp;"D")</f>
        <v>42633</v>
      </c>
      <c r="Z369" s="132">
        <v>5.231998294063457E-4</v>
      </c>
      <c r="AA369" s="129">
        <v>4.0323980322831687E-4</v>
      </c>
    </row>
    <row r="370" spans="19:27" x14ac:dyDescent="0.2">
      <c r="S370" s="1"/>
      <c r="T370" s="109"/>
      <c r="W370" s="130" t="str">
        <f t="shared" si="15"/>
        <v>1D</v>
      </c>
      <c r="X370" s="128">
        <f>_xll.qlCalendarAdvance(Calendar,X369,W370,"f",FALSE)</f>
        <v>42632</v>
      </c>
      <c r="Y370" s="131">
        <f>_xll.qlCalendarAdvance(Calendar,X370,NDays&amp;"D")</f>
        <v>42634</v>
      </c>
      <c r="Z370" s="132">
        <v>5.2500000053060016E-4</v>
      </c>
      <c r="AA370" s="129">
        <v>4.0757856825557326E-4</v>
      </c>
    </row>
    <row r="371" spans="19:27" x14ac:dyDescent="0.2">
      <c r="S371" s="1"/>
      <c r="T371" s="109"/>
      <c r="W371" s="130" t="str">
        <f t="shared" si="15"/>
        <v>1D</v>
      </c>
      <c r="X371" s="128">
        <f>_xll.qlCalendarAdvance(Calendar,X370,W371,"f",FALSE)</f>
        <v>42633</v>
      </c>
      <c r="Y371" s="131">
        <f>_xll.qlCalendarAdvance(Calendar,X371,NDays&amp;"D")</f>
        <v>42635</v>
      </c>
      <c r="Z371" s="132">
        <v>5.2674408876619188E-4</v>
      </c>
      <c r="AA371" s="129">
        <v>4.118609148928698E-4</v>
      </c>
    </row>
    <row r="372" spans="19:27" x14ac:dyDescent="0.2">
      <c r="S372" s="1"/>
      <c r="T372" s="109"/>
      <c r="W372" s="130" t="str">
        <f t="shared" si="15"/>
        <v>1D</v>
      </c>
      <c r="X372" s="128">
        <f>_xll.qlCalendarAdvance(Calendar,X371,W372,"f",FALSE)</f>
        <v>42634</v>
      </c>
      <c r="Y372" s="131">
        <f>_xll.qlCalendarAdvance(Calendar,X372,NDays&amp;"D")</f>
        <v>42636</v>
      </c>
      <c r="Z372" s="132">
        <v>5.2843380499598472E-4</v>
      </c>
      <c r="AA372" s="129">
        <v>4.2023803724866582E-4</v>
      </c>
    </row>
    <row r="373" spans="19:27" x14ac:dyDescent="0.2">
      <c r="S373" s="1"/>
      <c r="T373" s="109"/>
      <c r="W373" s="130" t="str">
        <f t="shared" si="15"/>
        <v>1D</v>
      </c>
      <c r="X373" s="128">
        <f>_xll.qlCalendarAdvance(Calendar,X372,W373,"f",FALSE)</f>
        <v>42635</v>
      </c>
      <c r="Y373" s="131">
        <f>_xll.qlCalendarAdvance(Calendar,X373,NDays&amp;"D")</f>
        <v>42639</v>
      </c>
      <c r="Z373" s="132">
        <v>5.3353559865262792E-4</v>
      </c>
      <c r="AA373" s="129">
        <v>4.2842611722271329E-4</v>
      </c>
    </row>
    <row r="374" spans="19:27" x14ac:dyDescent="0.2">
      <c r="S374" s="1"/>
      <c r="T374" s="109"/>
      <c r="W374" s="130" t="str">
        <f t="shared" si="15"/>
        <v>1D</v>
      </c>
      <c r="X374" s="128">
        <f>_xll.qlCalendarAdvance(Calendar,X373,W374,"f",FALSE)</f>
        <v>42636</v>
      </c>
      <c r="Y374" s="131">
        <f>_xll.qlCalendarAdvance(Calendar,X374,NDays&amp;"D")</f>
        <v>42640</v>
      </c>
      <c r="Z374" s="132">
        <v>5.3469001157910279E-4</v>
      </c>
      <c r="AA374" s="129">
        <v>4.3242637183027455E-4</v>
      </c>
    </row>
    <row r="375" spans="19:27" x14ac:dyDescent="0.2">
      <c r="S375" s="1"/>
      <c r="T375" s="109"/>
      <c r="W375" s="130" t="str">
        <f t="shared" si="15"/>
        <v>1D</v>
      </c>
      <c r="X375" s="128">
        <f>_xll.qlCalendarAdvance(Calendar,X374,W375,"f",FALSE)</f>
        <v>42639</v>
      </c>
      <c r="Y375" s="131">
        <f>_xll.qlCalendarAdvance(Calendar,X375,NDays&amp;"D")</f>
        <v>42641</v>
      </c>
      <c r="Z375" s="132">
        <v>5.3613866411505399E-4</v>
      </c>
      <c r="AA375" s="129">
        <v>4.3637020788800385E-4</v>
      </c>
    </row>
    <row r="376" spans="19:27" x14ac:dyDescent="0.2">
      <c r="S376" s="1"/>
      <c r="T376" s="109"/>
      <c r="W376" s="130" t="str">
        <f t="shared" si="15"/>
        <v>1D</v>
      </c>
      <c r="X376" s="128">
        <f>_xll.qlCalendarAdvance(Calendar,X375,W376,"f",FALSE)</f>
        <v>42640</v>
      </c>
      <c r="Y376" s="131">
        <f>_xll.qlCalendarAdvance(Calendar,X376,NDays&amp;"D")</f>
        <v>42642</v>
      </c>
      <c r="Z376" s="132">
        <v>5.3754526321334983E-4</v>
      </c>
      <c r="AA376" s="129">
        <v>4.4025762571564542E-4</v>
      </c>
    </row>
    <row r="377" spans="19:27" x14ac:dyDescent="0.2">
      <c r="S377" s="1"/>
      <c r="T377" s="109"/>
      <c r="W377" s="130" t="str">
        <f t="shared" si="15"/>
        <v>1D</v>
      </c>
      <c r="X377" s="128">
        <f>_xll.qlCalendarAdvance(Calendar,X376,W377,"f",FALSE)</f>
        <v>42641</v>
      </c>
      <c r="Y377" s="131">
        <f>_xll.qlCalendarAdvance(Calendar,X377,NDays&amp;"D")</f>
        <v>42643</v>
      </c>
      <c r="Z377" s="132">
        <v>5.3891186198507825E-4</v>
      </c>
      <c r="AA377" s="129">
        <v>4.4784495690564086E-4</v>
      </c>
    </row>
    <row r="378" spans="19:27" x14ac:dyDescent="0.2">
      <c r="S378" s="1"/>
      <c r="T378" s="109"/>
      <c r="W378" s="130" t="str">
        <f t="shared" si="15"/>
        <v>1D</v>
      </c>
      <c r="X378" s="128">
        <f>_xll.qlCalendarAdvance(Calendar,X377,W378,"f",FALSE)</f>
        <v>42642</v>
      </c>
      <c r="Y378" s="131">
        <f>_xll.qlCalendarAdvance(Calendar,X378,NDays&amp;"D")</f>
        <v>42646</v>
      </c>
      <c r="Z378" s="132">
        <v>7.5635712892731797E-4</v>
      </c>
      <c r="AA378" s="129">
        <v>4.5524311256706085E-4</v>
      </c>
    </row>
    <row r="379" spans="19:27" x14ac:dyDescent="0.2">
      <c r="S379" s="1"/>
      <c r="T379" s="109"/>
      <c r="W379" s="130" t="str">
        <f t="shared" si="15"/>
        <v>1D</v>
      </c>
      <c r="X379" s="128">
        <f>_xll.qlCalendarAdvance(Calendar,X378,W379,"f",FALSE)</f>
        <v>42643</v>
      </c>
      <c r="Y379" s="131">
        <f>_xll.qlCalendarAdvance(Calendar,X379,NDays&amp;"D")</f>
        <v>42647</v>
      </c>
      <c r="Z379" s="132">
        <v>7.5758076962478111E-4</v>
      </c>
      <c r="AA379" s="129">
        <v>4.5884843820509502E-4</v>
      </c>
    </row>
    <row r="380" spans="19:27" x14ac:dyDescent="0.2">
      <c r="S380" s="1"/>
      <c r="T380" s="109"/>
      <c r="W380" s="130" t="str">
        <f t="shared" si="15"/>
        <v>1D</v>
      </c>
      <c r="X380" s="128">
        <f>_xll.qlCalendarAdvance(Calendar,X379,W380,"f",FALSE)</f>
        <v>42646</v>
      </c>
      <c r="Y380" s="131">
        <f>_xll.qlCalendarAdvance(Calendar,X380,NDays&amp;"D")</f>
        <v>42648</v>
      </c>
      <c r="Z380" s="132">
        <v>7.5877641476246077E-4</v>
      </c>
      <c r="AA380" s="129">
        <v>4.6239734537323329E-4</v>
      </c>
    </row>
    <row r="381" spans="19:27" x14ac:dyDescent="0.2">
      <c r="S381" s="1"/>
      <c r="T381" s="109"/>
      <c r="W381" s="130" t="str">
        <f t="shared" si="15"/>
        <v>1D</v>
      </c>
      <c r="X381" s="128">
        <f>_xll.qlCalendarAdvance(Calendar,X380,W381,"f",FALSE)</f>
        <v>42647</v>
      </c>
      <c r="Y381" s="131">
        <f>_xll.qlCalendarAdvance(Calendar,X381,NDays&amp;"D")</f>
        <v>42649</v>
      </c>
      <c r="Z381" s="132">
        <v>7.5994609527056374E-4</v>
      </c>
      <c r="AA381" s="129">
        <v>4.6588983415141172E-4</v>
      </c>
    </row>
    <row r="382" spans="19:27" x14ac:dyDescent="0.2">
      <c r="S382" s="1"/>
      <c r="T382" s="109"/>
      <c r="W382" s="130" t="str">
        <f t="shared" si="15"/>
        <v>1D</v>
      </c>
      <c r="X382" s="128">
        <f>_xll.qlCalendarAdvance(Calendar,X381,W382,"f",FALSE)</f>
        <v>42648</v>
      </c>
      <c r="Y382" s="131">
        <f>_xll.qlCalendarAdvance(Calendar,X382,NDays&amp;"D")</f>
        <v>42650</v>
      </c>
      <c r="Z382" s="132">
        <v>7.5710238734741895E-4</v>
      </c>
      <c r="AA382" s="129">
        <v>4.7268737103145497E-4</v>
      </c>
    </row>
    <row r="383" spans="19:27" x14ac:dyDescent="0.2">
      <c r="S383" s="1"/>
      <c r="T383" s="109"/>
      <c r="W383" s="130" t="str">
        <f t="shared" si="15"/>
        <v>1D</v>
      </c>
      <c r="X383" s="128">
        <f>_xll.qlCalendarAdvance(Calendar,X382,W383,"f",FALSE)</f>
        <v>42649</v>
      </c>
      <c r="Y383" s="131">
        <f>_xll.qlCalendarAdvance(Calendar,X383,NDays&amp;"D")</f>
        <v>42653</v>
      </c>
      <c r="Z383" s="132">
        <v>7.6440578973471915E-4</v>
      </c>
      <c r="AA383" s="129">
        <v>4.792956051247188E-4</v>
      </c>
    </row>
    <row r="384" spans="19:27" x14ac:dyDescent="0.2">
      <c r="S384" s="1"/>
      <c r="T384" s="109"/>
      <c r="W384" s="130" t="str">
        <f t="shared" si="15"/>
        <v>1D</v>
      </c>
      <c r="X384" s="128">
        <f>_xll.qlCalendarAdvance(Calendar,X383,W384,"f",FALSE)</f>
        <v>42650</v>
      </c>
      <c r="Y384" s="131">
        <f>_xll.qlCalendarAdvance(Calendar,X384,NDays&amp;"D")</f>
        <v>42654</v>
      </c>
      <c r="Z384" s="132">
        <v>7.6547611116272807E-4</v>
      </c>
      <c r="AA384" s="129">
        <v>4.8250600179322589E-4</v>
      </c>
    </row>
    <row r="385" spans="19:27" x14ac:dyDescent="0.2">
      <c r="S385" s="1"/>
      <c r="T385" s="109"/>
      <c r="W385" s="130" t="str">
        <f t="shared" si="15"/>
        <v>1D</v>
      </c>
      <c r="X385" s="128">
        <f>_xll.qlCalendarAdvance(Calendar,X384,W385,"f",FALSE)</f>
        <v>42653</v>
      </c>
      <c r="Y385" s="131">
        <f>_xll.qlCalendarAdvance(Calendar,X385,NDays&amp;"D")</f>
        <v>42655</v>
      </c>
      <c r="Z385" s="132">
        <v>7.6653265360582745E-4</v>
      </c>
      <c r="AA385" s="129">
        <v>4.8565997999183708E-4</v>
      </c>
    </row>
    <row r="386" spans="19:27" x14ac:dyDescent="0.2">
      <c r="S386" s="1"/>
      <c r="T386" s="109"/>
      <c r="W386" s="130" t="str">
        <f t="shared" si="15"/>
        <v>1D</v>
      </c>
      <c r="X386" s="128">
        <f>_xll.qlCalendarAdvance(Calendar,X385,W386,"f",FALSE)</f>
        <v>42654</v>
      </c>
      <c r="Y386" s="131">
        <f>_xll.qlCalendarAdvance(Calendar,X386,NDays&amp;"D")</f>
        <v>42656</v>
      </c>
      <c r="Z386" s="132">
        <v>7.6757744801420784E-4</v>
      </c>
      <c r="AA386" s="129">
        <v>4.8875753980048842E-4</v>
      </c>
    </row>
    <row r="387" spans="19:27" x14ac:dyDescent="0.2">
      <c r="S387" s="1"/>
      <c r="T387" s="109"/>
      <c r="W387" s="130" t="str">
        <f t="shared" si="15"/>
        <v>1D</v>
      </c>
      <c r="X387" s="128">
        <f>_xll.qlCalendarAdvance(Calendar,X386,W387,"f",FALSE)</f>
        <v>42655</v>
      </c>
      <c r="Y387" s="131">
        <f>_xll.qlCalendarAdvance(Calendar,X387,NDays&amp;"D")</f>
        <v>42657</v>
      </c>
      <c r="Z387" s="132">
        <v>7.6476222447200402E-4</v>
      </c>
      <c r="AA387" s="129">
        <v>4.9476527781422419E-4</v>
      </c>
    </row>
    <row r="388" spans="19:27" x14ac:dyDescent="0.2">
      <c r="S388" s="1"/>
      <c r="T388" s="109"/>
      <c r="W388" s="130" t="str">
        <f t="shared" si="15"/>
        <v>1D</v>
      </c>
      <c r="X388" s="128">
        <f>_xll.qlCalendarAdvance(Calendar,X387,W388,"f",FALSE)</f>
        <v>42656</v>
      </c>
      <c r="Y388" s="131">
        <f>_xll.qlCalendarAdvance(Calendar,X388,NDays&amp;"D")</f>
        <v>42660</v>
      </c>
      <c r="Z388" s="132">
        <v>7.7167976436082924E-4</v>
      </c>
      <c r="AA388" s="129">
        <v>5.0058359449600687E-4</v>
      </c>
    </row>
    <row r="389" spans="19:27" x14ac:dyDescent="0.2">
      <c r="S389" s="1"/>
      <c r="T389" s="109"/>
      <c r="W389" s="130" t="str">
        <f t="shared" si="15"/>
        <v>1D</v>
      </c>
      <c r="X389" s="128">
        <f>_xll.qlCalendarAdvance(Calendar,X388,W389,"f",FALSE)</f>
        <v>42657</v>
      </c>
      <c r="Y389" s="131">
        <f>_xll.qlCalendarAdvance(Calendar,X389,NDays&amp;"D")</f>
        <v>42661</v>
      </c>
      <c r="Z389" s="132">
        <v>7.7269628291277081E-4</v>
      </c>
      <c r="AA389" s="129">
        <v>5.0339906203511475E-4</v>
      </c>
    </row>
    <row r="390" spans="19:27" x14ac:dyDescent="0.2">
      <c r="S390" s="1"/>
      <c r="T390" s="109"/>
      <c r="W390" s="130" t="str">
        <f t="shared" si="15"/>
        <v>1D</v>
      </c>
      <c r="X390" s="128">
        <f>_xll.qlCalendarAdvance(Calendar,X389,W390,"f",FALSE)</f>
        <v>42660</v>
      </c>
      <c r="Y390" s="131">
        <f>_xll.qlCalendarAdvance(Calendar,X390,NDays&amp;"D")</f>
        <v>42662</v>
      </c>
      <c r="Z390" s="132">
        <v>7.7371323917284297E-4</v>
      </c>
      <c r="AA390" s="129">
        <v>5.0615811118426279E-4</v>
      </c>
    </row>
    <row r="391" spans="19:27" x14ac:dyDescent="0.2">
      <c r="S391" s="1"/>
      <c r="T391" s="109"/>
      <c r="W391" s="130" t="str">
        <f t="shared" si="15"/>
        <v>1D</v>
      </c>
      <c r="X391" s="128">
        <f>_xll.qlCalendarAdvance(Calendar,X390,W391,"f",FALSE)</f>
        <v>42661</v>
      </c>
      <c r="Y391" s="131">
        <f>_xll.qlCalendarAdvance(Calendar,X391,NDays&amp;"D")</f>
        <v>42663</v>
      </c>
      <c r="Z391" s="132">
        <v>7.7473266410513827E-4</v>
      </c>
      <c r="AA391" s="129">
        <v>5.0886074186351493E-4</v>
      </c>
    </row>
    <row r="392" spans="19:27" x14ac:dyDescent="0.2">
      <c r="S392" s="1"/>
      <c r="T392" s="109"/>
      <c r="W392" s="130" t="str">
        <f t="shared" si="15"/>
        <v>1D</v>
      </c>
      <c r="X392" s="128">
        <f>_xll.qlCalendarAdvance(Calendar,X391,W392,"f",FALSE)</f>
        <v>42662</v>
      </c>
      <c r="Y392" s="131">
        <f>_xll.qlCalendarAdvance(Calendar,X392,NDays&amp;"D")</f>
        <v>42664</v>
      </c>
      <c r="Z392" s="132">
        <v>7.7218942422254354E-4</v>
      </c>
      <c r="AA392" s="129">
        <v>5.1407867584174483E-4</v>
      </c>
    </row>
    <row r="393" spans="19:27" x14ac:dyDescent="0.2">
      <c r="S393" s="1"/>
      <c r="T393" s="109"/>
      <c r="W393" s="130" t="str">
        <f t="shared" si="15"/>
        <v>1D</v>
      </c>
      <c r="X393" s="128">
        <f>_xll.qlCalendarAdvance(Calendar,X392,W393,"f",FALSE)</f>
        <v>42663</v>
      </c>
      <c r="Y393" s="131">
        <f>_xll.qlCalendarAdvance(Calendar,X393,NDays&amp;"D")</f>
        <v>42667</v>
      </c>
      <c r="Z393" s="132">
        <v>7.7887566993484691E-4</v>
      </c>
      <c r="AA393" s="129">
        <v>5.1910708012137263E-4</v>
      </c>
    </row>
    <row r="394" spans="19:27" x14ac:dyDescent="0.2">
      <c r="S394" s="1"/>
      <c r="T394" s="109"/>
      <c r="W394" s="130" t="str">
        <f t="shared" si="15"/>
        <v>1D</v>
      </c>
      <c r="X394" s="128">
        <f>_xll.qlCalendarAdvance(Calendar,X393,W394,"f",FALSE)</f>
        <v>42664</v>
      </c>
      <c r="Y394" s="131">
        <f>_xll.qlCalendarAdvance(Calendar,X394,NDays&amp;"D")</f>
        <v>42668</v>
      </c>
      <c r="Z394" s="132">
        <v>7.7993790277740228E-4</v>
      </c>
      <c r="AA394" s="129">
        <v>5.2152761853108132E-4</v>
      </c>
    </row>
    <row r="395" spans="19:27" x14ac:dyDescent="0.2">
      <c r="S395" s="1"/>
      <c r="T395" s="109"/>
      <c r="W395" s="130" t="str">
        <f t="shared" si="15"/>
        <v>1D</v>
      </c>
      <c r="X395" s="128">
        <f>_xll.qlCalendarAdvance(Calendar,X394,W395,"f",FALSE)</f>
        <v>42667</v>
      </c>
      <c r="Y395" s="131">
        <f>_xll.qlCalendarAdvance(Calendar,X395,NDays&amp;"D")</f>
        <v>42669</v>
      </c>
      <c r="Z395" s="132">
        <v>7.8101479012713062E-4</v>
      </c>
      <c r="AA395" s="129">
        <v>5.238917384708941E-4</v>
      </c>
    </row>
    <row r="396" spans="19:27" x14ac:dyDescent="0.2">
      <c r="S396" s="1"/>
      <c r="T396" s="109"/>
      <c r="W396" s="130" t="str">
        <f t="shared" si="15"/>
        <v>1D</v>
      </c>
      <c r="X396" s="128">
        <f>_xll.qlCalendarAdvance(Calendar,X395,W396,"f",FALSE)</f>
        <v>42668</v>
      </c>
      <c r="Y396" s="131">
        <f>_xll.qlCalendarAdvance(Calendar,X396,NDays&amp;"D")</f>
        <v>42670</v>
      </c>
      <c r="Z396" s="132">
        <v>7.8210836296289531E-4</v>
      </c>
      <c r="AA396" s="129">
        <v>5.2619944010068309E-4</v>
      </c>
    </row>
    <row r="397" spans="19:27" x14ac:dyDescent="0.2">
      <c r="S397" s="1"/>
      <c r="T397" s="109"/>
      <c r="W397" s="130" t="str">
        <f t="shared" si="15"/>
        <v>1D</v>
      </c>
      <c r="X397" s="128">
        <f>_xll.qlCalendarAdvance(Calendar,X396,W397,"f",FALSE)</f>
        <v>42669</v>
      </c>
      <c r="Y397" s="131">
        <f>_xll.qlCalendarAdvance(Calendar,X397,NDays&amp;"D")</f>
        <v>42671</v>
      </c>
      <c r="Z397" s="132">
        <v>7.8006578812406246E-4</v>
      </c>
      <c r="AA397" s="129">
        <v>5.3062756367516783E-4</v>
      </c>
    </row>
    <row r="398" spans="19:27" x14ac:dyDescent="0.2">
      <c r="S398" s="1"/>
      <c r="T398" s="109"/>
      <c r="W398" s="130" t="str">
        <f t="shared" si="15"/>
        <v>1D</v>
      </c>
      <c r="X398" s="128">
        <f>_xll.qlCalendarAdvance(Calendar,X397,W398,"f",FALSE)</f>
        <v>42670</v>
      </c>
      <c r="Y398" s="131">
        <f>_xll.qlCalendarAdvance(Calendar,X398,NDays&amp;"D")</f>
        <v>42674</v>
      </c>
      <c r="Z398" s="132">
        <v>7.8669012886870135E-4</v>
      </c>
      <c r="AA398" s="129">
        <v>5.3486606152119975E-4</v>
      </c>
    </row>
    <row r="399" spans="19:27" x14ac:dyDescent="0.2">
      <c r="S399" s="1"/>
      <c r="T399" s="109"/>
      <c r="W399" s="130" t="str">
        <f t="shared" si="15"/>
        <v>1D</v>
      </c>
      <c r="X399" s="128">
        <f>_xll.qlCalendarAdvance(Calendar,X398,W399,"f",FALSE)</f>
        <v>42671</v>
      </c>
      <c r="Y399" s="131">
        <f>_xll.qlCalendarAdvance(Calendar,X399,NDays&amp;"D")</f>
        <v>42675</v>
      </c>
      <c r="Z399" s="132">
        <v>7.8789759393315751E-4</v>
      </c>
      <c r="AA399" s="129">
        <v>5.3689167080150924E-4</v>
      </c>
    </row>
    <row r="400" spans="19:27" x14ac:dyDescent="0.2">
      <c r="S400" s="1"/>
      <c r="T400" s="109"/>
      <c r="W400" s="130" t="str">
        <f t="shared" si="15"/>
        <v>1D</v>
      </c>
      <c r="X400" s="128">
        <f>_xll.qlCalendarAdvance(Calendar,X399,W400,"f",FALSE)</f>
        <v>42674</v>
      </c>
      <c r="Y400" s="131">
        <f>_xll.qlCalendarAdvance(Calendar,X400,NDays&amp;"D")</f>
        <v>42676</v>
      </c>
      <c r="Z400" s="132">
        <v>7.8913393042199533E-4</v>
      </c>
      <c r="AA400" s="129">
        <v>5.3886086161192281E-4</v>
      </c>
    </row>
    <row r="401" spans="19:27" x14ac:dyDescent="0.2">
      <c r="S401" s="1"/>
      <c r="T401" s="109"/>
      <c r="W401" s="130" t="str">
        <f t="shared" si="15"/>
        <v>1D</v>
      </c>
      <c r="X401" s="128">
        <f>_xll.qlCalendarAdvance(Calendar,X400,W401,"f",FALSE)</f>
        <v>42675</v>
      </c>
      <c r="Y401" s="131">
        <f>_xll.qlCalendarAdvance(Calendar,X401,NDays&amp;"D")</f>
        <v>42677</v>
      </c>
      <c r="Z401" s="132">
        <v>7.9040116933319345E-4</v>
      </c>
      <c r="AA401" s="129">
        <v>5.4077363387250443E-4</v>
      </c>
    </row>
    <row r="402" spans="19:27" x14ac:dyDescent="0.2">
      <c r="S402" s="1"/>
      <c r="T402" s="109"/>
      <c r="W402" s="130" t="str">
        <f t="shared" si="15"/>
        <v>1D</v>
      </c>
      <c r="X402" s="128">
        <f>_xll.qlCalendarAdvance(Calendar,X401,W402,"f",FALSE)</f>
        <v>42676</v>
      </c>
      <c r="Y402" s="131">
        <f>_xll.qlCalendarAdvance(Calendar,X402,NDays&amp;"D")</f>
        <v>42678</v>
      </c>
      <c r="Z402" s="132">
        <v>7.8907312342976939E-4</v>
      </c>
      <c r="AA402" s="129">
        <v>5.4441194024867912E-4</v>
      </c>
    </row>
    <row r="403" spans="19:27" x14ac:dyDescent="0.2">
      <c r="S403" s="1"/>
      <c r="T403" s="109"/>
      <c r="W403" s="130" t="str">
        <f t="shared" si="15"/>
        <v>1D</v>
      </c>
      <c r="X403" s="128">
        <f>_xll.qlCalendarAdvance(Calendar,X402,W403,"f",FALSE)</f>
        <v>42677</v>
      </c>
      <c r="Y403" s="131">
        <f>_xll.qlCalendarAdvance(Calendar,X403,NDays&amp;"D")</f>
        <v>42681</v>
      </c>
      <c r="Z403" s="132">
        <v>7.9581976933493107E-4</v>
      </c>
      <c r="AA403" s="129">
        <v>5.4786053853561612E-4</v>
      </c>
    </row>
    <row r="404" spans="19:27" x14ac:dyDescent="0.2">
      <c r="S404" s="1"/>
      <c r="T404" s="109"/>
      <c r="W404" s="130" t="str">
        <f t="shared" si="15"/>
        <v>1D</v>
      </c>
      <c r="X404" s="128">
        <f>_xll.qlCalendarAdvance(Calendar,X403,W404,"f",FALSE)</f>
        <v>42678</v>
      </c>
      <c r="Y404" s="131">
        <f>_xll.qlCalendarAdvance(Calendar,X404,NDays&amp;"D")</f>
        <v>42682</v>
      </c>
      <c r="Z404" s="132">
        <v>7.9727198548574173E-4</v>
      </c>
      <c r="AA404" s="129">
        <v>5.4949121844671822E-4</v>
      </c>
    </row>
    <row r="405" spans="19:27" x14ac:dyDescent="0.2">
      <c r="S405" s="1"/>
      <c r="T405" s="109"/>
      <c r="W405" s="130" t="str">
        <f t="shared" ref="W405:W468" si="16">W404</f>
        <v>1D</v>
      </c>
      <c r="X405" s="128">
        <f>_xll.qlCalendarAdvance(Calendar,X404,W405,"f",FALSE)</f>
        <v>42681</v>
      </c>
      <c r="Y405" s="131">
        <f>_xll.qlCalendarAdvance(Calendar,X405,NDays&amp;"D")</f>
        <v>42683</v>
      </c>
      <c r="Z405" s="132">
        <v>7.9876729013540824E-4</v>
      </c>
      <c r="AA405" s="129">
        <v>5.5106547996786048E-4</v>
      </c>
    </row>
    <row r="406" spans="19:27" x14ac:dyDescent="0.2">
      <c r="S406" s="1"/>
      <c r="T406" s="109"/>
      <c r="W406" s="130" t="str">
        <f t="shared" si="16"/>
        <v>1D</v>
      </c>
      <c r="X406" s="128">
        <f>_xll.qlCalendarAdvance(Calendar,X405,W406,"f",FALSE)</f>
        <v>42682</v>
      </c>
      <c r="Y406" s="131">
        <f>_xll.qlCalendarAdvance(Calendar,X406,NDays&amp;"D")</f>
        <v>42684</v>
      </c>
      <c r="Z406" s="132">
        <v>8.0030771431231957E-4</v>
      </c>
      <c r="AA406" s="129">
        <v>5.5258332301910684E-4</v>
      </c>
    </row>
    <row r="407" spans="19:27" x14ac:dyDescent="0.2">
      <c r="S407" s="1"/>
      <c r="T407" s="109"/>
      <c r="W407" s="130" t="str">
        <f t="shared" si="16"/>
        <v>1D</v>
      </c>
      <c r="X407" s="128">
        <f>_xll.qlCalendarAdvance(Calendar,X406,W407,"f",FALSE)</f>
        <v>42683</v>
      </c>
      <c r="Y407" s="131">
        <f>_xll.qlCalendarAdvance(Calendar,X407,NDays&amp;"D")</f>
        <v>42685</v>
      </c>
      <c r="Z407" s="132">
        <v>7.9989324452759151E-4</v>
      </c>
      <c r="AA407" s="129">
        <v>5.5543180457640062E-4</v>
      </c>
    </row>
    <row r="408" spans="19:27" x14ac:dyDescent="0.2">
      <c r="S408" s="1"/>
      <c r="T408" s="109"/>
      <c r="W408" s="130" t="str">
        <f t="shared" si="16"/>
        <v>1D</v>
      </c>
      <c r="X408" s="128">
        <f>_xll.qlCalendarAdvance(Calendar,X407,W408,"f",FALSE)</f>
        <v>42684</v>
      </c>
      <c r="Y408" s="131">
        <f>_xll.qlCalendarAdvance(Calendar,X408,NDays&amp;"D")</f>
        <v>42688</v>
      </c>
      <c r="Z408" s="132">
        <v>8.0696122698530959E-4</v>
      </c>
      <c r="AA408" s="129">
        <v>5.5809051052513325E-4</v>
      </c>
    </row>
    <row r="409" spans="19:27" x14ac:dyDescent="0.2">
      <c r="S409" s="1"/>
      <c r="T409" s="109"/>
      <c r="W409" s="130" t="str">
        <f t="shared" si="16"/>
        <v>1D</v>
      </c>
      <c r="X409" s="128">
        <f>_xll.qlCalendarAdvance(Calendar,X408,W409,"f",FALSE)</f>
        <v>42685</v>
      </c>
      <c r="Y409" s="131">
        <f>_xll.qlCalendarAdvance(Calendar,X409,NDays&amp;"D")</f>
        <v>42689</v>
      </c>
      <c r="Z409" s="132">
        <v>8.0875771437111837E-4</v>
      </c>
      <c r="AA409" s="129">
        <v>5.5932626130683616E-4</v>
      </c>
    </row>
    <row r="410" spans="19:27" x14ac:dyDescent="0.2">
      <c r="S410" s="1"/>
      <c r="T410" s="109"/>
      <c r="W410" s="130" t="str">
        <f t="shared" si="16"/>
        <v>1D</v>
      </c>
      <c r="X410" s="128">
        <f>_xll.qlCalendarAdvance(Calendar,X409,W410,"f",FALSE)</f>
        <v>42688</v>
      </c>
      <c r="Y410" s="131">
        <f>_xll.qlCalendarAdvance(Calendar,X410,NDays&amp;"D")</f>
        <v>42690</v>
      </c>
      <c r="Z410" s="132">
        <v>8.1061150755181919E-4</v>
      </c>
      <c r="AA410" s="129">
        <v>5.605055935387071E-4</v>
      </c>
    </row>
    <row r="411" spans="19:27" x14ac:dyDescent="0.2">
      <c r="S411" s="1"/>
      <c r="T411" s="109"/>
      <c r="W411" s="130" t="str">
        <f t="shared" si="16"/>
        <v>1D</v>
      </c>
      <c r="X411" s="128">
        <f>_xll.qlCalendarAdvance(Calendar,X410,W411,"f",FALSE)</f>
        <v>42689</v>
      </c>
      <c r="Y411" s="131">
        <f>_xll.qlCalendarAdvance(Calendar,X411,NDays&amp;"D")</f>
        <v>42691</v>
      </c>
      <c r="Z411" s="132">
        <v>8.1252463759316231E-4</v>
      </c>
      <c r="AA411" s="129">
        <v>5.6162850730068214E-4</v>
      </c>
    </row>
    <row r="412" spans="19:27" x14ac:dyDescent="0.2">
      <c r="S412" s="1"/>
      <c r="T412" s="109"/>
      <c r="W412" s="130" t="str">
        <f t="shared" si="16"/>
        <v>1D</v>
      </c>
      <c r="X412" s="128">
        <f>_xll.qlCalendarAdvance(Calendar,X411,W412,"f",FALSE)</f>
        <v>42690</v>
      </c>
      <c r="Y412" s="131">
        <f>_xll.qlCalendarAdvance(Calendar,X412,NDays&amp;"D")</f>
        <v>42692</v>
      </c>
      <c r="Z412" s="132">
        <v>8.1320797555510375E-4</v>
      </c>
      <c r="AA412" s="129">
        <v>5.6368715588561713E-4</v>
      </c>
    </row>
    <row r="413" spans="19:27" x14ac:dyDescent="0.2">
      <c r="S413" s="1"/>
      <c r="T413" s="109"/>
      <c r="W413" s="130" t="str">
        <f t="shared" si="16"/>
        <v>1D</v>
      </c>
      <c r="X413" s="128">
        <f>_xll.qlCalendarAdvance(Calendar,X412,W413,"f",FALSE)</f>
        <v>42691</v>
      </c>
      <c r="Y413" s="131">
        <f>_xll.qlCalendarAdvance(Calendar,X413,NDays&amp;"D")</f>
        <v>42695</v>
      </c>
      <c r="Z413" s="132">
        <v>8.2081114791803639E-4</v>
      </c>
      <c r="AA413" s="129">
        <v>5.6555597764962329E-4</v>
      </c>
    </row>
    <row r="414" spans="19:27" x14ac:dyDescent="0.2">
      <c r="S414" s="1"/>
      <c r="T414" s="109"/>
      <c r="W414" s="130" t="str">
        <f t="shared" si="16"/>
        <v>1D</v>
      </c>
      <c r="X414" s="128">
        <f>_xll.qlCalendarAdvance(Calendar,X413,W414,"f",FALSE)</f>
        <v>42692</v>
      </c>
      <c r="Y414" s="131">
        <f>_xll.qlCalendarAdvance(Calendar,X414,NDays&amp;"D")</f>
        <v>42696</v>
      </c>
      <c r="Z414" s="132">
        <v>8.2305142848865503E-4</v>
      </c>
      <c r="AA414" s="129">
        <v>5.6639679906211882E-4</v>
      </c>
    </row>
    <row r="415" spans="19:27" x14ac:dyDescent="0.2">
      <c r="S415" s="1"/>
      <c r="T415" s="109"/>
      <c r="W415" s="130" t="str">
        <f t="shared" si="16"/>
        <v>1D</v>
      </c>
      <c r="X415" s="128">
        <f>_xll.qlCalendarAdvance(Calendar,X414,W415,"f",FALSE)</f>
        <v>42695</v>
      </c>
      <c r="Y415" s="131">
        <f>_xll.qlCalendarAdvance(Calendar,X415,NDays&amp;"D")</f>
        <v>42697</v>
      </c>
      <c r="Z415" s="132">
        <v>8.2536323246386388E-4</v>
      </c>
      <c r="AA415" s="129">
        <v>5.6718120192478239E-4</v>
      </c>
    </row>
    <row r="416" spans="19:27" x14ac:dyDescent="0.2">
      <c r="S416" s="1"/>
      <c r="T416" s="109"/>
      <c r="W416" s="130" t="str">
        <f t="shared" si="16"/>
        <v>1D</v>
      </c>
      <c r="X416" s="128">
        <f>_xll.qlCalendarAdvance(Calendar,X415,W416,"f",FALSE)</f>
        <v>42696</v>
      </c>
      <c r="Y416" s="131">
        <f>_xll.qlCalendarAdvance(Calendar,X416,NDays&amp;"D")</f>
        <v>42698</v>
      </c>
      <c r="Z416" s="132">
        <v>8.2774859096067677E-4</v>
      </c>
      <c r="AA416" s="129">
        <v>5.6790918639748611E-4</v>
      </c>
    </row>
    <row r="417" spans="19:27" x14ac:dyDescent="0.2">
      <c r="S417" s="1"/>
      <c r="T417" s="109"/>
      <c r="W417" s="130" t="str">
        <f t="shared" si="16"/>
        <v>1D</v>
      </c>
      <c r="X417" s="128">
        <f>_xll.qlCalendarAdvance(Calendar,X416,W417,"f",FALSE)</f>
        <v>42697</v>
      </c>
      <c r="Y417" s="131">
        <f>_xll.qlCalendarAdvance(Calendar,X417,NDays&amp;"D")</f>
        <v>42699</v>
      </c>
      <c r="Z417" s="132">
        <v>8.2969915424071171E-4</v>
      </c>
      <c r="AA417" s="129">
        <v>5.6917799361677623E-4</v>
      </c>
    </row>
    <row r="418" spans="19:27" x14ac:dyDescent="0.2">
      <c r="S418" s="1"/>
      <c r="T418" s="109"/>
      <c r="W418" s="130" t="str">
        <f t="shared" si="16"/>
        <v>1D</v>
      </c>
      <c r="X418" s="128">
        <f>_xll.qlCalendarAdvance(Calendar,X417,W418,"f",FALSE)</f>
        <v>42698</v>
      </c>
      <c r="Y418" s="131">
        <f>_xll.qlCalendarAdvance(Calendar,X418,NDays&amp;"D")</f>
        <v>42702</v>
      </c>
      <c r="Z418" s="132">
        <v>8.3806619286916719E-4</v>
      </c>
      <c r="AA418" s="129">
        <v>5.7025693942946987E-4</v>
      </c>
    </row>
    <row r="419" spans="19:27" x14ac:dyDescent="0.2">
      <c r="S419" s="1"/>
      <c r="T419" s="109"/>
      <c r="W419" s="130" t="str">
        <f t="shared" si="16"/>
        <v>1D</v>
      </c>
      <c r="X419" s="128">
        <f>_xll.qlCalendarAdvance(Calendar,X418,W419,"f",FALSE)</f>
        <v>42699</v>
      </c>
      <c r="Y419" s="131">
        <f>_xll.qlCalendarAdvance(Calendar,X419,NDays&amp;"D")</f>
        <v>42703</v>
      </c>
      <c r="Z419" s="132">
        <v>8.4100781950228272E-4</v>
      </c>
      <c r="AA419" s="129">
        <v>5.7070283155269408E-4</v>
      </c>
    </row>
    <row r="420" spans="19:27" x14ac:dyDescent="0.2">
      <c r="S420" s="1"/>
      <c r="T420" s="109"/>
      <c r="W420" s="130" t="str">
        <f t="shared" si="16"/>
        <v>1D</v>
      </c>
      <c r="X420" s="128">
        <f>_xll.qlCalendarAdvance(Calendar,X419,W420,"f",FALSE)</f>
        <v>42702</v>
      </c>
      <c r="Y420" s="131">
        <f>_xll.qlCalendarAdvance(Calendar,X420,NDays&amp;"D")</f>
        <v>42704</v>
      </c>
      <c r="Z420" s="132">
        <v>8.440098702608978E-4</v>
      </c>
      <c r="AA420" s="129">
        <v>5.7109230512608633E-4</v>
      </c>
    </row>
    <row r="421" spans="19:27" x14ac:dyDescent="0.2">
      <c r="S421" s="1"/>
      <c r="T421" s="109"/>
      <c r="W421" s="130" t="str">
        <f t="shared" si="16"/>
        <v>1D</v>
      </c>
      <c r="X421" s="128">
        <f>_xll.qlCalendarAdvance(Calendar,X420,W421,"f",FALSE)</f>
        <v>42703</v>
      </c>
      <c r="Y421" s="131">
        <f>_xll.qlCalendarAdvance(Calendar,X421,NDays&amp;"D")</f>
        <v>42705</v>
      </c>
      <c r="Z421" s="132">
        <v>8.4684603340701159E-4</v>
      </c>
      <c r="AA421" s="129">
        <v>5.7142536022958268E-4</v>
      </c>
    </row>
    <row r="422" spans="19:27" x14ac:dyDescent="0.2">
      <c r="S422" s="1"/>
      <c r="T422" s="109"/>
      <c r="W422" s="130" t="str">
        <f t="shared" si="16"/>
        <v>1D</v>
      </c>
      <c r="X422" s="128">
        <f>_xll.qlCalendarAdvance(Calendar,X421,W422,"f",FALSE)</f>
        <v>42704</v>
      </c>
      <c r="Y422" s="131">
        <f>_xll.qlCalendarAdvance(Calendar,X422,NDays&amp;"D")</f>
        <v>42706</v>
      </c>
      <c r="Z422" s="132">
        <v>8.4977109707384813E-4</v>
      </c>
      <c r="AA422" s="129">
        <v>5.7190431742348835E-4</v>
      </c>
    </row>
    <row r="423" spans="19:27" x14ac:dyDescent="0.2">
      <c r="S423" s="1"/>
      <c r="T423" s="109"/>
      <c r="W423" s="130" t="str">
        <f t="shared" si="16"/>
        <v>1D</v>
      </c>
      <c r="X423" s="128">
        <f>_xll.qlCalendarAdvance(Calendar,X422,W423,"f",FALSE)</f>
        <v>42705</v>
      </c>
      <c r="Y423" s="131">
        <f>_xll.qlCalendarAdvance(Calendar,X423,NDays&amp;"D")</f>
        <v>42709</v>
      </c>
      <c r="Z423" s="132">
        <v>8.5921413499221843E-4</v>
      </c>
      <c r="AA423" s="129">
        <v>5.7219339586467299E-4</v>
      </c>
    </row>
    <row r="424" spans="19:27" x14ac:dyDescent="0.2">
      <c r="S424" s="1"/>
      <c r="T424" s="109"/>
      <c r="W424" s="130" t="str">
        <f t="shared" si="16"/>
        <v>1D</v>
      </c>
      <c r="X424" s="128">
        <f>_xll.qlCalendarAdvance(Calendar,X423,W424,"f",FALSE)</f>
        <v>42706</v>
      </c>
      <c r="Y424" s="131">
        <f>_xll.qlCalendarAdvance(Calendar,X424,NDays&amp;"D")</f>
        <v>42710</v>
      </c>
      <c r="Z424" s="132">
        <v>8.6240188359099079E-4</v>
      </c>
      <c r="AA424" s="129">
        <v>5.7224435861868983E-4</v>
      </c>
    </row>
    <row r="425" spans="19:27" x14ac:dyDescent="0.2">
      <c r="S425" s="1"/>
      <c r="T425" s="109"/>
      <c r="W425" s="130" t="str">
        <f t="shared" si="16"/>
        <v>1D</v>
      </c>
      <c r="X425" s="128">
        <f>_xll.qlCalendarAdvance(Calendar,X424,W425,"f",FALSE)</f>
        <v>42709</v>
      </c>
      <c r="Y425" s="131">
        <f>_xll.qlCalendarAdvance(Calendar,X425,NDays&amp;"D")</f>
        <v>42711</v>
      </c>
      <c r="Z425" s="132">
        <v>8.6580259496127354E-4</v>
      </c>
      <c r="AA425" s="129">
        <v>5.7223890290281076E-4</v>
      </c>
    </row>
    <row r="426" spans="19:27" x14ac:dyDescent="0.2">
      <c r="S426" s="1"/>
      <c r="T426" s="109"/>
      <c r="W426" s="130" t="str">
        <f t="shared" si="16"/>
        <v>1D</v>
      </c>
      <c r="X426" s="128">
        <f>_xll.qlCalendarAdvance(Calendar,X425,W426,"f",FALSE)</f>
        <v>42710</v>
      </c>
      <c r="Y426" s="131">
        <f>_xll.qlCalendarAdvance(Calendar,X426,NDays&amp;"D")</f>
        <v>42712</v>
      </c>
      <c r="Z426" s="132">
        <v>8.693046649881353E-4</v>
      </c>
      <c r="AA426" s="129">
        <v>5.721770287170358E-4</v>
      </c>
    </row>
    <row r="427" spans="19:27" x14ac:dyDescent="0.2">
      <c r="S427" s="1"/>
      <c r="T427" s="109"/>
      <c r="W427" s="130" t="str">
        <f t="shared" si="16"/>
        <v>1D</v>
      </c>
      <c r="X427" s="128">
        <f>_xll.qlCalendarAdvance(Calendar,X426,W427,"f",FALSE)</f>
        <v>42711</v>
      </c>
      <c r="Y427" s="131">
        <f>_xll.qlCalendarAdvance(Calendar,X427,NDays&amp;"D")</f>
        <v>42713</v>
      </c>
      <c r="Z427" s="132">
        <v>8.7291017007373739E-4</v>
      </c>
      <c r="AA427" s="129">
        <v>5.7186612706594531E-4</v>
      </c>
    </row>
    <row r="428" spans="19:27" x14ac:dyDescent="0.2">
      <c r="S428" s="1"/>
      <c r="T428" s="109"/>
      <c r="W428" s="130" t="str">
        <f t="shared" si="16"/>
        <v>1D</v>
      </c>
      <c r="X428" s="128">
        <f>_xll.qlCalendarAdvance(Calendar,X427,W428,"f",FALSE)</f>
        <v>42712</v>
      </c>
      <c r="Y428" s="131">
        <f>_xll.qlCalendarAdvance(Calendar,X428,NDays&amp;"D")</f>
        <v>42716</v>
      </c>
      <c r="Z428" s="132">
        <v>8.8492547823745924E-4</v>
      </c>
      <c r="AA428" s="129">
        <v>5.7136534703516872E-4</v>
      </c>
    </row>
    <row r="429" spans="19:27" x14ac:dyDescent="0.2">
      <c r="S429" s="1"/>
      <c r="T429" s="109"/>
      <c r="W429" s="130" t="str">
        <f t="shared" si="16"/>
        <v>1D</v>
      </c>
      <c r="X429" s="128">
        <f>_xll.qlCalendarAdvance(Calendar,X428,W429,"f",FALSE)</f>
        <v>42713</v>
      </c>
      <c r="Y429" s="131">
        <f>_xll.qlCalendarAdvance(Calendar,X429,NDays&amp;"D")</f>
        <v>42717</v>
      </c>
      <c r="Z429" s="132">
        <v>8.8840806968004671E-4</v>
      </c>
      <c r="AA429" s="129">
        <v>5.7102138041997819E-4</v>
      </c>
    </row>
    <row r="430" spans="19:27" x14ac:dyDescent="0.2">
      <c r="S430" s="1"/>
      <c r="T430" s="109"/>
      <c r="W430" s="130" t="str">
        <f t="shared" si="16"/>
        <v>1D</v>
      </c>
      <c r="X430" s="128">
        <f>_xll.qlCalendarAdvance(Calendar,X429,W430,"f",FALSE)</f>
        <v>42716</v>
      </c>
      <c r="Y430" s="131">
        <f>_xll.qlCalendarAdvance(Calendar,X430,NDays&amp;"D")</f>
        <v>42718</v>
      </c>
      <c r="Z430" s="132">
        <v>8.9256189670461339E-4</v>
      </c>
      <c r="AA430" s="129">
        <v>5.7062099533489175E-4</v>
      </c>
    </row>
    <row r="431" spans="19:27" x14ac:dyDescent="0.2">
      <c r="S431" s="1"/>
      <c r="T431" s="109"/>
      <c r="W431" s="130" t="str">
        <f t="shared" si="16"/>
        <v>1D</v>
      </c>
      <c r="X431" s="128">
        <f>_xll.qlCalendarAdvance(Calendar,X430,W431,"f",FALSE)</f>
        <v>42717</v>
      </c>
      <c r="Y431" s="131">
        <f>_xll.qlCalendarAdvance(Calendar,X431,NDays&amp;"D")</f>
        <v>42719</v>
      </c>
      <c r="Z431" s="132">
        <v>8.9683161756326513E-4</v>
      </c>
      <c r="AA431" s="129">
        <v>5.7016419169997334E-4</v>
      </c>
    </row>
    <row r="432" spans="19:27" x14ac:dyDescent="0.2">
      <c r="S432" s="1"/>
      <c r="T432" s="109"/>
      <c r="W432" s="130" t="str">
        <f t="shared" si="16"/>
        <v>1D</v>
      </c>
      <c r="X432" s="128">
        <f>_xll.qlCalendarAdvance(Calendar,X431,W432,"f",FALSE)</f>
        <v>42718</v>
      </c>
      <c r="Y432" s="131">
        <f>_xll.qlCalendarAdvance(Calendar,X432,NDays&amp;"D")</f>
        <v>42720</v>
      </c>
      <c r="Z432" s="132">
        <v>9.0121930877984369E-4</v>
      </c>
      <c r="AA432" s="129">
        <v>5.690634225441471E-4</v>
      </c>
    </row>
    <row r="433" spans="19:27" x14ac:dyDescent="0.2">
      <c r="S433" s="1"/>
      <c r="T433" s="109"/>
      <c r="W433" s="130" t="str">
        <f t="shared" si="16"/>
        <v>1D</v>
      </c>
      <c r="X433" s="128">
        <f>_xll.qlCalendarAdvance(Calendar,X432,W433,"f",FALSE)</f>
        <v>42719</v>
      </c>
      <c r="Y433" s="131">
        <f>_xll.qlCalendarAdvance(Calendar,X433,NDays&amp;"D")</f>
        <v>42723</v>
      </c>
      <c r="Z433" s="132">
        <v>9.1612221029576584E-4</v>
      </c>
      <c r="AA433" s="129">
        <v>5.6777279278108495E-4</v>
      </c>
    </row>
    <row r="434" spans="19:27" x14ac:dyDescent="0.2">
      <c r="S434" s="1"/>
      <c r="T434" s="109"/>
      <c r="W434" s="130" t="str">
        <f t="shared" si="16"/>
        <v>1D</v>
      </c>
      <c r="X434" s="128">
        <f>_xll.qlCalendarAdvance(Calendar,X433,W434,"f",FALSE)</f>
        <v>42720</v>
      </c>
      <c r="Y434" s="131">
        <f>_xll.qlCalendarAdvance(Calendar,X434,NDays&amp;"D")</f>
        <v>42724</v>
      </c>
      <c r="Z434" s="132">
        <v>9.1999130841902144E-4</v>
      </c>
      <c r="AA434" s="129">
        <v>5.6703389671675097E-4</v>
      </c>
    </row>
    <row r="435" spans="19:27" x14ac:dyDescent="0.2">
      <c r="S435" s="1"/>
      <c r="T435" s="109"/>
      <c r="W435" s="130" t="str">
        <f t="shared" si="16"/>
        <v>1D</v>
      </c>
      <c r="X435" s="128">
        <f>_xll.qlCalendarAdvance(Calendar,X434,W435,"f",FALSE)</f>
        <v>42723</v>
      </c>
      <c r="Y435" s="131">
        <f>_xll.qlCalendarAdvance(Calendar,X435,NDays&amp;"D")</f>
        <v>42725</v>
      </c>
      <c r="Z435" s="132">
        <v>9.2499999999962057E-4</v>
      </c>
      <c r="AA435" s="129">
        <v>5.6626971767670398E-4</v>
      </c>
    </row>
    <row r="436" spans="19:27" x14ac:dyDescent="0.2">
      <c r="S436" s="1"/>
      <c r="T436" s="109"/>
      <c r="W436" s="130" t="str">
        <f t="shared" si="16"/>
        <v>1D</v>
      </c>
      <c r="X436" s="128">
        <f>_xll.qlCalendarAdvance(Calendar,X435,W436,"f",FALSE)</f>
        <v>42724</v>
      </c>
      <c r="Y436" s="131">
        <f>_xll.qlCalendarAdvance(Calendar,X436,NDays&amp;"D")</f>
        <v>42726</v>
      </c>
      <c r="Z436" s="132">
        <v>9.3013839562861023E-4</v>
      </c>
      <c r="AA436" s="129">
        <v>5.6560479683831488E-4</v>
      </c>
    </row>
    <row r="437" spans="19:27" x14ac:dyDescent="0.2">
      <c r="S437" s="1"/>
      <c r="T437" s="109"/>
      <c r="W437" s="130" t="str">
        <f t="shared" si="16"/>
        <v>1D</v>
      </c>
      <c r="X437" s="128">
        <f>_xll.qlCalendarAdvance(Calendar,X436,W437,"f",FALSE)</f>
        <v>42725</v>
      </c>
      <c r="Y437" s="131">
        <f>_xll.qlCalendarAdvance(Calendar,X437,NDays&amp;"D")</f>
        <v>42727</v>
      </c>
      <c r="Z437" s="132">
        <v>9.3540494252764006E-4</v>
      </c>
      <c r="AA437" s="129">
        <v>5.6459579061973741E-4</v>
      </c>
    </row>
    <row r="438" spans="19:27" x14ac:dyDescent="0.2">
      <c r="S438" s="1"/>
      <c r="T438" s="109"/>
      <c r="W438" s="130" t="str">
        <f t="shared" si="16"/>
        <v>1D</v>
      </c>
      <c r="X438" s="128">
        <f>_xll.qlCalendarAdvance(Calendar,X437,W438,"f",FALSE)</f>
        <v>42726</v>
      </c>
      <c r="Y438" s="131">
        <f>_xll.qlCalendarAdvance(Calendar,X438,NDays&amp;"D")</f>
        <v>42731</v>
      </c>
      <c r="Z438" s="132">
        <v>9.57707069556335E-4</v>
      </c>
      <c r="AA438" s="129">
        <v>5.6423609576583544E-4</v>
      </c>
    </row>
    <row r="439" spans="19:27" x14ac:dyDescent="0.2">
      <c r="S439" s="1"/>
      <c r="T439" s="109"/>
      <c r="W439" s="130" t="str">
        <f t="shared" si="16"/>
        <v>1D</v>
      </c>
      <c r="X439" s="128">
        <f>_xll.qlCalendarAdvance(Calendar,X438,W439,"f",FALSE)</f>
        <v>42727</v>
      </c>
      <c r="Y439" s="131">
        <f>_xll.qlCalendarAdvance(Calendar,X439,NDays&amp;"D")</f>
        <v>42732</v>
      </c>
      <c r="Z439" s="132">
        <v>9.6358019284448204E-4</v>
      </c>
      <c r="AA439" s="129">
        <v>5.643535362231944E-4</v>
      </c>
    </row>
    <row r="440" spans="19:27" x14ac:dyDescent="0.2">
      <c r="S440" s="1"/>
      <c r="T440" s="109"/>
      <c r="W440" s="130" t="str">
        <f t="shared" si="16"/>
        <v>1D</v>
      </c>
      <c r="X440" s="128">
        <f>_xll.qlCalendarAdvance(Calendar,X439,W440,"f",FALSE)</f>
        <v>42731</v>
      </c>
      <c r="Y440" s="131">
        <f>_xll.qlCalendarAdvance(Calendar,X440,NDays&amp;"D")</f>
        <v>42733</v>
      </c>
      <c r="Z440" s="132">
        <v>9.6956779540580129E-4</v>
      </c>
      <c r="AA440" s="129">
        <v>5.6460137021652201E-4</v>
      </c>
    </row>
    <row r="441" spans="19:27" x14ac:dyDescent="0.2">
      <c r="S441" s="1"/>
      <c r="T441" s="109"/>
      <c r="W441" s="130" t="str">
        <f t="shared" si="16"/>
        <v>1D</v>
      </c>
      <c r="X441" s="128">
        <f>_xll.qlCalendarAdvance(Calendar,X440,W441,"f",FALSE)</f>
        <v>42732</v>
      </c>
      <c r="Y441" s="131">
        <f>_xll.qlCalendarAdvance(Calendar,X441,NDays&amp;"D")</f>
        <v>42734</v>
      </c>
      <c r="Z441" s="132">
        <v>9.772975539639136E-4</v>
      </c>
      <c r="AA441" s="129">
        <v>7.1059198444345384E-3</v>
      </c>
    </row>
    <row r="442" spans="19:27" x14ac:dyDescent="0.2">
      <c r="S442" s="1"/>
      <c r="T442" s="109"/>
      <c r="W442" s="130" t="str">
        <f t="shared" si="16"/>
        <v>1D</v>
      </c>
      <c r="X442" s="128">
        <f>_xll.qlCalendarAdvance(Calendar,X441,W442,"f",FALSE)</f>
        <v>42733</v>
      </c>
      <c r="Y442" s="131">
        <f>_xll.qlCalendarAdvance(Calendar,X442,NDays&amp;"D")</f>
        <v>42737</v>
      </c>
      <c r="Z442" s="132">
        <v>7.8071416409587595E-4</v>
      </c>
      <c r="AA442" s="129">
        <v>5.6689664170939125E-4</v>
      </c>
    </row>
    <row r="443" spans="19:27" x14ac:dyDescent="0.2">
      <c r="S443" s="1"/>
      <c r="T443" s="109"/>
      <c r="W443" s="130" t="str">
        <f t="shared" si="16"/>
        <v>1D</v>
      </c>
      <c r="X443" s="128">
        <f>_xll.qlCalendarAdvance(Calendar,X442,W443,"f",FALSE)</f>
        <v>42734</v>
      </c>
      <c r="Y443" s="131">
        <f>_xll.qlCalendarAdvance(Calendar,X443,NDays&amp;"D")</f>
        <v>42738</v>
      </c>
      <c r="Z443" s="132">
        <v>7.8308868120391395E-4</v>
      </c>
      <c r="AA443" s="129">
        <v>5.6779644346249825E-4</v>
      </c>
    </row>
    <row r="444" spans="19:27" x14ac:dyDescent="0.2">
      <c r="S444" s="1"/>
      <c r="T444" s="109"/>
      <c r="W444" s="130" t="str">
        <f t="shared" si="16"/>
        <v>1D</v>
      </c>
      <c r="X444" s="128">
        <f>_xll.qlCalendarAdvance(Calendar,X443,W444,"f",FALSE)</f>
        <v>42737</v>
      </c>
      <c r="Y444" s="131">
        <f>_xll.qlCalendarAdvance(Calendar,X444,NDays&amp;"D")</f>
        <v>42739</v>
      </c>
      <c r="Z444" s="132">
        <v>7.8971494590085456E-4</v>
      </c>
      <c r="AA444" s="129">
        <v>5.6882663883150997E-4</v>
      </c>
    </row>
    <row r="445" spans="19:27" x14ac:dyDescent="0.2">
      <c r="S445" s="1"/>
      <c r="T445" s="109"/>
      <c r="W445" s="130" t="str">
        <f t="shared" si="16"/>
        <v>1D</v>
      </c>
      <c r="X445" s="128">
        <f>_xll.qlCalendarAdvance(Calendar,X444,W445,"f",FALSE)</f>
        <v>42738</v>
      </c>
      <c r="Y445" s="131">
        <f>_xll.qlCalendarAdvance(Calendar,X445,NDays&amp;"D")</f>
        <v>42740</v>
      </c>
      <c r="Z445" s="132">
        <v>7.9643973366039233E-4</v>
      </c>
      <c r="AA445" s="129">
        <v>5.699872276565543E-4</v>
      </c>
    </row>
    <row r="446" spans="19:27" x14ac:dyDescent="0.2">
      <c r="S446" s="1"/>
      <c r="T446" s="109"/>
      <c r="W446" s="130" t="str">
        <f t="shared" si="16"/>
        <v>1D</v>
      </c>
      <c r="X446" s="128">
        <f>_xll.qlCalendarAdvance(Calendar,X445,W446,"f",FALSE)</f>
        <v>42739</v>
      </c>
      <c r="Y446" s="131">
        <f>_xll.qlCalendarAdvance(Calendar,X446,NDays&amp;"D")</f>
        <v>42741</v>
      </c>
      <c r="Z446" s="132">
        <v>8.032607658909896E-4</v>
      </c>
      <c r="AA446" s="129">
        <v>5.7274396183082388E-4</v>
      </c>
    </row>
    <row r="447" spans="19:27" x14ac:dyDescent="0.2">
      <c r="S447" s="1"/>
      <c r="T447" s="109"/>
      <c r="W447" s="130" t="str">
        <f t="shared" si="16"/>
        <v>1D</v>
      </c>
      <c r="X447" s="128">
        <f>_xll.qlCalendarAdvance(Calendar,X446,W447,"f",FALSE)</f>
        <v>42740</v>
      </c>
      <c r="Y447" s="131">
        <f>_xll.qlCalendarAdvance(Calendar,X447,NDays&amp;"D")</f>
        <v>42744</v>
      </c>
      <c r="Z447" s="132">
        <v>8.2865508015834261E-4</v>
      </c>
      <c r="AA447" s="129">
        <v>5.759335187960346E-4</v>
      </c>
    </row>
    <row r="448" spans="19:27" x14ac:dyDescent="0.2">
      <c r="S448" s="1"/>
      <c r="T448" s="109"/>
      <c r="W448" s="130" t="str">
        <f t="shared" si="16"/>
        <v>1D</v>
      </c>
      <c r="X448" s="128">
        <f>_xll.qlCalendarAdvance(Calendar,X447,W448,"f",FALSE)</f>
        <v>42741</v>
      </c>
      <c r="Y448" s="131">
        <f>_xll.qlCalendarAdvance(Calendar,X448,NDays&amp;"D")</f>
        <v>42745</v>
      </c>
      <c r="Z448" s="132">
        <v>8.3146176732196153E-4</v>
      </c>
      <c r="AA448" s="129">
        <v>5.7774607546079437E-4</v>
      </c>
    </row>
    <row r="449" spans="19:27" x14ac:dyDescent="0.2">
      <c r="S449" s="1"/>
      <c r="T449" s="109"/>
      <c r="W449" s="130" t="str">
        <f t="shared" si="16"/>
        <v>1D</v>
      </c>
      <c r="X449" s="128">
        <f>_xll.qlCalendarAdvance(Calendar,X448,W449,"f",FALSE)</f>
        <v>42744</v>
      </c>
      <c r="Y449" s="131">
        <f>_xll.qlCalendarAdvance(Calendar,X449,NDays&amp;"D")</f>
        <v>42746</v>
      </c>
      <c r="Z449" s="132">
        <v>8.3872984267330253E-4</v>
      </c>
      <c r="AA449" s="129">
        <v>5.7968902566152281E-4</v>
      </c>
    </row>
    <row r="450" spans="19:27" x14ac:dyDescent="0.2">
      <c r="S450" s="1"/>
      <c r="T450" s="109"/>
      <c r="W450" s="130" t="str">
        <f t="shared" si="16"/>
        <v>1D</v>
      </c>
      <c r="X450" s="128">
        <f>_xll.qlCalendarAdvance(Calendar,X449,W450,"f",FALSE)</f>
        <v>42745</v>
      </c>
      <c r="Y450" s="131">
        <f>_xll.qlCalendarAdvance(Calendar,X450,NDays&amp;"D")</f>
        <v>42747</v>
      </c>
      <c r="Z450" s="132">
        <v>8.4608049073509051E-4</v>
      </c>
      <c r="AA450" s="129">
        <v>5.8176236955809202E-4</v>
      </c>
    </row>
    <row r="451" spans="19:27" x14ac:dyDescent="0.2">
      <c r="S451" s="1"/>
      <c r="T451" s="109"/>
      <c r="W451" s="130" t="str">
        <f t="shared" si="16"/>
        <v>1D</v>
      </c>
      <c r="X451" s="128">
        <f>_xll.qlCalendarAdvance(Calendar,X450,W451,"f",FALSE)</f>
        <v>42746</v>
      </c>
      <c r="Y451" s="131">
        <f>_xll.qlCalendarAdvance(Calendar,X451,NDays&amp;"D")</f>
        <v>42748</v>
      </c>
      <c r="Z451" s="132">
        <v>8.5351143283851627E-4</v>
      </c>
      <c r="AA451" s="129">
        <v>5.863446573606268E-4</v>
      </c>
    </row>
    <row r="452" spans="19:27" x14ac:dyDescent="0.2">
      <c r="S452" s="1"/>
      <c r="T452" s="109"/>
      <c r="W452" s="130" t="str">
        <f t="shared" si="16"/>
        <v>1D</v>
      </c>
      <c r="X452" s="128">
        <f>_xll.qlCalendarAdvance(Calendar,X451,W452,"f",FALSE)</f>
        <v>42747</v>
      </c>
      <c r="Y452" s="131">
        <f>_xll.qlCalendarAdvance(Calendar,X452,NDays&amp;"D")</f>
        <v>42751</v>
      </c>
      <c r="Z452" s="132">
        <v>8.8529219490946192E-4</v>
      </c>
      <c r="AA452" s="129">
        <v>5.9135968050405552E-4</v>
      </c>
    </row>
    <row r="453" spans="19:27" x14ac:dyDescent="0.2">
      <c r="S453" s="1"/>
      <c r="T453" s="109"/>
      <c r="W453" s="130" t="str">
        <f t="shared" si="16"/>
        <v>1D</v>
      </c>
      <c r="X453" s="128">
        <f>_xll.qlCalendarAdvance(Calendar,X452,W453,"f",FALSE)</f>
        <v>42748</v>
      </c>
      <c r="Y453" s="131">
        <f>_xll.qlCalendarAdvance(Calendar,X453,NDays&amp;"D")</f>
        <v>42752</v>
      </c>
      <c r="Z453" s="132">
        <v>8.8852076299747429E-4</v>
      </c>
      <c r="AA453" s="129">
        <v>5.9408499216040411E-4</v>
      </c>
    </row>
    <row r="454" spans="19:27" x14ac:dyDescent="0.2">
      <c r="S454" s="1"/>
      <c r="T454" s="109"/>
      <c r="W454" s="130" t="str">
        <f t="shared" si="16"/>
        <v>1D</v>
      </c>
      <c r="X454" s="128">
        <f>_xll.qlCalendarAdvance(Calendar,X453,W454,"f",FALSE)</f>
        <v>42751</v>
      </c>
      <c r="Y454" s="131">
        <f>_xll.qlCalendarAdvance(Calendar,X454,NDays&amp;"D")</f>
        <v>42753</v>
      </c>
      <c r="Z454" s="132">
        <v>8.9179079989687438E-4</v>
      </c>
      <c r="AA454" s="129">
        <v>5.9694069743265743E-4</v>
      </c>
    </row>
    <row r="455" spans="19:27" x14ac:dyDescent="0.2">
      <c r="S455" s="1"/>
      <c r="T455" s="109"/>
      <c r="W455" s="130" t="str">
        <f t="shared" si="16"/>
        <v>1D</v>
      </c>
      <c r="X455" s="128">
        <f>_xll.qlCalendarAdvance(Calendar,X454,W455,"f",FALSE)</f>
        <v>42752</v>
      </c>
      <c r="Y455" s="131">
        <f>_xll.qlCalendarAdvance(Calendar,X455,NDays&amp;"D")</f>
        <v>42754</v>
      </c>
      <c r="Z455" s="132">
        <v>8.9965565360738964E-4</v>
      </c>
      <c r="AA455" s="129">
        <v>5.9992679632081547E-4</v>
      </c>
    </row>
    <row r="456" spans="19:27" x14ac:dyDescent="0.2">
      <c r="S456" s="1"/>
      <c r="T456" s="109"/>
      <c r="W456" s="130" t="str">
        <f t="shared" si="16"/>
        <v>1D</v>
      </c>
      <c r="X456" s="128">
        <f>_xll.qlCalendarAdvance(Calendar,X455,W456,"f",FALSE)</f>
        <v>42753</v>
      </c>
      <c r="Y456" s="131">
        <f>_xll.qlCalendarAdvance(Calendar,X456,NDays&amp;"D")</f>
        <v>42755</v>
      </c>
      <c r="Z456" s="132">
        <v>9.0758485034925229E-4</v>
      </c>
      <c r="AA456" s="129">
        <v>6.0633466053339191E-4</v>
      </c>
    </row>
    <row r="457" spans="19:27" x14ac:dyDescent="0.2">
      <c r="S457" s="1"/>
      <c r="T457" s="109"/>
      <c r="W457" s="130" t="str">
        <f t="shared" si="16"/>
        <v>1D</v>
      </c>
      <c r="X457" s="128">
        <f>_xll.qlCalendarAdvance(Calendar,X456,W457,"f",FALSE)</f>
        <v>42754</v>
      </c>
      <c r="Y457" s="131">
        <f>_xll.qlCalendarAdvance(Calendar,X457,NDays&amp;"D")</f>
        <v>42758</v>
      </c>
      <c r="Z457" s="132">
        <v>9.3631069763214139E-4</v>
      </c>
      <c r="AA457" s="129">
        <v>6.1317512771275062E-4</v>
      </c>
    </row>
    <row r="458" spans="19:27" x14ac:dyDescent="0.2">
      <c r="S458" s="1"/>
      <c r="T458" s="109"/>
      <c r="W458" s="130" t="str">
        <f t="shared" si="16"/>
        <v>1D</v>
      </c>
      <c r="X458" s="128">
        <f>_xll.qlCalendarAdvance(Calendar,X457,W458,"f",FALSE)</f>
        <v>42755</v>
      </c>
      <c r="Y458" s="131">
        <f>_xll.qlCalendarAdvance(Calendar,X458,NDays&amp;"D")</f>
        <v>42759</v>
      </c>
      <c r="Z458" s="132">
        <v>9.3989949195538713E-4</v>
      </c>
      <c r="AA458" s="129">
        <v>6.168131944406241E-4</v>
      </c>
    </row>
    <row r="459" spans="19:27" x14ac:dyDescent="0.2">
      <c r="S459" s="1"/>
      <c r="T459" s="109"/>
      <c r="W459" s="130" t="str">
        <f t="shared" si="16"/>
        <v>1D</v>
      </c>
      <c r="X459" s="128">
        <f>_xll.qlCalendarAdvance(Calendar,X458,W459,"f",FALSE)</f>
        <v>42758</v>
      </c>
      <c r="Y459" s="131">
        <f>_xll.qlCalendarAdvance(Calendar,X459,NDays&amp;"D")</f>
        <v>42760</v>
      </c>
      <c r="Z459" s="132">
        <v>9.4811622196022682E-4</v>
      </c>
      <c r="AA459" s="129">
        <v>6.2058165502421048E-4</v>
      </c>
    </row>
    <row r="460" spans="19:27" x14ac:dyDescent="0.2">
      <c r="S460" s="1"/>
      <c r="T460" s="109"/>
      <c r="W460" s="130" t="str">
        <f t="shared" si="16"/>
        <v>1D</v>
      </c>
      <c r="X460" s="128">
        <f>_xll.qlCalendarAdvance(Calendar,X459,W460,"f",FALSE)</f>
        <v>42759</v>
      </c>
      <c r="Y460" s="131">
        <f>_xll.qlCalendarAdvance(Calendar,X460,NDays&amp;"D")</f>
        <v>42761</v>
      </c>
      <c r="Z460" s="132">
        <v>9.5638362212646655E-4</v>
      </c>
      <c r="AA460" s="129">
        <v>6.2448050906382946E-4</v>
      </c>
    </row>
    <row r="461" spans="19:27" x14ac:dyDescent="0.2">
      <c r="S461" s="1"/>
      <c r="T461" s="109"/>
      <c r="W461" s="130" t="str">
        <f t="shared" si="16"/>
        <v>1D</v>
      </c>
      <c r="X461" s="128">
        <f>_xll.qlCalendarAdvance(Calendar,X460,W461,"f",FALSE)</f>
        <v>42760</v>
      </c>
      <c r="Y461" s="131">
        <f>_xll.qlCalendarAdvance(Calendar,X461,NDays&amp;"D")</f>
        <v>42762</v>
      </c>
      <c r="Z461" s="132">
        <v>9.6469941358545697E-4</v>
      </c>
      <c r="AA461" s="129">
        <v>6.3271397457320688E-4</v>
      </c>
    </row>
    <row r="462" spans="19:27" x14ac:dyDescent="0.2">
      <c r="S462" s="1"/>
      <c r="T462" s="109"/>
      <c r="W462" s="130" t="str">
        <f t="shared" si="16"/>
        <v>1D</v>
      </c>
      <c r="X462" s="128">
        <f>_xll.qlCalendarAdvance(Calendar,X461,W462,"f",FALSE)</f>
        <v>42761</v>
      </c>
      <c r="Y462" s="131">
        <f>_xll.qlCalendarAdvance(Calendar,X462,NDays&amp;"D")</f>
        <v>42765</v>
      </c>
      <c r="Z462" s="132">
        <v>9.8074527547812023E-4</v>
      </c>
      <c r="AA462" s="129">
        <v>6.4137986146128867E-4</v>
      </c>
    </row>
    <row r="463" spans="19:27" x14ac:dyDescent="0.2">
      <c r="S463" s="1"/>
      <c r="T463" s="109"/>
      <c r="W463" s="130" t="str">
        <f t="shared" si="16"/>
        <v>1D</v>
      </c>
      <c r="X463" s="128">
        <f>_xll.qlCalendarAdvance(Calendar,X462,W463,"f",FALSE)</f>
        <v>42762</v>
      </c>
      <c r="Y463" s="131">
        <f>_xll.qlCalendarAdvance(Calendar,X463,NDays&amp;"D")</f>
        <v>42766</v>
      </c>
      <c r="Z463" s="132">
        <v>9.846442731096174E-4</v>
      </c>
      <c r="AA463" s="129">
        <v>6.4593068374030338E-4</v>
      </c>
    </row>
    <row r="464" spans="19:27" x14ac:dyDescent="0.2">
      <c r="S464" s="1"/>
      <c r="T464" s="109"/>
      <c r="W464" s="130" t="str">
        <f t="shared" si="16"/>
        <v>1D</v>
      </c>
      <c r="X464" s="128">
        <f>_xll.qlCalendarAdvance(Calendar,X463,W464,"f",FALSE)</f>
        <v>42765</v>
      </c>
      <c r="Y464" s="131">
        <f>_xll.qlCalendarAdvance(Calendar,X464,NDays&amp;"D")</f>
        <v>42767</v>
      </c>
      <c r="Z464" s="132">
        <v>1.0069244786503617E-3</v>
      </c>
      <c r="AA464" s="129">
        <v>6.5061189955528675E-4</v>
      </c>
    </row>
    <row r="465" spans="19:27" x14ac:dyDescent="0.2">
      <c r="S465" s="1"/>
      <c r="T465" s="109"/>
      <c r="W465" s="130" t="str">
        <f t="shared" si="16"/>
        <v>1D</v>
      </c>
      <c r="X465" s="128">
        <f>_xll.qlCalendarAdvance(Calendar,X464,W465,"f",FALSE)</f>
        <v>42766</v>
      </c>
      <c r="Y465" s="131">
        <f>_xll.qlCalendarAdvance(Calendar,X465,NDays&amp;"D")</f>
        <v>42768</v>
      </c>
      <c r="Z465" s="132">
        <v>1.0109261637726559E-3</v>
      </c>
      <c r="AA465" s="129">
        <v>6.5542350906611091E-4</v>
      </c>
    </row>
    <row r="466" spans="19:27" x14ac:dyDescent="0.2">
      <c r="S466" s="1"/>
      <c r="T466" s="109"/>
      <c r="W466" s="130" t="str">
        <f t="shared" si="16"/>
        <v>1D</v>
      </c>
      <c r="X466" s="128">
        <f>_xll.qlCalendarAdvance(Calendar,X465,W466,"f",FALSE)</f>
        <v>42767</v>
      </c>
      <c r="Y466" s="131">
        <f>_xll.qlCalendarAdvance(Calendar,X466,NDays&amp;"D")</f>
        <v>42769</v>
      </c>
      <c r="Z466" s="132">
        <v>1.0195265140392146E-3</v>
      </c>
      <c r="AA466" s="129">
        <v>6.6548260369003742E-4</v>
      </c>
    </row>
    <row r="467" spans="19:27" x14ac:dyDescent="0.2">
      <c r="S467" s="1"/>
      <c r="T467" s="109"/>
      <c r="W467" s="130" t="str">
        <f t="shared" si="16"/>
        <v>1D</v>
      </c>
      <c r="X467" s="128">
        <f>_xll.qlCalendarAdvance(Calendar,X466,W467,"f",FALSE)</f>
        <v>42768</v>
      </c>
      <c r="Y467" s="131">
        <f>_xll.qlCalendarAdvance(Calendar,X467,NDays&amp;"D")</f>
        <v>42772</v>
      </c>
      <c r="Z467" s="132">
        <v>1.054511188713206E-3</v>
      </c>
      <c r="AA467" s="129">
        <v>6.7597388358819899E-4</v>
      </c>
    </row>
    <row r="468" spans="19:27" x14ac:dyDescent="0.2">
      <c r="S468" s="1"/>
      <c r="T468" s="109"/>
      <c r="W468" s="130" t="str">
        <f t="shared" si="16"/>
        <v>1D</v>
      </c>
      <c r="X468" s="128">
        <f>_xll.qlCalendarAdvance(Calendar,X467,W468,"f",FALSE)</f>
        <v>42769</v>
      </c>
      <c r="Y468" s="131">
        <f>_xll.qlCalendarAdvance(Calendar,X468,NDays&amp;"D")</f>
        <v>42773</v>
      </c>
      <c r="Z468" s="132">
        <v>1.0587151708154607E-3</v>
      </c>
      <c r="AA468" s="129">
        <v>6.8143746133841887E-4</v>
      </c>
    </row>
    <row r="469" spans="19:27" x14ac:dyDescent="0.2">
      <c r="S469" s="1"/>
      <c r="T469" s="109"/>
      <c r="W469" s="130" t="str">
        <f t="shared" ref="W469:W532" si="17">W468</f>
        <v>1D</v>
      </c>
      <c r="X469" s="128">
        <f>_xll.qlCalendarAdvance(Calendar,X468,W469,"f",FALSE)</f>
        <v>42772</v>
      </c>
      <c r="Y469" s="131">
        <f>_xll.qlCalendarAdvance(Calendar,X469,NDays&amp;"D")</f>
        <v>42774</v>
      </c>
      <c r="Z469" s="132">
        <v>1.0629522341592777E-3</v>
      </c>
      <c r="AA469" s="129">
        <v>6.8703143278447953E-4</v>
      </c>
    </row>
    <row r="470" spans="19:27" x14ac:dyDescent="0.2">
      <c r="S470" s="1"/>
      <c r="T470" s="109"/>
      <c r="W470" s="130" t="str">
        <f t="shared" si="17"/>
        <v>1D</v>
      </c>
      <c r="X470" s="128">
        <f>_xll.qlCalendarAdvance(Calendar,X469,W470,"f",FALSE)</f>
        <v>42773</v>
      </c>
      <c r="Y470" s="131">
        <f>_xll.qlCalendarAdvance(Calendar,X470,NDays&amp;"D")</f>
        <v>42775</v>
      </c>
      <c r="Z470" s="132">
        <v>1.0717060392899332E-3</v>
      </c>
      <c r="AA470" s="129">
        <v>6.9275579792638098E-4</v>
      </c>
    </row>
    <row r="471" spans="19:27" x14ac:dyDescent="0.2">
      <c r="S471" s="1"/>
      <c r="T471" s="109"/>
      <c r="W471" s="130" t="str">
        <f t="shared" si="17"/>
        <v>1D</v>
      </c>
      <c r="X471" s="128">
        <f>_xll.qlCalendarAdvance(Calendar,X470,W471,"f",FALSE)</f>
        <v>42774</v>
      </c>
      <c r="Y471" s="131">
        <f>_xll.qlCalendarAdvance(Calendar,X471,NDays&amp;"D")</f>
        <v>42776</v>
      </c>
      <c r="Z471" s="132">
        <v>1.0804773538131763E-3</v>
      </c>
      <c r="AA471" s="129">
        <v>7.0464055310637264E-4</v>
      </c>
    </row>
    <row r="472" spans="19:27" x14ac:dyDescent="0.2">
      <c r="S472" s="1"/>
      <c r="T472" s="109"/>
      <c r="W472" s="130" t="str">
        <f t="shared" si="17"/>
        <v>1D</v>
      </c>
      <c r="X472" s="128">
        <f>_xll.qlCalendarAdvance(Calendar,X471,W472,"f",FALSE)</f>
        <v>42775</v>
      </c>
      <c r="Y472" s="131">
        <f>_xll.qlCalendarAdvance(Calendar,X472,NDays&amp;"D")</f>
        <v>42779</v>
      </c>
      <c r="Z472" s="132">
        <v>1.1156330519990331E-3</v>
      </c>
      <c r="AA472" s="129">
        <v>7.1695719553233062E-4</v>
      </c>
    </row>
    <row r="473" spans="19:27" x14ac:dyDescent="0.2">
      <c r="S473" s="1"/>
      <c r="T473" s="109"/>
      <c r="W473" s="130" t="str">
        <f t="shared" si="17"/>
        <v>1D</v>
      </c>
      <c r="X473" s="128">
        <f>_xll.qlCalendarAdvance(Calendar,X472,W473,"f",FALSE)</f>
        <v>42776</v>
      </c>
      <c r="Y473" s="131">
        <f>_xll.qlCalendarAdvance(Calendar,X473,NDays&amp;"D")</f>
        <v>42780</v>
      </c>
      <c r="Z473" s="132">
        <v>1.1200605530836683E-3</v>
      </c>
      <c r="AA473" s="129">
        <v>7.2333352923337202E-4</v>
      </c>
    </row>
    <row r="474" spans="19:27" x14ac:dyDescent="0.2">
      <c r="S474" s="1"/>
      <c r="T474" s="109"/>
      <c r="W474" s="130" t="str">
        <f t="shared" si="17"/>
        <v>1D</v>
      </c>
      <c r="X474" s="128">
        <f>_xll.qlCalendarAdvance(Calendar,X473,W474,"f",FALSE)</f>
        <v>42779</v>
      </c>
      <c r="Y474" s="131">
        <f>_xll.qlCalendarAdvance(Calendar,X474,NDays&amp;"D")</f>
        <v>42781</v>
      </c>
      <c r="Z474" s="132">
        <v>1.124515900648456E-3</v>
      </c>
      <c r="AA474" s="129">
        <v>7.298402566302542E-4</v>
      </c>
    </row>
    <row r="475" spans="19:27" x14ac:dyDescent="0.2">
      <c r="S475" s="1"/>
      <c r="T475" s="109"/>
      <c r="W475" s="130" t="str">
        <f t="shared" si="17"/>
        <v>1D</v>
      </c>
      <c r="X475" s="128">
        <f>_xll.qlCalendarAdvance(Calendar,X474,W475,"f",FALSE)</f>
        <v>42780</v>
      </c>
      <c r="Y475" s="131">
        <f>_xll.qlCalendarAdvance(Calendar,X475,NDays&amp;"D")</f>
        <v>42782</v>
      </c>
      <c r="Z475" s="132">
        <v>1.133343871242096E-3</v>
      </c>
      <c r="AA475" s="129">
        <v>7.3647737772297717E-4</v>
      </c>
    </row>
    <row r="476" spans="19:27" x14ac:dyDescent="0.2">
      <c r="S476" s="1"/>
      <c r="T476" s="109"/>
      <c r="W476" s="130" t="str">
        <f t="shared" si="17"/>
        <v>1D</v>
      </c>
      <c r="X476" s="128">
        <f>_xll.qlCalendarAdvance(Calendar,X475,W476,"f",FALSE)</f>
        <v>42781</v>
      </c>
      <c r="Y476" s="131">
        <f>_xll.qlCalendarAdvance(Calendar,X476,NDays&amp;"D")</f>
        <v>42783</v>
      </c>
      <c r="Z476" s="132">
        <v>1.1421732176107357E-3</v>
      </c>
      <c r="AA476" s="129">
        <v>7.5018782905722503E-4</v>
      </c>
    </row>
    <row r="477" spans="19:27" x14ac:dyDescent="0.2">
      <c r="S477" s="1"/>
      <c r="T477" s="109"/>
      <c r="W477" s="130" t="str">
        <f t="shared" si="17"/>
        <v>1D</v>
      </c>
      <c r="X477" s="128">
        <f>_xll.qlCalendarAdvance(Calendar,X476,W477,"f",FALSE)</f>
        <v>42782</v>
      </c>
      <c r="Y477" s="131">
        <f>_xll.qlCalendarAdvance(Calendar,X477,NDays&amp;"D")</f>
        <v>42786</v>
      </c>
      <c r="Z477" s="132">
        <v>1.1770717930343949E-3</v>
      </c>
      <c r="AA477" s="129">
        <v>7.6432979977170135E-4</v>
      </c>
    </row>
    <row r="478" spans="19:27" x14ac:dyDescent="0.2">
      <c r="S478" s="1"/>
      <c r="T478" s="109"/>
      <c r="W478" s="130" t="str">
        <f t="shared" si="17"/>
        <v>1D</v>
      </c>
      <c r="X478" s="128">
        <f>_xll.qlCalendarAdvance(Calendar,X477,W478,"f",FALSE)</f>
        <v>42783</v>
      </c>
      <c r="Y478" s="131">
        <f>_xll.qlCalendarAdvance(Calendar,X478,NDays&amp;"D")</f>
        <v>42787</v>
      </c>
      <c r="Z478" s="132">
        <v>1.181655306364604E-3</v>
      </c>
      <c r="AA478" s="129">
        <v>7.7161888958343638E-4</v>
      </c>
    </row>
    <row r="479" spans="19:27" x14ac:dyDescent="0.2">
      <c r="S479" s="1"/>
      <c r="T479" s="109"/>
      <c r="W479" s="130" t="str">
        <f t="shared" si="17"/>
        <v>1D</v>
      </c>
      <c r="X479" s="128">
        <f>_xll.qlCalendarAdvance(Calendar,X478,W479,"f",FALSE)</f>
        <v>42786</v>
      </c>
      <c r="Y479" s="131">
        <f>_xll.qlCalendarAdvance(Calendar,X479,NDays&amp;"D")</f>
        <v>42788</v>
      </c>
      <c r="Z479" s="132">
        <v>1.1862599145025415E-3</v>
      </c>
      <c r="AA479" s="129">
        <v>7.7903837333082038E-4</v>
      </c>
    </row>
    <row r="480" spans="19:27" x14ac:dyDescent="0.2">
      <c r="S480" s="1"/>
      <c r="T480" s="109"/>
      <c r="W480" s="130" t="str">
        <f t="shared" si="17"/>
        <v>1D</v>
      </c>
      <c r="X480" s="128">
        <f>_xll.qlCalendarAdvance(Calendar,X479,W480,"f",FALSE)</f>
        <v>42787</v>
      </c>
      <c r="Y480" s="131">
        <f>_xll.qlCalendarAdvance(Calendar,X480,NDays&amp;"D")</f>
        <v>42789</v>
      </c>
      <c r="Z480" s="132">
        <v>1.1950491122873976E-3</v>
      </c>
      <c r="AA480" s="129">
        <v>7.8658825077404515E-4</v>
      </c>
    </row>
    <row r="481" spans="19:27" x14ac:dyDescent="0.2">
      <c r="S481" s="1"/>
      <c r="T481" s="109"/>
      <c r="W481" s="130" t="str">
        <f t="shared" si="17"/>
        <v>1D</v>
      </c>
      <c r="X481" s="128">
        <f>_xll.qlCalendarAdvance(Calendar,X480,W481,"f",FALSE)</f>
        <v>42788</v>
      </c>
      <c r="Y481" s="131">
        <f>_xll.qlCalendarAdvance(Calendar,X481,NDays&amp;"D")</f>
        <v>42790</v>
      </c>
      <c r="Z481" s="132">
        <v>1.2038235512479788E-3</v>
      </c>
      <c r="AA481" s="129">
        <v>8.0212443884342122E-4</v>
      </c>
    </row>
    <row r="482" spans="19:27" x14ac:dyDescent="0.2">
      <c r="S482" s="1"/>
      <c r="T482" s="109"/>
      <c r="W482" s="130" t="str">
        <f t="shared" si="17"/>
        <v>1D</v>
      </c>
      <c r="X482" s="128">
        <f>_xll.qlCalendarAdvance(Calendar,X481,W482,"f",FALSE)</f>
        <v>42789</v>
      </c>
      <c r="Y482" s="131">
        <f>_xll.qlCalendarAdvance(Calendar,X482,NDays&amp;"D")</f>
        <v>42793</v>
      </c>
      <c r="Z482" s="132">
        <v>1.2380542020189284E-3</v>
      </c>
      <c r="AA482" s="129">
        <v>8.1809169862445685E-4</v>
      </c>
    </row>
    <row r="483" spans="19:27" x14ac:dyDescent="0.2">
      <c r="S483" s="1"/>
      <c r="T483" s="109"/>
      <c r="W483" s="130" t="str">
        <f t="shared" si="17"/>
        <v>1D</v>
      </c>
      <c r="X483" s="128">
        <f>_xll.qlCalendarAdvance(Calendar,X482,W483,"f",FALSE)</f>
        <v>42790</v>
      </c>
      <c r="Y483" s="131">
        <f>_xll.qlCalendarAdvance(Calendar,X483,NDays&amp;"D")</f>
        <v>42794</v>
      </c>
      <c r="Z483" s="132">
        <v>1.2506256130304456E-3</v>
      </c>
      <c r="AA483" s="129">
        <v>8.2629354510643793E-4</v>
      </c>
    </row>
    <row r="484" spans="19:27" x14ac:dyDescent="0.2">
      <c r="S484" s="1"/>
      <c r="T484" s="109"/>
      <c r="W484" s="130" t="str">
        <f t="shared" si="17"/>
        <v>1D</v>
      </c>
      <c r="X484" s="128">
        <f>_xll.qlCalendarAdvance(Calendar,X483,W484,"f",FALSE)</f>
        <v>42793</v>
      </c>
      <c r="Y484" s="131">
        <f>_xll.qlCalendarAdvance(Calendar,X484,NDays&amp;"D")</f>
        <v>42795</v>
      </c>
      <c r="Z484" s="132">
        <v>1.2591955332960528E-3</v>
      </c>
      <c r="AA484" s="129">
        <v>8.3462578552406796E-4</v>
      </c>
    </row>
    <row r="485" spans="19:27" x14ac:dyDescent="0.2">
      <c r="S485" s="1"/>
      <c r="T485" s="109"/>
      <c r="W485" s="130" t="str">
        <f t="shared" si="17"/>
        <v>1D</v>
      </c>
      <c r="X485" s="128">
        <f>_xll.qlCalendarAdvance(Calendar,X484,W485,"f",FALSE)</f>
        <v>42794</v>
      </c>
      <c r="Y485" s="131">
        <f>_xll.qlCalendarAdvance(Calendar,X485,NDays&amp;"D")</f>
        <v>42796</v>
      </c>
      <c r="Z485" s="132">
        <v>1.2677353608715808E-3</v>
      </c>
      <c r="AA485" s="129">
        <v>8.4308841971747484E-4</v>
      </c>
    </row>
    <row r="486" spans="19:27" x14ac:dyDescent="0.2">
      <c r="S486" s="1"/>
      <c r="T486" s="109"/>
      <c r="W486" s="130" t="str">
        <f t="shared" si="17"/>
        <v>1D</v>
      </c>
      <c r="X486" s="128">
        <f>_xll.qlCalendarAdvance(Calendar,X485,W486,"f",FALSE)</f>
        <v>42795</v>
      </c>
      <c r="Y486" s="131">
        <f>_xll.qlCalendarAdvance(Calendar,X486,NDays&amp;"D")</f>
        <v>42797</v>
      </c>
      <c r="Z486" s="132">
        <v>1.2838578400984912E-3</v>
      </c>
      <c r="AA486" s="129">
        <v>8.604503907783112E-4</v>
      </c>
    </row>
    <row r="487" spans="19:27" x14ac:dyDescent="0.2">
      <c r="S487" s="1"/>
      <c r="T487" s="109"/>
      <c r="W487" s="130" t="str">
        <f t="shared" si="17"/>
        <v>1D</v>
      </c>
      <c r="X487" s="128">
        <f>_xll.qlCalendarAdvance(Calendar,X486,W487,"f",FALSE)</f>
        <v>42796</v>
      </c>
      <c r="Y487" s="131">
        <f>_xll.qlCalendarAdvance(Calendar,X487,NDays&amp;"D")</f>
        <v>42800</v>
      </c>
      <c r="Z487" s="132">
        <v>1.3015491435819371E-3</v>
      </c>
      <c r="AA487" s="129">
        <v>8.7824289504823128E-4</v>
      </c>
    </row>
    <row r="488" spans="19:27" x14ac:dyDescent="0.2">
      <c r="S488" s="1"/>
      <c r="T488" s="109"/>
      <c r="W488" s="130" t="str">
        <f t="shared" si="17"/>
        <v>1D</v>
      </c>
      <c r="X488" s="128">
        <f>_xll.qlCalendarAdvance(Calendar,X487,W488,"f",FALSE)</f>
        <v>42797</v>
      </c>
      <c r="Y488" s="131">
        <f>_xll.qlCalendarAdvance(Calendar,X488,NDays&amp;"D")</f>
        <v>42801</v>
      </c>
      <c r="Z488" s="132">
        <v>1.3099050570205021E-3</v>
      </c>
      <c r="AA488" s="129">
        <v>8.8735749860013868E-4</v>
      </c>
    </row>
    <row r="489" spans="19:27" x14ac:dyDescent="0.2">
      <c r="S489" s="1"/>
      <c r="T489" s="109"/>
      <c r="W489" s="130" t="str">
        <f t="shared" si="17"/>
        <v>1D</v>
      </c>
      <c r="X489" s="128">
        <f>_xll.qlCalendarAdvance(Calendar,X488,W489,"f",FALSE)</f>
        <v>42800</v>
      </c>
      <c r="Y489" s="131">
        <f>_xll.qlCalendarAdvance(Calendar,X489,NDays&amp;"D")</f>
        <v>42802</v>
      </c>
      <c r="Z489" s="132">
        <v>1.3182174973635087E-3</v>
      </c>
      <c r="AA489" s="129">
        <v>8.9660249608769504E-4</v>
      </c>
    </row>
    <row r="490" spans="19:27" x14ac:dyDescent="0.2">
      <c r="S490" s="1"/>
      <c r="T490" s="109"/>
      <c r="W490" s="130" t="str">
        <f t="shared" si="17"/>
        <v>1D</v>
      </c>
      <c r="X490" s="128">
        <f>_xll.qlCalendarAdvance(Calendar,X489,W490,"f",FALSE)</f>
        <v>42801</v>
      </c>
      <c r="Y490" s="131">
        <f>_xll.qlCalendarAdvance(Calendar,X490,NDays&amp;"D")</f>
        <v>42803</v>
      </c>
      <c r="Z490" s="132">
        <v>1.3264842344809635E-3</v>
      </c>
      <c r="AA490" s="129">
        <v>9.059778874309643E-4</v>
      </c>
    </row>
    <row r="491" spans="19:27" x14ac:dyDescent="0.2">
      <c r="S491" s="1"/>
      <c r="T491" s="109"/>
      <c r="W491" s="130" t="str">
        <f t="shared" si="17"/>
        <v>1D</v>
      </c>
      <c r="X491" s="128">
        <f>_xll.qlCalendarAdvance(Calendar,X490,W491,"f",FALSE)</f>
        <v>42802</v>
      </c>
      <c r="Y491" s="131">
        <f>_xll.qlCalendarAdvance(Calendar,X491,NDays&amp;"D")</f>
        <v>42804</v>
      </c>
      <c r="Z491" s="132">
        <v>1.3418311749324729E-3</v>
      </c>
      <c r="AA491" s="129">
        <v>9.2516569413447769E-4</v>
      </c>
    </row>
    <row r="492" spans="19:27" x14ac:dyDescent="0.2">
      <c r="S492" s="1"/>
      <c r="T492" s="109"/>
      <c r="W492" s="130" t="str">
        <f t="shared" si="17"/>
        <v>1D</v>
      </c>
      <c r="X492" s="128">
        <f>_xll.qlCalendarAdvance(Calendar,X491,W492,"f",FALSE)</f>
        <v>42803</v>
      </c>
      <c r="Y492" s="131">
        <f>_xll.qlCalendarAdvance(Calendar,X492,NDays&amp;"D")</f>
        <v>42807</v>
      </c>
      <c r="Z492" s="132">
        <v>1.3590495474880488E-3</v>
      </c>
      <c r="AA492" s="129">
        <v>9.4478339232040298E-4</v>
      </c>
    </row>
    <row r="493" spans="19:27" x14ac:dyDescent="0.2">
      <c r="S493" s="1"/>
      <c r="T493" s="109"/>
      <c r="W493" s="130" t="str">
        <f t="shared" si="17"/>
        <v>1D</v>
      </c>
      <c r="X493" s="128">
        <f>_xll.qlCalendarAdvance(Calendar,X492,W493,"f",FALSE)</f>
        <v>42804</v>
      </c>
      <c r="Y493" s="131">
        <f>_xll.qlCalendarAdvance(Calendar,X493,NDays&amp;"D")</f>
        <v>42808</v>
      </c>
      <c r="Z493" s="132">
        <v>1.3670543159248424E-3</v>
      </c>
      <c r="AA493" s="129">
        <v>9.5481075334191701E-4</v>
      </c>
    </row>
    <row r="494" spans="19:27" x14ac:dyDescent="0.2">
      <c r="S494" s="1"/>
      <c r="T494" s="109"/>
      <c r="W494" s="130" t="str">
        <f t="shared" si="17"/>
        <v>1D</v>
      </c>
      <c r="X494" s="128">
        <f>_xll.qlCalendarAdvance(Calendar,X493,W494,"f",FALSE)</f>
        <v>42807</v>
      </c>
      <c r="Y494" s="131">
        <f>_xll.qlCalendarAdvance(Calendar,X494,NDays&amp;"D")</f>
        <v>42809</v>
      </c>
      <c r="Z494" s="132">
        <v>1.3750000000007537E-3</v>
      </c>
      <c r="AA494" s="129">
        <v>9.649685084589521E-4</v>
      </c>
    </row>
    <row r="495" spans="19:27" x14ac:dyDescent="0.2">
      <c r="S495" s="1"/>
      <c r="T495" s="109"/>
      <c r="W495" s="130" t="str">
        <f t="shared" si="17"/>
        <v>1D</v>
      </c>
      <c r="X495" s="128">
        <f>_xll.qlCalendarAdvance(Calendar,X494,W495,"f",FALSE)</f>
        <v>42808</v>
      </c>
      <c r="Y495" s="131">
        <f>_xll.qlCalendarAdvance(Calendar,X495,NDays&amp;"D")</f>
        <v>42810</v>
      </c>
      <c r="Z495" s="132">
        <v>1.3828845172971977E-3</v>
      </c>
      <c r="AA495" s="129">
        <v>9.7525665751163615E-4</v>
      </c>
    </row>
    <row r="496" spans="19:27" x14ac:dyDescent="0.2">
      <c r="S496" s="1"/>
      <c r="T496" s="109"/>
      <c r="W496" s="130" t="str">
        <f t="shared" si="17"/>
        <v>1D</v>
      </c>
      <c r="X496" s="128">
        <f>_xll.qlCalendarAdvance(Calendar,X495,W496,"f",FALSE)</f>
        <v>42809</v>
      </c>
      <c r="Y496" s="131">
        <f>_xll.qlCalendarAdvance(Calendar,X496,NDays&amp;"D")</f>
        <v>42811</v>
      </c>
      <c r="Z496" s="132">
        <v>1.3973301610405429E-3</v>
      </c>
      <c r="AA496" s="129">
        <v>9.9627035927696284E-4</v>
      </c>
    </row>
    <row r="497" spans="19:27" x14ac:dyDescent="0.2">
      <c r="S497" s="1"/>
      <c r="T497" s="109"/>
      <c r="W497" s="130" t="str">
        <f t="shared" si="17"/>
        <v>1D</v>
      </c>
      <c r="X497" s="128">
        <f>_xll.qlCalendarAdvance(Calendar,X496,W497,"f",FALSE)</f>
        <v>42810</v>
      </c>
      <c r="Y497" s="131">
        <f>_xll.qlCalendarAdvance(Calendar,X497,NDays&amp;"D")</f>
        <v>42814</v>
      </c>
      <c r="Z497" s="132">
        <v>1.4137825745291043E-3</v>
      </c>
      <c r="AA497" s="129">
        <v>1.0177131937982864E-3</v>
      </c>
    </row>
    <row r="498" spans="19:27" x14ac:dyDescent="0.2">
      <c r="S498" s="1"/>
      <c r="T498" s="109"/>
      <c r="W498" s="130" t="str">
        <f t="shared" si="17"/>
        <v>1D</v>
      </c>
      <c r="X498" s="128">
        <f>_xll.qlCalendarAdvance(Calendar,X497,W498,"f",FALSE)</f>
        <v>42811</v>
      </c>
      <c r="Y498" s="131">
        <f>_xll.qlCalendarAdvance(Calendar,X498,NDays&amp;"D")</f>
        <v>42815</v>
      </c>
      <c r="Z498" s="132">
        <v>1.4213403693121563E-3</v>
      </c>
      <c r="AA498" s="129">
        <v>1.0286191333896966E-3</v>
      </c>
    </row>
    <row r="499" spans="19:27" x14ac:dyDescent="0.2">
      <c r="S499" s="1"/>
      <c r="T499" s="109"/>
      <c r="W499" s="130" t="str">
        <f t="shared" si="17"/>
        <v>1D</v>
      </c>
      <c r="X499" s="128">
        <f>_xll.qlCalendarAdvance(Calendar,X498,W499,"f",FALSE)</f>
        <v>42814</v>
      </c>
      <c r="Y499" s="131">
        <f>_xll.qlCalendarAdvance(Calendar,X499,NDays&amp;"D")</f>
        <v>42816</v>
      </c>
      <c r="Z499" s="132">
        <v>1.4288291612969504E-3</v>
      </c>
      <c r="AA499" s="129">
        <v>1.0394845689809529E-3</v>
      </c>
    </row>
    <row r="500" spans="19:27" x14ac:dyDescent="0.2">
      <c r="S500" s="1"/>
      <c r="T500" s="109"/>
      <c r="W500" s="130" t="str">
        <f t="shared" si="17"/>
        <v>1D</v>
      </c>
      <c r="X500" s="128">
        <f>_xll.qlCalendarAdvance(Calendar,X499,W500,"f",FALSE)</f>
        <v>42815</v>
      </c>
      <c r="Y500" s="131">
        <f>_xll.qlCalendarAdvance(Calendar,X500,NDays&amp;"D")</f>
        <v>42817</v>
      </c>
      <c r="Z500" s="132">
        <v>1.4362494654168001E-3</v>
      </c>
      <c r="AA500" s="129">
        <v>1.0502753210328564E-3</v>
      </c>
    </row>
    <row r="501" spans="19:27" x14ac:dyDescent="0.2">
      <c r="S501" s="1"/>
      <c r="T501" s="109"/>
      <c r="W501" s="130" t="str">
        <f t="shared" si="17"/>
        <v>1D</v>
      </c>
      <c r="X501" s="128">
        <f>_xll.qlCalendarAdvance(Calendar,X500,W501,"f",FALSE)</f>
        <v>42816</v>
      </c>
      <c r="Y501" s="131">
        <f>_xll.qlCalendarAdvance(Calendar,X501,NDays&amp;"D")</f>
        <v>42818</v>
      </c>
      <c r="Z501" s="132">
        <v>1.4497807140919897E-3</v>
      </c>
      <c r="AA501" s="129">
        <v>1.0716110697739367E-3</v>
      </c>
    </row>
    <row r="502" spans="19:27" x14ac:dyDescent="0.2">
      <c r="S502" s="1"/>
      <c r="T502" s="109"/>
      <c r="W502" s="130" t="str">
        <f t="shared" si="17"/>
        <v>1D</v>
      </c>
      <c r="X502" s="128">
        <f>_xll.qlCalendarAdvance(Calendar,X501,W502,"f",FALSE)</f>
        <v>42817</v>
      </c>
      <c r="Y502" s="131">
        <f>_xll.qlCalendarAdvance(Calendar,X502,NDays&amp;"D")</f>
        <v>42821</v>
      </c>
      <c r="Z502" s="132">
        <v>1.4652635353008393E-3</v>
      </c>
      <c r="AA502" s="129">
        <v>1.0926914937670062E-3</v>
      </c>
    </row>
    <row r="503" spans="19:27" x14ac:dyDescent="0.2">
      <c r="S503" s="1"/>
      <c r="T503" s="109"/>
      <c r="W503" s="130" t="str">
        <f t="shared" si="17"/>
        <v>1D</v>
      </c>
      <c r="X503" s="128">
        <f>_xll.qlCalendarAdvance(Calendar,X502,W503,"f",FALSE)</f>
        <v>42818</v>
      </c>
      <c r="Y503" s="131">
        <f>_xll.qlCalendarAdvance(Calendar,X503,NDays&amp;"D")</f>
        <v>42822</v>
      </c>
      <c r="Z503" s="132">
        <v>1.4723546992203768E-3</v>
      </c>
      <c r="AA503" s="129">
        <v>1.1031088280422097E-3</v>
      </c>
    </row>
    <row r="504" spans="19:27" x14ac:dyDescent="0.2">
      <c r="S504" s="1"/>
      <c r="T504" s="109"/>
      <c r="W504" s="130" t="str">
        <f t="shared" si="17"/>
        <v>1D</v>
      </c>
      <c r="X504" s="128">
        <f>_xll.qlCalendarAdvance(Calendar,X503,W504,"f",FALSE)</f>
        <v>42821</v>
      </c>
      <c r="Y504" s="131">
        <f>_xll.qlCalendarAdvance(Calendar,X504,NDays&amp;"D")</f>
        <v>42823</v>
      </c>
      <c r="Z504" s="132">
        <v>1.4793826949926795E-3</v>
      </c>
      <c r="AA504" s="129">
        <v>1.1134514786181882E-3</v>
      </c>
    </row>
    <row r="505" spans="19:27" x14ac:dyDescent="0.2">
      <c r="S505" s="1"/>
      <c r="T505" s="109"/>
      <c r="W505" s="130" t="str">
        <f t="shared" si="17"/>
        <v>1D</v>
      </c>
      <c r="X505" s="128">
        <f>_xll.qlCalendarAdvance(Calendar,X504,W505,"f",FALSE)</f>
        <v>42822</v>
      </c>
      <c r="Y505" s="131">
        <f>_xll.qlCalendarAdvance(Calendar,X505,NDays&amp;"D")</f>
        <v>42824</v>
      </c>
      <c r="Z505" s="132">
        <v>1.4863484092728447E-3</v>
      </c>
      <c r="AA505" s="129">
        <v>1.123719445814686E-3</v>
      </c>
    </row>
    <row r="506" spans="19:27" x14ac:dyDescent="0.2">
      <c r="S506" s="1"/>
      <c r="T506" s="109"/>
      <c r="W506" s="130" t="str">
        <f t="shared" si="17"/>
        <v>1D</v>
      </c>
      <c r="X506" s="128">
        <f>_xll.qlCalendarAdvance(Calendar,X505,W506,"f",FALSE)</f>
        <v>42823</v>
      </c>
      <c r="Y506" s="131">
        <f>_xll.qlCalendarAdvance(Calendar,X506,NDays&amp;"D")</f>
        <v>42825</v>
      </c>
      <c r="Z506" s="132">
        <v>1.4903286909617121E-3</v>
      </c>
      <c r="AA506" s="129">
        <v>1.1440100698489886E-3</v>
      </c>
    </row>
    <row r="507" spans="19:27" x14ac:dyDescent="0.2">
      <c r="S507" s="1"/>
      <c r="T507" s="109"/>
      <c r="W507" s="130" t="str">
        <f t="shared" si="17"/>
        <v>1D</v>
      </c>
      <c r="X507" s="128">
        <f>_xll.qlCalendarAdvance(Calendar,X506,W507,"f",FALSE)</f>
        <v>42824</v>
      </c>
      <c r="Y507" s="131">
        <f>_xll.qlCalendarAdvance(Calendar,X507,NDays&amp;"D")</f>
        <v>42828</v>
      </c>
      <c r="Z507" s="132">
        <v>1.510752870053431E-3</v>
      </c>
      <c r="AA507" s="129">
        <v>1.1640444780081083E-3</v>
      </c>
    </row>
    <row r="508" spans="19:27" x14ac:dyDescent="0.2">
      <c r="S508" s="1"/>
      <c r="T508" s="109"/>
      <c r="W508" s="130" t="str">
        <f t="shared" si="17"/>
        <v>1D</v>
      </c>
      <c r="X508" s="128">
        <f>_xll.qlCalendarAdvance(Calendar,X507,W508,"f",FALSE)</f>
        <v>42825</v>
      </c>
      <c r="Y508" s="131">
        <f>_xll.qlCalendarAdvance(Calendar,X508,NDays&amp;"D")</f>
        <v>42829</v>
      </c>
      <c r="Z508" s="132">
        <v>1.5174426157049303E-3</v>
      </c>
      <c r="AA508" s="129">
        <v>1.1739390269482897E-3</v>
      </c>
    </row>
    <row r="509" spans="19:27" x14ac:dyDescent="0.2">
      <c r="S509" s="1"/>
      <c r="T509" s="109"/>
      <c r="W509" s="130" t="str">
        <f t="shared" si="17"/>
        <v>1D</v>
      </c>
      <c r="X509" s="128">
        <f>_xll.qlCalendarAdvance(Calendar,X508,W509,"f",FALSE)</f>
        <v>42828</v>
      </c>
      <c r="Y509" s="131">
        <f>_xll.qlCalendarAdvance(Calendar,X509,NDays&amp;"D")</f>
        <v>42830</v>
      </c>
      <c r="Z509" s="132">
        <v>1.52407469840685E-3</v>
      </c>
      <c r="AA509" s="129">
        <v>1.1837588923491182E-3</v>
      </c>
    </row>
    <row r="510" spans="19:27" x14ac:dyDescent="0.2">
      <c r="S510" s="1"/>
      <c r="T510" s="109"/>
      <c r="W510" s="130" t="str">
        <f t="shared" si="17"/>
        <v>1D</v>
      </c>
      <c r="X510" s="128">
        <f>_xll.qlCalendarAdvance(Calendar,X509,W510,"f",FALSE)</f>
        <v>42829</v>
      </c>
      <c r="Y510" s="131">
        <f>_xll.qlCalendarAdvance(Calendar,X510,NDays&amp;"D")</f>
        <v>42831</v>
      </c>
      <c r="Z510" s="132">
        <v>1.5306500146166032E-3</v>
      </c>
      <c r="AA510" s="129">
        <v>1.1935040740507219E-3</v>
      </c>
    </row>
    <row r="511" spans="19:27" x14ac:dyDescent="0.2">
      <c r="S511" s="1"/>
      <c r="T511" s="109"/>
      <c r="W511" s="130" t="str">
        <f t="shared" si="17"/>
        <v>1D</v>
      </c>
      <c r="X511" s="128">
        <f>_xll.qlCalendarAdvance(Calendar,X510,W511,"f",FALSE)</f>
        <v>42830</v>
      </c>
      <c r="Y511" s="131">
        <f>_xll.qlCalendarAdvance(Calendar,X511,NDays&amp;"D")</f>
        <v>42832</v>
      </c>
      <c r="Z511" s="132">
        <v>1.5371694608012666E-3</v>
      </c>
      <c r="AA511" s="129">
        <v>1.212749577481631E-3</v>
      </c>
    </row>
    <row r="512" spans="19:27" x14ac:dyDescent="0.2">
      <c r="S512" s="1"/>
      <c r="T512" s="109"/>
      <c r="W512" s="130" t="str">
        <f t="shared" si="17"/>
        <v>1D</v>
      </c>
      <c r="X512" s="128">
        <f>_xll.qlCalendarAdvance(Calendar,X511,W512,"f",FALSE)</f>
        <v>42831</v>
      </c>
      <c r="Y512" s="131">
        <f>_xll.qlCalendarAdvance(Calendar,X512,NDays&amp;"D")</f>
        <v>42835</v>
      </c>
      <c r="Z512" s="132">
        <v>1.5564015439808918E-3</v>
      </c>
      <c r="AA512" s="129">
        <v>1.2317379645843118E-3</v>
      </c>
    </row>
    <row r="513" spans="19:27" x14ac:dyDescent="0.2">
      <c r="S513" s="1"/>
      <c r="T513" s="109"/>
      <c r="W513" s="130" t="str">
        <f t="shared" si="17"/>
        <v>1D</v>
      </c>
      <c r="X513" s="128">
        <f>_xll.qlCalendarAdvance(Calendar,X512,W513,"f",FALSE)</f>
        <v>42832</v>
      </c>
      <c r="Y513" s="131">
        <f>_xll.qlCalendarAdvance(Calendar,X513,NDays&amp;"D")</f>
        <v>42836</v>
      </c>
      <c r="Z513" s="132">
        <v>1.5627064748852909E-3</v>
      </c>
      <c r="AA513" s="129">
        <v>1.2411097281894712E-3</v>
      </c>
    </row>
    <row r="514" spans="19:27" x14ac:dyDescent="0.2">
      <c r="S514" s="1"/>
      <c r="T514" s="109"/>
      <c r="W514" s="130" t="str">
        <f t="shared" si="17"/>
        <v>1D</v>
      </c>
      <c r="X514" s="128">
        <f>_xll.qlCalendarAdvance(Calendar,X513,W514,"f",FALSE)</f>
        <v>42835</v>
      </c>
      <c r="Y514" s="131">
        <f>_xll.qlCalendarAdvance(Calendar,X514,NDays&amp;"D")</f>
        <v>42837</v>
      </c>
      <c r="Z514" s="132">
        <v>1.5689600182132979E-3</v>
      </c>
      <c r="AA514" s="129">
        <v>1.2504068078555974E-3</v>
      </c>
    </row>
    <row r="515" spans="19:27" x14ac:dyDescent="0.2">
      <c r="S515" s="1"/>
      <c r="T515" s="109"/>
      <c r="W515" s="130" t="str">
        <f t="shared" si="17"/>
        <v>1D</v>
      </c>
      <c r="X515" s="128">
        <f>_xll.qlCalendarAdvance(Calendar,X514,W515,"f",FALSE)</f>
        <v>42836</v>
      </c>
      <c r="Y515" s="131">
        <f>_xll.qlCalendarAdvance(Calendar,X515,NDays&amp;"D")</f>
        <v>42838</v>
      </c>
      <c r="Z515" s="132">
        <v>1.5751630704811811E-3</v>
      </c>
      <c r="AA515" s="129">
        <v>1.2777843320073146E-3</v>
      </c>
    </row>
    <row r="516" spans="19:27" x14ac:dyDescent="0.2">
      <c r="S516" s="1"/>
      <c r="T516" s="109"/>
      <c r="W516" s="130" t="str">
        <f t="shared" si="17"/>
        <v>1D</v>
      </c>
      <c r="X516" s="128">
        <f>_xll.qlCalendarAdvance(Calendar,X515,W516,"f",FALSE)</f>
        <v>42837</v>
      </c>
      <c r="Y516" s="131">
        <f>_xll.qlCalendarAdvance(Calendar,X516,NDays&amp;"D")</f>
        <v>42843</v>
      </c>
      <c r="Z516" s="132">
        <v>1.6054523444132627E-3</v>
      </c>
      <c r="AA516" s="129">
        <v>1.3046209293676725E-3</v>
      </c>
    </row>
    <row r="517" spans="19:27" x14ac:dyDescent="0.2">
      <c r="S517" s="1"/>
      <c r="T517" s="109"/>
      <c r="W517" s="130" t="str">
        <f t="shared" si="17"/>
        <v>1D</v>
      </c>
      <c r="X517" s="128">
        <f>_xll.qlCalendarAdvance(Calendar,X516,W517,"f",FALSE)</f>
        <v>42838</v>
      </c>
      <c r="Y517" s="131">
        <f>_xll.qlCalendarAdvance(Calendar,X517,NDays&amp;"D")</f>
        <v>42844</v>
      </c>
      <c r="Z517" s="132">
        <v>1.6113712775212984E-3</v>
      </c>
      <c r="AA517" s="129">
        <v>1.3133952232990964E-3</v>
      </c>
    </row>
    <row r="518" spans="19:27" x14ac:dyDescent="0.2">
      <c r="S518" s="1"/>
      <c r="T518" s="109"/>
      <c r="W518" s="130" t="str">
        <f t="shared" si="17"/>
        <v>1D</v>
      </c>
      <c r="X518" s="128">
        <f>_xll.qlCalendarAdvance(Calendar,X517,W518,"f",FALSE)</f>
        <v>42843</v>
      </c>
      <c r="Y518" s="131">
        <f>_xll.qlCalendarAdvance(Calendar,X518,NDays&amp;"D")</f>
        <v>42845</v>
      </c>
      <c r="Z518" s="132">
        <v>1.6172459953710662E-3</v>
      </c>
      <c r="AA518" s="129">
        <v>1.3220948336112315E-3</v>
      </c>
    </row>
    <row r="519" spans="19:27" x14ac:dyDescent="0.2">
      <c r="S519" s="1"/>
      <c r="T519" s="109"/>
      <c r="W519" s="130" t="str">
        <f t="shared" si="17"/>
        <v>1D</v>
      </c>
      <c r="X519" s="128">
        <f>_xll.qlCalendarAdvance(Calendar,X518,W519,"f",FALSE)</f>
        <v>42844</v>
      </c>
      <c r="Y519" s="131">
        <f>_xll.qlCalendarAdvance(Calendar,X519,NDays&amp;"D")</f>
        <v>42846</v>
      </c>
      <c r="Z519" s="132">
        <v>1.6230773945332959E-3</v>
      </c>
      <c r="AA519" s="129">
        <v>1.3392500903997018E-3</v>
      </c>
    </row>
    <row r="520" spans="19:27" x14ac:dyDescent="0.2">
      <c r="S520" s="1"/>
      <c r="T520" s="109"/>
      <c r="W520" s="130" t="str">
        <f t="shared" si="17"/>
        <v>1D</v>
      </c>
      <c r="X520" s="128">
        <f>_xll.qlCalendarAdvance(Calendar,X519,W520,"f",FALSE)</f>
        <v>42845</v>
      </c>
      <c r="Y520" s="131">
        <f>_xll.qlCalendarAdvance(Calendar,X520,NDays&amp;"D")</f>
        <v>42849</v>
      </c>
      <c r="Z520" s="132">
        <v>1.6403206457136124E-3</v>
      </c>
      <c r="AA520" s="129">
        <v>1.3561464372280341E-3</v>
      </c>
    </row>
    <row r="521" spans="19:27" x14ac:dyDescent="0.2">
      <c r="S521" s="1"/>
      <c r="T521" s="109"/>
      <c r="W521" s="130" t="str">
        <f t="shared" si="17"/>
        <v>1D</v>
      </c>
      <c r="X521" s="128">
        <f>_xll.qlCalendarAdvance(Calendar,X520,W521,"f",FALSE)</f>
        <v>42846</v>
      </c>
      <c r="Y521" s="131">
        <f>_xll.qlCalendarAdvance(Calendar,X521,NDays&amp;"D")</f>
        <v>42850</v>
      </c>
      <c r="Z521" s="132">
        <v>1.6459877359744123E-3</v>
      </c>
      <c r="AA521" s="129">
        <v>1.3644726288042364E-3</v>
      </c>
    </row>
    <row r="522" spans="19:27" x14ac:dyDescent="0.2">
      <c r="S522" s="1"/>
      <c r="T522" s="109"/>
      <c r="W522" s="130" t="str">
        <f t="shared" si="17"/>
        <v>1D</v>
      </c>
      <c r="X522" s="128">
        <f>_xll.qlCalendarAdvance(Calendar,X521,W522,"f",FALSE)</f>
        <v>42849</v>
      </c>
      <c r="Y522" s="131">
        <f>_xll.qlCalendarAdvance(Calendar,X522,NDays&amp;"D")</f>
        <v>42851</v>
      </c>
      <c r="Z522" s="132">
        <v>1.6516159905049762E-3</v>
      </c>
      <c r="AA522" s="129">
        <v>1.3727241366812137E-3</v>
      </c>
    </row>
    <row r="523" spans="19:27" x14ac:dyDescent="0.2">
      <c r="S523" s="1"/>
      <c r="T523" s="109"/>
      <c r="W523" s="130" t="str">
        <f t="shared" si="17"/>
        <v>1D</v>
      </c>
      <c r="X523" s="128">
        <f>_xll.qlCalendarAdvance(Calendar,X522,W523,"f",FALSE)</f>
        <v>42850</v>
      </c>
      <c r="Y523" s="131">
        <f>_xll.qlCalendarAdvance(Calendar,X523,NDays&amp;"D")</f>
        <v>42852</v>
      </c>
      <c r="Z523" s="132">
        <v>1.6572063059129272E-3</v>
      </c>
      <c r="AA523" s="129">
        <v>1.3809009607790301E-3</v>
      </c>
    </row>
    <row r="524" spans="19:27" x14ac:dyDescent="0.2">
      <c r="S524" s="1"/>
      <c r="T524" s="109"/>
      <c r="W524" s="130" t="str">
        <f t="shared" si="17"/>
        <v>1D</v>
      </c>
      <c r="X524" s="128">
        <f>_xll.qlCalendarAdvance(Calendar,X523,W524,"f",FALSE)</f>
        <v>42851</v>
      </c>
      <c r="Y524" s="131">
        <f>_xll.qlCalendarAdvance(Calendar,X524,NDays&amp;"D")</f>
        <v>42853</v>
      </c>
      <c r="Z524" s="132">
        <v>1.6702188095799573E-3</v>
      </c>
      <c r="AA524" s="129">
        <v>1.4009777800061407E-3</v>
      </c>
    </row>
    <row r="525" spans="19:27" x14ac:dyDescent="0.2">
      <c r="S525" s="1"/>
      <c r="T525" s="109"/>
      <c r="W525" s="130" t="str">
        <f t="shared" si="17"/>
        <v>1D</v>
      </c>
      <c r="X525" s="128">
        <f>_xll.qlCalendarAdvance(Calendar,X524,W525,"f",FALSE)</f>
        <v>42852</v>
      </c>
      <c r="Y525" s="131">
        <f>_xll.qlCalendarAdvance(Calendar,X525,NDays&amp;"D")</f>
        <v>42857</v>
      </c>
      <c r="Z525" s="132">
        <v>1.6870807099160199E-3</v>
      </c>
      <c r="AA525" s="129">
        <v>1.4206648246606335E-3</v>
      </c>
    </row>
    <row r="526" spans="19:27" x14ac:dyDescent="0.2">
      <c r="S526" s="1"/>
      <c r="T526" s="109"/>
      <c r="W526" s="130" t="str">
        <f t="shared" si="17"/>
        <v>1D</v>
      </c>
      <c r="X526" s="128">
        <f>_xll.qlCalendarAdvance(Calendar,X525,W526,"f",FALSE)</f>
        <v>42853</v>
      </c>
      <c r="Y526" s="131">
        <f>_xll.qlCalendarAdvance(Calendar,X526,NDays&amp;"D")</f>
        <v>42858</v>
      </c>
      <c r="Z526" s="132">
        <v>1.6924564712868543E-3</v>
      </c>
      <c r="AA526" s="129">
        <v>1.428393546083484E-3</v>
      </c>
    </row>
    <row r="527" spans="19:27" x14ac:dyDescent="0.2">
      <c r="S527" s="1"/>
      <c r="T527" s="109"/>
      <c r="W527" s="130" t="str">
        <f t="shared" si="17"/>
        <v>1D</v>
      </c>
      <c r="X527" s="128">
        <f>_xll.qlCalendarAdvance(Calendar,X526,W527,"f",FALSE)</f>
        <v>42857</v>
      </c>
      <c r="Y527" s="131">
        <f>_xll.qlCalendarAdvance(Calendar,X527,NDays&amp;"D")</f>
        <v>42859</v>
      </c>
      <c r="Z527" s="132">
        <v>1.6978009890247902E-3</v>
      </c>
      <c r="AA527" s="129">
        <v>1.4360475838071096E-3</v>
      </c>
    </row>
    <row r="528" spans="19:27" x14ac:dyDescent="0.2">
      <c r="S528" s="1"/>
      <c r="T528" s="109"/>
      <c r="W528" s="130" t="str">
        <f t="shared" si="17"/>
        <v>1D</v>
      </c>
      <c r="X528" s="128">
        <f>_xll.qlCalendarAdvance(Calendar,X527,W528,"f",FALSE)</f>
        <v>42858</v>
      </c>
      <c r="Y528" s="131">
        <f>_xll.qlCalendarAdvance(Calendar,X528,NDays&amp;"D")</f>
        <v>42860</v>
      </c>
      <c r="Z528" s="132">
        <v>1.7080040366556719E-3</v>
      </c>
      <c r="AA528" s="129">
        <v>1.4511125622451715E-3</v>
      </c>
    </row>
    <row r="529" spans="19:27" x14ac:dyDescent="0.2">
      <c r="S529" s="1"/>
      <c r="T529" s="109"/>
      <c r="W529" s="130" t="str">
        <f t="shared" si="17"/>
        <v>1D</v>
      </c>
      <c r="X529" s="128">
        <f>_xll.qlCalendarAdvance(Calendar,X528,W529,"f",FALSE)</f>
        <v>42859</v>
      </c>
      <c r="Y529" s="131">
        <f>_xll.qlCalendarAdvance(Calendar,X529,NDays&amp;"D")</f>
        <v>42863</v>
      </c>
      <c r="Z529" s="132">
        <v>1.7188843620235372E-3</v>
      </c>
      <c r="AA529" s="129">
        <v>1.4659168964303859E-3</v>
      </c>
    </row>
    <row r="530" spans="19:27" x14ac:dyDescent="0.2">
      <c r="S530" s="1"/>
      <c r="T530" s="109"/>
      <c r="W530" s="130" t="str">
        <f t="shared" si="17"/>
        <v>1D</v>
      </c>
      <c r="X530" s="128">
        <f>_xll.qlCalendarAdvance(Calendar,X529,W530,"f",FALSE)</f>
        <v>42860</v>
      </c>
      <c r="Y530" s="131">
        <f>_xll.qlCalendarAdvance(Calendar,X530,NDays&amp;"D")</f>
        <v>42864</v>
      </c>
      <c r="Z530" s="132">
        <v>1.7240859654280621E-3</v>
      </c>
      <c r="AA530" s="129">
        <v>1.4731975150183985E-3</v>
      </c>
    </row>
    <row r="531" spans="19:27" x14ac:dyDescent="0.2">
      <c r="S531" s="1"/>
      <c r="T531" s="109"/>
      <c r="W531" s="130" t="str">
        <f t="shared" si="17"/>
        <v>1D</v>
      </c>
      <c r="X531" s="128">
        <f>_xll.qlCalendarAdvance(Calendar,X530,W531,"f",FALSE)</f>
        <v>42863</v>
      </c>
      <c r="Y531" s="131">
        <f>_xll.qlCalendarAdvance(Calendar,X531,NDays&amp;"D")</f>
        <v>42865</v>
      </c>
      <c r="Z531" s="132">
        <v>1.7292616467715677E-3</v>
      </c>
      <c r="AA531" s="129">
        <v>1.4804034499871221E-3</v>
      </c>
    </row>
    <row r="532" spans="19:27" x14ac:dyDescent="0.2">
      <c r="S532" s="1"/>
      <c r="T532" s="109"/>
      <c r="W532" s="130" t="str">
        <f t="shared" si="17"/>
        <v>1D</v>
      </c>
      <c r="X532" s="128">
        <f>_xll.qlCalendarAdvance(Calendar,X531,W532,"f",FALSE)</f>
        <v>42864</v>
      </c>
      <c r="Y532" s="131">
        <f>_xll.qlCalendarAdvance(Calendar,X532,NDays&amp;"D")</f>
        <v>42866</v>
      </c>
      <c r="Z532" s="132">
        <v>1.7344122929984847E-3</v>
      </c>
      <c r="AA532" s="129">
        <v>1.4875347009368767E-3</v>
      </c>
    </row>
    <row r="533" spans="19:27" x14ac:dyDescent="0.2">
      <c r="S533" s="1"/>
      <c r="T533" s="109"/>
      <c r="W533" s="130" t="str">
        <f t="shared" ref="W533:W596" si="18">W532</f>
        <v>1D</v>
      </c>
      <c r="X533" s="128">
        <f>_xll.qlCalendarAdvance(Calendar,X532,W533,"f",FALSE)</f>
        <v>42865</v>
      </c>
      <c r="Y533" s="131">
        <f>_xll.qlCalendarAdvance(Calendar,X533,NDays&amp;"D")</f>
        <v>42867</v>
      </c>
      <c r="Z533" s="132">
        <v>1.7443831523976353E-3</v>
      </c>
      <c r="AA533" s="129">
        <v>1.5015545197627489E-3</v>
      </c>
    </row>
    <row r="534" spans="19:27" x14ac:dyDescent="0.2">
      <c r="S534" s="1"/>
      <c r="T534" s="109"/>
      <c r="W534" s="130" t="str">
        <f t="shared" si="18"/>
        <v>1D</v>
      </c>
      <c r="X534" s="128">
        <f>_xll.qlCalendarAdvance(Calendar,X533,W534,"f",FALSE)</f>
        <v>42866</v>
      </c>
      <c r="Y534" s="131">
        <f>_xll.qlCalendarAdvance(Calendar,X534,NDays&amp;"D")</f>
        <v>42870</v>
      </c>
      <c r="Z534" s="132">
        <v>1.7547822658852035E-3</v>
      </c>
      <c r="AA534" s="129">
        <v>1.5153128667044768E-3</v>
      </c>
    </row>
    <row r="535" spans="19:27" x14ac:dyDescent="0.2">
      <c r="S535" s="1"/>
      <c r="T535" s="109"/>
      <c r="W535" s="130" t="str">
        <f t="shared" si="18"/>
        <v>1D</v>
      </c>
      <c r="X535" s="128">
        <f>_xll.qlCalendarAdvance(Calendar,X534,W535,"f",FALSE)</f>
        <v>42867</v>
      </c>
      <c r="Y535" s="131">
        <f>_xll.qlCalendarAdvance(Calendar,X535,NDays&amp;"D")</f>
        <v>42871</v>
      </c>
      <c r="Z535" s="132">
        <v>1.7598210409241551E-3</v>
      </c>
      <c r="AA535" s="129">
        <v>1.5220706985985544E-3</v>
      </c>
    </row>
    <row r="536" spans="19:27" x14ac:dyDescent="0.2">
      <c r="S536" s="1"/>
      <c r="T536" s="109"/>
      <c r="W536" s="130" t="str">
        <f t="shared" si="18"/>
        <v>1D</v>
      </c>
      <c r="X536" s="128">
        <f>_xll.qlCalendarAdvance(Calendar,X535,W536,"f",FALSE)</f>
        <v>42870</v>
      </c>
      <c r="Y536" s="131">
        <f>_xll.qlCalendarAdvance(Calendar,X536,NDays&amp;"D")</f>
        <v>42872</v>
      </c>
      <c r="Z536" s="132">
        <v>1.764840102639959E-3</v>
      </c>
      <c r="AA536" s="129">
        <v>1.5287538466335349E-3</v>
      </c>
    </row>
    <row r="537" spans="19:27" x14ac:dyDescent="0.2">
      <c r="S537" s="1"/>
      <c r="T537" s="109"/>
      <c r="W537" s="130" t="s">
        <v>164</v>
      </c>
      <c r="X537" s="128">
        <f>_xll.qlCalendarAdvance(Calendar,X536,W537,"f",FALSE)</f>
        <v>42877</v>
      </c>
      <c r="Y537" s="131">
        <f>_xll.qlCalendarAdvance(Calendar,X537,NDays&amp;"D")</f>
        <v>42879</v>
      </c>
      <c r="Z537" s="132">
        <v>1.7994960686429846E-3</v>
      </c>
      <c r="AA537" s="129">
        <v>1.5734447345838731E-3</v>
      </c>
    </row>
    <row r="538" spans="19:27" x14ac:dyDescent="0.2">
      <c r="S538" s="1"/>
      <c r="T538" s="109"/>
      <c r="W538" s="130" t="str">
        <f t="shared" si="18"/>
        <v>1w</v>
      </c>
      <c r="X538" s="128">
        <f>_xll.qlCalendarAdvance(Calendar,X537,W538,"f",FALSE)</f>
        <v>42884</v>
      </c>
      <c r="Y538" s="131">
        <f>_xll.qlCalendarAdvance(Calendar,X538,NDays&amp;"D")</f>
        <v>42886</v>
      </c>
      <c r="Z538" s="132">
        <v>1.83353378612233E-3</v>
      </c>
      <c r="AA538" s="129">
        <v>1.6144761126390961E-3</v>
      </c>
    </row>
    <row r="539" spans="19:27" x14ac:dyDescent="0.2">
      <c r="S539" s="1"/>
      <c r="T539" s="109"/>
      <c r="W539" s="130" t="str">
        <f t="shared" si="18"/>
        <v>1w</v>
      </c>
      <c r="X539" s="128">
        <f>_xll.qlCalendarAdvance(Calendar,X538,W539,"f",FALSE)</f>
        <v>42891</v>
      </c>
      <c r="Y539" s="131">
        <f>_xll.qlCalendarAdvance(Calendar,X539,NDays&amp;"D")</f>
        <v>42893</v>
      </c>
      <c r="Z539" s="132">
        <v>1.86725750741697E-3</v>
      </c>
      <c r="AA539" s="129">
        <v>1.6518479793603547E-3</v>
      </c>
    </row>
    <row r="540" spans="19:27" x14ac:dyDescent="0.2">
      <c r="S540" s="1"/>
      <c r="T540" s="109"/>
      <c r="W540" s="130" t="str">
        <f t="shared" si="18"/>
        <v>1w</v>
      </c>
      <c r="X540" s="128">
        <f>_xll.qlCalendarAdvance(Calendar,X539,W540,"f",FALSE)</f>
        <v>42898</v>
      </c>
      <c r="Y540" s="131">
        <f>_xll.qlCalendarAdvance(Calendar,X540,NDays&amp;"D")</f>
        <v>42900</v>
      </c>
      <c r="Z540" s="132">
        <v>1.9009714954956376E-3</v>
      </c>
      <c r="AA540" s="129">
        <v>1.6855603337084801E-3</v>
      </c>
    </row>
    <row r="541" spans="19:27" x14ac:dyDescent="0.2">
      <c r="S541" s="1"/>
      <c r="T541" s="109"/>
      <c r="W541" s="130" t="str">
        <f t="shared" si="18"/>
        <v>1w</v>
      </c>
      <c r="X541" s="128">
        <f>_xll.qlCalendarAdvance(Calendar,X540,W541,"f",FALSE)</f>
        <v>42905</v>
      </c>
      <c r="Y541" s="131">
        <f>_xll.qlCalendarAdvance(Calendar,X541,NDays&amp;"D")</f>
        <v>42907</v>
      </c>
      <c r="Z541" s="132">
        <v>1.9349480883965407E-3</v>
      </c>
      <c r="AA541" s="129">
        <v>1.7173397995673412E-3</v>
      </c>
    </row>
    <row r="542" spans="19:27" x14ac:dyDescent="0.2">
      <c r="S542" s="1"/>
      <c r="T542" s="109"/>
      <c r="W542" s="130" t="str">
        <f t="shared" si="18"/>
        <v>1w</v>
      </c>
      <c r="X542" s="128">
        <f>_xll.qlCalendarAdvance(Calendar,X541,W542,"f",FALSE)</f>
        <v>42912</v>
      </c>
      <c r="Y542" s="131">
        <f>_xll.qlCalendarAdvance(Calendar,X542,NDays&amp;"D")</f>
        <v>42914</v>
      </c>
      <c r="Z542" s="132">
        <v>1.9692625488757064E-3</v>
      </c>
      <c r="AA542" s="129">
        <v>1.7494432250853009E-3</v>
      </c>
    </row>
    <row r="543" spans="19:27" x14ac:dyDescent="0.2">
      <c r="S543" s="1"/>
      <c r="T543" s="109"/>
      <c r="W543" s="130" t="str">
        <f t="shared" si="18"/>
        <v>1w</v>
      </c>
      <c r="X543" s="128">
        <f>_xll.qlCalendarAdvance(Calendar,X542,W543,"f",FALSE)</f>
        <v>42919</v>
      </c>
      <c r="Y543" s="131">
        <f>_xll.qlCalendarAdvance(Calendar,X543,NDays&amp;"D")</f>
        <v>42921</v>
      </c>
      <c r="Z543" s="132">
        <v>2.0039150336651538E-3</v>
      </c>
      <c r="AA543" s="129">
        <v>1.7818842059469375E-3</v>
      </c>
    </row>
    <row r="544" spans="19:27" x14ac:dyDescent="0.2">
      <c r="S544" s="1"/>
      <c r="T544" s="109"/>
      <c r="W544" s="130" t="str">
        <f t="shared" si="18"/>
        <v>1w</v>
      </c>
      <c r="X544" s="128">
        <f>_xll.qlCalendarAdvance(Calendar,X543,W544,"f",FALSE)</f>
        <v>42926</v>
      </c>
      <c r="Y544" s="131">
        <f>_xll.qlCalendarAdvance(Calendar,X544,NDays&amp;"D")</f>
        <v>42928</v>
      </c>
      <c r="Z544" s="132">
        <v>2.038905551733361E-3</v>
      </c>
      <c r="AA544" s="129">
        <v>1.8146627419923789E-3</v>
      </c>
    </row>
    <row r="545" spans="19:27" x14ac:dyDescent="0.2">
      <c r="S545" s="1"/>
      <c r="T545" s="109"/>
      <c r="W545" s="130" t="str">
        <f t="shared" si="18"/>
        <v>1w</v>
      </c>
      <c r="X545" s="128">
        <f>_xll.qlCalendarAdvance(Calendar,X544,W545,"f",FALSE)</f>
        <v>42933</v>
      </c>
      <c r="Y545" s="131">
        <f>_xll.qlCalendarAdvance(Calendar,X545,NDays&amp;"D")</f>
        <v>42935</v>
      </c>
      <c r="Z545" s="132">
        <v>2.0742341121400376E-3</v>
      </c>
      <c r="AA545" s="129">
        <v>1.8477788335413692E-3</v>
      </c>
    </row>
    <row r="546" spans="19:27" x14ac:dyDescent="0.2">
      <c r="S546" s="1"/>
      <c r="T546" s="109"/>
      <c r="W546" s="130" t="str">
        <f t="shared" si="18"/>
        <v>1w</v>
      </c>
      <c r="X546" s="128">
        <f>_xll.qlCalendarAdvance(Calendar,X545,W546,"f",FALSE)</f>
        <v>42940</v>
      </c>
      <c r="Y546" s="131">
        <f>_xll.qlCalendarAdvance(Calendar,X546,NDays&amp;"D")</f>
        <v>42942</v>
      </c>
      <c r="Z546" s="132">
        <v>2.1099007240283039E-3</v>
      </c>
      <c r="AA546" s="129">
        <v>1.8812324805939085E-3</v>
      </c>
    </row>
    <row r="547" spans="19:27" x14ac:dyDescent="0.2">
      <c r="S547" s="1"/>
      <c r="T547" s="109"/>
      <c r="W547" s="130" t="str">
        <f t="shared" si="18"/>
        <v>1w</v>
      </c>
      <c r="X547" s="128">
        <f>_xll.qlCalendarAdvance(Calendar,X546,W547,"f",FALSE)</f>
        <v>42947</v>
      </c>
      <c r="Y547" s="131">
        <f>_xll.qlCalendarAdvance(Calendar,X547,NDays&amp;"D")</f>
        <v>42949</v>
      </c>
      <c r="Z547" s="132">
        <v>2.145905396633382E-3</v>
      </c>
      <c r="AA547" s="129">
        <v>1.9150236832299328E-3</v>
      </c>
    </row>
    <row r="548" spans="19:27" x14ac:dyDescent="0.2">
      <c r="S548" s="1"/>
      <c r="T548" s="109"/>
      <c r="W548" s="130" t="str">
        <f t="shared" si="18"/>
        <v>1w</v>
      </c>
      <c r="X548" s="128">
        <f>_xll.qlCalendarAdvance(Calendar,X547,W548,"f",FALSE)</f>
        <v>42954</v>
      </c>
      <c r="Y548" s="131">
        <f>_xll.qlCalendarAdvance(Calendar,X548,NDays&amp;"D")</f>
        <v>42956</v>
      </c>
      <c r="Z548" s="132">
        <v>2.1822481392765108E-3</v>
      </c>
      <c r="AA548" s="129">
        <v>1.9491524416093142E-3</v>
      </c>
    </row>
    <row r="549" spans="19:27" x14ac:dyDescent="0.2">
      <c r="S549" s="1"/>
      <c r="T549" s="109"/>
      <c r="W549" s="130" t="str">
        <f t="shared" si="18"/>
        <v>1w</v>
      </c>
      <c r="X549" s="128">
        <f>_xll.qlCalendarAdvance(Calendar,X548,W549,"f",FALSE)</f>
        <v>42961</v>
      </c>
      <c r="Y549" s="131">
        <f>_xll.qlCalendarAdvance(Calendar,X549,NDays&amp;"D")</f>
        <v>42963</v>
      </c>
      <c r="Z549" s="132">
        <v>2.2189289613640797E-3</v>
      </c>
      <c r="AA549" s="129">
        <v>1.9836187557320528E-3</v>
      </c>
    </row>
    <row r="550" spans="19:27" x14ac:dyDescent="0.2">
      <c r="S550" s="1"/>
      <c r="T550" s="109"/>
      <c r="W550" s="130" t="str">
        <f t="shared" si="18"/>
        <v>1w</v>
      </c>
      <c r="X550" s="128">
        <f>_xll.qlCalendarAdvance(Calendar,X549,W550,"f",FALSE)</f>
        <v>42968</v>
      </c>
      <c r="Y550" s="131">
        <f>_xll.qlCalendarAdvance(Calendar,X550,NDays&amp;"D")</f>
        <v>42970</v>
      </c>
      <c r="Z550" s="132">
        <v>2.2559478723911011E-3</v>
      </c>
      <c r="AA550" s="129">
        <v>2.0184226256780846E-3</v>
      </c>
    </row>
    <row r="551" spans="19:27" x14ac:dyDescent="0.2">
      <c r="S551" s="1"/>
      <c r="T551" s="109"/>
      <c r="W551" s="130" t="str">
        <f t="shared" si="18"/>
        <v>1w</v>
      </c>
      <c r="X551" s="128">
        <f>_xll.qlCalendarAdvance(Calendar,X550,W551,"f",FALSE)</f>
        <v>42975</v>
      </c>
      <c r="Y551" s="131">
        <f>_xll.qlCalendarAdvance(Calendar,X551,NDays&amp;"D")</f>
        <v>42977</v>
      </c>
      <c r="Z551" s="132">
        <v>2.2933048819429522E-3</v>
      </c>
      <c r="AA551" s="129">
        <v>2.0535640516872178E-3</v>
      </c>
    </row>
    <row r="552" spans="19:27" x14ac:dyDescent="0.2">
      <c r="S552" s="1"/>
      <c r="T552" s="109"/>
      <c r="W552" s="130" t="str">
        <f t="shared" si="18"/>
        <v>1w</v>
      </c>
      <c r="X552" s="128">
        <f>_xll.qlCalendarAdvance(Calendar,X551,W552,"f",FALSE)</f>
        <v>42982</v>
      </c>
      <c r="Y552" s="131">
        <f>_xll.qlCalendarAdvance(Calendar,X552,NDays&amp;"D")</f>
        <v>42984</v>
      </c>
      <c r="Z552" s="132">
        <v>2.3282361927585752E-3</v>
      </c>
      <c r="AA552" s="129">
        <v>2.0890430337594523E-3</v>
      </c>
    </row>
    <row r="553" spans="19:27" x14ac:dyDescent="0.2">
      <c r="S553" s="1"/>
      <c r="T553" s="109"/>
      <c r="W553" s="130" t="str">
        <f t="shared" si="18"/>
        <v>1w</v>
      </c>
      <c r="X553" s="128">
        <f>_xll.qlCalendarAdvance(Calendar,X552,W553,"f",FALSE)</f>
        <v>42989</v>
      </c>
      <c r="Y553" s="131">
        <f>_xll.qlCalendarAdvance(Calendar,X553,NDays&amp;"D")</f>
        <v>42991</v>
      </c>
      <c r="Z553" s="132">
        <v>2.3662450285928931E-3</v>
      </c>
      <c r="AA553" s="129">
        <v>2.1248595720546604E-3</v>
      </c>
    </row>
    <row r="554" spans="19:27" x14ac:dyDescent="0.2">
      <c r="S554" s="1"/>
      <c r="T554" s="109"/>
      <c r="W554" s="130" t="str">
        <f t="shared" si="18"/>
        <v>1w</v>
      </c>
      <c r="X554" s="128">
        <f>_xll.qlCalendarAdvance(Calendar,X553,W554,"f",FALSE)</f>
        <v>42996</v>
      </c>
      <c r="Y554" s="131">
        <f>_xll.qlCalendarAdvance(Calendar,X554,NDays&amp;"D")</f>
        <v>42998</v>
      </c>
      <c r="Z554" s="132">
        <v>2.4045919852464662E-3</v>
      </c>
      <c r="AA554" s="129">
        <v>2.1610136665728419E-3</v>
      </c>
    </row>
    <row r="555" spans="19:27" x14ac:dyDescent="0.2">
      <c r="S555" s="1"/>
      <c r="T555" s="109"/>
      <c r="W555" s="130" t="str">
        <f t="shared" si="18"/>
        <v>1w</v>
      </c>
      <c r="X555" s="128">
        <f>_xll.qlCalendarAdvance(Calendar,X554,W555,"f",FALSE)</f>
        <v>43003</v>
      </c>
      <c r="Y555" s="131">
        <f>_xll.qlCalendarAdvance(Calendar,X555,NDays&amp;"D")</f>
        <v>43005</v>
      </c>
      <c r="Z555" s="132">
        <v>2.4432770725426453E-3</v>
      </c>
      <c r="AA555" s="129">
        <v>2.1975053175538051E-3</v>
      </c>
    </row>
    <row r="556" spans="19:27" x14ac:dyDescent="0.2">
      <c r="S556" s="1"/>
      <c r="T556" s="109"/>
      <c r="W556" s="130" t="str">
        <f t="shared" si="18"/>
        <v>1w</v>
      </c>
      <c r="X556" s="128">
        <f>_xll.qlCalendarAdvance(Calendar,X555,W556,"f",FALSE)</f>
        <v>43010</v>
      </c>
      <c r="Y556" s="131">
        <f>_xll.qlCalendarAdvance(Calendar,X556,NDays&amp;"D")</f>
        <v>43012</v>
      </c>
      <c r="Z556" s="132">
        <v>2.4851617491179578E-3</v>
      </c>
      <c r="AA556" s="129">
        <v>2.2343345249176139E-3</v>
      </c>
    </row>
    <row r="557" spans="19:27" x14ac:dyDescent="0.2">
      <c r="S557" s="1"/>
      <c r="T557" s="109"/>
      <c r="W557" s="130" t="str">
        <f t="shared" si="18"/>
        <v>1w</v>
      </c>
      <c r="X557" s="128">
        <f>_xll.qlCalendarAdvance(Calendar,X556,W557,"f",FALSE)</f>
        <v>43017</v>
      </c>
      <c r="Y557" s="131">
        <f>_xll.qlCalendarAdvance(Calendar,X557,NDays&amp;"D")</f>
        <v>43019</v>
      </c>
      <c r="Z557" s="132">
        <v>2.5245475559721384E-3</v>
      </c>
      <c r="AA557" s="129">
        <v>2.2715012889840125E-3</v>
      </c>
    </row>
    <row r="558" spans="19:27" x14ac:dyDescent="0.2">
      <c r="S558" s="1"/>
      <c r="T558" s="109"/>
      <c r="W558" s="130" t="str">
        <f t="shared" si="18"/>
        <v>1w</v>
      </c>
      <c r="X558" s="128">
        <f>_xll.qlCalendarAdvance(Calendar,X557,W558,"f",FALSE)</f>
        <v>43024</v>
      </c>
      <c r="Y558" s="131">
        <f>_xll.qlCalendarAdvance(Calendar,X558,NDays&amp;"D")</f>
        <v>43026</v>
      </c>
      <c r="Z558" s="132">
        <v>2.5642715308868296E-3</v>
      </c>
      <c r="AA558" s="129">
        <v>2.309005609753001E-3</v>
      </c>
    </row>
    <row r="559" spans="19:27" x14ac:dyDescent="0.2">
      <c r="S559" s="1"/>
      <c r="T559" s="109"/>
      <c r="W559" s="130" t="str">
        <f t="shared" si="18"/>
        <v>1w</v>
      </c>
      <c r="X559" s="128">
        <f>_xll.qlCalendarAdvance(Calendar,X558,W559,"f",FALSE)</f>
        <v>43031</v>
      </c>
      <c r="Y559" s="131">
        <f>_xll.qlCalendarAdvance(Calendar,X559,NDays&amp;"D")</f>
        <v>43033</v>
      </c>
      <c r="Z559" s="132">
        <v>2.604333684146848E-3</v>
      </c>
      <c r="AA559" s="129">
        <v>2.3468474872245793E-3</v>
      </c>
    </row>
    <row r="560" spans="19:27" x14ac:dyDescent="0.2">
      <c r="S560" s="1"/>
      <c r="T560" s="109"/>
      <c r="W560" s="130" t="str">
        <f t="shared" si="18"/>
        <v>1w</v>
      </c>
      <c r="X560" s="128">
        <f>_xll.qlCalendarAdvance(Calendar,X559,W560,"f",FALSE)</f>
        <v>43038</v>
      </c>
      <c r="Y560" s="131">
        <f>_xll.qlCalendarAdvance(Calendar,X560,NDays&amp;"D")</f>
        <v>43040</v>
      </c>
      <c r="Z560" s="132">
        <v>2.6447340261238966E-3</v>
      </c>
      <c r="AA560" s="129">
        <v>2.3850269216385556E-3</v>
      </c>
    </row>
    <row r="561" spans="19:27" x14ac:dyDescent="0.2">
      <c r="S561" s="1"/>
      <c r="T561" s="109"/>
      <c r="W561" s="130" t="str">
        <f t="shared" si="18"/>
        <v>1w</v>
      </c>
      <c r="X561" s="128">
        <f>_xll.qlCalendarAdvance(Calendar,X560,W561,"f",FALSE)</f>
        <v>43045</v>
      </c>
      <c r="Y561" s="131">
        <f>_xll.qlCalendarAdvance(Calendar,X561,NDays&amp;"D")</f>
        <v>43047</v>
      </c>
      <c r="Z561" s="132">
        <v>2.6854725672756981E-3</v>
      </c>
      <c r="AA561" s="129">
        <v>2.423543913154802E-3</v>
      </c>
    </row>
    <row r="562" spans="19:27" x14ac:dyDescent="0.2">
      <c r="S562" s="1"/>
      <c r="T562" s="109"/>
      <c r="W562" s="130" t="str">
        <f t="shared" si="18"/>
        <v>1w</v>
      </c>
      <c r="X562" s="128">
        <f>_xll.qlCalendarAdvance(Calendar,X561,W562,"f",FALSE)</f>
        <v>43052</v>
      </c>
      <c r="Y562" s="131">
        <f>_xll.qlCalendarAdvance(Calendar,X562,NDays&amp;"D")</f>
        <v>43054</v>
      </c>
      <c r="Z562" s="132">
        <v>2.7265493181520732E-3</v>
      </c>
      <c r="AA562" s="129">
        <v>2.4623984617733186E-3</v>
      </c>
    </row>
    <row r="563" spans="19:27" x14ac:dyDescent="0.2">
      <c r="S563" s="1"/>
      <c r="T563" s="109"/>
      <c r="W563" s="130" t="str">
        <f t="shared" si="18"/>
        <v>1w</v>
      </c>
      <c r="X563" s="128">
        <f>_xll.qlCalendarAdvance(Calendar,X562,W563,"f",FALSE)</f>
        <v>43059</v>
      </c>
      <c r="Y563" s="131">
        <f>_xll.qlCalendarAdvance(Calendar,X563,NDays&amp;"D")</f>
        <v>43061</v>
      </c>
      <c r="Z563" s="132">
        <v>2.7679642893862562E-3</v>
      </c>
      <c r="AA563" s="129">
        <v>2.5015905675740413E-3</v>
      </c>
    </row>
    <row r="564" spans="19:27" x14ac:dyDescent="0.2">
      <c r="S564" s="1"/>
      <c r="T564" s="109"/>
      <c r="W564" s="130" t="str">
        <f t="shared" si="18"/>
        <v>1w</v>
      </c>
      <c r="X564" s="128">
        <f>_xll.qlCalendarAdvance(Calendar,X563,W564,"f",FALSE)</f>
        <v>43066</v>
      </c>
      <c r="Y564" s="131">
        <f>_xll.qlCalendarAdvance(Calendar,X564,NDays&amp;"D")</f>
        <v>43068</v>
      </c>
      <c r="Z564" s="132">
        <v>2.8066604001354889E-3</v>
      </c>
      <c r="AA564" s="129">
        <v>2.5411202307168423E-3</v>
      </c>
    </row>
    <row r="565" spans="19:27" x14ac:dyDescent="0.2">
      <c r="S565" s="1"/>
      <c r="T565" s="109"/>
      <c r="W565" s="130" t="str">
        <f t="shared" si="18"/>
        <v>1w</v>
      </c>
      <c r="X565" s="128">
        <f>_xll.qlCalendarAdvance(Calendar,X564,W565,"f",FALSE)</f>
        <v>43073</v>
      </c>
      <c r="Y565" s="131">
        <f>_xll.qlCalendarAdvance(Calendar,X565,NDays&amp;"D")</f>
        <v>43075</v>
      </c>
      <c r="Z565" s="132">
        <v>2.8456481189538252E-3</v>
      </c>
      <c r="AA565" s="129">
        <v>2.5809874513615938E-3</v>
      </c>
    </row>
    <row r="566" spans="19:27" x14ac:dyDescent="0.2">
      <c r="S566" s="1"/>
      <c r="T566" s="109"/>
      <c r="W566" s="130" t="str">
        <f t="shared" si="18"/>
        <v>1w</v>
      </c>
      <c r="X566" s="128">
        <f>_xll.qlCalendarAdvance(Calendar,X565,W566,"f",FALSE)</f>
        <v>43080</v>
      </c>
      <c r="Y566" s="131">
        <f>_xll.qlCalendarAdvance(Calendar,X566,NDays&amp;"D")</f>
        <v>43082</v>
      </c>
      <c r="Z566" s="132">
        <v>2.8880288175612279E-3</v>
      </c>
      <c r="AA566" s="129">
        <v>2.6211922295082957E-3</v>
      </c>
    </row>
    <row r="567" spans="19:27" x14ac:dyDescent="0.2">
      <c r="S567" s="1"/>
      <c r="T567" s="109"/>
      <c r="W567" s="130" t="str">
        <f t="shared" si="18"/>
        <v>1w</v>
      </c>
      <c r="X567" s="128">
        <f>_xll.qlCalendarAdvance(Calendar,X566,W567,"f",FALSE)</f>
        <v>43087</v>
      </c>
      <c r="Y567" s="131">
        <f>_xll.qlCalendarAdvance(Calendar,X567,NDays&amp;"D")</f>
        <v>43089</v>
      </c>
      <c r="Z567" s="132">
        <v>2.930747762883712E-3</v>
      </c>
      <c r="AA567" s="129">
        <v>2.6617345654766922E-3</v>
      </c>
    </row>
    <row r="568" spans="19:27" x14ac:dyDescent="0.2">
      <c r="S568" s="1"/>
      <c r="T568" s="109"/>
      <c r="W568" s="130" t="str">
        <f t="shared" si="18"/>
        <v>1w</v>
      </c>
      <c r="X568" s="128">
        <f>_xll.qlCalendarAdvance(Calendar,X567,W568,"f",FALSE)</f>
        <v>43096</v>
      </c>
      <c r="Y568" s="131">
        <f>_xll.qlCalendarAdvance(Calendar,X568,NDays&amp;"D")</f>
        <v>43098</v>
      </c>
      <c r="Z568" s="132">
        <v>2.9861691541537283E-3</v>
      </c>
      <c r="AA568" s="129">
        <v>2.7232161947443601E-3</v>
      </c>
    </row>
    <row r="569" spans="19:27" x14ac:dyDescent="0.2">
      <c r="S569" s="1"/>
      <c r="T569" s="109"/>
      <c r="W569" s="130" t="str">
        <f t="shared" si="18"/>
        <v>1w</v>
      </c>
      <c r="X569" s="128">
        <f>_xll.qlCalendarAdvance(Calendar,X568,W569,"f",FALSE)</f>
        <v>43103</v>
      </c>
      <c r="Y569" s="131">
        <f>_xll.qlCalendarAdvance(Calendar,X569,NDays&amp;"D")</f>
        <v>43105</v>
      </c>
      <c r="Z569" s="132">
        <v>3.0296612755860153E-3</v>
      </c>
      <c r="AA569" s="129">
        <v>2.7616233477889551E-3</v>
      </c>
    </row>
    <row r="570" spans="19:27" x14ac:dyDescent="0.2">
      <c r="S570" s="1"/>
      <c r="T570" s="109"/>
      <c r="W570" s="130" t="str">
        <f t="shared" si="18"/>
        <v>1w</v>
      </c>
      <c r="X570" s="128">
        <f>_xll.qlCalendarAdvance(Calendar,X569,W570,"f",FALSE)</f>
        <v>43110</v>
      </c>
      <c r="Y570" s="131">
        <f>_xll.qlCalendarAdvance(Calendar,X570,NDays&amp;"D")</f>
        <v>43112</v>
      </c>
      <c r="Z570" s="132">
        <v>3.0734916796042455E-3</v>
      </c>
      <c r="AA570" s="129">
        <v>2.8033236697577735E-3</v>
      </c>
    </row>
    <row r="571" spans="19:27" x14ac:dyDescent="0.2">
      <c r="S571" s="1"/>
      <c r="T571" s="109"/>
      <c r="W571" s="130" t="str">
        <f t="shared" si="18"/>
        <v>1w</v>
      </c>
      <c r="X571" s="128">
        <f>_xll.qlCalendarAdvance(Calendar,X570,W571,"f",FALSE)</f>
        <v>43117</v>
      </c>
      <c r="Y571" s="131">
        <f>_xll.qlCalendarAdvance(Calendar,X571,NDays&amp;"D")</f>
        <v>43119</v>
      </c>
      <c r="Z571" s="132">
        <v>3.1176603773097611E-3</v>
      </c>
      <c r="AA571" s="129">
        <v>2.8453615649493003E-3</v>
      </c>
    </row>
    <row r="572" spans="19:27" x14ac:dyDescent="0.2">
      <c r="S572" s="1"/>
      <c r="T572" s="109"/>
      <c r="W572" s="130" t="str">
        <f t="shared" si="18"/>
        <v>1w</v>
      </c>
      <c r="X572" s="128">
        <f>_xll.qlCalendarAdvance(Calendar,X571,W572,"f",FALSE)</f>
        <v>43124</v>
      </c>
      <c r="Y572" s="131">
        <f>_xll.qlCalendarAdvance(Calendar,X572,NDays&amp;"D")</f>
        <v>43126</v>
      </c>
      <c r="Z572" s="132">
        <v>3.1621673798900574E-3</v>
      </c>
      <c r="AA572" s="129">
        <v>2.8877370336566344E-3</v>
      </c>
    </row>
    <row r="573" spans="19:27" x14ac:dyDescent="0.2">
      <c r="S573" s="1"/>
      <c r="T573" s="109"/>
      <c r="W573" s="130" t="str">
        <f t="shared" si="18"/>
        <v>1w</v>
      </c>
      <c r="X573" s="128">
        <f>_xll.qlCalendarAdvance(Calendar,X572,W573,"f",FALSE)</f>
        <v>43131</v>
      </c>
      <c r="Y573" s="131">
        <f>_xll.qlCalendarAdvance(Calendar,X573,NDays&amp;"D")</f>
        <v>43133</v>
      </c>
      <c r="Z573" s="132">
        <v>3.2037325699136813E-3</v>
      </c>
      <c r="AA573" s="129">
        <v>2.9304500762794561E-3</v>
      </c>
    </row>
    <row r="574" spans="19:27" x14ac:dyDescent="0.2">
      <c r="S574" s="1"/>
      <c r="T574" s="109"/>
      <c r="W574" s="130" t="str">
        <f t="shared" si="18"/>
        <v>1w</v>
      </c>
      <c r="X574" s="128">
        <f>_xll.qlCalendarAdvance(Calendar,X573,W574,"f",FALSE)</f>
        <v>43138</v>
      </c>
      <c r="Y574" s="131">
        <f>_xll.qlCalendarAdvance(Calendar,X574,NDays&amp;"D")</f>
        <v>43140</v>
      </c>
      <c r="Z574" s="132">
        <v>3.2488916443836851E-3</v>
      </c>
      <c r="AA574" s="129">
        <v>2.9735006931375096E-3</v>
      </c>
    </row>
    <row r="575" spans="19:27" x14ac:dyDescent="0.2">
      <c r="S575" s="1"/>
      <c r="T575" s="109"/>
      <c r="W575" s="130" t="str">
        <f t="shared" si="18"/>
        <v>1w</v>
      </c>
      <c r="X575" s="128">
        <f>_xll.qlCalendarAdvance(Calendar,X574,W575,"f",FALSE)</f>
        <v>43145</v>
      </c>
      <c r="Y575" s="131">
        <f>_xll.qlCalendarAdvance(Calendar,X575,NDays&amp;"D")</f>
        <v>43147</v>
      </c>
      <c r="Z575" s="132">
        <v>3.2943889526218734E-3</v>
      </c>
      <c r="AA575" s="129">
        <v>3.01688888460383E-3</v>
      </c>
    </row>
    <row r="576" spans="19:27" x14ac:dyDescent="0.2">
      <c r="S576" s="1"/>
      <c r="T576" s="109"/>
      <c r="W576" s="130" t="str">
        <f t="shared" si="18"/>
        <v>1w</v>
      </c>
      <c r="X576" s="128">
        <f>_xll.qlCalendarAdvance(Calendar,X575,W576,"f",FALSE)</f>
        <v>43152</v>
      </c>
      <c r="Y576" s="131">
        <f>_xll.qlCalendarAdvance(Calendar,X576,NDays&amp;"D")</f>
        <v>43154</v>
      </c>
      <c r="Z576" s="132">
        <v>3.3402160810698566E-3</v>
      </c>
      <c r="AA576" s="129">
        <v>3.0606146511047427E-3</v>
      </c>
    </row>
    <row r="577" spans="19:27" x14ac:dyDescent="0.2">
      <c r="S577" s="1"/>
      <c r="T577" s="109"/>
      <c r="W577" s="130" t="str">
        <f t="shared" si="18"/>
        <v>1w</v>
      </c>
      <c r="X577" s="128">
        <f>_xll.qlCalendarAdvance(Calendar,X576,W577,"f",FALSE)</f>
        <v>43159</v>
      </c>
      <c r="Y577" s="131">
        <f>_xll.qlCalendarAdvance(Calendar,X577,NDays&amp;"D")</f>
        <v>43161</v>
      </c>
      <c r="Z577" s="132">
        <v>3.4032101133506213E-3</v>
      </c>
      <c r="AA577" s="129">
        <v>3.1046779929866375E-3</v>
      </c>
    </row>
    <row r="578" spans="19:27" x14ac:dyDescent="0.2">
      <c r="S578" s="1"/>
      <c r="T578" s="109"/>
      <c r="W578" s="130" t="str">
        <f t="shared" si="18"/>
        <v>1w</v>
      </c>
      <c r="X578" s="128">
        <f>_xll.qlCalendarAdvance(Calendar,X577,W578,"f",FALSE)</f>
        <v>43166</v>
      </c>
      <c r="Y578" s="131">
        <f>_xll.qlCalendarAdvance(Calendar,X578,NDays&amp;"D")</f>
        <v>43168</v>
      </c>
      <c r="Z578" s="132">
        <v>3.4497020364449606E-3</v>
      </c>
      <c r="AA578" s="129">
        <v>3.1490789105692585E-3</v>
      </c>
    </row>
    <row r="579" spans="19:27" x14ac:dyDescent="0.2">
      <c r="S579" s="1"/>
      <c r="T579" s="109"/>
      <c r="W579" s="130" t="str">
        <f t="shared" si="18"/>
        <v>1w</v>
      </c>
      <c r="X579" s="128">
        <f>_xll.qlCalendarAdvance(Calendar,X578,W579,"f",FALSE)</f>
        <v>43173</v>
      </c>
      <c r="Y579" s="131">
        <f>_xll.qlCalendarAdvance(Calendar,X579,NDays&amp;"D")</f>
        <v>43175</v>
      </c>
      <c r="Z579" s="132">
        <v>3.4964392320913553E-3</v>
      </c>
      <c r="AA579" s="129">
        <v>3.1938174042789313E-3</v>
      </c>
    </row>
    <row r="580" spans="19:27" x14ac:dyDescent="0.2">
      <c r="S580" s="1"/>
      <c r="T580" s="109"/>
      <c r="W580" s="130" t="str">
        <f t="shared" si="18"/>
        <v>1w</v>
      </c>
      <c r="X580" s="128">
        <f>_xll.qlCalendarAdvance(Calendar,X579,W580,"f",FALSE)</f>
        <v>43180</v>
      </c>
      <c r="Y580" s="131">
        <f>_xll.qlCalendarAdvance(Calendar,X580,NDays&amp;"D")</f>
        <v>43182</v>
      </c>
      <c r="Z580" s="132">
        <v>3.5433984214131077E-3</v>
      </c>
      <c r="AA580" s="129">
        <v>3.2388934744620457E-3</v>
      </c>
    </row>
    <row r="581" spans="19:27" x14ac:dyDescent="0.2">
      <c r="S581" s="1"/>
      <c r="T581" s="109"/>
      <c r="W581" s="130" t="str">
        <f t="shared" si="18"/>
        <v>1w</v>
      </c>
      <c r="X581" s="128">
        <f>_xll.qlCalendarAdvance(Calendar,X580,W581,"f",FALSE)</f>
        <v>43187</v>
      </c>
      <c r="Y581" s="131">
        <f>_xll.qlCalendarAdvance(Calendar,X581,NDays&amp;"D")</f>
        <v>43193</v>
      </c>
      <c r="Z581" s="132">
        <v>3.6073130303596076E-3</v>
      </c>
      <c r="AA581" s="129">
        <v>3.3038408361907301E-3</v>
      </c>
    </row>
    <row r="582" spans="19:27" x14ac:dyDescent="0.2">
      <c r="S582" s="1"/>
      <c r="T582" s="109"/>
      <c r="W582" s="130" t="str">
        <f t="shared" si="18"/>
        <v>1w</v>
      </c>
      <c r="X582" s="128">
        <f>_xll.qlCalendarAdvance(Calendar,X581,W582,"f",FALSE)</f>
        <v>43194</v>
      </c>
      <c r="Y582" s="131">
        <f>_xll.qlCalendarAdvance(Calendar,X582,NDays&amp;"D")</f>
        <v>43196</v>
      </c>
      <c r="Z582" s="132">
        <v>3.6276105182144846E-3</v>
      </c>
      <c r="AA582" s="129">
        <v>3.3300583458206745E-3</v>
      </c>
    </row>
    <row r="583" spans="19:27" x14ac:dyDescent="0.2">
      <c r="S583" s="1"/>
      <c r="T583" s="109"/>
      <c r="W583" s="130" t="str">
        <f t="shared" si="18"/>
        <v>1w</v>
      </c>
      <c r="X583" s="128">
        <f>_xll.qlCalendarAdvance(Calendar,X582,W583,"f",FALSE)</f>
        <v>43201</v>
      </c>
      <c r="Y583" s="131">
        <f>_xll.qlCalendarAdvance(Calendar,X583,NDays&amp;"D")</f>
        <v>43203</v>
      </c>
      <c r="Z583" s="132">
        <v>3.6750796896652255E-3</v>
      </c>
      <c r="AA583" s="129">
        <v>3.3761471477422589E-3</v>
      </c>
    </row>
    <row r="584" spans="19:27" x14ac:dyDescent="0.2">
      <c r="S584" s="1"/>
      <c r="T584" s="109"/>
      <c r="W584" s="130" t="str">
        <f t="shared" si="18"/>
        <v>1w</v>
      </c>
      <c r="X584" s="128">
        <f>_xll.qlCalendarAdvance(Calendar,X583,W584,"f",FALSE)</f>
        <v>43208</v>
      </c>
      <c r="Y584" s="131">
        <f>_xll.qlCalendarAdvance(Calendar,X584,NDays&amp;"D")</f>
        <v>43210</v>
      </c>
      <c r="Z584" s="132">
        <v>3.7226811047043539E-3</v>
      </c>
      <c r="AA584" s="129">
        <v>3.4225735277093605E-3</v>
      </c>
    </row>
    <row r="585" spans="19:27" x14ac:dyDescent="0.2">
      <c r="S585" s="1"/>
      <c r="T585" s="109"/>
      <c r="W585" s="130" t="str">
        <f t="shared" si="18"/>
        <v>1w</v>
      </c>
      <c r="X585" s="128">
        <f>_xll.qlCalendarAdvance(Calendar,X584,W585,"f",FALSE)</f>
        <v>43215</v>
      </c>
      <c r="Y585" s="131">
        <f>_xll.qlCalendarAdvance(Calendar,X585,NDays&amp;"D")</f>
        <v>43217</v>
      </c>
      <c r="Z585" s="132">
        <v>3.7703907118528199E-3</v>
      </c>
      <c r="AA585" s="129">
        <v>3.4693374860950144E-3</v>
      </c>
    </row>
    <row r="586" spans="19:27" x14ac:dyDescent="0.2">
      <c r="S586" s="1"/>
      <c r="T586" s="109"/>
      <c r="W586" s="130" t="str">
        <f t="shared" si="18"/>
        <v>1w</v>
      </c>
      <c r="X586" s="128">
        <f>_xll.qlCalendarAdvance(Calendar,X585,W586,"f",FALSE)</f>
        <v>43222</v>
      </c>
      <c r="Y586" s="131">
        <f>_xll.qlCalendarAdvance(Calendar,X586,NDays&amp;"D")</f>
        <v>43224</v>
      </c>
      <c r="Z586" s="132">
        <v>3.8285116673626154E-3</v>
      </c>
      <c r="AA586" s="129">
        <v>3.5164390232722553E-3</v>
      </c>
    </row>
    <row r="587" spans="19:27" x14ac:dyDescent="0.2">
      <c r="S587" s="1"/>
      <c r="T587" s="109"/>
      <c r="W587" s="130" t="str">
        <f t="shared" si="18"/>
        <v>1w</v>
      </c>
      <c r="X587" s="128">
        <f>_xll.qlCalendarAdvance(Calendar,X586,W587,"f",FALSE)</f>
        <v>43229</v>
      </c>
      <c r="Y587" s="131">
        <f>_xll.qlCalendarAdvance(Calendar,X587,NDays&amp;"D")</f>
        <v>43231</v>
      </c>
      <c r="Z587" s="132">
        <v>3.8763729100516888E-3</v>
      </c>
      <c r="AA587" s="129">
        <v>3.5638781396940544E-3</v>
      </c>
    </row>
    <row r="588" spans="19:27" x14ac:dyDescent="0.2">
      <c r="S588" s="1"/>
      <c r="T588" s="109"/>
      <c r="W588" s="130" t="str">
        <f t="shared" si="18"/>
        <v>1w</v>
      </c>
      <c r="X588" s="128">
        <f>_xll.qlCalendarAdvance(Calendar,X587,W588,"f",FALSE)</f>
        <v>43236</v>
      </c>
      <c r="Y588" s="131">
        <f>_xll.qlCalendarAdvance(Calendar,X588,NDays&amp;"D")</f>
        <v>43238</v>
      </c>
      <c r="Z588" s="132">
        <v>3.9242705991959781E-3</v>
      </c>
      <c r="AA588" s="129">
        <v>3.6115560017790926E-3</v>
      </c>
    </row>
    <row r="589" spans="19:27" x14ac:dyDescent="0.2">
      <c r="S589" s="1"/>
      <c r="T589" s="109"/>
      <c r="W589" s="130" t="str">
        <f t="shared" si="18"/>
        <v>1w</v>
      </c>
      <c r="X589" s="128">
        <f>_xll.qlCalendarAdvance(Calendar,X588,W589,"f",FALSE)</f>
        <v>43243</v>
      </c>
      <c r="Y589" s="131">
        <f>_xll.qlCalendarAdvance(Calendar,X589,NDays&amp;"D")</f>
        <v>43245</v>
      </c>
      <c r="Z589" s="132">
        <v>3.9721943358006252E-3</v>
      </c>
      <c r="AA589" s="129">
        <v>3.6592685655723045E-3</v>
      </c>
    </row>
    <row r="590" spans="19:27" x14ac:dyDescent="0.2">
      <c r="S590" s="1"/>
      <c r="T590" s="109"/>
      <c r="W590" s="130" t="str">
        <f t="shared" si="18"/>
        <v>1w</v>
      </c>
      <c r="X590" s="128">
        <f>_xll.qlCalendarAdvance(Calendar,X589,W590,"f",FALSE)</f>
        <v>43250</v>
      </c>
      <c r="Y590" s="131">
        <f>_xll.qlCalendarAdvance(Calendar,X590,NDays&amp;"D")</f>
        <v>43252</v>
      </c>
      <c r="Z590" s="132">
        <v>4.0201438152633311E-3</v>
      </c>
      <c r="AA590" s="129">
        <v>3.70700626653786E-3</v>
      </c>
    </row>
    <row r="591" spans="19:27" x14ac:dyDescent="0.2">
      <c r="S591" s="1"/>
      <c r="T591" s="109"/>
      <c r="W591" s="130" t="str">
        <f t="shared" si="18"/>
        <v>1w</v>
      </c>
      <c r="X591" s="128">
        <f>_xll.qlCalendarAdvance(Calendar,X590,W591,"f",FALSE)</f>
        <v>43257</v>
      </c>
      <c r="Y591" s="131">
        <f>_xll.qlCalendarAdvance(Calendar,X591,NDays&amp;"D")</f>
        <v>43259</v>
      </c>
      <c r="Z591" s="132">
        <v>4.068119038535674E-3</v>
      </c>
      <c r="AA591" s="129">
        <v>3.7547691047024045E-3</v>
      </c>
    </row>
    <row r="592" spans="19:27" x14ac:dyDescent="0.2">
      <c r="S592" s="1"/>
      <c r="T592" s="109"/>
      <c r="W592" s="130" t="str">
        <f t="shared" si="18"/>
        <v>1w</v>
      </c>
      <c r="X592" s="128">
        <f>_xll.qlCalendarAdvance(Calendar,X591,W592,"f",FALSE)</f>
        <v>43264</v>
      </c>
      <c r="Y592" s="131">
        <f>_xll.qlCalendarAdvance(Calendar,X592,NDays&amp;"D")</f>
        <v>43266</v>
      </c>
      <c r="Z592" s="132">
        <v>4.1161200065700848E-3</v>
      </c>
      <c r="AA592" s="129">
        <v>3.8025570800659381E-3</v>
      </c>
    </row>
    <row r="593" spans="19:27" x14ac:dyDescent="0.2">
      <c r="S593" s="1"/>
      <c r="T593" s="109"/>
      <c r="W593" s="130" t="str">
        <f t="shared" si="18"/>
        <v>1w</v>
      </c>
      <c r="X593" s="128">
        <f>_xll.qlCalendarAdvance(Calendar,X592,W593,"f",FALSE)</f>
        <v>43271</v>
      </c>
      <c r="Y593" s="131">
        <f>_xll.qlCalendarAdvance(Calendar,X593,NDays&amp;"D")</f>
        <v>43273</v>
      </c>
      <c r="Z593" s="132">
        <v>4.1641467203164398E-3</v>
      </c>
      <c r="AA593" s="129">
        <v>3.8503701927083966E-3</v>
      </c>
    </row>
    <row r="594" spans="19:27" x14ac:dyDescent="0.2">
      <c r="S594" s="1"/>
      <c r="T594" s="109"/>
      <c r="W594" s="130" t="str">
        <f t="shared" si="18"/>
        <v>1w</v>
      </c>
      <c r="X594" s="128">
        <f>_xll.qlCalendarAdvance(Calendar,X593,W594,"f",FALSE)</f>
        <v>43278</v>
      </c>
      <c r="Y594" s="131">
        <f>_xll.qlCalendarAdvance(Calendar,X594,NDays&amp;"D")</f>
        <v>43280</v>
      </c>
      <c r="Z594" s="132">
        <v>4.2018146521870421E-3</v>
      </c>
      <c r="AA594" s="129">
        <v>3.8982084426297803E-3</v>
      </c>
    </row>
    <row r="595" spans="19:27" x14ac:dyDescent="0.2">
      <c r="S595" s="1"/>
      <c r="T595" s="109"/>
      <c r="W595" s="130" t="str">
        <f t="shared" si="18"/>
        <v>1w</v>
      </c>
      <c r="X595" s="128">
        <f>_xll.qlCalendarAdvance(Calendar,X594,W595,"f",FALSE)</f>
        <v>43285</v>
      </c>
      <c r="Y595" s="131">
        <f>_xll.qlCalendarAdvance(Calendar,X595,NDays&amp;"D")</f>
        <v>43287</v>
      </c>
      <c r="Z595" s="132">
        <v>4.2602773887589563E-3</v>
      </c>
      <c r="AA595" s="129">
        <v>3.9460718298567343E-3</v>
      </c>
    </row>
    <row r="596" spans="19:27" x14ac:dyDescent="0.2">
      <c r="S596" s="1"/>
      <c r="T596" s="109"/>
      <c r="W596" s="130" t="str">
        <f t="shared" si="18"/>
        <v>1w</v>
      </c>
      <c r="X596" s="128">
        <f>_xll.qlCalendarAdvance(Calendar,X595,W596,"f",FALSE)</f>
        <v>43292</v>
      </c>
      <c r="Y596" s="131">
        <f>_xll.qlCalendarAdvance(Calendar,X596,NDays&amp;"D")</f>
        <v>43294</v>
      </c>
      <c r="Z596" s="132">
        <v>4.3083813453608276E-3</v>
      </c>
      <c r="AA596" s="129">
        <v>3.9939603544159041E-3</v>
      </c>
    </row>
    <row r="597" spans="19:27" x14ac:dyDescent="0.2">
      <c r="S597" s="1"/>
      <c r="T597" s="109"/>
      <c r="W597" s="130" t="str">
        <f t="shared" ref="W597:W660" si="19">W596</f>
        <v>1w</v>
      </c>
      <c r="X597" s="128">
        <f>_xll.qlCalendarAdvance(Calendar,X596,W597,"f",FALSE)</f>
        <v>43299</v>
      </c>
      <c r="Y597" s="131">
        <f>_xll.qlCalendarAdvance(Calendar,X597,NDays&amp;"D")</f>
        <v>43301</v>
      </c>
      <c r="Z597" s="132">
        <v>4.356511051488615E-3</v>
      </c>
      <c r="AA597" s="129">
        <v>4.0418740163605804E-3</v>
      </c>
    </row>
    <row r="598" spans="19:27" x14ac:dyDescent="0.2">
      <c r="S598" s="1"/>
      <c r="T598" s="109"/>
      <c r="W598" s="130" t="str">
        <f t="shared" si="19"/>
        <v>1w</v>
      </c>
      <c r="X598" s="128">
        <f>_xll.qlCalendarAdvance(Calendar,X597,W598,"f",FALSE)</f>
        <v>43306</v>
      </c>
      <c r="Y598" s="131">
        <f>_xll.qlCalendarAdvance(Calendar,X598,NDays&amp;"D")</f>
        <v>43308</v>
      </c>
      <c r="Z598" s="132">
        <v>4.4046665080981484E-3</v>
      </c>
      <c r="AA598" s="129">
        <v>4.0898128157174085E-3</v>
      </c>
    </row>
    <row r="599" spans="19:27" x14ac:dyDescent="0.2">
      <c r="S599" s="1"/>
      <c r="T599" s="109"/>
      <c r="W599" s="130" t="str">
        <f t="shared" si="19"/>
        <v>1w</v>
      </c>
      <c r="X599" s="128">
        <f>_xll.qlCalendarAdvance(Calendar,X598,W599,"f",FALSE)</f>
        <v>43313</v>
      </c>
      <c r="Y599" s="131">
        <f>_xll.qlCalendarAdvance(Calendar,X599,NDays&amp;"D")</f>
        <v>43315</v>
      </c>
      <c r="Z599" s="132">
        <v>4.4528477161418596E-3</v>
      </c>
      <c r="AA599" s="129">
        <v>4.1377767524863884E-3</v>
      </c>
    </row>
    <row r="600" spans="19:27" x14ac:dyDescent="0.2">
      <c r="S600" s="1"/>
      <c r="T600" s="109"/>
      <c r="W600" s="130" t="str">
        <f t="shared" si="19"/>
        <v>1w</v>
      </c>
      <c r="X600" s="128">
        <f>_xll.qlCalendarAdvance(Calendar,X599,W600,"f",FALSE)</f>
        <v>43320</v>
      </c>
      <c r="Y600" s="131">
        <f>_xll.qlCalendarAdvance(Calendar,X600,NDays&amp;"D")</f>
        <v>43322</v>
      </c>
      <c r="Z600" s="132">
        <v>4.5010546765772786E-3</v>
      </c>
      <c r="AA600" s="129">
        <v>4.1857658267208109E-3</v>
      </c>
    </row>
    <row r="601" spans="19:27" x14ac:dyDescent="0.2">
      <c r="S601" s="1"/>
      <c r="T601" s="109"/>
      <c r="W601" s="130" t="str">
        <f t="shared" si="19"/>
        <v>1w</v>
      </c>
      <c r="X601" s="128">
        <f>_xll.qlCalendarAdvance(Calendar,X600,W601,"f",FALSE)</f>
        <v>43327</v>
      </c>
      <c r="Y601" s="131">
        <f>_xll.qlCalendarAdvance(Calendar,X601,NDays&amp;"D")</f>
        <v>43329</v>
      </c>
      <c r="Z601" s="132">
        <v>4.5492873903593863E-3</v>
      </c>
      <c r="AA601" s="129">
        <v>4.2337800384739666E-3</v>
      </c>
    </row>
    <row r="602" spans="19:27" x14ac:dyDescent="0.2">
      <c r="S602" s="1"/>
      <c r="T602" s="109"/>
      <c r="W602" s="130" t="str">
        <f t="shared" si="19"/>
        <v>1w</v>
      </c>
      <c r="X602" s="128">
        <f>_xll.qlCalendarAdvance(Calendar,X601,W602,"f",FALSE)</f>
        <v>43334</v>
      </c>
      <c r="Y602" s="131">
        <f>_xll.qlCalendarAdvance(Calendar,X602,NDays&amp;"D")</f>
        <v>43336</v>
      </c>
      <c r="Z602" s="132">
        <v>4.5975458584465662E-3</v>
      </c>
      <c r="AA602" s="129">
        <v>4.2818193877192101E-3</v>
      </c>
    </row>
    <row r="603" spans="19:27" x14ac:dyDescent="0.2">
      <c r="S603" s="1"/>
      <c r="T603" s="109"/>
      <c r="W603" s="130" t="str">
        <f t="shared" si="19"/>
        <v>1w</v>
      </c>
      <c r="X603" s="128">
        <f>_xll.qlCalendarAdvance(Calendar,X602,W603,"f",FALSE)</f>
        <v>43341</v>
      </c>
      <c r="Y603" s="131">
        <f>_xll.qlCalendarAdvance(Calendar,X603,NDays&amp;"D")</f>
        <v>43343</v>
      </c>
      <c r="Z603" s="132">
        <v>4.6353799317362197E-3</v>
      </c>
      <c r="AA603" s="129">
        <v>4.329883874563123E-3</v>
      </c>
    </row>
    <row r="604" spans="19:27" x14ac:dyDescent="0.2">
      <c r="S604" s="1"/>
      <c r="T604" s="109"/>
      <c r="W604" s="130" t="str">
        <f t="shared" si="19"/>
        <v>1w</v>
      </c>
      <c r="X604" s="128">
        <f>_xll.qlCalendarAdvance(Calendar,X603,W604,"f",FALSE)</f>
        <v>43348</v>
      </c>
      <c r="Y604" s="131">
        <f>_xll.qlCalendarAdvance(Calendar,X604,NDays&amp;"D")</f>
        <v>43350</v>
      </c>
      <c r="Z604" s="132">
        <v>4.6836825173870297E-3</v>
      </c>
      <c r="AA604" s="129">
        <v>4.377973498925769E-3</v>
      </c>
    </row>
    <row r="605" spans="19:27" x14ac:dyDescent="0.2">
      <c r="S605" s="1"/>
      <c r="T605" s="109"/>
      <c r="W605" s="130" t="str">
        <f t="shared" si="19"/>
        <v>1w</v>
      </c>
      <c r="X605" s="128">
        <f>_xll.qlCalendarAdvance(Calendar,X604,W605,"f",FALSE)</f>
        <v>43355</v>
      </c>
      <c r="Y605" s="131">
        <f>_xll.qlCalendarAdvance(Calendar,X605,NDays&amp;"D")</f>
        <v>43357</v>
      </c>
      <c r="Z605" s="132">
        <v>4.7320108395760155E-3</v>
      </c>
      <c r="AA605" s="129">
        <v>4.4260882609670205E-3</v>
      </c>
    </row>
    <row r="606" spans="19:27" x14ac:dyDescent="0.2">
      <c r="S606" s="1"/>
      <c r="T606" s="109"/>
      <c r="W606" s="130" t="str">
        <f t="shared" si="19"/>
        <v>1w</v>
      </c>
      <c r="X606" s="128">
        <f>_xll.qlCalendarAdvance(Calendar,X605,W606,"f",FALSE)</f>
        <v>43362</v>
      </c>
      <c r="Y606" s="131">
        <f>_xll.qlCalendarAdvance(Calendar,X606,NDays&amp;"D")</f>
        <v>43364</v>
      </c>
      <c r="Z606" s="132">
        <v>4.7803648992290303E-3</v>
      </c>
      <c r="AA606" s="129">
        <v>4.4742281606069412E-3</v>
      </c>
    </row>
    <row r="607" spans="19:27" x14ac:dyDescent="0.2">
      <c r="S607" s="1"/>
      <c r="T607" s="109"/>
      <c r="W607" s="130" t="str">
        <f t="shared" si="19"/>
        <v>1w</v>
      </c>
      <c r="X607" s="128">
        <f>_xll.qlCalendarAdvance(Calendar,X606,W607,"f",FALSE)</f>
        <v>43369</v>
      </c>
      <c r="Y607" s="131">
        <f>_xll.qlCalendarAdvance(Calendar,X607,NDays&amp;"D")</f>
        <v>43371</v>
      </c>
      <c r="Z607" s="132">
        <v>4.8392245469551474E-3</v>
      </c>
      <c r="AA607" s="129">
        <v>4.5223931979254672E-3</v>
      </c>
    </row>
    <row r="608" spans="19:27" x14ac:dyDescent="0.2">
      <c r="S608" s="1"/>
      <c r="T608" s="109"/>
      <c r="W608" s="130" t="str">
        <f t="shared" si="19"/>
        <v>1w</v>
      </c>
      <c r="X608" s="128">
        <f>_xll.qlCalendarAdvance(Calendar,X607,W608,"f",FALSE)</f>
        <v>43376</v>
      </c>
      <c r="Y608" s="131">
        <f>_xll.qlCalendarAdvance(Calendar,X608,NDays&amp;"D")</f>
        <v>43378</v>
      </c>
      <c r="Z608" s="132">
        <v>4.8876375609826278E-3</v>
      </c>
      <c r="AA608" s="129">
        <v>4.5705833729758893E-3</v>
      </c>
    </row>
    <row r="609" spans="19:27" x14ac:dyDescent="0.2">
      <c r="S609" s="1"/>
      <c r="T609" s="109"/>
      <c r="W609" s="130" t="str">
        <f t="shared" si="19"/>
        <v>1w</v>
      </c>
      <c r="X609" s="128">
        <f>_xll.qlCalendarAdvance(Calendar,X608,W609,"f",FALSE)</f>
        <v>43383</v>
      </c>
      <c r="Y609" s="131">
        <f>_xll.qlCalendarAdvance(Calendar,X609,NDays&amp;"D")</f>
        <v>43385</v>
      </c>
      <c r="Z609" s="132">
        <v>4.9360763360247065E-3</v>
      </c>
      <c r="AA609" s="129">
        <v>4.6187986857582075E-3</v>
      </c>
    </row>
    <row r="610" spans="19:27" x14ac:dyDescent="0.2">
      <c r="S610" s="1"/>
      <c r="T610" s="109"/>
      <c r="W610" s="130" t="str">
        <f t="shared" si="19"/>
        <v>1w</v>
      </c>
      <c r="X610" s="128">
        <f>_xll.qlCalendarAdvance(Calendar,X609,W610,"f",FALSE)</f>
        <v>43390</v>
      </c>
      <c r="Y610" s="131">
        <f>_xll.qlCalendarAdvance(Calendar,X610,NDays&amp;"D")</f>
        <v>43392</v>
      </c>
      <c r="Z610" s="132">
        <v>4.9845408730431664E-3</v>
      </c>
      <c r="AA610" s="129">
        <v>4.6670391362990671E-3</v>
      </c>
    </row>
    <row r="611" spans="19:27" x14ac:dyDescent="0.2">
      <c r="S611" s="1"/>
      <c r="T611" s="109"/>
      <c r="W611" s="130" t="str">
        <f t="shared" si="19"/>
        <v>1w</v>
      </c>
      <c r="X611" s="128">
        <f>_xll.qlCalendarAdvance(Calendar,X610,W611,"f",FALSE)</f>
        <v>43397</v>
      </c>
      <c r="Y611" s="131">
        <f>_xll.qlCalendarAdvance(Calendar,X611,NDays&amp;"D")</f>
        <v>43399</v>
      </c>
      <c r="Z611" s="132">
        <v>5.0330311729989419E-3</v>
      </c>
      <c r="AA611" s="129">
        <v>4.7153047246251134E-3</v>
      </c>
    </row>
    <row r="612" spans="19:27" x14ac:dyDescent="0.2">
      <c r="S612" s="1"/>
      <c r="T612" s="109"/>
      <c r="W612" s="130" t="str">
        <f t="shared" si="19"/>
        <v>1w</v>
      </c>
      <c r="X612" s="128">
        <f>_xll.qlCalendarAdvance(Calendar,X611,W612,"f",FALSE)</f>
        <v>43404</v>
      </c>
      <c r="Y612" s="131">
        <f>_xll.qlCalendarAdvance(Calendar,X612,NDays&amp;"D")</f>
        <v>43406</v>
      </c>
      <c r="Z612" s="132">
        <v>5.0815472368512657E-3</v>
      </c>
      <c r="AA612" s="129">
        <v>4.7635954507629918E-3</v>
      </c>
    </row>
    <row r="613" spans="19:27" x14ac:dyDescent="0.2">
      <c r="S613" s="1"/>
      <c r="T613" s="109"/>
      <c r="W613" s="130" t="str">
        <f t="shared" si="19"/>
        <v>1w</v>
      </c>
      <c r="X613" s="128">
        <f>_xll.qlCalendarAdvance(Calendar,X612,W613,"f",FALSE)</f>
        <v>43411</v>
      </c>
      <c r="Y613" s="131">
        <f>_xll.qlCalendarAdvance(Calendar,X613,NDays&amp;"D")</f>
        <v>43413</v>
      </c>
      <c r="Z613" s="132">
        <v>5.130089065567024E-3</v>
      </c>
      <c r="AA613" s="129">
        <v>4.8119113147926384E-3</v>
      </c>
    </row>
    <row r="614" spans="19:27" x14ac:dyDescent="0.2">
      <c r="S614" s="1"/>
      <c r="T614" s="109"/>
      <c r="W614" s="130" t="str">
        <f t="shared" si="19"/>
        <v>1w</v>
      </c>
      <c r="X614" s="128">
        <f>_xll.qlCalendarAdvance(Calendar,X613,W614,"f",FALSE)</f>
        <v>43418</v>
      </c>
      <c r="Y614" s="131">
        <f>_xll.qlCalendarAdvance(Calendar,X614,NDays&amp;"D")</f>
        <v>43420</v>
      </c>
      <c r="Z614" s="132">
        <v>5.1786566601054488E-3</v>
      </c>
      <c r="AA614" s="129">
        <v>4.8602523166874079E-3</v>
      </c>
    </row>
    <row r="615" spans="19:27" x14ac:dyDescent="0.2">
      <c r="S615" s="1"/>
      <c r="T615" s="109"/>
      <c r="W615" s="130" t="str">
        <f t="shared" si="19"/>
        <v>1w</v>
      </c>
      <c r="X615" s="128">
        <f>_xll.qlCalendarAdvance(Calendar,X614,W615,"f",FALSE)</f>
        <v>43425</v>
      </c>
      <c r="Y615" s="131">
        <f>_xll.qlCalendarAdvance(Calendar,X615,NDays&amp;"D")</f>
        <v>43427</v>
      </c>
      <c r="Z615" s="132">
        <v>5.2272500214308754E-3</v>
      </c>
      <c r="AA615" s="129">
        <v>4.9086184565272362E-3</v>
      </c>
    </row>
    <row r="616" spans="19:27" x14ac:dyDescent="0.2">
      <c r="S616" s="1"/>
      <c r="T616" s="109"/>
      <c r="W616" s="130" t="str">
        <f t="shared" si="19"/>
        <v>1w</v>
      </c>
      <c r="X616" s="128">
        <f>_xll.qlCalendarAdvance(Calendar,X615,W616,"f",FALSE)</f>
        <v>43432</v>
      </c>
      <c r="Y616" s="131">
        <f>_xll.qlCalendarAdvance(Calendar,X616,NDays&amp;"D")</f>
        <v>43434</v>
      </c>
      <c r="Z616" s="132">
        <v>5.2618058499680487E-3</v>
      </c>
      <c r="AA616" s="129">
        <v>4.957009734285478E-3</v>
      </c>
    </row>
    <row r="617" spans="19:27" x14ac:dyDescent="0.2">
      <c r="S617" s="1"/>
      <c r="T617" s="109"/>
      <c r="W617" s="130" t="str">
        <f t="shared" si="19"/>
        <v>1w</v>
      </c>
      <c r="X617" s="128">
        <f>_xll.qlCalendarAdvance(Calendar,X616,W617,"f",FALSE)</f>
        <v>43439</v>
      </c>
      <c r="Y617" s="131">
        <f>_xll.qlCalendarAdvance(Calendar,X617,NDays&amp;"D")</f>
        <v>43441</v>
      </c>
      <c r="Z617" s="132">
        <v>5.3104405302315527E-3</v>
      </c>
      <c r="AA617" s="129">
        <v>5.0054261500420694E-3</v>
      </c>
    </row>
    <row r="618" spans="19:27" x14ac:dyDescent="0.2">
      <c r="S618" s="1"/>
      <c r="T618" s="109"/>
      <c r="W618" s="130" t="str">
        <f t="shared" si="19"/>
        <v>1w</v>
      </c>
      <c r="X618" s="128">
        <f>_xll.qlCalendarAdvance(Calendar,X617,W618,"f",FALSE)</f>
        <v>43446</v>
      </c>
      <c r="Y618" s="131">
        <f>_xll.qlCalendarAdvance(Calendar,X618,NDays&amp;"D")</f>
        <v>43448</v>
      </c>
      <c r="Z618" s="132">
        <v>5.3591009521190003E-3</v>
      </c>
      <c r="AA618" s="129">
        <v>5.053867703770365E-3</v>
      </c>
    </row>
    <row r="619" spans="19:27" x14ac:dyDescent="0.2">
      <c r="S619" s="1"/>
      <c r="T619" s="109"/>
      <c r="W619" s="130" t="str">
        <f t="shared" si="19"/>
        <v>1w</v>
      </c>
      <c r="X619" s="128">
        <f>_xll.qlCalendarAdvance(Calendar,X618,W619,"f",FALSE)</f>
        <v>43453</v>
      </c>
      <c r="Y619" s="131">
        <f>_xll.qlCalendarAdvance(Calendar,X619,NDays&amp;"D")</f>
        <v>43455</v>
      </c>
      <c r="Z619" s="132">
        <v>5.4077871165540969E-3</v>
      </c>
      <c r="AA619" s="129">
        <v>5.1023343955769462E-3</v>
      </c>
    </row>
    <row r="620" spans="19:27" x14ac:dyDescent="0.2">
      <c r="S620" s="1"/>
      <c r="T620" s="109"/>
      <c r="W620" s="130" t="str">
        <f t="shared" si="19"/>
        <v>1w</v>
      </c>
      <c r="X620" s="128">
        <f>_xll.qlCalendarAdvance(Calendar,X619,W620,"f",FALSE)</f>
        <v>43461</v>
      </c>
      <c r="Y620" s="131">
        <f>_xll.qlCalendarAdvance(Calendar,X620,NDays&amp;"D")</f>
        <v>43465</v>
      </c>
      <c r="Z620" s="132">
        <v>5.4703307395112784E-3</v>
      </c>
      <c r="AA620" s="129">
        <v>5.1681136252135218E-3</v>
      </c>
    </row>
    <row r="621" spans="19:27" x14ac:dyDescent="0.2">
      <c r="S621" s="1"/>
      <c r="T621" s="109"/>
      <c r="W621" s="130" t="str">
        <f t="shared" si="19"/>
        <v>1w</v>
      </c>
      <c r="X621" s="128">
        <f>_xll.qlCalendarAdvance(Calendar,X620,W621,"f",FALSE)</f>
        <v>43468</v>
      </c>
      <c r="Y621" s="131">
        <f>_xll.qlCalendarAdvance(Calendar,X621,NDays&amp;"D")</f>
        <v>43472</v>
      </c>
      <c r="Z621" s="132">
        <v>5.5296614768478901E-3</v>
      </c>
      <c r="AA621" s="129">
        <v>5.2131341391703501E-3</v>
      </c>
    </row>
    <row r="622" spans="19:27" x14ac:dyDescent="0.2">
      <c r="S622" s="1"/>
      <c r="T622" s="109"/>
      <c r="W622" s="130" t="str">
        <f t="shared" si="19"/>
        <v>1w</v>
      </c>
      <c r="X622" s="128">
        <f>_xll.qlCalendarAdvance(Calendar,X621,W622,"f",FALSE)</f>
        <v>43475</v>
      </c>
      <c r="Y622" s="131">
        <f>_xll.qlCalendarAdvance(Calendar,X622,NDays&amp;"D")</f>
        <v>43479</v>
      </c>
      <c r="Z622" s="132">
        <v>5.5784384995272657E-3</v>
      </c>
      <c r="AA622" s="129">
        <v>5.261682015049729E-3</v>
      </c>
    </row>
    <row r="623" spans="19:27" x14ac:dyDescent="0.2">
      <c r="S623" s="1"/>
      <c r="T623" s="109"/>
      <c r="W623" s="130" t="str">
        <f t="shared" si="19"/>
        <v>1w</v>
      </c>
      <c r="X623" s="128">
        <f>_xll.qlCalendarAdvance(Calendar,X622,W623,"f",FALSE)</f>
        <v>43482</v>
      </c>
      <c r="Y623" s="131">
        <f>_xll.qlCalendarAdvance(Calendar,X623,NDays&amp;"D")</f>
        <v>43486</v>
      </c>
      <c r="Z623" s="132">
        <v>5.6307761024336671E-3</v>
      </c>
      <c r="AA623" s="129">
        <v>5.3102550151518102E-3</v>
      </c>
    </row>
    <row r="624" spans="19:27" x14ac:dyDescent="0.2">
      <c r="S624" s="1"/>
      <c r="T624" s="109"/>
      <c r="W624" s="130" t="str">
        <f t="shared" si="19"/>
        <v>1w</v>
      </c>
      <c r="X624" s="128">
        <f>_xll.qlCalendarAdvance(Calendar,X623,W624,"f",FALSE)</f>
        <v>43489</v>
      </c>
      <c r="Y624" s="131">
        <f>_xll.qlCalendarAdvance(Calendar,X624,NDays&amp;"D")</f>
        <v>43493</v>
      </c>
      <c r="Z624" s="132">
        <v>5.67606980696407E-3</v>
      </c>
      <c r="AA624" s="129">
        <v>5.3588531397164019E-3</v>
      </c>
    </row>
    <row r="625" spans="19:27" x14ac:dyDescent="0.2">
      <c r="S625" s="1"/>
      <c r="T625" s="109"/>
      <c r="W625" s="130" t="str">
        <f t="shared" si="19"/>
        <v>1w</v>
      </c>
      <c r="X625" s="128">
        <f>_xll.qlCalendarAdvance(Calendar,X624,W625,"f",FALSE)</f>
        <v>43496</v>
      </c>
      <c r="Y625" s="131">
        <f>_xll.qlCalendarAdvance(Calendar,X625,NDays&amp;"D")</f>
        <v>43500</v>
      </c>
      <c r="Z625" s="132">
        <v>5.7249240935960434E-3</v>
      </c>
      <c r="AA625" s="129">
        <v>5.4074763885836319E-3</v>
      </c>
    </row>
    <row r="626" spans="19:27" x14ac:dyDescent="0.2">
      <c r="S626" s="1"/>
      <c r="T626" s="109"/>
      <c r="W626" s="130" t="str">
        <f t="shared" si="19"/>
        <v>1w</v>
      </c>
      <c r="X626" s="128">
        <f>_xll.qlCalendarAdvance(Calendar,X625,W626,"f",FALSE)</f>
        <v>43503</v>
      </c>
      <c r="Y626" s="131">
        <f>_xll.qlCalendarAdvance(Calendar,X626,NDays&amp;"D")</f>
        <v>43507</v>
      </c>
      <c r="Z626" s="132">
        <v>5.7738041367537208E-3</v>
      </c>
      <c r="AA626" s="129">
        <v>5.4561247617535003E-3</v>
      </c>
    </row>
    <row r="627" spans="19:27" x14ac:dyDescent="0.2">
      <c r="S627" s="1"/>
      <c r="T627" s="109"/>
      <c r="W627" s="130" t="str">
        <f t="shared" si="19"/>
        <v>1w</v>
      </c>
      <c r="X627" s="128">
        <f>_xll.qlCalendarAdvance(Calendar,X626,W627,"f",FALSE)</f>
        <v>43510</v>
      </c>
      <c r="Y627" s="131">
        <f>_xll.qlCalendarAdvance(Calendar,X627,NDays&amp;"D")</f>
        <v>43514</v>
      </c>
      <c r="Z627" s="132">
        <v>5.8227088811300511E-3</v>
      </c>
      <c r="AA627" s="129">
        <v>5.5047982593858791E-3</v>
      </c>
    </row>
    <row r="628" spans="19:27" x14ac:dyDescent="0.2">
      <c r="S628" s="1"/>
      <c r="T628" s="109"/>
      <c r="W628" s="130" t="str">
        <f t="shared" si="19"/>
        <v>1w</v>
      </c>
      <c r="X628" s="128">
        <f>_xll.qlCalendarAdvance(Calendar,X627,W628,"f",FALSE)</f>
        <v>43517</v>
      </c>
      <c r="Y628" s="131">
        <f>_xll.qlCalendarAdvance(Calendar,X628,NDays&amp;"D")</f>
        <v>43521</v>
      </c>
      <c r="Z628" s="132">
        <v>5.8716330463291335E-3</v>
      </c>
      <c r="AA628" s="129">
        <v>5.5534968814008323E-3</v>
      </c>
    </row>
    <row r="629" spans="19:27" x14ac:dyDescent="0.2">
      <c r="S629" s="1"/>
      <c r="T629" s="109"/>
      <c r="W629" s="130" t="str">
        <f t="shared" si="19"/>
        <v>1w</v>
      </c>
      <c r="X629" s="128">
        <f>_xll.qlCalendarAdvance(Calendar,X628,W629,"f",FALSE)</f>
        <v>43524</v>
      </c>
      <c r="Y629" s="131">
        <f>_xll.qlCalendarAdvance(Calendar,X629,NDays&amp;"D")</f>
        <v>43528</v>
      </c>
      <c r="Z629" s="132">
        <v>5.9241169504197369E-3</v>
      </c>
      <c r="AA629" s="129">
        <v>5.6022206277184239E-3</v>
      </c>
    </row>
    <row r="630" spans="19:27" x14ac:dyDescent="0.2">
      <c r="S630" s="1"/>
      <c r="T630" s="109"/>
      <c r="W630" s="130" t="str">
        <f t="shared" si="19"/>
        <v>1w</v>
      </c>
      <c r="X630" s="128">
        <f>_xll.qlCalendarAdvance(Calendar,X629,W630,"f",FALSE)</f>
        <v>43531</v>
      </c>
      <c r="Y630" s="131">
        <f>_xll.qlCalendarAdvance(Calendar,X630,NDays&amp;"D")</f>
        <v>43535</v>
      </c>
      <c r="Z630" s="132">
        <v>5.9730608207328815E-3</v>
      </c>
      <c r="AA630" s="129">
        <v>5.650969498578462E-3</v>
      </c>
    </row>
    <row r="631" spans="19:27" x14ac:dyDescent="0.2">
      <c r="S631" s="1"/>
      <c r="T631" s="109"/>
      <c r="W631" s="130" t="str">
        <f t="shared" si="19"/>
        <v>1w</v>
      </c>
      <c r="X631" s="128">
        <f>_xll.qlCalendarAdvance(Calendar,X630,W631,"f",FALSE)</f>
        <v>43538</v>
      </c>
      <c r="Y631" s="131">
        <f>_xll.qlCalendarAdvance(Calendar,X631,NDays&amp;"D")</f>
        <v>43542</v>
      </c>
      <c r="Z631" s="132">
        <v>6.0220044867546601E-3</v>
      </c>
      <c r="AA631" s="129">
        <v>5.6997434937411384E-3</v>
      </c>
    </row>
    <row r="632" spans="19:27" x14ac:dyDescent="0.2">
      <c r="S632" s="1"/>
      <c r="T632" s="109"/>
      <c r="W632" s="130" t="str">
        <f t="shared" si="19"/>
        <v>1w</v>
      </c>
      <c r="X632" s="128">
        <f>_xll.qlCalendarAdvance(Calendar,X631,W632,"f",FALSE)</f>
        <v>43545</v>
      </c>
      <c r="Y632" s="131">
        <f>_xll.qlCalendarAdvance(Calendar,X632,NDays&amp;"D")</f>
        <v>43549</v>
      </c>
      <c r="Z632" s="132">
        <v>6.0709416793754923E-3</v>
      </c>
      <c r="AA632" s="129">
        <v>5.7485426133663253E-3</v>
      </c>
    </row>
    <row r="633" spans="19:27" x14ac:dyDescent="0.2">
      <c r="S633" s="1"/>
      <c r="T633" s="109"/>
      <c r="W633" s="130" t="str">
        <f t="shared" si="19"/>
        <v>1w</v>
      </c>
      <c r="X633" s="128">
        <f>_xll.qlCalendarAdvance(Calendar,X632,W633,"f",FALSE)</f>
        <v>43552</v>
      </c>
      <c r="Y633" s="131">
        <f>_xll.qlCalendarAdvance(Calendar,X633,NDays&amp;"D")</f>
        <v>43556</v>
      </c>
      <c r="Z633" s="132">
        <v>6.1163233811724537E-3</v>
      </c>
      <c r="AA633" s="129">
        <v>5.7973668573740866E-3</v>
      </c>
    </row>
    <row r="634" spans="19:27" x14ac:dyDescent="0.2">
      <c r="S634" s="1"/>
      <c r="T634" s="109"/>
      <c r="W634" s="130" t="str">
        <f t="shared" si="19"/>
        <v>1w</v>
      </c>
      <c r="X634" s="128">
        <f>_xll.qlCalendarAdvance(Calendar,X633,W634,"f",FALSE)</f>
        <v>43559</v>
      </c>
      <c r="Y634" s="131">
        <f>_xll.qlCalendarAdvance(Calendar,X634,NDays&amp;"D")</f>
        <v>43563</v>
      </c>
      <c r="Z634" s="132">
        <v>6.1652309848317047E-3</v>
      </c>
      <c r="AA634" s="129">
        <v>5.8462162259242945E-3</v>
      </c>
    </row>
    <row r="635" spans="19:27" x14ac:dyDescent="0.2">
      <c r="S635" s="1"/>
      <c r="T635" s="109"/>
      <c r="W635" s="130" t="str">
        <f t="shared" si="19"/>
        <v>1w</v>
      </c>
      <c r="X635" s="128">
        <f>_xll.qlCalendarAdvance(Calendar,X634,W635,"f",FALSE)</f>
        <v>43566</v>
      </c>
      <c r="Y635" s="131">
        <f>_xll.qlCalendarAdvance(Calendar,X635,NDays&amp;"D")</f>
        <v>43570</v>
      </c>
      <c r="Z635" s="132">
        <v>6.2141136442350631E-3</v>
      </c>
      <c r="AA635" s="129">
        <v>5.8950907188570767E-3</v>
      </c>
    </row>
    <row r="636" spans="19:27" x14ac:dyDescent="0.2">
      <c r="S636" s="1"/>
      <c r="T636" s="109"/>
      <c r="W636" s="130" t="str">
        <f t="shared" si="19"/>
        <v>1w</v>
      </c>
      <c r="X636" s="128">
        <f>_xll.qlCalendarAdvance(Calendar,X635,W636,"f",FALSE)</f>
        <v>43573</v>
      </c>
      <c r="Y636" s="131">
        <f>_xll.qlCalendarAdvance(Calendar,X636,NDays&amp;"D")</f>
        <v>43579</v>
      </c>
      <c r="Z636" s="132">
        <v>6.2769159232000243E-3</v>
      </c>
      <c r="AA636" s="129">
        <v>5.9579662702624603E-3</v>
      </c>
    </row>
    <row r="637" spans="19:27" x14ac:dyDescent="0.2">
      <c r="S637" s="1"/>
      <c r="T637" s="109"/>
      <c r="W637" s="130" t="str">
        <f t="shared" si="19"/>
        <v>1w</v>
      </c>
      <c r="X637" s="128">
        <f>_xll.qlCalendarAdvance(Calendar,X636,W637,"f",FALSE)</f>
        <v>43580</v>
      </c>
      <c r="Y637" s="131">
        <f>_xll.qlCalendarAdvance(Calendar,X637,NDays&amp;"D")</f>
        <v>43584</v>
      </c>
      <c r="Z637" s="132">
        <v>6.3117787734813966E-3</v>
      </c>
      <c r="AA637" s="129">
        <v>5.9929150781901086E-3</v>
      </c>
    </row>
    <row r="638" spans="19:27" x14ac:dyDescent="0.2">
      <c r="S638" s="1"/>
      <c r="T638" s="109"/>
      <c r="W638" s="130" t="str">
        <f t="shared" si="19"/>
        <v>1w</v>
      </c>
      <c r="X638" s="128">
        <f>_xll.qlCalendarAdvance(Calendar,X637,W638,"f",FALSE)</f>
        <v>43587</v>
      </c>
      <c r="Y638" s="131">
        <f>_xll.qlCalendarAdvance(Calendar,X638,NDays&amp;"D")</f>
        <v>43591</v>
      </c>
      <c r="Z638" s="132">
        <v>6.3640777838959023E-3</v>
      </c>
      <c r="AA638" s="129">
        <v>6.0418649446702943E-3</v>
      </c>
    </row>
    <row r="639" spans="19:27" x14ac:dyDescent="0.2">
      <c r="S639" s="1"/>
      <c r="T639" s="109"/>
      <c r="W639" s="130" t="str">
        <f t="shared" si="19"/>
        <v>1w</v>
      </c>
      <c r="X639" s="128">
        <f>_xll.qlCalendarAdvance(Calendar,X638,W639,"f",FALSE)</f>
        <v>43594</v>
      </c>
      <c r="Y639" s="131">
        <f>_xll.qlCalendarAdvance(Calendar,X639,NDays&amp;"D")</f>
        <v>43598</v>
      </c>
      <c r="Z639" s="132">
        <v>6.4127941012682085E-3</v>
      </c>
      <c r="AA639" s="129">
        <v>6.0908396556769162E-3</v>
      </c>
    </row>
    <row r="640" spans="19:27" x14ac:dyDescent="0.2">
      <c r="S640" s="1"/>
      <c r="T640" s="109"/>
      <c r="W640" s="130" t="str">
        <f t="shared" si="19"/>
        <v>1w</v>
      </c>
      <c r="X640" s="128">
        <f>_xll.qlCalendarAdvance(Calendar,X639,W640,"f",FALSE)</f>
        <v>43601</v>
      </c>
      <c r="Y640" s="131">
        <f>_xll.qlCalendarAdvance(Calendar,X640,NDays&amp;"D")</f>
        <v>43605</v>
      </c>
      <c r="Z640" s="132">
        <v>6.4614548260412954E-3</v>
      </c>
      <c r="AA640" s="129">
        <v>6.1397927610862268E-3</v>
      </c>
    </row>
    <row r="641" spans="19:27" x14ac:dyDescent="0.2">
      <c r="S641" s="1"/>
      <c r="T641" s="109"/>
      <c r="W641" s="130" t="str">
        <f t="shared" si="19"/>
        <v>1w</v>
      </c>
      <c r="X641" s="128">
        <f>_xll.qlCalendarAdvance(Calendar,X640,W641,"f",FALSE)</f>
        <v>43608</v>
      </c>
      <c r="Y641" s="131">
        <f>_xll.qlCalendarAdvance(Calendar,X641,NDays&amp;"D")</f>
        <v>43612</v>
      </c>
      <c r="Z641" s="132">
        <v>6.510058911164021E-3</v>
      </c>
      <c r="AA641" s="129">
        <v>6.1886887234852139E-3</v>
      </c>
    </row>
    <row r="642" spans="19:27" x14ac:dyDescent="0.2">
      <c r="S642" s="1"/>
      <c r="T642" s="109"/>
      <c r="W642" s="130" t="str">
        <f t="shared" si="19"/>
        <v>1w</v>
      </c>
      <c r="X642" s="128">
        <f>_xll.qlCalendarAdvance(Calendar,X641,W642,"f",FALSE)</f>
        <v>43615</v>
      </c>
      <c r="Y642" s="131">
        <f>_xll.qlCalendarAdvance(Calendar,X642,NDays&amp;"D")</f>
        <v>43619</v>
      </c>
      <c r="Z642" s="132">
        <v>6.5586063545137359E-3</v>
      </c>
      <c r="AA642" s="129">
        <v>6.2375275427939414E-3</v>
      </c>
    </row>
    <row r="643" spans="19:27" x14ac:dyDescent="0.2">
      <c r="S643" s="1"/>
      <c r="T643" s="109"/>
      <c r="W643" s="130" t="str">
        <f t="shared" si="19"/>
        <v>1w</v>
      </c>
      <c r="X643" s="128">
        <f>_xll.qlCalendarAdvance(Calendar,X642,W643,"f",FALSE)</f>
        <v>43622</v>
      </c>
      <c r="Y643" s="131">
        <f>_xll.qlCalendarAdvance(Calendar,X643,NDays&amp;"D")</f>
        <v>43626</v>
      </c>
      <c r="Z643" s="132">
        <v>6.6070971539721338E-3</v>
      </c>
      <c r="AA643" s="129">
        <v>6.2863092189324732E-3</v>
      </c>
    </row>
    <row r="644" spans="19:27" x14ac:dyDescent="0.2">
      <c r="S644" s="1"/>
      <c r="T644" s="109"/>
      <c r="W644" s="130" t="str">
        <f t="shared" si="19"/>
        <v>1w</v>
      </c>
      <c r="X644" s="128">
        <f>_xll.qlCalendarAdvance(Calendar,X643,W644,"f",FALSE)</f>
        <v>43629</v>
      </c>
      <c r="Y644" s="131">
        <f>_xll.qlCalendarAdvance(Calendar,X644,NDays&amp;"D")</f>
        <v>43633</v>
      </c>
      <c r="Z644" s="132">
        <v>6.65553130742091E-3</v>
      </c>
      <c r="AA644" s="129">
        <v>6.3350337520606814E-3</v>
      </c>
    </row>
    <row r="645" spans="19:27" x14ac:dyDescent="0.2">
      <c r="S645" s="1"/>
      <c r="T645" s="109"/>
      <c r="W645" s="130" t="str">
        <f t="shared" si="19"/>
        <v>1w</v>
      </c>
      <c r="X645" s="128">
        <f>_xll.qlCalendarAdvance(Calendar,X644,W645,"f",FALSE)</f>
        <v>43636</v>
      </c>
      <c r="Y645" s="131">
        <f>_xll.qlCalendarAdvance(Calendar,X645,NDays&amp;"D")</f>
        <v>43640</v>
      </c>
      <c r="Z645" s="132">
        <v>6.7039088127461028E-3</v>
      </c>
      <c r="AA645" s="129">
        <v>6.38370114209863E-3</v>
      </c>
    </row>
    <row r="646" spans="19:27" x14ac:dyDescent="0.2">
      <c r="S646" s="1"/>
      <c r="T646" s="109"/>
      <c r="W646" s="130" t="str">
        <f t="shared" si="19"/>
        <v>1w</v>
      </c>
      <c r="X646" s="128">
        <f>_xll.qlCalendarAdvance(Calendar,X645,W646,"f",FALSE)</f>
        <v>43643</v>
      </c>
      <c r="Y646" s="131">
        <f>_xll.qlCalendarAdvance(Calendar,X646,NDays&amp;"D")</f>
        <v>43647</v>
      </c>
      <c r="Z646" s="132">
        <v>6.7522296678346203E-3</v>
      </c>
      <c r="AA646" s="129">
        <v>6.4323113888864469E-3</v>
      </c>
    </row>
    <row r="647" spans="19:27" x14ac:dyDescent="0.2">
      <c r="S647" s="1"/>
      <c r="T647" s="109"/>
      <c r="W647" s="130" t="str">
        <f t="shared" si="19"/>
        <v>1w</v>
      </c>
      <c r="X647" s="128">
        <f>_xll.qlCalendarAdvance(Calendar,X646,W647,"f",FALSE)</f>
        <v>43650</v>
      </c>
      <c r="Y647" s="131">
        <f>_xll.qlCalendarAdvance(Calendar,X647,NDays&amp;"D")</f>
        <v>43654</v>
      </c>
      <c r="Z647" s="132">
        <v>6.8004938705785827E-3</v>
      </c>
      <c r="AA647" s="129">
        <v>6.4808644926639403E-3</v>
      </c>
    </row>
    <row r="648" spans="19:27" x14ac:dyDescent="0.2">
      <c r="S648" s="1"/>
      <c r="T648" s="109"/>
      <c r="W648" s="130" t="str">
        <f t="shared" si="19"/>
        <v>1w</v>
      </c>
      <c r="X648" s="128">
        <f>_xll.qlCalendarAdvance(Calendar,X647,W648,"f",FALSE)</f>
        <v>43657</v>
      </c>
      <c r="Y648" s="131">
        <f>_xll.qlCalendarAdvance(Calendar,X648,NDays&amp;"D")</f>
        <v>43661</v>
      </c>
      <c r="Z648" s="132">
        <v>6.8487014188675045E-3</v>
      </c>
      <c r="AA648" s="129">
        <v>6.5293604531913019E-3</v>
      </c>
    </row>
    <row r="649" spans="19:27" x14ac:dyDescent="0.2">
      <c r="S649" s="1"/>
      <c r="T649" s="109"/>
      <c r="W649" s="130" t="str">
        <f t="shared" si="19"/>
        <v>1w</v>
      </c>
      <c r="X649" s="128">
        <f>_xll.qlCalendarAdvance(Calendar,X648,W649,"f",FALSE)</f>
        <v>43664</v>
      </c>
      <c r="Y649" s="131">
        <f>_xll.qlCalendarAdvance(Calendar,X649,NDays&amp;"D")</f>
        <v>43668</v>
      </c>
      <c r="Z649" s="132">
        <v>6.8968523105995896E-3</v>
      </c>
      <c r="AA649" s="129">
        <v>6.5777992704685317E-3</v>
      </c>
    </row>
    <row r="650" spans="19:27" x14ac:dyDescent="0.2">
      <c r="S650" s="1"/>
      <c r="T650" s="109"/>
      <c r="W650" s="130" t="str">
        <f t="shared" si="19"/>
        <v>1w</v>
      </c>
      <c r="X650" s="128">
        <f>_xll.qlCalendarAdvance(Calendar,X649,W650,"f",FALSE)</f>
        <v>43671</v>
      </c>
      <c r="Y650" s="131">
        <f>_xll.qlCalendarAdvance(Calendar,X650,NDays&amp;"D")</f>
        <v>43675</v>
      </c>
      <c r="Z650" s="132">
        <v>6.9449465436704329E-3</v>
      </c>
      <c r="AA650" s="129">
        <v>6.6261809444956299E-3</v>
      </c>
    </row>
    <row r="651" spans="19:27" x14ac:dyDescent="0.2">
      <c r="S651" s="1"/>
      <c r="T651" s="109"/>
      <c r="W651" s="130" t="str">
        <f t="shared" si="19"/>
        <v>1w</v>
      </c>
      <c r="X651" s="128">
        <f>_xll.qlCalendarAdvance(Calendar,X650,W651,"f",FALSE)</f>
        <v>43678</v>
      </c>
      <c r="Y651" s="131">
        <f>_xll.qlCalendarAdvance(Calendar,X651,NDays&amp;"D")</f>
        <v>43682</v>
      </c>
      <c r="Z651" s="132">
        <v>6.9929841159817145E-3</v>
      </c>
      <c r="AA651" s="129">
        <v>6.6745054752725963E-3</v>
      </c>
    </row>
    <row r="652" spans="19:27" x14ac:dyDescent="0.2">
      <c r="S652" s="1"/>
      <c r="T652" s="109"/>
      <c r="W652" s="130" t="str">
        <f t="shared" si="19"/>
        <v>1w</v>
      </c>
      <c r="X652" s="128">
        <f>_xll.qlCalendarAdvance(Calendar,X651,W652,"f",FALSE)</f>
        <v>43685</v>
      </c>
      <c r="Y652" s="131">
        <f>_xll.qlCalendarAdvance(Calendar,X652,NDays&amp;"D")</f>
        <v>43689</v>
      </c>
      <c r="Z652" s="132">
        <v>7.040965025434243E-3</v>
      </c>
      <c r="AA652" s="129">
        <v>6.722772862799431E-3</v>
      </c>
    </row>
    <row r="653" spans="19:27" x14ac:dyDescent="0.2">
      <c r="S653" s="1"/>
      <c r="T653" s="109"/>
      <c r="W653" s="130" t="str">
        <f t="shared" si="19"/>
        <v>1w</v>
      </c>
      <c r="X653" s="128">
        <f>_xll.qlCalendarAdvance(Calendar,X652,W653,"f",FALSE)</f>
        <v>43692</v>
      </c>
      <c r="Y653" s="131">
        <f>_xll.qlCalendarAdvance(Calendar,X653,NDays&amp;"D")</f>
        <v>43696</v>
      </c>
      <c r="Z653" s="132">
        <v>7.0888892699331723E-3</v>
      </c>
      <c r="AA653" s="129">
        <v>6.7709831069961979E-3</v>
      </c>
    </row>
    <row r="654" spans="19:27" x14ac:dyDescent="0.2">
      <c r="S654" s="1"/>
      <c r="T654" s="109"/>
      <c r="W654" s="130" t="str">
        <f t="shared" si="19"/>
        <v>1w</v>
      </c>
      <c r="X654" s="128">
        <f>_xll.qlCalendarAdvance(Calendar,X653,W654,"f",FALSE)</f>
        <v>43699</v>
      </c>
      <c r="Y654" s="131">
        <f>_xll.qlCalendarAdvance(Calendar,X654,NDays&amp;"D")</f>
        <v>43703</v>
      </c>
      <c r="Z654" s="132">
        <v>7.1367568473880011E-3</v>
      </c>
      <c r="AA654" s="129">
        <v>6.819136207862897E-3</v>
      </c>
    </row>
    <row r="655" spans="19:27" x14ac:dyDescent="0.2">
      <c r="S655" s="1"/>
      <c r="T655" s="109"/>
      <c r="W655" s="130" t="str">
        <f t="shared" si="19"/>
        <v>1w</v>
      </c>
      <c r="X655" s="128">
        <f>_xll.qlCalendarAdvance(Calendar,X654,W655,"f",FALSE)</f>
        <v>43706</v>
      </c>
      <c r="Y655" s="131">
        <f>_xll.qlCalendarAdvance(Calendar,X655,NDays&amp;"D")</f>
        <v>43710</v>
      </c>
      <c r="Z655" s="132">
        <v>7.1810919000498035E-3</v>
      </c>
      <c r="AA655" s="129">
        <v>6.8672321653195922E-3</v>
      </c>
    </row>
    <row r="656" spans="19:27" x14ac:dyDescent="0.2">
      <c r="S656" s="1"/>
      <c r="T656" s="109"/>
      <c r="W656" s="130" t="str">
        <f t="shared" si="19"/>
        <v>1w</v>
      </c>
      <c r="X656" s="128">
        <f>_xll.qlCalendarAdvance(Calendar,X655,W656,"f",FALSE)</f>
        <v>43713</v>
      </c>
      <c r="Y656" s="131">
        <f>_xll.qlCalendarAdvance(Calendar,X656,NDays&amp;"D")</f>
        <v>43717</v>
      </c>
      <c r="Z656" s="132">
        <v>7.2288492303195489E-3</v>
      </c>
      <c r="AA656" s="129">
        <v>6.9152709795261558E-3</v>
      </c>
    </row>
    <row r="657" spans="19:27" x14ac:dyDescent="0.2">
      <c r="S657" s="1"/>
      <c r="T657" s="109"/>
      <c r="W657" s="130" t="str">
        <f t="shared" si="19"/>
        <v>1w</v>
      </c>
      <c r="X657" s="128">
        <f>_xll.qlCalendarAdvance(Calendar,X656,W657,"f",FALSE)</f>
        <v>43720</v>
      </c>
      <c r="Y657" s="131">
        <f>_xll.qlCalendarAdvance(Calendar,X657,NDays&amp;"D")</f>
        <v>43724</v>
      </c>
      <c r="Z657" s="132">
        <v>7.2765498822507874E-3</v>
      </c>
      <c r="AA657" s="129">
        <v>6.9632526501628433E-3</v>
      </c>
    </row>
    <row r="658" spans="19:27" x14ac:dyDescent="0.2">
      <c r="S658" s="1"/>
      <c r="T658" s="109"/>
      <c r="W658" s="130" t="str">
        <f t="shared" si="19"/>
        <v>1w</v>
      </c>
      <c r="X658" s="128">
        <f>_xll.qlCalendarAdvance(Calendar,X657,W658,"f",FALSE)</f>
        <v>43727</v>
      </c>
      <c r="Y658" s="131">
        <f>_xll.qlCalendarAdvance(Calendar,X658,NDays&amp;"D")</f>
        <v>43731</v>
      </c>
      <c r="Z658" s="132">
        <v>7.3241938537827516E-3</v>
      </c>
      <c r="AA658" s="129">
        <v>7.0111771775493992E-3</v>
      </c>
    </row>
    <row r="659" spans="19:27" x14ac:dyDescent="0.2">
      <c r="S659" s="1"/>
      <c r="T659" s="109"/>
      <c r="W659" s="130" t="str">
        <f t="shared" si="19"/>
        <v>1w</v>
      </c>
      <c r="X659" s="128">
        <f>_xll.qlCalendarAdvance(Calendar,X658,W659,"f",FALSE)</f>
        <v>43734</v>
      </c>
      <c r="Y659" s="131">
        <f>_xll.qlCalendarAdvance(Calendar,X659,NDays&amp;"D")</f>
        <v>43738</v>
      </c>
      <c r="Z659" s="132">
        <v>7.375244655902587E-3</v>
      </c>
      <c r="AA659" s="129">
        <v>7.0590445613660791E-3</v>
      </c>
    </row>
    <row r="660" spans="19:27" x14ac:dyDescent="0.2">
      <c r="S660" s="1"/>
      <c r="T660" s="109"/>
      <c r="W660" s="130" t="str">
        <f t="shared" si="19"/>
        <v>1w</v>
      </c>
      <c r="X660" s="128">
        <f>_xll.qlCalendarAdvance(Calendar,X659,W660,"f",FALSE)</f>
        <v>43741</v>
      </c>
      <c r="Y660" s="131">
        <f>_xll.qlCalendarAdvance(Calendar,X660,NDays&amp;"D")</f>
        <v>43745</v>
      </c>
      <c r="Z660" s="132">
        <v>7.4227721872756882E-3</v>
      </c>
      <c r="AA660" s="129">
        <v>7.1068548017727551E-3</v>
      </c>
    </row>
    <row r="661" spans="19:27" x14ac:dyDescent="0.2">
      <c r="S661" s="1"/>
      <c r="T661" s="109"/>
      <c r="W661" s="130" t="str">
        <f t="shared" ref="W661:W724" si="20">W660</f>
        <v>1w</v>
      </c>
      <c r="X661" s="128">
        <f>_xll.qlCalendarAdvance(Calendar,X660,W661,"f",FALSE)</f>
        <v>43748</v>
      </c>
      <c r="Y661" s="131">
        <f>_xll.qlCalendarAdvance(Calendar,X661,NDays&amp;"D")</f>
        <v>43752</v>
      </c>
      <c r="Z661" s="132">
        <v>7.4702430370241785E-3</v>
      </c>
      <c r="AA661" s="129">
        <v>7.1546078986894912E-3</v>
      </c>
    </row>
    <row r="662" spans="19:27" x14ac:dyDescent="0.2">
      <c r="S662" s="1"/>
      <c r="T662" s="109"/>
      <c r="W662" s="130" t="str">
        <f t="shared" si="20"/>
        <v>1w</v>
      </c>
      <c r="X662" s="128">
        <f>_xll.qlCalendarAdvance(Calendar,X661,W662,"f",FALSE)</f>
        <v>43755</v>
      </c>
      <c r="Y662" s="131">
        <f>_xll.qlCalendarAdvance(Calendar,X662,NDays&amp;"D")</f>
        <v>43759</v>
      </c>
      <c r="Z662" s="132">
        <v>7.5176572030749332E-3</v>
      </c>
      <c r="AA662" s="129">
        <v>7.2023038521162874E-3</v>
      </c>
    </row>
    <row r="663" spans="19:27" x14ac:dyDescent="0.2">
      <c r="S663" s="1"/>
      <c r="T663" s="109"/>
      <c r="W663" s="130" t="str">
        <f t="shared" si="20"/>
        <v>1w</v>
      </c>
      <c r="X663" s="128">
        <f>_xll.qlCalendarAdvance(Calendar,X662,W663,"f",FALSE)</f>
        <v>43762</v>
      </c>
      <c r="Y663" s="131">
        <f>_xll.qlCalendarAdvance(Calendar,X663,NDays&amp;"D")</f>
        <v>43766</v>
      </c>
      <c r="Z663" s="132">
        <v>7.5650146833556968E-3</v>
      </c>
      <c r="AA663" s="129">
        <v>7.2499426618932716E-3</v>
      </c>
    </row>
    <row r="664" spans="19:27" x14ac:dyDescent="0.2">
      <c r="S664" s="1"/>
      <c r="T664" s="109"/>
      <c r="W664" s="130" t="str">
        <f t="shared" si="20"/>
        <v>1w</v>
      </c>
      <c r="X664" s="128">
        <f>_xll.qlCalendarAdvance(Calendar,X663,W664,"f",FALSE)</f>
        <v>43769</v>
      </c>
      <c r="Y664" s="131">
        <f>_xll.qlCalendarAdvance(Calendar,X664,NDays&amp;"D")</f>
        <v>43773</v>
      </c>
      <c r="Z664" s="132">
        <v>7.6123154758020338E-3</v>
      </c>
      <c r="AA664" s="129">
        <v>7.297524328260252E-3</v>
      </c>
    </row>
    <row r="665" spans="19:27" x14ac:dyDescent="0.2">
      <c r="S665" s="1"/>
      <c r="T665" s="109"/>
      <c r="W665" s="130" t="str">
        <f t="shared" si="20"/>
        <v>1w</v>
      </c>
      <c r="X665" s="128">
        <f>_xll.qlCalendarAdvance(Calendar,X664,W665,"f",FALSE)</f>
        <v>43776</v>
      </c>
      <c r="Y665" s="131">
        <f>_xll.qlCalendarAdvance(Calendar,X665,NDays&amp;"D")</f>
        <v>43780</v>
      </c>
      <c r="Z665" s="132">
        <v>7.6595595783451641E-3</v>
      </c>
      <c r="AA665" s="129">
        <v>7.3450488509774203E-3</v>
      </c>
    </row>
    <row r="666" spans="19:27" x14ac:dyDescent="0.2">
      <c r="S666" s="1"/>
      <c r="T666" s="109"/>
      <c r="W666" s="130" t="str">
        <f t="shared" si="20"/>
        <v>1w</v>
      </c>
      <c r="X666" s="128">
        <f>_xll.qlCalendarAdvance(Calendar,X665,W666,"f",FALSE)</f>
        <v>43783</v>
      </c>
      <c r="Y666" s="131">
        <f>_xll.qlCalendarAdvance(Calendar,X666,NDays&amp;"D")</f>
        <v>43787</v>
      </c>
      <c r="Z666" s="132">
        <v>7.7067469889241279E-3</v>
      </c>
      <c r="AA666" s="129">
        <v>7.3925162301247127E-3</v>
      </c>
    </row>
    <row r="667" spans="19:27" x14ac:dyDescent="0.2">
      <c r="S667" s="1"/>
      <c r="T667" s="109"/>
      <c r="W667" s="130" t="str">
        <f t="shared" si="20"/>
        <v>1w</v>
      </c>
      <c r="X667" s="128">
        <f>_xll.qlCalendarAdvance(Calendar,X666,W667,"f",FALSE)</f>
        <v>43790</v>
      </c>
      <c r="Y667" s="131">
        <f>_xll.qlCalendarAdvance(Calendar,X667,NDays&amp;"D")</f>
        <v>43794</v>
      </c>
      <c r="Z667" s="132">
        <v>7.7538777054762271E-3</v>
      </c>
      <c r="AA667" s="129">
        <v>7.439926465542257E-3</v>
      </c>
    </row>
    <row r="668" spans="19:27" x14ac:dyDescent="0.2">
      <c r="S668" s="1"/>
      <c r="T668" s="109"/>
      <c r="W668" s="130" t="str">
        <f t="shared" si="20"/>
        <v>1w</v>
      </c>
      <c r="X668" s="128">
        <f>_xll.qlCalendarAdvance(Calendar,X667,W668,"f",FALSE)</f>
        <v>43797</v>
      </c>
      <c r="Y668" s="131">
        <f>_xll.qlCalendarAdvance(Calendar,X668,NDays&amp;"D")</f>
        <v>43801</v>
      </c>
      <c r="Z668" s="132">
        <v>7.7975156955799492E-3</v>
      </c>
      <c r="AA668" s="129">
        <v>7.4872795573899253E-3</v>
      </c>
    </row>
    <row r="669" spans="19:27" x14ac:dyDescent="0.2">
      <c r="S669" s="1"/>
      <c r="T669" s="109"/>
      <c r="W669" s="130" t="str">
        <f t="shared" si="20"/>
        <v>1w</v>
      </c>
      <c r="X669" s="128">
        <f>_xll.qlCalendarAdvance(Calendar,X668,W669,"f",FALSE)</f>
        <v>43804</v>
      </c>
      <c r="Y669" s="131">
        <f>_xll.qlCalendarAdvance(Calendar,X669,NDays&amp;"D")</f>
        <v>43808</v>
      </c>
      <c r="Z669" s="132">
        <v>7.8445360474276686E-3</v>
      </c>
      <c r="AA669" s="129">
        <v>7.5345755055877817E-3</v>
      </c>
    </row>
    <row r="670" spans="19:27" x14ac:dyDescent="0.2">
      <c r="S670" s="1"/>
      <c r="T670" s="109"/>
      <c r="W670" s="130" t="str">
        <f t="shared" si="20"/>
        <v>1w</v>
      </c>
      <c r="X670" s="128">
        <f>_xll.qlCalendarAdvance(Calendar,X669,W670,"f",FALSE)</f>
        <v>43811</v>
      </c>
      <c r="Y670" s="131">
        <f>_xll.qlCalendarAdvance(Calendar,X670,NDays&amp;"D")</f>
        <v>43815</v>
      </c>
      <c r="Z670" s="132">
        <v>7.8914996943427705E-3</v>
      </c>
      <c r="AA670" s="129">
        <v>7.5818143100558899E-3</v>
      </c>
    </row>
    <row r="671" spans="19:27" x14ac:dyDescent="0.2">
      <c r="S671" s="1"/>
      <c r="T671" s="109"/>
      <c r="W671" s="130" t="str">
        <f t="shared" si="20"/>
        <v>1w</v>
      </c>
      <c r="X671" s="128">
        <f>_xll.qlCalendarAdvance(Calendar,X670,W671,"f",FALSE)</f>
        <v>43818</v>
      </c>
      <c r="Y671" s="131">
        <f>_xll.qlCalendarAdvance(Calendar,X671,NDays&amp;"D")</f>
        <v>43822</v>
      </c>
      <c r="Z671" s="132">
        <v>7.9384066342934739E-3</v>
      </c>
      <c r="AA671" s="129">
        <v>7.6289959707942501E-3</v>
      </c>
    </row>
    <row r="672" spans="19:27" x14ac:dyDescent="0.2">
      <c r="S672" s="1"/>
      <c r="T672" s="109"/>
      <c r="W672" s="130" t="str">
        <f t="shared" si="20"/>
        <v>1w</v>
      </c>
      <c r="X672" s="128">
        <f>_xll.qlCalendarAdvance(Calendar,X671,W672,"f",FALSE)</f>
        <v>43826</v>
      </c>
      <c r="Y672" s="131">
        <f>_xll.qlCalendarAdvance(Calendar,X672,NDays&amp;"D")</f>
        <v>43830</v>
      </c>
      <c r="Z672" s="132">
        <v>7.9919451259712719E-3</v>
      </c>
      <c r="AA672" s="129">
        <v>7.686293070898742E-3</v>
      </c>
    </row>
    <row r="673" spans="19:27" x14ac:dyDescent="0.2">
      <c r="S673" s="1"/>
      <c r="T673" s="109"/>
      <c r="W673" s="130" t="str">
        <f t="shared" si="20"/>
        <v>1w</v>
      </c>
      <c r="X673" s="128">
        <f>_xll.qlCalendarAdvance(Calendar,X672,W673,"f",FALSE)</f>
        <v>43833</v>
      </c>
      <c r="Y673" s="131">
        <f>_xll.qlCalendarAdvance(Calendar,X673,NDays&amp;"D")</f>
        <v>43837</v>
      </c>
      <c r="Z673" s="132">
        <v>8.0387305441833694E-3</v>
      </c>
      <c r="AA673" s="129">
        <v>7.7299071067216119E-3</v>
      </c>
    </row>
    <row r="674" spans="19:27" x14ac:dyDescent="0.2">
      <c r="S674" s="1"/>
      <c r="T674" s="109"/>
      <c r="W674" s="130" t="str">
        <f t="shared" si="20"/>
        <v>1w</v>
      </c>
      <c r="X674" s="128">
        <f>_xll.qlCalendarAdvance(Calendar,X673,W674,"f",FALSE)</f>
        <v>43840</v>
      </c>
      <c r="Y674" s="131">
        <f>_xll.qlCalendarAdvance(Calendar,X674,NDays&amp;"D")</f>
        <v>43844</v>
      </c>
      <c r="Z674" s="132">
        <v>8.0854592490721983E-3</v>
      </c>
      <c r="AA674" s="129">
        <v>7.7769091728807638E-3</v>
      </c>
    </row>
    <row r="675" spans="19:27" x14ac:dyDescent="0.2">
      <c r="S675" s="1"/>
      <c r="T675" s="109"/>
      <c r="W675" s="130" t="str">
        <f t="shared" si="20"/>
        <v>1w</v>
      </c>
      <c r="X675" s="128">
        <f>_xll.qlCalendarAdvance(Calendar,X674,W675,"f",FALSE)</f>
        <v>43847</v>
      </c>
      <c r="Y675" s="131">
        <f>_xll.qlCalendarAdvance(Calendar,X675,NDays&amp;"D")</f>
        <v>43851</v>
      </c>
      <c r="Z675" s="132">
        <v>8.132131238619153E-3</v>
      </c>
      <c r="AA675" s="129">
        <v>7.8238540950703594E-3</v>
      </c>
    </row>
    <row r="676" spans="19:27" x14ac:dyDescent="0.2">
      <c r="S676" s="1"/>
      <c r="T676" s="109"/>
      <c r="W676" s="130" t="str">
        <f t="shared" si="20"/>
        <v>1w</v>
      </c>
      <c r="X676" s="128">
        <f>_xll.qlCalendarAdvance(Calendar,X675,W676,"f",FALSE)</f>
        <v>43854</v>
      </c>
      <c r="Y676" s="131">
        <f>_xll.qlCalendarAdvance(Calendar,X676,NDays&amp;"D")</f>
        <v>43858</v>
      </c>
      <c r="Z676" s="132">
        <v>8.1787465108100216E-3</v>
      </c>
      <c r="AA676" s="129">
        <v>7.870741873530207E-3</v>
      </c>
    </row>
    <row r="677" spans="19:27" x14ac:dyDescent="0.2">
      <c r="S677" s="1"/>
      <c r="T677" s="109"/>
      <c r="W677" s="130" t="str">
        <f t="shared" si="20"/>
        <v>1w</v>
      </c>
      <c r="X677" s="128">
        <f>_xll.qlCalendarAdvance(Calendar,X676,W677,"f",FALSE)</f>
        <v>43861</v>
      </c>
      <c r="Y677" s="131">
        <f>_xll.qlCalendarAdvance(Calendar,X677,NDays&amp;"D")</f>
        <v>43865</v>
      </c>
      <c r="Z677" s="132">
        <v>8.2218963231266429E-3</v>
      </c>
      <c r="AA677" s="129">
        <v>7.9175725081004344E-3</v>
      </c>
    </row>
    <row r="678" spans="19:27" x14ac:dyDescent="0.2">
      <c r="S678" s="1"/>
      <c r="T678" s="109"/>
      <c r="W678" s="130" t="str">
        <f t="shared" si="20"/>
        <v>1w</v>
      </c>
      <c r="X678" s="128">
        <f>_xll.qlCalendarAdvance(Calendar,X677,W678,"f",FALSE)</f>
        <v>43868</v>
      </c>
      <c r="Y678" s="131">
        <f>_xll.qlCalendarAdvance(Calendar,X678,NDays&amp;"D")</f>
        <v>43872</v>
      </c>
      <c r="Z678" s="132">
        <v>8.2684011422360371E-3</v>
      </c>
      <c r="AA678" s="129">
        <v>7.9643459988609777E-3</v>
      </c>
    </row>
    <row r="679" spans="19:27" x14ac:dyDescent="0.2">
      <c r="S679" s="1"/>
      <c r="T679" s="109"/>
      <c r="W679" s="130" t="str">
        <f t="shared" si="20"/>
        <v>1w</v>
      </c>
      <c r="X679" s="128">
        <f>_xll.qlCalendarAdvance(Calendar,X678,W679,"f",FALSE)</f>
        <v>43875</v>
      </c>
      <c r="Y679" s="131">
        <f>_xll.qlCalendarAdvance(Calendar,X679,NDays&amp;"D")</f>
        <v>43879</v>
      </c>
      <c r="Z679" s="132">
        <v>8.3148495877800599E-3</v>
      </c>
      <c r="AA679" s="129">
        <v>8.0110623456519647E-3</v>
      </c>
    </row>
    <row r="680" spans="19:27" x14ac:dyDescent="0.2">
      <c r="S680" s="1"/>
      <c r="T680" s="109"/>
      <c r="W680" s="130" t="str">
        <f t="shared" si="20"/>
        <v>1w</v>
      </c>
      <c r="X680" s="128">
        <f>_xll.qlCalendarAdvance(Calendar,X679,W680,"f",FALSE)</f>
        <v>43882</v>
      </c>
      <c r="Y680" s="131">
        <f>_xll.qlCalendarAdvance(Calendar,X680,NDays&amp;"D")</f>
        <v>43886</v>
      </c>
      <c r="Z680" s="132">
        <v>8.3612454935426683E-3</v>
      </c>
      <c r="AA680" s="129">
        <v>8.0577215484733955E-3</v>
      </c>
    </row>
    <row r="681" spans="19:27" x14ac:dyDescent="0.2">
      <c r="S681" s="1"/>
      <c r="T681" s="109"/>
      <c r="W681" s="130" t="str">
        <f t="shared" si="20"/>
        <v>1w</v>
      </c>
      <c r="X681" s="128">
        <f>_xll.qlCalendarAdvance(Calendar,X680,W681,"f",FALSE)</f>
        <v>43889</v>
      </c>
      <c r="Y681" s="131">
        <f>_xll.qlCalendarAdvance(Calendar,X681,NDays&amp;"D")</f>
        <v>43893</v>
      </c>
      <c r="Z681" s="132">
        <v>8.4143943123328041E-3</v>
      </c>
      <c r="AA681" s="129">
        <v>8.1043236074052061E-3</v>
      </c>
    </row>
    <row r="682" spans="19:27" x14ac:dyDescent="0.2">
      <c r="S682" s="1"/>
      <c r="T682" s="109"/>
      <c r="W682" s="130" t="str">
        <f t="shared" si="20"/>
        <v>1w</v>
      </c>
      <c r="X682" s="128">
        <f>_xll.qlCalendarAdvance(Calendar,X681,W682,"f",FALSE)</f>
        <v>43896</v>
      </c>
      <c r="Y682" s="131">
        <f>_xll.qlCalendarAdvance(Calendar,X682,NDays&amp;"D")</f>
        <v>43900</v>
      </c>
      <c r="Z682" s="132">
        <v>8.4607014688595095E-3</v>
      </c>
      <c r="AA682" s="129">
        <v>8.1508685224473965E-3</v>
      </c>
    </row>
    <row r="683" spans="19:27" x14ac:dyDescent="0.2">
      <c r="S683" s="1"/>
      <c r="T683" s="109"/>
      <c r="W683" s="130" t="str">
        <f t="shared" si="20"/>
        <v>1w</v>
      </c>
      <c r="X683" s="128">
        <f>_xll.qlCalendarAdvance(Calendar,X682,W683,"f",FALSE)</f>
        <v>43903</v>
      </c>
      <c r="Y683" s="131">
        <f>_xll.qlCalendarAdvance(Calendar,X683,NDays&amp;"D")</f>
        <v>43907</v>
      </c>
      <c r="Z683" s="132">
        <v>8.5069747315419629E-3</v>
      </c>
      <c r="AA683" s="129">
        <v>8.1973562933601585E-3</v>
      </c>
    </row>
    <row r="684" spans="19:27" x14ac:dyDescent="0.2">
      <c r="S684" s="1"/>
      <c r="T684" s="109"/>
      <c r="W684" s="130" t="str">
        <f t="shared" si="20"/>
        <v>1w</v>
      </c>
      <c r="X684" s="128">
        <f>_xll.qlCalendarAdvance(Calendar,X683,W684,"f",FALSE)</f>
        <v>43910</v>
      </c>
      <c r="Y684" s="131">
        <f>_xll.qlCalendarAdvance(Calendar,X684,NDays&amp;"D")</f>
        <v>43914</v>
      </c>
      <c r="Z684" s="132">
        <v>8.5532198073046614E-3</v>
      </c>
      <c r="AA684" s="129">
        <v>8.2437869203833003E-3</v>
      </c>
    </row>
    <row r="685" spans="19:27" x14ac:dyDescent="0.2">
      <c r="S685" s="1"/>
      <c r="T685" s="109"/>
      <c r="W685" s="130" t="str">
        <f t="shared" si="20"/>
        <v>1w</v>
      </c>
      <c r="X685" s="128">
        <f>_xll.qlCalendarAdvance(Calendar,X684,W685,"f",FALSE)</f>
        <v>43917</v>
      </c>
      <c r="Y685" s="131">
        <f>_xll.qlCalendarAdvance(Calendar,X685,NDays&amp;"D")</f>
        <v>43921</v>
      </c>
      <c r="Z685" s="132">
        <v>8.5960414563384675E-3</v>
      </c>
      <c r="AA685" s="129">
        <v>8.2901604032770138E-3</v>
      </c>
    </row>
    <row r="686" spans="19:27" x14ac:dyDescent="0.2">
      <c r="S686" s="1"/>
      <c r="T686" s="109"/>
      <c r="W686" s="130" t="str">
        <f t="shared" si="20"/>
        <v>1w</v>
      </c>
      <c r="X686" s="128">
        <f>_xll.qlCalendarAdvance(Calendar,X685,W686,"f",FALSE)</f>
        <v>43924</v>
      </c>
      <c r="Y686" s="131">
        <f>_xll.qlCalendarAdvance(Calendar,X686,NDays&amp;"D")</f>
        <v>43928</v>
      </c>
      <c r="Z686" s="132">
        <v>8.6422458697985628E-3</v>
      </c>
      <c r="AA686" s="129">
        <v>8.336476742201171E-3</v>
      </c>
    </row>
    <row r="687" spans="19:27" x14ac:dyDescent="0.2">
      <c r="S687" s="1"/>
      <c r="T687" s="109"/>
      <c r="W687" s="130" t="str">
        <f t="shared" si="20"/>
        <v>1w</v>
      </c>
      <c r="X687" s="128">
        <f>_xll.qlCalendarAdvance(Calendar,X686,W687,"f",FALSE)</f>
        <v>43935</v>
      </c>
      <c r="Y687" s="131">
        <f>_xll.qlCalendarAdvance(Calendar,X687,NDays&amp;"D")</f>
        <v>43937</v>
      </c>
      <c r="Z687" s="132">
        <v>8.7016356113802998E-3</v>
      </c>
      <c r="AA687" s="129">
        <v>8.3959423539958777E-3</v>
      </c>
    </row>
    <row r="688" spans="19:27" x14ac:dyDescent="0.2">
      <c r="S688" s="1"/>
      <c r="T688" s="109"/>
      <c r="W688" s="130" t="str">
        <f t="shared" si="20"/>
        <v>1w</v>
      </c>
      <c r="X688" s="128">
        <f>_xll.qlCalendarAdvance(Calendar,X687,W688,"f",FALSE)</f>
        <v>43942</v>
      </c>
      <c r="Y688" s="131">
        <f>_xll.qlCalendarAdvance(Calendar,X688,NDays&amp;"D")</f>
        <v>43944</v>
      </c>
      <c r="Z688" s="132">
        <v>8.7478224634656224E-3</v>
      </c>
      <c r="AA688" s="129">
        <v>8.4421280778013141E-3</v>
      </c>
    </row>
    <row r="689" spans="19:27" x14ac:dyDescent="0.2">
      <c r="S689" s="1"/>
      <c r="T689" s="109"/>
      <c r="W689" s="130" t="str">
        <f t="shared" si="20"/>
        <v>1w</v>
      </c>
      <c r="X689" s="128">
        <f>_xll.qlCalendarAdvance(Calendar,X688,W689,"f",FALSE)</f>
        <v>43949</v>
      </c>
      <c r="Y689" s="131">
        <f>_xll.qlCalendarAdvance(Calendar,X689,NDays&amp;"D")</f>
        <v>43951</v>
      </c>
      <c r="Z689" s="132">
        <v>8.7974200796820563E-3</v>
      </c>
      <c r="AA689" s="129">
        <v>8.4984341038030209E-3</v>
      </c>
    </row>
    <row r="690" spans="19:27" x14ac:dyDescent="0.2">
      <c r="S690" s="1"/>
      <c r="T690" s="109"/>
      <c r="W690" s="130" t="str">
        <f t="shared" si="20"/>
        <v>1w</v>
      </c>
      <c r="X690" s="128">
        <f>_xll.qlCalendarAdvance(Calendar,X689,W690,"f",FALSE)</f>
        <v>43956</v>
      </c>
      <c r="Y690" s="131">
        <f>_xll.qlCalendarAdvance(Calendar,X690,NDays&amp;"D")</f>
        <v>43958</v>
      </c>
      <c r="Z690" s="132">
        <v>8.843618674470902E-3</v>
      </c>
      <c r="AA690" s="129">
        <v>8.5343280930239018E-3</v>
      </c>
    </row>
    <row r="691" spans="19:27" x14ac:dyDescent="0.2">
      <c r="S691" s="1"/>
      <c r="T691" s="109"/>
      <c r="W691" s="130" t="str">
        <f t="shared" si="20"/>
        <v>1w</v>
      </c>
      <c r="X691" s="128">
        <f>_xll.qlCalendarAdvance(Calendar,X690,W691,"f",FALSE)</f>
        <v>43963</v>
      </c>
      <c r="Y691" s="131">
        <f>_xll.qlCalendarAdvance(Calendar,X691,NDays&amp;"D")</f>
        <v>43965</v>
      </c>
      <c r="Z691" s="132">
        <v>8.8898306667115918E-3</v>
      </c>
      <c r="AA691" s="129">
        <v>8.5803441668552693E-3</v>
      </c>
    </row>
    <row r="692" spans="19:27" x14ac:dyDescent="0.2">
      <c r="S692" s="1"/>
      <c r="T692" s="109"/>
      <c r="W692" s="130" t="str">
        <f t="shared" si="20"/>
        <v>1w</v>
      </c>
      <c r="X692" s="128">
        <f>_xll.qlCalendarAdvance(Calendar,X691,W692,"f",FALSE)</f>
        <v>43970</v>
      </c>
      <c r="Y692" s="131">
        <f>_xll.qlCalendarAdvance(Calendar,X692,NDays&amp;"D")</f>
        <v>43972</v>
      </c>
      <c r="Z692" s="132">
        <v>8.9360603536432111E-3</v>
      </c>
      <c r="AA692" s="129">
        <v>8.6263547850506939E-3</v>
      </c>
    </row>
    <row r="693" spans="19:27" x14ac:dyDescent="0.2">
      <c r="S693" s="1"/>
      <c r="T693" s="109"/>
      <c r="W693" s="130" t="str">
        <f t="shared" si="20"/>
        <v>1w</v>
      </c>
      <c r="X693" s="128">
        <f>_xll.qlCalendarAdvance(Calendar,X692,W693,"f",FALSE)</f>
        <v>43977</v>
      </c>
      <c r="Y693" s="131">
        <f>_xll.qlCalendarAdvance(Calendar,X693,NDays&amp;"D")</f>
        <v>43979</v>
      </c>
      <c r="Z693" s="132">
        <v>8.9823083350477236E-3</v>
      </c>
      <c r="AA693" s="129">
        <v>8.6723831183554978E-3</v>
      </c>
    </row>
    <row r="694" spans="19:27" x14ac:dyDescent="0.2">
      <c r="S694" s="1"/>
      <c r="T694" s="109"/>
      <c r="W694" s="130" t="str">
        <f t="shared" si="20"/>
        <v>1w</v>
      </c>
      <c r="X694" s="128">
        <f>_xll.qlCalendarAdvance(Calendar,X693,W694,"f",FALSE)</f>
        <v>43984</v>
      </c>
      <c r="Y694" s="131">
        <f>_xll.qlCalendarAdvance(Calendar,X694,NDays&amp;"D")</f>
        <v>43986</v>
      </c>
      <c r="Z694" s="132">
        <v>9.028574611561143E-3</v>
      </c>
      <c r="AA694" s="129">
        <v>8.7184291669295533E-3</v>
      </c>
    </row>
    <row r="695" spans="19:27" x14ac:dyDescent="0.2">
      <c r="S695" s="1"/>
      <c r="T695" s="109"/>
      <c r="W695" s="130" t="str">
        <f t="shared" si="20"/>
        <v>1w</v>
      </c>
      <c r="X695" s="128">
        <f>_xll.qlCalendarAdvance(Calendar,X694,W695,"f",FALSE)</f>
        <v>43991</v>
      </c>
      <c r="Y695" s="131">
        <f>_xll.qlCalendarAdvance(Calendar,X695,NDays&amp;"D")</f>
        <v>43993</v>
      </c>
      <c r="Z695" s="132">
        <v>9.0748591838168725E-3</v>
      </c>
      <c r="AA695" s="129">
        <v>8.7644929306929242E-3</v>
      </c>
    </row>
    <row r="696" spans="19:27" x14ac:dyDescent="0.2">
      <c r="S696" s="1"/>
      <c r="T696" s="109"/>
      <c r="W696" s="130" t="str">
        <f t="shared" si="20"/>
        <v>1w</v>
      </c>
      <c r="X696" s="128">
        <f>_xll.qlCalendarAdvance(Calendar,X695,W696,"f",FALSE)</f>
        <v>43998</v>
      </c>
      <c r="Y696" s="131">
        <f>_xll.qlCalendarAdvance(Calendar,X696,NDays&amp;"D")</f>
        <v>44000</v>
      </c>
      <c r="Z696" s="132">
        <v>9.1211620524500603E-3</v>
      </c>
      <c r="AA696" s="129">
        <v>8.8105744098054828E-3</v>
      </c>
    </row>
    <row r="697" spans="19:27" x14ac:dyDescent="0.2">
      <c r="S697" s="1"/>
      <c r="T697" s="109"/>
      <c r="W697" s="130" t="str">
        <f t="shared" si="20"/>
        <v>1w</v>
      </c>
      <c r="X697" s="128">
        <f>_xll.qlCalendarAdvance(Calendar,X696,W697,"f",FALSE)</f>
        <v>44005</v>
      </c>
      <c r="Y697" s="131">
        <f>_xll.qlCalendarAdvance(Calendar,X697,NDays&amp;"D")</f>
        <v>44007</v>
      </c>
      <c r="Z697" s="132">
        <v>9.1674832180958492E-3</v>
      </c>
      <c r="AA697" s="129">
        <v>8.8566736040274208E-3</v>
      </c>
    </row>
    <row r="698" spans="19:27" x14ac:dyDescent="0.2">
      <c r="S698" s="1"/>
      <c r="T698" s="109"/>
      <c r="W698" s="130" t="str">
        <f t="shared" si="20"/>
        <v>1w</v>
      </c>
      <c r="X698" s="128">
        <f>_xll.qlCalendarAdvance(Calendar,X697,W698,"f",FALSE)</f>
        <v>44012</v>
      </c>
      <c r="Y698" s="131">
        <f>_xll.qlCalendarAdvance(Calendar,X698,NDays&amp;"D")</f>
        <v>44014</v>
      </c>
      <c r="Z698" s="132">
        <v>9.2138226813885133E-3</v>
      </c>
      <c r="AA698" s="129">
        <v>8.9027905135186103E-3</v>
      </c>
    </row>
    <row r="699" spans="19:27" x14ac:dyDescent="0.2">
      <c r="S699" s="1"/>
      <c r="T699" s="109"/>
      <c r="W699" s="130" t="str">
        <f t="shared" si="20"/>
        <v>1w</v>
      </c>
      <c r="X699" s="128">
        <f>_xll.qlCalendarAdvance(Calendar,X698,W699,"f",FALSE)</f>
        <v>44019</v>
      </c>
      <c r="Y699" s="131">
        <f>_xll.qlCalendarAdvance(Calendar,X699,NDays&amp;"D")</f>
        <v>44021</v>
      </c>
      <c r="Z699" s="132">
        <v>9.2601804429658045E-3</v>
      </c>
      <c r="AA699" s="129">
        <v>8.9489251381991153E-3</v>
      </c>
    </row>
    <row r="700" spans="19:27" x14ac:dyDescent="0.2">
      <c r="S700" s="1"/>
      <c r="T700" s="109"/>
      <c r="W700" s="130" t="str">
        <f t="shared" si="20"/>
        <v>1w</v>
      </c>
      <c r="X700" s="128">
        <f>_xll.qlCalendarAdvance(Calendar,X699,W700,"f",FALSE)</f>
        <v>44026</v>
      </c>
      <c r="Y700" s="131">
        <f>_xll.qlCalendarAdvance(Calendar,X700,NDays&amp;"D")</f>
        <v>44028</v>
      </c>
      <c r="Z700" s="132">
        <v>9.3065565034611275E-3</v>
      </c>
      <c r="AA700" s="129">
        <v>8.9950774782288079E-3</v>
      </c>
    </row>
    <row r="701" spans="19:27" x14ac:dyDescent="0.2">
      <c r="S701" s="1"/>
      <c r="T701" s="109"/>
      <c r="W701" s="130" t="str">
        <f t="shared" si="20"/>
        <v>1w</v>
      </c>
      <c r="X701" s="128">
        <f>_xll.qlCalendarAdvance(Calendar,X700,W701,"f",FALSE)</f>
        <v>44033</v>
      </c>
      <c r="Y701" s="131">
        <f>_xll.qlCalendarAdvance(Calendar,X701,NDays&amp;"D")</f>
        <v>44035</v>
      </c>
      <c r="Z701" s="132">
        <v>9.3529508635122362E-3</v>
      </c>
      <c r="AA701" s="129">
        <v>9.0412475333678799E-3</v>
      </c>
    </row>
    <row r="702" spans="19:27" x14ac:dyDescent="0.2">
      <c r="S702" s="1"/>
      <c r="T702" s="109"/>
      <c r="W702" s="130" t="str">
        <f t="shared" si="20"/>
        <v>1w</v>
      </c>
      <c r="X702" s="128">
        <f>_xll.qlCalendarAdvance(Calendar,X701,W702,"f",FALSE)</f>
        <v>44040</v>
      </c>
      <c r="Y702" s="131">
        <f>_xll.qlCalendarAdvance(Calendar,X702,NDays&amp;"D")</f>
        <v>44042</v>
      </c>
      <c r="Z702" s="132">
        <v>9.3993635237551408E-3</v>
      </c>
      <c r="AA702" s="129">
        <v>9.0874353038561395E-3</v>
      </c>
    </row>
    <row r="703" spans="19:27" x14ac:dyDescent="0.2">
      <c r="S703" s="1"/>
      <c r="T703" s="109"/>
      <c r="W703" s="130" t="str">
        <f t="shared" si="20"/>
        <v>1w</v>
      </c>
      <c r="X703" s="128">
        <f>_xll.qlCalendarAdvance(Calendar,X702,W703,"f",FALSE)</f>
        <v>44047</v>
      </c>
      <c r="Y703" s="131">
        <f>_xll.qlCalendarAdvance(Calendar,X703,NDays&amp;"D")</f>
        <v>44049</v>
      </c>
      <c r="Z703" s="132">
        <v>9.4457944848267226E-3</v>
      </c>
      <c r="AA703" s="129">
        <v>9.1336407896136507E-3</v>
      </c>
    </row>
    <row r="704" spans="19:27" x14ac:dyDescent="0.2">
      <c r="S704" s="1"/>
      <c r="T704" s="109"/>
      <c r="W704" s="130" t="str">
        <f t="shared" si="20"/>
        <v>1w</v>
      </c>
      <c r="X704" s="128">
        <f>_xll.qlCalendarAdvance(Calendar,X703,W704,"f",FALSE)</f>
        <v>44054</v>
      </c>
      <c r="Y704" s="131">
        <f>_xll.qlCalendarAdvance(Calendar,X704,NDays&amp;"D")</f>
        <v>44056</v>
      </c>
      <c r="Z704" s="132">
        <v>9.4922437473638661E-3</v>
      </c>
      <c r="AA704" s="129">
        <v>9.1798639906404134E-3</v>
      </c>
    </row>
    <row r="705" spans="19:27" x14ac:dyDescent="0.2">
      <c r="S705" s="1"/>
      <c r="T705" s="109"/>
      <c r="W705" s="130" t="str">
        <f t="shared" si="20"/>
        <v>1w</v>
      </c>
      <c r="X705" s="128">
        <f>_xll.qlCalendarAdvance(Calendar,X704,W705,"f",FALSE)</f>
        <v>44061</v>
      </c>
      <c r="Y705" s="131">
        <f>_xll.qlCalendarAdvance(Calendar,X705,NDays&amp;"D")</f>
        <v>44063</v>
      </c>
      <c r="Z705" s="132">
        <v>9.5387113120034527E-3</v>
      </c>
      <c r="AA705" s="129">
        <v>9.2261049070163637E-3</v>
      </c>
    </row>
    <row r="706" spans="19:27" x14ac:dyDescent="0.2">
      <c r="S706" s="1"/>
      <c r="T706" s="109"/>
      <c r="W706" s="130" t="str">
        <f t="shared" si="20"/>
        <v>1w</v>
      </c>
      <c r="X706" s="128">
        <f>_xll.qlCalendarAdvance(Calendar,X705,W706,"f",FALSE)</f>
        <v>44068</v>
      </c>
      <c r="Y706" s="131">
        <f>_xll.qlCalendarAdvance(Calendar,X706,NDays&amp;"D")</f>
        <v>44070</v>
      </c>
      <c r="Z706" s="132">
        <v>9.5851971793823616E-3</v>
      </c>
      <c r="AA706" s="129">
        <v>9.2723635385816294E-3</v>
      </c>
    </row>
    <row r="707" spans="19:27" x14ac:dyDescent="0.2">
      <c r="S707" s="1"/>
      <c r="T707" s="109"/>
      <c r="W707" s="130" t="str">
        <f t="shared" si="20"/>
        <v>1w</v>
      </c>
      <c r="X707" s="128">
        <f>_xll.qlCalendarAdvance(Calendar,X706,W707,"f",FALSE)</f>
        <v>44075</v>
      </c>
      <c r="Y707" s="131">
        <f>_xll.qlCalendarAdvance(Calendar,X707,NDays&amp;"D")</f>
        <v>44077</v>
      </c>
      <c r="Z707" s="132">
        <v>9.6282476029456061E-3</v>
      </c>
      <c r="AA707" s="129">
        <v>9.3186398854161467E-3</v>
      </c>
    </row>
    <row r="708" spans="19:27" x14ac:dyDescent="0.2">
      <c r="S708" s="1"/>
      <c r="T708" s="109"/>
      <c r="W708" s="130" t="str">
        <f t="shared" si="20"/>
        <v>1w</v>
      </c>
      <c r="X708" s="128">
        <f>_xll.qlCalendarAdvance(Calendar,X707,W708,"f",FALSE)</f>
        <v>44082</v>
      </c>
      <c r="Y708" s="131">
        <f>_xll.qlCalendarAdvance(Calendar,X708,NDays&amp;"D")</f>
        <v>44084</v>
      </c>
      <c r="Z708" s="132">
        <v>9.6747675245501472E-3</v>
      </c>
      <c r="AA708" s="129">
        <v>9.3649339475998516E-3</v>
      </c>
    </row>
    <row r="709" spans="19:27" x14ac:dyDescent="0.2">
      <c r="S709" s="1"/>
      <c r="T709" s="109"/>
      <c r="W709" s="130" t="str">
        <f t="shared" si="20"/>
        <v>1w</v>
      </c>
      <c r="X709" s="128">
        <f>_xll.qlCalendarAdvance(Calendar,X708,W709,"f",FALSE)</f>
        <v>44089</v>
      </c>
      <c r="Y709" s="131">
        <f>_xll.qlCalendarAdvance(Calendar,X709,NDays&amp;"D")</f>
        <v>44091</v>
      </c>
      <c r="Z709" s="132">
        <v>9.7213057442711182E-3</v>
      </c>
      <c r="AA709" s="129">
        <v>9.4112457250528081E-3</v>
      </c>
    </row>
    <row r="710" spans="19:27" x14ac:dyDescent="0.2">
      <c r="S710" s="1"/>
      <c r="T710" s="109"/>
      <c r="W710" s="130" t="str">
        <f t="shared" si="20"/>
        <v>1w</v>
      </c>
      <c r="X710" s="128">
        <f>_xll.qlCalendarAdvance(Calendar,X709,W710,"f",FALSE)</f>
        <v>44096</v>
      </c>
      <c r="Y710" s="131">
        <f>_xll.qlCalendarAdvance(Calendar,X710,NDays&amp;"D")</f>
        <v>44098</v>
      </c>
      <c r="Z710" s="132">
        <v>9.7678622627418565E-3</v>
      </c>
      <c r="AA710" s="129">
        <v>9.4575752179348882E-3</v>
      </c>
    </row>
    <row r="711" spans="19:27" x14ac:dyDescent="0.2">
      <c r="S711" s="1"/>
      <c r="T711" s="109"/>
      <c r="W711" s="130" t="str">
        <f t="shared" si="20"/>
        <v>1w</v>
      </c>
      <c r="X711" s="128">
        <f>_xll.qlCalendarAdvance(Calendar,X710,W711,"f",FALSE)</f>
        <v>44103</v>
      </c>
      <c r="Y711" s="131">
        <f>_xll.qlCalendarAdvance(Calendar,X711,NDays&amp;"D")</f>
        <v>44105</v>
      </c>
      <c r="Z711" s="132">
        <v>9.8282949221941349E-3</v>
      </c>
      <c r="AA711" s="129">
        <v>9.5039224260062838E-3</v>
      </c>
    </row>
    <row r="712" spans="19:27" x14ac:dyDescent="0.2">
      <c r="S712" s="1"/>
      <c r="T712" s="109"/>
      <c r="W712" s="130" t="str">
        <f t="shared" si="20"/>
        <v>1w</v>
      </c>
      <c r="X712" s="128">
        <f>_xll.qlCalendarAdvance(Calendar,X711,W712,"f",FALSE)</f>
        <v>44110</v>
      </c>
      <c r="Y712" s="131">
        <f>_xll.qlCalendarAdvance(Calendar,X712,NDays&amp;"D")</f>
        <v>44112</v>
      </c>
      <c r="Z712" s="132">
        <v>9.8644967769217339E-3</v>
      </c>
      <c r="AA712" s="129">
        <v>9.550287349506803E-3</v>
      </c>
    </row>
    <row r="713" spans="19:27" x14ac:dyDescent="0.2">
      <c r="S713" s="1"/>
      <c r="T713" s="109"/>
      <c r="W713" s="130" t="str">
        <f t="shared" si="20"/>
        <v>1w</v>
      </c>
      <c r="X713" s="128">
        <f>_xll.qlCalendarAdvance(Calendar,X712,W713,"f",FALSE)</f>
        <v>44117</v>
      </c>
      <c r="Y713" s="131">
        <f>_xll.qlCalendarAdvance(Calendar,X713,NDays&amp;"D")</f>
        <v>44119</v>
      </c>
      <c r="Z713" s="132">
        <v>9.9111107813485717E-3</v>
      </c>
      <c r="AA713" s="129">
        <v>9.5966699882765738E-3</v>
      </c>
    </row>
    <row r="714" spans="19:27" x14ac:dyDescent="0.2">
      <c r="S714" s="1"/>
      <c r="T714" s="109"/>
      <c r="W714" s="130" t="str">
        <f t="shared" si="20"/>
        <v>1w</v>
      </c>
      <c r="X714" s="128">
        <f>_xll.qlCalendarAdvance(Calendar,X713,W714,"f",FALSE)</f>
        <v>44124</v>
      </c>
      <c r="Y714" s="131">
        <f>_xll.qlCalendarAdvance(Calendar,X714,NDays&amp;"D")</f>
        <v>44126</v>
      </c>
      <c r="Z714" s="132">
        <v>9.9577430936236919E-3</v>
      </c>
      <c r="AA714" s="129">
        <v>9.6430703423955322E-3</v>
      </c>
    </row>
    <row r="715" spans="19:27" x14ac:dyDescent="0.2">
      <c r="S715" s="1"/>
      <c r="T715" s="109"/>
      <c r="W715" s="130" t="str">
        <f t="shared" si="20"/>
        <v>1w</v>
      </c>
      <c r="X715" s="128">
        <f>_xll.qlCalendarAdvance(Calendar,X714,W715,"f",FALSE)</f>
        <v>44131</v>
      </c>
      <c r="Y715" s="131">
        <f>_xll.qlCalendarAdvance(Calendar,X715,NDays&amp;"D")</f>
        <v>44133</v>
      </c>
      <c r="Z715" s="132">
        <v>1.0004393714387449E-2</v>
      </c>
      <c r="AA715" s="129">
        <v>9.6894884119436142E-3</v>
      </c>
    </row>
    <row r="716" spans="19:27" x14ac:dyDescent="0.2">
      <c r="S716" s="1"/>
      <c r="T716" s="109"/>
      <c r="W716" s="130" t="str">
        <f t="shared" si="20"/>
        <v>1w</v>
      </c>
      <c r="X716" s="128">
        <f>_xll.qlCalendarAdvance(Calendar,X715,W716,"f",FALSE)</f>
        <v>44138</v>
      </c>
      <c r="Y716" s="131">
        <f>_xll.qlCalendarAdvance(Calendar,X716,NDays&amp;"D")</f>
        <v>44140</v>
      </c>
      <c r="Z716" s="132">
        <v>1.0051062644279333E-2</v>
      </c>
      <c r="AA716" s="129">
        <v>9.7359241967609478E-3</v>
      </c>
    </row>
    <row r="717" spans="19:27" x14ac:dyDescent="0.2">
      <c r="S717" s="1"/>
      <c r="T717" s="109"/>
      <c r="W717" s="130" t="str">
        <f t="shared" si="20"/>
        <v>1w</v>
      </c>
      <c r="X717" s="128">
        <f>_xll.qlCalendarAdvance(Calendar,X716,W717,"f",FALSE)</f>
        <v>44145</v>
      </c>
      <c r="Y717" s="131">
        <f>_xll.qlCalendarAdvance(Calendar,X717,NDays&amp;"D")</f>
        <v>44147</v>
      </c>
      <c r="Z717" s="132">
        <v>1.0097749883938833E-2</v>
      </c>
      <c r="AA717" s="129">
        <v>9.7823776969274689E-3</v>
      </c>
    </row>
    <row r="718" spans="19:27" x14ac:dyDescent="0.2">
      <c r="S718" s="1"/>
      <c r="T718" s="109"/>
      <c r="W718" s="130" t="str">
        <f t="shared" si="20"/>
        <v>1w</v>
      </c>
      <c r="X718" s="128">
        <f>_xll.qlCalendarAdvance(Calendar,X717,W718,"f",FALSE)</f>
        <v>44152</v>
      </c>
      <c r="Y718" s="131">
        <f>_xll.qlCalendarAdvance(Calendar,X718,NDays&amp;"D")</f>
        <v>44154</v>
      </c>
      <c r="Z718" s="132">
        <v>1.0144455434006305E-2</v>
      </c>
      <c r="AA718" s="129">
        <v>9.8288489125231138E-3</v>
      </c>
    </row>
    <row r="719" spans="19:27" x14ac:dyDescent="0.2">
      <c r="S719" s="1"/>
      <c r="T719" s="109"/>
      <c r="W719" s="130" t="str">
        <f t="shared" si="20"/>
        <v>1w</v>
      </c>
      <c r="X719" s="128">
        <f>_xll.qlCalendarAdvance(Calendar,X718,W719,"f",FALSE)</f>
        <v>44159</v>
      </c>
      <c r="Y719" s="131">
        <f>_xll.qlCalendarAdvance(Calendar,X719,NDays&amp;"D")</f>
        <v>44161</v>
      </c>
      <c r="Z719" s="132">
        <v>1.0191179295124713E-2</v>
      </c>
      <c r="AA719" s="129">
        <v>9.8753378435478822E-3</v>
      </c>
    </row>
    <row r="720" spans="19:27" x14ac:dyDescent="0.2">
      <c r="S720" s="1"/>
      <c r="T720" s="109"/>
      <c r="W720" s="130" t="str">
        <f t="shared" si="20"/>
        <v>1w</v>
      </c>
      <c r="X720" s="128">
        <f>_xll.qlCalendarAdvance(Calendar,X719,W720,"f",FALSE)</f>
        <v>44166</v>
      </c>
      <c r="Y720" s="131">
        <f>_xll.qlCalendarAdvance(Calendar,X720,NDays&amp;"D")</f>
        <v>44168</v>
      </c>
      <c r="Z720" s="132">
        <v>1.0230946883631908E-2</v>
      </c>
      <c r="AA720" s="129">
        <v>9.9218444897619662E-3</v>
      </c>
    </row>
    <row r="721" spans="19:27" x14ac:dyDescent="0.2">
      <c r="S721" s="1"/>
      <c r="T721" s="109"/>
      <c r="W721" s="130" t="str">
        <f t="shared" si="20"/>
        <v>1w</v>
      </c>
      <c r="X721" s="128">
        <f>_xll.qlCalendarAdvance(Calendar,X720,W721,"f",FALSE)</f>
        <v>44173</v>
      </c>
      <c r="Y721" s="131">
        <f>_xll.qlCalendarAdvance(Calendar,X721,NDays&amp;"D")</f>
        <v>44175</v>
      </c>
      <c r="Z721" s="132">
        <v>1.0277702092378327E-2</v>
      </c>
      <c r="AA721" s="129">
        <v>9.9683688514851099E-3</v>
      </c>
    </row>
    <row r="722" spans="19:27" x14ac:dyDescent="0.2">
      <c r="S722" s="1"/>
      <c r="T722" s="109"/>
      <c r="W722" s="130" t="str">
        <f t="shared" si="20"/>
        <v>1w</v>
      </c>
      <c r="X722" s="128">
        <f>_xll.qlCalendarAdvance(Calendar,X721,W722,"f",FALSE)</f>
        <v>44180</v>
      </c>
      <c r="Y722" s="131">
        <f>_xll.qlCalendarAdvance(Calendar,X722,NDays&amp;"D")</f>
        <v>44182</v>
      </c>
      <c r="Z722" s="132">
        <v>1.0324475600844707E-2</v>
      </c>
      <c r="AA722" s="129">
        <v>1.0014910928637377E-2</v>
      </c>
    </row>
    <row r="723" spans="19:27" x14ac:dyDescent="0.2">
      <c r="S723" s="1"/>
      <c r="T723" s="109"/>
      <c r="W723" s="130" t="str">
        <f t="shared" si="20"/>
        <v>1w</v>
      </c>
      <c r="X723" s="128">
        <f>_xll.qlCalendarAdvance(Calendar,X722,W723,"f",FALSE)</f>
        <v>44187</v>
      </c>
      <c r="Y723" s="131">
        <f>_xll.qlCalendarAdvance(Calendar,X723,NDays&amp;"D")</f>
        <v>44189</v>
      </c>
      <c r="Z723" s="132">
        <v>1.0371267409657214E-2</v>
      </c>
      <c r="AA723" s="129">
        <v>1.0071873000276899E-2</v>
      </c>
    </row>
    <row r="724" spans="19:27" x14ac:dyDescent="0.2">
      <c r="S724" s="1"/>
      <c r="T724" s="109"/>
      <c r="W724" s="130" t="str">
        <f t="shared" si="20"/>
        <v>1w</v>
      </c>
      <c r="X724" s="128">
        <f>_xll.qlCalendarAdvance(Calendar,X723,W724,"f",FALSE)</f>
        <v>44194</v>
      </c>
      <c r="Y724" s="131">
        <f>_xll.qlCalendarAdvance(Calendar,X724,NDays&amp;"D")</f>
        <v>44196</v>
      </c>
      <c r="Z724" s="132">
        <v>1.041807751944468E-2</v>
      </c>
      <c r="AA724" s="129">
        <v>1.0118458223036253E-2</v>
      </c>
    </row>
    <row r="725" spans="19:27" x14ac:dyDescent="0.2">
      <c r="S725" s="1"/>
      <c r="T725" s="109"/>
      <c r="W725" s="130" t="str">
        <f t="shared" ref="W725:W788" si="21">W724</f>
        <v>1w</v>
      </c>
      <c r="X725" s="128">
        <f>_xll.qlCalendarAdvance(Calendar,X724,W725,"f",FALSE)</f>
        <v>44201</v>
      </c>
      <c r="Y725" s="131">
        <f>_xll.qlCalendarAdvance(Calendar,X725,NDays&amp;"D")</f>
        <v>44203</v>
      </c>
      <c r="Z725" s="132">
        <v>1.0464905930834156E-2</v>
      </c>
      <c r="AA725" s="129">
        <v>1.0154643452509049E-2</v>
      </c>
    </row>
    <row r="726" spans="19:27" x14ac:dyDescent="0.2">
      <c r="S726" s="1"/>
      <c r="T726" s="109"/>
      <c r="W726" s="130" t="str">
        <f t="shared" si="21"/>
        <v>1w</v>
      </c>
      <c r="X726" s="128">
        <f>_xll.qlCalendarAdvance(Calendar,X725,W726,"f",FALSE)</f>
        <v>44208</v>
      </c>
      <c r="Y726" s="131">
        <f>_xll.qlCalendarAdvance(Calendar,X726,NDays&amp;"D")</f>
        <v>44210</v>
      </c>
      <c r="Z726" s="132">
        <v>1.0511752644454475E-2</v>
      </c>
      <c r="AA726" s="129">
        <v>1.0201256391217939E-2</v>
      </c>
    </row>
    <row r="727" spans="19:27" x14ac:dyDescent="0.2">
      <c r="S727" s="1"/>
      <c r="T727" s="109"/>
      <c r="W727" s="130" t="str">
        <f t="shared" si="21"/>
        <v>1w</v>
      </c>
      <c r="X727" s="128">
        <f>_xll.qlCalendarAdvance(Calendar,X726,W727,"f",FALSE)</f>
        <v>44215</v>
      </c>
      <c r="Y727" s="131">
        <f>_xll.qlCalendarAdvance(Calendar,X727,NDays&amp;"D")</f>
        <v>44217</v>
      </c>
      <c r="Z727" s="132">
        <v>1.0558617660934466E-2</v>
      </c>
      <c r="AA727" s="129">
        <v>1.0247887045435888E-2</v>
      </c>
    </row>
    <row r="728" spans="19:27" x14ac:dyDescent="0.2">
      <c r="S728" s="1"/>
      <c r="T728" s="109"/>
      <c r="W728" s="130" t="str">
        <f t="shared" si="21"/>
        <v>1w</v>
      </c>
      <c r="X728" s="128">
        <f>_xll.qlCalendarAdvance(Calendar,X727,W728,"f",FALSE)</f>
        <v>44222</v>
      </c>
      <c r="Y728" s="131">
        <f>_xll.qlCalendarAdvance(Calendar,X728,NDays&amp;"D")</f>
        <v>44224</v>
      </c>
      <c r="Z728" s="132">
        <v>1.0605500980901184E-2</v>
      </c>
      <c r="AA728" s="129">
        <v>1.0294535415082962E-2</v>
      </c>
    </row>
    <row r="729" spans="19:27" x14ac:dyDescent="0.2">
      <c r="S729" s="1"/>
      <c r="T729" s="109"/>
      <c r="W729" s="130" t="str">
        <f t="shared" si="21"/>
        <v>1w</v>
      </c>
      <c r="X729" s="128">
        <f>_xll.qlCalendarAdvance(Calendar,X728,W729,"f",FALSE)</f>
        <v>44229</v>
      </c>
      <c r="Y729" s="131">
        <f>_xll.qlCalendarAdvance(Calendar,X729,NDays&amp;"D")</f>
        <v>44231</v>
      </c>
      <c r="Z729" s="132">
        <v>1.064889181729344E-2</v>
      </c>
      <c r="AA729" s="129">
        <v>1.0341201500239094E-2</v>
      </c>
    </row>
    <row r="730" spans="19:27" x14ac:dyDescent="0.2">
      <c r="S730" s="1"/>
      <c r="T730" s="109"/>
      <c r="W730" s="130" t="str">
        <f t="shared" si="21"/>
        <v>1w</v>
      </c>
      <c r="X730" s="128">
        <f>_xll.qlCalendarAdvance(Calendar,X729,W730,"f",FALSE)</f>
        <v>44236</v>
      </c>
      <c r="Y730" s="131">
        <f>_xll.qlCalendarAdvance(Calendar,X730,NDays&amp;"D")</f>
        <v>44238</v>
      </c>
      <c r="Z730" s="132">
        <v>1.0695809049521251E-2</v>
      </c>
      <c r="AA730" s="129">
        <v>1.0387885300744415E-2</v>
      </c>
    </row>
    <row r="731" spans="19:27" x14ac:dyDescent="0.2">
      <c r="S731" s="1"/>
      <c r="T731" s="109"/>
      <c r="W731" s="130" t="str">
        <f t="shared" si="21"/>
        <v>1w</v>
      </c>
      <c r="X731" s="128">
        <f>_xll.qlCalendarAdvance(Calendar,X730,W731,"f",FALSE)</f>
        <v>44243</v>
      </c>
      <c r="Y731" s="131">
        <f>_xll.qlCalendarAdvance(Calendar,X731,NDays&amp;"D")</f>
        <v>44245</v>
      </c>
      <c r="Z731" s="132">
        <v>1.0742742807675757E-2</v>
      </c>
      <c r="AA731" s="129">
        <v>1.0434586816758795E-2</v>
      </c>
    </row>
    <row r="732" spans="19:27" x14ac:dyDescent="0.2">
      <c r="S732" s="1"/>
      <c r="T732" s="109"/>
      <c r="W732" s="130" t="str">
        <f t="shared" si="21"/>
        <v>1w</v>
      </c>
      <c r="X732" s="128">
        <f>_xll.qlCalendarAdvance(Calendar,X731,W732,"f",FALSE)</f>
        <v>44250</v>
      </c>
      <c r="Y732" s="131">
        <f>_xll.qlCalendarAdvance(Calendar,X732,NDays&amp;"D")</f>
        <v>44252</v>
      </c>
      <c r="Z732" s="132">
        <v>1.078967390374937E-2</v>
      </c>
      <c r="AA732" s="129">
        <v>1.0481306048202299E-2</v>
      </c>
    </row>
    <row r="733" spans="19:27" x14ac:dyDescent="0.2">
      <c r="S733" s="1"/>
      <c r="T733" s="109"/>
      <c r="W733" s="130" t="str">
        <f t="shared" si="21"/>
        <v>1w</v>
      </c>
      <c r="X733" s="128">
        <f>_xll.qlCalendarAdvance(Calendar,X732,W733,"f",FALSE)</f>
        <v>44257</v>
      </c>
      <c r="Y733" s="131">
        <f>_xll.qlCalendarAdvance(Calendar,X733,NDays&amp;"D")</f>
        <v>44259</v>
      </c>
      <c r="Z733" s="132">
        <v>1.0847090266965316E-2</v>
      </c>
      <c r="AA733" s="129">
        <v>1.0528042995154863E-2</v>
      </c>
    </row>
    <row r="734" spans="19:27" x14ac:dyDescent="0.2">
      <c r="S734" s="1"/>
      <c r="T734" s="109"/>
      <c r="W734" s="130" t="str">
        <f t="shared" si="21"/>
        <v>1w</v>
      </c>
      <c r="X734" s="128">
        <f>_xll.qlCalendarAdvance(Calendar,X733,W734,"f",FALSE)</f>
        <v>44264</v>
      </c>
      <c r="Y734" s="131">
        <f>_xll.qlCalendarAdvance(Calendar,X734,NDays&amp;"D")</f>
        <v>44266</v>
      </c>
      <c r="Z734" s="132">
        <v>1.0893900323777786E-2</v>
      </c>
      <c r="AA734" s="129">
        <v>1.057479765753655E-2</v>
      </c>
    </row>
    <row r="735" spans="19:27" x14ac:dyDescent="0.2">
      <c r="S735" s="1"/>
      <c r="T735" s="109"/>
      <c r="W735" s="130" t="str">
        <f t="shared" si="21"/>
        <v>1w</v>
      </c>
      <c r="X735" s="128">
        <f>_xll.qlCalendarAdvance(Calendar,X734,W735,"f",FALSE)</f>
        <v>44271</v>
      </c>
      <c r="Y735" s="131">
        <f>_xll.qlCalendarAdvance(Calendar,X735,NDays&amp;"D")</f>
        <v>44273</v>
      </c>
      <c r="Z735" s="132">
        <v>1.0940611707617853E-2</v>
      </c>
      <c r="AA735" s="129">
        <v>1.0621570035427297E-2</v>
      </c>
    </row>
    <row r="736" spans="19:27" x14ac:dyDescent="0.2">
      <c r="S736" s="1"/>
      <c r="T736" s="109"/>
      <c r="W736" s="130" t="str">
        <f t="shared" si="21"/>
        <v>1w</v>
      </c>
      <c r="X736" s="128">
        <f>_xll.qlCalendarAdvance(Calendar,X735,W736,"f",FALSE)</f>
        <v>44278</v>
      </c>
      <c r="Y736" s="131">
        <f>_xll.qlCalendarAdvance(Calendar,X736,NDays&amp;"D")</f>
        <v>44280</v>
      </c>
      <c r="Z736" s="132">
        <v>1.0987196175693065E-2</v>
      </c>
      <c r="AA736" s="129">
        <v>1.0668360128827103E-2</v>
      </c>
    </row>
    <row r="737" spans="19:27" x14ac:dyDescent="0.2">
      <c r="S737" s="1"/>
      <c r="T737" s="109"/>
      <c r="W737" s="130" t="str">
        <f t="shared" si="21"/>
        <v>1w</v>
      </c>
      <c r="X737" s="128">
        <f>_xll.qlCalendarAdvance(Calendar,X736,W737,"f",FALSE)</f>
        <v>44285</v>
      </c>
      <c r="Y737" s="131">
        <f>_xll.qlCalendarAdvance(Calendar,X737,NDays&amp;"D")</f>
        <v>44287</v>
      </c>
      <c r="Z737" s="132">
        <v>1.1030175450261626E-2</v>
      </c>
      <c r="AA737" s="129">
        <v>1.0729184685562387E-2</v>
      </c>
    </row>
    <row r="738" spans="19:27" x14ac:dyDescent="0.2">
      <c r="S738" s="1"/>
      <c r="T738" s="109"/>
      <c r="W738" s="130" t="str">
        <f t="shared" si="21"/>
        <v>1w</v>
      </c>
      <c r="X738" s="128">
        <f>_xll.qlCalendarAdvance(Calendar,X737,W738,"f",FALSE)</f>
        <v>44292</v>
      </c>
      <c r="Y738" s="131">
        <f>_xll.qlCalendarAdvance(Calendar,X738,NDays&amp;"D")</f>
        <v>44294</v>
      </c>
      <c r="Z738" s="132">
        <v>1.1076440431690824E-2</v>
      </c>
      <c r="AA738" s="129">
        <v>1.0761993462153896E-2</v>
      </c>
    </row>
    <row r="739" spans="19:27" x14ac:dyDescent="0.2">
      <c r="S739" s="1"/>
      <c r="T739" s="109"/>
      <c r="W739" s="130" t="str">
        <f t="shared" si="21"/>
        <v>1w</v>
      </c>
      <c r="X739" s="128">
        <f>_xll.qlCalendarAdvance(Calendar,X738,W739,"f",FALSE)</f>
        <v>44299</v>
      </c>
      <c r="Y739" s="131">
        <f>_xll.qlCalendarAdvance(Calendar,X739,NDays&amp;"D")</f>
        <v>44301</v>
      </c>
      <c r="Z739" s="132">
        <v>1.1122495313921323E-2</v>
      </c>
      <c r="AA739" s="129">
        <v>1.0808836702080882E-2</v>
      </c>
    </row>
    <row r="740" spans="19:27" x14ac:dyDescent="0.2">
      <c r="S740" s="1"/>
      <c r="T740" s="109"/>
      <c r="W740" s="130" t="str">
        <f t="shared" si="21"/>
        <v>1w</v>
      </c>
      <c r="X740" s="128">
        <f>_xll.qlCalendarAdvance(Calendar,X739,W740,"f",FALSE)</f>
        <v>44306</v>
      </c>
      <c r="Y740" s="131">
        <f>_xll.qlCalendarAdvance(Calendar,X740,NDays&amp;"D")</f>
        <v>44308</v>
      </c>
      <c r="Z740" s="132">
        <v>1.1168311539616409E-2</v>
      </c>
      <c r="AA740" s="129">
        <v>1.0855697657516927E-2</v>
      </c>
    </row>
    <row r="741" spans="19:27" x14ac:dyDescent="0.2">
      <c r="S741" s="1"/>
      <c r="T741" s="109"/>
      <c r="W741" s="130" t="str">
        <f t="shared" si="21"/>
        <v>1w</v>
      </c>
      <c r="X741" s="128">
        <f>_xll.qlCalendarAdvance(Calendar,X740,W741,"f",FALSE)</f>
        <v>44313</v>
      </c>
      <c r="Y741" s="131">
        <f>_xll.qlCalendarAdvance(Calendar,X741,NDays&amp;"D")</f>
        <v>44315</v>
      </c>
      <c r="Z741" s="132">
        <v>1.1213860550159511E-2</v>
      </c>
      <c r="AA741" s="129">
        <v>1.0902576328541969E-2</v>
      </c>
    </row>
    <row r="742" spans="19:27" x14ac:dyDescent="0.2">
      <c r="S742" s="1"/>
      <c r="T742" s="109"/>
      <c r="W742" s="130" t="str">
        <f t="shared" si="21"/>
        <v>1w</v>
      </c>
      <c r="X742" s="128">
        <f>_xll.qlCalendarAdvance(Calendar,X741,W742,"f",FALSE)</f>
        <v>44320</v>
      </c>
      <c r="Y742" s="131">
        <f>_xll.qlCalendarAdvance(Calendar,X742,NDays&amp;"D")</f>
        <v>44322</v>
      </c>
      <c r="Z742" s="132">
        <v>1.1262455990751728E-2</v>
      </c>
      <c r="AA742" s="129">
        <v>1.0949472714996134E-2</v>
      </c>
    </row>
    <row r="743" spans="19:27" x14ac:dyDescent="0.2">
      <c r="S743" s="1"/>
      <c r="T743" s="109"/>
      <c r="W743" s="130" t="str">
        <f t="shared" si="21"/>
        <v>1w</v>
      </c>
      <c r="X743" s="128">
        <f>_xll.qlCalendarAdvance(Calendar,X742,W743,"f",FALSE)</f>
        <v>44327</v>
      </c>
      <c r="Y743" s="131">
        <f>_xll.qlCalendarAdvance(Calendar,X743,NDays&amp;"D")</f>
        <v>44329</v>
      </c>
      <c r="Z743" s="132">
        <v>1.1307361140174109E-2</v>
      </c>
      <c r="AA743" s="129">
        <v>1.0996385558206256E-2</v>
      </c>
    </row>
    <row r="744" spans="19:27" x14ac:dyDescent="0.2">
      <c r="S744" s="1"/>
      <c r="T744" s="109"/>
      <c r="W744" s="130" t="str">
        <f t="shared" si="21"/>
        <v>1w</v>
      </c>
      <c r="X744" s="128">
        <f>_xll.qlCalendarAdvance(Calendar,X743,W744,"f",FALSE)</f>
        <v>44334</v>
      </c>
      <c r="Y744" s="131">
        <f>_xll.qlCalendarAdvance(Calendar,X744,NDays&amp;"D")</f>
        <v>44336</v>
      </c>
      <c r="Z744" s="132">
        <v>1.1351918091717265E-2</v>
      </c>
      <c r="AA744" s="129">
        <v>1.1043105880537141E-2</v>
      </c>
    </row>
    <row r="745" spans="19:27" x14ac:dyDescent="0.2">
      <c r="S745" s="1"/>
      <c r="T745" s="109"/>
      <c r="W745" s="130" t="str">
        <f t="shared" si="21"/>
        <v>1w</v>
      </c>
      <c r="X745" s="128">
        <f>_xll.qlCalendarAdvance(Calendar,X744,W745,"f",FALSE)</f>
        <v>44341</v>
      </c>
      <c r="Y745" s="131">
        <f>_xll.qlCalendarAdvance(Calendar,X745,NDays&amp;"D")</f>
        <v>44343</v>
      </c>
      <c r="Z745" s="132">
        <v>1.1396122126475929E-2</v>
      </c>
      <c r="AA745" s="129">
        <v>1.1089473801799699E-2</v>
      </c>
    </row>
    <row r="746" spans="19:27" x14ac:dyDescent="0.2">
      <c r="S746" s="1"/>
      <c r="T746" s="109"/>
      <c r="W746" s="130" t="str">
        <f t="shared" si="21"/>
        <v>1w</v>
      </c>
      <c r="X746" s="128">
        <f>_xll.qlCalendarAdvance(Calendar,X745,W746,"f",FALSE)</f>
        <v>44348</v>
      </c>
      <c r="Y746" s="131">
        <f>_xll.qlCalendarAdvance(Calendar,X746,NDays&amp;"D")</f>
        <v>44350</v>
      </c>
      <c r="Z746" s="132">
        <v>1.1439973232512692E-2</v>
      </c>
      <c r="AA746" s="129">
        <v>1.1135489321674186E-2</v>
      </c>
    </row>
    <row r="747" spans="19:27" x14ac:dyDescent="0.2">
      <c r="S747" s="1"/>
      <c r="T747" s="109"/>
      <c r="W747" s="130" t="str">
        <f t="shared" si="21"/>
        <v>1w</v>
      </c>
      <c r="X747" s="128">
        <f>_xll.qlCalendarAdvance(Calendar,X746,W747,"f",FALSE)</f>
        <v>44355</v>
      </c>
      <c r="Y747" s="131">
        <f>_xll.qlCalendarAdvance(Calendar,X747,NDays&amp;"D")</f>
        <v>44357</v>
      </c>
      <c r="Z747" s="132">
        <v>1.1483471397987464E-2</v>
      </c>
      <c r="AA747" s="129">
        <v>1.1181152440160602E-2</v>
      </c>
    </row>
    <row r="748" spans="19:27" x14ac:dyDescent="0.2">
      <c r="S748" s="1"/>
      <c r="T748" s="109"/>
      <c r="W748" s="130" t="str">
        <f t="shared" si="21"/>
        <v>1w</v>
      </c>
      <c r="X748" s="128">
        <f>_xll.qlCalendarAdvance(Calendar,X747,W748,"f",FALSE)</f>
        <v>44362</v>
      </c>
      <c r="Y748" s="131">
        <f>_xll.qlCalendarAdvance(Calendar,X748,NDays&amp;"D")</f>
        <v>44364</v>
      </c>
      <c r="Z748" s="132">
        <v>1.1526616611152247E-2</v>
      </c>
      <c r="AA748" s="129">
        <v>1.1226463157099076E-2</v>
      </c>
    </row>
    <row r="749" spans="19:27" x14ac:dyDescent="0.2">
      <c r="S749" s="1"/>
      <c r="T749" s="109"/>
      <c r="W749" s="130" t="str">
        <f t="shared" si="21"/>
        <v>1w</v>
      </c>
      <c r="X749" s="128">
        <f>_xll.qlCalendarAdvance(Calendar,X748,W749,"f",FALSE)</f>
        <v>44369</v>
      </c>
      <c r="Y749" s="131">
        <f>_xll.qlCalendarAdvance(Calendar,X749,NDays&amp;"D")</f>
        <v>44371</v>
      </c>
      <c r="Z749" s="132">
        <v>1.1569408860356362E-2</v>
      </c>
      <c r="AA749" s="129">
        <v>1.1271421472409671E-2</v>
      </c>
    </row>
    <row r="750" spans="19:27" x14ac:dyDescent="0.2">
      <c r="S750" s="1"/>
      <c r="T750" s="109"/>
      <c r="W750" s="130" t="str">
        <f t="shared" si="21"/>
        <v>1w</v>
      </c>
      <c r="X750" s="128">
        <f>_xll.qlCalendarAdvance(Calendar,X749,W750,"f",FALSE)</f>
        <v>44376</v>
      </c>
      <c r="Y750" s="131">
        <f>_xll.qlCalendarAdvance(Calendar,X750,NDays&amp;"D")</f>
        <v>44378</v>
      </c>
      <c r="Z750" s="132">
        <v>1.1611848134042969E-2</v>
      </c>
      <c r="AA750" s="129">
        <v>1.1316027385772642E-2</v>
      </c>
    </row>
    <row r="751" spans="19:27" x14ac:dyDescent="0.2">
      <c r="S751" s="1"/>
      <c r="T751" s="109"/>
      <c r="W751" s="130" t="str">
        <f t="shared" si="21"/>
        <v>1w</v>
      </c>
      <c r="X751" s="128">
        <f>_xll.qlCalendarAdvance(Calendar,X750,W751,"f",FALSE)</f>
        <v>44383</v>
      </c>
      <c r="Y751" s="131">
        <f>_xll.qlCalendarAdvance(Calendar,X751,NDays&amp;"D")</f>
        <v>44385</v>
      </c>
      <c r="Z751" s="132">
        <v>1.1653934420749927E-2</v>
      </c>
      <c r="AA751" s="129">
        <v>1.1360280897187991E-2</v>
      </c>
    </row>
    <row r="752" spans="19:27" x14ac:dyDescent="0.2">
      <c r="S752" s="1"/>
      <c r="T752" s="109"/>
      <c r="W752" s="130" t="str">
        <f t="shared" si="21"/>
        <v>1w</v>
      </c>
      <c r="X752" s="128">
        <f>_xll.qlCalendarAdvance(Calendar,X751,W752,"f",FALSE)</f>
        <v>44390</v>
      </c>
      <c r="Y752" s="131">
        <f>_xll.qlCalendarAdvance(Calendar,X752,NDays&amp;"D")</f>
        <v>44392</v>
      </c>
      <c r="Z752" s="132">
        <v>1.1695667709115025E-2</v>
      </c>
      <c r="AA752" s="129">
        <v>1.140418200657578E-2</v>
      </c>
    </row>
    <row r="753" spans="19:27" x14ac:dyDescent="0.2">
      <c r="S753" s="1"/>
      <c r="T753" s="109"/>
      <c r="W753" s="130" t="str">
        <f t="shared" si="21"/>
        <v>1w</v>
      </c>
      <c r="X753" s="128">
        <f>_xll.qlCalendarAdvance(Calendar,X752,W753,"f",FALSE)</f>
        <v>44397</v>
      </c>
      <c r="Y753" s="131">
        <f>_xll.qlCalendarAdvance(Calendar,X753,NDays&amp;"D")</f>
        <v>44399</v>
      </c>
      <c r="Z753" s="132">
        <v>1.1737047987866409E-2</v>
      </c>
      <c r="AA753" s="129">
        <v>1.1447730713696203E-2</v>
      </c>
    </row>
    <row r="754" spans="19:27" x14ac:dyDescent="0.2">
      <c r="S754" s="1"/>
      <c r="T754" s="109"/>
      <c r="W754" s="130" t="str">
        <f t="shared" si="21"/>
        <v>1w</v>
      </c>
      <c r="X754" s="128">
        <f>_xll.qlCalendarAdvance(Calendar,X753,W754,"f",FALSE)</f>
        <v>44404</v>
      </c>
      <c r="Y754" s="131">
        <f>_xll.qlCalendarAdvance(Calendar,X754,NDays&amp;"D")</f>
        <v>44406</v>
      </c>
      <c r="Z754" s="132">
        <v>1.1778075245826931E-2</v>
      </c>
      <c r="AA754" s="129">
        <v>1.1490927018469321E-2</v>
      </c>
    </row>
    <row r="755" spans="19:27" x14ac:dyDescent="0.2">
      <c r="S755" s="1"/>
      <c r="T755" s="109"/>
      <c r="W755" s="130" t="str">
        <f t="shared" si="21"/>
        <v>1w</v>
      </c>
      <c r="X755" s="128">
        <f>_xll.qlCalendarAdvance(Calendar,X754,W755,"f",FALSE)</f>
        <v>44411</v>
      </c>
      <c r="Y755" s="131">
        <f>_xll.qlCalendarAdvance(Calendar,X755,NDays&amp;"D")</f>
        <v>44413</v>
      </c>
      <c r="Z755" s="132">
        <v>1.1818749471919366E-2</v>
      </c>
      <c r="AA755" s="129">
        <v>1.1533770920815201E-2</v>
      </c>
    </row>
    <row r="756" spans="19:27" x14ac:dyDescent="0.2">
      <c r="S756" s="1"/>
      <c r="T756" s="109"/>
      <c r="W756" s="130" t="str">
        <f t="shared" si="21"/>
        <v>1w</v>
      </c>
      <c r="X756" s="128">
        <f>_xll.qlCalendarAdvance(Calendar,X755,W756,"f",FALSE)</f>
        <v>44418</v>
      </c>
      <c r="Y756" s="131">
        <f>_xll.qlCalendarAdvance(Calendar,X756,NDays&amp;"D")</f>
        <v>44420</v>
      </c>
      <c r="Z756" s="132">
        <v>1.185907065515859E-2</v>
      </c>
      <c r="AA756" s="129">
        <v>1.1576262420494032E-2</v>
      </c>
    </row>
    <row r="757" spans="19:27" x14ac:dyDescent="0.2">
      <c r="S757" s="1"/>
      <c r="T757" s="109"/>
      <c r="W757" s="130" t="str">
        <f t="shared" si="21"/>
        <v>1w</v>
      </c>
      <c r="X757" s="128">
        <f>_xll.qlCalendarAdvance(Calendar,X756,W757,"f",FALSE)</f>
        <v>44425</v>
      </c>
      <c r="Y757" s="131">
        <f>_xll.qlCalendarAdvance(Calendar,X757,NDays&amp;"D")</f>
        <v>44427</v>
      </c>
      <c r="Z757" s="132">
        <v>1.1899038784654183E-2</v>
      </c>
      <c r="AA757" s="129">
        <v>1.1618401517505816E-2</v>
      </c>
    </row>
    <row r="758" spans="19:27" x14ac:dyDescent="0.2">
      <c r="S758" s="1"/>
      <c r="T758" s="109"/>
      <c r="W758" s="130" t="str">
        <f t="shared" si="21"/>
        <v>1w</v>
      </c>
      <c r="X758" s="128">
        <f>_xll.qlCalendarAdvance(Calendar,X757,W758,"f",FALSE)</f>
        <v>44432</v>
      </c>
      <c r="Y758" s="131">
        <f>_xll.qlCalendarAdvance(Calendar,X758,NDays&amp;"D")</f>
        <v>44434</v>
      </c>
      <c r="Z758" s="132">
        <v>1.1938653849613037E-2</v>
      </c>
      <c r="AA758" s="129">
        <v>1.1660188211690681E-2</v>
      </c>
    </row>
    <row r="759" spans="19:27" x14ac:dyDescent="0.2">
      <c r="S759" s="1"/>
      <c r="T759" s="109"/>
      <c r="W759" s="130" t="str">
        <f t="shared" si="21"/>
        <v>1w</v>
      </c>
      <c r="X759" s="128">
        <f>_xll.qlCalendarAdvance(Calendar,X758,W759,"f",FALSE)</f>
        <v>44439</v>
      </c>
      <c r="Y759" s="131">
        <f>_xll.qlCalendarAdvance(Calendar,X759,NDays&amp;"D")</f>
        <v>44441</v>
      </c>
      <c r="Z759" s="132">
        <v>1.1974979157473776E-2</v>
      </c>
      <c r="AA759" s="129">
        <v>1.1701622502808817E-2</v>
      </c>
    </row>
    <row r="760" spans="19:27" x14ac:dyDescent="0.2">
      <c r="S760" s="1"/>
      <c r="T760" s="109"/>
      <c r="W760" s="130" t="str">
        <f t="shared" si="21"/>
        <v>1w</v>
      </c>
      <c r="X760" s="128">
        <f>_xll.qlCalendarAdvance(Calendar,X759,W760,"f",FALSE)</f>
        <v>44446</v>
      </c>
      <c r="Y760" s="131">
        <f>_xll.qlCalendarAdvance(Calendar,X760,NDays&amp;"D")</f>
        <v>44448</v>
      </c>
      <c r="Z760" s="132">
        <v>1.2013911987449952E-2</v>
      </c>
      <c r="AA760" s="129">
        <v>1.1742704390860226E-2</v>
      </c>
    </row>
    <row r="761" spans="19:27" x14ac:dyDescent="0.2">
      <c r="S761" s="1"/>
      <c r="T761" s="109"/>
      <c r="W761" s="130" t="str">
        <f t="shared" si="21"/>
        <v>1w</v>
      </c>
      <c r="X761" s="128">
        <f>_xll.qlCalendarAdvance(Calendar,X760,W761,"f",FALSE)</f>
        <v>44453</v>
      </c>
      <c r="Y761" s="131">
        <f>_xll.qlCalendarAdvance(Calendar,X761,NDays&amp;"D")</f>
        <v>44455</v>
      </c>
      <c r="Z761" s="132">
        <v>1.2052491729426851E-2</v>
      </c>
      <c r="AA761" s="129">
        <v>1.178343387576497E-2</v>
      </c>
    </row>
    <row r="762" spans="19:27" x14ac:dyDescent="0.2">
      <c r="S762" s="1"/>
      <c r="T762" s="109"/>
      <c r="W762" s="130" t="str">
        <f t="shared" si="21"/>
        <v>1w</v>
      </c>
      <c r="X762" s="128">
        <f>_xll.qlCalendarAdvance(Calendar,X761,W762,"f",FALSE)</f>
        <v>44460</v>
      </c>
      <c r="Y762" s="131">
        <f>_xll.qlCalendarAdvance(Calendar,X762,NDays&amp;"D")</f>
        <v>44462</v>
      </c>
      <c r="Z762" s="132">
        <v>1.209071837309799E-2</v>
      </c>
      <c r="AA762" s="129">
        <v>1.1823810957283243E-2</v>
      </c>
    </row>
    <row r="763" spans="19:27" x14ac:dyDescent="0.2">
      <c r="S763" s="1"/>
      <c r="T763" s="109"/>
      <c r="W763" s="130" t="str">
        <f t="shared" si="21"/>
        <v>1w</v>
      </c>
      <c r="X763" s="128">
        <f>_xll.qlCalendarAdvance(Calendar,X762,W763,"f",FALSE)</f>
        <v>44467</v>
      </c>
      <c r="Y763" s="131">
        <f>_xll.qlCalendarAdvance(Calendar,X763,NDays&amp;"D")</f>
        <v>44469</v>
      </c>
      <c r="Z763" s="132">
        <v>1.2131432835227041E-2</v>
      </c>
      <c r="AA763" s="129">
        <v>1.1863835635335107E-2</v>
      </c>
    </row>
    <row r="764" spans="19:27" x14ac:dyDescent="0.2">
      <c r="S764" s="1"/>
      <c r="T764" s="109"/>
      <c r="W764" s="130" t="str">
        <f t="shared" si="21"/>
        <v>1w</v>
      </c>
      <c r="X764" s="128">
        <f>_xll.qlCalendarAdvance(Calendar,X763,W764,"f",FALSE)</f>
        <v>44474</v>
      </c>
      <c r="Y764" s="131">
        <f>_xll.qlCalendarAdvance(Calendar,X764,NDays&amp;"D")</f>
        <v>44476</v>
      </c>
      <c r="Z764" s="132">
        <v>1.2168929291624267E-2</v>
      </c>
      <c r="AA764" s="129">
        <v>1.1903507909840627E-2</v>
      </c>
    </row>
    <row r="765" spans="19:27" x14ac:dyDescent="0.2">
      <c r="S765" s="1"/>
      <c r="T765" s="109"/>
      <c r="W765" s="130" t="str">
        <f t="shared" si="21"/>
        <v>1w</v>
      </c>
      <c r="X765" s="128">
        <f>_xll.qlCalendarAdvance(Calendar,X764,W765,"f",FALSE)</f>
        <v>44481</v>
      </c>
      <c r="Y765" s="131">
        <f>_xll.qlCalendarAdvance(Calendar,X765,NDays&amp;"D")</f>
        <v>44483</v>
      </c>
      <c r="Z765" s="132">
        <v>1.2206072610593498E-2</v>
      </c>
      <c r="AA765" s="129">
        <v>1.1942827780639931E-2</v>
      </c>
    </row>
    <row r="766" spans="19:27" x14ac:dyDescent="0.2">
      <c r="S766" s="1"/>
      <c r="T766" s="109"/>
      <c r="W766" s="130" t="str">
        <f t="shared" si="21"/>
        <v>1w</v>
      </c>
      <c r="X766" s="128">
        <f>_xll.qlCalendarAdvance(Calendar,X765,W766,"f",FALSE)</f>
        <v>44488</v>
      </c>
      <c r="Y766" s="131">
        <f>_xll.qlCalendarAdvance(Calendar,X766,NDays&amp;"D")</f>
        <v>44490</v>
      </c>
      <c r="Z766" s="132">
        <v>1.2242862782103627E-2</v>
      </c>
      <c r="AA766" s="129">
        <v>1.1981795247573146E-2</v>
      </c>
    </row>
    <row r="767" spans="19:27" x14ac:dyDescent="0.2">
      <c r="S767" s="1"/>
      <c r="T767" s="109"/>
      <c r="W767" s="130" t="str">
        <f t="shared" si="21"/>
        <v>1w</v>
      </c>
      <c r="X767" s="128">
        <f>_xll.qlCalendarAdvance(Calendar,X766,W767,"f",FALSE)</f>
        <v>44495</v>
      </c>
      <c r="Y767" s="131">
        <f>_xll.qlCalendarAdvance(Calendar,X767,NDays&amp;"D")</f>
        <v>44497</v>
      </c>
      <c r="Z767" s="132">
        <v>1.2279299796217384E-2</v>
      </c>
      <c r="AA767" s="129">
        <v>1.2020410310720209E-2</v>
      </c>
    </row>
    <row r="768" spans="19:27" x14ac:dyDescent="0.2">
      <c r="S768" s="1"/>
      <c r="T768" s="109"/>
      <c r="W768" s="130" t="str">
        <f t="shared" si="21"/>
        <v>1w</v>
      </c>
      <c r="X768" s="128">
        <f>_xll.qlCalendarAdvance(Calendar,X767,W768,"f",FALSE)</f>
        <v>44502</v>
      </c>
      <c r="Y768" s="131">
        <f>_xll.qlCalendarAdvance(Calendar,X768,NDays&amp;"D")</f>
        <v>44504</v>
      </c>
      <c r="Z768" s="132">
        <v>1.2315383643095687E-2</v>
      </c>
      <c r="AA768" s="129">
        <v>1.2058672969761375E-2</v>
      </c>
    </row>
    <row r="769" spans="19:27" x14ac:dyDescent="0.2">
      <c r="S769" s="1"/>
      <c r="T769" s="109"/>
      <c r="W769" s="130" t="str">
        <f t="shared" si="21"/>
        <v>1w</v>
      </c>
      <c r="X769" s="128">
        <f>_xll.qlCalendarAdvance(Calendar,X768,W769,"f",FALSE)</f>
        <v>44509</v>
      </c>
      <c r="Y769" s="131">
        <f>_xll.qlCalendarAdvance(Calendar,X769,NDays&amp;"D")</f>
        <v>44511</v>
      </c>
      <c r="Z769" s="132">
        <v>1.2351114312990678E-2</v>
      </c>
      <c r="AA769" s="129">
        <v>1.2096583224696644E-2</v>
      </c>
    </row>
    <row r="770" spans="19:27" x14ac:dyDescent="0.2">
      <c r="S770" s="1"/>
      <c r="T770" s="109"/>
      <c r="W770" s="130" t="str">
        <f t="shared" si="21"/>
        <v>1w</v>
      </c>
      <c r="X770" s="128">
        <f>_xll.qlCalendarAdvance(Calendar,X769,W770,"f",FALSE)</f>
        <v>44516</v>
      </c>
      <c r="Y770" s="131">
        <f>_xll.qlCalendarAdvance(Calendar,X770,NDays&amp;"D")</f>
        <v>44518</v>
      </c>
      <c r="Z770" s="132">
        <v>1.2386491796253556E-2</v>
      </c>
      <c r="AA770" s="129">
        <v>1.2134141075366145E-2</v>
      </c>
    </row>
    <row r="771" spans="19:27" x14ac:dyDescent="0.2">
      <c r="S771" s="1"/>
      <c r="T771" s="109"/>
      <c r="W771" s="130" t="str">
        <f t="shared" si="21"/>
        <v>1w</v>
      </c>
      <c r="X771" s="128">
        <f>_xll.qlCalendarAdvance(Calendar,X770,W771,"f",FALSE)</f>
        <v>44523</v>
      </c>
      <c r="Y771" s="131">
        <f>_xll.qlCalendarAdvance(Calendar,X771,NDays&amp;"D")</f>
        <v>44525</v>
      </c>
      <c r="Z771" s="132">
        <v>1.2421516083329354E-2</v>
      </c>
      <c r="AA771" s="129">
        <v>1.2171346521689941E-2</v>
      </c>
    </row>
    <row r="772" spans="19:27" x14ac:dyDescent="0.2">
      <c r="S772" s="1"/>
      <c r="T772" s="109"/>
      <c r="W772" s="130" t="str">
        <f t="shared" si="21"/>
        <v>1w</v>
      </c>
      <c r="X772" s="128">
        <f>_xll.qlCalendarAdvance(Calendar,X771,W772,"f",FALSE)</f>
        <v>44530</v>
      </c>
      <c r="Y772" s="131">
        <f>_xll.qlCalendarAdvance(Calendar,X772,NDays&amp;"D")</f>
        <v>44532</v>
      </c>
      <c r="Z772" s="132">
        <v>1.2450935009493236E-2</v>
      </c>
      <c r="AA772" s="129">
        <v>1.220819956350816E-2</v>
      </c>
    </row>
    <row r="773" spans="19:27" x14ac:dyDescent="0.2">
      <c r="S773" s="1"/>
      <c r="T773" s="109"/>
      <c r="W773" s="130" t="str">
        <f t="shared" si="21"/>
        <v>1w</v>
      </c>
      <c r="X773" s="128">
        <f>_xll.qlCalendarAdvance(Calendar,X772,W773,"f",FALSE)</f>
        <v>44537</v>
      </c>
      <c r="Y773" s="131">
        <f>_xll.qlCalendarAdvance(Calendar,X773,NDays&amp;"D")</f>
        <v>44539</v>
      </c>
      <c r="Z773" s="132">
        <v>1.2485300959906631E-2</v>
      </c>
      <c r="AA773" s="129">
        <v>1.2244700200740866E-2</v>
      </c>
    </row>
    <row r="774" spans="19:27" x14ac:dyDescent="0.2">
      <c r="S774" s="1"/>
      <c r="T774" s="109"/>
      <c r="W774" s="130" t="str">
        <f t="shared" si="21"/>
        <v>1w</v>
      </c>
      <c r="X774" s="128">
        <f>_xll.qlCalendarAdvance(Calendar,X773,W774,"f",FALSE)</f>
        <v>44544</v>
      </c>
      <c r="Y774" s="131">
        <f>_xll.qlCalendarAdvance(Calendar,X774,NDays&amp;"D")</f>
        <v>44546</v>
      </c>
      <c r="Z774" s="132">
        <v>1.2519313705333879E-2</v>
      </c>
      <c r="AA774" s="129">
        <v>1.2280848433308122E-2</v>
      </c>
    </row>
    <row r="775" spans="19:27" x14ac:dyDescent="0.2">
      <c r="S775" s="1"/>
      <c r="T775" s="109"/>
      <c r="W775" s="130" t="str">
        <f t="shared" si="21"/>
        <v>1w</v>
      </c>
      <c r="X775" s="128">
        <f>_xll.qlCalendarAdvance(Calendar,X774,W775,"f",FALSE)</f>
        <v>44551</v>
      </c>
      <c r="Y775" s="131">
        <f>_xll.qlCalendarAdvance(Calendar,X775,NDays&amp;"D")</f>
        <v>44553</v>
      </c>
      <c r="Z775" s="132">
        <v>1.2552973236790166E-2</v>
      </c>
      <c r="AA775" s="129">
        <v>1.2316644261129994E-2</v>
      </c>
    </row>
    <row r="776" spans="19:27" x14ac:dyDescent="0.2">
      <c r="S776" s="1"/>
      <c r="T776" s="109"/>
      <c r="W776" s="130" t="str">
        <f t="shared" si="21"/>
        <v>1w</v>
      </c>
      <c r="X776" s="128">
        <f>_xll.qlCalendarAdvance(Calendar,X775,W776,"f",FALSE)</f>
        <v>44558</v>
      </c>
      <c r="Y776" s="131">
        <f>_xll.qlCalendarAdvance(Calendar,X776,NDays&amp;"D")</f>
        <v>44560</v>
      </c>
      <c r="Z776" s="132">
        <v>1.2586279545380386E-2</v>
      </c>
      <c r="AA776" s="129">
        <v>1.2352087683886737E-2</v>
      </c>
    </row>
    <row r="777" spans="19:27" x14ac:dyDescent="0.2">
      <c r="S777" s="1"/>
      <c r="T777" s="109"/>
      <c r="W777" s="130" t="str">
        <f t="shared" si="21"/>
        <v>1w</v>
      </c>
      <c r="X777" s="128">
        <f>_xll.qlCalendarAdvance(Calendar,X776,W777,"f",FALSE)</f>
        <v>44565</v>
      </c>
      <c r="Y777" s="131">
        <f>_xll.qlCalendarAdvance(Calendar,X777,NDays&amp;"D")</f>
        <v>44567</v>
      </c>
      <c r="Z777" s="132">
        <v>1.2619232622304466E-2</v>
      </c>
      <c r="AA777" s="129">
        <v>1.2387178701738222E-2</v>
      </c>
    </row>
    <row r="778" spans="19:27" x14ac:dyDescent="0.2">
      <c r="S778" s="1"/>
      <c r="T778" s="109"/>
      <c r="W778" s="130" t="str">
        <f t="shared" si="21"/>
        <v>1w</v>
      </c>
      <c r="X778" s="128">
        <f>_xll.qlCalendarAdvance(Calendar,X777,W778,"f",FALSE)</f>
        <v>44572</v>
      </c>
      <c r="Y778" s="131">
        <f>_xll.qlCalendarAdvance(Calendar,X778,NDays&amp;"D")</f>
        <v>44574</v>
      </c>
      <c r="Z778" s="132">
        <v>1.2651832458855594E-2</v>
      </c>
      <c r="AA778" s="129">
        <v>1.2421917314604514E-2</v>
      </c>
    </row>
    <row r="779" spans="19:27" x14ac:dyDescent="0.2">
      <c r="S779" s="1"/>
      <c r="T779" s="109"/>
      <c r="W779" s="130" t="str">
        <f t="shared" si="21"/>
        <v>1w</v>
      </c>
      <c r="X779" s="128">
        <f>_xll.qlCalendarAdvance(Calendar,X778,W779,"f",FALSE)</f>
        <v>44579</v>
      </c>
      <c r="Y779" s="131">
        <f>_xll.qlCalendarAdvance(Calendar,X779,NDays&amp;"D")</f>
        <v>44581</v>
      </c>
      <c r="Z779" s="132">
        <v>1.2684079046418439E-2</v>
      </c>
      <c r="AA779" s="129">
        <v>1.2456303522085932E-2</v>
      </c>
    </row>
    <row r="780" spans="19:27" x14ac:dyDescent="0.2">
      <c r="S780" s="1"/>
      <c r="T780" s="109"/>
      <c r="W780" s="130" t="str">
        <f t="shared" si="21"/>
        <v>1w</v>
      </c>
      <c r="X780" s="128">
        <f>_xll.qlCalendarAdvance(Calendar,X779,W780,"f",FALSE)</f>
        <v>44586</v>
      </c>
      <c r="Y780" s="131">
        <f>_xll.qlCalendarAdvance(Calendar,X780,NDays&amp;"D")</f>
        <v>44588</v>
      </c>
      <c r="Z780" s="132">
        <v>1.2715972376473594E-2</v>
      </c>
      <c r="AA780" s="129">
        <v>1.2490337324342349E-2</v>
      </c>
    </row>
    <row r="781" spans="19:27" x14ac:dyDescent="0.2">
      <c r="S781" s="1"/>
      <c r="T781" s="109"/>
      <c r="W781" s="130" t="str">
        <f t="shared" si="21"/>
        <v>1w</v>
      </c>
      <c r="X781" s="128">
        <f>_xll.qlCalendarAdvance(Calendar,X780,W781,"f",FALSE)</f>
        <v>44593</v>
      </c>
      <c r="Y781" s="131">
        <f>_xll.qlCalendarAdvance(Calendar,X781,NDays&amp;"D")</f>
        <v>44595</v>
      </c>
      <c r="Z781" s="132">
        <v>1.2745099730166271E-2</v>
      </c>
      <c r="AA781" s="129">
        <v>1.2524018721133956E-2</v>
      </c>
    </row>
    <row r="782" spans="19:27" x14ac:dyDescent="0.2">
      <c r="S782" s="1"/>
      <c r="T782" s="109"/>
      <c r="W782" s="130" t="str">
        <f t="shared" si="21"/>
        <v>1w</v>
      </c>
      <c r="X782" s="128">
        <f>_xll.qlCalendarAdvance(Calendar,X781,W782,"f",FALSE)</f>
        <v>44600</v>
      </c>
      <c r="Y782" s="131">
        <f>_xll.qlCalendarAdvance(Calendar,X782,NDays&amp;"D")</f>
        <v>44602</v>
      </c>
      <c r="Z782" s="132">
        <v>1.2776310649993305E-2</v>
      </c>
      <c r="AA782" s="129">
        <v>1.2557347712380817E-2</v>
      </c>
    </row>
    <row r="783" spans="19:27" x14ac:dyDescent="0.2">
      <c r="S783" s="1"/>
      <c r="T783" s="109"/>
      <c r="W783" s="130" t="str">
        <f t="shared" si="21"/>
        <v>1w</v>
      </c>
      <c r="X783" s="128">
        <f>_xll.qlCalendarAdvance(Calendar,X782,W783,"f",FALSE)</f>
        <v>44607</v>
      </c>
      <c r="Y783" s="131">
        <f>_xll.qlCalendarAdvance(Calendar,X783,NDays&amp;"D")</f>
        <v>44609</v>
      </c>
      <c r="Z783" s="132">
        <v>1.2807168985788256E-2</v>
      </c>
      <c r="AA783" s="129">
        <v>1.2590324298162869E-2</v>
      </c>
    </row>
    <row r="784" spans="19:27" x14ac:dyDescent="0.2">
      <c r="S784" s="1"/>
      <c r="T784" s="109"/>
      <c r="W784" s="130" t="str">
        <f t="shared" si="21"/>
        <v>1w</v>
      </c>
      <c r="X784" s="128">
        <f>_xll.qlCalendarAdvance(Calendar,X783,W784,"f",FALSE)</f>
        <v>44614</v>
      </c>
      <c r="Y784" s="131">
        <f>_xll.qlCalendarAdvance(Calendar,X784,NDays&amp;"D")</f>
        <v>44616</v>
      </c>
      <c r="Z784" s="132">
        <v>1.2837686974678391E-2</v>
      </c>
      <c r="AA784" s="129">
        <v>1.2622948478240303E-2</v>
      </c>
    </row>
    <row r="785" spans="19:27" x14ac:dyDescent="0.2">
      <c r="S785" s="1"/>
      <c r="T785" s="109"/>
      <c r="W785" s="130" t="str">
        <f t="shared" si="21"/>
        <v>1w</v>
      </c>
      <c r="X785" s="128">
        <f>_xll.qlCalendarAdvance(Calendar,X784,W785,"f",FALSE)</f>
        <v>44621</v>
      </c>
      <c r="Y785" s="131">
        <f>_xll.qlCalendarAdvance(Calendar,X785,NDays&amp;"D")</f>
        <v>44623</v>
      </c>
      <c r="Z785" s="132">
        <v>1.2874861706543816E-2</v>
      </c>
      <c r="AA785" s="129">
        <v>1.2655220252373311E-2</v>
      </c>
    </row>
    <row r="786" spans="19:27" x14ac:dyDescent="0.2">
      <c r="S786" s="1"/>
      <c r="T786" s="109"/>
      <c r="W786" s="130" t="str">
        <f t="shared" si="21"/>
        <v>1w</v>
      </c>
      <c r="X786" s="128">
        <f>_xll.qlCalendarAdvance(Calendar,X785,W786,"f",FALSE)</f>
        <v>44628</v>
      </c>
      <c r="Y786" s="131">
        <f>_xll.qlCalendarAdvance(Calendar,X786,NDays&amp;"D")</f>
        <v>44630</v>
      </c>
      <c r="Z786" s="132">
        <v>1.2904718975539258E-2</v>
      </c>
      <c r="AA786" s="129">
        <v>1.2687139620721766E-2</v>
      </c>
    </row>
    <row r="787" spans="19:27" x14ac:dyDescent="0.2">
      <c r="S787" s="1"/>
      <c r="T787" s="109"/>
      <c r="W787" s="130" t="str">
        <f t="shared" si="21"/>
        <v>1w</v>
      </c>
      <c r="X787" s="128">
        <f>_xll.qlCalendarAdvance(Calendar,X786,W787,"f",FALSE)</f>
        <v>44635</v>
      </c>
      <c r="Y787" s="131">
        <f>_xll.qlCalendarAdvance(Calendar,X787,NDays&amp;"D")</f>
        <v>44637</v>
      </c>
      <c r="Z787" s="132">
        <v>1.2934308536420762E-2</v>
      </c>
      <c r="AA787" s="129">
        <v>1.2718706583045858E-2</v>
      </c>
    </row>
    <row r="788" spans="19:27" x14ac:dyDescent="0.2">
      <c r="S788" s="1"/>
      <c r="T788" s="109"/>
      <c r="W788" s="130" t="str">
        <f t="shared" si="21"/>
        <v>1w</v>
      </c>
      <c r="X788" s="128">
        <f>_xll.qlCalendarAdvance(Calendar,X787,W788,"f",FALSE)</f>
        <v>44642</v>
      </c>
      <c r="Y788" s="131">
        <f>_xll.qlCalendarAdvance(Calendar,X788,NDays&amp;"D")</f>
        <v>44644</v>
      </c>
      <c r="Z788" s="132">
        <v>1.2963651789797439E-2</v>
      </c>
      <c r="AA788" s="129">
        <v>1.2749921139265652E-2</v>
      </c>
    </row>
    <row r="789" spans="19:27" x14ac:dyDescent="0.2">
      <c r="S789" s="1"/>
      <c r="T789" s="109"/>
      <c r="W789" s="130" t="str">
        <f t="shared" ref="W789:W852" si="22">W788</f>
        <v>1w</v>
      </c>
      <c r="X789" s="128">
        <f>_xll.qlCalendarAdvance(Calendar,X788,W789,"f",FALSE)</f>
        <v>44649</v>
      </c>
      <c r="Y789" s="131">
        <f>_xll.qlCalendarAdvance(Calendar,X789,NDays&amp;"D")</f>
        <v>44651</v>
      </c>
      <c r="Z789" s="132">
        <v>1.2990494467827587E-2</v>
      </c>
      <c r="AA789" s="129">
        <v>1.2780783289301212E-2</v>
      </c>
    </row>
    <row r="790" spans="19:27" x14ac:dyDescent="0.2">
      <c r="S790" s="1"/>
      <c r="T790" s="109"/>
      <c r="W790" s="130" t="str">
        <f t="shared" si="22"/>
        <v>1w</v>
      </c>
      <c r="X790" s="128">
        <f>_xll.qlCalendarAdvance(Calendar,X789,W790,"f",FALSE)</f>
        <v>44656</v>
      </c>
      <c r="Y790" s="131">
        <f>_xll.qlCalendarAdvance(Calendar,X790,NDays&amp;"D")</f>
        <v>44658</v>
      </c>
      <c r="Z790" s="132">
        <v>1.3019417166232644E-2</v>
      </c>
      <c r="AA790" s="129">
        <v>1.2811293033072602E-2</v>
      </c>
    </row>
    <row r="791" spans="19:27" x14ac:dyDescent="0.2">
      <c r="S791" s="1"/>
      <c r="T791" s="109"/>
      <c r="W791" s="130" t="str">
        <f t="shared" si="22"/>
        <v>1w</v>
      </c>
      <c r="X791" s="128">
        <f>_xll.qlCalendarAdvance(Calendar,X790,W791,"f",FALSE)</f>
        <v>44663</v>
      </c>
      <c r="Y791" s="131">
        <f>_xll.qlCalendarAdvance(Calendar,X791,NDays&amp;"D")</f>
        <v>44665</v>
      </c>
      <c r="Z791" s="132">
        <v>1.3048156557759453E-2</v>
      </c>
      <c r="AA791" s="129">
        <v>1.2850912212226007E-2</v>
      </c>
    </row>
    <row r="792" spans="19:27" x14ac:dyDescent="0.2">
      <c r="S792" s="1"/>
      <c r="T792" s="109"/>
      <c r="W792" s="130" t="str">
        <f t="shared" si="22"/>
        <v>1w</v>
      </c>
      <c r="X792" s="128">
        <f>_xll.qlCalendarAdvance(Calendar,X791,W792,"f",FALSE)</f>
        <v>44670</v>
      </c>
      <c r="Y792" s="131">
        <f>_xll.qlCalendarAdvance(Calendar,X792,NDays&amp;"D")</f>
        <v>44672</v>
      </c>
      <c r="Z792" s="132">
        <v>1.3076734280165094E-2</v>
      </c>
      <c r="AA792" s="129">
        <v>1.2871255301662998E-2</v>
      </c>
    </row>
    <row r="793" spans="19:27" x14ac:dyDescent="0.2">
      <c r="S793" s="1"/>
      <c r="T793" s="109"/>
      <c r="W793" s="130" t="str">
        <f t="shared" si="22"/>
        <v>1w</v>
      </c>
      <c r="X793" s="128">
        <f>_xll.qlCalendarAdvance(Calendar,X792,W793,"f",FALSE)</f>
        <v>44677</v>
      </c>
      <c r="Y793" s="131">
        <f>_xll.qlCalendarAdvance(Calendar,X793,NDays&amp;"D")</f>
        <v>44679</v>
      </c>
      <c r="Z793" s="132">
        <v>1.3105171971853164E-2</v>
      </c>
      <c r="AA793" s="129">
        <v>1.2900707826082325E-2</v>
      </c>
    </row>
    <row r="794" spans="19:27" x14ac:dyDescent="0.2">
      <c r="S794" s="1"/>
      <c r="T794" s="109"/>
      <c r="W794" s="130" t="str">
        <f t="shared" si="22"/>
        <v>1w</v>
      </c>
      <c r="X794" s="128">
        <f>_xll.qlCalendarAdvance(Calendar,X793,W794,"f",FALSE)</f>
        <v>44684</v>
      </c>
      <c r="Y794" s="131">
        <f>_xll.qlCalendarAdvance(Calendar,X794,NDays&amp;"D")</f>
        <v>44686</v>
      </c>
      <c r="Z794" s="132">
        <v>1.313573737177906E-2</v>
      </c>
      <c r="AA794" s="129">
        <v>1.2929807943917737E-2</v>
      </c>
    </row>
    <row r="795" spans="19:27" x14ac:dyDescent="0.2">
      <c r="S795" s="1"/>
      <c r="T795" s="109"/>
      <c r="W795" s="130" t="str">
        <f t="shared" si="22"/>
        <v>1w</v>
      </c>
      <c r="X795" s="128">
        <f>_xll.qlCalendarAdvance(Calendar,X794,W795,"f",FALSE)</f>
        <v>44691</v>
      </c>
      <c r="Y795" s="131">
        <f>_xll.qlCalendarAdvance(Calendar,X795,NDays&amp;"D")</f>
        <v>44693</v>
      </c>
      <c r="Z795" s="132">
        <v>1.3163955746047616E-2</v>
      </c>
      <c r="AA795" s="129">
        <v>1.2958555655089299E-2</v>
      </c>
    </row>
    <row r="796" spans="19:27" x14ac:dyDescent="0.2">
      <c r="S796" s="1"/>
      <c r="T796" s="109"/>
      <c r="W796" s="130" t="str">
        <f t="shared" si="22"/>
        <v>1w</v>
      </c>
      <c r="X796" s="128">
        <f>_xll.qlCalendarAdvance(Calendar,X795,W796,"f",FALSE)</f>
        <v>44698</v>
      </c>
      <c r="Y796" s="131">
        <f>_xll.qlCalendarAdvance(Calendar,X796,NDays&amp;"D")</f>
        <v>44700</v>
      </c>
      <c r="Z796" s="132">
        <v>1.3192096794655515E-2</v>
      </c>
      <c r="AA796" s="129">
        <v>1.2987072095898E-2</v>
      </c>
    </row>
    <row r="797" spans="19:27" x14ac:dyDescent="0.2">
      <c r="S797" s="1"/>
      <c r="T797" s="109"/>
      <c r="W797" s="130" t="str">
        <f t="shared" si="22"/>
        <v>1w</v>
      </c>
      <c r="X797" s="128">
        <f>_xll.qlCalendarAdvance(Calendar,X796,W797,"f",FALSE)</f>
        <v>44705</v>
      </c>
      <c r="Y797" s="131">
        <f>_xll.qlCalendarAdvance(Calendar,X797,NDays&amp;"D")</f>
        <v>44707</v>
      </c>
      <c r="Z797" s="132">
        <v>1.3220165810739121E-2</v>
      </c>
      <c r="AA797" s="129">
        <v>1.3015515601768612E-2</v>
      </c>
    </row>
    <row r="798" spans="19:27" x14ac:dyDescent="0.2">
      <c r="S798" s="1"/>
      <c r="T798" s="109"/>
      <c r="W798" s="130" t="str">
        <f t="shared" si="22"/>
        <v>1w</v>
      </c>
      <c r="X798" s="128">
        <f>_xll.qlCalendarAdvance(Calendar,X797,W798,"f",FALSE)</f>
        <v>44712</v>
      </c>
      <c r="Y798" s="131">
        <f>_xll.qlCalendarAdvance(Calendar,X798,NDays&amp;"D")</f>
        <v>44714</v>
      </c>
      <c r="Z798" s="132">
        <v>1.3248162803153088E-2</v>
      </c>
      <c r="AA798" s="129">
        <v>1.3043887126658049E-2</v>
      </c>
    </row>
    <row r="799" spans="19:27" x14ac:dyDescent="0.2">
      <c r="S799" s="1"/>
      <c r="T799" s="109"/>
      <c r="W799" s="130" t="str">
        <f t="shared" si="22"/>
        <v>1w</v>
      </c>
      <c r="X799" s="128">
        <f>_xll.qlCalendarAdvance(Calendar,X798,W799,"f",FALSE)</f>
        <v>44719</v>
      </c>
      <c r="Y799" s="131">
        <f>_xll.qlCalendarAdvance(Calendar,X799,NDays&amp;"D")</f>
        <v>44721</v>
      </c>
      <c r="Z799" s="132">
        <v>1.3276087770355176E-2</v>
      </c>
      <c r="AA799" s="129">
        <v>1.307218667056631E-2</v>
      </c>
    </row>
    <row r="800" spans="19:27" x14ac:dyDescent="0.2">
      <c r="S800" s="1"/>
      <c r="T800" s="109"/>
      <c r="W800" s="130" t="str">
        <f t="shared" si="22"/>
        <v>1w</v>
      </c>
      <c r="X800" s="128">
        <f>_xll.qlCalendarAdvance(Calendar,X799,W800,"f",FALSE)</f>
        <v>44726</v>
      </c>
      <c r="Y800" s="131">
        <f>_xll.qlCalendarAdvance(Calendar,X800,NDays&amp;"D")</f>
        <v>44728</v>
      </c>
      <c r="Z800" s="132">
        <v>1.3303940710804006E-2</v>
      </c>
      <c r="AA800" s="129">
        <v>1.310041423341346E-2</v>
      </c>
    </row>
    <row r="801" spans="19:27" x14ac:dyDescent="0.2">
      <c r="S801" s="1"/>
      <c r="T801" s="109"/>
      <c r="W801" s="130" t="str">
        <f t="shared" si="22"/>
        <v>1w</v>
      </c>
      <c r="X801" s="128">
        <f>_xll.qlCalendarAdvance(Calendar,X800,W801,"f",FALSE)</f>
        <v>44733</v>
      </c>
      <c r="Y801" s="131">
        <f>_xll.qlCalendarAdvance(Calendar,X801,NDays&amp;"D")</f>
        <v>44735</v>
      </c>
      <c r="Z801" s="132">
        <v>1.3331721622963415E-2</v>
      </c>
      <c r="AA801" s="129">
        <v>1.3128569815279434E-2</v>
      </c>
    </row>
    <row r="802" spans="19:27" x14ac:dyDescent="0.2">
      <c r="S802" s="1"/>
      <c r="T802" s="109"/>
      <c r="W802" s="130" t="str">
        <f t="shared" si="22"/>
        <v>1w</v>
      </c>
      <c r="X802" s="128">
        <f>_xll.qlCalendarAdvance(Calendar,X801,W802,"f",FALSE)</f>
        <v>44740</v>
      </c>
      <c r="Y802" s="131">
        <f>_xll.qlCalendarAdvance(Calendar,X802,NDays&amp;"D")</f>
        <v>44742</v>
      </c>
      <c r="Z802" s="132">
        <v>1.3359430505304195E-2</v>
      </c>
      <c r="AA802" s="129">
        <v>1.315665341600436E-2</v>
      </c>
    </row>
    <row r="803" spans="19:27" x14ac:dyDescent="0.2">
      <c r="S803" s="1"/>
      <c r="T803" s="109"/>
      <c r="W803" s="130" t="str">
        <f t="shared" si="22"/>
        <v>1w</v>
      </c>
      <c r="X803" s="128">
        <f>_xll.qlCalendarAdvance(Calendar,X802,W803,"f",FALSE)</f>
        <v>44747</v>
      </c>
      <c r="Y803" s="131">
        <f>_xll.qlCalendarAdvance(Calendar,X803,NDays&amp;"D")</f>
        <v>44749</v>
      </c>
      <c r="Z803" s="132">
        <v>1.3387067356296261E-2</v>
      </c>
      <c r="AA803" s="129">
        <v>1.3184665035668175E-2</v>
      </c>
    </row>
    <row r="804" spans="19:27" x14ac:dyDescent="0.2">
      <c r="S804" s="1"/>
      <c r="T804" s="109"/>
      <c r="W804" s="130" t="str">
        <f t="shared" si="22"/>
        <v>1w</v>
      </c>
      <c r="X804" s="128">
        <f>_xll.qlCalendarAdvance(Calendar,X803,W804,"f",FALSE)</f>
        <v>44754</v>
      </c>
      <c r="Y804" s="131">
        <f>_xll.qlCalendarAdvance(Calendar,X804,NDays&amp;"D")</f>
        <v>44756</v>
      </c>
      <c r="Z804" s="132">
        <v>1.3414632174416486E-2</v>
      </c>
      <c r="AA804" s="129">
        <v>1.3212604674270878E-2</v>
      </c>
    </row>
    <row r="805" spans="19:27" x14ac:dyDescent="0.2">
      <c r="S805" s="1"/>
      <c r="T805" s="109"/>
      <c r="W805" s="130" t="str">
        <f t="shared" si="22"/>
        <v>1w</v>
      </c>
      <c r="X805" s="128">
        <f>_xll.qlCalendarAdvance(Calendar,X804,W805,"f",FALSE)</f>
        <v>44761</v>
      </c>
      <c r="Y805" s="131">
        <f>_xll.qlCalendarAdvance(Calendar,X805,NDays&amp;"D")</f>
        <v>44763</v>
      </c>
      <c r="Z805" s="132">
        <v>1.3442124958146085E-2</v>
      </c>
      <c r="AA805" s="129">
        <v>1.3240472331732533E-2</v>
      </c>
    </row>
    <row r="806" spans="19:27" x14ac:dyDescent="0.2">
      <c r="S806" s="1"/>
      <c r="T806" s="109"/>
      <c r="W806" s="130" t="str">
        <f t="shared" si="22"/>
        <v>1w</v>
      </c>
      <c r="X806" s="128">
        <f>_xll.qlCalendarAdvance(Calendar,X805,W806,"f",FALSE)</f>
        <v>44768</v>
      </c>
      <c r="Y806" s="131">
        <f>_xll.qlCalendarAdvance(Calendar,X806,NDays&amp;"D")</f>
        <v>44770</v>
      </c>
      <c r="Z806" s="132">
        <v>1.3469545705968011E-2</v>
      </c>
      <c r="AA806" s="129">
        <v>1.3268268008053141E-2</v>
      </c>
    </row>
    <row r="807" spans="19:27" x14ac:dyDescent="0.2">
      <c r="S807" s="1"/>
      <c r="T807" s="109"/>
      <c r="W807" s="130" t="str">
        <f t="shared" si="22"/>
        <v>1w</v>
      </c>
      <c r="X807" s="128">
        <f>_xll.qlCalendarAdvance(Calendar,X806,W807,"f",FALSE)</f>
        <v>44775</v>
      </c>
      <c r="Y807" s="131">
        <f>_xll.qlCalendarAdvance(Calendar,X807,NDays&amp;"D")</f>
        <v>44777</v>
      </c>
      <c r="Z807" s="132">
        <v>1.3496894416372167E-2</v>
      </c>
      <c r="AA807" s="129">
        <v>1.3295991703232701E-2</v>
      </c>
    </row>
    <row r="808" spans="19:27" x14ac:dyDescent="0.2">
      <c r="S808" s="1"/>
      <c r="T808" s="109"/>
      <c r="W808" s="130" t="str">
        <f t="shared" si="22"/>
        <v>1w</v>
      </c>
      <c r="X808" s="128">
        <f>_xll.qlCalendarAdvance(Calendar,X807,W808,"f",FALSE)</f>
        <v>44782</v>
      </c>
      <c r="Y808" s="131">
        <f>_xll.qlCalendarAdvance(Calendar,X808,NDays&amp;"D")</f>
        <v>44784</v>
      </c>
      <c r="Z808" s="132">
        <v>1.3524171087847585E-2</v>
      </c>
      <c r="AA808" s="129">
        <v>1.3323643417271214E-2</v>
      </c>
    </row>
    <row r="809" spans="19:27" x14ac:dyDescent="0.2">
      <c r="S809" s="1"/>
      <c r="T809" s="109"/>
      <c r="W809" s="130" t="str">
        <f t="shared" si="22"/>
        <v>1w</v>
      </c>
      <c r="X809" s="128">
        <f>_xll.qlCalendarAdvance(Calendar,X808,W809,"f",FALSE)</f>
        <v>44789</v>
      </c>
      <c r="Y809" s="131">
        <f>_xll.qlCalendarAdvance(Calendar,X809,NDays&amp;"D")</f>
        <v>44791</v>
      </c>
      <c r="Z809" s="132">
        <v>1.3551375718892863E-2</v>
      </c>
      <c r="AA809" s="129">
        <v>1.3351223150088742E-2</v>
      </c>
    </row>
    <row r="810" spans="19:27" x14ac:dyDescent="0.2">
      <c r="S810" s="1"/>
      <c r="T810" s="109"/>
      <c r="W810" s="130" t="str">
        <f t="shared" si="22"/>
        <v>1w</v>
      </c>
      <c r="X810" s="128">
        <f>_xll.qlCalendarAdvance(Calendar,X809,W810,"f",FALSE)</f>
        <v>44796</v>
      </c>
      <c r="Y810" s="131">
        <f>_xll.qlCalendarAdvance(Calendar,X810,NDays&amp;"D")</f>
        <v>44798</v>
      </c>
      <c r="Z810" s="132">
        <v>1.3578508308006589E-2</v>
      </c>
      <c r="AA810" s="129">
        <v>1.3378730901685287E-2</v>
      </c>
    </row>
    <row r="811" spans="19:27" x14ac:dyDescent="0.2">
      <c r="S811" s="1"/>
      <c r="T811" s="109"/>
      <c r="W811" s="130" t="str">
        <f t="shared" si="22"/>
        <v>1w</v>
      </c>
      <c r="X811" s="128">
        <f>_xll.qlCalendarAdvance(Calendar,X810,W811,"f",FALSE)</f>
        <v>44803</v>
      </c>
      <c r="Y811" s="131">
        <f>_xll.qlCalendarAdvance(Calendar,X811,NDays&amp;"D")</f>
        <v>44805</v>
      </c>
      <c r="Z811" s="132">
        <v>1.3603392860591536E-2</v>
      </c>
      <c r="AA811" s="129">
        <v>1.3406166672140785E-2</v>
      </c>
    </row>
    <row r="812" spans="19:27" x14ac:dyDescent="0.2">
      <c r="S812" s="1"/>
      <c r="T812" s="109"/>
      <c r="W812" s="130" t="str">
        <f t="shared" si="22"/>
        <v>1w</v>
      </c>
      <c r="X812" s="128">
        <f>_xll.qlCalendarAdvance(Calendar,X811,W812,"f",FALSE)</f>
        <v>44810</v>
      </c>
      <c r="Y812" s="131">
        <f>_xll.qlCalendarAdvance(Calendar,X812,NDays&amp;"D")</f>
        <v>44812</v>
      </c>
      <c r="Z812" s="132">
        <v>1.3630385488298164E-2</v>
      </c>
      <c r="AA812" s="129">
        <v>1.3433530461295362E-2</v>
      </c>
    </row>
    <row r="813" spans="19:27" x14ac:dyDescent="0.2">
      <c r="S813" s="1"/>
      <c r="T813" s="109"/>
      <c r="W813" s="130" t="str">
        <f t="shared" si="22"/>
        <v>1w</v>
      </c>
      <c r="X813" s="128">
        <f>_xll.qlCalendarAdvance(Calendar,X812,W813,"f",FALSE)</f>
        <v>44817</v>
      </c>
      <c r="Y813" s="131">
        <f>_xll.qlCalendarAdvance(Calendar,X813,NDays&amp;"D")</f>
        <v>44819</v>
      </c>
      <c r="Z813" s="132">
        <v>1.3657306070415078E-2</v>
      </c>
      <c r="AA813" s="129">
        <v>1.3460822269308892E-2</v>
      </c>
    </row>
    <row r="814" spans="19:27" x14ac:dyDescent="0.2">
      <c r="S814" s="1"/>
      <c r="T814" s="109"/>
      <c r="W814" s="130" t="str">
        <f t="shared" si="22"/>
        <v>1w</v>
      </c>
      <c r="X814" s="128">
        <f>_xll.qlCalendarAdvance(Calendar,X813,W814,"f",FALSE)</f>
        <v>44824</v>
      </c>
      <c r="Y814" s="131">
        <f>_xll.qlCalendarAdvance(Calendar,X814,NDays&amp;"D")</f>
        <v>44826</v>
      </c>
      <c r="Z814" s="132">
        <v>1.368415460547444E-2</v>
      </c>
      <c r="AA814" s="129">
        <v>1.3488042095941566E-2</v>
      </c>
    </row>
    <row r="815" spans="19:27" x14ac:dyDescent="0.2">
      <c r="S815" s="1"/>
      <c r="T815" s="109"/>
      <c r="W815" s="130" t="str">
        <f t="shared" si="22"/>
        <v>1w</v>
      </c>
      <c r="X815" s="128">
        <f>_xll.qlCalendarAdvance(Calendar,X814,W815,"f",FALSE)</f>
        <v>44831</v>
      </c>
      <c r="Y815" s="131">
        <f>_xll.qlCalendarAdvance(Calendar,X815,NDays&amp;"D")</f>
        <v>44833</v>
      </c>
      <c r="Z815" s="132">
        <v>1.3710931092011051E-2</v>
      </c>
      <c r="AA815" s="129">
        <v>1.3515189941353256E-2</v>
      </c>
    </row>
    <row r="816" spans="19:27" x14ac:dyDescent="0.2">
      <c r="S816" s="1"/>
      <c r="T816" s="109"/>
      <c r="W816" s="130" t="str">
        <f t="shared" si="22"/>
        <v>1w</v>
      </c>
      <c r="X816" s="128">
        <f>_xll.qlCalendarAdvance(Calendar,X815,W816,"f",FALSE)</f>
        <v>44838</v>
      </c>
      <c r="Y816" s="131">
        <f>_xll.qlCalendarAdvance(Calendar,X816,NDays&amp;"D")</f>
        <v>44840</v>
      </c>
      <c r="Z816" s="132">
        <v>1.3739790878642725E-2</v>
      </c>
      <c r="AA816" s="129">
        <v>1.3542265805464027E-2</v>
      </c>
    </row>
    <row r="817" spans="19:27" x14ac:dyDescent="0.2">
      <c r="S817" s="1"/>
      <c r="T817" s="109"/>
      <c r="W817" s="130" t="str">
        <f t="shared" si="22"/>
        <v>1w</v>
      </c>
      <c r="X817" s="128">
        <f>_xll.qlCalendarAdvance(Calendar,X816,W817,"f",FALSE)</f>
        <v>44845</v>
      </c>
      <c r="Y817" s="131">
        <f>_xll.qlCalendarAdvance(Calendar,X817,NDays&amp;"D")</f>
        <v>44847</v>
      </c>
      <c r="Z817" s="132">
        <v>1.3766419132574139E-2</v>
      </c>
      <c r="AA817" s="129">
        <v>1.3569269688273877E-2</v>
      </c>
    </row>
    <row r="818" spans="19:27" x14ac:dyDescent="0.2">
      <c r="S818" s="1"/>
      <c r="T818" s="109"/>
      <c r="W818" s="130" t="str">
        <f t="shared" si="22"/>
        <v>1w</v>
      </c>
      <c r="X818" s="128">
        <f>_xll.qlCalendarAdvance(Calendar,X817,W818,"f",FALSE)</f>
        <v>44852</v>
      </c>
      <c r="Y818" s="131">
        <f>_xll.qlCalendarAdvance(Calendar,X818,NDays&amp;"D")</f>
        <v>44854</v>
      </c>
      <c r="Z818" s="132">
        <v>1.3792975332716532E-2</v>
      </c>
      <c r="AA818" s="129">
        <v>1.3596201589702872E-2</v>
      </c>
    </row>
    <row r="819" spans="19:27" x14ac:dyDescent="0.2">
      <c r="S819" s="1"/>
      <c r="T819" s="109"/>
      <c r="W819" s="130" t="str">
        <f t="shared" si="22"/>
        <v>1w</v>
      </c>
      <c r="X819" s="128">
        <f>_xll.qlCalendarAdvance(Calendar,X818,W819,"f",FALSE)</f>
        <v>44859</v>
      </c>
      <c r="Y819" s="131">
        <f>_xll.qlCalendarAdvance(Calendar,X819,NDays&amp;"D")</f>
        <v>44861</v>
      </c>
      <c r="Z819" s="132">
        <v>1.3819459477607592E-2</v>
      </c>
      <c r="AA819" s="129">
        <v>1.3623061509830947E-2</v>
      </c>
    </row>
    <row r="820" spans="19:27" x14ac:dyDescent="0.2">
      <c r="S820" s="1"/>
      <c r="T820" s="109"/>
      <c r="W820" s="130" t="str">
        <f t="shared" si="22"/>
        <v>1w</v>
      </c>
      <c r="X820" s="128">
        <f>_xll.qlCalendarAdvance(Calendar,X819,W820,"f",FALSE)</f>
        <v>44866</v>
      </c>
      <c r="Y820" s="131">
        <f>_xll.qlCalendarAdvance(Calendar,X820,NDays&amp;"D")</f>
        <v>44868</v>
      </c>
      <c r="Z820" s="132">
        <v>1.3845871565785883E-2</v>
      </c>
      <c r="AA820" s="129">
        <v>1.3649849448658102E-2</v>
      </c>
    </row>
    <row r="821" spans="19:27" x14ac:dyDescent="0.2">
      <c r="S821" s="1"/>
      <c r="T821" s="109"/>
      <c r="W821" s="130" t="str">
        <f t="shared" si="22"/>
        <v>1w</v>
      </c>
      <c r="X821" s="128">
        <f>_xll.qlCalendarAdvance(Calendar,X820,W821,"f",FALSE)</f>
        <v>44873</v>
      </c>
      <c r="Y821" s="131">
        <f>_xll.qlCalendarAdvance(Calendar,X821,NDays&amp;"D")</f>
        <v>44875</v>
      </c>
      <c r="Z821" s="132">
        <v>1.3872211595795176E-2</v>
      </c>
      <c r="AA821" s="129">
        <v>1.367656540594453E-2</v>
      </c>
    </row>
    <row r="822" spans="19:27" x14ac:dyDescent="0.2">
      <c r="S822" s="1"/>
      <c r="T822" s="109"/>
      <c r="W822" s="130" t="str">
        <f t="shared" si="22"/>
        <v>1w</v>
      </c>
      <c r="X822" s="128">
        <f>_xll.qlCalendarAdvance(Calendar,X821,W822,"f",FALSE)</f>
        <v>44880</v>
      </c>
      <c r="Y822" s="131">
        <f>_xll.qlCalendarAdvance(Calendar,X822,NDays&amp;"D")</f>
        <v>44882</v>
      </c>
      <c r="Z822" s="132">
        <v>1.3898479566182722E-2</v>
      </c>
      <c r="AA822" s="129">
        <v>1.3703209381930037E-2</v>
      </c>
    </row>
    <row r="823" spans="19:27" x14ac:dyDescent="0.2">
      <c r="S823" s="1"/>
      <c r="T823" s="109"/>
      <c r="W823" s="130" t="str">
        <f t="shared" si="22"/>
        <v>1w</v>
      </c>
      <c r="X823" s="128">
        <f>_xll.qlCalendarAdvance(Calendar,X822,W823,"f",FALSE)</f>
        <v>44887</v>
      </c>
      <c r="Y823" s="131">
        <f>_xll.qlCalendarAdvance(Calendar,X823,NDays&amp;"D")</f>
        <v>44889</v>
      </c>
      <c r="Z823" s="132">
        <v>1.3924675475499245E-2</v>
      </c>
      <c r="AA823" s="129">
        <v>1.3729781376454753E-2</v>
      </c>
    </row>
    <row r="824" spans="19:27" x14ac:dyDescent="0.2">
      <c r="S824" s="1"/>
      <c r="T824" s="109"/>
      <c r="W824" s="130" t="str">
        <f t="shared" si="22"/>
        <v>1w</v>
      </c>
      <c r="X824" s="128">
        <f>_xll.qlCalendarAdvance(Calendar,X823,W824,"f",FALSE)</f>
        <v>44894</v>
      </c>
      <c r="Y824" s="131">
        <f>_xll.qlCalendarAdvance(Calendar,X824,NDays&amp;"D")</f>
        <v>44896</v>
      </c>
      <c r="Z824" s="132">
        <v>1.3946554432791913E-2</v>
      </c>
      <c r="AA824" s="129">
        <v>1.3756281389678549E-2</v>
      </c>
    </row>
    <row r="825" spans="19:27" x14ac:dyDescent="0.2">
      <c r="S825" s="1"/>
      <c r="T825" s="109"/>
      <c r="W825" s="130" t="str">
        <f t="shared" si="22"/>
        <v>1w</v>
      </c>
      <c r="X825" s="128">
        <f>_xll.qlCalendarAdvance(Calendar,X824,W825,"f",FALSE)</f>
        <v>44901</v>
      </c>
      <c r="Y825" s="131">
        <f>_xll.qlCalendarAdvance(Calendar,X825,NDays&amp;"D")</f>
        <v>44903</v>
      </c>
      <c r="Z825" s="132">
        <v>1.397261449312559E-2</v>
      </c>
      <c r="AA825" s="129">
        <v>1.3782709421361616E-2</v>
      </c>
    </row>
    <row r="826" spans="19:27" x14ac:dyDescent="0.2">
      <c r="S826" s="1"/>
      <c r="T826" s="109"/>
      <c r="W826" s="130" t="str">
        <f t="shared" si="22"/>
        <v>1w</v>
      </c>
      <c r="X826" s="128">
        <f>_xll.qlCalendarAdvance(Calendar,X825,W826,"f",FALSE)</f>
        <v>44908</v>
      </c>
      <c r="Y826" s="131">
        <f>_xll.qlCalendarAdvance(Calendar,X826,NDays&amp;"D")</f>
        <v>44910</v>
      </c>
      <c r="Z826" s="132">
        <v>1.3998602490106649E-2</v>
      </c>
      <c r="AA826" s="129">
        <v>1.3809065471663828E-2</v>
      </c>
    </row>
    <row r="827" spans="19:27" x14ac:dyDescent="0.2">
      <c r="S827" s="1"/>
      <c r="T827" s="109"/>
      <c r="W827" s="130" t="str">
        <f t="shared" si="22"/>
        <v>1w</v>
      </c>
      <c r="X827" s="128">
        <f>_xll.qlCalendarAdvance(Calendar,X826,W827,"f",FALSE)</f>
        <v>44915</v>
      </c>
      <c r="Y827" s="131">
        <f>_xll.qlCalendarAdvance(Calendar,X827,NDays&amp;"D")</f>
        <v>44917</v>
      </c>
      <c r="Z827" s="132">
        <v>1.4024518422334431E-2</v>
      </c>
      <c r="AA827" s="129">
        <v>1.3835349540345376E-2</v>
      </c>
    </row>
    <row r="828" spans="19:27" x14ac:dyDescent="0.2">
      <c r="S828" s="1"/>
      <c r="T828" s="109"/>
      <c r="W828" s="130" t="str">
        <f t="shared" si="22"/>
        <v>1w</v>
      </c>
      <c r="X828" s="128">
        <f>_xll.qlCalendarAdvance(Calendar,X827,W828,"f",FALSE)</f>
        <v>44922</v>
      </c>
      <c r="Y828" s="131">
        <f>_xll.qlCalendarAdvance(Calendar,X828,NDays&amp;"D")</f>
        <v>44924</v>
      </c>
      <c r="Z828" s="132">
        <v>1.4050362288410945E-2</v>
      </c>
      <c r="AA828" s="129">
        <v>1.3861561627646068E-2</v>
      </c>
    </row>
    <row r="829" spans="19:27" x14ac:dyDescent="0.2">
      <c r="S829" s="1"/>
      <c r="T829" s="109"/>
      <c r="W829" s="130" t="str">
        <f t="shared" si="22"/>
        <v>1w</v>
      </c>
      <c r="X829" s="128">
        <f>_xll.qlCalendarAdvance(Calendar,X828,W829,"f",FALSE)</f>
        <v>44929</v>
      </c>
      <c r="Y829" s="131">
        <f>_xll.qlCalendarAdvance(Calendar,X829,NDays&amp;"D")</f>
        <v>44931</v>
      </c>
      <c r="Z829" s="132">
        <v>1.4076134086939973E-2</v>
      </c>
      <c r="AA829" s="129">
        <v>1.3887701733406033E-2</v>
      </c>
    </row>
    <row r="830" spans="19:27" x14ac:dyDescent="0.2">
      <c r="S830" s="1"/>
      <c r="T830" s="109"/>
      <c r="W830" s="130" t="str">
        <f t="shared" si="22"/>
        <v>1w</v>
      </c>
      <c r="X830" s="128">
        <f>_xll.qlCalendarAdvance(Calendar,X829,W830,"f",FALSE)</f>
        <v>44936</v>
      </c>
      <c r="Y830" s="131">
        <f>_xll.qlCalendarAdvance(Calendar,X830,NDays&amp;"D")</f>
        <v>44938</v>
      </c>
      <c r="Z830" s="132">
        <v>1.4101833816534182E-2</v>
      </c>
      <c r="AA830" s="129">
        <v>1.3913769857705205E-2</v>
      </c>
    </row>
    <row r="831" spans="19:27" x14ac:dyDescent="0.2">
      <c r="S831" s="1"/>
      <c r="T831" s="109"/>
      <c r="W831" s="130" t="str">
        <f t="shared" si="22"/>
        <v>1w</v>
      </c>
      <c r="X831" s="128">
        <f>_xll.qlCalendarAdvance(Calendar,X830,W831,"f",FALSE)</f>
        <v>44943</v>
      </c>
      <c r="Y831" s="131">
        <f>_xll.qlCalendarAdvance(Calendar,X831,NDays&amp;"D")</f>
        <v>44945</v>
      </c>
      <c r="Z831" s="132">
        <v>1.4127461475804459E-2</v>
      </c>
      <c r="AA831" s="129">
        <v>1.3939766000383713E-2</v>
      </c>
    </row>
    <row r="832" spans="19:27" x14ac:dyDescent="0.2">
      <c r="S832" s="1"/>
      <c r="T832" s="109"/>
      <c r="W832" s="130" t="str">
        <f t="shared" si="22"/>
        <v>1w</v>
      </c>
      <c r="X832" s="128">
        <f>_xll.qlCalendarAdvance(Calendar,X831,W832,"f",FALSE)</f>
        <v>44950</v>
      </c>
      <c r="Y832" s="131">
        <f>_xll.qlCalendarAdvance(Calendar,X832,NDays&amp;"D")</f>
        <v>44952</v>
      </c>
      <c r="Z832" s="132">
        <v>1.4153017063370577E-2</v>
      </c>
      <c r="AA832" s="129">
        <v>1.396569016160143E-2</v>
      </c>
    </row>
    <row r="833" spans="19:27" x14ac:dyDescent="0.2">
      <c r="S833" s="1"/>
      <c r="T833" s="109"/>
      <c r="W833" s="130" t="str">
        <f t="shared" si="22"/>
        <v>1w</v>
      </c>
      <c r="X833" s="128">
        <f>_xll.qlCalendarAdvance(Calendar,X832,W833,"f",FALSE)</f>
        <v>44957</v>
      </c>
      <c r="Y833" s="131">
        <f>_xll.qlCalendarAdvance(Calendar,X833,NDays&amp;"D")</f>
        <v>44959</v>
      </c>
      <c r="Z833" s="132">
        <v>1.4176414907927018E-2</v>
      </c>
      <c r="AA833" s="129">
        <v>1.3991542341198482E-2</v>
      </c>
    </row>
    <row r="834" spans="19:27" x14ac:dyDescent="0.2">
      <c r="S834" s="1"/>
      <c r="T834" s="109"/>
      <c r="W834" s="130" t="str">
        <f t="shared" si="22"/>
        <v>1w</v>
      </c>
      <c r="X834" s="128">
        <f>_xll.qlCalendarAdvance(Calendar,X833,W834,"f",FALSE)</f>
        <v>44964</v>
      </c>
      <c r="Y834" s="131">
        <f>_xll.qlCalendarAdvance(Calendar,X834,NDays&amp;"D")</f>
        <v>44966</v>
      </c>
      <c r="Z834" s="132">
        <v>1.4201830496238698E-2</v>
      </c>
      <c r="AA834" s="129">
        <v>1.401732253917487E-2</v>
      </c>
    </row>
    <row r="835" spans="19:27" x14ac:dyDescent="0.2">
      <c r="S835" s="1"/>
      <c r="T835" s="109"/>
      <c r="W835" s="130" t="str">
        <f t="shared" si="22"/>
        <v>1w</v>
      </c>
      <c r="X835" s="128">
        <f>_xll.qlCalendarAdvance(Calendar,X834,W835,"f",FALSE)</f>
        <v>44971</v>
      </c>
      <c r="Y835" s="131">
        <f>_xll.qlCalendarAdvance(Calendar,X835,NDays&amp;"D")</f>
        <v>44973</v>
      </c>
      <c r="Z835" s="132">
        <v>1.4227173994480735E-2</v>
      </c>
      <c r="AA835" s="129">
        <v>1.4043030755690467E-2</v>
      </c>
    </row>
    <row r="836" spans="19:27" x14ac:dyDescent="0.2">
      <c r="S836" s="1"/>
      <c r="T836" s="109"/>
      <c r="W836" s="130" t="str">
        <f t="shared" si="22"/>
        <v>1w</v>
      </c>
      <c r="X836" s="128">
        <f>_xll.qlCalendarAdvance(Calendar,X835,W836,"f",FALSE)</f>
        <v>44978</v>
      </c>
      <c r="Y836" s="131">
        <f>_xll.qlCalendarAdvance(Calendar,X836,NDays&amp;"D")</f>
        <v>44980</v>
      </c>
      <c r="Z836" s="132">
        <v>1.4252437566144157E-2</v>
      </c>
      <c r="AA836" s="129">
        <v>1.4068666990505463E-2</v>
      </c>
    </row>
    <row r="837" spans="19:27" x14ac:dyDescent="0.2">
      <c r="S837" s="1"/>
      <c r="T837" s="109"/>
      <c r="W837" s="130" t="str">
        <f t="shared" si="22"/>
        <v>1w</v>
      </c>
      <c r="X837" s="128">
        <f>_xll.qlCalendarAdvance(Calendar,X836,W837,"f",FALSE)</f>
        <v>44985</v>
      </c>
      <c r="Y837" s="131">
        <f>_xll.qlCalendarAdvance(Calendar,X837,NDays&amp;"D")</f>
        <v>44987</v>
      </c>
      <c r="Z837" s="132">
        <v>1.4283764134999584E-2</v>
      </c>
      <c r="AA837" s="129">
        <v>1.4094231243619859E-2</v>
      </c>
    </row>
    <row r="838" spans="19:27" x14ac:dyDescent="0.2">
      <c r="S838" s="1"/>
      <c r="T838" s="109"/>
      <c r="W838" s="130" t="str">
        <f t="shared" si="22"/>
        <v>1w</v>
      </c>
      <c r="X838" s="128">
        <f>_xll.qlCalendarAdvance(Calendar,X837,W838,"f",FALSE)</f>
        <v>44992</v>
      </c>
      <c r="Y838" s="131">
        <f>_xll.qlCalendarAdvance(Calendar,X838,NDays&amp;"D")</f>
        <v>44994</v>
      </c>
      <c r="Z838" s="132">
        <v>1.4308733106913125E-2</v>
      </c>
      <c r="AA838" s="129">
        <v>1.4119723515193527E-2</v>
      </c>
    </row>
    <row r="839" spans="19:27" x14ac:dyDescent="0.2">
      <c r="S839" s="1"/>
      <c r="T839" s="109"/>
      <c r="W839" s="130" t="str">
        <f t="shared" si="22"/>
        <v>1w</v>
      </c>
      <c r="X839" s="128">
        <f>_xll.qlCalendarAdvance(Calendar,X838,W839,"f",FALSE)</f>
        <v>44999</v>
      </c>
      <c r="Y839" s="131">
        <f>_xll.qlCalendarAdvance(Calendar,X839,NDays&amp;"D")</f>
        <v>45001</v>
      </c>
      <c r="Z839" s="132">
        <v>1.4333520527122562E-2</v>
      </c>
      <c r="AA839" s="129">
        <v>1.4145143805066596E-2</v>
      </c>
    </row>
    <row r="840" spans="19:27" x14ac:dyDescent="0.2">
      <c r="S840" s="1"/>
      <c r="T840" s="109"/>
      <c r="W840" s="130" t="str">
        <f t="shared" si="22"/>
        <v>1w</v>
      </c>
      <c r="X840" s="128">
        <f>_xll.qlCalendarAdvance(Calendar,X839,W840,"f",FALSE)</f>
        <v>45006</v>
      </c>
      <c r="Y840" s="131">
        <f>_xll.qlCalendarAdvance(Calendar,X840,NDays&amp;"D")</f>
        <v>45008</v>
      </c>
      <c r="Z840" s="132">
        <v>1.4358095741476503E-2</v>
      </c>
      <c r="AA840" s="129">
        <v>1.4170492113319E-2</v>
      </c>
    </row>
    <row r="841" spans="19:27" x14ac:dyDescent="0.2">
      <c r="S841" s="1"/>
      <c r="T841" s="109"/>
      <c r="W841" s="130" t="str">
        <f t="shared" si="22"/>
        <v>1w</v>
      </c>
      <c r="X841" s="128">
        <f>_xll.qlCalendarAdvance(Calendar,X840,W841,"f",FALSE)</f>
        <v>45013</v>
      </c>
      <c r="Y841" s="131">
        <f>_xll.qlCalendarAdvance(Calendar,X841,NDays&amp;"D")</f>
        <v>45015</v>
      </c>
      <c r="Z841" s="132">
        <v>1.4382428095086754E-2</v>
      </c>
      <c r="AA841" s="129">
        <v>1.4195768439870804E-2</v>
      </c>
    </row>
    <row r="842" spans="19:27" x14ac:dyDescent="0.2">
      <c r="S842" s="1"/>
      <c r="T842" s="109"/>
      <c r="W842" s="130" t="str">
        <f t="shared" si="22"/>
        <v>1w</v>
      </c>
      <c r="X842" s="128">
        <f>_xll.qlCalendarAdvance(Calendar,X841,W842,"f",FALSE)</f>
        <v>45020</v>
      </c>
      <c r="Y842" s="131">
        <f>_xll.qlCalendarAdvance(Calendar,X842,NDays&amp;"D")</f>
        <v>45022</v>
      </c>
      <c r="Z842" s="132">
        <v>1.4404539552698927E-2</v>
      </c>
      <c r="AA842" s="129">
        <v>1.4229284049806168E-2</v>
      </c>
    </row>
    <row r="843" spans="19:27" x14ac:dyDescent="0.2">
      <c r="S843" s="1"/>
      <c r="T843" s="109"/>
      <c r="W843" s="130" t="str">
        <f t="shared" si="22"/>
        <v>1w</v>
      </c>
      <c r="X843" s="128">
        <f>_xll.qlCalendarAdvance(Calendar,X842,W843,"f",FALSE)</f>
        <v>45027</v>
      </c>
      <c r="Y843" s="131">
        <f>_xll.qlCalendarAdvance(Calendar,X843,NDays&amp;"D")</f>
        <v>45029</v>
      </c>
      <c r="Z843" s="132">
        <v>1.4428322846123273E-2</v>
      </c>
      <c r="AA843" s="129">
        <v>1.424610514771274E-2</v>
      </c>
    </row>
    <row r="844" spans="19:27" x14ac:dyDescent="0.2">
      <c r="S844" s="1"/>
      <c r="T844" s="109"/>
      <c r="W844" s="130" t="str">
        <f t="shared" si="22"/>
        <v>1w</v>
      </c>
      <c r="X844" s="128">
        <f>_xll.qlCalendarAdvance(Calendar,X843,W844,"f",FALSE)</f>
        <v>45034</v>
      </c>
      <c r="Y844" s="131">
        <f>_xll.qlCalendarAdvance(Calendar,X844,NDays&amp;"D")</f>
        <v>45036</v>
      </c>
      <c r="Z844" s="132">
        <v>1.4451772861989098E-2</v>
      </c>
      <c r="AA844" s="129">
        <v>1.4271165529082808E-2</v>
      </c>
    </row>
    <row r="845" spans="19:27" x14ac:dyDescent="0.2">
      <c r="S845" s="1"/>
      <c r="T845" s="109"/>
      <c r="W845" s="130" t="str">
        <f t="shared" si="22"/>
        <v>1w</v>
      </c>
      <c r="X845" s="128">
        <f>_xll.qlCalendarAdvance(Calendar,X844,W845,"f",FALSE)</f>
        <v>45041</v>
      </c>
      <c r="Y845" s="131">
        <f>_xll.qlCalendarAdvance(Calendar,X845,NDays&amp;"D")</f>
        <v>45043</v>
      </c>
      <c r="Z845" s="132">
        <v>1.4474858607178004E-2</v>
      </c>
      <c r="AA845" s="129">
        <v>1.4296153928672339E-2</v>
      </c>
    </row>
    <row r="846" spans="19:27" x14ac:dyDescent="0.2">
      <c r="S846" s="1"/>
      <c r="T846" s="109"/>
      <c r="W846" s="130" t="str">
        <f t="shared" si="22"/>
        <v>1w</v>
      </c>
      <c r="X846" s="128">
        <f>_xll.qlCalendarAdvance(Calendar,X845,W846,"f",FALSE)</f>
        <v>45048</v>
      </c>
      <c r="Y846" s="131">
        <f>_xll.qlCalendarAdvance(Calendar,X846,NDays&amp;"D")</f>
        <v>45050</v>
      </c>
      <c r="Z846" s="132">
        <v>1.4499373981843844E-2</v>
      </c>
      <c r="AA846" s="129">
        <v>1.4321070346481335E-2</v>
      </c>
    </row>
    <row r="847" spans="19:27" x14ac:dyDescent="0.2">
      <c r="S847" s="1"/>
      <c r="T847" s="109"/>
      <c r="W847" s="130" t="str">
        <f t="shared" si="22"/>
        <v>1w</v>
      </c>
      <c r="X847" s="128">
        <f>_xll.qlCalendarAdvance(Calendar,X846,W847,"f",FALSE)</f>
        <v>45055</v>
      </c>
      <c r="Y847" s="131">
        <f>_xll.qlCalendarAdvance(Calendar,X847,NDays&amp;"D")</f>
        <v>45057</v>
      </c>
      <c r="Z847" s="132">
        <v>1.4521605379682129E-2</v>
      </c>
      <c r="AA847" s="129">
        <v>1.434591478258973E-2</v>
      </c>
    </row>
    <row r="848" spans="19:27" x14ac:dyDescent="0.2">
      <c r="S848" s="1"/>
      <c r="T848" s="109"/>
      <c r="W848" s="130" t="str">
        <f t="shared" si="22"/>
        <v>1w</v>
      </c>
      <c r="X848" s="128">
        <f>_xll.qlCalendarAdvance(Calendar,X847,W848,"f",FALSE)</f>
        <v>45062</v>
      </c>
      <c r="Y848" s="131">
        <f>_xll.qlCalendarAdvance(Calendar,X848,NDays&amp;"D")</f>
        <v>45064</v>
      </c>
      <c r="Z848" s="132">
        <v>1.4543379715895349E-2</v>
      </c>
      <c r="AA848" s="129">
        <v>1.4370636722924601E-2</v>
      </c>
    </row>
    <row r="849" spans="19:27" x14ac:dyDescent="0.2">
      <c r="S849" s="1"/>
      <c r="T849" s="109"/>
      <c r="W849" s="130" t="str">
        <f t="shared" si="22"/>
        <v>1w</v>
      </c>
      <c r="X849" s="128">
        <f>_xll.qlCalendarAdvance(Calendar,X848,W849,"f",FALSE)</f>
        <v>45069</v>
      </c>
      <c r="Y849" s="131">
        <f>_xll.qlCalendarAdvance(Calendar,X849,NDays&amp;"D")</f>
        <v>45071</v>
      </c>
      <c r="Z849" s="132">
        <v>1.45646800183511E-2</v>
      </c>
      <c r="AA849" s="129">
        <v>1.439493581414375E-2</v>
      </c>
    </row>
    <row r="850" spans="19:27" x14ac:dyDescent="0.2">
      <c r="S850" s="1"/>
      <c r="T850" s="109"/>
      <c r="W850" s="130" t="str">
        <f t="shared" si="22"/>
        <v>1w</v>
      </c>
      <c r="X850" s="128">
        <f>_xll.qlCalendarAdvance(Calendar,X849,W850,"f",FALSE)</f>
        <v>45076</v>
      </c>
      <c r="Y850" s="131">
        <f>_xll.qlCalendarAdvance(Calendar,X850,NDays&amp;"D")</f>
        <v>45078</v>
      </c>
      <c r="Z850" s="132">
        <v>1.4585505326100678E-2</v>
      </c>
      <c r="AA850" s="129">
        <v>1.4418761542094316E-2</v>
      </c>
    </row>
    <row r="851" spans="19:27" x14ac:dyDescent="0.2">
      <c r="S851" s="1"/>
      <c r="T851" s="109"/>
      <c r="W851" s="130" t="str">
        <f t="shared" si="22"/>
        <v>1w</v>
      </c>
      <c r="X851" s="128">
        <f>_xll.qlCalendarAdvance(Calendar,X850,W851,"f",FALSE)</f>
        <v>45083</v>
      </c>
      <c r="Y851" s="131">
        <f>_xll.qlCalendarAdvance(Calendar,X851,NDays&amp;"D")</f>
        <v>45085</v>
      </c>
      <c r="Z851" s="132">
        <v>1.4605855631587514E-2</v>
      </c>
      <c r="AA851" s="129">
        <v>1.4442113906936171E-2</v>
      </c>
    </row>
    <row r="852" spans="19:27" x14ac:dyDescent="0.2">
      <c r="S852" s="1"/>
      <c r="T852" s="109"/>
      <c r="W852" s="130" t="str">
        <f t="shared" si="22"/>
        <v>1w</v>
      </c>
      <c r="X852" s="128">
        <f>_xll.qlCalendarAdvance(Calendar,X851,W852,"f",FALSE)</f>
        <v>45090</v>
      </c>
      <c r="Y852" s="131">
        <f>_xll.qlCalendarAdvance(Calendar,X852,NDays&amp;"D")</f>
        <v>45092</v>
      </c>
      <c r="Z852" s="132">
        <v>1.4625730927427081E-2</v>
      </c>
      <c r="AA852" s="129">
        <v>1.4464992908349572E-2</v>
      </c>
    </row>
    <row r="853" spans="19:27" x14ac:dyDescent="0.2">
      <c r="S853" s="1"/>
      <c r="T853" s="109"/>
      <c r="W853" s="130" t="str">
        <f t="shared" ref="W853:W916" si="23">W852</f>
        <v>1w</v>
      </c>
      <c r="X853" s="128">
        <f>_xll.qlCalendarAdvance(Calendar,X852,W853,"f",FALSE)</f>
        <v>45097</v>
      </c>
      <c r="Y853" s="131">
        <f>_xll.qlCalendarAdvance(Calendar,X853,NDays&amp;"D")</f>
        <v>45099</v>
      </c>
      <c r="Z853" s="132">
        <v>1.4645131206406021E-2</v>
      </c>
      <c r="AA853" s="129">
        <v>1.4487398546334518E-2</v>
      </c>
    </row>
    <row r="854" spans="19:27" x14ac:dyDescent="0.2">
      <c r="S854" s="1"/>
      <c r="T854" s="109"/>
      <c r="W854" s="130" t="str">
        <f t="shared" si="23"/>
        <v>1w</v>
      </c>
      <c r="X854" s="128">
        <f>_xll.qlCalendarAdvance(Calendar,X853,W854,"f",FALSE)</f>
        <v>45104</v>
      </c>
      <c r="Y854" s="131">
        <f>_xll.qlCalendarAdvance(Calendar,X854,NDays&amp;"D")</f>
        <v>45106</v>
      </c>
      <c r="Z854" s="132">
        <v>1.4664056461485614E-2</v>
      </c>
      <c r="AA854" s="129">
        <v>1.4509330820811073E-2</v>
      </c>
    </row>
    <row r="855" spans="19:27" x14ac:dyDescent="0.2">
      <c r="S855" s="1"/>
      <c r="T855" s="109"/>
      <c r="W855" s="130" t="str">
        <f t="shared" si="23"/>
        <v>1w</v>
      </c>
      <c r="X855" s="128">
        <f>_xll.qlCalendarAdvance(Calendar,X854,W855,"f",FALSE)</f>
        <v>45111</v>
      </c>
      <c r="Y855" s="131">
        <f>_xll.qlCalendarAdvance(Calendar,X855,NDays&amp;"D")</f>
        <v>45113</v>
      </c>
      <c r="Z855" s="132">
        <v>1.4682506685798312E-2</v>
      </c>
      <c r="AA855" s="129">
        <v>1.4530789731699301E-2</v>
      </c>
    </row>
    <row r="856" spans="19:27" x14ac:dyDescent="0.2">
      <c r="S856" s="1"/>
      <c r="T856" s="109"/>
      <c r="W856" s="130" t="str">
        <f t="shared" si="23"/>
        <v>1w</v>
      </c>
      <c r="X856" s="128">
        <f>_xll.qlCalendarAdvance(Calendar,X855,W856,"f",FALSE)</f>
        <v>45118</v>
      </c>
      <c r="Y856" s="131">
        <f>_xll.qlCalendarAdvance(Calendar,X856,NDays&amp;"D")</f>
        <v>45120</v>
      </c>
      <c r="Z856" s="132">
        <v>1.4700481872648599E-2</v>
      </c>
      <c r="AA856" s="129">
        <v>1.455177527883933E-2</v>
      </c>
    </row>
    <row r="857" spans="19:27" x14ac:dyDescent="0.2">
      <c r="S857" s="1"/>
      <c r="T857" s="109"/>
      <c r="W857" s="130" t="str">
        <f t="shared" si="23"/>
        <v>1w</v>
      </c>
      <c r="X857" s="128">
        <f>_xll.qlCalendarAdvance(Calendar,X856,W857,"f",FALSE)</f>
        <v>45125</v>
      </c>
      <c r="Y857" s="131">
        <f>_xll.qlCalendarAdvance(Calendar,X857,NDays&amp;"D")</f>
        <v>45127</v>
      </c>
      <c r="Z857" s="132">
        <v>1.4717982015513869E-2</v>
      </c>
      <c r="AA857" s="129">
        <v>1.4572287462311095E-2</v>
      </c>
    </row>
    <row r="858" spans="19:27" x14ac:dyDescent="0.2">
      <c r="S858" s="1"/>
      <c r="T858" s="109"/>
      <c r="W858" s="130" t="str">
        <f t="shared" si="23"/>
        <v>1w</v>
      </c>
      <c r="X858" s="128">
        <f>_xll.qlCalendarAdvance(Calendar,X857,W858,"f",FALSE)</f>
        <v>45132</v>
      </c>
      <c r="Y858" s="131">
        <f>_xll.qlCalendarAdvance(Calendar,X858,NDays&amp;"D")</f>
        <v>45134</v>
      </c>
      <c r="Z858" s="132">
        <v>1.4735007108042679E-2</v>
      </c>
      <c r="AA858" s="129">
        <v>1.4592326281794854E-2</v>
      </c>
    </row>
    <row r="859" spans="19:27" x14ac:dyDescent="0.2">
      <c r="S859" s="1"/>
      <c r="T859" s="109"/>
      <c r="W859" s="130" t="str">
        <f t="shared" si="23"/>
        <v>1w</v>
      </c>
      <c r="X859" s="128">
        <f>_xll.qlCalendarAdvance(Calendar,X858,W859,"f",FALSE)</f>
        <v>45139</v>
      </c>
      <c r="Y859" s="131">
        <f>_xll.qlCalendarAdvance(Calendar,X859,NDays&amp;"D")</f>
        <v>45141</v>
      </c>
      <c r="Z859" s="132">
        <v>1.4751557144058229E-2</v>
      </c>
      <c r="AA859" s="129">
        <v>1.4611891737370541E-2</v>
      </c>
    </row>
    <row r="860" spans="19:27" x14ac:dyDescent="0.2">
      <c r="S860" s="1"/>
      <c r="T860" s="109"/>
      <c r="W860" s="130" t="str">
        <f t="shared" si="23"/>
        <v>1w</v>
      </c>
      <c r="X860" s="128">
        <f>_xll.qlCalendarAdvance(Calendar,X859,W860,"f",FALSE)</f>
        <v>45146</v>
      </c>
      <c r="Y860" s="131">
        <f>_xll.qlCalendarAdvance(Calendar,X860,NDays&amp;"D")</f>
        <v>45148</v>
      </c>
      <c r="Z860" s="132">
        <v>1.4767632117554894E-2</v>
      </c>
      <c r="AA860" s="129">
        <v>1.4630983828958222E-2</v>
      </c>
    </row>
    <row r="861" spans="19:27" x14ac:dyDescent="0.2">
      <c r="S861" s="1"/>
      <c r="T861" s="109"/>
      <c r="W861" s="130" t="str">
        <f t="shared" si="23"/>
        <v>1w</v>
      </c>
      <c r="X861" s="128">
        <f>_xll.qlCalendarAdvance(Calendar,X860,W861,"f",FALSE)</f>
        <v>45153</v>
      </c>
      <c r="Y861" s="131">
        <f>_xll.qlCalendarAdvance(Calendar,X861,NDays&amp;"D")</f>
        <v>45155</v>
      </c>
      <c r="Z861" s="132">
        <v>1.4783232022699074E-2</v>
      </c>
      <c r="AA861" s="129">
        <v>1.4649602556398023E-2</v>
      </c>
    </row>
    <row r="862" spans="19:27" x14ac:dyDescent="0.2">
      <c r="S862" s="1"/>
      <c r="T862" s="109"/>
      <c r="W862" s="130" t="str">
        <f t="shared" si="23"/>
        <v>1w</v>
      </c>
      <c r="X862" s="128">
        <f>_xll.qlCalendarAdvance(Calendar,X861,W862,"f",FALSE)</f>
        <v>45160</v>
      </c>
      <c r="Y862" s="131">
        <f>_xll.qlCalendarAdvance(Calendar,X862,NDays&amp;"D")</f>
        <v>45162</v>
      </c>
      <c r="Z862" s="132">
        <v>1.4798356853829214E-2</v>
      </c>
      <c r="AA862" s="129">
        <v>1.466774791976988E-2</v>
      </c>
    </row>
    <row r="863" spans="19:27" x14ac:dyDescent="0.2">
      <c r="S863" s="1"/>
      <c r="T863" s="109"/>
      <c r="W863" s="130" t="str">
        <f t="shared" si="23"/>
        <v>1w</v>
      </c>
      <c r="X863" s="128">
        <f>_xll.qlCalendarAdvance(Calendar,X862,W863,"f",FALSE)</f>
        <v>45167</v>
      </c>
      <c r="Y863" s="131">
        <f>_xll.qlCalendarAdvance(Calendar,X863,NDays&amp;"D")</f>
        <v>45169</v>
      </c>
      <c r="Z863" s="132">
        <v>1.4811745557272618E-2</v>
      </c>
      <c r="AA863" s="129">
        <v>1.468541991875405E-2</v>
      </c>
    </row>
    <row r="864" spans="19:27" x14ac:dyDescent="0.2">
      <c r="S864" s="1"/>
      <c r="T864" s="109"/>
      <c r="W864" s="130" t="str">
        <f t="shared" si="23"/>
        <v>1w</v>
      </c>
      <c r="X864" s="128">
        <f>_xll.qlCalendarAdvance(Calendar,X863,W864,"f",FALSE)</f>
        <v>45174</v>
      </c>
      <c r="Y864" s="131">
        <f>_xll.qlCalendarAdvance(Calendar,X864,NDays&amp;"D")</f>
        <v>45176</v>
      </c>
      <c r="Z864" s="132">
        <v>1.482595357538234E-2</v>
      </c>
      <c r="AA864" s="129">
        <v>1.4702618553590341E-2</v>
      </c>
    </row>
    <row r="865" spans="19:27" x14ac:dyDescent="0.2">
      <c r="S865" s="1"/>
      <c r="T865" s="109"/>
      <c r="W865" s="130" t="str">
        <f t="shared" si="23"/>
        <v>1w</v>
      </c>
      <c r="X865" s="128">
        <f>_xll.qlCalendarAdvance(Calendar,X864,W865,"f",FALSE)</f>
        <v>45181</v>
      </c>
      <c r="Y865" s="131">
        <f>_xll.qlCalendarAdvance(Calendar,X865,NDays&amp;"D")</f>
        <v>45183</v>
      </c>
      <c r="Z865" s="132">
        <v>1.4839686522870977E-2</v>
      </c>
      <c r="AA865" s="129">
        <v>1.4719343823959008E-2</v>
      </c>
    </row>
    <row r="866" spans="19:27" x14ac:dyDescent="0.2">
      <c r="S866" s="1"/>
      <c r="T866" s="109"/>
      <c r="W866" s="130" t="str">
        <f t="shared" si="23"/>
        <v>1w</v>
      </c>
      <c r="X866" s="128">
        <f>_xll.qlCalendarAdvance(Calendar,X865,W866,"f",FALSE)</f>
        <v>45188</v>
      </c>
      <c r="Y866" s="131">
        <f>_xll.qlCalendarAdvance(Calendar,X866,NDays&amp;"D")</f>
        <v>45190</v>
      </c>
      <c r="Z866" s="132">
        <v>1.4852944394808849E-2</v>
      </c>
      <c r="AA866" s="129">
        <v>1.4735595729939988E-2</v>
      </c>
    </row>
    <row r="867" spans="19:27" x14ac:dyDescent="0.2">
      <c r="S867" s="1"/>
      <c r="T867" s="109"/>
      <c r="W867" s="130" t="str">
        <f t="shared" si="23"/>
        <v>1w</v>
      </c>
      <c r="X867" s="128">
        <f>_xll.qlCalendarAdvance(Calendar,X866,W867,"f",FALSE)</f>
        <v>45195</v>
      </c>
      <c r="Y867" s="131">
        <f>_xll.qlCalendarAdvance(Calendar,X867,NDays&amp;"D")</f>
        <v>45197</v>
      </c>
      <c r="Z867" s="132">
        <v>1.486572718643844E-2</v>
      </c>
      <c r="AA867" s="129">
        <v>1.4751374271373408E-2</v>
      </c>
    </row>
    <row r="868" spans="19:27" x14ac:dyDescent="0.2">
      <c r="S868" s="1"/>
      <c r="T868" s="109"/>
      <c r="W868" s="130" t="str">
        <f t="shared" si="23"/>
        <v>1w</v>
      </c>
      <c r="X868" s="128">
        <f>_xll.qlCalendarAdvance(Calendar,X867,W868,"f",FALSE)</f>
        <v>45202</v>
      </c>
      <c r="Y868" s="131">
        <f>_xll.qlCalendarAdvance(Calendar,X868,NDays&amp;"D")</f>
        <v>45204</v>
      </c>
      <c r="Z868" s="132">
        <v>1.4879128991035738E-2</v>
      </c>
      <c r="AA868" s="129">
        <v>1.4766679448339204E-2</v>
      </c>
    </row>
    <row r="869" spans="19:27" x14ac:dyDescent="0.2">
      <c r="S869" s="1"/>
      <c r="T869" s="109"/>
      <c r="W869" s="130" t="str">
        <f t="shared" si="23"/>
        <v>1w</v>
      </c>
      <c r="X869" s="128">
        <f>_xll.qlCalendarAdvance(Calendar,X868,W869,"f",FALSE)</f>
        <v>45209</v>
      </c>
      <c r="Y869" s="131">
        <f>_xll.qlCalendarAdvance(Calendar,X869,NDays&amp;"D")</f>
        <v>45211</v>
      </c>
      <c r="Z869" s="132">
        <v>1.4890928160045405E-2</v>
      </c>
      <c r="AA869" s="129">
        <v>1.4781511260517632E-2</v>
      </c>
    </row>
    <row r="870" spans="19:27" x14ac:dyDescent="0.2">
      <c r="S870" s="1"/>
      <c r="T870" s="109"/>
      <c r="W870" s="130" t="str">
        <f t="shared" si="23"/>
        <v>1w</v>
      </c>
      <c r="X870" s="128">
        <f>_xll.qlCalendarAdvance(Calendar,X869,W870,"f",FALSE)</f>
        <v>45216</v>
      </c>
      <c r="Y870" s="131">
        <f>_xll.qlCalendarAdvance(Calendar,X870,NDays&amp;"D")</f>
        <v>45218</v>
      </c>
      <c r="Z870" s="132">
        <v>1.4902252215960117E-2</v>
      </c>
      <c r="AA870" s="129">
        <v>1.4795869708148501E-2</v>
      </c>
    </row>
    <row r="871" spans="19:27" x14ac:dyDescent="0.2">
      <c r="S871" s="1"/>
      <c r="T871" s="109"/>
      <c r="W871" s="130" t="str">
        <f t="shared" si="23"/>
        <v>1w</v>
      </c>
      <c r="X871" s="128">
        <f>_xll.qlCalendarAdvance(Calendar,X870,W871,"f",FALSE)</f>
        <v>45223</v>
      </c>
      <c r="Y871" s="131">
        <f>_xll.qlCalendarAdvance(Calendar,X871,NDays&amp;"D")</f>
        <v>45225</v>
      </c>
      <c r="Z871" s="132">
        <v>1.4913101154670122E-2</v>
      </c>
      <c r="AA871" s="129">
        <v>1.4809754790912066E-2</v>
      </c>
    </row>
    <row r="872" spans="19:27" x14ac:dyDescent="0.2">
      <c r="S872" s="1"/>
      <c r="T872" s="109"/>
      <c r="W872" s="130" t="str">
        <f t="shared" si="23"/>
        <v>1w</v>
      </c>
      <c r="X872" s="128">
        <f>_xll.qlCalendarAdvance(Calendar,X871,W872,"f",FALSE)</f>
        <v>45230</v>
      </c>
      <c r="Y872" s="131">
        <f>_xll.qlCalendarAdvance(Calendar,X872,NDays&amp;"D")</f>
        <v>45232</v>
      </c>
      <c r="Z872" s="132">
        <v>1.4923474972239434E-2</v>
      </c>
      <c r="AA872" s="129">
        <v>1.48231665089682E-2</v>
      </c>
    </row>
    <row r="873" spans="19:27" x14ac:dyDescent="0.2">
      <c r="S873" s="1"/>
      <c r="T873" s="109"/>
      <c r="W873" s="130" t="str">
        <f t="shared" si="23"/>
        <v>1w</v>
      </c>
      <c r="X873" s="128">
        <f>_xll.qlCalendarAdvance(Calendar,X872,W873,"f",FALSE)</f>
        <v>45237</v>
      </c>
      <c r="Y873" s="131">
        <f>_xll.qlCalendarAdvance(Calendar,X873,NDays&amp;"D")</f>
        <v>45239</v>
      </c>
      <c r="Z873" s="132">
        <v>1.4933373664902373E-2</v>
      </c>
      <c r="AA873" s="129">
        <v>1.4836104862157029E-2</v>
      </c>
    </row>
    <row r="874" spans="19:27" x14ac:dyDescent="0.2">
      <c r="S874" s="1"/>
      <c r="T874" s="109"/>
      <c r="W874" s="130" t="str">
        <f t="shared" si="23"/>
        <v>1w</v>
      </c>
      <c r="X874" s="128">
        <f>_xll.qlCalendarAdvance(Calendar,X873,W874,"f",FALSE)</f>
        <v>45244</v>
      </c>
      <c r="Y874" s="131">
        <f>_xll.qlCalendarAdvance(Calendar,X874,NDays&amp;"D")</f>
        <v>45246</v>
      </c>
      <c r="Z874" s="132">
        <v>1.4942797229067025E-2</v>
      </c>
      <c r="AA874" s="129">
        <v>1.4848569850478555E-2</v>
      </c>
    </row>
    <row r="875" spans="19:27" x14ac:dyDescent="0.2">
      <c r="S875" s="1"/>
      <c r="T875" s="109"/>
      <c r="W875" s="130" t="str">
        <f t="shared" si="23"/>
        <v>1w</v>
      </c>
      <c r="X875" s="128">
        <f>_xll.qlCalendarAdvance(Calendar,X874,W875,"f",FALSE)</f>
        <v>45251</v>
      </c>
      <c r="Y875" s="131">
        <f>_xll.qlCalendarAdvance(Calendar,X875,NDays&amp;"D")</f>
        <v>45253</v>
      </c>
      <c r="Z875" s="132">
        <v>1.4951745661314391E-2</v>
      </c>
      <c r="AA875" s="129">
        <v>1.4860561473772904E-2</v>
      </c>
    </row>
    <row r="876" spans="19:27" x14ac:dyDescent="0.2">
      <c r="S876" s="1"/>
      <c r="T876" s="109"/>
      <c r="W876" s="130" t="str">
        <f t="shared" si="23"/>
        <v>1w</v>
      </c>
      <c r="X876" s="128">
        <f>_xll.qlCalendarAdvance(Calendar,X875,W876,"f",FALSE)</f>
        <v>45258</v>
      </c>
      <c r="Y876" s="131">
        <f>_xll.qlCalendarAdvance(Calendar,X876,NDays&amp;"D")</f>
        <v>45260</v>
      </c>
      <c r="Z876" s="132">
        <v>1.4959392996399361E-2</v>
      </c>
      <c r="AA876" s="129">
        <v>1.4872079732120014E-2</v>
      </c>
    </row>
    <row r="877" spans="19:27" x14ac:dyDescent="0.2">
      <c r="S877" s="1"/>
      <c r="T877" s="109"/>
      <c r="W877" s="130" t="str">
        <f t="shared" si="23"/>
        <v>1w</v>
      </c>
      <c r="X877" s="128">
        <f>_xll.qlCalendarAdvance(Calendar,X876,W877,"f",FALSE)</f>
        <v>45265</v>
      </c>
      <c r="Y877" s="131">
        <f>_xll.qlCalendarAdvance(Calendar,X877,NDays&amp;"D")</f>
        <v>45267</v>
      </c>
      <c r="Z877" s="132">
        <v>1.4967424760719361E-2</v>
      </c>
      <c r="AA877" s="129">
        <v>1.4883124625439947E-2</v>
      </c>
    </row>
    <row r="878" spans="19:27" x14ac:dyDescent="0.2">
      <c r="S878" s="1"/>
      <c r="T878" s="109"/>
      <c r="W878" s="130" t="str">
        <f t="shared" si="23"/>
        <v>1w</v>
      </c>
      <c r="X878" s="128">
        <f>_xll.qlCalendarAdvance(Calendar,X877,W878,"f",FALSE)</f>
        <v>45272</v>
      </c>
      <c r="Y878" s="131">
        <f>_xll.qlCalendarAdvance(Calendar,X878,NDays&amp;"D")</f>
        <v>45274</v>
      </c>
      <c r="Z878" s="132">
        <v>1.4974981403636921E-2</v>
      </c>
      <c r="AA878" s="129">
        <v>1.4893696153572833E-2</v>
      </c>
    </row>
    <row r="879" spans="19:27" x14ac:dyDescent="0.2">
      <c r="S879" s="1"/>
      <c r="T879" s="109"/>
      <c r="W879" s="130" t="str">
        <f t="shared" si="23"/>
        <v>1w</v>
      </c>
      <c r="X879" s="128">
        <f>_xll.qlCalendarAdvance(Calendar,X878,W879,"f",FALSE)</f>
        <v>45279</v>
      </c>
      <c r="Y879" s="131">
        <f>_xll.qlCalendarAdvance(Calendar,X879,NDays&amp;"D")</f>
        <v>45281</v>
      </c>
      <c r="Z879" s="132">
        <v>1.4982062922441241E-2</v>
      </c>
      <c r="AA879" s="129">
        <v>1.4903794316678542E-2</v>
      </c>
    </row>
    <row r="880" spans="19:27" x14ac:dyDescent="0.2">
      <c r="S880" s="1"/>
      <c r="T880" s="109"/>
      <c r="W880" s="130" t="str">
        <f t="shared" si="23"/>
        <v>1w</v>
      </c>
      <c r="X880" s="128">
        <f>_xll.qlCalendarAdvance(Calendar,X879,W880,"f",FALSE)</f>
        <v>45287</v>
      </c>
      <c r="Y880" s="131">
        <f>_xll.qlCalendarAdvance(Calendar,X880,NDays&amp;"D")</f>
        <v>45289</v>
      </c>
      <c r="Z880" s="132">
        <v>1.4988884495932275E-2</v>
      </c>
      <c r="AA880" s="129">
        <v>1.4917662932474318E-2</v>
      </c>
    </row>
    <row r="881" spans="19:27" x14ac:dyDescent="0.2">
      <c r="S881" s="1"/>
      <c r="T881" s="109"/>
      <c r="W881" s="130" t="str">
        <f t="shared" si="23"/>
        <v>1w</v>
      </c>
      <c r="X881" s="128">
        <f>_xll.qlCalendarAdvance(Calendar,X880,W881,"f",FALSE)</f>
        <v>45294</v>
      </c>
      <c r="Y881" s="131">
        <f>_xll.qlCalendarAdvance(Calendar,X881,NDays&amp;"D")</f>
        <v>45296</v>
      </c>
      <c r="Z881" s="132">
        <v>1.4995637686269422E-2</v>
      </c>
      <c r="AA881" s="129">
        <v>1.4925713859632594E-2</v>
      </c>
    </row>
    <row r="882" spans="19:27" x14ac:dyDescent="0.2">
      <c r="S882" s="1"/>
      <c r="T882" s="109"/>
      <c r="W882" s="130" t="str">
        <f t="shared" si="23"/>
        <v>1w</v>
      </c>
      <c r="X882" s="128">
        <f>_xll.qlCalendarAdvance(Calendar,X881,W882,"f",FALSE)</f>
        <v>45301</v>
      </c>
      <c r="Y882" s="131">
        <f>_xll.qlCalendarAdvance(Calendar,X882,NDays&amp;"D")</f>
        <v>45303</v>
      </c>
      <c r="Z882" s="132">
        <v>1.5001225942103763E-2</v>
      </c>
      <c r="AA882" s="129">
        <v>1.4934257388450334E-2</v>
      </c>
    </row>
    <row r="883" spans="19:27" x14ac:dyDescent="0.2">
      <c r="S883" s="1"/>
      <c r="T883" s="109"/>
      <c r="W883" s="130" t="str">
        <f t="shared" si="23"/>
        <v>1w</v>
      </c>
      <c r="X883" s="128">
        <f>_xll.qlCalendarAdvance(Calendar,X882,W883,"f",FALSE)</f>
        <v>45308</v>
      </c>
      <c r="Y883" s="131">
        <f>_xll.qlCalendarAdvance(Calendar,X883,NDays&amp;"D")</f>
        <v>45310</v>
      </c>
      <c r="Z883" s="132">
        <v>1.5006339064403828E-2</v>
      </c>
      <c r="AA883" s="129">
        <v>1.4942327513098874E-2</v>
      </c>
    </row>
    <row r="884" spans="19:27" x14ac:dyDescent="0.2">
      <c r="S884" s="1"/>
      <c r="T884" s="109"/>
      <c r="W884" s="130" t="str">
        <f t="shared" si="23"/>
        <v>1w</v>
      </c>
      <c r="X884" s="128">
        <f>_xll.qlCalendarAdvance(Calendar,X883,W884,"f",FALSE)</f>
        <v>45315</v>
      </c>
      <c r="Y884" s="131">
        <f>_xll.qlCalendarAdvance(Calendar,X884,NDays&amp;"D")</f>
        <v>45317</v>
      </c>
      <c r="Z884" s="132">
        <v>1.5010977051333725E-2</v>
      </c>
      <c r="AA884" s="129">
        <v>1.4949924233444989E-2</v>
      </c>
    </row>
    <row r="885" spans="19:27" x14ac:dyDescent="0.2">
      <c r="S885" s="1"/>
      <c r="T885" s="109"/>
      <c r="W885" s="130" t="str">
        <f t="shared" si="23"/>
        <v>1w</v>
      </c>
      <c r="X885" s="128">
        <f>_xll.qlCalendarAdvance(Calendar,X884,W885,"f",FALSE)</f>
        <v>45322</v>
      </c>
      <c r="Y885" s="131">
        <f>_xll.qlCalendarAdvance(Calendar,X885,NDays&amp;"D")</f>
        <v>45324</v>
      </c>
      <c r="Z885" s="132">
        <v>1.5014618719129125E-2</v>
      </c>
      <c r="AA885" s="129">
        <v>1.4957047549435387E-2</v>
      </c>
    </row>
    <row r="886" spans="19:27" x14ac:dyDescent="0.2">
      <c r="S886" s="1"/>
      <c r="T886" s="109"/>
      <c r="W886" s="130" t="str">
        <f t="shared" si="23"/>
        <v>1w</v>
      </c>
      <c r="X886" s="128">
        <f>_xll.qlCalendarAdvance(Calendar,X885,W886,"f",FALSE)</f>
        <v>45329</v>
      </c>
      <c r="Y886" s="131">
        <f>_xll.qlCalendarAdvance(Calendar,X886,NDays&amp;"D")</f>
        <v>45331</v>
      </c>
      <c r="Z886" s="132">
        <v>1.5018340214131953E-2</v>
      </c>
      <c r="AA886" s="129">
        <v>1.4963697460990133E-2</v>
      </c>
    </row>
    <row r="887" spans="19:27" x14ac:dyDescent="0.2">
      <c r="S887" s="1"/>
      <c r="T887" s="109"/>
      <c r="W887" s="130" t="str">
        <f t="shared" si="23"/>
        <v>1w</v>
      </c>
      <c r="X887" s="128">
        <f>_xll.qlCalendarAdvance(Calendar,X886,W887,"f",FALSE)</f>
        <v>45336</v>
      </c>
      <c r="Y887" s="131">
        <f>_xll.qlCalendarAdvance(Calendar,X887,NDays&amp;"D")</f>
        <v>45338</v>
      </c>
      <c r="Z887" s="132">
        <v>1.5021587460564589E-2</v>
      </c>
      <c r="AA887" s="129">
        <v>1.4969873968055936E-2</v>
      </c>
    </row>
    <row r="888" spans="19:27" x14ac:dyDescent="0.2">
      <c r="S888" s="1"/>
      <c r="T888" s="109"/>
      <c r="W888" s="130" t="str">
        <f t="shared" si="23"/>
        <v>1w</v>
      </c>
      <c r="X888" s="128">
        <f>_xll.qlCalendarAdvance(Calendar,X887,W888,"f",FALSE)</f>
        <v>45343</v>
      </c>
      <c r="Y888" s="131">
        <f>_xll.qlCalendarAdvance(Calendar,X888,NDays&amp;"D")</f>
        <v>45345</v>
      </c>
      <c r="Z888" s="132">
        <v>1.5024390118905551E-2</v>
      </c>
      <c r="AA888" s="129">
        <v>1.4975577070472923E-2</v>
      </c>
    </row>
    <row r="889" spans="19:27" x14ac:dyDescent="0.2">
      <c r="S889" s="1"/>
      <c r="T889" s="109"/>
      <c r="W889" s="130" t="str">
        <f t="shared" si="23"/>
        <v>1w</v>
      </c>
      <c r="X889" s="128">
        <f>_xll.qlCalendarAdvance(Calendar,X888,W889,"f",FALSE)</f>
        <v>45350</v>
      </c>
      <c r="Y889" s="131">
        <f>_xll.qlCalendarAdvance(Calendar,X889,NDays&amp;"D")</f>
        <v>45352</v>
      </c>
      <c r="Z889" s="132">
        <v>1.5028464617698266E-2</v>
      </c>
      <c r="AA889" s="129">
        <v>1.498080676826774E-2</v>
      </c>
    </row>
    <row r="890" spans="19:27" x14ac:dyDescent="0.2">
      <c r="S890" s="1"/>
      <c r="T890" s="109"/>
      <c r="W890" s="130" t="str">
        <f t="shared" si="23"/>
        <v>1w</v>
      </c>
      <c r="X890" s="128">
        <f>_xll.qlCalendarAdvance(Calendar,X889,W890,"f",FALSE)</f>
        <v>45357</v>
      </c>
      <c r="Y890" s="131">
        <f>_xll.qlCalendarAdvance(Calendar,X890,NDays&amp;"D")</f>
        <v>45359</v>
      </c>
      <c r="Z890" s="132">
        <v>1.503054240768684E-2</v>
      </c>
      <c r="AA890" s="129">
        <v>1.4985563061280516E-2</v>
      </c>
    </row>
    <row r="891" spans="19:27" x14ac:dyDescent="0.2">
      <c r="S891" s="1"/>
      <c r="T891" s="109"/>
      <c r="W891" s="130" t="str">
        <f t="shared" si="23"/>
        <v>1w</v>
      </c>
      <c r="X891" s="128">
        <f>_xll.qlCalendarAdvance(Calendar,X890,W891,"f",FALSE)</f>
        <v>45364</v>
      </c>
      <c r="Y891" s="131">
        <f>_xll.qlCalendarAdvance(Calendar,X891,NDays&amp;"D")</f>
        <v>45366</v>
      </c>
      <c r="Z891" s="132">
        <v>1.5032399427556633E-2</v>
      </c>
      <c r="AA891" s="129">
        <v>1.498984594956454E-2</v>
      </c>
    </row>
    <row r="892" spans="19:27" x14ac:dyDescent="0.2">
      <c r="S892" s="1"/>
      <c r="T892" s="109"/>
      <c r="W892" s="130" t="str">
        <f t="shared" si="23"/>
        <v>1w</v>
      </c>
      <c r="X892" s="128">
        <f>_xll.qlCalendarAdvance(Calendar,X891,W892,"f",FALSE)</f>
        <v>45371</v>
      </c>
      <c r="Y892" s="131">
        <f>_xll.qlCalendarAdvance(Calendar,X892,NDays&amp;"D")</f>
        <v>45373</v>
      </c>
      <c r="Z892" s="132">
        <v>1.5034099285150891E-2</v>
      </c>
      <c r="AA892" s="129">
        <v>1.4993655433013231E-2</v>
      </c>
    </row>
    <row r="893" spans="19:27" x14ac:dyDescent="0.2">
      <c r="S893" s="1"/>
      <c r="T893" s="109"/>
      <c r="W893" s="130" t="str">
        <f t="shared" si="23"/>
        <v>1w</v>
      </c>
      <c r="X893" s="128">
        <f>_xll.qlCalendarAdvance(Calendar,X892,W893,"f",FALSE)</f>
        <v>45378</v>
      </c>
      <c r="Y893" s="131">
        <f>_xll.qlCalendarAdvance(Calendar,X893,NDays&amp;"D")</f>
        <v>45384</v>
      </c>
      <c r="Z893" s="132">
        <v>1.503532132536509E-2</v>
      </c>
      <c r="AA893" s="129">
        <v>1.4997654746826683E-2</v>
      </c>
    </row>
    <row r="894" spans="19:27" x14ac:dyDescent="0.2">
      <c r="S894" s="1"/>
      <c r="T894" s="109"/>
      <c r="W894" s="130" t="str">
        <f t="shared" si="23"/>
        <v>1w</v>
      </c>
      <c r="X894" s="128">
        <f>_xll.qlCalendarAdvance(Calendar,X893,W894,"f",FALSE)</f>
        <v>45385</v>
      </c>
      <c r="Y894" s="131">
        <f>_xll.qlCalendarAdvance(Calendar,X894,NDays&amp;"D")</f>
        <v>45387</v>
      </c>
      <c r="Z894" s="132">
        <v>1.50359767502197E-2</v>
      </c>
      <c r="AA894" s="129">
        <v>1.4999854185191452E-2</v>
      </c>
    </row>
    <row r="895" spans="19:27" x14ac:dyDescent="0.2">
      <c r="S895" s="1"/>
      <c r="T895" s="109"/>
      <c r="W895" s="130" t="str">
        <f t="shared" si="23"/>
        <v>1w</v>
      </c>
      <c r="X895" s="128">
        <f>_xll.qlCalendarAdvance(Calendar,X894,W895,"f",FALSE)</f>
        <v>45392</v>
      </c>
      <c r="Y895" s="131">
        <f>_xll.qlCalendarAdvance(Calendar,X895,NDays&amp;"D")</f>
        <v>45394</v>
      </c>
      <c r="Z895" s="132">
        <v>1.5037530924384009E-2</v>
      </c>
      <c r="AA895" s="129">
        <v>1.5002243453894337E-2</v>
      </c>
    </row>
    <row r="896" spans="19:27" x14ac:dyDescent="0.2">
      <c r="S896" s="1"/>
      <c r="T896" s="109"/>
      <c r="W896" s="130" t="str">
        <f t="shared" si="23"/>
        <v>1w</v>
      </c>
      <c r="X896" s="128">
        <f>_xll.qlCalendarAdvance(Calendar,X895,W896,"f",FALSE)</f>
        <v>45399</v>
      </c>
      <c r="Y896" s="131">
        <f>_xll.qlCalendarAdvance(Calendar,X896,NDays&amp;"D")</f>
        <v>45401</v>
      </c>
      <c r="Z896" s="132">
        <v>1.5039173071186723E-2</v>
      </c>
      <c r="AA896" s="129">
        <v>1.5004159317602017E-2</v>
      </c>
    </row>
    <row r="897" spans="19:27" x14ac:dyDescent="0.2">
      <c r="S897" s="1"/>
      <c r="T897" s="109"/>
      <c r="W897" s="130" t="str">
        <f t="shared" si="23"/>
        <v>1w</v>
      </c>
      <c r="X897" s="128">
        <f>_xll.qlCalendarAdvance(Calendar,X896,W897,"f",FALSE)</f>
        <v>45406</v>
      </c>
      <c r="Y897" s="131">
        <f>_xll.qlCalendarAdvance(Calendar,X897,NDays&amp;"D")</f>
        <v>45408</v>
      </c>
      <c r="Z897" s="132">
        <v>1.5040968887788083E-2</v>
      </c>
      <c r="AA897" s="129">
        <v>1.5005601776261202E-2</v>
      </c>
    </row>
    <row r="898" spans="19:27" x14ac:dyDescent="0.2">
      <c r="S898" s="1"/>
      <c r="T898" s="109"/>
      <c r="W898" s="130" t="str">
        <f t="shared" si="23"/>
        <v>1w</v>
      </c>
      <c r="X898" s="128">
        <f>_xll.qlCalendarAdvance(Calendar,X897,W898,"f",FALSE)</f>
        <v>45414</v>
      </c>
      <c r="Y898" s="131">
        <f>_xll.qlCalendarAdvance(Calendar,X898,NDays&amp;"D")</f>
        <v>45418</v>
      </c>
      <c r="Z898" s="132">
        <v>1.5044465305778352E-2</v>
      </c>
      <c r="AA898" s="129">
        <v>1.5006138450646134E-2</v>
      </c>
    </row>
    <row r="899" spans="19:27" x14ac:dyDescent="0.2">
      <c r="S899" s="1"/>
      <c r="T899" s="109"/>
      <c r="W899" s="130" t="str">
        <f t="shared" si="23"/>
        <v>1w</v>
      </c>
      <c r="X899" s="128">
        <f>_xll.qlCalendarAdvance(Calendar,X898,W899,"f",FALSE)</f>
        <v>45421</v>
      </c>
      <c r="Y899" s="131">
        <f>_xll.qlCalendarAdvance(Calendar,X899,NDays&amp;"D")</f>
        <v>45425</v>
      </c>
      <c r="Z899" s="132">
        <v>1.5046934885665896E-2</v>
      </c>
      <c r="AA899" s="129">
        <v>1.500650170471296E-2</v>
      </c>
    </row>
    <row r="900" spans="19:27" x14ac:dyDescent="0.2">
      <c r="S900" s="1"/>
      <c r="T900" s="109"/>
      <c r="W900" s="130" t="str">
        <f t="shared" si="23"/>
        <v>1w</v>
      </c>
      <c r="X900" s="128">
        <f>_xll.qlCalendarAdvance(Calendar,X899,W900,"f",FALSE)</f>
        <v>45428</v>
      </c>
      <c r="Y900" s="131">
        <f>_xll.qlCalendarAdvance(Calendar,X900,NDays&amp;"D")</f>
        <v>45432</v>
      </c>
      <c r="Z900" s="132">
        <v>1.5049772568898638E-2</v>
      </c>
      <c r="AA900" s="129">
        <v>1.5006874906182688E-2</v>
      </c>
    </row>
    <row r="901" spans="19:27" x14ac:dyDescent="0.2">
      <c r="S901" s="1"/>
      <c r="T901" s="109"/>
      <c r="W901" s="130" t="str">
        <f t="shared" si="23"/>
        <v>1w</v>
      </c>
      <c r="X901" s="128">
        <f>_xll.qlCalendarAdvance(Calendar,X900,W901,"f",FALSE)</f>
        <v>45435</v>
      </c>
      <c r="Y901" s="131">
        <f>_xll.qlCalendarAdvance(Calendar,X901,NDays&amp;"D")</f>
        <v>45439</v>
      </c>
      <c r="Z901" s="132">
        <v>1.505298918725205E-2</v>
      </c>
      <c r="AA901" s="129">
        <v>1.5007625604326336E-2</v>
      </c>
    </row>
    <row r="902" spans="19:27" x14ac:dyDescent="0.2">
      <c r="S902" s="1"/>
      <c r="T902" s="109"/>
      <c r="W902" s="130" t="str">
        <f t="shared" si="23"/>
        <v>1w</v>
      </c>
      <c r="X902" s="128">
        <f>_xll.qlCalendarAdvance(Calendar,X901,W902,"f",FALSE)</f>
        <v>45442</v>
      </c>
      <c r="Y902" s="131">
        <f>_xll.qlCalendarAdvance(Calendar,X902,NDays&amp;"D")</f>
        <v>45446</v>
      </c>
      <c r="Z902" s="132">
        <v>1.505658474165409E-2</v>
      </c>
      <c r="AA902" s="129">
        <v>1.500875379922384E-2</v>
      </c>
    </row>
    <row r="903" spans="19:27" x14ac:dyDescent="0.2">
      <c r="S903" s="1"/>
      <c r="T903" s="109"/>
      <c r="W903" s="130" t="str">
        <f t="shared" si="23"/>
        <v>1w</v>
      </c>
      <c r="X903" s="128">
        <f>_xll.qlCalendarAdvance(Calendar,X902,W903,"f",FALSE)</f>
        <v>45449</v>
      </c>
      <c r="Y903" s="131">
        <f>_xll.qlCalendarAdvance(Calendar,X903,NDays&amp;"D")</f>
        <v>45453</v>
      </c>
      <c r="Z903" s="132">
        <v>1.5060559233148269E-2</v>
      </c>
      <c r="AA903" s="129">
        <v>1.50102594908752E-2</v>
      </c>
    </row>
    <row r="904" spans="19:27" x14ac:dyDescent="0.2">
      <c r="S904" s="1"/>
      <c r="T904" s="109"/>
      <c r="W904" s="130" t="str">
        <f t="shared" si="23"/>
        <v>1w</v>
      </c>
      <c r="X904" s="128">
        <f>_xll.qlCalendarAdvance(Calendar,X903,W904,"f",FALSE)</f>
        <v>45456</v>
      </c>
      <c r="Y904" s="131">
        <f>_xll.qlCalendarAdvance(Calendar,X904,NDays&amp;"D")</f>
        <v>45460</v>
      </c>
      <c r="Z904" s="132">
        <v>1.5064912662883236E-2</v>
      </c>
      <c r="AA904" s="129">
        <v>1.5012142679120544E-2</v>
      </c>
    </row>
    <row r="905" spans="19:27" x14ac:dyDescent="0.2">
      <c r="S905" s="1"/>
      <c r="T905" s="109"/>
      <c r="W905" s="130" t="str">
        <f t="shared" si="23"/>
        <v>1w</v>
      </c>
      <c r="X905" s="128">
        <f>_xll.qlCalendarAdvance(Calendar,X904,W905,"f",FALSE)</f>
        <v>45463</v>
      </c>
      <c r="Y905" s="131">
        <f>_xll.qlCalendarAdvance(Calendar,X905,NDays&amp;"D")</f>
        <v>45467</v>
      </c>
      <c r="Z905" s="132">
        <v>1.5069645032118849E-2</v>
      </c>
      <c r="AA905" s="129">
        <v>1.5014403364119744E-2</v>
      </c>
    </row>
    <row r="906" spans="19:27" x14ac:dyDescent="0.2">
      <c r="S906" s="1"/>
      <c r="T906" s="109"/>
      <c r="W906" s="130" t="str">
        <f t="shared" si="23"/>
        <v>1w</v>
      </c>
      <c r="X906" s="128">
        <f>_xll.qlCalendarAdvance(Calendar,X905,W906,"f",FALSE)</f>
        <v>45470</v>
      </c>
      <c r="Y906" s="131">
        <f>_xll.qlCalendarAdvance(Calendar,X906,NDays&amp;"D")</f>
        <v>45474</v>
      </c>
      <c r="Z906" s="132">
        <v>1.5074756342226187E-2</v>
      </c>
      <c r="AA906" s="129">
        <v>1.5017041545952736E-2</v>
      </c>
    </row>
    <row r="907" spans="19:27" x14ac:dyDescent="0.2">
      <c r="S907" s="1"/>
      <c r="T907" s="109"/>
      <c r="W907" s="130" t="str">
        <f t="shared" si="23"/>
        <v>1w</v>
      </c>
      <c r="X907" s="128">
        <f>_xll.qlCalendarAdvance(Calendar,X906,W907,"f",FALSE)</f>
        <v>45477</v>
      </c>
      <c r="Y907" s="131">
        <f>_xll.qlCalendarAdvance(Calendar,X907,NDays&amp;"D")</f>
        <v>45481</v>
      </c>
      <c r="Z907" s="132">
        <v>1.5080246594681461E-2</v>
      </c>
      <c r="AA907" s="129">
        <v>1.5020057224379713E-2</v>
      </c>
    </row>
    <row r="908" spans="19:27" x14ac:dyDescent="0.2">
      <c r="S908" s="1"/>
      <c r="T908" s="109"/>
      <c r="W908" s="130" t="str">
        <f t="shared" si="23"/>
        <v>1w</v>
      </c>
      <c r="X908" s="128">
        <f>_xll.qlCalendarAdvance(Calendar,X907,W908,"f",FALSE)</f>
        <v>45484</v>
      </c>
      <c r="Y908" s="131">
        <f>_xll.qlCalendarAdvance(Calendar,X908,NDays&amp;"D")</f>
        <v>45488</v>
      </c>
      <c r="Z908" s="132">
        <v>1.5086115791077308E-2</v>
      </c>
      <c r="AA908" s="129">
        <v>1.5023450399560545E-2</v>
      </c>
    </row>
    <row r="909" spans="19:27" x14ac:dyDescent="0.2">
      <c r="S909" s="1"/>
      <c r="T909" s="109"/>
      <c r="W909" s="130" t="str">
        <f t="shared" si="23"/>
        <v>1w</v>
      </c>
      <c r="X909" s="128">
        <f>_xll.qlCalendarAdvance(Calendar,X908,W909,"f",FALSE)</f>
        <v>45491</v>
      </c>
      <c r="Y909" s="131">
        <f>_xll.qlCalendarAdvance(Calendar,X909,NDays&amp;"D")</f>
        <v>45495</v>
      </c>
      <c r="Z909" s="132">
        <v>1.5092363933109764E-2</v>
      </c>
      <c r="AA909" s="129">
        <v>1.502722107157517E-2</v>
      </c>
    </row>
    <row r="910" spans="19:27" x14ac:dyDescent="0.2">
      <c r="S910" s="1"/>
      <c r="T910" s="109"/>
      <c r="W910" s="130" t="str">
        <f t="shared" si="23"/>
        <v>1w</v>
      </c>
      <c r="X910" s="128">
        <f>_xll.qlCalendarAdvance(Calendar,X909,W910,"f",FALSE)</f>
        <v>45498</v>
      </c>
      <c r="Y910" s="131">
        <f>_xll.qlCalendarAdvance(Calendar,X910,NDays&amp;"D")</f>
        <v>45502</v>
      </c>
      <c r="Z910" s="132">
        <v>1.5098991022587818E-2</v>
      </c>
      <c r="AA910" s="129">
        <v>1.5031369240263714E-2</v>
      </c>
    </row>
    <row r="911" spans="19:27" x14ac:dyDescent="0.2">
      <c r="S911" s="1"/>
      <c r="T911" s="109"/>
      <c r="W911" s="130" t="str">
        <f t="shared" si="23"/>
        <v>1w</v>
      </c>
      <c r="X911" s="128">
        <f>_xll.qlCalendarAdvance(Calendar,X910,W911,"f",FALSE)</f>
        <v>45505</v>
      </c>
      <c r="Y911" s="131">
        <f>_xll.qlCalendarAdvance(Calendar,X911,NDays&amp;"D")</f>
        <v>45509</v>
      </c>
      <c r="Z911" s="132">
        <v>1.5105997061429064E-2</v>
      </c>
      <c r="AA911" s="129">
        <v>1.5035894905865987E-2</v>
      </c>
    </row>
    <row r="912" spans="19:27" x14ac:dyDescent="0.2">
      <c r="S912" s="1"/>
      <c r="T912" s="109"/>
      <c r="W912" s="130" t="str">
        <f t="shared" si="23"/>
        <v>1w</v>
      </c>
      <c r="X912" s="128">
        <f>_xll.qlCalendarAdvance(Calendar,X911,W912,"f",FALSE)</f>
        <v>45512</v>
      </c>
      <c r="Y912" s="131">
        <f>_xll.qlCalendarAdvance(Calendar,X912,NDays&amp;"D")</f>
        <v>45516</v>
      </c>
      <c r="Z912" s="132">
        <v>1.5113382051661448E-2</v>
      </c>
      <c r="AA912" s="129">
        <v>1.504079806814218E-2</v>
      </c>
    </row>
    <row r="913" spans="19:27" x14ac:dyDescent="0.2">
      <c r="S913" s="1"/>
      <c r="T913" s="109"/>
      <c r="W913" s="130" t="str">
        <f t="shared" si="23"/>
        <v>1w</v>
      </c>
      <c r="X913" s="128">
        <f>_xll.qlCalendarAdvance(Calendar,X912,W913,"f",FALSE)</f>
        <v>45519</v>
      </c>
      <c r="Y913" s="131">
        <f>_xll.qlCalendarAdvance(Calendar,X913,NDays&amp;"D")</f>
        <v>45523</v>
      </c>
      <c r="Z913" s="132">
        <v>1.5121145995422388E-2</v>
      </c>
      <c r="AA913" s="129">
        <v>1.5046078727252166E-2</v>
      </c>
    </row>
    <row r="914" spans="19:27" x14ac:dyDescent="0.2">
      <c r="S914" s="1"/>
      <c r="T914" s="109"/>
      <c r="W914" s="130" t="str">
        <f t="shared" si="23"/>
        <v>1w</v>
      </c>
      <c r="X914" s="128">
        <f>_xll.qlCalendarAdvance(Calendar,X913,W914,"f",FALSE)</f>
        <v>45526</v>
      </c>
      <c r="Y914" s="131">
        <f>_xll.qlCalendarAdvance(Calendar,X914,NDays&amp;"D")</f>
        <v>45530</v>
      </c>
      <c r="Z914" s="132">
        <v>1.5129288894957914E-2</v>
      </c>
      <c r="AA914" s="129">
        <v>1.5051736883195943E-2</v>
      </c>
    </row>
    <row r="915" spans="19:27" x14ac:dyDescent="0.2">
      <c r="S915" s="1"/>
      <c r="T915" s="109"/>
      <c r="W915" s="130" t="str">
        <f t="shared" si="23"/>
        <v>1w</v>
      </c>
      <c r="X915" s="128">
        <f>_xll.qlCalendarAdvance(Calendar,X914,W915,"f",FALSE)</f>
        <v>45533</v>
      </c>
      <c r="Y915" s="131">
        <f>_xll.qlCalendarAdvance(Calendar,X915,NDays&amp;"D")</f>
        <v>45537</v>
      </c>
      <c r="Z915" s="132">
        <v>1.5136812687198456E-2</v>
      </c>
      <c r="AA915" s="129">
        <v>1.5057772535973513E-2</v>
      </c>
    </row>
    <row r="916" spans="19:27" x14ac:dyDescent="0.2">
      <c r="S916" s="1"/>
      <c r="T916" s="109"/>
      <c r="W916" s="130" t="str">
        <f t="shared" si="23"/>
        <v>1w</v>
      </c>
      <c r="X916" s="128">
        <f>_xll.qlCalendarAdvance(Calendar,X915,W916,"f",FALSE)</f>
        <v>45540</v>
      </c>
      <c r="Y916" s="131">
        <f>_xll.qlCalendarAdvance(Calendar,X916,NDays&amp;"D")</f>
        <v>45544</v>
      </c>
      <c r="Z916" s="132">
        <v>1.5145686064131901E-2</v>
      </c>
      <c r="AA916" s="129">
        <v>1.5064185685584874E-2</v>
      </c>
    </row>
    <row r="917" spans="19:27" x14ac:dyDescent="0.2">
      <c r="S917" s="1"/>
      <c r="T917" s="109"/>
      <c r="W917" s="130" t="str">
        <f t="shared" ref="W917:W980" si="24">W916</f>
        <v>1w</v>
      </c>
      <c r="X917" s="128">
        <f>_xll.qlCalendarAdvance(Calendar,X916,W917,"f",FALSE)</f>
        <v>45547</v>
      </c>
      <c r="Y917" s="131">
        <f>_xll.qlCalendarAdvance(Calendar,X917,NDays&amp;"D")</f>
        <v>45551</v>
      </c>
      <c r="Z917" s="132">
        <v>1.515493838790585E-2</v>
      </c>
      <c r="AA917" s="129">
        <v>1.50709763321899E-2</v>
      </c>
    </row>
    <row r="918" spans="19:27" x14ac:dyDescent="0.2">
      <c r="S918" s="1"/>
      <c r="T918" s="109"/>
      <c r="W918" s="130" t="str">
        <f t="shared" si="24"/>
        <v>1w</v>
      </c>
      <c r="X918" s="128">
        <f>_xll.qlCalendarAdvance(Calendar,X917,W918,"f",FALSE)</f>
        <v>45554</v>
      </c>
      <c r="Y918" s="131">
        <f>_xll.qlCalendarAdvance(Calendar,X918,NDays&amp;"D")</f>
        <v>45558</v>
      </c>
      <c r="Z918" s="132">
        <v>1.5164569661168727E-2</v>
      </c>
      <c r="AA918" s="129">
        <v>1.5078144475548783E-2</v>
      </c>
    </row>
    <row r="919" spans="19:27" x14ac:dyDescent="0.2">
      <c r="S919" s="1"/>
      <c r="T919" s="109"/>
      <c r="W919" s="130" t="str">
        <f t="shared" si="24"/>
        <v>1w</v>
      </c>
      <c r="X919" s="128">
        <f>_xll.qlCalendarAdvance(Calendar,X918,W919,"f",FALSE)</f>
        <v>45561</v>
      </c>
      <c r="Y919" s="131">
        <f>_xll.qlCalendarAdvance(Calendar,X919,NDays&amp;"D")</f>
        <v>45565</v>
      </c>
      <c r="Z919" s="132">
        <v>1.5175687815587025E-2</v>
      </c>
      <c r="AA919" s="129">
        <v>1.5085690115981265E-2</v>
      </c>
    </row>
    <row r="920" spans="19:27" x14ac:dyDescent="0.2">
      <c r="S920" s="1"/>
      <c r="T920" s="109"/>
      <c r="W920" s="130" t="str">
        <f t="shared" si="24"/>
        <v>1w</v>
      </c>
      <c r="X920" s="128">
        <f>_xll.qlCalendarAdvance(Calendar,X919,W920,"f",FALSE)</f>
        <v>45568</v>
      </c>
      <c r="Y920" s="131">
        <f>_xll.qlCalendarAdvance(Calendar,X920,NDays&amp;"D")</f>
        <v>45572</v>
      </c>
      <c r="Z920" s="132">
        <v>1.5186104503101322E-2</v>
      </c>
      <c r="AA920" s="129">
        <v>1.509361325324754E-2</v>
      </c>
    </row>
    <row r="921" spans="19:27" x14ac:dyDescent="0.2">
      <c r="S921" s="1"/>
      <c r="T921" s="109"/>
      <c r="W921" s="130" t="str">
        <f t="shared" si="24"/>
        <v>1w</v>
      </c>
      <c r="X921" s="128">
        <f>_xll.qlCalendarAdvance(Calendar,X920,W921,"f",FALSE)</f>
        <v>45575</v>
      </c>
      <c r="Y921" s="131">
        <f>_xll.qlCalendarAdvance(Calendar,X921,NDays&amp;"D")</f>
        <v>45579</v>
      </c>
      <c r="Z921" s="132">
        <v>1.5196900165191689E-2</v>
      </c>
      <c r="AA921" s="129">
        <v>1.5101913887587415E-2</v>
      </c>
    </row>
    <row r="922" spans="19:27" x14ac:dyDescent="0.2">
      <c r="S922" s="1"/>
      <c r="T922" s="109"/>
      <c r="W922" s="130" t="str">
        <f t="shared" si="24"/>
        <v>1w</v>
      </c>
      <c r="X922" s="128">
        <f>_xll.qlCalendarAdvance(Calendar,X921,W922,"f",FALSE)</f>
        <v>45582</v>
      </c>
      <c r="Y922" s="131">
        <f>_xll.qlCalendarAdvance(Calendar,X922,NDays&amp;"D")</f>
        <v>45586</v>
      </c>
      <c r="Z922" s="132">
        <v>1.5208074804980843E-2</v>
      </c>
      <c r="AA922" s="129">
        <v>1.5110592018920954E-2</v>
      </c>
    </row>
    <row r="923" spans="19:27" x14ac:dyDescent="0.2">
      <c r="S923" s="1"/>
      <c r="T923" s="109"/>
      <c r="W923" s="130" t="str">
        <f t="shared" si="24"/>
        <v>1w</v>
      </c>
      <c r="X923" s="128">
        <f>_xll.qlCalendarAdvance(Calendar,X922,W923,"f",FALSE)</f>
        <v>45589</v>
      </c>
      <c r="Y923" s="131">
        <f>_xll.qlCalendarAdvance(Calendar,X923,NDays&amp;"D")</f>
        <v>45593</v>
      </c>
      <c r="Z923" s="132">
        <v>1.5219628425701851E-2</v>
      </c>
      <c r="AA923" s="129">
        <v>1.5119647647168222E-2</v>
      </c>
    </row>
    <row r="924" spans="19:27" x14ac:dyDescent="0.2">
      <c r="S924" s="1"/>
      <c r="T924" s="109"/>
      <c r="W924" s="130" t="str">
        <f t="shared" si="24"/>
        <v>1w</v>
      </c>
      <c r="X924" s="128">
        <f>_xll.qlCalendarAdvance(Calendar,X923,W924,"f",FALSE)</f>
        <v>45596</v>
      </c>
      <c r="Y924" s="131">
        <f>_xll.qlCalendarAdvance(Calendar,X924,NDays&amp;"D")</f>
        <v>45600</v>
      </c>
      <c r="Z924" s="132">
        <v>1.5231561030700733E-2</v>
      </c>
      <c r="AA924" s="129">
        <v>1.5129080772569026E-2</v>
      </c>
    </row>
    <row r="925" spans="19:27" x14ac:dyDescent="0.2">
      <c r="S925" s="1"/>
      <c r="T925" s="109"/>
      <c r="W925" s="130" t="str">
        <f t="shared" si="24"/>
        <v>1w</v>
      </c>
      <c r="X925" s="128">
        <f>_xll.qlCalendarAdvance(Calendar,X924,W925,"f",FALSE)</f>
        <v>45603</v>
      </c>
      <c r="Y925" s="131">
        <f>_xll.qlCalendarAdvance(Calendar,X925,NDays&amp;"D")</f>
        <v>45607</v>
      </c>
      <c r="Z925" s="132">
        <v>1.5243872623430377E-2</v>
      </c>
      <c r="AA925" s="129">
        <v>1.513889139504343E-2</v>
      </c>
    </row>
    <row r="926" spans="19:27" x14ac:dyDescent="0.2">
      <c r="S926" s="1"/>
      <c r="T926" s="109"/>
      <c r="W926" s="130" t="str">
        <f t="shared" si="24"/>
        <v>1w</v>
      </c>
      <c r="X926" s="128">
        <f>_xll.qlCalendarAdvance(Calendar,X925,W926,"f",FALSE)</f>
        <v>45610</v>
      </c>
      <c r="Y926" s="131">
        <f>_xll.qlCalendarAdvance(Calendar,X926,NDays&amp;"D")</f>
        <v>45614</v>
      </c>
      <c r="Z926" s="132">
        <v>1.5256563207452284E-2</v>
      </c>
      <c r="AA926" s="129">
        <v>1.5149079514591435E-2</v>
      </c>
    </row>
    <row r="927" spans="19:27" x14ac:dyDescent="0.2">
      <c r="S927" s="1"/>
      <c r="T927" s="109"/>
      <c r="W927" s="130" t="str">
        <f t="shared" si="24"/>
        <v>1w</v>
      </c>
      <c r="X927" s="128">
        <f>_xll.qlCalendarAdvance(Calendar,X926,W927,"f",FALSE)</f>
        <v>45617</v>
      </c>
      <c r="Y927" s="131">
        <f>_xll.qlCalendarAdvance(Calendar,X927,NDays&amp;"D")</f>
        <v>45621</v>
      </c>
      <c r="Z927" s="132">
        <v>1.5269632786441775E-2</v>
      </c>
      <c r="AA927" s="129">
        <v>1.5159645131372912E-2</v>
      </c>
    </row>
    <row r="928" spans="19:27" x14ac:dyDescent="0.2">
      <c r="S928" s="1"/>
      <c r="T928" s="109"/>
      <c r="W928" s="130" t="str">
        <f t="shared" si="24"/>
        <v>1w</v>
      </c>
      <c r="X928" s="128">
        <f>_xll.qlCalendarAdvance(Calendar,X927,W928,"f",FALSE)</f>
        <v>45624</v>
      </c>
      <c r="Y928" s="131">
        <f>_xll.qlCalendarAdvance(Calendar,X928,NDays&amp;"D")</f>
        <v>45628</v>
      </c>
      <c r="Z928" s="132">
        <v>1.528172527596847E-2</v>
      </c>
      <c r="AA928" s="129">
        <v>1.5170588245307925E-2</v>
      </c>
    </row>
    <row r="929" spans="19:27" x14ac:dyDescent="0.2">
      <c r="S929" s="1"/>
      <c r="T929" s="109"/>
      <c r="W929" s="130" t="str">
        <f t="shared" si="24"/>
        <v>1w</v>
      </c>
      <c r="X929" s="128">
        <f>_xll.qlCalendarAdvance(Calendar,X928,W929,"f",FALSE)</f>
        <v>45631</v>
      </c>
      <c r="Y929" s="131">
        <f>_xll.qlCalendarAdvance(Calendar,X929,NDays&amp;"D")</f>
        <v>45635</v>
      </c>
      <c r="Z929" s="132">
        <v>1.5295525199447576E-2</v>
      </c>
      <c r="AA929" s="129">
        <v>1.5181908856396475E-2</v>
      </c>
    </row>
    <row r="930" spans="19:27" x14ac:dyDescent="0.2">
      <c r="S930" s="1"/>
      <c r="T930" s="109"/>
      <c r="W930" s="130" t="str">
        <f t="shared" si="24"/>
        <v>1w</v>
      </c>
      <c r="X930" s="128">
        <f>_xll.qlCalendarAdvance(Calendar,X929,W930,"f",FALSE)</f>
        <v>45638</v>
      </c>
      <c r="Y930" s="131">
        <f>_xll.qlCalendarAdvance(Calendar,X930,NDays&amp;"D")</f>
        <v>45642</v>
      </c>
      <c r="Z930" s="132">
        <v>1.5309704112661223E-2</v>
      </c>
      <c r="AA930" s="129">
        <v>1.5193606964718498E-2</v>
      </c>
    </row>
    <row r="931" spans="19:27" x14ac:dyDescent="0.2">
      <c r="S931" s="1"/>
      <c r="T931" s="109"/>
      <c r="W931" s="130" t="str">
        <f t="shared" si="24"/>
        <v>1w</v>
      </c>
      <c r="X931" s="128">
        <f>_xll.qlCalendarAdvance(Calendar,X930,W931,"f",FALSE)</f>
        <v>45645</v>
      </c>
      <c r="Y931" s="131">
        <f>_xll.qlCalendarAdvance(Calendar,X931,NDays&amp;"D")</f>
        <v>45649</v>
      </c>
      <c r="Z931" s="132">
        <v>1.53242620196677E-2</v>
      </c>
      <c r="AA931" s="129">
        <v>1.5205682570433865E-2</v>
      </c>
    </row>
    <row r="932" spans="19:27" x14ac:dyDescent="0.2">
      <c r="S932" s="1"/>
      <c r="T932" s="109"/>
      <c r="W932" s="130" t="str">
        <f t="shared" si="24"/>
        <v>1w</v>
      </c>
      <c r="X932" s="128">
        <f>_xll.qlCalendarAdvance(Calendar,X931,W932,"f",FALSE)</f>
        <v>45653</v>
      </c>
      <c r="Y932" s="131">
        <f>_xll.qlCalendarAdvance(Calendar,X932,NDays&amp;"D")</f>
        <v>45657</v>
      </c>
      <c r="Z932" s="132">
        <v>1.5339895614614463E-2</v>
      </c>
      <c r="AA932" s="129">
        <v>1.5221176041699813E-2</v>
      </c>
    </row>
    <row r="933" spans="19:27" x14ac:dyDescent="0.2">
      <c r="S933" s="1"/>
      <c r="T933" s="109"/>
      <c r="W933" s="130" t="str">
        <f t="shared" si="24"/>
        <v>1w</v>
      </c>
      <c r="X933" s="128">
        <f>_xll.qlCalendarAdvance(Calendar,X932,W933,"f",FALSE)</f>
        <v>45660</v>
      </c>
      <c r="Y933" s="131">
        <f>_xll.qlCalendarAdvance(Calendar,X933,NDays&amp;"D")</f>
        <v>45664</v>
      </c>
      <c r="Z933" s="132">
        <v>1.5355237940510413E-2</v>
      </c>
      <c r="AA933" s="129">
        <v>1.5232830032791966E-2</v>
      </c>
    </row>
    <row r="934" spans="19:27" x14ac:dyDescent="0.2">
      <c r="S934" s="1"/>
      <c r="T934" s="109"/>
      <c r="W934" s="130" t="str">
        <f t="shared" si="24"/>
        <v>1w</v>
      </c>
      <c r="X934" s="128">
        <f>_xll.qlCalendarAdvance(Calendar,X933,W934,"f",FALSE)</f>
        <v>45667</v>
      </c>
      <c r="Y934" s="131">
        <f>_xll.qlCalendarAdvance(Calendar,X934,NDays&amp;"D")</f>
        <v>45671</v>
      </c>
      <c r="Z934" s="132">
        <v>1.5370959256537198E-2</v>
      </c>
      <c r="AA934" s="129">
        <v>1.5246092058749383E-2</v>
      </c>
    </row>
    <row r="935" spans="19:27" x14ac:dyDescent="0.2">
      <c r="S935" s="1"/>
      <c r="T935" s="109"/>
      <c r="W935" s="130" t="str">
        <f t="shared" si="24"/>
        <v>1w</v>
      </c>
      <c r="X935" s="128">
        <f>_xll.qlCalendarAdvance(Calendar,X934,W935,"f",FALSE)</f>
        <v>45674</v>
      </c>
      <c r="Y935" s="131">
        <f>_xll.qlCalendarAdvance(Calendar,X935,NDays&amp;"D")</f>
        <v>45678</v>
      </c>
      <c r="Z935" s="132">
        <v>1.5388610885548338E-2</v>
      </c>
      <c r="AA935" s="129">
        <v>1.5259731582180081E-2</v>
      </c>
    </row>
    <row r="936" spans="19:27" x14ac:dyDescent="0.2">
      <c r="S936" s="1"/>
      <c r="T936" s="109"/>
      <c r="W936" s="130" t="str">
        <f t="shared" si="24"/>
        <v>1w</v>
      </c>
      <c r="X936" s="128">
        <f>_xll.qlCalendarAdvance(Calendar,X935,W936,"f",FALSE)</f>
        <v>45681</v>
      </c>
      <c r="Y936" s="131">
        <f>_xll.qlCalendarAdvance(Calendar,X936,NDays&amp;"D")</f>
        <v>45685</v>
      </c>
      <c r="Z936" s="132">
        <v>1.5403538876895162E-2</v>
      </c>
      <c r="AA936" s="129">
        <v>1.5273748603163995E-2</v>
      </c>
    </row>
    <row r="937" spans="19:27" x14ac:dyDescent="0.2">
      <c r="S937" s="1"/>
      <c r="T937" s="109"/>
      <c r="W937" s="130" t="str">
        <f t="shared" si="24"/>
        <v>1w</v>
      </c>
      <c r="X937" s="128">
        <f>_xll.qlCalendarAdvance(Calendar,X936,W937,"f",FALSE)</f>
        <v>45688</v>
      </c>
      <c r="Y937" s="131">
        <f>_xll.qlCalendarAdvance(Calendar,X937,NDays&amp;"D")</f>
        <v>45692</v>
      </c>
      <c r="Z937" s="132">
        <v>1.5420397190450963E-2</v>
      </c>
      <c r="AA937" s="129">
        <v>1.5288143121701125E-2</v>
      </c>
    </row>
    <row r="938" spans="19:27" x14ac:dyDescent="0.2">
      <c r="S938" s="1"/>
      <c r="T938" s="109"/>
      <c r="W938" s="130" t="str">
        <f t="shared" si="24"/>
        <v>1w</v>
      </c>
      <c r="X938" s="128">
        <f>_xll.qlCalendarAdvance(Calendar,X937,W938,"f",FALSE)</f>
        <v>45695</v>
      </c>
      <c r="Y938" s="131">
        <f>_xll.qlCalendarAdvance(Calendar,X938,NDays&amp;"D")</f>
        <v>45699</v>
      </c>
      <c r="Z938" s="132">
        <v>1.5437634512584175E-2</v>
      </c>
      <c r="AA938" s="129">
        <v>1.5302915137711537E-2</v>
      </c>
    </row>
    <row r="939" spans="19:27" x14ac:dyDescent="0.2">
      <c r="S939" s="1"/>
      <c r="T939" s="109"/>
      <c r="W939" s="130" t="str">
        <f t="shared" si="24"/>
        <v>1w</v>
      </c>
      <c r="X939" s="128">
        <f>_xll.qlCalendarAdvance(Calendar,X938,W939,"f",FALSE)</f>
        <v>45702</v>
      </c>
      <c r="Y939" s="131">
        <f>_xll.qlCalendarAdvance(Calendar,X939,NDays&amp;"D")</f>
        <v>45706</v>
      </c>
      <c r="Z939" s="132">
        <v>1.545524619171168E-2</v>
      </c>
      <c r="AA939" s="129">
        <v>1.5318064651435037E-2</v>
      </c>
    </row>
    <row r="940" spans="19:27" x14ac:dyDescent="0.2">
      <c r="S940" s="1"/>
      <c r="T940" s="109"/>
      <c r="W940" s="130" t="str">
        <f t="shared" si="24"/>
        <v>1w</v>
      </c>
      <c r="X940" s="128">
        <f>_xll.qlCalendarAdvance(Calendar,X939,W940,"f",FALSE)</f>
        <v>45709</v>
      </c>
      <c r="Y940" s="131">
        <f>_xll.qlCalendarAdvance(Calendar,X940,NDays&amp;"D")</f>
        <v>45713</v>
      </c>
      <c r="Z940" s="132">
        <v>1.5473198839707436E-2</v>
      </c>
      <c r="AA940" s="129">
        <v>1.5333591662711754E-2</v>
      </c>
    </row>
    <row r="941" spans="19:27" x14ac:dyDescent="0.2">
      <c r="S941" s="1"/>
      <c r="T941" s="109"/>
      <c r="W941" s="130" t="str">
        <f t="shared" si="24"/>
        <v>1w</v>
      </c>
      <c r="X941" s="128">
        <f>_xll.qlCalendarAdvance(Calendar,X940,W941,"f",FALSE)</f>
        <v>45716</v>
      </c>
      <c r="Y941" s="131">
        <f>_xll.qlCalendarAdvance(Calendar,X941,NDays&amp;"D")</f>
        <v>45720</v>
      </c>
      <c r="Z941" s="132">
        <v>1.5494835184038889E-2</v>
      </c>
      <c r="AA941" s="129">
        <v>1.5349496171861432E-2</v>
      </c>
    </row>
    <row r="942" spans="19:27" x14ac:dyDescent="0.2">
      <c r="S942" s="1"/>
      <c r="T942" s="109"/>
      <c r="W942" s="130" t="str">
        <f t="shared" si="24"/>
        <v>1w</v>
      </c>
      <c r="X942" s="128">
        <f>_xll.qlCalendarAdvance(Calendar,X941,W942,"f",FALSE)</f>
        <v>45723</v>
      </c>
      <c r="Y942" s="131">
        <f>_xll.qlCalendarAdvance(Calendar,X942,NDays&amp;"D")</f>
        <v>45727</v>
      </c>
      <c r="Z942" s="132">
        <v>1.5513354540124065E-2</v>
      </c>
      <c r="AA942" s="129">
        <v>1.5365778178724199E-2</v>
      </c>
    </row>
    <row r="943" spans="19:27" x14ac:dyDescent="0.2">
      <c r="S943" s="1"/>
      <c r="T943" s="109"/>
      <c r="W943" s="130" t="str">
        <f t="shared" si="24"/>
        <v>1w</v>
      </c>
      <c r="X943" s="128">
        <f>_xll.qlCalendarAdvance(Calendar,X942,W943,"f",FALSE)</f>
        <v>45730</v>
      </c>
      <c r="Y943" s="131">
        <f>_xll.qlCalendarAdvance(Calendar,X943,NDays&amp;"D")</f>
        <v>45734</v>
      </c>
      <c r="Z943" s="132">
        <v>1.5532073138507557E-2</v>
      </c>
      <c r="AA943" s="129">
        <v>1.5382437683539862E-2</v>
      </c>
    </row>
    <row r="944" spans="19:27" x14ac:dyDescent="0.2">
      <c r="S944" s="1"/>
      <c r="T944" s="109"/>
      <c r="W944" s="130" t="str">
        <f t="shared" si="24"/>
        <v>1w</v>
      </c>
      <c r="X944" s="128">
        <f>_xll.qlCalendarAdvance(Calendar,X943,W944,"f",FALSE)</f>
        <v>45737</v>
      </c>
      <c r="Y944" s="131">
        <f>_xll.qlCalendarAdvance(Calendar,X944,NDays&amp;"D")</f>
        <v>45741</v>
      </c>
      <c r="Z944" s="132">
        <v>1.5550947575961389E-2</v>
      </c>
      <c r="AA944" s="129">
        <v>1.5399474686068615E-2</v>
      </c>
    </row>
    <row r="945" spans="19:27" x14ac:dyDescent="0.2">
      <c r="S945" s="1"/>
      <c r="T945" s="109"/>
      <c r="W945" s="130" t="str">
        <f t="shared" si="24"/>
        <v>1w</v>
      </c>
      <c r="X945" s="128">
        <f>_xll.qlCalendarAdvance(Calendar,X944,W945,"f",FALSE)</f>
        <v>45744</v>
      </c>
      <c r="Y945" s="131">
        <f>_xll.qlCalendarAdvance(Calendar,X945,NDays&amp;"D")</f>
        <v>45748</v>
      </c>
      <c r="Z945" s="132">
        <v>1.5568229747399291E-2</v>
      </c>
      <c r="AA945" s="129">
        <v>1.5416889186550264E-2</v>
      </c>
    </row>
    <row r="946" spans="19:27" x14ac:dyDescent="0.2">
      <c r="S946" s="1"/>
      <c r="T946" s="109"/>
      <c r="W946" s="130" t="str">
        <f t="shared" si="24"/>
        <v>1w</v>
      </c>
      <c r="X946" s="128">
        <f>_xll.qlCalendarAdvance(Calendar,X945,W946,"f",FALSE)</f>
        <v>45751</v>
      </c>
      <c r="Y946" s="131">
        <f>_xll.qlCalendarAdvance(Calendar,X946,NDays&amp;"D")</f>
        <v>45755</v>
      </c>
      <c r="Z946" s="132">
        <v>1.5587291264387416E-2</v>
      </c>
      <c r="AA946" s="129">
        <v>1.5434681185064747E-2</v>
      </c>
    </row>
    <row r="947" spans="19:27" x14ac:dyDescent="0.2">
      <c r="S947" s="1"/>
      <c r="T947" s="109"/>
      <c r="W947" s="130" t="str">
        <f t="shared" si="24"/>
        <v>1w</v>
      </c>
      <c r="X947" s="128">
        <f>_xll.qlCalendarAdvance(Calendar,X946,W947,"f",FALSE)</f>
        <v>45758</v>
      </c>
      <c r="Y947" s="131">
        <f>_xll.qlCalendarAdvance(Calendar,X947,NDays&amp;"D")</f>
        <v>45762</v>
      </c>
      <c r="Z947" s="132">
        <v>1.5606380788659066E-2</v>
      </c>
      <c r="AA947" s="129">
        <v>1.5452850681691999E-2</v>
      </c>
    </row>
    <row r="948" spans="19:27" x14ac:dyDescent="0.2">
      <c r="S948" s="1"/>
      <c r="T948" s="109"/>
      <c r="W948" s="130" t="str">
        <f t="shared" si="24"/>
        <v>1w</v>
      </c>
      <c r="X948" s="128">
        <f>_xll.qlCalendarAdvance(Calendar,X947,W948,"f",FALSE)</f>
        <v>45769</v>
      </c>
      <c r="Y948" s="131">
        <f>_xll.qlCalendarAdvance(Calendar,X948,NDays&amp;"D")</f>
        <v>45771</v>
      </c>
      <c r="Z948" s="132">
        <v>1.5630894996238105E-2</v>
      </c>
      <c r="AA948" s="129">
        <v>1.5476766154094435E-2</v>
      </c>
    </row>
    <row r="949" spans="19:27" x14ac:dyDescent="0.2">
      <c r="S949" s="1"/>
      <c r="T949" s="109"/>
      <c r="W949" s="130" t="str">
        <f t="shared" si="24"/>
        <v>1w</v>
      </c>
      <c r="X949" s="128">
        <f>_xll.qlCalendarAdvance(Calendar,X948,W949,"f",FALSE)</f>
        <v>45776</v>
      </c>
      <c r="Y949" s="131">
        <f>_xll.qlCalendarAdvance(Calendar,X949,NDays&amp;"D")</f>
        <v>45779</v>
      </c>
      <c r="Z949" s="132">
        <v>1.5657578463873525E-2</v>
      </c>
      <c r="AA949" s="129">
        <v>1.5501975705500826E-2</v>
      </c>
    </row>
    <row r="950" spans="19:27" x14ac:dyDescent="0.2">
      <c r="S950" s="1"/>
      <c r="T950" s="109"/>
      <c r="W950" s="130" t="str">
        <f t="shared" si="24"/>
        <v>1w</v>
      </c>
      <c r="X950" s="128">
        <f>_xll.qlCalendarAdvance(Calendar,X949,W950,"f",FALSE)</f>
        <v>45783</v>
      </c>
      <c r="Y950" s="131">
        <f>_xll.qlCalendarAdvance(Calendar,X950,NDays&amp;"D")</f>
        <v>45785</v>
      </c>
      <c r="Z950" s="132">
        <v>1.5670410266697615E-2</v>
      </c>
      <c r="AA950" s="129">
        <v>1.5515208351359888E-2</v>
      </c>
    </row>
    <row r="951" spans="19:27" x14ac:dyDescent="0.2">
      <c r="S951" s="1"/>
      <c r="T951" s="109"/>
      <c r="W951" s="130" t="str">
        <f t="shared" si="24"/>
        <v>1w</v>
      </c>
      <c r="X951" s="128">
        <f>_xll.qlCalendarAdvance(Calendar,X950,W951,"f",FALSE)</f>
        <v>45790</v>
      </c>
      <c r="Y951" s="131">
        <f>_xll.qlCalendarAdvance(Calendar,X951,NDays&amp;"D")</f>
        <v>45792</v>
      </c>
      <c r="Z951" s="132">
        <v>1.5689110125722345E-2</v>
      </c>
      <c r="AA951" s="129">
        <v>1.5534958974017243E-2</v>
      </c>
    </row>
    <row r="952" spans="19:27" x14ac:dyDescent="0.2">
      <c r="S952" s="1"/>
      <c r="T952" s="109"/>
      <c r="W952" s="130" t="str">
        <f t="shared" si="24"/>
        <v>1w</v>
      </c>
      <c r="X952" s="128">
        <f>_xll.qlCalendarAdvance(Calendar,X951,W952,"f",FALSE)</f>
        <v>45797</v>
      </c>
      <c r="Y952" s="131">
        <f>_xll.qlCalendarAdvance(Calendar,X952,NDays&amp;"D")</f>
        <v>45799</v>
      </c>
      <c r="Z952" s="132">
        <v>1.5707621203930877E-2</v>
      </c>
      <c r="AA952" s="129">
        <v>1.5554636750145789E-2</v>
      </c>
    </row>
    <row r="953" spans="19:27" x14ac:dyDescent="0.2">
      <c r="S953" s="1"/>
      <c r="T953" s="109"/>
      <c r="W953" s="130" t="str">
        <f t="shared" si="24"/>
        <v>1w</v>
      </c>
      <c r="X953" s="128">
        <f>_xll.qlCalendarAdvance(Calendar,X952,W953,"f",FALSE)</f>
        <v>45804</v>
      </c>
      <c r="Y953" s="131">
        <f>_xll.qlCalendarAdvance(Calendar,X953,NDays&amp;"D")</f>
        <v>45806</v>
      </c>
      <c r="Z953" s="132">
        <v>1.5725940862111758E-2</v>
      </c>
      <c r="AA953" s="129">
        <v>1.557412377853673E-2</v>
      </c>
    </row>
    <row r="954" spans="19:27" x14ac:dyDescent="0.2">
      <c r="S954" s="1"/>
      <c r="T954" s="109"/>
      <c r="W954" s="130" t="str">
        <f t="shared" si="24"/>
        <v>1w</v>
      </c>
      <c r="X954" s="128">
        <f>_xll.qlCalendarAdvance(Calendar,X953,W954,"f",FALSE)</f>
        <v>45811</v>
      </c>
      <c r="Y954" s="131">
        <f>_xll.qlCalendarAdvance(Calendar,X954,NDays&amp;"D")</f>
        <v>45813</v>
      </c>
      <c r="Z954" s="132">
        <v>1.5744069097587989E-2</v>
      </c>
      <c r="AA954" s="129">
        <v>1.5593420058950258E-2</v>
      </c>
    </row>
    <row r="955" spans="19:27" x14ac:dyDescent="0.2">
      <c r="S955" s="1"/>
      <c r="T955" s="109"/>
      <c r="W955" s="130" t="str">
        <f t="shared" si="24"/>
        <v>1w</v>
      </c>
      <c r="X955" s="128">
        <f>_xll.qlCalendarAdvance(Calendar,X954,W955,"f",FALSE)</f>
        <v>45818</v>
      </c>
      <c r="Y955" s="131">
        <f>_xll.qlCalendarAdvance(Calendar,X955,NDays&amp;"D")</f>
        <v>45820</v>
      </c>
      <c r="Z955" s="132">
        <v>1.5762005907706919E-2</v>
      </c>
      <c r="AA955" s="129">
        <v>1.5612525591466309E-2</v>
      </c>
    </row>
    <row r="956" spans="19:27" x14ac:dyDescent="0.2">
      <c r="S956" s="1"/>
      <c r="T956" s="109"/>
      <c r="W956" s="130" t="str">
        <f t="shared" si="24"/>
        <v>1w</v>
      </c>
      <c r="X956" s="128">
        <f>_xll.qlCalendarAdvance(Calendar,X955,W956,"f",FALSE)</f>
        <v>45825</v>
      </c>
      <c r="Y956" s="131">
        <f>_xll.qlCalendarAdvance(Calendar,X956,NDays&amp;"D")</f>
        <v>45827</v>
      </c>
      <c r="Z956" s="132">
        <v>1.57797512898489E-2</v>
      </c>
      <c r="AA956" s="129">
        <v>1.5631440376084882E-2</v>
      </c>
    </row>
    <row r="957" spans="19:27" x14ac:dyDescent="0.2">
      <c r="S957" s="1"/>
      <c r="T957" s="109"/>
      <c r="W957" s="130" t="str">
        <f t="shared" si="24"/>
        <v>1w</v>
      </c>
      <c r="X957" s="128">
        <f>_xll.qlCalendarAdvance(Calendar,X956,W957,"f",FALSE)</f>
        <v>45832</v>
      </c>
      <c r="Y957" s="131">
        <f>_xll.qlCalendarAdvance(Calendar,X957,NDays&amp;"D")</f>
        <v>45834</v>
      </c>
      <c r="Z957" s="132">
        <v>1.5797305241416013E-2</v>
      </c>
      <c r="AA957" s="129">
        <v>1.5650164412646106E-2</v>
      </c>
    </row>
    <row r="958" spans="19:27" x14ac:dyDescent="0.2">
      <c r="S958" s="1"/>
      <c r="T958" s="109"/>
      <c r="W958" s="130" t="str">
        <f t="shared" si="24"/>
        <v>1w</v>
      </c>
      <c r="X958" s="128">
        <f>_xll.qlCalendarAdvance(Calendar,X957,W958,"f",FALSE)</f>
        <v>45839</v>
      </c>
      <c r="Y958" s="131">
        <f>_xll.qlCalendarAdvance(Calendar,X958,NDays&amp;"D")</f>
        <v>45841</v>
      </c>
      <c r="Z958" s="132">
        <v>1.5814667759844216E-2</v>
      </c>
      <c r="AA958" s="129">
        <v>1.5668697701309853E-2</v>
      </c>
    </row>
    <row r="959" spans="19:27" x14ac:dyDescent="0.2">
      <c r="S959" s="1"/>
      <c r="T959" s="109"/>
      <c r="W959" s="130" t="str">
        <f t="shared" si="24"/>
        <v>1w</v>
      </c>
      <c r="X959" s="128">
        <f>_xll.qlCalendarAdvance(Calendar,X958,W959,"f",FALSE)</f>
        <v>45846</v>
      </c>
      <c r="Y959" s="131">
        <f>_xll.qlCalendarAdvance(Calendar,X959,NDays&amp;"D")</f>
        <v>45848</v>
      </c>
      <c r="Z959" s="132">
        <v>1.5831838842592941E-2</v>
      </c>
      <c r="AA959" s="129">
        <v>1.5687040241756378E-2</v>
      </c>
    </row>
    <row r="960" spans="19:27" x14ac:dyDescent="0.2">
      <c r="S960" s="1"/>
      <c r="T960" s="109"/>
      <c r="W960" s="130" t="str">
        <f t="shared" si="24"/>
        <v>1w</v>
      </c>
      <c r="X960" s="128">
        <f>_xll.qlCalendarAdvance(Calendar,X959,W960,"f",FALSE)</f>
        <v>45853</v>
      </c>
      <c r="Y960" s="131">
        <f>_xll.qlCalendarAdvance(Calendar,X960,NDays&amp;"D")</f>
        <v>45855</v>
      </c>
      <c r="Z960" s="132">
        <v>1.5848818487152885E-2</v>
      </c>
      <c r="AA960" s="129">
        <v>1.5705192034305426E-2</v>
      </c>
    </row>
    <row r="961" spans="19:27" x14ac:dyDescent="0.2">
      <c r="S961" s="1"/>
      <c r="T961" s="109"/>
      <c r="W961" s="130" t="str">
        <f t="shared" si="24"/>
        <v>1w</v>
      </c>
      <c r="X961" s="128">
        <f>_xll.qlCalendarAdvance(Calendar,X960,W961,"f",FALSE)</f>
        <v>45860</v>
      </c>
      <c r="Y961" s="131">
        <f>_xll.qlCalendarAdvance(Calendar,X961,NDays&amp;"D")</f>
        <v>45862</v>
      </c>
      <c r="Z961" s="132">
        <v>1.5865606691040816E-2</v>
      </c>
      <c r="AA961" s="129">
        <v>1.5723153078717189E-2</v>
      </c>
    </row>
    <row r="962" spans="19:27" x14ac:dyDescent="0.2">
      <c r="S962" s="1"/>
      <c r="T962" s="109"/>
      <c r="W962" s="130" t="str">
        <f t="shared" si="24"/>
        <v>1w</v>
      </c>
      <c r="X962" s="128">
        <f>_xll.qlCalendarAdvance(Calendar,X961,W962,"f",FALSE)</f>
        <v>45867</v>
      </c>
      <c r="Y962" s="131">
        <f>_xll.qlCalendarAdvance(Calendar,X962,NDays&amp;"D")</f>
        <v>45869</v>
      </c>
      <c r="Z962" s="132">
        <v>1.588220345180218E-2</v>
      </c>
      <c r="AA962" s="129">
        <v>1.5740923374991667E-2</v>
      </c>
    </row>
    <row r="963" spans="19:27" x14ac:dyDescent="0.2">
      <c r="S963" s="1"/>
      <c r="T963" s="109"/>
      <c r="W963" s="130" t="str">
        <f t="shared" si="24"/>
        <v>1w</v>
      </c>
      <c r="X963" s="128">
        <f>_xll.qlCalendarAdvance(Calendar,X962,W963,"f",FALSE)</f>
        <v>45874</v>
      </c>
      <c r="Y963" s="131">
        <f>_xll.qlCalendarAdvance(Calendar,X963,NDays&amp;"D")</f>
        <v>45876</v>
      </c>
      <c r="Z963" s="132">
        <v>1.589860876700935E-2</v>
      </c>
      <c r="AA963" s="129">
        <v>1.5758502923048923E-2</v>
      </c>
    </row>
    <row r="964" spans="19:27" x14ac:dyDescent="0.2">
      <c r="S964" s="1"/>
      <c r="T964" s="109"/>
      <c r="W964" s="130" t="str">
        <f t="shared" si="24"/>
        <v>1w</v>
      </c>
      <c r="X964" s="128">
        <f>_xll.qlCalendarAdvance(Calendar,X963,W964,"f",FALSE)</f>
        <v>45881</v>
      </c>
      <c r="Y964" s="131">
        <f>_xll.qlCalendarAdvance(Calendar,X964,NDays&amp;"D")</f>
        <v>45883</v>
      </c>
      <c r="Z964" s="132">
        <v>1.5914822634265118E-2</v>
      </c>
      <c r="AA964" s="129">
        <v>1.5775891722968893E-2</v>
      </c>
    </row>
    <row r="965" spans="19:27" x14ac:dyDescent="0.2">
      <c r="S965" s="1"/>
      <c r="T965" s="109"/>
      <c r="W965" s="130" t="str">
        <f t="shared" si="24"/>
        <v>1w</v>
      </c>
      <c r="X965" s="128">
        <f>_xll.qlCalendarAdvance(Calendar,X964,W965,"f",FALSE)</f>
        <v>45888</v>
      </c>
      <c r="Y965" s="131">
        <f>_xll.qlCalendarAdvance(Calendar,X965,NDays&amp;"D")</f>
        <v>45890</v>
      </c>
      <c r="Z965" s="132">
        <v>1.5930845051197462E-2</v>
      </c>
      <c r="AA965" s="129">
        <v>1.5793089774671643E-2</v>
      </c>
    </row>
    <row r="966" spans="19:27" x14ac:dyDescent="0.2">
      <c r="S966" s="1"/>
      <c r="T966" s="109"/>
      <c r="W966" s="130" t="str">
        <f t="shared" si="24"/>
        <v>1w</v>
      </c>
      <c r="X966" s="128">
        <f>_xll.qlCalendarAdvance(Calendar,X965,W966,"f",FALSE)</f>
        <v>45895</v>
      </c>
      <c r="Y966" s="131">
        <f>_xll.qlCalendarAdvance(Calendar,X966,NDays&amp;"D")</f>
        <v>45897</v>
      </c>
      <c r="Z966" s="132">
        <v>1.5946676015463915E-2</v>
      </c>
      <c r="AA966" s="129">
        <v>1.581009707815717E-2</v>
      </c>
    </row>
    <row r="967" spans="19:27" x14ac:dyDescent="0.2">
      <c r="S967" s="1"/>
      <c r="T967" s="109"/>
      <c r="W967" s="130" t="str">
        <f t="shared" si="24"/>
        <v>1w</v>
      </c>
      <c r="X967" s="128">
        <f>_xll.qlCalendarAdvance(Calendar,X966,W967,"f",FALSE)</f>
        <v>45902</v>
      </c>
      <c r="Y967" s="131">
        <f>_xll.qlCalendarAdvance(Calendar,X967,NDays&amp;"D")</f>
        <v>45904</v>
      </c>
      <c r="Z967" s="132">
        <v>1.5960881219517251E-2</v>
      </c>
      <c r="AA967" s="129">
        <v>1.5826913633345541E-2</v>
      </c>
    </row>
    <row r="968" spans="19:27" x14ac:dyDescent="0.2">
      <c r="S968" s="1"/>
      <c r="T968" s="109"/>
      <c r="W968" s="130" t="str">
        <f t="shared" si="24"/>
        <v>1w</v>
      </c>
      <c r="X968" s="128">
        <f>_xll.qlCalendarAdvance(Calendar,X967,W968,"f",FALSE)</f>
        <v>45909</v>
      </c>
      <c r="Y968" s="131">
        <f>_xll.qlCalendarAdvance(Calendar,X968,NDays&amp;"D")</f>
        <v>45911</v>
      </c>
      <c r="Z968" s="132">
        <v>1.5976342262803339E-2</v>
      </c>
      <c r="AA968" s="129">
        <v>1.5843539440236754E-2</v>
      </c>
    </row>
    <row r="969" spans="19:27" x14ac:dyDescent="0.2">
      <c r="S969" s="1"/>
      <c r="T969" s="109"/>
      <c r="W969" s="130" t="str">
        <f t="shared" si="24"/>
        <v>1w</v>
      </c>
      <c r="X969" s="128">
        <f>_xll.qlCalendarAdvance(Calendar,X968,W969,"f",FALSE)</f>
        <v>45916</v>
      </c>
      <c r="Y969" s="131">
        <f>_xll.qlCalendarAdvance(Calendar,X969,NDays&amp;"D")</f>
        <v>45918</v>
      </c>
      <c r="Z969" s="132">
        <v>1.5991611854549087E-2</v>
      </c>
      <c r="AA969" s="129">
        <v>1.5859974498830809E-2</v>
      </c>
    </row>
    <row r="970" spans="19:27" x14ac:dyDescent="0.2">
      <c r="S970" s="1"/>
      <c r="T970" s="109"/>
      <c r="W970" s="130" t="str">
        <f t="shared" si="24"/>
        <v>1w</v>
      </c>
      <c r="X970" s="128">
        <f>_xll.qlCalendarAdvance(Calendar,X969,W970,"f",FALSE)</f>
        <v>45923</v>
      </c>
      <c r="Y970" s="131">
        <f>_xll.qlCalendarAdvance(Calendar,X970,NDays&amp;"D")</f>
        <v>45925</v>
      </c>
      <c r="Z970" s="132">
        <v>1.6012264022730892E-2</v>
      </c>
      <c r="AA970" s="129">
        <v>1.5876218809127707E-2</v>
      </c>
    </row>
    <row r="971" spans="19:27" x14ac:dyDescent="0.2">
      <c r="S971" s="1"/>
      <c r="T971" s="109"/>
      <c r="W971" s="130" t="str">
        <f t="shared" si="24"/>
        <v>1w</v>
      </c>
      <c r="X971" s="128">
        <f>_xll.qlCalendarAdvance(Calendar,X970,W971,"f",FALSE)</f>
        <v>45930</v>
      </c>
      <c r="Y971" s="131">
        <f>_xll.qlCalendarAdvance(Calendar,X971,NDays&amp;"D")</f>
        <v>45932</v>
      </c>
      <c r="Z971" s="132">
        <v>1.6022958966776114E-2</v>
      </c>
      <c r="AA971" s="129">
        <v>1.5892272371047511E-2</v>
      </c>
    </row>
    <row r="972" spans="19:27" x14ac:dyDescent="0.2">
      <c r="S972" s="1"/>
      <c r="T972" s="109"/>
      <c r="W972" s="130" t="str">
        <f t="shared" si="24"/>
        <v>1w</v>
      </c>
      <c r="X972" s="128">
        <f>_xll.qlCalendarAdvance(Calendar,X971,W972,"f",FALSE)</f>
        <v>45937</v>
      </c>
      <c r="Y972" s="131">
        <f>_xll.qlCalendarAdvance(Calendar,X972,NDays&amp;"D")</f>
        <v>45939</v>
      </c>
      <c r="Z972" s="132">
        <v>1.6037641167417471E-2</v>
      </c>
      <c r="AA972" s="129">
        <v>1.590813518443035E-2</v>
      </c>
    </row>
    <row r="973" spans="19:27" x14ac:dyDescent="0.2">
      <c r="S973" s="1"/>
      <c r="T973" s="109"/>
      <c r="W973" s="130" t="str">
        <f t="shared" si="24"/>
        <v>1w</v>
      </c>
      <c r="X973" s="128">
        <f>_xll.qlCalendarAdvance(Calendar,X972,W973,"f",FALSE)</f>
        <v>45944</v>
      </c>
      <c r="Y973" s="131">
        <f>_xll.qlCalendarAdvance(Calendar,X973,NDays&amp;"D")</f>
        <v>45946</v>
      </c>
      <c r="Z973" s="132">
        <v>1.6052131899778468E-2</v>
      </c>
      <c r="AA973" s="129">
        <v>1.5923807249516031E-2</v>
      </c>
    </row>
    <row r="974" spans="19:27" x14ac:dyDescent="0.2">
      <c r="S974" s="1"/>
      <c r="T974" s="109"/>
      <c r="W974" s="130" t="str">
        <f t="shared" si="24"/>
        <v>1w</v>
      </c>
      <c r="X974" s="128">
        <f>_xll.qlCalendarAdvance(Calendar,X973,W974,"f",FALSE)</f>
        <v>45951</v>
      </c>
      <c r="Y974" s="131">
        <f>_xll.qlCalendarAdvance(Calendar,X974,NDays&amp;"D")</f>
        <v>45953</v>
      </c>
      <c r="Z974" s="132">
        <v>1.6066431161739059E-2</v>
      </c>
      <c r="AA974" s="129">
        <v>1.5939288566144683E-2</v>
      </c>
    </row>
    <row r="975" spans="19:27" x14ac:dyDescent="0.2">
      <c r="S975" s="1"/>
      <c r="T975" s="109"/>
      <c r="W975" s="130" t="str">
        <f t="shared" si="24"/>
        <v>1w</v>
      </c>
      <c r="X975" s="128">
        <f>_xll.qlCalendarAdvance(Calendar,X974,W975,"f",FALSE)</f>
        <v>45958</v>
      </c>
      <c r="Y975" s="131">
        <f>_xll.qlCalendarAdvance(Calendar,X975,NDays&amp;"D")</f>
        <v>45960</v>
      </c>
      <c r="Z975" s="132">
        <v>1.6080538951208742E-2</v>
      </c>
      <c r="AA975" s="129">
        <v>1.5954579134316305E-2</v>
      </c>
    </row>
    <row r="976" spans="19:27" x14ac:dyDescent="0.2">
      <c r="S976" s="1"/>
      <c r="T976" s="109"/>
      <c r="W976" s="130" t="str">
        <f t="shared" si="24"/>
        <v>1w</v>
      </c>
      <c r="X976" s="128">
        <f>_xll.qlCalendarAdvance(Calendar,X975,W976,"f",FALSE)</f>
        <v>45965</v>
      </c>
      <c r="Y976" s="131">
        <f>_xll.qlCalendarAdvance(Calendar,X976,NDays&amp;"D")</f>
        <v>45967</v>
      </c>
      <c r="Z976" s="132">
        <v>1.6094455266123957E-2</v>
      </c>
      <c r="AA976" s="129">
        <v>1.5969678954030897E-2</v>
      </c>
    </row>
    <row r="977" spans="19:27" x14ac:dyDescent="0.2">
      <c r="S977" s="1"/>
      <c r="T977" s="109"/>
      <c r="W977" s="130" t="str">
        <f t="shared" si="24"/>
        <v>1w</v>
      </c>
      <c r="X977" s="128">
        <f>_xll.qlCalendarAdvance(Calendar,X976,W977,"f",FALSE)</f>
        <v>45972</v>
      </c>
      <c r="Y977" s="131">
        <f>_xll.qlCalendarAdvance(Calendar,X977,NDays&amp;"D")</f>
        <v>45974</v>
      </c>
      <c r="Z977" s="132">
        <v>1.610818010445067E-2</v>
      </c>
      <c r="AA977" s="129">
        <v>1.5984588025048652E-2</v>
      </c>
    </row>
    <row r="978" spans="19:27" x14ac:dyDescent="0.2">
      <c r="S978" s="1"/>
      <c r="T978" s="109"/>
      <c r="W978" s="130" t="str">
        <f t="shared" si="24"/>
        <v>1w</v>
      </c>
      <c r="X978" s="128">
        <f>_xll.qlCalendarAdvance(Calendar,X977,W978,"f",FALSE)</f>
        <v>45979</v>
      </c>
      <c r="Y978" s="131">
        <f>_xll.qlCalendarAdvance(Calendar,X978,NDays&amp;"D")</f>
        <v>45981</v>
      </c>
      <c r="Z978" s="132">
        <v>1.6121713464181796E-2</v>
      </c>
      <c r="AA978" s="129">
        <v>1.5999306347689313E-2</v>
      </c>
    </row>
    <row r="979" spans="19:27" x14ac:dyDescent="0.2">
      <c r="S979" s="1"/>
      <c r="T979" s="109"/>
      <c r="W979" s="130" t="str">
        <f t="shared" si="24"/>
        <v>1w</v>
      </c>
      <c r="X979" s="128">
        <f>_xll.qlCalendarAdvance(Calendar,X978,W979,"f",FALSE)</f>
        <v>45986</v>
      </c>
      <c r="Y979" s="131">
        <f>_xll.qlCalendarAdvance(Calendar,X979,NDays&amp;"D")</f>
        <v>45988</v>
      </c>
      <c r="Z979" s="132">
        <v>1.6135055343338051E-2</v>
      </c>
      <c r="AA979" s="129">
        <v>1.6013833921713072E-2</v>
      </c>
    </row>
    <row r="980" spans="19:27" x14ac:dyDescent="0.2">
      <c r="S980" s="1"/>
      <c r="T980" s="109"/>
      <c r="W980" s="130" t="str">
        <f t="shared" si="24"/>
        <v>1w</v>
      </c>
      <c r="X980" s="128">
        <f>_xll.qlCalendarAdvance(Calendar,X979,W980,"f",FALSE)</f>
        <v>45993</v>
      </c>
      <c r="Y980" s="131">
        <f>_xll.qlCalendarAdvance(Calendar,X980,NDays&amp;"D")</f>
        <v>45995</v>
      </c>
      <c r="Z980" s="132">
        <v>1.6145674949557431E-2</v>
      </c>
      <c r="AA980" s="129">
        <v>1.602817074711993E-2</v>
      </c>
    </row>
    <row r="981" spans="19:27" x14ac:dyDescent="0.2">
      <c r="S981" s="1"/>
      <c r="T981" s="109"/>
      <c r="W981" s="130" t="str">
        <f t="shared" ref="W981:W1044" si="25">W980</f>
        <v>1w</v>
      </c>
      <c r="X981" s="128">
        <f>_xll.qlCalendarAdvance(Calendar,X980,W981,"f",FALSE)</f>
        <v>46000</v>
      </c>
      <c r="Y981" s="131">
        <f>_xll.qlCalendarAdvance(Calendar,X981,NDays&amp;"D")</f>
        <v>46002</v>
      </c>
      <c r="Z981" s="132">
        <v>1.6158660054060192E-2</v>
      </c>
      <c r="AA981" s="129">
        <v>1.6042316824069758E-2</v>
      </c>
    </row>
    <row r="982" spans="19:27" x14ac:dyDescent="0.2">
      <c r="S982" s="1"/>
      <c r="T982" s="109"/>
      <c r="W982" s="130" t="str">
        <f t="shared" si="25"/>
        <v>1w</v>
      </c>
      <c r="X982" s="128">
        <f>_xll.qlCalendarAdvance(Calendar,X981,W982,"f",FALSE)</f>
        <v>46007</v>
      </c>
      <c r="Y982" s="131">
        <f>_xll.qlCalendarAdvance(Calendar,X982,NDays&amp;"D")</f>
        <v>46009</v>
      </c>
      <c r="Z982" s="132">
        <v>1.6171453688719417E-2</v>
      </c>
      <c r="AA982" s="129">
        <v>1.6056272152162876E-2</v>
      </c>
    </row>
    <row r="983" spans="19:27" x14ac:dyDescent="0.2">
      <c r="S983" s="1"/>
      <c r="T983" s="109"/>
      <c r="W983" s="130" t="str">
        <f t="shared" si="25"/>
        <v>1w</v>
      </c>
      <c r="X983" s="128">
        <f>_xll.qlCalendarAdvance(Calendar,X982,W983,"f",FALSE)</f>
        <v>46014</v>
      </c>
      <c r="Y983" s="131">
        <f>_xll.qlCalendarAdvance(Calendar,X983,NDays&amp;"D")</f>
        <v>46020</v>
      </c>
      <c r="Z983" s="132">
        <v>1.6192390312932989E-2</v>
      </c>
      <c r="AA983" s="129">
        <v>1.6077816563457858E-2</v>
      </c>
    </row>
    <row r="984" spans="19:27" x14ac:dyDescent="0.2">
      <c r="S984" s="1"/>
      <c r="T984" s="109"/>
      <c r="W984" s="130" t="str">
        <f t="shared" si="25"/>
        <v>1w</v>
      </c>
      <c r="X984" s="128">
        <f>_xll.qlCalendarAdvance(Calendar,X983,W984,"f",FALSE)</f>
        <v>46021</v>
      </c>
      <c r="Y984" s="131">
        <f>_xll.qlCalendarAdvance(Calendar,X984,NDays&amp;"D")</f>
        <v>46024</v>
      </c>
      <c r="Z984" s="132">
        <v>1.6198223866273231E-2</v>
      </c>
      <c r="AA984" s="129">
        <v>1.6088171383499272E-2</v>
      </c>
    </row>
    <row r="985" spans="19:27" x14ac:dyDescent="0.2">
      <c r="S985" s="1"/>
      <c r="T985" s="109"/>
      <c r="W985" s="130" t="str">
        <f t="shared" si="25"/>
        <v>1w</v>
      </c>
      <c r="X985" s="128">
        <f>_xll.qlCalendarAdvance(Calendar,X984,W985,"f",FALSE)</f>
        <v>46028</v>
      </c>
      <c r="Y985" s="131">
        <f>_xll.qlCalendarAdvance(Calendar,X985,NDays&amp;"D")</f>
        <v>46030</v>
      </c>
      <c r="Z985" s="132">
        <v>1.6208685755483287E-2</v>
      </c>
      <c r="AA985" s="129">
        <v>1.609699364474082E-2</v>
      </c>
    </row>
    <row r="986" spans="19:27" x14ac:dyDescent="0.2">
      <c r="S986" s="1"/>
      <c r="T986" s="109"/>
      <c r="W986" s="130" t="str">
        <f t="shared" si="25"/>
        <v>1w</v>
      </c>
      <c r="X986" s="128">
        <f>_xll.qlCalendarAdvance(Calendar,X985,W986,"f",FALSE)</f>
        <v>46035</v>
      </c>
      <c r="Y986" s="131">
        <f>_xll.qlCalendarAdvance(Calendar,X986,NDays&amp;"D")</f>
        <v>46037</v>
      </c>
      <c r="Z986" s="132">
        <v>1.622071349274723E-2</v>
      </c>
      <c r="AA986" s="129">
        <v>1.6110185978206459E-2</v>
      </c>
    </row>
    <row r="987" spans="19:27" x14ac:dyDescent="0.2">
      <c r="S987" s="1"/>
      <c r="T987" s="109"/>
      <c r="W987" s="130" t="str">
        <f t="shared" si="25"/>
        <v>1w</v>
      </c>
      <c r="X987" s="128">
        <f>_xll.qlCalendarAdvance(Calendar,X986,W987,"f",FALSE)</f>
        <v>46042</v>
      </c>
      <c r="Y987" s="131">
        <f>_xll.qlCalendarAdvance(Calendar,X987,NDays&amp;"D")</f>
        <v>46044</v>
      </c>
      <c r="Z987" s="132">
        <v>1.6232549751293845E-2</v>
      </c>
      <c r="AA987" s="129">
        <v>1.6123187562815389E-2</v>
      </c>
    </row>
    <row r="988" spans="19:27" x14ac:dyDescent="0.2">
      <c r="S988" s="1"/>
      <c r="T988" s="109"/>
      <c r="W988" s="130" t="str">
        <f t="shared" si="25"/>
        <v>1w</v>
      </c>
      <c r="X988" s="128">
        <f>_xll.qlCalendarAdvance(Calendar,X987,W988,"f",FALSE)</f>
        <v>46049</v>
      </c>
      <c r="Y988" s="131">
        <f>_xll.qlCalendarAdvance(Calendar,X988,NDays&amp;"D")</f>
        <v>46051</v>
      </c>
      <c r="Z988" s="132">
        <v>1.6244194529428491E-2</v>
      </c>
      <c r="AA988" s="129">
        <v>1.6135998398807416E-2</v>
      </c>
    </row>
    <row r="989" spans="19:27" x14ac:dyDescent="0.2">
      <c r="S989" s="1"/>
      <c r="T989" s="109"/>
      <c r="W989" s="130" t="str">
        <f t="shared" si="25"/>
        <v>1w</v>
      </c>
      <c r="X989" s="128">
        <f>_xll.qlCalendarAdvance(Calendar,X988,W989,"f",FALSE)</f>
        <v>46056</v>
      </c>
      <c r="Y989" s="131">
        <f>_xll.qlCalendarAdvance(Calendar,X989,NDays&amp;"D")</f>
        <v>46058</v>
      </c>
      <c r="Z989" s="132">
        <v>1.6254498762377705E-2</v>
      </c>
      <c r="AA989" s="129">
        <v>1.6148618485942734E-2</v>
      </c>
    </row>
    <row r="990" spans="19:27" x14ac:dyDescent="0.2">
      <c r="S990" s="1"/>
      <c r="T990" s="109"/>
      <c r="W990" s="130" t="str">
        <f t="shared" si="25"/>
        <v>1w</v>
      </c>
      <c r="X990" s="128">
        <f>_xll.qlCalendarAdvance(Calendar,X989,W990,"f",FALSE)</f>
        <v>46063</v>
      </c>
      <c r="Y990" s="131">
        <f>_xll.qlCalendarAdvance(Calendar,X990,NDays&amp;"D")</f>
        <v>46065</v>
      </c>
      <c r="Z990" s="132">
        <v>1.6265773744015475E-2</v>
      </c>
      <c r="AA990" s="129">
        <v>1.6161047824301278E-2</v>
      </c>
    </row>
    <row r="991" spans="19:27" x14ac:dyDescent="0.2">
      <c r="S991" s="1"/>
      <c r="T991" s="109"/>
      <c r="W991" s="130" t="str">
        <f t="shared" si="25"/>
        <v>1w</v>
      </c>
      <c r="X991" s="128">
        <f>_xll.qlCalendarAdvance(Calendar,X990,W991,"f",FALSE)</f>
        <v>46070</v>
      </c>
      <c r="Y991" s="131">
        <f>_xll.qlCalendarAdvance(Calendar,X991,NDays&amp;"D")</f>
        <v>46072</v>
      </c>
      <c r="Z991" s="132">
        <v>1.6276857248726347E-2</v>
      </c>
      <c r="AA991" s="129">
        <v>1.6173286413803112E-2</v>
      </c>
    </row>
    <row r="992" spans="19:27" x14ac:dyDescent="0.2">
      <c r="S992" s="1"/>
      <c r="T992" s="109"/>
      <c r="W992" s="130" t="str">
        <f t="shared" si="25"/>
        <v>1w</v>
      </c>
      <c r="X992" s="128">
        <f>_xll.qlCalendarAdvance(Calendar,X991,W992,"f",FALSE)</f>
        <v>46077</v>
      </c>
      <c r="Y992" s="131">
        <f>_xll.qlCalendarAdvance(Calendar,X992,NDays&amp;"D")</f>
        <v>46079</v>
      </c>
      <c r="Z992" s="132">
        <v>1.6287749274943038E-2</v>
      </c>
      <c r="AA992" s="129">
        <v>1.6185334254528172E-2</v>
      </c>
    </row>
    <row r="993" spans="19:27" x14ac:dyDescent="0.2">
      <c r="S993" s="1"/>
      <c r="T993" s="109"/>
      <c r="W993" s="130" t="str">
        <f t="shared" si="25"/>
        <v>1w</v>
      </c>
      <c r="X993" s="128">
        <f>_xll.qlCalendarAdvance(Calendar,X992,W993,"f",FALSE)</f>
        <v>46084</v>
      </c>
      <c r="Y993" s="131">
        <f>_xll.qlCalendarAdvance(Calendar,X993,NDays&amp;"D")</f>
        <v>46086</v>
      </c>
      <c r="Z993" s="132">
        <v>1.6301735149655178E-2</v>
      </c>
      <c r="AA993" s="129">
        <v>1.6197191346316586E-2</v>
      </c>
    </row>
    <row r="994" spans="19:27" x14ac:dyDescent="0.2">
      <c r="S994" s="1"/>
      <c r="T994" s="109"/>
      <c r="W994" s="130" t="str">
        <f t="shared" si="25"/>
        <v>1w</v>
      </c>
      <c r="X994" s="128">
        <f>_xll.qlCalendarAdvance(Calendar,X993,W994,"f",FALSE)</f>
        <v>46091</v>
      </c>
      <c r="Y994" s="131">
        <f>_xll.qlCalendarAdvance(Calendar,X994,NDays&amp;"D")</f>
        <v>46093</v>
      </c>
      <c r="Z994" s="132">
        <v>1.6312204601763906E-2</v>
      </c>
      <c r="AA994" s="129">
        <v>1.6208857689248291E-2</v>
      </c>
    </row>
    <row r="995" spans="19:27" x14ac:dyDescent="0.2">
      <c r="S995" s="1"/>
      <c r="T995" s="109"/>
      <c r="W995" s="130" t="str">
        <f t="shared" si="25"/>
        <v>1w</v>
      </c>
      <c r="X995" s="128">
        <f>_xll.qlCalendarAdvance(Calendar,X994,W995,"f",FALSE)</f>
        <v>46098</v>
      </c>
      <c r="Y995" s="131">
        <f>_xll.qlCalendarAdvance(Calendar,X995,NDays&amp;"D")</f>
        <v>46100</v>
      </c>
      <c r="Z995" s="132">
        <v>1.632248254544439E-2</v>
      </c>
      <c r="AA995" s="129">
        <v>1.6220333283323285E-2</v>
      </c>
    </row>
    <row r="996" spans="19:27" x14ac:dyDescent="0.2">
      <c r="S996" s="1"/>
      <c r="T996" s="109"/>
      <c r="W996" s="130" t="str">
        <f t="shared" si="25"/>
        <v>1w</v>
      </c>
      <c r="X996" s="128">
        <f>_xll.qlCalendarAdvance(Calendar,X995,W996,"f",FALSE)</f>
        <v>46105</v>
      </c>
      <c r="Y996" s="131">
        <f>_xll.qlCalendarAdvance(Calendar,X996,NDays&amp;"D")</f>
        <v>46107</v>
      </c>
      <c r="Z996" s="132">
        <v>1.6332568979192615E-2</v>
      </c>
      <c r="AA996" s="129">
        <v>1.6231618128461633E-2</v>
      </c>
    </row>
    <row r="997" spans="19:27" x14ac:dyDescent="0.2">
      <c r="S997" s="1"/>
      <c r="T997" s="109"/>
      <c r="W997" s="130" t="str">
        <f t="shared" si="25"/>
        <v>1w</v>
      </c>
      <c r="X997" s="128">
        <f>_xll.qlCalendarAdvance(Calendar,X996,W997,"f",FALSE)</f>
        <v>46112</v>
      </c>
      <c r="Y997" s="131">
        <f>_xll.qlCalendarAdvance(Calendar,X997,NDays&amp;"D")</f>
        <v>46114</v>
      </c>
      <c r="Z997" s="132">
        <v>1.6341422890316135E-2</v>
      </c>
      <c r="AA997" s="129">
        <v>1.6247309367617646E-2</v>
      </c>
    </row>
    <row r="998" spans="19:27" x14ac:dyDescent="0.2">
      <c r="S998" s="1"/>
      <c r="T998" s="109"/>
      <c r="W998" s="130" t="str">
        <f t="shared" si="25"/>
        <v>1w</v>
      </c>
      <c r="X998" s="128">
        <f>_xll.qlCalendarAdvance(Calendar,X997,W998,"f",FALSE)</f>
        <v>46119</v>
      </c>
      <c r="Y998" s="131">
        <f>_xll.qlCalendarAdvance(Calendar,X998,NDays&amp;"D")</f>
        <v>46121</v>
      </c>
      <c r="Z998" s="132">
        <v>1.6351139539115104E-2</v>
      </c>
      <c r="AA998" s="129">
        <v>1.6253615571848457E-2</v>
      </c>
    </row>
    <row r="999" spans="19:27" x14ac:dyDescent="0.2">
      <c r="S999" s="1"/>
      <c r="T999" s="109"/>
      <c r="W999" s="130" t="str">
        <f t="shared" si="25"/>
        <v>1w</v>
      </c>
      <c r="X999" s="128">
        <f>_xll.qlCalendarAdvance(Calendar,X998,W999,"f",FALSE)</f>
        <v>46126</v>
      </c>
      <c r="Y999" s="131">
        <f>_xll.qlCalendarAdvance(Calendar,X999,NDays&amp;"D")</f>
        <v>46128</v>
      </c>
      <c r="Z999" s="132">
        <v>1.636066468216479E-2</v>
      </c>
      <c r="AA999" s="129">
        <v>1.6264328170176867E-2</v>
      </c>
    </row>
    <row r="1000" spans="19:27" x14ac:dyDescent="0.2">
      <c r="S1000" s="1"/>
      <c r="T1000" s="109"/>
      <c r="W1000" s="130" t="str">
        <f t="shared" si="25"/>
        <v>1w</v>
      </c>
      <c r="X1000" s="128">
        <f>_xll.qlCalendarAdvance(Calendar,X999,W1000,"f",FALSE)</f>
        <v>46133</v>
      </c>
      <c r="Y1000" s="131">
        <f>_xll.qlCalendarAdvance(Calendar,X1000,NDays&amp;"D")</f>
        <v>46135</v>
      </c>
      <c r="Z1000" s="132">
        <v>1.6369998318088719E-2</v>
      </c>
      <c r="AA1000" s="129">
        <v>1.627485001940876E-2</v>
      </c>
    </row>
    <row r="1001" spans="19:27" x14ac:dyDescent="0.2">
      <c r="S1001" s="1"/>
      <c r="T1001" s="109"/>
      <c r="W1001" s="130" t="str">
        <f t="shared" si="25"/>
        <v>1w</v>
      </c>
      <c r="X1001" s="128">
        <f>_xll.qlCalendarAdvance(Calendar,X1000,W1001,"f",FALSE)</f>
        <v>46140</v>
      </c>
      <c r="Y1001" s="131">
        <f>_xll.qlCalendarAdvance(Calendar,X1001,NDays&amp;"D")</f>
        <v>46142</v>
      </c>
      <c r="Z1001" s="132">
        <v>1.638012844830947E-2</v>
      </c>
      <c r="AA1001" s="129">
        <v>1.628847303680292E-2</v>
      </c>
    </row>
    <row r="1002" spans="19:27" x14ac:dyDescent="0.2">
      <c r="S1002" s="1"/>
      <c r="T1002" s="109"/>
      <c r="W1002" s="130" t="str">
        <f t="shared" si="25"/>
        <v>1w</v>
      </c>
      <c r="X1002" s="128">
        <f>_xll.qlCalendarAdvance(Calendar,X1001,W1002,"f",FALSE)</f>
        <v>46147</v>
      </c>
      <c r="Y1002" s="131">
        <f>_xll.qlCalendarAdvance(Calendar,X1002,NDays&amp;"D")</f>
        <v>46149</v>
      </c>
      <c r="Z1002" s="132">
        <v>1.6389065792472474E-2</v>
      </c>
      <c r="AA1002" s="129">
        <v>1.6295321470902735E-2</v>
      </c>
    </row>
    <row r="1003" spans="19:27" x14ac:dyDescent="0.2">
      <c r="S1003" s="1"/>
      <c r="T1003" s="109"/>
      <c r="W1003" s="130" t="str">
        <f t="shared" si="25"/>
        <v>1w</v>
      </c>
      <c r="X1003" s="128">
        <f>_xll.qlCalendarAdvance(Calendar,X1002,W1003,"f",FALSE)</f>
        <v>46154</v>
      </c>
      <c r="Y1003" s="131">
        <f>_xll.qlCalendarAdvance(Calendar,X1003,NDays&amp;"D")</f>
        <v>46156</v>
      </c>
      <c r="Z1003" s="132">
        <v>1.6397811616966653E-2</v>
      </c>
      <c r="AA1003" s="129">
        <v>1.6305271073164818E-2</v>
      </c>
    </row>
    <row r="1004" spans="19:27" x14ac:dyDescent="0.2">
      <c r="S1004" s="1"/>
      <c r="T1004" s="109"/>
      <c r="W1004" s="130" t="str">
        <f t="shared" si="25"/>
        <v>1w</v>
      </c>
      <c r="X1004" s="128">
        <f>_xll.qlCalendarAdvance(Calendar,X1003,W1004,"f",FALSE)</f>
        <v>46161</v>
      </c>
      <c r="Y1004" s="131">
        <f>_xll.qlCalendarAdvance(Calendar,X1004,NDays&amp;"D")</f>
        <v>46163</v>
      </c>
      <c r="Z1004" s="132">
        <v>1.6406365920512169E-2</v>
      </c>
      <c r="AA1004" s="129">
        <v>1.6315029926250446E-2</v>
      </c>
    </row>
    <row r="1005" spans="19:27" x14ac:dyDescent="0.2">
      <c r="S1005" s="1"/>
      <c r="T1005" s="109"/>
      <c r="W1005" s="130" t="str">
        <f t="shared" si="25"/>
        <v>1w</v>
      </c>
      <c r="X1005" s="128">
        <f>_xll.qlCalendarAdvance(Calendar,X1004,W1005,"f",FALSE)</f>
        <v>46168</v>
      </c>
      <c r="Y1005" s="131">
        <f>_xll.qlCalendarAdvance(Calendar,X1005,NDays&amp;"D")</f>
        <v>46170</v>
      </c>
      <c r="Z1005" s="132">
        <v>1.6414728701860455E-2</v>
      </c>
      <c r="AA1005" s="129">
        <v>1.6324598030399429E-2</v>
      </c>
    </row>
    <row r="1006" spans="19:27" x14ac:dyDescent="0.2">
      <c r="S1006" s="1"/>
      <c r="T1006" s="109"/>
      <c r="W1006" s="130" t="str">
        <f t="shared" si="25"/>
        <v>1w</v>
      </c>
      <c r="X1006" s="128">
        <f>_xll.qlCalendarAdvance(Calendar,X1005,W1006,"f",FALSE)</f>
        <v>46175</v>
      </c>
      <c r="Y1006" s="131">
        <f>_xll.qlCalendarAdvance(Calendar,X1006,NDays&amp;"D")</f>
        <v>46177</v>
      </c>
      <c r="Z1006" s="132">
        <v>1.6422899959787268E-2</v>
      </c>
      <c r="AA1006" s="129">
        <v>1.6333975385451893E-2</v>
      </c>
    </row>
    <row r="1007" spans="19:27" x14ac:dyDescent="0.2">
      <c r="S1007" s="1"/>
      <c r="T1007" s="109"/>
      <c r="W1007" s="130" t="str">
        <f t="shared" si="25"/>
        <v>1w</v>
      </c>
      <c r="X1007" s="128">
        <f>_xll.qlCalendarAdvance(Calendar,X1006,W1007,"f",FALSE)</f>
        <v>46182</v>
      </c>
      <c r="Y1007" s="131">
        <f>_xll.qlCalendarAdvance(Calendar,X1007,NDays&amp;"D")</f>
        <v>46184</v>
      </c>
      <c r="Z1007" s="132">
        <v>1.6430879693099653E-2</v>
      </c>
      <c r="AA1007" s="129">
        <v>1.6343161991327904E-2</v>
      </c>
    </row>
    <row r="1008" spans="19:27" x14ac:dyDescent="0.2">
      <c r="S1008" s="1"/>
      <c r="T1008" s="109"/>
      <c r="W1008" s="130" t="str">
        <f t="shared" si="25"/>
        <v>1w</v>
      </c>
      <c r="X1008" s="128">
        <f>_xll.qlCalendarAdvance(Calendar,X1007,W1008,"f",FALSE)</f>
        <v>46189</v>
      </c>
      <c r="Y1008" s="131">
        <f>_xll.qlCalendarAdvance(Calendar,X1008,NDays&amp;"D")</f>
        <v>46191</v>
      </c>
      <c r="Z1008" s="132">
        <v>1.6438667900628111E-2</v>
      </c>
      <c r="AA1008" s="129">
        <v>1.6352157848107396E-2</v>
      </c>
    </row>
    <row r="1009" spans="19:27" x14ac:dyDescent="0.2">
      <c r="S1009" s="1"/>
      <c r="T1009" s="109"/>
      <c r="W1009" s="130" t="str">
        <f t="shared" si="25"/>
        <v>1w</v>
      </c>
      <c r="X1009" s="128">
        <f>_xll.qlCalendarAdvance(Calendar,X1008,W1009,"f",FALSE)</f>
        <v>46196</v>
      </c>
      <c r="Y1009" s="131">
        <f>_xll.qlCalendarAdvance(Calendar,X1009,NDays&amp;"D")</f>
        <v>46198</v>
      </c>
      <c r="Z1009" s="132">
        <v>1.644626458123442E-2</v>
      </c>
      <c r="AA1009" s="129">
        <v>1.6360962955870306E-2</v>
      </c>
    </row>
    <row r="1010" spans="19:27" x14ac:dyDescent="0.2">
      <c r="S1010" s="1"/>
      <c r="T1010" s="109"/>
      <c r="W1010" s="130" t="str">
        <f t="shared" si="25"/>
        <v>1w</v>
      </c>
      <c r="X1010" s="128">
        <f>_xll.qlCalendarAdvance(Calendar,X1009,W1010,"f",FALSE)</f>
        <v>46203</v>
      </c>
      <c r="Y1010" s="131">
        <f>_xll.qlCalendarAdvance(Calendar,X1010,NDays&amp;"D")</f>
        <v>46205</v>
      </c>
      <c r="Z1010" s="132">
        <v>1.6453669733808164E-2</v>
      </c>
      <c r="AA1010" s="129">
        <v>1.6369577314376826E-2</v>
      </c>
    </row>
    <row r="1011" spans="19:27" x14ac:dyDescent="0.2">
      <c r="S1011" s="1"/>
      <c r="T1011" s="109"/>
      <c r="W1011" s="130" t="str">
        <f t="shared" si="25"/>
        <v>1w</v>
      </c>
      <c r="X1011" s="128">
        <f>_xll.qlCalendarAdvance(Calendar,X1010,W1011,"f",FALSE)</f>
        <v>46210</v>
      </c>
      <c r="Y1011" s="131">
        <f>_xll.qlCalendarAdvance(Calendar,X1011,NDays&amp;"D")</f>
        <v>46212</v>
      </c>
      <c r="Z1011" s="132">
        <v>1.6460883357266733E-2</v>
      </c>
      <c r="AA1011" s="129">
        <v>1.6378000923786828E-2</v>
      </c>
    </row>
    <row r="1012" spans="19:27" x14ac:dyDescent="0.2">
      <c r="S1012" s="1"/>
      <c r="T1012" s="109"/>
      <c r="W1012" s="130" t="str">
        <f t="shared" si="25"/>
        <v>1w</v>
      </c>
      <c r="X1012" s="128">
        <f>_xll.qlCalendarAdvance(Calendar,X1011,W1012,"f",FALSE)</f>
        <v>46217</v>
      </c>
      <c r="Y1012" s="131">
        <f>_xll.qlCalendarAdvance(Calendar,X1012,NDays&amp;"D")</f>
        <v>46219</v>
      </c>
      <c r="Z1012" s="132">
        <v>1.6467905450554449E-2</v>
      </c>
      <c r="AA1012" s="129">
        <v>1.6386233784020376E-2</v>
      </c>
    </row>
    <row r="1013" spans="19:27" x14ac:dyDescent="0.2">
      <c r="S1013" s="1"/>
      <c r="T1013" s="109"/>
      <c r="W1013" s="130" t="str">
        <f t="shared" si="25"/>
        <v>1w</v>
      </c>
      <c r="X1013" s="128">
        <f>_xll.qlCalendarAdvance(Calendar,X1012,W1013,"f",FALSE)</f>
        <v>46224</v>
      </c>
      <c r="Y1013" s="131">
        <f>_xll.qlCalendarAdvance(Calendar,X1013,NDays&amp;"D")</f>
        <v>46226</v>
      </c>
      <c r="Z1013" s="132">
        <v>1.6474736012645173E-2</v>
      </c>
      <c r="AA1013" s="129">
        <v>1.6394275894997534E-2</v>
      </c>
    </row>
    <row r="1014" spans="19:27" x14ac:dyDescent="0.2">
      <c r="S1014" s="1"/>
      <c r="T1014" s="109"/>
      <c r="W1014" s="130" t="str">
        <f t="shared" si="25"/>
        <v>1w</v>
      </c>
      <c r="X1014" s="128">
        <f>_xll.qlCalendarAdvance(Calendar,X1013,W1014,"f",FALSE)</f>
        <v>46231</v>
      </c>
      <c r="Y1014" s="131">
        <f>_xll.qlCalendarAdvance(Calendar,X1014,NDays&amp;"D")</f>
        <v>46233</v>
      </c>
      <c r="Z1014" s="132">
        <v>1.6481375042539707E-2</v>
      </c>
      <c r="AA1014" s="129">
        <v>1.6402127256878174E-2</v>
      </c>
    </row>
    <row r="1015" spans="19:27" x14ac:dyDescent="0.2">
      <c r="S1015" s="1"/>
      <c r="T1015" s="109"/>
      <c r="W1015" s="130" t="str">
        <f t="shared" si="25"/>
        <v>1w</v>
      </c>
      <c r="X1015" s="128">
        <f>_xll.qlCalendarAdvance(Calendar,X1014,W1015,"f",FALSE)</f>
        <v>46238</v>
      </c>
      <c r="Y1015" s="131">
        <f>_xll.qlCalendarAdvance(Calendar,X1015,NDays&amp;"D")</f>
        <v>46240</v>
      </c>
      <c r="Z1015" s="132">
        <v>1.6487822539268393E-2</v>
      </c>
      <c r="AA1015" s="129">
        <v>1.6409787869502424E-2</v>
      </c>
    </row>
    <row r="1016" spans="19:27" x14ac:dyDescent="0.2">
      <c r="S1016" s="1"/>
      <c r="T1016" s="109"/>
      <c r="W1016" s="130" t="str">
        <f t="shared" si="25"/>
        <v>1w</v>
      </c>
      <c r="X1016" s="128">
        <f>_xll.qlCalendarAdvance(Calendar,X1015,W1016,"f",FALSE)</f>
        <v>46245</v>
      </c>
      <c r="Y1016" s="131">
        <f>_xll.qlCalendarAdvance(Calendar,X1016,NDays&amp;"D")</f>
        <v>46247</v>
      </c>
      <c r="Z1016" s="132">
        <v>1.64940785018859E-2</v>
      </c>
      <c r="AA1016" s="129">
        <v>1.6417257732950219E-2</v>
      </c>
    </row>
    <row r="1017" spans="19:27" x14ac:dyDescent="0.2">
      <c r="S1017" s="1"/>
      <c r="T1017" s="109"/>
      <c r="W1017" s="130" t="str">
        <f t="shared" si="25"/>
        <v>1w</v>
      </c>
      <c r="X1017" s="128">
        <f>_xll.qlCalendarAdvance(Calendar,X1016,W1017,"f",FALSE)</f>
        <v>46252</v>
      </c>
      <c r="Y1017" s="131">
        <f>_xll.qlCalendarAdvance(Calendar,X1017,NDays&amp;"D")</f>
        <v>46254</v>
      </c>
      <c r="Z1017" s="132">
        <v>1.6500142929479912E-2</v>
      </c>
      <c r="AA1017" s="129">
        <v>1.6424536847061688E-2</v>
      </c>
    </row>
    <row r="1018" spans="19:27" x14ac:dyDescent="0.2">
      <c r="S1018" s="1"/>
      <c r="T1018" s="109"/>
      <c r="W1018" s="130" t="str">
        <f t="shared" si="25"/>
        <v>1w</v>
      </c>
      <c r="X1018" s="128">
        <f>_xll.qlCalendarAdvance(Calendar,X1017,W1018,"f",FALSE)</f>
        <v>46259</v>
      </c>
      <c r="Y1018" s="131">
        <f>_xll.qlCalendarAdvance(Calendar,X1018,NDays&amp;"D")</f>
        <v>46261</v>
      </c>
      <c r="Z1018" s="132">
        <v>1.6506015821161575E-2</v>
      </c>
      <c r="AA1018" s="129">
        <v>1.6431625212076639E-2</v>
      </c>
    </row>
    <row r="1019" spans="19:27" x14ac:dyDescent="0.2">
      <c r="S1019" s="1"/>
      <c r="T1019" s="109"/>
      <c r="W1019" s="130" t="str">
        <f t="shared" si="25"/>
        <v>1w</v>
      </c>
      <c r="X1019" s="128">
        <f>_xll.qlCalendarAdvance(Calendar,X1018,W1019,"f",FALSE)</f>
        <v>46266</v>
      </c>
      <c r="Y1019" s="131">
        <f>_xll.qlCalendarAdvance(Calendar,X1019,NDays&amp;"D")</f>
        <v>46268</v>
      </c>
      <c r="Z1019" s="132">
        <v>1.65109494167048E-2</v>
      </c>
      <c r="AA1019" s="129">
        <v>1.6438522827755264E-2</v>
      </c>
    </row>
    <row r="1020" spans="19:27" x14ac:dyDescent="0.2">
      <c r="S1020" s="1"/>
      <c r="T1020" s="109"/>
      <c r="W1020" s="130" t="str">
        <f t="shared" si="25"/>
        <v>1w</v>
      </c>
      <c r="X1020" s="128">
        <f>_xll.qlCalendarAdvance(Calendar,X1019,W1020,"f",FALSE)</f>
        <v>46273</v>
      </c>
      <c r="Y1020" s="131">
        <f>_xll.qlCalendarAdvance(Calendar,X1020,NDays&amp;"D")</f>
        <v>46275</v>
      </c>
      <c r="Z1020" s="132">
        <v>1.6516452663420274E-2</v>
      </c>
      <c r="AA1020" s="129">
        <v>1.6445229694177499E-2</v>
      </c>
    </row>
    <row r="1021" spans="19:27" x14ac:dyDescent="0.2">
      <c r="S1021" s="1"/>
      <c r="T1021" s="109"/>
      <c r="W1021" s="130" t="str">
        <f t="shared" si="25"/>
        <v>1w</v>
      </c>
      <c r="X1021" s="128">
        <f>_xll.qlCalendarAdvance(Calendar,X1020,W1021,"f",FALSE)</f>
        <v>46280</v>
      </c>
      <c r="Y1021" s="131">
        <f>_xll.qlCalendarAdvance(Calendar,X1021,NDays&amp;"D")</f>
        <v>46282</v>
      </c>
      <c r="Z1021" s="132">
        <v>1.6521764380474167E-2</v>
      </c>
      <c r="AA1021" s="129">
        <v>1.6451745811343343E-2</v>
      </c>
    </row>
    <row r="1022" spans="19:27" x14ac:dyDescent="0.2">
      <c r="S1022" s="1"/>
      <c r="T1022" s="109"/>
      <c r="W1022" s="130" t="str">
        <f t="shared" si="25"/>
        <v>1w</v>
      </c>
      <c r="X1022" s="128">
        <f>_xll.qlCalendarAdvance(Calendar,X1021,W1022,"f",FALSE)</f>
        <v>46287</v>
      </c>
      <c r="Y1022" s="131">
        <f>_xll.qlCalendarAdvance(Calendar,X1022,NDays&amp;"D")</f>
        <v>46289</v>
      </c>
      <c r="Z1022" s="132">
        <v>1.6526884567100501E-2</v>
      </c>
      <c r="AA1022" s="129">
        <v>1.6458071179172862E-2</v>
      </c>
    </row>
    <row r="1023" spans="19:27" x14ac:dyDescent="0.2">
      <c r="S1023" s="1"/>
      <c r="T1023" s="109"/>
      <c r="W1023" s="130" t="str">
        <f t="shared" si="25"/>
        <v>1w</v>
      </c>
      <c r="X1023" s="128">
        <f>_xll.qlCalendarAdvance(Calendar,X1022,W1023,"f",FALSE)</f>
        <v>46294</v>
      </c>
      <c r="Y1023" s="131">
        <f>_xll.qlCalendarAdvance(Calendar,X1023,NDays&amp;"D")</f>
        <v>46296</v>
      </c>
      <c r="Z1023" s="132">
        <v>1.6534581603191108E-2</v>
      </c>
      <c r="AA1023" s="129">
        <v>1.6464205797825926E-2</v>
      </c>
    </row>
    <row r="1024" spans="19:27" x14ac:dyDescent="0.2">
      <c r="S1024" s="1"/>
      <c r="T1024" s="109"/>
      <c r="W1024" s="130" t="str">
        <f t="shared" si="25"/>
        <v>1w</v>
      </c>
      <c r="X1024" s="128">
        <f>_xll.qlCalendarAdvance(Calendar,X1023,W1024,"f",FALSE)</f>
        <v>46301</v>
      </c>
      <c r="Y1024" s="131">
        <f>_xll.qlCalendarAdvance(Calendar,X1024,NDays&amp;"D")</f>
        <v>46303</v>
      </c>
      <c r="Z1024" s="132">
        <v>1.653723087098392E-2</v>
      </c>
      <c r="AA1024" s="129">
        <v>1.6470149666982792E-2</v>
      </c>
    </row>
    <row r="1025" spans="19:27" x14ac:dyDescent="0.2">
      <c r="S1025" s="1"/>
      <c r="T1025" s="109"/>
      <c r="W1025" s="130" t="str">
        <f t="shared" si="25"/>
        <v>1w</v>
      </c>
      <c r="X1025" s="128">
        <f>_xll.qlCalendarAdvance(Calendar,X1024,W1025,"f",FALSE)</f>
        <v>46308</v>
      </c>
      <c r="Y1025" s="131">
        <f>_xll.qlCalendarAdvance(Calendar,X1025,NDays&amp;"D")</f>
        <v>46310</v>
      </c>
      <c r="Z1025" s="132">
        <v>1.6541762988809296E-2</v>
      </c>
      <c r="AA1025" s="129">
        <v>1.6475902786963204E-2</v>
      </c>
    </row>
    <row r="1026" spans="19:27" x14ac:dyDescent="0.2">
      <c r="S1026" s="1"/>
      <c r="T1026" s="109"/>
      <c r="W1026" s="130" t="str">
        <f t="shared" si="25"/>
        <v>1w</v>
      </c>
      <c r="X1026" s="128">
        <f>_xll.qlCalendarAdvance(Calendar,X1025,W1026,"f",FALSE)</f>
        <v>46315</v>
      </c>
      <c r="Y1026" s="131">
        <f>_xll.qlCalendarAdvance(Calendar,X1026,NDays&amp;"D")</f>
        <v>46317</v>
      </c>
      <c r="Z1026" s="132">
        <v>1.654610356463676E-2</v>
      </c>
      <c r="AA1026" s="129">
        <v>1.6481465157607289E-2</v>
      </c>
    </row>
    <row r="1027" spans="19:27" x14ac:dyDescent="0.2">
      <c r="S1027" s="1"/>
      <c r="T1027" s="109"/>
      <c r="W1027" s="130" t="str">
        <f t="shared" si="25"/>
        <v>1w</v>
      </c>
      <c r="X1027" s="128">
        <f>_xll.qlCalendarAdvance(Calendar,X1026,W1027,"f",FALSE)</f>
        <v>46322</v>
      </c>
      <c r="Y1027" s="131">
        <f>_xll.qlCalendarAdvance(Calendar,X1027,NDays&amp;"D")</f>
        <v>46324</v>
      </c>
      <c r="Z1027" s="132">
        <v>1.6550252597830294E-2</v>
      </c>
      <c r="AA1027" s="129">
        <v>1.6486836778835112E-2</v>
      </c>
    </row>
    <row r="1028" spans="19:27" x14ac:dyDescent="0.2">
      <c r="S1028" s="1"/>
      <c r="T1028" s="109"/>
      <c r="W1028" s="130" t="str">
        <f t="shared" si="25"/>
        <v>1w</v>
      </c>
      <c r="X1028" s="128">
        <f>_xll.qlCalendarAdvance(Calendar,X1027,W1028,"f",FALSE)</f>
        <v>46329</v>
      </c>
      <c r="Y1028" s="131">
        <f>_xll.qlCalendarAdvance(Calendar,X1028,NDays&amp;"D")</f>
        <v>46331</v>
      </c>
      <c r="Z1028" s="132">
        <v>1.6554210087786035E-2</v>
      </c>
      <c r="AA1028" s="129">
        <v>1.6492017650886481E-2</v>
      </c>
    </row>
    <row r="1029" spans="19:27" x14ac:dyDescent="0.2">
      <c r="S1029" s="1"/>
      <c r="T1029" s="109"/>
      <c r="W1029" s="130" t="str">
        <f t="shared" si="25"/>
        <v>1w</v>
      </c>
      <c r="X1029" s="128">
        <f>_xll.qlCalendarAdvance(Calendar,X1028,W1029,"f",FALSE)</f>
        <v>46336</v>
      </c>
      <c r="Y1029" s="131">
        <f>_xll.qlCalendarAdvance(Calendar,X1029,NDays&amp;"D")</f>
        <v>46338</v>
      </c>
      <c r="Z1029" s="132">
        <v>1.6557976033924449E-2</v>
      </c>
      <c r="AA1029" s="129">
        <v>1.6497007773521588E-2</v>
      </c>
    </row>
    <row r="1030" spans="19:27" x14ac:dyDescent="0.2">
      <c r="S1030" s="1"/>
      <c r="T1030" s="109"/>
      <c r="W1030" s="130" t="str">
        <f t="shared" si="25"/>
        <v>1w</v>
      </c>
      <c r="X1030" s="128">
        <f>_xll.qlCalendarAdvance(Calendar,X1029,W1030,"f",FALSE)</f>
        <v>46343</v>
      </c>
      <c r="Y1030" s="131">
        <f>_xll.qlCalendarAdvance(Calendar,X1030,NDays&amp;"D")</f>
        <v>46345</v>
      </c>
      <c r="Z1030" s="132">
        <v>1.6561550435693798E-2</v>
      </c>
      <c r="AA1030" s="129">
        <v>1.6501807146740433E-2</v>
      </c>
    </row>
    <row r="1031" spans="19:27" x14ac:dyDescent="0.2">
      <c r="S1031" s="1"/>
      <c r="T1031" s="109"/>
      <c r="W1031" s="130" t="str">
        <f t="shared" si="25"/>
        <v>1w</v>
      </c>
      <c r="X1031" s="128">
        <f>_xll.qlCalendarAdvance(Calendar,X1030,W1031,"f",FALSE)</f>
        <v>46350</v>
      </c>
      <c r="Y1031" s="131">
        <f>_xll.qlCalendarAdvance(Calendar,X1031,NDays&amp;"D")</f>
        <v>46352</v>
      </c>
      <c r="Z1031" s="132">
        <v>1.6564933292572765E-2</v>
      </c>
      <c r="AA1031" s="129">
        <v>1.6506415770622951E-2</v>
      </c>
    </row>
    <row r="1032" spans="19:27" x14ac:dyDescent="0.2">
      <c r="S1032" s="1"/>
      <c r="T1032" s="109"/>
      <c r="W1032" s="130" t="str">
        <f t="shared" si="25"/>
        <v>1w</v>
      </c>
      <c r="X1032" s="128">
        <f>_xll.qlCalendarAdvance(Calendar,X1031,W1032,"f",FALSE)</f>
        <v>46357</v>
      </c>
      <c r="Y1032" s="131">
        <f>_xll.qlCalendarAdvance(Calendar,X1032,NDays&amp;"D")</f>
        <v>46359</v>
      </c>
      <c r="Z1032" s="132">
        <v>1.6566978343384164E-2</v>
      </c>
      <c r="AA1032" s="129">
        <v>1.6510833645169143E-2</v>
      </c>
    </row>
    <row r="1033" spans="19:27" x14ac:dyDescent="0.2">
      <c r="S1033" s="1"/>
      <c r="T1033" s="109"/>
      <c r="W1033" s="130" t="str">
        <f t="shared" si="25"/>
        <v>1w</v>
      </c>
      <c r="X1033" s="128">
        <f>_xll.qlCalendarAdvance(Calendar,X1032,W1033,"f",FALSE)</f>
        <v>46364</v>
      </c>
      <c r="Y1033" s="131">
        <f>_xll.qlCalendarAdvance(Calendar,X1033,NDays&amp;"D")</f>
        <v>46366</v>
      </c>
      <c r="Z1033" s="132">
        <v>1.6570005194739501E-2</v>
      </c>
      <c r="AA1033" s="129">
        <v>1.6515060770299073E-2</v>
      </c>
    </row>
    <row r="1034" spans="19:27" x14ac:dyDescent="0.2">
      <c r="S1034" s="1"/>
      <c r="T1034" s="109"/>
      <c r="W1034" s="130" t="str">
        <f t="shared" si="25"/>
        <v>1w</v>
      </c>
      <c r="X1034" s="128">
        <f>_xll.qlCalendarAdvance(Calendar,X1033,W1034,"f",FALSE)</f>
        <v>46371</v>
      </c>
      <c r="Y1034" s="131">
        <f>_xll.qlCalendarAdvance(Calendar,X1034,NDays&amp;"D")</f>
        <v>46373</v>
      </c>
      <c r="Z1034" s="132">
        <v>1.657284051741037E-2</v>
      </c>
      <c r="AA1034" s="129">
        <v>1.651909714601274E-2</v>
      </c>
    </row>
    <row r="1035" spans="19:27" x14ac:dyDescent="0.2">
      <c r="S1035" s="1"/>
      <c r="T1035" s="109"/>
      <c r="W1035" s="130" t="str">
        <f t="shared" si="25"/>
        <v>1w</v>
      </c>
      <c r="X1035" s="128">
        <f>_xll.qlCalendarAdvance(Calendar,X1034,W1035,"f",FALSE)</f>
        <v>46378</v>
      </c>
      <c r="Y1035" s="131">
        <f>_xll.qlCalendarAdvance(Calendar,X1035,NDays&amp;"D")</f>
        <v>46380</v>
      </c>
      <c r="Z1035" s="132">
        <v>1.6575484310989985E-2</v>
      </c>
      <c r="AA1035" s="129">
        <v>1.6524877261638871E-2</v>
      </c>
    </row>
    <row r="1036" spans="19:27" x14ac:dyDescent="0.2">
      <c r="S1036" s="1"/>
      <c r="T1036" s="109"/>
      <c r="W1036" s="130" t="str">
        <f t="shared" si="25"/>
        <v>1w</v>
      </c>
      <c r="X1036" s="128">
        <f>_xll.qlCalendarAdvance(Calendar,X1035,W1036,"f",FALSE)</f>
        <v>46385</v>
      </c>
      <c r="Y1036" s="131">
        <f>_xll.qlCalendarAdvance(Calendar,X1036,NDays&amp;"D")</f>
        <v>46387</v>
      </c>
      <c r="Z1036" s="132">
        <v>1.6577936575102648E-2</v>
      </c>
      <c r="AA1036" s="129">
        <v>1.6528491761458319E-2</v>
      </c>
    </row>
    <row r="1037" spans="19:27" x14ac:dyDescent="0.2">
      <c r="S1037" s="1"/>
      <c r="T1037" s="109"/>
      <c r="W1037" s="130" t="str">
        <f t="shared" si="25"/>
        <v>1w</v>
      </c>
      <c r="X1037" s="128">
        <f>_xll.qlCalendarAdvance(Calendar,X1036,W1037,"f",FALSE)</f>
        <v>46392</v>
      </c>
      <c r="Y1037" s="131">
        <f>_xll.qlCalendarAdvance(Calendar,X1037,NDays&amp;"D")</f>
        <v>46394</v>
      </c>
      <c r="Z1037" s="132">
        <v>1.6580197309393974E-2</v>
      </c>
      <c r="AA1037" s="129">
        <v>1.6530061776895977E-2</v>
      </c>
    </row>
    <row r="1038" spans="19:27" x14ac:dyDescent="0.2">
      <c r="S1038" s="1"/>
      <c r="T1038" s="109"/>
      <c r="W1038" s="130" t="str">
        <f t="shared" si="25"/>
        <v>1w</v>
      </c>
      <c r="X1038" s="128">
        <f>_xll.qlCalendarAdvance(Calendar,X1037,W1038,"f",FALSE)</f>
        <v>46399</v>
      </c>
      <c r="Y1038" s="131">
        <f>_xll.qlCalendarAdvance(Calendar,X1038,NDays&amp;"D")</f>
        <v>46401</v>
      </c>
      <c r="Z1038" s="132">
        <v>1.6582266513542443E-2</v>
      </c>
      <c r="AA1038" s="129">
        <v>1.6533335155104467E-2</v>
      </c>
    </row>
    <row r="1039" spans="19:27" x14ac:dyDescent="0.2">
      <c r="S1039" s="1"/>
      <c r="T1039" s="109"/>
      <c r="W1039" s="130" t="str">
        <f t="shared" si="25"/>
        <v>1w</v>
      </c>
      <c r="X1039" s="128">
        <f>_xll.qlCalendarAdvance(Calendar,X1038,W1039,"f",FALSE)</f>
        <v>46406</v>
      </c>
      <c r="Y1039" s="131">
        <f>_xll.qlCalendarAdvance(Calendar,X1039,NDays&amp;"D")</f>
        <v>46408</v>
      </c>
      <c r="Z1039" s="132">
        <v>1.6584144187252292E-2</v>
      </c>
      <c r="AA1039" s="129">
        <v>1.6536417783896695E-2</v>
      </c>
    </row>
    <row r="1040" spans="19:27" x14ac:dyDescent="0.2">
      <c r="S1040" s="1"/>
      <c r="T1040" s="109"/>
      <c r="W1040" s="130" t="str">
        <f t="shared" si="25"/>
        <v>1w</v>
      </c>
      <c r="X1040" s="128">
        <f>_xll.qlCalendarAdvance(Calendar,X1039,W1040,"f",FALSE)</f>
        <v>46413</v>
      </c>
      <c r="Y1040" s="131">
        <f>_xll.qlCalendarAdvance(Calendar,X1040,NDays&amp;"D")</f>
        <v>46415</v>
      </c>
      <c r="Z1040" s="132">
        <v>1.6585830330253515E-2</v>
      </c>
      <c r="AA1040" s="129">
        <v>1.6539309663112789E-2</v>
      </c>
    </row>
    <row r="1041" spans="19:27" x14ac:dyDescent="0.2">
      <c r="S1041" s="1"/>
      <c r="T1041" s="109"/>
      <c r="W1041" s="130" t="str">
        <f t="shared" si="25"/>
        <v>1w</v>
      </c>
      <c r="X1041" s="128">
        <f>_xll.qlCalendarAdvance(Calendar,X1040,W1041,"f",FALSE)</f>
        <v>46420</v>
      </c>
      <c r="Y1041" s="131">
        <f>_xll.qlCalendarAdvance(Calendar,X1041,NDays&amp;"D")</f>
        <v>46422</v>
      </c>
      <c r="Z1041" s="132">
        <v>1.6586872087571029E-2</v>
      </c>
      <c r="AA1041" s="129">
        <v>1.6542010792992556E-2</v>
      </c>
    </row>
    <row r="1042" spans="19:27" x14ac:dyDescent="0.2">
      <c r="S1042" s="1"/>
      <c r="T1042" s="109"/>
      <c r="W1042" s="130" t="str">
        <f t="shared" si="25"/>
        <v>1w</v>
      </c>
      <c r="X1042" s="128">
        <f>_xll.qlCalendarAdvance(Calendar,X1041,W1042,"f",FALSE)</f>
        <v>46427</v>
      </c>
      <c r="Y1042" s="131">
        <f>_xll.qlCalendarAdvance(Calendar,X1042,NDays&amp;"D")</f>
        <v>46429</v>
      </c>
      <c r="Z1042" s="132">
        <v>1.6588188788728121E-2</v>
      </c>
      <c r="AA1042" s="129">
        <v>1.6544521173456062E-2</v>
      </c>
    </row>
    <row r="1043" spans="19:27" x14ac:dyDescent="0.2">
      <c r="S1043" s="1"/>
      <c r="T1043" s="109"/>
      <c r="W1043" s="130" t="str">
        <f t="shared" si="25"/>
        <v>1w</v>
      </c>
      <c r="X1043" s="128">
        <f>_xll.qlCalendarAdvance(Calendar,X1042,W1043,"f",FALSE)</f>
        <v>46434</v>
      </c>
      <c r="Y1043" s="131">
        <f>_xll.qlCalendarAdvance(Calendar,X1043,NDays&amp;"D")</f>
        <v>46436</v>
      </c>
      <c r="Z1043" s="132">
        <v>1.6589314781562375E-2</v>
      </c>
      <c r="AA1043" s="129">
        <v>1.6546840804503304E-2</v>
      </c>
    </row>
    <row r="1044" spans="19:27" x14ac:dyDescent="0.2">
      <c r="S1044" s="1"/>
      <c r="T1044" s="109"/>
      <c r="W1044" s="130" t="str">
        <f t="shared" si="25"/>
        <v>1w</v>
      </c>
      <c r="X1044" s="128">
        <f>_xll.qlCalendarAdvance(Calendar,X1043,W1044,"f",FALSE)</f>
        <v>46441</v>
      </c>
      <c r="Y1044" s="131">
        <f>_xll.qlCalendarAdvance(Calendar,X1044,NDays&amp;"D")</f>
        <v>46443</v>
      </c>
      <c r="Z1044" s="132">
        <v>1.6590258878942426E-2</v>
      </c>
      <c r="AA1044" s="129">
        <v>1.6548969686134285E-2</v>
      </c>
    </row>
    <row r="1045" spans="19:27" x14ac:dyDescent="0.2">
      <c r="S1045" s="1"/>
      <c r="T1045" s="109"/>
      <c r="W1045" s="130" t="str">
        <f t="shared" ref="W1045:W1108" si="26">W1044</f>
        <v>1w</v>
      </c>
      <c r="X1045" s="128">
        <f>_xll.qlCalendarAdvance(Calendar,X1044,W1045,"f",FALSE)</f>
        <v>46448</v>
      </c>
      <c r="Y1045" s="131">
        <f>_xll.qlCalendarAdvance(Calendar,X1045,NDays&amp;"D")</f>
        <v>46450</v>
      </c>
      <c r="Z1045" s="132">
        <v>1.6592247954665795E-2</v>
      </c>
      <c r="AA1045" s="129">
        <v>1.6550907818269067E-2</v>
      </c>
    </row>
    <row r="1046" spans="19:27" x14ac:dyDescent="0.2">
      <c r="S1046" s="1"/>
      <c r="T1046" s="109"/>
      <c r="W1046" s="130" t="str">
        <f t="shared" si="26"/>
        <v>1w</v>
      </c>
      <c r="X1046" s="128">
        <f>_xll.qlCalendarAdvance(Calendar,X1045,W1046,"f",FALSE)</f>
        <v>46455</v>
      </c>
      <c r="Y1046" s="131">
        <f>_xll.qlCalendarAdvance(Calendar,X1046,NDays&amp;"D")</f>
        <v>46457</v>
      </c>
      <c r="Z1046" s="132">
        <v>1.6592844192522271E-2</v>
      </c>
      <c r="AA1046" s="129">
        <v>1.6552655200987587E-2</v>
      </c>
    </row>
    <row r="1047" spans="19:27" x14ac:dyDescent="0.2">
      <c r="S1047" s="1"/>
      <c r="T1047" s="109"/>
      <c r="W1047" s="130" t="str">
        <f t="shared" si="26"/>
        <v>1w</v>
      </c>
      <c r="X1047" s="128">
        <f>_xll.qlCalendarAdvance(Calendar,X1046,W1047,"f",FALSE)</f>
        <v>46462</v>
      </c>
      <c r="Y1047" s="131">
        <f>_xll.qlCalendarAdvance(Calendar,X1047,NDays&amp;"D")</f>
        <v>46464</v>
      </c>
      <c r="Z1047" s="132">
        <v>1.6593302613188917E-2</v>
      </c>
      <c r="AA1047" s="129">
        <v>1.6554211834289845E-2</v>
      </c>
    </row>
    <row r="1048" spans="19:27" x14ac:dyDescent="0.2">
      <c r="S1048" s="1"/>
      <c r="T1048" s="109"/>
      <c r="W1048" s="130" t="str">
        <f t="shared" si="26"/>
        <v>1w</v>
      </c>
      <c r="X1048" s="128">
        <f>_xll.qlCalendarAdvance(Calendar,X1047,W1048,"f",FALSE)</f>
        <v>46469</v>
      </c>
      <c r="Y1048" s="131">
        <f>_xll.qlCalendarAdvance(Calendar,X1048,NDays&amp;"D")</f>
        <v>46471</v>
      </c>
      <c r="Z1048" s="132">
        <v>1.6593636186470955E-2</v>
      </c>
      <c r="AA1048" s="129">
        <v>1.6557451883207008E-2</v>
      </c>
    </row>
    <row r="1049" spans="19:27" x14ac:dyDescent="0.2">
      <c r="S1049" s="1"/>
      <c r="T1049" s="109"/>
      <c r="W1049" s="130" t="str">
        <f t="shared" si="26"/>
        <v>1w</v>
      </c>
      <c r="X1049" s="128">
        <f>_xll.qlCalendarAdvance(Calendar,X1048,W1049,"f",FALSE)</f>
        <v>46476</v>
      </c>
      <c r="Y1049" s="131">
        <f>_xll.qlCalendarAdvance(Calendar,X1049,NDays&amp;"D")</f>
        <v>46478</v>
      </c>
      <c r="Z1049" s="132">
        <v>1.6593478612182376E-2</v>
      </c>
      <c r="AA1049" s="129">
        <v>1.6556752852405765E-2</v>
      </c>
    </row>
    <row r="1050" spans="19:27" x14ac:dyDescent="0.2">
      <c r="S1050" s="1"/>
      <c r="T1050" s="109"/>
      <c r="W1050" s="130" t="str">
        <f t="shared" si="26"/>
        <v>1w</v>
      </c>
      <c r="X1050" s="128">
        <f>_xll.qlCalendarAdvance(Calendar,X1049,W1050,"f",FALSE)</f>
        <v>46483</v>
      </c>
      <c r="Y1050" s="131">
        <f>_xll.qlCalendarAdvance(Calendar,X1050,NDays&amp;"D")</f>
        <v>46485</v>
      </c>
      <c r="Z1050" s="132">
        <v>1.6593605062329431E-2</v>
      </c>
      <c r="AA1050" s="129">
        <v>1.65577372373793E-2</v>
      </c>
    </row>
    <row r="1051" spans="19:27" x14ac:dyDescent="0.2">
      <c r="S1051" s="1"/>
      <c r="T1051" s="109"/>
      <c r="W1051" s="130" t="str">
        <f t="shared" si="26"/>
        <v>1w</v>
      </c>
      <c r="X1051" s="128">
        <f>_xll.qlCalendarAdvance(Calendar,X1050,W1051,"f",FALSE)</f>
        <v>46490</v>
      </c>
      <c r="Y1051" s="131">
        <f>_xll.qlCalendarAdvance(Calendar,X1051,NDays&amp;"D")</f>
        <v>46492</v>
      </c>
      <c r="Z1051" s="132">
        <v>1.6593644865949171E-2</v>
      </c>
      <c r="AA1051" s="129">
        <v>1.65585308727767E-2</v>
      </c>
    </row>
    <row r="1052" spans="19:27" x14ac:dyDescent="0.2">
      <c r="S1052" s="1"/>
      <c r="T1052" s="109"/>
      <c r="W1052" s="130" t="str">
        <f t="shared" si="26"/>
        <v>1w</v>
      </c>
      <c r="X1052" s="128">
        <f>_xll.qlCalendarAdvance(Calendar,X1051,W1052,"f",FALSE)</f>
        <v>46497</v>
      </c>
      <c r="Y1052" s="131">
        <f>_xll.qlCalendarAdvance(Calendar,X1052,NDays&amp;"D")</f>
        <v>46499</v>
      </c>
      <c r="Z1052" s="132">
        <v>1.6593611134816121E-2</v>
      </c>
      <c r="AA1052" s="129">
        <v>1.6559133758837774E-2</v>
      </c>
    </row>
    <row r="1053" spans="19:27" x14ac:dyDescent="0.2">
      <c r="S1053" s="1"/>
      <c r="T1053" s="109"/>
      <c r="W1053" s="130" t="str">
        <f t="shared" si="26"/>
        <v>1w</v>
      </c>
      <c r="X1053" s="128">
        <f>_xll.qlCalendarAdvance(Calendar,X1052,W1053,"f",FALSE)</f>
        <v>46504</v>
      </c>
      <c r="Y1053" s="131">
        <f>_xll.qlCalendarAdvance(Calendar,X1053,NDays&amp;"D")</f>
        <v>46506</v>
      </c>
      <c r="Z1053" s="132">
        <v>1.6593516980709194E-2</v>
      </c>
      <c r="AA1053" s="129">
        <v>1.655954589540265E-2</v>
      </c>
    </row>
    <row r="1054" spans="19:27" x14ac:dyDescent="0.2">
      <c r="S1054" s="1"/>
      <c r="T1054" s="109"/>
      <c r="W1054" s="130" t="str">
        <f t="shared" si="26"/>
        <v>1w</v>
      </c>
      <c r="X1054" s="128">
        <f>_xll.qlCalendarAdvance(Calendar,X1053,W1054,"f",FALSE)</f>
        <v>46511</v>
      </c>
      <c r="Y1054" s="131">
        <f>_xll.qlCalendarAdvance(Calendar,X1054,NDays&amp;"D")</f>
        <v>46513</v>
      </c>
      <c r="Z1054" s="132">
        <v>1.6593742141849339E-2</v>
      </c>
      <c r="AA1054" s="129">
        <v>1.6559767282471327E-2</v>
      </c>
    </row>
    <row r="1055" spans="19:27" x14ac:dyDescent="0.2">
      <c r="S1055" s="1"/>
      <c r="T1055" s="109"/>
      <c r="W1055" s="130" t="str">
        <f t="shared" si="26"/>
        <v>1w</v>
      </c>
      <c r="X1055" s="128">
        <f>_xll.qlCalendarAdvance(Calendar,X1054,W1055,"f",FALSE)</f>
        <v>46518</v>
      </c>
      <c r="Y1055" s="131">
        <f>_xll.qlCalendarAdvance(Calendar,X1055,NDays&amp;"D")</f>
        <v>46520</v>
      </c>
      <c r="Z1055" s="132">
        <v>1.6593564938971753E-2</v>
      </c>
      <c r="AA1055" s="129">
        <v>1.6559798497501887E-2</v>
      </c>
    </row>
    <row r="1056" spans="19:27" x14ac:dyDescent="0.2">
      <c r="S1056" s="1"/>
      <c r="T1056" s="109"/>
      <c r="W1056" s="130" t="str">
        <f t="shared" si="26"/>
        <v>1w</v>
      </c>
      <c r="X1056" s="128">
        <f>_xll.qlCalendarAdvance(Calendar,X1055,W1056,"f",FALSE)</f>
        <v>46525</v>
      </c>
      <c r="Y1056" s="131">
        <f>_xll.qlCalendarAdvance(Calendar,X1056,NDays&amp;"D")</f>
        <v>46527</v>
      </c>
      <c r="Z1056" s="132">
        <v>1.6593364485848087E-2</v>
      </c>
      <c r="AA1056" s="129">
        <v>1.6559735385026642E-2</v>
      </c>
    </row>
    <row r="1057" spans="19:27" x14ac:dyDescent="0.2">
      <c r="S1057" s="1"/>
      <c r="T1057" s="109"/>
      <c r="W1057" s="130" t="str">
        <f t="shared" si="26"/>
        <v>1w</v>
      </c>
      <c r="X1057" s="128">
        <f>_xll.qlCalendarAdvance(Calendar,X1056,W1057,"f",FALSE)</f>
        <v>46532</v>
      </c>
      <c r="Y1057" s="131">
        <f>_xll.qlCalendarAdvance(Calendar,X1057,NDays&amp;"D")</f>
        <v>46534</v>
      </c>
      <c r="Z1057" s="132">
        <v>1.659314294412486E-2</v>
      </c>
      <c r="AA1057" s="129">
        <v>1.6559651272070042E-2</v>
      </c>
    </row>
    <row r="1058" spans="19:27" x14ac:dyDescent="0.2">
      <c r="S1058" s="1"/>
      <c r="T1058" s="109"/>
      <c r="W1058" s="130" t="str">
        <f t="shared" si="26"/>
        <v>1w</v>
      </c>
      <c r="X1058" s="128">
        <f>_xll.qlCalendarAdvance(Calendar,X1057,W1058,"f",FALSE)</f>
        <v>46539</v>
      </c>
      <c r="Y1058" s="131">
        <f>_xll.qlCalendarAdvance(Calendar,X1058,NDays&amp;"D")</f>
        <v>46541</v>
      </c>
      <c r="Z1058" s="132">
        <v>1.6592900313804677E-2</v>
      </c>
      <c r="AA1058" s="129">
        <v>1.6559546158632088E-2</v>
      </c>
    </row>
    <row r="1059" spans="19:27" x14ac:dyDescent="0.2">
      <c r="S1059" s="1"/>
      <c r="T1059" s="109"/>
      <c r="W1059" s="130" t="str">
        <f t="shared" si="26"/>
        <v>1w</v>
      </c>
      <c r="X1059" s="128">
        <f>_xll.qlCalendarAdvance(Calendar,X1058,W1059,"f",FALSE)</f>
        <v>46546</v>
      </c>
      <c r="Y1059" s="131">
        <f>_xll.qlCalendarAdvance(Calendar,X1059,NDays&amp;"D")</f>
        <v>46548</v>
      </c>
      <c r="Z1059" s="132">
        <v>1.6592636594892751E-2</v>
      </c>
      <c r="AA1059" s="129">
        <v>1.6559420044632844E-2</v>
      </c>
    </row>
    <row r="1060" spans="19:27" x14ac:dyDescent="0.2">
      <c r="S1060" s="1"/>
      <c r="T1060" s="109"/>
      <c r="W1060" s="130" t="str">
        <f t="shared" si="26"/>
        <v>1w</v>
      </c>
      <c r="X1060" s="128">
        <f>_xll.qlCalendarAdvance(Calendar,X1059,W1060,"f",FALSE)</f>
        <v>46553</v>
      </c>
      <c r="Y1060" s="131">
        <f>_xll.qlCalendarAdvance(Calendar,X1060,NDays&amp;"D")</f>
        <v>46555</v>
      </c>
      <c r="Z1060" s="132">
        <v>1.6592351787390821E-2</v>
      </c>
      <c r="AA1060" s="129">
        <v>1.6559272929992375E-2</v>
      </c>
    </row>
    <row r="1061" spans="19:27" x14ac:dyDescent="0.2">
      <c r="S1061" s="1"/>
      <c r="T1061" s="109"/>
      <c r="W1061" s="130" t="str">
        <f t="shared" si="26"/>
        <v>1w</v>
      </c>
      <c r="X1061" s="128">
        <f>_xll.qlCalendarAdvance(Calendar,X1060,W1061,"f",FALSE)</f>
        <v>46560</v>
      </c>
      <c r="Y1061" s="131">
        <f>_xll.qlCalendarAdvance(Calendar,X1061,NDays&amp;"D")</f>
        <v>46562</v>
      </c>
      <c r="Z1061" s="132">
        <v>1.6592045891306705E-2</v>
      </c>
      <c r="AA1061" s="129">
        <v>1.6559104815030423E-2</v>
      </c>
    </row>
    <row r="1062" spans="19:27" x14ac:dyDescent="0.2">
      <c r="S1062" s="1"/>
      <c r="T1062" s="109"/>
      <c r="W1062" s="130" t="str">
        <f t="shared" si="26"/>
        <v>1w</v>
      </c>
      <c r="X1062" s="128">
        <f>_xll.qlCalendarAdvance(Calendar,X1061,W1062,"f",FALSE)</f>
        <v>46567</v>
      </c>
      <c r="Y1062" s="131">
        <f>_xll.qlCalendarAdvance(Calendar,X1062,NDays&amp;"D")</f>
        <v>46569</v>
      </c>
      <c r="Z1062" s="132">
        <v>1.6591718906642145E-2</v>
      </c>
      <c r="AA1062" s="129">
        <v>1.655891569934731E-2</v>
      </c>
    </row>
    <row r="1063" spans="19:27" x14ac:dyDescent="0.2">
      <c r="S1063" s="1"/>
      <c r="T1063" s="109"/>
      <c r="W1063" s="130" t="str">
        <f t="shared" si="26"/>
        <v>1w</v>
      </c>
      <c r="X1063" s="128">
        <f>_xll.qlCalendarAdvance(Calendar,X1062,W1063,"f",FALSE)</f>
        <v>46574</v>
      </c>
      <c r="Y1063" s="131">
        <f>_xll.qlCalendarAdvance(Calendar,X1063,NDays&amp;"D")</f>
        <v>46576</v>
      </c>
      <c r="Z1063" s="132">
        <v>1.6591370833404086E-2</v>
      </c>
      <c r="AA1063" s="129">
        <v>1.6558705583342714E-2</v>
      </c>
    </row>
    <row r="1064" spans="19:27" x14ac:dyDescent="0.2">
      <c r="S1064" s="1"/>
      <c r="T1064" s="109"/>
      <c r="W1064" s="130" t="str">
        <f t="shared" si="26"/>
        <v>1w</v>
      </c>
      <c r="X1064" s="128">
        <f>_xll.qlCalendarAdvance(Calendar,X1063,W1064,"f",FALSE)</f>
        <v>46581</v>
      </c>
      <c r="Y1064" s="131">
        <f>_xll.qlCalendarAdvance(Calendar,X1064,NDays&amp;"D")</f>
        <v>46583</v>
      </c>
      <c r="Z1064" s="132">
        <v>1.6591001671597744E-2</v>
      </c>
      <c r="AA1064" s="129">
        <v>1.6558474466616957E-2</v>
      </c>
    </row>
    <row r="1065" spans="19:27" x14ac:dyDescent="0.2">
      <c r="S1065" s="1"/>
      <c r="T1065" s="109"/>
      <c r="W1065" s="130" t="str">
        <f t="shared" si="26"/>
        <v>1w</v>
      </c>
      <c r="X1065" s="128">
        <f>_xll.qlCalendarAdvance(Calendar,X1064,W1065,"f",FALSE)</f>
        <v>46588</v>
      </c>
      <c r="Y1065" s="131">
        <f>_xll.qlCalendarAdvance(Calendar,X1065,NDays&amp;"D")</f>
        <v>46590</v>
      </c>
      <c r="Z1065" s="132">
        <v>1.659061142123007E-2</v>
      </c>
      <c r="AA1065" s="129">
        <v>1.6558222349489782E-2</v>
      </c>
    </row>
    <row r="1066" spans="19:27" x14ac:dyDescent="0.2">
      <c r="S1066" s="1"/>
      <c r="T1066" s="109"/>
      <c r="W1066" s="130" t="str">
        <f t="shared" si="26"/>
        <v>1w</v>
      </c>
      <c r="X1066" s="128">
        <f>_xll.qlCalendarAdvance(Calendar,X1065,W1066,"f",FALSE)</f>
        <v>46595</v>
      </c>
      <c r="Y1066" s="131">
        <f>_xll.qlCalendarAdvance(Calendar,X1066,NDays&amp;"D")</f>
        <v>46597</v>
      </c>
      <c r="Z1066" s="132">
        <v>1.6590200082306279E-2</v>
      </c>
      <c r="AA1066" s="129">
        <v>1.6557949231721381E-2</v>
      </c>
    </row>
    <row r="1067" spans="19:27" x14ac:dyDescent="0.2">
      <c r="S1067" s="1"/>
      <c r="T1067" s="109"/>
      <c r="W1067" s="130" t="str">
        <f t="shared" si="26"/>
        <v>1w</v>
      </c>
      <c r="X1067" s="128">
        <f>_xll.qlCalendarAdvance(Calendar,X1066,W1067,"f",FALSE)</f>
        <v>46602</v>
      </c>
      <c r="Y1067" s="131">
        <f>_xll.qlCalendarAdvance(Calendar,X1067,NDays&amp;"D")</f>
        <v>46604</v>
      </c>
      <c r="Z1067" s="132">
        <v>1.6589767654833318E-2</v>
      </c>
      <c r="AA1067" s="129">
        <v>1.6557655113551561E-2</v>
      </c>
    </row>
    <row r="1068" spans="19:27" x14ac:dyDescent="0.2">
      <c r="S1068" s="1"/>
      <c r="T1068" s="109"/>
      <c r="W1068" s="130" t="str">
        <f t="shared" si="26"/>
        <v>1w</v>
      </c>
      <c r="X1068" s="128">
        <f>_xll.qlCalendarAdvance(Calendar,X1067,W1068,"f",FALSE)</f>
        <v>46609</v>
      </c>
      <c r="Y1068" s="131">
        <f>_xll.qlCalendarAdvance(Calendar,X1068,NDays&amp;"D")</f>
        <v>46611</v>
      </c>
      <c r="Z1068" s="132">
        <v>1.6589314138817274E-2</v>
      </c>
      <c r="AA1068" s="129">
        <v>1.6557339994740516E-2</v>
      </c>
    </row>
    <row r="1069" spans="19:27" x14ac:dyDescent="0.2">
      <c r="S1069" s="1"/>
      <c r="T1069" s="109"/>
      <c r="W1069" s="130" t="str">
        <f t="shared" si="26"/>
        <v>1w</v>
      </c>
      <c r="X1069" s="128">
        <f>_xll.qlCalendarAdvance(Calendar,X1068,W1069,"f",FALSE)</f>
        <v>46616</v>
      </c>
      <c r="Y1069" s="131">
        <f>_xll.qlCalendarAdvance(Calendar,X1069,NDays&amp;"D")</f>
        <v>46618</v>
      </c>
      <c r="Z1069" s="132">
        <v>1.658883953426683E-2</v>
      </c>
      <c r="AA1069" s="129">
        <v>1.6557003875448117E-2</v>
      </c>
    </row>
    <row r="1070" spans="19:27" x14ac:dyDescent="0.2">
      <c r="S1070" s="1"/>
      <c r="T1070" s="109"/>
      <c r="W1070" s="130" t="str">
        <f t="shared" si="26"/>
        <v>1w</v>
      </c>
      <c r="X1070" s="128">
        <f>_xll.qlCalendarAdvance(Calendar,X1069,W1070,"f",FALSE)</f>
        <v>46623</v>
      </c>
      <c r="Y1070" s="131">
        <f>_xll.qlCalendarAdvance(Calendar,X1070,NDays&amp;"D")</f>
        <v>46625</v>
      </c>
      <c r="Z1070" s="132">
        <v>1.658834384118894E-2</v>
      </c>
      <c r="AA1070" s="129">
        <v>1.6556646755594429E-2</v>
      </c>
    </row>
    <row r="1071" spans="19:27" x14ac:dyDescent="0.2">
      <c r="S1071" s="1"/>
      <c r="T1071" s="109"/>
      <c r="W1071" s="130" t="str">
        <f t="shared" si="26"/>
        <v>1w</v>
      </c>
      <c r="X1071" s="128">
        <f>_xll.qlCalendarAdvance(Calendar,X1070,W1071,"f",FALSE)</f>
        <v>46630</v>
      </c>
      <c r="Y1071" s="131">
        <f>_xll.qlCalendarAdvance(Calendar,X1071,NDays&amp;"D")</f>
        <v>46632</v>
      </c>
      <c r="Z1071" s="132">
        <v>1.6587486335284396E-2</v>
      </c>
      <c r="AA1071" s="129">
        <v>1.6556268635259386E-2</v>
      </c>
    </row>
    <row r="1072" spans="19:27" x14ac:dyDescent="0.2">
      <c r="S1072" s="1"/>
      <c r="T1072" s="109"/>
      <c r="W1072" s="130" t="str">
        <f t="shared" si="26"/>
        <v>1w</v>
      </c>
      <c r="X1072" s="128">
        <f>_xll.qlCalendarAdvance(Calendar,X1071,W1072,"f",FALSE)</f>
        <v>46637</v>
      </c>
      <c r="Y1072" s="131">
        <f>_xll.qlCalendarAdvance(Calendar,X1072,NDays&amp;"D")</f>
        <v>46639</v>
      </c>
      <c r="Z1072" s="132">
        <v>1.6586949996159197E-2</v>
      </c>
      <c r="AA1072" s="129">
        <v>1.6555869514363053E-2</v>
      </c>
    </row>
    <row r="1073" spans="19:27" x14ac:dyDescent="0.2">
      <c r="S1073" s="1"/>
      <c r="T1073" s="109"/>
      <c r="W1073" s="130" t="str">
        <f t="shared" si="26"/>
        <v>1w</v>
      </c>
      <c r="X1073" s="128">
        <f>_xll.qlCalendarAdvance(Calendar,X1072,W1073,"f",FALSE)</f>
        <v>46644</v>
      </c>
      <c r="Y1073" s="131">
        <f>_xll.qlCalendarAdvance(Calendar,X1073,NDays&amp;"D")</f>
        <v>46646</v>
      </c>
      <c r="Z1073" s="132">
        <v>1.6586392569498763E-2</v>
      </c>
      <c r="AA1073" s="129">
        <v>1.6555449392985366E-2</v>
      </c>
    </row>
    <row r="1074" spans="19:27" x14ac:dyDescent="0.2">
      <c r="S1074" s="1"/>
      <c r="T1074" s="109"/>
      <c r="W1074" s="130" t="str">
        <f t="shared" si="26"/>
        <v>1w</v>
      </c>
      <c r="X1074" s="128">
        <f>_xll.qlCalendarAdvance(Calendar,X1073,W1074,"f",FALSE)</f>
        <v>46651</v>
      </c>
      <c r="Y1074" s="131">
        <f>_xll.qlCalendarAdvance(Calendar,X1074,NDays&amp;"D")</f>
        <v>46653</v>
      </c>
      <c r="Z1074" s="132">
        <v>1.6585814055312755E-2</v>
      </c>
      <c r="AA1074" s="129">
        <v>1.655500827104639E-2</v>
      </c>
    </row>
    <row r="1075" spans="19:27" x14ac:dyDescent="0.2">
      <c r="S1075" s="1"/>
      <c r="T1075" s="109"/>
      <c r="W1075" s="130" t="str">
        <f t="shared" si="26"/>
        <v>1w</v>
      </c>
      <c r="X1075" s="128">
        <f>_xll.qlCalendarAdvance(Calendar,X1074,W1075,"f",FALSE)</f>
        <v>46658</v>
      </c>
      <c r="Y1075" s="131">
        <f>_xll.qlCalendarAdvance(Calendar,X1075,NDays&amp;"D")</f>
        <v>46660</v>
      </c>
      <c r="Z1075" s="132">
        <v>1.6585549048178879E-2</v>
      </c>
      <c r="AA1075" s="129">
        <v>1.6554546148626059E-2</v>
      </c>
    </row>
    <row r="1076" spans="19:27" x14ac:dyDescent="0.2">
      <c r="S1076" s="1"/>
      <c r="T1076" s="109"/>
      <c r="W1076" s="130" t="str">
        <f t="shared" si="26"/>
        <v>1w</v>
      </c>
      <c r="X1076" s="128">
        <f>_xll.qlCalendarAdvance(Calendar,X1075,W1076,"f",FALSE)</f>
        <v>46665</v>
      </c>
      <c r="Y1076" s="131">
        <f>_xll.qlCalendarAdvance(Calendar,X1076,NDays&amp;"D")</f>
        <v>46667</v>
      </c>
      <c r="Z1076" s="132">
        <v>1.6584926824117038E-2</v>
      </c>
      <c r="AA1076" s="129">
        <v>1.6554063025644439E-2</v>
      </c>
    </row>
    <row r="1077" spans="19:27" x14ac:dyDescent="0.2">
      <c r="S1077" s="1"/>
      <c r="T1077" s="109"/>
      <c r="W1077" s="130" t="str">
        <f t="shared" si="26"/>
        <v>1w</v>
      </c>
      <c r="X1077" s="128">
        <f>_xll.qlCalendarAdvance(Calendar,X1076,W1077,"f",FALSE)</f>
        <v>46672</v>
      </c>
      <c r="Y1077" s="131">
        <f>_xll.qlCalendarAdvance(Calendar,X1077,NDays&amp;"D")</f>
        <v>46674</v>
      </c>
      <c r="Z1077" s="132">
        <v>1.6584283511589443E-2</v>
      </c>
      <c r="AA1077" s="129">
        <v>1.6553558902101528E-2</v>
      </c>
    </row>
    <row r="1078" spans="19:27" x14ac:dyDescent="0.2">
      <c r="S1078" s="1"/>
      <c r="T1078" s="109"/>
      <c r="W1078" s="130" t="str">
        <f t="shared" si="26"/>
        <v>1w</v>
      </c>
      <c r="X1078" s="128">
        <f>_xll.qlCalendarAdvance(Calendar,X1077,W1078,"f",FALSE)</f>
        <v>46679</v>
      </c>
      <c r="Y1078" s="131">
        <f>_xll.qlCalendarAdvance(Calendar,X1078,NDays&amp;"D")</f>
        <v>46681</v>
      </c>
      <c r="Z1078" s="132">
        <v>1.6583619110608256E-2</v>
      </c>
      <c r="AA1078" s="129">
        <v>1.6553033778077264E-2</v>
      </c>
    </row>
    <row r="1079" spans="19:27" x14ac:dyDescent="0.2">
      <c r="S1079" s="1"/>
      <c r="T1079" s="109"/>
      <c r="W1079" s="130" t="str">
        <f t="shared" si="26"/>
        <v>1w</v>
      </c>
      <c r="X1079" s="128">
        <f>_xll.qlCalendarAdvance(Calendar,X1078,W1079,"f",FALSE)</f>
        <v>46686</v>
      </c>
      <c r="Y1079" s="131">
        <f>_xll.qlCalendarAdvance(Calendar,X1079,NDays&amp;"D")</f>
        <v>46688</v>
      </c>
      <c r="Z1079" s="132">
        <v>1.6582933621183033E-2</v>
      </c>
      <c r="AA1079" s="129">
        <v>1.655248765349171E-2</v>
      </c>
    </row>
    <row r="1080" spans="19:27" x14ac:dyDescent="0.2">
      <c r="S1080" s="1"/>
      <c r="T1080" s="109"/>
      <c r="W1080" s="130" t="str">
        <f t="shared" si="26"/>
        <v>1w</v>
      </c>
      <c r="X1080" s="128">
        <f>_xll.qlCalendarAdvance(Calendar,X1079,W1080,"f",FALSE)</f>
        <v>46693</v>
      </c>
      <c r="Y1080" s="131">
        <f>_xll.qlCalendarAdvance(Calendar,X1080,NDays&amp;"D")</f>
        <v>46695</v>
      </c>
      <c r="Z1080" s="132">
        <v>1.6582227043326809E-2</v>
      </c>
      <c r="AA1080" s="129">
        <v>1.6551920528344866E-2</v>
      </c>
    </row>
    <row r="1081" spans="19:27" x14ac:dyDescent="0.2">
      <c r="S1081" s="1"/>
      <c r="T1081" s="109"/>
      <c r="W1081" s="130" t="str">
        <f t="shared" si="26"/>
        <v>1w</v>
      </c>
      <c r="X1081" s="128">
        <f>_xll.qlCalendarAdvance(Calendar,X1080,W1081,"f",FALSE)</f>
        <v>46700</v>
      </c>
      <c r="Y1081" s="131">
        <f>_xll.qlCalendarAdvance(Calendar,X1081,NDays&amp;"D")</f>
        <v>46702</v>
      </c>
      <c r="Z1081" s="132">
        <v>1.6581499377049138E-2</v>
      </c>
      <c r="AA1081" s="129">
        <v>1.6551332402796604E-2</v>
      </c>
    </row>
    <row r="1082" spans="19:27" x14ac:dyDescent="0.2">
      <c r="S1082" s="1"/>
      <c r="T1082" s="109"/>
      <c r="W1082" s="130" t="str">
        <f t="shared" si="26"/>
        <v>1w</v>
      </c>
      <c r="X1082" s="128">
        <f>_xll.qlCalendarAdvance(Calendar,X1081,W1082,"f",FALSE)</f>
        <v>46707</v>
      </c>
      <c r="Y1082" s="131">
        <f>_xll.qlCalendarAdvance(Calendar,X1082,NDays&amp;"D")</f>
        <v>46709</v>
      </c>
      <c r="Z1082" s="132">
        <v>1.6580750622362191E-2</v>
      </c>
      <c r="AA1082" s="129">
        <v>1.6550723276607116E-2</v>
      </c>
    </row>
    <row r="1083" spans="19:27" x14ac:dyDescent="0.2">
      <c r="S1083" s="1"/>
      <c r="T1083" s="109"/>
      <c r="W1083" s="130" t="str">
        <f t="shared" si="26"/>
        <v>1w</v>
      </c>
      <c r="X1083" s="128">
        <f>_xll.qlCalendarAdvance(Calendar,X1082,W1083,"f",FALSE)</f>
        <v>46714</v>
      </c>
      <c r="Y1083" s="131">
        <f>_xll.qlCalendarAdvance(Calendar,X1083,NDays&amp;"D")</f>
        <v>46716</v>
      </c>
      <c r="Z1083" s="132">
        <v>1.6579980779278129E-2</v>
      </c>
      <c r="AA1083" s="129">
        <v>1.6550093149936274E-2</v>
      </c>
    </row>
    <row r="1084" spans="19:27" x14ac:dyDescent="0.2">
      <c r="S1084" s="1"/>
      <c r="T1084" s="109"/>
      <c r="W1084" s="130" t="str">
        <f t="shared" si="26"/>
        <v>1w</v>
      </c>
      <c r="X1084" s="128">
        <f>_xll.qlCalendarAdvance(Calendar,X1083,W1084,"f",FALSE)</f>
        <v>46721</v>
      </c>
      <c r="Y1084" s="131">
        <f>_xll.qlCalendarAdvance(Calendar,X1084,NDays&amp;"D")</f>
        <v>46723</v>
      </c>
      <c r="Z1084" s="132">
        <v>1.6578869101751943E-2</v>
      </c>
      <c r="AA1084" s="129">
        <v>1.6549442022704142E-2</v>
      </c>
    </row>
    <row r="1085" spans="19:27" x14ac:dyDescent="0.2">
      <c r="S1085" s="1"/>
      <c r="T1085" s="109"/>
      <c r="W1085" s="130" t="str">
        <f t="shared" si="26"/>
        <v>1w</v>
      </c>
      <c r="X1085" s="128">
        <f>_xll.qlCalendarAdvance(Calendar,X1084,W1085,"f",FALSE)</f>
        <v>46728</v>
      </c>
      <c r="Y1085" s="131">
        <f>_xll.qlCalendarAdvance(Calendar,X1085,NDays&amp;"D")</f>
        <v>46730</v>
      </c>
      <c r="Z1085" s="132">
        <v>1.6578058625468056E-2</v>
      </c>
      <c r="AA1085" s="129">
        <v>1.6548769894990656E-2</v>
      </c>
    </row>
    <row r="1086" spans="19:27" x14ac:dyDescent="0.2">
      <c r="S1086" s="1"/>
      <c r="T1086" s="109"/>
      <c r="W1086" s="130" t="str">
        <f t="shared" si="26"/>
        <v>1w</v>
      </c>
      <c r="X1086" s="128">
        <f>_xll.qlCalendarAdvance(Calendar,X1085,W1086,"f",FALSE)</f>
        <v>46735</v>
      </c>
      <c r="Y1086" s="131">
        <f>_xll.qlCalendarAdvance(Calendar,X1086,NDays&amp;"D")</f>
        <v>46737</v>
      </c>
      <c r="Z1086" s="132">
        <v>1.6577227061792116E-2</v>
      </c>
      <c r="AA1086" s="129">
        <v>1.654807676671588E-2</v>
      </c>
    </row>
    <row r="1087" spans="19:27" x14ac:dyDescent="0.2">
      <c r="S1087" s="1"/>
      <c r="T1087" s="109"/>
      <c r="W1087" s="130" t="str">
        <f t="shared" si="26"/>
        <v>1w</v>
      </c>
      <c r="X1087" s="128">
        <f>_xll.qlCalendarAdvance(Calendar,X1086,W1087,"f",FALSE)</f>
        <v>46742</v>
      </c>
      <c r="Y1087" s="131">
        <f>_xll.qlCalendarAdvance(Calendar,X1087,NDays&amp;"D")</f>
        <v>46744</v>
      </c>
      <c r="Z1087" s="132">
        <v>1.6576374410736422E-2</v>
      </c>
      <c r="AA1087" s="129">
        <v>1.654736263795975E-2</v>
      </c>
    </row>
    <row r="1088" spans="19:27" x14ac:dyDescent="0.2">
      <c r="S1088" s="1"/>
      <c r="T1088" s="109"/>
      <c r="W1088" s="130" t="str">
        <f t="shared" si="26"/>
        <v>1w</v>
      </c>
      <c r="X1088" s="128">
        <f>_xll.qlCalendarAdvance(Calendar,X1087,W1088,"f",FALSE)</f>
        <v>46749</v>
      </c>
      <c r="Y1088" s="131">
        <f>_xll.qlCalendarAdvance(Calendar,X1088,NDays&amp;"D")</f>
        <v>46751</v>
      </c>
      <c r="Z1088" s="132">
        <v>1.6575500672315027E-2</v>
      </c>
      <c r="AA1088" s="129">
        <v>1.6546627508642331E-2</v>
      </c>
    </row>
    <row r="1089" spans="19:27" x14ac:dyDescent="0.2">
      <c r="S1089" s="1"/>
      <c r="T1089" s="109"/>
      <c r="W1089" s="130" t="str">
        <f t="shared" si="26"/>
        <v>1w</v>
      </c>
      <c r="X1089" s="128">
        <f>_xll.qlCalendarAdvance(Calendar,X1088,W1089,"f",FALSE)</f>
        <v>46756</v>
      </c>
      <c r="Y1089" s="131">
        <f>_xll.qlCalendarAdvance(Calendar,X1089,NDays&amp;"D")</f>
        <v>46758</v>
      </c>
      <c r="Z1089" s="132">
        <v>1.6574605846541988E-2</v>
      </c>
      <c r="AA1089" s="129">
        <v>1.6545871378843557E-2</v>
      </c>
    </row>
    <row r="1090" spans="19:27" x14ac:dyDescent="0.2">
      <c r="S1090" s="1"/>
      <c r="T1090" s="109"/>
      <c r="W1090" s="130" t="str">
        <f t="shared" si="26"/>
        <v>1w</v>
      </c>
      <c r="X1090" s="128">
        <f>_xll.qlCalendarAdvance(Calendar,X1089,W1090,"f",FALSE)</f>
        <v>46763</v>
      </c>
      <c r="Y1090" s="131">
        <f>_xll.qlCalendarAdvance(Calendar,X1090,NDays&amp;"D")</f>
        <v>46765</v>
      </c>
      <c r="Z1090" s="132">
        <v>1.6573689933430481E-2</v>
      </c>
      <c r="AA1090" s="129">
        <v>1.6545094248403558E-2</v>
      </c>
    </row>
    <row r="1091" spans="19:27" x14ac:dyDescent="0.2">
      <c r="S1091" s="1"/>
      <c r="T1091" s="109"/>
      <c r="W1091" s="130" t="str">
        <f t="shared" si="26"/>
        <v>1w</v>
      </c>
      <c r="X1091" s="128">
        <f>_xll.qlCalendarAdvance(Calendar,X1090,W1091,"f",FALSE)</f>
        <v>46770</v>
      </c>
      <c r="Y1091" s="131">
        <f>_xll.qlCalendarAdvance(Calendar,X1091,NDays&amp;"D")</f>
        <v>46772</v>
      </c>
      <c r="Z1091" s="132">
        <v>1.6572752932998071E-2</v>
      </c>
      <c r="AA1091" s="129">
        <v>1.6544296117562141E-2</v>
      </c>
    </row>
    <row r="1092" spans="19:27" x14ac:dyDescent="0.2">
      <c r="S1092" s="1"/>
      <c r="T1092" s="109"/>
      <c r="W1092" s="130" t="str">
        <f t="shared" si="26"/>
        <v>1w</v>
      </c>
      <c r="X1092" s="128">
        <f>_xll.qlCalendarAdvance(Calendar,X1091,W1092,"f",FALSE)</f>
        <v>46777</v>
      </c>
      <c r="Y1092" s="131">
        <f>_xll.qlCalendarAdvance(Calendar,X1092,NDays&amp;"D")</f>
        <v>46779</v>
      </c>
      <c r="Z1092" s="132">
        <v>1.6571794845254426E-2</v>
      </c>
      <c r="AA1092" s="129">
        <v>1.6543476986079497E-2</v>
      </c>
    </row>
    <row r="1093" spans="19:27" x14ac:dyDescent="0.2">
      <c r="S1093" s="1"/>
      <c r="T1093" s="109"/>
      <c r="W1093" s="130" t="str">
        <f t="shared" si="26"/>
        <v>1w</v>
      </c>
      <c r="X1093" s="128">
        <f>_xll.qlCalendarAdvance(Calendar,X1092,W1093,"f",FALSE)</f>
        <v>46784</v>
      </c>
      <c r="Y1093" s="131">
        <f>_xll.qlCalendarAdvance(Calendar,X1093,NDays&amp;"D")</f>
        <v>46786</v>
      </c>
      <c r="Z1093" s="132">
        <v>1.6570508712370646E-2</v>
      </c>
      <c r="AA1093" s="129">
        <v>1.6542636854195436E-2</v>
      </c>
    </row>
    <row r="1094" spans="19:27" x14ac:dyDescent="0.2">
      <c r="S1094" s="1"/>
      <c r="T1094" s="109"/>
      <c r="W1094" s="130" t="str">
        <f t="shared" si="26"/>
        <v>1w</v>
      </c>
      <c r="X1094" s="128">
        <f>_xll.qlCalendarAdvance(Calendar,X1093,W1094,"f",FALSE)</f>
        <v>46791</v>
      </c>
      <c r="Y1094" s="131">
        <f>_xll.qlCalendarAdvance(Calendar,X1094,NDays&amp;"D")</f>
        <v>46793</v>
      </c>
      <c r="Z1094" s="132">
        <v>1.6569510002164556E-2</v>
      </c>
      <c r="AA1094" s="129">
        <v>1.6541775721750085E-2</v>
      </c>
    </row>
    <row r="1095" spans="19:27" x14ac:dyDescent="0.2">
      <c r="S1095" s="1"/>
      <c r="T1095" s="109"/>
      <c r="W1095" s="130" t="str">
        <f t="shared" si="26"/>
        <v>1w</v>
      </c>
      <c r="X1095" s="128">
        <f>_xll.qlCalendarAdvance(Calendar,X1094,W1095,"f",FALSE)</f>
        <v>46798</v>
      </c>
      <c r="Y1095" s="131">
        <f>_xll.qlCalendarAdvance(Calendar,X1095,NDays&amp;"D")</f>
        <v>46800</v>
      </c>
      <c r="Z1095" s="132">
        <v>1.6568490205663089E-2</v>
      </c>
      <c r="AA1095" s="129">
        <v>1.6540893588743444E-2</v>
      </c>
    </row>
    <row r="1096" spans="19:27" x14ac:dyDescent="0.2">
      <c r="S1096" s="1"/>
      <c r="T1096" s="109"/>
      <c r="W1096" s="130" t="str">
        <f t="shared" si="26"/>
        <v>1w</v>
      </c>
      <c r="X1096" s="128">
        <f>_xll.qlCalendarAdvance(Calendar,X1095,W1096,"f",FALSE)</f>
        <v>46805</v>
      </c>
      <c r="Y1096" s="131">
        <f>_xll.qlCalendarAdvance(Calendar,X1096,NDays&amp;"D")</f>
        <v>46807</v>
      </c>
      <c r="Z1096" s="132">
        <v>1.6567449322879568E-2</v>
      </c>
      <c r="AA1096" s="129">
        <v>1.6539990455175513E-2</v>
      </c>
    </row>
    <row r="1097" spans="19:27" x14ac:dyDescent="0.2">
      <c r="S1097" s="1"/>
      <c r="T1097" s="109"/>
      <c r="W1097" s="130" t="str">
        <f t="shared" si="26"/>
        <v>1w</v>
      </c>
      <c r="X1097" s="128">
        <f>_xll.qlCalendarAdvance(Calendar,X1096,W1097,"f",FALSE)</f>
        <v>46812</v>
      </c>
      <c r="Y1097" s="131">
        <f>_xll.qlCalendarAdvance(Calendar,X1097,NDays&amp;"D")</f>
        <v>46814</v>
      </c>
      <c r="Z1097" s="132">
        <v>1.6566988701959804E-2</v>
      </c>
      <c r="AA1097" s="129">
        <v>1.65390663212861E-2</v>
      </c>
    </row>
    <row r="1098" spans="19:27" x14ac:dyDescent="0.2">
      <c r="S1098" s="1"/>
      <c r="T1098" s="109"/>
      <c r="W1098" s="130" t="str">
        <f t="shared" si="26"/>
        <v>1w</v>
      </c>
      <c r="X1098" s="128">
        <f>_xll.qlCalendarAdvance(Calendar,X1097,W1098,"f",FALSE)</f>
        <v>46819</v>
      </c>
      <c r="Y1098" s="131">
        <f>_xll.qlCalendarAdvance(Calendar,X1098,NDays&amp;"D")</f>
        <v>46821</v>
      </c>
      <c r="Z1098" s="132">
        <v>1.6565902534595927E-2</v>
      </c>
      <c r="AA1098" s="129">
        <v>1.6538121186675525E-2</v>
      </c>
    </row>
    <row r="1099" spans="19:27" x14ac:dyDescent="0.2">
      <c r="S1099" s="1"/>
      <c r="T1099" s="109"/>
      <c r="W1099" s="130" t="str">
        <f t="shared" si="26"/>
        <v>1w</v>
      </c>
      <c r="X1099" s="128">
        <f>_xll.qlCalendarAdvance(Calendar,X1098,W1099,"f",FALSE)</f>
        <v>46826</v>
      </c>
      <c r="Y1099" s="131">
        <f>_xll.qlCalendarAdvance(Calendar,X1099,NDays&amp;"D")</f>
        <v>46828</v>
      </c>
      <c r="Z1099" s="132">
        <v>1.6564795279073875E-2</v>
      </c>
      <c r="AA1099" s="129">
        <v>1.6537155051583596E-2</v>
      </c>
    </row>
    <row r="1100" spans="19:27" x14ac:dyDescent="0.2">
      <c r="S1100" s="1"/>
      <c r="T1100" s="109"/>
      <c r="W1100" s="130" t="str">
        <f t="shared" si="26"/>
        <v>1w</v>
      </c>
      <c r="X1100" s="128">
        <f>_xll.qlCalendarAdvance(Calendar,X1099,W1100,"f",FALSE)</f>
        <v>46833</v>
      </c>
      <c r="Y1100" s="131">
        <f>_xll.qlCalendarAdvance(Calendar,X1100,NDays&amp;"D")</f>
        <v>46835</v>
      </c>
      <c r="Z1100" s="132">
        <v>1.6563666935411892E-2</v>
      </c>
      <c r="AA1100" s="129">
        <v>1.6536167916010314E-2</v>
      </c>
    </row>
    <row r="1101" spans="19:27" x14ac:dyDescent="0.2">
      <c r="S1101" s="1"/>
      <c r="T1101" s="109"/>
      <c r="W1101" s="130" t="str">
        <f t="shared" si="26"/>
        <v>1w</v>
      </c>
      <c r="X1101" s="128">
        <f>_xll.qlCalendarAdvance(Calendar,X1100,W1101,"f",FALSE)</f>
        <v>46840</v>
      </c>
      <c r="Y1101" s="131">
        <f>_xll.qlCalendarAdvance(Calendar,X1101,NDays&amp;"D")</f>
        <v>46842</v>
      </c>
      <c r="Z1101" s="132">
        <v>1.6562517503627357E-2</v>
      </c>
      <c r="AA1101" s="129">
        <v>1.6535159779875741E-2</v>
      </c>
    </row>
    <row r="1102" spans="19:27" x14ac:dyDescent="0.2">
      <c r="S1102" s="1"/>
      <c r="T1102" s="109"/>
      <c r="W1102" s="130" t="str">
        <f t="shared" si="26"/>
        <v>1w</v>
      </c>
      <c r="X1102" s="128">
        <f>_xll.qlCalendarAdvance(Calendar,X1101,W1102,"f",FALSE)</f>
        <v>46847</v>
      </c>
      <c r="Y1102" s="131">
        <f>_xll.qlCalendarAdvance(Calendar,X1102,NDays&amp;"D")</f>
        <v>46849</v>
      </c>
      <c r="Z1102" s="132">
        <v>1.6561054169402411E-2</v>
      </c>
      <c r="AA1102" s="129">
        <v>1.6534130643179878E-2</v>
      </c>
    </row>
    <row r="1103" spans="19:27" x14ac:dyDescent="0.2">
      <c r="S1103" s="1"/>
      <c r="T1103" s="109"/>
      <c r="W1103" s="130" t="str">
        <f t="shared" si="26"/>
        <v>1w</v>
      </c>
      <c r="X1103" s="128">
        <f>_xll.qlCalendarAdvance(Calendar,X1102,W1103,"f",FALSE)</f>
        <v>46854</v>
      </c>
      <c r="Y1103" s="131">
        <f>_xll.qlCalendarAdvance(Calendar,X1103,NDays&amp;"D")</f>
        <v>46856</v>
      </c>
      <c r="Z1103" s="132">
        <v>1.6559864122350741E-2</v>
      </c>
      <c r="AA1103" s="129">
        <v>1.6534294765639501E-2</v>
      </c>
    </row>
    <row r="1104" spans="19:27" x14ac:dyDescent="0.2">
      <c r="S1104" s="1"/>
      <c r="T1104" s="109"/>
      <c r="W1104" s="130" t="str">
        <f t="shared" si="26"/>
        <v>1w</v>
      </c>
      <c r="X1104" s="128">
        <f>_xll.qlCalendarAdvance(Calendar,X1103,W1104,"f",FALSE)</f>
        <v>46861</v>
      </c>
      <c r="Y1104" s="131">
        <f>_xll.qlCalendarAdvance(Calendar,X1104,NDays&amp;"D")</f>
        <v>46863</v>
      </c>
      <c r="Z1104" s="132">
        <v>1.6558652988195137E-2</v>
      </c>
      <c r="AA1104" s="129">
        <v>1.6532009368264156E-2</v>
      </c>
    </row>
    <row r="1105" spans="19:27" x14ac:dyDescent="0.2">
      <c r="S1105" s="1"/>
      <c r="T1105" s="109"/>
      <c r="W1105" s="130" t="str">
        <f t="shared" si="26"/>
        <v>1w</v>
      </c>
      <c r="X1105" s="128">
        <f>_xll.qlCalendarAdvance(Calendar,X1104,W1105,"f",FALSE)</f>
        <v>46868</v>
      </c>
      <c r="Y1105" s="131">
        <f>_xll.qlCalendarAdvance(Calendar,X1105,NDays&amp;"D")</f>
        <v>46870</v>
      </c>
      <c r="Z1105" s="132">
        <v>1.6557420766956685E-2</v>
      </c>
      <c r="AA1105" s="129">
        <v>1.6530917229964359E-2</v>
      </c>
    </row>
    <row r="1106" spans="19:27" x14ac:dyDescent="0.2">
      <c r="S1106" s="1"/>
      <c r="T1106" s="109"/>
      <c r="W1106" s="130" t="str">
        <f t="shared" si="26"/>
        <v>1w</v>
      </c>
      <c r="X1106" s="128">
        <f>_xll.qlCalendarAdvance(Calendar,X1105,W1106,"f",FALSE)</f>
        <v>46875</v>
      </c>
      <c r="Y1106" s="131">
        <f>_xll.qlCalendarAdvance(Calendar,X1106,NDays&amp;"D")</f>
        <v>46877</v>
      </c>
      <c r="Z1106" s="132">
        <v>1.6556454023534554E-2</v>
      </c>
      <c r="AA1106" s="129">
        <v>1.6529804091343081E-2</v>
      </c>
    </row>
    <row r="1107" spans="19:27" x14ac:dyDescent="0.2">
      <c r="S1107" s="1"/>
      <c r="T1107" s="109"/>
      <c r="W1107" s="130" t="str">
        <f t="shared" si="26"/>
        <v>1w</v>
      </c>
      <c r="X1107" s="128">
        <f>_xll.qlCalendarAdvance(Calendar,X1106,W1107,"f",FALSE)</f>
        <v>46882</v>
      </c>
      <c r="Y1107" s="131">
        <f>_xll.qlCalendarAdvance(Calendar,X1107,NDays&amp;"D")</f>
        <v>46884</v>
      </c>
      <c r="Z1107" s="132">
        <v>1.6555178063417858E-2</v>
      </c>
      <c r="AA1107" s="129">
        <v>1.6528669952000641E-2</v>
      </c>
    </row>
    <row r="1108" spans="19:27" x14ac:dyDescent="0.2">
      <c r="S1108" s="1"/>
      <c r="T1108" s="109"/>
      <c r="W1108" s="130" t="str">
        <f t="shared" si="26"/>
        <v>1w</v>
      </c>
      <c r="X1108" s="128">
        <f>_xll.qlCalendarAdvance(Calendar,X1107,W1108,"f",FALSE)</f>
        <v>46889</v>
      </c>
      <c r="Y1108" s="131">
        <f>_xll.qlCalendarAdvance(Calendar,X1108,NDays&amp;"D")</f>
        <v>46891</v>
      </c>
      <c r="Z1108" s="132">
        <v>1.655388101531589E-2</v>
      </c>
      <c r="AA1108" s="129">
        <v>1.6527514812176847E-2</v>
      </c>
    </row>
    <row r="1109" spans="19:27" x14ac:dyDescent="0.2">
      <c r="S1109" s="1"/>
      <c r="T1109" s="109"/>
      <c r="W1109" s="130" t="str">
        <f t="shared" ref="W1109:W1172" si="27">W1108</f>
        <v>1w</v>
      </c>
      <c r="X1109" s="128">
        <f>_xll.qlCalendarAdvance(Calendar,X1108,W1109,"f",FALSE)</f>
        <v>46896</v>
      </c>
      <c r="Y1109" s="131">
        <f>_xll.qlCalendarAdvance(Calendar,X1109,NDays&amp;"D")</f>
        <v>46898</v>
      </c>
      <c r="Z1109" s="132">
        <v>1.6552562879249506E-2</v>
      </c>
      <c r="AA1109" s="129">
        <v>1.6526338671871699E-2</v>
      </c>
    </row>
    <row r="1110" spans="19:27" x14ac:dyDescent="0.2">
      <c r="S1110" s="1"/>
      <c r="T1110" s="109"/>
      <c r="W1110" s="130" t="str">
        <f t="shared" si="27"/>
        <v>1w</v>
      </c>
      <c r="X1110" s="128">
        <f>_xll.qlCalendarAdvance(Calendar,X1109,W1110,"f",FALSE)</f>
        <v>46903</v>
      </c>
      <c r="Y1110" s="131">
        <f>_xll.qlCalendarAdvance(Calendar,X1110,NDays&amp;"D")</f>
        <v>46905</v>
      </c>
      <c r="Z1110" s="132">
        <v>1.6551223655240428E-2</v>
      </c>
      <c r="AA1110" s="129">
        <v>1.6525141531005261E-2</v>
      </c>
    </row>
    <row r="1111" spans="19:27" x14ac:dyDescent="0.2">
      <c r="S1111" s="1"/>
      <c r="T1111" s="109"/>
      <c r="W1111" s="130" t="str">
        <f t="shared" si="27"/>
        <v>1w</v>
      </c>
      <c r="X1111" s="128">
        <f>_xll.qlCalendarAdvance(Calendar,X1110,W1111,"f",FALSE)</f>
        <v>46910</v>
      </c>
      <c r="Y1111" s="131">
        <f>_xll.qlCalendarAdvance(Calendar,X1111,NDays&amp;"D")</f>
        <v>46912</v>
      </c>
      <c r="Z1111" s="132">
        <v>1.6549863343308633E-2</v>
      </c>
      <c r="AA1111" s="129">
        <v>1.6523923389657469E-2</v>
      </c>
    </row>
    <row r="1112" spans="19:27" x14ac:dyDescent="0.2">
      <c r="S1112" s="1"/>
      <c r="T1112" s="109"/>
      <c r="W1112" s="130" t="str">
        <f t="shared" si="27"/>
        <v>1w</v>
      </c>
      <c r="X1112" s="128">
        <f>_xll.qlCalendarAdvance(Calendar,X1111,W1112,"f",FALSE)</f>
        <v>46917</v>
      </c>
      <c r="Y1112" s="131">
        <f>_xll.qlCalendarAdvance(Calendar,X1112,NDays&amp;"D")</f>
        <v>46919</v>
      </c>
      <c r="Z1112" s="132">
        <v>1.6548481943476721E-2</v>
      </c>
      <c r="AA1112" s="129">
        <v>1.6522684247828323E-2</v>
      </c>
    </row>
    <row r="1113" spans="19:27" x14ac:dyDescent="0.2">
      <c r="S1113" s="1"/>
      <c r="T1113" s="109"/>
      <c r="W1113" s="130" t="str">
        <f t="shared" si="27"/>
        <v>1w</v>
      </c>
      <c r="X1113" s="128">
        <f>_xll.qlCalendarAdvance(Calendar,X1112,W1113,"f",FALSE)</f>
        <v>46924</v>
      </c>
      <c r="Y1113" s="131">
        <f>_xll.qlCalendarAdvance(Calendar,X1113,NDays&amp;"D")</f>
        <v>46926</v>
      </c>
      <c r="Z1113" s="132">
        <v>1.6547079455767274E-2</v>
      </c>
      <c r="AA1113" s="129">
        <v>1.6521424105357951E-2</v>
      </c>
    </row>
    <row r="1114" spans="19:27" x14ac:dyDescent="0.2">
      <c r="S1114" s="1"/>
      <c r="T1114" s="109"/>
      <c r="W1114" s="130" t="str">
        <f t="shared" si="27"/>
        <v>1w</v>
      </c>
      <c r="X1114" s="128">
        <f>_xll.qlCalendarAdvance(Calendar,X1113,W1114,"f",FALSE)</f>
        <v>46931</v>
      </c>
      <c r="Y1114" s="131">
        <f>_xll.qlCalendarAdvance(Calendar,X1114,NDays&amp;"D")</f>
        <v>46933</v>
      </c>
      <c r="Z1114" s="132">
        <v>1.6545655880202886E-2</v>
      </c>
      <c r="AA1114" s="129">
        <v>1.6520142962406226E-2</v>
      </c>
    </row>
    <row r="1115" spans="19:27" x14ac:dyDescent="0.2">
      <c r="S1115" s="1"/>
      <c r="T1115" s="109"/>
      <c r="W1115" s="130" t="str">
        <f t="shared" si="27"/>
        <v>1w</v>
      </c>
      <c r="X1115" s="128">
        <f>_xll.qlCalendarAdvance(Calendar,X1114,W1115,"f",FALSE)</f>
        <v>46938</v>
      </c>
      <c r="Y1115" s="131">
        <f>_xll.qlCalendarAdvance(Calendar,X1115,NDays&amp;"D")</f>
        <v>46940</v>
      </c>
      <c r="Z1115" s="132">
        <v>1.654421121680702E-2</v>
      </c>
      <c r="AA1115" s="129">
        <v>1.6518840818973146E-2</v>
      </c>
    </row>
    <row r="1116" spans="19:27" x14ac:dyDescent="0.2">
      <c r="S1116" s="1"/>
      <c r="T1116" s="109"/>
      <c r="W1116" s="130" t="str">
        <f t="shared" si="27"/>
        <v>1w</v>
      </c>
      <c r="X1116" s="128">
        <f>_xll.qlCalendarAdvance(Calendar,X1115,W1116,"f",FALSE)</f>
        <v>46945</v>
      </c>
      <c r="Y1116" s="131">
        <f>_xll.qlCalendarAdvance(Calendar,X1116,NDays&amp;"D")</f>
        <v>46947</v>
      </c>
      <c r="Z1116" s="132">
        <v>1.6542745465602263E-2</v>
      </c>
      <c r="AA1116" s="129">
        <v>1.6517517674978777E-2</v>
      </c>
    </row>
    <row r="1117" spans="19:27" x14ac:dyDescent="0.2">
      <c r="S1117" s="1"/>
      <c r="T1117" s="109"/>
      <c r="W1117" s="130" t="str">
        <f t="shared" si="27"/>
        <v>1w</v>
      </c>
      <c r="X1117" s="128">
        <f>_xll.qlCalendarAdvance(Calendar,X1116,W1117,"f",FALSE)</f>
        <v>46952</v>
      </c>
      <c r="Y1117" s="131">
        <f>_xll.qlCalendarAdvance(Calendar,X1117,NDays&amp;"D")</f>
        <v>46954</v>
      </c>
      <c r="Z1117" s="132">
        <v>1.6541258626612074E-2</v>
      </c>
      <c r="AA1117" s="129">
        <v>1.6516173530503053E-2</v>
      </c>
    </row>
    <row r="1118" spans="19:27" x14ac:dyDescent="0.2">
      <c r="S1118" s="1"/>
      <c r="T1118" s="109"/>
      <c r="W1118" s="130" t="str">
        <f t="shared" si="27"/>
        <v>1w</v>
      </c>
      <c r="X1118" s="128">
        <f>_xll.qlCalendarAdvance(Calendar,X1117,W1118,"f",FALSE)</f>
        <v>46959</v>
      </c>
      <c r="Y1118" s="131">
        <f>_xll.qlCalendarAdvance(Calendar,X1118,NDays&amp;"D")</f>
        <v>46961</v>
      </c>
      <c r="Z1118" s="132">
        <v>1.6539750699860783E-2</v>
      </c>
      <c r="AA1118" s="129">
        <v>1.6514808385545976E-2</v>
      </c>
    </row>
    <row r="1119" spans="19:27" x14ac:dyDescent="0.2">
      <c r="S1119" s="1"/>
      <c r="T1119" s="109"/>
      <c r="W1119" s="130" t="str">
        <f t="shared" si="27"/>
        <v>1w</v>
      </c>
      <c r="X1119" s="128">
        <f>_xll.qlCalendarAdvance(Calendar,X1118,W1119,"f",FALSE)</f>
        <v>46966</v>
      </c>
      <c r="Y1119" s="131">
        <f>_xll.qlCalendarAdvance(Calendar,X1119,NDays&amp;"D")</f>
        <v>46968</v>
      </c>
      <c r="Z1119" s="132">
        <v>1.6538221685371848E-2</v>
      </c>
      <c r="AA1119" s="129">
        <v>1.6513422240027609E-2</v>
      </c>
    </row>
    <row r="1120" spans="19:27" x14ac:dyDescent="0.2">
      <c r="S1120" s="1"/>
      <c r="T1120" s="109"/>
      <c r="W1120" s="130" t="str">
        <f t="shared" si="27"/>
        <v>1w</v>
      </c>
      <c r="X1120" s="128">
        <f>_xll.qlCalendarAdvance(Calendar,X1119,W1120,"f",FALSE)</f>
        <v>46973</v>
      </c>
      <c r="Y1120" s="131">
        <f>_xll.qlCalendarAdvance(Calendar,X1120,NDays&amp;"D")</f>
        <v>46975</v>
      </c>
      <c r="Z1120" s="132">
        <v>1.6536671583170466E-2</v>
      </c>
      <c r="AA1120" s="129">
        <v>1.6512015093868015E-2</v>
      </c>
    </row>
    <row r="1121" spans="19:27" x14ac:dyDescent="0.2">
      <c r="S1121" s="1"/>
      <c r="T1121" s="109"/>
      <c r="W1121" s="130" t="str">
        <f t="shared" si="27"/>
        <v>1w</v>
      </c>
      <c r="X1121" s="128">
        <f>_xll.qlCalendarAdvance(Calendar,X1120,W1121,"f",FALSE)</f>
        <v>46980</v>
      </c>
      <c r="Y1121" s="131">
        <f>_xll.qlCalendarAdvance(Calendar,X1121,NDays&amp;"D")</f>
        <v>46982</v>
      </c>
      <c r="Z1121" s="132">
        <v>1.6535100393281838E-2</v>
      </c>
      <c r="AA1121" s="129">
        <v>1.6510586947307004E-2</v>
      </c>
    </row>
    <row r="1122" spans="19:27" x14ac:dyDescent="0.2">
      <c r="S1122" s="1"/>
      <c r="T1122" s="109"/>
      <c r="W1122" s="130" t="str">
        <f t="shared" si="27"/>
        <v>1w</v>
      </c>
      <c r="X1122" s="128">
        <f>_xll.qlCalendarAdvance(Calendar,X1121,W1122,"f",FALSE)</f>
        <v>46987</v>
      </c>
      <c r="Y1122" s="131">
        <f>_xll.qlCalendarAdvance(Calendar,X1122,NDays&amp;"D")</f>
        <v>46989</v>
      </c>
      <c r="Z1122" s="132">
        <v>1.653350811573116E-2</v>
      </c>
      <c r="AA1122" s="129">
        <v>1.6509137800184703E-2</v>
      </c>
    </row>
    <row r="1123" spans="19:27" x14ac:dyDescent="0.2">
      <c r="S1123" s="1"/>
      <c r="T1123" s="109"/>
      <c r="W1123" s="130" t="str">
        <f t="shared" si="27"/>
        <v>1w</v>
      </c>
      <c r="X1123" s="128">
        <f>_xll.qlCalendarAdvance(Calendar,X1122,W1123,"f",FALSE)</f>
        <v>46994</v>
      </c>
      <c r="Y1123" s="131">
        <f>_xll.qlCalendarAdvance(Calendar,X1123,NDays&amp;"D")</f>
        <v>46996</v>
      </c>
      <c r="Z1123" s="132">
        <v>1.653163491735344E-2</v>
      </c>
      <c r="AA1123" s="129">
        <v>1.6507667652581048E-2</v>
      </c>
    </row>
    <row r="1124" spans="19:27" x14ac:dyDescent="0.2">
      <c r="S1124" s="1"/>
      <c r="T1124" s="109"/>
      <c r="W1124" s="130" t="str">
        <f t="shared" si="27"/>
        <v>1w</v>
      </c>
      <c r="X1124" s="128">
        <f>_xll.qlCalendarAdvance(Calendar,X1123,W1124,"f",FALSE)</f>
        <v>47001</v>
      </c>
      <c r="Y1124" s="131">
        <f>_xll.qlCalendarAdvance(Calendar,X1124,NDays&amp;"D")</f>
        <v>47003</v>
      </c>
      <c r="Z1124" s="132">
        <v>1.6530002045636916E-2</v>
      </c>
      <c r="AA1124" s="129">
        <v>1.650617650449604E-2</v>
      </c>
    </row>
    <row r="1125" spans="19:27" x14ac:dyDescent="0.2">
      <c r="S1125" s="1"/>
      <c r="T1125" s="109"/>
      <c r="W1125" s="130" t="str">
        <f t="shared" si="27"/>
        <v>1w</v>
      </c>
      <c r="X1125" s="128">
        <f>_xll.qlCalendarAdvance(Calendar,X1124,W1125,"f",FALSE)</f>
        <v>47008</v>
      </c>
      <c r="Y1125" s="131">
        <f>_xll.qlCalendarAdvance(Calendar,X1125,NDays&amp;"D")</f>
        <v>47010</v>
      </c>
      <c r="Z1125" s="132">
        <v>1.6528348087291689E-2</v>
      </c>
      <c r="AA1125" s="129">
        <v>1.6504664355769805E-2</v>
      </c>
    </row>
    <row r="1126" spans="19:27" x14ac:dyDescent="0.2">
      <c r="S1126" s="1"/>
      <c r="T1126" s="109"/>
      <c r="W1126" s="130" t="str">
        <f t="shared" si="27"/>
        <v>1w</v>
      </c>
      <c r="X1126" s="128">
        <f>_xll.qlCalendarAdvance(Calendar,X1125,W1126,"f",FALSE)</f>
        <v>47015</v>
      </c>
      <c r="Y1126" s="131">
        <f>_xll.qlCalendarAdvance(Calendar,X1126,NDays&amp;"D")</f>
        <v>47017</v>
      </c>
      <c r="Z1126" s="132">
        <v>1.6526673042346743E-2</v>
      </c>
      <c r="AA1126" s="129">
        <v>1.6503131206642152E-2</v>
      </c>
    </row>
    <row r="1127" spans="19:27" x14ac:dyDescent="0.2">
      <c r="S1127" s="1"/>
      <c r="T1127" s="109"/>
      <c r="W1127" s="130" t="str">
        <f t="shared" si="27"/>
        <v>1w</v>
      </c>
      <c r="X1127" s="128">
        <f>_xll.qlCalendarAdvance(Calendar,X1126,W1127,"f",FALSE)</f>
        <v>47022</v>
      </c>
      <c r="Y1127" s="131">
        <f>_xll.qlCalendarAdvance(Calendar,X1127,NDays&amp;"D")</f>
        <v>47024</v>
      </c>
      <c r="Z1127" s="132">
        <v>1.6524976910826675E-2</v>
      </c>
      <c r="AA1127" s="129">
        <v>1.6501577056873273E-2</v>
      </c>
    </row>
    <row r="1128" spans="19:27" x14ac:dyDescent="0.2">
      <c r="S1128" s="1"/>
      <c r="T1128" s="109"/>
      <c r="W1128" s="130" t="str">
        <f t="shared" si="27"/>
        <v>1w</v>
      </c>
      <c r="X1128" s="128">
        <f>_xll.qlCalendarAdvance(Calendar,X1127,W1128,"f",FALSE)</f>
        <v>47029</v>
      </c>
      <c r="Y1128" s="131">
        <f>_xll.qlCalendarAdvance(Calendar,X1128,NDays&amp;"D")</f>
        <v>47031</v>
      </c>
      <c r="Z1128" s="132">
        <v>1.6523511610979359E-2</v>
      </c>
      <c r="AA1128" s="129">
        <v>1.6500001906782913E-2</v>
      </c>
    </row>
    <row r="1129" spans="19:27" x14ac:dyDescent="0.2">
      <c r="S1129" s="1"/>
      <c r="T1129" s="109"/>
      <c r="W1129" s="130" t="str">
        <f t="shared" si="27"/>
        <v>1w</v>
      </c>
      <c r="X1129" s="128">
        <f>_xll.qlCalendarAdvance(Calendar,X1128,W1129,"f",FALSE)</f>
        <v>47036</v>
      </c>
      <c r="Y1129" s="131">
        <f>_xll.qlCalendarAdvance(Calendar,X1129,NDays&amp;"D")</f>
        <v>47038</v>
      </c>
      <c r="Z1129" s="132">
        <v>1.6521771720529384E-2</v>
      </c>
      <c r="AA1129" s="129">
        <v>1.649840575597139E-2</v>
      </c>
    </row>
    <row r="1130" spans="19:27" x14ac:dyDescent="0.2">
      <c r="S1130" s="1"/>
      <c r="T1130" s="109"/>
      <c r="W1130" s="130" t="str">
        <f t="shared" si="27"/>
        <v>1w</v>
      </c>
      <c r="X1130" s="128">
        <f>_xll.qlCalendarAdvance(Calendar,X1129,W1130,"f",FALSE)</f>
        <v>47043</v>
      </c>
      <c r="Y1130" s="131">
        <f>_xll.qlCalendarAdvance(Calendar,X1130,NDays&amp;"D")</f>
        <v>47045</v>
      </c>
      <c r="Z1130" s="132">
        <v>1.6520010742631968E-2</v>
      </c>
      <c r="AA1130" s="129">
        <v>1.649678860475845E-2</v>
      </c>
    </row>
    <row r="1131" spans="19:27" x14ac:dyDescent="0.2">
      <c r="S1131" s="1"/>
      <c r="T1131" s="109"/>
      <c r="W1131" s="130" t="str">
        <f t="shared" si="27"/>
        <v>1w</v>
      </c>
      <c r="X1131" s="128">
        <f>_xll.qlCalendarAdvance(Calendar,X1130,W1131,"f",FALSE)</f>
        <v>47050</v>
      </c>
      <c r="Y1131" s="131">
        <f>_xll.qlCalendarAdvance(Calendar,X1131,NDays&amp;"D")</f>
        <v>47052</v>
      </c>
      <c r="Z1131" s="132">
        <v>1.6518228677315783E-2</v>
      </c>
      <c r="AA1131" s="129">
        <v>1.649515045298422E-2</v>
      </c>
    </row>
    <row r="1132" spans="19:27" x14ac:dyDescent="0.2">
      <c r="S1132" s="1"/>
      <c r="T1132" s="109"/>
      <c r="W1132" s="130" t="str">
        <f t="shared" si="27"/>
        <v>1w</v>
      </c>
      <c r="X1132" s="128">
        <f>_xll.qlCalendarAdvance(Calendar,X1131,W1132,"f",FALSE)</f>
        <v>47057</v>
      </c>
      <c r="Y1132" s="131">
        <f>_xll.qlCalendarAdvance(Calendar,X1132,NDays&amp;"D")</f>
        <v>47059</v>
      </c>
      <c r="Z1132" s="132">
        <v>1.6516425524608636E-2</v>
      </c>
      <c r="AA1132" s="129">
        <v>1.6493491300728635E-2</v>
      </c>
    </row>
    <row r="1133" spans="19:27" x14ac:dyDescent="0.2">
      <c r="S1133" s="1"/>
      <c r="T1133" s="109"/>
      <c r="W1133" s="130" t="str">
        <f t="shared" si="27"/>
        <v>1w</v>
      </c>
      <c r="X1133" s="128">
        <f>_xll.qlCalendarAdvance(Calendar,X1132,W1133,"f",FALSE)</f>
        <v>47064</v>
      </c>
      <c r="Y1133" s="131">
        <f>_xll.qlCalendarAdvance(Calendar,X1133,NDays&amp;"D")</f>
        <v>47066</v>
      </c>
      <c r="Z1133" s="132">
        <v>1.6514601284540069E-2</v>
      </c>
      <c r="AA1133" s="129">
        <v>1.6491811147911761E-2</v>
      </c>
    </row>
    <row r="1134" spans="19:27" x14ac:dyDescent="0.2">
      <c r="S1134" s="1"/>
      <c r="T1134" s="109"/>
      <c r="W1134" s="130" t="str">
        <f t="shared" si="27"/>
        <v>1w</v>
      </c>
      <c r="X1134" s="128">
        <f>_xll.qlCalendarAdvance(Calendar,X1133,W1134,"f",FALSE)</f>
        <v>47071</v>
      </c>
      <c r="Y1134" s="131">
        <f>_xll.qlCalendarAdvance(Calendar,X1134,NDays&amp;"D")</f>
        <v>47073</v>
      </c>
      <c r="Z1134" s="132">
        <v>1.6512755957140485E-2</v>
      </c>
      <c r="AA1134" s="129">
        <v>1.6490109994533597E-2</v>
      </c>
    </row>
    <row r="1135" spans="19:27" x14ac:dyDescent="0.2">
      <c r="S1135" s="1"/>
      <c r="T1135" s="109"/>
      <c r="W1135" s="130" t="str">
        <f t="shared" si="27"/>
        <v>1w</v>
      </c>
      <c r="X1135" s="128">
        <f>_xll.qlCalendarAdvance(Calendar,X1134,W1135,"f",FALSE)</f>
        <v>47078</v>
      </c>
      <c r="Y1135" s="131">
        <f>_xll.qlCalendarAdvance(Calendar,X1135,NDays&amp;"D")</f>
        <v>47080</v>
      </c>
      <c r="Z1135" s="132">
        <v>1.6510889542436829E-2</v>
      </c>
      <c r="AA1135" s="129">
        <v>1.6488387840754015E-2</v>
      </c>
    </row>
    <row r="1136" spans="19:27" x14ac:dyDescent="0.2">
      <c r="S1136" s="1"/>
      <c r="T1136" s="109"/>
      <c r="W1136" s="130" t="str">
        <f t="shared" si="27"/>
        <v>1w</v>
      </c>
      <c r="X1136" s="128">
        <f>_xll.qlCalendarAdvance(Calendar,X1135,W1136,"f",FALSE)</f>
        <v>47085</v>
      </c>
      <c r="Y1136" s="131">
        <f>_xll.qlCalendarAdvance(Calendar,X1136,NDays&amp;"D")</f>
        <v>47087</v>
      </c>
      <c r="Z1136" s="132">
        <v>1.6508523486662874E-2</v>
      </c>
      <c r="AA1136" s="129">
        <v>1.6486644686413143E-2</v>
      </c>
    </row>
    <row r="1137" spans="19:27" x14ac:dyDescent="0.2">
      <c r="S1137" s="1"/>
      <c r="T1137" s="109"/>
      <c r="W1137" s="130" t="str">
        <f t="shared" si="27"/>
        <v>1w</v>
      </c>
      <c r="X1137" s="128">
        <f>_xll.qlCalendarAdvance(Calendar,X1136,W1137,"f",FALSE)</f>
        <v>47092</v>
      </c>
      <c r="Y1137" s="131">
        <f>_xll.qlCalendarAdvance(Calendar,X1137,NDays&amp;"D")</f>
        <v>47094</v>
      </c>
      <c r="Z1137" s="132">
        <v>1.6506618084294544E-2</v>
      </c>
      <c r="AA1137" s="129">
        <v>1.6484880531590917E-2</v>
      </c>
    </row>
    <row r="1138" spans="19:27" x14ac:dyDescent="0.2">
      <c r="S1138" s="1"/>
      <c r="T1138" s="109"/>
      <c r="W1138" s="130" t="str">
        <f t="shared" si="27"/>
        <v>1w</v>
      </c>
      <c r="X1138" s="128">
        <f>_xll.qlCalendarAdvance(Calendar,X1137,W1138,"f",FALSE)</f>
        <v>47099</v>
      </c>
      <c r="Y1138" s="131">
        <f>_xll.qlCalendarAdvance(Calendar,X1138,NDays&amp;"D")</f>
        <v>47101</v>
      </c>
      <c r="Z1138" s="132">
        <v>1.6504691596618493E-2</v>
      </c>
      <c r="AA1138" s="129">
        <v>1.6483095376207402E-2</v>
      </c>
    </row>
    <row r="1139" spans="19:27" x14ac:dyDescent="0.2">
      <c r="S1139" s="1"/>
      <c r="T1139" s="109"/>
      <c r="W1139" s="130" t="str">
        <f t="shared" si="27"/>
        <v>1w</v>
      </c>
      <c r="X1139" s="128">
        <f>_xll.qlCalendarAdvance(Calendar,X1138,W1139,"f",FALSE)</f>
        <v>47106</v>
      </c>
      <c r="Y1139" s="131">
        <f>_xll.qlCalendarAdvance(Calendar,X1139,NDays&amp;"D")</f>
        <v>47108</v>
      </c>
      <c r="Z1139" s="132">
        <v>1.6502744023666693E-2</v>
      </c>
      <c r="AA1139" s="129">
        <v>1.6481289220262596E-2</v>
      </c>
    </row>
    <row r="1140" spans="19:27" x14ac:dyDescent="0.2">
      <c r="S1140" s="1"/>
      <c r="T1140" s="109"/>
      <c r="W1140" s="130" t="str">
        <f t="shared" si="27"/>
        <v>1w</v>
      </c>
      <c r="X1140" s="128">
        <f>_xll.qlCalendarAdvance(Calendar,X1139,W1140,"f",FALSE)</f>
        <v>47114</v>
      </c>
      <c r="Y1140" s="131">
        <f>_xll.qlCalendarAdvance(Calendar,X1140,NDays&amp;"D")</f>
        <v>47116</v>
      </c>
      <c r="Z1140" s="132">
        <v>1.6500492407343081E-2</v>
      </c>
      <c r="AA1140" s="129">
        <v>1.6479935647708555E-2</v>
      </c>
    </row>
    <row r="1141" spans="19:27" x14ac:dyDescent="0.2">
      <c r="S1141" s="1"/>
      <c r="T1141" s="109"/>
      <c r="W1141" s="130" t="str">
        <f t="shared" si="27"/>
        <v>1w</v>
      </c>
      <c r="X1141" s="128">
        <f>_xll.qlCalendarAdvance(Calendar,X1140,W1141,"f",FALSE)</f>
        <v>47121</v>
      </c>
      <c r="Y1141" s="131">
        <f>_xll.qlCalendarAdvance(Calendar,X1141,NDays&amp;"D")</f>
        <v>47123</v>
      </c>
      <c r="Z1141" s="132">
        <v>1.6498499651760312E-2</v>
      </c>
      <c r="AA1141" s="129">
        <v>1.6477836024160197E-2</v>
      </c>
    </row>
    <row r="1142" spans="19:27" x14ac:dyDescent="0.2">
      <c r="S1142" s="1"/>
      <c r="T1142" s="109"/>
      <c r="W1142" s="130" t="str">
        <f t="shared" si="27"/>
        <v>1w</v>
      </c>
      <c r="X1142" s="128">
        <f>_xll.qlCalendarAdvance(Calendar,X1141,W1142,"f",FALSE)</f>
        <v>47128</v>
      </c>
      <c r="Y1142" s="131">
        <f>_xll.qlCalendarAdvance(Calendar,X1142,NDays&amp;"D")</f>
        <v>47130</v>
      </c>
      <c r="Z1142" s="132">
        <v>1.6496485811000383E-2</v>
      </c>
      <c r="AA1142" s="129">
        <v>1.6475960694934955E-2</v>
      </c>
    </row>
    <row r="1143" spans="19:27" x14ac:dyDescent="0.2">
      <c r="S1143" s="1"/>
      <c r="T1143" s="109"/>
      <c r="W1143" s="130" t="str">
        <f t="shared" si="27"/>
        <v>1w</v>
      </c>
      <c r="X1143" s="128">
        <f>_xll.qlCalendarAdvance(Calendar,X1142,W1143,"f",FALSE)</f>
        <v>47135</v>
      </c>
      <c r="Y1143" s="131">
        <f>_xll.qlCalendarAdvance(Calendar,X1143,NDays&amp;"D")</f>
        <v>47137</v>
      </c>
      <c r="Z1143" s="132">
        <v>1.6494450885092604E-2</v>
      </c>
      <c r="AA1143" s="129">
        <v>1.6474064363309893E-2</v>
      </c>
    </row>
    <row r="1144" spans="19:27" x14ac:dyDescent="0.2">
      <c r="S1144" s="1"/>
      <c r="T1144" s="109"/>
      <c r="W1144" s="130" t="str">
        <f t="shared" si="27"/>
        <v>1w</v>
      </c>
      <c r="X1144" s="128">
        <f>_xll.qlCalendarAdvance(Calendar,X1143,W1144,"f",FALSE)</f>
        <v>47142</v>
      </c>
      <c r="Y1144" s="131">
        <f>_xll.qlCalendarAdvance(Calendar,X1144,NDays&amp;"D")</f>
        <v>47144</v>
      </c>
      <c r="Z1144" s="132">
        <v>1.6492394874070726E-2</v>
      </c>
      <c r="AA1144" s="129">
        <v>1.6472147029231721E-2</v>
      </c>
    </row>
    <row r="1145" spans="19:27" x14ac:dyDescent="0.2">
      <c r="S1145" s="1"/>
      <c r="T1145" s="109"/>
      <c r="W1145" s="130" t="str">
        <f t="shared" si="27"/>
        <v>1w</v>
      </c>
      <c r="X1145" s="128">
        <f>_xll.qlCalendarAdvance(Calendar,X1144,W1145,"f",FALSE)</f>
        <v>47149</v>
      </c>
      <c r="Y1145" s="131">
        <f>_xll.qlCalendarAdvance(Calendar,X1145,NDays&amp;"D")</f>
        <v>47151</v>
      </c>
      <c r="Z1145" s="132">
        <v>1.6490092886129914E-2</v>
      </c>
      <c r="AA1145" s="129">
        <v>1.6470208692780375E-2</v>
      </c>
    </row>
    <row r="1146" spans="19:27" x14ac:dyDescent="0.2">
      <c r="S1146" s="1"/>
      <c r="T1146" s="109"/>
      <c r="W1146" s="130" t="str">
        <f t="shared" si="27"/>
        <v>1w</v>
      </c>
      <c r="X1146" s="128">
        <f>_xll.qlCalendarAdvance(Calendar,X1145,W1146,"f",FALSE)</f>
        <v>47156</v>
      </c>
      <c r="Y1146" s="131">
        <f>_xll.qlCalendarAdvance(Calendar,X1146,NDays&amp;"D")</f>
        <v>47158</v>
      </c>
      <c r="Z1146" s="132">
        <v>1.6487996306885317E-2</v>
      </c>
      <c r="AA1146" s="129">
        <v>1.6468249353902564E-2</v>
      </c>
    </row>
    <row r="1147" spans="19:27" x14ac:dyDescent="0.2">
      <c r="S1147" s="1"/>
      <c r="T1147" s="109"/>
      <c r="W1147" s="130" t="str">
        <f t="shared" si="27"/>
        <v>1w</v>
      </c>
      <c r="X1147" s="128">
        <f>_xll.qlCalendarAdvance(Calendar,X1146,W1147,"f",FALSE)</f>
        <v>47163</v>
      </c>
      <c r="Y1147" s="131">
        <f>_xll.qlCalendarAdvance(Calendar,X1147,NDays&amp;"D")</f>
        <v>47165</v>
      </c>
      <c r="Z1147" s="132">
        <v>1.64858786435714E-2</v>
      </c>
      <c r="AA1147" s="129">
        <v>1.6466269012571644E-2</v>
      </c>
    </row>
    <row r="1148" spans="19:27" x14ac:dyDescent="0.2">
      <c r="S1148" s="1"/>
      <c r="T1148" s="109"/>
      <c r="W1148" s="130" t="str">
        <f t="shared" si="27"/>
        <v>1w</v>
      </c>
      <c r="X1148" s="128">
        <f>_xll.qlCalendarAdvance(Calendar,X1147,W1148,"f",FALSE)</f>
        <v>47170</v>
      </c>
      <c r="Y1148" s="131">
        <f>_xll.qlCalendarAdvance(Calendar,X1148,NDays&amp;"D")</f>
        <v>47172</v>
      </c>
      <c r="Z1148" s="132">
        <v>1.6483739896223187E-2</v>
      </c>
      <c r="AA1148" s="129">
        <v>1.6464267668867549E-2</v>
      </c>
    </row>
    <row r="1149" spans="19:27" x14ac:dyDescent="0.2">
      <c r="S1149" s="1"/>
      <c r="T1149" s="109"/>
      <c r="W1149" s="130" t="str">
        <f t="shared" si="27"/>
        <v>1w</v>
      </c>
      <c r="X1149" s="128">
        <f>_xll.qlCalendarAdvance(Calendar,X1148,W1149,"f",FALSE)</f>
        <v>47177</v>
      </c>
      <c r="Y1149" s="131">
        <f>_xll.qlCalendarAdvance(Calendar,X1149,NDays&amp;"D")</f>
        <v>47179</v>
      </c>
      <c r="Z1149" s="132">
        <v>1.6482670992948652E-2</v>
      </c>
      <c r="AA1149" s="129">
        <v>1.6462245322763636E-2</v>
      </c>
    </row>
    <row r="1150" spans="19:27" x14ac:dyDescent="0.2">
      <c r="S1150" s="1"/>
      <c r="T1150" s="109"/>
      <c r="W1150" s="130" t="str">
        <f t="shared" si="27"/>
        <v>1w</v>
      </c>
      <c r="X1150" s="128">
        <f>_xll.qlCalendarAdvance(Calendar,X1149,W1150,"f",FALSE)</f>
        <v>47184</v>
      </c>
      <c r="Y1150" s="131">
        <f>_xll.qlCalendarAdvance(Calendar,X1150,NDays&amp;"D")</f>
        <v>47186</v>
      </c>
      <c r="Z1150" s="132">
        <v>1.6480482047720173E-2</v>
      </c>
      <c r="AA1150" s="129">
        <v>1.6460201974233257E-2</v>
      </c>
    </row>
    <row r="1151" spans="19:27" x14ac:dyDescent="0.2">
      <c r="S1151" s="1"/>
      <c r="T1151" s="109"/>
      <c r="W1151" s="130" t="str">
        <f t="shared" si="27"/>
        <v>1w</v>
      </c>
      <c r="X1151" s="128">
        <f>_xll.qlCalendarAdvance(Calendar,X1150,W1151,"f",FALSE)</f>
        <v>47191</v>
      </c>
      <c r="Y1151" s="131">
        <f>_xll.qlCalendarAdvance(Calendar,X1151,NDays&amp;"D")</f>
        <v>47193</v>
      </c>
      <c r="Z1151" s="132">
        <v>1.6478272013820457E-2</v>
      </c>
      <c r="AA1151" s="129">
        <v>1.645813762330306E-2</v>
      </c>
    </row>
    <row r="1152" spans="19:27" x14ac:dyDescent="0.2">
      <c r="S1152" s="1"/>
      <c r="T1152" s="109"/>
      <c r="W1152" s="130" t="str">
        <f t="shared" si="27"/>
        <v>1w</v>
      </c>
      <c r="X1152" s="128">
        <f>_xll.qlCalendarAdvance(Calendar,X1151,W1152,"f",FALSE)</f>
        <v>47198</v>
      </c>
      <c r="Y1152" s="131">
        <f>_xll.qlCalendarAdvance(Calendar,X1152,NDays&amp;"D")</f>
        <v>47200</v>
      </c>
      <c r="Z1152" s="132">
        <v>1.6476040891286074E-2</v>
      </c>
      <c r="AA1152" s="129">
        <v>1.6456052269946397E-2</v>
      </c>
    </row>
    <row r="1153" spans="19:27" x14ac:dyDescent="0.2">
      <c r="S1153" s="1"/>
      <c r="T1153" s="109"/>
      <c r="W1153" s="130" t="str">
        <f t="shared" si="27"/>
        <v>1w</v>
      </c>
      <c r="X1153" s="128">
        <f>_xll.qlCalendarAdvance(Calendar,X1152,W1153,"f",FALSE)</f>
        <v>47205</v>
      </c>
      <c r="Y1153" s="131">
        <f>_xll.qlCalendarAdvance(Calendar,X1153,NDays&amp;"D")</f>
        <v>47211</v>
      </c>
      <c r="Z1153" s="132">
        <v>1.6471860166565645E-2</v>
      </c>
      <c r="AA1153" s="129">
        <v>1.6452285010029044E-2</v>
      </c>
    </row>
    <row r="1154" spans="19:27" x14ac:dyDescent="0.2">
      <c r="S1154" s="1"/>
      <c r="T1154" s="109"/>
      <c r="W1154" s="130" t="str">
        <f t="shared" si="27"/>
        <v>1w</v>
      </c>
      <c r="X1154" s="128">
        <f>_xll.qlCalendarAdvance(Calendar,X1153,W1154,"f",FALSE)</f>
        <v>47212</v>
      </c>
      <c r="Y1154" s="131">
        <f>_xll.qlCalendarAdvance(Calendar,X1154,NDays&amp;"D")</f>
        <v>47214</v>
      </c>
      <c r="Z1154" s="132">
        <v>1.6470885383230278E-2</v>
      </c>
      <c r="AA1154" s="129">
        <v>1.645181855606026E-2</v>
      </c>
    </row>
    <row r="1155" spans="19:27" x14ac:dyDescent="0.2">
      <c r="S1155" s="1"/>
      <c r="T1155" s="109"/>
      <c r="W1155" s="130" t="str">
        <f t="shared" si="27"/>
        <v>1w</v>
      </c>
      <c r="X1155" s="128">
        <f>_xll.qlCalendarAdvance(Calendar,X1154,W1155,"f",FALSE)</f>
        <v>47219</v>
      </c>
      <c r="Y1155" s="131">
        <f>_xll.qlCalendarAdvance(Calendar,X1155,NDays&amp;"D")</f>
        <v>47221</v>
      </c>
      <c r="Z1155" s="132">
        <v>1.6468595827581031E-2</v>
      </c>
      <c r="AA1155" s="129">
        <v>1.6449670195530786E-2</v>
      </c>
    </row>
    <row r="1156" spans="19:27" x14ac:dyDescent="0.2">
      <c r="S1156" s="1"/>
      <c r="T1156" s="109"/>
      <c r="W1156" s="130" t="str">
        <f t="shared" si="27"/>
        <v>1w</v>
      </c>
      <c r="X1156" s="128">
        <f>_xll.qlCalendarAdvance(Calendar,X1155,W1156,"f",FALSE)</f>
        <v>47226</v>
      </c>
      <c r="Y1156" s="131">
        <f>_xll.qlCalendarAdvance(Calendar,X1156,NDays&amp;"D")</f>
        <v>47228</v>
      </c>
      <c r="Z1156" s="132">
        <v>1.6466285186282514E-2</v>
      </c>
      <c r="AA1156" s="129">
        <v>1.6447500832574846E-2</v>
      </c>
    </row>
    <row r="1157" spans="19:27" x14ac:dyDescent="0.2">
      <c r="S1157" s="1"/>
      <c r="T1157" s="109"/>
      <c r="W1157" s="130" t="str">
        <f t="shared" si="27"/>
        <v>1w</v>
      </c>
      <c r="X1157" s="128">
        <f>_xll.qlCalendarAdvance(Calendar,X1156,W1157,"f",FALSE)</f>
        <v>47233</v>
      </c>
      <c r="Y1157" s="131">
        <f>_xll.qlCalendarAdvance(Calendar,X1157,NDays&amp;"D")</f>
        <v>47235</v>
      </c>
      <c r="Z1157" s="132">
        <v>1.6463953459370739E-2</v>
      </c>
      <c r="AA1157" s="129">
        <v>1.6445310467192442E-2</v>
      </c>
    </row>
    <row r="1158" spans="19:27" x14ac:dyDescent="0.2">
      <c r="S1158" s="1"/>
      <c r="T1158" s="109"/>
      <c r="W1158" s="130" t="str">
        <f t="shared" si="27"/>
        <v>1w</v>
      </c>
      <c r="X1158" s="128">
        <f>_xll.qlCalendarAdvance(Calendar,X1157,W1158,"f",FALSE)</f>
        <v>47240</v>
      </c>
      <c r="Y1158" s="131">
        <f>_xll.qlCalendarAdvance(Calendar,X1158,NDays&amp;"D")</f>
        <v>47242</v>
      </c>
      <c r="Z1158" s="132">
        <v>1.6462211296843679E-2</v>
      </c>
      <c r="AA1158" s="129">
        <v>1.6443099099436864E-2</v>
      </c>
    </row>
    <row r="1159" spans="19:27" x14ac:dyDescent="0.2">
      <c r="S1159" s="1"/>
      <c r="T1159" s="109"/>
      <c r="W1159" s="130" t="str">
        <f t="shared" si="27"/>
        <v>1w</v>
      </c>
      <c r="X1159" s="128">
        <f>_xll.qlCalendarAdvance(Calendar,X1158,W1159,"f",FALSE)</f>
        <v>47247</v>
      </c>
      <c r="Y1159" s="131">
        <f>_xll.qlCalendarAdvance(Calendar,X1159,NDays&amp;"D")</f>
        <v>47249</v>
      </c>
      <c r="Z1159" s="132">
        <v>1.6459832554916842E-2</v>
      </c>
      <c r="AA1159" s="129">
        <v>1.6440866729281467E-2</v>
      </c>
    </row>
    <row r="1160" spans="19:27" x14ac:dyDescent="0.2">
      <c r="S1160" s="1"/>
      <c r="T1160" s="109"/>
      <c r="W1160" s="130" t="str">
        <f t="shared" si="27"/>
        <v>1w</v>
      </c>
      <c r="X1160" s="128">
        <f>_xll.qlCalendarAdvance(Calendar,X1159,W1160,"f",FALSE)</f>
        <v>47254</v>
      </c>
      <c r="Y1160" s="131">
        <f>_xll.qlCalendarAdvance(Calendar,X1160,NDays&amp;"D")</f>
        <v>47256</v>
      </c>
      <c r="Z1160" s="132">
        <v>1.6457432724659774E-2</v>
      </c>
      <c r="AA1160" s="129">
        <v>1.6438613356752896E-2</v>
      </c>
    </row>
    <row r="1161" spans="19:27" x14ac:dyDescent="0.2">
      <c r="S1161" s="1"/>
      <c r="T1161" s="109"/>
      <c r="W1161" s="130" t="str">
        <f t="shared" si="27"/>
        <v>1w</v>
      </c>
      <c r="X1161" s="128">
        <f>_xll.qlCalendarAdvance(Calendar,X1160,W1161,"f",FALSE)</f>
        <v>47261</v>
      </c>
      <c r="Y1161" s="131">
        <f>_xll.qlCalendarAdvance(Calendar,X1161,NDays&amp;"D")</f>
        <v>47263</v>
      </c>
      <c r="Z1161" s="132">
        <v>1.6455011806109889E-2</v>
      </c>
      <c r="AA1161" s="129">
        <v>1.643633898179786E-2</v>
      </c>
    </row>
    <row r="1162" spans="19:27" x14ac:dyDescent="0.2">
      <c r="S1162" s="1"/>
      <c r="T1162" s="109"/>
      <c r="W1162" s="130" t="str">
        <f t="shared" si="27"/>
        <v>1w</v>
      </c>
      <c r="X1162" s="128">
        <f>_xll.qlCalendarAdvance(Calendar,X1161,W1162,"f",FALSE)</f>
        <v>47268</v>
      </c>
      <c r="Y1162" s="131">
        <f>_xll.qlCalendarAdvance(Calendar,X1162,NDays&amp;"D")</f>
        <v>47270</v>
      </c>
      <c r="Z1162" s="132">
        <v>1.6452569799308862E-2</v>
      </c>
      <c r="AA1162" s="129">
        <v>1.6434043604443005E-2</v>
      </c>
    </row>
    <row r="1163" spans="19:27" x14ac:dyDescent="0.2">
      <c r="S1163" s="1"/>
      <c r="T1163" s="109"/>
      <c r="W1163" s="130" t="str">
        <f t="shared" si="27"/>
        <v>1w</v>
      </c>
      <c r="X1163" s="128">
        <f>_xll.qlCalendarAdvance(Calendar,X1162,W1163,"f",FALSE)</f>
        <v>47275</v>
      </c>
      <c r="Y1163" s="131">
        <f>_xll.qlCalendarAdvance(Calendar,X1163,NDays&amp;"D")</f>
        <v>47277</v>
      </c>
      <c r="Z1163" s="132">
        <v>1.6450106704296655E-2</v>
      </c>
      <c r="AA1163" s="129">
        <v>1.6431727224714976E-2</v>
      </c>
    </row>
    <row r="1164" spans="19:27" x14ac:dyDescent="0.2">
      <c r="S1164" s="1"/>
      <c r="T1164" s="109"/>
      <c r="W1164" s="130" t="str">
        <f t="shared" si="27"/>
        <v>1w</v>
      </c>
      <c r="X1164" s="128">
        <f>_xll.qlCalendarAdvance(Calendar,X1163,W1164,"f",FALSE)</f>
        <v>47282</v>
      </c>
      <c r="Y1164" s="131">
        <f>_xll.qlCalendarAdvance(Calendar,X1164,NDays&amp;"D")</f>
        <v>47284</v>
      </c>
      <c r="Z1164" s="132">
        <v>1.6447622521112388E-2</v>
      </c>
      <c r="AA1164" s="129">
        <v>1.6429389842560482E-2</v>
      </c>
    </row>
    <row r="1165" spans="19:27" x14ac:dyDescent="0.2">
      <c r="S1165" s="1"/>
      <c r="T1165" s="109"/>
      <c r="W1165" s="130" t="str">
        <f t="shared" si="27"/>
        <v>1w</v>
      </c>
      <c r="X1165" s="128">
        <f>_xll.qlCalendarAdvance(Calendar,X1164,W1165,"f",FALSE)</f>
        <v>47289</v>
      </c>
      <c r="Y1165" s="131">
        <f>_xll.qlCalendarAdvance(Calendar,X1165,NDays&amp;"D")</f>
        <v>47291</v>
      </c>
      <c r="Z1165" s="132">
        <v>1.6445117249799433E-2</v>
      </c>
      <c r="AA1165" s="129">
        <v>1.642703145805946E-2</v>
      </c>
    </row>
    <row r="1166" spans="19:27" x14ac:dyDescent="0.2">
      <c r="S1166" s="1"/>
      <c r="T1166" s="109"/>
      <c r="W1166" s="130" t="str">
        <f t="shared" si="27"/>
        <v>1w</v>
      </c>
      <c r="X1166" s="128">
        <f>_xll.qlCalendarAdvance(Calendar,X1165,W1166,"f",FALSE)</f>
        <v>47296</v>
      </c>
      <c r="Y1166" s="131">
        <f>_xll.qlCalendarAdvance(Calendar,X1166,NDays&amp;"D")</f>
        <v>47298</v>
      </c>
      <c r="Z1166" s="132">
        <v>1.6442019070831416E-2</v>
      </c>
      <c r="AA1166" s="129">
        <v>1.6424652071131973E-2</v>
      </c>
    </row>
    <row r="1167" spans="19:27" x14ac:dyDescent="0.2">
      <c r="S1167" s="1"/>
      <c r="T1167" s="109"/>
      <c r="W1167" s="130" t="str">
        <f t="shared" si="27"/>
        <v>1w</v>
      </c>
      <c r="X1167" s="128">
        <f>_xll.qlCalendarAdvance(Calendar,X1166,W1167,"f",FALSE)</f>
        <v>47303</v>
      </c>
      <c r="Y1167" s="131">
        <f>_xll.qlCalendarAdvance(Calendar,X1167,NDays&amp;"D")</f>
        <v>47305</v>
      </c>
      <c r="Z1167" s="132">
        <v>1.6440043442946473E-2</v>
      </c>
      <c r="AA1167" s="129">
        <v>1.6422251681831312E-2</v>
      </c>
    </row>
    <row r="1168" spans="19:27" x14ac:dyDescent="0.2">
      <c r="S1168" s="1"/>
      <c r="T1168" s="109"/>
      <c r="W1168" s="130" t="str">
        <f t="shared" si="27"/>
        <v>1w</v>
      </c>
      <c r="X1168" s="128">
        <f>_xll.qlCalendarAdvance(Calendar,X1167,W1168,"f",FALSE)</f>
        <v>47310</v>
      </c>
      <c r="Y1168" s="131">
        <f>_xll.qlCalendarAdvance(Calendar,X1168,NDays&amp;"D")</f>
        <v>47312</v>
      </c>
      <c r="Z1168" s="132">
        <v>1.643747490749151E-2</v>
      </c>
      <c r="AA1168" s="129">
        <v>1.6419830290157478E-2</v>
      </c>
    </row>
    <row r="1169" spans="19:27" x14ac:dyDescent="0.2">
      <c r="S1169" s="1"/>
      <c r="T1169" s="109"/>
      <c r="W1169" s="130" t="str">
        <f t="shared" si="27"/>
        <v>1w</v>
      </c>
      <c r="X1169" s="128">
        <f>_xll.qlCalendarAdvance(Calendar,X1168,W1169,"f",FALSE)</f>
        <v>47317</v>
      </c>
      <c r="Y1169" s="131">
        <f>_xll.qlCalendarAdvance(Calendar,X1169,NDays&amp;"D")</f>
        <v>47319</v>
      </c>
      <c r="Z1169" s="132">
        <v>1.6434885284072828E-2</v>
      </c>
      <c r="AA1169" s="129">
        <v>1.6417387896083824E-2</v>
      </c>
    </row>
    <row r="1170" spans="19:27" x14ac:dyDescent="0.2">
      <c r="S1170" s="1"/>
      <c r="T1170" s="109"/>
      <c r="W1170" s="130" t="str">
        <f t="shared" si="27"/>
        <v>1w</v>
      </c>
      <c r="X1170" s="128">
        <f>_xll.qlCalendarAdvance(Calendar,X1169,W1170,"f",FALSE)</f>
        <v>47324</v>
      </c>
      <c r="Y1170" s="131">
        <f>_xll.qlCalendarAdvance(Calendar,X1170,NDays&amp;"D")</f>
        <v>47326</v>
      </c>
      <c r="Z1170" s="132">
        <v>1.6432274572732948E-2</v>
      </c>
      <c r="AA1170" s="129">
        <v>1.641492449961035E-2</v>
      </c>
    </row>
    <row r="1171" spans="19:27" x14ac:dyDescent="0.2">
      <c r="S1171" s="1"/>
      <c r="T1171" s="109"/>
      <c r="W1171" s="130" t="str">
        <f t="shared" si="27"/>
        <v>1w</v>
      </c>
      <c r="X1171" s="128">
        <f>_xll.qlCalendarAdvance(Calendar,X1170,W1171,"f",FALSE)</f>
        <v>47331</v>
      </c>
      <c r="Y1171" s="131">
        <f>_xll.qlCalendarAdvance(Calendar,X1171,NDays&amp;"D")</f>
        <v>47333</v>
      </c>
      <c r="Z1171" s="132">
        <v>1.6429642773516093E-2</v>
      </c>
      <c r="AA1171" s="129">
        <v>1.6412440100763703E-2</v>
      </c>
    </row>
    <row r="1172" spans="19:27" x14ac:dyDescent="0.2">
      <c r="S1172" s="1"/>
      <c r="T1172" s="109"/>
      <c r="W1172" s="130" t="str">
        <f t="shared" si="27"/>
        <v>1w</v>
      </c>
      <c r="X1172" s="128">
        <f>_xll.qlCalendarAdvance(Calendar,X1171,W1172,"f",FALSE)</f>
        <v>47338</v>
      </c>
      <c r="Y1172" s="131">
        <f>_xll.qlCalendarAdvance(Calendar,X1172,NDays&amp;"D")</f>
        <v>47340</v>
      </c>
      <c r="Z1172" s="132">
        <v>1.6426989886464783E-2</v>
      </c>
      <c r="AA1172" s="129">
        <v>1.6409934699570528E-2</v>
      </c>
    </row>
    <row r="1173" spans="19:27" x14ac:dyDescent="0.2">
      <c r="S1173" s="1"/>
      <c r="T1173" s="109"/>
      <c r="W1173" s="130" t="str">
        <f t="shared" ref="W1173:W1236" si="28">W1172</f>
        <v>1w</v>
      </c>
      <c r="X1173" s="128">
        <f>_xll.qlCalendarAdvance(Calendar,X1172,W1173,"f",FALSE)</f>
        <v>47345</v>
      </c>
      <c r="Y1173" s="131">
        <f>_xll.qlCalendarAdvance(Calendar,X1173,NDays&amp;"D")</f>
        <v>47347</v>
      </c>
      <c r="Z1173" s="132">
        <v>1.6424315911622384E-2</v>
      </c>
      <c r="AA1173" s="129">
        <v>1.6407408295950887E-2</v>
      </c>
    </row>
    <row r="1174" spans="19:27" x14ac:dyDescent="0.2">
      <c r="S1174" s="1"/>
      <c r="T1174" s="109"/>
      <c r="W1174" s="130" t="str">
        <f t="shared" si="28"/>
        <v>1w</v>
      </c>
      <c r="X1174" s="128">
        <f>_xll.qlCalendarAdvance(Calendar,X1173,W1174,"f",FALSE)</f>
        <v>47352</v>
      </c>
      <c r="Y1174" s="131">
        <f>_xll.qlCalendarAdvance(Calendar,X1174,NDays&amp;"D")</f>
        <v>47354</v>
      </c>
      <c r="Z1174" s="132">
        <v>1.6421620849033966E-2</v>
      </c>
      <c r="AA1174" s="129">
        <v>1.6404860889958073E-2</v>
      </c>
    </row>
    <row r="1175" spans="19:27" x14ac:dyDescent="0.2">
      <c r="S1175" s="1"/>
      <c r="T1175" s="109"/>
      <c r="W1175" s="130" t="str">
        <f t="shared" si="28"/>
        <v>1w</v>
      </c>
      <c r="X1175" s="128">
        <f>_xll.qlCalendarAdvance(Calendar,X1174,W1175,"f",FALSE)</f>
        <v>47359</v>
      </c>
      <c r="Y1175" s="131">
        <f>_xll.qlCalendarAdvance(Calendar,X1175,NDays&amp;"D")</f>
        <v>47361</v>
      </c>
      <c r="Z1175" s="132">
        <v>1.6418376779138679E-2</v>
      </c>
      <c r="AA1175" s="129">
        <v>1.6402292481592085E-2</v>
      </c>
    </row>
    <row r="1176" spans="19:27" x14ac:dyDescent="0.2">
      <c r="S1176" s="1"/>
      <c r="T1176" s="109"/>
      <c r="W1176" s="130" t="str">
        <f t="shared" si="28"/>
        <v>1w</v>
      </c>
      <c r="X1176" s="128">
        <f>_xll.qlCalendarAdvance(Calendar,X1175,W1176,"f",FALSE)</f>
        <v>47366</v>
      </c>
      <c r="Y1176" s="131">
        <f>_xll.qlCalendarAdvance(Calendar,X1176,NDays&amp;"D")</f>
        <v>47368</v>
      </c>
      <c r="Z1176" s="132">
        <v>1.6415644433022285E-2</v>
      </c>
      <c r="AA1176" s="129">
        <v>1.6399703070852922E-2</v>
      </c>
    </row>
    <row r="1177" spans="19:27" x14ac:dyDescent="0.2">
      <c r="S1177" s="1"/>
      <c r="T1177" s="109"/>
      <c r="W1177" s="130" t="str">
        <f t="shared" si="28"/>
        <v>1w</v>
      </c>
      <c r="X1177" s="128">
        <f>_xll.qlCalendarAdvance(Calendar,X1176,W1177,"f",FALSE)</f>
        <v>47373</v>
      </c>
      <c r="Y1177" s="131">
        <f>_xll.qlCalendarAdvance(Calendar,X1177,NDays&amp;"D")</f>
        <v>47375</v>
      </c>
      <c r="Z1177" s="132">
        <v>1.6412891002099899E-2</v>
      </c>
      <c r="AA1177" s="129">
        <v>1.6397092657713941E-2</v>
      </c>
    </row>
    <row r="1178" spans="19:27" x14ac:dyDescent="0.2">
      <c r="S1178" s="1"/>
      <c r="T1178" s="109"/>
      <c r="W1178" s="130" t="str">
        <f t="shared" si="28"/>
        <v>1w</v>
      </c>
      <c r="X1178" s="128">
        <f>_xll.qlCalendarAdvance(Calendar,X1177,W1178,"f",FALSE)</f>
        <v>47380</v>
      </c>
      <c r="Y1178" s="131">
        <f>_xll.qlCalendarAdvance(Calendar,X1178,NDays&amp;"D")</f>
        <v>47382</v>
      </c>
      <c r="Z1178" s="132">
        <v>1.6410116486415445E-2</v>
      </c>
      <c r="AA1178" s="129">
        <v>1.6394461242228431E-2</v>
      </c>
    </row>
    <row r="1179" spans="19:27" x14ac:dyDescent="0.2">
      <c r="S1179" s="1"/>
      <c r="T1179" s="109"/>
      <c r="W1179" s="130" t="str">
        <f t="shared" si="28"/>
        <v>1w</v>
      </c>
      <c r="X1179" s="128">
        <f>_xll.qlCalendarAdvance(Calendar,X1178,W1179,"f",FALSE)</f>
        <v>47387</v>
      </c>
      <c r="Y1179" s="131">
        <f>_xll.qlCalendarAdvance(Calendar,X1179,NDays&amp;"D")</f>
        <v>47389</v>
      </c>
      <c r="Z1179" s="132">
        <v>1.6407829221450166E-2</v>
      </c>
      <c r="AA1179" s="129">
        <v>1.6391808824343101E-2</v>
      </c>
    </row>
    <row r="1180" spans="19:27" x14ac:dyDescent="0.2">
      <c r="S1180" s="1"/>
      <c r="T1180" s="109"/>
      <c r="W1180" s="130" t="str">
        <f t="shared" si="28"/>
        <v>1w</v>
      </c>
      <c r="X1180" s="128">
        <f>_xll.qlCalendarAdvance(Calendar,X1179,W1180,"f",FALSE)</f>
        <v>47394</v>
      </c>
      <c r="Y1180" s="131">
        <f>_xll.qlCalendarAdvance(Calendar,X1180,NDays&amp;"D")</f>
        <v>47396</v>
      </c>
      <c r="Z1180" s="132">
        <v>1.6405007633323615E-2</v>
      </c>
      <c r="AA1180" s="129">
        <v>1.6389135404111244E-2</v>
      </c>
    </row>
    <row r="1181" spans="19:27" x14ac:dyDescent="0.2">
      <c r="S1181" s="1"/>
      <c r="T1181" s="109"/>
      <c r="W1181" s="130" t="str">
        <f t="shared" si="28"/>
        <v>1w</v>
      </c>
      <c r="X1181" s="128">
        <f>_xll.qlCalendarAdvance(Calendar,X1180,W1181,"f",FALSE)</f>
        <v>47401</v>
      </c>
      <c r="Y1181" s="131">
        <f>_xll.qlCalendarAdvance(Calendar,X1181,NDays&amp;"D")</f>
        <v>47403</v>
      </c>
      <c r="Z1181" s="132">
        <v>1.6402164957768244E-2</v>
      </c>
      <c r="AA1181" s="129">
        <v>1.6386440981506212E-2</v>
      </c>
    </row>
    <row r="1182" spans="19:27" x14ac:dyDescent="0.2">
      <c r="S1182" s="1"/>
      <c r="T1182" s="109"/>
      <c r="W1182" s="130" t="str">
        <f t="shared" si="28"/>
        <v>1w</v>
      </c>
      <c r="X1182" s="128">
        <f>_xll.qlCalendarAdvance(Calendar,X1181,W1182,"f",FALSE)</f>
        <v>47408</v>
      </c>
      <c r="Y1182" s="131">
        <f>_xll.qlCalendarAdvance(Calendar,X1182,NDays&amp;"D")</f>
        <v>47410</v>
      </c>
      <c r="Z1182" s="132">
        <v>1.6399301194829966E-2</v>
      </c>
      <c r="AA1182" s="129">
        <v>1.6383725556528006E-2</v>
      </c>
    </row>
    <row r="1183" spans="19:27" x14ac:dyDescent="0.2">
      <c r="S1183" s="1"/>
      <c r="T1183" s="109"/>
      <c r="W1183" s="130" t="str">
        <f t="shared" si="28"/>
        <v>1w</v>
      </c>
      <c r="X1183" s="128">
        <f>_xll.qlCalendarAdvance(Calendar,X1182,W1183,"f",FALSE)</f>
        <v>47415</v>
      </c>
      <c r="Y1183" s="131">
        <f>_xll.qlCalendarAdvance(Calendar,X1183,NDays&amp;"D")</f>
        <v>47417</v>
      </c>
      <c r="Z1183" s="132">
        <v>1.6396416344557255E-2</v>
      </c>
      <c r="AA1183" s="129">
        <v>1.6380989129176626E-2</v>
      </c>
    </row>
    <row r="1184" spans="19:27" x14ac:dyDescent="0.2">
      <c r="S1184" s="1"/>
      <c r="T1184" s="109"/>
      <c r="W1184" s="130" t="str">
        <f t="shared" si="28"/>
        <v>1w</v>
      </c>
      <c r="X1184" s="128">
        <f>_xll.qlCalendarAdvance(Calendar,X1183,W1184,"f",FALSE)</f>
        <v>47422</v>
      </c>
      <c r="Y1184" s="131">
        <f>_xll.qlCalendarAdvance(Calendar,X1184,NDays&amp;"D")</f>
        <v>47424</v>
      </c>
      <c r="Z1184" s="132">
        <v>1.6393510406995188E-2</v>
      </c>
      <c r="AA1184" s="129">
        <v>1.6378231699452073E-2</v>
      </c>
    </row>
    <row r="1185" spans="19:27" x14ac:dyDescent="0.2">
      <c r="S1185" s="1"/>
      <c r="T1185" s="109"/>
      <c r="W1185" s="130" t="str">
        <f t="shared" si="28"/>
        <v>1w</v>
      </c>
      <c r="X1185" s="128">
        <f>_xll.qlCalendarAdvance(Calendar,X1184,W1185,"f",FALSE)</f>
        <v>47429</v>
      </c>
      <c r="Y1185" s="131">
        <f>_xll.qlCalendarAdvance(Calendar,X1185,NDays&amp;"D")</f>
        <v>47431</v>
      </c>
      <c r="Z1185" s="132">
        <v>1.6390583382193926E-2</v>
      </c>
      <c r="AA1185" s="129">
        <v>1.637545326738099E-2</v>
      </c>
    </row>
    <row r="1186" spans="19:27" x14ac:dyDescent="0.2">
      <c r="S1186" s="1"/>
      <c r="T1186" s="109"/>
      <c r="W1186" s="130" t="str">
        <f t="shared" si="28"/>
        <v>1w</v>
      </c>
      <c r="X1186" s="128">
        <f>_xll.qlCalendarAdvance(Calendar,X1185,W1186,"f",FALSE)</f>
        <v>47436</v>
      </c>
      <c r="Y1186" s="131">
        <f>_xll.qlCalendarAdvance(Calendar,X1186,NDays&amp;"D")</f>
        <v>47438</v>
      </c>
      <c r="Z1186" s="132">
        <v>1.6387635270201099E-2</v>
      </c>
      <c r="AA1186" s="129">
        <v>1.6372653832936734E-2</v>
      </c>
    </row>
    <row r="1187" spans="19:27" x14ac:dyDescent="0.2">
      <c r="S1187" s="1"/>
      <c r="T1187" s="109"/>
      <c r="W1187" s="130" t="str">
        <f t="shared" si="28"/>
        <v>1w</v>
      </c>
      <c r="X1187" s="128">
        <f>_xll.qlCalendarAdvance(Calendar,X1186,W1187,"f",FALSE)</f>
        <v>47443</v>
      </c>
      <c r="Y1187" s="131">
        <f>_xll.qlCalendarAdvance(Calendar,X1187,NDays&amp;"D")</f>
        <v>47445</v>
      </c>
      <c r="Z1187" s="132">
        <v>1.6384666071064327E-2</v>
      </c>
      <c r="AA1187" s="129">
        <v>1.636983339614595E-2</v>
      </c>
    </row>
    <row r="1188" spans="19:27" x14ac:dyDescent="0.2">
      <c r="S1188" s="1"/>
      <c r="T1188" s="109"/>
      <c r="W1188" s="130" t="str">
        <f t="shared" si="28"/>
        <v>1w</v>
      </c>
      <c r="X1188" s="128">
        <f>_xll.qlCalendarAdvance(Calendar,X1187,W1188,"f",FALSE)</f>
        <v>47450</v>
      </c>
      <c r="Y1188" s="131">
        <f>_xll.qlCalendarAdvance(Calendar,X1188,NDays&amp;"D")</f>
        <v>47452</v>
      </c>
      <c r="Z1188" s="132">
        <v>1.6381056671256999E-2</v>
      </c>
      <c r="AA1188" s="129">
        <v>1.6366991956981991E-2</v>
      </c>
    </row>
    <row r="1189" spans="19:27" x14ac:dyDescent="0.2">
      <c r="S1189" s="1"/>
      <c r="T1189" s="109"/>
      <c r="W1189" s="130" t="str">
        <f t="shared" si="28"/>
        <v>1w</v>
      </c>
      <c r="X1189" s="128">
        <f>_xll.qlCalendarAdvance(Calendar,X1188,W1189,"f",FALSE)</f>
        <v>47457</v>
      </c>
      <c r="Y1189" s="131">
        <f>_xll.qlCalendarAdvance(Calendar,X1189,NDays&amp;"D")</f>
        <v>47459</v>
      </c>
      <c r="Z1189" s="132">
        <v>1.6378051868628063E-2</v>
      </c>
      <c r="AA1189" s="129">
        <v>1.6364129515444858E-2</v>
      </c>
    </row>
    <row r="1190" spans="19:27" x14ac:dyDescent="0.2">
      <c r="S1190" s="1"/>
      <c r="T1190" s="109"/>
      <c r="W1190" s="130" t="str">
        <f t="shared" si="28"/>
        <v>1w</v>
      </c>
      <c r="X1190" s="128">
        <f>_xll.qlCalendarAdvance(Calendar,X1189,W1190,"f",FALSE)</f>
        <v>47464</v>
      </c>
      <c r="Y1190" s="131">
        <f>_xll.qlCalendarAdvance(Calendar,X1190,NDays&amp;"D")</f>
        <v>47466</v>
      </c>
      <c r="Z1190" s="132">
        <v>1.6375025982715563E-2</v>
      </c>
      <c r="AA1190" s="129">
        <v>1.6361246071561197E-2</v>
      </c>
    </row>
    <row r="1191" spans="19:27" x14ac:dyDescent="0.2">
      <c r="S1191" s="1"/>
      <c r="T1191" s="109"/>
      <c r="W1191" s="130" t="str">
        <f t="shared" si="28"/>
        <v>1w</v>
      </c>
      <c r="X1191" s="128">
        <f>_xll.qlCalendarAdvance(Calendar,X1190,W1191,"f",FALSE)</f>
        <v>47471</v>
      </c>
      <c r="Y1191" s="131">
        <f>_xll.qlCalendarAdvance(Calendar,X1191,NDays&amp;"D")</f>
        <v>47473</v>
      </c>
      <c r="Z1191" s="132">
        <v>1.6371979013571014E-2</v>
      </c>
      <c r="AA1191" s="129">
        <v>1.6358341625331008E-2</v>
      </c>
    </row>
    <row r="1192" spans="19:27" x14ac:dyDescent="0.2">
      <c r="S1192" s="1"/>
      <c r="T1192" s="109"/>
      <c r="W1192" s="130" t="str">
        <f t="shared" si="28"/>
        <v>1w</v>
      </c>
      <c r="X1192" s="128">
        <f>_xll.qlCalendarAdvance(Calendar,X1191,W1192,"f",FALSE)</f>
        <v>47479</v>
      </c>
      <c r="Y1192" s="131">
        <f>_xll.qlCalendarAdvance(Calendar,X1192,NDays&amp;"D")</f>
        <v>47483</v>
      </c>
      <c r="Z1192" s="132">
        <v>1.6367293719223852E-2</v>
      </c>
      <c r="AA1192" s="129">
        <v>1.6353994916045167E-2</v>
      </c>
    </row>
    <row r="1193" spans="19:27" x14ac:dyDescent="0.2">
      <c r="S1193" s="1"/>
      <c r="T1193" s="109"/>
      <c r="W1193" s="130" t="str">
        <f t="shared" si="28"/>
        <v>1w</v>
      </c>
      <c r="X1193" s="128">
        <f>_xll.qlCalendarAdvance(Calendar,X1192,W1193,"f",FALSE)</f>
        <v>47486</v>
      </c>
      <c r="Y1193" s="131">
        <f>_xll.qlCalendarAdvance(Calendar,X1193,NDays&amp;"D")</f>
        <v>47490</v>
      </c>
      <c r="Z1193" s="132">
        <v>1.6364637535486719E-2</v>
      </c>
      <c r="AA1193" s="129">
        <v>1.6350881514188842E-2</v>
      </c>
    </row>
    <row r="1194" spans="19:27" x14ac:dyDescent="0.2">
      <c r="S1194" s="1"/>
      <c r="T1194" s="109"/>
      <c r="W1194" s="130" t="str">
        <f t="shared" si="28"/>
        <v>1w</v>
      </c>
      <c r="X1194" s="128">
        <f>_xll.qlCalendarAdvance(Calendar,X1193,W1194,"f",FALSE)</f>
        <v>47493</v>
      </c>
      <c r="Y1194" s="131">
        <f>_xll.qlCalendarAdvance(Calendar,X1194,NDays&amp;"D")</f>
        <v>47497</v>
      </c>
      <c r="Z1194" s="132">
        <v>1.6361516633846742E-2</v>
      </c>
      <c r="AA1194" s="129">
        <v>1.6347908330249794E-2</v>
      </c>
    </row>
    <row r="1195" spans="19:27" x14ac:dyDescent="0.2">
      <c r="S1195" s="1"/>
      <c r="T1195" s="109"/>
      <c r="W1195" s="130" t="str">
        <f t="shared" si="28"/>
        <v>1w</v>
      </c>
      <c r="X1195" s="128">
        <f>_xll.qlCalendarAdvance(Calendar,X1194,W1195,"f",FALSE)</f>
        <v>47500</v>
      </c>
      <c r="Y1195" s="131">
        <f>_xll.qlCalendarAdvance(Calendar,X1195,NDays&amp;"D")</f>
        <v>47504</v>
      </c>
      <c r="Z1195" s="132">
        <v>1.6358517278361968E-2</v>
      </c>
      <c r="AA1195" s="129">
        <v>1.6344914145909328E-2</v>
      </c>
    </row>
    <row r="1196" spans="19:27" x14ac:dyDescent="0.2">
      <c r="S1196" s="1"/>
      <c r="T1196" s="109"/>
      <c r="W1196" s="130" t="str">
        <f t="shared" si="28"/>
        <v>1w</v>
      </c>
      <c r="X1196" s="128">
        <f>_xll.qlCalendarAdvance(Calendar,X1195,W1196,"f",FALSE)</f>
        <v>47507</v>
      </c>
      <c r="Y1196" s="131">
        <f>_xll.qlCalendarAdvance(Calendar,X1196,NDays&amp;"D")</f>
        <v>47511</v>
      </c>
      <c r="Z1196" s="132">
        <v>1.6355211578784074E-2</v>
      </c>
      <c r="AA1196" s="129">
        <v>1.6341898960927637E-2</v>
      </c>
    </row>
    <row r="1197" spans="19:27" x14ac:dyDescent="0.2">
      <c r="S1197" s="1"/>
      <c r="T1197" s="109"/>
      <c r="W1197" s="130" t="str">
        <f t="shared" si="28"/>
        <v>1w</v>
      </c>
      <c r="X1197" s="128">
        <f>_xll.qlCalendarAdvance(Calendar,X1196,W1197,"f",FALSE)</f>
        <v>47514</v>
      </c>
      <c r="Y1197" s="131">
        <f>_xll.qlCalendarAdvance(Calendar,X1197,NDays&amp;"D")</f>
        <v>47518</v>
      </c>
      <c r="Z1197" s="132">
        <v>1.6352027425462407E-2</v>
      </c>
      <c r="AA1197" s="129">
        <v>1.6338862775624463E-2</v>
      </c>
    </row>
    <row r="1198" spans="19:27" x14ac:dyDescent="0.2">
      <c r="S1198" s="1"/>
      <c r="T1198" s="109"/>
      <c r="W1198" s="130" t="str">
        <f t="shared" si="28"/>
        <v>1w</v>
      </c>
      <c r="X1198" s="128">
        <f>_xll.qlCalendarAdvance(Calendar,X1197,W1198,"f",FALSE)</f>
        <v>47521</v>
      </c>
      <c r="Y1198" s="131">
        <f>_xll.qlCalendarAdvance(Calendar,X1198,NDays&amp;"D")</f>
        <v>47525</v>
      </c>
      <c r="Z1198" s="132">
        <v>1.6348822188346684E-2</v>
      </c>
      <c r="AA1198" s="129">
        <v>1.6335805589680064E-2</v>
      </c>
    </row>
    <row r="1199" spans="19:27" x14ac:dyDescent="0.2">
      <c r="S1199" s="1"/>
      <c r="T1199" s="109"/>
      <c r="W1199" s="130" t="str">
        <f t="shared" si="28"/>
        <v>1w</v>
      </c>
      <c r="X1199" s="128">
        <f>_xll.qlCalendarAdvance(Calendar,X1198,W1199,"f",FALSE)</f>
        <v>47528</v>
      </c>
      <c r="Y1199" s="131">
        <f>_xll.qlCalendarAdvance(Calendar,X1199,NDays&amp;"D")</f>
        <v>47532</v>
      </c>
      <c r="Z1199" s="132">
        <v>1.6345595857336855E-2</v>
      </c>
      <c r="AA1199" s="129">
        <v>1.6332727403414182E-2</v>
      </c>
    </row>
    <row r="1200" spans="19:27" x14ac:dyDescent="0.2">
      <c r="S1200" s="1"/>
      <c r="T1200" s="109"/>
      <c r="W1200" s="130" t="str">
        <f t="shared" si="28"/>
        <v>1w</v>
      </c>
      <c r="X1200" s="128">
        <f>_xll.qlCalendarAdvance(Calendar,X1199,W1200,"f",FALSE)</f>
        <v>47535</v>
      </c>
      <c r="Y1200" s="131">
        <f>_xll.qlCalendarAdvance(Calendar,X1200,NDays&amp;"D")</f>
        <v>47539</v>
      </c>
      <c r="Z1200" s="132">
        <v>1.6342348381722722E-2</v>
      </c>
      <c r="AA1200" s="129">
        <v>1.6329628216507075E-2</v>
      </c>
    </row>
    <row r="1201" spans="19:27" x14ac:dyDescent="0.2">
      <c r="S1201" s="1"/>
      <c r="T1201" s="109"/>
      <c r="W1201" s="130" t="str">
        <f t="shared" si="28"/>
        <v>1w</v>
      </c>
      <c r="X1201" s="128">
        <f>_xll.qlCalendarAdvance(Calendar,X1200,W1201,"f",FALSE)</f>
        <v>47542</v>
      </c>
      <c r="Y1201" s="131">
        <f>_xll.qlCalendarAdvance(Calendar,X1201,NDays&amp;"D")</f>
        <v>47546</v>
      </c>
      <c r="Z1201" s="132">
        <v>1.6339212382386264E-2</v>
      </c>
      <c r="AA1201" s="129">
        <v>1.632650802919855E-2</v>
      </c>
    </row>
    <row r="1202" spans="19:27" x14ac:dyDescent="0.2">
      <c r="S1202" s="1"/>
      <c r="T1202" s="109"/>
      <c r="W1202" s="130" t="str">
        <f t="shared" si="28"/>
        <v>1w</v>
      </c>
      <c r="X1202" s="128">
        <f>_xll.qlCalendarAdvance(Calendar,X1201,W1202,"f",FALSE)</f>
        <v>47549</v>
      </c>
      <c r="Y1202" s="131">
        <f>_xll.qlCalendarAdvance(Calendar,X1202,NDays&amp;"D")</f>
        <v>47553</v>
      </c>
      <c r="Z1202" s="132">
        <v>1.6335920753292623E-2</v>
      </c>
      <c r="AA1202" s="129">
        <v>1.6323366841408671E-2</v>
      </c>
    </row>
    <row r="1203" spans="19:27" x14ac:dyDescent="0.2">
      <c r="S1203" s="1"/>
      <c r="T1203" s="109"/>
      <c r="W1203" s="130" t="str">
        <f t="shared" si="28"/>
        <v>1w</v>
      </c>
      <c r="X1203" s="128">
        <f>_xll.qlCalendarAdvance(Calendar,X1202,W1203,"f",FALSE)</f>
        <v>47556</v>
      </c>
      <c r="Y1203" s="131">
        <f>_xll.qlCalendarAdvance(Calendar,X1203,NDays&amp;"D")</f>
        <v>47560</v>
      </c>
      <c r="Z1203" s="132">
        <v>1.633260779012187E-2</v>
      </c>
      <c r="AA1203" s="129">
        <v>1.6320204653057502E-2</v>
      </c>
    </row>
    <row r="1204" spans="19:27" x14ac:dyDescent="0.2">
      <c r="S1204" s="1"/>
      <c r="T1204" s="109"/>
      <c r="W1204" s="130" t="str">
        <f t="shared" si="28"/>
        <v>1w</v>
      </c>
      <c r="X1204" s="128">
        <f>_xll.qlCalendarAdvance(Calendar,X1203,W1204,"f",FALSE)</f>
        <v>47563</v>
      </c>
      <c r="Y1204" s="131">
        <f>_xll.qlCalendarAdvance(Calendar,X1204,NDays&amp;"D")</f>
        <v>47567</v>
      </c>
      <c r="Z1204" s="132">
        <v>1.63292734326752E-2</v>
      </c>
      <c r="AA1204" s="129">
        <v>1.6317021464224979E-2</v>
      </c>
    </row>
    <row r="1205" spans="19:27" x14ac:dyDescent="0.2">
      <c r="S1205" s="1"/>
      <c r="T1205" s="109"/>
      <c r="W1205" s="130" t="str">
        <f t="shared" si="28"/>
        <v>1w</v>
      </c>
      <c r="X1205" s="128">
        <f>_xll.qlCalendarAdvance(Calendar,X1204,W1205,"f",FALSE)</f>
        <v>47570</v>
      </c>
      <c r="Y1205" s="131">
        <f>_xll.qlCalendarAdvance(Calendar,X1205,NDays&amp;"D")</f>
        <v>47574</v>
      </c>
      <c r="Z1205" s="132">
        <v>1.6325791704476813E-2</v>
      </c>
      <c r="AA1205" s="129">
        <v>1.6313817274991038E-2</v>
      </c>
    </row>
    <row r="1206" spans="19:27" x14ac:dyDescent="0.2">
      <c r="S1206" s="1"/>
      <c r="T1206" s="109"/>
      <c r="W1206" s="130" t="str">
        <f t="shared" si="28"/>
        <v>1w</v>
      </c>
      <c r="X1206" s="128">
        <f>_xll.qlCalendarAdvance(Calendar,X1205,W1206,"f",FALSE)</f>
        <v>47577</v>
      </c>
      <c r="Y1206" s="131">
        <f>_xll.qlCalendarAdvance(Calendar,X1206,NDays&amp;"D")</f>
        <v>47581</v>
      </c>
      <c r="Z1206" s="132">
        <v>1.6322416083176968E-2</v>
      </c>
      <c r="AA1206" s="129">
        <v>1.6310592085275744E-2</v>
      </c>
    </row>
    <row r="1207" spans="19:27" x14ac:dyDescent="0.2">
      <c r="S1207" s="1"/>
      <c r="T1207" s="109"/>
      <c r="W1207" s="130" t="str">
        <f t="shared" si="28"/>
        <v>1w</v>
      </c>
      <c r="X1207" s="128">
        <f>_xll.qlCalendarAdvance(Calendar,X1206,W1207,"f",FALSE)</f>
        <v>47584</v>
      </c>
      <c r="Y1207" s="131">
        <f>_xll.qlCalendarAdvance(Calendar,X1207,NDays&amp;"D")</f>
        <v>47588</v>
      </c>
      <c r="Z1207" s="132">
        <v>1.6319018891256667E-2</v>
      </c>
      <c r="AA1207" s="129">
        <v>1.6307345894919223E-2</v>
      </c>
    </row>
    <row r="1208" spans="19:27" x14ac:dyDescent="0.2">
      <c r="S1208" s="1"/>
      <c r="T1208" s="109"/>
      <c r="W1208" s="130" t="str">
        <f t="shared" si="28"/>
        <v>1w</v>
      </c>
      <c r="X1208" s="128">
        <f>_xll.qlCalendarAdvance(Calendar,X1207,W1208,"f",FALSE)</f>
        <v>47591</v>
      </c>
      <c r="Y1208" s="131">
        <f>_xll.qlCalendarAdvance(Calendar,X1208,NDays&amp;"D")</f>
        <v>47597</v>
      </c>
      <c r="Z1208" s="132">
        <v>1.6314619279531182E-2</v>
      </c>
      <c r="AA1208" s="129">
        <v>1.6303141363955831E-2</v>
      </c>
    </row>
    <row r="1209" spans="19:27" x14ac:dyDescent="0.2">
      <c r="S1209" s="1"/>
      <c r="T1209" s="109"/>
      <c r="W1209" s="130" t="str">
        <f t="shared" si="28"/>
        <v>1w</v>
      </c>
      <c r="X1209" s="128">
        <f>_xll.qlCalendarAdvance(Calendar,X1208,W1209,"f",FALSE)</f>
        <v>47598</v>
      </c>
      <c r="Y1209" s="131">
        <f>_xll.qlCalendarAdvance(Calendar,X1209,NDays&amp;"D")</f>
        <v>47602</v>
      </c>
      <c r="Z1209" s="132">
        <v>1.63121595521292E-2</v>
      </c>
      <c r="AA1209" s="129">
        <v>1.6300790513001928E-2</v>
      </c>
    </row>
    <row r="1210" spans="19:27" x14ac:dyDescent="0.2">
      <c r="S1210" s="1"/>
      <c r="T1210" s="109"/>
      <c r="W1210" s="130" t="str">
        <f t="shared" si="28"/>
        <v>1w</v>
      </c>
      <c r="X1210" s="128">
        <f>_xll.qlCalendarAdvance(Calendar,X1209,W1210,"f",FALSE)</f>
        <v>47605</v>
      </c>
      <c r="Y1210" s="131">
        <f>_xll.qlCalendarAdvance(Calendar,X1210,NDays&amp;"D")</f>
        <v>47609</v>
      </c>
      <c r="Z1210" s="132">
        <v>1.6308814637111441E-2</v>
      </c>
      <c r="AA1210" s="129">
        <v>1.6297481321281282E-2</v>
      </c>
    </row>
    <row r="1211" spans="19:27" x14ac:dyDescent="0.2">
      <c r="S1211" s="1"/>
      <c r="T1211" s="109"/>
      <c r="W1211" s="130" t="str">
        <f t="shared" si="28"/>
        <v>1w</v>
      </c>
      <c r="X1211" s="128">
        <f>_xll.qlCalendarAdvance(Calendar,X1210,W1211,"f",FALSE)</f>
        <v>47612</v>
      </c>
      <c r="Y1211" s="131">
        <f>_xll.qlCalendarAdvance(Calendar,X1211,NDays&amp;"D")</f>
        <v>47616</v>
      </c>
      <c r="Z1211" s="132">
        <v>1.6305328834199034E-2</v>
      </c>
      <c r="AA1211" s="129">
        <v>1.6294151126441392E-2</v>
      </c>
    </row>
    <row r="1212" spans="19:27" x14ac:dyDescent="0.2">
      <c r="S1212" s="1"/>
      <c r="T1212" s="109"/>
      <c r="W1212" s="130" t="str">
        <f t="shared" si="28"/>
        <v>1w</v>
      </c>
      <c r="X1212" s="128">
        <f>_xll.qlCalendarAdvance(Calendar,X1211,W1212,"f",FALSE)</f>
        <v>47619</v>
      </c>
      <c r="Y1212" s="131">
        <f>_xll.qlCalendarAdvance(Calendar,X1212,NDays&amp;"D")</f>
        <v>47623</v>
      </c>
      <c r="Z1212" s="132">
        <v>1.6301821165477466E-2</v>
      </c>
      <c r="AA1212" s="129">
        <v>1.629079948315848E-2</v>
      </c>
    </row>
    <row r="1213" spans="19:27" x14ac:dyDescent="0.2">
      <c r="S1213" s="1"/>
      <c r="T1213" s="109"/>
      <c r="W1213" s="130" t="str">
        <f t="shared" si="28"/>
        <v>1w</v>
      </c>
      <c r="X1213" s="128">
        <f>_xll.qlCalendarAdvance(Calendar,X1212,W1213,"f",FALSE)</f>
        <v>47626</v>
      </c>
      <c r="Y1213" s="131">
        <f>_xll.qlCalendarAdvance(Calendar,X1213,NDays&amp;"D")</f>
        <v>47630</v>
      </c>
      <c r="Z1213" s="132">
        <v>1.6298291620963419E-2</v>
      </c>
      <c r="AA1213" s="129">
        <v>1.6287426050745069E-2</v>
      </c>
    </row>
    <row r="1214" spans="19:27" x14ac:dyDescent="0.2">
      <c r="S1214" s="1"/>
      <c r="T1214" s="109"/>
      <c r="W1214" s="130" t="str">
        <f t="shared" si="28"/>
        <v>1w</v>
      </c>
      <c r="X1214" s="128">
        <f>_xll.qlCalendarAdvance(Calendar,X1213,W1214,"f",FALSE)</f>
        <v>47633</v>
      </c>
      <c r="Y1214" s="131">
        <f>_xll.qlCalendarAdvance(Calendar,X1214,NDays&amp;"D")</f>
        <v>47637</v>
      </c>
      <c r="Z1214" s="132">
        <v>1.6294740200716838E-2</v>
      </c>
      <c r="AA1214" s="129">
        <v>1.6284030829121221E-2</v>
      </c>
    </row>
    <row r="1215" spans="19:27" x14ac:dyDescent="0.2">
      <c r="S1215" s="1"/>
      <c r="T1215" s="109"/>
      <c r="W1215" s="130" t="str">
        <f t="shared" si="28"/>
        <v>1w</v>
      </c>
      <c r="X1215" s="128">
        <f>_xll.qlCalendarAdvance(Calendar,X1214,W1215,"f",FALSE)</f>
        <v>47640</v>
      </c>
      <c r="Y1215" s="131">
        <f>_xll.qlCalendarAdvance(Calendar,X1215,NDays&amp;"D")</f>
        <v>47644</v>
      </c>
      <c r="Z1215" s="132">
        <v>1.6291166904795075E-2</v>
      </c>
      <c r="AA1215" s="129">
        <v>1.628061381844681E-2</v>
      </c>
    </row>
    <row r="1216" spans="19:27" x14ac:dyDescent="0.2">
      <c r="S1216" s="1"/>
      <c r="T1216" s="109"/>
      <c r="W1216" s="130" t="str">
        <f t="shared" si="28"/>
        <v>1w</v>
      </c>
      <c r="X1216" s="128">
        <f>_xll.qlCalendarAdvance(Calendar,X1215,W1216,"f",FALSE)</f>
        <v>47647</v>
      </c>
      <c r="Y1216" s="131">
        <f>_xll.qlCalendarAdvance(Calendar,X1216,NDays&amp;"D")</f>
        <v>47651</v>
      </c>
      <c r="Z1216" s="132">
        <v>1.6287571733258947E-2</v>
      </c>
      <c r="AA1216" s="129">
        <v>1.6277175018641898E-2</v>
      </c>
    </row>
    <row r="1217" spans="19:27" x14ac:dyDescent="0.2">
      <c r="S1217" s="1"/>
      <c r="T1217" s="109"/>
      <c r="W1217" s="130" t="str">
        <f t="shared" si="28"/>
        <v>1w</v>
      </c>
      <c r="X1217" s="128">
        <f>_xll.qlCalendarAdvance(Calendar,X1216,W1217,"f",FALSE)</f>
        <v>47654</v>
      </c>
      <c r="Y1217" s="131">
        <f>_xll.qlCalendarAdvance(Calendar,X1217,NDays&amp;"D")</f>
        <v>47658</v>
      </c>
      <c r="Z1217" s="132">
        <v>1.6283954686169277E-2</v>
      </c>
      <c r="AA1217" s="129">
        <v>1.6273714429706487E-2</v>
      </c>
    </row>
    <row r="1218" spans="19:27" x14ac:dyDescent="0.2">
      <c r="S1218" s="1"/>
      <c r="T1218" s="109"/>
      <c r="W1218" s="130" t="str">
        <f t="shared" si="28"/>
        <v>1w</v>
      </c>
      <c r="X1218" s="128">
        <f>_xll.qlCalendarAdvance(Calendar,X1217,W1218,"f",FALSE)</f>
        <v>47661</v>
      </c>
      <c r="Y1218" s="131">
        <f>_xll.qlCalendarAdvance(Calendar,X1218,NDays&amp;"D")</f>
        <v>47665</v>
      </c>
      <c r="Z1218" s="132">
        <v>1.628031576358515E-2</v>
      </c>
      <c r="AA1218" s="129">
        <v>1.6270232051640576E-2</v>
      </c>
    </row>
    <row r="1219" spans="19:27" x14ac:dyDescent="0.2">
      <c r="S1219" s="1"/>
      <c r="T1219" s="109"/>
      <c r="W1219" s="130" t="str">
        <f t="shared" si="28"/>
        <v>1w</v>
      </c>
      <c r="X1219" s="128">
        <f>_xll.qlCalendarAdvance(Calendar,X1218,W1219,"f",FALSE)</f>
        <v>47668</v>
      </c>
      <c r="Y1219" s="131">
        <f>_xll.qlCalendarAdvance(Calendar,X1219,NDays&amp;"D")</f>
        <v>47672</v>
      </c>
      <c r="Z1219" s="132">
        <v>1.6276654965567381E-2</v>
      </c>
      <c r="AA1219" s="129">
        <v>1.6266727884364229E-2</v>
      </c>
    </row>
    <row r="1220" spans="19:27" x14ac:dyDescent="0.2">
      <c r="S1220" s="1"/>
      <c r="T1220" s="109"/>
      <c r="W1220" s="130" t="str">
        <f t="shared" si="28"/>
        <v>1w</v>
      </c>
      <c r="X1220" s="128">
        <f>_xll.qlCalendarAdvance(Calendar,X1219,W1220,"f",FALSE)</f>
        <v>47675</v>
      </c>
      <c r="Y1220" s="131">
        <f>_xll.qlCalendarAdvance(Calendar,X1220,NDays&amp;"D")</f>
        <v>47679</v>
      </c>
      <c r="Z1220" s="132">
        <v>1.6272972292178535E-2</v>
      </c>
      <c r="AA1220" s="129">
        <v>1.6263201928037319E-2</v>
      </c>
    </row>
    <row r="1221" spans="19:27" x14ac:dyDescent="0.2">
      <c r="S1221" s="1"/>
      <c r="T1221" s="109"/>
      <c r="W1221" s="130" t="str">
        <f t="shared" si="28"/>
        <v>1w</v>
      </c>
      <c r="X1221" s="128">
        <f>_xll.qlCalendarAdvance(Calendar,X1220,W1221,"f",FALSE)</f>
        <v>47682</v>
      </c>
      <c r="Y1221" s="131">
        <f>_xll.qlCalendarAdvance(Calendar,X1221,NDays&amp;"D")</f>
        <v>47686</v>
      </c>
      <c r="Z1221" s="132">
        <v>1.6269267743479428E-2</v>
      </c>
      <c r="AA1221" s="129">
        <v>1.6259654182659844E-2</v>
      </c>
    </row>
    <row r="1222" spans="19:27" x14ac:dyDescent="0.2">
      <c r="S1222" s="1"/>
      <c r="T1222" s="109"/>
      <c r="W1222" s="130" t="str">
        <f t="shared" si="28"/>
        <v>1w</v>
      </c>
      <c r="X1222" s="128">
        <f>_xll.qlCalendarAdvance(Calendar,X1221,W1222,"f",FALSE)</f>
        <v>47689</v>
      </c>
      <c r="Y1222" s="131">
        <f>_xll.qlCalendarAdvance(Calendar,X1222,NDays&amp;"D")</f>
        <v>47693</v>
      </c>
      <c r="Z1222" s="132">
        <v>1.6265541319531753E-2</v>
      </c>
      <c r="AA1222" s="129">
        <v>1.6256084648071933E-2</v>
      </c>
    </row>
    <row r="1223" spans="19:27" x14ac:dyDescent="0.2">
      <c r="S1223" s="1"/>
      <c r="T1223" s="109"/>
      <c r="W1223" s="130" t="str">
        <f t="shared" si="28"/>
        <v>1w</v>
      </c>
      <c r="X1223" s="128">
        <f>_xll.qlCalendarAdvance(Calendar,X1222,W1223,"f",FALSE)</f>
        <v>47696</v>
      </c>
      <c r="Y1223" s="131">
        <f>_xll.qlCalendarAdvance(Calendar,X1223,NDays&amp;"D")</f>
        <v>47700</v>
      </c>
      <c r="Z1223" s="132">
        <v>1.6261793020397201E-2</v>
      </c>
      <c r="AA1223" s="129">
        <v>1.6252493324353523E-2</v>
      </c>
    </row>
    <row r="1224" spans="19:27" x14ac:dyDescent="0.2">
      <c r="S1224" s="1"/>
      <c r="T1224" s="109"/>
      <c r="W1224" s="130" t="str">
        <f t="shared" si="28"/>
        <v>1w</v>
      </c>
      <c r="X1224" s="128">
        <f>_xll.qlCalendarAdvance(Calendar,X1223,W1224,"f",FALSE)</f>
        <v>47703</v>
      </c>
      <c r="Y1224" s="131">
        <f>_xll.qlCalendarAdvance(Calendar,X1224,NDays&amp;"D")</f>
        <v>47707</v>
      </c>
      <c r="Z1224" s="132">
        <v>1.6258022846138327E-2</v>
      </c>
      <c r="AA1224" s="129">
        <v>1.6248880211504613E-2</v>
      </c>
    </row>
    <row r="1225" spans="19:27" x14ac:dyDescent="0.2">
      <c r="S1225" s="1"/>
      <c r="T1225" s="109"/>
      <c r="W1225" s="130" t="str">
        <f t="shared" si="28"/>
        <v>1w</v>
      </c>
      <c r="X1225" s="128">
        <f>_xll.qlCalendarAdvance(Calendar,X1224,W1225,"f",FALSE)</f>
        <v>47710</v>
      </c>
      <c r="Y1225" s="131">
        <f>_xll.qlCalendarAdvance(Calendar,X1225,NDays&amp;"D")</f>
        <v>47714</v>
      </c>
      <c r="Z1225" s="132">
        <v>1.6254230796819424E-2</v>
      </c>
      <c r="AA1225" s="129">
        <v>1.6245245309605139E-2</v>
      </c>
    </row>
    <row r="1226" spans="19:27" x14ac:dyDescent="0.2">
      <c r="S1226" s="1"/>
      <c r="T1226" s="109"/>
      <c r="W1226" s="130" t="str">
        <f t="shared" si="28"/>
        <v>1w</v>
      </c>
      <c r="X1226" s="128">
        <f>_xll.qlCalendarAdvance(Calendar,X1225,W1226,"f",FALSE)</f>
        <v>47717</v>
      </c>
      <c r="Y1226" s="131">
        <f>_xll.qlCalendarAdvance(Calendar,X1226,NDays&amp;"D")</f>
        <v>47721</v>
      </c>
      <c r="Z1226" s="132">
        <v>1.625041687250306E-2</v>
      </c>
      <c r="AA1226" s="129">
        <v>1.6241588618495229E-2</v>
      </c>
    </row>
    <row r="1227" spans="19:27" x14ac:dyDescent="0.2">
      <c r="S1227" s="1"/>
      <c r="T1227" s="109"/>
      <c r="W1227" s="130" t="str">
        <f t="shared" si="28"/>
        <v>1w</v>
      </c>
      <c r="X1227" s="128">
        <f>_xll.qlCalendarAdvance(Calendar,X1226,W1227,"f",FALSE)</f>
        <v>47724</v>
      </c>
      <c r="Y1227" s="131">
        <f>_xll.qlCalendarAdvance(Calendar,X1227,NDays&amp;"D")</f>
        <v>47728</v>
      </c>
      <c r="Z1227" s="132">
        <v>1.6246493089062921E-2</v>
      </c>
      <c r="AA1227" s="129">
        <v>1.6237910138494627E-2</v>
      </c>
    </row>
    <row r="1228" spans="19:27" x14ac:dyDescent="0.2">
      <c r="S1228" s="1"/>
      <c r="T1228" s="109"/>
      <c r="W1228" s="130" t="str">
        <f t="shared" si="28"/>
        <v>1w</v>
      </c>
      <c r="X1228" s="128">
        <f>_xll.qlCalendarAdvance(Calendar,X1227,W1228,"f",FALSE)</f>
        <v>47731</v>
      </c>
      <c r="Y1228" s="131">
        <f>_xll.qlCalendarAdvance(Calendar,X1228,NDays&amp;"D")</f>
        <v>47735</v>
      </c>
      <c r="Z1228" s="132">
        <v>1.6242637151069401E-2</v>
      </c>
      <c r="AA1228" s="129">
        <v>1.6234209869123717E-2</v>
      </c>
    </row>
    <row r="1229" spans="19:27" x14ac:dyDescent="0.2">
      <c r="S1229" s="1"/>
      <c r="T1229" s="109"/>
      <c r="W1229" s="130" t="str">
        <f t="shared" si="28"/>
        <v>1w</v>
      </c>
      <c r="X1229" s="128">
        <f>_xll.qlCalendarAdvance(Calendar,X1228,W1229,"f",FALSE)</f>
        <v>47738</v>
      </c>
      <c r="Y1229" s="131">
        <f>_xll.qlCalendarAdvance(Calendar,X1229,NDays&amp;"D")</f>
        <v>47742</v>
      </c>
      <c r="Z1229" s="132">
        <v>1.6238759339211407E-2</v>
      </c>
      <c r="AA1229" s="129">
        <v>1.6230487810702243E-2</v>
      </c>
    </row>
    <row r="1230" spans="19:27" x14ac:dyDescent="0.2">
      <c r="S1230" s="1"/>
      <c r="T1230" s="109"/>
      <c r="W1230" s="130" t="str">
        <f t="shared" si="28"/>
        <v>1w</v>
      </c>
      <c r="X1230" s="128">
        <f>_xll.qlCalendarAdvance(Calendar,X1229,W1230,"f",FALSE)</f>
        <v>47745</v>
      </c>
      <c r="Y1230" s="131">
        <f>_xll.qlCalendarAdvance(Calendar,X1230,NDays&amp;"D")</f>
        <v>47749</v>
      </c>
      <c r="Z1230" s="132">
        <v>1.6234859653551301E-2</v>
      </c>
      <c r="AA1230" s="129">
        <v>1.6226743963230206E-2</v>
      </c>
    </row>
    <row r="1231" spans="19:27" x14ac:dyDescent="0.2">
      <c r="S1231" s="1"/>
      <c r="T1231" s="109"/>
      <c r="W1231" s="130" t="str">
        <f t="shared" si="28"/>
        <v>1w</v>
      </c>
      <c r="X1231" s="128">
        <f>_xll.qlCalendarAdvance(Calendar,X1230,W1231,"f",FALSE)</f>
        <v>47752</v>
      </c>
      <c r="Y1231" s="131">
        <f>_xll.qlCalendarAdvance(Calendar,X1231,NDays&amp;"D")</f>
        <v>47756</v>
      </c>
      <c r="Z1231" s="132">
        <v>1.6231019128203544E-2</v>
      </c>
      <c r="AA1231" s="129">
        <v>1.6222978326547732E-2</v>
      </c>
    </row>
    <row r="1232" spans="19:27" x14ac:dyDescent="0.2">
      <c r="S1232" s="1"/>
      <c r="T1232" s="109"/>
      <c r="W1232" s="130" t="str">
        <f t="shared" si="28"/>
        <v>1w</v>
      </c>
      <c r="X1232" s="128">
        <f>_xll.qlCalendarAdvance(Calendar,X1231,W1232,"f",FALSE)</f>
        <v>47759</v>
      </c>
      <c r="Y1232" s="131">
        <f>_xll.qlCalendarAdvance(Calendar,X1232,NDays&amp;"D")</f>
        <v>47763</v>
      </c>
      <c r="Z1232" s="132">
        <v>1.6227073955253479E-2</v>
      </c>
      <c r="AA1232" s="129">
        <v>1.6219190900734759E-2</v>
      </c>
    </row>
    <row r="1233" spans="19:27" x14ac:dyDescent="0.2">
      <c r="S1233" s="1"/>
      <c r="T1233" s="109"/>
      <c r="W1233" s="130" t="str">
        <f t="shared" si="28"/>
        <v>1w</v>
      </c>
      <c r="X1233" s="128">
        <f>_xll.qlCalendarAdvance(Calendar,X1232,W1233,"f",FALSE)</f>
        <v>47766</v>
      </c>
      <c r="Y1233" s="131">
        <f>_xll.qlCalendarAdvance(Calendar,X1233,NDays&amp;"D")</f>
        <v>47770</v>
      </c>
      <c r="Z1233" s="132">
        <v>1.6223106907759497E-2</v>
      </c>
      <c r="AA1233" s="129">
        <v>1.6215381685871222E-2</v>
      </c>
    </row>
    <row r="1234" spans="19:27" x14ac:dyDescent="0.2">
      <c r="S1234" s="1"/>
      <c r="T1234" s="109"/>
      <c r="W1234" s="130" t="str">
        <f t="shared" si="28"/>
        <v>1w</v>
      </c>
      <c r="X1234" s="128">
        <f>_xll.qlCalendarAdvance(Calendar,X1233,W1234,"f",FALSE)</f>
        <v>47773</v>
      </c>
      <c r="Y1234" s="131">
        <f>_xll.qlCalendarAdvance(Calendar,X1234,NDays&amp;"D")</f>
        <v>47777</v>
      </c>
      <c r="Z1234" s="132">
        <v>1.6219117985788505E-2</v>
      </c>
      <c r="AA1234" s="129">
        <v>1.6211550681877185E-2</v>
      </c>
    </row>
    <row r="1235" spans="19:27" x14ac:dyDescent="0.2">
      <c r="S1235" s="1"/>
      <c r="T1235" s="109"/>
      <c r="W1235" s="130" t="str">
        <f t="shared" si="28"/>
        <v>1w</v>
      </c>
      <c r="X1235" s="128">
        <f>_xll.qlCalendarAdvance(Calendar,X1234,W1235,"f",FALSE)</f>
        <v>47780</v>
      </c>
      <c r="Y1235" s="131">
        <f>_xll.qlCalendarAdvance(Calendar,X1235,NDays&amp;"D")</f>
        <v>47784</v>
      </c>
      <c r="Z1235" s="132">
        <v>1.6215107189404797E-2</v>
      </c>
      <c r="AA1235" s="129">
        <v>1.6207697888832584E-2</v>
      </c>
    </row>
    <row r="1236" spans="19:27" x14ac:dyDescent="0.2">
      <c r="S1236" s="1"/>
      <c r="T1236" s="109"/>
      <c r="W1236" s="130" t="str">
        <f t="shared" si="28"/>
        <v>1w</v>
      </c>
      <c r="X1236" s="128">
        <f>_xll.qlCalendarAdvance(Calendar,X1235,W1236,"f",FALSE)</f>
        <v>47787</v>
      </c>
      <c r="Y1236" s="131">
        <f>_xll.qlCalendarAdvance(Calendar,X1236,NDays&amp;"D")</f>
        <v>47791</v>
      </c>
      <c r="Z1236" s="132">
        <v>1.6211074518678752E-2</v>
      </c>
      <c r="AA1236" s="129">
        <v>1.6203823306657483E-2</v>
      </c>
    </row>
    <row r="1237" spans="19:27" x14ac:dyDescent="0.2">
      <c r="S1237" s="1"/>
      <c r="T1237" s="109"/>
      <c r="W1237" s="130" t="str">
        <f t="shared" ref="W1237:W1300" si="29">W1236</f>
        <v>1w</v>
      </c>
      <c r="X1237" s="128">
        <f>_xll.qlCalendarAdvance(Calendar,X1236,W1237,"f",FALSE)</f>
        <v>47794</v>
      </c>
      <c r="Y1237" s="131">
        <f>_xll.qlCalendarAdvance(Calendar,X1237,NDays&amp;"D")</f>
        <v>47798</v>
      </c>
      <c r="Z1237" s="132">
        <v>1.62070199736764E-2</v>
      </c>
      <c r="AA1237" s="129">
        <v>1.6199926935271947E-2</v>
      </c>
    </row>
    <row r="1238" spans="19:27" x14ac:dyDescent="0.2">
      <c r="S1238" s="1"/>
      <c r="T1238" s="109"/>
      <c r="W1238" s="130" t="str">
        <f t="shared" si="29"/>
        <v>1w</v>
      </c>
      <c r="X1238" s="128">
        <f>_xll.qlCalendarAdvance(Calendar,X1237,W1238,"f",FALSE)</f>
        <v>47801</v>
      </c>
      <c r="Y1238" s="131">
        <f>_xll.qlCalendarAdvance(Calendar,X1238,NDays&amp;"D")</f>
        <v>47805</v>
      </c>
      <c r="Z1238" s="132">
        <v>1.6202943554464649E-2</v>
      </c>
      <c r="AA1238" s="129">
        <v>1.6196008774915782E-2</v>
      </c>
    </row>
    <row r="1239" spans="19:27" x14ac:dyDescent="0.2">
      <c r="S1239" s="1"/>
      <c r="T1239" s="109"/>
      <c r="W1239" s="130" t="str">
        <f t="shared" si="29"/>
        <v>1w</v>
      </c>
      <c r="X1239" s="128">
        <f>_xll.qlCalendarAdvance(Calendar,X1238,W1239,"f",FALSE)</f>
        <v>47808</v>
      </c>
      <c r="Y1239" s="131">
        <f>_xll.qlCalendarAdvance(Calendar,X1239,NDays&amp;"D")</f>
        <v>47812</v>
      </c>
      <c r="Z1239" s="132">
        <v>1.619884526111301E-2</v>
      </c>
      <c r="AA1239" s="129">
        <v>1.6192068825349182E-2</v>
      </c>
    </row>
    <row r="1240" spans="19:27" x14ac:dyDescent="0.2">
      <c r="S1240" s="1"/>
      <c r="T1240" s="109"/>
      <c r="W1240" s="130" t="str">
        <f t="shared" si="29"/>
        <v>1w</v>
      </c>
      <c r="X1240" s="128">
        <f>_xll.qlCalendarAdvance(Calendar,X1239,W1240,"f",FALSE)</f>
        <v>47815</v>
      </c>
      <c r="Y1240" s="131">
        <f>_xll.qlCalendarAdvance(Calendar,X1240,NDays&amp;"D")</f>
        <v>47819</v>
      </c>
      <c r="Z1240" s="132">
        <v>1.6194659752176113E-2</v>
      </c>
      <c r="AA1240" s="129">
        <v>1.6188107086652082E-2</v>
      </c>
    </row>
    <row r="1241" spans="19:27" x14ac:dyDescent="0.2">
      <c r="S1241" s="1"/>
      <c r="T1241" s="109"/>
      <c r="W1241" s="130" t="str">
        <f t="shared" si="29"/>
        <v>1w</v>
      </c>
      <c r="X1241" s="128">
        <f>_xll.qlCalendarAdvance(Calendar,X1240,W1241,"f",FALSE)</f>
        <v>47822</v>
      </c>
      <c r="Y1241" s="131">
        <f>_xll.qlCalendarAdvance(Calendar,X1241,NDays&amp;"D")</f>
        <v>47826</v>
      </c>
      <c r="Z1241" s="132">
        <v>1.6190519459022518E-2</v>
      </c>
      <c r="AA1241" s="129">
        <v>1.6184123558904417E-2</v>
      </c>
    </row>
    <row r="1242" spans="19:27" x14ac:dyDescent="0.2">
      <c r="S1242" s="1"/>
      <c r="T1242" s="109"/>
      <c r="W1242" s="130" t="str">
        <f t="shared" si="29"/>
        <v>1w</v>
      </c>
      <c r="X1242" s="128">
        <f>_xll.qlCalendarAdvance(Calendar,X1241,W1242,"f",FALSE)</f>
        <v>47829</v>
      </c>
      <c r="Y1242" s="131">
        <f>_xll.qlCalendarAdvance(Calendar,X1242,NDays&amp;"D")</f>
        <v>47833</v>
      </c>
      <c r="Z1242" s="132">
        <v>1.6186357292864415E-2</v>
      </c>
      <c r="AA1242" s="129">
        <v>1.6180118242026253E-2</v>
      </c>
    </row>
    <row r="1243" spans="19:27" x14ac:dyDescent="0.2">
      <c r="S1243" s="1"/>
      <c r="T1243" s="109"/>
      <c r="W1243" s="130" t="str">
        <f t="shared" si="29"/>
        <v>1w</v>
      </c>
      <c r="X1243" s="128">
        <f>_xll.qlCalendarAdvance(Calendar,X1242,W1243,"f",FALSE)</f>
        <v>47836</v>
      </c>
      <c r="Y1243" s="131">
        <f>_xll.qlCalendarAdvance(Calendar,X1243,NDays&amp;"D")</f>
        <v>47840</v>
      </c>
      <c r="Z1243" s="132">
        <v>1.6182173253769444E-2</v>
      </c>
      <c r="AA1243" s="129">
        <v>1.6176091136097526E-2</v>
      </c>
    </row>
    <row r="1244" spans="19:27" x14ac:dyDescent="0.2">
      <c r="S1244" s="1"/>
      <c r="T1244" s="109"/>
      <c r="W1244" s="130" t="str">
        <f t="shared" si="29"/>
        <v>1w</v>
      </c>
      <c r="X1244" s="128">
        <f>_xll.qlCalendarAdvance(Calendar,X1243,W1244,"f",FALSE)</f>
        <v>47844</v>
      </c>
      <c r="Y1244" s="131">
        <f>_xll.qlCalendarAdvance(Calendar,X1244,NDays&amp;"D")</f>
        <v>47848</v>
      </c>
      <c r="Z1244" s="132">
        <v>1.6177306453807994E-2</v>
      </c>
      <c r="AA1244" s="129">
        <v>1.6171534934121823E-2</v>
      </c>
    </row>
    <row r="1245" spans="19:27" x14ac:dyDescent="0.2">
      <c r="S1245" s="1"/>
      <c r="T1245" s="109"/>
      <c r="W1245" s="130" t="str">
        <f t="shared" si="29"/>
        <v>1w</v>
      </c>
      <c r="X1245" s="128">
        <f>_xll.qlCalendarAdvance(Calendar,X1244,W1245,"f",FALSE)</f>
        <v>47851</v>
      </c>
      <c r="Y1245" s="131">
        <f>_xll.qlCalendarAdvance(Calendar,X1245,NDays&amp;"D")</f>
        <v>47855</v>
      </c>
      <c r="Z1245" s="132">
        <v>1.6173077296345539E-2</v>
      </c>
      <c r="AA1245" s="129">
        <v>1.6167388251764336E-2</v>
      </c>
    </row>
    <row r="1246" spans="19:27" x14ac:dyDescent="0.2">
      <c r="S1246" s="1"/>
      <c r="T1246" s="109"/>
      <c r="W1246" s="130" t="str">
        <f t="shared" si="29"/>
        <v>1w</v>
      </c>
      <c r="X1246" s="128">
        <f>_xll.qlCalendarAdvance(Calendar,X1245,W1246,"f",FALSE)</f>
        <v>47858</v>
      </c>
      <c r="Y1246" s="131">
        <f>_xll.qlCalendarAdvance(Calendar,X1246,NDays&amp;"D")</f>
        <v>47862</v>
      </c>
      <c r="Z1246" s="132">
        <v>1.6168881020108439E-2</v>
      </c>
      <c r="AA1246" s="129">
        <v>1.6163292665813955E-2</v>
      </c>
    </row>
    <row r="1247" spans="19:27" x14ac:dyDescent="0.2">
      <c r="S1247" s="1"/>
      <c r="T1247" s="109"/>
      <c r="W1247" s="130" t="str">
        <f t="shared" si="29"/>
        <v>1w</v>
      </c>
      <c r="X1247" s="128">
        <f>_xll.qlCalendarAdvance(Calendar,X1246,W1247,"f",FALSE)</f>
        <v>47865</v>
      </c>
      <c r="Y1247" s="131">
        <f>_xll.qlCalendarAdvance(Calendar,X1247,NDays&amp;"D")</f>
        <v>47869</v>
      </c>
      <c r="Z1247" s="132">
        <v>1.6164553366114554E-2</v>
      </c>
      <c r="AA1247" s="129">
        <v>1.6159175290573202E-2</v>
      </c>
    </row>
    <row r="1248" spans="19:27" x14ac:dyDescent="0.2">
      <c r="S1248" s="1"/>
      <c r="T1248" s="109"/>
      <c r="W1248" s="130" t="str">
        <f t="shared" si="29"/>
        <v>1w</v>
      </c>
      <c r="X1248" s="128">
        <f>_xll.qlCalendarAdvance(Calendar,X1247,W1248,"f",FALSE)</f>
        <v>47872</v>
      </c>
      <c r="Y1248" s="131">
        <f>_xll.qlCalendarAdvance(Calendar,X1248,NDays&amp;"D")</f>
        <v>47876</v>
      </c>
      <c r="Z1248" s="132">
        <v>1.6160258593486354E-2</v>
      </c>
      <c r="AA1248" s="129">
        <v>1.6155036126441757E-2</v>
      </c>
    </row>
    <row r="1249" spans="19:27" x14ac:dyDescent="0.2">
      <c r="S1249" s="1"/>
      <c r="T1249" s="109"/>
      <c r="W1249" s="130" t="str">
        <f t="shared" si="29"/>
        <v>1w</v>
      </c>
      <c r="X1249" s="128">
        <f>_xll.qlCalendarAdvance(Calendar,X1248,W1249,"f",FALSE)</f>
        <v>47879</v>
      </c>
      <c r="Y1249" s="131">
        <f>_xll.qlCalendarAdvance(Calendar,X1249,NDays&amp;"D")</f>
        <v>47883</v>
      </c>
      <c r="Z1249" s="132">
        <v>1.6155941949274499E-2</v>
      </c>
      <c r="AA1249" s="129">
        <v>1.6150875173099877E-2</v>
      </c>
    </row>
    <row r="1250" spans="19:27" x14ac:dyDescent="0.2">
      <c r="S1250" s="1"/>
      <c r="T1250" s="109"/>
      <c r="W1250" s="130" t="str">
        <f t="shared" si="29"/>
        <v>1w</v>
      </c>
      <c r="X1250" s="128">
        <f>_xll.qlCalendarAdvance(Calendar,X1249,W1250,"f",FALSE)</f>
        <v>47886</v>
      </c>
      <c r="Y1250" s="131">
        <f>_xll.qlCalendarAdvance(Calendar,X1250,NDays&amp;"D")</f>
        <v>47890</v>
      </c>
      <c r="Z1250" s="132">
        <v>1.6151603433550044E-2</v>
      </c>
      <c r="AA1250" s="129">
        <v>1.6146692430707432E-2</v>
      </c>
    </row>
    <row r="1251" spans="19:27" x14ac:dyDescent="0.2">
      <c r="S1251" s="1"/>
      <c r="T1251" s="109"/>
      <c r="W1251" s="130" t="str">
        <f t="shared" si="29"/>
        <v>1w</v>
      </c>
      <c r="X1251" s="128">
        <f>_xll.qlCalendarAdvance(Calendar,X1250,W1251,"f",FALSE)</f>
        <v>47893</v>
      </c>
      <c r="Y1251" s="131">
        <f>_xll.qlCalendarAdvance(Calendar,X1251,NDays&amp;"D")</f>
        <v>47897</v>
      </c>
      <c r="Z1251" s="132">
        <v>1.6147243046384929E-2</v>
      </c>
      <c r="AA1251" s="129">
        <v>1.6142487899104552E-2</v>
      </c>
    </row>
    <row r="1252" spans="19:27" x14ac:dyDescent="0.2">
      <c r="S1252" s="1"/>
      <c r="T1252" s="109"/>
      <c r="W1252" s="130" t="str">
        <f t="shared" si="29"/>
        <v>1w</v>
      </c>
      <c r="X1252" s="128">
        <f>_xll.qlCalendarAdvance(Calendar,X1251,W1252,"f",FALSE)</f>
        <v>47900</v>
      </c>
      <c r="Y1252" s="131">
        <f>_xll.qlCalendarAdvance(Calendar,X1252,NDays&amp;"D")</f>
        <v>47904</v>
      </c>
      <c r="Z1252" s="132">
        <v>1.6142860787849322E-2</v>
      </c>
      <c r="AA1252" s="129">
        <v>1.6138261578371171E-2</v>
      </c>
    </row>
    <row r="1253" spans="19:27" x14ac:dyDescent="0.2">
      <c r="S1253" s="1"/>
      <c r="T1253" s="109"/>
      <c r="W1253" s="130" t="str">
        <f t="shared" si="29"/>
        <v>1w</v>
      </c>
      <c r="X1253" s="128">
        <f>_xll.qlCalendarAdvance(Calendar,X1252,W1253,"f",FALSE)</f>
        <v>47907</v>
      </c>
      <c r="Y1253" s="131">
        <f>_xll.qlCalendarAdvance(Calendar,X1253,NDays&amp;"D")</f>
        <v>47911</v>
      </c>
      <c r="Z1253" s="132">
        <v>1.6138541405132066E-2</v>
      </c>
      <c r="AA1253" s="129">
        <v>1.6134013468747099E-2</v>
      </c>
    </row>
    <row r="1254" spans="19:27" x14ac:dyDescent="0.2">
      <c r="S1254" s="1"/>
      <c r="T1254" s="109"/>
      <c r="W1254" s="130" t="str">
        <f t="shared" si="29"/>
        <v>1w</v>
      </c>
      <c r="X1254" s="128">
        <f>_xll.qlCalendarAdvance(Calendar,X1253,W1254,"f",FALSE)</f>
        <v>47914</v>
      </c>
      <c r="Y1254" s="131">
        <f>_xll.qlCalendarAdvance(Calendar,X1254,NDays&amp;"D")</f>
        <v>47918</v>
      </c>
      <c r="Z1254" s="132">
        <v>1.613411188336877E-2</v>
      </c>
      <c r="AA1254" s="129">
        <v>1.6129743569832655E-2</v>
      </c>
    </row>
    <row r="1255" spans="19:27" x14ac:dyDescent="0.2">
      <c r="S1255" s="1"/>
      <c r="T1255" s="109"/>
      <c r="W1255" s="130" t="str">
        <f t="shared" si="29"/>
        <v>1w</v>
      </c>
      <c r="X1255" s="128">
        <f>_xll.qlCalendarAdvance(Calendar,X1254,W1255,"f",FALSE)</f>
        <v>47921</v>
      </c>
      <c r="Y1255" s="131">
        <f>_xll.qlCalendarAdvance(Calendar,X1255,NDays&amp;"D")</f>
        <v>47925</v>
      </c>
      <c r="Z1255" s="132">
        <v>1.61296604886151E-2</v>
      </c>
      <c r="AA1255" s="129">
        <v>1.6125451881947583E-2</v>
      </c>
    </row>
    <row r="1256" spans="19:27" x14ac:dyDescent="0.2">
      <c r="S1256" s="1"/>
      <c r="T1256" s="109"/>
      <c r="W1256" s="130" t="str">
        <f t="shared" si="29"/>
        <v>1w</v>
      </c>
      <c r="X1256" s="128">
        <f>_xll.qlCalendarAdvance(Calendar,X1255,W1256,"f",FALSE)</f>
        <v>47928</v>
      </c>
      <c r="Y1256" s="131">
        <f>_xll.qlCalendarAdvance(Calendar,X1256,NDays&amp;"D")</f>
        <v>47932</v>
      </c>
      <c r="Z1256" s="132">
        <v>1.6125187220944037E-2</v>
      </c>
      <c r="AA1256" s="129">
        <v>1.6121138404932012E-2</v>
      </c>
    </row>
    <row r="1257" spans="19:27" x14ac:dyDescent="0.2">
      <c r="S1257" s="1"/>
      <c r="T1257" s="109"/>
      <c r="W1257" s="130" t="str">
        <f t="shared" si="29"/>
        <v>1w</v>
      </c>
      <c r="X1257" s="128">
        <f>_xll.qlCalendarAdvance(Calendar,X1256,W1257,"f",FALSE)</f>
        <v>47935</v>
      </c>
      <c r="Y1257" s="131">
        <f>_xll.qlCalendarAdvance(Calendar,X1257,NDays&amp;"D")</f>
        <v>47939</v>
      </c>
      <c r="Z1257" s="132">
        <v>1.6120656837342689E-2</v>
      </c>
      <c r="AA1257" s="129">
        <v>1.611680313878594E-2</v>
      </c>
    </row>
    <row r="1258" spans="19:27" x14ac:dyDescent="0.2">
      <c r="S1258" s="1"/>
      <c r="T1258" s="109"/>
      <c r="W1258" s="130" t="str">
        <f t="shared" si="29"/>
        <v>1w</v>
      </c>
      <c r="X1258" s="128">
        <f>_xll.qlCalendarAdvance(Calendar,X1257,W1258,"f",FALSE)</f>
        <v>47942</v>
      </c>
      <c r="Y1258" s="131">
        <f>_xll.qlCalendarAdvance(Calendar,X1258,NDays&amp;"D")</f>
        <v>47946</v>
      </c>
      <c r="Z1258" s="132">
        <v>1.6116141588153644E-2</v>
      </c>
      <c r="AA1258" s="129">
        <v>1.6112446083589305E-2</v>
      </c>
    </row>
    <row r="1259" spans="19:27" x14ac:dyDescent="0.2">
      <c r="S1259" s="1"/>
      <c r="T1259" s="109"/>
      <c r="W1259" s="130" t="str">
        <f t="shared" si="29"/>
        <v>1w</v>
      </c>
      <c r="X1259" s="128">
        <f>_xll.qlCalendarAdvance(Calendar,X1258,W1259,"f",FALSE)</f>
        <v>47953</v>
      </c>
      <c r="Y1259" s="131">
        <f>_xll.qlCalendarAdvance(Calendar,X1259,NDays&amp;"D")</f>
        <v>47955</v>
      </c>
      <c r="Z1259" s="132">
        <v>1.611030412965728E-2</v>
      </c>
      <c r="AA1259" s="129">
        <v>1.6106812138758642E-2</v>
      </c>
    </row>
    <row r="1260" spans="19:27" x14ac:dyDescent="0.2">
      <c r="S1260" s="1"/>
      <c r="T1260" s="109"/>
      <c r="W1260" s="130" t="str">
        <f t="shared" si="29"/>
        <v>1w</v>
      </c>
      <c r="X1260" s="128">
        <f>_xll.qlCalendarAdvance(Calendar,X1259,W1260,"f",FALSE)</f>
        <v>47960</v>
      </c>
      <c r="Y1260" s="131">
        <f>_xll.qlCalendarAdvance(Calendar,X1260,NDays&amp;"D")</f>
        <v>47962</v>
      </c>
      <c r="Z1260" s="132">
        <v>1.6105738887945587E-2</v>
      </c>
      <c r="AA1260" s="129">
        <v>1.6102405279880827E-2</v>
      </c>
    </row>
    <row r="1261" spans="19:27" x14ac:dyDescent="0.2">
      <c r="S1261" s="1"/>
      <c r="T1261" s="109"/>
      <c r="W1261" s="130" t="str">
        <f t="shared" si="29"/>
        <v>1w</v>
      </c>
      <c r="X1261" s="128">
        <f>_xll.qlCalendarAdvance(Calendar,X1260,W1261,"f",FALSE)</f>
        <v>47967</v>
      </c>
      <c r="Y1261" s="131">
        <f>_xll.qlCalendarAdvance(Calendar,X1261,NDays&amp;"D")</f>
        <v>47970</v>
      </c>
      <c r="Z1261" s="132">
        <v>1.6100576455251217E-2</v>
      </c>
      <c r="AA1261" s="129">
        <v>1.6097426897641043E-2</v>
      </c>
    </row>
    <row r="1262" spans="19:27" x14ac:dyDescent="0.2">
      <c r="S1262" s="1"/>
      <c r="T1262" s="109"/>
      <c r="W1262" s="130" t="str">
        <f t="shared" si="29"/>
        <v>1w</v>
      </c>
      <c r="X1262" s="128">
        <f>_xll.qlCalendarAdvance(Calendar,X1261,W1262,"f",FALSE)</f>
        <v>47974</v>
      </c>
      <c r="Y1262" s="131">
        <f>_xll.qlCalendarAdvance(Calendar,X1262,NDays&amp;"D")</f>
        <v>47976</v>
      </c>
      <c r="Z1262" s="132">
        <v>1.6096568698042123E-2</v>
      </c>
      <c r="AA1262" s="129">
        <v>1.609352619489357E-2</v>
      </c>
    </row>
    <row r="1263" spans="19:27" x14ac:dyDescent="0.2">
      <c r="S1263" s="1"/>
      <c r="T1263" s="109"/>
      <c r="W1263" s="130" t="str">
        <f t="shared" si="29"/>
        <v>1w</v>
      </c>
      <c r="X1263" s="128">
        <f>_xll.qlCalendarAdvance(Calendar,X1262,W1263,"f",FALSE)</f>
        <v>47981</v>
      </c>
      <c r="Y1263" s="131">
        <f>_xll.qlCalendarAdvance(Calendar,X1263,NDays&amp;"D")</f>
        <v>47983</v>
      </c>
      <c r="Z1263" s="132">
        <v>1.6091936072827377E-2</v>
      </c>
      <c r="AA1263" s="129">
        <v>1.6089053968704192E-2</v>
      </c>
    </row>
    <row r="1264" spans="19:27" x14ac:dyDescent="0.2">
      <c r="S1264" s="1"/>
      <c r="T1264" s="109"/>
      <c r="W1264" s="130" t="str">
        <f t="shared" si="29"/>
        <v>1w</v>
      </c>
      <c r="X1264" s="128">
        <f>_xll.qlCalendarAdvance(Calendar,X1263,W1264,"f",FALSE)</f>
        <v>47988</v>
      </c>
      <c r="Y1264" s="131">
        <f>_xll.qlCalendarAdvance(Calendar,X1264,NDays&amp;"D")</f>
        <v>47990</v>
      </c>
      <c r="Z1264" s="132">
        <v>1.6087281575326042E-2</v>
      </c>
      <c r="AA1264" s="129">
        <v>1.6084559953384314E-2</v>
      </c>
    </row>
    <row r="1265" spans="19:27" x14ac:dyDescent="0.2">
      <c r="S1265" s="1"/>
      <c r="T1265" s="109"/>
      <c r="W1265" s="130" t="str">
        <f t="shared" si="29"/>
        <v>1w</v>
      </c>
      <c r="X1265" s="128">
        <f>_xll.qlCalendarAdvance(Calendar,X1264,W1265,"f",FALSE)</f>
        <v>47995</v>
      </c>
      <c r="Y1265" s="131">
        <f>_xll.qlCalendarAdvance(Calendar,X1265,NDays&amp;"D")</f>
        <v>47997</v>
      </c>
      <c r="Z1265" s="132">
        <v>1.6082605205617186E-2</v>
      </c>
      <c r="AA1265" s="129">
        <v>1.6080044149173744E-2</v>
      </c>
    </row>
    <row r="1266" spans="19:27" x14ac:dyDescent="0.2">
      <c r="S1266" s="1"/>
      <c r="T1266" s="109"/>
      <c r="W1266" s="130" t="str">
        <f t="shared" si="29"/>
        <v>1w</v>
      </c>
      <c r="X1266" s="128">
        <f>_xll.qlCalendarAdvance(Calendar,X1265,W1266,"f",FALSE)</f>
        <v>48002</v>
      </c>
      <c r="Y1266" s="131">
        <f>_xll.qlCalendarAdvance(Calendar,X1266,NDays&amp;"D")</f>
        <v>48004</v>
      </c>
      <c r="Z1266" s="132">
        <v>1.6077906963775528E-2</v>
      </c>
      <c r="AA1266" s="129">
        <v>1.6075506555672803E-2</v>
      </c>
    </row>
    <row r="1267" spans="19:27" x14ac:dyDescent="0.2">
      <c r="S1267" s="1"/>
      <c r="T1267" s="109"/>
      <c r="W1267" s="130" t="str">
        <f t="shared" si="29"/>
        <v>1w</v>
      </c>
      <c r="X1267" s="128">
        <f>_xll.qlCalendarAdvance(Calendar,X1266,W1267,"f",FALSE)</f>
        <v>48009</v>
      </c>
      <c r="Y1267" s="131">
        <f>_xll.qlCalendarAdvance(Calendar,X1267,NDays&amp;"D")</f>
        <v>48011</v>
      </c>
      <c r="Z1267" s="132">
        <v>1.6073186849883608E-2</v>
      </c>
      <c r="AA1267" s="129">
        <v>1.6070947173201233E-2</v>
      </c>
    </row>
    <row r="1268" spans="19:27" x14ac:dyDescent="0.2">
      <c r="S1268" s="1"/>
      <c r="T1268" s="109"/>
      <c r="W1268" s="130" t="str">
        <f t="shared" si="29"/>
        <v>1w</v>
      </c>
      <c r="X1268" s="128">
        <f>_xll.qlCalendarAdvance(Calendar,X1267,W1268,"f",FALSE)</f>
        <v>48016</v>
      </c>
      <c r="Y1268" s="131">
        <f>_xll.qlCalendarAdvance(Calendar,X1268,NDays&amp;"D")</f>
        <v>48018</v>
      </c>
      <c r="Z1268" s="132">
        <v>1.6068444864017026E-2</v>
      </c>
      <c r="AA1268" s="129">
        <v>1.6066366001599164E-2</v>
      </c>
    </row>
    <row r="1269" spans="19:27" x14ac:dyDescent="0.2">
      <c r="S1269" s="1"/>
      <c r="T1269" s="109"/>
      <c r="W1269" s="130" t="str">
        <f t="shared" si="29"/>
        <v>1w</v>
      </c>
      <c r="X1269" s="128">
        <f>_xll.qlCalendarAdvance(Calendar,X1268,W1269,"f",FALSE)</f>
        <v>48023</v>
      </c>
      <c r="Y1269" s="131">
        <f>_xll.qlCalendarAdvance(Calendar,X1269,NDays&amp;"D")</f>
        <v>48025</v>
      </c>
      <c r="Z1269" s="132">
        <v>1.6063681006256582E-2</v>
      </c>
      <c r="AA1269" s="129">
        <v>1.6061763040866595E-2</v>
      </c>
    </row>
    <row r="1270" spans="19:27" x14ac:dyDescent="0.2">
      <c r="S1270" s="1"/>
      <c r="T1270" s="109"/>
      <c r="W1270" s="130" t="str">
        <f t="shared" si="29"/>
        <v>1w</v>
      </c>
      <c r="X1270" s="128">
        <f>_xll.qlCalendarAdvance(Calendar,X1269,W1270,"f",FALSE)</f>
        <v>48030</v>
      </c>
      <c r="Y1270" s="131">
        <f>_xll.qlCalendarAdvance(Calendar,X1270,NDays&amp;"D")</f>
        <v>48032</v>
      </c>
      <c r="Z1270" s="132">
        <v>1.6058895276681345E-2</v>
      </c>
      <c r="AA1270" s="129">
        <v>1.6057138291083461E-2</v>
      </c>
    </row>
    <row r="1271" spans="19:27" x14ac:dyDescent="0.2">
      <c r="S1271" s="1"/>
      <c r="T1271" s="109"/>
      <c r="W1271" s="130" t="str">
        <f t="shared" si="29"/>
        <v>1w</v>
      </c>
      <c r="X1271" s="128">
        <f>_xll.qlCalendarAdvance(Calendar,X1270,W1271,"f",FALSE)</f>
        <v>48037</v>
      </c>
      <c r="Y1271" s="131">
        <f>_xll.qlCalendarAdvance(Calendar,X1271,NDays&amp;"D")</f>
        <v>48039</v>
      </c>
      <c r="Z1271" s="132">
        <v>1.6054087675372117E-2</v>
      </c>
      <c r="AA1271" s="129">
        <v>1.6052491752249765E-2</v>
      </c>
    </row>
    <row r="1272" spans="19:27" x14ac:dyDescent="0.2">
      <c r="S1272" s="1"/>
      <c r="T1272" s="109"/>
      <c r="W1272" s="130" t="str">
        <f t="shared" si="29"/>
        <v>1w</v>
      </c>
      <c r="X1272" s="128">
        <f>_xll.qlCalendarAdvance(Calendar,X1271,W1272,"f",FALSE)</f>
        <v>48044</v>
      </c>
      <c r="Y1272" s="131">
        <f>_xll.qlCalendarAdvance(Calendar,X1272,NDays&amp;"D")</f>
        <v>48046</v>
      </c>
      <c r="Z1272" s="132">
        <v>1.6049258202407966E-2</v>
      </c>
      <c r="AA1272" s="129">
        <v>1.6047823424365504E-2</v>
      </c>
    </row>
    <row r="1273" spans="19:27" x14ac:dyDescent="0.2">
      <c r="S1273" s="1"/>
      <c r="T1273" s="109"/>
      <c r="W1273" s="130" t="str">
        <f t="shared" si="29"/>
        <v>1w</v>
      </c>
      <c r="X1273" s="128">
        <f>_xll.qlCalendarAdvance(Calendar,X1272,W1273,"f",FALSE)</f>
        <v>48051</v>
      </c>
      <c r="Y1273" s="131">
        <f>_xll.qlCalendarAdvance(Calendar,X1273,NDays&amp;"D")</f>
        <v>48053</v>
      </c>
      <c r="Z1273" s="132">
        <v>1.60444068578697E-2</v>
      </c>
      <c r="AA1273" s="129">
        <v>1.6043133307350743E-2</v>
      </c>
    </row>
    <row r="1274" spans="19:27" x14ac:dyDescent="0.2">
      <c r="S1274" s="1"/>
      <c r="T1274" s="109"/>
      <c r="W1274" s="130" t="str">
        <f t="shared" si="29"/>
        <v>1w</v>
      </c>
      <c r="X1274" s="128">
        <f>_xll.qlCalendarAdvance(Calendar,X1273,W1274,"f",FALSE)</f>
        <v>48058</v>
      </c>
      <c r="Y1274" s="131">
        <f>_xll.qlCalendarAdvance(Calendar,X1274,NDays&amp;"D")</f>
        <v>48060</v>
      </c>
      <c r="Z1274" s="132">
        <v>1.603953364183899E-2</v>
      </c>
      <c r="AA1274" s="129">
        <v>1.6038421401205483E-2</v>
      </c>
    </row>
    <row r="1275" spans="19:27" x14ac:dyDescent="0.2">
      <c r="S1275" s="1"/>
      <c r="T1275" s="109"/>
      <c r="W1275" s="130" t="str">
        <f t="shared" si="29"/>
        <v>1w</v>
      </c>
      <c r="X1275" s="128">
        <f>_xll.qlCalendarAdvance(Calendar,X1274,W1275,"f",FALSE)</f>
        <v>48065</v>
      </c>
      <c r="Y1275" s="131">
        <f>_xll.qlCalendarAdvance(Calendar,X1275,NDays&amp;"D")</f>
        <v>48067</v>
      </c>
      <c r="Z1275" s="132">
        <v>1.6034638554397511E-2</v>
      </c>
      <c r="AA1275" s="129">
        <v>1.6033687706009658E-2</v>
      </c>
    </row>
    <row r="1276" spans="19:27" x14ac:dyDescent="0.2">
      <c r="S1276" s="1"/>
      <c r="T1276" s="109"/>
      <c r="W1276" s="130" t="str">
        <f t="shared" si="29"/>
        <v>1w</v>
      </c>
      <c r="X1276" s="128">
        <f>_xll.qlCalendarAdvance(Calendar,X1275,W1276,"f",FALSE)</f>
        <v>48072</v>
      </c>
      <c r="Y1276" s="131">
        <f>_xll.qlCalendarAdvance(Calendar,X1276,NDays&amp;"D")</f>
        <v>48074</v>
      </c>
      <c r="Z1276" s="132">
        <v>1.6029721595625199E-2</v>
      </c>
      <c r="AA1276" s="129">
        <v>1.602893222176327E-2</v>
      </c>
    </row>
    <row r="1277" spans="19:27" x14ac:dyDescent="0.2">
      <c r="S1277" s="1"/>
      <c r="T1277" s="109"/>
      <c r="W1277" s="130" t="str">
        <f t="shared" si="29"/>
        <v>1w</v>
      </c>
      <c r="X1277" s="128">
        <f>_xll.qlCalendarAdvance(Calendar,X1276,W1277,"f",FALSE)</f>
        <v>48079</v>
      </c>
      <c r="Y1277" s="131">
        <f>_xll.qlCalendarAdvance(Calendar,X1277,NDays&amp;"D")</f>
        <v>48081</v>
      </c>
      <c r="Z1277" s="132">
        <v>1.6024782765606333E-2</v>
      </c>
      <c r="AA1277" s="129">
        <v>1.6024154948386382E-2</v>
      </c>
    </row>
    <row r="1278" spans="19:27" x14ac:dyDescent="0.2">
      <c r="S1278" s="1"/>
      <c r="T1278" s="109"/>
      <c r="W1278" s="130" t="str">
        <f t="shared" si="29"/>
        <v>1w</v>
      </c>
      <c r="X1278" s="128">
        <f>_xll.qlCalendarAdvance(Calendar,X1277,W1278,"f",FALSE)</f>
        <v>48086</v>
      </c>
      <c r="Y1278" s="131">
        <f>_xll.qlCalendarAdvance(Calendar,X1278,NDays&amp;"D")</f>
        <v>48088</v>
      </c>
      <c r="Z1278" s="132">
        <v>1.6019822064423459E-2</v>
      </c>
      <c r="AA1278" s="129">
        <v>1.601935588595893E-2</v>
      </c>
    </row>
    <row r="1279" spans="19:27" x14ac:dyDescent="0.2">
      <c r="S1279" s="1"/>
      <c r="T1279" s="109"/>
      <c r="W1279" s="130" t="str">
        <f t="shared" si="29"/>
        <v>1w</v>
      </c>
      <c r="X1279" s="128">
        <f>_xll.qlCalendarAdvance(Calendar,X1278,W1279,"f",FALSE)</f>
        <v>48093</v>
      </c>
      <c r="Y1279" s="131">
        <f>_xll.qlCalendarAdvance(Calendar,X1279,NDays&amp;"D")</f>
        <v>48095</v>
      </c>
      <c r="Z1279" s="132">
        <v>1.6014843778728666E-2</v>
      </c>
      <c r="AA1279" s="129">
        <v>1.6014535034400978E-2</v>
      </c>
    </row>
    <row r="1280" spans="19:27" x14ac:dyDescent="0.2">
      <c r="S1280" s="1"/>
      <c r="T1280" s="109"/>
      <c r="W1280" s="130" t="str">
        <f t="shared" si="29"/>
        <v>1w</v>
      </c>
      <c r="X1280" s="128">
        <f>_xll.qlCalendarAdvance(Calendar,X1279,W1280,"f",FALSE)</f>
        <v>48100</v>
      </c>
      <c r="Y1280" s="131">
        <f>_xll.qlCalendarAdvance(Calendar,X1280,NDays&amp;"D")</f>
        <v>48102</v>
      </c>
      <c r="Z1280" s="132">
        <v>1.6009841119739188E-2</v>
      </c>
      <c r="AA1280" s="129">
        <v>1.6009692393872399E-2</v>
      </c>
    </row>
    <row r="1281" spans="19:27" x14ac:dyDescent="0.2">
      <c r="S1281" s="1"/>
      <c r="T1281" s="109"/>
      <c r="W1281" s="130" t="str">
        <f t="shared" si="29"/>
        <v>1w</v>
      </c>
      <c r="X1281" s="128">
        <f>_xll.qlCalendarAdvance(Calendar,X1280,W1281,"f",FALSE)</f>
        <v>48107</v>
      </c>
      <c r="Y1281" s="131">
        <f>_xll.qlCalendarAdvance(Calendar,X1281,NDays&amp;"D")</f>
        <v>48109</v>
      </c>
      <c r="Z1281" s="132">
        <v>1.6004816590730067E-2</v>
      </c>
      <c r="AA1281" s="129">
        <v>1.600482796421332E-2</v>
      </c>
    </row>
    <row r="1282" spans="19:27" x14ac:dyDescent="0.2">
      <c r="S1282" s="1"/>
      <c r="T1282" s="109"/>
      <c r="W1282" s="130" t="str">
        <f t="shared" si="29"/>
        <v>1w</v>
      </c>
      <c r="X1282" s="128">
        <f>_xll.qlCalendarAdvance(Calendar,X1281,W1282,"f",FALSE)</f>
        <v>48114</v>
      </c>
      <c r="Y1282" s="131">
        <f>_xll.qlCalendarAdvance(Calendar,X1282,NDays&amp;"D")</f>
        <v>48116</v>
      </c>
      <c r="Z1282" s="132">
        <v>1.5999730599491002E-2</v>
      </c>
      <c r="AA1282" s="129">
        <v>1.5999941745503676E-2</v>
      </c>
    </row>
    <row r="1283" spans="19:27" x14ac:dyDescent="0.2">
      <c r="S1283" s="1"/>
      <c r="T1283" s="109"/>
      <c r="W1283" s="130" t="str">
        <f t="shared" si="29"/>
        <v>1w</v>
      </c>
      <c r="X1283" s="128">
        <f>_xll.qlCalendarAdvance(Calendar,X1282,W1283,"f",FALSE)</f>
        <v>48121</v>
      </c>
      <c r="Y1283" s="131">
        <f>_xll.qlCalendarAdvance(Calendar,X1283,NDays&amp;"D")</f>
        <v>48123</v>
      </c>
      <c r="Z1283" s="132">
        <v>1.5994690493943999E-2</v>
      </c>
      <c r="AA1283" s="129">
        <v>1.5995033737663533E-2</v>
      </c>
    </row>
    <row r="1284" spans="19:27" x14ac:dyDescent="0.2">
      <c r="S1284" s="1"/>
      <c r="T1284" s="109"/>
      <c r="W1284" s="130" t="str">
        <f t="shared" si="29"/>
        <v>1w</v>
      </c>
      <c r="X1284" s="128">
        <f>_xll.qlCalendarAdvance(Calendar,X1283,W1284,"f",FALSE)</f>
        <v>48128</v>
      </c>
      <c r="Y1284" s="131">
        <f>_xll.qlCalendarAdvance(Calendar,X1284,NDays&amp;"D")</f>
        <v>48130</v>
      </c>
      <c r="Z1284" s="132">
        <v>1.5989598567522623E-2</v>
      </c>
      <c r="AA1284" s="129">
        <v>1.5990103940772826E-2</v>
      </c>
    </row>
    <row r="1285" spans="19:27" x14ac:dyDescent="0.2">
      <c r="S1285" s="1"/>
      <c r="T1285" s="109"/>
      <c r="W1285" s="130" t="str">
        <f t="shared" si="29"/>
        <v>1w</v>
      </c>
      <c r="X1285" s="128">
        <f>_xll.qlCalendarAdvance(Calendar,X1284,W1285,"f",FALSE)</f>
        <v>48135</v>
      </c>
      <c r="Y1285" s="131">
        <f>_xll.qlCalendarAdvance(Calendar,X1285,NDays&amp;"D")</f>
        <v>48137</v>
      </c>
      <c r="Z1285" s="132">
        <v>1.5984484770524592E-2</v>
      </c>
      <c r="AA1285" s="129">
        <v>1.5985152354751619E-2</v>
      </c>
    </row>
    <row r="1286" spans="19:27" x14ac:dyDescent="0.2">
      <c r="S1286" s="1"/>
      <c r="T1286" s="109"/>
      <c r="W1286" s="130" t="str">
        <f t="shared" si="29"/>
        <v>1w</v>
      </c>
      <c r="X1286" s="128">
        <f>_xll.qlCalendarAdvance(Calendar,X1285,W1286,"f",FALSE)</f>
        <v>48142</v>
      </c>
      <c r="Y1286" s="131">
        <f>_xll.qlCalendarAdvance(Calendar,X1286,NDays&amp;"D")</f>
        <v>48144</v>
      </c>
      <c r="Z1286" s="132">
        <v>1.5979349103035057E-2</v>
      </c>
      <c r="AA1286" s="129">
        <v>1.5980178979759785E-2</v>
      </c>
    </row>
    <row r="1287" spans="19:27" x14ac:dyDescent="0.2">
      <c r="S1287" s="1"/>
      <c r="T1287" s="109"/>
      <c r="W1287" s="130" t="str">
        <f t="shared" si="29"/>
        <v>1w</v>
      </c>
      <c r="X1287" s="128">
        <f>_xll.qlCalendarAdvance(Calendar,X1286,W1287,"f",FALSE)</f>
        <v>48149</v>
      </c>
      <c r="Y1287" s="131">
        <f>_xll.qlCalendarAdvance(Calendar,X1287,NDays&amp;"D")</f>
        <v>48151</v>
      </c>
      <c r="Z1287" s="132">
        <v>1.5974191565139163E-2</v>
      </c>
      <c r="AA1287" s="129">
        <v>1.597518381563745E-2</v>
      </c>
    </row>
    <row r="1288" spans="19:27" x14ac:dyDescent="0.2">
      <c r="S1288" s="1"/>
      <c r="T1288" s="109"/>
      <c r="W1288" s="130" t="str">
        <f t="shared" si="29"/>
        <v>1w</v>
      </c>
      <c r="X1288" s="128">
        <f>_xll.qlCalendarAdvance(Calendar,X1287,W1288,"f",FALSE)</f>
        <v>48156</v>
      </c>
      <c r="Y1288" s="131">
        <f>_xll.qlCalendarAdvance(Calendar,X1288,NDays&amp;"D")</f>
        <v>48158</v>
      </c>
      <c r="Z1288" s="132">
        <v>1.5969012156923805E-2</v>
      </c>
      <c r="AA1288" s="129">
        <v>1.5970166862464552E-2</v>
      </c>
    </row>
    <row r="1289" spans="19:27" x14ac:dyDescent="0.2">
      <c r="S1289" s="1"/>
      <c r="T1289" s="109"/>
      <c r="W1289" s="130" t="str">
        <f t="shared" si="29"/>
        <v>1w</v>
      </c>
      <c r="X1289" s="128">
        <f>_xll.qlCalendarAdvance(Calendar,X1288,W1289,"f",FALSE)</f>
        <v>48163</v>
      </c>
      <c r="Y1289" s="131">
        <f>_xll.qlCalendarAdvance(Calendar,X1289,NDays&amp;"D")</f>
        <v>48165</v>
      </c>
      <c r="Z1289" s="132">
        <v>1.5963810878474125E-2</v>
      </c>
      <c r="AA1289" s="129">
        <v>1.596512812024109E-2</v>
      </c>
    </row>
    <row r="1290" spans="19:27" x14ac:dyDescent="0.2">
      <c r="S1290" s="1"/>
      <c r="T1290" s="109"/>
      <c r="W1290" s="130" t="str">
        <f t="shared" si="29"/>
        <v>1w</v>
      </c>
      <c r="X1290" s="128">
        <f>_xll.qlCalendarAdvance(Calendar,X1289,W1290,"f",FALSE)</f>
        <v>48170</v>
      </c>
      <c r="Y1290" s="131">
        <f>_xll.qlCalendarAdvance(Calendar,X1290,NDays&amp;"D")</f>
        <v>48172</v>
      </c>
      <c r="Z1290" s="132">
        <v>1.5958587729878751E-2</v>
      </c>
      <c r="AA1290" s="129">
        <v>1.5960067588887128E-2</v>
      </c>
    </row>
    <row r="1291" spans="19:27" x14ac:dyDescent="0.2">
      <c r="S1291" s="1"/>
      <c r="T1291" s="109"/>
      <c r="W1291" s="130" t="str">
        <f t="shared" si="29"/>
        <v>1w</v>
      </c>
      <c r="X1291" s="128">
        <f>_xll.qlCalendarAdvance(Calendar,X1290,W1291,"f",FALSE)</f>
        <v>48177</v>
      </c>
      <c r="Y1291" s="131">
        <f>_xll.qlCalendarAdvance(Calendar,X1291,NDays&amp;"D")</f>
        <v>48179</v>
      </c>
      <c r="Z1291" s="132">
        <v>1.5953342711224568E-2</v>
      </c>
      <c r="AA1291" s="129">
        <v>1.5954985268562538E-2</v>
      </c>
    </row>
    <row r="1292" spans="19:27" x14ac:dyDescent="0.2">
      <c r="S1292" s="1"/>
      <c r="T1292" s="109"/>
      <c r="W1292" s="130" t="str">
        <f t="shared" si="29"/>
        <v>1w</v>
      </c>
      <c r="X1292" s="128">
        <f>_xll.qlCalendarAdvance(Calendar,X1291,W1292,"f",FALSE)</f>
        <v>48184</v>
      </c>
      <c r="Y1292" s="131">
        <f>_xll.qlCalendarAdvance(Calendar,X1292,NDays&amp;"D")</f>
        <v>48186</v>
      </c>
      <c r="Z1292" s="132">
        <v>1.5948103374287873E-2</v>
      </c>
      <c r="AA1292" s="129">
        <v>1.5949881159187385E-2</v>
      </c>
    </row>
    <row r="1293" spans="19:27" x14ac:dyDescent="0.2">
      <c r="S1293" s="1"/>
      <c r="T1293" s="109"/>
      <c r="W1293" s="130" t="str">
        <f t="shared" si="29"/>
        <v>1w</v>
      </c>
      <c r="X1293" s="128">
        <f>_xll.qlCalendarAdvance(Calendar,X1292,W1293,"f",FALSE)</f>
        <v>48191</v>
      </c>
      <c r="Y1293" s="131">
        <f>_xll.qlCalendarAdvance(Calendar,X1293,NDays&amp;"D")</f>
        <v>48193</v>
      </c>
      <c r="Z1293" s="132">
        <v>1.5942816411614501E-2</v>
      </c>
      <c r="AA1293" s="129">
        <v>1.5944755260521859E-2</v>
      </c>
    </row>
    <row r="1294" spans="19:27" x14ac:dyDescent="0.2">
      <c r="S1294" s="1"/>
      <c r="T1294" s="109"/>
      <c r="W1294" s="130" t="str">
        <f t="shared" si="29"/>
        <v>1w</v>
      </c>
      <c r="X1294" s="128">
        <f>_xll.qlCalendarAdvance(Calendar,X1293,W1294,"f",FALSE)</f>
        <v>48198</v>
      </c>
      <c r="Y1294" s="131">
        <f>_xll.qlCalendarAdvance(Calendar,X1294,NDays&amp;"D")</f>
        <v>48200</v>
      </c>
      <c r="Z1294" s="132">
        <v>1.5937507580027419E-2</v>
      </c>
      <c r="AA1294" s="129">
        <v>1.5939607572965642E-2</v>
      </c>
    </row>
    <row r="1295" spans="19:27" x14ac:dyDescent="0.2">
      <c r="S1295" s="1"/>
      <c r="T1295" s="109"/>
      <c r="W1295" s="130" t="str">
        <f t="shared" si="29"/>
        <v>1w</v>
      </c>
      <c r="X1295" s="128">
        <f>_xll.qlCalendarAdvance(Calendar,X1294,W1295,"f",FALSE)</f>
        <v>48205</v>
      </c>
      <c r="Y1295" s="131">
        <f>_xll.qlCalendarAdvance(Calendar,X1295,NDays&amp;"D")</f>
        <v>48211</v>
      </c>
      <c r="Z1295" s="132">
        <v>1.5929086977029477E-2</v>
      </c>
      <c r="AA1295" s="129">
        <v>1.5931474326809081E-2</v>
      </c>
    </row>
    <row r="1296" spans="19:27" x14ac:dyDescent="0.2">
      <c r="S1296" s="1"/>
      <c r="T1296" s="109"/>
      <c r="W1296" s="130" t="str">
        <f t="shared" si="29"/>
        <v>1w</v>
      </c>
      <c r="X1296" s="128">
        <f>_xll.qlCalendarAdvance(Calendar,X1295,W1296,"f",FALSE)</f>
        <v>48212</v>
      </c>
      <c r="Y1296" s="131">
        <f>_xll.qlCalendarAdvance(Calendar,X1296,NDays&amp;"D")</f>
        <v>48215</v>
      </c>
      <c r="Z1296" s="132">
        <v>1.5926057872533216E-2</v>
      </c>
      <c r="AA1296" s="129">
        <v>1.5928464176200308E-2</v>
      </c>
    </row>
    <row r="1297" spans="19:27" x14ac:dyDescent="0.2">
      <c r="S1297" s="1"/>
      <c r="T1297" s="109"/>
      <c r="W1297" s="130" t="str">
        <f t="shared" si="29"/>
        <v>1w</v>
      </c>
      <c r="X1297" s="128">
        <f>_xll.qlCalendarAdvance(Calendar,X1296,W1297,"f",FALSE)</f>
        <v>48219</v>
      </c>
      <c r="Y1297" s="131">
        <f>_xll.qlCalendarAdvance(Calendar,X1297,NDays&amp;"D")</f>
        <v>48221</v>
      </c>
      <c r="Z1297" s="132">
        <v>1.5921449872669337E-2</v>
      </c>
      <c r="AA1297" s="129">
        <v>1.5924033775913671E-2</v>
      </c>
    </row>
    <row r="1298" spans="19:27" x14ac:dyDescent="0.2">
      <c r="S1298" s="1"/>
      <c r="T1298" s="109"/>
      <c r="W1298" s="130" t="str">
        <f t="shared" si="29"/>
        <v>1w</v>
      </c>
      <c r="X1298" s="128">
        <f>_xll.qlCalendarAdvance(Calendar,X1297,W1298,"f",FALSE)</f>
        <v>48226</v>
      </c>
      <c r="Y1298" s="131">
        <f>_xll.qlCalendarAdvance(Calendar,X1298,NDays&amp;"D")</f>
        <v>48228</v>
      </c>
      <c r="Z1298" s="132">
        <v>1.5916053566312847E-2</v>
      </c>
      <c r="AA1298" s="129">
        <v>1.5918798932075262E-2</v>
      </c>
    </row>
    <row r="1299" spans="19:27" x14ac:dyDescent="0.2">
      <c r="S1299" s="1"/>
      <c r="T1299" s="109"/>
      <c r="W1299" s="130" t="str">
        <f t="shared" si="29"/>
        <v>1w</v>
      </c>
      <c r="X1299" s="128">
        <f>_xll.qlCalendarAdvance(Calendar,X1298,W1299,"f",FALSE)</f>
        <v>48233</v>
      </c>
      <c r="Y1299" s="131">
        <f>_xll.qlCalendarAdvance(Calendar,X1299,NDays&amp;"D")</f>
        <v>48235</v>
      </c>
      <c r="Z1299" s="132">
        <v>1.5910635391484487E-2</v>
      </c>
      <c r="AA1299" s="129">
        <v>1.591354229918629E-2</v>
      </c>
    </row>
    <row r="1300" spans="19:27" x14ac:dyDescent="0.2">
      <c r="S1300" s="1"/>
      <c r="T1300" s="109"/>
      <c r="W1300" s="130" t="str">
        <f t="shared" si="29"/>
        <v>1w</v>
      </c>
      <c r="X1300" s="128">
        <f>_xll.qlCalendarAdvance(Calendar,X1299,W1300,"f",FALSE)</f>
        <v>48240</v>
      </c>
      <c r="Y1300" s="131">
        <f>_xll.qlCalendarAdvance(Calendar,X1300,NDays&amp;"D")</f>
        <v>48242</v>
      </c>
      <c r="Z1300" s="132">
        <v>1.5905195348275617E-2</v>
      </c>
      <c r="AA1300" s="129">
        <v>1.5908263877166817E-2</v>
      </c>
    </row>
    <row r="1301" spans="19:27" x14ac:dyDescent="0.2">
      <c r="S1301" s="1"/>
      <c r="T1301" s="109"/>
      <c r="W1301" s="130" t="str">
        <f t="shared" ref="W1301:W1364" si="30">W1300</f>
        <v>1w</v>
      </c>
      <c r="X1301" s="128">
        <f>_xll.qlCalendarAdvance(Calendar,X1300,W1301,"f",FALSE)</f>
        <v>48247</v>
      </c>
      <c r="Y1301" s="131">
        <f>_xll.qlCalendarAdvance(Calendar,X1301,NDays&amp;"D")</f>
        <v>48249</v>
      </c>
      <c r="Z1301" s="132">
        <v>1.5899777009455995E-2</v>
      </c>
      <c r="AA1301" s="129">
        <v>1.5902963666256653E-2</v>
      </c>
    </row>
    <row r="1302" spans="19:27" x14ac:dyDescent="0.2">
      <c r="S1302" s="1"/>
      <c r="T1302" s="109"/>
      <c r="W1302" s="130" t="str">
        <f t="shared" si="30"/>
        <v>1w</v>
      </c>
      <c r="X1302" s="128">
        <f>_xll.qlCalendarAdvance(Calendar,X1301,W1302,"f",FALSE)</f>
        <v>48254</v>
      </c>
      <c r="Y1302" s="131">
        <f>_xll.qlCalendarAdvance(Calendar,X1302,NDays&amp;"D")</f>
        <v>48256</v>
      </c>
      <c r="Z1302" s="132">
        <v>1.5894295033362482E-2</v>
      </c>
      <c r="AA1302" s="129">
        <v>1.5897641666136053E-2</v>
      </c>
    </row>
    <row r="1303" spans="19:27" x14ac:dyDescent="0.2">
      <c r="S1303" s="1"/>
      <c r="T1303" s="109"/>
      <c r="W1303" s="130" t="str">
        <f t="shared" si="30"/>
        <v>1w</v>
      </c>
      <c r="X1303" s="128">
        <f>_xll.qlCalendarAdvance(Calendar,X1302,W1303,"f",FALSE)</f>
        <v>48261</v>
      </c>
      <c r="Y1303" s="131">
        <f>_xll.qlCalendarAdvance(Calendar,X1303,NDays&amp;"D")</f>
        <v>48263</v>
      </c>
      <c r="Z1303" s="132">
        <v>1.5888791190032059E-2</v>
      </c>
      <c r="AA1303" s="129">
        <v>1.5892297877044825E-2</v>
      </c>
    </row>
    <row r="1304" spans="19:27" x14ac:dyDescent="0.2">
      <c r="S1304" s="1"/>
      <c r="T1304" s="109"/>
      <c r="W1304" s="130" t="str">
        <f t="shared" si="30"/>
        <v>1w</v>
      </c>
      <c r="X1304" s="128">
        <f>_xll.qlCalendarAdvance(Calendar,X1303,W1304,"f",FALSE)</f>
        <v>48268</v>
      </c>
      <c r="Y1304" s="131">
        <f>_xll.qlCalendarAdvance(Calendar,X1304,NDays&amp;"D")</f>
        <v>48270</v>
      </c>
      <c r="Z1304" s="132">
        <v>1.5883265479554431E-2</v>
      </c>
      <c r="AA1304" s="129">
        <v>1.5886932298903034E-2</v>
      </c>
    </row>
    <row r="1305" spans="19:27" x14ac:dyDescent="0.2">
      <c r="S1305" s="1"/>
      <c r="T1305" s="109"/>
      <c r="W1305" s="130" t="str">
        <f t="shared" si="30"/>
        <v>1w</v>
      </c>
      <c r="X1305" s="128">
        <f>_xll.qlCalendarAdvance(Calendar,X1304,W1305,"f",FALSE)</f>
        <v>48275</v>
      </c>
      <c r="Y1305" s="131">
        <f>_xll.qlCalendarAdvance(Calendar,X1305,NDays&amp;"D")</f>
        <v>48277</v>
      </c>
      <c r="Z1305" s="132">
        <v>1.5877616143550662E-2</v>
      </c>
      <c r="AA1305" s="129">
        <v>1.5881544931630742E-2</v>
      </c>
    </row>
    <row r="1306" spans="19:27" x14ac:dyDescent="0.2">
      <c r="S1306" s="1"/>
      <c r="T1306" s="109"/>
      <c r="W1306" s="130" t="str">
        <f t="shared" si="30"/>
        <v>1w</v>
      </c>
      <c r="X1306" s="128">
        <f>_xll.qlCalendarAdvance(Calendar,X1305,W1306,"f",FALSE)</f>
        <v>48282</v>
      </c>
      <c r="Y1306" s="131">
        <f>_xll.qlCalendarAdvance(Calendar,X1306,NDays&amp;"D")</f>
        <v>48284</v>
      </c>
      <c r="Z1306" s="132">
        <v>1.5872043084723193E-2</v>
      </c>
      <c r="AA1306" s="129">
        <v>1.5876135775307887E-2</v>
      </c>
    </row>
    <row r="1307" spans="19:27" x14ac:dyDescent="0.2">
      <c r="S1307" s="1"/>
      <c r="T1307" s="109"/>
      <c r="W1307" s="130" t="str">
        <f t="shared" si="30"/>
        <v>1w</v>
      </c>
      <c r="X1307" s="128">
        <f>_xll.qlCalendarAdvance(Calendar,X1306,W1307,"f",FALSE)</f>
        <v>48289</v>
      </c>
      <c r="Y1307" s="131">
        <f>_xll.qlCalendarAdvance(Calendar,X1307,NDays&amp;"D")</f>
        <v>48291</v>
      </c>
      <c r="Z1307" s="132">
        <v>1.5866448157281849E-2</v>
      </c>
      <c r="AA1307" s="129">
        <v>1.5870704830014404E-2</v>
      </c>
    </row>
    <row r="1308" spans="19:27" x14ac:dyDescent="0.2">
      <c r="S1308" s="1"/>
      <c r="T1308" s="109"/>
      <c r="W1308" s="130" t="str">
        <f t="shared" si="30"/>
        <v>1w</v>
      </c>
      <c r="X1308" s="128">
        <f>_xll.qlCalendarAdvance(Calendar,X1307,W1308,"f",FALSE)</f>
        <v>48296</v>
      </c>
      <c r="Y1308" s="131">
        <f>_xll.qlCalendarAdvance(Calendar,X1308,NDays&amp;"D")</f>
        <v>48298</v>
      </c>
      <c r="Z1308" s="132">
        <v>1.5860831361319598E-2</v>
      </c>
      <c r="AA1308" s="129">
        <v>1.5865087878870199E-2</v>
      </c>
    </row>
    <row r="1309" spans="19:27" x14ac:dyDescent="0.2">
      <c r="S1309" s="1"/>
      <c r="T1309" s="109"/>
      <c r="W1309" s="130" t="str">
        <f t="shared" si="30"/>
        <v>1w</v>
      </c>
      <c r="X1309" s="128">
        <f>_xll.qlCalendarAdvance(Calendar,X1308,W1309,"f",FALSE)</f>
        <v>48303</v>
      </c>
      <c r="Y1309" s="131">
        <f>_xll.qlCalendarAdvance(Calendar,X1309,NDays&amp;"D")</f>
        <v>48305</v>
      </c>
      <c r="Z1309" s="132">
        <v>1.5855250897188231E-2</v>
      </c>
      <c r="AA1309" s="129">
        <v>1.5859777572115874E-2</v>
      </c>
    </row>
    <row r="1310" spans="19:27" x14ac:dyDescent="0.2">
      <c r="S1310" s="1"/>
      <c r="T1310" s="109"/>
      <c r="W1310" s="130" t="str">
        <f t="shared" si="30"/>
        <v>1w</v>
      </c>
      <c r="X1310" s="128">
        <f>_xll.qlCalendarAdvance(Calendar,X1309,W1310,"f",FALSE)</f>
        <v>48310</v>
      </c>
      <c r="Y1310" s="131">
        <f>_xll.qlCalendarAdvance(Calendar,X1310,NDays&amp;"D")</f>
        <v>48312</v>
      </c>
      <c r="Z1310" s="132">
        <v>1.5849592175170672E-2</v>
      </c>
      <c r="AA1310" s="129">
        <v>1.5854281259670699E-2</v>
      </c>
    </row>
    <row r="1311" spans="19:27" x14ac:dyDescent="0.2">
      <c r="S1311" s="1"/>
      <c r="T1311" s="109"/>
      <c r="W1311" s="130" t="str">
        <f t="shared" si="30"/>
        <v>1w</v>
      </c>
      <c r="X1311" s="128">
        <f>_xll.qlCalendarAdvance(Calendar,X1310,W1311,"f",FALSE)</f>
        <v>48317</v>
      </c>
      <c r="Y1311" s="131">
        <f>_xll.qlCalendarAdvance(Calendar,X1311,NDays&amp;"D")</f>
        <v>48319</v>
      </c>
      <c r="Z1311" s="132">
        <v>1.5843911585779268E-2</v>
      </c>
      <c r="AA1311" s="129">
        <v>1.5848763158174961E-2</v>
      </c>
    </row>
    <row r="1312" spans="19:27" x14ac:dyDescent="0.2">
      <c r="S1312" s="1"/>
      <c r="T1312" s="109"/>
      <c r="W1312" s="130" t="str">
        <f t="shared" si="30"/>
        <v>1w</v>
      </c>
      <c r="X1312" s="128">
        <f>_xll.qlCalendarAdvance(Calendar,X1311,W1312,"f",FALSE)</f>
        <v>48324</v>
      </c>
      <c r="Y1312" s="131">
        <f>_xll.qlCalendarAdvance(Calendar,X1312,NDays&amp;"D")</f>
        <v>48326</v>
      </c>
      <c r="Z1312" s="132">
        <v>1.5838209129110645E-2</v>
      </c>
      <c r="AA1312" s="129">
        <v>1.5843223267548723E-2</v>
      </c>
    </row>
    <row r="1313" spans="19:27" x14ac:dyDescent="0.2">
      <c r="S1313" s="1"/>
      <c r="T1313" s="109"/>
      <c r="W1313" s="130" t="str">
        <f t="shared" si="30"/>
        <v>1w</v>
      </c>
      <c r="X1313" s="128">
        <f>_xll.qlCalendarAdvance(Calendar,X1312,W1313,"f",FALSE)</f>
        <v>48331</v>
      </c>
      <c r="Y1313" s="131">
        <f>_xll.qlCalendarAdvance(Calendar,X1313,NDays&amp;"D")</f>
        <v>48333</v>
      </c>
      <c r="Z1313" s="132">
        <v>1.5832484805255276E-2</v>
      </c>
      <c r="AA1313" s="129">
        <v>1.5837661587951857E-2</v>
      </c>
    </row>
    <row r="1314" spans="19:27" x14ac:dyDescent="0.2">
      <c r="S1314" s="1"/>
      <c r="T1314" s="109"/>
      <c r="W1314" s="130" t="str">
        <f t="shared" si="30"/>
        <v>1w</v>
      </c>
      <c r="X1314" s="128">
        <f>_xll.qlCalendarAdvance(Calendar,X1313,W1314,"f",FALSE)</f>
        <v>48338</v>
      </c>
      <c r="Y1314" s="131">
        <f>_xll.qlCalendarAdvance(Calendar,X1314,NDays&amp;"D")</f>
        <v>48340</v>
      </c>
      <c r="Z1314" s="132">
        <v>1.5826671351901939E-2</v>
      </c>
      <c r="AA1314" s="129">
        <v>1.5832078119224491E-2</v>
      </c>
    </row>
    <row r="1315" spans="19:27" x14ac:dyDescent="0.2">
      <c r="S1315" s="1"/>
      <c r="T1315" s="109"/>
      <c r="W1315" s="130" t="str">
        <f t="shared" si="30"/>
        <v>1w</v>
      </c>
      <c r="X1315" s="128">
        <f>_xll.qlCalendarAdvance(Calendar,X1314,W1315,"f",FALSE)</f>
        <v>48345</v>
      </c>
      <c r="Y1315" s="131">
        <f>_xll.qlCalendarAdvance(Calendar,X1315,NDays&amp;"D")</f>
        <v>48347</v>
      </c>
      <c r="Z1315" s="132">
        <v>1.5820901478945128E-2</v>
      </c>
      <c r="AA1315" s="129">
        <v>1.5826472861526497E-2</v>
      </c>
    </row>
    <row r="1316" spans="19:27" x14ac:dyDescent="0.2">
      <c r="S1316" s="1"/>
      <c r="T1316" s="109"/>
      <c r="W1316" s="130" t="str">
        <f t="shared" si="30"/>
        <v>1w</v>
      </c>
      <c r="X1316" s="128">
        <f>_xll.qlCalendarAdvance(Calendar,X1315,W1316,"f",FALSE)</f>
        <v>48352</v>
      </c>
      <c r="Y1316" s="131">
        <f>_xll.qlCalendarAdvance(Calendar,X1316,NDays&amp;"D")</f>
        <v>48354</v>
      </c>
      <c r="Z1316" s="132">
        <v>1.5815109738228545E-2</v>
      </c>
      <c r="AA1316" s="129">
        <v>1.5820845814698004E-2</v>
      </c>
    </row>
    <row r="1317" spans="19:27" x14ac:dyDescent="0.2">
      <c r="S1317" s="1"/>
      <c r="T1317" s="109"/>
      <c r="W1317" s="130" t="str">
        <f t="shared" si="30"/>
        <v>1w</v>
      </c>
      <c r="X1317" s="128">
        <f>_xll.qlCalendarAdvance(Calendar,X1316,W1317,"f",FALSE)</f>
        <v>48359</v>
      </c>
      <c r="Y1317" s="131">
        <f>_xll.qlCalendarAdvance(Calendar,X1317,NDays&amp;"D")</f>
        <v>48361</v>
      </c>
      <c r="Z1317" s="132">
        <v>1.5809296129849493E-2</v>
      </c>
      <c r="AA1317" s="129">
        <v>1.5815196978978818E-2</v>
      </c>
    </row>
    <row r="1318" spans="19:27" x14ac:dyDescent="0.2">
      <c r="S1318" s="1"/>
      <c r="T1318" s="109"/>
      <c r="W1318" s="130" t="str">
        <f t="shared" si="30"/>
        <v>1w</v>
      </c>
      <c r="X1318" s="128">
        <f>_xll.qlCalendarAdvance(Calendar,X1317,W1318,"f",FALSE)</f>
        <v>48366</v>
      </c>
      <c r="Y1318" s="131">
        <f>_xll.qlCalendarAdvance(Calendar,X1318,NDays&amp;"D")</f>
        <v>48368</v>
      </c>
      <c r="Z1318" s="132">
        <v>1.5803460653903558E-2</v>
      </c>
      <c r="AA1318" s="129">
        <v>1.5809526354129133E-2</v>
      </c>
    </row>
    <row r="1319" spans="19:27" x14ac:dyDescent="0.2">
      <c r="S1319" s="1"/>
      <c r="T1319" s="109"/>
      <c r="W1319" s="130" t="str">
        <f t="shared" si="30"/>
        <v>1w</v>
      </c>
      <c r="X1319" s="128">
        <f>_xll.qlCalendarAdvance(Calendar,X1318,W1319,"f",FALSE)</f>
        <v>48373</v>
      </c>
      <c r="Y1319" s="131">
        <f>_xll.qlCalendarAdvance(Calendar,X1319,NDays&amp;"D")</f>
        <v>48375</v>
      </c>
      <c r="Z1319" s="132">
        <v>1.5797603310490651E-2</v>
      </c>
      <c r="AA1319" s="129">
        <v>1.5803833940228884E-2</v>
      </c>
    </row>
    <row r="1320" spans="19:27" x14ac:dyDescent="0.2">
      <c r="S1320" s="1"/>
      <c r="T1320" s="109"/>
      <c r="W1320" s="130" t="str">
        <f t="shared" si="30"/>
        <v>1w</v>
      </c>
      <c r="X1320" s="128">
        <f>_xll.qlCalendarAdvance(Calendar,X1319,W1320,"f",FALSE)</f>
        <v>48380</v>
      </c>
      <c r="Y1320" s="131">
        <f>_xll.qlCalendarAdvance(Calendar,X1320,NDays&amp;"D")</f>
        <v>48382</v>
      </c>
      <c r="Z1320" s="132">
        <v>1.5791724099706354E-2</v>
      </c>
      <c r="AA1320" s="129">
        <v>1.5798119737358007E-2</v>
      </c>
    </row>
    <row r="1321" spans="19:27" x14ac:dyDescent="0.2">
      <c r="S1321" s="1"/>
      <c r="T1321" s="109"/>
      <c r="W1321" s="130" t="str">
        <f t="shared" si="30"/>
        <v>1w</v>
      </c>
      <c r="X1321" s="128">
        <f>_xll.qlCalendarAdvance(Calendar,X1320,W1321,"f",FALSE)</f>
        <v>48387</v>
      </c>
      <c r="Y1321" s="131">
        <f>_xll.qlCalendarAdvance(Calendar,X1321,NDays&amp;"D")</f>
        <v>48389</v>
      </c>
      <c r="Z1321" s="132">
        <v>1.5785823021650585E-2</v>
      </c>
      <c r="AA1321" s="129">
        <v>1.5792383745356631E-2</v>
      </c>
    </row>
    <row r="1322" spans="19:27" x14ac:dyDescent="0.2">
      <c r="S1322" s="1"/>
      <c r="T1322" s="109"/>
      <c r="W1322" s="130" t="str">
        <f t="shared" si="30"/>
        <v>1w</v>
      </c>
      <c r="X1322" s="128">
        <f>_xll.qlCalendarAdvance(Calendar,X1321,W1322,"f",FALSE)</f>
        <v>48394</v>
      </c>
      <c r="Y1322" s="131">
        <f>_xll.qlCalendarAdvance(Calendar,X1322,NDays&amp;"D")</f>
        <v>48396</v>
      </c>
      <c r="Z1322" s="132">
        <v>1.577990007641979E-2</v>
      </c>
      <c r="AA1322" s="129">
        <v>1.578662596430469E-2</v>
      </c>
    </row>
    <row r="1323" spans="19:27" x14ac:dyDescent="0.2">
      <c r="S1323" s="1"/>
      <c r="T1323" s="109"/>
      <c r="W1323" s="130" t="str">
        <f t="shared" si="30"/>
        <v>1w</v>
      </c>
      <c r="X1323" s="128">
        <f>_xll.qlCalendarAdvance(Calendar,X1322,W1323,"f",FALSE)</f>
        <v>48401</v>
      </c>
      <c r="Y1323" s="131">
        <f>_xll.qlCalendarAdvance(Calendar,X1323,NDays&amp;"D")</f>
        <v>48403</v>
      </c>
      <c r="Z1323" s="132">
        <v>1.5773955264114757E-2</v>
      </c>
      <c r="AA1323" s="129">
        <v>1.5780846394282122E-2</v>
      </c>
    </row>
    <row r="1324" spans="19:27" x14ac:dyDescent="0.2">
      <c r="S1324" s="1"/>
      <c r="T1324" s="109"/>
      <c r="W1324" s="130" t="str">
        <f t="shared" si="30"/>
        <v>1w</v>
      </c>
      <c r="X1324" s="128">
        <f>_xll.qlCalendarAdvance(Calendar,X1323,W1324,"f",FALSE)</f>
        <v>48408</v>
      </c>
      <c r="Y1324" s="131">
        <f>_xll.qlCalendarAdvance(Calendar,X1324,NDays&amp;"D")</f>
        <v>48410</v>
      </c>
      <c r="Z1324" s="132">
        <v>1.5767988584834535E-2</v>
      </c>
      <c r="AA1324" s="129">
        <v>1.5775045035288926E-2</v>
      </c>
    </row>
    <row r="1325" spans="19:27" x14ac:dyDescent="0.2">
      <c r="S1325" s="1"/>
      <c r="T1325" s="109"/>
      <c r="W1325" s="130" t="str">
        <f t="shared" si="30"/>
        <v>1w</v>
      </c>
      <c r="X1325" s="128">
        <f>_xll.qlCalendarAdvance(Calendar,X1324,W1325,"f",FALSE)</f>
        <v>48415</v>
      </c>
      <c r="Y1325" s="131">
        <f>_xll.qlCalendarAdvance(Calendar,X1325,NDays&amp;"D")</f>
        <v>48417</v>
      </c>
      <c r="Z1325" s="132">
        <v>1.5762000038678177E-2</v>
      </c>
      <c r="AA1325" s="129">
        <v>1.5769221887085294E-2</v>
      </c>
    </row>
    <row r="1326" spans="19:27" x14ac:dyDescent="0.2">
      <c r="S1326" s="1"/>
      <c r="T1326" s="109"/>
      <c r="W1326" s="130" t="str">
        <f t="shared" si="30"/>
        <v>1w</v>
      </c>
      <c r="X1326" s="128">
        <f>_xll.qlCalendarAdvance(Calendar,X1325,W1326,"f",FALSE)</f>
        <v>48422</v>
      </c>
      <c r="Y1326" s="131">
        <f>_xll.qlCalendarAdvance(Calendar,X1326,NDays&amp;"D")</f>
        <v>48424</v>
      </c>
      <c r="Z1326" s="132">
        <v>1.5755989625746473E-2</v>
      </c>
      <c r="AA1326" s="129">
        <v>1.576337694999097E-2</v>
      </c>
    </row>
    <row r="1327" spans="19:27" x14ac:dyDescent="0.2">
      <c r="S1327" s="1"/>
      <c r="T1327" s="109"/>
      <c r="W1327" s="130" t="str">
        <f t="shared" si="30"/>
        <v>1w</v>
      </c>
      <c r="X1327" s="128">
        <f>_xll.qlCalendarAdvance(Calendar,X1326,W1327,"f",FALSE)</f>
        <v>48429</v>
      </c>
      <c r="Y1327" s="131">
        <f>_xll.qlCalendarAdvance(Calendar,X1327,NDays&amp;"D")</f>
        <v>48431</v>
      </c>
      <c r="Z1327" s="132">
        <v>1.5749957346138474E-2</v>
      </c>
      <c r="AA1327" s="129">
        <v>1.5757510223766147E-2</v>
      </c>
    </row>
    <row r="1328" spans="19:27" x14ac:dyDescent="0.2">
      <c r="S1328" s="1"/>
      <c r="T1328" s="109"/>
      <c r="W1328" s="130" t="str">
        <f t="shared" si="30"/>
        <v>1w</v>
      </c>
      <c r="X1328" s="128">
        <f>_xll.qlCalendarAdvance(Calendar,X1327,W1328,"f",FALSE)</f>
        <v>48436</v>
      </c>
      <c r="Y1328" s="131">
        <f>_xll.qlCalendarAdvance(Calendar,X1328,NDays&amp;"D")</f>
        <v>48438</v>
      </c>
      <c r="Z1328" s="132">
        <v>1.5743903199955837E-2</v>
      </c>
      <c r="AA1328" s="129">
        <v>1.5751621708570696E-2</v>
      </c>
    </row>
    <row r="1329" spans="19:27" x14ac:dyDescent="0.2">
      <c r="S1329" s="1"/>
      <c r="T1329" s="109"/>
      <c r="W1329" s="130" t="str">
        <f t="shared" si="30"/>
        <v>1w</v>
      </c>
      <c r="X1329" s="128">
        <f>_xll.qlCalendarAdvance(Calendar,X1328,W1329,"f",FALSE)</f>
        <v>48443</v>
      </c>
      <c r="Y1329" s="131">
        <f>_xll.qlCalendarAdvance(Calendar,X1329,NDays&amp;"D")</f>
        <v>48445</v>
      </c>
      <c r="Z1329" s="132">
        <v>1.573782718730022E-2</v>
      </c>
      <c r="AA1329" s="129">
        <v>1.5745711404404616E-2</v>
      </c>
    </row>
    <row r="1330" spans="19:27" x14ac:dyDescent="0.2">
      <c r="S1330" s="1"/>
      <c r="T1330" s="109"/>
      <c r="W1330" s="130" t="str">
        <f t="shared" si="30"/>
        <v>1w</v>
      </c>
      <c r="X1330" s="128">
        <f>_xll.qlCalendarAdvance(Calendar,X1329,W1330,"f",FALSE)</f>
        <v>48450</v>
      </c>
      <c r="Y1330" s="131">
        <f>_xll.qlCalendarAdvance(Calendar,X1330,NDays&amp;"D")</f>
        <v>48452</v>
      </c>
      <c r="Z1330" s="132">
        <v>1.5731729308272411E-2</v>
      </c>
      <c r="AA1330" s="129">
        <v>1.5739779311187974E-2</v>
      </c>
    </row>
    <row r="1331" spans="19:27" x14ac:dyDescent="0.2">
      <c r="S1331" s="1"/>
      <c r="T1331" s="109"/>
      <c r="W1331" s="130" t="str">
        <f t="shared" si="30"/>
        <v>1w</v>
      </c>
      <c r="X1331" s="128">
        <f>_xll.qlCalendarAdvance(Calendar,X1330,W1331,"f",FALSE)</f>
        <v>48457</v>
      </c>
      <c r="Y1331" s="131">
        <f>_xll.qlCalendarAdvance(Calendar,X1331,NDays&amp;"D")</f>
        <v>48459</v>
      </c>
      <c r="Z1331" s="132">
        <v>1.5725707796859719E-2</v>
      </c>
      <c r="AA1331" s="129">
        <v>1.5733825428840831E-2</v>
      </c>
    </row>
    <row r="1332" spans="19:27" x14ac:dyDescent="0.2">
      <c r="S1332" s="1"/>
      <c r="T1332" s="109"/>
      <c r="W1332" s="130" t="str">
        <f t="shared" si="30"/>
        <v>1w</v>
      </c>
      <c r="X1332" s="128">
        <f>_xll.qlCalendarAdvance(Calendar,X1331,W1332,"f",FALSE)</f>
        <v>48464</v>
      </c>
      <c r="Y1332" s="131">
        <f>_xll.qlCalendarAdvance(Calendar,X1332,NDays&amp;"D")</f>
        <v>48466</v>
      </c>
      <c r="Z1332" s="132">
        <v>1.5719568014876669E-2</v>
      </c>
      <c r="AA1332" s="129">
        <v>1.5727849757443124E-2</v>
      </c>
    </row>
    <row r="1333" spans="19:27" x14ac:dyDescent="0.2">
      <c r="S1333" s="1"/>
      <c r="T1333" s="109"/>
      <c r="W1333" s="130" t="str">
        <f t="shared" si="30"/>
        <v>1w</v>
      </c>
      <c r="X1333" s="128">
        <f>_xll.qlCalendarAdvance(Calendar,X1332,W1333,"f",FALSE)</f>
        <v>48471</v>
      </c>
      <c r="Y1333" s="131">
        <f>_xll.qlCalendarAdvance(Calendar,X1333,NDays&amp;"D")</f>
        <v>48473</v>
      </c>
      <c r="Z1333" s="132">
        <v>1.5713406367669266E-2</v>
      </c>
      <c r="AA1333" s="129">
        <v>1.5721852297154726E-2</v>
      </c>
    </row>
    <row r="1334" spans="19:27" x14ac:dyDescent="0.2">
      <c r="S1334" s="1"/>
      <c r="T1334" s="109"/>
      <c r="W1334" s="130" t="str">
        <f t="shared" si="30"/>
        <v>1w</v>
      </c>
      <c r="X1334" s="128">
        <f>_xll.qlCalendarAdvance(Calendar,X1333,W1334,"f",FALSE)</f>
        <v>48478</v>
      </c>
      <c r="Y1334" s="131">
        <f>_xll.qlCalendarAdvance(Calendar,X1334,NDays&amp;"D")</f>
        <v>48480</v>
      </c>
      <c r="Z1334" s="132">
        <v>1.5707222855339403E-2</v>
      </c>
      <c r="AA1334" s="129">
        <v>1.5715833047815764E-2</v>
      </c>
    </row>
    <row r="1335" spans="19:27" x14ac:dyDescent="0.2">
      <c r="S1335" s="1"/>
      <c r="T1335" s="109"/>
      <c r="W1335" s="130" t="str">
        <f t="shared" si="30"/>
        <v>1w</v>
      </c>
      <c r="X1335" s="128">
        <f>_xll.qlCalendarAdvance(Calendar,X1334,W1335,"f",FALSE)</f>
        <v>48485</v>
      </c>
      <c r="Y1335" s="131">
        <f>_xll.qlCalendarAdvance(Calendar,X1335,NDays&amp;"D")</f>
        <v>48487</v>
      </c>
      <c r="Z1335" s="132">
        <v>1.5700911921127634E-2</v>
      </c>
      <c r="AA1335" s="129">
        <v>1.5709792009426238E-2</v>
      </c>
    </row>
    <row r="1336" spans="19:27" x14ac:dyDescent="0.2">
      <c r="S1336" s="1"/>
      <c r="T1336" s="109"/>
      <c r="W1336" s="130" t="str">
        <f t="shared" si="30"/>
        <v>1w</v>
      </c>
      <c r="X1336" s="128">
        <f>_xll.qlCalendarAdvance(Calendar,X1335,W1336,"f",FALSE)</f>
        <v>48492</v>
      </c>
      <c r="Y1336" s="131">
        <f>_xll.qlCalendarAdvance(Calendar,X1336,NDays&amp;"D")</f>
        <v>48494</v>
      </c>
      <c r="Z1336" s="132">
        <v>1.5694682846018E-2</v>
      </c>
      <c r="AA1336" s="129">
        <v>1.5703729181986148E-2</v>
      </c>
    </row>
    <row r="1337" spans="19:27" x14ac:dyDescent="0.2">
      <c r="S1337" s="1"/>
      <c r="T1337" s="109"/>
      <c r="W1337" s="130" t="str">
        <f t="shared" si="30"/>
        <v>1w</v>
      </c>
      <c r="X1337" s="128">
        <f>_xll.qlCalendarAdvance(Calendar,X1336,W1337,"f",FALSE)</f>
        <v>48499</v>
      </c>
      <c r="Y1337" s="131">
        <f>_xll.qlCalendarAdvance(Calendar,X1337,NDays&amp;"D")</f>
        <v>48501</v>
      </c>
      <c r="Z1337" s="132">
        <v>1.5688431905257341E-2</v>
      </c>
      <c r="AA1337" s="129">
        <v>1.569764456557543E-2</v>
      </c>
    </row>
    <row r="1338" spans="19:27" x14ac:dyDescent="0.2">
      <c r="S1338" s="1"/>
      <c r="T1338" s="109"/>
      <c r="W1338" s="130" t="str">
        <f t="shared" si="30"/>
        <v>1w</v>
      </c>
      <c r="X1338" s="128">
        <f>_xll.qlCalendarAdvance(Calendar,X1337,W1338,"f",FALSE)</f>
        <v>48506</v>
      </c>
      <c r="Y1338" s="131">
        <f>_xll.qlCalendarAdvance(Calendar,X1338,NDays&amp;"D")</f>
        <v>48508</v>
      </c>
      <c r="Z1338" s="132">
        <v>1.5682159098949044E-2</v>
      </c>
      <c r="AA1338" s="129">
        <v>1.5691538160114149E-2</v>
      </c>
    </row>
    <row r="1339" spans="19:27" x14ac:dyDescent="0.2">
      <c r="S1339" s="1"/>
      <c r="T1339" s="109"/>
      <c r="W1339" s="130" t="str">
        <f t="shared" si="30"/>
        <v>1w</v>
      </c>
      <c r="X1339" s="128">
        <f>_xll.qlCalendarAdvance(Calendar,X1338,W1339,"f",FALSE)</f>
        <v>48513</v>
      </c>
      <c r="Y1339" s="131">
        <f>_xll.qlCalendarAdvance(Calendar,X1339,NDays&amp;"D")</f>
        <v>48515</v>
      </c>
      <c r="Z1339" s="132">
        <v>1.5675864427199985E-2</v>
      </c>
      <c r="AA1339" s="129">
        <v>1.568540996568224E-2</v>
      </c>
    </row>
    <row r="1340" spans="19:27" x14ac:dyDescent="0.2">
      <c r="S1340" s="1"/>
      <c r="T1340" s="109"/>
      <c r="W1340" s="130" t="str">
        <f t="shared" si="30"/>
        <v>1w</v>
      </c>
      <c r="X1340" s="128">
        <f>_xll.qlCalendarAdvance(Calendar,X1339,W1340,"f",FALSE)</f>
        <v>48520</v>
      </c>
      <c r="Y1340" s="131">
        <f>_xll.qlCalendarAdvance(Calendar,X1340,NDays&amp;"D")</f>
        <v>48522</v>
      </c>
      <c r="Z1340" s="132">
        <v>1.5669547890110953E-2</v>
      </c>
      <c r="AA1340" s="129">
        <v>1.5679259982119831E-2</v>
      </c>
    </row>
    <row r="1341" spans="19:27" x14ac:dyDescent="0.2">
      <c r="S1341" s="1"/>
      <c r="T1341" s="109"/>
      <c r="W1341" s="130" t="str">
        <f t="shared" si="30"/>
        <v>1w</v>
      </c>
      <c r="X1341" s="128">
        <f>_xll.qlCalendarAdvance(Calendar,X1340,W1341,"f",FALSE)</f>
        <v>48527</v>
      </c>
      <c r="Y1341" s="131">
        <f>_xll.qlCalendarAdvance(Calendar,X1341,NDays&amp;"D")</f>
        <v>48529</v>
      </c>
      <c r="Z1341" s="132">
        <v>1.5663209487792294E-2</v>
      </c>
      <c r="AA1341" s="129">
        <v>1.567308820966673E-2</v>
      </c>
    </row>
    <row r="1342" spans="19:27" x14ac:dyDescent="0.2">
      <c r="S1342" s="1"/>
      <c r="T1342" s="109"/>
      <c r="W1342" s="130" t="str">
        <f t="shared" si="30"/>
        <v>1w</v>
      </c>
      <c r="X1342" s="128">
        <f>_xll.qlCalendarAdvance(Calendar,X1341,W1342,"f",FALSE)</f>
        <v>48534</v>
      </c>
      <c r="Y1342" s="131">
        <f>_xll.qlCalendarAdvance(Calendar,X1342,NDays&amp;"D")</f>
        <v>48536</v>
      </c>
      <c r="Z1342" s="132">
        <v>1.5656849220347404E-2</v>
      </c>
      <c r="AA1342" s="129">
        <v>1.5666894648163066E-2</v>
      </c>
    </row>
    <row r="1343" spans="19:27" x14ac:dyDescent="0.2">
      <c r="S1343" s="1"/>
      <c r="T1343" s="109"/>
      <c r="W1343" s="130" t="str">
        <f t="shared" si="30"/>
        <v>1w</v>
      </c>
      <c r="X1343" s="128">
        <f>_xll.qlCalendarAdvance(Calendar,X1342,W1343,"f",FALSE)</f>
        <v>48541</v>
      </c>
      <c r="Y1343" s="131">
        <f>_xll.qlCalendarAdvance(Calendar,X1343,NDays&amp;"D")</f>
        <v>48543</v>
      </c>
      <c r="Z1343" s="132">
        <v>1.5650467087882286E-2</v>
      </c>
      <c r="AA1343" s="129">
        <v>1.5660679297608837E-2</v>
      </c>
    </row>
    <row r="1344" spans="19:27" x14ac:dyDescent="0.2">
      <c r="S1344" s="1"/>
      <c r="T1344" s="109"/>
      <c r="W1344" s="130" t="str">
        <f t="shared" si="30"/>
        <v>1w</v>
      </c>
      <c r="X1344" s="128">
        <f>_xll.qlCalendarAdvance(Calendar,X1343,W1344,"f",FALSE)</f>
        <v>48548</v>
      </c>
      <c r="Y1344" s="131">
        <f>_xll.qlCalendarAdvance(Calendar,X1344,NDays&amp;"D")</f>
        <v>48550</v>
      </c>
      <c r="Z1344" s="132">
        <v>1.5644307076399855E-2</v>
      </c>
      <c r="AA1344" s="129">
        <v>1.5654442158004045E-2</v>
      </c>
    </row>
    <row r="1345" spans="19:27" x14ac:dyDescent="0.2">
      <c r="S1345" s="1"/>
      <c r="T1345" s="109"/>
      <c r="W1345" s="130" t="str">
        <f t="shared" si="30"/>
        <v>1w</v>
      </c>
      <c r="X1345" s="128">
        <f>_xll.qlCalendarAdvance(Calendar,X1344,W1345,"f",FALSE)</f>
        <v>48555</v>
      </c>
      <c r="Y1345" s="131">
        <f>_xll.qlCalendarAdvance(Calendar,X1345,NDays&amp;"D")</f>
        <v>48557</v>
      </c>
      <c r="Z1345" s="132">
        <v>1.5637884894733389E-2</v>
      </c>
      <c r="AA1345" s="129">
        <v>1.5648183229508561E-2</v>
      </c>
    </row>
    <row r="1346" spans="19:27" x14ac:dyDescent="0.2">
      <c r="S1346" s="1"/>
      <c r="T1346" s="109"/>
      <c r="W1346" s="130" t="str">
        <f t="shared" si="30"/>
        <v>1w</v>
      </c>
      <c r="X1346" s="128">
        <f>_xll.qlCalendarAdvance(Calendar,X1345,W1346,"f",FALSE)</f>
        <v>48562</v>
      </c>
      <c r="Y1346" s="131">
        <f>_xll.qlCalendarAdvance(Calendar,X1346,NDays&amp;"D")</f>
        <v>48564</v>
      </c>
      <c r="Z1346" s="132">
        <v>1.5631440850019551E-2</v>
      </c>
      <c r="AA1346" s="129">
        <v>1.5641902511882577E-2</v>
      </c>
    </row>
    <row r="1347" spans="19:27" x14ac:dyDescent="0.2">
      <c r="S1347" s="1"/>
      <c r="T1347" s="109"/>
      <c r="W1347" s="130" t="str">
        <f t="shared" si="30"/>
        <v>1w</v>
      </c>
      <c r="X1347" s="128">
        <f>_xll.qlCalendarAdvance(Calendar,X1346,W1347,"f",FALSE)</f>
        <v>48569</v>
      </c>
      <c r="Y1347" s="131">
        <f>_xll.qlCalendarAdvance(Calendar,X1347,NDays&amp;"D")</f>
        <v>48571</v>
      </c>
      <c r="Z1347" s="132">
        <v>1.5624974942363146E-2</v>
      </c>
      <c r="AA1347" s="129">
        <v>1.5635600005285966E-2</v>
      </c>
    </row>
    <row r="1348" spans="19:27" x14ac:dyDescent="0.2">
      <c r="S1348" s="1"/>
      <c r="T1348" s="109"/>
      <c r="W1348" s="130" t="str">
        <f t="shared" si="30"/>
        <v>1w</v>
      </c>
      <c r="X1348" s="128">
        <f>_xll.qlCalendarAdvance(Calendar,X1347,W1348,"f",FALSE)</f>
        <v>48576</v>
      </c>
      <c r="Y1348" s="131">
        <f>_xll.qlCalendarAdvance(Calendar,X1348,NDays&amp;"D")</f>
        <v>48578</v>
      </c>
      <c r="Z1348" s="132">
        <v>1.5618487171870754E-2</v>
      </c>
      <c r="AA1348" s="129">
        <v>1.5629275709718726E-2</v>
      </c>
    </row>
    <row r="1349" spans="19:27" x14ac:dyDescent="0.2">
      <c r="S1349" s="1"/>
      <c r="T1349" s="109"/>
      <c r="W1349" s="130" t="str">
        <f t="shared" si="30"/>
        <v>1w</v>
      </c>
      <c r="X1349" s="128">
        <f>_xll.qlCalendarAdvance(Calendar,X1348,W1349,"f",FALSE)</f>
        <v>48583</v>
      </c>
      <c r="Y1349" s="131">
        <f>_xll.qlCalendarAdvance(Calendar,X1349,NDays&amp;"D")</f>
        <v>48585</v>
      </c>
      <c r="Z1349" s="132">
        <v>1.561197753864807E-2</v>
      </c>
      <c r="AA1349" s="129">
        <v>1.5622929625100923E-2</v>
      </c>
    </row>
    <row r="1350" spans="19:27" x14ac:dyDescent="0.2">
      <c r="S1350" s="1"/>
      <c r="T1350" s="109"/>
      <c r="W1350" s="130" t="str">
        <f t="shared" si="30"/>
        <v>1w</v>
      </c>
      <c r="X1350" s="128">
        <f>_xll.qlCalendarAdvance(Calendar,X1349,W1350,"f",FALSE)</f>
        <v>48590</v>
      </c>
      <c r="Y1350" s="131">
        <f>_xll.qlCalendarAdvance(Calendar,X1350,NDays&amp;"D")</f>
        <v>48592</v>
      </c>
      <c r="Z1350" s="132">
        <v>1.5605446042800786E-2</v>
      </c>
      <c r="AA1350" s="129">
        <v>1.5616561751512492E-2</v>
      </c>
    </row>
    <row r="1351" spans="19:27" x14ac:dyDescent="0.2">
      <c r="S1351" s="1"/>
      <c r="T1351" s="109"/>
      <c r="W1351" s="130" t="str">
        <f t="shared" si="30"/>
        <v>1w</v>
      </c>
      <c r="X1351" s="128">
        <f>_xll.qlCalendarAdvance(Calendar,X1350,W1351,"f",FALSE)</f>
        <v>48597</v>
      </c>
      <c r="Y1351" s="131">
        <f>_xll.qlCalendarAdvance(Calendar,X1351,NDays&amp;"D")</f>
        <v>48599</v>
      </c>
      <c r="Z1351" s="132">
        <v>1.5598892684435484E-2</v>
      </c>
      <c r="AA1351" s="129">
        <v>1.5610172088953433E-2</v>
      </c>
    </row>
    <row r="1352" spans="19:27" x14ac:dyDescent="0.2">
      <c r="S1352" s="1"/>
      <c r="T1352" s="109"/>
      <c r="W1352" s="130" t="str">
        <f t="shared" si="30"/>
        <v>1w</v>
      </c>
      <c r="X1352" s="128">
        <f>_xll.qlCalendarAdvance(Calendar,X1351,W1352,"f",FALSE)</f>
        <v>48604</v>
      </c>
      <c r="Y1352" s="131">
        <f>_xll.qlCalendarAdvance(Calendar,X1352,NDays&amp;"D")</f>
        <v>48606</v>
      </c>
      <c r="Z1352" s="132">
        <v>1.5592317463660521E-2</v>
      </c>
      <c r="AA1352" s="129">
        <v>1.5603760637263875E-2</v>
      </c>
    </row>
    <row r="1353" spans="19:27" x14ac:dyDescent="0.2">
      <c r="S1353" s="1"/>
      <c r="T1353" s="109"/>
      <c r="W1353" s="130" t="str">
        <f t="shared" si="30"/>
        <v>1w</v>
      </c>
      <c r="X1353" s="128">
        <f>_xll.qlCalendarAdvance(Calendar,X1352,W1353,"f",FALSE)</f>
        <v>48611</v>
      </c>
      <c r="Y1353" s="131">
        <f>_xll.qlCalendarAdvance(Calendar,X1353,NDays&amp;"D")</f>
        <v>48613</v>
      </c>
      <c r="Z1353" s="132">
        <v>1.5585858695306279E-2</v>
      </c>
      <c r="AA1353" s="129">
        <v>1.5597327396683625E-2</v>
      </c>
    </row>
    <row r="1354" spans="19:27" x14ac:dyDescent="0.2">
      <c r="S1354" s="1"/>
      <c r="T1354" s="109"/>
      <c r="W1354" s="130" t="str">
        <f t="shared" si="30"/>
        <v>1w</v>
      </c>
      <c r="X1354" s="128">
        <f>_xll.qlCalendarAdvance(Calendar,X1353,W1354,"f",FALSE)</f>
        <v>48618</v>
      </c>
      <c r="Y1354" s="131">
        <f>_xll.qlCalendarAdvance(Calendar,X1354,NDays&amp;"D")</f>
        <v>48620</v>
      </c>
      <c r="Z1354" s="132">
        <v>1.5579241597485584E-2</v>
      </c>
      <c r="AA1354" s="129">
        <v>1.559087236705281E-2</v>
      </c>
    </row>
    <row r="1355" spans="19:27" x14ac:dyDescent="0.2">
      <c r="S1355" s="1"/>
      <c r="T1355" s="109"/>
      <c r="W1355" s="130" t="str">
        <f t="shared" si="30"/>
        <v>1w</v>
      </c>
      <c r="X1355" s="128">
        <f>_xll.qlCalendarAdvance(Calendar,X1354,W1355,"f",FALSE)</f>
        <v>48625</v>
      </c>
      <c r="Y1355" s="131">
        <f>_xll.qlCalendarAdvance(Calendar,X1355,NDays&amp;"D")</f>
        <v>48627</v>
      </c>
      <c r="Z1355" s="132">
        <v>1.557260263839165E-2</v>
      </c>
      <c r="AA1355" s="129">
        <v>1.5584395548451369E-2</v>
      </c>
    </row>
    <row r="1356" spans="19:27" x14ac:dyDescent="0.2">
      <c r="S1356" s="1"/>
      <c r="T1356" s="109"/>
      <c r="W1356" s="130" t="str">
        <f t="shared" si="30"/>
        <v>1w</v>
      </c>
      <c r="X1356" s="128">
        <f>_xll.qlCalendarAdvance(Calendar,X1355,W1356,"f",FALSE)</f>
        <v>48632</v>
      </c>
      <c r="Y1356" s="131">
        <f>_xll.qlCalendarAdvance(Calendar,X1356,NDays&amp;"D")</f>
        <v>48634</v>
      </c>
      <c r="Z1356" s="132">
        <v>1.5565941818135845E-2</v>
      </c>
      <c r="AA1356" s="129">
        <v>1.5577896940799363E-2</v>
      </c>
    </row>
    <row r="1357" spans="19:27" x14ac:dyDescent="0.2">
      <c r="S1357" s="1"/>
      <c r="T1357" s="109"/>
      <c r="W1357" s="130" t="str">
        <f t="shared" si="30"/>
        <v>1w</v>
      </c>
      <c r="X1357" s="128">
        <f>_xll.qlCalendarAdvance(Calendar,X1356,W1357,"f",FALSE)</f>
        <v>48639</v>
      </c>
      <c r="Y1357" s="131">
        <f>_xll.qlCalendarAdvance(Calendar,X1357,NDays&amp;"D")</f>
        <v>48641</v>
      </c>
      <c r="Z1357" s="132">
        <v>1.5558821466668659E-2</v>
      </c>
      <c r="AA1357" s="129">
        <v>1.5571376544256665E-2</v>
      </c>
    </row>
    <row r="1358" spans="19:27" x14ac:dyDescent="0.2">
      <c r="S1358" s="1"/>
      <c r="T1358" s="109"/>
      <c r="W1358" s="130" t="str">
        <f t="shared" si="30"/>
        <v>1w</v>
      </c>
      <c r="X1358" s="128">
        <f>_xll.qlCalendarAdvance(Calendar,X1357,W1358,"f",FALSE)</f>
        <v>48646</v>
      </c>
      <c r="Y1358" s="131">
        <f>_xll.qlCalendarAdvance(Calendar,X1358,NDays&amp;"D")</f>
        <v>48648</v>
      </c>
      <c r="Z1358" s="132">
        <v>1.5552111371903614E-2</v>
      </c>
      <c r="AA1358" s="129">
        <v>1.5564834358583468E-2</v>
      </c>
    </row>
    <row r="1359" spans="19:27" x14ac:dyDescent="0.2">
      <c r="S1359" s="1"/>
      <c r="T1359" s="109"/>
      <c r="W1359" s="130" t="str">
        <f t="shared" si="30"/>
        <v>1w</v>
      </c>
      <c r="X1359" s="128">
        <f>_xll.qlCalendarAdvance(Calendar,X1358,W1359,"f",FALSE)</f>
        <v>48653</v>
      </c>
      <c r="Y1359" s="131">
        <f>_xll.qlCalendarAdvance(Calendar,X1359,NDays&amp;"D")</f>
        <v>48655</v>
      </c>
      <c r="Z1359" s="132">
        <v>1.5545379413869114E-2</v>
      </c>
      <c r="AA1359" s="129">
        <v>1.5558270383939643E-2</v>
      </c>
    </row>
    <row r="1360" spans="19:27" x14ac:dyDescent="0.2">
      <c r="S1360" s="1"/>
      <c r="T1360" s="109"/>
      <c r="W1360" s="130" t="str">
        <f t="shared" si="30"/>
        <v>1w</v>
      </c>
      <c r="X1360" s="128">
        <f>_xll.qlCalendarAdvance(Calendar,X1359,W1360,"f",FALSE)</f>
        <v>48660</v>
      </c>
      <c r="Y1360" s="131">
        <f>_xll.qlCalendarAdvance(Calendar,X1360,NDays&amp;"D")</f>
        <v>48662</v>
      </c>
      <c r="Z1360" s="132">
        <v>1.5538625592677241E-2</v>
      </c>
      <c r="AA1360" s="129">
        <v>1.5551684620405126E-2</v>
      </c>
    </row>
    <row r="1361" spans="19:27" x14ac:dyDescent="0.2">
      <c r="S1361" s="1"/>
      <c r="T1361" s="109"/>
      <c r="W1361" s="130" t="str">
        <f t="shared" si="30"/>
        <v>1w</v>
      </c>
      <c r="X1361" s="128">
        <f>_xll.qlCalendarAdvance(Calendar,X1360,W1361,"f",FALSE)</f>
        <v>48667</v>
      </c>
      <c r="Y1361" s="131">
        <f>_xll.qlCalendarAdvance(Calendar,X1361,NDays&amp;"D")</f>
        <v>48669</v>
      </c>
      <c r="Z1361" s="132">
        <v>1.5532003387830022E-2</v>
      </c>
      <c r="AA1361" s="129">
        <v>1.5545077067820046E-2</v>
      </c>
    </row>
    <row r="1362" spans="19:27" x14ac:dyDescent="0.2">
      <c r="S1362" s="1"/>
      <c r="T1362" s="109"/>
      <c r="W1362" s="130" t="str">
        <f t="shared" si="30"/>
        <v>1w</v>
      </c>
      <c r="X1362" s="128">
        <f>_xll.qlCalendarAdvance(Calendar,X1361,W1362,"f",FALSE)</f>
        <v>48674</v>
      </c>
      <c r="Y1362" s="131">
        <f>_xll.qlCalendarAdvance(Calendar,X1362,NDays&amp;"D")</f>
        <v>48676</v>
      </c>
      <c r="Z1362" s="132">
        <v>1.5525207694853764E-2</v>
      </c>
      <c r="AA1362" s="129">
        <v>1.5538447726104465E-2</v>
      </c>
    </row>
    <row r="1363" spans="19:27" x14ac:dyDescent="0.2">
      <c r="S1363" s="1"/>
      <c r="T1363" s="109"/>
      <c r="W1363" s="130" t="str">
        <f t="shared" si="30"/>
        <v>1w</v>
      </c>
      <c r="X1363" s="128">
        <f>_xll.qlCalendarAdvance(Calendar,X1362,W1363,"f",FALSE)</f>
        <v>48681</v>
      </c>
      <c r="Y1363" s="131">
        <f>_xll.qlCalendarAdvance(Calendar,X1363,NDays&amp;"D")</f>
        <v>48683</v>
      </c>
      <c r="Z1363" s="132">
        <v>1.5518390139863768E-2</v>
      </c>
      <c r="AA1363" s="129">
        <v>1.5531231758840747E-2</v>
      </c>
    </row>
    <row r="1364" spans="19:27" x14ac:dyDescent="0.2">
      <c r="S1364" s="1"/>
      <c r="T1364" s="109"/>
      <c r="W1364" s="130" t="str">
        <f t="shared" si="30"/>
        <v>1w</v>
      </c>
      <c r="X1364" s="128">
        <f>_xll.qlCalendarAdvance(Calendar,X1363,W1364,"f",FALSE)</f>
        <v>48688</v>
      </c>
      <c r="Y1364" s="131">
        <f>_xll.qlCalendarAdvance(Calendar,X1364,NDays&amp;"D")</f>
        <v>48690</v>
      </c>
      <c r="Z1364" s="132">
        <v>1.5511550722972471E-2</v>
      </c>
      <c r="AA1364" s="129">
        <v>1.5525123676001229E-2</v>
      </c>
    </row>
    <row r="1365" spans="19:27" x14ac:dyDescent="0.2">
      <c r="S1365" s="1"/>
      <c r="T1365" s="109"/>
      <c r="W1365" s="130" t="str">
        <f t="shared" ref="W1365:W1428" si="31">W1364</f>
        <v>1w</v>
      </c>
      <c r="X1365" s="128">
        <f>_xll.qlCalendarAdvance(Calendar,X1364,W1365,"f",FALSE)</f>
        <v>48695</v>
      </c>
      <c r="Y1365" s="131">
        <f>_xll.qlCalendarAdvance(Calendar,X1365,NDays&amp;"D")</f>
        <v>48697</v>
      </c>
      <c r="Z1365" s="132">
        <v>1.550468944429231E-2</v>
      </c>
      <c r="AA1365" s="129">
        <v>1.5518428967453701E-2</v>
      </c>
    </row>
    <row r="1366" spans="19:27" x14ac:dyDescent="0.2">
      <c r="S1366" s="1"/>
      <c r="T1366" s="109"/>
      <c r="W1366" s="130" t="str">
        <f t="shared" si="31"/>
        <v>1w</v>
      </c>
      <c r="X1366" s="128">
        <f>_xll.qlCalendarAdvance(Calendar,X1365,W1366,"f",FALSE)</f>
        <v>48702</v>
      </c>
      <c r="Y1366" s="131">
        <f>_xll.qlCalendarAdvance(Calendar,X1366,NDays&amp;"D")</f>
        <v>48704</v>
      </c>
      <c r="Z1366" s="132">
        <v>1.5497643545549188E-2</v>
      </c>
      <c r="AA1366" s="129">
        <v>1.5511712469935546E-2</v>
      </c>
    </row>
    <row r="1367" spans="19:27" x14ac:dyDescent="0.2">
      <c r="S1367" s="1"/>
      <c r="T1367" s="109"/>
      <c r="W1367" s="130" t="str">
        <f t="shared" si="31"/>
        <v>1w</v>
      </c>
      <c r="X1367" s="128">
        <f>_xll.qlCalendarAdvance(Calendar,X1366,W1367,"f",FALSE)</f>
        <v>48709</v>
      </c>
      <c r="Y1367" s="131">
        <f>_xll.qlCalendarAdvance(Calendar,X1367,NDays&amp;"D")</f>
        <v>48711</v>
      </c>
      <c r="Z1367" s="132">
        <v>1.5490736685429697E-2</v>
      </c>
      <c r="AA1367" s="129">
        <v>1.5504974183446762E-2</v>
      </c>
    </row>
    <row r="1368" spans="19:27" x14ac:dyDescent="0.2">
      <c r="S1368" s="1"/>
      <c r="T1368" s="109"/>
      <c r="W1368" s="130" t="str">
        <f t="shared" si="31"/>
        <v>1w</v>
      </c>
      <c r="X1368" s="128">
        <f>_xll.qlCalendarAdvance(Calendar,X1367,W1368,"f",FALSE)</f>
        <v>48716</v>
      </c>
      <c r="Y1368" s="131">
        <f>_xll.qlCalendarAdvance(Calendar,X1368,NDays&amp;"D")</f>
        <v>48718</v>
      </c>
      <c r="Z1368" s="132">
        <v>1.5483807963065149E-2</v>
      </c>
      <c r="AA1368" s="129">
        <v>1.5498214107907415E-2</v>
      </c>
    </row>
    <row r="1369" spans="19:27" x14ac:dyDescent="0.2">
      <c r="S1369" s="1"/>
      <c r="T1369" s="109"/>
      <c r="W1369" s="130" t="str">
        <f t="shared" si="31"/>
        <v>1w</v>
      </c>
      <c r="X1369" s="128">
        <f>_xll.qlCalendarAdvance(Calendar,X1368,W1369,"f",FALSE)</f>
        <v>48723</v>
      </c>
      <c r="Y1369" s="131">
        <f>_xll.qlCalendarAdvance(Calendar,X1369,NDays&amp;"D")</f>
        <v>48725</v>
      </c>
      <c r="Z1369" s="132">
        <v>1.5476857378570236E-2</v>
      </c>
      <c r="AA1369" s="129">
        <v>1.5491432243317504E-2</v>
      </c>
    </row>
    <row r="1370" spans="19:27" x14ac:dyDescent="0.2">
      <c r="S1370" s="1"/>
      <c r="T1370" s="109"/>
      <c r="W1370" s="130" t="str">
        <f t="shared" si="31"/>
        <v>1w</v>
      </c>
      <c r="X1370" s="128">
        <f>_xll.qlCalendarAdvance(Calendar,X1369,W1370,"f",FALSE)</f>
        <v>48730</v>
      </c>
      <c r="Y1370" s="131">
        <f>_xll.qlCalendarAdvance(Calendar,X1370,NDays&amp;"D")</f>
        <v>48732</v>
      </c>
      <c r="Z1370" s="132">
        <v>1.5469884932063988E-2</v>
      </c>
      <c r="AA1370" s="129">
        <v>1.5484628589836902E-2</v>
      </c>
    </row>
    <row r="1371" spans="19:27" x14ac:dyDescent="0.2">
      <c r="S1371" s="1"/>
      <c r="T1371" s="109"/>
      <c r="W1371" s="130" t="str">
        <f t="shared" si="31"/>
        <v>1w</v>
      </c>
      <c r="X1371" s="128">
        <f>_xll.qlCalendarAdvance(Calendar,X1370,W1371,"f",FALSE)</f>
        <v>48737</v>
      </c>
      <c r="Y1371" s="131">
        <f>_xll.qlCalendarAdvance(Calendar,X1371,NDays&amp;"D")</f>
        <v>48739</v>
      </c>
      <c r="Z1371" s="132">
        <v>1.5462890623658495E-2</v>
      </c>
      <c r="AA1371" s="129">
        <v>1.5477803147305735E-2</v>
      </c>
    </row>
    <row r="1372" spans="19:27" x14ac:dyDescent="0.2">
      <c r="S1372" s="1"/>
      <c r="T1372" s="109"/>
      <c r="W1372" s="130" t="str">
        <f t="shared" si="31"/>
        <v>1w</v>
      </c>
      <c r="X1372" s="128">
        <f>_xll.qlCalendarAdvance(Calendar,X1371,W1372,"f",FALSE)</f>
        <v>48744</v>
      </c>
      <c r="Y1372" s="131">
        <f>_xll.qlCalendarAdvance(Calendar,X1372,NDays&amp;"D")</f>
        <v>48746</v>
      </c>
      <c r="Z1372" s="132">
        <v>1.5455874453473658E-2</v>
      </c>
      <c r="AA1372" s="129">
        <v>1.5470955915963813E-2</v>
      </c>
    </row>
    <row r="1373" spans="19:27" x14ac:dyDescent="0.2">
      <c r="S1373" s="1"/>
      <c r="T1373" s="109"/>
      <c r="W1373" s="130" t="str">
        <f t="shared" si="31"/>
        <v>1w</v>
      </c>
      <c r="X1373" s="128">
        <f>_xll.qlCalendarAdvance(Calendar,X1372,W1373,"f",FALSE)</f>
        <v>48751</v>
      </c>
      <c r="Y1373" s="131">
        <f>_xll.qlCalendarAdvance(Calendar,X1373,NDays&amp;"D")</f>
        <v>48753</v>
      </c>
      <c r="Z1373" s="132">
        <v>1.5448836421625037E-2</v>
      </c>
      <c r="AA1373" s="129">
        <v>1.5464086895491391E-2</v>
      </c>
    </row>
    <row r="1374" spans="19:27" x14ac:dyDescent="0.2">
      <c r="S1374" s="1"/>
      <c r="T1374" s="109"/>
      <c r="W1374" s="130" t="str">
        <f t="shared" si="31"/>
        <v>1w</v>
      </c>
      <c r="X1374" s="128">
        <f>_xll.qlCalendarAdvance(Calendar,X1373,W1374,"f",FALSE)</f>
        <v>48758</v>
      </c>
      <c r="Y1374" s="131">
        <f>_xll.qlCalendarAdvance(Calendar,X1374,NDays&amp;"D")</f>
        <v>48760</v>
      </c>
      <c r="Z1374" s="132">
        <v>1.5441776528232537E-2</v>
      </c>
      <c r="AA1374" s="129">
        <v>1.5457196086128278E-2</v>
      </c>
    </row>
    <row r="1375" spans="19:27" x14ac:dyDescent="0.2">
      <c r="S1375" s="1"/>
      <c r="T1375" s="109"/>
      <c r="W1375" s="130" t="str">
        <f t="shared" si="31"/>
        <v>1w</v>
      </c>
      <c r="X1375" s="128">
        <f>_xll.qlCalendarAdvance(Calendar,X1374,W1375,"f",FALSE)</f>
        <v>48765</v>
      </c>
      <c r="Y1375" s="131">
        <f>_xll.qlCalendarAdvance(Calendar,X1375,NDays&amp;"D")</f>
        <v>48767</v>
      </c>
      <c r="Z1375" s="132">
        <v>1.5434694773410848E-2</v>
      </c>
      <c r="AA1375" s="129">
        <v>1.5450283487794536E-2</v>
      </c>
    </row>
    <row r="1376" spans="19:27" x14ac:dyDescent="0.2">
      <c r="S1376" s="1"/>
      <c r="T1376" s="109"/>
      <c r="W1376" s="130" t="str">
        <f t="shared" si="31"/>
        <v>1w</v>
      </c>
      <c r="X1376" s="128">
        <f>_xll.qlCalendarAdvance(Calendar,X1375,W1376,"f",FALSE)</f>
        <v>48772</v>
      </c>
      <c r="Y1376" s="131">
        <f>_xll.qlCalendarAdvance(Calendar,X1376,NDays&amp;"D")</f>
        <v>48774</v>
      </c>
      <c r="Z1376" s="132">
        <v>1.5427591157279876E-2</v>
      </c>
      <c r="AA1376" s="129">
        <v>1.5443349100330295E-2</v>
      </c>
    </row>
    <row r="1377" spans="19:27" x14ac:dyDescent="0.2">
      <c r="S1377" s="1"/>
      <c r="T1377" s="109"/>
      <c r="W1377" s="130" t="str">
        <f t="shared" si="31"/>
        <v>1w</v>
      </c>
      <c r="X1377" s="128">
        <f>_xll.qlCalendarAdvance(Calendar,X1376,W1377,"f",FALSE)</f>
        <v>48779</v>
      </c>
      <c r="Y1377" s="131">
        <f>_xll.qlCalendarAdvance(Calendar,X1377,NDays&amp;"D")</f>
        <v>48781</v>
      </c>
      <c r="Z1377" s="132">
        <v>1.5420465679958653E-2</v>
      </c>
      <c r="AA1377" s="129">
        <v>1.5436392924055298E-2</v>
      </c>
    </row>
    <row r="1378" spans="19:27" x14ac:dyDescent="0.2">
      <c r="S1378" s="1"/>
      <c r="T1378" s="109"/>
      <c r="W1378" s="130" t="str">
        <f t="shared" si="31"/>
        <v>1w</v>
      </c>
      <c r="X1378" s="128">
        <f>_xll.qlCalendarAdvance(Calendar,X1377,W1378,"f",FALSE)</f>
        <v>48786</v>
      </c>
      <c r="Y1378" s="131">
        <f>_xll.qlCalendarAdvance(Calendar,X1378,NDays&amp;"D")</f>
        <v>48788</v>
      </c>
      <c r="Z1378" s="132">
        <v>1.5413318341565346E-2</v>
      </c>
      <c r="AA1378" s="129">
        <v>1.5429414958729737E-2</v>
      </c>
    </row>
    <row r="1379" spans="19:27" x14ac:dyDescent="0.2">
      <c r="S1379" s="1"/>
      <c r="T1379" s="109"/>
      <c r="W1379" s="130" t="str">
        <f t="shared" si="31"/>
        <v>1w</v>
      </c>
      <c r="X1379" s="128">
        <f>_xll.qlCalendarAdvance(Calendar,X1378,W1379,"f",FALSE)</f>
        <v>48793</v>
      </c>
      <c r="Y1379" s="131">
        <f>_xll.qlCalendarAdvance(Calendar,X1379,NDays&amp;"D")</f>
        <v>48795</v>
      </c>
      <c r="Z1379" s="132">
        <v>1.5406149142218993E-2</v>
      </c>
      <c r="AA1379" s="129">
        <v>1.5422415204433548E-2</v>
      </c>
    </row>
    <row r="1380" spans="19:27" x14ac:dyDescent="0.2">
      <c r="S1380" s="1"/>
      <c r="T1380" s="109"/>
      <c r="W1380" s="130" t="str">
        <f t="shared" si="31"/>
        <v>1w</v>
      </c>
      <c r="X1380" s="128">
        <f>_xll.qlCalendarAdvance(Calendar,X1379,W1380,"f",FALSE)</f>
        <v>48800</v>
      </c>
      <c r="Y1380" s="131">
        <f>_xll.qlCalendarAdvance(Calendar,X1380,NDays&amp;"D")</f>
        <v>48802</v>
      </c>
      <c r="Z1380" s="132">
        <v>1.5398958082042103E-2</v>
      </c>
      <c r="AA1380" s="129">
        <v>1.5415393661246668E-2</v>
      </c>
    </row>
    <row r="1381" spans="19:27" x14ac:dyDescent="0.2">
      <c r="S1381" s="1"/>
      <c r="T1381" s="109"/>
      <c r="W1381" s="130" t="str">
        <f t="shared" si="31"/>
        <v>1w</v>
      </c>
      <c r="X1381" s="128">
        <f>_xll.qlCalendarAdvance(Calendar,X1380,W1381,"f",FALSE)</f>
        <v>48807</v>
      </c>
      <c r="Y1381" s="131">
        <f>_xll.qlCalendarAdvance(Calendar,X1381,NDays&amp;"D")</f>
        <v>48809</v>
      </c>
      <c r="Z1381" s="132">
        <v>1.5391745161151103E-2</v>
      </c>
      <c r="AA1381" s="129">
        <v>1.5408350329009224E-2</v>
      </c>
    </row>
    <row r="1382" spans="19:27" x14ac:dyDescent="0.2">
      <c r="S1382" s="1"/>
      <c r="T1382" s="109"/>
      <c r="W1382" s="130" t="str">
        <f t="shared" si="31"/>
        <v>1w</v>
      </c>
      <c r="X1382" s="128">
        <f>_xll.qlCalendarAdvance(Calendar,X1381,W1382,"f",FALSE)</f>
        <v>48814</v>
      </c>
      <c r="Y1382" s="131">
        <f>_xll.qlCalendarAdvance(Calendar,X1382,NDays&amp;"D")</f>
        <v>48816</v>
      </c>
      <c r="Z1382" s="132">
        <v>1.5384510379668507E-2</v>
      </c>
      <c r="AA1382" s="129">
        <v>1.5401285207801152E-2</v>
      </c>
    </row>
    <row r="1383" spans="19:27" x14ac:dyDescent="0.2">
      <c r="S1383" s="1"/>
      <c r="T1383" s="109"/>
      <c r="W1383" s="130" t="str">
        <f t="shared" si="31"/>
        <v>1w</v>
      </c>
      <c r="X1383" s="128">
        <f>_xll.qlCalendarAdvance(Calendar,X1382,W1383,"f",FALSE)</f>
        <v>48821</v>
      </c>
      <c r="Y1383" s="131">
        <f>_xll.qlCalendarAdvance(Calendar,X1383,NDays&amp;"D")</f>
        <v>48823</v>
      </c>
      <c r="Z1383" s="132">
        <v>1.5377448193246409E-2</v>
      </c>
      <c r="AA1383" s="129">
        <v>1.5394198297702388E-2</v>
      </c>
    </row>
    <row r="1384" spans="19:27" x14ac:dyDescent="0.2">
      <c r="S1384" s="1"/>
      <c r="T1384" s="109"/>
      <c r="W1384" s="130" t="str">
        <f t="shared" si="31"/>
        <v>1w</v>
      </c>
      <c r="X1384" s="128">
        <f>_xll.qlCalendarAdvance(Calendar,X1383,W1384,"f",FALSE)</f>
        <v>48828</v>
      </c>
      <c r="Y1384" s="131">
        <f>_xll.qlCalendarAdvance(Calendar,X1384,NDays&amp;"D")</f>
        <v>48830</v>
      </c>
      <c r="Z1384" s="132">
        <v>1.5370171562538311E-2</v>
      </c>
      <c r="AA1384" s="129">
        <v>1.5387089598553061E-2</v>
      </c>
    </row>
    <row r="1385" spans="19:27" x14ac:dyDescent="0.2">
      <c r="S1385" s="1"/>
      <c r="T1385" s="109"/>
      <c r="W1385" s="130" t="str">
        <f t="shared" si="31"/>
        <v>1w</v>
      </c>
      <c r="X1385" s="128">
        <f>_xll.qlCalendarAdvance(Calendar,X1384,W1385,"f",FALSE)</f>
        <v>48835</v>
      </c>
      <c r="Y1385" s="131">
        <f>_xll.qlCalendarAdvance(Calendar,X1385,NDays&amp;"D")</f>
        <v>48837</v>
      </c>
      <c r="Z1385" s="132">
        <v>1.5362873072377945E-2</v>
      </c>
      <c r="AA1385" s="129">
        <v>1.5379959110513042E-2</v>
      </c>
    </row>
    <row r="1386" spans="19:27" x14ac:dyDescent="0.2">
      <c r="S1386" s="1"/>
      <c r="T1386" s="109"/>
      <c r="W1386" s="130" t="str">
        <f t="shared" si="31"/>
        <v>1w</v>
      </c>
      <c r="X1386" s="128">
        <f>_xll.qlCalendarAdvance(Calendar,X1385,W1386,"f",FALSE)</f>
        <v>48842</v>
      </c>
      <c r="Y1386" s="131">
        <f>_xll.qlCalendarAdvance(Calendar,X1386,NDays&amp;"D")</f>
        <v>48844</v>
      </c>
      <c r="Z1386" s="132">
        <v>1.5355552722884773E-2</v>
      </c>
      <c r="AA1386" s="129">
        <v>1.5372806833422459E-2</v>
      </c>
    </row>
    <row r="1387" spans="19:27" x14ac:dyDescent="0.2">
      <c r="S1387" s="1"/>
      <c r="T1387" s="109"/>
      <c r="W1387" s="130" t="str">
        <f t="shared" si="31"/>
        <v>1w</v>
      </c>
      <c r="X1387" s="128">
        <f>_xll.qlCalendarAdvance(Calendar,X1386,W1387,"f",FALSE)</f>
        <v>48849</v>
      </c>
      <c r="Y1387" s="131">
        <f>_xll.qlCalendarAdvance(Calendar,X1387,NDays&amp;"D")</f>
        <v>48851</v>
      </c>
      <c r="Z1387" s="132">
        <v>1.5348210514181775E-2</v>
      </c>
      <c r="AA1387" s="129">
        <v>1.5365632767441184E-2</v>
      </c>
    </row>
    <row r="1388" spans="19:27" x14ac:dyDescent="0.2">
      <c r="S1388" s="1"/>
      <c r="T1388" s="109"/>
      <c r="W1388" s="130" t="str">
        <f t="shared" si="31"/>
        <v>1w</v>
      </c>
      <c r="X1388" s="128">
        <f>_xll.qlCalendarAdvance(Calendar,X1387,W1388,"f",FALSE)</f>
        <v>48856</v>
      </c>
      <c r="Y1388" s="131">
        <f>_xll.qlCalendarAdvance(Calendar,X1388,NDays&amp;"D")</f>
        <v>48858</v>
      </c>
      <c r="Z1388" s="132">
        <v>1.5340642625130034E-2</v>
      </c>
      <c r="AA1388" s="129">
        <v>1.5358436912489282E-2</v>
      </c>
    </row>
    <row r="1389" spans="19:27" x14ac:dyDescent="0.2">
      <c r="S1389" s="1"/>
      <c r="T1389" s="109"/>
      <c r="W1389" s="130" t="str">
        <f t="shared" si="31"/>
        <v>1w</v>
      </c>
      <c r="X1389" s="128">
        <f>_xll.qlCalendarAdvance(Calendar,X1388,W1389,"f",FALSE)</f>
        <v>48863</v>
      </c>
      <c r="Y1389" s="131">
        <f>_xll.qlCalendarAdvance(Calendar,X1389,NDays&amp;"D")</f>
        <v>48865</v>
      </c>
      <c r="Z1389" s="132">
        <v>1.5333254822906142E-2</v>
      </c>
      <c r="AA1389" s="129">
        <v>1.5351219268566751E-2</v>
      </c>
    </row>
    <row r="1390" spans="19:27" x14ac:dyDescent="0.2">
      <c r="S1390" s="1"/>
      <c r="T1390" s="109"/>
      <c r="W1390" s="130" t="str">
        <f t="shared" si="31"/>
        <v>1w</v>
      </c>
      <c r="X1390" s="128">
        <f>_xll.qlCalendarAdvance(Calendar,X1389,W1390,"f",FALSE)</f>
        <v>48870</v>
      </c>
      <c r="Y1390" s="131">
        <f>_xll.qlCalendarAdvance(Calendar,X1390,NDays&amp;"D")</f>
        <v>48872</v>
      </c>
      <c r="Z1390" s="132">
        <v>1.5325845161066392E-2</v>
      </c>
      <c r="AA1390" s="129">
        <v>1.5343979835673593E-2</v>
      </c>
    </row>
    <row r="1391" spans="19:27" x14ac:dyDescent="0.2">
      <c r="S1391" s="1"/>
      <c r="T1391" s="109"/>
      <c r="W1391" s="130" t="str">
        <f t="shared" si="31"/>
        <v>1w</v>
      </c>
      <c r="X1391" s="128">
        <f>_xll.qlCalendarAdvance(Calendar,X1390,W1391,"f",FALSE)</f>
        <v>48877</v>
      </c>
      <c r="Y1391" s="131">
        <f>_xll.qlCalendarAdvance(Calendar,X1391,NDays&amp;"D")</f>
        <v>48879</v>
      </c>
      <c r="Z1391" s="132">
        <v>1.5318413639737643E-2</v>
      </c>
      <c r="AA1391" s="129">
        <v>1.5336718613889744E-2</v>
      </c>
    </row>
    <row r="1392" spans="19:27" x14ac:dyDescent="0.2">
      <c r="S1392" s="1"/>
      <c r="T1392" s="109"/>
      <c r="W1392" s="130" t="str">
        <f t="shared" si="31"/>
        <v>1w</v>
      </c>
      <c r="X1392" s="128">
        <f>_xll.qlCalendarAdvance(Calendar,X1391,W1392,"f",FALSE)</f>
        <v>48884</v>
      </c>
      <c r="Y1392" s="131">
        <f>_xll.qlCalendarAdvance(Calendar,X1392,NDays&amp;"D")</f>
        <v>48886</v>
      </c>
      <c r="Z1392" s="132">
        <v>1.5310960259038926E-2</v>
      </c>
      <c r="AA1392" s="129">
        <v>1.532943560305533E-2</v>
      </c>
    </row>
    <row r="1393" spans="19:27" x14ac:dyDescent="0.2">
      <c r="S1393" s="1"/>
      <c r="T1393" s="109"/>
      <c r="W1393" s="130" t="str">
        <f t="shared" si="31"/>
        <v>1w</v>
      </c>
      <c r="X1393" s="128">
        <f>_xll.qlCalendarAdvance(Calendar,X1392,W1393,"f",FALSE)</f>
        <v>48891</v>
      </c>
      <c r="Y1393" s="131">
        <f>_xll.qlCalendarAdvance(Calendar,X1393,NDays&amp;"D")</f>
        <v>48893</v>
      </c>
      <c r="Z1393" s="132">
        <v>1.5303485019097967E-2</v>
      </c>
      <c r="AA1393" s="129">
        <v>1.5322130803330225E-2</v>
      </c>
    </row>
    <row r="1394" spans="19:27" x14ac:dyDescent="0.2">
      <c r="S1394" s="1"/>
      <c r="T1394" s="109"/>
      <c r="W1394" s="130" t="str">
        <f t="shared" si="31"/>
        <v>1w</v>
      </c>
      <c r="X1394" s="128">
        <f>_xll.qlCalendarAdvance(Calendar,X1393,W1394,"f",FALSE)</f>
        <v>48898</v>
      </c>
      <c r="Y1394" s="131">
        <f>_xll.qlCalendarAdvance(Calendar,X1394,NDays&amp;"D")</f>
        <v>48900</v>
      </c>
      <c r="Z1394" s="132">
        <v>1.5295987920039014E-2</v>
      </c>
      <c r="AA1394" s="129">
        <v>1.5314804214634492E-2</v>
      </c>
    </row>
    <row r="1395" spans="19:27" x14ac:dyDescent="0.2">
      <c r="S1395" s="1"/>
      <c r="T1395" s="109"/>
      <c r="W1395" s="130" t="str">
        <f t="shared" si="31"/>
        <v>1w</v>
      </c>
      <c r="X1395" s="128">
        <f>_xll.qlCalendarAdvance(Calendar,X1394,W1395,"f",FALSE)</f>
        <v>48905</v>
      </c>
      <c r="Y1395" s="131">
        <f>_xll.qlCalendarAdvance(Calendar,X1395,NDays&amp;"D")</f>
        <v>48907</v>
      </c>
      <c r="Z1395" s="132">
        <v>1.5288468961988053E-2</v>
      </c>
      <c r="AA1395" s="129">
        <v>1.5307455837048067E-2</v>
      </c>
    </row>
    <row r="1396" spans="19:27" x14ac:dyDescent="0.2">
      <c r="S1396" s="1"/>
      <c r="T1396" s="109"/>
      <c r="W1396" s="130" t="str">
        <f t="shared" si="31"/>
        <v>1w</v>
      </c>
      <c r="X1396" s="128">
        <f>_xll.qlCalendarAdvance(Calendar,X1395,W1396,"f",FALSE)</f>
        <v>48912</v>
      </c>
      <c r="Y1396" s="131">
        <f>_xll.qlCalendarAdvance(Calendar,X1396,NDays&amp;"D")</f>
        <v>48914</v>
      </c>
      <c r="Z1396" s="132">
        <v>1.528136565233762E-2</v>
      </c>
      <c r="AA1396" s="129">
        <v>1.5300085670411079E-2</v>
      </c>
    </row>
    <row r="1397" spans="19:27" x14ac:dyDescent="0.2">
      <c r="S1397" s="1"/>
      <c r="T1397" s="109"/>
      <c r="W1397" s="130" t="str">
        <f t="shared" si="31"/>
        <v>1w</v>
      </c>
      <c r="X1397" s="128">
        <f>_xll.qlCalendarAdvance(Calendar,X1396,W1397,"f",FALSE)</f>
        <v>48919</v>
      </c>
      <c r="Y1397" s="131">
        <f>_xll.qlCalendarAdvance(Calendar,X1397,NDays&amp;"D")</f>
        <v>48921</v>
      </c>
      <c r="Z1397" s="132">
        <v>1.5273806739704909E-2</v>
      </c>
      <c r="AA1397" s="129">
        <v>1.5292693714883399E-2</v>
      </c>
    </row>
    <row r="1398" spans="19:27" x14ac:dyDescent="0.2">
      <c r="S1398" s="1"/>
      <c r="T1398" s="109"/>
      <c r="W1398" s="130" t="str">
        <f t="shared" si="31"/>
        <v>1w</v>
      </c>
      <c r="X1398" s="128">
        <f>_xll.qlCalendarAdvance(Calendar,X1397,W1398,"f",FALSE)</f>
        <v>48926</v>
      </c>
      <c r="Y1398" s="131">
        <f>_xll.qlCalendarAdvance(Calendar,X1398,NDays&amp;"D")</f>
        <v>48928</v>
      </c>
      <c r="Z1398" s="132">
        <v>1.5266225969973846E-2</v>
      </c>
      <c r="AA1398" s="129">
        <v>1.5285279970385091E-2</v>
      </c>
    </row>
    <row r="1399" spans="19:27" x14ac:dyDescent="0.2">
      <c r="S1399" s="1"/>
      <c r="T1399" s="109"/>
      <c r="W1399" s="130" t="str">
        <f t="shared" si="31"/>
        <v>1w</v>
      </c>
      <c r="X1399" s="128">
        <f>_xll.qlCalendarAdvance(Calendar,X1398,W1399,"f",FALSE)</f>
        <v>48933</v>
      </c>
      <c r="Y1399" s="131">
        <f>_xll.qlCalendarAdvance(Calendar,X1399,NDays&amp;"D")</f>
        <v>48935</v>
      </c>
      <c r="Z1399" s="132">
        <v>1.5258623343266997E-2</v>
      </c>
      <c r="AA1399" s="129">
        <v>1.5277844436996091E-2</v>
      </c>
    </row>
    <row r="1400" spans="19:27" x14ac:dyDescent="0.2">
      <c r="S1400" s="1"/>
      <c r="T1400" s="109"/>
      <c r="W1400" s="130" t="str">
        <f t="shared" si="31"/>
        <v>1w</v>
      </c>
      <c r="X1400" s="128">
        <f>_xll.qlCalendarAdvance(Calendar,X1399,W1400,"f",FALSE)</f>
        <v>48940</v>
      </c>
      <c r="Y1400" s="131">
        <f>_xll.qlCalendarAdvance(Calendar,X1400,NDays&amp;"D")</f>
        <v>48942</v>
      </c>
      <c r="Z1400" s="132">
        <v>1.5250998859709597E-2</v>
      </c>
      <c r="AA1400" s="129">
        <v>1.5270387114556527E-2</v>
      </c>
    </row>
    <row r="1401" spans="19:27" x14ac:dyDescent="0.2">
      <c r="S1401" s="1"/>
      <c r="T1401" s="109"/>
      <c r="W1401" s="130" t="str">
        <f t="shared" si="31"/>
        <v>1w</v>
      </c>
      <c r="X1401" s="128">
        <f>_xll.qlCalendarAdvance(Calendar,X1400,W1401,"f",FALSE)</f>
        <v>48947</v>
      </c>
      <c r="Y1401" s="131">
        <f>_xll.qlCalendarAdvance(Calendar,X1401,NDays&amp;"D")</f>
        <v>48949</v>
      </c>
      <c r="Z1401" s="132">
        <v>1.5243352519425102E-2</v>
      </c>
      <c r="AA1401" s="129">
        <v>1.5262908003306208E-2</v>
      </c>
    </row>
    <row r="1402" spans="19:27" x14ac:dyDescent="0.2">
      <c r="S1402" s="1"/>
      <c r="T1402" s="109"/>
      <c r="W1402" s="130" t="str">
        <f t="shared" si="31"/>
        <v>1w</v>
      </c>
      <c r="X1402" s="128">
        <f>_xll.qlCalendarAdvance(Calendar,X1401,W1402,"f",FALSE)</f>
        <v>48954</v>
      </c>
      <c r="Y1402" s="131">
        <f>_xll.qlCalendarAdvance(Calendar,X1402,NDays&amp;"D")</f>
        <v>48956</v>
      </c>
      <c r="Z1402" s="132">
        <v>1.5235684322539633E-2</v>
      </c>
      <c r="AA1402" s="129">
        <v>1.5255407103005325E-2</v>
      </c>
    </row>
    <row r="1403" spans="19:27" x14ac:dyDescent="0.2">
      <c r="S1403" s="1"/>
      <c r="T1403" s="109"/>
      <c r="W1403" s="130" t="str">
        <f t="shared" si="31"/>
        <v>1w</v>
      </c>
      <c r="X1403" s="128">
        <f>_xll.qlCalendarAdvance(Calendar,X1402,W1403,"f",FALSE)</f>
        <v>48961</v>
      </c>
      <c r="Y1403" s="131">
        <f>_xll.qlCalendarAdvance(Calendar,X1403,NDays&amp;"D")</f>
        <v>48963</v>
      </c>
      <c r="Z1403" s="132">
        <v>1.5227994269177536E-2</v>
      </c>
      <c r="AA1403" s="129">
        <v>1.524788441381375E-2</v>
      </c>
    </row>
    <row r="1404" spans="19:27" x14ac:dyDescent="0.2">
      <c r="S1404" s="1"/>
      <c r="T1404" s="109"/>
      <c r="W1404" s="130" t="str">
        <f t="shared" si="31"/>
        <v>1w</v>
      </c>
      <c r="X1404" s="128">
        <f>_xll.qlCalendarAdvance(Calendar,X1403,W1404,"f",FALSE)</f>
        <v>48968</v>
      </c>
      <c r="Y1404" s="131">
        <f>_xll.qlCalendarAdvance(Calendar,X1404,NDays&amp;"D")</f>
        <v>48970</v>
      </c>
      <c r="Z1404" s="132">
        <v>1.5220282359464044E-2</v>
      </c>
      <c r="AA1404" s="129">
        <v>1.5240339935731484E-2</v>
      </c>
    </row>
    <row r="1405" spans="19:27" x14ac:dyDescent="0.2">
      <c r="S1405" s="1"/>
      <c r="T1405" s="109"/>
      <c r="W1405" s="130" t="str">
        <f t="shared" si="31"/>
        <v>1w</v>
      </c>
      <c r="X1405" s="128">
        <f>_xll.qlCalendarAdvance(Calendar,X1404,W1405,"f",FALSE)</f>
        <v>48975</v>
      </c>
      <c r="Y1405" s="131">
        <f>_xll.qlCalendarAdvance(Calendar,X1405,NDays&amp;"D")</f>
        <v>48977</v>
      </c>
      <c r="Z1405" s="132">
        <v>1.5212784028012254E-2</v>
      </c>
      <c r="AA1405" s="129">
        <v>1.5232773668598654E-2</v>
      </c>
    </row>
    <row r="1406" spans="19:27" x14ac:dyDescent="0.2">
      <c r="S1406" s="1"/>
      <c r="T1406" s="109"/>
      <c r="W1406" s="130" t="str">
        <f t="shared" si="31"/>
        <v>1w</v>
      </c>
      <c r="X1406" s="128">
        <f>_xll.qlCalendarAdvance(Calendar,X1405,W1406,"f",FALSE)</f>
        <v>48982</v>
      </c>
      <c r="Y1406" s="131">
        <f>_xll.qlCalendarAdvance(Calendar,X1406,NDays&amp;"D")</f>
        <v>48984</v>
      </c>
      <c r="Z1406" s="132">
        <v>1.5205030294080485E-2</v>
      </c>
      <c r="AA1406" s="129">
        <v>1.5225185612655068E-2</v>
      </c>
    </row>
    <row r="1407" spans="19:27" x14ac:dyDescent="0.2">
      <c r="S1407" s="1"/>
      <c r="T1407" s="109"/>
      <c r="W1407" s="130" t="str">
        <f t="shared" si="31"/>
        <v>1w</v>
      </c>
      <c r="X1407" s="128">
        <f>_xll.qlCalendarAdvance(Calendar,X1406,W1407,"f",FALSE)</f>
        <v>48989</v>
      </c>
      <c r="Y1407" s="131">
        <f>_xll.qlCalendarAdvance(Calendar,X1407,NDays&amp;"D")</f>
        <v>48991</v>
      </c>
      <c r="Z1407" s="132">
        <v>1.5197254704921875E-2</v>
      </c>
      <c r="AA1407" s="129">
        <v>1.5217575767660918E-2</v>
      </c>
    </row>
    <row r="1408" spans="19:27" x14ac:dyDescent="0.2">
      <c r="S1408" s="1"/>
      <c r="T1408" s="109"/>
      <c r="W1408" s="130" t="str">
        <f t="shared" si="31"/>
        <v>1w</v>
      </c>
      <c r="X1408" s="128">
        <f>_xll.qlCalendarAdvance(Calendar,X1407,W1408,"f",FALSE)</f>
        <v>48996</v>
      </c>
      <c r="Y1408" s="131">
        <f>_xll.qlCalendarAdvance(Calendar,X1408,NDays&amp;"D")</f>
        <v>48998</v>
      </c>
      <c r="Z1408" s="132">
        <v>1.5189457260663062E-2</v>
      </c>
      <c r="AA1408" s="129">
        <v>1.5209944133776077E-2</v>
      </c>
    </row>
    <row r="1409" spans="19:27" x14ac:dyDescent="0.2">
      <c r="S1409" s="1"/>
      <c r="T1409" s="109"/>
      <c r="W1409" s="130" t="str">
        <f t="shared" si="31"/>
        <v>1w</v>
      </c>
      <c r="X1409" s="128">
        <f>_xll.qlCalendarAdvance(Calendar,X1408,W1409,"f",FALSE)</f>
        <v>49003</v>
      </c>
      <c r="Y1409" s="131">
        <f>_xll.qlCalendarAdvance(Calendar,X1409,NDays&amp;"D")</f>
        <v>49005</v>
      </c>
      <c r="Z1409" s="132">
        <v>1.5180908425998823E-2</v>
      </c>
      <c r="AA1409" s="129">
        <v>1.5202290711000543E-2</v>
      </c>
    </row>
    <row r="1410" spans="19:27" x14ac:dyDescent="0.2">
      <c r="S1410" s="1"/>
      <c r="T1410" s="109"/>
      <c r="W1410" s="130" t="str">
        <f t="shared" si="31"/>
        <v>1w</v>
      </c>
      <c r="X1410" s="128">
        <f>_xll.qlCalendarAdvance(Calendar,X1409,W1410,"f",FALSE)</f>
        <v>49010</v>
      </c>
      <c r="Y1410" s="131">
        <f>_xll.qlCalendarAdvance(Calendar,X1410,NDays&amp;"D")</f>
        <v>49012</v>
      </c>
      <c r="Z1410" s="132">
        <v>1.5173061598326843E-2</v>
      </c>
      <c r="AA1410" s="129">
        <v>1.5194615499254382E-2</v>
      </c>
    </row>
    <row r="1411" spans="19:27" x14ac:dyDescent="0.2">
      <c r="S1411" s="1"/>
      <c r="T1411" s="109"/>
      <c r="W1411" s="130" t="str">
        <f t="shared" si="31"/>
        <v>1w</v>
      </c>
      <c r="X1411" s="128">
        <f>_xll.qlCalendarAdvance(Calendar,X1410,W1411,"f",FALSE)</f>
        <v>49017</v>
      </c>
      <c r="Y1411" s="131">
        <f>_xll.qlCalendarAdvance(Calendar,X1411,NDays&amp;"D")</f>
        <v>49019</v>
      </c>
      <c r="Z1411" s="132">
        <v>1.5165192913715996E-2</v>
      </c>
      <c r="AA1411" s="129">
        <v>1.518691849861753E-2</v>
      </c>
    </row>
    <row r="1412" spans="19:27" x14ac:dyDescent="0.2">
      <c r="S1412" s="1"/>
      <c r="T1412" s="109"/>
      <c r="W1412" s="130" t="str">
        <f t="shared" si="31"/>
        <v>1w</v>
      </c>
      <c r="X1412" s="128">
        <f>_xll.qlCalendarAdvance(Calendar,X1411,W1412,"f",FALSE)</f>
        <v>49024</v>
      </c>
      <c r="Y1412" s="131">
        <f>_xll.qlCalendarAdvance(Calendar,X1412,NDays&amp;"D")</f>
        <v>49026</v>
      </c>
      <c r="Z1412" s="132">
        <v>1.5157302372295744E-2</v>
      </c>
      <c r="AA1412" s="129">
        <v>1.5179199709010049E-2</v>
      </c>
    </row>
    <row r="1413" spans="19:27" x14ac:dyDescent="0.2">
      <c r="S1413" s="1"/>
      <c r="T1413" s="109"/>
      <c r="W1413" s="130" t="str">
        <f t="shared" si="31"/>
        <v>1w</v>
      </c>
      <c r="X1413" s="128">
        <f>_xll.qlCalendarAdvance(Calendar,X1412,W1413,"f",FALSE)</f>
        <v>49031</v>
      </c>
      <c r="Y1413" s="131">
        <f>_xll.qlCalendarAdvance(Calendar,X1413,NDays&amp;"D")</f>
        <v>49033</v>
      </c>
      <c r="Z1413" s="132">
        <v>1.5149389974199023E-2</v>
      </c>
      <c r="AA1413" s="129">
        <v>1.5171459130511877E-2</v>
      </c>
    </row>
    <row r="1414" spans="19:27" x14ac:dyDescent="0.2">
      <c r="S1414" s="1"/>
      <c r="T1414" s="109"/>
      <c r="W1414" s="130" t="str">
        <f t="shared" si="31"/>
        <v>1w</v>
      </c>
      <c r="X1414" s="128">
        <f>_xll.qlCalendarAdvance(Calendar,X1413,W1414,"f",FALSE)</f>
        <v>49038</v>
      </c>
      <c r="Y1414" s="131">
        <f>_xll.qlCalendarAdvance(Calendar,X1414,NDays&amp;"D")</f>
        <v>49040</v>
      </c>
      <c r="Z1414" s="132">
        <v>1.5141708549113014E-2</v>
      </c>
      <c r="AA1414" s="129">
        <v>1.5162751608128744E-2</v>
      </c>
    </row>
    <row r="1415" spans="19:27" x14ac:dyDescent="0.2">
      <c r="S1415" s="1"/>
      <c r="T1415" s="109"/>
      <c r="W1415" s="130" t="str">
        <f t="shared" si="31"/>
        <v>1w</v>
      </c>
      <c r="X1415" s="128">
        <f>_xll.qlCalendarAdvance(Calendar,X1414,W1415,"f",FALSE)</f>
        <v>49045</v>
      </c>
      <c r="Y1415" s="131">
        <f>_xll.qlCalendarAdvance(Calendar,X1415,NDays&amp;"D")</f>
        <v>49047</v>
      </c>
      <c r="Z1415" s="132">
        <v>1.5133754333057966E-2</v>
      </c>
      <c r="AA1415" s="129">
        <v>1.5155912606683586E-2</v>
      </c>
    </row>
    <row r="1416" spans="19:27" x14ac:dyDescent="0.2">
      <c r="S1416" s="1"/>
      <c r="T1416" s="109"/>
      <c r="W1416" s="130" t="str">
        <f t="shared" si="31"/>
        <v>1w</v>
      </c>
      <c r="X1416" s="128">
        <f>_xll.qlCalendarAdvance(Calendar,X1415,W1416,"f",FALSE)</f>
        <v>49052</v>
      </c>
      <c r="Y1416" s="131">
        <f>_xll.qlCalendarAdvance(Calendar,X1416,NDays&amp;"D")</f>
        <v>49054</v>
      </c>
      <c r="Z1416" s="132">
        <v>1.5125778261456096E-2</v>
      </c>
      <c r="AA1416" s="129">
        <v>1.5148106661353467E-2</v>
      </c>
    </row>
    <row r="1417" spans="19:27" x14ac:dyDescent="0.2">
      <c r="S1417" s="1"/>
      <c r="T1417" s="109"/>
      <c r="W1417" s="130" t="str">
        <f t="shared" si="31"/>
        <v>1w</v>
      </c>
      <c r="X1417" s="128">
        <f>_xll.qlCalendarAdvance(Calendar,X1416,W1417,"f",FALSE)</f>
        <v>49059</v>
      </c>
      <c r="Y1417" s="131">
        <f>_xll.qlCalendarAdvance(Calendar,X1417,NDays&amp;"D")</f>
        <v>49061</v>
      </c>
      <c r="Z1417" s="132">
        <v>1.5117780334439165E-2</v>
      </c>
      <c r="AA1417" s="129">
        <v>1.5140278927292528E-2</v>
      </c>
    </row>
    <row r="1418" spans="19:27" x14ac:dyDescent="0.2">
      <c r="S1418" s="1"/>
      <c r="T1418" s="109"/>
      <c r="W1418" s="130" t="str">
        <f t="shared" si="31"/>
        <v>1w</v>
      </c>
      <c r="X1418" s="128">
        <f>_xll.qlCalendarAdvance(Calendar,X1417,W1418,"f",FALSE)</f>
        <v>49066</v>
      </c>
      <c r="Y1418" s="131">
        <f>_xll.qlCalendarAdvance(Calendar,X1418,NDays&amp;"D")</f>
        <v>49068</v>
      </c>
      <c r="Z1418" s="132">
        <v>1.5109500138199465E-2</v>
      </c>
      <c r="AA1418" s="129">
        <v>1.5132429404101089E-2</v>
      </c>
    </row>
    <row r="1419" spans="19:27" x14ac:dyDescent="0.2">
      <c r="S1419" s="1"/>
      <c r="T1419" s="109"/>
      <c r="W1419" s="130" t="str">
        <f t="shared" si="31"/>
        <v>1w</v>
      </c>
      <c r="X1419" s="128">
        <f>_xll.qlCalendarAdvance(Calendar,X1418,W1419,"f",FALSE)</f>
        <v>49073</v>
      </c>
      <c r="Y1419" s="131">
        <f>_xll.qlCalendarAdvance(Calendar,X1419,NDays&amp;"D")</f>
        <v>49075</v>
      </c>
      <c r="Z1419" s="132">
        <v>1.5101456602830399E-2</v>
      </c>
      <c r="AA1419" s="129">
        <v>1.5124558092098894E-2</v>
      </c>
    </row>
    <row r="1420" spans="19:27" x14ac:dyDescent="0.2">
      <c r="S1420" s="1"/>
      <c r="T1420" s="109"/>
      <c r="W1420" s="130" t="str">
        <f t="shared" si="31"/>
        <v>1w</v>
      </c>
      <c r="X1420" s="128">
        <f>_xll.qlCalendarAdvance(Calendar,X1419,W1420,"f",FALSE)</f>
        <v>49080</v>
      </c>
      <c r="Y1420" s="131">
        <f>_xll.qlCalendarAdvance(Calendar,X1420,NDays&amp;"D")</f>
        <v>49082</v>
      </c>
      <c r="Z1420" s="132">
        <v>1.5093391211717161E-2</v>
      </c>
      <c r="AA1420" s="129">
        <v>1.5116664991126072E-2</v>
      </c>
    </row>
    <row r="1421" spans="19:27" x14ac:dyDescent="0.2">
      <c r="S1421" s="1"/>
      <c r="T1421" s="109"/>
      <c r="W1421" s="130" t="str">
        <f t="shared" si="31"/>
        <v>1w</v>
      </c>
      <c r="X1421" s="128">
        <f>_xll.qlCalendarAdvance(Calendar,X1420,W1421,"f",FALSE)</f>
        <v>49087</v>
      </c>
      <c r="Y1421" s="131">
        <f>_xll.qlCalendarAdvance(Calendar,X1421,NDays&amp;"D")</f>
        <v>49089</v>
      </c>
      <c r="Z1421" s="132">
        <v>1.5085303964993559E-2</v>
      </c>
      <c r="AA1421" s="129">
        <v>1.5108750101182622E-2</v>
      </c>
    </row>
    <row r="1422" spans="19:27" x14ac:dyDescent="0.2">
      <c r="S1422" s="1"/>
      <c r="T1422" s="109"/>
      <c r="W1422" s="130" t="str">
        <f t="shared" si="31"/>
        <v>1w</v>
      </c>
      <c r="X1422" s="128">
        <f>_xll.qlCalendarAdvance(Calendar,X1421,W1422,"f",FALSE)</f>
        <v>49094</v>
      </c>
      <c r="Y1422" s="131">
        <f>_xll.qlCalendarAdvance(Calendar,X1422,NDays&amp;"D")</f>
        <v>49096</v>
      </c>
      <c r="Z1422" s="132">
        <v>1.5077194862796003E-2</v>
      </c>
      <c r="AA1422" s="129">
        <v>1.5100813422428416E-2</v>
      </c>
    </row>
    <row r="1423" spans="19:27" x14ac:dyDescent="0.2">
      <c r="S1423" s="1"/>
      <c r="T1423" s="109"/>
      <c r="W1423" s="130" t="str">
        <f t="shared" si="31"/>
        <v>1w</v>
      </c>
      <c r="X1423" s="128">
        <f>_xll.qlCalendarAdvance(Calendar,X1422,W1423,"f",FALSE)</f>
        <v>49101</v>
      </c>
      <c r="Y1423" s="131">
        <f>_xll.qlCalendarAdvance(Calendar,X1423,NDays&amp;"D")</f>
        <v>49103</v>
      </c>
      <c r="Z1423" s="132">
        <v>1.5069063905259172E-2</v>
      </c>
      <c r="AA1423" s="129">
        <v>1.5092854954783519E-2</v>
      </c>
    </row>
    <row r="1424" spans="19:27" x14ac:dyDescent="0.2">
      <c r="S1424" s="1"/>
      <c r="T1424" s="109"/>
      <c r="W1424" s="130" t="str">
        <f t="shared" si="31"/>
        <v>1w</v>
      </c>
      <c r="X1424" s="128">
        <f>_xll.qlCalendarAdvance(Calendar,X1423,W1424,"f",FALSE)</f>
        <v>49108</v>
      </c>
      <c r="Y1424" s="131">
        <f>_xll.qlCalendarAdvance(Calendar,X1424,NDays&amp;"D")</f>
        <v>49110</v>
      </c>
      <c r="Z1424" s="132">
        <v>1.5060911092520344E-2</v>
      </c>
      <c r="AA1424" s="129">
        <v>1.5084874698167994E-2</v>
      </c>
    </row>
    <row r="1425" spans="19:27" x14ac:dyDescent="0.2">
      <c r="S1425" s="1"/>
      <c r="T1425" s="109"/>
      <c r="W1425" s="130" t="str">
        <f t="shared" si="31"/>
        <v>1w</v>
      </c>
      <c r="X1425" s="128">
        <f>_xll.qlCalendarAdvance(Calendar,X1424,W1425,"f",FALSE)</f>
        <v>49115</v>
      </c>
      <c r="Y1425" s="131">
        <f>_xll.qlCalendarAdvance(Calendar,X1425,NDays&amp;"D")</f>
        <v>49117</v>
      </c>
      <c r="Z1425" s="132">
        <v>1.5052736424713324E-2</v>
      </c>
      <c r="AA1425" s="129">
        <v>1.5076872652581841E-2</v>
      </c>
    </row>
    <row r="1426" spans="19:27" x14ac:dyDescent="0.2">
      <c r="S1426" s="1"/>
      <c r="T1426" s="109"/>
      <c r="W1426" s="130" t="str">
        <f t="shared" si="31"/>
        <v>1w</v>
      </c>
      <c r="X1426" s="128">
        <f>_xll.qlCalendarAdvance(Calendar,X1425,W1426,"f",FALSE)</f>
        <v>49122</v>
      </c>
      <c r="Y1426" s="131">
        <f>_xll.qlCalendarAdvance(Calendar,X1426,NDays&amp;"D")</f>
        <v>49124</v>
      </c>
      <c r="Z1426" s="132">
        <v>1.5044539901975398E-2</v>
      </c>
      <c r="AA1426" s="129">
        <v>1.5068848818184932E-2</v>
      </c>
    </row>
    <row r="1427" spans="19:27" x14ac:dyDescent="0.2">
      <c r="S1427" s="1"/>
      <c r="T1427" s="109"/>
      <c r="W1427" s="130" t="str">
        <f t="shared" si="31"/>
        <v>1w</v>
      </c>
      <c r="X1427" s="128">
        <f>_xll.qlCalendarAdvance(Calendar,X1426,W1427,"f",FALSE)</f>
        <v>49129</v>
      </c>
      <c r="Y1427" s="131">
        <f>_xll.qlCalendarAdvance(Calendar,X1427,NDays&amp;"D")</f>
        <v>49131</v>
      </c>
      <c r="Z1427" s="132">
        <v>1.5036321524445583E-2</v>
      </c>
      <c r="AA1427" s="129">
        <v>1.5060803194817396E-2</v>
      </c>
    </row>
    <row r="1428" spans="19:27" x14ac:dyDescent="0.2">
      <c r="S1428" s="1"/>
      <c r="T1428" s="109"/>
      <c r="W1428" s="130" t="str">
        <f t="shared" si="31"/>
        <v>1w</v>
      </c>
      <c r="X1428" s="128">
        <f>_xll.qlCalendarAdvance(Calendar,X1427,W1428,"f",FALSE)</f>
        <v>49136</v>
      </c>
      <c r="Y1428" s="131">
        <f>_xll.qlCalendarAdvance(Calendar,X1428,NDays&amp;"D")</f>
        <v>49138</v>
      </c>
      <c r="Z1428" s="132">
        <v>1.5028081292257682E-2</v>
      </c>
      <c r="AA1428" s="129">
        <v>1.5052735782639104E-2</v>
      </c>
    </row>
    <row r="1429" spans="19:27" x14ac:dyDescent="0.2">
      <c r="S1429" s="1"/>
      <c r="T1429" s="109"/>
      <c r="W1429" s="130" t="str">
        <f t="shared" ref="W1429:W1492" si="32">W1428</f>
        <v>1w</v>
      </c>
      <c r="X1429" s="128">
        <f>_xll.qlCalendarAdvance(Calendar,X1428,W1429,"f",FALSE)</f>
        <v>49143</v>
      </c>
      <c r="Y1429" s="131">
        <f>_xll.qlCalendarAdvance(Calendar,X1429,NDays&amp;"D")</f>
        <v>49145</v>
      </c>
      <c r="Z1429" s="132">
        <v>1.5019819205551588E-2</v>
      </c>
      <c r="AA1429" s="129">
        <v>1.5044646581490184E-2</v>
      </c>
    </row>
    <row r="1430" spans="19:27" x14ac:dyDescent="0.2">
      <c r="S1430" s="1"/>
      <c r="T1430" s="109"/>
      <c r="W1430" s="130" t="str">
        <f t="shared" si="32"/>
        <v>1w</v>
      </c>
      <c r="X1430" s="128">
        <f>_xll.qlCalendarAdvance(Calendar,X1429,W1430,"f",FALSE)</f>
        <v>49150</v>
      </c>
      <c r="Y1430" s="131">
        <f>_xll.qlCalendarAdvance(Calendar,X1430,NDays&amp;"D")</f>
        <v>49152</v>
      </c>
      <c r="Z1430" s="132">
        <v>1.5011535264463711E-2</v>
      </c>
      <c r="AA1430" s="129">
        <v>1.5036535591450573E-2</v>
      </c>
    </row>
    <row r="1431" spans="19:27" x14ac:dyDescent="0.2">
      <c r="S1431" s="1"/>
      <c r="T1431" s="109"/>
      <c r="W1431" s="130" t="str">
        <f t="shared" si="32"/>
        <v>1w</v>
      </c>
      <c r="X1431" s="128">
        <f>_xll.qlCalendarAdvance(Calendar,X1430,W1431,"f",FALSE)</f>
        <v>49157</v>
      </c>
      <c r="Y1431" s="131">
        <f>_xll.qlCalendarAdvance(Calendar,X1431,NDays&amp;"D")</f>
        <v>49159</v>
      </c>
      <c r="Z1431" s="132">
        <v>1.5003229469136547E-2</v>
      </c>
      <c r="AA1431" s="129">
        <v>1.502840281252027E-2</v>
      </c>
    </row>
    <row r="1432" spans="19:27" x14ac:dyDescent="0.2">
      <c r="S1432" s="1"/>
      <c r="T1432" s="109"/>
      <c r="W1432" s="130" t="str">
        <f t="shared" si="32"/>
        <v>1w</v>
      </c>
      <c r="X1432" s="128">
        <f>_xll.qlCalendarAdvance(Calendar,X1431,W1432,"f",FALSE)</f>
        <v>49164</v>
      </c>
      <c r="Y1432" s="131">
        <f>_xll.qlCalendarAdvance(Calendar,X1432,NDays&amp;"D")</f>
        <v>49166</v>
      </c>
      <c r="Z1432" s="132">
        <v>1.4994901819702162E-2</v>
      </c>
      <c r="AA1432" s="129">
        <v>1.5020248244619339E-2</v>
      </c>
    </row>
    <row r="1433" spans="19:27" x14ac:dyDescent="0.2">
      <c r="S1433" s="1"/>
      <c r="T1433" s="109"/>
      <c r="W1433" s="130" t="str">
        <f t="shared" si="32"/>
        <v>1w</v>
      </c>
      <c r="X1433" s="128">
        <f>_xll.qlCalendarAdvance(Calendar,X1432,W1433,"f",FALSE)</f>
        <v>49171</v>
      </c>
      <c r="Y1433" s="131">
        <f>_xll.qlCalendarAdvance(Calendar,X1433,NDays&amp;"D")</f>
        <v>49173</v>
      </c>
      <c r="Z1433" s="132">
        <v>1.4986552316305661E-2</v>
      </c>
      <c r="AA1433" s="129">
        <v>1.5012071887907652E-2</v>
      </c>
    </row>
    <row r="1434" spans="19:27" x14ac:dyDescent="0.2">
      <c r="S1434" s="1"/>
      <c r="T1434" s="109"/>
      <c r="W1434" s="130" t="str">
        <f t="shared" si="32"/>
        <v>1w</v>
      </c>
      <c r="X1434" s="128">
        <f>_xll.qlCalendarAdvance(Calendar,X1433,W1434,"f",FALSE)</f>
        <v>49178</v>
      </c>
      <c r="Y1434" s="131">
        <f>_xll.qlCalendarAdvance(Calendar,X1434,NDays&amp;"D")</f>
        <v>49180</v>
      </c>
      <c r="Z1434" s="132">
        <v>1.4978180959082583E-2</v>
      </c>
      <c r="AA1434" s="129">
        <v>1.5003873742305274E-2</v>
      </c>
    </row>
    <row r="1435" spans="19:27" x14ac:dyDescent="0.2">
      <c r="S1435" s="1"/>
      <c r="T1435" s="109"/>
      <c r="W1435" s="130" t="str">
        <f t="shared" si="32"/>
        <v>1w</v>
      </c>
      <c r="X1435" s="128">
        <f>_xll.qlCalendarAdvance(Calendar,X1434,W1435,"f",FALSE)</f>
        <v>49185</v>
      </c>
      <c r="Y1435" s="131">
        <f>_xll.qlCalendarAdvance(Calendar,X1435,NDays&amp;"D")</f>
        <v>49187</v>
      </c>
      <c r="Z1435" s="132">
        <v>1.4970080524417987E-2</v>
      </c>
      <c r="AA1435" s="129">
        <v>1.4995653807732268E-2</v>
      </c>
    </row>
    <row r="1436" spans="19:27" x14ac:dyDescent="0.2">
      <c r="S1436" s="1"/>
      <c r="T1436" s="109"/>
      <c r="W1436" s="130" t="str">
        <f t="shared" si="32"/>
        <v>1w</v>
      </c>
      <c r="X1436" s="128">
        <f>_xll.qlCalendarAdvance(Calendar,X1435,W1436,"f",FALSE)</f>
        <v>49192</v>
      </c>
      <c r="Y1436" s="131">
        <f>_xll.qlCalendarAdvance(Calendar,X1436,NDays&amp;"D")</f>
        <v>49194</v>
      </c>
      <c r="Z1436" s="132">
        <v>1.496166737001803E-2</v>
      </c>
      <c r="AA1436" s="129">
        <v>1.498741208426857E-2</v>
      </c>
    </row>
    <row r="1437" spans="19:27" x14ac:dyDescent="0.2">
      <c r="S1437" s="1"/>
      <c r="T1437" s="109"/>
      <c r="W1437" s="130" t="str">
        <f t="shared" si="32"/>
        <v>1w</v>
      </c>
      <c r="X1437" s="128">
        <f>_xll.qlCalendarAdvance(Calendar,X1436,W1437,"f",FALSE)</f>
        <v>49199</v>
      </c>
      <c r="Y1437" s="131">
        <f>_xll.qlCalendarAdvance(Calendar,X1437,NDays&amp;"D")</f>
        <v>49201</v>
      </c>
      <c r="Z1437" s="132">
        <v>1.4953232362912933E-2</v>
      </c>
      <c r="AA1437" s="129">
        <v>1.4979148572074052E-2</v>
      </c>
    </row>
    <row r="1438" spans="19:27" x14ac:dyDescent="0.2">
      <c r="S1438" s="1"/>
      <c r="T1438" s="109"/>
      <c r="W1438" s="130" t="str">
        <f t="shared" si="32"/>
        <v>1w</v>
      </c>
      <c r="X1438" s="128">
        <f>_xll.qlCalendarAdvance(Calendar,X1437,W1438,"f",FALSE)</f>
        <v>49206</v>
      </c>
      <c r="Y1438" s="131">
        <f>_xll.qlCalendarAdvance(Calendar,X1438,NDays&amp;"D")</f>
        <v>49208</v>
      </c>
      <c r="Z1438" s="132">
        <v>1.494477550324412E-2</v>
      </c>
      <c r="AA1438" s="129">
        <v>1.4970863270908907E-2</v>
      </c>
    </row>
    <row r="1439" spans="19:27" x14ac:dyDescent="0.2">
      <c r="S1439" s="1"/>
      <c r="T1439" s="109"/>
      <c r="W1439" s="130" t="str">
        <f t="shared" si="32"/>
        <v>1w</v>
      </c>
      <c r="X1439" s="128">
        <f>_xll.qlCalendarAdvance(Calendar,X1438,W1439,"f",FALSE)</f>
        <v>49213</v>
      </c>
      <c r="Y1439" s="131">
        <f>_xll.qlCalendarAdvance(Calendar,X1439,NDays&amp;"D")</f>
        <v>49215</v>
      </c>
      <c r="Z1439" s="132">
        <v>1.4936296791147748E-2</v>
      </c>
      <c r="AA1439" s="129">
        <v>1.4962556180773134E-2</v>
      </c>
    </row>
    <row r="1440" spans="19:27" x14ac:dyDescent="0.2">
      <c r="S1440" s="1"/>
      <c r="T1440" s="109"/>
      <c r="W1440" s="130" t="str">
        <f t="shared" si="32"/>
        <v>1w</v>
      </c>
      <c r="X1440" s="128">
        <f>_xll.qlCalendarAdvance(Calendar,X1439,W1440,"f",FALSE)</f>
        <v>49220</v>
      </c>
      <c r="Y1440" s="131">
        <f>_xll.qlCalendarAdvance(Calendar,X1440,NDays&amp;"D")</f>
        <v>49222</v>
      </c>
      <c r="Z1440" s="132">
        <v>1.4927493893270185E-2</v>
      </c>
      <c r="AA1440" s="129">
        <v>1.4954227301826606E-2</v>
      </c>
    </row>
    <row r="1441" spans="19:27" x14ac:dyDescent="0.2">
      <c r="S1441" s="1"/>
      <c r="T1441" s="109"/>
      <c r="W1441" s="130" t="str">
        <f t="shared" si="32"/>
        <v>1w</v>
      </c>
      <c r="X1441" s="128">
        <f>_xll.qlCalendarAdvance(Calendar,X1440,W1441,"f",FALSE)</f>
        <v>49227</v>
      </c>
      <c r="Y1441" s="131">
        <f>_xll.qlCalendarAdvance(Calendar,X1441,NDays&amp;"D")</f>
        <v>49229</v>
      </c>
      <c r="Z1441" s="132">
        <v>1.4918969563205757E-2</v>
      </c>
      <c r="AA1441" s="129">
        <v>1.494587663390945E-2</v>
      </c>
    </row>
    <row r="1442" spans="19:27" x14ac:dyDescent="0.2">
      <c r="S1442" s="1"/>
      <c r="T1442" s="109"/>
      <c r="W1442" s="130" t="str">
        <f t="shared" si="32"/>
        <v>1w</v>
      </c>
      <c r="X1442" s="128">
        <f>_xll.qlCalendarAdvance(Calendar,X1441,W1442,"f",FALSE)</f>
        <v>49234</v>
      </c>
      <c r="Y1442" s="131">
        <f>_xll.qlCalendarAdvance(Calendar,X1442,NDays&amp;"D")</f>
        <v>49236</v>
      </c>
      <c r="Z1442" s="132">
        <v>1.4910423380443419E-2</v>
      </c>
      <c r="AA1442" s="129">
        <v>1.4937504177181538E-2</v>
      </c>
    </row>
    <row r="1443" spans="19:27" x14ac:dyDescent="0.2">
      <c r="S1443" s="1"/>
      <c r="T1443" s="109"/>
      <c r="W1443" s="130" t="str">
        <f t="shared" si="32"/>
        <v>1w</v>
      </c>
      <c r="X1443" s="128">
        <f>_xll.qlCalendarAdvance(Calendar,X1442,W1443,"f",FALSE)</f>
        <v>49241</v>
      </c>
      <c r="Y1443" s="131">
        <f>_xll.qlCalendarAdvance(Calendar,X1443,NDays&amp;"D")</f>
        <v>49243</v>
      </c>
      <c r="Z1443" s="132">
        <v>1.4901855345129137E-2</v>
      </c>
      <c r="AA1443" s="129">
        <v>1.4929109931562934E-2</v>
      </c>
    </row>
    <row r="1444" spans="19:27" x14ac:dyDescent="0.2">
      <c r="S1444" s="1"/>
      <c r="T1444" s="109"/>
      <c r="W1444" s="130" t="str">
        <f t="shared" si="32"/>
        <v>1w</v>
      </c>
      <c r="X1444" s="128">
        <f>_xll.qlCalendarAdvance(Calendar,X1443,W1444,"f",FALSE)</f>
        <v>49248</v>
      </c>
      <c r="Y1444" s="131">
        <f>_xll.qlCalendarAdvance(Calendar,X1444,NDays&amp;"D")</f>
        <v>49250</v>
      </c>
      <c r="Z1444" s="132">
        <v>1.4893265457402801E-2</v>
      </c>
      <c r="AA1444" s="129">
        <v>1.4920693897133575E-2</v>
      </c>
    </row>
    <row r="1445" spans="19:27" x14ac:dyDescent="0.2">
      <c r="S1445" s="1"/>
      <c r="T1445" s="109"/>
      <c r="W1445" s="130" t="str">
        <f t="shared" si="32"/>
        <v>1w</v>
      </c>
      <c r="X1445" s="128">
        <f>_xll.qlCalendarAdvance(Calendar,X1444,W1445,"f",FALSE)</f>
        <v>49255</v>
      </c>
      <c r="Y1445" s="131">
        <f>_xll.qlCalendarAdvance(Calendar,X1445,NDays&amp;"D")</f>
        <v>49257</v>
      </c>
      <c r="Z1445" s="132">
        <v>1.4884653717409513E-2</v>
      </c>
      <c r="AA1445" s="129">
        <v>1.4912256073653651E-2</v>
      </c>
    </row>
    <row r="1446" spans="19:27" x14ac:dyDescent="0.2">
      <c r="S1446" s="1"/>
      <c r="T1446" s="109"/>
      <c r="W1446" s="130" t="str">
        <f t="shared" si="32"/>
        <v>1w</v>
      </c>
      <c r="X1446" s="128">
        <f>_xll.qlCalendarAdvance(Calendar,X1445,W1446,"f",FALSE)</f>
        <v>49262</v>
      </c>
      <c r="Y1446" s="131">
        <f>_xll.qlCalendarAdvance(Calendar,X1446,NDays&amp;"D")</f>
        <v>49264</v>
      </c>
      <c r="Z1446" s="132">
        <v>1.4876020125293505E-2</v>
      </c>
      <c r="AA1446" s="129">
        <v>1.4903796461442909E-2</v>
      </c>
    </row>
    <row r="1447" spans="19:27" x14ac:dyDescent="0.2">
      <c r="S1447" s="1"/>
      <c r="T1447" s="109"/>
      <c r="W1447" s="130" t="str">
        <f t="shared" si="32"/>
        <v>1w</v>
      </c>
      <c r="X1447" s="128">
        <f>_xll.qlCalendarAdvance(Calendar,X1446,W1447,"f",FALSE)</f>
        <v>49269</v>
      </c>
      <c r="Y1447" s="131">
        <f>_xll.qlCalendarAdvance(Calendar,X1447,NDays&amp;"D")</f>
        <v>49271</v>
      </c>
      <c r="Z1447" s="132">
        <v>1.4867364681196404E-2</v>
      </c>
      <c r="AA1447" s="129">
        <v>1.4895315060261538E-2</v>
      </c>
    </row>
    <row r="1448" spans="19:27" x14ac:dyDescent="0.2">
      <c r="S1448" s="1"/>
      <c r="T1448" s="109"/>
      <c r="W1448" s="130" t="str">
        <f t="shared" si="32"/>
        <v>1w</v>
      </c>
      <c r="X1448" s="128">
        <f>_xll.qlCalendarAdvance(Calendar,X1447,W1448,"f",FALSE)</f>
        <v>49276</v>
      </c>
      <c r="Y1448" s="131">
        <f>_xll.qlCalendarAdvance(Calendar,X1448,NDays&amp;"D")</f>
        <v>49278</v>
      </c>
      <c r="Z1448" s="132">
        <v>1.4859322515787809E-2</v>
      </c>
      <c r="AA1448" s="129">
        <v>1.4886811870349348E-2</v>
      </c>
    </row>
    <row r="1449" spans="19:27" x14ac:dyDescent="0.2">
      <c r="S1449" s="1"/>
      <c r="T1449" s="109"/>
      <c r="W1449" s="130" t="str">
        <f t="shared" si="32"/>
        <v>1w</v>
      </c>
      <c r="X1449" s="128">
        <f>_xll.qlCalendarAdvance(Calendar,X1448,W1449,"f",FALSE)</f>
        <v>49283</v>
      </c>
      <c r="Y1449" s="131">
        <f>_xll.qlCalendarAdvance(Calendar,X1449,NDays&amp;"D")</f>
        <v>49285</v>
      </c>
      <c r="Z1449" s="132">
        <v>1.4850627206116407E-2</v>
      </c>
      <c r="AA1449" s="129">
        <v>1.4878286891306658E-2</v>
      </c>
    </row>
    <row r="1450" spans="19:27" x14ac:dyDescent="0.2">
      <c r="S1450" s="1"/>
      <c r="T1450" s="109"/>
      <c r="W1450" s="130" t="str">
        <f t="shared" si="32"/>
        <v>1w</v>
      </c>
      <c r="X1450" s="128">
        <f>_xll.qlCalendarAdvance(Calendar,X1449,W1450,"f",FALSE)</f>
        <v>49290</v>
      </c>
      <c r="Y1450" s="131">
        <f>_xll.qlCalendarAdvance(Calendar,X1450,NDays&amp;"D")</f>
        <v>49292</v>
      </c>
      <c r="Z1450" s="132">
        <v>1.4841910046260232E-2</v>
      </c>
      <c r="AA1450" s="129">
        <v>1.486974012369302E-2</v>
      </c>
    </row>
    <row r="1451" spans="19:27" x14ac:dyDescent="0.2">
      <c r="S1451" s="1"/>
      <c r="T1451" s="109"/>
      <c r="W1451" s="130" t="str">
        <f t="shared" si="32"/>
        <v>1w</v>
      </c>
      <c r="X1451" s="128">
        <f>_xll.qlCalendarAdvance(Calendar,X1450,W1451,"f",FALSE)</f>
        <v>49297</v>
      </c>
      <c r="Y1451" s="131">
        <f>_xll.qlCalendarAdvance(Calendar,X1451,NDays&amp;"D")</f>
        <v>49299</v>
      </c>
      <c r="Z1451" s="132">
        <v>1.4833171036359616E-2</v>
      </c>
      <c r="AA1451" s="129">
        <v>1.4861171567028819E-2</v>
      </c>
    </row>
    <row r="1452" spans="19:27" x14ac:dyDescent="0.2">
      <c r="S1452" s="1"/>
      <c r="T1452" s="109"/>
      <c r="W1452" s="130" t="str">
        <f t="shared" si="32"/>
        <v>1w</v>
      </c>
      <c r="X1452" s="128">
        <f>_xll.qlCalendarAdvance(Calendar,X1451,W1452,"f",FALSE)</f>
        <v>49305</v>
      </c>
      <c r="Y1452" s="131">
        <f>_xll.qlCalendarAdvance(Calendar,X1452,NDays&amp;"D")</f>
        <v>49307</v>
      </c>
      <c r="Z1452" s="132">
        <v>1.4822831417849392E-2</v>
      </c>
      <c r="AA1452" s="129">
        <v>1.4850426490680135E-2</v>
      </c>
    </row>
    <row r="1453" spans="19:27" x14ac:dyDescent="0.2">
      <c r="S1453" s="1"/>
      <c r="T1453" s="109"/>
      <c r="W1453" s="130" t="str">
        <f t="shared" si="32"/>
        <v>1w</v>
      </c>
      <c r="X1453" s="128">
        <f>_xll.qlCalendarAdvance(Calendar,X1452,W1453,"f",FALSE)</f>
        <v>49312</v>
      </c>
      <c r="Y1453" s="131">
        <f>_xll.qlCalendarAdvance(Calendar,X1453,NDays&amp;"D")</f>
        <v>49314</v>
      </c>
      <c r="Z1453" s="132">
        <v>1.4814371010562155E-2</v>
      </c>
      <c r="AA1453" s="129">
        <v>1.4842116197293365E-2</v>
      </c>
    </row>
    <row r="1454" spans="19:27" x14ac:dyDescent="0.2">
      <c r="S1454" s="1"/>
      <c r="T1454" s="109"/>
      <c r="W1454" s="130" t="str">
        <f t="shared" si="32"/>
        <v>1w</v>
      </c>
      <c r="X1454" s="128">
        <f>_xll.qlCalendarAdvance(Calendar,X1453,W1454,"f",FALSE)</f>
        <v>49319</v>
      </c>
      <c r="Y1454" s="131">
        <f>_xll.qlCalendarAdvance(Calendar,X1454,NDays&amp;"D")</f>
        <v>49321</v>
      </c>
      <c r="Z1454" s="132">
        <v>1.4805563330028804E-2</v>
      </c>
      <c r="AA1454" s="129">
        <v>1.4833475336439861E-2</v>
      </c>
    </row>
    <row r="1455" spans="19:27" x14ac:dyDescent="0.2">
      <c r="S1455" s="1"/>
      <c r="T1455" s="109"/>
      <c r="W1455" s="130" t="str">
        <f t="shared" si="32"/>
        <v>1w</v>
      </c>
      <c r="X1455" s="128">
        <f>_xll.qlCalendarAdvance(Calendar,X1454,W1455,"f",FALSE)</f>
        <v>49326</v>
      </c>
      <c r="Y1455" s="131">
        <f>_xll.qlCalendarAdvance(Calendar,X1455,NDays&amp;"D")</f>
        <v>49328</v>
      </c>
      <c r="Z1455" s="132">
        <v>1.4796733800046091E-2</v>
      </c>
      <c r="AA1455" s="129">
        <v>1.4824812685390043E-2</v>
      </c>
    </row>
    <row r="1456" spans="19:27" x14ac:dyDescent="0.2">
      <c r="S1456" s="1"/>
      <c r="T1456" s="109"/>
      <c r="W1456" s="130" t="str">
        <f t="shared" si="32"/>
        <v>1w</v>
      </c>
      <c r="X1456" s="128">
        <f>_xll.qlCalendarAdvance(Calendar,X1455,W1456,"f",FALSE)</f>
        <v>49333</v>
      </c>
      <c r="Y1456" s="131">
        <f>_xll.qlCalendarAdvance(Calendar,X1456,NDays&amp;"D")</f>
        <v>49335</v>
      </c>
      <c r="Z1456" s="132">
        <v>1.4787882420757903E-2</v>
      </c>
      <c r="AA1456" s="129">
        <v>1.4816128244090621E-2</v>
      </c>
    </row>
    <row r="1457" spans="19:27" x14ac:dyDescent="0.2">
      <c r="S1457" s="1"/>
      <c r="T1457" s="109"/>
      <c r="W1457" s="130" t="str">
        <f t="shared" si="32"/>
        <v>1w</v>
      </c>
      <c r="X1457" s="128">
        <f>_xll.qlCalendarAdvance(Calendar,X1456,W1457,"f",FALSE)</f>
        <v>49340</v>
      </c>
      <c r="Y1457" s="131">
        <f>_xll.qlCalendarAdvance(Calendar,X1457,NDays&amp;"D")</f>
        <v>49342</v>
      </c>
      <c r="Z1457" s="132">
        <v>1.4779344038626246E-2</v>
      </c>
      <c r="AA1457" s="129">
        <v>1.4807422012568239E-2</v>
      </c>
    </row>
    <row r="1458" spans="19:27" x14ac:dyDescent="0.2">
      <c r="S1458" s="1"/>
      <c r="T1458" s="109"/>
      <c r="W1458" s="130" t="str">
        <f t="shared" si="32"/>
        <v>1w</v>
      </c>
      <c r="X1458" s="128">
        <f>_xll.qlCalendarAdvance(Calendar,X1457,W1458,"f",FALSE)</f>
        <v>49347</v>
      </c>
      <c r="Y1458" s="131">
        <f>_xll.qlCalendarAdvance(Calendar,X1458,NDays&amp;"D")</f>
        <v>49349</v>
      </c>
      <c r="Z1458" s="132">
        <v>1.4770450886123299E-2</v>
      </c>
      <c r="AA1458" s="129">
        <v>1.4798693990796252E-2</v>
      </c>
    </row>
    <row r="1459" spans="19:27" x14ac:dyDescent="0.2">
      <c r="S1459" s="1"/>
      <c r="T1459" s="109"/>
      <c r="W1459" s="130" t="str">
        <f t="shared" si="32"/>
        <v>1w</v>
      </c>
      <c r="X1459" s="128">
        <f>_xll.qlCalendarAdvance(Calendar,X1458,W1459,"f",FALSE)</f>
        <v>49354</v>
      </c>
      <c r="Y1459" s="131">
        <f>_xll.qlCalendarAdvance(Calendar,X1459,NDays&amp;"D")</f>
        <v>49356</v>
      </c>
      <c r="Z1459" s="132">
        <v>1.4761535904662832E-2</v>
      </c>
      <c r="AA1459" s="129">
        <v>1.4789944178801306E-2</v>
      </c>
    </row>
    <row r="1460" spans="19:27" x14ac:dyDescent="0.2">
      <c r="S1460" s="1"/>
      <c r="T1460" s="109"/>
      <c r="W1460" s="130" t="str">
        <f t="shared" si="32"/>
        <v>1w</v>
      </c>
      <c r="X1460" s="128">
        <f>_xll.qlCalendarAdvance(Calendar,X1459,W1460,"f",FALSE)</f>
        <v>49361</v>
      </c>
      <c r="Y1460" s="131">
        <f>_xll.qlCalendarAdvance(Calendar,X1460,NDays&amp;"D")</f>
        <v>49363</v>
      </c>
      <c r="Z1460" s="132">
        <v>1.475260079059218E-2</v>
      </c>
      <c r="AA1460" s="129">
        <v>1.4781172576583401E-2</v>
      </c>
    </row>
    <row r="1461" spans="19:27" x14ac:dyDescent="0.2">
      <c r="S1461" s="1"/>
      <c r="T1461" s="109"/>
      <c r="W1461" s="130" t="str">
        <f t="shared" si="32"/>
        <v>1w</v>
      </c>
      <c r="X1461" s="128">
        <f>_xll.qlCalendarAdvance(Calendar,X1460,W1461,"f",FALSE)</f>
        <v>49368</v>
      </c>
      <c r="Y1461" s="131">
        <f>_xll.qlCalendarAdvance(Calendar,X1461,NDays&amp;"D")</f>
        <v>49370</v>
      </c>
      <c r="Z1461" s="132">
        <v>1.4741946758645482E-2</v>
      </c>
      <c r="AA1461" s="129">
        <v>1.4772379184169182E-2</v>
      </c>
    </row>
    <row r="1462" spans="19:27" x14ac:dyDescent="0.2">
      <c r="S1462" s="1"/>
      <c r="T1462" s="109"/>
      <c r="W1462" s="130" t="str">
        <f t="shared" si="32"/>
        <v>1w</v>
      </c>
      <c r="X1462" s="128">
        <f>_xll.qlCalendarAdvance(Calendar,X1461,W1462,"f",FALSE)</f>
        <v>49375</v>
      </c>
      <c r="Y1462" s="131">
        <f>_xll.qlCalendarAdvance(Calendar,X1462,NDays&amp;"D")</f>
        <v>49377</v>
      </c>
      <c r="Z1462" s="132">
        <v>1.4732985490649742E-2</v>
      </c>
      <c r="AA1462" s="129">
        <v>1.4763564001505358E-2</v>
      </c>
    </row>
    <row r="1463" spans="19:27" x14ac:dyDescent="0.2">
      <c r="S1463" s="1"/>
      <c r="T1463" s="109"/>
      <c r="W1463" s="130" t="str">
        <f t="shared" si="32"/>
        <v>1w</v>
      </c>
      <c r="X1463" s="128">
        <f>_xll.qlCalendarAdvance(Calendar,X1462,W1463,"f",FALSE)</f>
        <v>49382</v>
      </c>
      <c r="Y1463" s="131">
        <f>_xll.qlCalendarAdvance(Calendar,X1463,NDays&amp;"D")</f>
        <v>49384</v>
      </c>
      <c r="Z1463" s="132">
        <v>1.4724021127665906E-2</v>
      </c>
      <c r="AA1463" s="129">
        <v>1.4754727028671866E-2</v>
      </c>
    </row>
    <row r="1464" spans="19:27" x14ac:dyDescent="0.2">
      <c r="S1464" s="1"/>
      <c r="T1464" s="109"/>
      <c r="W1464" s="130" t="str">
        <f t="shared" si="32"/>
        <v>1w</v>
      </c>
      <c r="X1464" s="128">
        <f>_xll.qlCalendarAdvance(Calendar,X1463,W1464,"f",FALSE)</f>
        <v>49389</v>
      </c>
      <c r="Y1464" s="131">
        <f>_xll.qlCalendarAdvance(Calendar,X1464,NDays&amp;"D")</f>
        <v>49395</v>
      </c>
      <c r="Z1464" s="132">
        <v>1.4710616042010545E-2</v>
      </c>
      <c r="AA1464" s="129">
        <v>1.4741461481584395E-2</v>
      </c>
    </row>
    <row r="1465" spans="19:27" x14ac:dyDescent="0.2">
      <c r="S1465" s="1"/>
      <c r="T1465" s="109"/>
      <c r="W1465" s="130" t="str">
        <f t="shared" si="32"/>
        <v>1w</v>
      </c>
      <c r="X1465" s="128">
        <f>_xll.qlCalendarAdvance(Calendar,X1464,W1465,"f",FALSE)</f>
        <v>49396</v>
      </c>
      <c r="Y1465" s="131">
        <f>_xll.qlCalendarAdvance(Calendar,X1465,NDays&amp;"D")</f>
        <v>49398</v>
      </c>
      <c r="Z1465" s="132">
        <v>1.4707115410156579E-2</v>
      </c>
      <c r="AA1465" s="129">
        <v>1.4736987712415939E-2</v>
      </c>
    </row>
    <row r="1466" spans="19:27" x14ac:dyDescent="0.2">
      <c r="S1466" s="1"/>
      <c r="T1466" s="109"/>
      <c r="W1466" s="130" t="str">
        <f t="shared" si="32"/>
        <v>1w</v>
      </c>
      <c r="X1466" s="128">
        <f>_xll.qlCalendarAdvance(Calendar,X1465,W1466,"f",FALSE)</f>
        <v>49403</v>
      </c>
      <c r="Y1466" s="131">
        <f>_xll.qlCalendarAdvance(Calendar,X1466,NDays&amp;"D")</f>
        <v>49405</v>
      </c>
      <c r="Z1466" s="132">
        <v>1.4698164903487566E-2</v>
      </c>
      <c r="AA1466" s="129">
        <v>1.4728085368993504E-2</v>
      </c>
    </row>
    <row r="1467" spans="19:27" x14ac:dyDescent="0.2">
      <c r="S1467" s="1"/>
      <c r="T1467" s="109"/>
      <c r="W1467" s="130" t="str">
        <f t="shared" si="32"/>
        <v>1w</v>
      </c>
      <c r="X1467" s="128">
        <f>_xll.qlCalendarAdvance(Calendar,X1466,W1467,"f",FALSE)</f>
        <v>49410</v>
      </c>
      <c r="Y1467" s="131">
        <f>_xll.qlCalendarAdvance(Calendar,X1467,NDays&amp;"D")</f>
        <v>49412</v>
      </c>
      <c r="Z1467" s="132">
        <v>1.4689229216078219E-2</v>
      </c>
      <c r="AA1467" s="129">
        <v>1.4719161235374756E-2</v>
      </c>
    </row>
    <row r="1468" spans="19:27" x14ac:dyDescent="0.2">
      <c r="S1468" s="1"/>
      <c r="T1468" s="109"/>
      <c r="W1468" s="130" t="str">
        <f t="shared" si="32"/>
        <v>1w</v>
      </c>
      <c r="X1468" s="128">
        <f>_xll.qlCalendarAdvance(Calendar,X1467,W1468,"f",FALSE)</f>
        <v>49417</v>
      </c>
      <c r="Y1468" s="131">
        <f>_xll.qlCalendarAdvance(Calendar,X1468,NDays&amp;"D")</f>
        <v>49419</v>
      </c>
      <c r="Z1468" s="132">
        <v>1.4680313190782569E-2</v>
      </c>
      <c r="AA1468" s="129">
        <v>1.4710215311612984E-2</v>
      </c>
    </row>
    <row r="1469" spans="19:27" x14ac:dyDescent="0.2">
      <c r="S1469" s="1"/>
      <c r="T1469" s="109"/>
      <c r="W1469" s="130" t="str">
        <f t="shared" si="32"/>
        <v>1w</v>
      </c>
      <c r="X1469" s="128">
        <f>_xll.qlCalendarAdvance(Calendar,X1468,W1469,"f",FALSE)</f>
        <v>49424</v>
      </c>
      <c r="Y1469" s="131">
        <f>_xll.qlCalendarAdvance(Calendar,X1469,NDays&amp;"D")</f>
        <v>49426</v>
      </c>
      <c r="Z1469" s="132">
        <v>1.4671421670409843E-2</v>
      </c>
      <c r="AA1469" s="129">
        <v>1.4701247597628253E-2</v>
      </c>
    </row>
    <row r="1470" spans="19:27" x14ac:dyDescent="0.2">
      <c r="S1470" s="1"/>
      <c r="T1470" s="109"/>
      <c r="W1470" s="130" t="str">
        <f t="shared" si="32"/>
        <v>1w</v>
      </c>
      <c r="X1470" s="128">
        <f>_xll.qlCalendarAdvance(Calendar,X1469,W1470,"f",FALSE)</f>
        <v>49431</v>
      </c>
      <c r="Y1470" s="131">
        <f>_xll.qlCalendarAdvance(Calendar,X1470,NDays&amp;"D")</f>
        <v>49433</v>
      </c>
      <c r="Z1470" s="132">
        <v>1.4661577799852759E-2</v>
      </c>
      <c r="AA1470" s="129">
        <v>1.4692258093500499E-2</v>
      </c>
    </row>
    <row r="1471" spans="19:27" x14ac:dyDescent="0.2">
      <c r="S1471" s="1"/>
      <c r="T1471" s="109"/>
      <c r="W1471" s="130" t="str">
        <f t="shared" si="32"/>
        <v>1w</v>
      </c>
      <c r="X1471" s="128">
        <f>_xll.qlCalendarAdvance(Calendar,X1470,W1471,"f",FALSE)</f>
        <v>49438</v>
      </c>
      <c r="Y1471" s="131">
        <f>_xll.qlCalendarAdvance(Calendar,X1471,NDays&amp;"D")</f>
        <v>49440</v>
      </c>
      <c r="Z1471" s="132">
        <v>1.4652757478266457E-2</v>
      </c>
      <c r="AA1471" s="129">
        <v>1.468324679917643E-2</v>
      </c>
    </row>
    <row r="1472" spans="19:27" x14ac:dyDescent="0.2">
      <c r="S1472" s="1"/>
      <c r="T1472" s="109"/>
      <c r="W1472" s="130" t="str">
        <f t="shared" si="32"/>
        <v>1w</v>
      </c>
      <c r="X1472" s="128">
        <f>_xll.qlCalendarAdvance(Calendar,X1471,W1472,"f",FALSE)</f>
        <v>49445</v>
      </c>
      <c r="Y1472" s="131">
        <f>_xll.qlCalendarAdvance(Calendar,X1472,NDays&amp;"D")</f>
        <v>49447</v>
      </c>
      <c r="Z1472" s="132">
        <v>1.4643976115552026E-2</v>
      </c>
      <c r="AA1472" s="129">
        <v>1.4674233558915617E-2</v>
      </c>
    </row>
    <row r="1473" spans="19:27" x14ac:dyDescent="0.2">
      <c r="S1473" s="1"/>
      <c r="T1473" s="109"/>
      <c r="W1473" s="130" t="str">
        <f t="shared" si="32"/>
        <v>1w</v>
      </c>
      <c r="X1473" s="128">
        <f>_xll.qlCalendarAdvance(Calendar,X1472,W1473,"f",FALSE)</f>
        <v>49452</v>
      </c>
      <c r="Y1473" s="131">
        <f>_xll.qlCalendarAdvance(Calendar,X1473,NDays&amp;"D")</f>
        <v>49454</v>
      </c>
      <c r="Z1473" s="132">
        <v>1.4635235805275641E-2</v>
      </c>
      <c r="AA1473" s="129">
        <v>1.4665259341386516E-2</v>
      </c>
    </row>
    <row r="1474" spans="19:27" x14ac:dyDescent="0.2">
      <c r="S1474" s="1"/>
      <c r="T1474" s="109"/>
      <c r="W1474" s="130" t="str">
        <f t="shared" si="32"/>
        <v>1w</v>
      </c>
      <c r="X1474" s="128">
        <f>_xll.qlCalendarAdvance(Calendar,X1473,W1474,"f",FALSE)</f>
        <v>49459</v>
      </c>
      <c r="Y1474" s="131">
        <f>_xll.qlCalendarAdvance(Calendar,X1474,NDays&amp;"D")</f>
        <v>49461</v>
      </c>
      <c r="Z1474" s="132">
        <v>1.4626536608674275E-2</v>
      </c>
      <c r="AA1474" s="129">
        <v>1.4656326066999625E-2</v>
      </c>
    </row>
    <row r="1475" spans="19:27" x14ac:dyDescent="0.2">
      <c r="S1475" s="1"/>
      <c r="T1475" s="109"/>
      <c r="W1475" s="130" t="str">
        <f t="shared" si="32"/>
        <v>1w</v>
      </c>
      <c r="X1475" s="128">
        <f>_xll.qlCalendarAdvance(Calendar,X1474,W1475,"f",FALSE)</f>
        <v>49466</v>
      </c>
      <c r="Y1475" s="131">
        <f>_xll.qlCalendarAdvance(Calendar,X1475,NDays&amp;"D")</f>
        <v>49468</v>
      </c>
      <c r="Z1475" s="132">
        <v>1.4617878525468149E-2</v>
      </c>
      <c r="AA1475" s="129">
        <v>1.4647433735728299E-2</v>
      </c>
    </row>
    <row r="1476" spans="19:27" x14ac:dyDescent="0.2">
      <c r="S1476" s="1"/>
      <c r="T1476" s="109"/>
      <c r="W1476" s="130" t="str">
        <f t="shared" si="32"/>
        <v>1w</v>
      </c>
      <c r="X1476" s="128">
        <f>_xll.qlCalendarAdvance(Calendar,X1475,W1476,"f",FALSE)</f>
        <v>49473</v>
      </c>
      <c r="Y1476" s="131">
        <f>_xll.qlCalendarAdvance(Calendar,X1476,NDays&amp;"D")</f>
        <v>49475</v>
      </c>
      <c r="Z1476" s="132">
        <v>1.4609261555379189E-2</v>
      </c>
      <c r="AA1476" s="129">
        <v>1.4638582347572537E-2</v>
      </c>
    </row>
    <row r="1477" spans="19:27" x14ac:dyDescent="0.2">
      <c r="S1477" s="1"/>
      <c r="T1477" s="109"/>
      <c r="W1477" s="130" t="str">
        <f t="shared" si="32"/>
        <v>1w</v>
      </c>
      <c r="X1477" s="128">
        <f>_xll.qlCalendarAdvance(Calendar,X1476,W1477,"f",FALSE)</f>
        <v>49480</v>
      </c>
      <c r="Y1477" s="131">
        <f>_xll.qlCalendarAdvance(Calendar,X1477,NDays&amp;"D")</f>
        <v>49482</v>
      </c>
      <c r="Z1477" s="132">
        <v>1.460068569813187E-2</v>
      </c>
      <c r="AA1477" s="129">
        <v>1.462977190247905E-2</v>
      </c>
    </row>
    <row r="1478" spans="19:27" x14ac:dyDescent="0.2">
      <c r="S1478" s="1"/>
      <c r="T1478" s="109"/>
      <c r="W1478" s="130" t="str">
        <f t="shared" si="32"/>
        <v>1w</v>
      </c>
      <c r="X1478" s="128">
        <f>_xll.qlCalendarAdvance(Calendar,X1477,W1478,"f",FALSE)</f>
        <v>49487</v>
      </c>
      <c r="Y1478" s="131">
        <f>_xll.qlCalendarAdvance(Calendar,X1478,NDays&amp;"D")</f>
        <v>49489</v>
      </c>
      <c r="Z1478" s="132">
        <v>1.4593070702096958E-2</v>
      </c>
      <c r="AA1478" s="129">
        <v>1.4621002400501126E-2</v>
      </c>
    </row>
    <row r="1479" spans="19:27" x14ac:dyDescent="0.2">
      <c r="S1479" s="1"/>
      <c r="T1479" s="109"/>
      <c r="W1479" s="130" t="str">
        <f t="shared" si="32"/>
        <v>1w</v>
      </c>
      <c r="X1479" s="128">
        <f>_xll.qlCalendarAdvance(Calendar,X1478,W1479,"f",FALSE)</f>
        <v>49494</v>
      </c>
      <c r="Y1479" s="131">
        <f>_xll.qlCalendarAdvance(Calendar,X1479,NDays&amp;"D")</f>
        <v>49496</v>
      </c>
      <c r="Z1479" s="132">
        <v>1.4583657321062614E-2</v>
      </c>
      <c r="AA1479" s="129">
        <v>1.4612273841612122E-2</v>
      </c>
    </row>
    <row r="1480" spans="19:27" x14ac:dyDescent="0.2">
      <c r="S1480" s="1"/>
      <c r="T1480" s="109"/>
      <c r="W1480" s="130" t="str">
        <f t="shared" si="32"/>
        <v>1w</v>
      </c>
      <c r="X1480" s="128">
        <f>_xll.qlCalendarAdvance(Calendar,X1479,W1480,"f",FALSE)</f>
        <v>49501</v>
      </c>
      <c r="Y1480" s="131">
        <f>_xll.qlCalendarAdvance(Calendar,X1480,NDays&amp;"D")</f>
        <v>49503</v>
      </c>
      <c r="Z1480" s="132">
        <v>1.4575204800693877E-2</v>
      </c>
      <c r="AA1480" s="129">
        <v>1.4603586225812037E-2</v>
      </c>
    </row>
    <row r="1481" spans="19:27" x14ac:dyDescent="0.2">
      <c r="S1481" s="1"/>
      <c r="T1481" s="109"/>
      <c r="W1481" s="130" t="str">
        <f t="shared" si="32"/>
        <v>1w</v>
      </c>
      <c r="X1481" s="128">
        <f>_xll.qlCalendarAdvance(Calendar,X1480,W1481,"f",FALSE)</f>
        <v>49508</v>
      </c>
      <c r="Y1481" s="131">
        <f>_xll.qlCalendarAdvance(Calendar,X1481,NDays&amp;"D")</f>
        <v>49510</v>
      </c>
      <c r="Z1481" s="132">
        <v>1.4566793392074041E-2</v>
      </c>
      <c r="AA1481" s="129">
        <v>1.4594939553047581E-2</v>
      </c>
    </row>
    <row r="1482" spans="19:27" x14ac:dyDescent="0.2">
      <c r="S1482" s="1"/>
      <c r="T1482" s="109"/>
      <c r="W1482" s="130" t="str">
        <f t="shared" si="32"/>
        <v>1w</v>
      </c>
      <c r="X1482" s="128">
        <f>_xll.qlCalendarAdvance(Calendar,X1481,W1482,"f",FALSE)</f>
        <v>49515</v>
      </c>
      <c r="Y1482" s="131">
        <f>_xll.qlCalendarAdvance(Calendar,X1482,NDays&amp;"D")</f>
        <v>49517</v>
      </c>
      <c r="Z1482" s="132">
        <v>1.4558423094934382E-2</v>
      </c>
      <c r="AA1482" s="129">
        <v>1.4586333823345399E-2</v>
      </c>
    </row>
    <row r="1483" spans="19:27" x14ac:dyDescent="0.2">
      <c r="S1483" s="1"/>
      <c r="T1483" s="109"/>
      <c r="W1483" s="130" t="str">
        <f t="shared" si="32"/>
        <v>1w</v>
      </c>
      <c r="X1483" s="128">
        <f>_xll.qlCalendarAdvance(Calendar,X1482,W1483,"f",FALSE)</f>
        <v>49522</v>
      </c>
      <c r="Y1483" s="131">
        <f>_xll.qlCalendarAdvance(Calendar,X1483,NDays&amp;"D")</f>
        <v>49524</v>
      </c>
      <c r="Z1483" s="132">
        <v>1.4550093909004479E-2</v>
      </c>
      <c r="AA1483" s="129">
        <v>1.457776903670549E-2</v>
      </c>
    </row>
    <row r="1484" spans="19:27" x14ac:dyDescent="0.2">
      <c r="S1484" s="1"/>
      <c r="T1484" s="109"/>
      <c r="W1484" s="130" t="str">
        <f t="shared" si="32"/>
        <v>1w</v>
      </c>
      <c r="X1484" s="128">
        <f>_xll.qlCalendarAdvance(Calendar,X1483,W1484,"f",FALSE)</f>
        <v>49529</v>
      </c>
      <c r="Y1484" s="131">
        <f>_xll.qlCalendarAdvance(Calendar,X1484,NDays&amp;"D")</f>
        <v>49531</v>
      </c>
      <c r="Z1484" s="132">
        <v>1.4541805834018161E-2</v>
      </c>
      <c r="AA1484" s="129">
        <v>1.456924519310121E-2</v>
      </c>
    </row>
    <row r="1485" spans="19:27" x14ac:dyDescent="0.2">
      <c r="S1485" s="1"/>
      <c r="T1485" s="109"/>
      <c r="W1485" s="130" t="str">
        <f t="shared" si="32"/>
        <v>1w</v>
      </c>
      <c r="X1485" s="128">
        <f>_xll.qlCalendarAdvance(Calendar,X1484,W1485,"f",FALSE)</f>
        <v>49536</v>
      </c>
      <c r="Y1485" s="131">
        <f>_xll.qlCalendarAdvance(Calendar,X1485,NDays&amp;"D")</f>
        <v>49538</v>
      </c>
      <c r="Z1485" s="132">
        <v>1.4533558869709258E-2</v>
      </c>
      <c r="AA1485" s="129">
        <v>1.4560762292505913E-2</v>
      </c>
    </row>
    <row r="1486" spans="19:27" x14ac:dyDescent="0.2">
      <c r="S1486" s="1"/>
      <c r="T1486" s="109"/>
      <c r="W1486" s="130" t="str">
        <f t="shared" si="32"/>
        <v>1w</v>
      </c>
      <c r="X1486" s="128">
        <f>_xll.qlCalendarAdvance(Calendar,X1485,W1486,"f",FALSE)</f>
        <v>49543</v>
      </c>
      <c r="Y1486" s="131">
        <f>_xll.qlCalendarAdvance(Calendar,X1486,NDays&amp;"D")</f>
        <v>49545</v>
      </c>
      <c r="Z1486" s="132">
        <v>1.4525353015815853E-2</v>
      </c>
      <c r="AA1486" s="129">
        <v>1.4552320334946245E-2</v>
      </c>
    </row>
    <row r="1487" spans="19:27" x14ac:dyDescent="0.2">
      <c r="S1487" s="1"/>
      <c r="T1487" s="109"/>
      <c r="W1487" s="130" t="str">
        <f t="shared" si="32"/>
        <v>1w</v>
      </c>
      <c r="X1487" s="128">
        <f>_xll.qlCalendarAdvance(Calendar,X1486,W1487,"f",FALSE)</f>
        <v>49550</v>
      </c>
      <c r="Y1487" s="131">
        <f>_xll.qlCalendarAdvance(Calendar,X1487,NDays&amp;"D")</f>
        <v>49552</v>
      </c>
      <c r="Z1487" s="132">
        <v>1.451803782043962E-2</v>
      </c>
      <c r="AA1487" s="129">
        <v>1.454391932039556E-2</v>
      </c>
    </row>
    <row r="1488" spans="19:27" x14ac:dyDescent="0.2">
      <c r="S1488" s="1"/>
      <c r="T1488" s="109"/>
      <c r="W1488" s="130" t="str">
        <f t="shared" si="32"/>
        <v>1w</v>
      </c>
      <c r="X1488" s="128">
        <f>_xll.qlCalendarAdvance(Calendar,X1487,W1488,"f",FALSE)</f>
        <v>49557</v>
      </c>
      <c r="Y1488" s="131">
        <f>_xll.qlCalendarAdvance(Calendar,X1488,NDays&amp;"D")</f>
        <v>49559</v>
      </c>
      <c r="Z1488" s="132">
        <v>1.4509906359142791E-2</v>
      </c>
      <c r="AA1488" s="129">
        <v>1.4535559248853858E-2</v>
      </c>
    </row>
    <row r="1489" spans="19:27" x14ac:dyDescent="0.2">
      <c r="S1489" s="1"/>
      <c r="T1489" s="109"/>
      <c r="W1489" s="130" t="str">
        <f t="shared" si="32"/>
        <v>1w</v>
      </c>
      <c r="X1489" s="128">
        <f>_xll.qlCalendarAdvance(Calendar,X1488,W1489,"f",FALSE)</f>
        <v>49564</v>
      </c>
      <c r="Y1489" s="131">
        <f>_xll.qlCalendarAdvance(Calendar,X1489,NDays&amp;"D")</f>
        <v>49566</v>
      </c>
      <c r="Z1489" s="132">
        <v>1.4501816002020973E-2</v>
      </c>
      <c r="AA1489" s="129">
        <v>1.4527240120294493E-2</v>
      </c>
    </row>
    <row r="1490" spans="19:27" x14ac:dyDescent="0.2">
      <c r="S1490" s="1"/>
      <c r="T1490" s="109"/>
      <c r="W1490" s="130" t="str">
        <f t="shared" si="32"/>
        <v>1w</v>
      </c>
      <c r="X1490" s="128">
        <f>_xll.qlCalendarAdvance(Calendar,X1489,W1490,"f",FALSE)</f>
        <v>49571</v>
      </c>
      <c r="Y1490" s="131">
        <f>_xll.qlCalendarAdvance(Calendar,X1490,NDays&amp;"D")</f>
        <v>49573</v>
      </c>
      <c r="Z1490" s="132">
        <v>1.4493766748823812E-2</v>
      </c>
      <c r="AA1490" s="129">
        <v>1.4518961934744112E-2</v>
      </c>
    </row>
    <row r="1491" spans="19:27" x14ac:dyDescent="0.2">
      <c r="S1491" s="1"/>
      <c r="T1491" s="109"/>
      <c r="W1491" s="130" t="str">
        <f t="shared" si="32"/>
        <v>1w</v>
      </c>
      <c r="X1491" s="128">
        <f>_xll.qlCalendarAdvance(Calendar,X1490,W1491,"f",FALSE)</f>
        <v>49578</v>
      </c>
      <c r="Y1491" s="131">
        <f>_xll.qlCalendarAdvance(Calendar,X1491,NDays&amp;"D")</f>
        <v>49580</v>
      </c>
      <c r="Z1491" s="132">
        <v>1.4484940393375036E-2</v>
      </c>
      <c r="AA1491" s="129">
        <v>1.4510724692149424E-2</v>
      </c>
    </row>
    <row r="1492" spans="19:27" x14ac:dyDescent="0.2">
      <c r="S1492" s="1"/>
      <c r="T1492" s="109"/>
      <c r="W1492" s="130" t="str">
        <f t="shared" si="32"/>
        <v>1w</v>
      </c>
      <c r="X1492" s="128">
        <f>_xll.qlCalendarAdvance(Calendar,X1491,W1492,"f",FALSE)</f>
        <v>49585</v>
      </c>
      <c r="Y1492" s="131">
        <f>_xll.qlCalendarAdvance(Calendar,X1492,NDays&amp;"D")</f>
        <v>49587</v>
      </c>
      <c r="Z1492" s="132">
        <v>1.4476981196478585E-2</v>
      </c>
      <c r="AA1492" s="129">
        <v>1.4502528392537073E-2</v>
      </c>
    </row>
    <row r="1493" spans="19:27" x14ac:dyDescent="0.2">
      <c r="S1493" s="1"/>
      <c r="T1493" s="109"/>
      <c r="W1493" s="130" t="str">
        <f t="shared" ref="W1493:W1556" si="33">W1492</f>
        <v>1w</v>
      </c>
      <c r="X1493" s="128">
        <f>_xll.qlCalendarAdvance(Calendar,X1492,W1493,"f",FALSE)</f>
        <v>49592</v>
      </c>
      <c r="Y1493" s="131">
        <f>_xll.qlCalendarAdvance(Calendar,X1493,NDays&amp;"D")</f>
        <v>49594</v>
      </c>
      <c r="Z1493" s="132">
        <v>1.4469063108182063E-2</v>
      </c>
      <c r="AA1493" s="129">
        <v>1.4494373035880415E-2</v>
      </c>
    </row>
    <row r="1494" spans="19:27" x14ac:dyDescent="0.2">
      <c r="S1494" s="1"/>
      <c r="T1494" s="109"/>
      <c r="W1494" s="130" t="str">
        <f t="shared" si="33"/>
        <v>1w</v>
      </c>
      <c r="X1494" s="128">
        <f>_xll.qlCalendarAdvance(Calendar,X1493,W1494,"f",FALSE)</f>
        <v>49599</v>
      </c>
      <c r="Y1494" s="131">
        <f>_xll.qlCalendarAdvance(Calendar,X1494,NDays&amp;"D")</f>
        <v>49601</v>
      </c>
      <c r="Z1494" s="132">
        <v>1.4461186128230354E-2</v>
      </c>
      <c r="AA1494" s="129">
        <v>1.4486258622179449E-2</v>
      </c>
    </row>
    <row r="1495" spans="19:27" x14ac:dyDescent="0.2">
      <c r="S1495" s="1"/>
      <c r="T1495" s="109"/>
      <c r="W1495" s="130" t="str">
        <f t="shared" si="33"/>
        <v>1w</v>
      </c>
      <c r="X1495" s="128">
        <f>_xll.qlCalendarAdvance(Calendar,X1494,W1495,"f",FALSE)</f>
        <v>49606</v>
      </c>
      <c r="Y1495" s="131">
        <f>_xll.qlCalendarAdvance(Calendar,X1495,NDays&amp;"D")</f>
        <v>49608</v>
      </c>
      <c r="Z1495" s="132">
        <v>1.4453350256370045E-2</v>
      </c>
      <c r="AA1495" s="129">
        <v>1.4478185151434175E-2</v>
      </c>
    </row>
    <row r="1496" spans="19:27" x14ac:dyDescent="0.2">
      <c r="S1496" s="1"/>
      <c r="T1496" s="109"/>
      <c r="W1496" s="130" t="str">
        <f t="shared" si="33"/>
        <v>1w</v>
      </c>
      <c r="X1496" s="128">
        <f>_xll.qlCalendarAdvance(Calendar,X1495,W1496,"f",FALSE)</f>
        <v>49613</v>
      </c>
      <c r="Y1496" s="131">
        <f>_xll.qlCalendarAdvance(Calendar,X1496,NDays&amp;"D")</f>
        <v>49615</v>
      </c>
      <c r="Z1496" s="132">
        <v>1.4445555492350272E-2</v>
      </c>
      <c r="AA1496" s="129">
        <v>1.4470152623617949E-2</v>
      </c>
    </row>
    <row r="1497" spans="19:27" x14ac:dyDescent="0.2">
      <c r="S1497" s="1"/>
      <c r="T1497" s="109"/>
      <c r="W1497" s="130" t="str">
        <f t="shared" si="33"/>
        <v>1w</v>
      </c>
      <c r="X1497" s="128">
        <f>_xll.qlCalendarAdvance(Calendar,X1496,W1497,"f",FALSE)</f>
        <v>49620</v>
      </c>
      <c r="Y1497" s="131">
        <f>_xll.qlCalendarAdvance(Calendar,X1497,NDays&amp;"D")</f>
        <v>49622</v>
      </c>
      <c r="Z1497" s="132">
        <v>1.4437801835921872E-2</v>
      </c>
      <c r="AA1497" s="129">
        <v>1.4462161038704124E-2</v>
      </c>
    </row>
    <row r="1498" spans="19:27" x14ac:dyDescent="0.2">
      <c r="S1498" s="1"/>
      <c r="T1498" s="109"/>
      <c r="W1498" s="130" t="str">
        <f t="shared" si="33"/>
        <v>1w</v>
      </c>
      <c r="X1498" s="128">
        <f>_xll.qlCalendarAdvance(Calendar,X1497,W1498,"f",FALSE)</f>
        <v>49627</v>
      </c>
      <c r="Y1498" s="131">
        <f>_xll.qlCalendarAdvance(Calendar,X1498,NDays&amp;"D")</f>
        <v>49629</v>
      </c>
      <c r="Z1498" s="132">
        <v>1.4430089286835682E-2</v>
      </c>
      <c r="AA1498" s="129">
        <v>1.4454210396745992E-2</v>
      </c>
    </row>
    <row r="1499" spans="19:27" x14ac:dyDescent="0.2">
      <c r="S1499" s="1"/>
      <c r="T1499" s="109"/>
      <c r="W1499" s="130" t="str">
        <f t="shared" si="33"/>
        <v>1w</v>
      </c>
      <c r="X1499" s="128">
        <f>_xll.qlCalendarAdvance(Calendar,X1498,W1499,"f",FALSE)</f>
        <v>49634</v>
      </c>
      <c r="Y1499" s="131">
        <f>_xll.qlCalendarAdvance(Calendar,X1499,NDays&amp;"D")</f>
        <v>49636</v>
      </c>
      <c r="Z1499" s="132">
        <v>1.4422417844844243E-2</v>
      </c>
      <c r="AA1499" s="129">
        <v>1.4446300697716907E-2</v>
      </c>
    </row>
    <row r="1500" spans="19:27" x14ac:dyDescent="0.2">
      <c r="S1500" s="1"/>
      <c r="T1500" s="109"/>
      <c r="W1500" s="130" t="str">
        <f t="shared" si="33"/>
        <v>1w</v>
      </c>
      <c r="X1500" s="128">
        <f>_xll.qlCalendarAdvance(Calendar,X1499,W1500,"f",FALSE)</f>
        <v>49641</v>
      </c>
      <c r="Y1500" s="131">
        <f>_xll.qlCalendarAdvance(Calendar,X1500,NDays&amp;"D")</f>
        <v>49643</v>
      </c>
      <c r="Z1500" s="132">
        <v>1.4415534878340549E-2</v>
      </c>
      <c r="AA1500" s="129">
        <v>1.4438431941563579E-2</v>
      </c>
    </row>
    <row r="1501" spans="19:27" x14ac:dyDescent="0.2">
      <c r="S1501" s="1"/>
      <c r="T1501" s="109"/>
      <c r="W1501" s="130" t="str">
        <f t="shared" si="33"/>
        <v>1w</v>
      </c>
      <c r="X1501" s="128">
        <f>_xll.qlCalendarAdvance(Calendar,X1500,W1501,"f",FALSE)</f>
        <v>49648</v>
      </c>
      <c r="Y1501" s="131">
        <f>_xll.qlCalendarAdvance(Calendar,X1501,NDays&amp;"D")</f>
        <v>49650</v>
      </c>
      <c r="Z1501" s="132">
        <v>1.4407937752097286E-2</v>
      </c>
      <c r="AA1501" s="129">
        <v>1.4430604128286006E-2</v>
      </c>
    </row>
    <row r="1502" spans="19:27" x14ac:dyDescent="0.2">
      <c r="S1502" s="1"/>
      <c r="T1502" s="109"/>
      <c r="W1502" s="130" t="str">
        <f t="shared" si="33"/>
        <v>1w</v>
      </c>
      <c r="X1502" s="128">
        <f>_xll.qlCalendarAdvance(Calendar,X1501,W1502,"f",FALSE)</f>
        <v>49655</v>
      </c>
      <c r="Y1502" s="131">
        <f>_xll.qlCalendarAdvance(Calendar,X1502,NDays&amp;"D")</f>
        <v>49657</v>
      </c>
      <c r="Z1502" s="132">
        <v>1.4400381726864971E-2</v>
      </c>
      <c r="AA1502" s="129">
        <v>1.4422817257910836E-2</v>
      </c>
    </row>
    <row r="1503" spans="19:27" x14ac:dyDescent="0.2">
      <c r="S1503" s="1"/>
      <c r="T1503" s="109"/>
      <c r="W1503" s="130" t="str">
        <f t="shared" si="33"/>
        <v>1w</v>
      </c>
      <c r="X1503" s="128">
        <f>_xll.qlCalendarAdvance(Calendar,X1502,W1503,"f",FALSE)</f>
        <v>49662</v>
      </c>
      <c r="Y1503" s="131">
        <f>_xll.qlCalendarAdvance(Calendar,X1503,NDays&amp;"D")</f>
        <v>49664</v>
      </c>
      <c r="Z1503" s="132">
        <v>1.4392866802406428E-2</v>
      </c>
      <c r="AA1503" s="129">
        <v>1.4415071330411422E-2</v>
      </c>
    </row>
    <row r="1504" spans="19:27" x14ac:dyDescent="0.2">
      <c r="S1504" s="1"/>
      <c r="T1504" s="109"/>
      <c r="W1504" s="130" t="str">
        <f t="shared" si="33"/>
        <v>1w</v>
      </c>
      <c r="X1504" s="128">
        <f>_xll.qlCalendarAdvance(Calendar,X1503,W1504,"f",FALSE)</f>
        <v>49670</v>
      </c>
      <c r="Y1504" s="131">
        <f>_xll.qlCalendarAdvance(Calendar,X1504,NDays&amp;"D")</f>
        <v>49674</v>
      </c>
      <c r="Z1504" s="132">
        <v>1.4382202492837382E-2</v>
      </c>
      <c r="AA1504" s="129">
        <v>1.4404336144218099E-2</v>
      </c>
    </row>
    <row r="1505" spans="19:27" x14ac:dyDescent="0.2">
      <c r="S1505" s="1"/>
      <c r="T1505" s="109"/>
      <c r="W1505" s="130" t="str">
        <f t="shared" si="33"/>
        <v>1w</v>
      </c>
      <c r="X1505" s="128">
        <f>_xll.qlCalendarAdvance(Calendar,X1504,W1505,"f",FALSE)</f>
        <v>49677</v>
      </c>
      <c r="Y1505" s="131">
        <f>_xll.qlCalendarAdvance(Calendar,X1505,NDays&amp;"D")</f>
        <v>49681</v>
      </c>
      <c r="Z1505" s="132">
        <v>1.4374787383578462E-2</v>
      </c>
      <c r="AA1505" s="129">
        <v>1.4396944056196403E-2</v>
      </c>
    </row>
    <row r="1506" spans="19:27" x14ac:dyDescent="0.2">
      <c r="S1506" s="1"/>
      <c r="T1506" s="109"/>
      <c r="W1506" s="130" t="str">
        <f t="shared" si="33"/>
        <v>1w</v>
      </c>
      <c r="X1506" s="128">
        <f>_xll.qlCalendarAdvance(Calendar,X1505,W1506,"f",FALSE)</f>
        <v>49684</v>
      </c>
      <c r="Y1506" s="131">
        <f>_xll.qlCalendarAdvance(Calendar,X1506,NDays&amp;"D")</f>
        <v>49688</v>
      </c>
      <c r="Z1506" s="132">
        <v>1.4367180960257271E-2</v>
      </c>
      <c r="AA1506" s="129">
        <v>1.4389333263800097E-2</v>
      </c>
    </row>
    <row r="1507" spans="19:27" x14ac:dyDescent="0.2">
      <c r="S1507" s="1"/>
      <c r="T1507" s="109"/>
      <c r="W1507" s="130" t="str">
        <f t="shared" si="33"/>
        <v>1w</v>
      </c>
      <c r="X1507" s="128">
        <f>_xll.qlCalendarAdvance(Calendar,X1506,W1507,"f",FALSE)</f>
        <v>49691</v>
      </c>
      <c r="Y1507" s="131">
        <f>_xll.qlCalendarAdvance(Calendar,X1507,NDays&amp;"D")</f>
        <v>49695</v>
      </c>
      <c r="Z1507" s="132">
        <v>1.436008046477304E-2</v>
      </c>
      <c r="AA1507" s="129">
        <v>1.4381763410735715E-2</v>
      </c>
    </row>
    <row r="1508" spans="19:27" x14ac:dyDescent="0.2">
      <c r="S1508" s="1"/>
      <c r="T1508" s="109"/>
      <c r="W1508" s="130" t="str">
        <f t="shared" si="33"/>
        <v>1w</v>
      </c>
      <c r="X1508" s="128">
        <f>_xll.qlCalendarAdvance(Calendar,X1507,W1508,"f",FALSE)</f>
        <v>49698</v>
      </c>
      <c r="Y1508" s="131">
        <f>_xll.qlCalendarAdvance(Calendar,X1508,NDays&amp;"D")</f>
        <v>49702</v>
      </c>
      <c r="Z1508" s="132">
        <v>1.4352788654769759E-2</v>
      </c>
      <c r="AA1508" s="129">
        <v>1.4374234496923322E-2</v>
      </c>
    </row>
    <row r="1509" spans="19:27" x14ac:dyDescent="0.2">
      <c r="S1509" s="1"/>
      <c r="T1509" s="109"/>
      <c r="W1509" s="130" t="str">
        <f t="shared" si="33"/>
        <v>1w</v>
      </c>
      <c r="X1509" s="128">
        <f>_xll.qlCalendarAdvance(Calendar,X1508,W1509,"f",FALSE)</f>
        <v>49705</v>
      </c>
      <c r="Y1509" s="131">
        <f>_xll.qlCalendarAdvance(Calendar,X1509,NDays&amp;"D")</f>
        <v>49709</v>
      </c>
      <c r="Z1509" s="132">
        <v>1.4345537944064511E-2</v>
      </c>
      <c r="AA1509" s="129">
        <v>1.4366746522362916E-2</v>
      </c>
    </row>
    <row r="1510" spans="19:27" x14ac:dyDescent="0.2">
      <c r="S1510" s="1"/>
      <c r="T1510" s="109"/>
      <c r="W1510" s="130" t="str">
        <f t="shared" si="33"/>
        <v>1w</v>
      </c>
      <c r="X1510" s="128">
        <f>_xll.qlCalendarAdvance(Calendar,X1509,W1510,"f",FALSE)</f>
        <v>49712</v>
      </c>
      <c r="Y1510" s="131">
        <f>_xll.qlCalendarAdvance(Calendar,X1510,NDays&amp;"D")</f>
        <v>49716</v>
      </c>
      <c r="Z1510" s="132">
        <v>1.4338328332429782E-2</v>
      </c>
      <c r="AA1510" s="129">
        <v>1.4359299486974564E-2</v>
      </c>
    </row>
    <row r="1511" spans="19:27" x14ac:dyDescent="0.2">
      <c r="S1511" s="1"/>
      <c r="T1511" s="109"/>
      <c r="W1511" s="130" t="str">
        <f t="shared" si="33"/>
        <v>1w</v>
      </c>
      <c r="X1511" s="128">
        <f>_xll.qlCalendarAdvance(Calendar,X1510,W1511,"f",FALSE)</f>
        <v>49719</v>
      </c>
      <c r="Y1511" s="131">
        <f>_xll.qlCalendarAdvance(Calendar,X1511,NDays&amp;"D")</f>
        <v>49723</v>
      </c>
      <c r="Z1511" s="132">
        <v>1.4331159819645093E-2</v>
      </c>
      <c r="AA1511" s="129">
        <v>1.43518933908382E-2</v>
      </c>
    </row>
    <row r="1512" spans="19:27" x14ac:dyDescent="0.2">
      <c r="S1512" s="1"/>
      <c r="T1512" s="109"/>
      <c r="W1512" s="130" t="str">
        <f t="shared" si="33"/>
        <v>1w</v>
      </c>
      <c r="X1512" s="128">
        <f>_xll.qlCalendarAdvance(Calendar,X1511,W1512,"f",FALSE)</f>
        <v>49726</v>
      </c>
      <c r="Y1512" s="131">
        <f>_xll.qlCalendarAdvance(Calendar,X1512,NDays&amp;"D")</f>
        <v>49730</v>
      </c>
      <c r="Z1512" s="132">
        <v>1.4324032405485564E-2</v>
      </c>
      <c r="AA1512" s="129">
        <v>1.4344528233953824E-2</v>
      </c>
    </row>
    <row r="1513" spans="19:27" x14ac:dyDescent="0.2">
      <c r="S1513" s="1"/>
      <c r="T1513" s="109"/>
      <c r="W1513" s="130" t="str">
        <f t="shared" si="33"/>
        <v>1w</v>
      </c>
      <c r="X1513" s="128">
        <f>_xll.qlCalendarAdvance(Calendar,X1512,W1513,"f",FALSE)</f>
        <v>49733</v>
      </c>
      <c r="Y1513" s="131">
        <f>_xll.qlCalendarAdvance(Calendar,X1513,NDays&amp;"D")</f>
        <v>49737</v>
      </c>
      <c r="Z1513" s="132">
        <v>1.4316732218981502E-2</v>
      </c>
      <c r="AA1513" s="129">
        <v>1.43372040162415E-2</v>
      </c>
    </row>
    <row r="1514" spans="19:27" x14ac:dyDescent="0.2">
      <c r="S1514" s="1"/>
      <c r="T1514" s="109"/>
      <c r="W1514" s="130" t="str">
        <f t="shared" si="33"/>
        <v>1w</v>
      </c>
      <c r="X1514" s="128">
        <f>_xll.qlCalendarAdvance(Calendar,X1513,W1514,"f",FALSE)</f>
        <v>49740</v>
      </c>
      <c r="Y1514" s="131">
        <f>_xll.qlCalendarAdvance(Calendar,X1514,NDays&amp;"D")</f>
        <v>49744</v>
      </c>
      <c r="Z1514" s="132">
        <v>1.4309689657488396E-2</v>
      </c>
      <c r="AA1514" s="129">
        <v>1.4329920737941038E-2</v>
      </c>
    </row>
    <row r="1515" spans="19:27" x14ac:dyDescent="0.2">
      <c r="S1515" s="1"/>
      <c r="T1515" s="109"/>
      <c r="W1515" s="130" t="str">
        <f t="shared" si="33"/>
        <v>1w</v>
      </c>
      <c r="X1515" s="128">
        <f>_xll.qlCalendarAdvance(Calendar,X1514,W1515,"f",FALSE)</f>
        <v>49747</v>
      </c>
      <c r="Y1515" s="131">
        <f>_xll.qlCalendarAdvance(Calendar,X1515,NDays&amp;"D")</f>
        <v>49751</v>
      </c>
      <c r="Z1515" s="132">
        <v>1.4302688195711094E-2</v>
      </c>
      <c r="AA1515" s="129">
        <v>1.4322678398652755E-2</v>
      </c>
    </row>
    <row r="1516" spans="19:27" x14ac:dyDescent="0.2">
      <c r="S1516" s="1"/>
      <c r="T1516" s="109"/>
      <c r="W1516" s="130" t="str">
        <f t="shared" si="33"/>
        <v>1w</v>
      </c>
      <c r="X1516" s="128">
        <f>_xll.qlCalendarAdvance(Calendar,X1515,W1516,"f",FALSE)</f>
        <v>49754</v>
      </c>
      <c r="Y1516" s="131">
        <f>_xll.qlCalendarAdvance(Calendar,X1516,NDays&amp;"D")</f>
        <v>49758</v>
      </c>
      <c r="Z1516" s="132">
        <v>1.4295727833433249E-2</v>
      </c>
      <c r="AA1516" s="129">
        <v>1.4315476998776333E-2</v>
      </c>
    </row>
    <row r="1517" spans="19:27" x14ac:dyDescent="0.2">
      <c r="S1517" s="1"/>
      <c r="T1517" s="109"/>
      <c r="W1517" s="130" t="str">
        <f t="shared" si="33"/>
        <v>1w</v>
      </c>
      <c r="X1517" s="128">
        <f>_xll.qlCalendarAdvance(Calendar,X1516,W1517,"f",FALSE)</f>
        <v>49761</v>
      </c>
      <c r="Y1517" s="131">
        <f>_xll.qlCalendarAdvance(Calendar,X1517,NDays&amp;"D")</f>
        <v>49765</v>
      </c>
      <c r="Z1517" s="132">
        <v>1.4289011806375686E-2</v>
      </c>
      <c r="AA1517" s="129">
        <v>1.43083165381519E-2</v>
      </c>
    </row>
    <row r="1518" spans="19:27" x14ac:dyDescent="0.2">
      <c r="S1518" s="1"/>
      <c r="T1518" s="109"/>
      <c r="W1518" s="130" t="str">
        <f t="shared" si="33"/>
        <v>1w</v>
      </c>
      <c r="X1518" s="128">
        <f>_xll.qlCalendarAdvance(Calendar,X1517,W1518,"f",FALSE)</f>
        <v>49768</v>
      </c>
      <c r="Y1518" s="131">
        <f>_xll.qlCalendarAdvance(Calendar,X1518,NDays&amp;"D")</f>
        <v>49772</v>
      </c>
      <c r="Z1518" s="132">
        <v>1.4282130979368613E-2</v>
      </c>
      <c r="AA1518" s="129">
        <v>1.4301197016699518E-2</v>
      </c>
    </row>
    <row r="1519" spans="19:27" x14ac:dyDescent="0.2">
      <c r="S1519" s="1"/>
      <c r="T1519" s="109"/>
      <c r="W1519" s="130" t="str">
        <f t="shared" si="33"/>
        <v>1w</v>
      </c>
      <c r="X1519" s="128">
        <f>_xll.qlCalendarAdvance(Calendar,X1518,W1519,"f",FALSE)</f>
        <v>49775</v>
      </c>
      <c r="Y1519" s="131">
        <f>_xll.qlCalendarAdvance(Calendar,X1519,NDays&amp;"D")</f>
        <v>49781</v>
      </c>
      <c r="Z1519" s="132">
        <v>1.4273344589339878E-2</v>
      </c>
      <c r="AA1519" s="129">
        <v>1.4292103501798437E-2</v>
      </c>
    </row>
    <row r="1520" spans="19:27" x14ac:dyDescent="0.2">
      <c r="S1520" s="1"/>
      <c r="T1520" s="109"/>
      <c r="W1520" s="130" t="str">
        <f t="shared" si="33"/>
        <v>1w</v>
      </c>
      <c r="X1520" s="128">
        <f>_xll.qlCalendarAdvance(Calendar,X1519,W1520,"f",FALSE)</f>
        <v>49782</v>
      </c>
      <c r="Y1520" s="131">
        <f>_xll.qlCalendarAdvance(Calendar,X1520,NDays&amp;"D")</f>
        <v>49786</v>
      </c>
      <c r="Z1520" s="132">
        <v>1.4268492616454872E-2</v>
      </c>
      <c r="AA1520" s="129">
        <v>1.4287080791390849E-2</v>
      </c>
    </row>
    <row r="1521" spans="19:27" x14ac:dyDescent="0.2">
      <c r="S1521" s="1"/>
      <c r="T1521" s="109"/>
      <c r="W1521" s="130" t="str">
        <f t="shared" si="33"/>
        <v>1w</v>
      </c>
      <c r="X1521" s="128">
        <f>_xll.qlCalendarAdvance(Calendar,X1520,W1521,"f",FALSE)</f>
        <v>49789</v>
      </c>
      <c r="Y1521" s="131">
        <f>_xll.qlCalendarAdvance(Calendar,X1521,NDays&amp;"D")</f>
        <v>49793</v>
      </c>
      <c r="Z1521" s="132">
        <v>1.4261735080123052E-2</v>
      </c>
      <c r="AA1521" s="129">
        <v>1.4280084087534561E-2</v>
      </c>
    </row>
    <row r="1522" spans="19:27" x14ac:dyDescent="0.2">
      <c r="S1522" s="1"/>
      <c r="T1522" s="109"/>
      <c r="W1522" s="130" t="str">
        <f t="shared" si="33"/>
        <v>1w</v>
      </c>
      <c r="X1522" s="128">
        <f>_xll.qlCalendarAdvance(Calendar,X1521,W1522,"f",FALSE)</f>
        <v>49797</v>
      </c>
      <c r="Y1522" s="131">
        <f>_xll.qlCalendarAdvance(Calendar,X1522,NDays&amp;"D")</f>
        <v>49801</v>
      </c>
      <c r="Z1522" s="132">
        <v>1.4253872982036335E-2</v>
      </c>
      <c r="AA1522" s="129">
        <v>1.4272137984239208E-2</v>
      </c>
    </row>
    <row r="1523" spans="19:27" x14ac:dyDescent="0.2">
      <c r="S1523" s="1"/>
      <c r="T1523" s="109"/>
      <c r="W1523" s="130" t="str">
        <f t="shared" si="33"/>
        <v>1w</v>
      </c>
      <c r="X1523" s="128">
        <f>_xll.qlCalendarAdvance(Calendar,X1522,W1523,"f",FALSE)</f>
        <v>49804</v>
      </c>
      <c r="Y1523" s="131">
        <f>_xll.qlCalendarAdvance(Calendar,X1523,NDays&amp;"D")</f>
        <v>49808</v>
      </c>
      <c r="Z1523" s="132">
        <v>1.4247206181322244E-2</v>
      </c>
      <c r="AA1523" s="129">
        <v>1.4265229007328628E-2</v>
      </c>
    </row>
    <row r="1524" spans="19:27" x14ac:dyDescent="0.2">
      <c r="S1524" s="1"/>
      <c r="T1524" s="109"/>
      <c r="W1524" s="130" t="str">
        <f t="shared" si="33"/>
        <v>1w</v>
      </c>
      <c r="X1524" s="128">
        <f>_xll.qlCalendarAdvance(Calendar,X1523,W1524,"f",FALSE)</f>
        <v>49811</v>
      </c>
      <c r="Y1524" s="131">
        <f>_xll.qlCalendarAdvance(Calendar,X1524,NDays&amp;"D")</f>
        <v>49815</v>
      </c>
      <c r="Z1524" s="132">
        <v>1.4240580478362916E-2</v>
      </c>
      <c r="AA1524" s="129">
        <v>1.42583609695901E-2</v>
      </c>
    </row>
    <row r="1525" spans="19:27" x14ac:dyDescent="0.2">
      <c r="S1525" s="1"/>
      <c r="T1525" s="109"/>
      <c r="W1525" s="130" t="str">
        <f t="shared" si="33"/>
        <v>1w</v>
      </c>
      <c r="X1525" s="128">
        <f>_xll.qlCalendarAdvance(Calendar,X1524,W1525,"f",FALSE)</f>
        <v>49818</v>
      </c>
      <c r="Y1525" s="131">
        <f>_xll.qlCalendarAdvance(Calendar,X1525,NDays&amp;"D")</f>
        <v>49822</v>
      </c>
      <c r="Z1525" s="132">
        <v>1.4233995872954168E-2</v>
      </c>
      <c r="AA1525" s="129">
        <v>1.4251533871183497E-2</v>
      </c>
    </row>
    <row r="1526" spans="19:27" x14ac:dyDescent="0.2">
      <c r="S1526" s="1"/>
      <c r="T1526" s="109"/>
      <c r="W1526" s="130" t="str">
        <f t="shared" si="33"/>
        <v>1w</v>
      </c>
      <c r="X1526" s="128">
        <f>_xll.qlCalendarAdvance(Calendar,X1525,W1526,"f",FALSE)</f>
        <v>49825</v>
      </c>
      <c r="Y1526" s="131">
        <f>_xll.qlCalendarAdvance(Calendar,X1526,NDays&amp;"D")</f>
        <v>49829</v>
      </c>
      <c r="Z1526" s="132">
        <v>1.4227452364883996E-2</v>
      </c>
      <c r="AA1526" s="129">
        <v>1.4244747711789074E-2</v>
      </c>
    </row>
    <row r="1527" spans="19:27" x14ac:dyDescent="0.2">
      <c r="S1527" s="1"/>
      <c r="T1527" s="109"/>
      <c r="W1527" s="130" t="str">
        <f t="shared" si="33"/>
        <v>1w</v>
      </c>
      <c r="X1527" s="128">
        <f>_xll.qlCalendarAdvance(Calendar,X1526,W1527,"f",FALSE)</f>
        <v>49832</v>
      </c>
      <c r="Y1527" s="131">
        <f>_xll.qlCalendarAdvance(Calendar,X1527,NDays&amp;"D")</f>
        <v>49836</v>
      </c>
      <c r="Z1527" s="132">
        <v>1.4220949953952559E-2</v>
      </c>
      <c r="AA1527" s="129">
        <v>1.4238002491726576E-2</v>
      </c>
    </row>
    <row r="1528" spans="19:27" x14ac:dyDescent="0.2">
      <c r="S1528" s="1"/>
      <c r="T1528" s="109"/>
      <c r="W1528" s="130" t="str">
        <f t="shared" si="33"/>
        <v>1w</v>
      </c>
      <c r="X1528" s="128">
        <f>_xll.qlCalendarAdvance(Calendar,X1527,W1528,"f",FALSE)</f>
        <v>49839</v>
      </c>
      <c r="Y1528" s="131">
        <f>_xll.qlCalendarAdvance(Calendar,X1528,NDays&amp;"D")</f>
        <v>49843</v>
      </c>
      <c r="Z1528" s="132">
        <v>1.42144886399522E-2</v>
      </c>
      <c r="AA1528" s="129">
        <v>1.423129821083613E-2</v>
      </c>
    </row>
    <row r="1529" spans="19:27" x14ac:dyDescent="0.2">
      <c r="S1529" s="1"/>
      <c r="T1529" s="109"/>
      <c r="W1529" s="130" t="str">
        <f t="shared" si="33"/>
        <v>1w</v>
      </c>
      <c r="X1529" s="128">
        <f>_xll.qlCalendarAdvance(Calendar,X1528,W1529,"f",FALSE)</f>
        <v>49846</v>
      </c>
      <c r="Y1529" s="131">
        <f>_xll.qlCalendarAdvance(Calendar,X1529,NDays&amp;"D")</f>
        <v>49850</v>
      </c>
      <c r="Z1529" s="132">
        <v>1.4208068422680468E-2</v>
      </c>
      <c r="AA1529" s="129">
        <v>1.4224634869117736E-2</v>
      </c>
    </row>
    <row r="1530" spans="19:27" x14ac:dyDescent="0.2">
      <c r="S1530" s="1"/>
      <c r="T1530" s="109"/>
      <c r="W1530" s="130" t="str">
        <f t="shared" si="33"/>
        <v>1w</v>
      </c>
      <c r="X1530" s="128">
        <f>_xll.qlCalendarAdvance(Calendar,X1529,W1530,"f",FALSE)</f>
        <v>49853</v>
      </c>
      <c r="Y1530" s="131">
        <f>_xll.qlCalendarAdvance(Calendar,X1530,NDays&amp;"D")</f>
        <v>49857</v>
      </c>
      <c r="Z1530" s="132">
        <v>1.4201689301936656E-2</v>
      </c>
      <c r="AA1530" s="129">
        <v>1.4218012466651331E-2</v>
      </c>
    </row>
    <row r="1531" spans="19:27" x14ac:dyDescent="0.2">
      <c r="S1531" s="1"/>
      <c r="T1531" s="109"/>
      <c r="W1531" s="130" t="str">
        <f t="shared" si="33"/>
        <v>1w</v>
      </c>
      <c r="X1531" s="128">
        <f>_xll.qlCalendarAdvance(Calendar,X1530,W1531,"f",FALSE)</f>
        <v>49860</v>
      </c>
      <c r="Y1531" s="131">
        <f>_xll.qlCalendarAdvance(Calendar,X1531,NDays&amp;"D")</f>
        <v>49864</v>
      </c>
      <c r="Z1531" s="132">
        <v>1.4195351277520923E-2</v>
      </c>
      <c r="AA1531" s="129">
        <v>1.4211431003356978E-2</v>
      </c>
    </row>
    <row r="1532" spans="19:27" x14ac:dyDescent="0.2">
      <c r="S1532" s="1"/>
      <c r="T1532" s="109"/>
      <c r="W1532" s="130" t="str">
        <f t="shared" si="33"/>
        <v>1w</v>
      </c>
      <c r="X1532" s="128">
        <f>_xll.qlCalendarAdvance(Calendar,X1531,W1532,"f",FALSE)</f>
        <v>49867</v>
      </c>
      <c r="Y1532" s="131">
        <f>_xll.qlCalendarAdvance(Calendar,X1532,NDays&amp;"D")</f>
        <v>49871</v>
      </c>
      <c r="Z1532" s="132">
        <v>1.4189054349233432E-2</v>
      </c>
      <c r="AA1532" s="129">
        <v>1.4204890479234678E-2</v>
      </c>
    </row>
    <row r="1533" spans="19:27" x14ac:dyDescent="0.2">
      <c r="S1533" s="1"/>
      <c r="T1533" s="109"/>
      <c r="W1533" s="130" t="str">
        <f t="shared" si="33"/>
        <v>1w</v>
      </c>
      <c r="X1533" s="128">
        <f>_xll.qlCalendarAdvance(Calendar,X1532,W1533,"f",FALSE)</f>
        <v>49874</v>
      </c>
      <c r="Y1533" s="131">
        <f>_xll.qlCalendarAdvance(Calendar,X1533,NDays&amp;"D")</f>
        <v>49878</v>
      </c>
      <c r="Z1533" s="132">
        <v>1.4182798516876077E-2</v>
      </c>
      <c r="AA1533" s="129">
        <v>1.4198390894284429E-2</v>
      </c>
    </row>
    <row r="1534" spans="19:27" x14ac:dyDescent="0.2">
      <c r="S1534" s="1"/>
      <c r="T1534" s="109"/>
      <c r="W1534" s="130" t="str">
        <f t="shared" si="33"/>
        <v>1w</v>
      </c>
      <c r="X1534" s="128">
        <f>_xll.qlCalendarAdvance(Calendar,X1533,W1534,"f",FALSE)</f>
        <v>49881</v>
      </c>
      <c r="Y1534" s="131">
        <f>_xll.qlCalendarAdvance(Calendar,X1534,NDays&amp;"D")</f>
        <v>49885</v>
      </c>
      <c r="Z1534" s="132">
        <v>1.41765837802551E-2</v>
      </c>
      <c r="AA1534" s="129">
        <v>1.419193224858617E-2</v>
      </c>
    </row>
    <row r="1535" spans="19:27" x14ac:dyDescent="0.2">
      <c r="S1535" s="1"/>
      <c r="T1535" s="109"/>
      <c r="W1535" s="130" t="str">
        <f t="shared" si="33"/>
        <v>1w</v>
      </c>
      <c r="X1535" s="128">
        <f>_xll.qlCalendarAdvance(Calendar,X1534,W1535,"f",FALSE)</f>
        <v>49888</v>
      </c>
      <c r="Y1535" s="131">
        <f>_xll.qlCalendarAdvance(Calendar,X1535,NDays&amp;"D")</f>
        <v>49892</v>
      </c>
      <c r="Z1535" s="132">
        <v>1.4170410139172401E-2</v>
      </c>
      <c r="AA1535" s="129">
        <v>1.4185514541980027E-2</v>
      </c>
    </row>
    <row r="1536" spans="19:27" x14ac:dyDescent="0.2">
      <c r="S1536" s="1"/>
      <c r="T1536" s="109"/>
      <c r="W1536" s="130" t="str">
        <f t="shared" si="33"/>
        <v>1w</v>
      </c>
      <c r="X1536" s="128">
        <f>_xll.qlCalendarAdvance(Calendar,X1535,W1536,"f",FALSE)</f>
        <v>49895</v>
      </c>
      <c r="Y1536" s="131">
        <f>_xll.qlCalendarAdvance(Calendar,X1536,NDays&amp;"D")</f>
        <v>49899</v>
      </c>
      <c r="Z1536" s="132">
        <v>1.4164277593435087E-2</v>
      </c>
      <c r="AA1536" s="129">
        <v>1.4179137774625872E-2</v>
      </c>
    </row>
    <row r="1537" spans="19:27" x14ac:dyDescent="0.2">
      <c r="S1537" s="1"/>
      <c r="T1537" s="109"/>
      <c r="W1537" s="130" t="str">
        <f t="shared" si="33"/>
        <v>1w</v>
      </c>
      <c r="X1537" s="128">
        <f>_xll.qlCalendarAdvance(Calendar,X1536,W1537,"f",FALSE)</f>
        <v>49902</v>
      </c>
      <c r="Y1537" s="131">
        <f>_xll.qlCalendarAdvance(Calendar,X1537,NDays&amp;"D")</f>
        <v>49906</v>
      </c>
      <c r="Z1537" s="132">
        <v>1.4158186142852011E-2</v>
      </c>
      <c r="AA1537" s="129">
        <v>1.4172801946443769E-2</v>
      </c>
    </row>
    <row r="1538" spans="19:27" x14ac:dyDescent="0.2">
      <c r="S1538" s="1"/>
      <c r="T1538" s="109"/>
      <c r="W1538" s="130" t="str">
        <f t="shared" si="33"/>
        <v>1w</v>
      </c>
      <c r="X1538" s="128">
        <f>_xll.qlCalendarAdvance(Calendar,X1537,W1538,"f",FALSE)</f>
        <v>49909</v>
      </c>
      <c r="Y1538" s="131">
        <f>_xll.qlCalendarAdvance(Calendar,X1538,NDays&amp;"D")</f>
        <v>49913</v>
      </c>
      <c r="Z1538" s="132">
        <v>1.4152135787230282E-2</v>
      </c>
      <c r="AA1538" s="129">
        <v>1.4166507057433719E-2</v>
      </c>
    </row>
    <row r="1539" spans="19:27" x14ac:dyDescent="0.2">
      <c r="S1539" s="1"/>
      <c r="T1539" s="109"/>
      <c r="W1539" s="130" t="str">
        <f t="shared" si="33"/>
        <v>1w</v>
      </c>
      <c r="X1539" s="128">
        <f>_xll.qlCalendarAdvance(Calendar,X1538,W1539,"f",FALSE)</f>
        <v>49916</v>
      </c>
      <c r="Y1539" s="131">
        <f>_xll.qlCalendarAdvance(Calendar,X1539,NDays&amp;"D")</f>
        <v>49920</v>
      </c>
      <c r="Z1539" s="132">
        <v>1.4146270389906079E-2</v>
      </c>
      <c r="AA1539" s="129">
        <v>1.4160253107595722E-2</v>
      </c>
    </row>
    <row r="1540" spans="19:27" x14ac:dyDescent="0.2">
      <c r="S1540" s="1"/>
      <c r="T1540" s="109"/>
      <c r="W1540" s="130" t="str">
        <f t="shared" si="33"/>
        <v>1w</v>
      </c>
      <c r="X1540" s="128">
        <f>_xll.qlCalendarAdvance(Calendar,X1539,W1540,"f",FALSE)</f>
        <v>49923</v>
      </c>
      <c r="Y1540" s="131">
        <f>_xll.qlCalendarAdvance(Calendar,X1540,NDays&amp;"D")</f>
        <v>49927</v>
      </c>
      <c r="Z1540" s="132">
        <v>1.4140299522491517E-2</v>
      </c>
      <c r="AA1540" s="129">
        <v>1.4154040096929776E-2</v>
      </c>
    </row>
    <row r="1541" spans="19:27" x14ac:dyDescent="0.2">
      <c r="S1541" s="1"/>
      <c r="T1541" s="109"/>
      <c r="W1541" s="130" t="str">
        <f t="shared" si="33"/>
        <v>1w</v>
      </c>
      <c r="X1541" s="128">
        <f>_xll.qlCalendarAdvance(Calendar,X1540,W1541,"f",FALSE)</f>
        <v>49930</v>
      </c>
      <c r="Y1541" s="131">
        <f>_xll.qlCalendarAdvance(Calendar,X1541,NDays&amp;"D")</f>
        <v>49934</v>
      </c>
      <c r="Z1541" s="132">
        <v>1.4134369747778945E-2</v>
      </c>
      <c r="AA1541" s="129">
        <v>1.414786802551582E-2</v>
      </c>
    </row>
    <row r="1542" spans="19:27" x14ac:dyDescent="0.2">
      <c r="S1542" s="1"/>
      <c r="T1542" s="109"/>
      <c r="W1542" s="130" t="str">
        <f t="shared" si="33"/>
        <v>1w</v>
      </c>
      <c r="X1542" s="128">
        <f>_xll.qlCalendarAdvance(Calendar,X1541,W1542,"f",FALSE)</f>
        <v>49937</v>
      </c>
      <c r="Y1542" s="131">
        <f>_xll.qlCalendarAdvance(Calendar,X1542,NDays&amp;"D")</f>
        <v>49941</v>
      </c>
      <c r="Z1542" s="132">
        <v>1.412848106558038E-2</v>
      </c>
      <c r="AA1542" s="129">
        <v>1.4141736893273915E-2</v>
      </c>
    </row>
    <row r="1543" spans="19:27" x14ac:dyDescent="0.2">
      <c r="S1543" s="1"/>
      <c r="T1543" s="109"/>
      <c r="W1543" s="130" t="str">
        <f t="shared" si="33"/>
        <v>1w</v>
      </c>
      <c r="X1543" s="128">
        <f>_xll.qlCalendarAdvance(Calendar,X1542,W1543,"f",FALSE)</f>
        <v>49944</v>
      </c>
      <c r="Y1543" s="131">
        <f>_xll.qlCalendarAdvance(Calendar,X1543,NDays&amp;"D")</f>
        <v>49948</v>
      </c>
      <c r="Z1543" s="132">
        <v>1.4122500426952329E-2</v>
      </c>
      <c r="AA1543" s="129">
        <v>1.4135646700124127E-2</v>
      </c>
    </row>
    <row r="1544" spans="19:27" x14ac:dyDescent="0.2">
      <c r="S1544" s="1"/>
      <c r="T1544" s="109"/>
      <c r="W1544" s="130" t="str">
        <f t="shared" si="33"/>
        <v>1w</v>
      </c>
      <c r="X1544" s="128">
        <f>_xll.qlCalendarAdvance(Calendar,X1543,W1544,"f",FALSE)</f>
        <v>49951</v>
      </c>
      <c r="Y1544" s="131">
        <f>_xll.qlCalendarAdvance(Calendar,X1544,NDays&amp;"D")</f>
        <v>49955</v>
      </c>
      <c r="Z1544" s="132">
        <v>1.4116696637160092E-2</v>
      </c>
      <c r="AA1544" s="129">
        <v>1.4129597446066455E-2</v>
      </c>
    </row>
    <row r="1545" spans="19:27" x14ac:dyDescent="0.2">
      <c r="S1545" s="1"/>
      <c r="T1545" s="109"/>
      <c r="W1545" s="130" t="str">
        <f t="shared" si="33"/>
        <v>1w</v>
      </c>
      <c r="X1545" s="128">
        <f>_xll.qlCalendarAdvance(Calendar,X1544,W1545,"f",FALSE)</f>
        <v>49958</v>
      </c>
      <c r="Y1545" s="131">
        <f>_xll.qlCalendarAdvance(Calendar,X1545,NDays&amp;"D")</f>
        <v>49962</v>
      </c>
      <c r="Z1545" s="132">
        <v>1.4110933941027635E-2</v>
      </c>
      <c r="AA1545" s="129">
        <v>1.4123589131260772E-2</v>
      </c>
    </row>
    <row r="1546" spans="19:27" x14ac:dyDescent="0.2">
      <c r="S1546" s="1"/>
      <c r="T1546" s="109"/>
      <c r="W1546" s="130" t="str">
        <f t="shared" si="33"/>
        <v>1w</v>
      </c>
      <c r="X1546" s="128">
        <f>_xll.qlCalendarAdvance(Calendar,X1545,W1546,"f",FALSE)</f>
        <v>49965</v>
      </c>
      <c r="Y1546" s="131">
        <f>_xll.qlCalendarAdvance(Calendar,X1546,NDays&amp;"D")</f>
        <v>49969</v>
      </c>
      <c r="Z1546" s="132">
        <v>1.4105212338374232E-2</v>
      </c>
      <c r="AA1546" s="129">
        <v>1.4117621755627141E-2</v>
      </c>
    </row>
    <row r="1547" spans="19:27" x14ac:dyDescent="0.2">
      <c r="S1547" s="1"/>
      <c r="T1547" s="109"/>
      <c r="W1547" s="130" t="str">
        <f t="shared" si="33"/>
        <v>1w</v>
      </c>
      <c r="X1547" s="128">
        <f>_xll.qlCalendarAdvance(Calendar,X1546,W1547,"f",FALSE)</f>
        <v>49972</v>
      </c>
      <c r="Y1547" s="131">
        <f>_xll.qlCalendarAdvance(Calendar,X1547,NDays&amp;"D")</f>
        <v>49976</v>
      </c>
      <c r="Z1547" s="132">
        <v>1.4099531829020028E-2</v>
      </c>
      <c r="AA1547" s="129">
        <v>1.4111695319165563E-2</v>
      </c>
    </row>
    <row r="1548" spans="19:27" x14ac:dyDescent="0.2">
      <c r="S1548" s="1"/>
      <c r="T1548" s="109"/>
      <c r="W1548" s="130" t="str">
        <f t="shared" si="33"/>
        <v>1w</v>
      </c>
      <c r="X1548" s="128">
        <f>_xll.qlCalendarAdvance(Calendar,X1547,W1548,"f",FALSE)</f>
        <v>49979</v>
      </c>
      <c r="Y1548" s="131">
        <f>_xll.qlCalendarAdvance(Calendar,X1548,NDays&amp;"D")</f>
        <v>49983</v>
      </c>
      <c r="Z1548" s="132">
        <v>1.4093892412786904E-2</v>
      </c>
      <c r="AA1548" s="129">
        <v>1.41058098217961E-2</v>
      </c>
    </row>
    <row r="1549" spans="19:27" x14ac:dyDescent="0.2">
      <c r="S1549" s="1"/>
      <c r="T1549" s="109"/>
      <c r="W1549" s="130" t="str">
        <f t="shared" si="33"/>
        <v>1w</v>
      </c>
      <c r="X1549" s="128">
        <f>_xll.qlCalendarAdvance(Calendar,X1548,W1549,"f",FALSE)</f>
        <v>49986</v>
      </c>
      <c r="Y1549" s="131">
        <f>_xll.qlCalendarAdvance(Calendar,X1549,NDays&amp;"D")</f>
        <v>49990</v>
      </c>
      <c r="Z1549" s="132">
        <v>1.408829408949761E-2</v>
      </c>
      <c r="AA1549" s="129">
        <v>1.4099965263598691E-2</v>
      </c>
    </row>
    <row r="1550" spans="19:27" x14ac:dyDescent="0.2">
      <c r="S1550" s="1"/>
      <c r="T1550" s="109"/>
      <c r="W1550" s="130" t="str">
        <f t="shared" si="33"/>
        <v>1w</v>
      </c>
      <c r="X1550" s="128">
        <f>_xll.qlCalendarAdvance(Calendar,X1549,W1550,"f",FALSE)</f>
        <v>49993</v>
      </c>
      <c r="Y1550" s="131">
        <f>_xll.qlCalendarAdvance(Calendar,X1550,NDays&amp;"D")</f>
        <v>49997</v>
      </c>
      <c r="Z1550" s="132">
        <v>1.4082736858977502E-2</v>
      </c>
      <c r="AA1550" s="129">
        <v>1.4094161644653269E-2</v>
      </c>
    </row>
    <row r="1551" spans="19:27" x14ac:dyDescent="0.2">
      <c r="S1551" s="1"/>
      <c r="T1551" s="109"/>
      <c r="W1551" s="130" t="str">
        <f t="shared" si="33"/>
        <v>1w</v>
      </c>
      <c r="X1551" s="128">
        <f>_xll.qlCalendarAdvance(Calendar,X1550,W1551,"f",FALSE)</f>
        <v>50000</v>
      </c>
      <c r="Y1551" s="131">
        <f>_xll.qlCalendarAdvance(Calendar,X1551,NDays&amp;"D")</f>
        <v>50004</v>
      </c>
      <c r="Z1551" s="132">
        <v>1.4077220721050202E-2</v>
      </c>
      <c r="AA1551" s="129">
        <v>1.4088398964799964E-2</v>
      </c>
    </row>
    <row r="1552" spans="19:27" x14ac:dyDescent="0.2">
      <c r="S1552" s="1"/>
      <c r="T1552" s="109"/>
      <c r="W1552" s="130" t="str">
        <f t="shared" si="33"/>
        <v>1w</v>
      </c>
      <c r="X1552" s="128">
        <f>_xll.qlCalendarAdvance(Calendar,X1551,W1552,"f",FALSE)</f>
        <v>50007</v>
      </c>
      <c r="Y1552" s="131">
        <f>_xll.qlCalendarAdvance(Calendar,X1552,NDays&amp;"D")</f>
        <v>50011</v>
      </c>
      <c r="Z1552" s="132">
        <v>1.4071963165997126E-2</v>
      </c>
      <c r="AA1552" s="129">
        <v>1.4082677224198648E-2</v>
      </c>
    </row>
    <row r="1553" spans="19:27" x14ac:dyDescent="0.2">
      <c r="S1553" s="1"/>
      <c r="T1553" s="109"/>
      <c r="W1553" s="130" t="str">
        <f t="shared" si="33"/>
        <v>1w</v>
      </c>
      <c r="X1553" s="128">
        <f>_xll.qlCalendarAdvance(Calendar,X1552,W1553,"f",FALSE)</f>
        <v>50014</v>
      </c>
      <c r="Y1553" s="131">
        <f>_xll.qlCalendarAdvance(Calendar,X1553,NDays&amp;"D")</f>
        <v>50018</v>
      </c>
      <c r="Z1553" s="132">
        <v>1.406652376687223E-2</v>
      </c>
      <c r="AA1553" s="129">
        <v>1.4076996422609511E-2</v>
      </c>
    </row>
    <row r="1554" spans="19:27" x14ac:dyDescent="0.2">
      <c r="S1554" s="1"/>
      <c r="T1554" s="109"/>
      <c r="W1554" s="130" t="str">
        <f t="shared" si="33"/>
        <v>1w</v>
      </c>
      <c r="X1554" s="128">
        <f>_xll.qlCalendarAdvance(Calendar,X1553,W1554,"f",FALSE)</f>
        <v>50021</v>
      </c>
      <c r="Y1554" s="131">
        <f>_xll.qlCalendarAdvance(Calendar,X1554,NDays&amp;"D")</f>
        <v>50025</v>
      </c>
      <c r="Z1554" s="132">
        <v>1.4061125456484191E-2</v>
      </c>
      <c r="AA1554" s="129">
        <v>1.4071356560112491E-2</v>
      </c>
    </row>
    <row r="1555" spans="19:27" x14ac:dyDescent="0.2">
      <c r="S1555" s="1"/>
      <c r="T1555" s="109"/>
      <c r="W1555" s="130" t="str">
        <f t="shared" si="33"/>
        <v>1w</v>
      </c>
      <c r="X1555" s="128">
        <f>_xll.qlCalendarAdvance(Calendar,X1554,W1555,"f",FALSE)</f>
        <v>50028</v>
      </c>
      <c r="Y1555" s="131">
        <f>_xll.qlCalendarAdvance(Calendar,X1555,NDays&amp;"D")</f>
        <v>50032</v>
      </c>
      <c r="Z1555" s="132">
        <v>1.4055768234665145E-2</v>
      </c>
      <c r="AA1555" s="129">
        <v>1.4065757636947396E-2</v>
      </c>
    </row>
    <row r="1556" spans="19:27" x14ac:dyDescent="0.2">
      <c r="S1556" s="1"/>
      <c r="T1556" s="109"/>
      <c r="W1556" s="130" t="str">
        <f t="shared" si="33"/>
        <v>1w</v>
      </c>
      <c r="X1556" s="128">
        <f>_xll.qlCalendarAdvance(Calendar,X1555,W1556,"f",FALSE)</f>
        <v>50038</v>
      </c>
      <c r="Y1556" s="131">
        <f>_xll.qlCalendarAdvance(Calendar,X1556,NDays&amp;"D")</f>
        <v>50040</v>
      </c>
      <c r="Z1556" s="132">
        <v>1.4049696007763401E-2</v>
      </c>
      <c r="AA1556" s="129">
        <v>1.4059288608954112E-2</v>
      </c>
    </row>
    <row r="1557" spans="19:27" x14ac:dyDescent="0.2">
      <c r="S1557" s="1"/>
      <c r="T1557" s="109"/>
      <c r="W1557" s="130" t="str">
        <f t="shared" ref="W1557:W1620" si="34">W1556</f>
        <v>1w</v>
      </c>
      <c r="X1557" s="128">
        <f>_xll.qlCalendarAdvance(Calendar,X1556,W1557,"f",FALSE)</f>
        <v>50045</v>
      </c>
      <c r="Y1557" s="131">
        <f>_xll.qlCalendarAdvance(Calendar,X1557,NDays&amp;"D")</f>
        <v>50047</v>
      </c>
      <c r="Z1557" s="132">
        <v>1.4044426832324319E-2</v>
      </c>
      <c r="AA1557" s="129">
        <v>1.4053897800474502E-2</v>
      </c>
    </row>
    <row r="1558" spans="19:27" x14ac:dyDescent="0.2">
      <c r="S1558" s="1"/>
      <c r="T1558" s="109"/>
      <c r="W1558" s="130" t="str">
        <f t="shared" si="34"/>
        <v>1w</v>
      </c>
      <c r="X1558" s="128">
        <f>_xll.qlCalendarAdvance(Calendar,X1557,W1558,"f",FALSE)</f>
        <v>50052</v>
      </c>
      <c r="Y1558" s="131">
        <f>_xll.qlCalendarAdvance(Calendar,X1558,NDays&amp;"D")</f>
        <v>50054</v>
      </c>
      <c r="Z1558" s="132">
        <v>1.4039198744940862E-2</v>
      </c>
      <c r="AA1558" s="129">
        <v>1.4048427543107422E-2</v>
      </c>
    </row>
    <row r="1559" spans="19:27" x14ac:dyDescent="0.2">
      <c r="S1559" s="1"/>
      <c r="T1559" s="109"/>
      <c r="W1559" s="130" t="str">
        <f t="shared" si="34"/>
        <v>1w</v>
      </c>
      <c r="X1559" s="128">
        <f>_xll.qlCalendarAdvance(Calendar,X1558,W1559,"f",FALSE)</f>
        <v>50059</v>
      </c>
      <c r="Y1559" s="131">
        <f>_xll.qlCalendarAdvance(Calendar,X1559,NDays&amp;"D")</f>
        <v>50061</v>
      </c>
      <c r="Z1559" s="132">
        <v>1.4034011745453157E-2</v>
      </c>
      <c r="AA1559" s="129">
        <v>1.4042998224832459E-2</v>
      </c>
    </row>
    <row r="1560" spans="19:27" x14ac:dyDescent="0.2">
      <c r="S1560" s="1"/>
      <c r="T1560" s="109"/>
      <c r="W1560" s="130" t="str">
        <f t="shared" si="34"/>
        <v>1w</v>
      </c>
      <c r="X1560" s="128">
        <f>_xll.qlCalendarAdvance(Calendar,X1559,W1560,"f",FALSE)</f>
        <v>50066</v>
      </c>
      <c r="Y1560" s="131">
        <f>_xll.qlCalendarAdvance(Calendar,X1560,NDays&amp;"D")</f>
        <v>50068</v>
      </c>
      <c r="Z1560" s="132">
        <v>1.4028865833700443E-2</v>
      </c>
      <c r="AA1560" s="129">
        <v>1.4037609845729548E-2</v>
      </c>
    </row>
    <row r="1561" spans="19:27" x14ac:dyDescent="0.2">
      <c r="S1561" s="1"/>
      <c r="T1561" s="109"/>
      <c r="W1561" s="130" t="str">
        <f t="shared" si="34"/>
        <v>1w</v>
      </c>
      <c r="X1561" s="128">
        <f>_xll.qlCalendarAdvance(Calendar,X1560,W1561,"f",FALSE)</f>
        <v>50073</v>
      </c>
      <c r="Y1561" s="131">
        <f>_xll.qlCalendarAdvance(Calendar,X1561,NDays&amp;"D")</f>
        <v>50075</v>
      </c>
      <c r="Z1561" s="132">
        <v>1.4023845185519709E-2</v>
      </c>
      <c r="AA1561" s="129">
        <v>1.4032262405638818E-2</v>
      </c>
    </row>
    <row r="1562" spans="19:27" x14ac:dyDescent="0.2">
      <c r="S1562" s="1"/>
      <c r="T1562" s="109"/>
      <c r="W1562" s="130" t="str">
        <f t="shared" si="34"/>
        <v>1w</v>
      </c>
      <c r="X1562" s="128">
        <f>_xll.qlCalendarAdvance(Calendar,X1561,W1562,"f",FALSE)</f>
        <v>50080</v>
      </c>
      <c r="Y1562" s="131">
        <f>_xll.qlCalendarAdvance(Calendar,X1562,NDays&amp;"D")</f>
        <v>50082</v>
      </c>
      <c r="Z1562" s="132">
        <v>1.4018778710956676E-2</v>
      </c>
      <c r="AA1562" s="129">
        <v>1.4026955904800076E-2</v>
      </c>
    </row>
    <row r="1563" spans="19:27" x14ac:dyDescent="0.2">
      <c r="S1563" s="1"/>
      <c r="T1563" s="109"/>
      <c r="W1563" s="130" t="str">
        <f t="shared" si="34"/>
        <v>1w</v>
      </c>
      <c r="X1563" s="128">
        <f>_xll.qlCalendarAdvance(Calendar,X1562,W1563,"f",FALSE)</f>
        <v>50087</v>
      </c>
      <c r="Y1563" s="131">
        <f>_xll.qlCalendarAdvance(Calendar,X1563,NDays&amp;"D")</f>
        <v>50089</v>
      </c>
      <c r="Z1563" s="132">
        <v>1.4013753322003164E-2</v>
      </c>
      <c r="AA1563" s="129">
        <v>1.402169034305345E-2</v>
      </c>
    </row>
    <row r="1564" spans="19:27" x14ac:dyDescent="0.2">
      <c r="S1564" s="1"/>
      <c r="T1564" s="109"/>
      <c r="W1564" s="130" t="str">
        <f t="shared" si="34"/>
        <v>1w</v>
      </c>
      <c r="X1564" s="128">
        <f>_xll.qlCalendarAdvance(Calendar,X1563,W1564,"f",FALSE)</f>
        <v>50094</v>
      </c>
      <c r="Y1564" s="131">
        <f>_xll.qlCalendarAdvance(Calendar,X1564,NDays&amp;"D")</f>
        <v>50096</v>
      </c>
      <c r="Z1564" s="132">
        <v>1.4008769018506487E-2</v>
      </c>
      <c r="AA1564" s="129">
        <v>1.4016465720478877E-2</v>
      </c>
    </row>
    <row r="1565" spans="19:27" x14ac:dyDescent="0.2">
      <c r="S1565" s="1"/>
      <c r="T1565" s="109"/>
      <c r="W1565" s="130" t="str">
        <f t="shared" si="34"/>
        <v>1w</v>
      </c>
      <c r="X1565" s="128">
        <f>_xll.qlCalendarAdvance(Calendar,X1564,W1565,"f",FALSE)</f>
        <v>50101</v>
      </c>
      <c r="Y1565" s="131">
        <f>_xll.qlCalendarAdvance(Calendar,X1565,NDays&amp;"D")</f>
        <v>50103</v>
      </c>
      <c r="Z1565" s="132">
        <v>1.4003606935089355E-2</v>
      </c>
      <c r="AA1565" s="129">
        <v>1.4011282037076356E-2</v>
      </c>
    </row>
    <row r="1566" spans="19:27" x14ac:dyDescent="0.2">
      <c r="S1566" s="1"/>
      <c r="T1566" s="109"/>
      <c r="W1566" s="130" t="str">
        <f t="shared" si="34"/>
        <v>1w</v>
      </c>
      <c r="X1566" s="128">
        <f>_xll.qlCalendarAdvance(Calendar,X1565,W1566,"f",FALSE)</f>
        <v>50108</v>
      </c>
      <c r="Y1566" s="131">
        <f>_xll.qlCalendarAdvance(Calendar,X1566,NDays&amp;"D")</f>
        <v>50110</v>
      </c>
      <c r="Z1566" s="132">
        <v>1.3998713036023361E-2</v>
      </c>
      <c r="AA1566" s="129">
        <v>1.4006139292686015E-2</v>
      </c>
    </row>
    <row r="1567" spans="19:27" x14ac:dyDescent="0.2">
      <c r="S1567" s="1"/>
      <c r="T1567" s="109"/>
      <c r="W1567" s="130" t="str">
        <f t="shared" si="34"/>
        <v>1w</v>
      </c>
      <c r="X1567" s="128">
        <f>_xll.qlCalendarAdvance(Calendar,X1566,W1567,"f",FALSE)</f>
        <v>50115</v>
      </c>
      <c r="Y1567" s="131">
        <f>_xll.qlCalendarAdvance(Calendar,X1567,NDays&amp;"D")</f>
        <v>50117</v>
      </c>
      <c r="Z1567" s="132">
        <v>1.3993860226913152E-2</v>
      </c>
      <c r="AA1567" s="129">
        <v>1.4001037487467727E-2</v>
      </c>
    </row>
    <row r="1568" spans="19:27" x14ac:dyDescent="0.2">
      <c r="S1568" s="1"/>
      <c r="T1568" s="109"/>
      <c r="W1568" s="130" t="str">
        <f t="shared" si="34"/>
        <v>1w</v>
      </c>
      <c r="X1568" s="128">
        <f>_xll.qlCalendarAdvance(Calendar,X1567,W1568,"f",FALSE)</f>
        <v>50122</v>
      </c>
      <c r="Y1568" s="131">
        <f>_xll.qlCalendarAdvance(Calendar,X1568,NDays&amp;"D")</f>
        <v>50124</v>
      </c>
      <c r="Z1568" s="132">
        <v>1.3989048507607545E-2</v>
      </c>
      <c r="AA1568" s="129">
        <v>1.3995976621421491E-2</v>
      </c>
    </row>
    <row r="1569" spans="19:27" x14ac:dyDescent="0.2">
      <c r="S1569" s="1"/>
      <c r="T1569" s="109"/>
      <c r="W1569" s="130" t="str">
        <f t="shared" si="34"/>
        <v>1w</v>
      </c>
      <c r="X1569" s="128">
        <f>_xll.qlCalendarAdvance(Calendar,X1568,W1569,"f",FALSE)</f>
        <v>50129</v>
      </c>
      <c r="Y1569" s="131">
        <f>_xll.qlCalendarAdvance(Calendar,X1569,NDays&amp;"D")</f>
        <v>50131</v>
      </c>
      <c r="Z1569" s="132">
        <v>1.3984339583840899E-2</v>
      </c>
      <c r="AA1569" s="129">
        <v>1.3990956694387435E-2</v>
      </c>
    </row>
    <row r="1570" spans="19:27" x14ac:dyDescent="0.2">
      <c r="S1570" s="1"/>
      <c r="T1570" s="109"/>
      <c r="W1570" s="130" t="str">
        <f t="shared" si="34"/>
        <v>1w</v>
      </c>
      <c r="X1570" s="128">
        <f>_xll.qlCalendarAdvance(Calendar,X1569,W1570,"f",FALSE)</f>
        <v>50137</v>
      </c>
      <c r="Y1570" s="131">
        <f>_xll.qlCalendarAdvance(Calendar,X1570,NDays&amp;"D")</f>
        <v>50139</v>
      </c>
      <c r="Z1570" s="132">
        <v>1.3978934604658436E-2</v>
      </c>
      <c r="AA1570" s="129">
        <v>1.398526976450043E-2</v>
      </c>
    </row>
    <row r="1571" spans="19:27" x14ac:dyDescent="0.2">
      <c r="S1571" s="1"/>
      <c r="T1571" s="109"/>
      <c r="W1571" s="130" t="str">
        <f t="shared" si="34"/>
        <v>1w</v>
      </c>
      <c r="X1571" s="128">
        <f>_xll.qlCalendarAdvance(Calendar,X1570,W1571,"f",FALSE)</f>
        <v>50144</v>
      </c>
      <c r="Y1571" s="131">
        <f>_xll.qlCalendarAdvance(Calendar,X1571,NDays&amp;"D")</f>
        <v>50146</v>
      </c>
      <c r="Z1571" s="132">
        <v>1.3974249270405994E-2</v>
      </c>
      <c r="AA1571" s="129">
        <v>1.398033756425221E-2</v>
      </c>
    </row>
    <row r="1572" spans="19:27" x14ac:dyDescent="0.2">
      <c r="S1572" s="1"/>
      <c r="T1572" s="109"/>
      <c r="W1572" s="130" t="str">
        <f t="shared" si="34"/>
        <v>1w</v>
      </c>
      <c r="X1572" s="128">
        <f>_xll.qlCalendarAdvance(Calendar,X1571,W1572,"f",FALSE)</f>
        <v>50151</v>
      </c>
      <c r="Y1572" s="131">
        <f>_xll.qlCalendarAdvance(Calendar,X1572,NDays&amp;"D")</f>
        <v>50153</v>
      </c>
      <c r="Z1572" s="132">
        <v>1.3969605023698347E-2</v>
      </c>
      <c r="AA1572" s="129">
        <v>1.3975446303096106E-2</v>
      </c>
    </row>
    <row r="1573" spans="19:27" x14ac:dyDescent="0.2">
      <c r="S1573" s="1"/>
      <c r="T1573" s="109"/>
      <c r="W1573" s="130" t="str">
        <f t="shared" si="34"/>
        <v>1w</v>
      </c>
      <c r="X1573" s="128">
        <f>_xll.qlCalendarAdvance(Calendar,X1572,W1573,"f",FALSE)</f>
        <v>50158</v>
      </c>
      <c r="Y1573" s="131">
        <f>_xll.qlCalendarAdvance(Calendar,X1573,NDays&amp;"D")</f>
        <v>50160</v>
      </c>
      <c r="Z1573" s="132">
        <v>1.3964951568169797E-2</v>
      </c>
      <c r="AA1573" s="129">
        <v>1.3970375615166564E-2</v>
      </c>
    </row>
    <row r="1574" spans="19:27" x14ac:dyDescent="0.2">
      <c r="S1574" s="1"/>
      <c r="T1574" s="109"/>
      <c r="W1574" s="130" t="str">
        <f t="shared" si="34"/>
        <v>1w</v>
      </c>
      <c r="X1574" s="128">
        <f>_xll.qlCalendarAdvance(Calendar,X1573,W1574,"f",FALSE)</f>
        <v>50165</v>
      </c>
      <c r="Y1574" s="131">
        <f>_xll.qlCalendarAdvance(Calendar,X1574,NDays&amp;"D")</f>
        <v>50167</v>
      </c>
      <c r="Z1574" s="132">
        <v>1.3960392254397188E-2</v>
      </c>
      <c r="AA1574" s="129">
        <v>1.3965786597900376E-2</v>
      </c>
    </row>
    <row r="1575" spans="19:27" x14ac:dyDescent="0.2">
      <c r="S1575" s="1"/>
      <c r="T1575" s="109"/>
      <c r="W1575" s="130" t="str">
        <f t="shared" si="34"/>
        <v>1w</v>
      </c>
      <c r="X1575" s="128">
        <f>_xll.qlCalendarAdvance(Calendar,X1574,W1575,"f",FALSE)</f>
        <v>50172</v>
      </c>
      <c r="Y1575" s="131">
        <f>_xll.qlCalendarAdvance(Calendar,X1575,NDays&amp;"D")</f>
        <v>50174</v>
      </c>
      <c r="Z1575" s="132">
        <v>1.3955874029377847E-2</v>
      </c>
      <c r="AA1575" s="129">
        <v>1.3961018154100557E-2</v>
      </c>
    </row>
    <row r="1576" spans="19:27" x14ac:dyDescent="0.2">
      <c r="S1576" s="1"/>
      <c r="T1576" s="109"/>
      <c r="W1576" s="130" t="str">
        <f t="shared" si="34"/>
        <v>1w</v>
      </c>
      <c r="X1576" s="128">
        <f>_xll.qlCalendarAdvance(Calendar,X1575,W1576,"f",FALSE)</f>
        <v>50179</v>
      </c>
      <c r="Y1576" s="131">
        <f>_xll.qlCalendarAdvance(Calendar,X1576,NDays&amp;"D")</f>
        <v>50181</v>
      </c>
      <c r="Z1576" s="132">
        <v>1.395139689297102E-2</v>
      </c>
      <c r="AA1576" s="129">
        <v>1.3956290649312919E-2</v>
      </c>
    </row>
    <row r="1577" spans="19:27" x14ac:dyDescent="0.2">
      <c r="S1577" s="1"/>
      <c r="T1577" s="109"/>
      <c r="W1577" s="130" t="str">
        <f t="shared" si="34"/>
        <v>1w</v>
      </c>
      <c r="X1577" s="128">
        <f>_xll.qlCalendarAdvance(Calendar,X1576,W1577,"f",FALSE)</f>
        <v>50186</v>
      </c>
      <c r="Y1577" s="131">
        <f>_xll.qlCalendarAdvance(Calendar,X1577,NDays&amp;"D")</f>
        <v>50188</v>
      </c>
      <c r="Z1577" s="132">
        <v>1.3946960845035078E-2</v>
      </c>
      <c r="AA1577" s="129">
        <v>1.3951604083697333E-2</v>
      </c>
    </row>
    <row r="1578" spans="19:27" x14ac:dyDescent="0.2">
      <c r="S1578" s="1"/>
      <c r="T1578" s="109"/>
      <c r="W1578" s="130" t="str">
        <f t="shared" si="34"/>
        <v>1w</v>
      </c>
      <c r="X1578" s="128">
        <f>_xll.qlCalendarAdvance(Calendar,X1577,W1578,"f",FALSE)</f>
        <v>50193</v>
      </c>
      <c r="Y1578" s="131">
        <f>_xll.qlCalendarAdvance(Calendar,X1578,NDays&amp;"D")</f>
        <v>50195</v>
      </c>
      <c r="Z1578" s="132">
        <v>1.3942565885431872E-2</v>
      </c>
      <c r="AA1578" s="129">
        <v>1.3946958457173864E-2</v>
      </c>
    </row>
    <row r="1579" spans="19:27" x14ac:dyDescent="0.2">
      <c r="S1579" s="1"/>
      <c r="T1579" s="109"/>
      <c r="W1579" s="130" t="str">
        <f t="shared" si="34"/>
        <v>1w</v>
      </c>
      <c r="X1579" s="128">
        <f>_xll.qlCalendarAdvance(Calendar,X1578,W1579,"f",FALSE)</f>
        <v>50200</v>
      </c>
      <c r="Y1579" s="131">
        <f>_xll.qlCalendarAdvance(Calendar,X1579,NDays&amp;"D")</f>
        <v>50202</v>
      </c>
      <c r="Z1579" s="132">
        <v>1.3938212014022384E-2</v>
      </c>
      <c r="AA1579" s="129">
        <v>1.394235376974251E-2</v>
      </c>
    </row>
    <row r="1580" spans="19:27" x14ac:dyDescent="0.2">
      <c r="S1580" s="1"/>
      <c r="T1580" s="109"/>
      <c r="W1580" s="130" t="str">
        <f t="shared" si="34"/>
        <v>1w</v>
      </c>
      <c r="X1580" s="128">
        <f>_xll.qlCalendarAdvance(Calendar,X1579,W1580,"f",FALSE)</f>
        <v>50207</v>
      </c>
      <c r="Y1580" s="131">
        <f>_xll.qlCalendarAdvance(Calendar,X1580,NDays&amp;"D")</f>
        <v>50209</v>
      </c>
      <c r="Z1580" s="132">
        <v>1.3933899230671069E-2</v>
      </c>
      <c r="AA1580" s="129">
        <v>1.3937790021403273E-2</v>
      </c>
    </row>
    <row r="1581" spans="19:27" x14ac:dyDescent="0.2">
      <c r="S1581" s="1"/>
      <c r="T1581" s="109"/>
      <c r="W1581" s="130" t="str">
        <f t="shared" si="34"/>
        <v>1w</v>
      </c>
      <c r="X1581" s="128">
        <f>_xll.qlCalendarAdvance(Calendar,X1580,W1581,"f",FALSE)</f>
        <v>50214</v>
      </c>
      <c r="Y1581" s="131">
        <f>_xll.qlCalendarAdvance(Calendar,X1581,NDays&amp;"D")</f>
        <v>50216</v>
      </c>
      <c r="Z1581" s="132">
        <v>1.3929627535242383E-2</v>
      </c>
      <c r="AA1581" s="129">
        <v>1.3933267212076217E-2</v>
      </c>
    </row>
    <row r="1582" spans="19:27" x14ac:dyDescent="0.2">
      <c r="S1582" s="1"/>
      <c r="T1582" s="109"/>
      <c r="W1582" s="130" t="str">
        <f t="shared" si="34"/>
        <v>1w</v>
      </c>
      <c r="X1582" s="128">
        <f>_xll.qlCalendarAdvance(Calendar,X1581,W1582,"f",FALSE)</f>
        <v>50221</v>
      </c>
      <c r="Y1582" s="131">
        <f>_xll.qlCalendarAdvance(Calendar,X1582,NDays&amp;"D")</f>
        <v>50223</v>
      </c>
      <c r="Z1582" s="132">
        <v>1.3925396927601651E-2</v>
      </c>
      <c r="AA1582" s="129">
        <v>1.3928785342001149E-2</v>
      </c>
    </row>
    <row r="1583" spans="19:27" x14ac:dyDescent="0.2">
      <c r="S1583" s="1"/>
      <c r="T1583" s="109"/>
      <c r="W1583" s="130" t="str">
        <f t="shared" si="34"/>
        <v>1w</v>
      </c>
      <c r="X1583" s="128">
        <f>_xll.qlCalendarAdvance(Calendar,X1582,W1583,"f",FALSE)</f>
        <v>50228</v>
      </c>
      <c r="Y1583" s="131">
        <f>_xll.qlCalendarAdvance(Calendar,X1583,NDays&amp;"D")</f>
        <v>50230</v>
      </c>
      <c r="Z1583" s="132">
        <v>1.3921207407615937E-2</v>
      </c>
      <c r="AA1583" s="129">
        <v>1.3924344410938261E-2</v>
      </c>
    </row>
    <row r="1584" spans="19:27" x14ac:dyDescent="0.2">
      <c r="S1584" s="1"/>
      <c r="T1584" s="109"/>
      <c r="W1584" s="130" t="str">
        <f t="shared" si="34"/>
        <v>1w</v>
      </c>
      <c r="X1584" s="128">
        <f>_xll.qlCalendarAdvance(Calendar,X1583,W1584,"f",FALSE)</f>
        <v>50235</v>
      </c>
      <c r="Y1584" s="131">
        <f>_xll.qlCalendarAdvance(Calendar,X1584,NDays&amp;"D")</f>
        <v>50237</v>
      </c>
      <c r="Z1584" s="132">
        <v>1.3917058975154911E-2</v>
      </c>
      <c r="AA1584" s="129">
        <v>1.3919944419047425E-2</v>
      </c>
    </row>
    <row r="1585" spans="19:27" x14ac:dyDescent="0.2">
      <c r="S1585" s="1"/>
      <c r="T1585" s="109"/>
      <c r="W1585" s="130" t="str">
        <f t="shared" si="34"/>
        <v>1w</v>
      </c>
      <c r="X1585" s="128">
        <f>_xll.qlCalendarAdvance(Calendar,X1584,W1585,"f",FALSE)</f>
        <v>50242</v>
      </c>
      <c r="Y1585" s="131">
        <f>_xll.qlCalendarAdvance(Calendar,X1585,NDays&amp;"D")</f>
        <v>50244</v>
      </c>
      <c r="Z1585" s="132">
        <v>1.3912951630087371E-2</v>
      </c>
      <c r="AA1585" s="129">
        <v>1.391558536616877E-2</v>
      </c>
    </row>
    <row r="1586" spans="19:27" x14ac:dyDescent="0.2">
      <c r="S1586" s="1"/>
      <c r="T1586" s="109"/>
      <c r="W1586" s="130" t="str">
        <f t="shared" si="34"/>
        <v>1w</v>
      </c>
      <c r="X1586" s="128">
        <f>_xll.qlCalendarAdvance(Calendar,X1585,W1586,"f",FALSE)</f>
        <v>50249</v>
      </c>
      <c r="Y1586" s="131">
        <f>_xll.qlCalendarAdvance(Calendar,X1586,NDays&amp;"D")</f>
        <v>50251</v>
      </c>
      <c r="Z1586" s="132">
        <v>1.390888537228299E-2</v>
      </c>
      <c r="AA1586" s="129">
        <v>1.3911267252382231E-2</v>
      </c>
    </row>
    <row r="1587" spans="19:27" x14ac:dyDescent="0.2">
      <c r="S1587" s="1"/>
      <c r="T1587" s="109"/>
      <c r="W1587" s="130" t="str">
        <f t="shared" si="34"/>
        <v>1w</v>
      </c>
      <c r="X1587" s="128">
        <f>_xll.qlCalendarAdvance(Calendar,X1586,W1587,"f",FALSE)</f>
        <v>50256</v>
      </c>
      <c r="Y1587" s="131">
        <f>_xll.qlCalendarAdvance(Calendar,X1587,NDays&amp;"D")</f>
        <v>50258</v>
      </c>
      <c r="Z1587" s="132">
        <v>1.3904860201618385E-2</v>
      </c>
      <c r="AA1587" s="129">
        <v>1.3906990077767745E-2</v>
      </c>
    </row>
    <row r="1588" spans="19:27" x14ac:dyDescent="0.2">
      <c r="S1588" s="1"/>
      <c r="T1588" s="109"/>
      <c r="W1588" s="130" t="str">
        <f t="shared" si="34"/>
        <v>1w</v>
      </c>
      <c r="X1588" s="128">
        <f>_xll.qlCalendarAdvance(Calendar,X1587,W1588,"f",FALSE)</f>
        <v>50263</v>
      </c>
      <c r="Y1588" s="131">
        <f>_xll.qlCalendarAdvance(Calendar,X1588,NDays&amp;"D")</f>
        <v>50265</v>
      </c>
      <c r="Z1588" s="132">
        <v>1.3900876117963227E-2</v>
      </c>
      <c r="AA1588" s="129">
        <v>1.3902753842085502E-2</v>
      </c>
    </row>
    <row r="1589" spans="19:27" x14ac:dyDescent="0.2">
      <c r="S1589" s="1"/>
      <c r="T1589" s="109"/>
      <c r="W1589" s="130" t="str">
        <f t="shared" si="34"/>
        <v>1w</v>
      </c>
      <c r="X1589" s="128">
        <f>_xll.qlCalendarAdvance(Calendar,X1588,W1589,"f",FALSE)</f>
        <v>50270</v>
      </c>
      <c r="Y1589" s="131">
        <f>_xll.qlCalendarAdvance(Calendar,X1589,NDays&amp;"D")</f>
        <v>50272</v>
      </c>
      <c r="Z1589" s="132">
        <v>1.3896933121195004E-2</v>
      </c>
      <c r="AA1589" s="129">
        <v>1.3898558545655249E-2</v>
      </c>
    </row>
    <row r="1590" spans="19:27" x14ac:dyDescent="0.2">
      <c r="S1590" s="1"/>
      <c r="T1590" s="109"/>
      <c r="W1590" s="130" t="str">
        <f t="shared" si="34"/>
        <v>1w</v>
      </c>
      <c r="X1590" s="128">
        <f>_xll.qlCalendarAdvance(Calendar,X1589,W1590,"f",FALSE)</f>
        <v>50277</v>
      </c>
      <c r="Y1590" s="131">
        <f>_xll.qlCalendarAdvance(Calendar,X1590,NDays&amp;"D")</f>
        <v>50279</v>
      </c>
      <c r="Z1590" s="132">
        <v>1.3893031211187732E-2</v>
      </c>
      <c r="AA1590" s="129">
        <v>1.3894404188237175E-2</v>
      </c>
    </row>
    <row r="1591" spans="19:27" x14ac:dyDescent="0.2">
      <c r="S1591" s="1"/>
      <c r="T1591" s="109"/>
      <c r="W1591" s="130" t="str">
        <f t="shared" si="34"/>
        <v>1w</v>
      </c>
      <c r="X1591" s="128">
        <f>_xll.qlCalendarAdvance(Calendar,X1590,W1591,"f",FALSE)</f>
        <v>50284</v>
      </c>
      <c r="Y1591" s="131">
        <f>_xll.qlCalendarAdvance(Calendar,X1591,NDays&amp;"D")</f>
        <v>50286</v>
      </c>
      <c r="Z1591" s="132">
        <v>1.388917078568366E-2</v>
      </c>
      <c r="AA1591" s="129">
        <v>1.3890290769911218E-2</v>
      </c>
    </row>
    <row r="1592" spans="19:27" x14ac:dyDescent="0.2">
      <c r="S1592" s="1"/>
      <c r="T1592" s="109"/>
      <c r="W1592" s="130" t="str">
        <f t="shared" si="34"/>
        <v>1w</v>
      </c>
      <c r="X1592" s="128">
        <f>_xll.qlCalendarAdvance(Calendar,X1591,W1592,"f",FALSE)</f>
        <v>50291</v>
      </c>
      <c r="Y1592" s="131">
        <f>_xll.qlCalendarAdvance(Calendar,X1592,NDays&amp;"D")</f>
        <v>50293</v>
      </c>
      <c r="Z1592" s="132">
        <v>1.3885348261294334E-2</v>
      </c>
      <c r="AA1592" s="129">
        <v>1.3886218290597441E-2</v>
      </c>
    </row>
    <row r="1593" spans="19:27" x14ac:dyDescent="0.2">
      <c r="S1593" s="1"/>
      <c r="T1593" s="109"/>
      <c r="W1593" s="130" t="str">
        <f t="shared" si="34"/>
        <v>1w</v>
      </c>
      <c r="X1593" s="128">
        <f>_xll.qlCalendarAdvance(Calendar,X1592,W1593,"f",FALSE)</f>
        <v>50298</v>
      </c>
      <c r="Y1593" s="131">
        <f>_xll.qlCalendarAdvance(Calendar,X1593,NDays&amp;"D")</f>
        <v>50300</v>
      </c>
      <c r="Z1593" s="132">
        <v>1.3881566821690691E-2</v>
      </c>
      <c r="AA1593" s="129">
        <v>1.388218675037578E-2</v>
      </c>
    </row>
    <row r="1594" spans="19:27" x14ac:dyDescent="0.2">
      <c r="S1594" s="1"/>
      <c r="T1594" s="109"/>
      <c r="W1594" s="130" t="str">
        <f t="shared" si="34"/>
        <v>1w</v>
      </c>
      <c r="X1594" s="128">
        <f>_xll.qlCalendarAdvance(Calendar,X1593,W1594,"f",FALSE)</f>
        <v>50305</v>
      </c>
      <c r="Y1594" s="131">
        <f>_xll.qlCalendarAdvance(Calendar,X1594,NDays&amp;"D")</f>
        <v>50307</v>
      </c>
      <c r="Z1594" s="132">
        <v>1.3877826466755902E-2</v>
      </c>
      <c r="AA1594" s="129">
        <v>1.3878196149486044E-2</v>
      </c>
    </row>
    <row r="1595" spans="19:27" x14ac:dyDescent="0.2">
      <c r="S1595" s="1"/>
      <c r="T1595" s="109"/>
      <c r="W1595" s="130" t="str">
        <f t="shared" si="34"/>
        <v>1w</v>
      </c>
      <c r="X1595" s="128">
        <f>_xll.qlCalendarAdvance(Calendar,X1594,W1595,"f",FALSE)</f>
        <v>50312</v>
      </c>
      <c r="Y1595" s="131">
        <f>_xll.qlCalendarAdvance(Calendar,X1595,NDays&amp;"D")</f>
        <v>50314</v>
      </c>
      <c r="Z1595" s="132">
        <v>1.387417184418189E-2</v>
      </c>
      <c r="AA1595" s="129">
        <v>1.387424648736868E-2</v>
      </c>
    </row>
    <row r="1596" spans="19:27" x14ac:dyDescent="0.2">
      <c r="S1596" s="1"/>
      <c r="T1596" s="109"/>
      <c r="W1596" s="130" t="str">
        <f t="shared" si="34"/>
        <v>1w</v>
      </c>
      <c r="X1596" s="128">
        <f>_xll.qlCalendarAdvance(Calendar,X1595,W1596,"f",FALSE)</f>
        <v>50319</v>
      </c>
      <c r="Y1596" s="131">
        <f>_xll.qlCalendarAdvance(Calendar,X1596,NDays&amp;"D")</f>
        <v>50321</v>
      </c>
      <c r="Z1596" s="132">
        <v>1.3870482566380751E-2</v>
      </c>
      <c r="AA1596" s="129">
        <v>1.3870337764503304E-2</v>
      </c>
    </row>
    <row r="1597" spans="19:27" x14ac:dyDescent="0.2">
      <c r="S1597" s="1"/>
      <c r="T1597" s="109"/>
      <c r="W1597" s="130" t="str">
        <f t="shared" si="34"/>
        <v>1w</v>
      </c>
      <c r="X1597" s="128">
        <f>_xll.qlCalendarAdvance(Calendar,X1596,W1597,"f",FALSE)</f>
        <v>50326</v>
      </c>
      <c r="Y1597" s="131">
        <f>_xll.qlCalendarAdvance(Calendar,X1597,NDays&amp;"D")</f>
        <v>50328</v>
      </c>
      <c r="Z1597" s="132">
        <v>1.3866868260352373E-2</v>
      </c>
      <c r="AA1597" s="129">
        <v>1.3866469980570173E-2</v>
      </c>
    </row>
    <row r="1598" spans="19:27" x14ac:dyDescent="0.2">
      <c r="S1598" s="1"/>
      <c r="T1598" s="109"/>
      <c r="W1598" s="130" t="str">
        <f t="shared" si="34"/>
        <v>1w</v>
      </c>
      <c r="X1598" s="128">
        <f>_xll.qlCalendarAdvance(Calendar,X1597,W1598,"f",FALSE)</f>
        <v>50333</v>
      </c>
      <c r="Y1598" s="131">
        <f>_xll.qlCalendarAdvance(Calendar,X1598,NDays&amp;"D")</f>
        <v>50335</v>
      </c>
      <c r="Z1598" s="132">
        <v>1.3863295040140481E-2</v>
      </c>
      <c r="AA1598" s="129">
        <v>1.386264313588903E-2</v>
      </c>
    </row>
    <row r="1599" spans="19:27" x14ac:dyDescent="0.2">
      <c r="S1599" s="1"/>
      <c r="T1599" s="109"/>
      <c r="W1599" s="130" t="str">
        <f t="shared" si="34"/>
        <v>1w</v>
      </c>
      <c r="X1599" s="128">
        <f>_xll.qlCalendarAdvance(Calendar,X1598,W1599,"f",FALSE)</f>
        <v>50340</v>
      </c>
      <c r="Y1599" s="131">
        <f>_xll.qlCalendarAdvance(Calendar,X1599,NDays&amp;"D")</f>
        <v>50342</v>
      </c>
      <c r="Z1599" s="132">
        <v>1.385976290563647E-2</v>
      </c>
      <c r="AA1599" s="129">
        <v>1.3858857230060195E-2</v>
      </c>
    </row>
    <row r="1600" spans="19:27" x14ac:dyDescent="0.2">
      <c r="S1600" s="1"/>
      <c r="T1600" s="109"/>
      <c r="W1600" s="130" t="str">
        <f t="shared" si="34"/>
        <v>1w</v>
      </c>
      <c r="X1600" s="128">
        <f>_xll.qlCalendarAdvance(Calendar,X1599,W1600,"f",FALSE)</f>
        <v>50347</v>
      </c>
      <c r="Y1600" s="131">
        <f>_xll.qlCalendarAdvance(Calendar,X1600,NDays&amp;"D")</f>
        <v>50349</v>
      </c>
      <c r="Z1600" s="132">
        <v>1.3856271856727385E-2</v>
      </c>
      <c r="AA1600" s="129">
        <v>1.3855112263483349E-2</v>
      </c>
    </row>
    <row r="1601" spans="19:27" x14ac:dyDescent="0.2">
      <c r="S1601" s="1"/>
      <c r="T1601" s="109"/>
      <c r="W1601" s="130" t="str">
        <f t="shared" si="34"/>
        <v>1w</v>
      </c>
      <c r="X1601" s="128">
        <f>_xll.qlCalendarAdvance(Calendar,X1600,W1601,"f",FALSE)</f>
        <v>50354</v>
      </c>
      <c r="Y1601" s="131">
        <f>_xll.qlCalendarAdvance(Calendar,X1601,NDays&amp;"D")</f>
        <v>50356</v>
      </c>
      <c r="Z1601" s="132">
        <v>1.3852821893304617E-2</v>
      </c>
      <c r="AA1601" s="129">
        <v>1.3851408235918683E-2</v>
      </c>
    </row>
    <row r="1602" spans="19:27" x14ac:dyDescent="0.2">
      <c r="S1602" s="1"/>
      <c r="T1602" s="109"/>
      <c r="W1602" s="130" t="str">
        <f t="shared" si="34"/>
        <v>1w</v>
      </c>
      <c r="X1602" s="128">
        <f>_xll.qlCalendarAdvance(Calendar,X1601,W1602,"f",FALSE)</f>
        <v>50361</v>
      </c>
      <c r="Y1602" s="131">
        <f>_xll.qlCalendarAdvance(Calendar,X1602,NDays&amp;"D")</f>
        <v>50363</v>
      </c>
      <c r="Z1602" s="132">
        <v>1.3849413015257821E-2</v>
      </c>
      <c r="AA1602" s="129">
        <v>1.3847745147446133E-2</v>
      </c>
    </row>
    <row r="1603" spans="19:27" x14ac:dyDescent="0.2">
      <c r="S1603" s="1"/>
      <c r="T1603" s="109"/>
      <c r="W1603" s="130" t="str">
        <f t="shared" si="34"/>
        <v>1w</v>
      </c>
      <c r="X1603" s="128">
        <f>_xll.qlCalendarAdvance(Calendar,X1602,W1603,"f",FALSE)</f>
        <v>50368</v>
      </c>
      <c r="Y1603" s="131">
        <f>_xll.qlCalendarAdvance(Calendar,X1603,NDays&amp;"D")</f>
        <v>50370</v>
      </c>
      <c r="Z1603" s="132">
        <v>1.3846045222482731E-2</v>
      </c>
      <c r="AA1603" s="129">
        <v>1.38441229980657E-2</v>
      </c>
    </row>
    <row r="1604" spans="19:27" x14ac:dyDescent="0.2">
      <c r="S1604" s="1"/>
      <c r="T1604" s="109"/>
      <c r="W1604" s="130" t="str">
        <f t="shared" si="34"/>
        <v>1w</v>
      </c>
      <c r="X1604" s="128">
        <f>_xll.qlCalendarAdvance(Calendar,X1603,W1604,"f",FALSE)</f>
        <v>50375</v>
      </c>
      <c r="Y1604" s="131">
        <f>_xll.qlCalendarAdvance(Calendar,X1604,NDays&amp;"D")</f>
        <v>50377</v>
      </c>
      <c r="Z1604" s="132">
        <v>1.3842646852151752E-2</v>
      </c>
      <c r="AA1604" s="129">
        <v>1.3840541787697447E-2</v>
      </c>
    </row>
    <row r="1605" spans="19:27" x14ac:dyDescent="0.2">
      <c r="S1605" s="1"/>
      <c r="T1605" s="109"/>
      <c r="W1605" s="130" t="str">
        <f t="shared" si="34"/>
        <v>1w</v>
      </c>
      <c r="X1605" s="128">
        <f>_xll.qlCalendarAdvance(Calendar,X1604,W1605,"f",FALSE)</f>
        <v>50382</v>
      </c>
      <c r="Y1605" s="131">
        <f>_xll.qlCalendarAdvance(Calendar,X1605,NDays&amp;"D")</f>
        <v>50384</v>
      </c>
      <c r="Z1605" s="132">
        <v>1.3839355612976334E-2</v>
      </c>
      <c r="AA1605" s="129">
        <v>1.3837001516341374E-2</v>
      </c>
    </row>
    <row r="1606" spans="19:27" x14ac:dyDescent="0.2">
      <c r="S1606" s="1"/>
      <c r="T1606" s="109"/>
      <c r="W1606" s="130" t="str">
        <f t="shared" si="34"/>
        <v>1w</v>
      </c>
      <c r="X1606" s="128">
        <f>_xll.qlCalendarAdvance(Calendar,X1605,W1606,"f",FALSE)</f>
        <v>50389</v>
      </c>
      <c r="Y1606" s="131">
        <f>_xll.qlCalendarAdvance(Calendar,X1606,NDays&amp;"D")</f>
        <v>50391</v>
      </c>
      <c r="Z1606" s="132">
        <v>1.3836105455559355E-2</v>
      </c>
      <c r="AA1606" s="129">
        <v>1.383350218423729E-2</v>
      </c>
    </row>
    <row r="1607" spans="19:27" x14ac:dyDescent="0.2">
      <c r="S1607" s="1"/>
      <c r="T1607" s="109"/>
      <c r="W1607" s="130" t="str">
        <f t="shared" si="34"/>
        <v>1w</v>
      </c>
      <c r="X1607" s="128">
        <f>_xll.qlCalendarAdvance(Calendar,X1606,W1607,"f",FALSE)</f>
        <v>50396</v>
      </c>
      <c r="Y1607" s="131">
        <f>_xll.qlCalendarAdvance(Calendar,X1607,NDays&amp;"D")</f>
        <v>50398</v>
      </c>
      <c r="Z1607" s="132">
        <v>1.3832896379802229E-2</v>
      </c>
      <c r="AA1607" s="129">
        <v>1.3830105449683661E-2</v>
      </c>
    </row>
    <row r="1608" spans="19:27" x14ac:dyDescent="0.2">
      <c r="S1608" s="1"/>
      <c r="T1608" s="109"/>
      <c r="W1608" s="130" t="str">
        <f t="shared" si="34"/>
        <v>1w</v>
      </c>
      <c r="X1608" s="128">
        <f>_xll.qlCalendarAdvance(Calendar,X1607,W1608,"f",FALSE)</f>
        <v>50403</v>
      </c>
      <c r="Y1608" s="131">
        <f>_xll.qlCalendarAdvance(Calendar,X1608,NDays&amp;"D")</f>
        <v>50405</v>
      </c>
      <c r="Z1608" s="132">
        <v>1.3829728385605478E-2</v>
      </c>
      <c r="AA1608" s="129">
        <v>1.3826696375420777E-2</v>
      </c>
    </row>
    <row r="1609" spans="19:27" x14ac:dyDescent="0.2">
      <c r="S1609" s="1"/>
      <c r="T1609" s="109"/>
      <c r="W1609" s="130" t="str">
        <f t="shared" si="34"/>
        <v>1w</v>
      </c>
      <c r="X1609" s="128">
        <f>_xll.qlCalendarAdvance(Calendar,X1608,W1609,"f",FALSE)</f>
        <v>50410</v>
      </c>
      <c r="Y1609" s="131">
        <f>_xll.qlCalendarAdvance(Calendar,X1609,NDays&amp;"D")</f>
        <v>50412</v>
      </c>
      <c r="Z1609" s="132">
        <v>1.3826601472873179E-2</v>
      </c>
      <c r="AA1609" s="129">
        <v>1.3823249821838246E-2</v>
      </c>
    </row>
    <row r="1610" spans="19:27" x14ac:dyDescent="0.2">
      <c r="S1610" s="1"/>
      <c r="T1610" s="109"/>
      <c r="W1610" s="130" t="str">
        <f t="shared" si="34"/>
        <v>1w</v>
      </c>
      <c r="X1610" s="128">
        <f>_xll.qlCalendarAdvance(Calendar,X1609,W1610,"f",FALSE)</f>
        <v>50417</v>
      </c>
      <c r="Y1610" s="131">
        <f>_xll.qlCalendarAdvance(Calendar,X1610,NDays&amp;"D")</f>
        <v>50419</v>
      </c>
      <c r="Z1610" s="132">
        <v>1.3823515641508521E-2</v>
      </c>
      <c r="AA1610" s="129">
        <v>1.3819914245942755E-2</v>
      </c>
    </row>
    <row r="1611" spans="19:27" x14ac:dyDescent="0.2">
      <c r="S1611" s="1"/>
      <c r="T1611" s="109"/>
      <c r="W1611" s="130" t="str">
        <f t="shared" si="34"/>
        <v>1w</v>
      </c>
      <c r="X1611" s="128">
        <f>_xll.qlCalendarAdvance(Calendar,X1610,W1611,"f",FALSE)</f>
        <v>50424</v>
      </c>
      <c r="Y1611" s="131">
        <f>_xll.qlCalendarAdvance(Calendar,X1611,NDays&amp;"D")</f>
        <v>50426</v>
      </c>
      <c r="Z1611" s="132">
        <v>1.382047089141647E-2</v>
      </c>
      <c r="AA1611" s="129">
        <v>1.3816619608979508E-2</v>
      </c>
    </row>
    <row r="1612" spans="19:27" x14ac:dyDescent="0.2">
      <c r="S1612" s="1"/>
      <c r="T1612" s="109"/>
      <c r="W1612" s="130" t="str">
        <f t="shared" si="34"/>
        <v>1w</v>
      </c>
      <c r="X1612" s="128">
        <f>_xll.qlCalendarAdvance(Calendar,X1611,W1612,"f",FALSE)</f>
        <v>50431</v>
      </c>
      <c r="Y1612" s="131">
        <f>_xll.qlCalendarAdvance(Calendar,X1612,NDays&amp;"D")</f>
        <v>50433</v>
      </c>
      <c r="Z1612" s="132">
        <v>1.3817467222504654E-2</v>
      </c>
      <c r="AA1612" s="129">
        <v>1.3813365911188313E-2</v>
      </c>
    </row>
    <row r="1613" spans="19:27" x14ac:dyDescent="0.2">
      <c r="S1613" s="1"/>
      <c r="T1613" s="109"/>
      <c r="W1613" s="130" t="str">
        <f t="shared" si="34"/>
        <v>1w</v>
      </c>
      <c r="X1613" s="128">
        <f>_xll.qlCalendarAdvance(Calendar,X1612,W1613,"f",FALSE)</f>
        <v>50438</v>
      </c>
      <c r="Y1613" s="131">
        <f>_xll.qlCalendarAdvance(Calendar,X1613,NDays&amp;"D")</f>
        <v>50440</v>
      </c>
      <c r="Z1613" s="132">
        <v>1.3814443876941827E-2</v>
      </c>
      <c r="AA1613" s="129">
        <v>1.3810153152409299E-2</v>
      </c>
    </row>
    <row r="1614" spans="19:27" x14ac:dyDescent="0.2">
      <c r="S1614" s="1"/>
      <c r="T1614" s="109"/>
      <c r="W1614" s="130" t="str">
        <f t="shared" si="34"/>
        <v>1w</v>
      </c>
      <c r="X1614" s="128">
        <f>_xll.qlCalendarAdvance(Calendar,X1613,W1614,"f",FALSE)</f>
        <v>50445</v>
      </c>
      <c r="Y1614" s="131">
        <f>_xll.qlCalendarAdvance(Calendar,X1614,NDays&amp;"D")</f>
        <v>50447</v>
      </c>
      <c r="Z1614" s="132">
        <v>1.3811519547779183E-2</v>
      </c>
      <c r="AA1614" s="129">
        <v>1.3806981332642465E-2</v>
      </c>
    </row>
    <row r="1615" spans="19:27" x14ac:dyDescent="0.2">
      <c r="S1615" s="1"/>
      <c r="T1615" s="109"/>
      <c r="W1615" s="130" t="str">
        <f t="shared" si="34"/>
        <v>1w</v>
      </c>
      <c r="X1615" s="128">
        <f>_xll.qlCalendarAdvance(Calendar,X1614,W1615,"f",FALSE)</f>
        <v>50452</v>
      </c>
      <c r="Y1615" s="131">
        <f>_xll.qlCalendarAdvance(Calendar,X1615,NDays&amp;"D")</f>
        <v>50454</v>
      </c>
      <c r="Z1615" s="132">
        <v>1.3808636297933566E-2</v>
      </c>
      <c r="AA1615" s="129">
        <v>1.3803850451887811E-2</v>
      </c>
    </row>
    <row r="1616" spans="19:27" x14ac:dyDescent="0.2">
      <c r="S1616" s="1"/>
      <c r="T1616" s="109"/>
      <c r="W1616" s="130" t="str">
        <f t="shared" si="34"/>
        <v>1w</v>
      </c>
      <c r="X1616" s="128">
        <f>_xll.qlCalendarAdvance(Calendar,X1615,W1616,"f",FALSE)</f>
        <v>50459</v>
      </c>
      <c r="Y1616" s="131">
        <f>_xll.qlCalendarAdvance(Calendar,X1616,NDays&amp;"D")</f>
        <v>50461</v>
      </c>
      <c r="Z1616" s="132">
        <v>1.3805794127316058E-2</v>
      </c>
      <c r="AA1616" s="129">
        <v>1.3800760510225274E-2</v>
      </c>
    </row>
    <row r="1617" spans="19:27" x14ac:dyDescent="0.2">
      <c r="S1617" s="1"/>
      <c r="T1617" s="109"/>
      <c r="W1617" s="130" t="str">
        <f t="shared" si="34"/>
        <v>1w</v>
      </c>
      <c r="X1617" s="128">
        <f>_xll.qlCalendarAdvance(Calendar,X1616,W1617,"f",FALSE)</f>
        <v>50466</v>
      </c>
      <c r="Y1617" s="131">
        <f>_xll.qlCalendarAdvance(Calendar,X1617,NDays&amp;"D")</f>
        <v>50468</v>
      </c>
      <c r="Z1617" s="132">
        <v>1.3803210020195786E-2</v>
      </c>
      <c r="AA1617" s="129">
        <v>1.3797711507654853E-2</v>
      </c>
    </row>
    <row r="1618" spans="19:27" x14ac:dyDescent="0.2">
      <c r="S1618" s="1"/>
      <c r="T1618" s="109"/>
      <c r="W1618" s="130" t="str">
        <f t="shared" si="34"/>
        <v>1w</v>
      </c>
      <c r="X1618" s="128">
        <f>_xll.qlCalendarAdvance(Calendar,X1617,W1618,"f",FALSE)</f>
        <v>50473</v>
      </c>
      <c r="Y1618" s="131">
        <f>_xll.qlCalendarAdvance(Calendar,X1618,NDays&amp;"D")</f>
        <v>50475</v>
      </c>
      <c r="Z1618" s="132">
        <v>1.3800458494518919E-2</v>
      </c>
      <c r="AA1618" s="129">
        <v>1.3794703444256484E-2</v>
      </c>
    </row>
    <row r="1619" spans="19:27" x14ac:dyDescent="0.2">
      <c r="S1619" s="1"/>
      <c r="T1619" s="109"/>
      <c r="W1619" s="130" t="str">
        <f t="shared" si="34"/>
        <v>1w</v>
      </c>
      <c r="X1619" s="128">
        <f>_xll.qlCalendarAdvance(Calendar,X1618,W1619,"f",FALSE)</f>
        <v>50480</v>
      </c>
      <c r="Y1619" s="131">
        <f>_xll.qlCalendarAdvance(Calendar,X1619,NDays&amp;"D")</f>
        <v>50482</v>
      </c>
      <c r="Z1619" s="132">
        <v>1.379774805257325E-2</v>
      </c>
      <c r="AA1619" s="129">
        <v>1.3791736319710424E-2</v>
      </c>
    </row>
    <row r="1620" spans="19:27" x14ac:dyDescent="0.2">
      <c r="S1620" s="1"/>
      <c r="T1620" s="109"/>
      <c r="W1620" s="130" t="str">
        <f t="shared" si="34"/>
        <v>1w</v>
      </c>
      <c r="X1620" s="128">
        <f>_xll.qlCalendarAdvance(Calendar,X1619,W1620,"f",FALSE)</f>
        <v>50487</v>
      </c>
      <c r="Y1620" s="131">
        <f>_xll.qlCalendarAdvance(Calendar,X1620,NDays&amp;"D")</f>
        <v>50489</v>
      </c>
      <c r="Z1620" s="132">
        <v>1.3795078694277976E-2</v>
      </c>
      <c r="AA1620" s="129">
        <v>1.378881013425648E-2</v>
      </c>
    </row>
    <row r="1621" spans="19:27" x14ac:dyDescent="0.2">
      <c r="S1621" s="1"/>
      <c r="T1621" s="109"/>
      <c r="W1621" s="130" t="str">
        <f t="shared" ref="W1621:W1684" si="35">W1620</f>
        <v>1w</v>
      </c>
      <c r="X1621" s="128">
        <f>_xll.qlCalendarAdvance(Calendar,X1620,W1621,"f",FALSE)</f>
        <v>50494</v>
      </c>
      <c r="Y1621" s="131">
        <f>_xll.qlCalendarAdvance(Calendar,X1621,NDays&amp;"D")</f>
        <v>50496</v>
      </c>
      <c r="Z1621" s="132">
        <v>1.3792366493852744E-2</v>
      </c>
      <c r="AA1621" s="129">
        <v>1.3785924887894652E-2</v>
      </c>
    </row>
    <row r="1622" spans="19:27" x14ac:dyDescent="0.2">
      <c r="S1622" s="1"/>
      <c r="T1622" s="109"/>
      <c r="W1622" s="130" t="str">
        <f t="shared" si="35"/>
        <v>1w</v>
      </c>
      <c r="X1622" s="128">
        <f>_xll.qlCalendarAdvance(Calendar,X1621,W1622,"f",FALSE)</f>
        <v>50501</v>
      </c>
      <c r="Y1622" s="131">
        <f>_xll.qlCalendarAdvance(Calendar,X1622,NDays&amp;"D")</f>
        <v>50503</v>
      </c>
      <c r="Z1622" s="132">
        <v>1.3789776467126905E-2</v>
      </c>
      <c r="AA1622" s="129">
        <v>1.3783080580545004E-2</v>
      </c>
    </row>
    <row r="1623" spans="19:27" x14ac:dyDescent="0.2">
      <c r="S1623" s="1"/>
      <c r="T1623" s="109"/>
      <c r="W1623" s="130" t="str">
        <f t="shared" si="35"/>
        <v>1w</v>
      </c>
      <c r="X1623" s="128">
        <f>_xll.qlCalendarAdvance(Calendar,X1622,W1623,"f",FALSE)</f>
        <v>50508</v>
      </c>
      <c r="Y1623" s="131">
        <f>_xll.qlCalendarAdvance(Calendar,X1623,NDays&amp;"D")</f>
        <v>50510</v>
      </c>
      <c r="Z1623" s="132">
        <v>1.3787227522220334E-2</v>
      </c>
      <c r="AA1623" s="129">
        <v>1.3780277212287473E-2</v>
      </c>
    </row>
    <row r="1624" spans="19:27" x14ac:dyDescent="0.2">
      <c r="S1624" s="1"/>
      <c r="T1624" s="109"/>
      <c r="W1624" s="130" t="str">
        <f t="shared" si="35"/>
        <v>1w</v>
      </c>
      <c r="X1624" s="128">
        <f>_xll.qlCalendarAdvance(Calendar,X1623,W1624,"f",FALSE)</f>
        <v>50515</v>
      </c>
      <c r="Y1624" s="131">
        <f>_xll.qlCalendarAdvance(Calendar,X1624,NDays&amp;"D")</f>
        <v>50517</v>
      </c>
      <c r="Z1624" s="132">
        <v>1.3784719659051333E-2</v>
      </c>
      <c r="AA1624" s="129">
        <v>1.3777788348324549E-2</v>
      </c>
    </row>
    <row r="1625" spans="19:27" x14ac:dyDescent="0.2">
      <c r="S1625" s="1"/>
      <c r="T1625" s="109"/>
      <c r="W1625" s="130" t="str">
        <f t="shared" si="35"/>
        <v>1w</v>
      </c>
      <c r="X1625" s="128">
        <f>_xll.qlCalendarAdvance(Calendar,X1624,W1625,"f",FALSE)</f>
        <v>50522</v>
      </c>
      <c r="Y1625" s="131">
        <f>_xll.qlCalendarAdvance(Calendar,X1625,NDays&amp;"D")</f>
        <v>50524</v>
      </c>
      <c r="Z1625" s="132">
        <v>1.3782252877543482E-2</v>
      </c>
      <c r="AA1625" s="129">
        <v>1.3774793292888887E-2</v>
      </c>
    </row>
    <row r="1626" spans="19:27" x14ac:dyDescent="0.2">
      <c r="S1626" s="1"/>
      <c r="T1626" s="109"/>
      <c r="W1626" s="130" t="str">
        <f t="shared" si="35"/>
        <v>1w</v>
      </c>
      <c r="X1626" s="128">
        <f>_xll.qlCalendarAdvance(Calendar,X1625,W1626,"f",FALSE)</f>
        <v>50529</v>
      </c>
      <c r="Y1626" s="131">
        <f>_xll.qlCalendarAdvance(Calendar,X1626,NDays&amp;"D")</f>
        <v>50531</v>
      </c>
      <c r="Z1626" s="132">
        <v>1.3779925296535283E-2</v>
      </c>
      <c r="AA1626" s="129">
        <v>1.3772112741667897E-2</v>
      </c>
    </row>
    <row r="1627" spans="19:27" x14ac:dyDescent="0.2">
      <c r="S1627" s="1"/>
      <c r="T1627" s="109"/>
      <c r="W1627" s="130" t="str">
        <f t="shared" si="35"/>
        <v>1w</v>
      </c>
      <c r="X1627" s="128">
        <f>_xll.qlCalendarAdvance(Calendar,X1626,W1627,"f",FALSE)</f>
        <v>50536</v>
      </c>
      <c r="Y1627" s="131">
        <f>_xll.qlCalendarAdvance(Calendar,X1627,NDays&amp;"D")</f>
        <v>50538</v>
      </c>
      <c r="Z1627" s="132">
        <v>1.3777543521509381E-2</v>
      </c>
      <c r="AA1627" s="129">
        <v>1.3769473129539023E-2</v>
      </c>
    </row>
    <row r="1628" spans="19:27" x14ac:dyDescent="0.2">
      <c r="S1628" s="1"/>
      <c r="T1628" s="109"/>
      <c r="W1628" s="130" t="str">
        <f t="shared" si="35"/>
        <v>1w</v>
      </c>
      <c r="X1628" s="128">
        <f>_xll.qlCalendarAdvance(Calendar,X1627,W1628,"f",FALSE)</f>
        <v>50543</v>
      </c>
      <c r="Y1628" s="131">
        <f>_xll.qlCalendarAdvance(Calendar,X1628,NDays&amp;"D")</f>
        <v>50545</v>
      </c>
      <c r="Z1628" s="132">
        <v>1.3775202829499599E-2</v>
      </c>
      <c r="AA1628" s="129">
        <v>1.3766874456502265E-2</v>
      </c>
    </row>
    <row r="1629" spans="19:27" x14ac:dyDescent="0.2">
      <c r="S1629" s="1"/>
      <c r="T1629" s="109"/>
      <c r="W1629" s="130" t="str">
        <f t="shared" si="35"/>
        <v>1w</v>
      </c>
      <c r="X1629" s="128">
        <f>_xll.qlCalendarAdvance(Calendar,X1628,W1629,"f",FALSE)</f>
        <v>50550</v>
      </c>
      <c r="Y1629" s="131">
        <f>_xll.qlCalendarAdvance(Calendar,X1629,NDays&amp;"D")</f>
        <v>50552</v>
      </c>
      <c r="Z1629" s="132">
        <v>1.3772903220428607E-2</v>
      </c>
      <c r="AA1629" s="129">
        <v>1.3764316722397751E-2</v>
      </c>
    </row>
    <row r="1630" spans="19:27" x14ac:dyDescent="0.2">
      <c r="S1630" s="1"/>
      <c r="T1630" s="109"/>
      <c r="W1630" s="130" t="str">
        <f t="shared" si="35"/>
        <v>1w</v>
      </c>
      <c r="X1630" s="128">
        <f>_xll.qlCalendarAdvance(Calendar,X1629,W1630,"f",FALSE)</f>
        <v>50557</v>
      </c>
      <c r="Y1630" s="131">
        <f>_xll.qlCalendarAdvance(Calendar,X1630,NDays&amp;"D")</f>
        <v>50559</v>
      </c>
      <c r="Z1630" s="132">
        <v>1.3770644694228633E-2</v>
      </c>
      <c r="AA1630" s="129">
        <v>1.376179992746529E-2</v>
      </c>
    </row>
    <row r="1631" spans="19:27" x14ac:dyDescent="0.2">
      <c r="S1631" s="1"/>
      <c r="T1631" s="109"/>
      <c r="W1631" s="130" t="str">
        <f t="shared" si="35"/>
        <v>1w</v>
      </c>
      <c r="X1631" s="128">
        <f>_xll.qlCalendarAdvance(Calendar,X1630,W1631,"f",FALSE)</f>
        <v>50564</v>
      </c>
      <c r="Y1631" s="131">
        <f>_xll.qlCalendarAdvance(Calendar,X1631,NDays&amp;"D")</f>
        <v>50566</v>
      </c>
      <c r="Z1631" s="132">
        <v>1.3768427250826692E-2</v>
      </c>
      <c r="AA1631" s="129">
        <v>1.3759324071545009E-2</v>
      </c>
    </row>
    <row r="1632" spans="19:27" x14ac:dyDescent="0.2">
      <c r="S1632" s="1"/>
      <c r="T1632" s="109"/>
      <c r="W1632" s="130" t="str">
        <f t="shared" si="35"/>
        <v>1w</v>
      </c>
      <c r="X1632" s="128">
        <f>_xll.qlCalendarAdvance(Calendar,X1631,W1632,"f",FALSE)</f>
        <v>50571</v>
      </c>
      <c r="Y1632" s="131">
        <f>_xll.qlCalendarAdvance(Calendar,X1632,NDays&amp;"D")</f>
        <v>50573</v>
      </c>
      <c r="Z1632" s="132">
        <v>1.3766250890153275E-2</v>
      </c>
      <c r="AA1632" s="129">
        <v>1.3756889154556973E-2</v>
      </c>
    </row>
    <row r="1633" spans="19:27" x14ac:dyDescent="0.2">
      <c r="S1633" s="1"/>
      <c r="T1633" s="109"/>
      <c r="W1633" s="130" t="str">
        <f t="shared" si="35"/>
        <v>1w</v>
      </c>
      <c r="X1633" s="128">
        <f>_xll.qlCalendarAdvance(Calendar,X1632,W1633,"f",FALSE)</f>
        <v>50578</v>
      </c>
      <c r="Y1633" s="131">
        <f>_xll.qlCalendarAdvance(Calendar,X1633,NDays&amp;"D")</f>
        <v>50580</v>
      </c>
      <c r="Z1633" s="132">
        <v>1.3764115612141479E-2</v>
      </c>
      <c r="AA1633" s="129">
        <v>1.3754495176740988E-2</v>
      </c>
    </row>
    <row r="1634" spans="19:27" x14ac:dyDescent="0.2">
      <c r="S1634" s="1"/>
      <c r="T1634" s="109"/>
      <c r="W1634" s="130" t="str">
        <f t="shared" si="35"/>
        <v>1w</v>
      </c>
      <c r="X1634" s="128">
        <f>_xll.qlCalendarAdvance(Calendar,X1633,W1634,"f",FALSE)</f>
        <v>50585</v>
      </c>
      <c r="Y1634" s="131">
        <f>_xll.qlCalendarAdvance(Calendar,X1634,NDays&amp;"D")</f>
        <v>50587</v>
      </c>
      <c r="Z1634" s="132">
        <v>1.3762021416722661E-2</v>
      </c>
      <c r="AA1634" s="129">
        <v>1.3752142137857248E-2</v>
      </c>
    </row>
    <row r="1635" spans="19:27" x14ac:dyDescent="0.2">
      <c r="S1635" s="1"/>
      <c r="T1635" s="109"/>
      <c r="W1635" s="130" t="str">
        <f t="shared" si="35"/>
        <v>1w</v>
      </c>
      <c r="X1635" s="128">
        <f>_xll.qlCalendarAdvance(Calendar,X1634,W1635,"f",FALSE)</f>
        <v>50592</v>
      </c>
      <c r="Y1635" s="131">
        <f>_xll.qlCalendarAdvance(Calendar,X1635,NDays&amp;"D")</f>
        <v>50594</v>
      </c>
      <c r="Z1635" s="132">
        <v>1.3759968303831659E-2</v>
      </c>
      <c r="AA1635" s="129">
        <v>1.3749830038145561E-2</v>
      </c>
    </row>
    <row r="1636" spans="19:27" x14ac:dyDescent="0.2">
      <c r="S1636" s="1"/>
      <c r="T1636" s="109"/>
      <c r="W1636" s="130" t="str">
        <f t="shared" si="35"/>
        <v>1w</v>
      </c>
      <c r="X1636" s="128">
        <f>_xll.qlCalendarAdvance(Calendar,X1635,W1636,"f",FALSE)</f>
        <v>50599</v>
      </c>
      <c r="Y1636" s="131">
        <f>_xll.qlCalendarAdvance(Calendar,X1636,NDays&amp;"D")</f>
        <v>50601</v>
      </c>
      <c r="Z1636" s="132">
        <v>1.3757956273403305E-2</v>
      </c>
      <c r="AA1636" s="129">
        <v>1.3747558877366117E-2</v>
      </c>
    </row>
    <row r="1637" spans="19:27" x14ac:dyDescent="0.2">
      <c r="S1637" s="1"/>
      <c r="T1637" s="109"/>
      <c r="W1637" s="130" t="str">
        <f t="shared" si="35"/>
        <v>1w</v>
      </c>
      <c r="X1637" s="128">
        <f>_xll.qlCalendarAdvance(Calendar,X1636,W1637,"f",FALSE)</f>
        <v>50606</v>
      </c>
      <c r="Y1637" s="131">
        <f>_xll.qlCalendarAdvance(Calendar,X1637,NDays&amp;"D")</f>
        <v>50608</v>
      </c>
      <c r="Z1637" s="132">
        <v>1.375598532537591E-2</v>
      </c>
      <c r="AA1637" s="129">
        <v>1.374532865567879E-2</v>
      </c>
    </row>
    <row r="1638" spans="19:27" x14ac:dyDescent="0.2">
      <c r="S1638" s="1"/>
      <c r="T1638" s="109"/>
      <c r="W1638" s="130" t="str">
        <f t="shared" si="35"/>
        <v>1w</v>
      </c>
      <c r="X1638" s="128">
        <f>_xll.qlCalendarAdvance(Calendar,X1637,W1638,"f",FALSE)</f>
        <v>50613</v>
      </c>
      <c r="Y1638" s="131">
        <f>_xll.qlCalendarAdvance(Calendar,X1638,NDays&amp;"D")</f>
        <v>50615</v>
      </c>
      <c r="Z1638" s="132">
        <v>1.3754055459686047E-2</v>
      </c>
      <c r="AA1638" s="129">
        <v>1.3743139373003643E-2</v>
      </c>
    </row>
    <row r="1639" spans="19:27" x14ac:dyDescent="0.2">
      <c r="S1639" s="1"/>
      <c r="T1639" s="109"/>
      <c r="W1639" s="130" t="str">
        <f t="shared" si="35"/>
        <v>1w</v>
      </c>
      <c r="X1639" s="128">
        <f>_xll.qlCalendarAdvance(Calendar,X1638,W1639,"f",FALSE)</f>
        <v>50620</v>
      </c>
      <c r="Y1639" s="131">
        <f>_xll.qlCalendarAdvance(Calendar,X1639,NDays&amp;"D")</f>
        <v>50622</v>
      </c>
      <c r="Z1639" s="132">
        <v>1.3752166676273766E-2</v>
      </c>
      <c r="AA1639" s="129">
        <v>1.3740991029260741E-2</v>
      </c>
    </row>
    <row r="1640" spans="19:27" x14ac:dyDescent="0.2">
      <c r="S1640" s="1"/>
      <c r="T1640" s="109"/>
      <c r="W1640" s="130" t="str">
        <f t="shared" si="35"/>
        <v>1w</v>
      </c>
      <c r="X1640" s="128">
        <f>_xll.qlCalendarAdvance(Calendar,X1639,W1640,"f",FALSE)</f>
        <v>50627</v>
      </c>
      <c r="Y1640" s="131">
        <f>_xll.qlCalendarAdvance(Calendar,X1640,NDays&amp;"D")</f>
        <v>50629</v>
      </c>
      <c r="Z1640" s="132">
        <v>1.375031897507998E-2</v>
      </c>
      <c r="AA1640" s="129">
        <v>1.3738883624609954E-2</v>
      </c>
    </row>
    <row r="1641" spans="19:27" x14ac:dyDescent="0.2">
      <c r="S1641" s="1"/>
      <c r="T1641" s="109"/>
      <c r="W1641" s="130" t="str">
        <f t="shared" si="35"/>
        <v>1w</v>
      </c>
      <c r="X1641" s="128">
        <f>_xll.qlCalendarAdvance(Calendar,X1640,W1641,"f",FALSE)</f>
        <v>50634</v>
      </c>
      <c r="Y1641" s="131">
        <f>_xll.qlCalendarAdvance(Calendar,X1641,NDays&amp;"D")</f>
        <v>50636</v>
      </c>
      <c r="Z1641" s="132">
        <v>1.3748512356047345E-2</v>
      </c>
      <c r="AA1641" s="129">
        <v>1.3736817159051284E-2</v>
      </c>
    </row>
    <row r="1642" spans="19:27" x14ac:dyDescent="0.2">
      <c r="S1642" s="1"/>
      <c r="T1642" s="109"/>
      <c r="W1642" s="130" t="str">
        <f t="shared" si="35"/>
        <v>1w</v>
      </c>
      <c r="X1642" s="128">
        <f>_xll.qlCalendarAdvance(Calendar,X1641,W1642,"f",FALSE)</f>
        <v>50641</v>
      </c>
      <c r="Y1642" s="131">
        <f>_xll.qlCalendarAdvance(Calendar,X1642,NDays&amp;"D")</f>
        <v>50643</v>
      </c>
      <c r="Z1642" s="132">
        <v>1.3746746819117648E-2</v>
      </c>
      <c r="AA1642" s="129">
        <v>1.3734791632424859E-2</v>
      </c>
    </row>
    <row r="1643" spans="19:27" x14ac:dyDescent="0.2">
      <c r="S1643" s="1"/>
      <c r="T1643" s="109"/>
      <c r="W1643" s="130" t="str">
        <f t="shared" si="35"/>
        <v>1w</v>
      </c>
      <c r="X1643" s="128">
        <f>_xll.qlCalendarAdvance(Calendar,X1642,W1643,"f",FALSE)</f>
        <v>50648</v>
      </c>
      <c r="Y1643" s="131">
        <f>_xll.qlCalendarAdvance(Calendar,X1643,NDays&amp;"D")</f>
        <v>50650</v>
      </c>
      <c r="Z1643" s="132">
        <v>1.3744875693328964E-2</v>
      </c>
      <c r="AA1643" s="129">
        <v>1.3732807044890549E-2</v>
      </c>
    </row>
    <row r="1644" spans="19:27" x14ac:dyDescent="0.2">
      <c r="S1644" s="1"/>
      <c r="T1644" s="109"/>
      <c r="W1644" s="130" t="str">
        <f t="shared" si="35"/>
        <v>1w</v>
      </c>
      <c r="X1644" s="128">
        <f>_xll.qlCalendarAdvance(Calendar,X1643,W1644,"f",FALSE)</f>
        <v>50655</v>
      </c>
      <c r="Y1644" s="131">
        <f>_xll.qlCalendarAdvance(Calendar,X1644,NDays&amp;"D")</f>
        <v>50657</v>
      </c>
      <c r="Z1644" s="132">
        <v>1.3743189450286623E-2</v>
      </c>
      <c r="AA1644" s="129">
        <v>1.3730863396448356E-2</v>
      </c>
    </row>
    <row r="1645" spans="19:27" x14ac:dyDescent="0.2">
      <c r="S1645" s="1"/>
      <c r="T1645" s="109"/>
      <c r="W1645" s="130" t="str">
        <f t="shared" si="35"/>
        <v>1w</v>
      </c>
      <c r="X1645" s="128">
        <f>_xll.qlCalendarAdvance(Calendar,X1644,W1645,"f",FALSE)</f>
        <v>50662</v>
      </c>
      <c r="Y1645" s="131">
        <f>_xll.qlCalendarAdvance(Calendar,X1645,NDays&amp;"D")</f>
        <v>50664</v>
      </c>
      <c r="Z1645" s="132">
        <v>1.3741544287614158E-2</v>
      </c>
      <c r="AA1645" s="129">
        <v>1.3728960686938407E-2</v>
      </c>
    </row>
    <row r="1646" spans="19:27" x14ac:dyDescent="0.2">
      <c r="S1646" s="1"/>
      <c r="T1646" s="109"/>
      <c r="W1646" s="130" t="str">
        <f t="shared" si="35"/>
        <v>1w</v>
      </c>
      <c r="X1646" s="128">
        <f>_xll.qlCalendarAdvance(Calendar,X1645,W1646,"f",FALSE)</f>
        <v>50669</v>
      </c>
      <c r="Y1646" s="131">
        <f>_xll.qlCalendarAdvance(Calendar,X1646,NDays&amp;"D")</f>
        <v>50671</v>
      </c>
      <c r="Z1646" s="132">
        <v>1.3739940205263253E-2</v>
      </c>
      <c r="AA1646" s="129">
        <v>1.3727098916520575E-2</v>
      </c>
    </row>
    <row r="1647" spans="19:27" x14ac:dyDescent="0.2">
      <c r="S1647" s="1"/>
      <c r="T1647" s="109"/>
      <c r="W1647" s="130" t="str">
        <f t="shared" si="35"/>
        <v>1w</v>
      </c>
      <c r="X1647" s="128">
        <f>_xll.qlCalendarAdvance(Calendar,X1646,W1647,"f",FALSE)</f>
        <v>50676</v>
      </c>
      <c r="Y1647" s="131">
        <f>_xll.qlCalendarAdvance(Calendar,X1647,NDays&amp;"D")</f>
        <v>50678</v>
      </c>
      <c r="Z1647" s="132">
        <v>1.3738535364132977E-2</v>
      </c>
      <c r="AA1647" s="129">
        <v>1.3725278085034986E-2</v>
      </c>
    </row>
    <row r="1648" spans="19:27" x14ac:dyDescent="0.2">
      <c r="S1648" s="1"/>
      <c r="T1648" s="109"/>
      <c r="W1648" s="130" t="str">
        <f t="shared" si="35"/>
        <v>1w</v>
      </c>
      <c r="X1648" s="128">
        <f>_xll.qlCalendarAdvance(Calendar,X1647,W1648,"f",FALSE)</f>
        <v>50683</v>
      </c>
      <c r="Y1648" s="131">
        <f>_xll.qlCalendarAdvance(Calendar,X1648,NDays&amp;"D")</f>
        <v>50685</v>
      </c>
      <c r="Z1648" s="132">
        <v>1.3737016318707877E-2</v>
      </c>
      <c r="AA1648" s="129">
        <v>1.3723498192721451E-2</v>
      </c>
    </row>
    <row r="1649" spans="19:27" x14ac:dyDescent="0.2">
      <c r="S1649" s="1"/>
      <c r="T1649" s="109"/>
      <c r="W1649" s="130" t="str">
        <f t="shared" si="35"/>
        <v>1w</v>
      </c>
      <c r="X1649" s="128">
        <f>_xll.qlCalendarAdvance(Calendar,X1648,W1649,"f",FALSE)</f>
        <v>50690</v>
      </c>
      <c r="Y1649" s="131">
        <f>_xll.qlCalendarAdvance(Calendar,X1649,NDays&amp;"D")</f>
        <v>50692</v>
      </c>
      <c r="Z1649" s="132">
        <v>1.3735538355024265E-2</v>
      </c>
      <c r="AA1649" s="129">
        <v>1.3721759239340159E-2</v>
      </c>
    </row>
    <row r="1650" spans="19:27" x14ac:dyDescent="0.2">
      <c r="S1650" s="1"/>
      <c r="T1650" s="109"/>
      <c r="W1650" s="130" t="str">
        <f t="shared" si="35"/>
        <v>1w</v>
      </c>
      <c r="X1650" s="128">
        <f>_xll.qlCalendarAdvance(Calendar,X1649,W1650,"f",FALSE)</f>
        <v>50697</v>
      </c>
      <c r="Y1650" s="131">
        <f>_xll.qlCalendarAdvance(Calendar,X1650,NDays&amp;"D")</f>
        <v>50699</v>
      </c>
      <c r="Z1650" s="132">
        <v>1.3734101473038697E-2</v>
      </c>
      <c r="AA1650" s="129">
        <v>1.3720061224971047E-2</v>
      </c>
    </row>
    <row r="1651" spans="19:27" x14ac:dyDescent="0.2">
      <c r="S1651" s="1"/>
      <c r="T1651" s="109"/>
      <c r="W1651" s="130" t="str">
        <f t="shared" si="35"/>
        <v>1w</v>
      </c>
      <c r="X1651" s="128">
        <f>_xll.qlCalendarAdvance(Calendar,X1650,W1651,"f",FALSE)</f>
        <v>50704</v>
      </c>
      <c r="Y1651" s="131">
        <f>_xll.qlCalendarAdvance(Calendar,X1651,NDays&amp;"D")</f>
        <v>50706</v>
      </c>
      <c r="Z1651" s="132">
        <v>1.3732705672705122E-2</v>
      </c>
      <c r="AA1651" s="129">
        <v>1.3718404149694052E-2</v>
      </c>
    </row>
    <row r="1652" spans="19:27" x14ac:dyDescent="0.2">
      <c r="S1652" s="1"/>
      <c r="T1652" s="109"/>
      <c r="W1652" s="130" t="str">
        <f t="shared" si="35"/>
        <v>1w</v>
      </c>
      <c r="X1652" s="128">
        <f>_xll.qlCalendarAdvance(Calendar,X1651,W1652,"f",FALSE)</f>
        <v>50711</v>
      </c>
      <c r="Y1652" s="131">
        <f>_xll.qlCalendarAdvance(Calendar,X1652,NDays&amp;"D")</f>
        <v>50713</v>
      </c>
      <c r="Z1652" s="132">
        <v>1.3731350953977489E-2</v>
      </c>
      <c r="AA1652" s="129">
        <v>1.3716788013429237E-2</v>
      </c>
    </row>
    <row r="1653" spans="19:27" x14ac:dyDescent="0.2">
      <c r="S1653" s="1"/>
      <c r="T1653" s="109"/>
      <c r="W1653" s="130" t="str">
        <f t="shared" si="35"/>
        <v>1w</v>
      </c>
      <c r="X1653" s="128">
        <f>_xll.qlCalendarAdvance(Calendar,X1652,W1653,"f",FALSE)</f>
        <v>50718</v>
      </c>
      <c r="Y1653" s="131">
        <f>_xll.qlCalendarAdvance(Calendar,X1653,NDays&amp;"D")</f>
        <v>50720</v>
      </c>
      <c r="Z1653" s="132">
        <v>1.3730037316815833E-2</v>
      </c>
      <c r="AA1653" s="129">
        <v>1.3715212816096667E-2</v>
      </c>
    </row>
    <row r="1654" spans="19:27" x14ac:dyDescent="0.2">
      <c r="S1654" s="1"/>
      <c r="T1654" s="109"/>
      <c r="W1654" s="130" t="str">
        <f t="shared" si="35"/>
        <v>1w</v>
      </c>
      <c r="X1654" s="128">
        <f>_xll.qlCalendarAdvance(Calendar,X1653,W1654,"f",FALSE)</f>
        <v>50725</v>
      </c>
      <c r="Y1654" s="131">
        <f>_xll.qlCalendarAdvance(Calendar,X1654,NDays&amp;"D")</f>
        <v>50727</v>
      </c>
      <c r="Z1654" s="132">
        <v>1.3728764761178444E-2</v>
      </c>
      <c r="AA1654" s="129">
        <v>1.3713678557856213E-2</v>
      </c>
    </row>
    <row r="1655" spans="19:27" x14ac:dyDescent="0.2">
      <c r="S1655" s="1"/>
      <c r="T1655" s="109"/>
      <c r="W1655" s="130" t="str">
        <f t="shared" si="35"/>
        <v>1w</v>
      </c>
      <c r="X1655" s="128">
        <f>_xll.qlCalendarAdvance(Calendar,X1654,W1655,"f",FALSE)</f>
        <v>50732</v>
      </c>
      <c r="Y1655" s="131">
        <f>_xll.qlCalendarAdvance(Calendar,X1655,NDays&amp;"D")</f>
        <v>50734</v>
      </c>
      <c r="Z1655" s="132">
        <v>1.372753328702362E-2</v>
      </c>
      <c r="AA1655" s="129">
        <v>1.3712185238627939E-2</v>
      </c>
    </row>
    <row r="1656" spans="19:27" x14ac:dyDescent="0.2">
      <c r="S1656" s="1"/>
      <c r="T1656" s="109"/>
      <c r="W1656" s="130" t="str">
        <f t="shared" si="35"/>
        <v>1w</v>
      </c>
      <c r="X1656" s="128">
        <f>_xll.qlCalendarAdvance(Calendar,X1655,W1656,"f",FALSE)</f>
        <v>50739</v>
      </c>
      <c r="Y1656" s="131">
        <f>_xll.qlCalendarAdvance(Calendar,X1656,NDays&amp;"D")</f>
        <v>50741</v>
      </c>
      <c r="Z1656" s="132">
        <v>1.3725974964011733E-2</v>
      </c>
      <c r="AA1656" s="129">
        <v>1.3710732858491781E-2</v>
      </c>
    </row>
    <row r="1657" spans="19:27" x14ac:dyDescent="0.2">
      <c r="S1657" s="1"/>
      <c r="T1657" s="109"/>
      <c r="W1657" s="130" t="str">
        <f t="shared" si="35"/>
        <v>1w</v>
      </c>
      <c r="X1657" s="128">
        <f>_xll.qlCalendarAdvance(Calendar,X1656,W1657,"f",FALSE)</f>
        <v>50746</v>
      </c>
      <c r="Y1657" s="131">
        <f>_xll.qlCalendarAdvance(Calendar,X1657,NDays&amp;"D")</f>
        <v>50748</v>
      </c>
      <c r="Z1657" s="132">
        <v>1.3724819871874239E-2</v>
      </c>
      <c r="AA1657" s="129">
        <v>1.3709321417207931E-2</v>
      </c>
    </row>
    <row r="1658" spans="19:27" x14ac:dyDescent="0.2">
      <c r="S1658" s="1"/>
      <c r="T1658" s="109"/>
      <c r="W1658" s="130" t="str">
        <f t="shared" si="35"/>
        <v>1w</v>
      </c>
      <c r="X1658" s="128">
        <f>_xll.qlCalendarAdvance(Calendar,X1657,W1658,"f",FALSE)</f>
        <v>50753</v>
      </c>
      <c r="Y1658" s="131">
        <f>_xll.qlCalendarAdvance(Calendar,X1658,NDays&amp;"D")</f>
        <v>50755</v>
      </c>
      <c r="Z1658" s="132">
        <v>1.3723705857980661E-2</v>
      </c>
      <c r="AA1658" s="129">
        <v>1.370795091517607E-2</v>
      </c>
    </row>
    <row r="1659" spans="19:27" x14ac:dyDescent="0.2">
      <c r="S1659" s="1"/>
      <c r="T1659" s="109"/>
      <c r="W1659" s="130" t="str">
        <f t="shared" si="35"/>
        <v>1w</v>
      </c>
      <c r="X1659" s="128">
        <f>_xll.qlCalendarAdvance(Calendar,X1658,W1659,"f",FALSE)</f>
        <v>50760</v>
      </c>
      <c r="Y1659" s="131">
        <f>_xll.qlCalendarAdvance(Calendar,X1659,NDays&amp;"D")</f>
        <v>50762</v>
      </c>
      <c r="Z1659" s="132">
        <v>1.3722632922295475E-2</v>
      </c>
      <c r="AA1659" s="129">
        <v>1.3706621351996517E-2</v>
      </c>
    </row>
    <row r="1660" spans="19:27" x14ac:dyDescent="0.2">
      <c r="S1660" s="1"/>
      <c r="T1660" s="109"/>
      <c r="W1660" s="130" t="str">
        <f t="shared" si="35"/>
        <v>1w</v>
      </c>
      <c r="X1660" s="128">
        <f>_xll.qlCalendarAdvance(Calendar,X1659,W1660,"f",FALSE)</f>
        <v>50767</v>
      </c>
      <c r="Y1660" s="131">
        <f>_xll.qlCalendarAdvance(Calendar,X1660,NDays&amp;"D")</f>
        <v>50769</v>
      </c>
      <c r="Z1660" s="132">
        <v>1.3721601064785816E-2</v>
      </c>
      <c r="AA1660" s="129">
        <v>1.3705332727829145E-2</v>
      </c>
    </row>
    <row r="1661" spans="19:27" x14ac:dyDescent="0.2">
      <c r="S1661" s="1"/>
      <c r="T1661" s="109"/>
      <c r="W1661" s="130" t="str">
        <f t="shared" si="35"/>
        <v>1w</v>
      </c>
      <c r="X1661" s="128">
        <f>_xll.qlCalendarAdvance(Calendar,X1660,W1661,"f",FALSE)</f>
        <v>50774</v>
      </c>
      <c r="Y1661" s="131">
        <f>_xll.qlCalendarAdvance(Calendar,X1661,NDays&amp;"D")</f>
        <v>50776</v>
      </c>
      <c r="Z1661" s="132">
        <v>1.3720610285421486E-2</v>
      </c>
      <c r="AA1661" s="129">
        <v>1.3704085042753889E-2</v>
      </c>
    </row>
    <row r="1662" spans="19:27" x14ac:dyDescent="0.2">
      <c r="S1662" s="1"/>
      <c r="T1662" s="109"/>
      <c r="W1662" s="130" t="str">
        <f t="shared" si="35"/>
        <v>1w</v>
      </c>
      <c r="X1662" s="128">
        <f>_xll.qlCalendarAdvance(Calendar,X1661,W1662,"f",FALSE)</f>
        <v>50781</v>
      </c>
      <c r="Y1662" s="131">
        <f>_xll.qlCalendarAdvance(Calendar,X1662,NDays&amp;"D")</f>
        <v>50783</v>
      </c>
      <c r="Z1662" s="132">
        <v>1.3719660584168736E-2</v>
      </c>
      <c r="AA1662" s="129">
        <v>1.3702878296610876E-2</v>
      </c>
    </row>
    <row r="1663" spans="19:27" x14ac:dyDescent="0.2">
      <c r="S1663" s="1"/>
      <c r="T1663" s="109"/>
      <c r="W1663" s="130" t="str">
        <f t="shared" si="35"/>
        <v>1w</v>
      </c>
      <c r="X1663" s="128">
        <f>_xll.qlCalendarAdvance(Calendar,X1662,W1663,"f",FALSE)</f>
        <v>50788</v>
      </c>
      <c r="Y1663" s="131">
        <f>_xll.qlCalendarAdvance(Calendar,X1663,NDays&amp;"D")</f>
        <v>50790</v>
      </c>
      <c r="Z1663" s="132">
        <v>1.3718751961000031E-2</v>
      </c>
      <c r="AA1663" s="129">
        <v>1.3701712489559981E-2</v>
      </c>
    </row>
    <row r="1664" spans="19:27" x14ac:dyDescent="0.2">
      <c r="S1664" s="1"/>
      <c r="T1664" s="109"/>
      <c r="W1664" s="130" t="str">
        <f t="shared" si="35"/>
        <v>1w</v>
      </c>
      <c r="X1664" s="128">
        <f>_xll.qlCalendarAdvance(Calendar,X1663,W1664,"f",FALSE)</f>
        <v>50795</v>
      </c>
      <c r="Y1664" s="131">
        <f>_xll.qlCalendarAdvance(Calendar,X1664,NDays&amp;"D")</f>
        <v>50797</v>
      </c>
      <c r="Z1664" s="132">
        <v>1.3717884415888726E-2</v>
      </c>
      <c r="AA1664" s="129">
        <v>1.3700587621601201E-2</v>
      </c>
    </row>
    <row r="1665" spans="19:27" x14ac:dyDescent="0.2">
      <c r="S1665" s="1"/>
      <c r="T1665" s="109"/>
      <c r="W1665" s="130" t="str">
        <f t="shared" si="35"/>
        <v>1w</v>
      </c>
      <c r="X1665" s="128">
        <f>_xll.qlCalendarAdvance(Calendar,X1664,W1665,"f",FALSE)</f>
        <v>50802</v>
      </c>
      <c r="Y1665" s="131">
        <f>_xll.qlCalendarAdvance(Calendar,X1665,NDays&amp;"D")</f>
        <v>50804</v>
      </c>
      <c r="Z1665" s="132">
        <v>1.3716848336851899E-2</v>
      </c>
      <c r="AA1665" s="129">
        <v>1.369950369249473E-2</v>
      </c>
    </row>
    <row r="1666" spans="19:27" x14ac:dyDescent="0.2">
      <c r="S1666" s="1"/>
      <c r="T1666" s="109"/>
      <c r="W1666" s="130" t="str">
        <f t="shared" si="35"/>
        <v>1w</v>
      </c>
      <c r="X1666" s="128">
        <f>_xll.qlCalendarAdvance(Calendar,X1665,W1666,"f",FALSE)</f>
        <v>50809</v>
      </c>
      <c r="Y1666" s="131">
        <f>_xll.qlCalendarAdvance(Calendar,X1666,NDays&amp;"D")</f>
        <v>50811</v>
      </c>
      <c r="Z1666" s="132">
        <v>1.3716060043618064E-2</v>
      </c>
      <c r="AA1666" s="129">
        <v>1.3698460702560311E-2</v>
      </c>
    </row>
    <row r="1667" spans="19:27" x14ac:dyDescent="0.2">
      <c r="S1667" s="1"/>
      <c r="T1667" s="109"/>
      <c r="W1667" s="130" t="str">
        <f t="shared" si="35"/>
        <v>1w</v>
      </c>
      <c r="X1667" s="128">
        <f>_xll.qlCalendarAdvance(Calendar,X1666,W1667,"f",FALSE)</f>
        <v>50816</v>
      </c>
      <c r="Y1667" s="131">
        <f>_xll.qlCalendarAdvance(Calendar,X1667,NDays&amp;"D")</f>
        <v>50818</v>
      </c>
      <c r="Z1667" s="132">
        <v>1.3715312826803798E-2</v>
      </c>
      <c r="AA1667" s="129">
        <v>1.3697458651638073E-2</v>
      </c>
    </row>
    <row r="1668" spans="19:27" x14ac:dyDescent="0.2">
      <c r="S1668" s="1"/>
      <c r="T1668" s="109"/>
      <c r="W1668" s="130" t="str">
        <f t="shared" si="35"/>
        <v>1w</v>
      </c>
      <c r="X1668" s="128">
        <f>_xll.qlCalendarAdvance(Calendar,X1667,W1668,"f",FALSE)</f>
        <v>50823</v>
      </c>
      <c r="Y1668" s="131">
        <f>_xll.qlCalendarAdvance(Calendar,X1668,NDays&amp;"D")</f>
        <v>50825</v>
      </c>
      <c r="Z1668" s="132">
        <v>1.3714606686383055E-2</v>
      </c>
      <c r="AA1668" s="129">
        <v>1.3696497539648078E-2</v>
      </c>
    </row>
    <row r="1669" spans="19:27" x14ac:dyDescent="0.2">
      <c r="S1669" s="1"/>
      <c r="T1669" s="109"/>
      <c r="W1669" s="130" t="str">
        <f t="shared" si="35"/>
        <v>1w</v>
      </c>
      <c r="X1669" s="128">
        <f>_xll.qlCalendarAdvance(Calendar,X1668,W1669,"f",FALSE)</f>
        <v>50830</v>
      </c>
      <c r="Y1669" s="131">
        <f>_xll.qlCalendarAdvance(Calendar,X1669,NDays&amp;"D")</f>
        <v>50832</v>
      </c>
      <c r="Z1669" s="132">
        <v>1.3714606185384049E-2</v>
      </c>
      <c r="AA1669" s="129">
        <v>1.3695577366670264E-2</v>
      </c>
    </row>
    <row r="1670" spans="19:27" x14ac:dyDescent="0.2">
      <c r="S1670" s="1"/>
      <c r="T1670" s="109"/>
      <c r="W1670" s="130" t="str">
        <f t="shared" si="35"/>
        <v>1w</v>
      </c>
      <c r="X1670" s="128">
        <f>_xll.qlCalendarAdvance(Calendar,X1669,W1670,"f",FALSE)</f>
        <v>50837</v>
      </c>
      <c r="Y1670" s="131">
        <f>_xll.qlCalendarAdvance(Calendar,X1670,NDays&amp;"D")</f>
        <v>50839</v>
      </c>
      <c r="Z1670" s="132">
        <v>1.3713990929573401E-2</v>
      </c>
      <c r="AA1670" s="129">
        <v>1.369469813270463E-2</v>
      </c>
    </row>
    <row r="1671" spans="19:27" x14ac:dyDescent="0.2">
      <c r="S1671" s="1"/>
      <c r="T1671" s="109"/>
      <c r="W1671" s="130" t="str">
        <f t="shared" si="35"/>
        <v>1w</v>
      </c>
      <c r="X1671" s="128">
        <f>_xll.qlCalendarAdvance(Calendar,X1670,W1671,"f",FALSE)</f>
        <v>50844</v>
      </c>
      <c r="Y1671" s="131">
        <f>_xll.qlCalendarAdvance(Calendar,X1671,NDays&amp;"D")</f>
        <v>50846</v>
      </c>
      <c r="Z1671" s="132">
        <v>1.3713416754783081E-2</v>
      </c>
      <c r="AA1671" s="129">
        <v>1.3693859837751177E-2</v>
      </c>
    </row>
    <row r="1672" spans="19:27" x14ac:dyDescent="0.2">
      <c r="S1672" s="1"/>
      <c r="T1672" s="109"/>
      <c r="W1672" s="130" t="str">
        <f t="shared" si="35"/>
        <v>1w</v>
      </c>
      <c r="X1672" s="128">
        <f>_xll.qlCalendarAdvance(Calendar,X1671,W1672,"f",FALSE)</f>
        <v>50851</v>
      </c>
      <c r="Y1672" s="131">
        <f>_xll.qlCalendarAdvance(Calendar,X1672,NDays&amp;"D")</f>
        <v>50853</v>
      </c>
      <c r="Z1672" s="132">
        <v>1.3712883660994837E-2</v>
      </c>
      <c r="AA1672" s="129">
        <v>1.3693062481889839E-2</v>
      </c>
    </row>
    <row r="1673" spans="19:27" x14ac:dyDescent="0.2">
      <c r="S1673" s="1"/>
      <c r="T1673" s="109"/>
      <c r="W1673" s="130" t="str">
        <f t="shared" si="35"/>
        <v>1w</v>
      </c>
      <c r="X1673" s="128">
        <f>_xll.qlCalendarAdvance(Calendar,X1672,W1673,"f",FALSE)</f>
        <v>50858</v>
      </c>
      <c r="Y1673" s="131">
        <f>_xll.qlCalendarAdvance(Calendar,X1673,NDays&amp;"D")</f>
        <v>50860</v>
      </c>
      <c r="Z1673" s="132">
        <v>1.3712158191333425E-2</v>
      </c>
      <c r="AA1673" s="129">
        <v>1.3692306065040682E-2</v>
      </c>
    </row>
    <row r="1674" spans="19:27" x14ac:dyDescent="0.2">
      <c r="S1674" s="1"/>
      <c r="T1674" s="109"/>
      <c r="W1674" s="130" t="str">
        <f t="shared" si="35"/>
        <v>1w</v>
      </c>
      <c r="X1674" s="128">
        <f>_xll.qlCalendarAdvance(Calendar,X1673,W1674,"f",FALSE)</f>
        <v>50865</v>
      </c>
      <c r="Y1674" s="131">
        <f>_xll.qlCalendarAdvance(Calendar,X1674,NDays&amp;"D")</f>
        <v>50867</v>
      </c>
      <c r="Z1674" s="132">
        <v>1.3711704342403997E-2</v>
      </c>
      <c r="AA1674" s="129">
        <v>1.3692435972101791E-2</v>
      </c>
    </row>
    <row r="1675" spans="19:27" x14ac:dyDescent="0.2">
      <c r="S1675" s="1"/>
      <c r="T1675" s="109"/>
      <c r="W1675" s="130" t="str">
        <f t="shared" si="35"/>
        <v>1w</v>
      </c>
      <c r="X1675" s="128">
        <f>_xll.qlCalendarAdvance(Calendar,X1674,W1675,"f",FALSE)</f>
        <v>50872</v>
      </c>
      <c r="Y1675" s="131">
        <f>_xll.qlCalendarAdvance(Calendar,X1675,NDays&amp;"D")</f>
        <v>50874</v>
      </c>
      <c r="Z1675" s="132">
        <v>1.3711291572869402E-2</v>
      </c>
      <c r="AA1675" s="129">
        <v>1.3690916048298973E-2</v>
      </c>
    </row>
    <row r="1676" spans="19:27" x14ac:dyDescent="0.2">
      <c r="S1676" s="1"/>
      <c r="T1676" s="109"/>
      <c r="W1676" s="130" t="str">
        <f t="shared" si="35"/>
        <v>1w</v>
      </c>
      <c r="X1676" s="128">
        <f>_xll.qlCalendarAdvance(Calendar,X1675,W1676,"f",FALSE)</f>
        <v>50879</v>
      </c>
      <c r="Y1676" s="131">
        <f>_xll.qlCalendarAdvance(Calendar,X1676,NDays&amp;"D")</f>
        <v>50881</v>
      </c>
      <c r="Z1676" s="132">
        <v>1.3710919882714704E-2</v>
      </c>
      <c r="AA1676" s="129">
        <v>1.3690282448566293E-2</v>
      </c>
    </row>
    <row r="1677" spans="19:27" x14ac:dyDescent="0.2">
      <c r="S1677" s="1"/>
      <c r="T1677" s="109"/>
      <c r="W1677" s="130" t="str">
        <f t="shared" si="35"/>
        <v>1w</v>
      </c>
      <c r="X1677" s="128">
        <f>_xll.qlCalendarAdvance(Calendar,X1676,W1677,"f",FALSE)</f>
        <v>50886</v>
      </c>
      <c r="Y1677" s="131">
        <f>_xll.qlCalendarAdvance(Calendar,X1677,NDays&amp;"D")</f>
        <v>50888</v>
      </c>
      <c r="Z1677" s="132">
        <v>1.3710589271931119E-2</v>
      </c>
      <c r="AA1677" s="129">
        <v>1.3689689787685921E-2</v>
      </c>
    </row>
    <row r="1678" spans="19:27" x14ac:dyDescent="0.2">
      <c r="S1678" s="1"/>
      <c r="T1678" s="109"/>
      <c r="W1678" s="130" t="str">
        <f t="shared" si="35"/>
        <v>1w</v>
      </c>
      <c r="X1678" s="128">
        <f>_xll.qlCalendarAdvance(Calendar,X1677,W1678,"f",FALSE)</f>
        <v>50893</v>
      </c>
      <c r="Y1678" s="131">
        <f>_xll.qlCalendarAdvance(Calendar,X1678,NDays&amp;"D")</f>
        <v>50895</v>
      </c>
      <c r="Z1678" s="132">
        <v>1.3710547798465348E-2</v>
      </c>
      <c r="AA1678" s="129">
        <v>1.3689138065897666E-2</v>
      </c>
    </row>
    <row r="1679" spans="19:27" x14ac:dyDescent="0.2">
      <c r="S1679" s="1"/>
      <c r="T1679" s="109"/>
      <c r="W1679" s="130" t="str">
        <f t="shared" si="35"/>
        <v>1w</v>
      </c>
      <c r="X1679" s="128">
        <f>_xll.qlCalendarAdvance(Calendar,X1678,W1679,"f",FALSE)</f>
        <v>50900</v>
      </c>
      <c r="Y1679" s="131">
        <f>_xll.qlCalendarAdvance(Calendar,X1679,NDays&amp;"D")</f>
        <v>50902</v>
      </c>
      <c r="Z1679" s="132">
        <v>1.3710302271296318E-2</v>
      </c>
      <c r="AA1679" s="129">
        <v>1.3688627283041654E-2</v>
      </c>
    </row>
    <row r="1680" spans="19:27" x14ac:dyDescent="0.2">
      <c r="S1680" s="1"/>
      <c r="T1680" s="109"/>
      <c r="W1680" s="130" t="str">
        <f t="shared" si="35"/>
        <v>1w</v>
      </c>
      <c r="X1680" s="128">
        <f>_xll.qlCalendarAdvance(Calendar,X1679,W1680,"f",FALSE)</f>
        <v>50907</v>
      </c>
      <c r="Y1680" s="131">
        <f>_xll.qlCalendarAdvance(Calendar,X1680,NDays&amp;"D")</f>
        <v>50909</v>
      </c>
      <c r="Z1680" s="132">
        <v>1.3710097825032052E-2</v>
      </c>
      <c r="AA1680" s="129">
        <v>1.3688157439277759E-2</v>
      </c>
    </row>
    <row r="1681" spans="19:27" x14ac:dyDescent="0.2">
      <c r="S1681" s="1"/>
      <c r="T1681" s="109"/>
      <c r="W1681" s="130" t="str">
        <f t="shared" si="35"/>
        <v>1w</v>
      </c>
      <c r="X1681" s="128">
        <f>_xll.qlCalendarAdvance(Calendar,X1680,W1681,"f",FALSE)</f>
        <v>50914</v>
      </c>
      <c r="Y1681" s="131">
        <f>_xll.qlCalendarAdvance(Calendar,X1681,NDays&amp;"D")</f>
        <v>50916</v>
      </c>
      <c r="Z1681" s="132">
        <v>1.3709934459665599E-2</v>
      </c>
      <c r="AA1681" s="129">
        <v>1.3687728534446109E-2</v>
      </c>
    </row>
    <row r="1682" spans="19:27" x14ac:dyDescent="0.2">
      <c r="S1682" s="1"/>
      <c r="T1682" s="109"/>
      <c r="W1682" s="130" t="str">
        <f t="shared" si="35"/>
        <v>1w</v>
      </c>
      <c r="X1682" s="128">
        <f>_xll.qlCalendarAdvance(Calendar,X1681,W1682,"f",FALSE)</f>
        <v>50921</v>
      </c>
      <c r="Y1682" s="131">
        <f>_xll.qlCalendarAdvance(Calendar,X1682,NDays&amp;"D")</f>
        <v>50923</v>
      </c>
      <c r="Z1682" s="132">
        <v>1.3709812175191748E-2</v>
      </c>
      <c r="AA1682" s="129">
        <v>1.3687340568706574E-2</v>
      </c>
    </row>
    <row r="1683" spans="19:27" x14ac:dyDescent="0.2">
      <c r="S1683" s="1"/>
      <c r="T1683" s="109"/>
      <c r="W1683" s="130" t="str">
        <f t="shared" si="35"/>
        <v>1w</v>
      </c>
      <c r="X1683" s="128">
        <f>_xll.qlCalendarAdvance(Calendar,X1682,W1683,"f",FALSE)</f>
        <v>50928</v>
      </c>
      <c r="Y1683" s="131">
        <f>_xll.qlCalendarAdvance(Calendar,X1683,NDays&amp;"D")</f>
        <v>50930</v>
      </c>
      <c r="Z1683" s="132">
        <v>1.3709730971607891E-2</v>
      </c>
      <c r="AA1683" s="129">
        <v>1.368699354197922E-2</v>
      </c>
    </row>
    <row r="1684" spans="19:27" x14ac:dyDescent="0.2">
      <c r="S1684" s="1"/>
      <c r="T1684" s="109"/>
      <c r="W1684" s="130" t="str">
        <f t="shared" si="35"/>
        <v>1w</v>
      </c>
      <c r="X1684" s="128">
        <f>_xll.qlCalendarAdvance(Calendar,X1683,W1684,"f",FALSE)</f>
        <v>50935</v>
      </c>
      <c r="Y1684" s="131">
        <f>_xll.qlCalendarAdvance(Calendar,X1684,NDays&amp;"D")</f>
        <v>50937</v>
      </c>
      <c r="Z1684" s="132">
        <v>1.3709690848909684E-2</v>
      </c>
      <c r="AA1684" s="129">
        <v>1.3686687454343982E-2</v>
      </c>
    </row>
    <row r="1685" spans="19:27" x14ac:dyDescent="0.2">
      <c r="S1685" s="1"/>
      <c r="T1685" s="109"/>
      <c r="W1685" s="130" t="str">
        <f t="shared" ref="W1685:W1748" si="36">W1684</f>
        <v>1w</v>
      </c>
      <c r="X1685" s="128">
        <f>_xll.qlCalendarAdvance(Calendar,X1684,W1685,"f",FALSE)</f>
        <v>50942</v>
      </c>
      <c r="Y1685" s="131">
        <f>_xll.qlCalendarAdvance(Calendar,X1685,NDays&amp;"D")</f>
        <v>50944</v>
      </c>
      <c r="Z1685" s="132">
        <v>1.3709691807097127E-2</v>
      </c>
      <c r="AA1685" s="129">
        <v>1.3686422305561052E-2</v>
      </c>
    </row>
    <row r="1686" spans="19:27" x14ac:dyDescent="0.2">
      <c r="S1686" s="1"/>
      <c r="T1686" s="109"/>
      <c r="W1686" s="130" t="str">
        <f t="shared" si="36"/>
        <v>1w</v>
      </c>
      <c r="X1686" s="128">
        <f>_xll.qlCalendarAdvance(Calendar,X1685,W1686,"f",FALSE)</f>
        <v>50949</v>
      </c>
      <c r="Y1686" s="131">
        <f>_xll.qlCalendarAdvance(Calendar,X1686,NDays&amp;"D")</f>
        <v>50951</v>
      </c>
      <c r="Z1686" s="132">
        <v>1.3709733846170219E-2</v>
      </c>
      <c r="AA1686" s="129">
        <v>1.3686198095870239E-2</v>
      </c>
    </row>
    <row r="1687" spans="19:27" x14ac:dyDescent="0.2">
      <c r="S1687" s="1"/>
      <c r="T1687" s="109"/>
      <c r="W1687" s="130" t="str">
        <f t="shared" si="36"/>
        <v>1w</v>
      </c>
      <c r="X1687" s="128">
        <f>_xll.qlCalendarAdvance(Calendar,X1686,W1687,"f",FALSE)</f>
        <v>50956</v>
      </c>
      <c r="Y1687" s="131">
        <f>_xll.qlCalendarAdvance(Calendar,X1687,NDays&amp;"D")</f>
        <v>50958</v>
      </c>
      <c r="Z1687" s="132">
        <v>1.370981696612983E-2</v>
      </c>
      <c r="AA1687" s="129">
        <v>1.368601482511167E-2</v>
      </c>
    </row>
    <row r="1688" spans="19:27" x14ac:dyDescent="0.2">
      <c r="S1688" s="1"/>
      <c r="T1688" s="109"/>
      <c r="W1688" s="130" t="str">
        <f t="shared" si="36"/>
        <v>1w</v>
      </c>
      <c r="X1688" s="128">
        <f>_xll.qlCalendarAdvance(Calendar,X1687,W1688,"f",FALSE)</f>
        <v>50963</v>
      </c>
      <c r="Y1688" s="131">
        <f>_xll.qlCalendarAdvance(Calendar,X1688,NDays&amp;"D")</f>
        <v>50965</v>
      </c>
      <c r="Z1688" s="132">
        <v>1.3709941166979435E-2</v>
      </c>
      <c r="AA1688" s="129">
        <v>1.3685872493525153E-2</v>
      </c>
    </row>
    <row r="1689" spans="19:27" x14ac:dyDescent="0.2">
      <c r="S1689" s="1"/>
      <c r="T1689" s="109"/>
      <c r="W1689" s="130" t="str">
        <f t="shared" si="36"/>
        <v>1w</v>
      </c>
      <c r="X1689" s="128">
        <f>_xll.qlCalendarAdvance(Calendar,X1688,W1689,"f",FALSE)</f>
        <v>50970</v>
      </c>
      <c r="Y1689" s="131">
        <f>_xll.qlCalendarAdvance(Calendar,X1689,NDays&amp;"D")</f>
        <v>50972</v>
      </c>
      <c r="Z1689" s="132">
        <v>1.3710106448720772E-2</v>
      </c>
      <c r="AA1689" s="129">
        <v>1.368577110087088E-2</v>
      </c>
    </row>
    <row r="1690" spans="19:27" x14ac:dyDescent="0.2">
      <c r="S1690" s="1"/>
      <c r="T1690" s="109"/>
      <c r="W1690" s="130" t="str">
        <f t="shared" si="36"/>
        <v>1w</v>
      </c>
      <c r="X1690" s="128">
        <f>_xll.qlCalendarAdvance(Calendar,X1689,W1690,"f",FALSE)</f>
        <v>50977</v>
      </c>
      <c r="Y1690" s="131">
        <f>_xll.qlCalendarAdvance(Calendar,X1690,NDays&amp;"D")</f>
        <v>50979</v>
      </c>
      <c r="Z1690" s="132">
        <v>1.3710312811361661E-2</v>
      </c>
      <c r="AA1690" s="129">
        <v>1.3685710647308724E-2</v>
      </c>
    </row>
    <row r="1691" spans="19:27" x14ac:dyDescent="0.2">
      <c r="S1691" s="1"/>
      <c r="T1691" s="109"/>
      <c r="W1691" s="130" t="str">
        <f t="shared" si="36"/>
        <v>1w</v>
      </c>
      <c r="X1691" s="128">
        <f>_xll.qlCalendarAdvance(Calendar,X1690,W1691,"f",FALSE)</f>
        <v>50984</v>
      </c>
      <c r="Y1691" s="131">
        <f>_xll.qlCalendarAdvance(Calendar,X1691,NDays&amp;"D")</f>
        <v>50986</v>
      </c>
      <c r="Z1691" s="132">
        <v>1.3710560254906445E-2</v>
      </c>
      <c r="AA1691" s="129">
        <v>1.3685691132598876E-2</v>
      </c>
    </row>
    <row r="1692" spans="19:27" x14ac:dyDescent="0.2">
      <c r="S1692" s="1"/>
      <c r="T1692" s="109"/>
      <c r="W1692" s="130" t="str">
        <f t="shared" si="36"/>
        <v>1w</v>
      </c>
      <c r="X1692" s="128">
        <f>_xll.qlCalendarAdvance(Calendar,X1691,W1692,"f",FALSE)</f>
        <v>50991</v>
      </c>
      <c r="Y1692" s="131">
        <f>_xll.qlCalendarAdvance(Calendar,X1692,NDays&amp;"D")</f>
        <v>50993</v>
      </c>
      <c r="Z1692" s="132">
        <v>1.3710848779363814E-2</v>
      </c>
      <c r="AA1692" s="129">
        <v>1.368571255706108E-2</v>
      </c>
    </row>
    <row r="1693" spans="19:27" x14ac:dyDescent="0.2">
      <c r="S1693" s="1"/>
      <c r="T1693" s="109"/>
      <c r="W1693" s="130" t="str">
        <f t="shared" si="36"/>
        <v>1w</v>
      </c>
      <c r="X1693" s="128">
        <f>_xll.qlCalendarAdvance(Calendar,X1692,W1693,"f",FALSE)</f>
        <v>50998</v>
      </c>
      <c r="Y1693" s="131">
        <f>_xll.qlCalendarAdvance(Calendar,X1693,NDays&amp;"D")</f>
        <v>51000</v>
      </c>
      <c r="Z1693" s="132">
        <v>1.3711178384742456E-2</v>
      </c>
      <c r="AA1693" s="129">
        <v>1.3685774920375593E-2</v>
      </c>
    </row>
    <row r="1694" spans="19:27" x14ac:dyDescent="0.2">
      <c r="S1694" s="1"/>
      <c r="T1694" s="109"/>
      <c r="W1694" s="130" t="str">
        <f t="shared" si="36"/>
        <v>1w</v>
      </c>
      <c r="X1694" s="128">
        <f>_xll.qlCalendarAdvance(Calendar,X1693,W1694,"f",FALSE)</f>
        <v>51005</v>
      </c>
      <c r="Y1694" s="131">
        <f>_xll.qlCalendarAdvance(Calendar,X1694,NDays&amp;"D")</f>
        <v>51007</v>
      </c>
      <c r="Z1694" s="132">
        <v>1.3711549071054537E-2</v>
      </c>
      <c r="AA1694" s="129">
        <v>1.3685878222782222E-2</v>
      </c>
    </row>
    <row r="1695" spans="19:27" x14ac:dyDescent="0.2">
      <c r="S1695" s="1"/>
      <c r="T1695" s="109"/>
      <c r="W1695" s="130" t="str">
        <f t="shared" si="36"/>
        <v>1w</v>
      </c>
      <c r="X1695" s="128">
        <f>_xll.qlCalendarAdvance(Calendar,X1694,W1695,"f",FALSE)</f>
        <v>51012</v>
      </c>
      <c r="Y1695" s="131">
        <f>_xll.qlCalendarAdvance(Calendar,X1695,NDays&amp;"D")</f>
        <v>51014</v>
      </c>
      <c r="Z1695" s="132">
        <v>1.37116628445685E-2</v>
      </c>
      <c r="AA1695" s="129">
        <v>1.3686022464201031E-2</v>
      </c>
    </row>
    <row r="1696" spans="19:27" x14ac:dyDescent="0.2">
      <c r="S1696" s="1"/>
      <c r="T1696" s="109"/>
      <c r="W1696" s="130" t="str">
        <f t="shared" si="36"/>
        <v>1w</v>
      </c>
      <c r="X1696" s="128">
        <f>_xll.qlCalendarAdvance(Calendar,X1695,W1696,"f",FALSE)</f>
        <v>51019</v>
      </c>
      <c r="Y1696" s="131">
        <f>_xll.qlCalendarAdvance(Calendar,X1696,NDays&amp;"D")</f>
        <v>51021</v>
      </c>
      <c r="Z1696" s="132">
        <v>1.3712112741318684E-2</v>
      </c>
      <c r="AA1696" s="129">
        <v>1.3686207644711956E-2</v>
      </c>
    </row>
    <row r="1697" spans="19:27" x14ac:dyDescent="0.2">
      <c r="S1697" s="1"/>
      <c r="T1697" s="109"/>
      <c r="W1697" s="130" t="str">
        <f t="shared" si="36"/>
        <v>1w</v>
      </c>
      <c r="X1697" s="128">
        <f>_xll.qlCalendarAdvance(Calendar,X1696,W1697,"f",FALSE)</f>
        <v>51026</v>
      </c>
      <c r="Y1697" s="131">
        <f>_xll.qlCalendarAdvance(Calendar,X1697,NDays&amp;"D")</f>
        <v>51028</v>
      </c>
      <c r="Z1697" s="132">
        <v>1.3712603717475118E-2</v>
      </c>
      <c r="AA1697" s="129">
        <v>1.368643376407519E-2</v>
      </c>
    </row>
    <row r="1698" spans="19:27" x14ac:dyDescent="0.2">
      <c r="S1698" s="1"/>
      <c r="T1698" s="109"/>
      <c r="W1698" s="130" t="str">
        <f t="shared" si="36"/>
        <v>1w</v>
      </c>
      <c r="X1698" s="128">
        <f>_xll.qlCalendarAdvance(Calendar,X1697,W1698,"f",FALSE)</f>
        <v>51033</v>
      </c>
      <c r="Y1698" s="131">
        <f>_xll.qlCalendarAdvance(Calendar,X1698,NDays&amp;"D")</f>
        <v>51035</v>
      </c>
      <c r="Z1698" s="132">
        <v>1.3713135773054493E-2</v>
      </c>
      <c r="AA1698" s="129">
        <v>1.368670082253054E-2</v>
      </c>
    </row>
    <row r="1699" spans="19:27" x14ac:dyDescent="0.2">
      <c r="S1699" s="1"/>
      <c r="T1699" s="109"/>
      <c r="W1699" s="130" t="str">
        <f t="shared" si="36"/>
        <v>1w</v>
      </c>
      <c r="X1699" s="128">
        <f>_xll.qlCalendarAdvance(Calendar,X1698,W1699,"f",FALSE)</f>
        <v>51040</v>
      </c>
      <c r="Y1699" s="131">
        <f>_xll.qlCalendarAdvance(Calendar,X1699,NDays&amp;"D")</f>
        <v>51042</v>
      </c>
      <c r="Z1699" s="132">
        <v>1.3713708908072619E-2</v>
      </c>
      <c r="AA1699" s="129">
        <v>1.3687008820078006E-2</v>
      </c>
    </row>
    <row r="1700" spans="19:27" x14ac:dyDescent="0.2">
      <c r="S1700" s="1"/>
      <c r="T1700" s="109"/>
      <c r="W1700" s="130" t="str">
        <f t="shared" si="36"/>
        <v>1w</v>
      </c>
      <c r="X1700" s="128">
        <f>_xll.qlCalendarAdvance(Calendar,X1699,W1700,"f",FALSE)</f>
        <v>51047</v>
      </c>
      <c r="Y1700" s="131">
        <f>_xll.qlCalendarAdvance(Calendar,X1700,NDays&amp;"D")</f>
        <v>51049</v>
      </c>
      <c r="Z1700" s="132">
        <v>1.3714635889235601E-2</v>
      </c>
      <c r="AA1700" s="129">
        <v>1.3687357756557716E-2</v>
      </c>
    </row>
    <row r="1701" spans="19:27" x14ac:dyDescent="0.2">
      <c r="S1701" s="1"/>
      <c r="T1701" s="109"/>
      <c r="W1701" s="130" t="str">
        <f t="shared" si="36"/>
        <v>1w</v>
      </c>
      <c r="X1701" s="128">
        <f>_xll.qlCalendarAdvance(Calendar,X1700,W1701,"f",FALSE)</f>
        <v>51054</v>
      </c>
      <c r="Y1701" s="131">
        <f>_xll.qlCalendarAdvance(Calendar,X1701,NDays&amp;"D")</f>
        <v>51056</v>
      </c>
      <c r="Z1701" s="132">
        <v>1.3715294142470129E-2</v>
      </c>
      <c r="AA1701" s="129">
        <v>1.3687747632129543E-2</v>
      </c>
    </row>
    <row r="1702" spans="19:27" x14ac:dyDescent="0.2">
      <c r="S1702" s="1"/>
      <c r="T1702" s="109"/>
      <c r="W1702" s="130" t="str">
        <f t="shared" si="36"/>
        <v>1w</v>
      </c>
      <c r="X1702" s="128">
        <f>_xll.qlCalendarAdvance(Calendar,X1701,W1702,"f",FALSE)</f>
        <v>51061</v>
      </c>
      <c r="Y1702" s="131">
        <f>_xll.qlCalendarAdvance(Calendar,X1702,NDays&amp;"D")</f>
        <v>51063</v>
      </c>
      <c r="Z1702" s="132">
        <v>1.3715993476763213E-2</v>
      </c>
      <c r="AA1702" s="129">
        <v>1.3688178446553678E-2</v>
      </c>
    </row>
    <row r="1703" spans="19:27" x14ac:dyDescent="0.2">
      <c r="S1703" s="1"/>
      <c r="T1703" s="109"/>
      <c r="W1703" s="130" t="str">
        <f t="shared" si="36"/>
        <v>1w</v>
      </c>
      <c r="X1703" s="128">
        <f>_xll.qlCalendarAdvance(Calendar,X1702,W1703,"f",FALSE)</f>
        <v>51068</v>
      </c>
      <c r="Y1703" s="131">
        <f>_xll.qlCalendarAdvance(Calendar,X1703,NDays&amp;"D")</f>
        <v>51070</v>
      </c>
      <c r="Z1703" s="132">
        <v>1.3716733892141788E-2</v>
      </c>
      <c r="AA1703" s="129">
        <v>1.3688650200149866E-2</v>
      </c>
    </row>
    <row r="1704" spans="19:27" x14ac:dyDescent="0.2">
      <c r="S1704" s="1"/>
      <c r="T1704" s="109"/>
      <c r="W1704" s="130" t="str">
        <f t="shared" si="36"/>
        <v>1w</v>
      </c>
      <c r="X1704" s="128">
        <f>_xll.qlCalendarAdvance(Calendar,X1703,W1704,"f",FALSE)</f>
        <v>51075</v>
      </c>
      <c r="Y1704" s="131">
        <f>_xll.qlCalendarAdvance(Calendar,X1704,NDays&amp;"D")</f>
        <v>51077</v>
      </c>
      <c r="Z1704" s="132">
        <v>1.3717515388624965E-2</v>
      </c>
      <c r="AA1704" s="129">
        <v>1.3689162892758233E-2</v>
      </c>
    </row>
    <row r="1705" spans="19:27" x14ac:dyDescent="0.2">
      <c r="S1705" s="1"/>
      <c r="T1705" s="109"/>
      <c r="W1705" s="130" t="str">
        <f t="shared" si="36"/>
        <v>1w</v>
      </c>
      <c r="X1705" s="128">
        <f>_xll.qlCalendarAdvance(Calendar,X1704,W1705,"f",FALSE)</f>
        <v>51082</v>
      </c>
      <c r="Y1705" s="131">
        <f>_xll.qlCalendarAdvance(Calendar,X1705,NDays&amp;"D")</f>
        <v>51084</v>
      </c>
      <c r="Z1705" s="132">
        <v>1.3718337966240553E-2</v>
      </c>
      <c r="AA1705" s="129">
        <v>1.3689716524298845E-2</v>
      </c>
    </row>
    <row r="1706" spans="19:27" x14ac:dyDescent="0.2">
      <c r="S1706" s="1"/>
      <c r="T1706" s="109"/>
      <c r="W1706" s="130" t="str">
        <f t="shared" si="36"/>
        <v>1w</v>
      </c>
      <c r="X1706" s="128">
        <f>_xll.qlCalendarAdvance(Calendar,X1705,W1706,"f",FALSE)</f>
        <v>51089</v>
      </c>
      <c r="Y1706" s="131">
        <f>_xll.qlCalendarAdvance(Calendar,X1706,NDays&amp;"D")</f>
        <v>51091</v>
      </c>
      <c r="Z1706" s="132">
        <v>1.371920162501114E-2</v>
      </c>
      <c r="AA1706" s="129">
        <v>1.3690311094771701E-2</v>
      </c>
    </row>
    <row r="1707" spans="19:27" x14ac:dyDescent="0.2">
      <c r="S1707" s="1"/>
      <c r="T1707" s="109"/>
      <c r="W1707" s="130" t="str">
        <f t="shared" si="36"/>
        <v>1w</v>
      </c>
      <c r="X1707" s="128">
        <f>_xll.qlCalendarAdvance(Calendar,X1706,W1707,"f",FALSE)</f>
        <v>51096</v>
      </c>
      <c r="Y1707" s="131">
        <f>_xll.qlCalendarAdvance(Calendar,X1707,NDays&amp;"D")</f>
        <v>51098</v>
      </c>
      <c r="Z1707" s="132">
        <v>1.3720106364966268E-2</v>
      </c>
      <c r="AA1707" s="129">
        <v>1.3690946604416609E-2</v>
      </c>
    </row>
    <row r="1708" spans="19:27" x14ac:dyDescent="0.2">
      <c r="S1708" s="1"/>
      <c r="T1708" s="109"/>
      <c r="W1708" s="130" t="str">
        <f t="shared" si="36"/>
        <v>1w</v>
      </c>
      <c r="X1708" s="128">
        <f>_xll.qlCalendarAdvance(Calendar,X1707,W1708,"f",FALSE)</f>
        <v>51103</v>
      </c>
      <c r="Y1708" s="131">
        <f>_xll.qlCalendarAdvance(Calendar,X1708,NDays&amp;"D")</f>
        <v>51105</v>
      </c>
      <c r="Z1708" s="132">
        <v>1.3720715701333383E-2</v>
      </c>
      <c r="AA1708" s="129">
        <v>1.3691623052993762E-2</v>
      </c>
    </row>
    <row r="1709" spans="19:27" x14ac:dyDescent="0.2">
      <c r="S1709" s="1"/>
      <c r="T1709" s="109"/>
      <c r="W1709" s="130" t="str">
        <f t="shared" si="36"/>
        <v>1w</v>
      </c>
      <c r="X1709" s="128">
        <f>_xll.qlCalendarAdvance(Calendar,X1708,W1709,"f",FALSE)</f>
        <v>51110</v>
      </c>
      <c r="Y1709" s="131">
        <f>_xll.qlCalendarAdvance(Calendar,X1709,NDays&amp;"D")</f>
        <v>51112</v>
      </c>
      <c r="Z1709" s="132">
        <v>1.3721699631927528E-2</v>
      </c>
      <c r="AA1709" s="129">
        <v>1.3692340440663031E-2</v>
      </c>
    </row>
    <row r="1710" spans="19:27" x14ac:dyDescent="0.2">
      <c r="S1710" s="1"/>
      <c r="T1710" s="109"/>
      <c r="W1710" s="130" t="str">
        <f t="shared" si="36"/>
        <v>1w</v>
      </c>
      <c r="X1710" s="128">
        <f>_xll.qlCalendarAdvance(Calendar,X1709,W1710,"f",FALSE)</f>
        <v>51117</v>
      </c>
      <c r="Y1710" s="131">
        <f>_xll.qlCalendarAdvance(Calendar,X1710,NDays&amp;"D")</f>
        <v>51119</v>
      </c>
      <c r="Z1710" s="132">
        <v>1.3722724642225705E-2</v>
      </c>
      <c r="AA1710" s="129">
        <v>1.3693098767264544E-2</v>
      </c>
    </row>
    <row r="1711" spans="19:27" x14ac:dyDescent="0.2">
      <c r="S1711" s="1"/>
      <c r="T1711" s="109"/>
      <c r="W1711" s="130" t="str">
        <f t="shared" si="36"/>
        <v>1w</v>
      </c>
      <c r="X1711" s="128">
        <f>_xll.qlCalendarAdvance(Calendar,X1710,W1711,"f",FALSE)</f>
        <v>51124</v>
      </c>
      <c r="Y1711" s="131">
        <f>_xll.qlCalendarAdvance(Calendar,X1711,NDays&amp;"D")</f>
        <v>51126</v>
      </c>
      <c r="Z1711" s="132">
        <v>1.3723790732262174E-2</v>
      </c>
      <c r="AA1711" s="129">
        <v>1.3693898032878238E-2</v>
      </c>
    </row>
    <row r="1712" spans="19:27" x14ac:dyDescent="0.2">
      <c r="S1712" s="1"/>
      <c r="T1712" s="109"/>
      <c r="W1712" s="130" t="str">
        <f t="shared" si="36"/>
        <v>1w</v>
      </c>
      <c r="X1712" s="128">
        <f>_xll.qlCalendarAdvance(Calendar,X1711,W1712,"f",FALSE)</f>
        <v>51131</v>
      </c>
      <c r="Y1712" s="131">
        <f>_xll.qlCalendarAdvance(Calendar,X1712,NDays&amp;"D")</f>
        <v>51133</v>
      </c>
      <c r="Z1712" s="132">
        <v>1.3724897902066803E-2</v>
      </c>
      <c r="AA1712" s="129">
        <v>1.3694738237663984E-2</v>
      </c>
    </row>
    <row r="1713" spans="19:27" x14ac:dyDescent="0.2">
      <c r="S1713" s="1"/>
      <c r="T1713" s="109"/>
      <c r="W1713" s="130" t="str">
        <f t="shared" si="36"/>
        <v>1w</v>
      </c>
      <c r="X1713" s="128">
        <f>_xll.qlCalendarAdvance(Calendar,X1712,W1713,"f",FALSE)</f>
        <v>51138</v>
      </c>
      <c r="Y1713" s="131">
        <f>_xll.qlCalendarAdvance(Calendar,X1713,NDays&amp;"D")</f>
        <v>51140</v>
      </c>
      <c r="Z1713" s="132">
        <v>1.3726046151675605E-2</v>
      </c>
      <c r="AA1713" s="129">
        <v>1.3695619381302038E-2</v>
      </c>
    </row>
    <row r="1714" spans="19:27" x14ac:dyDescent="0.2">
      <c r="S1714" s="1"/>
      <c r="T1714" s="109"/>
      <c r="W1714" s="130" t="str">
        <f t="shared" si="36"/>
        <v>1w</v>
      </c>
      <c r="X1714" s="128">
        <f>_xll.qlCalendarAdvance(Calendar,X1713,W1714,"f",FALSE)</f>
        <v>51145</v>
      </c>
      <c r="Y1714" s="131">
        <f>_xll.qlCalendarAdvance(Calendar,X1714,NDays&amp;"D")</f>
        <v>51147</v>
      </c>
      <c r="Z1714" s="132">
        <v>1.3727235481125475E-2</v>
      </c>
      <c r="AA1714" s="129">
        <v>1.3696541464032208E-2</v>
      </c>
    </row>
    <row r="1715" spans="19:27" x14ac:dyDescent="0.2">
      <c r="S1715" s="1"/>
      <c r="T1715" s="109"/>
      <c r="W1715" s="130" t="str">
        <f t="shared" si="36"/>
        <v>1w</v>
      </c>
      <c r="X1715" s="128">
        <f>_xll.qlCalendarAdvance(Calendar,X1714,W1715,"f",FALSE)</f>
        <v>51152</v>
      </c>
      <c r="Y1715" s="131">
        <f>_xll.qlCalendarAdvance(Calendar,X1715,NDays&amp;"D")</f>
        <v>51154</v>
      </c>
      <c r="Z1715" s="132">
        <v>1.3728465890449791E-2</v>
      </c>
      <c r="AA1715" s="129">
        <v>1.3697504485694623E-2</v>
      </c>
    </row>
    <row r="1716" spans="19:27" x14ac:dyDescent="0.2">
      <c r="S1716" s="1"/>
      <c r="T1716" s="109"/>
      <c r="W1716" s="130" t="str">
        <f t="shared" si="36"/>
        <v>1w</v>
      </c>
      <c r="X1716" s="128">
        <f>_xll.qlCalendarAdvance(Calendar,X1715,W1716,"f",FALSE)</f>
        <v>51159</v>
      </c>
      <c r="Y1716" s="131">
        <f>_xll.qlCalendarAdvance(Calendar,X1716,NDays&amp;"D")</f>
        <v>51161</v>
      </c>
      <c r="Z1716" s="132">
        <v>1.3729737379688961E-2</v>
      </c>
      <c r="AA1716" s="129">
        <v>1.3698508446449154E-2</v>
      </c>
    </row>
    <row r="1717" spans="19:27" x14ac:dyDescent="0.2">
      <c r="S1717" s="1"/>
      <c r="T1717" s="109"/>
      <c r="W1717" s="130" t="str">
        <f t="shared" si="36"/>
        <v>1w</v>
      </c>
      <c r="X1717" s="128">
        <f>_xll.qlCalendarAdvance(Calendar,X1716,W1717,"f",FALSE)</f>
        <v>51166</v>
      </c>
      <c r="Y1717" s="131">
        <f>_xll.qlCalendarAdvance(Calendar,X1717,NDays&amp;"D")</f>
        <v>51168</v>
      </c>
      <c r="Z1717" s="132">
        <v>1.3730686955085503E-2</v>
      </c>
      <c r="AA1717" s="129">
        <v>1.3699553346215865E-2</v>
      </c>
    </row>
    <row r="1718" spans="19:27" x14ac:dyDescent="0.2">
      <c r="S1718" s="1"/>
      <c r="T1718" s="109"/>
      <c r="W1718" s="130" t="str">
        <f t="shared" si="36"/>
        <v>1w</v>
      </c>
      <c r="X1718" s="128">
        <f>_xll.qlCalendarAdvance(Calendar,X1717,W1718,"f",FALSE)</f>
        <v>51173</v>
      </c>
      <c r="Y1718" s="131">
        <f>_xll.qlCalendarAdvance(Calendar,X1718,NDays&amp;"D")</f>
        <v>51175</v>
      </c>
      <c r="Z1718" s="132">
        <v>1.3732037618555459E-2</v>
      </c>
      <c r="AA1718" s="129">
        <v>1.3700639184994756E-2</v>
      </c>
    </row>
    <row r="1719" spans="19:27" x14ac:dyDescent="0.2">
      <c r="S1719" s="1"/>
      <c r="T1719" s="109"/>
      <c r="W1719" s="130" t="str">
        <f t="shared" si="36"/>
        <v>1w</v>
      </c>
      <c r="X1719" s="128">
        <f>_xll.qlCalendarAdvance(Calendar,X1718,W1719,"f",FALSE)</f>
        <v>51180</v>
      </c>
      <c r="Y1719" s="131">
        <f>_xll.qlCalendarAdvance(Calendar,X1719,NDays&amp;"D")</f>
        <v>51182</v>
      </c>
      <c r="Z1719" s="132">
        <v>1.3733429346306281E-2</v>
      </c>
      <c r="AA1719" s="129">
        <v>1.3701765962785828E-2</v>
      </c>
    </row>
    <row r="1720" spans="19:27" x14ac:dyDescent="0.2">
      <c r="S1720" s="1"/>
      <c r="T1720" s="109"/>
      <c r="W1720" s="130" t="str">
        <f t="shared" si="36"/>
        <v>1w</v>
      </c>
      <c r="X1720" s="128">
        <f>_xll.qlCalendarAdvance(Calendar,X1719,W1720,"f",FALSE)</f>
        <v>51187</v>
      </c>
      <c r="Y1720" s="131">
        <f>_xll.qlCalendarAdvance(Calendar,X1720,NDays&amp;"D")</f>
        <v>51189</v>
      </c>
      <c r="Z1720" s="132">
        <v>1.3734860888548361E-2</v>
      </c>
      <c r="AA1720" s="129">
        <v>1.3702933679669016E-2</v>
      </c>
    </row>
    <row r="1721" spans="19:27" x14ac:dyDescent="0.2">
      <c r="S1721" s="1"/>
      <c r="T1721" s="109"/>
      <c r="W1721" s="130" t="str">
        <f t="shared" si="36"/>
        <v>1w</v>
      </c>
      <c r="X1721" s="128">
        <f>_xll.qlCalendarAdvance(Calendar,X1720,W1721,"f",FALSE)</f>
        <v>51194</v>
      </c>
      <c r="Y1721" s="131">
        <f>_xll.qlCalendarAdvance(Calendar,X1721,NDays&amp;"D")</f>
        <v>51196</v>
      </c>
      <c r="Z1721" s="132">
        <v>1.3737076151819386E-2</v>
      </c>
      <c r="AA1721" s="129">
        <v>1.3704142335484448E-2</v>
      </c>
    </row>
    <row r="1722" spans="19:27" x14ac:dyDescent="0.2">
      <c r="S1722" s="1"/>
      <c r="T1722" s="109"/>
      <c r="W1722" s="130" t="str">
        <f t="shared" si="36"/>
        <v>1w</v>
      </c>
      <c r="X1722" s="128">
        <f>_xll.qlCalendarAdvance(Calendar,X1721,W1722,"f",FALSE)</f>
        <v>51201</v>
      </c>
      <c r="Y1722" s="131">
        <f>_xll.qlCalendarAdvance(Calendar,X1722,NDays&amp;"D")</f>
        <v>51203</v>
      </c>
      <c r="Z1722" s="132">
        <v>1.3738580128593811E-2</v>
      </c>
      <c r="AA1722" s="129">
        <v>1.3705391930232125E-2</v>
      </c>
    </row>
    <row r="1723" spans="19:27" x14ac:dyDescent="0.2">
      <c r="S1723" s="1"/>
      <c r="T1723" s="109"/>
      <c r="W1723" s="130" t="str">
        <f t="shared" si="36"/>
        <v>1w</v>
      </c>
      <c r="X1723" s="128">
        <f>_xll.qlCalendarAdvance(Calendar,X1722,W1723,"f",FALSE)</f>
        <v>51208</v>
      </c>
      <c r="Y1723" s="131">
        <f>_xll.qlCalendarAdvance(Calendar,X1723,NDays&amp;"D")</f>
        <v>51210</v>
      </c>
      <c r="Z1723" s="132">
        <v>1.3740112439239137E-2</v>
      </c>
      <c r="AA1723" s="129">
        <v>1.370668246423179E-2</v>
      </c>
    </row>
    <row r="1724" spans="19:27" x14ac:dyDescent="0.2">
      <c r="S1724" s="1"/>
      <c r="T1724" s="109"/>
      <c r="W1724" s="130" t="str">
        <f t="shared" si="36"/>
        <v>1w</v>
      </c>
      <c r="X1724" s="128">
        <f>_xll.qlCalendarAdvance(Calendar,X1723,W1724,"f",FALSE)</f>
        <v>51215</v>
      </c>
      <c r="Y1724" s="131">
        <f>_xll.qlCalendarAdvance(Calendar,X1724,NDays&amp;"D")</f>
        <v>51217</v>
      </c>
      <c r="Z1724" s="132">
        <v>1.3741669514372314E-2</v>
      </c>
      <c r="AA1724" s="129">
        <v>1.3708013937003827E-2</v>
      </c>
    </row>
    <row r="1725" spans="19:27" x14ac:dyDescent="0.2">
      <c r="S1725" s="1"/>
      <c r="T1725" s="109"/>
      <c r="W1725" s="130" t="str">
        <f t="shared" si="36"/>
        <v>1w</v>
      </c>
      <c r="X1725" s="128">
        <f>_xll.qlCalendarAdvance(Calendar,X1724,W1725,"f",FALSE)</f>
        <v>51222</v>
      </c>
      <c r="Y1725" s="131">
        <f>_xll.qlCalendarAdvance(Calendar,X1725,NDays&amp;"D")</f>
        <v>51224</v>
      </c>
      <c r="Z1725" s="132">
        <v>1.3743247784606817E-2</v>
      </c>
      <c r="AA1725" s="129">
        <v>1.3710831073863616E-2</v>
      </c>
    </row>
    <row r="1726" spans="19:27" x14ac:dyDescent="0.2">
      <c r="S1726" s="1"/>
      <c r="T1726" s="109"/>
      <c r="W1726" s="130" t="str">
        <f t="shared" si="36"/>
        <v>1w</v>
      </c>
      <c r="X1726" s="128">
        <f>_xll.qlCalendarAdvance(Calendar,X1725,W1726,"f",FALSE)</f>
        <v>51229</v>
      </c>
      <c r="Y1726" s="131">
        <f>_xll.qlCalendarAdvance(Calendar,X1726,NDays&amp;"D")</f>
        <v>51231</v>
      </c>
      <c r="Z1726" s="132">
        <v>1.3744465134077314E-2</v>
      </c>
      <c r="AA1726" s="129">
        <v>1.3710799699984122E-2</v>
      </c>
    </row>
    <row r="1727" spans="19:27" x14ac:dyDescent="0.2">
      <c r="S1727" s="1"/>
      <c r="T1727" s="109"/>
      <c r="W1727" s="130" t="str">
        <f t="shared" si="36"/>
        <v>1w</v>
      </c>
      <c r="X1727" s="128">
        <f>_xll.qlCalendarAdvance(Calendar,X1726,W1727,"f",FALSE)</f>
        <v>51236</v>
      </c>
      <c r="Y1727" s="131">
        <f>_xll.qlCalendarAdvance(Calendar,X1727,NDays&amp;"D")</f>
        <v>51238</v>
      </c>
      <c r="Z1727" s="132">
        <v>1.3746074935380562E-2</v>
      </c>
      <c r="AA1727" s="129">
        <v>1.3712253989872636E-2</v>
      </c>
    </row>
    <row r="1728" spans="19:27" x14ac:dyDescent="0.2">
      <c r="S1728" s="1"/>
      <c r="T1728" s="109"/>
      <c r="W1728" s="130" t="str">
        <f t="shared" si="36"/>
        <v>1w</v>
      </c>
      <c r="X1728" s="128">
        <f>_xll.qlCalendarAdvance(Calendar,X1727,W1728,"f",FALSE)</f>
        <v>51243</v>
      </c>
      <c r="Y1728" s="131">
        <f>_xll.qlCalendarAdvance(Calendar,X1728,NDays&amp;"D")</f>
        <v>51245</v>
      </c>
      <c r="Z1728" s="132">
        <v>1.3747695402486996E-2</v>
      </c>
      <c r="AA1728" s="129">
        <v>1.3713749218853266E-2</v>
      </c>
    </row>
    <row r="1729" spans="19:27" x14ac:dyDescent="0.2">
      <c r="S1729" s="1"/>
      <c r="T1729" s="109"/>
      <c r="W1729" s="130" t="str">
        <f t="shared" si="36"/>
        <v>1w</v>
      </c>
      <c r="X1729" s="128">
        <f>_xll.qlCalendarAdvance(Calendar,X1728,W1729,"f",FALSE)</f>
        <v>51250</v>
      </c>
      <c r="Y1729" s="131">
        <f>_xll.qlCalendarAdvance(Calendar,X1729,NDays&amp;"D")</f>
        <v>51252</v>
      </c>
      <c r="Z1729" s="132">
        <v>1.37493229268985E-2</v>
      </c>
      <c r="AA1729" s="129">
        <v>1.3715285386846077E-2</v>
      </c>
    </row>
    <row r="1730" spans="19:27" x14ac:dyDescent="0.2">
      <c r="S1730" s="1"/>
      <c r="T1730" s="109"/>
      <c r="W1730" s="130" t="str">
        <f t="shared" si="36"/>
        <v>1w</v>
      </c>
      <c r="X1730" s="128">
        <f>_xll.qlCalendarAdvance(Calendar,X1729,W1730,"f",FALSE)</f>
        <v>51258</v>
      </c>
      <c r="Y1730" s="131">
        <f>_xll.qlCalendarAdvance(Calendar,X1730,NDays&amp;"D")</f>
        <v>51260</v>
      </c>
      <c r="Z1730" s="132">
        <v>1.3752321462920132E-2</v>
      </c>
      <c r="AA1730" s="129">
        <v>1.3717843580716149E-2</v>
      </c>
    </row>
    <row r="1731" spans="19:27" x14ac:dyDescent="0.2">
      <c r="S1731" s="1"/>
      <c r="T1731" s="109"/>
      <c r="W1731" s="130" t="str">
        <f t="shared" si="36"/>
        <v>1w</v>
      </c>
      <c r="X1731" s="128">
        <f>_xll.qlCalendarAdvance(Calendar,X1730,W1731,"f",FALSE)</f>
        <v>51265</v>
      </c>
      <c r="Y1731" s="131">
        <f>_xll.qlCalendarAdvance(Calendar,X1731,NDays&amp;"D")</f>
        <v>51267</v>
      </c>
      <c r="Z1731" s="132">
        <v>1.3753950950565374E-2</v>
      </c>
      <c r="AA1731" s="129">
        <v>1.3719473447837416E-2</v>
      </c>
    </row>
    <row r="1732" spans="19:27" x14ac:dyDescent="0.2">
      <c r="S1732" s="1"/>
      <c r="T1732" s="109"/>
      <c r="W1732" s="130" t="str">
        <f t="shared" si="36"/>
        <v>1w</v>
      </c>
      <c r="X1732" s="128">
        <f>_xll.qlCalendarAdvance(Calendar,X1731,W1732,"f",FALSE)</f>
        <v>51272</v>
      </c>
      <c r="Y1732" s="131">
        <f>_xll.qlCalendarAdvance(Calendar,X1732,NDays&amp;"D")</f>
        <v>51274</v>
      </c>
      <c r="Z1732" s="132">
        <v>1.3755576213305082E-2</v>
      </c>
      <c r="AA1732" s="129">
        <v>1.3721129467771931E-2</v>
      </c>
    </row>
    <row r="1733" spans="19:27" x14ac:dyDescent="0.2">
      <c r="S1733" s="1"/>
      <c r="T1733" s="109"/>
      <c r="W1733" s="130" t="str">
        <f t="shared" si="36"/>
        <v>1w</v>
      </c>
      <c r="X1733" s="128">
        <f>_xll.qlCalendarAdvance(Calendar,X1732,W1733,"f",FALSE)</f>
        <v>51279</v>
      </c>
      <c r="Y1733" s="131">
        <f>_xll.qlCalendarAdvance(Calendar,X1733,NDays&amp;"D")</f>
        <v>51281</v>
      </c>
      <c r="Z1733" s="132">
        <v>1.3757195690997459E-2</v>
      </c>
      <c r="AA1733" s="129">
        <v>1.372278110755687E-2</v>
      </c>
    </row>
    <row r="1734" spans="19:27" x14ac:dyDescent="0.2">
      <c r="S1734" s="1"/>
      <c r="T1734" s="109"/>
      <c r="W1734" s="130" t="str">
        <f t="shared" si="36"/>
        <v>1w</v>
      </c>
      <c r="X1734" s="128">
        <f>_xll.qlCalendarAdvance(Calendar,X1733,W1734,"f",FALSE)</f>
        <v>51286</v>
      </c>
      <c r="Y1734" s="131">
        <f>_xll.qlCalendarAdvance(Calendar,X1734,NDays&amp;"D")</f>
        <v>51288</v>
      </c>
      <c r="Z1734" s="132">
        <v>1.3758809337804271E-2</v>
      </c>
      <c r="AA1734" s="129">
        <v>1.3724426936017053E-2</v>
      </c>
    </row>
    <row r="1735" spans="19:27" x14ac:dyDescent="0.2">
      <c r="S1735" s="1"/>
      <c r="T1735" s="109"/>
      <c r="W1735" s="130" t="str">
        <f t="shared" si="36"/>
        <v>1w</v>
      </c>
      <c r="X1735" s="128">
        <f>_xll.qlCalendarAdvance(Calendar,X1734,W1735,"f",FALSE)</f>
        <v>51293</v>
      </c>
      <c r="Y1735" s="131">
        <f>_xll.qlCalendarAdvance(Calendar,X1735,NDays&amp;"D")</f>
        <v>51295</v>
      </c>
      <c r="Z1735" s="132">
        <v>1.3760417153713617E-2</v>
      </c>
      <c r="AA1735" s="129">
        <v>1.3726066953125837E-2</v>
      </c>
    </row>
    <row r="1736" spans="19:27" x14ac:dyDescent="0.2">
      <c r="S1736" s="1"/>
      <c r="T1736" s="109"/>
      <c r="W1736" s="130" t="str">
        <f t="shared" si="36"/>
        <v>1w</v>
      </c>
      <c r="X1736" s="128">
        <f>_xll.qlCalendarAdvance(Calendar,X1735,W1736,"f",FALSE)</f>
        <v>51300</v>
      </c>
      <c r="Y1736" s="131">
        <f>_xll.qlCalendarAdvance(Calendar,X1736,NDays&amp;"D")</f>
        <v>51302</v>
      </c>
      <c r="Z1736" s="132">
        <v>1.3762019138719545E-2</v>
      </c>
      <c r="AA1736" s="129">
        <v>1.3727701158936512E-2</v>
      </c>
    </row>
    <row r="1737" spans="19:27" x14ac:dyDescent="0.2">
      <c r="S1737" s="1"/>
      <c r="T1737" s="109"/>
      <c r="W1737" s="130" t="str">
        <f t="shared" si="36"/>
        <v>1w</v>
      </c>
      <c r="X1737" s="128">
        <f>_xll.qlCalendarAdvance(Calendar,X1736,W1737,"f",FALSE)</f>
        <v>51307</v>
      </c>
      <c r="Y1737" s="131">
        <f>_xll.qlCalendarAdvance(Calendar,X1737,NDays&amp;"D")</f>
        <v>51309</v>
      </c>
      <c r="Z1737" s="132">
        <v>1.3763615292815248E-2</v>
      </c>
      <c r="AA1737" s="129">
        <v>1.3729329553395786E-2</v>
      </c>
    </row>
    <row r="1738" spans="19:27" x14ac:dyDescent="0.2">
      <c r="S1738" s="1"/>
      <c r="T1738" s="109"/>
      <c r="W1738" s="130" t="str">
        <f t="shared" si="36"/>
        <v>1w</v>
      </c>
      <c r="X1738" s="128">
        <f>_xll.qlCalendarAdvance(Calendar,X1737,W1738,"f",FALSE)</f>
        <v>51314</v>
      </c>
      <c r="Y1738" s="131">
        <f>_xll.qlCalendarAdvance(Calendar,X1738,NDays&amp;"D")</f>
        <v>51316</v>
      </c>
      <c r="Z1738" s="132">
        <v>1.376407958472913E-2</v>
      </c>
      <c r="AA1738" s="129">
        <v>1.373095213650366E-2</v>
      </c>
    </row>
    <row r="1739" spans="19:27" x14ac:dyDescent="0.2">
      <c r="S1739" s="1"/>
      <c r="T1739" s="109"/>
      <c r="W1739" s="130" t="str">
        <f t="shared" si="36"/>
        <v>1w</v>
      </c>
      <c r="X1739" s="128">
        <f>_xll.qlCalendarAdvance(Calendar,X1738,W1739,"f",FALSE)</f>
        <v>51321</v>
      </c>
      <c r="Y1739" s="131">
        <f>_xll.qlCalendarAdvance(Calendar,X1739,NDays&amp;"D")</f>
        <v>51323</v>
      </c>
      <c r="Z1739" s="132">
        <v>1.3766790108244524E-2</v>
      </c>
      <c r="AA1739" s="129">
        <v>1.3732568908260134E-2</v>
      </c>
    </row>
    <row r="1740" spans="19:27" x14ac:dyDescent="0.2">
      <c r="S1740" s="1"/>
      <c r="T1740" s="109"/>
      <c r="W1740" s="130" t="str">
        <f t="shared" si="36"/>
        <v>1w</v>
      </c>
      <c r="X1740" s="128">
        <f>_xll.qlCalendarAdvance(Calendar,X1739,W1740,"f",FALSE)</f>
        <v>51328</v>
      </c>
      <c r="Y1740" s="131">
        <f>_xll.qlCalendarAdvance(Calendar,X1740,NDays&amp;"D")</f>
        <v>51330</v>
      </c>
      <c r="Z1740" s="132">
        <v>1.376836876956449E-2</v>
      </c>
      <c r="AA1740" s="129">
        <v>1.3734179868718499E-2</v>
      </c>
    </row>
    <row r="1741" spans="19:27" x14ac:dyDescent="0.2">
      <c r="S1741" s="1"/>
      <c r="T1741" s="109"/>
      <c r="W1741" s="130" t="str">
        <f t="shared" si="36"/>
        <v>1w</v>
      </c>
      <c r="X1741" s="128">
        <f>_xll.qlCalendarAdvance(Calendar,X1740,W1741,"f",FALSE)</f>
        <v>51335</v>
      </c>
      <c r="Y1741" s="131">
        <f>_xll.qlCalendarAdvance(Calendar,X1741,NDays&amp;"D")</f>
        <v>51337</v>
      </c>
      <c r="Z1741" s="132">
        <v>1.3769941599945318E-2</v>
      </c>
      <c r="AA1741" s="129">
        <v>1.3735785017825464E-2</v>
      </c>
    </row>
    <row r="1742" spans="19:27" x14ac:dyDescent="0.2">
      <c r="S1742" s="1"/>
      <c r="T1742" s="109"/>
      <c r="W1742" s="130" t="str">
        <f t="shared" si="36"/>
        <v>1w</v>
      </c>
      <c r="X1742" s="128">
        <f>_xll.qlCalendarAdvance(Calendar,X1741,W1742,"f",FALSE)</f>
        <v>51342</v>
      </c>
      <c r="Y1742" s="131">
        <f>_xll.qlCalendarAdvance(Calendar,X1742,NDays&amp;"D")</f>
        <v>51344</v>
      </c>
      <c r="Z1742" s="132">
        <v>1.3771508599377659E-2</v>
      </c>
      <c r="AA1742" s="129">
        <v>1.3737384355554383E-2</v>
      </c>
    </row>
    <row r="1743" spans="19:27" x14ac:dyDescent="0.2">
      <c r="S1743" s="1"/>
      <c r="T1743" s="109"/>
      <c r="W1743" s="130" t="str">
        <f t="shared" si="36"/>
        <v>1w</v>
      </c>
      <c r="X1743" s="128">
        <f>_xll.qlCalendarAdvance(Calendar,X1742,W1743,"f",FALSE)</f>
        <v>51349</v>
      </c>
      <c r="Y1743" s="131">
        <f>_xll.qlCalendarAdvance(Calendar,X1743,NDays&amp;"D")</f>
        <v>51351</v>
      </c>
      <c r="Z1743" s="132">
        <v>1.3773069767857256E-2</v>
      </c>
      <c r="AA1743" s="129">
        <v>1.3738977881985193E-2</v>
      </c>
    </row>
    <row r="1744" spans="19:27" x14ac:dyDescent="0.2">
      <c r="S1744" s="1"/>
      <c r="T1744" s="109"/>
      <c r="W1744" s="130" t="str">
        <f t="shared" si="36"/>
        <v>1w</v>
      </c>
      <c r="X1744" s="128">
        <f>_xll.qlCalendarAdvance(Calendar,X1743,W1744,"f",FALSE)</f>
        <v>51356</v>
      </c>
      <c r="Y1744" s="131">
        <f>_xll.qlCalendarAdvance(Calendar,X1744,NDays&amp;"D")</f>
        <v>51358</v>
      </c>
      <c r="Z1744" s="132">
        <v>1.3774625105375608E-2</v>
      </c>
      <c r="AA1744" s="129">
        <v>1.3740565597064602E-2</v>
      </c>
    </row>
    <row r="1745" spans="19:27" x14ac:dyDescent="0.2">
      <c r="S1745" s="1"/>
      <c r="T1745" s="109"/>
      <c r="W1745" s="130" t="str">
        <f t="shared" si="36"/>
        <v>1w</v>
      </c>
      <c r="X1745" s="128">
        <f>_xll.qlCalendarAdvance(Calendar,X1744,W1745,"f",FALSE)</f>
        <v>51363</v>
      </c>
      <c r="Y1745" s="131">
        <f>_xll.qlCalendarAdvance(Calendar,X1745,NDays&amp;"D")</f>
        <v>51365</v>
      </c>
      <c r="Z1745" s="132">
        <v>1.3776174611925911E-2</v>
      </c>
      <c r="AA1745" s="129">
        <v>1.3742147500792612E-2</v>
      </c>
    </row>
    <row r="1746" spans="19:27" x14ac:dyDescent="0.2">
      <c r="S1746" s="1"/>
      <c r="T1746" s="109"/>
      <c r="W1746" s="130" t="str">
        <f t="shared" si="36"/>
        <v>1w</v>
      </c>
      <c r="X1746" s="128">
        <f>_xll.qlCalendarAdvance(Calendar,X1745,W1746,"f",FALSE)</f>
        <v>51370</v>
      </c>
      <c r="Y1746" s="131">
        <f>_xll.qlCalendarAdvance(Calendar,X1746,NDays&amp;"D")</f>
        <v>51372</v>
      </c>
      <c r="Z1746" s="132">
        <v>1.3777718287501363E-2</v>
      </c>
      <c r="AA1746" s="129">
        <v>1.3743723593195867E-2</v>
      </c>
    </row>
    <row r="1747" spans="19:27" x14ac:dyDescent="0.2">
      <c r="S1747" s="1"/>
      <c r="T1747" s="109"/>
      <c r="W1747" s="130" t="str">
        <f t="shared" si="36"/>
        <v>1w</v>
      </c>
      <c r="X1747" s="128">
        <f>_xll.qlCalendarAdvance(Calendar,X1746,W1747,"f",FALSE)</f>
        <v>51377</v>
      </c>
      <c r="Y1747" s="131">
        <f>_xll.qlCalendarAdvance(Calendar,X1747,NDays&amp;"D")</f>
        <v>51379</v>
      </c>
      <c r="Z1747" s="132">
        <v>1.3778139735435254E-2</v>
      </c>
      <c r="AA1747" s="129">
        <v>1.3745293874247722E-2</v>
      </c>
    </row>
    <row r="1748" spans="19:27" x14ac:dyDescent="0.2">
      <c r="S1748" s="1"/>
      <c r="T1748" s="109"/>
      <c r="W1748" s="130" t="str">
        <f t="shared" si="36"/>
        <v>1w</v>
      </c>
      <c r="X1748" s="128">
        <f>_xll.qlCalendarAdvance(Calendar,X1747,W1748,"f",FALSE)</f>
        <v>51384</v>
      </c>
      <c r="Y1748" s="131">
        <f>_xll.qlCalendarAdvance(Calendar,X1748,NDays&amp;"D")</f>
        <v>51386</v>
      </c>
      <c r="Z1748" s="132">
        <v>1.3779672822798687E-2</v>
      </c>
      <c r="AA1748" s="129">
        <v>1.3746858344001467E-2</v>
      </c>
    </row>
    <row r="1749" spans="19:27" x14ac:dyDescent="0.2">
      <c r="S1749" s="1"/>
      <c r="T1749" s="109"/>
      <c r="W1749" s="130" t="str">
        <f t="shared" ref="W1749:W1812" si="37">W1748</f>
        <v>1w</v>
      </c>
      <c r="X1749" s="128">
        <f>_xll.qlCalendarAdvance(Calendar,X1748,W1749,"f",FALSE)</f>
        <v>51391</v>
      </c>
      <c r="Y1749" s="131">
        <f>_xll.qlCalendarAdvance(Calendar,X1749,NDays&amp;"D")</f>
        <v>51393</v>
      </c>
      <c r="Z1749" s="132">
        <v>1.3781200079814926E-2</v>
      </c>
      <c r="AA1749" s="129">
        <v>1.3748417002323876E-2</v>
      </c>
    </row>
    <row r="1750" spans="19:27" x14ac:dyDescent="0.2">
      <c r="S1750" s="1"/>
      <c r="T1750" s="109"/>
      <c r="W1750" s="130" t="str">
        <f t="shared" si="37"/>
        <v>1w</v>
      </c>
      <c r="X1750" s="128">
        <f>_xll.qlCalendarAdvance(Calendar,X1749,W1750,"f",FALSE)</f>
        <v>51398</v>
      </c>
      <c r="Y1750" s="131">
        <f>_xll.qlCalendarAdvance(Calendar,X1750,NDays&amp;"D")</f>
        <v>51400</v>
      </c>
      <c r="Z1750" s="132">
        <v>1.3782721506480456E-2</v>
      </c>
      <c r="AA1750" s="129">
        <v>1.3749969849374821E-2</v>
      </c>
    </row>
    <row r="1751" spans="19:27" x14ac:dyDescent="0.2">
      <c r="S1751" s="1"/>
      <c r="T1751" s="109"/>
      <c r="W1751" s="130" t="str">
        <f t="shared" si="37"/>
        <v>1w</v>
      </c>
      <c r="X1751" s="128">
        <f>_xll.qlCalendarAdvance(Calendar,X1750,W1751,"f",FALSE)</f>
        <v>51405</v>
      </c>
      <c r="Y1751" s="131">
        <f>_xll.qlCalendarAdvance(Calendar,X1751,NDays&amp;"D")</f>
        <v>51407</v>
      </c>
      <c r="Z1751" s="132">
        <v>1.3785349200504978E-2</v>
      </c>
      <c r="AA1751" s="129">
        <v>1.3751516885074366E-2</v>
      </c>
    </row>
    <row r="1752" spans="19:27" x14ac:dyDescent="0.2">
      <c r="S1752" s="1"/>
      <c r="T1752" s="109"/>
      <c r="W1752" s="130" t="str">
        <f t="shared" si="37"/>
        <v>1w</v>
      </c>
      <c r="X1752" s="128">
        <f>_xll.qlCalendarAdvance(Calendar,X1751,W1752,"f",FALSE)</f>
        <v>51412</v>
      </c>
      <c r="Y1752" s="131">
        <f>_xll.qlCalendarAdvance(Calendar,X1752,NDays&amp;"D")</f>
        <v>51414</v>
      </c>
      <c r="Z1752" s="132">
        <v>1.37868578900825E-2</v>
      </c>
      <c r="AA1752" s="129">
        <v>1.3753058109422511E-2</v>
      </c>
    </row>
    <row r="1753" spans="19:27" x14ac:dyDescent="0.2">
      <c r="S1753" s="1"/>
      <c r="T1753" s="109"/>
      <c r="W1753" s="130" t="str">
        <f t="shared" si="37"/>
        <v>1w</v>
      </c>
      <c r="X1753" s="128">
        <f>_xll.qlCalendarAdvance(Calendar,X1752,W1753,"f",FALSE)</f>
        <v>51419</v>
      </c>
      <c r="Y1753" s="131">
        <f>_xll.qlCalendarAdvance(Calendar,X1753,NDays&amp;"D")</f>
        <v>51421</v>
      </c>
      <c r="Z1753" s="132">
        <v>1.3788360748636699E-2</v>
      </c>
      <c r="AA1753" s="129">
        <v>1.3754593522419256E-2</v>
      </c>
    </row>
    <row r="1754" spans="19:27" x14ac:dyDescent="0.2">
      <c r="S1754" s="1"/>
      <c r="T1754" s="109"/>
      <c r="W1754" s="130" t="str">
        <f t="shared" si="37"/>
        <v>1w</v>
      </c>
      <c r="X1754" s="128">
        <f>_xll.qlCalendarAdvance(Calendar,X1753,W1754,"f",FALSE)</f>
        <v>51426</v>
      </c>
      <c r="Y1754" s="131">
        <f>_xll.qlCalendarAdvance(Calendar,X1754,NDays&amp;"D")</f>
        <v>51428</v>
      </c>
      <c r="Z1754" s="132">
        <v>1.378985777616077E-2</v>
      </c>
      <c r="AA1754" s="129">
        <v>1.3756123124117892E-2</v>
      </c>
    </row>
    <row r="1755" spans="19:27" x14ac:dyDescent="0.2">
      <c r="S1755" s="1"/>
      <c r="T1755" s="109"/>
      <c r="W1755" s="130" t="str">
        <f t="shared" si="37"/>
        <v>1w</v>
      </c>
      <c r="X1755" s="128">
        <f>_xll.qlCalendarAdvance(Calendar,X1754,W1755,"f",FALSE)</f>
        <v>51433</v>
      </c>
      <c r="Y1755" s="131">
        <f>_xll.qlCalendarAdvance(Calendar,X1755,NDays&amp;"D")</f>
        <v>51435</v>
      </c>
      <c r="Z1755" s="132">
        <v>1.3791348972646212E-2</v>
      </c>
      <c r="AA1755" s="129">
        <v>1.3757646914411836E-2</v>
      </c>
    </row>
    <row r="1756" spans="19:27" x14ac:dyDescent="0.2">
      <c r="S1756" s="1"/>
      <c r="T1756" s="109"/>
      <c r="W1756" s="130" t="str">
        <f t="shared" si="37"/>
        <v>1w</v>
      </c>
      <c r="X1756" s="128">
        <f>_xll.qlCalendarAdvance(Calendar,X1755,W1756,"f",FALSE)</f>
        <v>51440</v>
      </c>
      <c r="Y1756" s="131">
        <f>_xll.qlCalendarAdvance(Calendar,X1756,NDays&amp;"D")</f>
        <v>51442</v>
      </c>
      <c r="Z1756" s="132">
        <v>1.3792834338088771E-2</v>
      </c>
      <c r="AA1756" s="129">
        <v>1.3759164893434317E-2</v>
      </c>
    </row>
    <row r="1757" spans="19:27" x14ac:dyDescent="0.2">
      <c r="S1757" s="1"/>
      <c r="T1757" s="109"/>
      <c r="W1757" s="130" t="str">
        <f t="shared" si="37"/>
        <v>1w</v>
      </c>
      <c r="X1757" s="128">
        <f>_xll.qlCalendarAdvance(Calendar,X1756,W1757,"f",FALSE)</f>
        <v>51447</v>
      </c>
      <c r="Y1757" s="131">
        <f>_xll.qlCalendarAdvance(Calendar,X1757,NDays&amp;"D")</f>
        <v>51449</v>
      </c>
      <c r="Z1757" s="132">
        <v>1.3794313872479093E-2</v>
      </c>
      <c r="AA1757" s="129">
        <v>1.3760677061052107E-2</v>
      </c>
    </row>
    <row r="1758" spans="19:27" x14ac:dyDescent="0.2">
      <c r="S1758" s="1"/>
      <c r="T1758" s="109"/>
      <c r="W1758" s="130" t="str">
        <f t="shared" si="37"/>
        <v>1w</v>
      </c>
      <c r="X1758" s="128">
        <f>_xll.qlCalendarAdvance(Calendar,X1757,W1758,"f",FALSE)</f>
        <v>51454</v>
      </c>
      <c r="Y1758" s="131">
        <f>_xll.qlCalendarAdvance(Calendar,X1758,NDays&amp;"D")</f>
        <v>51456</v>
      </c>
      <c r="Z1758" s="132">
        <v>1.3795787575812075E-2</v>
      </c>
      <c r="AA1758" s="129">
        <v>1.3762183417318496E-2</v>
      </c>
    </row>
    <row r="1759" spans="19:27" x14ac:dyDescent="0.2">
      <c r="S1759" s="1"/>
      <c r="T1759" s="109"/>
      <c r="W1759" s="130" t="str">
        <f t="shared" si="37"/>
        <v>1w</v>
      </c>
      <c r="X1759" s="128">
        <f>_xll.qlCalendarAdvance(Calendar,X1758,W1759,"f",FALSE)</f>
        <v>51461</v>
      </c>
      <c r="Y1759" s="131">
        <f>_xll.qlCalendarAdvance(Calendar,X1759,NDays&amp;"D")</f>
        <v>51463</v>
      </c>
      <c r="Z1759" s="132">
        <v>1.3797255448080917E-2</v>
      </c>
      <c r="AA1759" s="129">
        <v>1.3763683962286777E-2</v>
      </c>
    </row>
    <row r="1760" spans="19:27" x14ac:dyDescent="0.2">
      <c r="S1760" s="1"/>
      <c r="T1760" s="109"/>
      <c r="W1760" s="130" t="str">
        <f t="shared" si="37"/>
        <v>1w</v>
      </c>
      <c r="X1760" s="128">
        <f>_xll.qlCalendarAdvance(Calendar,X1759,W1760,"f",FALSE)</f>
        <v>51468</v>
      </c>
      <c r="Y1760" s="131">
        <f>_xll.qlCalendarAdvance(Calendar,X1760,NDays&amp;"D")</f>
        <v>51470</v>
      </c>
      <c r="Z1760" s="132">
        <v>1.3797247589924844E-2</v>
      </c>
      <c r="AA1760" s="129">
        <v>1.3765178695877012E-2</v>
      </c>
    </row>
    <row r="1761" spans="19:27" x14ac:dyDescent="0.2">
      <c r="S1761" s="1"/>
      <c r="T1761" s="109"/>
      <c r="W1761" s="130" t="str">
        <f t="shared" si="37"/>
        <v>1w</v>
      </c>
      <c r="X1761" s="128">
        <f>_xll.qlCalendarAdvance(Calendar,X1760,W1761,"f",FALSE)</f>
        <v>51475</v>
      </c>
      <c r="Y1761" s="131">
        <f>_xll.qlCalendarAdvance(Calendar,X1761,NDays&amp;"D")</f>
        <v>51477</v>
      </c>
      <c r="Z1761" s="132">
        <v>1.3798705242963116E-2</v>
      </c>
      <c r="AA1761" s="129">
        <v>1.3766667618142492E-2</v>
      </c>
    </row>
    <row r="1762" spans="19:27" x14ac:dyDescent="0.2">
      <c r="S1762" s="1"/>
      <c r="T1762" s="109"/>
      <c r="W1762" s="130" t="str">
        <f t="shared" si="37"/>
        <v>1w</v>
      </c>
      <c r="X1762" s="128">
        <f>_xll.qlCalendarAdvance(Calendar,X1761,W1762,"f",FALSE)</f>
        <v>51482</v>
      </c>
      <c r="Y1762" s="131">
        <f>_xll.qlCalendarAdvance(Calendar,X1762,NDays&amp;"D")</f>
        <v>51484</v>
      </c>
      <c r="Z1762" s="132">
        <v>1.3800157065787744E-2</v>
      </c>
      <c r="AA1762" s="129">
        <v>1.3768150729083217E-2</v>
      </c>
    </row>
    <row r="1763" spans="19:27" x14ac:dyDescent="0.2">
      <c r="S1763" s="1"/>
      <c r="T1763" s="109"/>
      <c r="W1763" s="130" t="str">
        <f t="shared" si="37"/>
        <v>1w</v>
      </c>
      <c r="X1763" s="128">
        <f>_xll.qlCalendarAdvance(Calendar,X1762,W1763,"f",FALSE)</f>
        <v>51489</v>
      </c>
      <c r="Y1763" s="131">
        <f>_xll.qlCalendarAdvance(Calendar,X1763,NDays&amp;"D")</f>
        <v>51491</v>
      </c>
      <c r="Z1763" s="132">
        <v>1.3801603058390732E-2</v>
      </c>
      <c r="AA1763" s="129">
        <v>1.3769628028672543E-2</v>
      </c>
    </row>
    <row r="1764" spans="19:27" x14ac:dyDescent="0.2">
      <c r="S1764" s="1"/>
      <c r="T1764" s="109"/>
      <c r="W1764" s="130" t="str">
        <f t="shared" si="37"/>
        <v>1w</v>
      </c>
      <c r="X1764" s="128">
        <f>_xll.qlCalendarAdvance(Calendar,X1763,W1764,"f",FALSE)</f>
        <v>51497</v>
      </c>
      <c r="Y1764" s="131">
        <f>_xll.qlCalendarAdvance(Calendar,X1764,NDays&amp;"D")</f>
        <v>51501</v>
      </c>
      <c r="Z1764" s="132">
        <v>1.3802926746273087E-2</v>
      </c>
      <c r="AA1764" s="129">
        <v>1.3771360264827059E-2</v>
      </c>
    </row>
    <row r="1765" spans="19:27" x14ac:dyDescent="0.2">
      <c r="S1765" s="1"/>
      <c r="T1765" s="109"/>
      <c r="W1765" s="130" t="str">
        <f t="shared" si="37"/>
        <v>1w</v>
      </c>
      <c r="X1765" s="128">
        <f>_xll.qlCalendarAdvance(Calendar,X1764,W1765,"f",FALSE)</f>
        <v>51504</v>
      </c>
      <c r="Y1765" s="131">
        <f>_xll.qlCalendarAdvance(Calendar,X1765,NDays&amp;"D")</f>
        <v>51508</v>
      </c>
      <c r="Z1765" s="132">
        <v>1.3805456033659963E-2</v>
      </c>
      <c r="AA1765" s="129">
        <v>1.3772456033702696E-2</v>
      </c>
    </row>
    <row r="1766" spans="19:27" x14ac:dyDescent="0.2">
      <c r="S1766" s="1"/>
      <c r="T1766" s="109"/>
      <c r="W1766" s="130" t="str">
        <f t="shared" si="37"/>
        <v>1w</v>
      </c>
      <c r="X1766" s="128">
        <f>_xll.qlCalendarAdvance(Calendar,X1765,W1766,"f",FALSE)</f>
        <v>51511</v>
      </c>
      <c r="Y1766" s="131">
        <f>_xll.qlCalendarAdvance(Calendar,X1766,NDays&amp;"D")</f>
        <v>51515</v>
      </c>
      <c r="Z1766" s="132">
        <v>1.3806881675023166E-2</v>
      </c>
      <c r="AA1766" s="129">
        <v>1.3773914127188647E-2</v>
      </c>
    </row>
    <row r="1767" spans="19:27" x14ac:dyDescent="0.2">
      <c r="S1767" s="1"/>
      <c r="T1767" s="109"/>
      <c r="W1767" s="130" t="str">
        <f t="shared" si="37"/>
        <v>1w</v>
      </c>
      <c r="X1767" s="128">
        <f>_xll.qlCalendarAdvance(Calendar,X1766,W1767,"f",FALSE)</f>
        <v>51518</v>
      </c>
      <c r="Y1767" s="131">
        <f>_xll.qlCalendarAdvance(Calendar,X1767,NDays&amp;"D")</f>
        <v>51522</v>
      </c>
      <c r="Z1767" s="132">
        <v>1.3808666288471242E-2</v>
      </c>
      <c r="AA1767" s="129">
        <v>1.3775366409962686E-2</v>
      </c>
    </row>
    <row r="1768" spans="19:27" x14ac:dyDescent="0.2">
      <c r="S1768" s="1"/>
      <c r="T1768" s="109"/>
      <c r="W1768" s="130" t="str">
        <f t="shared" si="37"/>
        <v>1w</v>
      </c>
      <c r="X1768" s="128">
        <f>_xll.qlCalendarAdvance(Calendar,X1767,W1768,"f",FALSE)</f>
        <v>51525</v>
      </c>
      <c r="Y1768" s="131">
        <f>_xll.qlCalendarAdvance(Calendar,X1768,NDays&amp;"D")</f>
        <v>51529</v>
      </c>
      <c r="Z1768" s="132">
        <v>1.3809715466345204E-2</v>
      </c>
      <c r="AA1768" s="129">
        <v>1.3776812881625133E-2</v>
      </c>
    </row>
    <row r="1769" spans="19:27" x14ac:dyDescent="0.2">
      <c r="S1769" s="1"/>
      <c r="T1769" s="109"/>
      <c r="W1769" s="130" t="str">
        <f t="shared" si="37"/>
        <v>1w</v>
      </c>
      <c r="X1769" s="128">
        <f>_xll.qlCalendarAdvance(Calendar,X1768,W1769,"f",FALSE)</f>
        <v>51532</v>
      </c>
      <c r="Y1769" s="131">
        <f>_xll.qlCalendarAdvance(Calendar,X1769,NDays&amp;"D")</f>
        <v>51536</v>
      </c>
      <c r="Z1769" s="132">
        <v>1.3811123616293499E-2</v>
      </c>
      <c r="AA1769" s="129">
        <v>1.3778253542495733E-2</v>
      </c>
    </row>
    <row r="1770" spans="19:27" x14ac:dyDescent="0.2">
      <c r="S1770" s="1"/>
      <c r="T1770" s="109"/>
      <c r="W1770" s="130" t="str">
        <f t="shared" si="37"/>
        <v>1w</v>
      </c>
      <c r="X1770" s="128">
        <f>_xll.qlCalendarAdvance(Calendar,X1769,W1770,"f",FALSE)</f>
        <v>51539</v>
      </c>
      <c r="Y1770" s="131">
        <f>_xll.qlCalendarAdvance(Calendar,X1770,NDays&amp;"D")</f>
        <v>51543</v>
      </c>
      <c r="Z1770" s="132">
        <v>1.3812525935756687E-2</v>
      </c>
      <c r="AA1770" s="129">
        <v>1.3779688392494549E-2</v>
      </c>
    </row>
    <row r="1771" spans="19:27" x14ac:dyDescent="0.2">
      <c r="S1771" s="1"/>
      <c r="T1771" s="109"/>
      <c r="W1771" s="130" t="str">
        <f t="shared" si="37"/>
        <v>1w</v>
      </c>
      <c r="X1771" s="128">
        <f>_xll.qlCalendarAdvance(Calendar,X1770,W1771,"f",FALSE)</f>
        <v>51546</v>
      </c>
      <c r="Y1771" s="131">
        <f>_xll.qlCalendarAdvance(Calendar,X1771,NDays&amp;"D")</f>
        <v>51550</v>
      </c>
      <c r="Z1771" s="132">
        <v>1.381392242472862E-2</v>
      </c>
      <c r="AA1771" s="129">
        <v>1.3781117431461709E-2</v>
      </c>
    </row>
    <row r="1772" spans="19:27" x14ac:dyDescent="0.2">
      <c r="S1772" s="1"/>
      <c r="T1772" s="109"/>
      <c r="W1772" s="130" t="str">
        <f t="shared" si="37"/>
        <v>1w</v>
      </c>
      <c r="X1772" s="128">
        <f>_xll.qlCalendarAdvance(Calendar,X1771,W1772,"f",FALSE)</f>
        <v>51553</v>
      </c>
      <c r="Y1772" s="131">
        <f>_xll.qlCalendarAdvance(Calendar,X1772,NDays&amp;"D")</f>
        <v>51557</v>
      </c>
      <c r="Z1772" s="132">
        <v>1.3815313083204906E-2</v>
      </c>
      <c r="AA1772" s="129">
        <v>1.3782540659557085E-2</v>
      </c>
    </row>
    <row r="1773" spans="19:27" x14ac:dyDescent="0.2">
      <c r="S1773" s="1"/>
      <c r="T1773" s="109"/>
      <c r="W1773" s="130" t="str">
        <f t="shared" si="37"/>
        <v>1w</v>
      </c>
      <c r="X1773" s="128">
        <f>_xll.qlCalendarAdvance(Calendar,X1772,W1773,"f",FALSE)</f>
        <v>51560</v>
      </c>
      <c r="Y1773" s="131">
        <f>_xll.qlCalendarAdvance(Calendar,X1773,NDays&amp;"D")</f>
        <v>51564</v>
      </c>
      <c r="Z1773" s="132">
        <v>1.3817060536449696E-2</v>
      </c>
      <c r="AA1773" s="129">
        <v>1.3783958076780678E-2</v>
      </c>
    </row>
    <row r="1774" spans="19:27" x14ac:dyDescent="0.2">
      <c r="S1774" s="1"/>
      <c r="T1774" s="109"/>
      <c r="W1774" s="130" t="str">
        <f t="shared" si="37"/>
        <v>1w</v>
      </c>
      <c r="X1774" s="128">
        <f>_xll.qlCalendarAdvance(Calendar,X1773,W1774,"f",FALSE)</f>
        <v>51567</v>
      </c>
      <c r="Y1774" s="131">
        <f>_xll.qlCalendarAdvance(Calendar,X1774,NDays&amp;"D")</f>
        <v>51571</v>
      </c>
      <c r="Z1774" s="132">
        <v>1.3818439170270713E-2</v>
      </c>
      <c r="AA1774" s="129">
        <v>1.3785369682972615E-2</v>
      </c>
    </row>
    <row r="1775" spans="19:27" x14ac:dyDescent="0.2">
      <c r="S1775" s="1"/>
      <c r="T1775" s="109"/>
      <c r="W1775" s="130" t="str">
        <f t="shared" si="37"/>
        <v>1w</v>
      </c>
      <c r="X1775" s="128">
        <f>_xll.qlCalendarAdvance(Calendar,X1774,W1775,"f",FALSE)</f>
        <v>51574</v>
      </c>
      <c r="Y1775" s="131">
        <f>_xll.qlCalendarAdvance(Calendar,X1775,NDays&amp;"D")</f>
        <v>51578</v>
      </c>
      <c r="Z1775" s="132">
        <v>1.3819811973356704E-2</v>
      </c>
      <c r="AA1775" s="129">
        <v>1.378677547845264E-2</v>
      </c>
    </row>
    <row r="1776" spans="19:27" x14ac:dyDescent="0.2">
      <c r="S1776" s="1"/>
      <c r="T1776" s="109"/>
      <c r="W1776" s="130" t="str">
        <f t="shared" si="37"/>
        <v>1w</v>
      </c>
      <c r="X1776" s="128">
        <f>_xll.qlCalendarAdvance(Calendar,X1775,W1776,"f",FALSE)</f>
        <v>51581</v>
      </c>
      <c r="Y1776" s="131">
        <f>_xll.qlCalendarAdvance(Calendar,X1776,NDays&amp;"D")</f>
        <v>51585</v>
      </c>
      <c r="Z1776" s="132">
        <v>1.3821178945704194E-2</v>
      </c>
      <c r="AA1776" s="129">
        <v>1.3788175462901009E-2</v>
      </c>
    </row>
    <row r="1777" spans="19:27" x14ac:dyDescent="0.2">
      <c r="S1777" s="1"/>
      <c r="T1777" s="109"/>
      <c r="W1777" s="130" t="str">
        <f t="shared" si="37"/>
        <v>1w</v>
      </c>
      <c r="X1777" s="128">
        <f>_xll.qlCalendarAdvance(Calendar,X1776,W1777,"f",FALSE)</f>
        <v>51588</v>
      </c>
      <c r="Y1777" s="131">
        <f>_xll.qlCalendarAdvance(Calendar,X1777,NDays&amp;"D")</f>
        <v>51592</v>
      </c>
      <c r="Z1777" s="132">
        <v>1.3822178917920615E-2</v>
      </c>
      <c r="AA1777" s="129">
        <v>1.3789569636397658E-2</v>
      </c>
    </row>
    <row r="1778" spans="19:27" x14ac:dyDescent="0.2">
      <c r="S1778" s="1"/>
      <c r="T1778" s="109"/>
      <c r="W1778" s="130" t="str">
        <f t="shared" si="37"/>
        <v>1w</v>
      </c>
      <c r="X1778" s="128">
        <f>_xll.qlCalendarAdvance(Calendar,X1777,W1778,"f",FALSE)</f>
        <v>51595</v>
      </c>
      <c r="Y1778" s="131">
        <f>_xll.qlCalendarAdvance(Calendar,X1778,NDays&amp;"D")</f>
        <v>51599</v>
      </c>
      <c r="Z1778" s="132">
        <v>1.3823534593288623E-2</v>
      </c>
      <c r="AA1778" s="129">
        <v>1.379095799910246E-2</v>
      </c>
    </row>
    <row r="1779" spans="19:27" x14ac:dyDescent="0.2">
      <c r="S1779" s="1"/>
      <c r="T1779" s="109"/>
      <c r="W1779" s="130" t="str">
        <f t="shared" si="37"/>
        <v>1w</v>
      </c>
      <c r="X1779" s="128">
        <f>_xll.qlCalendarAdvance(Calendar,X1778,W1779,"f",FALSE)</f>
        <v>51602</v>
      </c>
      <c r="Y1779" s="131">
        <f>_xll.qlCalendarAdvance(Calendar,X1779,NDays&amp;"D")</f>
        <v>51606</v>
      </c>
      <c r="Z1779" s="132">
        <v>1.3824884438117942E-2</v>
      </c>
      <c r="AA1779" s="129">
        <v>1.3792340550775606E-2</v>
      </c>
    </row>
    <row r="1780" spans="19:27" x14ac:dyDescent="0.2">
      <c r="S1780" s="1"/>
      <c r="T1780" s="109"/>
      <c r="W1780" s="130" t="str">
        <f t="shared" si="37"/>
        <v>1w</v>
      </c>
      <c r="X1780" s="128">
        <f>_xll.qlCalendarAdvance(Calendar,X1779,W1780,"f",FALSE)</f>
        <v>51609</v>
      </c>
      <c r="Y1780" s="131">
        <f>_xll.qlCalendarAdvance(Calendar,X1780,NDays&amp;"D")</f>
        <v>51615</v>
      </c>
      <c r="Z1780" s="132">
        <v>1.3826611385566283E-2</v>
      </c>
      <c r="AA1780" s="129">
        <v>1.3794109578819658E-2</v>
      </c>
    </row>
    <row r="1781" spans="19:27" x14ac:dyDescent="0.2">
      <c r="S1781" s="1"/>
      <c r="T1781" s="109"/>
      <c r="W1781" s="130" t="str">
        <f t="shared" si="37"/>
        <v>1w</v>
      </c>
      <c r="X1781" s="128">
        <f>_xll.qlCalendarAdvance(Calendar,X1780,W1781,"f",FALSE)</f>
        <v>51616</v>
      </c>
      <c r="Y1781" s="131">
        <f>_xll.qlCalendarAdvance(Calendar,X1781,NDays&amp;"D")</f>
        <v>51620</v>
      </c>
      <c r="Z1781" s="132">
        <v>1.3827566636135918E-2</v>
      </c>
      <c r="AA1781" s="129">
        <v>1.3795088221506546E-2</v>
      </c>
    </row>
    <row r="1782" spans="19:27" x14ac:dyDescent="0.2">
      <c r="S1782" s="1"/>
      <c r="T1782" s="109"/>
      <c r="W1782" s="130" t="str">
        <f t="shared" si="37"/>
        <v>1w</v>
      </c>
      <c r="X1782" s="128">
        <f>_xll.qlCalendarAdvance(Calendar,X1781,W1782,"f",FALSE)</f>
        <v>51623</v>
      </c>
      <c r="Y1782" s="131">
        <f>_xll.qlCalendarAdvance(Calendar,X1782,NDays&amp;"D")</f>
        <v>51627</v>
      </c>
      <c r="Z1782" s="132">
        <v>1.3829258333913956E-2</v>
      </c>
      <c r="AA1782" s="129">
        <v>1.3796453340404469E-2</v>
      </c>
    </row>
    <row r="1783" spans="19:27" x14ac:dyDescent="0.2">
      <c r="S1783" s="1"/>
      <c r="T1783" s="109"/>
      <c r="W1783" s="130" t="str">
        <f t="shared" si="37"/>
        <v>1w</v>
      </c>
      <c r="X1783" s="128">
        <f>_xll.qlCalendarAdvance(Calendar,X1782,W1783,"f",FALSE)</f>
        <v>51630</v>
      </c>
      <c r="Y1783" s="131">
        <f>_xll.qlCalendarAdvance(Calendar,X1783,NDays&amp;"D")</f>
        <v>51634</v>
      </c>
      <c r="Z1783" s="132">
        <v>1.3830584490913823E-2</v>
      </c>
      <c r="AA1783" s="129">
        <v>1.3797812648430607E-2</v>
      </c>
    </row>
    <row r="1784" spans="19:27" x14ac:dyDescent="0.2">
      <c r="S1784" s="1"/>
      <c r="T1784" s="109"/>
      <c r="W1784" s="130" t="str">
        <f t="shared" si="37"/>
        <v>1w</v>
      </c>
      <c r="X1784" s="128">
        <f>_xll.qlCalendarAdvance(Calendar,X1783,W1784,"f",FALSE)</f>
        <v>51637</v>
      </c>
      <c r="Y1784" s="131">
        <f>_xll.qlCalendarAdvance(Calendar,X1784,NDays&amp;"D")</f>
        <v>51641</v>
      </c>
      <c r="Z1784" s="132">
        <v>1.3831904817126532E-2</v>
      </c>
      <c r="AA1784" s="129">
        <v>1.3799166145664898E-2</v>
      </c>
    </row>
    <row r="1785" spans="19:27" x14ac:dyDescent="0.2">
      <c r="S1785" s="1"/>
      <c r="T1785" s="109"/>
      <c r="W1785" s="130" t="str">
        <f t="shared" si="37"/>
        <v>1w</v>
      </c>
      <c r="X1785" s="128">
        <f>_xll.qlCalendarAdvance(Calendar,X1784,W1785,"f",FALSE)</f>
        <v>51644</v>
      </c>
      <c r="Y1785" s="131">
        <f>_xll.qlCalendarAdvance(Calendar,X1785,NDays&amp;"D")</f>
        <v>51648</v>
      </c>
      <c r="Z1785" s="132">
        <v>1.3833219312545135E-2</v>
      </c>
      <c r="AA1785" s="129">
        <v>1.380051383194747E-2</v>
      </c>
    </row>
    <row r="1786" spans="19:27" x14ac:dyDescent="0.2">
      <c r="S1786" s="1"/>
      <c r="T1786" s="109"/>
      <c r="W1786" s="130" t="str">
        <f t="shared" si="37"/>
        <v>1w</v>
      </c>
      <c r="X1786" s="128">
        <f>_xll.qlCalendarAdvance(Calendar,X1785,W1786,"f",FALSE)</f>
        <v>51651</v>
      </c>
      <c r="Y1786" s="131">
        <f>_xll.qlCalendarAdvance(Calendar,X1786,NDays&amp;"D")</f>
        <v>51655</v>
      </c>
      <c r="Z1786" s="132">
        <v>1.3834527977166151E-2</v>
      </c>
      <c r="AA1786" s="129">
        <v>1.3801855707278321E-2</v>
      </c>
    </row>
    <row r="1787" spans="19:27" x14ac:dyDescent="0.2">
      <c r="S1787" s="1"/>
      <c r="T1787" s="109"/>
      <c r="W1787" s="130" t="str">
        <f t="shared" si="37"/>
        <v>1w</v>
      </c>
      <c r="X1787" s="128">
        <f>_xll.qlCalendarAdvance(Calendar,X1786,W1787,"f",FALSE)</f>
        <v>51658</v>
      </c>
      <c r="Y1787" s="131">
        <f>_xll.qlCalendarAdvance(Calendar,X1787,NDays&amp;"D")</f>
        <v>51662</v>
      </c>
      <c r="Z1787" s="132">
        <v>1.3835830810980027E-2</v>
      </c>
      <c r="AA1787" s="129">
        <v>1.3803191771737389E-2</v>
      </c>
    </row>
    <row r="1788" spans="19:27" x14ac:dyDescent="0.2">
      <c r="S1788" s="1"/>
      <c r="T1788" s="109"/>
      <c r="W1788" s="130" t="str">
        <f t="shared" si="37"/>
        <v>1w</v>
      </c>
      <c r="X1788" s="128">
        <f>_xll.qlCalendarAdvance(Calendar,X1787,W1788,"f",FALSE)</f>
        <v>51665</v>
      </c>
      <c r="Y1788" s="131">
        <f>_xll.qlCalendarAdvance(Calendar,X1788,NDays&amp;"D")</f>
        <v>51669</v>
      </c>
      <c r="Z1788" s="132">
        <v>1.3837127813984154E-2</v>
      </c>
      <c r="AA1788" s="129">
        <v>1.38045220251648E-2</v>
      </c>
    </row>
    <row r="1789" spans="19:27" x14ac:dyDescent="0.2">
      <c r="S1789" s="1"/>
      <c r="T1789" s="109"/>
      <c r="W1789" s="130" t="str">
        <f t="shared" si="37"/>
        <v>1w</v>
      </c>
      <c r="X1789" s="128">
        <f>_xll.qlCalendarAdvance(Calendar,X1788,W1789,"f",FALSE)</f>
        <v>51672</v>
      </c>
      <c r="Y1789" s="131">
        <f>_xll.qlCalendarAdvance(Calendar,X1789,NDays&amp;"D")</f>
        <v>51676</v>
      </c>
      <c r="Z1789" s="132">
        <v>1.3838418986170713E-2</v>
      </c>
      <c r="AA1789" s="129">
        <v>1.3805846467800365E-2</v>
      </c>
    </row>
    <row r="1790" spans="19:27" x14ac:dyDescent="0.2">
      <c r="S1790" s="1"/>
      <c r="T1790" s="109"/>
      <c r="W1790" s="130" t="str">
        <f t="shared" si="37"/>
        <v>1w</v>
      </c>
      <c r="X1790" s="128">
        <f>_xll.qlCalendarAdvance(Calendar,X1789,W1790,"f",FALSE)</f>
        <v>51679</v>
      </c>
      <c r="Y1790" s="131">
        <f>_xll.qlCalendarAdvance(Calendar,X1790,NDays&amp;"D")</f>
        <v>51683</v>
      </c>
      <c r="Z1790" s="132">
        <v>1.3839704327534492E-2</v>
      </c>
      <c r="AA1790" s="129">
        <v>1.3807165099404273E-2</v>
      </c>
    </row>
    <row r="1791" spans="19:27" x14ac:dyDescent="0.2">
      <c r="S1791" s="1"/>
      <c r="T1791" s="109"/>
      <c r="W1791" s="130" t="str">
        <f t="shared" si="37"/>
        <v>1w</v>
      </c>
      <c r="X1791" s="128">
        <f>_xll.qlCalendarAdvance(Calendar,X1790,W1791,"f",FALSE)</f>
        <v>51686</v>
      </c>
      <c r="Y1791" s="131">
        <f>_xll.qlCalendarAdvance(Calendar,X1791,NDays&amp;"D")</f>
        <v>51690</v>
      </c>
      <c r="Z1791" s="132">
        <v>1.3840983838070276E-2</v>
      </c>
      <c r="AA1791" s="129">
        <v>1.3808477920296269E-2</v>
      </c>
    </row>
    <row r="1792" spans="19:27" x14ac:dyDescent="0.2">
      <c r="S1792" s="1"/>
      <c r="T1792" s="109"/>
      <c r="W1792" s="130" t="str">
        <f t="shared" si="37"/>
        <v>1w</v>
      </c>
      <c r="X1792" s="128">
        <f>_xll.qlCalendarAdvance(Calendar,X1791,W1792,"f",FALSE)</f>
        <v>51693</v>
      </c>
      <c r="Y1792" s="131">
        <f>_xll.qlCalendarAdvance(Calendar,X1792,NDays&amp;"D")</f>
        <v>51697</v>
      </c>
      <c r="Z1792" s="132">
        <v>1.3842257517771983E-2</v>
      </c>
      <c r="AA1792" s="129">
        <v>1.3809784929996738E-2</v>
      </c>
    </row>
    <row r="1793" spans="19:27" x14ac:dyDescent="0.2">
      <c r="S1793" s="1"/>
      <c r="T1793" s="109"/>
      <c r="W1793" s="130" t="str">
        <f t="shared" si="37"/>
        <v>1w</v>
      </c>
      <c r="X1793" s="128">
        <f>_xll.qlCalendarAdvance(Calendar,X1792,W1793,"f",FALSE)</f>
        <v>51700</v>
      </c>
      <c r="Y1793" s="131">
        <f>_xll.qlCalendarAdvance(Calendar,X1793,NDays&amp;"D")</f>
        <v>51704</v>
      </c>
      <c r="Z1793" s="132">
        <v>1.3843525366634402E-2</v>
      </c>
      <c r="AA1793" s="129">
        <v>1.3811086128905359E-2</v>
      </c>
    </row>
    <row r="1794" spans="19:27" x14ac:dyDescent="0.2">
      <c r="S1794" s="1"/>
      <c r="T1794" s="109"/>
      <c r="W1794" s="130" t="str">
        <f t="shared" si="37"/>
        <v>1w</v>
      </c>
      <c r="X1794" s="128">
        <f>_xll.qlCalendarAdvance(Calendar,X1793,W1794,"f",FALSE)</f>
        <v>51707</v>
      </c>
      <c r="Y1794" s="131">
        <f>_xll.qlCalendarAdvance(Calendar,X1794,NDays&amp;"D")</f>
        <v>51711</v>
      </c>
      <c r="Z1794" s="132">
        <v>1.3844787384651449E-2</v>
      </c>
      <c r="AA1794" s="129">
        <v>1.3812381517022132E-2</v>
      </c>
    </row>
    <row r="1795" spans="19:27" x14ac:dyDescent="0.2">
      <c r="S1795" s="1"/>
      <c r="T1795" s="109"/>
      <c r="W1795" s="130" t="str">
        <f t="shared" si="37"/>
        <v>1w</v>
      </c>
      <c r="X1795" s="128">
        <f>_xll.qlCalendarAdvance(Calendar,X1794,W1795,"f",FALSE)</f>
        <v>51714</v>
      </c>
      <c r="Y1795" s="131">
        <f>_xll.qlCalendarAdvance(Calendar,X1795,NDays&amp;"D")</f>
        <v>51718</v>
      </c>
      <c r="Z1795" s="132">
        <v>1.384604357181704E-2</v>
      </c>
      <c r="AA1795" s="129">
        <v>1.3813671094187185E-2</v>
      </c>
    </row>
    <row r="1796" spans="19:27" x14ac:dyDescent="0.2">
      <c r="S1796" s="1"/>
      <c r="T1796" s="109"/>
      <c r="W1796" s="130" t="str">
        <f t="shared" si="37"/>
        <v>1w</v>
      </c>
      <c r="X1796" s="128">
        <f>_xll.qlCalendarAdvance(Calendar,X1795,W1796,"f",FALSE)</f>
        <v>51721</v>
      </c>
      <c r="Y1796" s="131">
        <f>_xll.qlCalendarAdvance(Calendar,X1796,NDays&amp;"D")</f>
        <v>51725</v>
      </c>
      <c r="Z1796" s="132">
        <v>1.3847293928126834E-2</v>
      </c>
      <c r="AA1796" s="129">
        <v>1.3814954860320583E-2</v>
      </c>
    </row>
    <row r="1797" spans="19:27" x14ac:dyDescent="0.2">
      <c r="S1797" s="1"/>
      <c r="T1797" s="109"/>
      <c r="W1797" s="130" t="str">
        <f t="shared" si="37"/>
        <v>1w</v>
      </c>
      <c r="X1797" s="128">
        <f>_xll.qlCalendarAdvance(Calendar,X1796,W1797,"f",FALSE)</f>
        <v>51728</v>
      </c>
      <c r="Y1797" s="131">
        <f>_xll.qlCalendarAdvance(Calendar,X1797,NDays&amp;"D")</f>
        <v>51732</v>
      </c>
      <c r="Z1797" s="132">
        <v>1.3848538453574748E-2</v>
      </c>
      <c r="AA1797" s="129">
        <v>1.3816232815582197E-2</v>
      </c>
    </row>
    <row r="1798" spans="19:27" x14ac:dyDescent="0.2">
      <c r="S1798" s="1"/>
      <c r="T1798" s="109"/>
      <c r="W1798" s="130" t="str">
        <f t="shared" si="37"/>
        <v>1w</v>
      </c>
      <c r="X1798" s="128">
        <f>_xll.qlCalendarAdvance(Calendar,X1797,W1798,"f",FALSE)</f>
        <v>51735</v>
      </c>
      <c r="Y1798" s="131">
        <f>_xll.qlCalendarAdvance(Calendar,X1798,NDays&amp;"D")</f>
        <v>51739</v>
      </c>
      <c r="Z1798" s="132">
        <v>1.3849777148154699E-2</v>
      </c>
      <c r="AA1798" s="129">
        <v>1.3817504959892091E-2</v>
      </c>
    </row>
    <row r="1799" spans="19:27" x14ac:dyDescent="0.2">
      <c r="S1799" s="1"/>
      <c r="T1799" s="109"/>
      <c r="W1799" s="130" t="str">
        <f t="shared" si="37"/>
        <v>1w</v>
      </c>
      <c r="X1799" s="128">
        <f>_xll.qlCalendarAdvance(Calendar,X1798,W1799,"f",FALSE)</f>
        <v>51742</v>
      </c>
      <c r="Y1799" s="131">
        <f>_xll.qlCalendarAdvance(Calendar,X1799,NDays&amp;"D")</f>
        <v>51746</v>
      </c>
      <c r="Z1799" s="132">
        <v>1.3850656912545058E-2</v>
      </c>
      <c r="AA1799" s="129">
        <v>1.3818771293330201E-2</v>
      </c>
    </row>
    <row r="1800" spans="19:27" x14ac:dyDescent="0.2">
      <c r="S1800" s="1"/>
      <c r="T1800" s="109"/>
      <c r="W1800" s="130" t="str">
        <f t="shared" si="37"/>
        <v>1w</v>
      </c>
      <c r="X1800" s="128">
        <f>_xll.qlCalendarAdvance(Calendar,X1799,W1800,"f",FALSE)</f>
        <v>51749</v>
      </c>
      <c r="Y1800" s="131">
        <f>_xll.qlCalendarAdvance(Calendar,X1800,NDays&amp;"D")</f>
        <v>51753</v>
      </c>
      <c r="Z1800" s="132">
        <v>1.3851884314721438E-2</v>
      </c>
      <c r="AA1800" s="129">
        <v>1.3820031815896527E-2</v>
      </c>
    </row>
    <row r="1801" spans="19:27" x14ac:dyDescent="0.2">
      <c r="S1801" s="1"/>
      <c r="T1801" s="109"/>
      <c r="W1801" s="130" t="str">
        <f t="shared" si="37"/>
        <v>1w</v>
      </c>
      <c r="X1801" s="128">
        <f>_xll.qlCalendarAdvance(Calendar,X1800,W1801,"f",FALSE)</f>
        <v>51756</v>
      </c>
      <c r="Y1801" s="131">
        <f>_xll.qlCalendarAdvance(Calendar,X1801,NDays&amp;"D")</f>
        <v>51760</v>
      </c>
      <c r="Z1801" s="132">
        <v>1.3853105886232635E-2</v>
      </c>
      <c r="AA1801" s="129">
        <v>1.3821286527511134E-2</v>
      </c>
    </row>
    <row r="1802" spans="19:27" x14ac:dyDescent="0.2">
      <c r="S1802" s="1"/>
      <c r="T1802" s="109"/>
      <c r="W1802" s="130" t="str">
        <f t="shared" si="37"/>
        <v>1w</v>
      </c>
      <c r="X1802" s="128">
        <f>_xll.qlCalendarAdvance(Calendar,X1801,W1802,"f",FALSE)</f>
        <v>51763</v>
      </c>
      <c r="Y1802" s="131">
        <f>_xll.qlCalendarAdvance(Calendar,X1802,NDays&amp;"D")</f>
        <v>51767</v>
      </c>
      <c r="Z1802" s="132">
        <v>1.3854321627076895E-2</v>
      </c>
      <c r="AA1802" s="129">
        <v>1.3822535428253957E-2</v>
      </c>
    </row>
    <row r="1803" spans="19:27" x14ac:dyDescent="0.2">
      <c r="S1803" s="1"/>
      <c r="T1803" s="109"/>
      <c r="W1803" s="130" t="str">
        <f t="shared" si="37"/>
        <v>1w</v>
      </c>
      <c r="X1803" s="128">
        <f>_xll.qlCalendarAdvance(Calendar,X1802,W1803,"f",FALSE)</f>
        <v>51770</v>
      </c>
      <c r="Y1803" s="131">
        <f>_xll.qlCalendarAdvance(Calendar,X1803,NDays&amp;"D")</f>
        <v>51774</v>
      </c>
      <c r="Z1803" s="132">
        <v>1.3855883157846477E-2</v>
      </c>
      <c r="AA1803" s="129">
        <v>1.382377851804506E-2</v>
      </c>
    </row>
    <row r="1804" spans="19:27" x14ac:dyDescent="0.2">
      <c r="S1804" s="1"/>
      <c r="T1804" s="109"/>
      <c r="W1804" s="130" t="str">
        <f t="shared" si="37"/>
        <v>1w</v>
      </c>
      <c r="X1804" s="128">
        <f>_xll.qlCalendarAdvance(Calendar,X1803,W1804,"f",FALSE)</f>
        <v>51777</v>
      </c>
      <c r="Y1804" s="131">
        <f>_xll.qlCalendarAdvance(Calendar,X1804,NDays&amp;"D")</f>
        <v>51781</v>
      </c>
      <c r="Z1804" s="132">
        <v>1.385708686710657E-2</v>
      </c>
      <c r="AA1804" s="129">
        <v>1.3825015796884443E-2</v>
      </c>
    </row>
    <row r="1805" spans="19:27" x14ac:dyDescent="0.2">
      <c r="S1805" s="1"/>
      <c r="T1805" s="109"/>
      <c r="W1805" s="130" t="str">
        <f t="shared" si="37"/>
        <v>1w</v>
      </c>
      <c r="X1805" s="128">
        <f>_xll.qlCalendarAdvance(Calendar,X1804,W1805,"f",FALSE)</f>
        <v>51784</v>
      </c>
      <c r="Y1805" s="131">
        <f>_xll.qlCalendarAdvance(Calendar,X1805,NDays&amp;"D")</f>
        <v>51788</v>
      </c>
      <c r="Z1805" s="132">
        <v>1.3858284745459602E-2</v>
      </c>
      <c r="AA1805" s="129">
        <v>1.3826247264931979E-2</v>
      </c>
    </row>
    <row r="1806" spans="19:27" x14ac:dyDescent="0.2">
      <c r="S1806" s="1"/>
      <c r="T1806" s="109"/>
      <c r="W1806" s="130" t="str">
        <f t="shared" si="37"/>
        <v>1w</v>
      </c>
      <c r="X1806" s="128">
        <f>_xll.qlCalendarAdvance(Calendar,X1805,W1806,"f",FALSE)</f>
        <v>51791</v>
      </c>
      <c r="Y1806" s="131">
        <f>_xll.qlCalendarAdvance(Calendar,X1806,NDays&amp;"D")</f>
        <v>51795</v>
      </c>
      <c r="Z1806" s="132">
        <v>1.3859476792902095E-2</v>
      </c>
      <c r="AA1806" s="129">
        <v>1.3827472921947859E-2</v>
      </c>
    </row>
    <row r="1807" spans="19:27" x14ac:dyDescent="0.2">
      <c r="S1807" s="1"/>
      <c r="T1807" s="109"/>
      <c r="W1807" s="130" t="str">
        <f t="shared" si="37"/>
        <v>1w</v>
      </c>
      <c r="X1807" s="128">
        <f>_xll.qlCalendarAdvance(Calendar,X1806,W1807,"f",FALSE)</f>
        <v>51798</v>
      </c>
      <c r="Y1807" s="131">
        <f>_xll.qlCalendarAdvance(Calendar,X1807,NDays&amp;"D")</f>
        <v>51802</v>
      </c>
      <c r="Z1807" s="132">
        <v>1.3860663009427971E-2</v>
      </c>
      <c r="AA1807" s="129">
        <v>1.3828692768091955E-2</v>
      </c>
    </row>
    <row r="1808" spans="19:27" x14ac:dyDescent="0.2">
      <c r="S1808" s="1"/>
      <c r="T1808" s="109"/>
      <c r="W1808" s="130" t="str">
        <f t="shared" si="37"/>
        <v>1w</v>
      </c>
      <c r="X1808" s="128">
        <f>_xll.qlCalendarAdvance(Calendar,X1807,W1808,"f",FALSE)</f>
        <v>51805</v>
      </c>
      <c r="Y1808" s="131">
        <f>_xll.qlCalendarAdvance(Calendar,X1808,NDays&amp;"D")</f>
        <v>51809</v>
      </c>
      <c r="Z1808" s="132">
        <v>1.3861843395032014E-2</v>
      </c>
      <c r="AA1808" s="129">
        <v>1.3829906803284331E-2</v>
      </c>
    </row>
    <row r="1809" spans="19:27" x14ac:dyDescent="0.2">
      <c r="S1809" s="1"/>
      <c r="T1809" s="109"/>
      <c r="W1809" s="130" t="str">
        <f t="shared" si="37"/>
        <v>1w</v>
      </c>
      <c r="X1809" s="128">
        <f>_xll.qlCalendarAdvance(Calendar,X1808,W1809,"f",FALSE)</f>
        <v>51812</v>
      </c>
      <c r="Y1809" s="131">
        <f>_xll.qlCalendarAdvance(Calendar,X1809,NDays&amp;"D")</f>
        <v>51816</v>
      </c>
      <c r="Z1809" s="132">
        <v>1.3863017949709013E-2</v>
      </c>
      <c r="AA1809" s="129">
        <v>1.3831115027524987E-2</v>
      </c>
    </row>
    <row r="1810" spans="19:27" x14ac:dyDescent="0.2">
      <c r="S1810" s="1"/>
      <c r="T1810" s="109"/>
      <c r="W1810" s="130" t="str">
        <f t="shared" si="37"/>
        <v>1w</v>
      </c>
      <c r="X1810" s="128">
        <f>_xll.qlCalendarAdvance(Calendar,X1809,W1810,"f",FALSE)</f>
        <v>51819</v>
      </c>
      <c r="Y1810" s="131">
        <f>_xll.qlCalendarAdvance(Calendar,X1810,NDays&amp;"D")</f>
        <v>51823</v>
      </c>
      <c r="Z1810" s="132">
        <v>1.3864186673454619E-2</v>
      </c>
      <c r="AA1810" s="129">
        <v>1.3832317441053732E-2</v>
      </c>
    </row>
    <row r="1811" spans="19:27" x14ac:dyDescent="0.2">
      <c r="S1811" s="1"/>
      <c r="T1811" s="109"/>
      <c r="W1811" s="130" t="str">
        <f t="shared" si="37"/>
        <v>1w</v>
      </c>
      <c r="X1811" s="128">
        <f>_xll.qlCalendarAdvance(Calendar,X1810,W1811,"f",FALSE)</f>
        <v>51826</v>
      </c>
      <c r="Y1811" s="131">
        <f>_xll.qlCalendarAdvance(Calendar,X1811,NDays&amp;"D")</f>
        <v>51830</v>
      </c>
      <c r="Z1811" s="132">
        <v>1.3865349566261887E-2</v>
      </c>
      <c r="AA1811" s="129">
        <v>1.3833514043390949E-2</v>
      </c>
    </row>
    <row r="1812" spans="19:27" x14ac:dyDescent="0.2">
      <c r="S1812" s="1"/>
      <c r="T1812" s="109"/>
      <c r="W1812" s="130" t="str">
        <f t="shared" si="37"/>
        <v>1w</v>
      </c>
      <c r="X1812" s="128">
        <f>_xll.qlCalendarAdvance(Calendar,X1811,W1812,"f",FALSE)</f>
        <v>51833</v>
      </c>
      <c r="Y1812" s="131">
        <f>_xll.qlCalendarAdvance(Calendar,X1812,NDays&amp;"D")</f>
        <v>51837</v>
      </c>
      <c r="Z1812" s="132">
        <v>1.3866158347529044E-2</v>
      </c>
      <c r="AA1812" s="129">
        <v>1.3834704834936318E-2</v>
      </c>
    </row>
    <row r="1813" spans="19:27" x14ac:dyDescent="0.2">
      <c r="S1813" s="1"/>
      <c r="T1813" s="109"/>
      <c r="W1813" s="130" t="str">
        <f t="shared" ref="W1813:W1876" si="38">W1812</f>
        <v>1w</v>
      </c>
      <c r="X1813" s="128">
        <f>_xll.qlCalendarAdvance(Calendar,X1812,W1813,"f",FALSE)</f>
        <v>51840</v>
      </c>
      <c r="Y1813" s="131">
        <f>_xll.qlCalendarAdvance(Calendar,X1813,NDays&amp;"D")</f>
        <v>51844</v>
      </c>
      <c r="Z1813" s="132">
        <v>1.3867309950661898E-2</v>
      </c>
      <c r="AA1813" s="129">
        <v>1.3835889815609903E-2</v>
      </c>
    </row>
    <row r="1814" spans="19:27" x14ac:dyDescent="0.2">
      <c r="S1814" s="1"/>
      <c r="T1814" s="109"/>
      <c r="W1814" s="130" t="str">
        <f t="shared" si="38"/>
        <v>1w</v>
      </c>
      <c r="X1814" s="128">
        <f>_xll.qlCalendarAdvance(Calendar,X1813,W1814,"f",FALSE)</f>
        <v>51847</v>
      </c>
      <c r="Y1814" s="131">
        <f>_xll.qlCalendarAdvance(Calendar,X1814,NDays&amp;"D")</f>
        <v>51851</v>
      </c>
      <c r="Z1814" s="132">
        <v>1.3868455723063689E-2</v>
      </c>
      <c r="AA1814" s="129">
        <v>1.3837068985411705E-2</v>
      </c>
    </row>
    <row r="1815" spans="19:27" x14ac:dyDescent="0.2">
      <c r="S1815" s="1"/>
      <c r="T1815" s="109"/>
      <c r="W1815" s="130" t="str">
        <f t="shared" si="38"/>
        <v>1w</v>
      </c>
      <c r="X1815" s="128">
        <f>_xll.qlCalendarAdvance(Calendar,X1814,W1815,"f",FALSE)</f>
        <v>51854</v>
      </c>
      <c r="Y1815" s="131">
        <f>_xll.qlCalendarAdvance(Calendar,X1815,NDays&amp;"D")</f>
        <v>51858</v>
      </c>
      <c r="Z1815" s="132">
        <v>1.3869595664728267E-2</v>
      </c>
      <c r="AA1815" s="129">
        <v>1.383824234418185E-2</v>
      </c>
    </row>
    <row r="1816" spans="19:27" x14ac:dyDescent="0.2">
      <c r="S1816" s="1"/>
      <c r="T1816" s="109"/>
      <c r="W1816" s="130" t="str">
        <f t="shared" si="38"/>
        <v>1w</v>
      </c>
      <c r="X1816" s="128">
        <f>_xll.qlCalendarAdvance(Calendar,X1815,W1816,"f",FALSE)</f>
        <v>51862</v>
      </c>
      <c r="Y1816" s="131">
        <f>_xll.qlCalendarAdvance(Calendar,X1816,NDays&amp;"D")</f>
        <v>51866</v>
      </c>
      <c r="Z1816" s="132">
        <v>1.387054455171377E-2</v>
      </c>
      <c r="AA1816" s="129">
        <v>1.3839925332530534E-2</v>
      </c>
    </row>
    <row r="1817" spans="19:27" x14ac:dyDescent="0.2">
      <c r="S1817" s="1"/>
      <c r="T1817" s="109"/>
      <c r="W1817" s="130" t="str">
        <f t="shared" si="38"/>
        <v>1w</v>
      </c>
      <c r="X1817" s="128">
        <f>_xll.qlCalendarAdvance(Calendar,X1816,W1817,"f",FALSE)</f>
        <v>51869</v>
      </c>
      <c r="Y1817" s="131">
        <f>_xll.qlCalendarAdvance(Calendar,X1817,NDays&amp;"D")</f>
        <v>51873</v>
      </c>
      <c r="Z1817" s="132">
        <v>1.387201876272744E-2</v>
      </c>
      <c r="AA1817" s="129">
        <v>1.3840737117050139E-2</v>
      </c>
    </row>
    <row r="1818" spans="19:27" x14ac:dyDescent="0.2">
      <c r="S1818" s="1"/>
      <c r="T1818" s="109"/>
      <c r="W1818" s="130" t="str">
        <f t="shared" si="38"/>
        <v>1w</v>
      </c>
      <c r="X1818" s="128">
        <f>_xll.qlCalendarAdvance(Calendar,X1817,W1818,"f",FALSE)</f>
        <v>51876</v>
      </c>
      <c r="Y1818" s="131">
        <f>_xll.qlCalendarAdvance(Calendar,X1818,NDays&amp;"D")</f>
        <v>51880</v>
      </c>
      <c r="Z1818" s="132">
        <v>1.3872794361804885E-2</v>
      </c>
      <c r="AA1818" s="129">
        <v>1.3841892213068974E-2</v>
      </c>
    </row>
    <row r="1819" spans="19:27" x14ac:dyDescent="0.2">
      <c r="S1819" s="1"/>
      <c r="T1819" s="109"/>
      <c r="W1819" s="130" t="str">
        <f t="shared" si="38"/>
        <v>1w</v>
      </c>
      <c r="X1819" s="128">
        <f>_xll.qlCalendarAdvance(Calendar,X1818,W1819,"f",FALSE)</f>
        <v>51883</v>
      </c>
      <c r="Y1819" s="131">
        <f>_xll.qlCalendarAdvance(Calendar,X1819,NDays&amp;"D")</f>
        <v>51887</v>
      </c>
      <c r="Z1819" s="132">
        <v>1.3873910521049027E-2</v>
      </c>
      <c r="AA1819" s="129">
        <v>1.3843041498136088E-2</v>
      </c>
    </row>
    <row r="1820" spans="19:27" x14ac:dyDescent="0.2">
      <c r="S1820" s="1"/>
      <c r="T1820" s="109"/>
      <c r="W1820" s="130" t="str">
        <f t="shared" si="38"/>
        <v>1w</v>
      </c>
      <c r="X1820" s="128">
        <f>_xll.qlCalendarAdvance(Calendar,X1819,W1820,"f",FALSE)</f>
        <v>51890</v>
      </c>
      <c r="Y1820" s="131">
        <f>_xll.qlCalendarAdvance(Calendar,X1820,NDays&amp;"D")</f>
        <v>51894</v>
      </c>
      <c r="Z1820" s="132">
        <v>1.3875020849752673E-2</v>
      </c>
      <c r="AA1820" s="129">
        <v>1.3844184972251483E-2</v>
      </c>
    </row>
    <row r="1821" spans="19:27" x14ac:dyDescent="0.2">
      <c r="S1821" s="1"/>
      <c r="T1821" s="109"/>
      <c r="W1821" s="130" t="str">
        <f t="shared" si="38"/>
        <v>1w</v>
      </c>
      <c r="X1821" s="128">
        <f>_xll.qlCalendarAdvance(Calendar,X1820,W1821,"f",FALSE)</f>
        <v>51897</v>
      </c>
      <c r="Y1821" s="131">
        <f>_xll.qlCalendarAdvance(Calendar,X1821,NDays&amp;"D")</f>
        <v>51901</v>
      </c>
      <c r="Z1821" s="132">
        <v>1.3876125347908719E-2</v>
      </c>
      <c r="AA1821" s="129">
        <v>1.3845322635335222E-2</v>
      </c>
    </row>
    <row r="1822" spans="19:27" x14ac:dyDescent="0.2">
      <c r="S1822" s="1"/>
      <c r="T1822" s="109"/>
      <c r="W1822" s="130" t="str">
        <f t="shared" si="38"/>
        <v>1w</v>
      </c>
      <c r="X1822" s="128">
        <f>_xll.qlCalendarAdvance(Calendar,X1821,W1822,"f",FALSE)</f>
        <v>51904</v>
      </c>
      <c r="Y1822" s="131">
        <f>_xll.qlCalendarAdvance(Calendar,X1822,NDays&amp;"D")</f>
        <v>51908</v>
      </c>
      <c r="Z1822" s="132">
        <v>1.38772240155145E-2</v>
      </c>
      <c r="AA1822" s="129">
        <v>1.3846454487627113E-2</v>
      </c>
    </row>
    <row r="1823" spans="19:27" x14ac:dyDescent="0.2">
      <c r="S1823" s="1"/>
      <c r="T1823" s="109"/>
      <c r="W1823" s="130" t="str">
        <f t="shared" si="38"/>
        <v>1w</v>
      </c>
      <c r="X1823" s="128">
        <f>_xll.qlCalendarAdvance(Calendar,X1822,W1823,"f",FALSE)</f>
        <v>51911</v>
      </c>
      <c r="Y1823" s="131">
        <f>_xll.qlCalendarAdvance(Calendar,X1823,NDays&amp;"D")</f>
        <v>51915</v>
      </c>
      <c r="Z1823" s="132">
        <v>1.3878316852563799E-2</v>
      </c>
      <c r="AA1823" s="129">
        <v>1.3847580528967285E-2</v>
      </c>
    </row>
    <row r="1824" spans="19:27" x14ac:dyDescent="0.2">
      <c r="S1824" s="1"/>
      <c r="T1824" s="109"/>
      <c r="W1824" s="130" t="str">
        <f t="shared" si="38"/>
        <v>1w</v>
      </c>
      <c r="X1824" s="128">
        <f>_xll.qlCalendarAdvance(Calendar,X1823,W1824,"f",FALSE)</f>
        <v>51918</v>
      </c>
      <c r="Y1824" s="131">
        <f>_xll.qlCalendarAdvance(Calendar,X1824,NDays&amp;"D")</f>
        <v>51922</v>
      </c>
      <c r="Z1824" s="132">
        <v>1.387940385905484E-2</v>
      </c>
      <c r="AA1824" s="129">
        <v>1.3848700759515609E-2</v>
      </c>
    </row>
    <row r="1825" spans="19:27" x14ac:dyDescent="0.2">
      <c r="S1825" s="1"/>
      <c r="T1825" s="109"/>
      <c r="W1825" s="130" t="str">
        <f t="shared" si="38"/>
        <v>1w</v>
      </c>
      <c r="X1825" s="128">
        <f>_xll.qlCalendarAdvance(Calendar,X1824,W1825,"f",FALSE)</f>
        <v>51925</v>
      </c>
      <c r="Y1825" s="131">
        <f>_xll.qlCalendarAdvance(Calendar,X1825,NDays&amp;"D")</f>
        <v>51929</v>
      </c>
      <c r="Z1825" s="132">
        <v>1.3881171803892402E-2</v>
      </c>
      <c r="AA1825" s="129">
        <v>1.384981517895234E-2</v>
      </c>
    </row>
    <row r="1826" spans="19:27" x14ac:dyDescent="0.2">
      <c r="S1826" s="1"/>
      <c r="T1826" s="109"/>
      <c r="W1826" s="130" t="str">
        <f t="shared" si="38"/>
        <v>1w</v>
      </c>
      <c r="X1826" s="128">
        <f>_xll.qlCalendarAdvance(Calendar,X1825,W1826,"f",FALSE)</f>
        <v>51932</v>
      </c>
      <c r="Y1826" s="131">
        <f>_xll.qlCalendarAdvance(Calendar,X1826,NDays&amp;"D")</f>
        <v>51936</v>
      </c>
      <c r="Z1826" s="132">
        <v>1.3882246399031361E-2</v>
      </c>
      <c r="AA1826" s="129">
        <v>1.3850923787597225E-2</v>
      </c>
    </row>
    <row r="1827" spans="19:27" x14ac:dyDescent="0.2">
      <c r="S1827" s="1"/>
      <c r="T1827" s="109"/>
      <c r="W1827" s="130" t="str">
        <f t="shared" si="38"/>
        <v>1w</v>
      </c>
      <c r="X1827" s="128">
        <f>_xll.qlCalendarAdvance(Calendar,X1826,W1827,"f",FALSE)</f>
        <v>51939</v>
      </c>
      <c r="Y1827" s="131">
        <f>_xll.qlCalendarAdvance(Calendar,X1827,NDays&amp;"D")</f>
        <v>51943</v>
      </c>
      <c r="Z1827" s="132">
        <v>1.3883315163152044E-2</v>
      </c>
      <c r="AA1827" s="129">
        <v>1.3852026585290389E-2</v>
      </c>
    </row>
    <row r="1828" spans="19:27" x14ac:dyDescent="0.2">
      <c r="S1828" s="1"/>
      <c r="T1828" s="109"/>
      <c r="W1828" s="130" t="str">
        <f t="shared" si="38"/>
        <v>1w</v>
      </c>
      <c r="X1828" s="128">
        <f>_xll.qlCalendarAdvance(Calendar,X1827,W1828,"f",FALSE)</f>
        <v>51946</v>
      </c>
      <c r="Y1828" s="131">
        <f>_xll.qlCalendarAdvance(Calendar,X1828,NDays&amp;"D")</f>
        <v>51950</v>
      </c>
      <c r="Z1828" s="132">
        <v>1.3884378096250104E-2</v>
      </c>
      <c r="AA1828" s="129">
        <v>1.3853123572031834E-2</v>
      </c>
    </row>
    <row r="1829" spans="19:27" x14ac:dyDescent="0.2">
      <c r="S1829" s="1"/>
      <c r="T1829" s="109"/>
      <c r="W1829" s="130" t="str">
        <f t="shared" si="38"/>
        <v>1w</v>
      </c>
      <c r="X1829" s="128">
        <f>_xll.qlCalendarAdvance(Calendar,X1828,W1829,"f",FALSE)</f>
        <v>51953</v>
      </c>
      <c r="Y1829" s="131">
        <f>_xll.qlCalendarAdvance(Calendar,X1829,NDays&amp;"D")</f>
        <v>51957</v>
      </c>
      <c r="Z1829" s="132">
        <v>1.3885093329159152E-2</v>
      </c>
      <c r="AA1829" s="129">
        <v>1.3854214747901494E-2</v>
      </c>
    </row>
    <row r="1830" spans="19:27" x14ac:dyDescent="0.2">
      <c r="S1830" s="1"/>
      <c r="T1830" s="109"/>
      <c r="W1830" s="130" t="str">
        <f t="shared" si="38"/>
        <v>1w</v>
      </c>
      <c r="X1830" s="128">
        <f>_xll.qlCalendarAdvance(Calendar,X1829,W1830,"f",FALSE)</f>
        <v>51964</v>
      </c>
      <c r="Y1830" s="131">
        <f>_xll.qlCalendarAdvance(Calendar,X1830,NDays&amp;"D")</f>
        <v>51966</v>
      </c>
      <c r="Z1830" s="132">
        <v>1.3886444375827978E-2</v>
      </c>
      <c r="AA1830" s="129">
        <v>1.3855609149855397E-2</v>
      </c>
    </row>
    <row r="1831" spans="19:27" x14ac:dyDescent="0.2">
      <c r="S1831" s="1"/>
      <c r="T1831" s="109"/>
      <c r="W1831" s="130" t="str">
        <f t="shared" si="38"/>
        <v>1w</v>
      </c>
      <c r="X1831" s="128">
        <f>_xll.qlCalendarAdvance(Calendar,X1830,W1831,"f",FALSE)</f>
        <v>51971</v>
      </c>
      <c r="Y1831" s="131">
        <f>_xll.qlCalendarAdvance(Calendar,X1831,NDays&amp;"D")</f>
        <v>51973</v>
      </c>
      <c r="Z1831" s="132">
        <v>1.3887488526113333E-2</v>
      </c>
      <c r="AA1831" s="129">
        <v>1.3856687043549698E-2</v>
      </c>
    </row>
    <row r="1832" spans="19:27" x14ac:dyDescent="0.2">
      <c r="S1832" s="1"/>
      <c r="T1832" s="109"/>
      <c r="W1832" s="130" t="str">
        <f t="shared" si="38"/>
        <v>1w</v>
      </c>
      <c r="X1832" s="128">
        <f>_xll.qlCalendarAdvance(Calendar,X1831,W1832,"f",FALSE)</f>
        <v>51978</v>
      </c>
      <c r="Y1832" s="131">
        <f>_xll.qlCalendarAdvance(Calendar,X1832,NDays&amp;"D")</f>
        <v>51980</v>
      </c>
      <c r="Z1832" s="132">
        <v>1.3888526845578906E-2</v>
      </c>
      <c r="AA1832" s="129">
        <v>1.3857759126452152E-2</v>
      </c>
    </row>
    <row r="1833" spans="19:27" x14ac:dyDescent="0.2">
      <c r="S1833" s="1"/>
      <c r="T1833" s="109"/>
      <c r="W1833" s="130" t="str">
        <f t="shared" si="38"/>
        <v>1w</v>
      </c>
      <c r="X1833" s="128">
        <f>_xll.qlCalendarAdvance(Calendar,X1832,W1833,"f",FALSE)</f>
        <v>51985</v>
      </c>
      <c r="Y1833" s="131">
        <f>_xll.qlCalendarAdvance(Calendar,X1833,NDays&amp;"D")</f>
        <v>51988</v>
      </c>
      <c r="Z1833" s="132">
        <v>1.3890726881864575E-2</v>
      </c>
      <c r="AA1833" s="129">
        <v>1.3859662490425251E-2</v>
      </c>
    </row>
    <row r="1834" spans="19:27" x14ac:dyDescent="0.2">
      <c r="S1834" s="1"/>
      <c r="T1834" s="109"/>
      <c r="W1834" s="130" t="str">
        <f t="shared" si="38"/>
        <v>1w</v>
      </c>
      <c r="X1834" s="128">
        <f>_xll.qlCalendarAdvance(Calendar,X1833,W1834,"f",FALSE)</f>
        <v>51992</v>
      </c>
      <c r="Y1834" s="131">
        <f>_xll.qlCalendarAdvance(Calendar,X1834,NDays&amp;"D")</f>
        <v>51994</v>
      </c>
      <c r="Z1834" s="132">
        <v>1.3890925871196695E-2</v>
      </c>
      <c r="AA1834" s="129">
        <v>1.3859885859401899E-2</v>
      </c>
    </row>
    <row r="1835" spans="19:27" x14ac:dyDescent="0.2">
      <c r="S1835" s="1"/>
      <c r="T1835" s="109"/>
      <c r="W1835" s="130" t="str">
        <f t="shared" si="38"/>
        <v>1w</v>
      </c>
      <c r="X1835" s="128">
        <f>_xll.qlCalendarAdvance(Calendar,X1834,W1835,"f",FALSE)</f>
        <v>51999</v>
      </c>
      <c r="Y1835" s="131">
        <f>_xll.qlCalendarAdvance(Calendar,X1835,NDays&amp;"D")</f>
        <v>52001</v>
      </c>
      <c r="Z1835" s="132">
        <v>1.3891946320989185E-2</v>
      </c>
      <c r="AA1835" s="129">
        <v>1.3860940509449193E-2</v>
      </c>
    </row>
    <row r="1836" spans="19:27" x14ac:dyDescent="0.2">
      <c r="S1836" s="1"/>
      <c r="T1836" s="109"/>
      <c r="W1836" s="130" t="str">
        <f t="shared" si="38"/>
        <v>1w</v>
      </c>
      <c r="X1836" s="128">
        <f>_xll.qlCalendarAdvance(Calendar,X1835,W1836,"f",FALSE)</f>
        <v>52006</v>
      </c>
      <c r="Y1836" s="131">
        <f>_xll.qlCalendarAdvance(Calendar,X1836,NDays&amp;"D")</f>
        <v>52008</v>
      </c>
      <c r="Z1836" s="132">
        <v>1.3892960939721696E-2</v>
      </c>
      <c r="AA1836" s="129">
        <v>1.386198934870464E-2</v>
      </c>
    </row>
    <row r="1837" spans="19:27" x14ac:dyDescent="0.2">
      <c r="S1837" s="1"/>
      <c r="T1837" s="109"/>
      <c r="W1837" s="130" t="str">
        <f t="shared" si="38"/>
        <v>1w</v>
      </c>
      <c r="X1837" s="128">
        <f>_xll.qlCalendarAdvance(Calendar,X1836,W1837,"f",FALSE)</f>
        <v>52013</v>
      </c>
      <c r="Y1837" s="131">
        <f>_xll.qlCalendarAdvance(Calendar,X1837,NDays&amp;"D")</f>
        <v>52015</v>
      </c>
      <c r="Z1837" s="132">
        <v>1.389396972738814E-2</v>
      </c>
      <c r="AA1837" s="129">
        <v>1.386303237692843E-2</v>
      </c>
    </row>
    <row r="1838" spans="19:27" x14ac:dyDescent="0.2">
      <c r="S1838" s="1"/>
      <c r="T1838" s="109"/>
      <c r="W1838" s="130" t="str">
        <f t="shared" si="38"/>
        <v>1w</v>
      </c>
      <c r="X1838" s="128">
        <f>_xll.qlCalendarAdvance(Calendar,X1837,W1838,"f",FALSE)</f>
        <v>52020</v>
      </c>
      <c r="Y1838" s="131">
        <f>_xll.qlCalendarAdvance(Calendar,X1838,NDays&amp;"D")</f>
        <v>52022</v>
      </c>
      <c r="Z1838" s="132">
        <v>1.3894972683984175E-2</v>
      </c>
      <c r="AA1838" s="129">
        <v>1.3864069594360373E-2</v>
      </c>
    </row>
    <row r="1839" spans="19:27" x14ac:dyDescent="0.2">
      <c r="S1839" s="1"/>
      <c r="T1839" s="109"/>
      <c r="W1839" s="130" t="str">
        <f t="shared" si="38"/>
        <v>1w</v>
      </c>
      <c r="X1839" s="128">
        <f>_xll.qlCalendarAdvance(Calendar,X1838,W1839,"f",FALSE)</f>
        <v>52027</v>
      </c>
      <c r="Y1839" s="131">
        <f>_xll.qlCalendarAdvance(Calendar,X1839,NDays&amp;"D")</f>
        <v>52029</v>
      </c>
      <c r="Z1839" s="132">
        <v>1.3895969809506326E-2</v>
      </c>
      <c r="AA1839" s="129">
        <v>1.386510100076066E-2</v>
      </c>
    </row>
    <row r="1840" spans="19:27" x14ac:dyDescent="0.2">
      <c r="S1840" s="1"/>
      <c r="T1840" s="109"/>
      <c r="W1840" s="130" t="str">
        <f t="shared" si="38"/>
        <v>1w</v>
      </c>
      <c r="X1840" s="128">
        <f>_xll.qlCalendarAdvance(Calendar,X1839,W1840,"f",FALSE)</f>
        <v>52034</v>
      </c>
      <c r="Y1840" s="131">
        <f>_xll.qlCalendarAdvance(Calendar,X1840,NDays&amp;"D")</f>
        <v>52036</v>
      </c>
      <c r="Z1840" s="132">
        <v>1.3896961103948511E-2</v>
      </c>
      <c r="AA1840" s="129">
        <v>1.3866126596209227E-2</v>
      </c>
    </row>
    <row r="1841" spans="19:27" x14ac:dyDescent="0.2">
      <c r="S1841" s="1"/>
      <c r="T1841" s="109"/>
      <c r="W1841" s="130" t="str">
        <f t="shared" si="38"/>
        <v>1w</v>
      </c>
      <c r="X1841" s="128">
        <f>_xll.qlCalendarAdvance(Calendar,X1840,W1841,"f",FALSE)</f>
        <v>52041</v>
      </c>
      <c r="Y1841" s="131">
        <f>_xll.qlCalendarAdvance(Calendar,X1841,NDays&amp;"D")</f>
        <v>52043</v>
      </c>
      <c r="Z1841" s="132">
        <v>1.389794656730812E-2</v>
      </c>
      <c r="AA1841" s="129">
        <v>1.3867146380865947E-2</v>
      </c>
    </row>
    <row r="1842" spans="19:27" x14ac:dyDescent="0.2">
      <c r="S1842" s="1"/>
      <c r="T1842" s="109"/>
      <c r="W1842" s="130" t="str">
        <f t="shared" si="38"/>
        <v>1w</v>
      </c>
      <c r="X1842" s="128">
        <f>_xll.qlCalendarAdvance(Calendar,X1841,W1842,"f",FALSE)</f>
        <v>52048</v>
      </c>
      <c r="Y1842" s="131">
        <f>_xll.qlCalendarAdvance(Calendar,X1842,NDays&amp;"D")</f>
        <v>52050</v>
      </c>
      <c r="Z1842" s="132">
        <v>1.3898926199579945E-2</v>
      </c>
      <c r="AA1842" s="129">
        <v>1.386816035449101E-2</v>
      </c>
    </row>
    <row r="1843" spans="19:27" x14ac:dyDescent="0.2">
      <c r="S1843" s="1"/>
      <c r="T1843" s="109"/>
      <c r="W1843" s="130" t="str">
        <f t="shared" si="38"/>
        <v>1w</v>
      </c>
      <c r="X1843" s="128">
        <f>_xll.qlCalendarAdvance(Calendar,X1842,W1843,"f",FALSE)</f>
        <v>52055</v>
      </c>
      <c r="Y1843" s="131">
        <f>_xll.qlCalendarAdvance(Calendar,X1843,NDays&amp;"D")</f>
        <v>52057</v>
      </c>
      <c r="Z1843" s="132">
        <v>1.3899900000759639E-2</v>
      </c>
      <c r="AA1843" s="129">
        <v>1.3869168517324226E-2</v>
      </c>
    </row>
    <row r="1844" spans="19:27" x14ac:dyDescent="0.2">
      <c r="S1844" s="1"/>
      <c r="T1844" s="109"/>
      <c r="W1844" s="130" t="str">
        <f t="shared" si="38"/>
        <v>1w</v>
      </c>
      <c r="X1844" s="128">
        <f>_xll.qlCalendarAdvance(Calendar,X1843,W1844,"f",FALSE)</f>
        <v>52062</v>
      </c>
      <c r="Y1844" s="131">
        <f>_xll.qlCalendarAdvance(Calendar,X1844,NDays&amp;"D")</f>
        <v>52064</v>
      </c>
      <c r="Z1844" s="132">
        <v>1.3900867970841987E-2</v>
      </c>
      <c r="AA1844" s="129">
        <v>1.3870170869125786E-2</v>
      </c>
    </row>
    <row r="1845" spans="19:27" x14ac:dyDescent="0.2">
      <c r="S1845" s="1"/>
      <c r="T1845" s="109"/>
      <c r="W1845" s="130" t="str">
        <f t="shared" si="38"/>
        <v>1w</v>
      </c>
      <c r="X1845" s="128">
        <f>_xll.qlCalendarAdvance(Calendar,X1844,W1845,"f",FALSE)</f>
        <v>52069</v>
      </c>
      <c r="Y1845" s="131">
        <f>_xll.qlCalendarAdvance(Calendar,X1845,NDays&amp;"D")</f>
        <v>52071</v>
      </c>
      <c r="Z1845" s="132">
        <v>1.3901830109824386E-2</v>
      </c>
      <c r="AA1845" s="129">
        <v>1.3871167410135499E-2</v>
      </c>
    </row>
    <row r="1846" spans="19:27" x14ac:dyDescent="0.2">
      <c r="S1846" s="1"/>
      <c r="T1846" s="109"/>
      <c r="W1846" s="130" t="str">
        <f t="shared" si="38"/>
        <v>1w</v>
      </c>
      <c r="X1846" s="128">
        <f>_xll.qlCalendarAdvance(Calendar,X1845,W1846,"f",FALSE)</f>
        <v>52076</v>
      </c>
      <c r="Y1846" s="131">
        <f>_xll.qlCalendarAdvance(Calendar,X1846,NDays&amp;"D")</f>
        <v>52078</v>
      </c>
      <c r="Z1846" s="132">
        <v>1.3902786417702489E-2</v>
      </c>
      <c r="AA1846" s="129">
        <v>1.3872158140113555E-2</v>
      </c>
    </row>
    <row r="1847" spans="19:27" x14ac:dyDescent="0.2">
      <c r="S1847" s="1"/>
      <c r="T1847" s="109"/>
      <c r="W1847" s="130" t="str">
        <f t="shared" si="38"/>
        <v>1w</v>
      </c>
      <c r="X1847" s="128">
        <f>_xll.qlCalendarAdvance(Calendar,X1846,W1847,"f",FALSE)</f>
        <v>52083</v>
      </c>
      <c r="Y1847" s="131">
        <f>_xll.qlCalendarAdvance(Calendar,X1847,NDays&amp;"D")</f>
        <v>52085</v>
      </c>
      <c r="Z1847" s="132">
        <v>1.3903736894471086E-2</v>
      </c>
      <c r="AA1847" s="129">
        <v>1.3873143059219828E-2</v>
      </c>
    </row>
    <row r="1848" spans="19:27" x14ac:dyDescent="0.2">
      <c r="S1848" s="1"/>
      <c r="T1848" s="109"/>
      <c r="W1848" s="130" t="str">
        <f t="shared" si="38"/>
        <v>1w</v>
      </c>
      <c r="X1848" s="128">
        <f>_xll.qlCalendarAdvance(Calendar,X1847,W1848,"f",FALSE)</f>
        <v>52090</v>
      </c>
      <c r="Y1848" s="131">
        <f>_xll.qlCalendarAdvance(Calendar,X1848,NDays&amp;"D")</f>
        <v>52092</v>
      </c>
      <c r="Z1848" s="132">
        <v>1.3904681540124959E-2</v>
      </c>
      <c r="AA1848" s="129">
        <v>1.3874122167374381E-2</v>
      </c>
    </row>
    <row r="1849" spans="19:27" x14ac:dyDescent="0.2">
      <c r="S1849" s="1"/>
      <c r="T1849" s="109"/>
      <c r="W1849" s="130" t="str">
        <f t="shared" si="38"/>
        <v>1w</v>
      </c>
      <c r="X1849" s="128">
        <f>_xll.qlCalendarAdvance(Calendar,X1848,W1849,"f",FALSE)</f>
        <v>52097</v>
      </c>
      <c r="Y1849" s="131">
        <f>_xll.qlCalendarAdvance(Calendar,X1849,NDays&amp;"D")</f>
        <v>52099</v>
      </c>
      <c r="Z1849" s="132">
        <v>1.3905620354661504E-2</v>
      </c>
      <c r="AA1849" s="129">
        <v>1.387509546465715E-2</v>
      </c>
    </row>
    <row r="1850" spans="19:27" x14ac:dyDescent="0.2">
      <c r="S1850" s="1"/>
      <c r="T1850" s="109"/>
      <c r="W1850" s="130" t="str">
        <f t="shared" si="38"/>
        <v>1w</v>
      </c>
      <c r="X1850" s="128">
        <f>_xll.qlCalendarAdvance(Calendar,X1849,W1850,"f",FALSE)</f>
        <v>52104</v>
      </c>
      <c r="Y1850" s="131">
        <f>_xll.qlCalendarAdvance(Calendar,X1850,NDays&amp;"D")</f>
        <v>52106</v>
      </c>
      <c r="Z1850" s="132">
        <v>1.3906553338077247E-2</v>
      </c>
      <c r="AA1850" s="129">
        <v>1.3876062951068135E-2</v>
      </c>
    </row>
    <row r="1851" spans="19:27" x14ac:dyDescent="0.2">
      <c r="S1851" s="1"/>
      <c r="T1851" s="109"/>
      <c r="W1851" s="130" t="str">
        <f t="shared" si="38"/>
        <v>1w</v>
      </c>
      <c r="X1851" s="128">
        <f>_xll.qlCalendarAdvance(Calendar,X1850,W1851,"f",FALSE)</f>
        <v>52111</v>
      </c>
      <c r="Y1851" s="131">
        <f>_xll.qlCalendarAdvance(Calendar,X1851,NDays&amp;"D")</f>
        <v>52113</v>
      </c>
      <c r="Z1851" s="132">
        <v>1.3907147053534635E-2</v>
      </c>
      <c r="AA1851" s="129">
        <v>1.3877024626527401E-2</v>
      </c>
    </row>
    <row r="1852" spans="19:27" x14ac:dyDescent="0.2">
      <c r="S1852" s="1"/>
      <c r="T1852" s="109"/>
      <c r="W1852" s="130" t="str">
        <f t="shared" si="38"/>
        <v>1w</v>
      </c>
      <c r="X1852" s="128">
        <f>_xll.qlCalendarAdvance(Calendar,X1851,W1852,"f",FALSE)</f>
        <v>52118</v>
      </c>
      <c r="Y1852" s="131">
        <f>_xll.qlCalendarAdvance(Calendar,X1852,NDays&amp;"D")</f>
        <v>52120</v>
      </c>
      <c r="Z1852" s="132">
        <v>1.3908068755656734E-2</v>
      </c>
      <c r="AA1852" s="129">
        <v>1.3877980490955011E-2</v>
      </c>
    </row>
    <row r="1853" spans="19:27" x14ac:dyDescent="0.2">
      <c r="S1853" s="1"/>
      <c r="T1853" s="109"/>
      <c r="W1853" s="130" t="str">
        <f t="shared" si="38"/>
        <v>1w</v>
      </c>
      <c r="X1853" s="128">
        <f>_xll.qlCalendarAdvance(Calendar,X1852,W1853,"f",FALSE)</f>
        <v>52125</v>
      </c>
      <c r="Y1853" s="131">
        <f>_xll.qlCalendarAdvance(Calendar,X1853,NDays&amp;"D")</f>
        <v>52127</v>
      </c>
      <c r="Z1853" s="132">
        <v>1.3908984626867692E-2</v>
      </c>
      <c r="AA1853" s="129">
        <v>1.3878930544590773E-2</v>
      </c>
    </row>
    <row r="1854" spans="19:27" x14ac:dyDescent="0.2">
      <c r="S1854" s="1"/>
      <c r="T1854" s="109"/>
      <c r="W1854" s="130" t="str">
        <f t="shared" si="38"/>
        <v>1w</v>
      </c>
      <c r="X1854" s="128">
        <f>_xll.qlCalendarAdvance(Calendar,X1853,W1854,"f",FALSE)</f>
        <v>52132</v>
      </c>
      <c r="Y1854" s="131">
        <f>_xll.qlCalendarAdvance(Calendar,X1854,NDays&amp;"D")</f>
        <v>52134</v>
      </c>
      <c r="Z1854" s="132">
        <v>1.3911223673204911E-2</v>
      </c>
      <c r="AA1854" s="129">
        <v>1.3879874787194879E-2</v>
      </c>
    </row>
    <row r="1855" spans="19:27" x14ac:dyDescent="0.2">
      <c r="S1855" s="1"/>
      <c r="T1855" s="109"/>
      <c r="W1855" s="130" t="str">
        <f t="shared" si="38"/>
        <v>1w</v>
      </c>
      <c r="X1855" s="128">
        <f>_xll.qlCalendarAdvance(Calendar,X1854,W1855,"f",FALSE)</f>
        <v>52139</v>
      </c>
      <c r="Y1855" s="131">
        <f>_xll.qlCalendarAdvance(Calendar,X1855,NDays&amp;"D")</f>
        <v>52141</v>
      </c>
      <c r="Z1855" s="132">
        <v>1.3911130788177947E-2</v>
      </c>
      <c r="AA1855" s="129">
        <v>1.3880813219087074E-2</v>
      </c>
    </row>
    <row r="1856" spans="19:27" x14ac:dyDescent="0.2">
      <c r="S1856" s="1"/>
      <c r="T1856" s="109"/>
      <c r="W1856" s="130" t="str">
        <f t="shared" si="38"/>
        <v>1w</v>
      </c>
      <c r="X1856" s="128">
        <f>_xll.qlCalendarAdvance(Calendar,X1855,W1856,"f",FALSE)</f>
        <v>52146</v>
      </c>
      <c r="Y1856" s="131">
        <f>_xll.qlCalendarAdvance(Calendar,X1856,NDays&amp;"D")</f>
        <v>52148</v>
      </c>
      <c r="Z1856" s="132">
        <v>1.391202878477503E-2</v>
      </c>
      <c r="AA1856" s="129">
        <v>1.3881745839867676E-2</v>
      </c>
    </row>
    <row r="1857" spans="19:27" x14ac:dyDescent="0.2">
      <c r="S1857" s="1"/>
      <c r="T1857" s="109"/>
      <c r="W1857" s="130" t="str">
        <f t="shared" si="38"/>
        <v>1w</v>
      </c>
      <c r="X1857" s="128">
        <f>_xll.qlCalendarAdvance(Calendar,X1856,W1857,"f",FALSE)</f>
        <v>52153</v>
      </c>
      <c r="Y1857" s="131">
        <f>_xll.qlCalendarAdvance(Calendar,X1857,NDays&amp;"D")</f>
        <v>52155</v>
      </c>
      <c r="Z1857" s="132">
        <v>1.3912920950222635E-2</v>
      </c>
      <c r="AA1857" s="129">
        <v>1.3882672649776495E-2</v>
      </c>
    </row>
    <row r="1858" spans="19:27" x14ac:dyDescent="0.2">
      <c r="S1858" s="1"/>
      <c r="T1858" s="109"/>
      <c r="W1858" s="130" t="str">
        <f t="shared" si="38"/>
        <v>1w</v>
      </c>
      <c r="X1858" s="128">
        <f>_xll.qlCalendarAdvance(Calendar,X1857,W1858,"f",FALSE)</f>
        <v>52160</v>
      </c>
      <c r="Y1858" s="131">
        <f>_xll.qlCalendarAdvance(Calendar,X1858,NDays&amp;"D")</f>
        <v>52162</v>
      </c>
      <c r="Z1858" s="132">
        <v>1.3913807284513816E-2</v>
      </c>
      <c r="AA1858" s="129">
        <v>1.3883593648733594E-2</v>
      </c>
    </row>
    <row r="1859" spans="19:27" x14ac:dyDescent="0.2">
      <c r="S1859" s="1"/>
      <c r="T1859" s="109"/>
      <c r="W1859" s="130" t="str">
        <f t="shared" si="38"/>
        <v>1w</v>
      </c>
      <c r="X1859" s="128">
        <f>_xll.qlCalendarAdvance(Calendar,X1858,W1859,"f",FALSE)</f>
        <v>52167</v>
      </c>
      <c r="Y1859" s="131">
        <f>_xll.qlCalendarAdvance(Calendar,X1859,NDays&amp;"D")</f>
        <v>52169</v>
      </c>
      <c r="Z1859" s="132">
        <v>1.3914687787647697E-2</v>
      </c>
      <c r="AA1859" s="129">
        <v>1.3884508836898846E-2</v>
      </c>
    </row>
    <row r="1860" spans="19:27" x14ac:dyDescent="0.2">
      <c r="S1860" s="1"/>
      <c r="T1860" s="109"/>
      <c r="W1860" s="130" t="str">
        <f t="shared" si="38"/>
        <v>1w</v>
      </c>
      <c r="X1860" s="128">
        <f>_xll.qlCalendarAdvance(Calendar,X1859,W1860,"f",FALSE)</f>
        <v>52174</v>
      </c>
      <c r="Y1860" s="131">
        <f>_xll.qlCalendarAdvance(Calendar,X1860,NDays&amp;"D")</f>
        <v>52176</v>
      </c>
      <c r="Z1860" s="132">
        <v>1.3915562459619071E-2</v>
      </c>
      <c r="AA1860" s="129">
        <v>1.3885418214112377E-2</v>
      </c>
    </row>
    <row r="1861" spans="19:27" x14ac:dyDescent="0.2">
      <c r="S1861" s="1"/>
      <c r="T1861" s="109"/>
      <c r="W1861" s="130" t="str">
        <f t="shared" si="38"/>
        <v>1w</v>
      </c>
      <c r="X1861" s="128">
        <f>_xll.qlCalendarAdvance(Calendar,X1860,W1861,"f",FALSE)</f>
        <v>52181</v>
      </c>
      <c r="Y1861" s="131">
        <f>_xll.qlCalendarAdvance(Calendar,X1861,NDays&amp;"D")</f>
        <v>52183</v>
      </c>
      <c r="Z1861" s="132">
        <v>1.3916431300425329E-2</v>
      </c>
      <c r="AA1861" s="129">
        <v>1.3886321780454125E-2</v>
      </c>
    </row>
    <row r="1862" spans="19:27" x14ac:dyDescent="0.2">
      <c r="S1862" s="1"/>
      <c r="T1862" s="109"/>
      <c r="W1862" s="130" t="str">
        <f t="shared" si="38"/>
        <v>1w</v>
      </c>
      <c r="X1862" s="128">
        <f>_xll.qlCalendarAdvance(Calendar,X1861,W1862,"f",FALSE)</f>
        <v>52188</v>
      </c>
      <c r="Y1862" s="131">
        <f>_xll.qlCalendarAdvance(Calendar,X1862,NDays&amp;"D")</f>
        <v>52190</v>
      </c>
      <c r="Z1862" s="132">
        <v>1.3917294310059518E-2</v>
      </c>
      <c r="AA1862" s="129">
        <v>1.3887219535764217E-2</v>
      </c>
    </row>
    <row r="1863" spans="19:27" x14ac:dyDescent="0.2">
      <c r="S1863" s="1"/>
      <c r="T1863" s="109"/>
      <c r="W1863" s="130" t="str">
        <f t="shared" si="38"/>
        <v>1w</v>
      </c>
      <c r="X1863" s="128">
        <f>_xll.qlCalendarAdvance(Calendar,X1862,W1863,"f",FALSE)</f>
        <v>52195</v>
      </c>
      <c r="Y1863" s="131">
        <f>_xll.qlCalendarAdvance(Calendar,X1863,NDays&amp;"D")</f>
        <v>52197</v>
      </c>
      <c r="Z1863" s="132">
        <v>1.3918151488520773E-2</v>
      </c>
      <c r="AA1863" s="129">
        <v>1.3888111480122589E-2</v>
      </c>
    </row>
    <row r="1864" spans="19:27" x14ac:dyDescent="0.2">
      <c r="S1864" s="1"/>
      <c r="T1864" s="109"/>
      <c r="W1864" s="130" t="str">
        <f t="shared" si="38"/>
        <v>1w</v>
      </c>
      <c r="X1864" s="128">
        <f>_xll.qlCalendarAdvance(Calendar,X1863,W1864,"f",FALSE)</f>
        <v>52202</v>
      </c>
      <c r="Y1864" s="131">
        <f>_xll.qlCalendarAdvance(Calendar,X1864,NDays&amp;"D")</f>
        <v>52204</v>
      </c>
      <c r="Z1864" s="132">
        <v>1.3918345873850768E-2</v>
      </c>
      <c r="AA1864" s="129">
        <v>1.3888997613609178E-2</v>
      </c>
    </row>
    <row r="1865" spans="19:27" x14ac:dyDescent="0.2">
      <c r="S1865" s="1"/>
      <c r="T1865" s="109"/>
      <c r="W1865" s="130" t="str">
        <f t="shared" si="38"/>
        <v>1w</v>
      </c>
      <c r="X1865" s="128">
        <f>_xll.qlCalendarAdvance(Calendar,X1864,W1865,"f",FALSE)</f>
        <v>52209</v>
      </c>
      <c r="Y1865" s="131">
        <f>_xll.qlCalendarAdvance(Calendar,X1865,NDays&amp;"D")</f>
        <v>52211</v>
      </c>
      <c r="Z1865" s="132">
        <v>1.3919192157650251E-2</v>
      </c>
      <c r="AA1865" s="129">
        <v>1.3889877936223982E-2</v>
      </c>
    </row>
    <row r="1866" spans="19:27" x14ac:dyDescent="0.2">
      <c r="S1866" s="1"/>
      <c r="T1866" s="109"/>
      <c r="W1866" s="130" t="str">
        <f t="shared" si="38"/>
        <v>1w</v>
      </c>
      <c r="X1866" s="128">
        <f>_xll.qlCalendarAdvance(Calendar,X1865,W1866,"f",FALSE)</f>
        <v>52216</v>
      </c>
      <c r="Y1866" s="131">
        <f>_xll.qlCalendarAdvance(Calendar,X1866,NDays&amp;"D")</f>
        <v>52218</v>
      </c>
      <c r="Z1866" s="132">
        <v>1.3920032610711175E-2</v>
      </c>
      <c r="AA1866" s="129">
        <v>1.3890752447887067E-2</v>
      </c>
    </row>
    <row r="1867" spans="19:27" x14ac:dyDescent="0.2">
      <c r="S1867" s="1"/>
      <c r="T1867" s="109"/>
      <c r="W1867" s="130" t="str">
        <f t="shared" si="38"/>
        <v>1w</v>
      </c>
      <c r="X1867" s="128">
        <f>_xll.qlCalendarAdvance(Calendar,X1866,W1867,"f",FALSE)</f>
        <v>52223</v>
      </c>
      <c r="Y1867" s="131">
        <f>_xll.qlCalendarAdvance(Calendar,X1867,NDays&amp;"D")</f>
        <v>52229</v>
      </c>
      <c r="Z1867" s="132">
        <v>1.392199576030863E-2</v>
      </c>
      <c r="AA1867" s="129">
        <v>1.3892114940086131E-2</v>
      </c>
    </row>
    <row r="1868" spans="19:27" x14ac:dyDescent="0.2">
      <c r="S1868" s="1"/>
      <c r="T1868" s="109"/>
      <c r="W1868" s="130" t="str">
        <f t="shared" si="38"/>
        <v>1w</v>
      </c>
      <c r="X1868" s="128">
        <f>_xll.qlCalendarAdvance(Calendar,X1867,W1868,"f",FALSE)</f>
        <v>52230</v>
      </c>
      <c r="Y1868" s="131">
        <f>_xll.qlCalendarAdvance(Calendar,X1868,NDays&amp;"D")</f>
        <v>52233</v>
      </c>
      <c r="Z1868" s="132">
        <v>1.3921813947419537E-2</v>
      </c>
      <c r="AA1868" s="129">
        <v>1.3893265611670813E-2</v>
      </c>
    </row>
    <row r="1869" spans="19:27" x14ac:dyDescent="0.2">
      <c r="S1869" s="1"/>
      <c r="T1869" s="109"/>
      <c r="W1869" s="130" t="str">
        <f t="shared" si="38"/>
        <v>1w</v>
      </c>
      <c r="X1869" s="128">
        <f>_xll.qlCalendarAdvance(Calendar,X1868,W1869,"f",FALSE)</f>
        <v>52237</v>
      </c>
      <c r="Y1869" s="131">
        <f>_xll.qlCalendarAdvance(Calendar,X1869,NDays&amp;"D")</f>
        <v>52239</v>
      </c>
      <c r="Z1869" s="132">
        <v>1.3922518985425292E-2</v>
      </c>
      <c r="AA1869" s="129">
        <v>1.3893341117325875E-2</v>
      </c>
    </row>
    <row r="1870" spans="19:27" x14ac:dyDescent="0.2">
      <c r="S1870" s="1"/>
      <c r="T1870" s="109"/>
      <c r="W1870" s="130" t="str">
        <f t="shared" si="38"/>
        <v>1w</v>
      </c>
      <c r="X1870" s="128">
        <f>_xll.qlCalendarAdvance(Calendar,X1869,W1870,"f",FALSE)</f>
        <v>52244</v>
      </c>
      <c r="Y1870" s="131">
        <f>_xll.qlCalendarAdvance(Calendar,X1870,NDays&amp;"D")</f>
        <v>52246</v>
      </c>
      <c r="Z1870" s="132">
        <v>1.3923336115496454E-2</v>
      </c>
      <c r="AA1870" s="129">
        <v>1.3894192385421889E-2</v>
      </c>
    </row>
    <row r="1871" spans="19:27" x14ac:dyDescent="0.2">
      <c r="S1871" s="1"/>
      <c r="T1871" s="109"/>
      <c r="W1871" s="130" t="str">
        <f t="shared" si="38"/>
        <v>1w</v>
      </c>
      <c r="X1871" s="128">
        <f>_xll.qlCalendarAdvance(Calendar,X1870,W1871,"f",FALSE)</f>
        <v>52251</v>
      </c>
      <c r="Y1871" s="131">
        <f>_xll.qlCalendarAdvance(Calendar,X1871,NDays&amp;"D")</f>
        <v>52253</v>
      </c>
      <c r="Z1871" s="132">
        <v>1.3924147414809518E-2</v>
      </c>
      <c r="AA1871" s="129">
        <v>1.3895037842486246E-2</v>
      </c>
    </row>
    <row r="1872" spans="19:27" x14ac:dyDescent="0.2">
      <c r="S1872" s="1"/>
      <c r="T1872" s="109"/>
      <c r="W1872" s="130" t="str">
        <f t="shared" si="38"/>
        <v>1w</v>
      </c>
      <c r="X1872" s="128">
        <f>_xll.qlCalendarAdvance(Calendar,X1871,W1872,"f",FALSE)</f>
        <v>52258</v>
      </c>
      <c r="Y1872" s="131">
        <f>_xll.qlCalendarAdvance(Calendar,X1872,NDays&amp;"D")</f>
        <v>52260</v>
      </c>
      <c r="Z1872" s="132">
        <v>1.3924952883363595E-2</v>
      </c>
      <c r="AA1872" s="129">
        <v>1.3895877488758757E-2</v>
      </c>
    </row>
    <row r="1873" spans="19:27" x14ac:dyDescent="0.2">
      <c r="S1873" s="1"/>
      <c r="T1873" s="109"/>
      <c r="W1873" s="130" t="str">
        <f t="shared" si="38"/>
        <v>1w</v>
      </c>
      <c r="X1873" s="128">
        <f>_xll.qlCalendarAdvance(Calendar,X1872,W1873,"f",FALSE)</f>
        <v>52265</v>
      </c>
      <c r="Y1873" s="131">
        <f>_xll.qlCalendarAdvance(Calendar,X1873,NDays&amp;"D")</f>
        <v>52267</v>
      </c>
      <c r="Z1873" s="132">
        <v>1.3925427460240636E-2</v>
      </c>
      <c r="AA1873" s="129">
        <v>1.3896711323919675E-2</v>
      </c>
    </row>
    <row r="1874" spans="19:27" x14ac:dyDescent="0.2">
      <c r="S1874" s="1"/>
      <c r="T1874" s="109"/>
      <c r="W1874" s="130" t="str">
        <f t="shared" si="38"/>
        <v>1w</v>
      </c>
      <c r="X1874" s="128">
        <f>_xll.qlCalendarAdvance(Calendar,X1873,W1874,"f",FALSE)</f>
        <v>52272</v>
      </c>
      <c r="Y1874" s="131">
        <f>_xll.qlCalendarAdvance(Calendar,X1874,NDays&amp;"D")</f>
        <v>52274</v>
      </c>
      <c r="Z1874" s="132">
        <v>1.3926221653077076E-2</v>
      </c>
      <c r="AA1874" s="129">
        <v>1.3897539348208809E-2</v>
      </c>
    </row>
    <row r="1875" spans="19:27" x14ac:dyDescent="0.2">
      <c r="S1875" s="1"/>
      <c r="T1875" s="109"/>
      <c r="W1875" s="130" t="str">
        <f t="shared" si="38"/>
        <v>1w</v>
      </c>
      <c r="X1875" s="128">
        <f>_xll.qlCalendarAdvance(Calendar,X1874,W1875,"f",FALSE)</f>
        <v>52279</v>
      </c>
      <c r="Y1875" s="131">
        <f>_xll.qlCalendarAdvance(Calendar,X1875,NDays&amp;"D")</f>
        <v>52281</v>
      </c>
      <c r="Z1875" s="132">
        <v>1.3927010015365785E-2</v>
      </c>
      <c r="AA1875" s="129">
        <v>1.3898361561546224E-2</v>
      </c>
    </row>
    <row r="1876" spans="19:27" x14ac:dyDescent="0.2">
      <c r="S1876" s="1"/>
      <c r="T1876" s="109"/>
      <c r="W1876" s="130" t="str">
        <f t="shared" si="38"/>
        <v>1w</v>
      </c>
      <c r="X1876" s="128">
        <f>_xll.qlCalendarAdvance(Calendar,X1875,W1876,"f",FALSE)</f>
        <v>52286</v>
      </c>
      <c r="Y1876" s="131">
        <f>_xll.qlCalendarAdvance(Calendar,X1876,NDays&amp;"D")</f>
        <v>52288</v>
      </c>
      <c r="Z1876" s="132">
        <v>1.3927792547105865E-2</v>
      </c>
      <c r="AA1876" s="129">
        <v>1.3899177964091791E-2</v>
      </c>
    </row>
    <row r="1877" spans="19:27" x14ac:dyDescent="0.2">
      <c r="S1877" s="1"/>
      <c r="T1877" s="109"/>
      <c r="W1877" s="130" t="str">
        <f t="shared" ref="W1877:W1940" si="39">W1876</f>
        <v>1w</v>
      </c>
      <c r="X1877" s="128">
        <f>_xll.qlCalendarAdvance(Calendar,X1876,W1877,"f",FALSE)</f>
        <v>52293</v>
      </c>
      <c r="Y1877" s="131">
        <f>_xll.qlCalendarAdvance(Calendar,X1877,NDays&amp;"D")</f>
        <v>52295</v>
      </c>
      <c r="Z1877" s="132">
        <v>1.3929539711626178E-2</v>
      </c>
      <c r="AA1877" s="129">
        <v>1.3899988555685638E-2</v>
      </c>
    </row>
    <row r="1878" spans="19:27" x14ac:dyDescent="0.2">
      <c r="S1878" s="1"/>
      <c r="T1878" s="109"/>
      <c r="W1878" s="130" t="str">
        <f t="shared" si="39"/>
        <v>1w</v>
      </c>
      <c r="X1878" s="128">
        <f>_xll.qlCalendarAdvance(Calendar,X1877,W1878,"f",FALSE)</f>
        <v>52300</v>
      </c>
      <c r="Y1878" s="131">
        <f>_xll.qlCalendarAdvance(Calendar,X1878,NDays&amp;"D")</f>
        <v>52302</v>
      </c>
      <c r="Z1878" s="132">
        <v>1.3930309422034631E-2</v>
      </c>
      <c r="AA1878" s="129">
        <v>1.3900793336327766E-2</v>
      </c>
    </row>
    <row r="1879" spans="19:27" x14ac:dyDescent="0.2">
      <c r="S1879" s="1"/>
      <c r="T1879" s="109"/>
      <c r="W1879" s="130" t="str">
        <f t="shared" si="39"/>
        <v>1w</v>
      </c>
      <c r="X1879" s="128">
        <f>_xll.qlCalendarAdvance(Calendar,X1878,W1879,"f",FALSE)</f>
        <v>52307</v>
      </c>
      <c r="Y1879" s="131">
        <f>_xll.qlCalendarAdvance(Calendar,X1879,NDays&amp;"D")</f>
        <v>52309</v>
      </c>
      <c r="Z1879" s="132">
        <v>1.3931073301211934E-2</v>
      </c>
      <c r="AA1879" s="129">
        <v>1.3901592306098109E-2</v>
      </c>
    </row>
    <row r="1880" spans="19:27" x14ac:dyDescent="0.2">
      <c r="S1880" s="1"/>
      <c r="T1880" s="109"/>
      <c r="W1880" s="130" t="str">
        <f t="shared" si="39"/>
        <v>1w</v>
      </c>
      <c r="X1880" s="128">
        <f>_xll.qlCalendarAdvance(Calendar,X1879,W1880,"f",FALSE)</f>
        <v>52314</v>
      </c>
      <c r="Y1880" s="131">
        <f>_xll.qlCalendarAdvance(Calendar,X1880,NDays&amp;"D")</f>
        <v>52316</v>
      </c>
      <c r="Z1880" s="132">
        <v>1.3931831349152875E-2</v>
      </c>
      <c r="AA1880" s="129">
        <v>1.3903684729436705E-2</v>
      </c>
    </row>
    <row r="1881" spans="19:27" x14ac:dyDescent="0.2">
      <c r="S1881" s="1"/>
      <c r="T1881" s="109"/>
      <c r="W1881" s="130" t="str">
        <f t="shared" si="39"/>
        <v>1w</v>
      </c>
      <c r="X1881" s="128">
        <f>_xll.qlCalendarAdvance(Calendar,X1880,W1881,"f",FALSE)</f>
        <v>52321</v>
      </c>
      <c r="Y1881" s="131">
        <f>_xll.qlCalendarAdvance(Calendar,X1881,NDays&amp;"D")</f>
        <v>52323</v>
      </c>
      <c r="Z1881" s="132">
        <v>1.3932261655040776E-2</v>
      </c>
      <c r="AA1881" s="129">
        <v>1.3903172812783637E-2</v>
      </c>
    </row>
    <row r="1882" spans="19:27" x14ac:dyDescent="0.2">
      <c r="S1882" s="1"/>
      <c r="T1882" s="109"/>
      <c r="W1882" s="130" t="str">
        <f t="shared" si="39"/>
        <v>1w</v>
      </c>
      <c r="X1882" s="128">
        <f>_xll.qlCalendarAdvance(Calendar,X1881,W1882,"f",FALSE)</f>
        <v>52328</v>
      </c>
      <c r="Y1882" s="131">
        <f>_xll.qlCalendarAdvance(Calendar,X1882,NDays&amp;"D")</f>
        <v>52330</v>
      </c>
      <c r="Z1882" s="132">
        <v>1.3933008428168508E-2</v>
      </c>
      <c r="AA1882" s="129">
        <v>1.3903954349778758E-2</v>
      </c>
    </row>
    <row r="1883" spans="19:27" x14ac:dyDescent="0.2">
      <c r="S1883" s="1"/>
      <c r="T1883" s="109"/>
      <c r="W1883" s="130" t="str">
        <f t="shared" si="39"/>
        <v>1w</v>
      </c>
      <c r="X1883" s="128">
        <f>_xll.qlCalendarAdvance(Calendar,X1882,W1883,"f",FALSE)</f>
        <v>52335</v>
      </c>
      <c r="Y1883" s="131">
        <f>_xll.qlCalendarAdvance(Calendar,X1883,NDays&amp;"D")</f>
        <v>52337</v>
      </c>
      <c r="Z1883" s="132">
        <v>1.3933749370274419E-2</v>
      </c>
      <c r="AA1883" s="129">
        <v>1.3904730075822158E-2</v>
      </c>
    </row>
    <row r="1884" spans="19:27" x14ac:dyDescent="0.2">
      <c r="S1884" s="1"/>
      <c r="T1884" s="109"/>
      <c r="W1884" s="130" t="str">
        <f t="shared" si="39"/>
        <v>1w</v>
      </c>
      <c r="X1884" s="128">
        <f>_xll.qlCalendarAdvance(Calendar,X1883,W1884,"f",FALSE)</f>
        <v>52342</v>
      </c>
      <c r="Y1884" s="131">
        <f>_xll.qlCalendarAdvance(Calendar,X1884,NDays&amp;"D")</f>
        <v>52344</v>
      </c>
      <c r="Z1884" s="132">
        <v>1.3934484481355877E-2</v>
      </c>
      <c r="AA1884" s="129">
        <v>1.3905499990993775E-2</v>
      </c>
    </row>
    <row r="1885" spans="19:27" x14ac:dyDescent="0.2">
      <c r="S1885" s="1"/>
      <c r="T1885" s="109"/>
      <c r="W1885" s="130" t="str">
        <f t="shared" si="39"/>
        <v>1w</v>
      </c>
      <c r="X1885" s="128">
        <f>_xll.qlCalendarAdvance(Calendar,X1884,W1885,"f",FALSE)</f>
        <v>52349</v>
      </c>
      <c r="Y1885" s="131">
        <f>_xll.qlCalendarAdvance(Calendar,X1885,NDays&amp;"D")</f>
        <v>52351</v>
      </c>
      <c r="Z1885" s="132">
        <v>1.3935534120214813E-2</v>
      </c>
      <c r="AA1885" s="129">
        <v>1.3907232808763048E-2</v>
      </c>
    </row>
    <row r="1886" spans="19:27" x14ac:dyDescent="0.2">
      <c r="S1886" s="1"/>
      <c r="T1886" s="109"/>
      <c r="W1886" s="130" t="str">
        <f t="shared" si="39"/>
        <v>1w</v>
      </c>
      <c r="X1886" s="128">
        <f>_xll.qlCalendarAdvance(Calendar,X1885,W1886,"f",FALSE)</f>
        <v>52356</v>
      </c>
      <c r="Y1886" s="131">
        <f>_xll.qlCalendarAdvance(Calendar,X1886,NDays&amp;"D")</f>
        <v>52358</v>
      </c>
      <c r="Z1886" s="132">
        <v>1.3936257180673277E-2</v>
      </c>
      <c r="AA1886" s="129">
        <v>1.3907022388481849E-2</v>
      </c>
    </row>
    <row r="1887" spans="19:27" x14ac:dyDescent="0.2">
      <c r="S1887" s="1"/>
      <c r="T1887" s="109"/>
      <c r="W1887" s="130" t="str">
        <f t="shared" si="39"/>
        <v>1w</v>
      </c>
      <c r="X1887" s="128">
        <f>_xll.qlCalendarAdvance(Calendar,X1886,W1887,"f",FALSE)</f>
        <v>52363</v>
      </c>
      <c r="Y1887" s="131">
        <f>_xll.qlCalendarAdvance(Calendar,X1887,NDays&amp;"D")</f>
        <v>52365</v>
      </c>
      <c r="Z1887" s="132">
        <v>1.3936974409875394E-2</v>
      </c>
      <c r="AA1887" s="129">
        <v>1.3907774870878242E-2</v>
      </c>
    </row>
    <row r="1888" spans="19:27" x14ac:dyDescent="0.2">
      <c r="S1888" s="1"/>
      <c r="T1888" s="109"/>
      <c r="W1888" s="130" t="str">
        <f t="shared" si="39"/>
        <v>1w</v>
      </c>
      <c r="X1888" s="128">
        <f>_xll.qlCalendarAdvance(Calendar,X1887,W1888,"f",FALSE)</f>
        <v>52370</v>
      </c>
      <c r="Y1888" s="131">
        <f>_xll.qlCalendarAdvance(Calendar,X1888,NDays&amp;"D")</f>
        <v>52372</v>
      </c>
      <c r="Z1888" s="132">
        <v>1.393768580781508E-2</v>
      </c>
      <c r="AA1888" s="129">
        <v>1.3908521542402852E-2</v>
      </c>
    </row>
    <row r="1889" spans="19:27" x14ac:dyDescent="0.2">
      <c r="S1889" s="1"/>
      <c r="T1889" s="109"/>
      <c r="W1889" s="130" t="str">
        <f t="shared" si="39"/>
        <v>1w</v>
      </c>
      <c r="X1889" s="128">
        <f>_xll.qlCalendarAdvance(Calendar,X1888,W1889,"f",FALSE)</f>
        <v>52377</v>
      </c>
      <c r="Y1889" s="131">
        <f>_xll.qlCalendarAdvance(Calendar,X1889,NDays&amp;"D")</f>
        <v>52379</v>
      </c>
      <c r="Z1889" s="132">
        <v>1.3938391374489732E-2</v>
      </c>
      <c r="AA1889" s="129">
        <v>1.3909262402895806E-2</v>
      </c>
    </row>
    <row r="1890" spans="19:27" x14ac:dyDescent="0.2">
      <c r="S1890" s="1"/>
      <c r="T1890" s="109"/>
      <c r="W1890" s="130" t="str">
        <f t="shared" si="39"/>
        <v>1w</v>
      </c>
      <c r="X1890" s="128">
        <f>_xll.qlCalendarAdvance(Calendar,X1889,W1890,"f",FALSE)</f>
        <v>52384</v>
      </c>
      <c r="Y1890" s="131">
        <f>_xll.qlCalendarAdvance(Calendar,X1890,NDays&amp;"D")</f>
        <v>52386</v>
      </c>
      <c r="Z1890" s="132">
        <v>1.393909110989674E-2</v>
      </c>
      <c r="AA1890" s="129">
        <v>1.3909997452596912E-2</v>
      </c>
    </row>
    <row r="1891" spans="19:27" x14ac:dyDescent="0.2">
      <c r="S1891" s="1"/>
      <c r="T1891" s="109"/>
      <c r="W1891" s="130" t="str">
        <f t="shared" si="39"/>
        <v>1w</v>
      </c>
      <c r="X1891" s="128">
        <f>_xll.qlCalendarAdvance(Calendar,X1890,W1891,"f",FALSE)</f>
        <v>52391</v>
      </c>
      <c r="Y1891" s="131">
        <f>_xll.qlCalendarAdvance(Calendar,X1891,NDays&amp;"D")</f>
        <v>52393</v>
      </c>
      <c r="Z1891" s="132">
        <v>1.3939785014032631E-2</v>
      </c>
      <c r="AA1891" s="129">
        <v>1.3910726691346298E-2</v>
      </c>
    </row>
    <row r="1892" spans="19:27" x14ac:dyDescent="0.2">
      <c r="S1892" s="1"/>
      <c r="T1892" s="109"/>
      <c r="W1892" s="130" t="str">
        <f t="shared" si="39"/>
        <v>1w</v>
      </c>
      <c r="X1892" s="128">
        <f>_xll.qlCalendarAdvance(Calendar,X1891,W1892,"f",FALSE)</f>
        <v>52398</v>
      </c>
      <c r="Y1892" s="131">
        <f>_xll.qlCalendarAdvance(Calendar,X1892,NDays&amp;"D")</f>
        <v>52400</v>
      </c>
      <c r="Z1892" s="132">
        <v>1.3940473086895664E-2</v>
      </c>
      <c r="AA1892" s="129">
        <v>1.3911450119064028E-2</v>
      </c>
    </row>
    <row r="1893" spans="19:27" x14ac:dyDescent="0.2">
      <c r="S1893" s="1"/>
      <c r="T1893" s="109"/>
      <c r="W1893" s="130" t="str">
        <f t="shared" si="39"/>
        <v>1w</v>
      </c>
      <c r="X1893" s="128">
        <f>_xll.qlCalendarAdvance(Calendar,X1892,W1893,"f",FALSE)</f>
        <v>52405</v>
      </c>
      <c r="Y1893" s="131">
        <f>_xll.qlCalendarAdvance(Calendar,X1893,NDays&amp;"D")</f>
        <v>52407</v>
      </c>
      <c r="Z1893" s="132">
        <v>1.3941155328479761E-2</v>
      </c>
      <c r="AA1893" s="129">
        <v>1.3912167735909975E-2</v>
      </c>
    </row>
    <row r="1894" spans="19:27" x14ac:dyDescent="0.2">
      <c r="S1894" s="1"/>
      <c r="T1894" s="109"/>
      <c r="W1894" s="130" t="str">
        <f t="shared" si="39"/>
        <v>1w</v>
      </c>
      <c r="X1894" s="128">
        <f>_xll.qlCalendarAdvance(Calendar,X1893,W1894,"f",FALSE)</f>
        <v>52412</v>
      </c>
      <c r="Y1894" s="131">
        <f>_xll.qlCalendarAdvance(Calendar,X1894,NDays&amp;"D")</f>
        <v>52414</v>
      </c>
      <c r="Z1894" s="132">
        <v>1.3941831738784919E-2</v>
      </c>
      <c r="AA1894" s="129">
        <v>1.3912879541964074E-2</v>
      </c>
    </row>
    <row r="1895" spans="19:27" x14ac:dyDescent="0.2">
      <c r="S1895" s="1"/>
      <c r="T1895" s="109"/>
      <c r="W1895" s="130" t="str">
        <f t="shared" si="39"/>
        <v>1w</v>
      </c>
      <c r="X1895" s="128">
        <f>_xll.qlCalendarAdvance(Calendar,X1894,W1895,"f",FALSE)</f>
        <v>52419</v>
      </c>
      <c r="Y1895" s="131">
        <f>_xll.qlCalendarAdvance(Calendar,X1895,NDays&amp;"D")</f>
        <v>52421</v>
      </c>
      <c r="Z1895" s="132">
        <v>1.3942502317805057E-2</v>
      </c>
      <c r="AA1895" s="129">
        <v>1.3913585536986517E-2</v>
      </c>
    </row>
    <row r="1896" spans="19:27" x14ac:dyDescent="0.2">
      <c r="S1896" s="1"/>
      <c r="T1896" s="109"/>
      <c r="W1896" s="130" t="str">
        <f t="shared" si="39"/>
        <v>1w</v>
      </c>
      <c r="X1896" s="128">
        <f>_xll.qlCalendarAdvance(Calendar,X1895,W1896,"f",FALSE)</f>
        <v>52426</v>
      </c>
      <c r="Y1896" s="131">
        <f>_xll.qlCalendarAdvance(Calendar,X1896,NDays&amp;"D")</f>
        <v>52428</v>
      </c>
      <c r="Z1896" s="132">
        <v>1.3943167065540177E-2</v>
      </c>
      <c r="AA1896" s="129">
        <v>1.391428572105724E-2</v>
      </c>
    </row>
    <row r="1897" spans="19:27" x14ac:dyDescent="0.2">
      <c r="S1897" s="1"/>
      <c r="T1897" s="109"/>
      <c r="W1897" s="130" t="str">
        <f t="shared" si="39"/>
        <v>1w</v>
      </c>
      <c r="X1897" s="128">
        <f>_xll.qlCalendarAdvance(Calendar,X1896,W1897,"f",FALSE)</f>
        <v>52433</v>
      </c>
      <c r="Y1897" s="131">
        <f>_xll.qlCalendarAdvance(Calendar,X1897,NDays&amp;"D")</f>
        <v>52435</v>
      </c>
      <c r="Z1897" s="132">
        <v>1.3943825981986799E-2</v>
      </c>
      <c r="AA1897" s="129">
        <v>1.3914980094176244E-2</v>
      </c>
    </row>
    <row r="1898" spans="19:27" x14ac:dyDescent="0.2">
      <c r="S1898" s="1"/>
      <c r="T1898" s="109"/>
      <c r="W1898" s="130" t="str">
        <f t="shared" si="39"/>
        <v>1w</v>
      </c>
      <c r="X1898" s="128">
        <f>_xll.qlCalendarAdvance(Calendar,X1897,W1898,"f",FALSE)</f>
        <v>52440</v>
      </c>
      <c r="Y1898" s="131">
        <f>_xll.qlCalendarAdvance(Calendar,X1898,NDays&amp;"D")</f>
        <v>52442</v>
      </c>
      <c r="Z1898" s="132">
        <v>1.3944479067140582E-2</v>
      </c>
      <c r="AA1898" s="129">
        <v>1.3915668656583335E-2</v>
      </c>
    </row>
    <row r="1899" spans="19:27" x14ac:dyDescent="0.2">
      <c r="S1899" s="1"/>
      <c r="T1899" s="109"/>
      <c r="W1899" s="130" t="str">
        <f t="shared" si="39"/>
        <v>1w</v>
      </c>
      <c r="X1899" s="128">
        <f>_xll.qlCalendarAdvance(Calendar,X1898,W1899,"f",FALSE)</f>
        <v>52447</v>
      </c>
      <c r="Y1899" s="131">
        <f>_xll.qlCalendarAdvance(Calendar,X1899,NDays&amp;"D")</f>
        <v>52449</v>
      </c>
      <c r="Z1899" s="132">
        <v>1.3945126320998917E-2</v>
      </c>
      <c r="AA1899" s="129">
        <v>1.3916351407878835E-2</v>
      </c>
    </row>
    <row r="1900" spans="19:27" x14ac:dyDescent="0.2">
      <c r="S1900" s="1"/>
      <c r="T1900" s="109"/>
      <c r="W1900" s="130" t="str">
        <f t="shared" si="39"/>
        <v>1w</v>
      </c>
      <c r="X1900" s="128">
        <f>_xll.qlCalendarAdvance(Calendar,X1899,W1900,"f",FALSE)</f>
        <v>52454</v>
      </c>
      <c r="Y1900" s="131">
        <f>_xll.qlCalendarAdvance(Calendar,X1900,NDays&amp;"D")</f>
        <v>52456</v>
      </c>
      <c r="Z1900" s="132">
        <v>1.3945767743560071E-2</v>
      </c>
      <c r="AA1900" s="129">
        <v>1.3917028348382487E-2</v>
      </c>
    </row>
    <row r="1901" spans="19:27" x14ac:dyDescent="0.2">
      <c r="S1901" s="1"/>
      <c r="T1901" s="109"/>
      <c r="W1901" s="130" t="str">
        <f t="shared" si="39"/>
        <v>1w</v>
      </c>
      <c r="X1901" s="128">
        <f>_xll.qlCalendarAdvance(Calendar,X1900,W1901,"f",FALSE)</f>
        <v>52461</v>
      </c>
      <c r="Y1901" s="131">
        <f>_xll.qlCalendarAdvance(Calendar,X1901,NDays&amp;"D")</f>
        <v>52463</v>
      </c>
      <c r="Z1901" s="132">
        <v>1.3946403334820561E-2</v>
      </c>
      <c r="AA1901" s="129">
        <v>1.3917699477854484E-2</v>
      </c>
    </row>
    <row r="1902" spans="19:27" x14ac:dyDescent="0.2">
      <c r="S1902" s="1"/>
      <c r="T1902" s="109"/>
      <c r="W1902" s="130" t="str">
        <f t="shared" si="39"/>
        <v>1w</v>
      </c>
      <c r="X1902" s="128">
        <f>_xll.qlCalendarAdvance(Calendar,X1901,W1902,"f",FALSE)</f>
        <v>52468</v>
      </c>
      <c r="Y1902" s="131">
        <f>_xll.qlCalendarAdvance(Calendar,X1902,NDays&amp;"D")</f>
        <v>52470</v>
      </c>
      <c r="Z1902" s="132">
        <v>1.394703309477692E-2</v>
      </c>
      <c r="AA1902" s="129">
        <v>1.3918364796454696E-2</v>
      </c>
    </row>
    <row r="1903" spans="19:27" x14ac:dyDescent="0.2">
      <c r="S1903" s="1"/>
      <c r="T1903" s="109"/>
      <c r="W1903" s="130" t="str">
        <f t="shared" si="39"/>
        <v>1w</v>
      </c>
      <c r="X1903" s="128">
        <f>_xll.qlCalendarAdvance(Calendar,X1902,W1903,"f",FALSE)</f>
        <v>52475</v>
      </c>
      <c r="Y1903" s="131">
        <f>_xll.qlCalendarAdvance(Calendar,X1903,NDays&amp;"D")</f>
        <v>52477</v>
      </c>
      <c r="Z1903" s="132">
        <v>1.3947343693063646E-2</v>
      </c>
      <c r="AA1903" s="129">
        <v>1.3919024304183125E-2</v>
      </c>
    </row>
    <row r="1904" spans="19:27" x14ac:dyDescent="0.2">
      <c r="S1904" s="1"/>
      <c r="T1904" s="109"/>
      <c r="W1904" s="130" t="str">
        <f t="shared" si="39"/>
        <v>1w</v>
      </c>
      <c r="X1904" s="128">
        <f>_xll.qlCalendarAdvance(Calendar,X1903,W1904,"f",FALSE)</f>
        <v>52482</v>
      </c>
      <c r="Y1904" s="131">
        <f>_xll.qlCalendarAdvance(Calendar,X1904,NDays&amp;"D")</f>
        <v>52484</v>
      </c>
      <c r="Z1904" s="132">
        <v>1.3947962183005983E-2</v>
      </c>
      <c r="AA1904" s="129">
        <v>1.3919678000959834E-2</v>
      </c>
    </row>
    <row r="1905" spans="19:27" x14ac:dyDescent="0.2">
      <c r="S1905" s="1"/>
      <c r="T1905" s="109"/>
      <c r="W1905" s="130" t="str">
        <f t="shared" si="39"/>
        <v>1w</v>
      </c>
      <c r="X1905" s="128">
        <f>_xll.qlCalendarAdvance(Calendar,X1904,W1905,"f",FALSE)</f>
        <v>52489</v>
      </c>
      <c r="Y1905" s="131">
        <f>_xll.qlCalendarAdvance(Calendar,X1905,NDays&amp;"D")</f>
        <v>52491</v>
      </c>
      <c r="Z1905" s="132">
        <v>1.3948574841861499E-2</v>
      </c>
      <c r="AA1905" s="129">
        <v>1.3920325886864759E-2</v>
      </c>
    </row>
    <row r="1906" spans="19:27" x14ac:dyDescent="0.2">
      <c r="S1906" s="1"/>
      <c r="T1906" s="109"/>
      <c r="W1906" s="130" t="str">
        <f t="shared" si="39"/>
        <v>1w</v>
      </c>
      <c r="X1906" s="128">
        <f>_xll.qlCalendarAdvance(Calendar,X1905,W1906,"f",FALSE)</f>
        <v>52496</v>
      </c>
      <c r="Y1906" s="131">
        <f>_xll.qlCalendarAdvance(Calendar,X1906,NDays&amp;"D")</f>
        <v>52498</v>
      </c>
      <c r="Z1906" s="132">
        <v>1.394918166962668E-2</v>
      </c>
      <c r="AA1906" s="129">
        <v>1.3920967961738029E-2</v>
      </c>
    </row>
    <row r="1907" spans="19:27" x14ac:dyDescent="0.2">
      <c r="S1907" s="1"/>
      <c r="T1907" s="109"/>
      <c r="W1907" s="130" t="str">
        <f t="shared" si="39"/>
        <v>1w</v>
      </c>
      <c r="X1907" s="128">
        <f>_xll.qlCalendarAdvance(Calendar,X1906,W1907,"f",FALSE)</f>
        <v>52503</v>
      </c>
      <c r="Y1907" s="131">
        <f>_xll.qlCalendarAdvance(Calendar,X1907,NDays&amp;"D")</f>
        <v>52505</v>
      </c>
      <c r="Z1907" s="132">
        <v>1.3951029523880346E-2</v>
      </c>
      <c r="AA1907" s="129">
        <v>1.3921604225739515E-2</v>
      </c>
    </row>
    <row r="1908" spans="19:27" x14ac:dyDescent="0.2">
      <c r="S1908" s="1"/>
      <c r="T1908" s="109"/>
      <c r="W1908" s="130" t="str">
        <f t="shared" si="39"/>
        <v>1w</v>
      </c>
      <c r="X1908" s="128">
        <f>_xll.qlCalendarAdvance(Calendar,X1907,W1908,"f",FALSE)</f>
        <v>52510</v>
      </c>
      <c r="Y1908" s="131">
        <f>_xll.qlCalendarAdvance(Calendar,X1908,NDays&amp;"D")</f>
        <v>52512</v>
      </c>
      <c r="Z1908" s="132">
        <v>1.3950689196985727E-2</v>
      </c>
      <c r="AA1908" s="129">
        <v>1.392223467878928E-2</v>
      </c>
    </row>
    <row r="1909" spans="19:27" x14ac:dyDescent="0.2">
      <c r="S1909" s="1"/>
      <c r="T1909" s="109"/>
      <c r="W1909" s="130" t="str">
        <f t="shared" si="39"/>
        <v>1w</v>
      </c>
      <c r="X1909" s="128">
        <f>_xll.qlCalendarAdvance(Calendar,X1908,W1909,"f",FALSE)</f>
        <v>52517</v>
      </c>
      <c r="Y1909" s="131">
        <f>_xll.qlCalendarAdvance(Calendar,X1909,NDays&amp;"D")</f>
        <v>52519</v>
      </c>
      <c r="Z1909" s="132">
        <v>1.3951278137739285E-2</v>
      </c>
      <c r="AA1909" s="129">
        <v>1.3922859320967262E-2</v>
      </c>
    </row>
    <row r="1910" spans="19:27" x14ac:dyDescent="0.2">
      <c r="S1910" s="1"/>
      <c r="T1910" s="109"/>
      <c r="W1910" s="130" t="str">
        <f t="shared" si="39"/>
        <v>1w</v>
      </c>
      <c r="X1910" s="128">
        <f>_xll.qlCalendarAdvance(Calendar,X1909,W1910,"f",FALSE)</f>
        <v>52524</v>
      </c>
      <c r="Y1910" s="131">
        <f>_xll.qlCalendarAdvance(Calendar,X1910,NDays&amp;"D")</f>
        <v>52526</v>
      </c>
      <c r="Z1910" s="132">
        <v>1.3951861247167853E-2</v>
      </c>
      <c r="AA1910" s="129">
        <v>1.3923478152193525E-2</v>
      </c>
    </row>
    <row r="1911" spans="19:27" x14ac:dyDescent="0.2">
      <c r="S1911" s="1"/>
      <c r="T1911" s="109"/>
      <c r="W1911" s="130" t="str">
        <f t="shared" si="39"/>
        <v>1w</v>
      </c>
      <c r="X1911" s="128">
        <f>_xll.qlCalendarAdvance(Calendar,X1910,W1911,"f",FALSE)</f>
        <v>52531</v>
      </c>
      <c r="Y1911" s="131">
        <f>_xll.qlCalendarAdvance(Calendar,X1911,NDays&amp;"D")</f>
        <v>52533</v>
      </c>
      <c r="Z1911" s="132">
        <v>1.3952438525268826E-2</v>
      </c>
      <c r="AA1911" s="129">
        <v>1.3924091172627939E-2</v>
      </c>
    </row>
    <row r="1912" spans="19:27" x14ac:dyDescent="0.2">
      <c r="S1912" s="1"/>
      <c r="T1912" s="109"/>
      <c r="W1912" s="130" t="str">
        <f t="shared" si="39"/>
        <v>1w</v>
      </c>
      <c r="X1912" s="128">
        <f>_xll.qlCalendarAdvance(Calendar,X1911,W1912,"f",FALSE)</f>
        <v>52538</v>
      </c>
      <c r="Y1912" s="131">
        <f>_xll.qlCalendarAdvance(Calendar,X1912,NDays&amp;"D")</f>
        <v>52540</v>
      </c>
      <c r="Z1912" s="132">
        <v>1.395300997203873E-2</v>
      </c>
      <c r="AA1912" s="129">
        <v>1.3924698381950762E-2</v>
      </c>
    </row>
    <row r="1913" spans="19:27" x14ac:dyDescent="0.2">
      <c r="S1913" s="1"/>
      <c r="T1913" s="109"/>
      <c r="W1913" s="130" t="str">
        <f t="shared" si="39"/>
        <v>1w</v>
      </c>
      <c r="X1913" s="128">
        <f>_xll.qlCalendarAdvance(Calendar,X1912,W1913,"f",FALSE)</f>
        <v>52545</v>
      </c>
      <c r="Y1913" s="131">
        <f>_xll.qlCalendarAdvance(Calendar,X1913,NDays&amp;"D")</f>
        <v>52547</v>
      </c>
      <c r="Z1913" s="132">
        <v>1.3953575587477564E-2</v>
      </c>
      <c r="AA1913" s="129">
        <v>1.3925299780481737E-2</v>
      </c>
    </row>
    <row r="1914" spans="19:27" x14ac:dyDescent="0.2">
      <c r="S1914" s="1"/>
      <c r="T1914" s="109"/>
      <c r="W1914" s="130" t="str">
        <f t="shared" si="39"/>
        <v>1w</v>
      </c>
      <c r="X1914" s="128">
        <f>_xll.qlCalendarAdvance(Calendar,X1913,W1914,"f",FALSE)</f>
        <v>52552</v>
      </c>
      <c r="Y1914" s="131">
        <f>_xll.qlCalendarAdvance(Calendar,X1914,NDays&amp;"D")</f>
        <v>52554</v>
      </c>
      <c r="Z1914" s="132">
        <v>1.3954135371578375E-2</v>
      </c>
      <c r="AA1914" s="129">
        <v>1.3925895368060992E-2</v>
      </c>
    </row>
    <row r="1915" spans="19:27" x14ac:dyDescent="0.2">
      <c r="S1915" s="1"/>
      <c r="T1915" s="109"/>
      <c r="W1915" s="130" t="str">
        <f t="shared" si="39"/>
        <v>1w</v>
      </c>
      <c r="X1915" s="128">
        <f>_xll.qlCalendarAdvance(Calendar,X1914,W1915,"f",FALSE)</f>
        <v>52559</v>
      </c>
      <c r="Y1915" s="131">
        <f>_xll.qlCalendarAdvance(Calendar,X1915,NDays&amp;"D")</f>
        <v>52561</v>
      </c>
      <c r="Z1915" s="132">
        <v>1.3954689324343773E-2</v>
      </c>
      <c r="AA1915" s="129">
        <v>1.3926485144768463E-2</v>
      </c>
    </row>
    <row r="1916" spans="19:27" x14ac:dyDescent="0.2">
      <c r="S1916" s="1"/>
      <c r="T1916" s="109"/>
      <c r="W1916" s="130" t="str">
        <f t="shared" si="39"/>
        <v>1w</v>
      </c>
      <c r="X1916" s="128">
        <f>_xll.qlCalendarAdvance(Calendar,X1915,W1916,"f",FALSE)</f>
        <v>52566</v>
      </c>
      <c r="Y1916" s="131">
        <f>_xll.qlCalendarAdvance(Calendar,X1916,NDays&amp;"D")</f>
        <v>52568</v>
      </c>
      <c r="Z1916" s="132">
        <v>1.3954929236755726E-2</v>
      </c>
      <c r="AA1916" s="129">
        <v>1.3927069110524215E-2</v>
      </c>
    </row>
    <row r="1917" spans="19:27" x14ac:dyDescent="0.2">
      <c r="S1917" s="1"/>
      <c r="T1917" s="109"/>
      <c r="W1917" s="130" t="str">
        <f t="shared" si="39"/>
        <v>1w</v>
      </c>
      <c r="X1917" s="128">
        <f>_xll.qlCalendarAdvance(Calendar,X1916,W1917,"f",FALSE)</f>
        <v>52573</v>
      </c>
      <c r="Y1917" s="131">
        <f>_xll.qlCalendarAdvance(Calendar,X1917,NDays&amp;"D")</f>
        <v>52575</v>
      </c>
      <c r="Z1917" s="132">
        <v>1.3955471922360312E-2</v>
      </c>
      <c r="AA1917" s="129">
        <v>1.3927647265248311E-2</v>
      </c>
    </row>
    <row r="1918" spans="19:27" x14ac:dyDescent="0.2">
      <c r="S1918" s="1"/>
      <c r="T1918" s="109"/>
      <c r="W1918" s="130" t="str">
        <f t="shared" si="39"/>
        <v>1w</v>
      </c>
      <c r="X1918" s="128">
        <f>_xll.qlCalendarAdvance(Calendar,X1917,W1918,"f",FALSE)</f>
        <v>52580</v>
      </c>
      <c r="Y1918" s="131">
        <f>_xll.qlCalendarAdvance(Calendar,X1918,NDays&amp;"D")</f>
        <v>52582</v>
      </c>
      <c r="Z1918" s="132">
        <v>1.3956008776844697E-2</v>
      </c>
      <c r="AA1918" s="129">
        <v>1.3928219609100623E-2</v>
      </c>
    </row>
    <row r="1919" spans="19:27" x14ac:dyDescent="0.2">
      <c r="S1919" s="1"/>
      <c r="T1919" s="109"/>
      <c r="W1919" s="130" t="str">
        <f t="shared" si="39"/>
        <v>1w</v>
      </c>
      <c r="X1919" s="128">
        <f>_xll.qlCalendarAdvance(Calendar,X1918,W1919,"f",FALSE)</f>
        <v>52587</v>
      </c>
      <c r="Y1919" s="131">
        <f>_xll.qlCalendarAdvance(Calendar,X1919,NDays&amp;"D")</f>
        <v>52589</v>
      </c>
      <c r="Z1919" s="132">
        <v>1.3956539800207121E-2</v>
      </c>
      <c r="AA1919" s="129">
        <v>1.3929715126270725E-2</v>
      </c>
    </row>
    <row r="1920" spans="19:27" x14ac:dyDescent="0.2">
      <c r="S1920" s="1"/>
      <c r="T1920" s="109"/>
      <c r="W1920" s="130" t="str">
        <f t="shared" si="39"/>
        <v>1w</v>
      </c>
      <c r="X1920" s="128">
        <f>_xll.qlCalendarAdvance(Calendar,X1919,W1920,"f",FALSE)</f>
        <v>52594</v>
      </c>
      <c r="Y1920" s="131">
        <f>_xll.qlCalendarAdvance(Calendar,X1920,NDays&amp;"D")</f>
        <v>52596</v>
      </c>
      <c r="Z1920" s="132">
        <v>1.3957064992443195E-2</v>
      </c>
      <c r="AA1920" s="129">
        <v>1.3930274668083609E-2</v>
      </c>
    </row>
    <row r="1921" spans="19:27" x14ac:dyDescent="0.2">
      <c r="S1921" s="1"/>
      <c r="T1921" s="109"/>
      <c r="W1921" s="130" t="str">
        <f t="shared" si="39"/>
        <v>1w</v>
      </c>
      <c r="X1921" s="128">
        <f>_xll.qlCalendarAdvance(Calendar,X1920,W1921,"f",FALSE)</f>
        <v>52601</v>
      </c>
      <c r="Y1921" s="131">
        <f>_xll.qlCalendarAdvance(Calendar,X1921,NDays&amp;"D")</f>
        <v>52603</v>
      </c>
      <c r="Z1921" s="132">
        <v>1.3957584353552918E-2</v>
      </c>
      <c r="AA1921" s="129">
        <v>1.392990177534692E-2</v>
      </c>
    </row>
    <row r="1922" spans="19:27" x14ac:dyDescent="0.2">
      <c r="S1922" s="1"/>
      <c r="T1922" s="109"/>
      <c r="W1922" s="130" t="str">
        <f t="shared" si="39"/>
        <v>1w</v>
      </c>
      <c r="X1922" s="128">
        <f>_xll.qlCalendarAdvance(Calendar,X1921,W1922,"f",FALSE)</f>
        <v>52608</v>
      </c>
      <c r="Y1922" s="131">
        <f>_xll.qlCalendarAdvance(Calendar,X1922,NDays&amp;"D")</f>
        <v>52610</v>
      </c>
      <c r="Z1922" s="132">
        <v>1.3958097883531898E-2</v>
      </c>
      <c r="AA1922" s="129">
        <v>1.3930450875552225E-2</v>
      </c>
    </row>
    <row r="1923" spans="19:27" x14ac:dyDescent="0.2">
      <c r="S1923" s="1"/>
      <c r="T1923" s="109"/>
      <c r="W1923" s="130" t="str">
        <f t="shared" si="39"/>
        <v>1w</v>
      </c>
      <c r="X1923" s="128">
        <f>_xll.qlCalendarAdvance(Calendar,X1922,W1923,"f",FALSE)</f>
        <v>52615</v>
      </c>
      <c r="Y1923" s="131">
        <f>_xll.qlCalendarAdvance(Calendar,X1923,NDays&amp;"D")</f>
        <v>52617</v>
      </c>
      <c r="Z1923" s="132">
        <v>1.3958605582381014E-2</v>
      </c>
      <c r="AA1923" s="129">
        <v>1.393099416480581E-2</v>
      </c>
    </row>
    <row r="1924" spans="19:27" x14ac:dyDescent="0.2">
      <c r="S1924" s="1"/>
      <c r="T1924" s="109"/>
      <c r="W1924" s="130" t="str">
        <f t="shared" si="39"/>
        <v>1w</v>
      </c>
      <c r="X1924" s="128">
        <f>_xll.qlCalendarAdvance(Calendar,X1923,W1924,"f",FALSE)</f>
        <v>52622</v>
      </c>
      <c r="Y1924" s="131">
        <f>_xll.qlCalendarAdvance(Calendar,X1924,NDays&amp;"D")</f>
        <v>52624</v>
      </c>
      <c r="Z1924" s="132">
        <v>1.3959107450093237E-2</v>
      </c>
      <c r="AA1924" s="129">
        <v>1.3931531643107675E-2</v>
      </c>
    </row>
    <row r="1925" spans="19:27" x14ac:dyDescent="0.2">
      <c r="S1925" s="1"/>
      <c r="T1925" s="109"/>
      <c r="W1925" s="130" t="str">
        <f t="shared" si="39"/>
        <v>1w</v>
      </c>
      <c r="X1925" s="128">
        <f>_xll.qlCalendarAdvance(Calendar,X1924,W1925,"f",FALSE)</f>
        <v>52629</v>
      </c>
      <c r="Y1925" s="131">
        <f>_xll.qlCalendarAdvance(Calendar,X1925,NDays&amp;"D")</f>
        <v>52631</v>
      </c>
      <c r="Z1925" s="132">
        <v>1.3959298815450438E-2</v>
      </c>
      <c r="AA1925" s="129">
        <v>1.3932063310617693E-2</v>
      </c>
    </row>
    <row r="1926" spans="19:27" x14ac:dyDescent="0.2">
      <c r="S1926" s="1"/>
      <c r="T1926" s="109"/>
      <c r="W1926" s="130" t="str">
        <f t="shared" si="39"/>
        <v>1w</v>
      </c>
      <c r="X1926" s="128">
        <f>_xll.qlCalendarAdvance(Calendar,X1925,W1926,"f",FALSE)</f>
        <v>52636</v>
      </c>
      <c r="Y1926" s="131">
        <f>_xll.qlCalendarAdvance(Calendar,X1926,NDays&amp;"D")</f>
        <v>52638</v>
      </c>
      <c r="Z1926" s="132">
        <v>1.3959789418407809E-2</v>
      </c>
      <c r="AA1926" s="129">
        <v>1.3932589167255927E-2</v>
      </c>
    </row>
    <row r="1927" spans="19:27" x14ac:dyDescent="0.2">
      <c r="S1927" s="1"/>
      <c r="T1927" s="109"/>
      <c r="W1927" s="130" t="str">
        <f t="shared" si="39"/>
        <v>1w</v>
      </c>
      <c r="X1927" s="128">
        <f>_xll.qlCalendarAdvance(Calendar,X1926,W1927,"f",FALSE)</f>
        <v>52643</v>
      </c>
      <c r="Y1927" s="131">
        <f>_xll.qlCalendarAdvance(Calendar,X1927,NDays&amp;"D")</f>
        <v>52645</v>
      </c>
      <c r="Z1927" s="132">
        <v>1.3960274190449873E-2</v>
      </c>
      <c r="AA1927" s="129">
        <v>1.3933109212782568E-2</v>
      </c>
    </row>
    <row r="1928" spans="19:27" x14ac:dyDescent="0.2">
      <c r="S1928" s="1"/>
      <c r="T1928" s="109"/>
      <c r="W1928" s="130" t="str">
        <f t="shared" si="39"/>
        <v>1w</v>
      </c>
      <c r="X1928" s="128">
        <f>_xll.qlCalendarAdvance(Calendar,X1927,W1928,"f",FALSE)</f>
        <v>52650</v>
      </c>
      <c r="Y1928" s="131">
        <f>_xll.qlCalendarAdvance(Calendar,X1928,NDays&amp;"D")</f>
        <v>52652</v>
      </c>
      <c r="Z1928" s="132">
        <v>1.3960753131574855E-2</v>
      </c>
      <c r="AA1928" s="129">
        <v>1.3933623447597299E-2</v>
      </c>
    </row>
    <row r="1929" spans="19:27" x14ac:dyDescent="0.2">
      <c r="S1929" s="1"/>
      <c r="T1929" s="109"/>
      <c r="W1929" s="130" t="str">
        <f t="shared" si="39"/>
        <v>1w</v>
      </c>
      <c r="X1929" s="128">
        <f>_xll.qlCalendarAdvance(Calendar,X1928,W1929,"f",FALSE)</f>
        <v>52657</v>
      </c>
      <c r="Y1929" s="131">
        <f>_xll.qlCalendarAdvance(Calendar,X1929,NDays&amp;"D")</f>
        <v>52659</v>
      </c>
      <c r="Z1929" s="132">
        <v>1.3961832371209076E-2</v>
      </c>
      <c r="AA1929" s="129">
        <v>1.3934131871220501E-2</v>
      </c>
    </row>
    <row r="1930" spans="19:27" x14ac:dyDescent="0.2">
      <c r="S1930" s="1"/>
      <c r="T1930" s="109"/>
      <c r="W1930" s="130" t="str">
        <f t="shared" si="39"/>
        <v>1w</v>
      </c>
      <c r="X1930" s="128">
        <f>_xll.qlCalendarAdvance(Calendar,X1929,W1930,"f",FALSE)</f>
        <v>52664</v>
      </c>
      <c r="Y1930" s="131">
        <f>_xll.qlCalendarAdvance(Calendar,X1930,NDays&amp;"D")</f>
        <v>52666</v>
      </c>
      <c r="Z1930" s="132">
        <v>1.3962298853620037E-2</v>
      </c>
      <c r="AA1930" s="129">
        <v>1.3934634484131792E-2</v>
      </c>
    </row>
    <row r="1931" spans="19:27" x14ac:dyDescent="0.2">
      <c r="S1931" s="1"/>
      <c r="T1931" s="109"/>
      <c r="W1931" s="130" t="str">
        <f t="shared" si="39"/>
        <v>1w</v>
      </c>
      <c r="X1931" s="128">
        <f>_xll.qlCalendarAdvance(Calendar,X1930,W1931,"f",FALSE)</f>
        <v>52671</v>
      </c>
      <c r="Y1931" s="131">
        <f>_xll.qlCalendarAdvance(Calendar,X1931,NDays&amp;"D")</f>
        <v>52673</v>
      </c>
      <c r="Z1931" s="132">
        <v>1.3962759504658221E-2</v>
      </c>
      <c r="AA1931" s="129">
        <v>1.3935131286091362E-2</v>
      </c>
    </row>
    <row r="1932" spans="19:27" x14ac:dyDescent="0.2">
      <c r="S1932" s="1"/>
      <c r="T1932" s="109"/>
      <c r="W1932" s="130" t="str">
        <f t="shared" si="39"/>
        <v>1w</v>
      </c>
      <c r="X1932" s="128">
        <f>_xll.qlCalendarAdvance(Calendar,X1931,W1932,"f",FALSE)</f>
        <v>52678</v>
      </c>
      <c r="Y1932" s="131">
        <f>_xll.qlCalendarAdvance(Calendar,X1932,NDays&amp;"D")</f>
        <v>52680</v>
      </c>
      <c r="Z1932" s="132">
        <v>1.3963214324318416E-2</v>
      </c>
      <c r="AA1932" s="129">
        <v>1.3935622277099213E-2</v>
      </c>
    </row>
    <row r="1933" spans="19:27" x14ac:dyDescent="0.2">
      <c r="S1933" s="1"/>
      <c r="T1933" s="109"/>
      <c r="W1933" s="130" t="str">
        <f t="shared" si="39"/>
        <v>1w</v>
      </c>
      <c r="X1933" s="128">
        <f>_xll.qlCalendarAdvance(Calendar,X1932,W1933,"f",FALSE)</f>
        <v>52685</v>
      </c>
      <c r="Y1933" s="131">
        <f>_xll.qlCalendarAdvance(Calendar,X1933,NDays&amp;"D")</f>
        <v>52687</v>
      </c>
      <c r="Z1933" s="132">
        <v>1.3963361858122624E-2</v>
      </c>
      <c r="AA1933" s="129">
        <v>1.3936107457235281E-2</v>
      </c>
    </row>
    <row r="1934" spans="19:27" x14ac:dyDescent="0.2">
      <c r="S1934" s="1"/>
      <c r="T1934" s="109"/>
      <c r="W1934" s="130" t="str">
        <f t="shared" si="39"/>
        <v>1w</v>
      </c>
      <c r="X1934" s="128">
        <f>_xll.qlCalendarAdvance(Calendar,X1933,W1934,"f",FALSE)</f>
        <v>52692</v>
      </c>
      <c r="Y1934" s="131">
        <f>_xll.qlCalendarAdvance(Calendar,X1934,NDays&amp;"D")</f>
        <v>52694</v>
      </c>
      <c r="Z1934" s="132">
        <v>1.3963805414378085E-2</v>
      </c>
      <c r="AA1934" s="129">
        <v>1.3936586826419628E-2</v>
      </c>
    </row>
    <row r="1935" spans="19:27" x14ac:dyDescent="0.2">
      <c r="S1935" s="1"/>
      <c r="T1935" s="109"/>
      <c r="W1935" s="130" t="str">
        <f t="shared" si="39"/>
        <v>1w</v>
      </c>
      <c r="X1935" s="128">
        <f>_xll.qlCalendarAdvance(Calendar,X1934,W1935,"f",FALSE)</f>
        <v>52699</v>
      </c>
      <c r="Y1935" s="131">
        <f>_xll.qlCalendarAdvance(Calendar,X1935,NDays&amp;"D")</f>
        <v>52701</v>
      </c>
      <c r="Z1935" s="132">
        <v>1.3964243139475571E-2</v>
      </c>
      <c r="AA1935" s="129">
        <v>1.3938273683937297E-2</v>
      </c>
    </row>
    <row r="1936" spans="19:27" x14ac:dyDescent="0.2">
      <c r="S1936" s="1"/>
      <c r="T1936" s="109"/>
      <c r="W1936" s="130" t="str">
        <f t="shared" si="39"/>
        <v>1w</v>
      </c>
      <c r="X1936" s="128">
        <f>_xll.qlCalendarAdvance(Calendar,X1935,W1936,"f",FALSE)</f>
        <v>52706</v>
      </c>
      <c r="Y1936" s="131">
        <f>_xll.qlCalendarAdvance(Calendar,X1936,NDays&amp;"D")</f>
        <v>52708</v>
      </c>
      <c r="Z1936" s="132">
        <v>1.3964675033412449E-2</v>
      </c>
      <c r="AA1936" s="129">
        <v>1.3937528131933163E-2</v>
      </c>
    </row>
    <row r="1937" spans="19:27" x14ac:dyDescent="0.2">
      <c r="S1937" s="1"/>
      <c r="T1937" s="109"/>
      <c r="W1937" s="130" t="str">
        <f t="shared" si="39"/>
        <v>1w</v>
      </c>
      <c r="X1937" s="128">
        <f>_xll.qlCalendarAdvance(Calendar,X1936,W1937,"f",FALSE)</f>
        <v>52713</v>
      </c>
      <c r="Y1937" s="131">
        <f>_xll.qlCalendarAdvance(Calendar,X1937,NDays&amp;"D")</f>
        <v>52715</v>
      </c>
      <c r="Z1937" s="132">
        <v>1.3965101096191354E-2</v>
      </c>
      <c r="AA1937" s="129">
        <v>1.3937990068422224E-2</v>
      </c>
    </row>
    <row r="1938" spans="19:27" x14ac:dyDescent="0.2">
      <c r="S1938" s="1"/>
      <c r="T1938" s="109"/>
      <c r="W1938" s="130" t="str">
        <f t="shared" si="39"/>
        <v>1w</v>
      </c>
      <c r="X1938" s="128">
        <f>_xll.qlCalendarAdvance(Calendar,X1937,W1938,"f",FALSE)</f>
        <v>52720</v>
      </c>
      <c r="Y1938" s="131">
        <f>_xll.qlCalendarAdvance(Calendar,X1938,NDays&amp;"D")</f>
        <v>52722</v>
      </c>
      <c r="Z1938" s="132">
        <v>1.396582078326622E-2</v>
      </c>
      <c r="AA1938" s="129">
        <v>1.3938446193879628E-2</v>
      </c>
    </row>
    <row r="1939" spans="19:27" x14ac:dyDescent="0.2">
      <c r="S1939" s="1"/>
      <c r="T1939" s="109"/>
      <c r="W1939" s="130" t="str">
        <f t="shared" si="39"/>
        <v>1w</v>
      </c>
      <c r="X1939" s="128">
        <f>_xll.qlCalendarAdvance(Calendar,X1938,W1939,"f",FALSE)</f>
        <v>52727</v>
      </c>
      <c r="Y1939" s="131">
        <f>_xll.qlCalendarAdvance(Calendar,X1939,NDays&amp;"D")</f>
        <v>52729</v>
      </c>
      <c r="Z1939" s="132">
        <v>1.3966234783236178E-2</v>
      </c>
      <c r="AA1939" s="129">
        <v>1.3938896508385312E-2</v>
      </c>
    </row>
    <row r="1940" spans="19:27" x14ac:dyDescent="0.2">
      <c r="S1940" s="1"/>
      <c r="T1940" s="109"/>
      <c r="W1940" s="130" t="str">
        <f t="shared" si="39"/>
        <v>1w</v>
      </c>
      <c r="X1940" s="128">
        <f>_xll.qlCalendarAdvance(Calendar,X1939,W1940,"f",FALSE)</f>
        <v>52734</v>
      </c>
      <c r="Y1940" s="131">
        <f>_xll.qlCalendarAdvance(Calendar,X1940,NDays&amp;"D")</f>
        <v>52736</v>
      </c>
      <c r="Z1940" s="132">
        <v>1.3966642951814245E-2</v>
      </c>
      <c r="AA1940" s="129">
        <v>1.3939341012099149E-2</v>
      </c>
    </row>
    <row r="1941" spans="19:27" x14ac:dyDescent="0.2">
      <c r="S1941" s="1"/>
      <c r="T1941" s="109"/>
      <c r="W1941" s="130" t="str">
        <f t="shared" ref="W1941:W2004" si="40">W1940</f>
        <v>1w</v>
      </c>
      <c r="X1941" s="128">
        <f>_xll.qlCalendarAdvance(Calendar,X1940,W1941,"f",FALSE)</f>
        <v>52741</v>
      </c>
      <c r="Y1941" s="131">
        <f>_xll.qlCalendarAdvance(Calendar,X1941,NDays&amp;"D")</f>
        <v>52743</v>
      </c>
      <c r="Z1941" s="132">
        <v>1.3967045288998683E-2</v>
      </c>
      <c r="AA1941" s="129">
        <v>1.3939779704861266E-2</v>
      </c>
    </row>
    <row r="1942" spans="19:27" x14ac:dyDescent="0.2">
      <c r="S1942" s="1"/>
      <c r="T1942" s="109"/>
      <c r="W1942" s="130" t="str">
        <f t="shared" si="40"/>
        <v>1w</v>
      </c>
      <c r="X1942" s="128">
        <f>_xll.qlCalendarAdvance(Calendar,X1941,W1942,"f",FALSE)</f>
        <v>52748</v>
      </c>
      <c r="Y1942" s="131">
        <f>_xll.qlCalendarAdvance(Calendar,X1942,NDays&amp;"D")</f>
        <v>52750</v>
      </c>
      <c r="Z1942" s="132">
        <v>1.3967441794788623E-2</v>
      </c>
      <c r="AA1942" s="129">
        <v>1.3940212586671663E-2</v>
      </c>
    </row>
    <row r="1943" spans="19:27" x14ac:dyDescent="0.2">
      <c r="S1943" s="1"/>
      <c r="T1943" s="109"/>
      <c r="W1943" s="130" t="str">
        <f t="shared" si="40"/>
        <v>1w</v>
      </c>
      <c r="X1943" s="128">
        <f>_xll.qlCalendarAdvance(Calendar,X1942,W1943,"f",FALSE)</f>
        <v>52755</v>
      </c>
      <c r="Y1943" s="131">
        <f>_xll.qlCalendarAdvance(Calendar,X1943,NDays&amp;"D")</f>
        <v>52757</v>
      </c>
      <c r="Z1943" s="132">
        <v>1.3967832469179722E-2</v>
      </c>
      <c r="AA1943" s="129">
        <v>1.394063965753034E-2</v>
      </c>
    </row>
    <row r="1944" spans="19:27" x14ac:dyDescent="0.2">
      <c r="S1944" s="1"/>
      <c r="T1944" s="109"/>
      <c r="W1944" s="130" t="str">
        <f t="shared" si="40"/>
        <v>1w</v>
      </c>
      <c r="X1944" s="128">
        <f>_xll.qlCalendarAdvance(Calendar,X1943,W1944,"f",FALSE)</f>
        <v>52762</v>
      </c>
      <c r="Y1944" s="131">
        <f>_xll.qlCalendarAdvance(Calendar,X1944,NDays&amp;"D")</f>
        <v>52764</v>
      </c>
      <c r="Z1944" s="132">
        <v>1.3968217312171977E-2</v>
      </c>
      <c r="AA1944" s="129">
        <v>1.394106091759717E-2</v>
      </c>
    </row>
    <row r="1945" spans="19:27" x14ac:dyDescent="0.2">
      <c r="S1945" s="1"/>
      <c r="T1945" s="109"/>
      <c r="W1945" s="130" t="str">
        <f t="shared" si="40"/>
        <v>1w</v>
      </c>
      <c r="X1945" s="128">
        <f>_xll.qlCalendarAdvance(Calendar,X1944,W1945,"f",FALSE)</f>
        <v>52769</v>
      </c>
      <c r="Y1945" s="131">
        <f>_xll.qlCalendarAdvance(Calendar,X1945,NDays&amp;"D")</f>
        <v>52771</v>
      </c>
      <c r="Z1945" s="132">
        <v>1.3968596323764524E-2</v>
      </c>
      <c r="AA1945" s="129">
        <v>1.3941476366552408E-2</v>
      </c>
    </row>
    <row r="1946" spans="19:27" x14ac:dyDescent="0.2">
      <c r="S1946" s="1"/>
      <c r="T1946" s="109"/>
      <c r="W1946" s="130" t="str">
        <f t="shared" si="40"/>
        <v>1w</v>
      </c>
      <c r="X1946" s="128">
        <f>_xll.qlCalendarAdvance(Calendar,X1945,W1946,"f",FALSE)</f>
        <v>52776</v>
      </c>
      <c r="Y1946" s="131">
        <f>_xll.qlCalendarAdvance(Calendar,X1946,NDays&amp;"D")</f>
        <v>52778</v>
      </c>
      <c r="Z1946" s="132">
        <v>1.3968969503954751E-2</v>
      </c>
      <c r="AA1946" s="129">
        <v>1.3941886004795734E-2</v>
      </c>
    </row>
    <row r="1947" spans="19:27" x14ac:dyDescent="0.2">
      <c r="S1947" s="1"/>
      <c r="T1947" s="109"/>
      <c r="W1947" s="130" t="str">
        <f t="shared" si="40"/>
        <v>1w</v>
      </c>
      <c r="X1947" s="128">
        <f>_xll.qlCalendarAdvance(Calendar,X1946,W1947,"f",FALSE)</f>
        <v>52783</v>
      </c>
      <c r="Y1947" s="131">
        <f>_xll.qlCalendarAdvance(Calendar,X1947,NDays&amp;"D")</f>
        <v>52785</v>
      </c>
      <c r="Z1947" s="132">
        <v>1.3969336852739185E-2</v>
      </c>
      <c r="AA1947" s="129">
        <v>1.3942289831927468E-2</v>
      </c>
    </row>
    <row r="1948" spans="19:27" x14ac:dyDescent="0.2">
      <c r="S1948" s="1"/>
      <c r="T1948" s="109"/>
      <c r="W1948" s="130" t="str">
        <f t="shared" si="40"/>
        <v>1w</v>
      </c>
      <c r="X1948" s="128">
        <f>_xll.qlCalendarAdvance(Calendar,X1947,W1948,"f",FALSE)</f>
        <v>52790</v>
      </c>
      <c r="Y1948" s="131">
        <f>_xll.qlCalendarAdvance(Calendar,X1948,NDays&amp;"D")</f>
        <v>52792</v>
      </c>
      <c r="Z1948" s="132">
        <v>1.3969698370118697E-2</v>
      </c>
      <c r="AA1948" s="129">
        <v>1.3942687848187418E-2</v>
      </c>
    </row>
    <row r="1949" spans="19:27" x14ac:dyDescent="0.2">
      <c r="S1949" s="1"/>
      <c r="T1949" s="109"/>
      <c r="W1949" s="130" t="str">
        <f t="shared" si="40"/>
        <v>1w</v>
      </c>
      <c r="X1949" s="128">
        <f>_xll.qlCalendarAdvance(Calendar,X1948,W1949,"f",FALSE)</f>
        <v>52797</v>
      </c>
      <c r="Y1949" s="131">
        <f>_xll.qlCalendarAdvance(Calendar,X1949,NDays&amp;"D")</f>
        <v>52799</v>
      </c>
      <c r="Z1949" s="132">
        <v>1.3970054056092415E-2</v>
      </c>
      <c r="AA1949" s="129">
        <v>1.3943080053575585E-2</v>
      </c>
    </row>
    <row r="1950" spans="19:27" x14ac:dyDescent="0.2">
      <c r="S1950" s="1"/>
      <c r="T1950" s="109"/>
      <c r="W1950" s="130" t="str">
        <f t="shared" si="40"/>
        <v>1w</v>
      </c>
      <c r="X1950" s="128">
        <f>_xll.qlCalendarAdvance(Calendar,X1949,W1950,"f",FALSE)</f>
        <v>52804</v>
      </c>
      <c r="Y1950" s="131">
        <f>_xll.qlCalendarAdvance(Calendar,X1950,NDays&amp;"D")</f>
        <v>52806</v>
      </c>
      <c r="Z1950" s="132">
        <v>1.3970403910654256E-2</v>
      </c>
      <c r="AA1950" s="129">
        <v>1.3943466448091968E-2</v>
      </c>
    </row>
    <row r="1951" spans="19:27" x14ac:dyDescent="0.2">
      <c r="S1951" s="1"/>
      <c r="T1951" s="109"/>
      <c r="W1951" s="130" t="str">
        <f t="shared" si="40"/>
        <v>1w</v>
      </c>
      <c r="X1951" s="128">
        <f>_xll.qlCalendarAdvance(Calendar,X1950,W1951,"f",FALSE)</f>
        <v>52811</v>
      </c>
      <c r="Y1951" s="131">
        <f>_xll.qlCalendarAdvance(Calendar,X1951,NDays&amp;"D")</f>
        <v>52813</v>
      </c>
      <c r="Z1951" s="132">
        <v>1.39707479338077E-2</v>
      </c>
      <c r="AA1951" s="129">
        <v>1.3943847031656631E-2</v>
      </c>
    </row>
    <row r="1952" spans="19:27" x14ac:dyDescent="0.2">
      <c r="S1952" s="1"/>
      <c r="T1952" s="109"/>
      <c r="W1952" s="130" t="str">
        <f t="shared" si="40"/>
        <v>1w</v>
      </c>
      <c r="X1952" s="128">
        <f>_xll.qlCalendarAdvance(Calendar,X1951,W1952,"f",FALSE)</f>
        <v>52818</v>
      </c>
      <c r="Y1952" s="131">
        <f>_xll.qlCalendarAdvance(Calendar,X1952,NDays&amp;"D")</f>
        <v>52820</v>
      </c>
      <c r="Z1952" s="132">
        <v>1.397108612554753E-2</v>
      </c>
      <c r="AA1952" s="129">
        <v>1.3944221804189638E-2</v>
      </c>
    </row>
    <row r="1953" spans="19:27" x14ac:dyDescent="0.2">
      <c r="S1953" s="1"/>
      <c r="T1953" s="109"/>
      <c r="W1953" s="130" t="str">
        <f t="shared" si="40"/>
        <v>1w</v>
      </c>
      <c r="X1953" s="128">
        <f>_xll.qlCalendarAdvance(Calendar,X1952,W1953,"f",FALSE)</f>
        <v>52825</v>
      </c>
      <c r="Y1953" s="131">
        <f>_xll.qlCalendarAdvance(Calendar,X1953,NDays&amp;"D")</f>
        <v>52827</v>
      </c>
      <c r="Z1953" s="132">
        <v>1.3971418485875485E-2</v>
      </c>
      <c r="AA1953" s="129">
        <v>1.3944590765930798E-2</v>
      </c>
    </row>
    <row r="1954" spans="19:27" x14ac:dyDescent="0.2">
      <c r="S1954" s="1"/>
      <c r="T1954" s="109"/>
      <c r="W1954" s="130" t="str">
        <f t="shared" si="40"/>
        <v>1w</v>
      </c>
      <c r="X1954" s="128">
        <f>_xll.qlCalendarAdvance(Calendar,X1953,W1954,"f",FALSE)</f>
        <v>52832</v>
      </c>
      <c r="Y1954" s="131">
        <f>_xll.qlCalendarAdvance(Calendar,X1954,NDays&amp;"D")</f>
        <v>52834</v>
      </c>
      <c r="Z1954" s="132">
        <v>1.3971745014787221E-2</v>
      </c>
      <c r="AA1954" s="129">
        <v>1.3944953916720237E-2</v>
      </c>
    </row>
    <row r="1955" spans="19:27" x14ac:dyDescent="0.2">
      <c r="S1955" s="1"/>
      <c r="T1955" s="109"/>
      <c r="W1955" s="130" t="str">
        <f t="shared" si="40"/>
        <v>1w</v>
      </c>
      <c r="X1955" s="128">
        <f>_xll.qlCalendarAdvance(Calendar,X1954,W1955,"f",FALSE)</f>
        <v>52839</v>
      </c>
      <c r="Y1955" s="131">
        <f>_xll.qlCalendarAdvance(Calendar,X1955,NDays&amp;"D")</f>
        <v>52841</v>
      </c>
      <c r="Z1955" s="132">
        <v>1.3971773095657673E-2</v>
      </c>
      <c r="AA1955" s="129">
        <v>1.3945311256557957E-2</v>
      </c>
    </row>
    <row r="1956" spans="19:27" x14ac:dyDescent="0.2">
      <c r="S1956" s="1"/>
      <c r="T1956" s="109"/>
      <c r="W1956" s="130" t="str">
        <f t="shared" si="40"/>
        <v>1w</v>
      </c>
      <c r="X1956" s="128">
        <f>_xll.qlCalendarAdvance(Calendar,X1955,W1956,"f",FALSE)</f>
        <v>52846</v>
      </c>
      <c r="Y1956" s="131">
        <f>_xll.qlCalendarAdvance(Calendar,X1956,NDays&amp;"D")</f>
        <v>52848</v>
      </c>
      <c r="Z1956" s="132">
        <v>1.3972088366050321E-2</v>
      </c>
      <c r="AA1956" s="129">
        <v>1.3945662785364021E-2</v>
      </c>
    </row>
    <row r="1957" spans="19:27" x14ac:dyDescent="0.2">
      <c r="S1957" s="1"/>
      <c r="T1957" s="109"/>
      <c r="W1957" s="130" t="str">
        <f t="shared" si="40"/>
        <v>1w</v>
      </c>
      <c r="X1957" s="128">
        <f>_xll.qlCalendarAdvance(Calendar,X1956,W1957,"f",FALSE)</f>
        <v>52853</v>
      </c>
      <c r="Y1957" s="131">
        <f>_xll.qlCalendarAdvance(Calendar,X1957,NDays&amp;"D")</f>
        <v>52855</v>
      </c>
      <c r="Z1957" s="132">
        <v>1.3972397805249861E-2</v>
      </c>
      <c r="AA1957" s="129">
        <v>1.3946008503378238E-2</v>
      </c>
    </row>
    <row r="1958" spans="19:27" x14ac:dyDescent="0.2">
      <c r="S1958" s="1"/>
      <c r="T1958" s="109"/>
      <c r="W1958" s="130" t="str">
        <f t="shared" si="40"/>
        <v>1w</v>
      </c>
      <c r="X1958" s="128">
        <f>_xll.qlCalendarAdvance(Calendar,X1957,W1958,"f",FALSE)</f>
        <v>52860</v>
      </c>
      <c r="Y1958" s="131">
        <f>_xll.qlCalendarAdvance(Calendar,X1958,NDays&amp;"D")</f>
        <v>52862</v>
      </c>
      <c r="Z1958" s="132">
        <v>1.3972701413254532E-2</v>
      </c>
      <c r="AA1958" s="129">
        <v>1.394634841052067E-2</v>
      </c>
    </row>
    <row r="1959" spans="19:27" x14ac:dyDescent="0.2">
      <c r="S1959" s="1"/>
      <c r="T1959" s="109"/>
      <c r="W1959" s="130" t="str">
        <f t="shared" si="40"/>
        <v>1w</v>
      </c>
      <c r="X1959" s="128">
        <f>_xll.qlCalendarAdvance(Calendar,X1958,W1959,"f",FALSE)</f>
        <v>52867</v>
      </c>
      <c r="Y1959" s="131">
        <f>_xll.qlCalendarAdvance(Calendar,X1959,NDays&amp;"D")</f>
        <v>52869</v>
      </c>
      <c r="Z1959" s="132">
        <v>1.3972999190064336E-2</v>
      </c>
      <c r="AA1959" s="129">
        <v>1.3946682506871255E-2</v>
      </c>
    </row>
    <row r="1960" spans="19:27" x14ac:dyDescent="0.2">
      <c r="S1960" s="1"/>
      <c r="T1960" s="109"/>
      <c r="W1960" s="130" t="str">
        <f t="shared" si="40"/>
        <v>1w</v>
      </c>
      <c r="X1960" s="128">
        <f>_xll.qlCalendarAdvance(Calendar,X1959,W1960,"f",FALSE)</f>
        <v>52874</v>
      </c>
      <c r="Y1960" s="131">
        <f>_xll.qlCalendarAdvance(Calendar,X1960,NDays&amp;"D")</f>
        <v>52876</v>
      </c>
      <c r="Z1960" s="132">
        <v>1.3973581728464022E-2</v>
      </c>
      <c r="AA1960" s="129">
        <v>1.3947010791950376E-2</v>
      </c>
    </row>
    <row r="1961" spans="19:27" x14ac:dyDescent="0.2">
      <c r="S1961" s="1"/>
      <c r="T1961" s="109"/>
      <c r="W1961" s="130" t="str">
        <f t="shared" si="40"/>
        <v>1w</v>
      </c>
      <c r="X1961" s="128">
        <f>_xll.qlCalendarAdvance(Calendar,X1960,W1961,"f",FALSE)</f>
        <v>52881</v>
      </c>
      <c r="Y1961" s="131">
        <f>_xll.qlCalendarAdvance(Calendar,X1961,NDays&amp;"D")</f>
        <v>52883</v>
      </c>
      <c r="Z1961" s="132">
        <v>1.3973867437430943E-2</v>
      </c>
      <c r="AA1961" s="129">
        <v>1.3947333266317585E-2</v>
      </c>
    </row>
    <row r="1962" spans="19:27" x14ac:dyDescent="0.2">
      <c r="S1962" s="1"/>
      <c r="T1962" s="109"/>
      <c r="W1962" s="130" t="str">
        <f t="shared" si="40"/>
        <v>1w</v>
      </c>
      <c r="X1962" s="128">
        <f>_xll.qlCalendarAdvance(Calendar,X1961,W1962,"f",FALSE)</f>
        <v>52888</v>
      </c>
      <c r="Y1962" s="131">
        <f>_xll.qlCalendarAdvance(Calendar,X1962,NDays&amp;"D")</f>
        <v>52890</v>
      </c>
      <c r="Z1962" s="132">
        <v>1.3974147314972955E-2</v>
      </c>
      <c r="AA1962" s="129">
        <v>1.3947649929733075E-2</v>
      </c>
    </row>
    <row r="1963" spans="19:27" x14ac:dyDescent="0.2">
      <c r="S1963" s="1"/>
      <c r="T1963" s="109"/>
      <c r="W1963" s="130" t="str">
        <f t="shared" si="40"/>
        <v>1w</v>
      </c>
      <c r="X1963" s="128">
        <f>_xll.qlCalendarAdvance(Calendar,X1962,W1963,"f",FALSE)</f>
        <v>52895</v>
      </c>
      <c r="Y1963" s="131">
        <f>_xll.qlCalendarAdvance(Calendar,X1963,NDays&amp;"D")</f>
        <v>52897</v>
      </c>
      <c r="Z1963" s="132">
        <v>1.3974421361087451E-2</v>
      </c>
      <c r="AA1963" s="129">
        <v>1.3947960782196844E-2</v>
      </c>
    </row>
    <row r="1964" spans="19:27" x14ac:dyDescent="0.2">
      <c r="S1964" s="1"/>
      <c r="T1964" s="109"/>
      <c r="W1964" s="130" t="str">
        <f t="shared" si="40"/>
        <v>1w</v>
      </c>
      <c r="X1964" s="128">
        <f>_xll.qlCalendarAdvance(Calendar,X1963,W1964,"f",FALSE)</f>
        <v>52902</v>
      </c>
      <c r="Y1964" s="131">
        <f>_xll.qlCalendarAdvance(Calendar,X1964,NDays&amp;"D")</f>
        <v>52904</v>
      </c>
      <c r="Z1964" s="132">
        <v>1.3974689575773564E-2</v>
      </c>
      <c r="AA1964" s="129">
        <v>1.3948265823868766E-2</v>
      </c>
    </row>
    <row r="1965" spans="19:27" x14ac:dyDescent="0.2">
      <c r="S1965" s="1"/>
      <c r="T1965" s="109"/>
      <c r="W1965" s="130" t="str">
        <f t="shared" si="40"/>
        <v>1w</v>
      </c>
      <c r="X1965" s="128">
        <f>_xll.qlCalendarAdvance(Calendar,X1964,W1965,"f",FALSE)</f>
        <v>52909</v>
      </c>
      <c r="Y1965" s="131">
        <f>_xll.qlCalendarAdvance(Calendar,X1965,NDays&amp;"D")</f>
        <v>52911</v>
      </c>
      <c r="Z1965" s="132">
        <v>1.3974951959029557E-2</v>
      </c>
      <c r="AA1965" s="129">
        <v>1.3948565054509032E-2</v>
      </c>
    </row>
    <row r="1966" spans="19:27" x14ac:dyDescent="0.2">
      <c r="S1966" s="1"/>
      <c r="T1966" s="109"/>
      <c r="W1966" s="130" t="str">
        <f t="shared" si="40"/>
        <v>1w</v>
      </c>
      <c r="X1966" s="128">
        <f>_xll.qlCalendarAdvance(Calendar,X1965,W1966,"f",FALSE)</f>
        <v>52916</v>
      </c>
      <c r="Y1966" s="131">
        <f>_xll.qlCalendarAdvance(Calendar,X1966,NDays&amp;"D")</f>
        <v>52918</v>
      </c>
      <c r="Z1966" s="132">
        <v>1.3975208510855427E-2</v>
      </c>
      <c r="AA1966" s="129">
        <v>1.3948858474197579E-2</v>
      </c>
    </row>
    <row r="1967" spans="19:27" x14ac:dyDescent="0.2">
      <c r="S1967" s="1"/>
      <c r="T1967" s="109"/>
      <c r="W1967" s="130" t="str">
        <f t="shared" si="40"/>
        <v>1w</v>
      </c>
      <c r="X1967" s="128">
        <f>_xll.qlCalendarAdvance(Calendar,X1966,W1967,"f",FALSE)</f>
        <v>52923</v>
      </c>
      <c r="Y1967" s="131">
        <f>_xll.qlCalendarAdvance(Calendar,X1967,NDays&amp;"D")</f>
        <v>52925</v>
      </c>
      <c r="Z1967" s="132">
        <v>1.3975459231249437E-2</v>
      </c>
      <c r="AA1967" s="129">
        <v>1.3949146082934405E-2</v>
      </c>
    </row>
    <row r="1968" spans="19:27" x14ac:dyDescent="0.2">
      <c r="S1968" s="1"/>
      <c r="T1968" s="109"/>
      <c r="W1968" s="130" t="str">
        <f t="shared" si="40"/>
        <v>1w</v>
      </c>
      <c r="X1968" s="128">
        <f>_xll.qlCalendarAdvance(Calendar,X1967,W1968,"f",FALSE)</f>
        <v>52930</v>
      </c>
      <c r="Y1968" s="131">
        <f>_xll.qlCalendarAdvance(Calendar,X1968,NDays&amp;"D")</f>
        <v>52932</v>
      </c>
      <c r="Z1968" s="132">
        <v>1.397512940298995E-2</v>
      </c>
      <c r="AA1968" s="129">
        <v>1.3949427880799448E-2</v>
      </c>
    </row>
    <row r="1969" spans="19:27" x14ac:dyDescent="0.2">
      <c r="S1969" s="1"/>
      <c r="T1969" s="109"/>
      <c r="W1969" s="130" t="str">
        <f t="shared" si="40"/>
        <v>1w</v>
      </c>
      <c r="X1969" s="128">
        <f>_xll.qlCalendarAdvance(Calendar,X1968,W1969,"f",FALSE)</f>
        <v>52937</v>
      </c>
      <c r="Y1969" s="131">
        <f>_xll.qlCalendarAdvance(Calendar,X1969,NDays&amp;"D")</f>
        <v>52939</v>
      </c>
      <c r="Z1969" s="132">
        <v>1.3975369274985994E-2</v>
      </c>
      <c r="AA1969" s="129">
        <v>1.3949703867792707E-2</v>
      </c>
    </row>
    <row r="1970" spans="19:27" x14ac:dyDescent="0.2">
      <c r="S1970" s="1"/>
      <c r="T1970" s="109"/>
      <c r="W1970" s="130" t="str">
        <f t="shared" si="40"/>
        <v>1w</v>
      </c>
      <c r="X1970" s="128">
        <f>_xll.qlCalendarAdvance(Calendar,X1969,W1970,"f",FALSE)</f>
        <v>52944</v>
      </c>
      <c r="Y1970" s="131">
        <f>_xll.qlCalendarAdvance(Calendar,X1970,NDays&amp;"D")</f>
        <v>52946</v>
      </c>
      <c r="Z1970" s="132">
        <v>1.397560331599923E-2</v>
      </c>
      <c r="AA1970" s="129">
        <v>1.3949974043834246E-2</v>
      </c>
    </row>
    <row r="1971" spans="19:27" x14ac:dyDescent="0.2">
      <c r="S1971" s="1"/>
      <c r="T1971" s="109"/>
      <c r="W1971" s="130" t="str">
        <f t="shared" si="40"/>
        <v>1w</v>
      </c>
      <c r="X1971" s="128">
        <f>_xll.qlCalendarAdvance(Calendar,X1970,W1971,"f",FALSE)</f>
        <v>52951</v>
      </c>
      <c r="Y1971" s="131">
        <f>_xll.qlCalendarAdvance(Calendar,X1971,NDays&amp;"D")</f>
        <v>52953</v>
      </c>
      <c r="Z1971" s="132">
        <v>1.397583152602877E-2</v>
      </c>
      <c r="AA1971" s="129">
        <v>1.3950238409004001E-2</v>
      </c>
    </row>
    <row r="1972" spans="19:27" x14ac:dyDescent="0.2">
      <c r="S1972" s="1"/>
      <c r="T1972" s="109"/>
      <c r="W1972" s="130" t="str">
        <f t="shared" si="40"/>
        <v>1w</v>
      </c>
      <c r="X1972" s="128">
        <f>_xll.qlCalendarAdvance(Calendar,X1971,W1972,"f",FALSE)</f>
        <v>52958</v>
      </c>
      <c r="Y1972" s="131">
        <f>_xll.qlCalendarAdvance(Calendar,X1972,NDays&amp;"D")</f>
        <v>52960</v>
      </c>
      <c r="Z1972" s="132">
        <v>1.3976053905071062E-2</v>
      </c>
      <c r="AA1972" s="129">
        <v>1.3950496963142101E-2</v>
      </c>
    </row>
    <row r="1973" spans="19:27" x14ac:dyDescent="0.2">
      <c r="S1973" s="1"/>
      <c r="T1973" s="109"/>
      <c r="W1973" s="130" t="str">
        <f t="shared" si="40"/>
        <v>1w</v>
      </c>
      <c r="X1973" s="128">
        <f>_xll.qlCalendarAdvance(Calendar,X1972,W1973,"f",FALSE)</f>
        <v>52965</v>
      </c>
      <c r="Y1973" s="131">
        <f>_xll.qlCalendarAdvance(Calendar,X1973,NDays&amp;"D")</f>
        <v>52967</v>
      </c>
      <c r="Z1973" s="132">
        <v>1.397627045312877E-2</v>
      </c>
      <c r="AA1973" s="129">
        <v>1.3950749706488352E-2</v>
      </c>
    </row>
    <row r="1974" spans="19:27" x14ac:dyDescent="0.2">
      <c r="S1974" s="1"/>
      <c r="T1974" s="109"/>
      <c r="W1974" s="130" t="str">
        <f t="shared" si="40"/>
        <v>1w</v>
      </c>
      <c r="X1974" s="128">
        <f>_xll.qlCalendarAdvance(Calendar,X1973,W1974,"f",FALSE)</f>
        <v>52972</v>
      </c>
      <c r="Y1974" s="131">
        <f>_xll.qlCalendarAdvance(Calendar,X1974,NDays&amp;"D")</f>
        <v>52974</v>
      </c>
      <c r="Z1974" s="132">
        <v>1.397648117019834E-2</v>
      </c>
      <c r="AA1974" s="129">
        <v>1.3950996638802948E-2</v>
      </c>
    </row>
    <row r="1975" spans="19:27" x14ac:dyDescent="0.2">
      <c r="S1975" s="1"/>
      <c r="T1975" s="109"/>
      <c r="W1975" s="130" t="str">
        <f t="shared" si="40"/>
        <v>1w</v>
      </c>
      <c r="X1975" s="128">
        <f>_xll.qlCalendarAdvance(Calendar,X1974,W1975,"f",FALSE)</f>
        <v>52979</v>
      </c>
      <c r="Y1975" s="131">
        <f>_xll.qlCalendarAdvance(Calendar,X1975,NDays&amp;"D")</f>
        <v>52981</v>
      </c>
      <c r="Z1975" s="132">
        <v>1.3976686056279775E-2</v>
      </c>
      <c r="AA1975" s="129">
        <v>1.395123776024576E-2</v>
      </c>
    </row>
    <row r="1976" spans="19:27" x14ac:dyDescent="0.2">
      <c r="S1976" s="1"/>
      <c r="T1976" s="109"/>
      <c r="W1976" s="130" t="str">
        <f t="shared" si="40"/>
        <v>1w</v>
      </c>
      <c r="X1976" s="128">
        <f>_xll.qlCalendarAdvance(Calendar,X1975,W1976,"f",FALSE)</f>
        <v>52986</v>
      </c>
      <c r="Y1976" s="131">
        <f>_xll.qlCalendarAdvance(Calendar,X1976,NDays&amp;"D")</f>
        <v>52988</v>
      </c>
      <c r="Z1976" s="132">
        <v>1.3976885111373072E-2</v>
      </c>
      <c r="AA1976" s="129">
        <v>1.3951473070816789E-2</v>
      </c>
    </row>
    <row r="1977" spans="19:27" x14ac:dyDescent="0.2">
      <c r="S1977" s="1"/>
      <c r="T1977" s="109"/>
      <c r="W1977" s="130" t="str">
        <f t="shared" si="40"/>
        <v>1w</v>
      </c>
      <c r="X1977" s="128">
        <f>_xll.qlCalendarAdvance(Calendar,X1976,W1977,"f",FALSE)</f>
        <v>52993</v>
      </c>
      <c r="Y1977" s="131">
        <f>_xll.qlCalendarAdvance(Calendar,X1977,NDays&amp;"D")</f>
        <v>52995</v>
      </c>
      <c r="Z1977" s="132">
        <v>1.397679460259512E-2</v>
      </c>
      <c r="AA1977" s="129">
        <v>1.3951702570356161E-2</v>
      </c>
    </row>
    <row r="1978" spans="19:27" x14ac:dyDescent="0.2">
      <c r="S1978" s="1"/>
      <c r="T1978" s="109"/>
      <c r="W1978" s="130" t="str">
        <f t="shared" si="40"/>
        <v>1w</v>
      </c>
      <c r="X1978" s="128">
        <f>_xll.qlCalendarAdvance(Calendar,X1977,W1978,"f",FALSE)</f>
        <v>53000</v>
      </c>
      <c r="Y1978" s="131">
        <f>_xll.qlCalendarAdvance(Calendar,X1978,NDays&amp;"D")</f>
        <v>53002</v>
      </c>
      <c r="Z1978" s="132">
        <v>1.3976982404927009E-2</v>
      </c>
      <c r="AA1978" s="129">
        <v>1.395192625902375E-2</v>
      </c>
    </row>
    <row r="1979" spans="19:27" x14ac:dyDescent="0.2">
      <c r="S1979" s="1"/>
      <c r="T1979" s="109"/>
      <c r="W1979" s="130" t="str">
        <f t="shared" si="40"/>
        <v>1w</v>
      </c>
      <c r="X1979" s="128">
        <f>_xll.qlCalendarAdvance(Calendar,X1978,W1979,"f",FALSE)</f>
        <v>53007</v>
      </c>
      <c r="Y1979" s="131">
        <f>_xll.qlCalendarAdvance(Calendar,X1979,NDays&amp;"D")</f>
        <v>53009</v>
      </c>
      <c r="Z1979" s="132">
        <v>1.3977164375930667E-2</v>
      </c>
      <c r="AA1979" s="129">
        <v>1.3952144136819555E-2</v>
      </c>
    </row>
    <row r="1980" spans="19:27" x14ac:dyDescent="0.2">
      <c r="S1980" s="1"/>
      <c r="T1980" s="109"/>
      <c r="W1980" s="130" t="str">
        <f t="shared" si="40"/>
        <v>1w</v>
      </c>
      <c r="X1980" s="128">
        <f>_xll.qlCalendarAdvance(Calendar,X1979,W1980,"f",FALSE)</f>
        <v>53014</v>
      </c>
      <c r="Y1980" s="131">
        <f>_xll.qlCalendarAdvance(Calendar,X1980,NDays&amp;"D")</f>
        <v>53016</v>
      </c>
      <c r="Z1980" s="132">
        <v>1.3977340228472185E-2</v>
      </c>
      <c r="AA1980" s="129">
        <v>1.3952356203663641E-2</v>
      </c>
    </row>
    <row r="1981" spans="19:27" x14ac:dyDescent="0.2">
      <c r="S1981" s="1"/>
      <c r="T1981" s="109"/>
      <c r="W1981" s="130" t="str">
        <f t="shared" si="40"/>
        <v>1w</v>
      </c>
      <c r="X1981" s="128">
        <f>_xll.qlCalendarAdvance(Calendar,X1980,W1981,"f",FALSE)</f>
        <v>53021</v>
      </c>
      <c r="Y1981" s="131">
        <f>_xll.qlCalendarAdvance(Calendar,X1981,NDays&amp;"D")</f>
        <v>53023</v>
      </c>
      <c r="Z1981" s="132">
        <v>1.3978353832891295E-2</v>
      </c>
      <c r="AA1981" s="129">
        <v>1.3952562459556006E-2</v>
      </c>
    </row>
    <row r="1982" spans="19:27" x14ac:dyDescent="0.2">
      <c r="S1982" s="1"/>
      <c r="T1982" s="109"/>
      <c r="W1982" s="130" t="str">
        <f t="shared" si="40"/>
        <v>1w</v>
      </c>
      <c r="X1982" s="128">
        <f>_xll.qlCalendarAdvance(Calendar,X1981,W1982,"f",FALSE)</f>
        <v>53028</v>
      </c>
      <c r="Y1982" s="131">
        <f>_xll.qlCalendarAdvance(Calendar,X1982,NDays&amp;"D")</f>
        <v>53030</v>
      </c>
      <c r="Z1982" s="132">
        <v>1.3978511736947212E-2</v>
      </c>
      <c r="AA1982" s="129">
        <v>1.3952762904576588E-2</v>
      </c>
    </row>
    <row r="1983" spans="19:27" x14ac:dyDescent="0.2">
      <c r="S1983" s="1"/>
      <c r="T1983" s="109"/>
      <c r="W1983" s="130" t="str">
        <f t="shared" si="40"/>
        <v>1w</v>
      </c>
      <c r="X1983" s="128">
        <f>_xll.qlCalendarAdvance(Calendar,X1982,W1983,"f",FALSE)</f>
        <v>53035</v>
      </c>
      <c r="Y1983" s="131">
        <f>_xll.qlCalendarAdvance(Calendar,X1983,NDays&amp;"D")</f>
        <v>53037</v>
      </c>
      <c r="Z1983" s="132">
        <v>1.3978659798134001E-2</v>
      </c>
      <c r="AA1983" s="129">
        <v>1.395295753864545E-2</v>
      </c>
    </row>
    <row r="1984" spans="19:27" x14ac:dyDescent="0.2">
      <c r="S1984" s="1"/>
      <c r="T1984" s="109"/>
      <c r="W1984" s="130" t="str">
        <f t="shared" si="40"/>
        <v>1w</v>
      </c>
      <c r="X1984" s="128">
        <f>_xll.qlCalendarAdvance(Calendar,X1983,W1984,"f",FALSE)</f>
        <v>53042</v>
      </c>
      <c r="Y1984" s="131">
        <f>_xll.qlCalendarAdvance(Calendar,X1984,NDays&amp;"D")</f>
        <v>53044</v>
      </c>
      <c r="Z1984" s="132">
        <v>1.3978796893253606E-2</v>
      </c>
      <c r="AA1984" s="129">
        <v>1.3953146361762592E-2</v>
      </c>
    </row>
    <row r="1985" spans="19:27" x14ac:dyDescent="0.2">
      <c r="S1985" s="1"/>
      <c r="T1985" s="109"/>
      <c r="W1985" s="130" t="str">
        <f t="shared" si="40"/>
        <v>1w</v>
      </c>
      <c r="X1985" s="128">
        <f>_xll.qlCalendarAdvance(Calendar,X1984,W1985,"f",FALSE)</f>
        <v>53049</v>
      </c>
      <c r="Y1985" s="131">
        <f>_xll.qlCalendarAdvance(Calendar,X1985,NDays&amp;"D")</f>
        <v>53051</v>
      </c>
      <c r="Z1985" s="132">
        <v>1.3978921899108838E-2</v>
      </c>
      <c r="AA1985" s="129">
        <v>1.395332937400795E-2</v>
      </c>
    </row>
    <row r="1986" spans="19:27" x14ac:dyDescent="0.2">
      <c r="S1986" s="1"/>
      <c r="T1986" s="109"/>
      <c r="W1986" s="130" t="str">
        <f t="shared" si="40"/>
        <v>1w</v>
      </c>
      <c r="X1986" s="128">
        <f>_xll.qlCalendarAdvance(Calendar,X1985,W1986,"f",FALSE)</f>
        <v>53056</v>
      </c>
      <c r="Y1986" s="131">
        <f>_xll.qlCalendarAdvance(Calendar,X1986,NDays&amp;"D")</f>
        <v>53058</v>
      </c>
      <c r="Z1986" s="132">
        <v>1.3978757387371437E-2</v>
      </c>
      <c r="AA1986" s="129">
        <v>1.3954637736530273E-2</v>
      </c>
    </row>
    <row r="1987" spans="19:27" x14ac:dyDescent="0.2">
      <c r="S1987" s="1"/>
      <c r="T1987" s="109"/>
      <c r="W1987" s="130" t="str">
        <f t="shared" si="40"/>
        <v>1w</v>
      </c>
      <c r="X1987" s="128">
        <f>_xll.qlCalendarAdvance(Calendar,X1986,W1987,"f",FALSE)</f>
        <v>53063</v>
      </c>
      <c r="Y1987" s="131">
        <f>_xll.qlCalendarAdvance(Calendar,X1987,NDays&amp;"D")</f>
        <v>53065</v>
      </c>
      <c r="Z1987" s="132">
        <v>1.3978856152992174E-2</v>
      </c>
      <c r="AA1987" s="129">
        <v>1.3953677965643507E-2</v>
      </c>
    </row>
    <row r="1988" spans="19:27" x14ac:dyDescent="0.2">
      <c r="S1988" s="1"/>
      <c r="T1988" s="109"/>
      <c r="W1988" s="130" t="str">
        <f t="shared" si="40"/>
        <v>1w</v>
      </c>
      <c r="X1988" s="128">
        <f>_xll.qlCalendarAdvance(Calendar,X1987,W1988,"f",FALSE)</f>
        <v>53070</v>
      </c>
      <c r="Y1988" s="131">
        <f>_xll.qlCalendarAdvance(Calendar,X1988,NDays&amp;"D")</f>
        <v>53072</v>
      </c>
      <c r="Z1988" s="132">
        <v>1.3978939516771351E-2</v>
      </c>
      <c r="AA1988" s="129">
        <v>1.3953843545113642E-2</v>
      </c>
    </row>
    <row r="1989" spans="19:27" x14ac:dyDescent="0.2">
      <c r="S1989" s="1"/>
      <c r="T1989" s="109"/>
      <c r="W1989" s="130" t="str">
        <f t="shared" si="40"/>
        <v>1w</v>
      </c>
      <c r="X1989" s="128">
        <f>_xll.qlCalendarAdvance(Calendar,X1988,W1989,"f",FALSE)</f>
        <v>53077</v>
      </c>
      <c r="Y1989" s="131">
        <f>_xll.qlCalendarAdvance(Calendar,X1989,NDays&amp;"D")</f>
        <v>53079</v>
      </c>
      <c r="Z1989" s="132">
        <v>1.3979006343212873E-2</v>
      </c>
      <c r="AA1989" s="129">
        <v>1.3954003313711993E-2</v>
      </c>
    </row>
    <row r="1990" spans="19:27" x14ac:dyDescent="0.2">
      <c r="S1990" s="1"/>
      <c r="T1990" s="109"/>
      <c r="W1990" s="130" t="str">
        <f t="shared" si="40"/>
        <v>1w</v>
      </c>
      <c r="X1990" s="128">
        <f>_xll.qlCalendarAdvance(Calendar,X1989,W1990,"f",FALSE)</f>
        <v>53084</v>
      </c>
      <c r="Y1990" s="131">
        <f>_xll.qlCalendarAdvance(Calendar,X1990,NDays&amp;"D")</f>
        <v>53086</v>
      </c>
      <c r="Z1990" s="132">
        <v>1.3979326277428364E-2</v>
      </c>
      <c r="AA1990" s="129">
        <v>1.3954157271278689E-2</v>
      </c>
    </row>
    <row r="1991" spans="19:27" x14ac:dyDescent="0.2">
      <c r="S1991" s="1"/>
      <c r="T1991" s="109"/>
      <c r="W1991" s="130" t="str">
        <f t="shared" si="40"/>
        <v>1w</v>
      </c>
      <c r="X1991" s="128">
        <f>_xll.qlCalendarAdvance(Calendar,X1990,W1991,"f",FALSE)</f>
        <v>53091</v>
      </c>
      <c r="Y1991" s="131">
        <f>_xll.qlCalendarAdvance(Calendar,X1991,NDays&amp;"D")</f>
        <v>53093</v>
      </c>
      <c r="Z1991" s="132">
        <v>1.3979355160511246E-2</v>
      </c>
      <c r="AA1991" s="129">
        <v>1.3954305418053536E-2</v>
      </c>
    </row>
    <row r="1992" spans="19:27" x14ac:dyDescent="0.2">
      <c r="S1992" s="1"/>
      <c r="T1992" s="109"/>
      <c r="W1992" s="130" t="str">
        <f t="shared" si="40"/>
        <v>1w</v>
      </c>
      <c r="X1992" s="128">
        <f>_xll.qlCalendarAdvance(Calendar,X1991,W1992,"f",FALSE)</f>
        <v>53098</v>
      </c>
      <c r="Y1992" s="131">
        <f>_xll.qlCalendarAdvance(Calendar,X1992,NDays&amp;"D")</f>
        <v>53100</v>
      </c>
      <c r="Z1992" s="132">
        <v>1.3979364106668973E-2</v>
      </c>
      <c r="AA1992" s="129">
        <v>1.395444590247763E-2</v>
      </c>
    </row>
    <row r="1993" spans="19:27" x14ac:dyDescent="0.2">
      <c r="S1993" s="1"/>
      <c r="T1993" s="109"/>
      <c r="W1993" s="130" t="str">
        <f t="shared" si="40"/>
        <v>1w</v>
      </c>
      <c r="X1993" s="128">
        <f>_xll.qlCalendarAdvance(Calendar,X1992,W1993,"f",FALSE)</f>
        <v>53105</v>
      </c>
      <c r="Y1993" s="131">
        <f>_xll.qlCalendarAdvance(Calendar,X1993,NDays&amp;"D")</f>
        <v>53107</v>
      </c>
      <c r="Z1993" s="132">
        <v>1.3979352494272712E-2</v>
      </c>
      <c r="AA1993" s="129">
        <v>1.3954567717355815E-2</v>
      </c>
    </row>
    <row r="1994" spans="19:27" x14ac:dyDescent="0.2">
      <c r="S1994" s="1"/>
      <c r="T1994" s="109"/>
      <c r="W1994" s="130" t="str">
        <f t="shared" si="40"/>
        <v>1w</v>
      </c>
      <c r="X1994" s="128">
        <f>_xll.qlCalendarAdvance(Calendar,X1993,W1994,"f",FALSE)</f>
        <v>53112</v>
      </c>
      <c r="Y1994" s="131">
        <f>_xll.qlCalendarAdvance(Calendar,X1994,NDays&amp;"D")</f>
        <v>53114</v>
      </c>
      <c r="Z1994" s="132">
        <v>1.3979320288391271E-2</v>
      </c>
      <c r="AA1994" s="129">
        <v>1.395466901120912E-2</v>
      </c>
    </row>
    <row r="1995" spans="19:27" x14ac:dyDescent="0.2">
      <c r="S1995" s="1"/>
      <c r="T1995" s="109"/>
      <c r="W1995" s="130" t="str">
        <f t="shared" si="40"/>
        <v>1w</v>
      </c>
      <c r="X1995" s="128">
        <f>_xll.qlCalendarAdvance(Calendar,X1994,W1995,"f",FALSE)</f>
        <v>53119</v>
      </c>
      <c r="Y1995" s="131">
        <f>_xll.qlCalendarAdvance(Calendar,X1995,NDays&amp;"D")</f>
        <v>53121</v>
      </c>
      <c r="Z1995" s="132">
        <v>1.3979267489024652E-2</v>
      </c>
      <c r="AA1995" s="129">
        <v>1.3954749784037546E-2</v>
      </c>
    </row>
    <row r="1996" spans="19:27" x14ac:dyDescent="0.2">
      <c r="S1996" s="1"/>
      <c r="T1996" s="109"/>
      <c r="W1996" s="130" t="str">
        <f t="shared" si="40"/>
        <v>1w</v>
      </c>
      <c r="X1996" s="128">
        <f>_xll.qlCalendarAdvance(Calendar,X1995,W1996,"f",FALSE)</f>
        <v>53126</v>
      </c>
      <c r="Y1996" s="131">
        <f>_xll.qlCalendarAdvance(Calendar,X1996,NDays&amp;"D")</f>
        <v>53128</v>
      </c>
      <c r="Z1996" s="132">
        <v>1.3979194096174595E-2</v>
      </c>
      <c r="AA1996" s="129">
        <v>1.3954810036000964E-2</v>
      </c>
    </row>
    <row r="1997" spans="19:27" x14ac:dyDescent="0.2">
      <c r="S1997" s="1"/>
      <c r="T1997" s="109"/>
      <c r="W1997" s="130" t="str">
        <f t="shared" si="40"/>
        <v>1w</v>
      </c>
      <c r="X1997" s="128">
        <f>_xll.qlCalendarAdvance(Calendar,X1996,W1997,"f",FALSE)</f>
        <v>53133</v>
      </c>
      <c r="Y1997" s="131">
        <f>_xll.qlCalendarAdvance(Calendar,X1997,NDays&amp;"D")</f>
        <v>53135</v>
      </c>
      <c r="Z1997" s="132">
        <v>1.3979100109841965E-2</v>
      </c>
      <c r="AA1997" s="129">
        <v>1.3954849766859567E-2</v>
      </c>
    </row>
    <row r="1998" spans="19:27" x14ac:dyDescent="0.2">
      <c r="S1998" s="1"/>
      <c r="T1998" s="109"/>
      <c r="W1998" s="130" t="str">
        <f t="shared" si="40"/>
        <v>1w</v>
      </c>
      <c r="X1998" s="128">
        <f>_xll.qlCalendarAdvance(Calendar,X1997,W1998,"f",FALSE)</f>
        <v>53140</v>
      </c>
      <c r="Y1998" s="131">
        <f>_xll.qlCalendarAdvance(Calendar,X1998,NDays&amp;"D")</f>
        <v>53142</v>
      </c>
      <c r="Z1998" s="132">
        <v>1.3978985530028501E-2</v>
      </c>
      <c r="AA1998" s="129">
        <v>1.3954868976853163E-2</v>
      </c>
    </row>
    <row r="1999" spans="19:27" x14ac:dyDescent="0.2">
      <c r="S1999" s="1"/>
      <c r="T1999" s="109"/>
      <c r="W1999" s="130" t="str">
        <f t="shared" si="40"/>
        <v>1w</v>
      </c>
      <c r="X1999" s="128">
        <f>_xll.qlCalendarAdvance(Calendar,X1998,W1999,"f",FALSE)</f>
        <v>53147</v>
      </c>
      <c r="Y1999" s="131">
        <f>_xll.qlCalendarAdvance(Calendar,X1999,NDays&amp;"D")</f>
        <v>53149</v>
      </c>
      <c r="Z1999" s="132">
        <v>1.3978850356735075E-2</v>
      </c>
      <c r="AA1999" s="129">
        <v>1.395486766582188E-2</v>
      </c>
    </row>
    <row r="2000" spans="19:27" x14ac:dyDescent="0.2">
      <c r="S2000" s="1"/>
      <c r="T2000" s="109"/>
      <c r="W2000" s="130" t="str">
        <f t="shared" si="40"/>
        <v>1w</v>
      </c>
      <c r="X2000" s="128">
        <f>_xll.qlCalendarAdvance(Calendar,X1999,W2000,"f",FALSE)</f>
        <v>53154</v>
      </c>
      <c r="Y2000" s="131">
        <f>_xll.qlCalendarAdvance(Calendar,X2000,NDays&amp;"D")</f>
        <v>53156</v>
      </c>
      <c r="Z2000" s="132">
        <v>1.3978694589965156E-2</v>
      </c>
      <c r="AA2000" s="129">
        <v>1.3954845833845653E-2</v>
      </c>
    </row>
    <row r="2001" spans="19:27" x14ac:dyDescent="0.2">
      <c r="S2001" s="1"/>
      <c r="T2001" s="109"/>
      <c r="W2001" s="130" t="str">
        <f t="shared" si="40"/>
        <v>1w</v>
      </c>
      <c r="X2001" s="128">
        <f>_xll.qlCalendarAdvance(Calendar,X2000,W2001,"f",FALSE)</f>
        <v>53161</v>
      </c>
      <c r="Y2001" s="131">
        <f>_xll.qlCalendarAdvance(Calendar,X2001,NDays&amp;"D")</f>
        <v>53163</v>
      </c>
      <c r="Z2001" s="132">
        <v>1.3978518229719619E-2</v>
      </c>
      <c r="AA2001" s="129">
        <v>1.3954803480924483E-2</v>
      </c>
    </row>
    <row r="2002" spans="19:27" x14ac:dyDescent="0.2">
      <c r="S2002" s="1"/>
      <c r="T2002" s="109"/>
      <c r="W2002" s="130" t="str">
        <f t="shared" si="40"/>
        <v>1w</v>
      </c>
      <c r="X2002" s="128">
        <f>_xll.qlCalendarAdvance(Calendar,X2001,W2002,"f",FALSE)</f>
        <v>53168</v>
      </c>
      <c r="Y2002" s="131">
        <f>_xll.qlCalendarAdvance(Calendar,X2002,NDays&amp;"D")</f>
        <v>53170</v>
      </c>
      <c r="Z2002" s="132">
        <v>1.3978321276002806E-2</v>
      </c>
      <c r="AA2002" s="129">
        <v>1.3954740606978433E-2</v>
      </c>
    </row>
    <row r="2003" spans="19:27" x14ac:dyDescent="0.2">
      <c r="S2003" s="1"/>
      <c r="T2003" s="109"/>
      <c r="W2003" s="130" t="str">
        <f t="shared" si="40"/>
        <v>1w</v>
      </c>
      <c r="X2003" s="128">
        <f>_xll.qlCalendarAdvance(Calendar,X2002,W2003,"f",FALSE)</f>
        <v>53175</v>
      </c>
      <c r="Y2003" s="131">
        <f>_xll.qlCalendarAdvance(Calendar,X2003,NDays&amp;"D")</f>
        <v>53177</v>
      </c>
      <c r="Z2003" s="132">
        <v>1.3978103728816452E-2</v>
      </c>
      <c r="AA2003" s="129">
        <v>1.3954657212007504E-2</v>
      </c>
    </row>
    <row r="2004" spans="19:27" x14ac:dyDescent="0.2">
      <c r="S2004" s="1"/>
      <c r="T2004" s="109"/>
      <c r="W2004" s="130" t="str">
        <f t="shared" si="40"/>
        <v>1w</v>
      </c>
      <c r="X2004" s="128">
        <f>_xll.qlCalendarAdvance(Calendar,X2003,W2004,"f",FALSE)</f>
        <v>53182</v>
      </c>
      <c r="Y2004" s="131">
        <f>_xll.qlCalendarAdvance(Calendar,X2004,NDays&amp;"D")</f>
        <v>53184</v>
      </c>
      <c r="Z2004" s="132">
        <v>1.3977865588164906E-2</v>
      </c>
      <c r="AA2004" s="129">
        <v>1.3954553296171568E-2</v>
      </c>
    </row>
    <row r="2005" spans="19:27" x14ac:dyDescent="0.2">
      <c r="S2005" s="1"/>
      <c r="T2005" s="109"/>
      <c r="W2005" s="130" t="str">
        <f t="shared" ref="W2005:W2068" si="41">W2004</f>
        <v>1w</v>
      </c>
      <c r="X2005" s="128">
        <f>_xll.qlCalendarAdvance(Calendar,X2004,W2005,"f",FALSE)</f>
        <v>53189</v>
      </c>
      <c r="Y2005" s="131">
        <f>_xll.qlCalendarAdvance(Calendar,X2005,NDays&amp;"D")</f>
        <v>53191</v>
      </c>
      <c r="Z2005" s="132">
        <v>1.3977606854051642E-2</v>
      </c>
      <c r="AA2005" s="129">
        <v>1.3954428859230816E-2</v>
      </c>
    </row>
    <row r="2006" spans="19:27" x14ac:dyDescent="0.2">
      <c r="S2006" s="1"/>
      <c r="T2006" s="109"/>
      <c r="W2006" s="130" t="str">
        <f t="shared" si="41"/>
        <v>1w</v>
      </c>
      <c r="X2006" s="128">
        <f>_xll.qlCalendarAdvance(Calendar,X2005,W2006,"f",FALSE)</f>
        <v>53196</v>
      </c>
      <c r="Y2006" s="131">
        <f>_xll.qlCalendarAdvance(Calendar,X2006,NDays&amp;"D")</f>
        <v>53198</v>
      </c>
      <c r="Z2006" s="132">
        <v>1.3977327526481002E-2</v>
      </c>
      <c r="AA2006" s="129">
        <v>1.3954283901425057E-2</v>
      </c>
    </row>
    <row r="2007" spans="19:27" x14ac:dyDescent="0.2">
      <c r="S2007" s="1"/>
      <c r="T2007" s="109"/>
      <c r="W2007" s="130" t="str">
        <f t="shared" si="41"/>
        <v>1w</v>
      </c>
      <c r="X2007" s="128">
        <f>_xll.qlCalendarAdvance(Calendar,X2006,W2007,"f",FALSE)</f>
        <v>53203</v>
      </c>
      <c r="Y2007" s="131">
        <f>_xll.qlCalendarAdvance(Calendar,X2007,NDays&amp;"D")</f>
        <v>53205</v>
      </c>
      <c r="Z2007" s="132">
        <v>1.3976781911346037E-2</v>
      </c>
      <c r="AA2007" s="129">
        <v>1.3954118422594419E-2</v>
      </c>
    </row>
    <row r="2008" spans="19:27" x14ac:dyDescent="0.2">
      <c r="S2008" s="1"/>
      <c r="T2008" s="109"/>
      <c r="W2008" s="130" t="str">
        <f t="shared" si="41"/>
        <v>1w</v>
      </c>
      <c r="X2008" s="128">
        <f>_xll.qlCalendarAdvance(Calendar,X2007,W2008,"f",FALSE)</f>
        <v>53210</v>
      </c>
      <c r="Y2008" s="131">
        <f>_xll.qlCalendarAdvance(Calendar,X2008,NDays&amp;"D")</f>
        <v>53212</v>
      </c>
      <c r="Z2008" s="132">
        <v>1.3976462880198165E-2</v>
      </c>
      <c r="AA2008" s="129">
        <v>1.3953932422898774E-2</v>
      </c>
    </row>
    <row r="2009" spans="19:27" x14ac:dyDescent="0.2">
      <c r="S2009" s="1"/>
      <c r="T2009" s="109"/>
      <c r="W2009" s="130" t="str">
        <f t="shared" si="41"/>
        <v>1w</v>
      </c>
      <c r="X2009" s="128">
        <f>_xll.qlCalendarAdvance(Calendar,X2008,W2009,"f",FALSE)</f>
        <v>53217</v>
      </c>
      <c r="Y2009" s="131">
        <f>_xll.qlCalendarAdvance(Calendar,X2009,NDays&amp;"D")</f>
        <v>53219</v>
      </c>
      <c r="Z2009" s="132">
        <v>1.3976123256404462E-2</v>
      </c>
      <c r="AA2009" s="129">
        <v>1.3953725902098313E-2</v>
      </c>
    </row>
    <row r="2010" spans="19:27" x14ac:dyDescent="0.2">
      <c r="S2010" s="1"/>
      <c r="T2010" s="109"/>
      <c r="W2010" s="130" t="str">
        <f t="shared" si="41"/>
        <v>1w</v>
      </c>
      <c r="X2010" s="128">
        <f>_xll.qlCalendarAdvance(Calendar,X2009,W2010,"f",FALSE)</f>
        <v>53224</v>
      </c>
      <c r="Y2010" s="131">
        <f>_xll.qlCalendarAdvance(Calendar,X2010,NDays&amp;"D")</f>
        <v>53226</v>
      </c>
      <c r="Z2010" s="132">
        <v>1.3975763039970198E-2</v>
      </c>
      <c r="AA2010" s="129">
        <v>1.3953498860432845E-2</v>
      </c>
    </row>
    <row r="2011" spans="19:27" x14ac:dyDescent="0.2">
      <c r="S2011" s="1"/>
      <c r="T2011" s="109"/>
      <c r="W2011" s="130" t="str">
        <f t="shared" si="41"/>
        <v>1w</v>
      </c>
      <c r="X2011" s="128">
        <f>_xll.qlCalendarAdvance(Calendar,X2010,W2011,"f",FALSE)</f>
        <v>53231</v>
      </c>
      <c r="Y2011" s="131">
        <f>_xll.qlCalendarAdvance(Calendar,X2011,NDays&amp;"D")</f>
        <v>53233</v>
      </c>
      <c r="Z2011" s="132">
        <v>1.3975382230899768E-2</v>
      </c>
      <c r="AA2011" s="129">
        <v>1.3953251297742497E-2</v>
      </c>
    </row>
    <row r="2012" spans="19:27" x14ac:dyDescent="0.2">
      <c r="S2012" s="1"/>
      <c r="T2012" s="109"/>
      <c r="W2012" s="130" t="str">
        <f t="shared" si="41"/>
        <v>1w</v>
      </c>
      <c r="X2012" s="128">
        <f>_xll.qlCalendarAdvance(Calendar,X2011,W2012,"f",FALSE)</f>
        <v>53238</v>
      </c>
      <c r="Y2012" s="131">
        <f>_xll.qlCalendarAdvance(Calendar,X2012,NDays&amp;"D")</f>
        <v>53240</v>
      </c>
      <c r="Z2012" s="132">
        <v>1.397521909871558E-2</v>
      </c>
      <c r="AA2012" s="129">
        <v>1.395298321402727E-2</v>
      </c>
    </row>
    <row r="2013" spans="19:27" x14ac:dyDescent="0.2">
      <c r="S2013" s="1"/>
      <c r="T2013" s="109"/>
      <c r="W2013" s="130" t="str">
        <f t="shared" si="41"/>
        <v>1w</v>
      </c>
      <c r="X2013" s="128">
        <f>_xll.qlCalendarAdvance(Calendar,X2012,W2013,"f",FALSE)</f>
        <v>53245</v>
      </c>
      <c r="Y2013" s="131">
        <f>_xll.qlCalendarAdvance(Calendar,X2013,NDays&amp;"D")</f>
        <v>53247</v>
      </c>
      <c r="Z2013" s="132">
        <v>1.3974795617082342E-2</v>
      </c>
      <c r="AA2013" s="129">
        <v>1.3952694609447036E-2</v>
      </c>
    </row>
    <row r="2014" spans="19:27" x14ac:dyDescent="0.2">
      <c r="S2014" s="1"/>
      <c r="T2014" s="109"/>
      <c r="W2014" s="130" t="str">
        <f t="shared" si="41"/>
        <v>1w</v>
      </c>
      <c r="X2014" s="128">
        <f>_xll.qlCalendarAdvance(Calendar,X2013,W2014,"f",FALSE)</f>
        <v>53252</v>
      </c>
      <c r="Y2014" s="131">
        <f>_xll.qlCalendarAdvance(Calendar,X2014,NDays&amp;"D")</f>
        <v>53254</v>
      </c>
      <c r="Z2014" s="132">
        <v>1.3974351542035171E-2</v>
      </c>
      <c r="AA2014" s="129">
        <v>1.3952385483761987E-2</v>
      </c>
    </row>
    <row r="2015" spans="19:27" x14ac:dyDescent="0.2">
      <c r="S2015" s="1"/>
      <c r="T2015" s="109"/>
      <c r="W2015" s="130" t="str">
        <f t="shared" si="41"/>
        <v>1w</v>
      </c>
      <c r="X2015" s="128">
        <f>_xll.qlCalendarAdvance(Calendar,X2014,W2015,"f",FALSE)</f>
        <v>53259</v>
      </c>
      <c r="Y2015" s="131">
        <f>_xll.qlCalendarAdvance(Calendar,X2015,NDays&amp;"D")</f>
        <v>53261</v>
      </c>
      <c r="Z2015" s="132">
        <v>1.3973886873582761E-2</v>
      </c>
      <c r="AA2015" s="129">
        <v>1.395205583721193E-2</v>
      </c>
    </row>
    <row r="2016" spans="19:27" x14ac:dyDescent="0.2">
      <c r="S2016" s="1"/>
      <c r="T2016" s="109"/>
      <c r="W2016" s="130" t="str">
        <f t="shared" si="41"/>
        <v>1w</v>
      </c>
      <c r="X2016" s="128">
        <f>_xll.qlCalendarAdvance(Calendar,X2015,W2016,"f",FALSE)</f>
        <v>53266</v>
      </c>
      <c r="Y2016" s="131">
        <f>_xll.qlCalendarAdvance(Calendar,X2016,NDays&amp;"D")</f>
        <v>53268</v>
      </c>
      <c r="Z2016" s="132">
        <v>1.397340161173119E-2</v>
      </c>
      <c r="AA2016" s="129">
        <v>1.3951705669716929E-2</v>
      </c>
    </row>
    <row r="2017" spans="19:27" x14ac:dyDescent="0.2">
      <c r="S2017" s="1"/>
      <c r="T2017" s="109"/>
      <c r="W2017" s="130" t="str">
        <f t="shared" si="41"/>
        <v>1w</v>
      </c>
      <c r="X2017" s="128">
        <f>_xll.qlCalendarAdvance(Calendar,X2016,W2017,"f",FALSE)</f>
        <v>53273</v>
      </c>
      <c r="Y2017" s="131">
        <f>_xll.qlCalendarAdvance(Calendar,X2017,NDays&amp;"D")</f>
        <v>53275</v>
      </c>
      <c r="Z2017" s="132">
        <v>1.397289575648741E-2</v>
      </c>
      <c r="AA2017" s="129">
        <v>1.395133498119705E-2</v>
      </c>
    </row>
    <row r="2018" spans="19:27" x14ac:dyDescent="0.2">
      <c r="S2018" s="1"/>
      <c r="T2018" s="109"/>
      <c r="W2018" s="130" t="str">
        <f t="shared" si="41"/>
        <v>1w</v>
      </c>
      <c r="X2018" s="128">
        <f>_xll.qlCalendarAdvance(Calendar,X2017,W2018,"f",FALSE)</f>
        <v>53280</v>
      </c>
      <c r="Y2018" s="131">
        <f>_xll.qlCalendarAdvance(Calendar,X2018,NDays&amp;"D")</f>
        <v>53282</v>
      </c>
      <c r="Z2018" s="132">
        <v>1.3972369307860109E-2</v>
      </c>
      <c r="AA2018" s="129">
        <v>1.3950943771732227E-2</v>
      </c>
    </row>
    <row r="2019" spans="19:27" x14ac:dyDescent="0.2">
      <c r="S2019" s="1"/>
      <c r="T2019" s="109"/>
      <c r="W2019" s="130" t="str">
        <f t="shared" si="41"/>
        <v>1w</v>
      </c>
      <c r="X2019" s="128">
        <f>_xll.qlCalendarAdvance(Calendar,X2018,W2019,"f",FALSE)</f>
        <v>53287</v>
      </c>
      <c r="Y2019" s="131">
        <f>_xll.qlCalendarAdvance(Calendar,X2019,NDays&amp;"D")</f>
        <v>53289</v>
      </c>
      <c r="Z2019" s="132">
        <v>1.3971822265857978E-2</v>
      </c>
      <c r="AA2019" s="129">
        <v>1.3950532041242525E-2</v>
      </c>
    </row>
    <row r="2020" spans="19:27" x14ac:dyDescent="0.2">
      <c r="S2020" s="1"/>
      <c r="T2020" s="109"/>
      <c r="W2020" s="130" t="str">
        <f t="shared" si="41"/>
        <v>1w</v>
      </c>
      <c r="X2020" s="128">
        <f>_xll.qlCalendarAdvance(Calendar,X2019,W2020,"f",FALSE)</f>
        <v>53294</v>
      </c>
      <c r="Y2020" s="131">
        <f>_xll.qlCalendarAdvance(Calendar,X2020,NDays&amp;"D")</f>
        <v>53296</v>
      </c>
      <c r="Z2020" s="132">
        <v>1.3970801796522103E-2</v>
      </c>
      <c r="AA2020" s="129">
        <v>1.3950099789807879E-2</v>
      </c>
    </row>
    <row r="2021" spans="19:27" x14ac:dyDescent="0.2">
      <c r="S2021" s="1"/>
      <c r="T2021" s="109"/>
      <c r="W2021" s="130" t="str">
        <f t="shared" si="41"/>
        <v>1w</v>
      </c>
      <c r="X2021" s="128">
        <f>_xll.qlCalendarAdvance(Calendar,X2020,W2021,"f",FALSE)</f>
        <v>53301</v>
      </c>
      <c r="Y2021" s="131">
        <f>_xll.qlCalendarAdvance(Calendar,X2021,NDays&amp;"D")</f>
        <v>53303</v>
      </c>
      <c r="Z2021" s="132">
        <v>1.3970216555047266E-2</v>
      </c>
      <c r="AA2021" s="129">
        <v>1.3949647017348354E-2</v>
      </c>
    </row>
    <row r="2022" spans="19:27" x14ac:dyDescent="0.2">
      <c r="S2022" s="1"/>
      <c r="T2022" s="109"/>
      <c r="W2022" s="130" t="str">
        <f t="shared" si="41"/>
        <v>1w</v>
      </c>
      <c r="X2022" s="128">
        <f>_xll.qlCalendarAdvance(Calendar,X2021,W2022,"f",FALSE)</f>
        <v>53308</v>
      </c>
      <c r="Y2022" s="131">
        <f>_xll.qlCalendarAdvance(Calendar,X2022,NDays&amp;"D")</f>
        <v>53310</v>
      </c>
      <c r="Z2022" s="132">
        <v>1.396961072181746E-2</v>
      </c>
      <c r="AA2022" s="129">
        <v>1.3949173723943886E-2</v>
      </c>
    </row>
    <row r="2023" spans="19:27" x14ac:dyDescent="0.2">
      <c r="S2023" s="1"/>
      <c r="T2023" s="109"/>
      <c r="W2023" s="130" t="str">
        <f t="shared" si="41"/>
        <v>1w</v>
      </c>
      <c r="X2023" s="128">
        <f>_xll.qlCalendarAdvance(Calendar,X2022,W2023,"f",FALSE)</f>
        <v>53315</v>
      </c>
      <c r="Y2023" s="131">
        <f>_xll.qlCalendarAdvance(Calendar,X2023,NDays&amp;"D")</f>
        <v>53317</v>
      </c>
      <c r="Z2023" s="132">
        <v>1.3968984296839793E-2</v>
      </c>
      <c r="AA2023" s="129">
        <v>1.3948679909594475E-2</v>
      </c>
    </row>
    <row r="2024" spans="19:27" x14ac:dyDescent="0.2">
      <c r="S2024" s="1"/>
      <c r="T2024" s="109"/>
      <c r="W2024" s="130" t="str">
        <f t="shared" si="41"/>
        <v>1w</v>
      </c>
      <c r="X2024" s="128">
        <f>_xll.qlCalendarAdvance(Calendar,X2023,W2024,"f",FALSE)</f>
        <v>53323</v>
      </c>
      <c r="Y2024" s="131">
        <f>_xll.qlCalendarAdvance(Calendar,X2024,NDays&amp;"D")</f>
        <v>53325</v>
      </c>
      <c r="Z2024" s="132">
        <v>1.3968463460630975E-2</v>
      </c>
      <c r="AA2024" s="129">
        <v>1.3948787277728858E-2</v>
      </c>
    </row>
    <row r="2025" spans="19:27" x14ac:dyDescent="0.2">
      <c r="S2025" s="1"/>
      <c r="T2025" s="109"/>
      <c r="W2025" s="130" t="str">
        <f t="shared" si="41"/>
        <v>1w</v>
      </c>
      <c r="X2025" s="128">
        <f>_xll.qlCalendarAdvance(Calendar,X2024,W2025,"f",FALSE)</f>
        <v>53330</v>
      </c>
      <c r="Y2025" s="131">
        <f>_xll.qlCalendarAdvance(Calendar,X2025,NDays&amp;"D")</f>
        <v>53332</v>
      </c>
      <c r="Z2025" s="132">
        <v>1.3967572618089896E-2</v>
      </c>
      <c r="AA2025" s="129">
        <v>1.3948014366960138E-2</v>
      </c>
    </row>
    <row r="2026" spans="19:27" x14ac:dyDescent="0.2">
      <c r="S2026" s="1"/>
      <c r="T2026" s="109"/>
      <c r="W2026" s="130" t="str">
        <f t="shared" si="41"/>
        <v>1w</v>
      </c>
      <c r="X2026" s="128">
        <f>_xll.qlCalendarAdvance(Calendar,X2025,W2026,"f",FALSE)</f>
        <v>53337</v>
      </c>
      <c r="Y2026" s="131">
        <f>_xll.qlCalendarAdvance(Calendar,X2026,NDays&amp;"D")</f>
        <v>53339</v>
      </c>
      <c r="Z2026" s="132">
        <v>1.3966881476258131E-2</v>
      </c>
      <c r="AA2026" s="129">
        <v>1.3947453083087424E-2</v>
      </c>
    </row>
    <row r="2027" spans="19:27" x14ac:dyDescent="0.2">
      <c r="S2027" s="1"/>
      <c r="T2027" s="109"/>
      <c r="W2027" s="130" t="str">
        <f t="shared" si="41"/>
        <v>1w</v>
      </c>
      <c r="X2027" s="128">
        <f>_xll.qlCalendarAdvance(Calendar,X2026,W2027,"f",FALSE)</f>
        <v>53344</v>
      </c>
      <c r="Y2027" s="131">
        <f>_xll.qlCalendarAdvance(Calendar,X2027,NDays&amp;"D")</f>
        <v>53346</v>
      </c>
      <c r="Z2027" s="132">
        <v>1.3966169742720247E-2</v>
      </c>
      <c r="AA2027" s="129">
        <v>1.3946871276644401E-2</v>
      </c>
    </row>
    <row r="2028" spans="19:27" x14ac:dyDescent="0.2">
      <c r="S2028" s="1"/>
      <c r="T2028" s="109"/>
      <c r="W2028" s="130" t="str">
        <f t="shared" si="41"/>
        <v>1w</v>
      </c>
      <c r="X2028" s="128">
        <f>_xll.qlCalendarAdvance(Calendar,X2027,W2028,"f",FALSE)</f>
        <v>53351</v>
      </c>
      <c r="Y2028" s="131">
        <f>_xll.qlCalendarAdvance(Calendar,X2028,NDays&amp;"D")</f>
        <v>53353</v>
      </c>
      <c r="Z2028" s="132">
        <v>1.3965437417487792E-2</v>
      </c>
      <c r="AA2028" s="129">
        <v>1.3946268947604423E-2</v>
      </c>
    </row>
    <row r="2029" spans="19:27" x14ac:dyDescent="0.2">
      <c r="S2029" s="1"/>
      <c r="T2029" s="109"/>
      <c r="W2029" s="130" t="str">
        <f t="shared" si="41"/>
        <v>1w</v>
      </c>
      <c r="X2029" s="128">
        <f>_xll.qlCalendarAdvance(Calendar,X2028,W2029,"f",FALSE)</f>
        <v>53358</v>
      </c>
      <c r="Y2029" s="131">
        <f>_xll.qlCalendarAdvance(Calendar,X2029,NDays&amp;"D")</f>
        <v>53360</v>
      </c>
      <c r="Z2029" s="132">
        <v>1.3964471562874782E-2</v>
      </c>
      <c r="AA2029" s="129">
        <v>1.3945646096047426E-2</v>
      </c>
    </row>
    <row r="2030" spans="19:27" x14ac:dyDescent="0.2">
      <c r="S2030" s="1"/>
      <c r="T2030" s="109"/>
      <c r="W2030" s="130" t="str">
        <f t="shared" si="41"/>
        <v>1w</v>
      </c>
      <c r="X2030" s="128">
        <f>_xll.qlCalendarAdvance(Calendar,X2029,W2030,"f",FALSE)</f>
        <v>53365</v>
      </c>
      <c r="Y2030" s="131">
        <f>_xll.qlCalendarAdvance(Calendar,X2030,NDays&amp;"D")</f>
        <v>53367</v>
      </c>
      <c r="Z2030" s="132">
        <v>1.3963699555015795E-2</v>
      </c>
      <c r="AA2030" s="129">
        <v>1.3945002721920119E-2</v>
      </c>
    </row>
    <row r="2031" spans="19:27" x14ac:dyDescent="0.2">
      <c r="S2031" s="1"/>
      <c r="T2031" s="109"/>
      <c r="W2031" s="130" t="str">
        <f t="shared" si="41"/>
        <v>1w</v>
      </c>
      <c r="X2031" s="128">
        <f>_xll.qlCalendarAdvance(Calendar,X2030,W2031,"f",FALSE)</f>
        <v>53372</v>
      </c>
      <c r="Y2031" s="131">
        <f>_xll.qlCalendarAdvance(Calendar,X2031,NDays&amp;"D")</f>
        <v>53374</v>
      </c>
      <c r="Z2031" s="132">
        <v>1.396290695629296E-2</v>
      </c>
      <c r="AA2031" s="129">
        <v>1.3944338825249147E-2</v>
      </c>
    </row>
    <row r="2032" spans="19:27" x14ac:dyDescent="0.2">
      <c r="S2032" s="1"/>
      <c r="T2032" s="109"/>
      <c r="W2032" s="130" t="str">
        <f t="shared" si="41"/>
        <v>1w</v>
      </c>
      <c r="X2032" s="128">
        <f>_xll.qlCalendarAdvance(Calendar,X2031,W2032,"f",FALSE)</f>
        <v>53379</v>
      </c>
      <c r="Y2032" s="131">
        <f>_xll.qlCalendarAdvance(Calendar,X2032,NDays&amp;"D")</f>
        <v>53381</v>
      </c>
      <c r="Z2032" s="132">
        <v>1.396209376671706E-2</v>
      </c>
      <c r="AA2032" s="129">
        <v>1.3943654406007866E-2</v>
      </c>
    </row>
    <row r="2033" spans="19:27" x14ac:dyDescent="0.2">
      <c r="S2033" s="1"/>
      <c r="T2033" s="109"/>
      <c r="W2033" s="130" t="str">
        <f t="shared" si="41"/>
        <v>1w</v>
      </c>
      <c r="X2033" s="128">
        <f>_xll.qlCalendarAdvance(Calendar,X2032,W2033,"f",FALSE)</f>
        <v>53386</v>
      </c>
      <c r="Y2033" s="131">
        <f>_xll.qlCalendarAdvance(Calendar,X2033,NDays&amp;"D")</f>
        <v>53388</v>
      </c>
      <c r="Z2033" s="132">
        <v>1.3962293256066698E-2</v>
      </c>
      <c r="AA2033" s="129">
        <v>1.394294946422292E-2</v>
      </c>
    </row>
    <row r="2034" spans="19:27" x14ac:dyDescent="0.2">
      <c r="S2034" s="1"/>
      <c r="T2034" s="109"/>
      <c r="W2034" s="130" t="str">
        <f t="shared" si="41"/>
        <v>1w</v>
      </c>
      <c r="X2034" s="128">
        <f>_xll.qlCalendarAdvance(Calendar,X2033,W2034,"f",FALSE)</f>
        <v>53393</v>
      </c>
      <c r="Y2034" s="131">
        <f>_xll.qlCalendarAdvance(Calendar,X2034,NDays&amp;"D")</f>
        <v>53395</v>
      </c>
      <c r="Z2034" s="132">
        <v>1.3961431364150562E-2</v>
      </c>
      <c r="AA2034" s="129">
        <v>1.394222399989431E-2</v>
      </c>
    </row>
    <row r="2035" spans="19:27" x14ac:dyDescent="0.2">
      <c r="S2035" s="1"/>
      <c r="T2035" s="109"/>
      <c r="W2035" s="130" t="str">
        <f t="shared" si="41"/>
        <v>1w</v>
      </c>
      <c r="X2035" s="128">
        <f>_xll.qlCalendarAdvance(Calendar,X2034,W2035,"f",FALSE)</f>
        <v>53400</v>
      </c>
      <c r="Y2035" s="131">
        <f>_xll.qlCalendarAdvance(Calendar,X2035,NDays&amp;"D")</f>
        <v>53402</v>
      </c>
      <c r="Z2035" s="132">
        <v>1.3960548877448126E-2</v>
      </c>
      <c r="AA2035" s="129">
        <v>1.3941478012968744E-2</v>
      </c>
    </row>
    <row r="2036" spans="19:27" x14ac:dyDescent="0.2">
      <c r="S2036" s="1"/>
      <c r="T2036" s="109"/>
      <c r="W2036" s="130" t="str">
        <f t="shared" si="41"/>
        <v>1w</v>
      </c>
      <c r="X2036" s="128">
        <f>_xll.qlCalendarAdvance(Calendar,X2035,W2036,"f",FALSE)</f>
        <v>53407</v>
      </c>
      <c r="Y2036" s="131">
        <f>_xll.qlCalendarAdvance(Calendar,X2036,NDays&amp;"D")</f>
        <v>53413</v>
      </c>
      <c r="Z2036" s="132">
        <v>1.3958718361366916E-2</v>
      </c>
      <c r="AA2036" s="129">
        <v>1.3939837074570249E-2</v>
      </c>
    </row>
    <row r="2037" spans="19:27" x14ac:dyDescent="0.2">
      <c r="S2037" s="1"/>
      <c r="T2037" s="109"/>
      <c r="W2037" s="130" t="str">
        <f t="shared" si="41"/>
        <v>1w</v>
      </c>
      <c r="X2037" s="128">
        <f>_xll.qlCalendarAdvance(Calendar,X2036,W2037,"f",FALSE)</f>
        <v>53414</v>
      </c>
      <c r="Y2037" s="131">
        <f>_xll.qlCalendarAdvance(Calendar,X2037,NDays&amp;"D")</f>
        <v>53416</v>
      </c>
      <c r="Z2037" s="132">
        <v>1.3958120637294728E-2</v>
      </c>
      <c r="AA2037" s="129">
        <v>1.393992447148662E-2</v>
      </c>
    </row>
    <row r="2038" spans="19:27" x14ac:dyDescent="0.2">
      <c r="S2038" s="1"/>
      <c r="T2038" s="109"/>
      <c r="W2038" s="130" t="str">
        <f t="shared" si="41"/>
        <v>1w</v>
      </c>
      <c r="X2038" s="128">
        <f>_xll.qlCalendarAdvance(Calendar,X2037,W2038,"f",FALSE)</f>
        <v>53421</v>
      </c>
      <c r="Y2038" s="131">
        <f>_xll.qlCalendarAdvance(Calendar,X2038,NDays&amp;"D")</f>
        <v>53423</v>
      </c>
      <c r="Z2038" s="132">
        <v>1.3957180888599164E-2</v>
      </c>
      <c r="AA2038" s="129">
        <v>1.3939116916903416E-2</v>
      </c>
    </row>
    <row r="2039" spans="19:27" x14ac:dyDescent="0.2">
      <c r="S2039" s="1"/>
      <c r="T2039" s="109"/>
      <c r="W2039" s="130" t="str">
        <f t="shared" si="41"/>
        <v>1w</v>
      </c>
      <c r="X2039" s="128">
        <f>_xll.qlCalendarAdvance(Calendar,X2038,W2039,"f",FALSE)</f>
        <v>53428</v>
      </c>
      <c r="Y2039" s="131">
        <f>_xll.qlCalendarAdvance(Calendar,X2039,NDays&amp;"D")</f>
        <v>53430</v>
      </c>
      <c r="Z2039" s="132">
        <v>1.3956220547558188E-2</v>
      </c>
      <c r="AA2039" s="129">
        <v>1.3938288839803192E-2</v>
      </c>
    </row>
    <row r="2040" spans="19:27" x14ac:dyDescent="0.2">
      <c r="S2040" s="1"/>
      <c r="T2040" s="109"/>
      <c r="W2040" s="130" t="str">
        <f t="shared" si="41"/>
        <v>1w</v>
      </c>
      <c r="X2040" s="128">
        <f>_xll.qlCalendarAdvance(Calendar,X2039,W2040,"f",FALSE)</f>
        <v>53435</v>
      </c>
      <c r="Y2040" s="131">
        <f>_xll.qlCalendarAdvance(Calendar,X2040,NDays&amp;"D")</f>
        <v>53437</v>
      </c>
      <c r="Z2040" s="132">
        <v>1.3955239614184978E-2</v>
      </c>
      <c r="AA2040" s="129">
        <v>1.3937440240106014E-2</v>
      </c>
    </row>
    <row r="2041" spans="19:27" x14ac:dyDescent="0.2">
      <c r="S2041" s="1"/>
      <c r="T2041" s="109"/>
      <c r="W2041" s="130" t="str">
        <f t="shared" si="41"/>
        <v>1w</v>
      </c>
      <c r="X2041" s="128">
        <f>_xll.qlCalendarAdvance(Calendar,X2040,W2041,"f",FALSE)</f>
        <v>53442</v>
      </c>
      <c r="Y2041" s="131">
        <f>_xll.qlCalendarAdvance(Calendar,X2041,NDays&amp;"D")</f>
        <v>53444</v>
      </c>
      <c r="Z2041" s="132">
        <v>1.3954238088497101E-2</v>
      </c>
      <c r="AA2041" s="129">
        <v>1.3936571117865171E-2</v>
      </c>
    </row>
    <row r="2042" spans="19:27" x14ac:dyDescent="0.2">
      <c r="S2042" s="1"/>
      <c r="T2042" s="109"/>
      <c r="W2042" s="130" t="str">
        <f t="shared" si="41"/>
        <v>1w</v>
      </c>
      <c r="X2042" s="128">
        <f>_xll.qlCalendarAdvance(Calendar,X2041,W2042,"f",FALSE)</f>
        <v>53449</v>
      </c>
      <c r="Y2042" s="131">
        <f>_xll.qlCalendarAdvance(Calendar,X2042,NDays&amp;"D")</f>
        <v>53451</v>
      </c>
      <c r="Z2042" s="132">
        <v>1.3953794817788488E-2</v>
      </c>
      <c r="AA2042" s="129">
        <v>1.3935681473080663E-2</v>
      </c>
    </row>
    <row r="2043" spans="19:27" x14ac:dyDescent="0.2">
      <c r="S2043" s="1"/>
      <c r="T2043" s="109"/>
      <c r="W2043" s="130" t="str">
        <f t="shared" si="41"/>
        <v>1w</v>
      </c>
      <c r="X2043" s="128">
        <f>_xll.qlCalendarAdvance(Calendar,X2042,W2043,"f",FALSE)</f>
        <v>53456</v>
      </c>
      <c r="Y2043" s="131">
        <f>_xll.qlCalendarAdvance(Calendar,X2043,NDays&amp;"D")</f>
        <v>53458</v>
      </c>
      <c r="Z2043" s="132">
        <v>1.3952747573344984E-2</v>
      </c>
      <c r="AA2043" s="129">
        <v>1.3934771305725846E-2</v>
      </c>
    </row>
    <row r="2044" spans="19:27" x14ac:dyDescent="0.2">
      <c r="S2044" s="1"/>
      <c r="T2044" s="109"/>
      <c r="W2044" s="130" t="str">
        <f t="shared" si="41"/>
        <v>1w</v>
      </c>
      <c r="X2044" s="128">
        <f>_xll.qlCalendarAdvance(Calendar,X2043,W2044,"f",FALSE)</f>
        <v>53463</v>
      </c>
      <c r="Y2044" s="131">
        <f>_xll.qlCalendarAdvance(Calendar,X2044,NDays&amp;"D")</f>
        <v>53465</v>
      </c>
      <c r="Z2044" s="132">
        <v>1.3951679734256341E-2</v>
      </c>
      <c r="AA2044" s="129">
        <v>1.393384061585401E-2</v>
      </c>
    </row>
    <row r="2045" spans="19:27" x14ac:dyDescent="0.2">
      <c r="S2045" s="1"/>
      <c r="T2045" s="109"/>
      <c r="W2045" s="130" t="str">
        <f t="shared" si="41"/>
        <v>1w</v>
      </c>
      <c r="X2045" s="128">
        <f>_xll.qlCalendarAdvance(Calendar,X2044,W2045,"f",FALSE)</f>
        <v>53470</v>
      </c>
      <c r="Y2045" s="131">
        <f>_xll.qlCalendarAdvance(Calendar,X2045,NDays&amp;"D")</f>
        <v>53472</v>
      </c>
      <c r="Z2045" s="132">
        <v>1.3950591300540419E-2</v>
      </c>
      <c r="AA2045" s="129">
        <v>1.3932889403385218E-2</v>
      </c>
    </row>
    <row r="2046" spans="19:27" x14ac:dyDescent="0.2">
      <c r="S2046" s="1"/>
      <c r="T2046" s="109"/>
      <c r="W2046" s="130" t="str">
        <f t="shared" si="41"/>
        <v>1w</v>
      </c>
      <c r="X2046" s="128">
        <f>_xll.qlCalendarAdvance(Calendar,X2045,W2046,"f",FALSE)</f>
        <v>53477</v>
      </c>
      <c r="Y2046" s="131">
        <f>_xll.qlCalendarAdvance(Calendar,X2046,NDays&amp;"D")</f>
        <v>53479</v>
      </c>
      <c r="Z2046" s="132">
        <v>1.3949482272213373E-2</v>
      </c>
      <c r="AA2046" s="129">
        <v>1.3931917668399407E-2</v>
      </c>
    </row>
    <row r="2047" spans="19:27" x14ac:dyDescent="0.2">
      <c r="S2047" s="1"/>
      <c r="T2047" s="109"/>
      <c r="W2047" s="130" t="str">
        <f t="shared" si="41"/>
        <v>1w</v>
      </c>
      <c r="X2047" s="128">
        <f>_xll.qlCalendarAdvance(Calendar,X2046,W2047,"f",FALSE)</f>
        <v>53484</v>
      </c>
      <c r="Y2047" s="131">
        <f>_xll.qlCalendarAdvance(Calendar,X2047,NDays&amp;"D")</f>
        <v>53486</v>
      </c>
      <c r="Z2047" s="132">
        <v>1.3948352649293063E-2</v>
      </c>
      <c r="AA2047" s="129">
        <v>1.3930925410843287E-2</v>
      </c>
    </row>
    <row r="2048" spans="19:27" x14ac:dyDescent="0.2">
      <c r="S2048" s="1"/>
      <c r="T2048" s="109"/>
      <c r="W2048" s="130" t="str">
        <f t="shared" si="41"/>
        <v>1w</v>
      </c>
      <c r="X2048" s="128">
        <f>_xll.qlCalendarAdvance(Calendar,X2047,W2048,"f",FALSE)</f>
        <v>53491</v>
      </c>
      <c r="Y2048" s="131">
        <f>_xll.qlCalendarAdvance(Calendar,X2048,NDays&amp;"D")</f>
        <v>53493</v>
      </c>
      <c r="Z2048" s="132">
        <v>1.3947202431797345E-2</v>
      </c>
      <c r="AA2048" s="129">
        <v>1.3929912630743502E-2</v>
      </c>
    </row>
    <row r="2049" spans="19:27" x14ac:dyDescent="0.2">
      <c r="S2049" s="1"/>
      <c r="T2049" s="109"/>
      <c r="W2049" s="130" t="str">
        <f t="shared" si="41"/>
        <v>1w</v>
      </c>
      <c r="X2049" s="128">
        <f>_xll.qlCalendarAdvance(Calendar,X2048,W2049,"f",FALSE)</f>
        <v>53498</v>
      </c>
      <c r="Y2049" s="131">
        <f>_xll.qlCalendarAdvance(Calendar,X2049,NDays&amp;"D")</f>
        <v>53500</v>
      </c>
      <c r="Z2049" s="132">
        <v>1.394603161974663E-2</v>
      </c>
      <c r="AA2049" s="129">
        <v>1.3928879328073407E-2</v>
      </c>
    </row>
    <row r="2050" spans="19:27" x14ac:dyDescent="0.2">
      <c r="S2050" s="1"/>
      <c r="T2050" s="109"/>
      <c r="W2050" s="130" t="str">
        <f t="shared" si="41"/>
        <v>1w</v>
      </c>
      <c r="X2050" s="128">
        <f>_xll.qlCalendarAdvance(Calendar,X2049,W2050,"f",FALSE)</f>
        <v>53505</v>
      </c>
      <c r="Y2050" s="131">
        <f>_xll.qlCalendarAdvance(Calendar,X2050,NDays&amp;"D")</f>
        <v>53507</v>
      </c>
      <c r="Z2050" s="132">
        <v>1.3944297705765652E-2</v>
      </c>
      <c r="AA2050" s="129">
        <v>1.3927825502886293E-2</v>
      </c>
    </row>
    <row r="2051" spans="19:27" x14ac:dyDescent="0.2">
      <c r="S2051" s="1"/>
      <c r="T2051" s="109"/>
      <c r="W2051" s="130" t="str">
        <f t="shared" si="41"/>
        <v>1w</v>
      </c>
      <c r="X2051" s="128">
        <f>_xll.qlCalendarAdvance(Calendar,X2050,W2051,"f",FALSE)</f>
        <v>53512</v>
      </c>
      <c r="Y2051" s="131">
        <f>_xll.qlCalendarAdvance(Calendar,X2051,NDays&amp;"D")</f>
        <v>53514</v>
      </c>
      <c r="Z2051" s="132">
        <v>1.3943628212050791E-2</v>
      </c>
      <c r="AA2051" s="129">
        <v>1.3926751155128869E-2</v>
      </c>
    </row>
    <row r="2052" spans="19:27" x14ac:dyDescent="0.2">
      <c r="S2052" s="1"/>
      <c r="T2052" s="109"/>
      <c r="W2052" s="130" t="str">
        <f t="shared" si="41"/>
        <v>1w</v>
      </c>
      <c r="X2052" s="128">
        <f>_xll.qlCalendarAdvance(Calendar,X2051,W2052,"f",FALSE)</f>
        <v>53519</v>
      </c>
      <c r="Y2052" s="131">
        <f>_xll.qlCalendarAdvance(Calendar,X2052,NDays&amp;"D")</f>
        <v>53521</v>
      </c>
      <c r="Z2052" s="132">
        <v>1.3942395616445634E-2</v>
      </c>
      <c r="AA2052" s="129">
        <v>1.3925656284827781E-2</v>
      </c>
    </row>
    <row r="2053" spans="19:27" x14ac:dyDescent="0.2">
      <c r="S2053" s="1"/>
      <c r="T2053" s="109"/>
      <c r="W2053" s="130" t="str">
        <f t="shared" si="41"/>
        <v>1w</v>
      </c>
      <c r="X2053" s="128">
        <f>_xll.qlCalendarAdvance(Calendar,X2052,W2053,"f",FALSE)</f>
        <v>53526</v>
      </c>
      <c r="Y2053" s="131">
        <f>_xll.qlCalendarAdvance(Calendar,X2053,NDays&amp;"D")</f>
        <v>53528</v>
      </c>
      <c r="Z2053" s="132">
        <v>1.3941142426360312E-2</v>
      </c>
      <c r="AA2053" s="129">
        <v>1.3924540891983028E-2</v>
      </c>
    </row>
    <row r="2054" spans="19:27" x14ac:dyDescent="0.2">
      <c r="S2054" s="1"/>
      <c r="T2054" s="109"/>
      <c r="W2054" s="130" t="str">
        <f t="shared" si="41"/>
        <v>1w</v>
      </c>
      <c r="X2054" s="128">
        <f>_xll.qlCalendarAdvance(Calendar,X2053,W2054,"f",FALSE)</f>
        <v>53533</v>
      </c>
      <c r="Y2054" s="131">
        <f>_xll.qlCalendarAdvance(Calendar,X2054,NDays&amp;"D")</f>
        <v>53535</v>
      </c>
      <c r="Z2054" s="132">
        <v>1.3939868641816937E-2</v>
      </c>
      <c r="AA2054" s="129">
        <v>1.3923404976567966E-2</v>
      </c>
    </row>
    <row r="2055" spans="19:27" x14ac:dyDescent="0.2">
      <c r="S2055" s="1"/>
      <c r="T2055" s="109"/>
      <c r="W2055" s="130" t="str">
        <f t="shared" si="41"/>
        <v>1w</v>
      </c>
      <c r="X2055" s="128">
        <f>_xll.qlCalendarAdvance(Calendar,X2054,W2055,"f",FALSE)</f>
        <v>53540</v>
      </c>
      <c r="Y2055" s="131">
        <f>_xll.qlCalendarAdvance(Calendar,X2055,NDays&amp;"D")</f>
        <v>53542</v>
      </c>
      <c r="Z2055" s="132">
        <v>1.3938574262835068E-2</v>
      </c>
      <c r="AA2055" s="129">
        <v>1.3922248538635884E-2</v>
      </c>
    </row>
    <row r="2056" spans="19:27" x14ac:dyDescent="0.2">
      <c r="S2056" s="1"/>
      <c r="T2056" s="109"/>
      <c r="W2056" s="130" t="str">
        <f t="shared" si="41"/>
        <v>1w</v>
      </c>
      <c r="X2056" s="128">
        <f>_xll.qlCalendarAdvance(Calendar,X2055,W2056,"f",FALSE)</f>
        <v>53547</v>
      </c>
      <c r="Y2056" s="131">
        <f>_xll.qlCalendarAdvance(Calendar,X2056,NDays&amp;"D")</f>
        <v>53549</v>
      </c>
      <c r="Z2056" s="132">
        <v>1.3937259289435112E-2</v>
      </c>
      <c r="AA2056" s="129">
        <v>1.3921071578133493E-2</v>
      </c>
    </row>
    <row r="2057" spans="19:27" x14ac:dyDescent="0.2">
      <c r="S2057" s="1"/>
      <c r="T2057" s="109"/>
      <c r="W2057" s="130" t="str">
        <f t="shared" si="41"/>
        <v>1w</v>
      </c>
      <c r="X2057" s="128">
        <f>_xll.qlCalendarAdvance(Calendar,X2056,W2057,"f",FALSE)</f>
        <v>53554</v>
      </c>
      <c r="Y2057" s="131">
        <f>_xll.qlCalendarAdvance(Calendar,X2057,NDays&amp;"D")</f>
        <v>53556</v>
      </c>
      <c r="Z2057" s="132">
        <v>1.393592372164003E-2</v>
      </c>
      <c r="AA2057" s="129">
        <v>1.3919874095087437E-2</v>
      </c>
    </row>
    <row r="2058" spans="19:27" x14ac:dyDescent="0.2">
      <c r="S2058" s="1"/>
      <c r="T2058" s="109"/>
      <c r="W2058" s="130" t="str">
        <f t="shared" si="41"/>
        <v>1w</v>
      </c>
      <c r="X2058" s="128">
        <f>_xll.qlCalendarAdvance(Calendar,X2057,W2058,"f",FALSE)</f>
        <v>53561</v>
      </c>
      <c r="Y2058" s="131">
        <f>_xll.qlCalendarAdvance(Calendar,X2058,NDays&amp;"D")</f>
        <v>53563</v>
      </c>
      <c r="Z2058" s="132">
        <v>1.3934567559468532E-2</v>
      </c>
      <c r="AA2058" s="129">
        <v>1.3918656089524362E-2</v>
      </c>
    </row>
    <row r="2059" spans="19:27" x14ac:dyDescent="0.2">
      <c r="S2059" s="1"/>
      <c r="T2059" s="109"/>
      <c r="W2059" s="130" t="str">
        <f t="shared" si="41"/>
        <v>1w</v>
      </c>
      <c r="X2059" s="128">
        <f>_xll.qlCalendarAdvance(Calendar,X2058,W2059,"f",FALSE)</f>
        <v>53568</v>
      </c>
      <c r="Y2059" s="131">
        <f>_xll.qlCalendarAdvance(Calendar,X2059,NDays&amp;"D")</f>
        <v>53570</v>
      </c>
      <c r="Z2059" s="132">
        <v>1.3932689359416429E-2</v>
      </c>
      <c r="AA2059" s="129">
        <v>1.3917417561390977E-2</v>
      </c>
    </row>
    <row r="2060" spans="19:27" x14ac:dyDescent="0.2">
      <c r="S2060" s="1"/>
      <c r="T2060" s="109"/>
      <c r="W2060" s="130" t="str">
        <f t="shared" si="41"/>
        <v>1w</v>
      </c>
      <c r="X2060" s="128">
        <f>_xll.qlCalendarAdvance(Calendar,X2059,W2060,"f",FALSE)</f>
        <v>53575</v>
      </c>
      <c r="Y2060" s="131">
        <f>_xll.qlCalendarAdvance(Calendar,X2060,NDays&amp;"D")</f>
        <v>53577</v>
      </c>
      <c r="Z2060" s="132">
        <v>1.3931296583053617E-2</v>
      </c>
      <c r="AA2060" s="129">
        <v>1.3916158510740573E-2</v>
      </c>
    </row>
    <row r="2061" spans="19:27" x14ac:dyDescent="0.2">
      <c r="S2061" s="1"/>
      <c r="T2061" s="109"/>
      <c r="W2061" s="130" t="str">
        <f t="shared" si="41"/>
        <v>1w</v>
      </c>
      <c r="X2061" s="128">
        <f>_xll.qlCalendarAdvance(Calendar,X2060,W2061,"f",FALSE)</f>
        <v>53582</v>
      </c>
      <c r="Y2061" s="131">
        <f>_xll.qlCalendarAdvance(Calendar,X2061,NDays&amp;"D")</f>
        <v>53584</v>
      </c>
      <c r="Z2061" s="132">
        <v>1.392988321474771E-2</v>
      </c>
      <c r="AA2061" s="129">
        <v>1.3914878937519859E-2</v>
      </c>
    </row>
    <row r="2062" spans="19:27" x14ac:dyDescent="0.2">
      <c r="S2062" s="1"/>
      <c r="T2062" s="109"/>
      <c r="W2062" s="130" t="str">
        <f t="shared" si="41"/>
        <v>1w</v>
      </c>
      <c r="X2062" s="128">
        <f>_xll.qlCalendarAdvance(Calendar,X2061,W2062,"f",FALSE)</f>
        <v>53589</v>
      </c>
      <c r="Y2062" s="131">
        <f>_xll.qlCalendarAdvance(Calendar,X2062,NDays&amp;"D")</f>
        <v>53591</v>
      </c>
      <c r="Z2062" s="132">
        <v>1.3928449254520666E-2</v>
      </c>
      <c r="AA2062" s="129">
        <v>1.3913578841755481E-2</v>
      </c>
    </row>
    <row r="2063" spans="19:27" x14ac:dyDescent="0.2">
      <c r="S2063" s="1"/>
      <c r="T2063" s="109"/>
      <c r="W2063" s="130" t="str">
        <f t="shared" si="41"/>
        <v>1w</v>
      </c>
      <c r="X2063" s="128">
        <f>_xll.qlCalendarAdvance(Calendar,X2062,W2063,"f",FALSE)</f>
        <v>53596</v>
      </c>
      <c r="Y2063" s="131">
        <f>_xll.qlCalendarAdvance(Calendar,X2063,NDays&amp;"D")</f>
        <v>53598</v>
      </c>
      <c r="Z2063" s="132">
        <v>1.3927477833765849E-2</v>
      </c>
      <c r="AA2063" s="129">
        <v>1.3912258223500729E-2</v>
      </c>
    </row>
    <row r="2064" spans="19:27" x14ac:dyDescent="0.2">
      <c r="S2064" s="1"/>
      <c r="T2064" s="109"/>
      <c r="W2064" s="130" t="str">
        <f t="shared" si="41"/>
        <v>1w</v>
      </c>
      <c r="X2064" s="128">
        <f>_xll.qlCalendarAdvance(Calendar,X2063,W2064,"f",FALSE)</f>
        <v>53603</v>
      </c>
      <c r="Y2064" s="131">
        <f>_xll.qlCalendarAdvance(Calendar,X2064,NDays&amp;"D")</f>
        <v>53605</v>
      </c>
      <c r="Z2064" s="132">
        <v>1.3925998105815466E-2</v>
      </c>
      <c r="AA2064" s="129">
        <v>1.3910917082649021E-2</v>
      </c>
    </row>
    <row r="2065" spans="19:27" x14ac:dyDescent="0.2">
      <c r="S2065" s="1"/>
      <c r="T2065" s="109"/>
      <c r="W2065" s="130" t="str">
        <f t="shared" si="41"/>
        <v>1w</v>
      </c>
      <c r="X2065" s="128">
        <f>_xll.qlCalendarAdvance(Calendar,X2064,W2065,"f",FALSE)</f>
        <v>53610</v>
      </c>
      <c r="Y2065" s="131">
        <f>_xll.qlCalendarAdvance(Calendar,X2065,NDays&amp;"D")</f>
        <v>53612</v>
      </c>
      <c r="Z2065" s="132">
        <v>1.3924497783649388E-2</v>
      </c>
      <c r="AA2065" s="129">
        <v>1.3909555419280295E-2</v>
      </c>
    </row>
    <row r="2066" spans="19:27" x14ac:dyDescent="0.2">
      <c r="S2066" s="1"/>
      <c r="T2066" s="109"/>
      <c r="W2066" s="130" t="str">
        <f t="shared" si="41"/>
        <v>1w</v>
      </c>
      <c r="X2066" s="128">
        <f>_xll.qlCalendarAdvance(Calendar,X2065,W2066,"f",FALSE)</f>
        <v>53617</v>
      </c>
      <c r="Y2066" s="131">
        <f>_xll.qlCalendarAdvance(Calendar,X2066,NDays&amp;"D")</f>
        <v>53619</v>
      </c>
      <c r="Z2066" s="132">
        <v>1.3922976867290575E-2</v>
      </c>
      <c r="AA2066" s="129">
        <v>1.3908173233341259E-2</v>
      </c>
    </row>
    <row r="2067" spans="19:27" x14ac:dyDescent="0.2">
      <c r="S2067" s="1"/>
      <c r="T2067" s="109"/>
      <c r="W2067" s="130" t="str">
        <f t="shared" si="41"/>
        <v>1w</v>
      </c>
      <c r="X2067" s="128">
        <f>_xll.qlCalendarAdvance(Calendar,X2066,W2067,"f",FALSE)</f>
        <v>53624</v>
      </c>
      <c r="Y2067" s="131">
        <f>_xll.qlCalendarAdvance(Calendar,X2067,NDays&amp;"D")</f>
        <v>53626</v>
      </c>
      <c r="Z2067" s="132">
        <v>1.3921435356765391E-2</v>
      </c>
      <c r="AA2067" s="129">
        <v>1.3906770524885204E-2</v>
      </c>
    </row>
    <row r="2068" spans="19:27" x14ac:dyDescent="0.2">
      <c r="S2068" s="1"/>
      <c r="T2068" s="109"/>
      <c r="W2068" s="130" t="str">
        <f t="shared" si="41"/>
        <v>1w</v>
      </c>
      <c r="X2068" s="128">
        <f>_xll.qlCalendarAdvance(Calendar,X2067,W2068,"f",FALSE)</f>
        <v>53631</v>
      </c>
      <c r="Y2068" s="131">
        <f>_xll.qlCalendarAdvance(Calendar,X2068,NDays&amp;"D")</f>
        <v>53633</v>
      </c>
      <c r="Z2068" s="132">
        <v>1.3919873252099346E-2</v>
      </c>
      <c r="AA2068" s="129">
        <v>1.3905347293912129E-2</v>
      </c>
    </row>
    <row r="2069" spans="19:27" x14ac:dyDescent="0.2">
      <c r="S2069" s="1"/>
      <c r="T2069" s="109"/>
      <c r="W2069" s="130" t="str">
        <f t="shared" ref="W2069:W2132" si="42">W2068</f>
        <v>1w</v>
      </c>
      <c r="X2069" s="128">
        <f>_xll.qlCalendarAdvance(Calendar,X2068,W2069,"f",FALSE)</f>
        <v>53638</v>
      </c>
      <c r="Y2069" s="131">
        <f>_xll.qlCalendarAdvance(Calendar,X2069,NDays&amp;"D")</f>
        <v>53640</v>
      </c>
      <c r="Z2069" s="132">
        <v>1.391829055331625E-2</v>
      </c>
      <c r="AA2069" s="129">
        <v>1.3903903540368745E-2</v>
      </c>
    </row>
    <row r="2070" spans="19:27" x14ac:dyDescent="0.2">
      <c r="S2070" s="1"/>
      <c r="T2070" s="109"/>
      <c r="W2070" s="130" t="str">
        <f t="shared" si="42"/>
        <v>1w</v>
      </c>
      <c r="X2070" s="128">
        <f>_xll.qlCalendarAdvance(Calendar,X2069,W2070,"f",FALSE)</f>
        <v>53645</v>
      </c>
      <c r="Y2070" s="131">
        <f>_xll.qlCalendarAdvance(Calendar,X2070,NDays&amp;"D")</f>
        <v>53647</v>
      </c>
      <c r="Z2070" s="132">
        <v>1.3916687260441617E-2</v>
      </c>
      <c r="AA2070" s="129">
        <v>1.3902439264334987E-2</v>
      </c>
    </row>
    <row r="2071" spans="19:27" x14ac:dyDescent="0.2">
      <c r="S2071" s="1"/>
      <c r="T2071" s="109"/>
      <c r="W2071" s="130" t="str">
        <f t="shared" si="42"/>
        <v>1w</v>
      </c>
      <c r="X2071" s="128">
        <f>_xll.qlCalendarAdvance(Calendar,X2070,W2071,"f",FALSE)</f>
        <v>53652</v>
      </c>
      <c r="Y2071" s="131">
        <f>_xll.qlCalendarAdvance(Calendar,X2071,NDays&amp;"D")</f>
        <v>53654</v>
      </c>
      <c r="Z2071" s="132">
        <v>1.3915063373500956E-2</v>
      </c>
      <c r="AA2071" s="129">
        <v>1.3900954465677628E-2</v>
      </c>
    </row>
    <row r="2072" spans="19:27" x14ac:dyDescent="0.2">
      <c r="S2072" s="1"/>
      <c r="T2072" s="109"/>
      <c r="W2072" s="130" t="str">
        <f t="shared" si="42"/>
        <v>1w</v>
      </c>
      <c r="X2072" s="128">
        <f>_xll.qlCalendarAdvance(Calendar,X2071,W2072,"f",FALSE)</f>
        <v>53659</v>
      </c>
      <c r="Y2072" s="131">
        <f>_xll.qlCalendarAdvance(Calendar,X2072,NDays&amp;"D")</f>
        <v>53661</v>
      </c>
      <c r="Z2072" s="132">
        <v>1.3912829552973349E-2</v>
      </c>
      <c r="AA2072" s="129">
        <v>1.3899449144556542E-2</v>
      </c>
    </row>
    <row r="2073" spans="19:27" x14ac:dyDescent="0.2">
      <c r="S2073" s="1"/>
      <c r="T2073" s="109"/>
      <c r="W2073" s="130" t="str">
        <f t="shared" si="42"/>
        <v>1w</v>
      </c>
      <c r="X2073" s="128">
        <f>_xll.qlCalendarAdvance(Calendar,X2072,W2073,"f",FALSE)</f>
        <v>53666</v>
      </c>
      <c r="Y2073" s="131">
        <f>_xll.qlCalendarAdvance(Calendar,X2073,NDays&amp;"D")</f>
        <v>53668</v>
      </c>
      <c r="Z2073" s="132">
        <v>1.3911170617985746E-2</v>
      </c>
      <c r="AA2073" s="129">
        <v>1.389792330089179E-2</v>
      </c>
    </row>
    <row r="2074" spans="19:27" x14ac:dyDescent="0.2">
      <c r="S2074" s="1"/>
      <c r="T2074" s="109"/>
      <c r="W2074" s="130" t="str">
        <f t="shared" si="42"/>
        <v>1w</v>
      </c>
      <c r="X2074" s="128">
        <f>_xll.qlCalendarAdvance(Calendar,X2073,W2074,"f",FALSE)</f>
        <v>53673</v>
      </c>
      <c r="Y2074" s="131">
        <f>_xll.qlCalendarAdvance(Calendar,X2074,NDays&amp;"D")</f>
        <v>53675</v>
      </c>
      <c r="Z2074" s="132">
        <v>1.3909491092149118E-2</v>
      </c>
      <c r="AA2074" s="129">
        <v>1.3896376934683374E-2</v>
      </c>
    </row>
    <row r="2075" spans="19:27" x14ac:dyDescent="0.2">
      <c r="S2075" s="1"/>
      <c r="T2075" s="109"/>
      <c r="W2075" s="130" t="str">
        <f t="shared" si="42"/>
        <v>1w</v>
      </c>
      <c r="X2075" s="128">
        <f>_xll.qlCalendarAdvance(Calendar,X2074,W2075,"f",FALSE)</f>
        <v>53680</v>
      </c>
      <c r="Y2075" s="131">
        <f>_xll.qlCalendarAdvance(Calendar,X2075,NDays&amp;"D")</f>
        <v>53682</v>
      </c>
      <c r="Z2075" s="132">
        <v>1.3907790975490109E-2</v>
      </c>
      <c r="AA2075" s="129">
        <v>1.3894810045904649E-2</v>
      </c>
    </row>
    <row r="2076" spans="19:27" x14ac:dyDescent="0.2">
      <c r="S2076" s="1"/>
      <c r="T2076" s="109"/>
      <c r="W2076" s="130" t="str">
        <f t="shared" si="42"/>
        <v>1w</v>
      </c>
      <c r="X2076" s="128">
        <f>_xll.qlCalendarAdvance(Calendar,X2075,W2076,"f",FALSE)</f>
        <v>53688</v>
      </c>
      <c r="Y2076" s="131">
        <f>_xll.qlCalendarAdvance(Calendar,X2076,NDays&amp;"D")</f>
        <v>53692</v>
      </c>
      <c r="Z2076" s="132">
        <v>1.3905044598462818E-2</v>
      </c>
      <c r="AA2076" s="129">
        <v>1.389238276604754E-2</v>
      </c>
    </row>
    <row r="2077" spans="19:27" x14ac:dyDescent="0.2">
      <c r="S2077" s="1"/>
      <c r="T2077" s="109"/>
      <c r="W2077" s="130" t="str">
        <f t="shared" si="42"/>
        <v>1w</v>
      </c>
      <c r="X2077" s="128">
        <f>_xll.qlCalendarAdvance(Calendar,X2076,W2077,"f",FALSE)</f>
        <v>53695</v>
      </c>
      <c r="Y2077" s="131">
        <f>_xll.qlCalendarAdvance(Calendar,X2077,NDays&amp;"D")</f>
        <v>53699</v>
      </c>
      <c r="Z2077" s="132">
        <v>1.3903715603170341E-2</v>
      </c>
      <c r="AA2077" s="129">
        <v>1.3890615684486463E-2</v>
      </c>
    </row>
    <row r="2078" spans="19:27" x14ac:dyDescent="0.2">
      <c r="S2078" s="1"/>
      <c r="T2078" s="109"/>
      <c r="W2078" s="130" t="str">
        <f t="shared" si="42"/>
        <v>1w</v>
      </c>
      <c r="X2078" s="128">
        <f>_xll.qlCalendarAdvance(Calendar,X2077,W2078,"f",FALSE)</f>
        <v>53702</v>
      </c>
      <c r="Y2078" s="131">
        <f>_xll.qlCalendarAdvance(Calendar,X2078,NDays&amp;"D")</f>
        <v>53706</v>
      </c>
      <c r="Z2078" s="132">
        <v>1.3902080875502175E-2</v>
      </c>
      <c r="AA2078" s="129">
        <v>1.3888981490586261E-2</v>
      </c>
    </row>
    <row r="2079" spans="19:27" x14ac:dyDescent="0.2">
      <c r="S2079" s="1"/>
      <c r="T2079" s="109"/>
      <c r="W2079" s="130" t="str">
        <f t="shared" si="42"/>
        <v>1w</v>
      </c>
      <c r="X2079" s="128">
        <f>_xll.qlCalendarAdvance(Calendar,X2078,W2079,"f",FALSE)</f>
        <v>53709</v>
      </c>
      <c r="Y2079" s="131">
        <f>_xll.qlCalendarAdvance(Calendar,X2079,NDays&amp;"D")</f>
        <v>53713</v>
      </c>
      <c r="Z2079" s="132">
        <v>1.3900150506391672E-2</v>
      </c>
      <c r="AA2079" s="129">
        <v>1.3887326775821052E-2</v>
      </c>
    </row>
    <row r="2080" spans="19:27" x14ac:dyDescent="0.2">
      <c r="S2080" s="1"/>
      <c r="T2080" s="109"/>
      <c r="W2080" s="130" t="str">
        <f t="shared" si="42"/>
        <v>1w</v>
      </c>
      <c r="X2080" s="128">
        <f>_xll.qlCalendarAdvance(Calendar,X2079,W2080,"f",FALSE)</f>
        <v>53716</v>
      </c>
      <c r="Y2080" s="131">
        <f>_xll.qlCalendarAdvance(Calendar,X2080,NDays&amp;"D")</f>
        <v>53720</v>
      </c>
      <c r="Z2080" s="132">
        <v>1.389833707080009E-2</v>
      </c>
      <c r="AA2080" s="129">
        <v>1.3885651540190835E-2</v>
      </c>
    </row>
    <row r="2081" spans="19:27" x14ac:dyDescent="0.2">
      <c r="S2081" s="1"/>
      <c r="T2081" s="109"/>
      <c r="W2081" s="130" t="str">
        <f t="shared" si="42"/>
        <v>1w</v>
      </c>
      <c r="X2081" s="128">
        <f>_xll.qlCalendarAdvance(Calendar,X2080,W2081,"f",FALSE)</f>
        <v>53723</v>
      </c>
      <c r="Y2081" s="131">
        <f>_xll.qlCalendarAdvance(Calendar,X2081,NDays&amp;"D")</f>
        <v>53727</v>
      </c>
      <c r="Z2081" s="132">
        <v>1.3896503043778409E-2</v>
      </c>
      <c r="AA2081" s="129">
        <v>1.3883955783455804E-2</v>
      </c>
    </row>
    <row r="2082" spans="19:27" x14ac:dyDescent="0.2">
      <c r="S2082" s="1"/>
      <c r="T2082" s="109"/>
      <c r="W2082" s="130" t="str">
        <f t="shared" si="42"/>
        <v>1w</v>
      </c>
      <c r="X2082" s="128">
        <f>_xll.qlCalendarAdvance(Calendar,X2081,W2082,"f",FALSE)</f>
        <v>53730</v>
      </c>
      <c r="Y2082" s="131">
        <f>_xll.qlCalendarAdvance(Calendar,X2082,NDays&amp;"D")</f>
        <v>53734</v>
      </c>
      <c r="Z2082" s="132">
        <v>1.3894648425355618E-2</v>
      </c>
      <c r="AA2082" s="129">
        <v>1.3882239505855765E-2</v>
      </c>
    </row>
    <row r="2083" spans="19:27" x14ac:dyDescent="0.2">
      <c r="S2083" s="1"/>
      <c r="T2083" s="109"/>
      <c r="W2083" s="130" t="str">
        <f t="shared" si="42"/>
        <v>1w</v>
      </c>
      <c r="X2083" s="128">
        <f>_xll.qlCalendarAdvance(Calendar,X2082,W2083,"f",FALSE)</f>
        <v>53737</v>
      </c>
      <c r="Y2083" s="131">
        <f>_xll.qlCalendarAdvance(Calendar,X2083,NDays&amp;"D")</f>
        <v>53741</v>
      </c>
      <c r="Z2083" s="132">
        <v>1.3892773215558065E-2</v>
      </c>
      <c r="AA2083" s="129">
        <v>1.388050270715091E-2</v>
      </c>
    </row>
    <row r="2084" spans="19:27" x14ac:dyDescent="0.2">
      <c r="S2084" s="1"/>
      <c r="T2084" s="109"/>
      <c r="W2084" s="130" t="str">
        <f t="shared" si="42"/>
        <v>1w</v>
      </c>
      <c r="X2084" s="128">
        <f>_xll.qlCalendarAdvance(Calendar,X2083,W2084,"f",FALSE)</f>
        <v>53744</v>
      </c>
      <c r="Y2084" s="131">
        <f>_xll.qlCalendarAdvance(Calendar,X2084,NDays&amp;"D")</f>
        <v>53748</v>
      </c>
      <c r="Z2084" s="132">
        <v>1.3890877414418256E-2</v>
      </c>
      <c r="AA2084" s="129">
        <v>1.3878745387581048E-2</v>
      </c>
    </row>
    <row r="2085" spans="19:27" x14ac:dyDescent="0.2">
      <c r="S2085" s="1"/>
      <c r="T2085" s="109"/>
      <c r="W2085" s="130" t="str">
        <f t="shared" si="42"/>
        <v>1w</v>
      </c>
      <c r="X2085" s="128">
        <f>_xll.qlCalendarAdvance(Calendar,X2084,W2085,"f",FALSE)</f>
        <v>53751</v>
      </c>
      <c r="Y2085" s="131">
        <f>_xll.qlCalendarAdvance(Calendar,X2085,NDays&amp;"D")</f>
        <v>53755</v>
      </c>
      <c r="Z2085" s="132">
        <v>1.3889087750637455E-2</v>
      </c>
      <c r="AA2085" s="129">
        <v>1.3876967546986307E-2</v>
      </c>
    </row>
    <row r="2086" spans="19:27" x14ac:dyDescent="0.2">
      <c r="S2086" s="1"/>
      <c r="T2086" s="109"/>
      <c r="W2086" s="130" t="str">
        <f t="shared" si="42"/>
        <v>1w</v>
      </c>
      <c r="X2086" s="128">
        <f>_xll.qlCalendarAdvance(Calendar,X2085,W2086,"f",FALSE)</f>
        <v>53758</v>
      </c>
      <c r="Y2086" s="131">
        <f>_xll.qlCalendarAdvance(Calendar,X2086,NDays&amp;"D")</f>
        <v>53762</v>
      </c>
      <c r="Z2086" s="132">
        <v>1.3887149221444633E-2</v>
      </c>
      <c r="AA2086" s="129">
        <v>1.3875169185606495E-2</v>
      </c>
    </row>
    <row r="2087" spans="19:27" x14ac:dyDescent="0.2">
      <c r="S2087" s="1"/>
      <c r="T2087" s="109"/>
      <c r="W2087" s="130" t="str">
        <f t="shared" si="42"/>
        <v>1w</v>
      </c>
      <c r="X2087" s="128">
        <f>_xll.qlCalendarAdvance(Calendar,X2086,W2087,"f",FALSE)</f>
        <v>53765</v>
      </c>
      <c r="Y2087" s="131">
        <f>_xll.qlCalendarAdvance(Calendar,X2087,NDays&amp;"D")</f>
        <v>53769</v>
      </c>
      <c r="Z2087" s="132">
        <v>1.3885190100217649E-2</v>
      </c>
      <c r="AA2087" s="129">
        <v>1.3873350303121867E-2</v>
      </c>
    </row>
    <row r="2088" spans="19:27" x14ac:dyDescent="0.2">
      <c r="S2088" s="1"/>
      <c r="T2088" s="109"/>
      <c r="W2088" s="130" t="str">
        <f t="shared" si="42"/>
        <v>1w</v>
      </c>
      <c r="X2088" s="128">
        <f>_xll.qlCalendarAdvance(Calendar,X2087,W2088,"f",FALSE)</f>
        <v>53772</v>
      </c>
      <c r="Y2088" s="131">
        <f>_xll.qlCalendarAdvance(Calendar,X2088,NDays&amp;"D")</f>
        <v>53776</v>
      </c>
      <c r="Z2088" s="132">
        <v>1.3883210386986039E-2</v>
      </c>
      <c r="AA2088" s="129">
        <v>1.3871510899692296E-2</v>
      </c>
    </row>
    <row r="2089" spans="19:27" x14ac:dyDescent="0.2">
      <c r="S2089" s="1"/>
      <c r="T2089" s="109"/>
      <c r="W2089" s="130" t="str">
        <f t="shared" si="42"/>
        <v>1w</v>
      </c>
      <c r="X2089" s="128">
        <f>_xll.qlCalendarAdvance(Calendar,X2088,W2089,"f",FALSE)</f>
        <v>53779</v>
      </c>
      <c r="Y2089" s="131">
        <f>_xll.qlCalendarAdvance(Calendar,X2089,NDays&amp;"D")</f>
        <v>53783</v>
      </c>
      <c r="Z2089" s="132">
        <v>1.388108953960519E-2</v>
      </c>
      <c r="AA2089" s="129">
        <v>1.3869650975397718E-2</v>
      </c>
    </row>
    <row r="2090" spans="19:27" x14ac:dyDescent="0.2">
      <c r="S2090" s="1"/>
      <c r="T2090" s="109"/>
      <c r="W2090" s="130" t="str">
        <f t="shared" si="42"/>
        <v>1w</v>
      </c>
      <c r="X2090" s="128">
        <f>_xll.qlCalendarAdvance(Calendar,X2089,W2090,"f",FALSE)</f>
        <v>53786</v>
      </c>
      <c r="Y2090" s="131">
        <f>_xll.qlCalendarAdvance(Calendar,X2090,NDays&amp;"D")</f>
        <v>53790</v>
      </c>
      <c r="Z2090" s="132">
        <v>1.3879070191032876E-2</v>
      </c>
      <c r="AA2090" s="129">
        <v>1.3867770529998324E-2</v>
      </c>
    </row>
    <row r="2091" spans="19:27" x14ac:dyDescent="0.2">
      <c r="S2091" s="1"/>
      <c r="T2091" s="109"/>
      <c r="W2091" s="130" t="str">
        <f t="shared" si="42"/>
        <v>1w</v>
      </c>
      <c r="X2091" s="128">
        <f>_xll.qlCalendarAdvance(Calendar,X2090,W2091,"f",FALSE)</f>
        <v>53793</v>
      </c>
      <c r="Y2091" s="131">
        <f>_xll.qlCalendarAdvance(Calendar,X2091,NDays&amp;"D")</f>
        <v>53799</v>
      </c>
      <c r="Z2091" s="132">
        <v>1.3876443629375474E-2</v>
      </c>
      <c r="AA2091" s="129">
        <v>1.3865322661370527E-2</v>
      </c>
    </row>
    <row r="2092" spans="19:27" x14ac:dyDescent="0.2">
      <c r="S2092" s="1"/>
      <c r="T2092" s="109"/>
      <c r="W2092" s="130" t="str">
        <f t="shared" si="42"/>
        <v>1w</v>
      </c>
      <c r="X2092" s="128">
        <f>_xll.qlCalendarAdvance(Calendar,X2091,W2092,"f",FALSE)</f>
        <v>53800</v>
      </c>
      <c r="Y2092" s="131">
        <f>_xll.qlCalendarAdvance(Calendar,X2092,NDays&amp;"D")</f>
        <v>53804</v>
      </c>
      <c r="Z2092" s="132">
        <v>1.3874969720528195E-2</v>
      </c>
      <c r="AA2092" s="129">
        <v>1.3863948076524579E-2</v>
      </c>
    </row>
    <row r="2093" spans="19:27" x14ac:dyDescent="0.2">
      <c r="S2093" s="1"/>
      <c r="T2093" s="109"/>
      <c r="W2093" s="130" t="str">
        <f t="shared" si="42"/>
        <v>1w</v>
      </c>
      <c r="X2093" s="128">
        <f>_xll.qlCalendarAdvance(Calendar,X2092,W2093,"f",FALSE)</f>
        <v>53807</v>
      </c>
      <c r="Y2093" s="131">
        <f>_xll.qlCalendarAdvance(Calendar,X2093,NDays&amp;"D")</f>
        <v>53811</v>
      </c>
      <c r="Z2093" s="132">
        <v>1.3872888598659953E-2</v>
      </c>
      <c r="AA2093" s="129">
        <v>1.3862006068370292E-2</v>
      </c>
    </row>
    <row r="2094" spans="19:27" x14ac:dyDescent="0.2">
      <c r="S2094" s="1"/>
      <c r="T2094" s="109"/>
      <c r="W2094" s="130" t="str">
        <f t="shared" si="42"/>
        <v>1w</v>
      </c>
      <c r="X2094" s="128">
        <f>_xll.qlCalendarAdvance(Calendar,X2093,W2094,"f",FALSE)</f>
        <v>53814</v>
      </c>
      <c r="Y2094" s="131">
        <f>_xll.qlCalendarAdvance(Calendar,X2094,NDays&amp;"D")</f>
        <v>53818</v>
      </c>
      <c r="Z2094" s="132">
        <v>1.3870899677285697E-2</v>
      </c>
      <c r="AA2094" s="129">
        <v>1.3860043539191125E-2</v>
      </c>
    </row>
    <row r="2095" spans="19:27" x14ac:dyDescent="0.2">
      <c r="S2095" s="1"/>
      <c r="T2095" s="109"/>
      <c r="W2095" s="130" t="str">
        <f t="shared" si="42"/>
        <v>1w</v>
      </c>
      <c r="X2095" s="128">
        <f>_xll.qlCalendarAdvance(Calendar,X2094,W2095,"f",FALSE)</f>
        <v>53821</v>
      </c>
      <c r="Y2095" s="131">
        <f>_xll.qlCalendarAdvance(Calendar,X2095,NDays&amp;"D")</f>
        <v>53825</v>
      </c>
      <c r="Z2095" s="132">
        <v>1.386877582091753E-2</v>
      </c>
      <c r="AA2095" s="129">
        <v>1.3858060488987078E-2</v>
      </c>
    </row>
    <row r="2096" spans="19:27" x14ac:dyDescent="0.2">
      <c r="S2096" s="1"/>
      <c r="T2096" s="109"/>
      <c r="W2096" s="130" t="str">
        <f t="shared" si="42"/>
        <v>1w</v>
      </c>
      <c r="X2096" s="128">
        <f>_xll.qlCalendarAdvance(Calendar,X2095,W2096,"f",FALSE)</f>
        <v>53828</v>
      </c>
      <c r="Y2096" s="131">
        <f>_xll.qlCalendarAdvance(Calendar,X2096,NDays&amp;"D")</f>
        <v>53832</v>
      </c>
      <c r="Z2096" s="132">
        <v>1.3866631372804533E-2</v>
      </c>
      <c r="AA2096" s="129">
        <v>1.3856056918077897E-2</v>
      </c>
    </row>
    <row r="2097" spans="19:27" x14ac:dyDescent="0.2">
      <c r="S2097" s="1"/>
      <c r="T2097" s="109"/>
      <c r="W2097" s="130" t="str">
        <f t="shared" si="42"/>
        <v>1w</v>
      </c>
      <c r="X2097" s="128">
        <f>_xll.qlCalendarAdvance(Calendar,X2096,W2097,"f",FALSE)</f>
        <v>53835</v>
      </c>
      <c r="Y2097" s="131">
        <f>_xll.qlCalendarAdvance(Calendar,X2097,NDays&amp;"D")</f>
        <v>53839</v>
      </c>
      <c r="Z2097" s="132">
        <v>1.3864466332979723E-2</v>
      </c>
      <c r="AA2097" s="129">
        <v>1.3854032825983964E-2</v>
      </c>
    </row>
    <row r="2098" spans="19:27" x14ac:dyDescent="0.2">
      <c r="S2098" s="1"/>
      <c r="T2098" s="109"/>
      <c r="W2098" s="130" t="str">
        <f t="shared" si="42"/>
        <v>1w</v>
      </c>
      <c r="X2098" s="128">
        <f>_xll.qlCalendarAdvance(Calendar,X2097,W2098,"f",FALSE)</f>
        <v>53842</v>
      </c>
      <c r="Y2098" s="131">
        <f>_xll.qlCalendarAdvance(Calendar,X2098,NDays&amp;"D")</f>
        <v>53846</v>
      </c>
      <c r="Z2098" s="132">
        <v>1.3862280701476984E-2</v>
      </c>
      <c r="AA2098" s="129">
        <v>1.3851988212945088E-2</v>
      </c>
    </row>
    <row r="2099" spans="19:27" x14ac:dyDescent="0.2">
      <c r="S2099" s="1"/>
      <c r="T2099" s="109"/>
      <c r="W2099" s="130" t="str">
        <f t="shared" si="42"/>
        <v>1w</v>
      </c>
      <c r="X2099" s="128">
        <f>_xll.qlCalendarAdvance(Calendar,X2098,W2099,"f",FALSE)</f>
        <v>53849</v>
      </c>
      <c r="Y2099" s="131">
        <f>_xll.qlCalendarAdvance(Calendar,X2099,NDays&amp;"D")</f>
        <v>53853</v>
      </c>
      <c r="Z2099" s="132">
        <v>1.3860074478331071E-2</v>
      </c>
      <c r="AA2099" s="129">
        <v>1.3849923079041204E-2</v>
      </c>
    </row>
    <row r="2100" spans="19:27" x14ac:dyDescent="0.2">
      <c r="S2100" s="1"/>
      <c r="T2100" s="109"/>
      <c r="W2100" s="130" t="str">
        <f t="shared" si="42"/>
        <v>1w</v>
      </c>
      <c r="X2100" s="128">
        <f>_xll.qlCalendarAdvance(Calendar,X2099,W2100,"f",FALSE)</f>
        <v>53856</v>
      </c>
      <c r="Y2100" s="131">
        <f>_xll.qlCalendarAdvance(Calendar,X2100,NDays&amp;"D")</f>
        <v>53860</v>
      </c>
      <c r="Z2100" s="132">
        <v>1.3857847663576742E-2</v>
      </c>
      <c r="AA2100" s="129">
        <v>1.3847837424192377E-2</v>
      </c>
    </row>
    <row r="2101" spans="19:27" x14ac:dyDescent="0.2">
      <c r="S2101" s="1"/>
      <c r="T2101" s="109"/>
      <c r="W2101" s="130" t="str">
        <f t="shared" si="42"/>
        <v>1w</v>
      </c>
      <c r="X2101" s="128">
        <f>_xll.qlCalendarAdvance(Calendar,X2100,W2101,"f",FALSE)</f>
        <v>53863</v>
      </c>
      <c r="Y2101" s="131">
        <f>_xll.qlCalendarAdvance(Calendar,X2101,NDays&amp;"D")</f>
        <v>53867</v>
      </c>
      <c r="Z2101" s="132">
        <v>1.3855600257249615E-2</v>
      </c>
      <c r="AA2101" s="129">
        <v>1.3845731248318671E-2</v>
      </c>
    </row>
    <row r="2102" spans="19:27" x14ac:dyDescent="0.2">
      <c r="S2102" s="1"/>
      <c r="T2102" s="109"/>
      <c r="W2102" s="130" t="str">
        <f t="shared" si="42"/>
        <v>1w</v>
      </c>
      <c r="X2102" s="128">
        <f>_xll.qlCalendarAdvance(Calendar,X2101,W2102,"f",FALSE)</f>
        <v>53870</v>
      </c>
      <c r="Y2102" s="131">
        <f>_xll.qlCalendarAdvance(Calendar,X2102,NDays&amp;"D")</f>
        <v>53874</v>
      </c>
      <c r="Z2102" s="132">
        <v>1.3853332259382713E-2</v>
      </c>
      <c r="AA2102" s="129">
        <v>1.3843604551579958E-2</v>
      </c>
    </row>
    <row r="2103" spans="19:27" x14ac:dyDescent="0.2">
      <c r="S2103" s="1"/>
      <c r="T2103" s="109"/>
      <c r="W2103" s="130" t="str">
        <f t="shared" si="42"/>
        <v>1w</v>
      </c>
      <c r="X2103" s="128">
        <f>_xll.qlCalendarAdvance(Calendar,X2102,W2103,"f",FALSE)</f>
        <v>53877</v>
      </c>
      <c r="Y2103" s="131">
        <f>_xll.qlCalendarAdvance(Calendar,X2103,NDays&amp;"D")</f>
        <v>53881</v>
      </c>
      <c r="Z2103" s="132">
        <v>1.3851043670013394E-2</v>
      </c>
      <c r="AA2103" s="129">
        <v>1.3841457333816365E-2</v>
      </c>
    </row>
    <row r="2104" spans="19:27" x14ac:dyDescent="0.2">
      <c r="S2104" s="1"/>
      <c r="T2104" s="109"/>
      <c r="W2104" s="130" t="str">
        <f t="shared" si="42"/>
        <v>1w</v>
      </c>
      <c r="X2104" s="128">
        <f>_xll.qlCalendarAdvance(Calendar,X2103,W2104,"f",FALSE)</f>
        <v>53884</v>
      </c>
      <c r="Y2104" s="131">
        <f>_xll.qlCalendarAdvance(Calendar,X2104,NDays&amp;"D")</f>
        <v>53888</v>
      </c>
      <c r="Z2104" s="132">
        <v>1.3848734489178151E-2</v>
      </c>
      <c r="AA2104" s="129">
        <v>1.3839289595107829E-2</v>
      </c>
    </row>
    <row r="2105" spans="19:27" x14ac:dyDescent="0.2">
      <c r="S2105" s="1"/>
      <c r="T2105" s="109"/>
      <c r="W2105" s="130" t="str">
        <f t="shared" si="42"/>
        <v>1w</v>
      </c>
      <c r="X2105" s="128">
        <f>_xll.qlCalendarAdvance(Calendar,X2104,W2105,"f",FALSE)</f>
        <v>53891</v>
      </c>
      <c r="Y2105" s="131">
        <f>_xll.qlCalendarAdvance(Calendar,X2105,NDays&amp;"D")</f>
        <v>53895</v>
      </c>
      <c r="Z2105" s="132">
        <v>1.3846404716912609E-2</v>
      </c>
      <c r="AA2105" s="129">
        <v>1.3837101335454349E-2</v>
      </c>
    </row>
    <row r="2106" spans="19:27" x14ac:dyDescent="0.2">
      <c r="S2106" s="1"/>
      <c r="T2106" s="109"/>
      <c r="W2106" s="130" t="str">
        <f t="shared" si="42"/>
        <v>1w</v>
      </c>
      <c r="X2106" s="128">
        <f>_xll.qlCalendarAdvance(Calendar,X2105,W2106,"f",FALSE)</f>
        <v>53898</v>
      </c>
      <c r="Y2106" s="131">
        <f>_xll.qlCalendarAdvance(Calendar,X2106,NDays&amp;"D")</f>
        <v>53902</v>
      </c>
      <c r="Z2106" s="132">
        <v>1.3844054353254127E-2</v>
      </c>
      <c r="AA2106" s="129">
        <v>1.3834892554935863E-2</v>
      </c>
    </row>
    <row r="2107" spans="19:27" x14ac:dyDescent="0.2">
      <c r="S2107" s="1"/>
      <c r="T2107" s="109"/>
      <c r="W2107" s="130" t="str">
        <f t="shared" si="42"/>
        <v>1w</v>
      </c>
      <c r="X2107" s="128">
        <f>_xll.qlCalendarAdvance(Calendar,X2106,W2107,"f",FALSE)</f>
        <v>53905</v>
      </c>
      <c r="Y2107" s="131">
        <f>_xll.qlCalendarAdvance(Calendar,X2107,NDays&amp;"D")</f>
        <v>53909</v>
      </c>
      <c r="Z2107" s="132">
        <v>1.384168339823833E-2</v>
      </c>
      <c r="AA2107" s="129">
        <v>1.3832663253392496E-2</v>
      </c>
    </row>
    <row r="2108" spans="19:27" x14ac:dyDescent="0.2">
      <c r="S2108" s="1"/>
      <c r="T2108" s="109"/>
      <c r="W2108" s="130" t="str">
        <f t="shared" si="42"/>
        <v>1w</v>
      </c>
      <c r="X2108" s="128">
        <f>_xll.qlCalendarAdvance(Calendar,X2107,W2108,"f",FALSE)</f>
        <v>53912</v>
      </c>
      <c r="Y2108" s="131">
        <f>_xll.qlCalendarAdvance(Calendar,X2108,NDays&amp;"D")</f>
        <v>53916</v>
      </c>
      <c r="Z2108" s="132">
        <v>1.3839291851903449E-2</v>
      </c>
      <c r="AA2108" s="129">
        <v>1.3830413430904187E-2</v>
      </c>
    </row>
    <row r="2109" spans="19:27" x14ac:dyDescent="0.2">
      <c r="S2109" s="1"/>
      <c r="T2109" s="109"/>
      <c r="W2109" s="130" t="str">
        <f t="shared" si="42"/>
        <v>1w</v>
      </c>
      <c r="X2109" s="128">
        <f>_xll.qlCalendarAdvance(Calendar,X2108,W2109,"f",FALSE)</f>
        <v>53919</v>
      </c>
      <c r="Y2109" s="131">
        <f>_xll.qlCalendarAdvance(Calendar,X2109,NDays&amp;"D")</f>
        <v>53923</v>
      </c>
      <c r="Z2109" s="132">
        <v>1.3836879714285977E-2</v>
      </c>
      <c r="AA2109" s="129">
        <v>1.3828143087390998E-2</v>
      </c>
    </row>
    <row r="2110" spans="19:27" x14ac:dyDescent="0.2">
      <c r="S2110" s="1"/>
      <c r="T2110" s="109"/>
      <c r="W2110" s="130" t="str">
        <f t="shared" si="42"/>
        <v>1w</v>
      </c>
      <c r="X2110" s="128">
        <f>_xll.qlCalendarAdvance(Calendar,X2109,W2110,"f",FALSE)</f>
        <v>53926</v>
      </c>
      <c r="Y2110" s="131">
        <f>_xll.qlCalendarAdvance(Calendar,X2110,NDays&amp;"D")</f>
        <v>53930</v>
      </c>
      <c r="Z2110" s="132">
        <v>1.3834446985425011E-2</v>
      </c>
      <c r="AA2110" s="129">
        <v>1.3825852222932866E-2</v>
      </c>
    </row>
    <row r="2111" spans="19:27" x14ac:dyDescent="0.2">
      <c r="S2111" s="1"/>
      <c r="T2111" s="109"/>
      <c r="W2111" s="130" t="str">
        <f t="shared" si="42"/>
        <v>1w</v>
      </c>
      <c r="X2111" s="128">
        <f>_xll.qlCalendarAdvance(Calendar,X2110,W2111,"f",FALSE)</f>
        <v>53933</v>
      </c>
      <c r="Y2111" s="131">
        <f>_xll.qlCalendarAdvance(Calendar,X2111,NDays&amp;"D")</f>
        <v>53937</v>
      </c>
      <c r="Z2111" s="132">
        <v>1.383190737108542E-2</v>
      </c>
      <c r="AA2111" s="129">
        <v>1.3823540837609727E-2</v>
      </c>
    </row>
    <row r="2112" spans="19:27" x14ac:dyDescent="0.2">
      <c r="S2112" s="1"/>
      <c r="T2112" s="109"/>
      <c r="W2112" s="130" t="str">
        <f t="shared" si="42"/>
        <v>1w</v>
      </c>
      <c r="X2112" s="128">
        <f>_xll.qlCalendarAdvance(Calendar,X2111,W2112,"f",FALSE)</f>
        <v>53940</v>
      </c>
      <c r="Y2112" s="131">
        <f>_xll.qlCalendarAdvance(Calendar,X2112,NDays&amp;"D")</f>
        <v>53944</v>
      </c>
      <c r="Z2112" s="132">
        <v>1.382943502546664E-2</v>
      </c>
      <c r="AA2112" s="129">
        <v>1.3821208931261708E-2</v>
      </c>
    </row>
    <row r="2113" spans="19:27" x14ac:dyDescent="0.2">
      <c r="S2113" s="1"/>
      <c r="T2113" s="109"/>
      <c r="W2113" s="130" t="str">
        <f t="shared" si="42"/>
        <v>1w</v>
      </c>
      <c r="X2113" s="128">
        <f>_xll.qlCalendarAdvance(Calendar,X2112,W2113,"f",FALSE)</f>
        <v>53947</v>
      </c>
      <c r="Y2113" s="131">
        <f>_xll.qlCalendarAdvance(Calendar,X2113,NDays&amp;"D")</f>
        <v>53951</v>
      </c>
      <c r="Z2113" s="132">
        <v>1.3826942089488552E-2</v>
      </c>
      <c r="AA2113" s="129">
        <v>1.3818856504048682E-2</v>
      </c>
    </row>
    <row r="2114" spans="19:27" x14ac:dyDescent="0.2">
      <c r="S2114" s="1"/>
      <c r="T2114" s="109"/>
      <c r="W2114" s="130" t="str">
        <f t="shared" si="42"/>
        <v>1w</v>
      </c>
      <c r="X2114" s="128">
        <f>_xll.qlCalendarAdvance(Calendar,X2113,W2114,"f",FALSE)</f>
        <v>53954</v>
      </c>
      <c r="Y2114" s="131">
        <f>_xll.qlCalendarAdvance(Calendar,X2114,NDays&amp;"D")</f>
        <v>53958</v>
      </c>
      <c r="Z2114" s="132">
        <v>1.3824428563194198E-2</v>
      </c>
      <c r="AA2114" s="129">
        <v>1.3816483555890713E-2</v>
      </c>
    </row>
    <row r="2115" spans="19:27" x14ac:dyDescent="0.2">
      <c r="S2115" s="1"/>
      <c r="T2115" s="109"/>
      <c r="W2115" s="130" t="str">
        <f t="shared" si="42"/>
        <v>1w</v>
      </c>
      <c r="X2115" s="128">
        <f>_xll.qlCalendarAdvance(Calendar,X2114,W2115,"f",FALSE)</f>
        <v>53961</v>
      </c>
      <c r="Y2115" s="131">
        <f>_xll.qlCalendarAdvance(Calendar,X2115,NDays&amp;"D")</f>
        <v>53965</v>
      </c>
      <c r="Z2115" s="132">
        <v>1.3821974473818013E-2</v>
      </c>
      <c r="AA2115" s="129">
        <v>1.3814090086707864E-2</v>
      </c>
    </row>
    <row r="2116" spans="19:27" x14ac:dyDescent="0.2">
      <c r="S2116" s="1"/>
      <c r="T2116" s="109"/>
      <c r="W2116" s="130" t="str">
        <f t="shared" si="42"/>
        <v>1w</v>
      </c>
      <c r="X2116" s="128">
        <f>_xll.qlCalendarAdvance(Calendar,X2115,W2116,"f",FALSE)</f>
        <v>53968</v>
      </c>
      <c r="Y2116" s="131">
        <f>_xll.qlCalendarAdvance(Calendar,X2116,NDays&amp;"D")</f>
        <v>53972</v>
      </c>
      <c r="Z2116" s="132">
        <v>1.3819418198310221E-2</v>
      </c>
      <c r="AA2116" s="129">
        <v>1.3811676096580072E-2</v>
      </c>
    </row>
    <row r="2117" spans="19:27" x14ac:dyDescent="0.2">
      <c r="S2117" s="1"/>
      <c r="T2117" s="109"/>
      <c r="W2117" s="130" t="str">
        <f t="shared" si="42"/>
        <v>1w</v>
      </c>
      <c r="X2117" s="128">
        <f>_xll.qlCalendarAdvance(Calendar,X2116,W2117,"f",FALSE)</f>
        <v>53975</v>
      </c>
      <c r="Y2117" s="131">
        <f>_xll.qlCalendarAdvance(Calendar,X2117,NDays&amp;"D")</f>
        <v>53979</v>
      </c>
      <c r="Z2117" s="132">
        <v>1.38168413318335E-2</v>
      </c>
      <c r="AA2117" s="129">
        <v>1.3809241585507337E-2</v>
      </c>
    </row>
    <row r="2118" spans="19:27" x14ac:dyDescent="0.2">
      <c r="S2118" s="1"/>
      <c r="T2118" s="109"/>
      <c r="W2118" s="130" t="str">
        <f t="shared" si="42"/>
        <v>1w</v>
      </c>
      <c r="X2118" s="128">
        <f>_xll.qlCalendarAdvance(Calendar,X2117,W2118,"f",FALSE)</f>
        <v>53982</v>
      </c>
      <c r="Y2118" s="131">
        <f>_xll.qlCalendarAdvance(Calendar,X2118,NDays&amp;"D")</f>
        <v>53986</v>
      </c>
      <c r="Z2118" s="132">
        <v>1.3814243874427815E-2</v>
      </c>
      <c r="AA2118" s="129">
        <v>1.3806786553569594E-2</v>
      </c>
    </row>
    <row r="2119" spans="19:27" x14ac:dyDescent="0.2">
      <c r="S2119" s="1"/>
      <c r="T2119" s="109"/>
      <c r="W2119" s="130" t="str">
        <f t="shared" si="42"/>
        <v>1w</v>
      </c>
      <c r="X2119" s="128">
        <f>_xll.qlCalendarAdvance(Calendar,X2118,W2119,"f",FALSE)</f>
        <v>53989</v>
      </c>
      <c r="Y2119" s="131">
        <f>_xll.qlCalendarAdvance(Calendar,X2119,NDays&amp;"D")</f>
        <v>53993</v>
      </c>
      <c r="Z2119" s="132">
        <v>1.3811625826135744E-2</v>
      </c>
      <c r="AA2119" s="129">
        <v>1.3804311000606972E-2</v>
      </c>
    </row>
    <row r="2120" spans="19:27" x14ac:dyDescent="0.2">
      <c r="S2120" s="1"/>
      <c r="T2120" s="109"/>
      <c r="W2120" s="130" t="str">
        <f t="shared" si="42"/>
        <v>1w</v>
      </c>
      <c r="X2120" s="128">
        <f>_xll.qlCalendarAdvance(Calendar,X2119,W2120,"f",FALSE)</f>
        <v>53996</v>
      </c>
      <c r="Y2120" s="131">
        <f>_xll.qlCalendarAdvance(Calendar,X2120,NDays&amp;"D")</f>
        <v>54000</v>
      </c>
      <c r="Z2120" s="132">
        <v>1.3808987186995516E-2</v>
      </c>
      <c r="AA2120" s="129">
        <v>1.3801814926699407E-2</v>
      </c>
    </row>
    <row r="2121" spans="19:27" x14ac:dyDescent="0.2">
      <c r="S2121" s="1"/>
      <c r="T2121" s="109"/>
      <c r="W2121" s="130" t="str">
        <f t="shared" si="42"/>
        <v>1w</v>
      </c>
      <c r="X2121" s="128">
        <f>_xll.qlCalendarAdvance(Calendar,X2120,W2121,"f",FALSE)</f>
        <v>54003</v>
      </c>
      <c r="Y2121" s="131">
        <f>_xll.qlCalendarAdvance(Calendar,X2121,NDays&amp;"D")</f>
        <v>54007</v>
      </c>
      <c r="Z2121" s="132">
        <v>1.3806327957050574E-2</v>
      </c>
      <c r="AA2121" s="129">
        <v>1.3799298331846899E-2</v>
      </c>
    </row>
    <row r="2122" spans="19:27" x14ac:dyDescent="0.2">
      <c r="S2122" s="1"/>
      <c r="T2122" s="109"/>
      <c r="W2122" s="130" t="str">
        <f t="shared" si="42"/>
        <v>1w</v>
      </c>
      <c r="X2122" s="128">
        <f>_xll.qlCalendarAdvance(Calendar,X2121,W2122,"f",FALSE)</f>
        <v>54010</v>
      </c>
      <c r="Y2122" s="131">
        <f>_xll.qlCalendarAdvance(Calendar,X2122,NDays&amp;"D")</f>
        <v>54014</v>
      </c>
      <c r="Z2122" s="132">
        <v>1.3803648136344363E-2</v>
      </c>
      <c r="AA2122" s="129">
        <v>1.3796761216129383E-2</v>
      </c>
    </row>
    <row r="2123" spans="19:27" x14ac:dyDescent="0.2">
      <c r="S2123" s="1"/>
      <c r="T2123" s="109"/>
      <c r="W2123" s="130" t="str">
        <f t="shared" si="42"/>
        <v>1w</v>
      </c>
      <c r="X2123" s="128">
        <f>_xll.qlCalendarAdvance(Calendar,X2122,W2123,"f",FALSE)</f>
        <v>54017</v>
      </c>
      <c r="Y2123" s="131">
        <f>_xll.qlCalendarAdvance(Calendar,X2123,NDays&amp;"D")</f>
        <v>54021</v>
      </c>
      <c r="Z2123" s="132">
        <v>1.3800947724915113E-2</v>
      </c>
      <c r="AA2123" s="129">
        <v>1.3794203579386988E-2</v>
      </c>
    </row>
    <row r="2124" spans="19:27" x14ac:dyDescent="0.2">
      <c r="S2124" s="1"/>
      <c r="T2124" s="109"/>
      <c r="W2124" s="130" t="str">
        <f t="shared" si="42"/>
        <v>1w</v>
      </c>
      <c r="X2124" s="128">
        <f>_xll.qlCalendarAdvance(Calendar,X2123,W2124,"f",FALSE)</f>
        <v>54024</v>
      </c>
      <c r="Y2124" s="131">
        <f>_xll.qlCalendarAdvance(Calendar,X2124,NDays&amp;"D")</f>
        <v>54028</v>
      </c>
      <c r="Z2124" s="132">
        <v>1.3798160841430316E-2</v>
      </c>
      <c r="AA2124" s="129">
        <v>1.3791625421699649E-2</v>
      </c>
    </row>
    <row r="2125" spans="19:27" x14ac:dyDescent="0.2">
      <c r="S2125" s="1"/>
      <c r="T2125" s="109"/>
      <c r="W2125" s="130" t="str">
        <f t="shared" si="42"/>
        <v>1w</v>
      </c>
      <c r="X2125" s="128">
        <f>_xll.qlCalendarAdvance(Calendar,X2124,W2125,"f",FALSE)</f>
        <v>54031</v>
      </c>
      <c r="Y2125" s="131">
        <f>_xll.qlCalendarAdvance(Calendar,X2125,NDays&amp;"D")</f>
        <v>54035</v>
      </c>
      <c r="Z2125" s="132">
        <v>1.3795420824272096E-2</v>
      </c>
      <c r="AA2125" s="129">
        <v>1.3789026743147303E-2</v>
      </c>
    </row>
    <row r="2126" spans="19:27" x14ac:dyDescent="0.2">
      <c r="S2126" s="1"/>
      <c r="T2126" s="109"/>
      <c r="W2126" s="130" t="str">
        <f t="shared" si="42"/>
        <v>1w</v>
      </c>
      <c r="X2126" s="128">
        <f>_xll.qlCalendarAdvance(Calendar,X2125,W2126,"f",FALSE)</f>
        <v>54038</v>
      </c>
      <c r="Y2126" s="131">
        <f>_xll.qlCalendarAdvance(Calendar,X2126,NDays&amp;"D")</f>
        <v>54042</v>
      </c>
      <c r="Z2126" s="132">
        <v>1.379266021728689E-2</v>
      </c>
      <c r="AA2126" s="129">
        <v>1.3786407543570078E-2</v>
      </c>
    </row>
    <row r="2127" spans="19:27" x14ac:dyDescent="0.2">
      <c r="S2127" s="1"/>
      <c r="T2127" s="109"/>
      <c r="W2127" s="130" t="str">
        <f t="shared" si="42"/>
        <v>1w</v>
      </c>
      <c r="X2127" s="128">
        <f>_xll.qlCalendarAdvance(Calendar,X2126,W2127,"f",FALSE)</f>
        <v>54045</v>
      </c>
      <c r="Y2127" s="131">
        <f>_xll.qlCalendarAdvance(Calendar,X2127,NDays&amp;"D")</f>
        <v>54049</v>
      </c>
      <c r="Z2127" s="132">
        <v>1.3789879020513348E-2</v>
      </c>
      <c r="AA2127" s="129">
        <v>1.3783767822967974E-2</v>
      </c>
    </row>
    <row r="2128" spans="19:27" x14ac:dyDescent="0.2">
      <c r="S2128" s="1"/>
      <c r="T2128" s="109"/>
      <c r="W2128" s="130" t="str">
        <f t="shared" si="42"/>
        <v>1w</v>
      </c>
      <c r="X2128" s="128">
        <f>_xll.qlCalendarAdvance(Calendar,X2127,W2128,"f",FALSE)</f>
        <v>54053</v>
      </c>
      <c r="Y2128" s="131">
        <f>_xll.qlCalendarAdvance(Calendar,X2128,NDays&amp;"D")</f>
        <v>54057</v>
      </c>
      <c r="Z2128" s="132">
        <v>1.3786675297988276E-2</v>
      </c>
      <c r="AA2128" s="129">
        <v>1.3780798562010865E-2</v>
      </c>
    </row>
    <row r="2129" spans="19:27" x14ac:dyDescent="0.2">
      <c r="S2129" s="1"/>
      <c r="T2129" s="109"/>
      <c r="W2129" s="130" t="str">
        <f t="shared" si="42"/>
        <v>1w</v>
      </c>
      <c r="X2129" s="128">
        <f>_xll.qlCalendarAdvance(Calendar,X2128,W2129,"f",FALSE)</f>
        <v>54060</v>
      </c>
      <c r="Y2129" s="131">
        <f>_xll.qlCalendarAdvance(Calendar,X2129,NDays&amp;"D")</f>
        <v>54064</v>
      </c>
      <c r="Z2129" s="132">
        <v>1.3783849980392573E-2</v>
      </c>
      <c r="AA2129" s="129">
        <v>1.3778042177969851E-2</v>
      </c>
    </row>
    <row r="2130" spans="19:27" x14ac:dyDescent="0.2">
      <c r="S2130" s="1"/>
      <c r="T2130" s="109"/>
      <c r="W2130" s="130" t="str">
        <f t="shared" si="42"/>
        <v>1w</v>
      </c>
      <c r="X2130" s="128">
        <f>_xll.qlCalendarAdvance(Calendar,X2129,W2130,"f",FALSE)</f>
        <v>54067</v>
      </c>
      <c r="Y2130" s="131">
        <f>_xll.qlCalendarAdvance(Calendar,X2130,NDays&amp;"D")</f>
        <v>54071</v>
      </c>
      <c r="Z2130" s="132">
        <v>1.3781004073148204E-2</v>
      </c>
      <c r="AA2130" s="129">
        <v>1.377533796303787E-2</v>
      </c>
    </row>
    <row r="2131" spans="19:27" x14ac:dyDescent="0.2">
      <c r="S2131" s="1"/>
      <c r="T2131" s="109"/>
      <c r="W2131" s="130" t="str">
        <f t="shared" si="42"/>
        <v>1w</v>
      </c>
      <c r="X2131" s="128">
        <f>_xll.qlCalendarAdvance(Calendar,X2130,W2131,"f",FALSE)</f>
        <v>54074</v>
      </c>
      <c r="Y2131" s="131">
        <f>_xll.qlCalendarAdvance(Calendar,X2131,NDays&amp;"D")</f>
        <v>54078</v>
      </c>
      <c r="Z2131" s="132">
        <v>1.377813757629821E-2</v>
      </c>
      <c r="AA2131" s="129">
        <v>1.3772613227240882E-2</v>
      </c>
    </row>
    <row r="2132" spans="19:27" x14ac:dyDescent="0.2">
      <c r="S2132" s="1"/>
      <c r="T2132" s="109"/>
      <c r="W2132" s="130" t="str">
        <f t="shared" si="42"/>
        <v>1w</v>
      </c>
      <c r="X2132" s="128">
        <f>_xll.qlCalendarAdvance(Calendar,X2131,W2132,"f",FALSE)</f>
        <v>54081</v>
      </c>
      <c r="Y2132" s="131">
        <f>_xll.qlCalendarAdvance(Calendar,X2132,NDays&amp;"D")</f>
        <v>54085</v>
      </c>
      <c r="Z2132" s="132">
        <v>1.377525048988739E-2</v>
      </c>
      <c r="AA2132" s="129">
        <v>1.3769867970419014E-2</v>
      </c>
    </row>
    <row r="2133" spans="19:27" x14ac:dyDescent="0.2">
      <c r="S2133" s="1"/>
      <c r="T2133" s="109"/>
      <c r="W2133" s="130" t="str">
        <f t="shared" ref="W2133:W2196" si="43">W2132</f>
        <v>1w</v>
      </c>
      <c r="X2133" s="128">
        <f>_xll.qlCalendarAdvance(Calendar,X2132,W2133,"f",FALSE)</f>
        <v>54088</v>
      </c>
      <c r="Y2133" s="131">
        <f>_xll.qlCalendarAdvance(Calendar,X2133,NDays&amp;"D")</f>
        <v>54092</v>
      </c>
      <c r="Z2133" s="132">
        <v>1.3772291216783472E-2</v>
      </c>
      <c r="AA2133" s="129">
        <v>1.3767102192732139E-2</v>
      </c>
    </row>
    <row r="2134" spans="19:27" x14ac:dyDescent="0.2">
      <c r="S2134" s="1"/>
      <c r="T2134" s="109"/>
      <c r="W2134" s="130" t="str">
        <f t="shared" si="43"/>
        <v>1w</v>
      </c>
      <c r="X2134" s="128">
        <f>_xll.qlCalendarAdvance(Calendar,X2133,W2134,"f",FALSE)</f>
        <v>54095</v>
      </c>
      <c r="Y2134" s="131">
        <f>_xll.qlCalendarAdvance(Calendar,X2134,NDays&amp;"D")</f>
        <v>54099</v>
      </c>
      <c r="Z2134" s="132">
        <v>1.376936453382438E-2</v>
      </c>
      <c r="AA2134" s="129">
        <v>1.3764315894020385E-2</v>
      </c>
    </row>
    <row r="2135" spans="19:27" x14ac:dyDescent="0.2">
      <c r="S2135" s="1"/>
      <c r="T2135" s="109"/>
      <c r="W2135" s="130" t="str">
        <f t="shared" si="43"/>
        <v>1w</v>
      </c>
      <c r="X2135" s="128">
        <f>_xll.qlCalendarAdvance(Calendar,X2134,W2135,"f",FALSE)</f>
        <v>54102</v>
      </c>
      <c r="Y2135" s="131">
        <f>_xll.qlCalendarAdvance(Calendar,X2135,NDays&amp;"D")</f>
        <v>54106</v>
      </c>
      <c r="Z2135" s="132">
        <v>1.3766417262197628E-2</v>
      </c>
      <c r="AA2135" s="129">
        <v>1.3761509074443623E-2</v>
      </c>
    </row>
    <row r="2136" spans="19:27" x14ac:dyDescent="0.2">
      <c r="S2136" s="1"/>
      <c r="T2136" s="109"/>
      <c r="W2136" s="130" t="str">
        <f t="shared" si="43"/>
        <v>1w</v>
      </c>
      <c r="X2136" s="128">
        <f>_xll.qlCalendarAdvance(Calendar,X2135,W2136,"f",FALSE)</f>
        <v>54109</v>
      </c>
      <c r="Y2136" s="131">
        <f>_xll.qlCalendarAdvance(Calendar,X2136,NDays&amp;"D")</f>
        <v>54113</v>
      </c>
      <c r="Z2136" s="132">
        <v>1.3763449401953842E-2</v>
      </c>
      <c r="AA2136" s="129">
        <v>1.3758681733921918E-2</v>
      </c>
    </row>
    <row r="2137" spans="19:27" x14ac:dyDescent="0.2">
      <c r="S2137" s="1"/>
      <c r="T2137" s="109"/>
      <c r="W2137" s="130" t="str">
        <f t="shared" si="43"/>
        <v>1w</v>
      </c>
      <c r="X2137" s="128">
        <f>_xll.qlCalendarAdvance(Calendar,X2136,W2137,"f",FALSE)</f>
        <v>54116</v>
      </c>
      <c r="Y2137" s="131">
        <f>_xll.qlCalendarAdvance(Calendar,X2137,NDays&amp;"D")</f>
        <v>54120</v>
      </c>
      <c r="Z2137" s="132">
        <v>1.376055132893203E-2</v>
      </c>
      <c r="AA2137" s="129">
        <v>1.3755833872375334E-2</v>
      </c>
    </row>
    <row r="2138" spans="19:27" x14ac:dyDescent="0.2">
      <c r="S2138" s="1"/>
      <c r="T2138" s="109"/>
      <c r="W2138" s="130" t="str">
        <f t="shared" si="43"/>
        <v>1w</v>
      </c>
      <c r="X2138" s="128">
        <f>_xll.qlCalendarAdvance(Calendar,X2137,W2138,"f",FALSE)</f>
        <v>54123</v>
      </c>
      <c r="Y2138" s="131">
        <f>_xll.qlCalendarAdvance(Calendar,X2138,NDays&amp;"D")</f>
        <v>54127</v>
      </c>
      <c r="Z2138" s="132">
        <v>1.3757539120538878E-2</v>
      </c>
      <c r="AA2138" s="129">
        <v>1.3752965490043678E-2</v>
      </c>
    </row>
    <row r="2139" spans="19:27" x14ac:dyDescent="0.2">
      <c r="S2139" s="1"/>
      <c r="T2139" s="109"/>
      <c r="W2139" s="130" t="str">
        <f t="shared" si="43"/>
        <v>1w</v>
      </c>
      <c r="X2139" s="128">
        <f>_xll.qlCalendarAdvance(Calendar,X2138,W2139,"f",FALSE)</f>
        <v>54130</v>
      </c>
      <c r="Y2139" s="131">
        <f>_xll.qlCalendarAdvance(Calendar,X2139,NDays&amp;"D")</f>
        <v>54134</v>
      </c>
      <c r="Z2139" s="132">
        <v>1.3754506322146457E-2</v>
      </c>
      <c r="AA2139" s="129">
        <v>1.3750076586687143E-2</v>
      </c>
    </row>
    <row r="2140" spans="19:27" x14ac:dyDescent="0.2">
      <c r="S2140" s="1"/>
      <c r="T2140" s="109"/>
      <c r="W2140" s="130" t="str">
        <f t="shared" si="43"/>
        <v>1w</v>
      </c>
      <c r="X2140" s="128">
        <f>_xll.qlCalendarAdvance(Calendar,X2139,W2140,"f",FALSE)</f>
        <v>54137</v>
      </c>
      <c r="Y2140" s="131">
        <f>_xll.qlCalendarAdvance(Calendar,X2140,NDays&amp;"D")</f>
        <v>54141</v>
      </c>
      <c r="Z2140" s="132">
        <v>1.3751452933807766E-2</v>
      </c>
      <c r="AA2140" s="129">
        <v>1.3747167162385665E-2</v>
      </c>
    </row>
    <row r="2141" spans="19:27" x14ac:dyDescent="0.2">
      <c r="S2141" s="1"/>
      <c r="T2141" s="109"/>
      <c r="W2141" s="130" t="str">
        <f t="shared" si="43"/>
        <v>1w</v>
      </c>
      <c r="X2141" s="128">
        <f>_xll.qlCalendarAdvance(Calendar,X2140,W2141,"f",FALSE)</f>
        <v>54144</v>
      </c>
      <c r="Y2141" s="131">
        <f>_xll.qlCalendarAdvance(Calendar,X2141,NDays&amp;"D")</f>
        <v>54148</v>
      </c>
      <c r="Z2141" s="132">
        <v>1.3748340189521311E-2</v>
      </c>
      <c r="AA2141" s="129">
        <v>1.3744237217139244E-2</v>
      </c>
    </row>
    <row r="2142" spans="19:27" x14ac:dyDescent="0.2">
      <c r="S2142" s="1"/>
      <c r="T2142" s="109"/>
      <c r="W2142" s="130" t="str">
        <f t="shared" si="43"/>
        <v>1w</v>
      </c>
      <c r="X2142" s="128">
        <f>_xll.qlCalendarAdvance(Calendar,X2141,W2142,"f",FALSE)</f>
        <v>54155</v>
      </c>
      <c r="Y2142" s="131">
        <f>_xll.qlCalendarAdvance(Calendar,X2142,NDays&amp;"D")</f>
        <v>54157</v>
      </c>
      <c r="Z2142" s="132">
        <v>1.3744359719946263E-2</v>
      </c>
      <c r="AA2142" s="129">
        <v>1.3740439991405395E-2</v>
      </c>
    </row>
    <row r="2143" spans="19:27" x14ac:dyDescent="0.2">
      <c r="S2143" s="1"/>
      <c r="T2143" s="109"/>
      <c r="W2143" s="130" t="str">
        <f t="shared" si="43"/>
        <v>1w</v>
      </c>
      <c r="X2143" s="128">
        <f>_xll.qlCalendarAdvance(Calendar,X2142,W2143,"f",FALSE)</f>
        <v>54162</v>
      </c>
      <c r="Y2143" s="131">
        <f>_xll.qlCalendarAdvance(Calendar,X2143,NDays&amp;"D")</f>
        <v>54164</v>
      </c>
      <c r="Z2143" s="132">
        <v>1.3741240268837411E-2</v>
      </c>
      <c r="AA2143" s="129">
        <v>1.3737463141278994E-2</v>
      </c>
    </row>
    <row r="2144" spans="19:27" x14ac:dyDescent="0.2">
      <c r="S2144" s="1"/>
      <c r="T2144" s="109"/>
      <c r="W2144" s="130" t="str">
        <f t="shared" si="43"/>
        <v>1w</v>
      </c>
      <c r="X2144" s="128">
        <f>_xll.qlCalendarAdvance(Calendar,X2143,W2144,"f",FALSE)</f>
        <v>54169</v>
      </c>
      <c r="Y2144" s="131">
        <f>_xll.qlCalendarAdvance(Calendar,X2144,NDays&amp;"D")</f>
        <v>54171</v>
      </c>
      <c r="Z2144" s="132">
        <v>1.373810022874134E-2</v>
      </c>
      <c r="AA2144" s="129">
        <v>1.3734465770127713E-2</v>
      </c>
    </row>
    <row r="2145" spans="19:27" x14ac:dyDescent="0.2">
      <c r="S2145" s="1"/>
      <c r="T2145" s="109"/>
      <c r="W2145" s="130" t="str">
        <f t="shared" si="43"/>
        <v>1w</v>
      </c>
      <c r="X2145" s="128">
        <f>_xll.qlCalendarAdvance(Calendar,X2144,W2145,"f",FALSE)</f>
        <v>54176</v>
      </c>
      <c r="Y2145" s="131">
        <f>_xll.qlCalendarAdvance(Calendar,X2145,NDays&amp;"D")</f>
        <v>54178</v>
      </c>
      <c r="Z2145" s="132">
        <v>1.3734971552143115E-2</v>
      </c>
      <c r="AA2145" s="129">
        <v>1.373158383701556E-2</v>
      </c>
    </row>
    <row r="2146" spans="19:27" x14ac:dyDescent="0.2">
      <c r="S2146" s="1"/>
      <c r="T2146" s="109"/>
      <c r="W2146" s="130" t="str">
        <f t="shared" si="43"/>
        <v>1w</v>
      </c>
      <c r="X2146" s="128">
        <f>_xll.qlCalendarAdvance(Calendar,X2145,W2146,"f",FALSE)</f>
        <v>54183</v>
      </c>
      <c r="Y2146" s="131">
        <f>_xll.qlCalendarAdvance(Calendar,X2146,NDays&amp;"D")</f>
        <v>54185</v>
      </c>
      <c r="Z2146" s="132">
        <v>1.3731788742388231E-2</v>
      </c>
      <c r="AA2146" s="129">
        <v>1.3728409464990321E-2</v>
      </c>
    </row>
    <row r="2147" spans="19:27" x14ac:dyDescent="0.2">
      <c r="S2147" s="1"/>
      <c r="T2147" s="109"/>
      <c r="W2147" s="130" t="str">
        <f t="shared" si="43"/>
        <v>1w</v>
      </c>
      <c r="X2147" s="128">
        <f>_xll.qlCalendarAdvance(Calendar,X2146,W2147,"f",FALSE)</f>
        <v>54190</v>
      </c>
      <c r="Y2147" s="131">
        <f>_xll.qlCalendarAdvance(Calendar,X2147,NDays&amp;"D")</f>
        <v>54192</v>
      </c>
      <c r="Z2147" s="132">
        <v>1.3728585343043312E-2</v>
      </c>
      <c r="AA2147" s="129">
        <v>1.3725350531084146E-2</v>
      </c>
    </row>
    <row r="2148" spans="19:27" x14ac:dyDescent="0.2">
      <c r="S2148" s="1"/>
      <c r="T2148" s="109"/>
      <c r="W2148" s="130" t="str">
        <f t="shared" si="43"/>
        <v>1w</v>
      </c>
      <c r="X2148" s="128">
        <f>_xll.qlCalendarAdvance(Calendar,X2147,W2148,"f",FALSE)</f>
        <v>54197</v>
      </c>
      <c r="Y2148" s="131">
        <f>_xll.qlCalendarAdvance(Calendar,X2148,NDays&amp;"D")</f>
        <v>54199</v>
      </c>
      <c r="Z2148" s="132">
        <v>1.3725361354157889E-2</v>
      </c>
      <c r="AA2148" s="129">
        <v>1.3722271076153092E-2</v>
      </c>
    </row>
    <row r="2149" spans="19:27" x14ac:dyDescent="0.2">
      <c r="S2149" s="1"/>
      <c r="T2149" s="109"/>
      <c r="W2149" s="130" t="str">
        <f t="shared" si="43"/>
        <v>1w</v>
      </c>
      <c r="X2149" s="128">
        <f>_xll.qlCalendarAdvance(Calendar,X2148,W2149,"f",FALSE)</f>
        <v>54204</v>
      </c>
      <c r="Y2149" s="131">
        <f>_xll.qlCalendarAdvance(Calendar,X2149,NDays&amp;"D")</f>
        <v>54206</v>
      </c>
      <c r="Z2149" s="132">
        <v>1.3722116775782351E-2</v>
      </c>
      <c r="AA2149" s="129">
        <v>1.371917110035703E-2</v>
      </c>
    </row>
    <row r="2150" spans="19:27" x14ac:dyDescent="0.2">
      <c r="S2150" s="1"/>
      <c r="T2150" s="109"/>
      <c r="W2150" s="130" t="str">
        <f t="shared" si="43"/>
        <v>1w</v>
      </c>
      <c r="X2150" s="128">
        <f>_xll.qlCalendarAdvance(Calendar,X2149,W2150,"f",FALSE)</f>
        <v>54211</v>
      </c>
      <c r="Y2150" s="131">
        <f>_xll.qlCalendarAdvance(Calendar,X2150,NDays&amp;"D")</f>
        <v>54213</v>
      </c>
      <c r="Z2150" s="132">
        <v>1.3718851607969703E-2</v>
      </c>
      <c r="AA2150" s="129">
        <v>1.371605060353609E-2</v>
      </c>
    </row>
    <row r="2151" spans="19:27" x14ac:dyDescent="0.2">
      <c r="S2151" s="1"/>
      <c r="T2151" s="109"/>
      <c r="W2151" s="130" t="str">
        <f t="shared" si="43"/>
        <v>1w</v>
      </c>
      <c r="X2151" s="128">
        <f>_xll.qlCalendarAdvance(Calendar,X2150,W2151,"f",FALSE)</f>
        <v>54218</v>
      </c>
      <c r="Y2151" s="131">
        <f>_xll.qlCalendarAdvance(Calendar,X2151,NDays&amp;"D")</f>
        <v>54220</v>
      </c>
      <c r="Z2151" s="132">
        <v>1.3715565850769468E-2</v>
      </c>
      <c r="AA2151" s="129">
        <v>1.3712909585850142E-2</v>
      </c>
    </row>
    <row r="2152" spans="19:27" x14ac:dyDescent="0.2">
      <c r="S2152" s="1"/>
      <c r="T2152" s="109"/>
      <c r="W2152" s="130" t="str">
        <f t="shared" si="43"/>
        <v>1w</v>
      </c>
      <c r="X2152" s="128">
        <f>_xll.qlCalendarAdvance(Calendar,X2151,W2152,"f",FALSE)</f>
        <v>54225</v>
      </c>
      <c r="Y2152" s="131">
        <f>_xll.qlCalendarAdvance(Calendar,X2152,NDays&amp;"D")</f>
        <v>54227</v>
      </c>
      <c r="Z2152" s="132">
        <v>1.3712259504233779E-2</v>
      </c>
      <c r="AA2152" s="129">
        <v>1.370974804721925E-2</v>
      </c>
    </row>
    <row r="2153" spans="19:27" x14ac:dyDescent="0.2">
      <c r="S2153" s="1"/>
      <c r="T2153" s="109"/>
      <c r="W2153" s="130" t="str">
        <f t="shared" si="43"/>
        <v>1w</v>
      </c>
      <c r="X2153" s="128">
        <f>_xll.qlCalendarAdvance(Calendar,X2152,W2153,"f",FALSE)</f>
        <v>54232</v>
      </c>
      <c r="Y2153" s="131">
        <f>_xll.qlCalendarAdvance(Calendar,X2153,NDays&amp;"D")</f>
        <v>54234</v>
      </c>
      <c r="Z2153" s="132">
        <v>1.3708932568415636E-2</v>
      </c>
      <c r="AA2153" s="129">
        <v>1.3706565987723351E-2</v>
      </c>
    </row>
    <row r="2154" spans="19:27" x14ac:dyDescent="0.2">
      <c r="S2154" s="1"/>
      <c r="T2154" s="109"/>
      <c r="W2154" s="130" t="str">
        <f t="shared" si="43"/>
        <v>1w</v>
      </c>
      <c r="X2154" s="128">
        <f>_xll.qlCalendarAdvance(Calendar,X2153,W2154,"f",FALSE)</f>
        <v>54239</v>
      </c>
      <c r="Y2154" s="131">
        <f>_xll.qlCalendarAdvance(Calendar,X2154,NDays&amp;"D")</f>
        <v>54241</v>
      </c>
      <c r="Z2154" s="132">
        <v>1.3705585043366305E-2</v>
      </c>
      <c r="AA2154" s="129">
        <v>1.3703363407282509E-2</v>
      </c>
    </row>
    <row r="2155" spans="19:27" x14ac:dyDescent="0.2">
      <c r="S2155" s="1"/>
      <c r="T2155" s="109"/>
      <c r="W2155" s="130" t="str">
        <f t="shared" si="43"/>
        <v>1w</v>
      </c>
      <c r="X2155" s="128">
        <f>_xll.qlCalendarAdvance(Calendar,X2154,W2155,"f",FALSE)</f>
        <v>54246</v>
      </c>
      <c r="Y2155" s="131">
        <f>_xll.qlCalendarAdvance(Calendar,X2155,NDays&amp;"D")</f>
        <v>54248</v>
      </c>
      <c r="Z2155" s="132">
        <v>1.3702216929138785E-2</v>
      </c>
      <c r="AA2155" s="129">
        <v>1.3700140305816788E-2</v>
      </c>
    </row>
    <row r="2156" spans="19:27" x14ac:dyDescent="0.2">
      <c r="S2156" s="1"/>
      <c r="T2156" s="109"/>
      <c r="W2156" s="130" t="str">
        <f t="shared" si="43"/>
        <v>1w</v>
      </c>
      <c r="X2156" s="128">
        <f>_xll.qlCalendarAdvance(Calendar,X2155,W2156,"f",FALSE)</f>
        <v>54253</v>
      </c>
      <c r="Y2156" s="131">
        <f>_xll.qlCalendarAdvance(Calendar,X2156,NDays&amp;"D")</f>
        <v>54255</v>
      </c>
      <c r="Z2156" s="132">
        <v>1.369882822578521E-2</v>
      </c>
      <c r="AA2156" s="129">
        <v>1.3696896683406123E-2</v>
      </c>
    </row>
    <row r="2157" spans="19:27" x14ac:dyDescent="0.2">
      <c r="S2157" s="1"/>
      <c r="T2157" s="109"/>
      <c r="W2157" s="130" t="str">
        <f t="shared" si="43"/>
        <v>1w</v>
      </c>
      <c r="X2157" s="128">
        <f>_xll.qlCalendarAdvance(Calendar,X2156,W2157,"f",FALSE)</f>
        <v>54260</v>
      </c>
      <c r="Y2157" s="131">
        <f>_xll.qlCalendarAdvance(Calendar,X2157,NDays&amp;"D")</f>
        <v>54262</v>
      </c>
      <c r="Z2157" s="132">
        <v>1.3695418933359446E-2</v>
      </c>
      <c r="AA2157" s="129">
        <v>1.3693632540130452E-2</v>
      </c>
    </row>
    <row r="2158" spans="19:27" x14ac:dyDescent="0.2">
      <c r="S2158" s="1"/>
      <c r="T2158" s="109"/>
      <c r="W2158" s="130" t="str">
        <f t="shared" si="43"/>
        <v>1w</v>
      </c>
      <c r="X2158" s="128">
        <f>_xll.qlCalendarAdvance(Calendar,X2157,W2158,"f",FALSE)</f>
        <v>54267</v>
      </c>
      <c r="Y2158" s="131">
        <f>_xll.qlCalendarAdvance(Calendar,X2158,NDays&amp;"D")</f>
        <v>54269</v>
      </c>
      <c r="Z2158" s="132">
        <v>1.3691989051916237E-2</v>
      </c>
      <c r="AA2158" s="129">
        <v>1.3690347875989772E-2</v>
      </c>
    </row>
    <row r="2159" spans="19:27" x14ac:dyDescent="0.2">
      <c r="S2159" s="1"/>
      <c r="T2159" s="109"/>
      <c r="W2159" s="130" t="str">
        <f t="shared" si="43"/>
        <v>1w</v>
      </c>
      <c r="X2159" s="128">
        <f>_xll.qlCalendarAdvance(Calendar,X2158,W2159,"f",FALSE)</f>
        <v>54274</v>
      </c>
      <c r="Y2159" s="131">
        <f>_xll.qlCalendarAdvance(Calendar,X2159,NDays&amp;"D")</f>
        <v>54276</v>
      </c>
      <c r="Z2159" s="132">
        <v>1.3688538581508581E-2</v>
      </c>
      <c r="AA2159" s="129">
        <v>1.3687042690824214E-2</v>
      </c>
    </row>
    <row r="2160" spans="19:27" x14ac:dyDescent="0.2">
      <c r="S2160" s="1"/>
      <c r="T2160" s="109"/>
      <c r="W2160" s="130" t="str">
        <f t="shared" si="43"/>
        <v>1w</v>
      </c>
      <c r="X2160" s="128">
        <f>_xll.qlCalendarAdvance(Calendar,X2159,W2160,"f",FALSE)</f>
        <v>54281</v>
      </c>
      <c r="Y2160" s="131">
        <f>_xll.qlCalendarAdvance(Calendar,X2160,NDays&amp;"D")</f>
        <v>54283</v>
      </c>
      <c r="Z2160" s="132">
        <v>1.3685067522191216E-2</v>
      </c>
      <c r="AA2160" s="129">
        <v>1.3683716984793648E-2</v>
      </c>
    </row>
    <row r="2161" spans="19:27" x14ac:dyDescent="0.2">
      <c r="S2161" s="1"/>
      <c r="T2161" s="109"/>
      <c r="W2161" s="130" t="str">
        <f t="shared" si="43"/>
        <v>1w</v>
      </c>
      <c r="X2161" s="128">
        <f>_xll.qlCalendarAdvance(Calendar,X2160,W2161,"f",FALSE)</f>
        <v>54288</v>
      </c>
      <c r="Y2161" s="131">
        <f>_xll.qlCalendarAdvance(Calendar,X2161,NDays&amp;"D")</f>
        <v>54290</v>
      </c>
      <c r="Z2161" s="132">
        <v>1.3681575874017146E-2</v>
      </c>
      <c r="AA2161" s="129">
        <v>1.3680370757818139E-2</v>
      </c>
    </row>
    <row r="2162" spans="19:27" x14ac:dyDescent="0.2">
      <c r="S2162" s="1"/>
      <c r="T2162" s="109"/>
      <c r="W2162" s="130" t="str">
        <f t="shared" si="43"/>
        <v>1w</v>
      </c>
      <c r="X2162" s="128">
        <f>_xll.qlCalendarAdvance(Calendar,X2161,W2162,"f",FALSE)</f>
        <v>54295</v>
      </c>
      <c r="Y2162" s="131">
        <f>_xll.qlCalendarAdvance(Calendar,X2162,NDays&amp;"D")</f>
        <v>54297</v>
      </c>
      <c r="Z2162" s="132">
        <v>1.3678063637043715E-2</v>
      </c>
      <c r="AA2162" s="129">
        <v>1.3677004009897686E-2</v>
      </c>
    </row>
    <row r="2163" spans="19:27" x14ac:dyDescent="0.2">
      <c r="S2163" s="1"/>
      <c r="T2163" s="109"/>
      <c r="W2163" s="130" t="str">
        <f t="shared" si="43"/>
        <v>1w</v>
      </c>
      <c r="X2163" s="128">
        <f>_xll.qlCalendarAdvance(Calendar,X2162,W2163,"f",FALSE)</f>
        <v>54302</v>
      </c>
      <c r="Y2163" s="131">
        <f>_xll.qlCalendarAdvance(Calendar,X2163,NDays&amp;"D")</f>
        <v>54304</v>
      </c>
      <c r="Z2163" s="132">
        <v>1.3674527626510984E-2</v>
      </c>
      <c r="AA2163" s="129">
        <v>1.3673616741112227E-2</v>
      </c>
    </row>
    <row r="2164" spans="19:27" x14ac:dyDescent="0.2">
      <c r="S2164" s="1"/>
      <c r="T2164" s="109"/>
      <c r="W2164" s="130" t="str">
        <f t="shared" si="43"/>
        <v>1w</v>
      </c>
      <c r="X2164" s="128">
        <f>_xll.qlCalendarAdvance(Calendar,X2163,W2164,"f",FALSE)</f>
        <v>54309</v>
      </c>
      <c r="Y2164" s="131">
        <f>_xll.qlCalendarAdvance(Calendar,X2164,NDays&amp;"D")</f>
        <v>54311</v>
      </c>
      <c r="Z2164" s="132">
        <v>1.3670975817385489E-2</v>
      </c>
      <c r="AA2164" s="129">
        <v>1.3670208951381824E-2</v>
      </c>
    </row>
    <row r="2165" spans="19:27" x14ac:dyDescent="0.2">
      <c r="S2165" s="1"/>
      <c r="T2165" s="109"/>
      <c r="W2165" s="130" t="str">
        <f t="shared" si="43"/>
        <v>1w</v>
      </c>
      <c r="X2165" s="128">
        <f>_xll.qlCalendarAdvance(Calendar,X2164,W2165,"f",FALSE)</f>
        <v>54316</v>
      </c>
      <c r="Y2165" s="131">
        <f>_xll.qlCalendarAdvance(Calendar,X2165,NDays&amp;"D")</f>
        <v>54318</v>
      </c>
      <c r="Z2165" s="132">
        <v>1.3667403420368165E-2</v>
      </c>
      <c r="AA2165" s="129">
        <v>1.3666780640706477E-2</v>
      </c>
    </row>
    <row r="2166" spans="19:27" x14ac:dyDescent="0.2">
      <c r="S2166" s="1"/>
      <c r="T2166" s="109"/>
      <c r="W2166" s="130" t="str">
        <f t="shared" si="43"/>
        <v>1w</v>
      </c>
      <c r="X2166" s="128">
        <f>_xll.qlCalendarAdvance(Calendar,X2165,W2166,"f",FALSE)</f>
        <v>54323</v>
      </c>
      <c r="Y2166" s="131">
        <f>_xll.qlCalendarAdvance(Calendar,X2166,NDays&amp;"D")</f>
        <v>54325</v>
      </c>
      <c r="Z2166" s="132">
        <v>1.3663810435512593E-2</v>
      </c>
      <c r="AA2166" s="129">
        <v>1.3663331809086188E-2</v>
      </c>
    </row>
    <row r="2167" spans="19:27" x14ac:dyDescent="0.2">
      <c r="S2167" s="1"/>
      <c r="T2167" s="109"/>
      <c r="W2167" s="130" t="str">
        <f t="shared" si="43"/>
        <v>1w</v>
      </c>
      <c r="X2167" s="128">
        <f>_xll.qlCalendarAdvance(Calendar,X2166,W2167,"f",FALSE)</f>
        <v>54330</v>
      </c>
      <c r="Y2167" s="131">
        <f>_xll.qlCalendarAdvance(Calendar,X2167,NDays&amp;"D")</f>
        <v>54332</v>
      </c>
      <c r="Z2167" s="132">
        <v>1.3660182979430221E-2</v>
      </c>
      <c r="AA2167" s="129">
        <v>1.3659862456520955E-2</v>
      </c>
    </row>
    <row r="2168" spans="19:27" x14ac:dyDescent="0.2">
      <c r="S2168" s="1"/>
      <c r="T2168" s="109"/>
      <c r="W2168" s="130" t="str">
        <f t="shared" si="43"/>
        <v>1w</v>
      </c>
      <c r="X2168" s="128">
        <f>_xll.qlCalendarAdvance(Calendar,X2167,W2168,"f",FALSE)</f>
        <v>54337</v>
      </c>
      <c r="Y2168" s="131">
        <f>_xll.qlCalendarAdvance(Calendar,X2168,NDays&amp;"D")</f>
        <v>54339</v>
      </c>
      <c r="Z2168" s="132">
        <v>1.3656557853505377E-2</v>
      </c>
      <c r="AA2168" s="129">
        <v>1.3656372583170651E-2</v>
      </c>
    </row>
    <row r="2169" spans="19:27" x14ac:dyDescent="0.2">
      <c r="S2169" s="1"/>
      <c r="T2169" s="109"/>
      <c r="W2169" s="130" t="str">
        <f t="shared" si="43"/>
        <v>1w</v>
      </c>
      <c r="X2169" s="128">
        <f>_xll.qlCalendarAdvance(Calendar,X2168,W2169,"f",FALSE)</f>
        <v>54344</v>
      </c>
      <c r="Y2169" s="131">
        <f>_xll.qlCalendarAdvance(Calendar,X2169,NDays&amp;"D")</f>
        <v>54346</v>
      </c>
      <c r="Z2169" s="132">
        <v>1.3652901496491697E-2</v>
      </c>
      <c r="AA2169" s="129">
        <v>1.3652862188795467E-2</v>
      </c>
    </row>
    <row r="2170" spans="19:27" x14ac:dyDescent="0.2">
      <c r="S2170" s="1"/>
      <c r="T2170" s="109"/>
      <c r="W2170" s="130" t="str">
        <f t="shared" si="43"/>
        <v>1w</v>
      </c>
      <c r="X2170" s="128">
        <f>_xll.qlCalendarAdvance(Calendar,X2169,W2170,"f",FALSE)</f>
        <v>54351</v>
      </c>
      <c r="Y2170" s="131">
        <f>_xll.qlCalendarAdvance(Calendar,X2170,NDays&amp;"D")</f>
        <v>54353</v>
      </c>
      <c r="Z2170" s="132">
        <v>1.3649224551130467E-2</v>
      </c>
      <c r="AA2170" s="129">
        <v>1.364933127347534E-2</v>
      </c>
    </row>
    <row r="2171" spans="19:27" x14ac:dyDescent="0.2">
      <c r="S2171" s="1"/>
      <c r="T2171" s="109"/>
      <c r="W2171" s="130" t="str">
        <f t="shared" si="43"/>
        <v>1w</v>
      </c>
      <c r="X2171" s="128">
        <f>_xll.qlCalendarAdvance(Calendar,X2170,W2171,"f",FALSE)</f>
        <v>54358</v>
      </c>
      <c r="Y2171" s="131">
        <f>_xll.qlCalendarAdvance(Calendar,X2171,NDays&amp;"D")</f>
        <v>54360</v>
      </c>
      <c r="Z2171" s="132">
        <v>1.3645527017476428E-2</v>
      </c>
      <c r="AA2171" s="129">
        <v>1.3645779837290206E-2</v>
      </c>
    </row>
    <row r="2172" spans="19:27" x14ac:dyDescent="0.2">
      <c r="S2172" s="1"/>
      <c r="T2172" s="109"/>
      <c r="W2172" s="130" t="str">
        <f t="shared" si="43"/>
        <v>1w</v>
      </c>
      <c r="X2172" s="128">
        <f>_xll.qlCalendarAdvance(Calendar,X2171,W2172,"f",FALSE)</f>
        <v>54365</v>
      </c>
      <c r="Y2172" s="131">
        <f>_xll.qlCalendarAdvance(Calendar,X2172,NDays&amp;"D")</f>
        <v>54367</v>
      </c>
      <c r="Z2172" s="132">
        <v>1.3641808895588662E-2</v>
      </c>
      <c r="AA2172" s="129">
        <v>1.3642207880160129E-2</v>
      </c>
    </row>
    <row r="2173" spans="19:27" x14ac:dyDescent="0.2">
      <c r="S2173" s="1"/>
      <c r="T2173" s="109"/>
      <c r="W2173" s="130" t="str">
        <f t="shared" si="43"/>
        <v>1w</v>
      </c>
      <c r="X2173" s="128">
        <f>_xll.qlCalendarAdvance(Calendar,X2172,W2173,"f",FALSE)</f>
        <v>54372</v>
      </c>
      <c r="Y2173" s="131">
        <f>_xll.qlCalendarAdvance(Calendar,X2173,NDays&amp;"D")</f>
        <v>54374</v>
      </c>
      <c r="Z2173" s="132">
        <v>1.3638070185527122E-2</v>
      </c>
      <c r="AA2173" s="129">
        <v>1.3638615402165044E-2</v>
      </c>
    </row>
    <row r="2174" spans="19:27" x14ac:dyDescent="0.2">
      <c r="S2174" s="1"/>
      <c r="T2174" s="109"/>
      <c r="W2174" s="130" t="str">
        <f t="shared" si="43"/>
        <v>1w</v>
      </c>
      <c r="X2174" s="128">
        <f>_xll.qlCalendarAdvance(Calendar,X2173,W2174,"f",FALSE)</f>
        <v>54379</v>
      </c>
      <c r="Y2174" s="131">
        <f>_xll.qlCalendarAdvance(Calendar,X2174,NDays&amp;"D")</f>
        <v>54381</v>
      </c>
      <c r="Z2174" s="132">
        <v>1.3634310887348282E-2</v>
      </c>
      <c r="AA2174" s="129">
        <v>1.363500240314508E-2</v>
      </c>
    </row>
    <row r="2175" spans="19:27" x14ac:dyDescent="0.2">
      <c r="S2175" s="1"/>
      <c r="T2175" s="109"/>
      <c r="W2175" s="130" t="str">
        <f t="shared" si="43"/>
        <v>1w</v>
      </c>
      <c r="X2175" s="128">
        <f>_xll.qlCalendarAdvance(Calendar,X2174,W2175,"f",FALSE)</f>
        <v>54386</v>
      </c>
      <c r="Y2175" s="131">
        <f>_xll.qlCalendarAdvance(Calendar,X2175,NDays&amp;"D")</f>
        <v>54388</v>
      </c>
      <c r="Z2175" s="132">
        <v>1.3630531001112967E-2</v>
      </c>
      <c r="AA2175" s="129">
        <v>1.3631368883260109E-2</v>
      </c>
    </row>
    <row r="2176" spans="19:27" x14ac:dyDescent="0.2">
      <c r="S2176" s="1"/>
      <c r="T2176" s="109"/>
      <c r="W2176" s="130" t="str">
        <f t="shared" si="43"/>
        <v>1w</v>
      </c>
      <c r="X2176" s="128">
        <f>_xll.qlCalendarAdvance(Calendar,X2175,W2176,"f",FALSE)</f>
        <v>54393</v>
      </c>
      <c r="Y2176" s="131">
        <f>_xll.qlCalendarAdvance(Calendar,X2176,NDays&amp;"D")</f>
        <v>54395</v>
      </c>
      <c r="Z2176" s="132">
        <v>1.3626765855531353E-2</v>
      </c>
      <c r="AA2176" s="129">
        <v>1.3627714842430194E-2</v>
      </c>
    </row>
    <row r="2177" spans="19:27" x14ac:dyDescent="0.2">
      <c r="S2177" s="1"/>
      <c r="T2177" s="109"/>
      <c r="W2177" s="130" t="str">
        <f t="shared" si="43"/>
        <v>1w</v>
      </c>
      <c r="X2177" s="128">
        <f>_xll.qlCalendarAdvance(Calendar,X2176,W2177,"f",FALSE)</f>
        <v>54400</v>
      </c>
      <c r="Y2177" s="131">
        <f>_xll.qlCalendarAdvance(Calendar,X2177,NDays&amp;"D")</f>
        <v>54402</v>
      </c>
      <c r="Z2177" s="132">
        <v>1.3622948022990577E-2</v>
      </c>
      <c r="AA2177" s="129">
        <v>1.3624040280815208E-2</v>
      </c>
    </row>
    <row r="2178" spans="19:27" x14ac:dyDescent="0.2">
      <c r="S2178" s="1"/>
      <c r="T2178" s="109"/>
      <c r="W2178" s="130" t="str">
        <f t="shared" si="43"/>
        <v>1w</v>
      </c>
      <c r="X2178" s="128">
        <f>_xll.qlCalendarAdvance(Calendar,X2177,W2178,"f",FALSE)</f>
        <v>54407</v>
      </c>
      <c r="Y2178" s="131">
        <f>_xll.qlCalendarAdvance(Calendar,X2178,NDays&amp;"D")</f>
        <v>54409</v>
      </c>
      <c r="Z2178" s="132">
        <v>1.3619109604037227E-2</v>
      </c>
      <c r="AA2178" s="129">
        <v>1.3620345198175343E-2</v>
      </c>
    </row>
    <row r="2179" spans="19:27" x14ac:dyDescent="0.2">
      <c r="S2179" s="1"/>
      <c r="T2179" s="109"/>
      <c r="W2179" s="130" t="str">
        <f t="shared" si="43"/>
        <v>1w</v>
      </c>
      <c r="X2179" s="128">
        <f>_xll.qlCalendarAdvance(Calendar,X2178,W2179,"f",FALSE)</f>
        <v>54414</v>
      </c>
      <c r="Y2179" s="131">
        <f>_xll.qlCalendarAdvance(Calendar,X2179,NDays&amp;"D")</f>
        <v>54416</v>
      </c>
      <c r="Z2179" s="132">
        <v>1.3615250598729922E-2</v>
      </c>
      <c r="AA2179" s="129">
        <v>1.3616602943589129E-2</v>
      </c>
    </row>
    <row r="2180" spans="19:27" x14ac:dyDescent="0.2">
      <c r="S2180" s="1"/>
      <c r="T2180" s="109"/>
      <c r="W2180" s="130" t="str">
        <f t="shared" si="43"/>
        <v>1w</v>
      </c>
      <c r="X2180" s="128">
        <f>_xll.qlCalendarAdvance(Calendar,X2179,W2180,"f",FALSE)</f>
        <v>54421</v>
      </c>
      <c r="Y2180" s="131">
        <f>_xll.qlCalendarAdvance(Calendar,X2180,NDays&amp;"D")</f>
        <v>54423</v>
      </c>
      <c r="Z2180" s="132">
        <v>1.3611371007132611E-2</v>
      </c>
      <c r="AA2180" s="129">
        <v>1.3612861997436276E-2</v>
      </c>
    </row>
    <row r="2181" spans="19:27" x14ac:dyDescent="0.2">
      <c r="S2181" s="1"/>
      <c r="T2181" s="109"/>
      <c r="W2181" s="130" t="str">
        <f t="shared" si="43"/>
        <v>1w</v>
      </c>
      <c r="X2181" s="128">
        <f>_xll.qlCalendarAdvance(Calendar,X2180,W2181,"f",FALSE)</f>
        <v>54428</v>
      </c>
      <c r="Y2181" s="131">
        <f>_xll.qlCalendarAdvance(Calendar,X2181,NDays&amp;"D")</f>
        <v>54430</v>
      </c>
      <c r="Z2181" s="132">
        <v>1.3607470829298585E-2</v>
      </c>
      <c r="AA2181" s="129">
        <v>1.3609136824825896E-2</v>
      </c>
    </row>
    <row r="2182" spans="19:27" x14ac:dyDescent="0.2">
      <c r="S2182" s="1"/>
      <c r="T2182" s="109"/>
      <c r="W2182" s="130" t="str">
        <f t="shared" si="43"/>
        <v>1w</v>
      </c>
      <c r="X2182" s="128">
        <f>_xll.qlCalendarAdvance(Calendar,X2181,W2182,"f",FALSE)</f>
        <v>54435</v>
      </c>
      <c r="Y2182" s="131">
        <f>_xll.qlCalendarAdvance(Calendar,X2182,NDays&amp;"D")</f>
        <v>54437</v>
      </c>
      <c r="Z2182" s="132">
        <v>1.3603550065290904E-2</v>
      </c>
      <c r="AA2182" s="129">
        <v>1.3605359658486194E-2</v>
      </c>
    </row>
    <row r="2183" spans="19:27" x14ac:dyDescent="0.2">
      <c r="S2183" s="1"/>
      <c r="T2183" s="109"/>
      <c r="W2183" s="130" t="str">
        <f t="shared" si="43"/>
        <v>1w</v>
      </c>
      <c r="X2183" s="128">
        <f>_xll.qlCalendarAdvance(Calendar,X2182,W2183,"f",FALSE)</f>
        <v>54442</v>
      </c>
      <c r="Y2183" s="131">
        <f>_xll.qlCalendarAdvance(Calendar,X2183,NDays&amp;"D")</f>
        <v>54444</v>
      </c>
      <c r="Z2183" s="132">
        <v>1.3599608715170852E-2</v>
      </c>
      <c r="AA2183" s="129">
        <v>1.360156197136142E-2</v>
      </c>
    </row>
    <row r="2184" spans="19:27" x14ac:dyDescent="0.2">
      <c r="S2184" s="1"/>
      <c r="T2184" s="109"/>
      <c r="W2184" s="130" t="str">
        <f t="shared" si="43"/>
        <v>1w</v>
      </c>
      <c r="X2184" s="128">
        <f>_xll.qlCalendarAdvance(Calendar,X2183,W2184,"f",FALSE)</f>
        <v>54449</v>
      </c>
      <c r="Y2184" s="131">
        <f>_xll.qlCalendarAdvance(Calendar,X2184,NDays&amp;"D")</f>
        <v>54451</v>
      </c>
      <c r="Z2184" s="132">
        <v>1.359564677899705E-2</v>
      </c>
      <c r="AA2184" s="129">
        <v>1.3597743763211767E-2</v>
      </c>
    </row>
    <row r="2185" spans="19:27" x14ac:dyDescent="0.2">
      <c r="S2185" s="1"/>
      <c r="T2185" s="109"/>
      <c r="W2185" s="130" t="str">
        <f t="shared" si="43"/>
        <v>1w</v>
      </c>
      <c r="X2185" s="128">
        <f>_xll.qlCalendarAdvance(Calendar,X2184,W2185,"f",FALSE)</f>
        <v>54456</v>
      </c>
      <c r="Y2185" s="131">
        <f>_xll.qlCalendarAdvance(Calendar,X2185,NDays&amp;"D")</f>
        <v>54458</v>
      </c>
      <c r="Z2185" s="132">
        <v>1.3591696247794787E-2</v>
      </c>
      <c r="AA2185" s="129">
        <v>1.3593905034117171E-2</v>
      </c>
    </row>
    <row r="2186" spans="19:27" x14ac:dyDescent="0.2">
      <c r="S2186" s="1"/>
      <c r="T2186" s="109"/>
      <c r="W2186" s="130" t="str">
        <f t="shared" si="43"/>
        <v>1w</v>
      </c>
      <c r="X2186" s="128">
        <f>_xll.qlCalendarAdvance(Calendar,X2185,W2186,"f",FALSE)</f>
        <v>54463</v>
      </c>
      <c r="Y2186" s="131">
        <f>_xll.qlCalendarAdvance(Calendar,X2186,NDays&amp;"D")</f>
        <v>54465</v>
      </c>
      <c r="Z2186" s="132">
        <v>1.3587694760919006E-2</v>
      </c>
      <c r="AA2186" s="129">
        <v>1.3590045784237503E-2</v>
      </c>
    </row>
    <row r="2187" spans="19:27" x14ac:dyDescent="0.2">
      <c r="S2187" s="1"/>
      <c r="T2187" s="109"/>
      <c r="W2187" s="130" t="str">
        <f t="shared" si="43"/>
        <v>1w</v>
      </c>
      <c r="X2187" s="128">
        <f>_xll.qlCalendarAdvance(Calendar,X2186,W2187,"f",FALSE)</f>
        <v>54470</v>
      </c>
      <c r="Y2187" s="131">
        <f>_xll.qlCalendarAdvance(Calendar,X2187,NDays&amp;"D")</f>
        <v>54472</v>
      </c>
      <c r="Z2187" s="132">
        <v>1.3583672688903339E-2</v>
      </c>
      <c r="AA2187" s="129">
        <v>1.3586166013492829E-2</v>
      </c>
    </row>
    <row r="2188" spans="19:27" x14ac:dyDescent="0.2">
      <c r="S2188" s="1"/>
      <c r="T2188" s="109"/>
      <c r="W2188" s="130" t="str">
        <f t="shared" si="43"/>
        <v>1w</v>
      </c>
      <c r="X2188" s="128">
        <f>_xll.qlCalendarAdvance(Calendar,X2187,W2188,"f",FALSE)</f>
        <v>54477</v>
      </c>
      <c r="Y2188" s="131">
        <f>_xll.qlCalendarAdvance(Calendar,X2188,NDays&amp;"D")</f>
        <v>54479</v>
      </c>
      <c r="Z2188" s="132">
        <v>1.3579630031804372E-2</v>
      </c>
      <c r="AA2188" s="129">
        <v>1.3582265721643338E-2</v>
      </c>
    </row>
    <row r="2189" spans="19:27" x14ac:dyDescent="0.2">
      <c r="S2189" s="1"/>
      <c r="T2189" s="109"/>
      <c r="W2189" s="130" t="str">
        <f t="shared" si="43"/>
        <v>1w</v>
      </c>
      <c r="X2189" s="128">
        <f>_xll.qlCalendarAdvance(Calendar,X2188,W2189,"f",FALSE)</f>
        <v>54484</v>
      </c>
      <c r="Y2189" s="131">
        <f>_xll.qlCalendarAdvance(Calendar,X2189,NDays&amp;"D")</f>
        <v>54486</v>
      </c>
      <c r="Z2189" s="132">
        <v>1.3575450881720529E-2</v>
      </c>
      <c r="AA2189" s="129">
        <v>1.3578344909008777E-2</v>
      </c>
    </row>
    <row r="2190" spans="19:27" x14ac:dyDescent="0.2">
      <c r="S2190" s="1"/>
      <c r="T2190" s="109"/>
      <c r="W2190" s="130" t="str">
        <f t="shared" si="43"/>
        <v>1w</v>
      </c>
      <c r="X2190" s="128">
        <f>_xll.qlCalendarAdvance(Calendar,X2189,W2190,"f",FALSE)</f>
        <v>54491</v>
      </c>
      <c r="Y2190" s="131">
        <f>_xll.qlCalendarAdvance(Calendar,X2190,NDays&amp;"D")</f>
        <v>54493</v>
      </c>
      <c r="Z2190" s="132">
        <v>1.3571362181946127E-2</v>
      </c>
      <c r="AA2190" s="129">
        <v>1.3574403575429272E-2</v>
      </c>
    </row>
    <row r="2191" spans="19:27" x14ac:dyDescent="0.2">
      <c r="S2191" s="1"/>
      <c r="T2191" s="109"/>
      <c r="W2191" s="130" t="str">
        <f t="shared" si="43"/>
        <v>1w</v>
      </c>
      <c r="X2191" s="128">
        <f>_xll.qlCalendarAdvance(Calendar,X2190,W2191,"f",FALSE)</f>
        <v>54498</v>
      </c>
      <c r="Y2191" s="131">
        <f>_xll.qlCalendarAdvance(Calendar,X2191,NDays&amp;"D")</f>
        <v>54500</v>
      </c>
      <c r="Z2191" s="132">
        <v>1.3567252895105757E-2</v>
      </c>
      <c r="AA2191" s="129">
        <v>1.3570441721064697E-2</v>
      </c>
    </row>
    <row r="2192" spans="19:27" x14ac:dyDescent="0.2">
      <c r="S2192" s="1"/>
      <c r="T2192" s="109"/>
      <c r="W2192" s="130" t="str">
        <f t="shared" si="43"/>
        <v>1w</v>
      </c>
      <c r="X2192" s="128">
        <f>_xll.qlCalendarAdvance(Calendar,X2191,W2192,"f",FALSE)</f>
        <v>54505</v>
      </c>
      <c r="Y2192" s="131">
        <f>_xll.qlCalendarAdvance(Calendar,X2192,NDays&amp;"D")</f>
        <v>54507</v>
      </c>
      <c r="Z2192" s="132">
        <v>1.3563123021262851E-2</v>
      </c>
      <c r="AA2192" s="129">
        <v>1.3566459345675241E-2</v>
      </c>
    </row>
    <row r="2193" spans="19:27" x14ac:dyDescent="0.2">
      <c r="S2193" s="1"/>
      <c r="T2193" s="109"/>
      <c r="W2193" s="130" t="str">
        <f t="shared" si="43"/>
        <v>1w</v>
      </c>
      <c r="X2193" s="128">
        <f>_xll.qlCalendarAdvance(Calendar,X2192,W2193,"f",FALSE)</f>
        <v>54512</v>
      </c>
      <c r="Y2193" s="131">
        <f>_xll.qlCalendarAdvance(Calendar,X2193,NDays&amp;"D")</f>
        <v>54514</v>
      </c>
      <c r="Z2193" s="132">
        <v>1.3559017853970203E-2</v>
      </c>
      <c r="AA2193" s="129">
        <v>1.3562456449260907E-2</v>
      </c>
    </row>
    <row r="2194" spans="19:27" x14ac:dyDescent="0.2">
      <c r="S2194" s="1"/>
      <c r="T2194" s="109"/>
      <c r="W2194" s="130" t="str">
        <f t="shared" si="43"/>
        <v>1w</v>
      </c>
      <c r="X2194" s="128">
        <f>_xll.qlCalendarAdvance(Calendar,X2193,W2194,"f",FALSE)</f>
        <v>54519</v>
      </c>
      <c r="Y2194" s="131">
        <f>_xll.qlCalendarAdvance(Calendar,X2194,NDays&amp;"D")</f>
        <v>54521</v>
      </c>
      <c r="Z2194" s="132">
        <v>1.3554848433550735E-2</v>
      </c>
      <c r="AA2194" s="129">
        <v>1.3558433032141437E-2</v>
      </c>
    </row>
    <row r="2195" spans="19:27" x14ac:dyDescent="0.2">
      <c r="S2195" s="1"/>
      <c r="T2195" s="109"/>
      <c r="W2195" s="130" t="str">
        <f t="shared" si="43"/>
        <v>1w</v>
      </c>
      <c r="X2195" s="128">
        <f>_xll.qlCalendarAdvance(Calendar,X2194,W2195,"f",FALSE)</f>
        <v>54526</v>
      </c>
      <c r="Y2195" s="131">
        <f>_xll.qlCalendarAdvance(Calendar,X2195,NDays&amp;"D")</f>
        <v>54528</v>
      </c>
      <c r="Z2195" s="132">
        <v>1.3550658427046341E-2</v>
      </c>
      <c r="AA2195" s="129">
        <v>1.3554250033793735E-2</v>
      </c>
    </row>
    <row r="2196" spans="19:27" x14ac:dyDescent="0.2">
      <c r="S2196" s="1"/>
      <c r="T2196" s="109"/>
      <c r="W2196" s="130" t="str">
        <f t="shared" si="43"/>
        <v>1w</v>
      </c>
      <c r="X2196" s="128">
        <f>_xll.qlCalendarAdvance(Calendar,X2195,W2196,"f",FALSE)</f>
        <v>54533</v>
      </c>
      <c r="Y2196" s="131">
        <f>_xll.qlCalendarAdvance(Calendar,X2196,NDays&amp;"D")</f>
        <v>54535</v>
      </c>
      <c r="Z2196" s="132">
        <v>1.3546447834521146E-2</v>
      </c>
      <c r="AA2196" s="129">
        <v>1.3550324635067668E-2</v>
      </c>
    </row>
    <row r="2197" spans="19:27" x14ac:dyDescent="0.2">
      <c r="S2197" s="1"/>
      <c r="T2197" s="109"/>
      <c r="W2197" s="130" t="str">
        <f t="shared" ref="W2197:W2260" si="44">W2196</f>
        <v>1w</v>
      </c>
      <c r="X2197" s="128">
        <f>_xll.qlCalendarAdvance(Calendar,X2196,W2197,"f",FALSE)</f>
        <v>54540</v>
      </c>
      <c r="Y2197" s="131">
        <f>_xll.qlCalendarAdvance(Calendar,X2197,NDays&amp;"D")</f>
        <v>54542</v>
      </c>
      <c r="Z2197" s="132">
        <v>1.3542216656041033E-2</v>
      </c>
      <c r="AA2197" s="129">
        <v>1.3546239655193304E-2</v>
      </c>
    </row>
    <row r="2198" spans="19:27" x14ac:dyDescent="0.2">
      <c r="S2198" s="1"/>
      <c r="T2198" s="109"/>
      <c r="W2198" s="130" t="str">
        <f t="shared" si="44"/>
        <v>1w</v>
      </c>
      <c r="X2198" s="128">
        <f>_xll.qlCalendarAdvance(Calendar,X2197,W2198,"f",FALSE)</f>
        <v>54547</v>
      </c>
      <c r="Y2198" s="131">
        <f>_xll.qlCalendarAdvance(Calendar,X2198,NDays&amp;"D")</f>
        <v>54549</v>
      </c>
      <c r="Z2198" s="132">
        <v>1.3537911454822233E-2</v>
      </c>
      <c r="AA2198" s="129">
        <v>1.3542134154373997E-2</v>
      </c>
    </row>
    <row r="2199" spans="19:27" x14ac:dyDescent="0.2">
      <c r="S2199" s="1"/>
      <c r="T2199" s="109"/>
      <c r="W2199" s="130" t="str">
        <f t="shared" si="44"/>
        <v>1w</v>
      </c>
      <c r="X2199" s="128">
        <f>_xll.qlCalendarAdvance(Calendar,X2198,W2199,"f",FALSE)</f>
        <v>54554</v>
      </c>
      <c r="Y2199" s="131">
        <f>_xll.qlCalendarAdvance(Calendar,X2199,NDays&amp;"D")</f>
        <v>54556</v>
      </c>
      <c r="Z2199" s="132">
        <v>1.35336374738027E-2</v>
      </c>
      <c r="AA2199" s="129">
        <v>1.3538008132609747E-2</v>
      </c>
    </row>
    <row r="2200" spans="19:27" x14ac:dyDescent="0.2">
      <c r="S2200" s="1"/>
      <c r="T2200" s="109"/>
      <c r="W2200" s="130" t="str">
        <f t="shared" si="44"/>
        <v>1w</v>
      </c>
      <c r="X2200" s="128">
        <f>_xll.qlCalendarAdvance(Calendar,X2199,W2200,"f",FALSE)</f>
        <v>54561</v>
      </c>
      <c r="Y2200" s="131">
        <f>_xll.qlCalendarAdvance(Calendar,X2200,NDays&amp;"D")</f>
        <v>54563</v>
      </c>
      <c r="Z2200" s="132">
        <v>1.3529342906308034E-2</v>
      </c>
      <c r="AA2200" s="129">
        <v>1.3533861589900553E-2</v>
      </c>
    </row>
    <row r="2201" spans="19:27" x14ac:dyDescent="0.2">
      <c r="S2201" s="1"/>
      <c r="T2201" s="109"/>
      <c r="W2201" s="130" t="str">
        <f t="shared" si="44"/>
        <v>1w</v>
      </c>
      <c r="X2201" s="128">
        <f>_xll.qlCalendarAdvance(Calendar,X2200,W2201,"f",FALSE)</f>
        <v>54568</v>
      </c>
      <c r="Y2201" s="131">
        <f>_xll.qlCalendarAdvance(Calendar,X2201,NDays&amp;"D")</f>
        <v>54570</v>
      </c>
      <c r="Z2201" s="132">
        <v>1.3525027752408613E-2</v>
      </c>
      <c r="AA2201" s="129">
        <v>1.3529694526486225E-2</v>
      </c>
    </row>
    <row r="2202" spans="19:27" x14ac:dyDescent="0.2">
      <c r="S2202" s="1"/>
      <c r="T2202" s="109"/>
      <c r="W2202" s="130" t="str">
        <f t="shared" si="44"/>
        <v>1w</v>
      </c>
      <c r="X2202" s="128">
        <f>_xll.qlCalendarAdvance(Calendar,X2201,W2202,"f",FALSE)</f>
        <v>54575</v>
      </c>
      <c r="Y2202" s="131">
        <f>_xll.qlCalendarAdvance(Calendar,X2202,NDays&amp;"D")</f>
        <v>54577</v>
      </c>
      <c r="Z2202" s="132">
        <v>1.352069201217221E-2</v>
      </c>
      <c r="AA2202" s="129">
        <v>1.3525506942206889E-2</v>
      </c>
    </row>
    <row r="2203" spans="19:27" x14ac:dyDescent="0.2">
      <c r="S2203" s="1"/>
      <c r="T2203" s="109"/>
      <c r="W2203" s="130" t="str">
        <f t="shared" si="44"/>
        <v>1w</v>
      </c>
      <c r="X2203" s="128">
        <f>_xll.qlCalendarAdvance(Calendar,X2202,W2203,"f",FALSE)</f>
        <v>54582</v>
      </c>
      <c r="Y2203" s="131">
        <f>_xll.qlCalendarAdvance(Calendar,X2203,NDays&amp;"D")</f>
        <v>54584</v>
      </c>
      <c r="Z2203" s="132">
        <v>1.3516335685664857E-2</v>
      </c>
      <c r="AA2203" s="129">
        <v>1.3521298836822737E-2</v>
      </c>
    </row>
    <row r="2204" spans="19:27" x14ac:dyDescent="0.2">
      <c r="S2204" s="1"/>
      <c r="T2204" s="109"/>
      <c r="W2204" s="130" t="str">
        <f t="shared" si="44"/>
        <v>1w</v>
      </c>
      <c r="X2204" s="128">
        <f>_xll.qlCalendarAdvance(Calendar,X2203,W2204,"f",FALSE)</f>
        <v>54589</v>
      </c>
      <c r="Y2204" s="131">
        <f>_xll.qlCalendarAdvance(Calendar,X2204,NDays&amp;"D")</f>
        <v>54591</v>
      </c>
      <c r="Z2204" s="132">
        <v>1.3511958772956934E-2</v>
      </c>
      <c r="AA2204" s="129">
        <v>1.3517070210573578E-2</v>
      </c>
    </row>
    <row r="2205" spans="19:27" x14ac:dyDescent="0.2">
      <c r="S2205" s="1"/>
      <c r="T2205" s="109"/>
      <c r="W2205" s="130" t="str">
        <f t="shared" si="44"/>
        <v>1w</v>
      </c>
      <c r="X2205" s="128">
        <f>_xll.qlCalendarAdvance(Calendar,X2204,W2205,"f",FALSE)</f>
        <v>54596</v>
      </c>
      <c r="Y2205" s="131">
        <f>_xll.qlCalendarAdvance(Calendar,X2205,NDays&amp;"D")</f>
        <v>54598</v>
      </c>
      <c r="Z2205" s="132">
        <v>1.3507561274116212E-2</v>
      </c>
      <c r="AA2205" s="129">
        <v>1.3512821063459413E-2</v>
      </c>
    </row>
    <row r="2206" spans="19:27" x14ac:dyDescent="0.2">
      <c r="S2206" s="1"/>
      <c r="T2206" s="109"/>
      <c r="W2206" s="130" t="str">
        <f t="shared" si="44"/>
        <v>1w</v>
      </c>
      <c r="X2206" s="128">
        <f>_xll.qlCalendarAdvance(Calendar,X2205,W2206,"f",FALSE)</f>
        <v>54603</v>
      </c>
      <c r="Y2206" s="131">
        <f>_xll.qlCalendarAdvance(Calendar,X2206,NDays&amp;"D")</f>
        <v>54605</v>
      </c>
      <c r="Z2206" s="132">
        <v>1.3503143189213071E-2</v>
      </c>
      <c r="AA2206" s="129">
        <v>1.3508551395560175E-2</v>
      </c>
    </row>
    <row r="2207" spans="19:27" x14ac:dyDescent="0.2">
      <c r="S2207" s="1"/>
      <c r="T2207" s="109"/>
      <c r="W2207" s="130" t="str">
        <f t="shared" si="44"/>
        <v>1w</v>
      </c>
      <c r="X2207" s="128">
        <f>_xll.qlCalendarAdvance(Calendar,X2206,W2207,"f",FALSE)</f>
        <v>54610</v>
      </c>
      <c r="Y2207" s="131">
        <f>_xll.qlCalendarAdvance(Calendar,X2207,NDays&amp;"D")</f>
        <v>54612</v>
      </c>
      <c r="Z2207" s="132">
        <v>1.3498704518315282E-2</v>
      </c>
      <c r="AA2207" s="129">
        <v>1.3504261206556123E-2</v>
      </c>
    </row>
    <row r="2208" spans="19:27" x14ac:dyDescent="0.2">
      <c r="S2208" s="1"/>
      <c r="T2208" s="109"/>
      <c r="W2208" s="130" t="str">
        <f t="shared" si="44"/>
        <v>1w</v>
      </c>
      <c r="X2208" s="128">
        <f>_xll.qlCalendarAdvance(Calendar,X2207,W2208,"f",FALSE)</f>
        <v>54617</v>
      </c>
      <c r="Y2208" s="131">
        <f>_xll.qlCalendarAdvance(Calendar,X2208,NDays&amp;"D")</f>
        <v>54619</v>
      </c>
      <c r="Z2208" s="132">
        <v>1.3494245261494092E-2</v>
      </c>
      <c r="AA2208" s="129">
        <v>1.3499950496766999E-2</v>
      </c>
    </row>
    <row r="2209" spans="19:27" x14ac:dyDescent="0.2">
      <c r="S2209" s="1"/>
      <c r="T2209" s="109"/>
      <c r="W2209" s="130" t="str">
        <f t="shared" si="44"/>
        <v>1w</v>
      </c>
      <c r="X2209" s="128">
        <f>_xll.qlCalendarAdvance(Calendar,X2208,W2209,"f",FALSE)</f>
        <v>54624</v>
      </c>
      <c r="Y2209" s="131">
        <f>_xll.qlCalendarAdvance(Calendar,X2209,NDays&amp;"D")</f>
        <v>54626</v>
      </c>
      <c r="Z2209" s="132">
        <v>1.3489765418819881E-2</v>
      </c>
      <c r="AA2209" s="129">
        <v>1.3495619266192804E-2</v>
      </c>
    </row>
    <row r="2210" spans="19:27" x14ac:dyDescent="0.2">
      <c r="S2210" s="1"/>
      <c r="T2210" s="109"/>
      <c r="W2210" s="130" t="str">
        <f t="shared" si="44"/>
        <v>1w</v>
      </c>
      <c r="X2210" s="128">
        <f>_xll.qlCalendarAdvance(Calendar,X2209,W2210,"f",FALSE)</f>
        <v>54631</v>
      </c>
      <c r="Y2210" s="131">
        <f>_xll.qlCalendarAdvance(Calendar,X2210,NDays&amp;"D")</f>
        <v>54633</v>
      </c>
      <c r="Z2210" s="132">
        <v>1.3485264990361286E-2</v>
      </c>
      <c r="AA2210" s="129">
        <v>1.3491267514513794E-2</v>
      </c>
    </row>
    <row r="2211" spans="19:27" x14ac:dyDescent="0.2">
      <c r="S2211" s="1"/>
      <c r="T2211" s="109"/>
      <c r="W2211" s="130" t="str">
        <f t="shared" si="44"/>
        <v>1w</v>
      </c>
      <c r="X2211" s="128">
        <f>_xll.qlCalendarAdvance(Calendar,X2210,W2211,"f",FALSE)</f>
        <v>54638</v>
      </c>
      <c r="Y2211" s="131">
        <f>_xll.qlCalendarAdvance(Calendar,X2211,NDays&amp;"D")</f>
        <v>54640</v>
      </c>
      <c r="Z2211" s="132">
        <v>1.3480743976192165E-2</v>
      </c>
      <c r="AA2211" s="129">
        <v>1.3486895242049712E-2</v>
      </c>
    </row>
    <row r="2212" spans="19:27" x14ac:dyDescent="0.2">
      <c r="S2212" s="1"/>
      <c r="T2212" s="109"/>
      <c r="W2212" s="130" t="str">
        <f t="shared" si="44"/>
        <v>1w</v>
      </c>
      <c r="X2212" s="128">
        <f>_xll.qlCalendarAdvance(Calendar,X2211,W2212,"f",FALSE)</f>
        <v>54645</v>
      </c>
      <c r="Y2212" s="131">
        <f>_xll.qlCalendarAdvance(Calendar,X2212,NDays&amp;"D")</f>
        <v>54647</v>
      </c>
      <c r="Z2212" s="132">
        <v>1.3476202376380288E-2</v>
      </c>
      <c r="AA2212" s="129">
        <v>1.3482502448720624E-2</v>
      </c>
    </row>
    <row r="2213" spans="19:27" x14ac:dyDescent="0.2">
      <c r="S2213" s="1"/>
      <c r="T2213" s="109"/>
      <c r="W2213" s="130" t="str">
        <f t="shared" si="44"/>
        <v>1w</v>
      </c>
      <c r="X2213" s="128">
        <f>_xll.qlCalendarAdvance(Calendar,X2212,W2213,"f",FALSE)</f>
        <v>54652</v>
      </c>
      <c r="Y2213" s="131">
        <f>_xll.qlCalendarAdvance(Calendar,X2213,NDays&amp;"D")</f>
        <v>54654</v>
      </c>
      <c r="Z2213" s="132">
        <v>1.347164019099951E-2</v>
      </c>
      <c r="AA2213" s="129">
        <v>1.3478089134446591E-2</v>
      </c>
    </row>
    <row r="2214" spans="19:27" x14ac:dyDescent="0.2">
      <c r="S2214" s="1"/>
      <c r="T2214" s="109"/>
      <c r="W2214" s="130" t="str">
        <f t="shared" si="44"/>
        <v>1w</v>
      </c>
      <c r="X2214" s="128">
        <f>_xll.qlCalendarAdvance(Calendar,X2213,W2214,"f",FALSE)</f>
        <v>54659</v>
      </c>
      <c r="Y2214" s="131">
        <f>_xll.qlCalendarAdvance(Calendar,X2214,NDays&amp;"D")</f>
        <v>54661</v>
      </c>
      <c r="Z2214" s="132">
        <v>1.3467057420119338E-2</v>
      </c>
      <c r="AA2214" s="129">
        <v>1.3473655299307552E-2</v>
      </c>
    </row>
    <row r="2215" spans="19:27" x14ac:dyDescent="0.2">
      <c r="S2215" s="1"/>
      <c r="T2215" s="109"/>
      <c r="W2215" s="130" t="str">
        <f t="shared" si="44"/>
        <v>1w</v>
      </c>
      <c r="X2215" s="128">
        <f>_xll.qlCalendarAdvance(Calendar,X2214,W2215,"f",FALSE)</f>
        <v>54666</v>
      </c>
      <c r="Y2215" s="131">
        <f>_xll.qlCalendarAdvance(Calendar,X2215,NDays&amp;"D")</f>
        <v>54668</v>
      </c>
      <c r="Z2215" s="132">
        <v>1.3462535321734958E-2</v>
      </c>
      <c r="AA2215" s="129">
        <v>1.3469200943223569E-2</v>
      </c>
    </row>
    <row r="2216" spans="19:27" x14ac:dyDescent="0.2">
      <c r="S2216" s="1"/>
      <c r="T2216" s="109"/>
      <c r="W2216" s="130" t="str">
        <f t="shared" si="44"/>
        <v>1w</v>
      </c>
      <c r="X2216" s="128">
        <f>_xll.qlCalendarAdvance(Calendar,X2215,W2216,"f",FALSE)</f>
        <v>54673</v>
      </c>
      <c r="Y2216" s="131">
        <f>_xll.qlCalendarAdvance(Calendar,X2216,NDays&amp;"D")</f>
        <v>54675</v>
      </c>
      <c r="Z2216" s="132">
        <v>1.3457913022987242E-2</v>
      </c>
      <c r="AA2216" s="129">
        <v>1.3464726066274579E-2</v>
      </c>
    </row>
    <row r="2217" spans="19:27" x14ac:dyDescent="0.2">
      <c r="S2217" s="1"/>
      <c r="T2217" s="109"/>
      <c r="W2217" s="130" t="str">
        <f t="shared" si="44"/>
        <v>1w</v>
      </c>
      <c r="X2217" s="128">
        <f>_xll.qlCalendarAdvance(Calendar,X2216,W2217,"f",FALSE)</f>
        <v>54680</v>
      </c>
      <c r="Y2217" s="131">
        <f>_xll.qlCalendarAdvance(Calendar,X2217,NDays&amp;"D")</f>
        <v>54682</v>
      </c>
      <c r="Z2217" s="132">
        <v>1.3453270139663727E-2</v>
      </c>
      <c r="AA2217" s="129">
        <v>1.3460230668540518E-2</v>
      </c>
    </row>
    <row r="2218" spans="19:27" x14ac:dyDescent="0.2">
      <c r="S2218" s="1"/>
      <c r="T2218" s="109"/>
      <c r="W2218" s="130" t="str">
        <f t="shared" si="44"/>
        <v>1w</v>
      </c>
      <c r="X2218" s="128">
        <f>_xll.qlCalendarAdvance(Calendar,X2217,W2218,"f",FALSE)</f>
        <v>54687</v>
      </c>
      <c r="Y2218" s="131">
        <f>_xll.qlCalendarAdvance(Calendar,X2218,NDays&amp;"D")</f>
        <v>54689</v>
      </c>
      <c r="Z2218" s="132">
        <v>1.3448606671832924E-2</v>
      </c>
      <c r="AA2218" s="129">
        <v>1.3455714749781578E-2</v>
      </c>
    </row>
    <row r="2219" spans="19:27" x14ac:dyDescent="0.2">
      <c r="S2219" s="1"/>
      <c r="T2219" s="109"/>
      <c r="W2219" s="130" t="str">
        <f t="shared" si="44"/>
        <v>1w</v>
      </c>
      <c r="X2219" s="128">
        <f>_xll.qlCalendarAdvance(Calendar,X2218,W2219,"f",FALSE)</f>
        <v>54694</v>
      </c>
      <c r="Y2219" s="131">
        <f>_xll.qlCalendarAdvance(Calendar,X2219,NDays&amp;"D")</f>
        <v>54696</v>
      </c>
      <c r="Z2219" s="132">
        <v>1.3443834785787296E-2</v>
      </c>
      <c r="AA2219" s="129">
        <v>1.3451178310237566E-2</v>
      </c>
    </row>
    <row r="2220" spans="19:27" x14ac:dyDescent="0.2">
      <c r="S2220" s="1"/>
      <c r="T2220" s="109"/>
      <c r="W2220" s="130" t="str">
        <f t="shared" si="44"/>
        <v>1w</v>
      </c>
      <c r="X2220" s="128">
        <f>_xll.qlCalendarAdvance(Calendar,X2219,W2220,"f",FALSE)</f>
        <v>54701</v>
      </c>
      <c r="Y2220" s="131">
        <f>_xll.qlCalendarAdvance(Calendar,X2220,NDays&amp;"D")</f>
        <v>54703</v>
      </c>
      <c r="Z2220" s="132">
        <v>1.3439128503445199E-2</v>
      </c>
      <c r="AA2220" s="129">
        <v>1.3446621349748611E-2</v>
      </c>
    </row>
    <row r="2221" spans="19:27" x14ac:dyDescent="0.2">
      <c r="S2221" s="1"/>
      <c r="T2221" s="109"/>
      <c r="W2221" s="130" t="str">
        <f t="shared" si="44"/>
        <v>1w</v>
      </c>
      <c r="X2221" s="128">
        <f>_xll.qlCalendarAdvance(Calendar,X2220,W2221,"f",FALSE)</f>
        <v>54708</v>
      </c>
      <c r="Y2221" s="131">
        <f>_xll.qlCalendarAdvance(Calendar,X2221,NDays&amp;"D")</f>
        <v>54710</v>
      </c>
      <c r="Z2221" s="132">
        <v>1.3434401636115471E-2</v>
      </c>
      <c r="AA2221" s="129">
        <v>1.3442043868394649E-2</v>
      </c>
    </row>
    <row r="2222" spans="19:27" x14ac:dyDescent="0.2">
      <c r="S2222" s="1"/>
      <c r="T2222" s="109"/>
      <c r="W2222" s="130" t="str">
        <f t="shared" si="44"/>
        <v>1w</v>
      </c>
      <c r="X2222" s="128">
        <f>_xll.qlCalendarAdvance(Calendar,X2221,W2222,"f",FALSE)</f>
        <v>54715</v>
      </c>
      <c r="Y2222" s="131">
        <f>_xll.qlCalendarAdvance(Calendar,X2222,NDays&amp;"D")</f>
        <v>54717</v>
      </c>
      <c r="Z2222" s="132">
        <v>1.342965418387458E-2</v>
      </c>
      <c r="AA2222" s="129">
        <v>1.3437445866175679E-2</v>
      </c>
    </row>
    <row r="2223" spans="19:27" x14ac:dyDescent="0.2">
      <c r="S2223" s="1"/>
      <c r="T2223" s="109"/>
      <c r="W2223" s="130" t="str">
        <f t="shared" si="44"/>
        <v>1w</v>
      </c>
      <c r="X2223" s="128">
        <f>_xll.qlCalendarAdvance(Calendar,X2222,W2223,"f",FALSE)</f>
        <v>54722</v>
      </c>
      <c r="Y2223" s="131">
        <f>_xll.qlCalendarAdvance(Calendar,X2223,NDays&amp;"D")</f>
        <v>54724</v>
      </c>
      <c r="Z2223" s="132">
        <v>1.3424886146796374E-2</v>
      </c>
      <c r="AA2223" s="129">
        <v>1.3432827343091702E-2</v>
      </c>
    </row>
    <row r="2224" spans="19:27" x14ac:dyDescent="0.2">
      <c r="S2224" s="1"/>
      <c r="T2224" s="109"/>
      <c r="W2224" s="130" t="str">
        <f t="shared" si="44"/>
        <v>1w</v>
      </c>
      <c r="X2224" s="128">
        <f>_xll.qlCalendarAdvance(Calendar,X2223,W2224,"f",FALSE)</f>
        <v>54729</v>
      </c>
      <c r="Y2224" s="131">
        <f>_xll.qlCalendarAdvance(Calendar,X2224,NDays&amp;"D")</f>
        <v>54731</v>
      </c>
      <c r="Z2224" s="132">
        <v>1.342009752495384E-2</v>
      </c>
      <c r="AA2224" s="129">
        <v>1.3428188299062782E-2</v>
      </c>
    </row>
    <row r="2225" spans="19:27" x14ac:dyDescent="0.2">
      <c r="S2225" s="1"/>
      <c r="T2225" s="109"/>
      <c r="W2225" s="130" t="str">
        <f t="shared" si="44"/>
        <v>1w</v>
      </c>
      <c r="X2225" s="128">
        <f>_xll.qlCalendarAdvance(Calendar,X2224,W2225,"f",FALSE)</f>
        <v>54736</v>
      </c>
      <c r="Y2225" s="131">
        <f>_xll.qlCalendarAdvance(Calendar,X2225,NDays&amp;"D")</f>
        <v>54738</v>
      </c>
      <c r="Z2225" s="132">
        <v>1.3415288318426047E-2</v>
      </c>
      <c r="AA2225" s="129">
        <v>1.3423528734088919E-2</v>
      </c>
    </row>
    <row r="2226" spans="19:27" x14ac:dyDescent="0.2">
      <c r="S2226" s="1"/>
      <c r="T2226" s="109"/>
      <c r="W2226" s="130" t="str">
        <f t="shared" si="44"/>
        <v>1w</v>
      </c>
      <c r="X2226" s="128">
        <f>_xll.qlCalendarAdvance(Calendar,X2225,W2226,"f",FALSE)</f>
        <v>54743</v>
      </c>
      <c r="Y2226" s="131">
        <f>_xll.qlCalendarAdvance(Calendar,X2226,NDays&amp;"D")</f>
        <v>54745</v>
      </c>
      <c r="Z2226" s="132">
        <v>1.3410458527285977E-2</v>
      </c>
      <c r="AA2226" s="129">
        <v>1.3418848648489856E-2</v>
      </c>
    </row>
    <row r="2227" spans="19:27" x14ac:dyDescent="0.2">
      <c r="S2227" s="1"/>
      <c r="T2227" s="109"/>
      <c r="W2227" s="130" t="str">
        <f t="shared" si="44"/>
        <v>1w</v>
      </c>
      <c r="X2227" s="128">
        <f>_xll.qlCalendarAdvance(Calendar,X2226,W2227,"f",FALSE)</f>
        <v>54750</v>
      </c>
      <c r="Y2227" s="131">
        <f>_xll.qlCalendarAdvance(Calendar,X2227,NDays&amp;"D")</f>
        <v>54752</v>
      </c>
      <c r="Z2227" s="132">
        <v>1.3405608151609223E-2</v>
      </c>
      <c r="AA2227" s="129">
        <v>1.3414148041706042E-2</v>
      </c>
    </row>
    <row r="2228" spans="19:27" x14ac:dyDescent="0.2">
      <c r="S2228" s="1"/>
      <c r="T2228" s="109"/>
      <c r="W2228" s="130" t="str">
        <f t="shared" si="44"/>
        <v>1w</v>
      </c>
      <c r="X2228" s="128">
        <f>_xll.qlCalendarAdvance(Calendar,X2227,W2228,"f",FALSE)</f>
        <v>54757</v>
      </c>
      <c r="Y2228" s="131">
        <f>_xll.qlCalendarAdvance(Calendar,X2228,NDays&amp;"D")</f>
        <v>54759</v>
      </c>
      <c r="Z2228" s="132">
        <v>1.3400942372300051E-2</v>
      </c>
      <c r="AA2228" s="129">
        <v>1.3409426914137157E-2</v>
      </c>
    </row>
    <row r="2229" spans="19:27" x14ac:dyDescent="0.2">
      <c r="S2229" s="1"/>
      <c r="T2229" s="109"/>
      <c r="W2229" s="130" t="str">
        <f t="shared" si="44"/>
        <v>1w</v>
      </c>
      <c r="X2229" s="128">
        <f>_xll.qlCalendarAdvance(Calendar,X2228,W2229,"f",FALSE)</f>
        <v>54764</v>
      </c>
      <c r="Y2229" s="131">
        <f>_xll.qlCalendarAdvance(Calendar,X2229,NDays&amp;"D")</f>
        <v>54766</v>
      </c>
      <c r="Z2229" s="132">
        <v>1.3396054131662893E-2</v>
      </c>
      <c r="AA2229" s="129">
        <v>1.3404685265783201E-2</v>
      </c>
    </row>
    <row r="2230" spans="19:27" x14ac:dyDescent="0.2">
      <c r="S2230" s="1"/>
      <c r="T2230" s="109"/>
      <c r="W2230" s="130" t="str">
        <f t="shared" si="44"/>
        <v>1w</v>
      </c>
      <c r="X2230" s="128">
        <f>_xll.qlCalendarAdvance(Calendar,X2229,W2230,"f",FALSE)</f>
        <v>54771</v>
      </c>
      <c r="Y2230" s="131">
        <f>_xll.qlCalendarAdvance(Calendar,X2230,NDays&amp;"D")</f>
        <v>54773</v>
      </c>
      <c r="Z2230" s="132">
        <v>1.3391145308103702E-2</v>
      </c>
      <c r="AA2230" s="129">
        <v>1.3399923096404365E-2</v>
      </c>
    </row>
    <row r="2231" spans="19:27" x14ac:dyDescent="0.2">
      <c r="S2231" s="1"/>
      <c r="T2231" s="109"/>
      <c r="W2231" s="130" t="str">
        <f t="shared" si="44"/>
        <v>1w</v>
      </c>
      <c r="X2231" s="128">
        <f>_xll.qlCalendarAdvance(Calendar,X2230,W2231,"f",FALSE)</f>
        <v>54778</v>
      </c>
      <c r="Y2231" s="131">
        <f>_xll.qlCalendarAdvance(Calendar,X2231,NDays&amp;"D")</f>
        <v>54780</v>
      </c>
      <c r="Z2231" s="132">
        <v>1.3386215901702414E-2</v>
      </c>
      <c r="AA2231" s="129">
        <v>1.3395140406320394E-2</v>
      </c>
    </row>
    <row r="2232" spans="19:27" x14ac:dyDescent="0.2">
      <c r="S2232" s="1"/>
      <c r="T2232" s="109"/>
      <c r="W2232" s="130" t="str">
        <f t="shared" si="44"/>
        <v>1w</v>
      </c>
      <c r="X2232" s="128">
        <f>_xll.qlCalendarAdvance(Calendar,X2231,W2232,"f",FALSE)</f>
        <v>54785</v>
      </c>
      <c r="Y2232" s="131">
        <f>_xll.qlCalendarAdvance(Calendar,X2232,NDays&amp;"D")</f>
        <v>54787</v>
      </c>
      <c r="Z2232" s="132">
        <v>1.3381265912530971E-2</v>
      </c>
      <c r="AA2232" s="129">
        <v>1.3390337195211544E-2</v>
      </c>
    </row>
    <row r="2233" spans="19:27" x14ac:dyDescent="0.2">
      <c r="S2233" s="1"/>
      <c r="T2233" s="109"/>
      <c r="W2233" s="130" t="str">
        <f t="shared" si="44"/>
        <v>1w</v>
      </c>
      <c r="X2233" s="128">
        <f>_xll.qlCalendarAdvance(Calendar,X2232,W2233,"f",FALSE)</f>
        <v>54792</v>
      </c>
      <c r="Y2233" s="131">
        <f>_xll.qlCalendarAdvance(Calendar,X2233,NDays&amp;"D")</f>
        <v>54794</v>
      </c>
      <c r="Z2233" s="132">
        <v>1.3376295340666644E-2</v>
      </c>
      <c r="AA2233" s="129">
        <v>1.3385513463317622E-2</v>
      </c>
    </row>
    <row r="2234" spans="19:27" x14ac:dyDescent="0.2">
      <c r="S2234" s="1"/>
      <c r="T2234" s="109"/>
      <c r="W2234" s="130" t="str">
        <f t="shared" si="44"/>
        <v>1w</v>
      </c>
      <c r="X2234" s="128">
        <f>_xll.qlCalendarAdvance(Calendar,X2233,W2234,"f",FALSE)</f>
        <v>54799</v>
      </c>
      <c r="Y2234" s="131">
        <f>_xll.qlCalendarAdvance(Calendar,X2234,NDays&amp;"D")</f>
        <v>54801</v>
      </c>
      <c r="Z2234" s="132">
        <v>1.3371304186185817E-2</v>
      </c>
      <c r="AA2234" s="129">
        <v>1.3380669210558693E-2</v>
      </c>
    </row>
    <row r="2235" spans="19:27" x14ac:dyDescent="0.2">
      <c r="S2235" s="1"/>
      <c r="T2235" s="109"/>
      <c r="W2235" s="130" t="str">
        <f t="shared" si="44"/>
        <v>1w</v>
      </c>
      <c r="X2235" s="128">
        <f>_xll.qlCalendarAdvance(Calendar,X2234,W2235,"f",FALSE)</f>
        <v>54806</v>
      </c>
      <c r="Y2235" s="131">
        <f>_xll.qlCalendarAdvance(Calendar,X2235,NDays&amp;"D")</f>
        <v>54808</v>
      </c>
      <c r="Z2235" s="132">
        <v>1.336629244916665E-2</v>
      </c>
      <c r="AA2235" s="129">
        <v>1.3375804436934757E-2</v>
      </c>
    </row>
    <row r="2236" spans="19:27" x14ac:dyDescent="0.2">
      <c r="S2236" s="1"/>
      <c r="T2236" s="109"/>
      <c r="W2236" s="130" t="str">
        <f t="shared" si="44"/>
        <v>1w</v>
      </c>
      <c r="X2236" s="128">
        <f>_xll.qlCalendarAdvance(Calendar,X2235,W2236,"f",FALSE)</f>
        <v>54813</v>
      </c>
      <c r="Y2236" s="131">
        <f>_xll.qlCalendarAdvance(Calendar,X2236,NDays&amp;"D")</f>
        <v>54815</v>
      </c>
      <c r="Z2236" s="132">
        <v>1.3361260129684638E-2</v>
      </c>
      <c r="AA2236" s="129">
        <v>1.3370919142365878E-2</v>
      </c>
    </row>
    <row r="2237" spans="19:27" x14ac:dyDescent="0.2">
      <c r="S2237" s="1"/>
      <c r="T2237" s="109"/>
      <c r="W2237" s="130" t="str">
        <f t="shared" si="44"/>
        <v>1w</v>
      </c>
      <c r="X2237" s="128">
        <f>_xll.qlCalendarAdvance(Calendar,X2236,W2237,"f",FALSE)</f>
        <v>54820</v>
      </c>
      <c r="Y2237" s="131">
        <f>_xll.qlCalendarAdvance(Calendar,X2237,NDays&amp;"D")</f>
        <v>54822</v>
      </c>
      <c r="Z2237" s="132">
        <v>1.3356324469141315E-2</v>
      </c>
      <c r="AA2237" s="129">
        <v>1.3366013326852055E-2</v>
      </c>
    </row>
    <row r="2238" spans="19:27" x14ac:dyDescent="0.2">
      <c r="S2238" s="1"/>
      <c r="T2238" s="109"/>
      <c r="W2238" s="130" t="str">
        <f t="shared" si="44"/>
        <v>1w</v>
      </c>
      <c r="X2238" s="128">
        <f>_xll.qlCalendarAdvance(Calendar,X2237,W2238,"f",FALSE)</f>
        <v>54827</v>
      </c>
      <c r="Y2238" s="131">
        <f>_xll.qlCalendarAdvance(Calendar,X2238,NDays&amp;"D")</f>
        <v>54829</v>
      </c>
      <c r="Z2238" s="132">
        <v>1.3351252642952623E-2</v>
      </c>
      <c r="AA2238" s="129">
        <v>1.3361086990633098E-2</v>
      </c>
    </row>
    <row r="2239" spans="19:27" x14ac:dyDescent="0.2">
      <c r="S2239" s="1"/>
      <c r="T2239" s="109"/>
      <c r="W2239" s="130" t="str">
        <f t="shared" si="44"/>
        <v>1w</v>
      </c>
      <c r="X2239" s="128">
        <f>_xll.qlCalendarAdvance(Calendar,X2238,W2239,"f",FALSE)</f>
        <v>54834</v>
      </c>
      <c r="Y2239" s="131">
        <f>_xll.qlCalendarAdvance(Calendar,X2239,NDays&amp;"D")</f>
        <v>54836</v>
      </c>
      <c r="Z2239" s="132">
        <v>1.3346160235219373E-2</v>
      </c>
      <c r="AA2239" s="129">
        <v>1.335614013338926E-2</v>
      </c>
    </row>
    <row r="2240" spans="19:27" x14ac:dyDescent="0.2">
      <c r="S2240" s="1"/>
      <c r="T2240" s="109"/>
      <c r="W2240" s="130" t="str">
        <f t="shared" si="44"/>
        <v>1w</v>
      </c>
      <c r="X2240" s="128">
        <f>_xll.qlCalendarAdvance(Calendar,X2239,W2240,"f",FALSE)</f>
        <v>54841</v>
      </c>
      <c r="Y2240" s="131">
        <f>_xll.qlCalendarAdvance(Calendar,X2240,NDays&amp;"D")</f>
        <v>54843</v>
      </c>
      <c r="Z2240" s="132">
        <v>1.3341047246020601E-2</v>
      </c>
      <c r="AA2240" s="129">
        <v>1.3351172755360352E-2</v>
      </c>
    </row>
    <row r="2241" spans="19:27" x14ac:dyDescent="0.2">
      <c r="S2241" s="1"/>
      <c r="T2241" s="109"/>
      <c r="W2241" s="130" t="str">
        <f t="shared" si="44"/>
        <v>1w</v>
      </c>
      <c r="X2241" s="128">
        <f>_xll.qlCalendarAdvance(Calendar,X2240,W2241,"f",FALSE)</f>
        <v>54848</v>
      </c>
      <c r="Y2241" s="131">
        <f>_xll.qlCalendarAdvance(Calendar,X2241,NDays&amp;"D")</f>
        <v>54850</v>
      </c>
      <c r="Z2241" s="132">
        <v>1.3335541559224635E-2</v>
      </c>
      <c r="AA2241" s="129">
        <v>1.3346184856546373E-2</v>
      </c>
    </row>
    <row r="2242" spans="19:27" x14ac:dyDescent="0.2">
      <c r="S2242" s="1"/>
      <c r="T2242" s="109"/>
      <c r="W2242" s="130" t="str">
        <f t="shared" si="44"/>
        <v>1w</v>
      </c>
      <c r="X2242" s="128">
        <f>_xll.qlCalendarAdvance(Calendar,X2241,W2242,"f",FALSE)</f>
        <v>54855</v>
      </c>
      <c r="Y2242" s="131">
        <f>_xll.qlCalendarAdvance(Calendar,X2242,NDays&amp;"D")</f>
        <v>54857</v>
      </c>
      <c r="Z2242" s="132">
        <v>1.3330382424852748E-2</v>
      </c>
      <c r="AA2242" s="129">
        <v>1.334117643678745E-2</v>
      </c>
    </row>
    <row r="2243" spans="19:27" x14ac:dyDescent="0.2">
      <c r="S2243" s="1"/>
      <c r="T2243" s="109"/>
      <c r="W2243" s="130" t="str">
        <f t="shared" si="44"/>
        <v>1w</v>
      </c>
      <c r="X2243" s="128">
        <f>_xll.qlCalendarAdvance(Calendar,X2242,W2243,"f",FALSE)</f>
        <v>54862</v>
      </c>
      <c r="Y2243" s="131">
        <f>_xll.qlCalendarAdvance(Calendar,X2243,NDays&amp;"D")</f>
        <v>54864</v>
      </c>
      <c r="Z2243" s="132">
        <v>1.3325202707203171E-2</v>
      </c>
      <c r="AA2243" s="129">
        <v>1.3336147496083584E-2</v>
      </c>
    </row>
    <row r="2244" spans="19:27" x14ac:dyDescent="0.2">
      <c r="S2244" s="1"/>
      <c r="T2244" s="109"/>
      <c r="W2244" s="130" t="str">
        <f t="shared" si="44"/>
        <v>1w</v>
      </c>
      <c r="X2244" s="128">
        <f>_xll.qlCalendarAdvance(Calendar,X2243,W2244,"f",FALSE)</f>
        <v>54869</v>
      </c>
      <c r="Y2244" s="131">
        <f>_xll.qlCalendarAdvance(Calendar,X2244,NDays&amp;"D")</f>
        <v>54871</v>
      </c>
      <c r="Z2244" s="132">
        <v>1.3320002406360183E-2</v>
      </c>
      <c r="AA2244" s="129">
        <v>1.3331098034674582E-2</v>
      </c>
    </row>
    <row r="2245" spans="19:27" x14ac:dyDescent="0.2">
      <c r="S2245" s="1"/>
      <c r="T2245" s="109"/>
      <c r="W2245" s="130" t="str">
        <f t="shared" si="44"/>
        <v>1w</v>
      </c>
      <c r="X2245" s="128">
        <f>_xll.qlCalendarAdvance(Calendar,X2244,W2245,"f",FALSE)</f>
        <v>54876</v>
      </c>
      <c r="Y2245" s="131">
        <f>_xll.qlCalendarAdvance(Calendar,X2245,NDays&amp;"D")</f>
        <v>54878</v>
      </c>
      <c r="Z2245" s="132">
        <v>1.3314912370307994E-2</v>
      </c>
      <c r="AA2245" s="129">
        <v>1.3326028052240702E-2</v>
      </c>
    </row>
    <row r="2246" spans="19:27" x14ac:dyDescent="0.2">
      <c r="S2246" s="1"/>
      <c r="T2246" s="109"/>
      <c r="W2246" s="130" t="str">
        <f t="shared" si="44"/>
        <v>1w</v>
      </c>
      <c r="X2246" s="128">
        <f>_xll.qlCalendarAdvance(Calendar,X2245,W2246,"f",FALSE)</f>
        <v>54883</v>
      </c>
      <c r="Y2246" s="131">
        <f>_xll.qlCalendarAdvance(Calendar,X2246,NDays&amp;"D")</f>
        <v>54885</v>
      </c>
      <c r="Z2246" s="132">
        <v>1.3309672566968644E-2</v>
      </c>
      <c r="AA2246" s="129">
        <v>1.3320464570933055E-2</v>
      </c>
    </row>
    <row r="2247" spans="19:27" x14ac:dyDescent="0.2">
      <c r="S2247" s="1"/>
      <c r="T2247" s="109"/>
      <c r="W2247" s="130" t="str">
        <f t="shared" si="44"/>
        <v>1w</v>
      </c>
      <c r="X2247" s="128">
        <f>_xll.qlCalendarAdvance(Calendar,X2246,W2247,"f",FALSE)</f>
        <v>54890</v>
      </c>
      <c r="Y2247" s="131">
        <f>_xll.qlCalendarAdvance(Calendar,X2247,NDays&amp;"D")</f>
        <v>54892</v>
      </c>
      <c r="Z2247" s="132">
        <v>1.3304412181359339E-2</v>
      </c>
      <c r="AA2247" s="129">
        <v>1.3315826524857854E-2</v>
      </c>
    </row>
    <row r="2248" spans="19:27" x14ac:dyDescent="0.2">
      <c r="S2248" s="1"/>
      <c r="T2248" s="109"/>
      <c r="W2248" s="130" t="str">
        <f t="shared" si="44"/>
        <v>1w</v>
      </c>
      <c r="X2248" s="128">
        <f>_xll.qlCalendarAdvance(Calendar,X2247,W2248,"f",FALSE)</f>
        <v>54897</v>
      </c>
      <c r="Y2248" s="131">
        <f>_xll.qlCalendarAdvance(Calendar,X2248,NDays&amp;"D")</f>
        <v>54899</v>
      </c>
      <c r="Z2248" s="132">
        <v>1.3299131213562652E-2</v>
      </c>
      <c r="AA2248" s="129">
        <v>1.3310694979988824E-2</v>
      </c>
    </row>
    <row r="2249" spans="19:27" x14ac:dyDescent="0.2">
      <c r="S2249" s="1"/>
      <c r="T2249" s="109"/>
      <c r="W2249" s="130" t="str">
        <f t="shared" si="44"/>
        <v>1w</v>
      </c>
      <c r="X2249" s="128">
        <f>_xll.qlCalendarAdvance(Calendar,X2248,W2249,"f",FALSE)</f>
        <v>54904</v>
      </c>
      <c r="Y2249" s="131">
        <f>_xll.qlCalendarAdvance(Calendar,X2249,NDays&amp;"D")</f>
        <v>54906</v>
      </c>
      <c r="Z2249" s="132">
        <v>1.3293829663658517E-2</v>
      </c>
      <c r="AA2249" s="129">
        <v>1.330554291417485E-2</v>
      </c>
    </row>
    <row r="2250" spans="19:27" x14ac:dyDescent="0.2">
      <c r="S2250" s="1"/>
      <c r="T2250" s="109"/>
      <c r="W2250" s="130" t="str">
        <f t="shared" si="44"/>
        <v>1w</v>
      </c>
      <c r="X2250" s="128">
        <f>_xll.qlCalendarAdvance(Calendar,X2249,W2250,"f",FALSE)</f>
        <v>54911</v>
      </c>
      <c r="Y2250" s="131">
        <f>_xll.qlCalendarAdvance(Calendar,X2250,NDays&amp;"D")</f>
        <v>54913</v>
      </c>
      <c r="Z2250" s="132">
        <v>1.3288368358818709E-2</v>
      </c>
      <c r="AA2250" s="129">
        <v>1.330037032749587E-2</v>
      </c>
    </row>
    <row r="2251" spans="19:27" x14ac:dyDescent="0.2">
      <c r="S2251" s="1"/>
      <c r="T2251" s="109"/>
      <c r="W2251" s="130" t="str">
        <f t="shared" si="44"/>
        <v>1w</v>
      </c>
      <c r="X2251" s="128">
        <f>_xll.qlCalendarAdvance(Calendar,X2250,W2251,"f",FALSE)</f>
        <v>54918</v>
      </c>
      <c r="Y2251" s="131">
        <f>_xll.qlCalendarAdvance(Calendar,X2251,NDays&amp;"D")</f>
        <v>54920</v>
      </c>
      <c r="Z2251" s="132">
        <v>1.3283023977922616E-2</v>
      </c>
      <c r="AA2251" s="129">
        <v>1.3295177219951881E-2</v>
      </c>
    </row>
    <row r="2252" spans="19:27" x14ac:dyDescent="0.2">
      <c r="S2252" s="1"/>
      <c r="T2252" s="109"/>
      <c r="W2252" s="130" t="str">
        <f t="shared" si="44"/>
        <v>1w</v>
      </c>
      <c r="X2252" s="128">
        <f>_xll.qlCalendarAdvance(Calendar,X2251,W2252,"f",FALSE)</f>
        <v>54925</v>
      </c>
      <c r="Y2252" s="131">
        <f>_xll.qlCalendarAdvance(Calendar,X2252,NDays&amp;"D")</f>
        <v>54927</v>
      </c>
      <c r="Z2252" s="132">
        <v>1.327765901449519E-2</v>
      </c>
      <c r="AA2252" s="129">
        <v>1.3289963591542886E-2</v>
      </c>
    </row>
    <row r="2253" spans="19:27" x14ac:dyDescent="0.2">
      <c r="S2253" s="1"/>
      <c r="T2253" s="109"/>
      <c r="W2253" s="130" t="str">
        <f t="shared" si="44"/>
        <v>1w</v>
      </c>
      <c r="X2253" s="128">
        <f>_xll.qlCalendarAdvance(Calendar,X2252,W2253,"f",FALSE)</f>
        <v>54932</v>
      </c>
      <c r="Y2253" s="131">
        <f>_xll.qlCalendarAdvance(Calendar,X2253,NDays&amp;"D")</f>
        <v>54934</v>
      </c>
      <c r="Z2253" s="132">
        <v>1.3272273468621584E-2</v>
      </c>
      <c r="AA2253" s="129">
        <v>1.3284729442348819E-2</v>
      </c>
    </row>
    <row r="2254" spans="19:27" x14ac:dyDescent="0.2">
      <c r="S2254" s="1"/>
      <c r="T2254" s="109"/>
      <c r="W2254" s="130" t="str">
        <f t="shared" si="44"/>
        <v>1w</v>
      </c>
      <c r="X2254" s="128">
        <f>_xll.qlCalendarAdvance(Calendar,X2253,W2254,"f",FALSE)</f>
        <v>54939</v>
      </c>
      <c r="Y2254" s="131">
        <f>_xll.qlCalendarAdvance(Calendar,X2254,NDays&amp;"D")</f>
        <v>54941</v>
      </c>
      <c r="Z2254" s="132">
        <v>1.3266867340385206E-2</v>
      </c>
      <c r="AA2254" s="129">
        <v>1.3279474772049937E-2</v>
      </c>
    </row>
    <row r="2255" spans="19:27" x14ac:dyDescent="0.2">
      <c r="S2255" s="1"/>
      <c r="T2255" s="109"/>
      <c r="W2255" s="130" t="str">
        <f t="shared" si="44"/>
        <v>1w</v>
      </c>
      <c r="X2255" s="128">
        <f>_xll.qlCalendarAdvance(Calendar,X2254,W2255,"f",FALSE)</f>
        <v>54946</v>
      </c>
      <c r="Y2255" s="131">
        <f>_xll.qlCalendarAdvance(Calendar,X2255,NDays&amp;"D")</f>
        <v>54948</v>
      </c>
      <c r="Z2255" s="132">
        <v>1.3261440629872943E-2</v>
      </c>
      <c r="AA2255" s="129">
        <v>1.3274199581125856E-2</v>
      </c>
    </row>
    <row r="2256" spans="19:27" x14ac:dyDescent="0.2">
      <c r="S2256" s="1"/>
      <c r="T2256" s="109"/>
      <c r="W2256" s="130" t="str">
        <f t="shared" si="44"/>
        <v>1w</v>
      </c>
      <c r="X2256" s="128">
        <f>_xll.qlCalendarAdvance(Calendar,X2255,W2256,"f",FALSE)</f>
        <v>54953</v>
      </c>
      <c r="Y2256" s="131">
        <f>_xll.qlCalendarAdvance(Calendar,X2256,NDays&amp;"D")</f>
        <v>54955</v>
      </c>
      <c r="Z2256" s="132">
        <v>1.3255993337168209E-2</v>
      </c>
      <c r="AA2256" s="129">
        <v>1.3268903869336768E-2</v>
      </c>
    </row>
    <row r="2257" spans="19:27" x14ac:dyDescent="0.2">
      <c r="S2257" s="1"/>
      <c r="T2257" s="109"/>
      <c r="W2257" s="130" t="str">
        <f t="shared" si="44"/>
        <v>1w</v>
      </c>
      <c r="X2257" s="128">
        <f>_xll.qlCalendarAdvance(Calendar,X2256,W2257,"f",FALSE)</f>
        <v>54960</v>
      </c>
      <c r="Y2257" s="131">
        <f>_xll.qlCalendarAdvance(Calendar,X2257,NDays&amp;"D")</f>
        <v>54962</v>
      </c>
      <c r="Z2257" s="132">
        <v>1.325052546235876E-2</v>
      </c>
      <c r="AA2257" s="129">
        <v>1.3263587636602736E-2</v>
      </c>
    </row>
    <row r="2258" spans="19:27" x14ac:dyDescent="0.2">
      <c r="S2258" s="1"/>
      <c r="T2258" s="109"/>
      <c r="W2258" s="130" t="str">
        <f t="shared" si="44"/>
        <v>1w</v>
      </c>
      <c r="X2258" s="128">
        <f>_xll.qlCalendarAdvance(Calendar,X2257,W2258,"f",FALSE)</f>
        <v>54967</v>
      </c>
      <c r="Y2258" s="131">
        <f>_xll.qlCalendarAdvance(Calendar,X2258,NDays&amp;"D")</f>
        <v>54969</v>
      </c>
      <c r="Z2258" s="132">
        <v>1.3245037005528874E-2</v>
      </c>
      <c r="AA2258" s="129">
        <v>1.3258250883083633E-2</v>
      </c>
    </row>
    <row r="2259" spans="19:27" x14ac:dyDescent="0.2">
      <c r="S2259" s="1"/>
      <c r="T2259" s="109"/>
      <c r="W2259" s="130" t="str">
        <f t="shared" si="44"/>
        <v>1w</v>
      </c>
      <c r="X2259" s="128">
        <f>_xll.qlCalendarAdvance(Calendar,X2258,W2259,"f",FALSE)</f>
        <v>54974</v>
      </c>
      <c r="Y2259" s="131">
        <f>_xll.qlCalendarAdvance(Calendar,X2259,NDays&amp;"D")</f>
        <v>54976</v>
      </c>
      <c r="Z2259" s="132">
        <v>1.3239527966765439E-2</v>
      </c>
      <c r="AA2259" s="129">
        <v>1.3252893608779459E-2</v>
      </c>
    </row>
    <row r="2260" spans="19:27" x14ac:dyDescent="0.2">
      <c r="S2260" s="1"/>
      <c r="T2260" s="109"/>
      <c r="W2260" s="130" t="str">
        <f t="shared" si="44"/>
        <v>1w</v>
      </c>
      <c r="X2260" s="128">
        <f>_xll.qlCalendarAdvance(Calendar,X2259,W2260,"f",FALSE)</f>
        <v>54981</v>
      </c>
      <c r="Y2260" s="131">
        <f>_xll.qlCalendarAdvance(Calendar,X2260,NDays&amp;"D")</f>
        <v>54983</v>
      </c>
      <c r="Z2260" s="132">
        <v>1.3233998346156212E-2</v>
      </c>
      <c r="AA2260" s="129">
        <v>1.3247515813530342E-2</v>
      </c>
    </row>
    <row r="2261" spans="19:27" x14ac:dyDescent="0.2">
      <c r="S2261" s="1"/>
      <c r="T2261" s="109"/>
      <c r="W2261" s="130" t="str">
        <f t="shared" ref="W2261:W2324" si="45">W2260</f>
        <v>1w</v>
      </c>
      <c r="X2261" s="128">
        <f>_xll.qlCalendarAdvance(Calendar,X2260,W2261,"f",FALSE)</f>
        <v>54988</v>
      </c>
      <c r="Y2261" s="131">
        <f>_xll.qlCalendarAdvance(Calendar,X2261,NDays&amp;"D")</f>
        <v>54990</v>
      </c>
      <c r="Z2261" s="132">
        <v>1.3228448143785472E-2</v>
      </c>
      <c r="AA2261" s="129">
        <v>1.3242117497336281E-2</v>
      </c>
    </row>
    <row r="2262" spans="19:27" x14ac:dyDescent="0.2">
      <c r="S2262" s="1"/>
      <c r="T2262" s="109"/>
      <c r="W2262" s="130" t="str">
        <f t="shared" si="45"/>
        <v>1w</v>
      </c>
      <c r="X2262" s="128">
        <f>_xll.qlCalendarAdvance(Calendar,X2261,W2262,"f",FALSE)</f>
        <v>54995</v>
      </c>
      <c r="Y2262" s="131">
        <f>_xll.qlCalendarAdvance(Calendar,X2262,NDays&amp;"D")</f>
        <v>54997</v>
      </c>
      <c r="Z2262" s="132">
        <v>1.3222877359743581E-2</v>
      </c>
      <c r="AA2262" s="129">
        <v>1.3236698660437085E-2</v>
      </c>
    </row>
    <row r="2263" spans="19:27" x14ac:dyDescent="0.2">
      <c r="S2263" s="1"/>
      <c r="T2263" s="109"/>
      <c r="W2263" s="130" t="str">
        <f t="shared" si="45"/>
        <v>1w</v>
      </c>
      <c r="X2263" s="128">
        <f>_xll.qlCalendarAdvance(Calendar,X2262,W2263,"f",FALSE)</f>
        <v>55002</v>
      </c>
      <c r="Y2263" s="131">
        <f>_xll.qlCalendarAdvance(Calendar,X2263,NDays&amp;"D")</f>
        <v>55004</v>
      </c>
      <c r="Z2263" s="132">
        <v>1.3217285994115691E-2</v>
      </c>
      <c r="AA2263" s="129">
        <v>1.3231259302592946E-2</v>
      </c>
    </row>
    <row r="2264" spans="19:27" x14ac:dyDescent="0.2">
      <c r="S2264" s="1"/>
      <c r="T2264" s="109"/>
      <c r="W2264" s="130" t="str">
        <f t="shared" si="45"/>
        <v>1w</v>
      </c>
      <c r="X2264" s="128">
        <f>_xll.qlCalendarAdvance(Calendar,X2263,W2264,"f",FALSE)</f>
        <v>55009</v>
      </c>
      <c r="Y2264" s="131">
        <f>_xll.qlCalendarAdvance(Calendar,X2264,NDays&amp;"D")</f>
        <v>55011</v>
      </c>
      <c r="Z2264" s="132">
        <v>1.3211674046991292E-2</v>
      </c>
      <c r="AA2264" s="129">
        <v>1.3225799423963736E-2</v>
      </c>
    </row>
    <row r="2265" spans="19:27" x14ac:dyDescent="0.2">
      <c r="S2265" s="1"/>
      <c r="T2265" s="109"/>
      <c r="W2265" s="130" t="str">
        <f t="shared" si="45"/>
        <v>1w</v>
      </c>
      <c r="X2265" s="128">
        <f>_xll.qlCalendarAdvance(Calendar,X2264,W2265,"f",FALSE)</f>
        <v>55016</v>
      </c>
      <c r="Y2265" s="131">
        <f>_xll.qlCalendarAdvance(Calendar,X2265,NDays&amp;"D")</f>
        <v>55018</v>
      </c>
      <c r="Z2265" s="132">
        <v>1.3206041518459014E-2</v>
      </c>
      <c r="AA2265" s="129">
        <v>1.3220319024469518E-2</v>
      </c>
    </row>
    <row r="2266" spans="19:27" x14ac:dyDescent="0.2">
      <c r="S2266" s="1"/>
      <c r="T2266" s="109"/>
      <c r="W2266" s="130" t="str">
        <f t="shared" si="45"/>
        <v>1w</v>
      </c>
      <c r="X2266" s="128">
        <f>_xll.qlCalendarAdvance(Calendar,X2265,W2266,"f",FALSE)</f>
        <v>55023</v>
      </c>
      <c r="Y2266" s="131">
        <f>_xll.qlCalendarAdvance(Calendar,X2266,NDays&amp;"D")</f>
        <v>55025</v>
      </c>
      <c r="Z2266" s="132">
        <v>1.3200388408605738E-2</v>
      </c>
      <c r="AA2266" s="129">
        <v>1.3214818104110293E-2</v>
      </c>
    </row>
    <row r="2267" spans="19:27" x14ac:dyDescent="0.2">
      <c r="S2267" s="1"/>
      <c r="T2267" s="109"/>
      <c r="W2267" s="130" t="str">
        <f t="shared" si="45"/>
        <v>1w</v>
      </c>
      <c r="X2267" s="128">
        <f>_xll.qlCalendarAdvance(Calendar,X2266,W2267,"f",FALSE)</f>
        <v>55030</v>
      </c>
      <c r="Y2267" s="131">
        <f>_xll.qlCalendarAdvance(Calendar,X2267,NDays&amp;"D")</f>
        <v>55032</v>
      </c>
      <c r="Z2267" s="132">
        <v>1.3194882320731018E-2</v>
      </c>
      <c r="AA2267" s="129">
        <v>1.3209296662965997E-2</v>
      </c>
    </row>
    <row r="2268" spans="19:27" x14ac:dyDescent="0.2">
      <c r="S2268" s="1"/>
      <c r="T2268" s="109"/>
      <c r="W2268" s="130" t="str">
        <f t="shared" si="45"/>
        <v>1w</v>
      </c>
      <c r="X2268" s="128">
        <f>_xll.qlCalendarAdvance(Calendar,X2267,W2268,"f",FALSE)</f>
        <v>55037</v>
      </c>
      <c r="Y2268" s="131">
        <f>_xll.qlCalendarAdvance(Calendar,X2268,NDays&amp;"D")</f>
        <v>55039</v>
      </c>
      <c r="Z2268" s="132">
        <v>1.3189189726837606E-2</v>
      </c>
      <c r="AA2268" s="129">
        <v>1.3203754700876758E-2</v>
      </c>
    </row>
    <row r="2269" spans="19:27" x14ac:dyDescent="0.2">
      <c r="S2269" s="1"/>
      <c r="T2269" s="109"/>
      <c r="W2269" s="130" t="str">
        <f t="shared" si="45"/>
        <v>1w</v>
      </c>
      <c r="X2269" s="128">
        <f>_xll.qlCalendarAdvance(Calendar,X2268,W2269,"f",FALSE)</f>
        <v>55044</v>
      </c>
      <c r="Y2269" s="131">
        <f>_xll.qlCalendarAdvance(Calendar,X2269,NDays&amp;"D")</f>
        <v>55046</v>
      </c>
      <c r="Z2269" s="132">
        <v>1.3183476552547906E-2</v>
      </c>
      <c r="AA2269" s="129">
        <v>1.3198192217922511E-2</v>
      </c>
    </row>
    <row r="2270" spans="19:27" x14ac:dyDescent="0.2">
      <c r="S2270" s="1"/>
      <c r="T2270" s="109"/>
      <c r="W2270" s="130" t="str">
        <f t="shared" si="45"/>
        <v>1w</v>
      </c>
      <c r="X2270" s="128">
        <f>_xll.qlCalendarAdvance(Calendar,X2269,W2270,"f",FALSE)</f>
        <v>55051</v>
      </c>
      <c r="Y2270" s="131">
        <f>_xll.qlCalendarAdvance(Calendar,X2270,NDays&amp;"D")</f>
        <v>55053</v>
      </c>
      <c r="Z2270" s="132">
        <v>1.3177742797953272E-2</v>
      </c>
      <c r="AA2270" s="129">
        <v>1.3192609214343065E-2</v>
      </c>
    </row>
    <row r="2271" spans="19:27" x14ac:dyDescent="0.2">
      <c r="S2271" s="1"/>
      <c r="T2271" s="109"/>
      <c r="W2271" s="130" t="str">
        <f t="shared" si="45"/>
        <v>1w</v>
      </c>
      <c r="X2271" s="128">
        <f>_xll.qlCalendarAdvance(Calendar,X2270,W2271,"f",FALSE)</f>
        <v>55058</v>
      </c>
      <c r="Y2271" s="131">
        <f>_xll.qlCalendarAdvance(Calendar,X2271,NDays&amp;"D")</f>
        <v>55060</v>
      </c>
      <c r="Z2271" s="132">
        <v>1.3171988463138034E-2</v>
      </c>
      <c r="AA2271" s="129">
        <v>1.318700568973874E-2</v>
      </c>
    </row>
    <row r="2272" spans="19:27" x14ac:dyDescent="0.2">
      <c r="S2272" s="1"/>
      <c r="T2272" s="109"/>
      <c r="W2272" s="130" t="str">
        <f t="shared" si="45"/>
        <v>1w</v>
      </c>
      <c r="X2272" s="128">
        <f>_xll.qlCalendarAdvance(Calendar,X2271,W2272,"f",FALSE)</f>
        <v>55065</v>
      </c>
      <c r="Y2272" s="131">
        <f>_xll.qlCalendarAdvance(Calendar,X2272,NDays&amp;"D")</f>
        <v>55067</v>
      </c>
      <c r="Z2272" s="132">
        <v>1.3166037546768122E-2</v>
      </c>
      <c r="AA2272" s="129">
        <v>1.3181381644269408E-2</v>
      </c>
    </row>
    <row r="2273" spans="19:27" x14ac:dyDescent="0.2">
      <c r="S2273" s="1"/>
      <c r="T2273" s="109"/>
      <c r="W2273" s="130" t="str">
        <f t="shared" si="45"/>
        <v>1w</v>
      </c>
      <c r="X2273" s="128">
        <f>_xll.qlCalendarAdvance(Calendar,X2272,W2273,"f",FALSE)</f>
        <v>55072</v>
      </c>
      <c r="Y2273" s="131">
        <f>_xll.qlCalendarAdvance(Calendar,X2273,NDays&amp;"D")</f>
        <v>55074</v>
      </c>
      <c r="Z2273" s="132">
        <v>1.3160240370183259E-2</v>
      </c>
      <c r="AA2273" s="129">
        <v>1.3175737078174876E-2</v>
      </c>
    </row>
    <row r="2274" spans="19:27" x14ac:dyDescent="0.2">
      <c r="S2274" s="1"/>
      <c r="T2274" s="109"/>
      <c r="W2274" s="130" t="str">
        <f t="shared" si="45"/>
        <v>1w</v>
      </c>
      <c r="X2274" s="128">
        <f>_xll.qlCalendarAdvance(Calendar,X2273,W2274,"f",FALSE)</f>
        <v>55079</v>
      </c>
      <c r="Y2274" s="131">
        <f>_xll.qlCalendarAdvance(Calendar,X2274,NDays&amp;"D")</f>
        <v>55081</v>
      </c>
      <c r="Z2274" s="132">
        <v>1.3154422612998562E-2</v>
      </c>
      <c r="AA2274" s="129">
        <v>1.3170071991135401E-2</v>
      </c>
    </row>
    <row r="2275" spans="19:27" x14ac:dyDescent="0.2">
      <c r="S2275" s="1"/>
      <c r="T2275" s="109"/>
      <c r="W2275" s="130" t="str">
        <f t="shared" si="45"/>
        <v>1w</v>
      </c>
      <c r="X2275" s="128">
        <f>_xll.qlCalendarAdvance(Calendar,X2274,W2275,"f",FALSE)</f>
        <v>55086</v>
      </c>
      <c r="Y2275" s="131">
        <f>_xll.qlCalendarAdvance(Calendar,X2275,NDays&amp;"D")</f>
        <v>55088</v>
      </c>
      <c r="Z2275" s="132">
        <v>1.3148584275304395E-2</v>
      </c>
      <c r="AA2275" s="129">
        <v>1.3164386383150983E-2</v>
      </c>
    </row>
    <row r="2276" spans="19:27" x14ac:dyDescent="0.2">
      <c r="S2276" s="1"/>
      <c r="T2276" s="109"/>
      <c r="W2276" s="130" t="str">
        <f t="shared" si="45"/>
        <v>1w</v>
      </c>
      <c r="X2276" s="128">
        <f>_xll.qlCalendarAdvance(Calendar,X2275,W2276,"f",FALSE)</f>
        <v>55093</v>
      </c>
      <c r="Y2276" s="131">
        <f>_xll.qlCalendarAdvance(Calendar,X2276,NDays&amp;"D")</f>
        <v>55095</v>
      </c>
      <c r="Z2276" s="132">
        <v>1.3142725357195465E-2</v>
      </c>
      <c r="AA2276" s="129">
        <v>1.3158680254381494E-2</v>
      </c>
    </row>
    <row r="2277" spans="19:27" x14ac:dyDescent="0.2">
      <c r="S2277" s="1"/>
      <c r="T2277" s="109"/>
      <c r="W2277" s="130" t="str">
        <f t="shared" si="45"/>
        <v>1w</v>
      </c>
      <c r="X2277" s="128">
        <f>_xll.qlCalendarAdvance(Calendar,X2276,W2277,"f",FALSE)</f>
        <v>55100</v>
      </c>
      <c r="Y2277" s="131">
        <f>_xll.qlCalendarAdvance(Calendar,X2277,NDays&amp;"D")</f>
        <v>55102</v>
      </c>
      <c r="Z2277" s="132">
        <v>1.3136845858761265E-2</v>
      </c>
      <c r="AA2277" s="129">
        <v>1.3152953604746997E-2</v>
      </c>
    </row>
    <row r="2278" spans="19:27" x14ac:dyDescent="0.2">
      <c r="S2278" s="1"/>
      <c r="T2278" s="109"/>
      <c r="W2278" s="130" t="str">
        <f t="shared" si="45"/>
        <v>1w</v>
      </c>
      <c r="X2278" s="128">
        <f>_xll.qlCalendarAdvance(Calendar,X2277,W2278,"f",FALSE)</f>
        <v>55107</v>
      </c>
      <c r="Y2278" s="131">
        <f>_xll.qlCalendarAdvance(Calendar,X2278,NDays&amp;"D")</f>
        <v>55109</v>
      </c>
      <c r="Z2278" s="132">
        <v>1.3130945780096501E-2</v>
      </c>
      <c r="AA2278" s="129">
        <v>1.314720643432743E-2</v>
      </c>
    </row>
    <row r="2279" spans="19:27" x14ac:dyDescent="0.2">
      <c r="S2279" s="1"/>
      <c r="T2279" s="109"/>
      <c r="W2279" s="130" t="str">
        <f t="shared" si="45"/>
        <v>1w</v>
      </c>
      <c r="X2279" s="128">
        <f>_xll.qlCalendarAdvance(Calendar,X2278,W2279,"f",FALSE)</f>
        <v>55114</v>
      </c>
      <c r="Y2279" s="131">
        <f>_xll.qlCalendarAdvance(Calendar,X2279,NDays&amp;"D")</f>
        <v>55116</v>
      </c>
      <c r="Z2279" s="132">
        <v>1.3125025121292405E-2</v>
      </c>
      <c r="AA2279" s="129">
        <v>1.3141438743122791E-2</v>
      </c>
    </row>
    <row r="2280" spans="19:27" x14ac:dyDescent="0.2">
      <c r="S2280" s="1"/>
      <c r="T2280" s="109"/>
      <c r="W2280" s="130" t="str">
        <f t="shared" si="45"/>
        <v>1w</v>
      </c>
      <c r="X2280" s="128">
        <f>_xll.qlCalendarAdvance(Calendar,X2279,W2280,"f",FALSE)</f>
        <v>55121</v>
      </c>
      <c r="Y2280" s="131">
        <f>_xll.qlCalendarAdvance(Calendar,X2280,NDays&amp;"D")</f>
        <v>55123</v>
      </c>
      <c r="Z2280" s="132">
        <v>1.311946266195374E-2</v>
      </c>
      <c r="AA2280" s="129">
        <v>1.3135650531053145E-2</v>
      </c>
    </row>
    <row r="2281" spans="19:27" x14ac:dyDescent="0.2">
      <c r="S2281" s="1"/>
      <c r="T2281" s="109"/>
      <c r="W2281" s="130" t="str">
        <f t="shared" si="45"/>
        <v>1w</v>
      </c>
      <c r="X2281" s="128">
        <f>_xll.qlCalendarAdvance(Calendar,X2280,W2281,"f",FALSE)</f>
        <v>55128</v>
      </c>
      <c r="Y2281" s="131">
        <f>_xll.qlCalendarAdvance(Calendar,X2281,NDays&amp;"D")</f>
        <v>55130</v>
      </c>
      <c r="Z2281" s="132">
        <v>1.3113504216622829E-2</v>
      </c>
      <c r="AA2281" s="129">
        <v>1.3129841798118491E-2</v>
      </c>
    </row>
    <row r="2282" spans="19:27" x14ac:dyDescent="0.2">
      <c r="S2282" s="1"/>
      <c r="T2282" s="109"/>
      <c r="W2282" s="130" t="str">
        <f t="shared" si="45"/>
        <v>1w</v>
      </c>
      <c r="X2282" s="128">
        <f>_xll.qlCalendarAdvance(Calendar,X2281,W2282,"f",FALSE)</f>
        <v>55135</v>
      </c>
      <c r="Y2282" s="131">
        <f>_xll.qlCalendarAdvance(Calendar,X2282,NDays&amp;"D")</f>
        <v>55137</v>
      </c>
      <c r="Z2282" s="132">
        <v>1.3107525192720182E-2</v>
      </c>
      <c r="AA2282" s="129">
        <v>1.3124012544398767E-2</v>
      </c>
    </row>
    <row r="2283" spans="19:27" x14ac:dyDescent="0.2">
      <c r="S2283" s="1"/>
      <c r="T2283" s="109"/>
      <c r="W2283" s="130" t="str">
        <f t="shared" si="45"/>
        <v>1w</v>
      </c>
      <c r="X2283" s="128">
        <f>_xll.qlCalendarAdvance(Calendar,X2282,W2283,"f",FALSE)</f>
        <v>55142</v>
      </c>
      <c r="Y2283" s="131">
        <f>_xll.qlCalendarAdvance(Calendar,X2283,NDays&amp;"D")</f>
        <v>55144</v>
      </c>
      <c r="Z2283" s="132">
        <v>1.3101525590336394E-2</v>
      </c>
      <c r="AA2283" s="129">
        <v>1.3118162769734099E-2</v>
      </c>
    </row>
    <row r="2284" spans="19:27" x14ac:dyDescent="0.2">
      <c r="S2284" s="1"/>
      <c r="T2284" s="109"/>
      <c r="W2284" s="130" t="str">
        <f t="shared" si="45"/>
        <v>1w</v>
      </c>
      <c r="X2284" s="128">
        <f>_xll.qlCalendarAdvance(Calendar,X2283,W2284,"f",FALSE)</f>
        <v>55149</v>
      </c>
      <c r="Y2284" s="131">
        <f>_xll.qlCalendarAdvance(Calendar,X2284,NDays&amp;"D")</f>
        <v>55151</v>
      </c>
      <c r="Z2284" s="132">
        <v>1.3095505409565611E-2</v>
      </c>
      <c r="AA2284" s="129">
        <v>1.3112292474364295E-2</v>
      </c>
    </row>
    <row r="2285" spans="19:27" x14ac:dyDescent="0.2">
      <c r="S2285" s="1"/>
      <c r="T2285" s="109"/>
      <c r="W2285" s="130" t="str">
        <f t="shared" si="45"/>
        <v>1w</v>
      </c>
      <c r="X2285" s="128">
        <f>_xll.qlCalendarAdvance(Calendar,X2284,W2285,"f",FALSE)</f>
        <v>55156</v>
      </c>
      <c r="Y2285" s="131">
        <f>_xll.qlCalendarAdvance(Calendar,X2285,NDays&amp;"D")</f>
        <v>55158</v>
      </c>
      <c r="Z2285" s="132">
        <v>1.308946465049754E-2</v>
      </c>
      <c r="AA2285" s="129">
        <v>1.3106401658049549E-2</v>
      </c>
    </row>
    <row r="2286" spans="19:27" x14ac:dyDescent="0.2">
      <c r="S2286" s="1"/>
      <c r="T2286" s="109"/>
      <c r="W2286" s="130" t="str">
        <f t="shared" si="45"/>
        <v>1w</v>
      </c>
      <c r="X2286" s="128">
        <f>_xll.qlCalendarAdvance(Calendar,X2285,W2286,"f",FALSE)</f>
        <v>55163</v>
      </c>
      <c r="Y2286" s="131">
        <f>_xll.qlCalendarAdvance(Calendar,X2286,NDays&amp;"D")</f>
        <v>55165</v>
      </c>
      <c r="Z2286" s="132">
        <v>1.3083403313228104E-2</v>
      </c>
      <c r="AA2286" s="129">
        <v>1.3100490320949731E-2</v>
      </c>
    </row>
    <row r="2287" spans="19:27" x14ac:dyDescent="0.2">
      <c r="S2287" s="1"/>
      <c r="T2287" s="109"/>
      <c r="W2287" s="130" t="str">
        <f t="shared" si="45"/>
        <v>1w</v>
      </c>
      <c r="X2287" s="128">
        <f>_xll.qlCalendarAdvance(Calendar,X2286,W2287,"f",FALSE)</f>
        <v>55170</v>
      </c>
      <c r="Y2287" s="131">
        <f>_xll.qlCalendarAdvance(Calendar,X2287,NDays&amp;"D")</f>
        <v>55172</v>
      </c>
      <c r="Z2287" s="132">
        <v>1.3077321397849673E-2</v>
      </c>
      <c r="AA2287" s="129">
        <v>1.3094558463144779E-2</v>
      </c>
    </row>
    <row r="2288" spans="19:27" x14ac:dyDescent="0.2">
      <c r="S2288" s="1"/>
      <c r="T2288" s="109"/>
      <c r="W2288" s="130" t="str">
        <f t="shared" si="45"/>
        <v>1w</v>
      </c>
      <c r="X2288" s="128">
        <f>_xll.qlCalendarAdvance(Calendar,X2287,W2288,"f",FALSE)</f>
        <v>55177</v>
      </c>
      <c r="Y2288" s="131">
        <f>_xll.qlCalendarAdvance(Calendar,X2288,NDays&amp;"D")</f>
        <v>55179</v>
      </c>
      <c r="Z2288" s="132">
        <v>1.3071218904456394E-2</v>
      </c>
      <c r="AA2288" s="129">
        <v>1.3088606084394883E-2</v>
      </c>
    </row>
    <row r="2289" spans="19:27" x14ac:dyDescent="0.2">
      <c r="S2289" s="1"/>
      <c r="T2289" s="109"/>
      <c r="W2289" s="130" t="str">
        <f t="shared" si="45"/>
        <v>1w</v>
      </c>
      <c r="X2289" s="128">
        <f>_xll.qlCalendarAdvance(Calendar,X2288,W2289,"f",FALSE)</f>
        <v>55184</v>
      </c>
      <c r="Y2289" s="131">
        <f>_xll.qlCalendarAdvance(Calendar,X2289,NDays&amp;"D")</f>
        <v>55186</v>
      </c>
      <c r="Z2289" s="132">
        <v>1.3065300177189865E-2</v>
      </c>
      <c r="AA2289" s="129">
        <v>1.3082633184859915E-2</v>
      </c>
    </row>
    <row r="2290" spans="19:27" x14ac:dyDescent="0.2">
      <c r="S2290" s="1"/>
      <c r="T2290" s="109"/>
      <c r="W2290" s="130" t="str">
        <f t="shared" si="45"/>
        <v>1w</v>
      </c>
      <c r="X2290" s="128">
        <f>_xll.qlCalendarAdvance(Calendar,X2289,W2290,"f",FALSE)</f>
        <v>55191</v>
      </c>
      <c r="Y2290" s="131">
        <f>_xll.qlCalendarAdvance(Calendar,X2290,NDays&amp;"D")</f>
        <v>55193</v>
      </c>
      <c r="Z2290" s="132">
        <v>1.3059158220381549E-2</v>
      </c>
      <c r="AA2290" s="129">
        <v>1.3076639764459941E-2</v>
      </c>
    </row>
    <row r="2291" spans="19:27" x14ac:dyDescent="0.2">
      <c r="S2291" s="1"/>
      <c r="T2291" s="109"/>
      <c r="W2291" s="130" t="str">
        <f t="shared" si="45"/>
        <v>1w</v>
      </c>
      <c r="X2291" s="128">
        <f>_xll.qlCalendarAdvance(Calendar,X2290,W2291,"f",FALSE)</f>
        <v>55198</v>
      </c>
      <c r="Y2291" s="131">
        <f>_xll.qlCalendarAdvance(Calendar,X2291,NDays&amp;"D")</f>
        <v>55200</v>
      </c>
      <c r="Z2291" s="132">
        <v>1.3052995686475454E-2</v>
      </c>
      <c r="AA2291" s="129">
        <v>1.3070625823274895E-2</v>
      </c>
    </row>
    <row r="2292" spans="19:27" x14ac:dyDescent="0.2">
      <c r="S2292" s="1"/>
      <c r="T2292" s="109"/>
      <c r="W2292" s="130" t="str">
        <f t="shared" si="45"/>
        <v>1w</v>
      </c>
      <c r="X2292" s="128">
        <f>_xll.qlCalendarAdvance(Calendar,X2291,W2292,"f",FALSE)</f>
        <v>55205</v>
      </c>
      <c r="Y2292" s="131">
        <f>_xll.qlCalendarAdvance(Calendar,X2292,NDays&amp;"D")</f>
        <v>55207</v>
      </c>
      <c r="Z2292" s="132">
        <v>1.3046812575564091E-2</v>
      </c>
      <c r="AA2292" s="129">
        <v>1.3064591361304778E-2</v>
      </c>
    </row>
    <row r="2293" spans="19:27" x14ac:dyDescent="0.2">
      <c r="S2293" s="1"/>
      <c r="T2293" s="109"/>
      <c r="W2293" s="130" t="str">
        <f t="shared" si="45"/>
        <v>1w</v>
      </c>
      <c r="X2293" s="128">
        <f>_xll.qlCalendarAdvance(Calendar,X2292,W2293,"f",FALSE)</f>
        <v>55212</v>
      </c>
      <c r="Y2293" s="131">
        <f>_xll.qlCalendarAdvance(Calendar,X2293,NDays&amp;"D")</f>
        <v>55214</v>
      </c>
      <c r="Z2293" s="132">
        <v>1.3039975036202989E-2</v>
      </c>
      <c r="AA2293" s="129">
        <v>1.3058536378389718E-2</v>
      </c>
    </row>
    <row r="2294" spans="19:27" x14ac:dyDescent="0.2">
      <c r="S2294" s="1"/>
      <c r="T2294" s="109"/>
      <c r="W2294" s="130" t="str">
        <f t="shared" si="45"/>
        <v>1w</v>
      </c>
      <c r="X2294" s="128">
        <f>_xll.qlCalendarAdvance(Calendar,X2293,W2294,"f",FALSE)</f>
        <v>55219</v>
      </c>
      <c r="Y2294" s="131">
        <f>_xll.qlCalendarAdvance(Calendar,X2294,NDays&amp;"D")</f>
        <v>55221</v>
      </c>
      <c r="Z2294" s="132">
        <v>1.3033745686673738E-2</v>
      </c>
      <c r="AA2294" s="129">
        <v>1.3052460874769523E-2</v>
      </c>
    </row>
    <row r="2295" spans="19:27" x14ac:dyDescent="0.2">
      <c r="S2295" s="1"/>
      <c r="T2295" s="109"/>
      <c r="W2295" s="130" t="str">
        <f t="shared" si="45"/>
        <v>1w</v>
      </c>
      <c r="X2295" s="128">
        <f>_xll.qlCalendarAdvance(Calendar,X2294,W2295,"f",FALSE)</f>
        <v>55226</v>
      </c>
      <c r="Y2295" s="131">
        <f>_xll.qlCalendarAdvance(Calendar,X2295,NDays&amp;"D")</f>
        <v>55228</v>
      </c>
      <c r="Z2295" s="132">
        <v>1.3027495758534367E-2</v>
      </c>
      <c r="AA2295" s="129">
        <v>1.304636485028432E-2</v>
      </c>
    </row>
    <row r="2296" spans="19:27" x14ac:dyDescent="0.2">
      <c r="S2296" s="1"/>
      <c r="T2296" s="109"/>
      <c r="W2296" s="130" t="str">
        <f t="shared" si="45"/>
        <v>1w</v>
      </c>
      <c r="X2296" s="128">
        <f>_xll.qlCalendarAdvance(Calendar,X2295,W2296,"f",FALSE)</f>
        <v>55233</v>
      </c>
      <c r="Y2296" s="131">
        <f>_xll.qlCalendarAdvance(Calendar,X2296,NDays&amp;"D")</f>
        <v>55235</v>
      </c>
      <c r="Z2296" s="132">
        <v>1.3021225251883926E-2</v>
      </c>
      <c r="AA2296" s="129">
        <v>1.3040248305014046E-2</v>
      </c>
    </row>
    <row r="2297" spans="19:27" x14ac:dyDescent="0.2">
      <c r="S2297" s="1"/>
      <c r="T2297" s="109"/>
      <c r="W2297" s="130" t="str">
        <f t="shared" si="45"/>
        <v>1w</v>
      </c>
      <c r="X2297" s="128">
        <f>_xll.qlCalendarAdvance(Calendar,X2296,W2297,"f",FALSE)</f>
        <v>55240</v>
      </c>
      <c r="Y2297" s="131">
        <f>_xll.qlCalendarAdvance(Calendar,X2297,NDays&amp;"D")</f>
        <v>55242</v>
      </c>
      <c r="Z2297" s="132">
        <v>1.30149341668206E-2</v>
      </c>
      <c r="AA2297" s="129">
        <v>1.3033297205701899E-2</v>
      </c>
    </row>
    <row r="2298" spans="19:27" x14ac:dyDescent="0.2">
      <c r="S2298" s="1"/>
      <c r="T2298" s="109"/>
      <c r="W2298" s="130" t="str">
        <f t="shared" si="45"/>
        <v>1w</v>
      </c>
      <c r="X2298" s="128">
        <f>_xll.qlCalendarAdvance(Calendar,X2297,W2298,"f",FALSE)</f>
        <v>55247</v>
      </c>
      <c r="Y2298" s="131">
        <f>_xll.qlCalendarAdvance(Calendar,X2298,NDays&amp;"D")</f>
        <v>55249</v>
      </c>
      <c r="Z2298" s="132">
        <v>1.3008842435534513E-2</v>
      </c>
      <c r="AA2298" s="129">
        <v>1.3027953652038349E-2</v>
      </c>
    </row>
    <row r="2299" spans="19:27" x14ac:dyDescent="0.2">
      <c r="S2299" s="1"/>
      <c r="T2299" s="109"/>
      <c r="W2299" s="130" t="str">
        <f t="shared" si="45"/>
        <v>1w</v>
      </c>
      <c r="X2299" s="128">
        <f>_xll.qlCalendarAdvance(Calendar,X2298,W2299,"f",FALSE)</f>
        <v>55254</v>
      </c>
      <c r="Y2299" s="131">
        <f>_xll.qlCalendarAdvance(Calendar,X2299,NDays&amp;"D")</f>
        <v>55256</v>
      </c>
      <c r="Z2299" s="132">
        <v>1.3002511892137768E-2</v>
      </c>
      <c r="AA2299" s="129">
        <v>1.3021775544252989E-2</v>
      </c>
    </row>
    <row r="2300" spans="19:27" x14ac:dyDescent="0.2">
      <c r="S2300" s="1"/>
      <c r="T2300" s="109"/>
      <c r="W2300" s="130" t="str">
        <f t="shared" si="45"/>
        <v>1w</v>
      </c>
      <c r="X2300" s="128">
        <f>_xll.qlCalendarAdvance(Calendar,X2299,W2300,"f",FALSE)</f>
        <v>55261</v>
      </c>
      <c r="Y2300" s="131">
        <f>_xll.qlCalendarAdvance(Calendar,X2300,NDays&amp;"D")</f>
        <v>55263</v>
      </c>
      <c r="Z2300" s="132">
        <v>1.2996160771249663E-2</v>
      </c>
      <c r="AA2300" s="129">
        <v>1.3015576915762495E-2</v>
      </c>
    </row>
    <row r="2301" spans="19:27" x14ac:dyDescent="0.2">
      <c r="S2301" s="1"/>
      <c r="T2301" s="109"/>
      <c r="W2301" s="130" t="str">
        <f t="shared" si="45"/>
        <v>1w</v>
      </c>
      <c r="X2301" s="128">
        <f>_xll.qlCalendarAdvance(Calendar,X2300,W2301,"f",FALSE)</f>
        <v>55268</v>
      </c>
      <c r="Y2301" s="131">
        <f>_xll.qlCalendarAdvance(Calendar,X2301,NDays&amp;"D")</f>
        <v>55270</v>
      </c>
      <c r="Z2301" s="132">
        <v>1.2989789072968581E-2</v>
      </c>
      <c r="AA2301" s="129">
        <v>1.3009357766327057E-2</v>
      </c>
    </row>
    <row r="2302" spans="19:27" x14ac:dyDescent="0.2">
      <c r="S2302" s="1"/>
      <c r="T2302" s="109"/>
      <c r="W2302" s="130" t="str">
        <f t="shared" si="45"/>
        <v>1w</v>
      </c>
      <c r="X2302" s="128">
        <f>_xll.qlCalendarAdvance(Calendar,X2301,W2302,"f",FALSE)</f>
        <v>55275</v>
      </c>
      <c r="Y2302" s="131">
        <f>_xll.qlCalendarAdvance(Calendar,X2302,NDays&amp;"D")</f>
        <v>55277</v>
      </c>
      <c r="Z2302" s="132">
        <v>1.2983170068781798E-2</v>
      </c>
      <c r="AA2302" s="129">
        <v>1.3003118096186483E-2</v>
      </c>
    </row>
    <row r="2303" spans="19:27" x14ac:dyDescent="0.2">
      <c r="S2303" s="1"/>
      <c r="T2303" s="109"/>
      <c r="W2303" s="130" t="str">
        <f t="shared" si="45"/>
        <v>1w</v>
      </c>
      <c r="X2303" s="128">
        <f>_xll.qlCalendarAdvance(Calendar,X2302,W2303,"f",FALSE)</f>
        <v>55282</v>
      </c>
      <c r="Y2303" s="131">
        <f>_xll.qlCalendarAdvance(Calendar,X2303,NDays&amp;"D")</f>
        <v>55284</v>
      </c>
      <c r="Z2303" s="132">
        <v>1.2976755515330783E-2</v>
      </c>
      <c r="AA2303" s="129">
        <v>1.2996857905340775E-2</v>
      </c>
    </row>
    <row r="2304" spans="19:27" x14ac:dyDescent="0.2">
      <c r="S2304" s="1"/>
      <c r="T2304" s="109"/>
      <c r="W2304" s="130" t="str">
        <f t="shared" si="45"/>
        <v>1w</v>
      </c>
      <c r="X2304" s="128">
        <f>_xll.qlCalendarAdvance(Calendar,X2303,W2304,"f",FALSE)</f>
        <v>55289</v>
      </c>
      <c r="Y2304" s="131">
        <f>_xll.qlCalendarAdvance(Calendar,X2304,NDays&amp;"D")</f>
        <v>55291</v>
      </c>
      <c r="Z2304" s="132">
        <v>1.2970320384164584E-2</v>
      </c>
      <c r="AA2304" s="129">
        <v>1.2990577193470187E-2</v>
      </c>
    </row>
    <row r="2305" spans="19:27" x14ac:dyDescent="0.2">
      <c r="S2305" s="1"/>
      <c r="T2305" s="109"/>
      <c r="W2305" s="130" t="str">
        <f t="shared" si="45"/>
        <v>1w</v>
      </c>
      <c r="X2305" s="128">
        <f>_xll.qlCalendarAdvance(Calendar,X2304,W2305,"f",FALSE)</f>
        <v>55296</v>
      </c>
      <c r="Y2305" s="131">
        <f>_xll.qlCalendarAdvance(Calendar,X2305,NDays&amp;"D")</f>
        <v>55298</v>
      </c>
      <c r="Z2305" s="132">
        <v>1.2963864675386596E-2</v>
      </c>
      <c r="AA2305" s="129">
        <v>1.2984275960814529E-2</v>
      </c>
    </row>
    <row r="2306" spans="19:27" x14ac:dyDescent="0.2">
      <c r="S2306" s="1"/>
      <c r="T2306" s="109"/>
      <c r="W2306" s="130" t="str">
        <f t="shared" si="45"/>
        <v>1w</v>
      </c>
      <c r="X2306" s="128">
        <f>_xll.qlCalendarAdvance(Calendar,X2305,W2306,"f",FALSE)</f>
        <v>55303</v>
      </c>
      <c r="Y2306" s="131">
        <f>_xll.qlCalendarAdvance(Calendar,X2306,NDays&amp;"D")</f>
        <v>55305</v>
      </c>
      <c r="Z2306" s="132">
        <v>1.2957388389099347E-2</v>
      </c>
      <c r="AA2306" s="129">
        <v>1.2977954207453735E-2</v>
      </c>
    </row>
    <row r="2307" spans="19:27" x14ac:dyDescent="0.2">
      <c r="S2307" s="1"/>
      <c r="T2307" s="109"/>
      <c r="W2307" s="130" t="str">
        <f t="shared" si="45"/>
        <v>1w</v>
      </c>
      <c r="X2307" s="128">
        <f>_xll.qlCalendarAdvance(Calendar,X2306,W2307,"f",FALSE)</f>
        <v>55310</v>
      </c>
      <c r="Y2307" s="131">
        <f>_xll.qlCalendarAdvance(Calendar,X2307,NDays&amp;"D")</f>
        <v>55312</v>
      </c>
      <c r="Z2307" s="132">
        <v>1.2950891525401888E-2</v>
      </c>
      <c r="AA2307" s="129">
        <v>1.2971611933227933E-2</v>
      </c>
    </row>
    <row r="2308" spans="19:27" x14ac:dyDescent="0.2">
      <c r="S2308" s="1"/>
      <c r="T2308" s="109"/>
      <c r="W2308" s="130" t="str">
        <f t="shared" si="45"/>
        <v>1w</v>
      </c>
      <c r="X2308" s="128">
        <f>_xll.qlCalendarAdvance(Calendar,X2307,W2308,"f",FALSE)</f>
        <v>55317</v>
      </c>
      <c r="Y2308" s="131">
        <f>_xll.qlCalendarAdvance(Calendar,X2308,NDays&amp;"D")</f>
        <v>55319</v>
      </c>
      <c r="Z2308" s="132">
        <v>1.2944374084397614E-2</v>
      </c>
      <c r="AA2308" s="129">
        <v>1.2965249138217061E-2</v>
      </c>
    </row>
    <row r="2309" spans="19:27" x14ac:dyDescent="0.2">
      <c r="S2309" s="1"/>
      <c r="T2309" s="109"/>
      <c r="W2309" s="130" t="str">
        <f t="shared" si="45"/>
        <v>1w</v>
      </c>
      <c r="X2309" s="128">
        <f>_xll.qlCalendarAdvance(Calendar,X2308,W2309,"f",FALSE)</f>
        <v>55324</v>
      </c>
      <c r="Y2309" s="131">
        <f>_xll.qlCalendarAdvance(Calendar,X2309,NDays&amp;"D")</f>
        <v>55326</v>
      </c>
      <c r="Z2309" s="132">
        <v>1.2937836066189919E-2</v>
      </c>
      <c r="AA2309" s="129">
        <v>1.2958865822421117E-2</v>
      </c>
    </row>
    <row r="2310" spans="19:27" x14ac:dyDescent="0.2">
      <c r="S2310" s="1"/>
      <c r="T2310" s="109"/>
      <c r="W2310" s="130" t="str">
        <f t="shared" si="45"/>
        <v>1w</v>
      </c>
      <c r="X2310" s="128">
        <f>_xll.qlCalendarAdvance(Calendar,X2309,W2310,"f",FALSE)</f>
        <v>55331</v>
      </c>
      <c r="Y2310" s="131">
        <f>_xll.qlCalendarAdvance(Calendar,X2310,NDays&amp;"D")</f>
        <v>55333</v>
      </c>
      <c r="Z2310" s="132">
        <v>1.2931277470881332E-2</v>
      </c>
      <c r="AA2310" s="129">
        <v>1.2952461985840102E-2</v>
      </c>
    </row>
    <row r="2311" spans="19:27" x14ac:dyDescent="0.2">
      <c r="S2311" s="1"/>
      <c r="T2311" s="109"/>
      <c r="W2311" s="130" t="str">
        <f t="shared" si="45"/>
        <v>1w</v>
      </c>
      <c r="X2311" s="128">
        <f>_xll.qlCalendarAdvance(Calendar,X2310,W2311,"f",FALSE)</f>
        <v>55338</v>
      </c>
      <c r="Y2311" s="131">
        <f>_xll.qlCalendarAdvance(Calendar,X2311,NDays&amp;"D")</f>
        <v>55340</v>
      </c>
      <c r="Z2311" s="132">
        <v>1.2924698298574379E-2</v>
      </c>
      <c r="AA2311" s="129">
        <v>1.294603762839408E-2</v>
      </c>
    </row>
    <row r="2312" spans="19:27" x14ac:dyDescent="0.2">
      <c r="S2312" s="1"/>
      <c r="T2312" s="109"/>
      <c r="W2312" s="130" t="str">
        <f t="shared" si="45"/>
        <v>1w</v>
      </c>
      <c r="X2312" s="128">
        <f>_xll.qlCalendarAdvance(Calendar,X2311,W2312,"f",FALSE)</f>
        <v>55345</v>
      </c>
      <c r="Y2312" s="131">
        <f>_xll.qlCalendarAdvance(Calendar,X2312,NDays&amp;"D")</f>
        <v>55347</v>
      </c>
      <c r="Z2312" s="132">
        <v>1.2918098549372455E-2</v>
      </c>
      <c r="AA2312" s="129">
        <v>1.2939592750083051E-2</v>
      </c>
    </row>
    <row r="2313" spans="19:27" x14ac:dyDescent="0.2">
      <c r="S2313" s="1"/>
      <c r="T2313" s="109"/>
      <c r="W2313" s="130" t="str">
        <f t="shared" si="45"/>
        <v>1w</v>
      </c>
      <c r="X2313" s="128">
        <f>_xll.qlCalendarAdvance(Calendar,X2312,W2313,"f",FALSE)</f>
        <v>55352</v>
      </c>
      <c r="Y2313" s="131">
        <f>_xll.qlCalendarAdvance(Calendar,X2313,NDays&amp;"D")</f>
        <v>55354</v>
      </c>
      <c r="Z2313" s="132">
        <v>1.2911478223379826E-2</v>
      </c>
      <c r="AA2313" s="129">
        <v>1.2933127351226759E-2</v>
      </c>
    </row>
    <row r="2314" spans="19:27" x14ac:dyDescent="0.2">
      <c r="S2314" s="1"/>
      <c r="T2314" s="109"/>
      <c r="W2314" s="130" t="str">
        <f t="shared" si="45"/>
        <v>1w</v>
      </c>
      <c r="X2314" s="128">
        <f>_xll.qlCalendarAdvance(Calendar,X2313,W2314,"f",FALSE)</f>
        <v>55359</v>
      </c>
      <c r="Y2314" s="131">
        <f>_xll.qlCalendarAdvance(Calendar,X2314,NDays&amp;"D")</f>
        <v>55361</v>
      </c>
      <c r="Z2314" s="132">
        <v>1.2904837320699886E-2</v>
      </c>
      <c r="AA2314" s="129">
        <v>1.2926641431265651E-2</v>
      </c>
    </row>
    <row r="2315" spans="19:27" x14ac:dyDescent="0.2">
      <c r="S2315" s="1"/>
      <c r="T2315" s="109"/>
      <c r="W2315" s="130" t="str">
        <f t="shared" si="45"/>
        <v>1w</v>
      </c>
      <c r="X2315" s="128">
        <f>_xll.qlCalendarAdvance(Calendar,X2314,W2315,"f",FALSE)</f>
        <v>55366</v>
      </c>
      <c r="Y2315" s="131">
        <f>_xll.qlCalendarAdvance(Calendar,X2315,NDays&amp;"D")</f>
        <v>55368</v>
      </c>
      <c r="Z2315" s="132">
        <v>1.2898175841438637E-2</v>
      </c>
      <c r="AA2315" s="129">
        <v>1.2920134990679344E-2</v>
      </c>
    </row>
    <row r="2316" spans="19:27" x14ac:dyDescent="0.2">
      <c r="S2316" s="1"/>
      <c r="T2316" s="109"/>
      <c r="W2316" s="130" t="str">
        <f t="shared" si="45"/>
        <v>1w</v>
      </c>
      <c r="X2316" s="128">
        <f>_xll.qlCalendarAdvance(Calendar,X2315,W2316,"f",FALSE)</f>
        <v>55373</v>
      </c>
      <c r="Y2316" s="131">
        <f>_xll.qlCalendarAdvance(Calendar,X2316,NDays&amp;"D")</f>
        <v>55375</v>
      </c>
      <c r="Z2316" s="132">
        <v>1.2891493785699475E-2</v>
      </c>
      <c r="AA2316" s="129">
        <v>1.2913608029307966E-2</v>
      </c>
    </row>
    <row r="2317" spans="19:27" x14ac:dyDescent="0.2">
      <c r="S2317" s="1"/>
      <c r="T2317" s="109"/>
      <c r="W2317" s="130" t="str">
        <f t="shared" si="45"/>
        <v>1w</v>
      </c>
      <c r="X2317" s="128">
        <f>_xll.qlCalendarAdvance(Calendar,X2316,W2317,"f",FALSE)</f>
        <v>55380</v>
      </c>
      <c r="Y2317" s="131">
        <f>_xll.qlCalendarAdvance(Calendar,X2317,NDays&amp;"D")</f>
        <v>55382</v>
      </c>
      <c r="Z2317" s="132">
        <v>1.2884791153588404E-2</v>
      </c>
      <c r="AA2317" s="129">
        <v>1.290706054707158E-2</v>
      </c>
    </row>
    <row r="2318" spans="19:27" x14ac:dyDescent="0.2">
      <c r="S2318" s="1"/>
      <c r="T2318" s="109"/>
      <c r="W2318" s="130" t="str">
        <f t="shared" si="45"/>
        <v>1w</v>
      </c>
      <c r="X2318" s="128">
        <f>_xll.qlCalendarAdvance(Calendar,X2317,W2318,"f",FALSE)</f>
        <v>55387</v>
      </c>
      <c r="Y2318" s="131">
        <f>_xll.qlCalendarAdvance(Calendar,X2318,NDays&amp;"D")</f>
        <v>55389</v>
      </c>
      <c r="Z2318" s="132">
        <v>1.2878067945210554E-2</v>
      </c>
      <c r="AA2318" s="129">
        <v>1.290049254413006E-2</v>
      </c>
    </row>
    <row r="2319" spans="19:27" x14ac:dyDescent="0.2">
      <c r="S2319" s="1"/>
      <c r="T2319" s="109"/>
      <c r="W2319" s="130" t="str">
        <f t="shared" si="45"/>
        <v>1w</v>
      </c>
      <c r="X2319" s="128">
        <f>_xll.qlCalendarAdvance(Calendar,X2318,W2319,"f",FALSE)</f>
        <v>55394</v>
      </c>
      <c r="Y2319" s="131">
        <f>_xll.qlCalendarAdvance(Calendar,X2319,NDays&amp;"D")</f>
        <v>55396</v>
      </c>
      <c r="Z2319" s="132">
        <v>1.2871579884318257E-2</v>
      </c>
      <c r="AA2319" s="129">
        <v>1.2893904020243596E-2</v>
      </c>
    </row>
    <row r="2320" spans="19:27" x14ac:dyDescent="0.2">
      <c r="S2320" s="1"/>
      <c r="T2320" s="109"/>
      <c r="W2320" s="130" t="str">
        <f t="shared" si="45"/>
        <v>1w</v>
      </c>
      <c r="X2320" s="128">
        <f>_xll.qlCalendarAdvance(Calendar,X2319,W2320,"f",FALSE)</f>
        <v>55401</v>
      </c>
      <c r="Y2320" s="131">
        <f>_xll.qlCalendarAdvance(Calendar,X2320,NDays&amp;"D")</f>
        <v>55403</v>
      </c>
      <c r="Z2320" s="132">
        <v>1.286481723477724E-2</v>
      </c>
      <c r="AA2320" s="129">
        <v>1.2887294975811869E-2</v>
      </c>
    </row>
    <row r="2321" spans="19:27" x14ac:dyDescent="0.2">
      <c r="S2321" s="1"/>
      <c r="T2321" s="109"/>
      <c r="W2321" s="130" t="str">
        <f t="shared" si="45"/>
        <v>1w</v>
      </c>
      <c r="X2321" s="128">
        <f>_xll.qlCalendarAdvance(Calendar,X2320,W2321,"f",FALSE)</f>
        <v>55408</v>
      </c>
      <c r="Y2321" s="131">
        <f>_xll.qlCalendarAdvance(Calendar,X2321,NDays&amp;"D")</f>
        <v>55410</v>
      </c>
      <c r="Z2321" s="132">
        <v>1.2858034009884689E-2</v>
      </c>
      <c r="AA2321" s="129">
        <v>1.2880665410355263E-2</v>
      </c>
    </row>
    <row r="2322" spans="19:27" x14ac:dyDescent="0.2">
      <c r="S2322" s="1"/>
      <c r="T2322" s="109"/>
      <c r="W2322" s="130" t="str">
        <f t="shared" si="45"/>
        <v>1w</v>
      </c>
      <c r="X2322" s="128">
        <f>_xll.qlCalendarAdvance(Calendar,X2321,W2322,"f",FALSE)</f>
        <v>55415</v>
      </c>
      <c r="Y2322" s="131">
        <f>_xll.qlCalendarAdvance(Calendar,X2322,NDays&amp;"D")</f>
        <v>55417</v>
      </c>
      <c r="Z2322" s="132">
        <v>1.285123020974953E-2</v>
      </c>
      <c r="AA2322" s="129">
        <v>1.2874015324273458E-2</v>
      </c>
    </row>
    <row r="2323" spans="19:27" x14ac:dyDescent="0.2">
      <c r="S2323" s="1"/>
      <c r="T2323" s="109"/>
      <c r="W2323" s="130" t="str">
        <f t="shared" si="45"/>
        <v>1w</v>
      </c>
      <c r="X2323" s="128">
        <f>_xll.qlCalendarAdvance(Calendar,X2322,W2323,"f",FALSE)</f>
        <v>55422</v>
      </c>
      <c r="Y2323" s="131">
        <f>_xll.qlCalendarAdvance(Calendar,X2323,NDays&amp;"D")</f>
        <v>55424</v>
      </c>
      <c r="Z2323" s="132">
        <v>1.2844405834476293E-2</v>
      </c>
      <c r="AA2323" s="129">
        <v>1.2867344717326645E-2</v>
      </c>
    </row>
    <row r="2324" spans="19:27" x14ac:dyDescent="0.2">
      <c r="S2324" s="1"/>
      <c r="T2324" s="109"/>
      <c r="W2324" s="130" t="str">
        <f t="shared" si="45"/>
        <v>1w</v>
      </c>
      <c r="X2324" s="128">
        <f>_xll.qlCalendarAdvance(Calendar,X2323,W2324,"f",FALSE)</f>
        <v>55429</v>
      </c>
      <c r="Y2324" s="131">
        <f>_xll.qlCalendarAdvance(Calendar,X2324,NDays&amp;"D")</f>
        <v>55431</v>
      </c>
      <c r="Z2324" s="132">
        <v>1.283729659927986E-2</v>
      </c>
      <c r="AA2324" s="129">
        <v>1.2860653589594762E-2</v>
      </c>
    </row>
    <row r="2325" spans="19:27" x14ac:dyDescent="0.2">
      <c r="S2325" s="1"/>
      <c r="T2325" s="109"/>
      <c r="W2325" s="130" t="str">
        <f t="shared" ref="W2325:W2388" si="46">W2324</f>
        <v>1w</v>
      </c>
      <c r="X2325" s="128">
        <f>_xll.qlCalendarAdvance(Calendar,X2324,W2325,"f",FALSE)</f>
        <v>55436</v>
      </c>
      <c r="Y2325" s="131">
        <f>_xll.qlCalendarAdvance(Calendar,X2325,NDays&amp;"D")</f>
        <v>55438</v>
      </c>
      <c r="Z2325" s="132">
        <v>1.2830429360012186E-2</v>
      </c>
      <c r="AA2325" s="129">
        <v>1.2853941941157743E-2</v>
      </c>
    </row>
    <row r="2326" spans="19:27" x14ac:dyDescent="0.2">
      <c r="S2326" s="1"/>
      <c r="T2326" s="109"/>
      <c r="W2326" s="130" t="str">
        <f t="shared" si="46"/>
        <v>1w</v>
      </c>
      <c r="X2326" s="128">
        <f>_xll.qlCalendarAdvance(Calendar,X2325,W2326,"f",FALSE)</f>
        <v>55443</v>
      </c>
      <c r="Y2326" s="131">
        <f>_xll.qlCalendarAdvance(Calendar,X2326,NDays&amp;"D")</f>
        <v>55445</v>
      </c>
      <c r="Z2326" s="132">
        <v>1.2823541545332703E-2</v>
      </c>
      <c r="AA2326" s="129">
        <v>1.2847209771855717E-2</v>
      </c>
    </row>
    <row r="2327" spans="19:27" x14ac:dyDescent="0.2">
      <c r="S2327" s="1"/>
      <c r="T2327" s="109"/>
      <c r="W2327" s="130" t="str">
        <f t="shared" si="46"/>
        <v>1w</v>
      </c>
      <c r="X2327" s="128">
        <f>_xll.qlCalendarAdvance(Calendar,X2326,W2327,"f",FALSE)</f>
        <v>55450</v>
      </c>
      <c r="Y2327" s="131">
        <f>_xll.qlCalendarAdvance(Calendar,X2327,NDays&amp;"D")</f>
        <v>55452</v>
      </c>
      <c r="Z2327" s="132">
        <v>1.2816633155350022E-2</v>
      </c>
      <c r="AA2327" s="129">
        <v>1.2840457081688683E-2</v>
      </c>
    </row>
    <row r="2328" spans="19:27" x14ac:dyDescent="0.2">
      <c r="S2328" s="1"/>
      <c r="T2328" s="109"/>
      <c r="W2328" s="130" t="str">
        <f t="shared" si="46"/>
        <v>1w</v>
      </c>
      <c r="X2328" s="128">
        <f>_xll.qlCalendarAdvance(Calendar,X2327,W2328,"f",FALSE)</f>
        <v>55457</v>
      </c>
      <c r="Y2328" s="131">
        <f>_xll.qlCalendarAdvance(Calendar,X2328,NDays&amp;"D")</f>
        <v>55459</v>
      </c>
      <c r="Z2328" s="132">
        <v>1.2809704190171009E-2</v>
      </c>
      <c r="AA2328" s="129">
        <v>1.2833683870896451E-2</v>
      </c>
    </row>
    <row r="2329" spans="19:27" x14ac:dyDescent="0.2">
      <c r="S2329" s="1"/>
      <c r="T2329" s="109"/>
      <c r="W2329" s="130" t="str">
        <f t="shared" si="46"/>
        <v>1w</v>
      </c>
      <c r="X2329" s="128">
        <f>_xll.qlCalendarAdvance(Calendar,X2328,W2329,"f",FALSE)</f>
        <v>55464</v>
      </c>
      <c r="Y2329" s="131">
        <f>_xll.qlCalendarAdvance(Calendar,X2329,NDays&amp;"D")</f>
        <v>55466</v>
      </c>
      <c r="Z2329" s="132">
        <v>1.2802754649908621E-2</v>
      </c>
      <c r="AA2329" s="129">
        <v>1.2826890139239211E-2</v>
      </c>
    </row>
    <row r="2330" spans="19:27" x14ac:dyDescent="0.2">
      <c r="S2330" s="1"/>
      <c r="T2330" s="109"/>
      <c r="W2330" s="130" t="str">
        <f t="shared" si="46"/>
        <v>1w</v>
      </c>
      <c r="X2330" s="128">
        <f>_xll.qlCalendarAdvance(Calendar,X2329,W2330,"f",FALSE)</f>
        <v>55471</v>
      </c>
      <c r="Y2330" s="131">
        <f>_xll.qlCalendarAdvance(Calendar,X2330,NDays&amp;"D")</f>
        <v>55473</v>
      </c>
      <c r="Z2330" s="132">
        <v>1.279578453466799E-2</v>
      </c>
      <c r="AA2330" s="129">
        <v>1.28200758867969E-2</v>
      </c>
    </row>
    <row r="2331" spans="19:27" x14ac:dyDescent="0.2">
      <c r="S2331" s="1"/>
      <c r="T2331" s="109"/>
      <c r="W2331" s="130" t="str">
        <f t="shared" si="46"/>
        <v>1w</v>
      </c>
      <c r="X2331" s="128">
        <f>_xll.qlCalendarAdvance(Calendar,X2330,W2331,"f",FALSE)</f>
        <v>55478</v>
      </c>
      <c r="Y2331" s="131">
        <f>_xll.qlCalendarAdvance(Calendar,X2331,NDays&amp;"D")</f>
        <v>55480</v>
      </c>
      <c r="Z2331" s="132">
        <v>1.2788793844562069E-2</v>
      </c>
      <c r="AA2331" s="129">
        <v>1.2813241113649454E-2</v>
      </c>
    </row>
    <row r="2332" spans="19:27" x14ac:dyDescent="0.2">
      <c r="S2332" s="1"/>
      <c r="T2332" s="109"/>
      <c r="W2332" s="130" t="str">
        <f t="shared" si="46"/>
        <v>1w</v>
      </c>
      <c r="X2332" s="128">
        <f>_xll.qlCalendarAdvance(Calendar,X2331,W2332,"f",FALSE)</f>
        <v>55485</v>
      </c>
      <c r="Y2332" s="131">
        <f>_xll.qlCalendarAdvance(Calendar,X2332,NDays&amp;"D")</f>
        <v>55487</v>
      </c>
      <c r="Z2332" s="132">
        <v>1.2782060593437958E-2</v>
      </c>
      <c r="AA2332" s="129">
        <v>1.2806385819637001E-2</v>
      </c>
    </row>
    <row r="2333" spans="19:27" x14ac:dyDescent="0.2">
      <c r="S2333" s="1"/>
      <c r="T2333" s="109"/>
      <c r="W2333" s="130" t="str">
        <f t="shared" si="46"/>
        <v>1w</v>
      </c>
      <c r="X2333" s="128">
        <f>_xll.qlCalendarAdvance(Calendar,X2332,W2333,"f",FALSE)</f>
        <v>55492</v>
      </c>
      <c r="Y2333" s="131">
        <f>_xll.qlCalendarAdvance(Calendar,X2333,NDays&amp;"D")</f>
        <v>55494</v>
      </c>
      <c r="Z2333" s="132">
        <v>1.2775030472678139E-2</v>
      </c>
      <c r="AA2333" s="129">
        <v>1.2799510004839476E-2</v>
      </c>
    </row>
    <row r="2334" spans="19:27" x14ac:dyDescent="0.2">
      <c r="S2334" s="1"/>
      <c r="T2334" s="109"/>
      <c r="W2334" s="130" t="str">
        <f t="shared" si="46"/>
        <v>1w</v>
      </c>
      <c r="X2334" s="128">
        <f>_xll.qlCalendarAdvance(Calendar,X2333,W2334,"f",FALSE)</f>
        <v>55499</v>
      </c>
      <c r="Y2334" s="131">
        <f>_xll.qlCalendarAdvance(Calendar,X2334,NDays&amp;"D")</f>
        <v>55501</v>
      </c>
      <c r="Z2334" s="132">
        <v>1.276797977796611E-2</v>
      </c>
      <c r="AA2334" s="129">
        <v>1.2792613669336816E-2</v>
      </c>
    </row>
    <row r="2335" spans="19:27" x14ac:dyDescent="0.2">
      <c r="S2335" s="1"/>
      <c r="T2335" s="109"/>
      <c r="W2335" s="130" t="str">
        <f t="shared" si="46"/>
        <v>1w</v>
      </c>
      <c r="X2335" s="128">
        <f>_xll.qlCalendarAdvance(Calendar,X2334,W2335,"f",FALSE)</f>
        <v>55506</v>
      </c>
      <c r="Y2335" s="131">
        <f>_xll.qlCalendarAdvance(Calendar,X2335,NDays&amp;"D")</f>
        <v>55508</v>
      </c>
      <c r="Z2335" s="132">
        <v>1.276090850941167E-2</v>
      </c>
      <c r="AA2335" s="129">
        <v>1.2785696813049086E-2</v>
      </c>
    </row>
    <row r="2336" spans="19:27" x14ac:dyDescent="0.2">
      <c r="S2336" s="1"/>
      <c r="T2336" s="109"/>
      <c r="W2336" s="130" t="str">
        <f t="shared" si="46"/>
        <v>1w</v>
      </c>
      <c r="X2336" s="128">
        <f>_xll.qlCalendarAdvance(Calendar,X2335,W2336,"f",FALSE)</f>
        <v>55514</v>
      </c>
      <c r="Y2336" s="131">
        <f>_xll.qlCalendarAdvance(Calendar,X2336,NDays&amp;"D")</f>
        <v>55516</v>
      </c>
      <c r="Z2336" s="132">
        <v>1.2752801867317358E-2</v>
      </c>
      <c r="AA2336" s="129">
        <v>1.2776956721018973E-2</v>
      </c>
    </row>
    <row r="2337" spans="19:27" x14ac:dyDescent="0.2">
      <c r="S2337" s="1"/>
      <c r="T2337" s="109"/>
      <c r="W2337" s="130" t="str">
        <f t="shared" si="46"/>
        <v>1w</v>
      </c>
      <c r="X2337" s="128">
        <f>_xll.qlCalendarAdvance(Calendar,X2336,W2337,"f",FALSE)</f>
        <v>55521</v>
      </c>
      <c r="Y2337" s="131">
        <f>_xll.qlCalendarAdvance(Calendar,X2337,NDays&amp;"D")</f>
        <v>55523</v>
      </c>
      <c r="Z2337" s="132">
        <v>1.2745686512327317E-2</v>
      </c>
      <c r="AA2337" s="129">
        <v>1.27702626307169E-2</v>
      </c>
    </row>
    <row r="2338" spans="19:27" x14ac:dyDescent="0.2">
      <c r="S2338" s="1"/>
      <c r="T2338" s="109"/>
      <c r="W2338" s="130" t="str">
        <f t="shared" si="46"/>
        <v>1w</v>
      </c>
      <c r="X2338" s="128">
        <f>_xll.qlCalendarAdvance(Calendar,X2337,W2338,"f",FALSE)</f>
        <v>55528</v>
      </c>
      <c r="Y2338" s="131">
        <f>_xll.qlCalendarAdvance(Calendar,X2338,NDays&amp;"D")</f>
        <v>55530</v>
      </c>
      <c r="Z2338" s="132">
        <v>1.2738550583841841E-2</v>
      </c>
      <c r="AA2338" s="129">
        <v>1.2763277853666821E-2</v>
      </c>
    </row>
    <row r="2339" spans="19:27" x14ac:dyDescent="0.2">
      <c r="S2339" s="1"/>
      <c r="T2339" s="109"/>
      <c r="W2339" s="130" t="str">
        <f t="shared" si="46"/>
        <v>1w</v>
      </c>
      <c r="X2339" s="128">
        <f>_xll.qlCalendarAdvance(Calendar,X2338,W2339,"f",FALSE)</f>
        <v>55535</v>
      </c>
      <c r="Y2339" s="131">
        <f>_xll.qlCalendarAdvance(Calendar,X2339,NDays&amp;"D")</f>
        <v>55537</v>
      </c>
      <c r="Z2339" s="132">
        <v>1.2730231842313231E-2</v>
      </c>
      <c r="AA2339" s="129">
        <v>1.2756272554659276E-2</v>
      </c>
    </row>
    <row r="2340" spans="19:27" x14ac:dyDescent="0.2">
      <c r="S2340" s="1"/>
      <c r="T2340" s="109"/>
      <c r="W2340" s="130" t="str">
        <f t="shared" si="46"/>
        <v>1w</v>
      </c>
      <c r="X2340" s="128">
        <f>_xll.qlCalendarAdvance(Calendar,X2339,W2340,"f",FALSE)</f>
        <v>55542</v>
      </c>
      <c r="Y2340" s="131">
        <f>_xll.qlCalendarAdvance(Calendar,X2340,NDays&amp;"D")</f>
        <v>55544</v>
      </c>
      <c r="Z2340" s="132">
        <v>1.2724217006829944E-2</v>
      </c>
      <c r="AA2340" s="129">
        <v>1.2749246733694264E-2</v>
      </c>
    </row>
    <row r="2341" spans="19:27" x14ac:dyDescent="0.2">
      <c r="S2341" s="1"/>
      <c r="T2341" s="109"/>
      <c r="W2341" s="130" t="str">
        <f t="shared" si="46"/>
        <v>1w</v>
      </c>
      <c r="X2341" s="128">
        <f>_xll.qlCalendarAdvance(Calendar,X2340,W2341,"f",FALSE)</f>
        <v>55549</v>
      </c>
      <c r="Y2341" s="131">
        <f>_xll.qlCalendarAdvance(Calendar,X2341,NDays&amp;"D")</f>
        <v>55551</v>
      </c>
      <c r="Z2341" s="132">
        <v>1.2717312936945113E-2</v>
      </c>
      <c r="AA2341" s="129">
        <v>1.2742200390825076E-2</v>
      </c>
    </row>
    <row r="2342" spans="19:27" x14ac:dyDescent="0.2">
      <c r="S2342" s="1"/>
      <c r="T2342" s="109"/>
      <c r="W2342" s="130" t="str">
        <f t="shared" si="46"/>
        <v>1w</v>
      </c>
      <c r="X2342" s="128">
        <f>_xll.qlCalendarAdvance(Calendar,X2341,W2342,"f",FALSE)</f>
        <v>55556</v>
      </c>
      <c r="Y2342" s="131">
        <f>_xll.qlCalendarAdvance(Calendar,X2342,NDays&amp;"D")</f>
        <v>55558</v>
      </c>
      <c r="Z2342" s="132">
        <v>1.2710096439541907E-2</v>
      </c>
      <c r="AA2342" s="129">
        <v>1.2735133525998421E-2</v>
      </c>
    </row>
    <row r="2343" spans="19:27" x14ac:dyDescent="0.2">
      <c r="S2343" s="1"/>
      <c r="T2343" s="109"/>
      <c r="W2343" s="130" t="str">
        <f t="shared" si="46"/>
        <v>1w</v>
      </c>
      <c r="X2343" s="128">
        <f>_xll.qlCalendarAdvance(Calendar,X2342,W2343,"f",FALSE)</f>
        <v>55563</v>
      </c>
      <c r="Y2343" s="131">
        <f>_xll.qlCalendarAdvance(Calendar,X2343,NDays&amp;"D")</f>
        <v>55565</v>
      </c>
      <c r="Z2343" s="132">
        <v>1.2702859369772668E-2</v>
      </c>
      <c r="AA2343" s="129">
        <v>1.2728046139187654E-2</v>
      </c>
    </row>
    <row r="2344" spans="19:27" x14ac:dyDescent="0.2">
      <c r="S2344" s="1"/>
      <c r="T2344" s="109"/>
      <c r="W2344" s="130" t="str">
        <f t="shared" si="46"/>
        <v>1w</v>
      </c>
      <c r="X2344" s="128">
        <f>_xll.qlCalendarAdvance(Calendar,X2343,W2344,"f",FALSE)</f>
        <v>55570</v>
      </c>
      <c r="Y2344" s="131">
        <f>_xll.qlCalendarAdvance(Calendar,X2344,NDays&amp;"D")</f>
        <v>55572</v>
      </c>
      <c r="Z2344" s="132">
        <v>1.2695601727751082E-2</v>
      </c>
      <c r="AA2344" s="129">
        <v>1.2720938230472711E-2</v>
      </c>
    </row>
    <row r="2345" spans="19:27" x14ac:dyDescent="0.2">
      <c r="S2345" s="1"/>
      <c r="T2345" s="109"/>
      <c r="W2345" s="130" t="str">
        <f t="shared" si="46"/>
        <v>1w</v>
      </c>
      <c r="X2345" s="128">
        <f>_xll.qlCalendarAdvance(Calendar,X2344,W2345,"f",FALSE)</f>
        <v>55577</v>
      </c>
      <c r="Y2345" s="131">
        <f>_xll.qlCalendarAdvance(Calendar,X2345,NDays&amp;"D")</f>
        <v>55579</v>
      </c>
      <c r="Z2345" s="132">
        <v>1.2687120573296001E-2</v>
      </c>
      <c r="AA2345" s="129">
        <v>1.2713809799826947E-2</v>
      </c>
    </row>
    <row r="2346" spans="19:27" x14ac:dyDescent="0.2">
      <c r="S2346" s="1"/>
      <c r="T2346" s="109"/>
      <c r="W2346" s="130" t="str">
        <f t="shared" si="46"/>
        <v>1w</v>
      </c>
      <c r="X2346" s="128">
        <f>_xll.qlCalendarAdvance(Calendar,X2345,W2346,"f",FALSE)</f>
        <v>55584</v>
      </c>
      <c r="Y2346" s="131">
        <f>_xll.qlCalendarAdvance(Calendar,X2346,NDays&amp;"D")</f>
        <v>55586</v>
      </c>
      <c r="Z2346" s="132">
        <v>1.2679814881623954E-2</v>
      </c>
      <c r="AA2346" s="129">
        <v>1.2706660847277007E-2</v>
      </c>
    </row>
    <row r="2347" spans="19:27" x14ac:dyDescent="0.2">
      <c r="S2347" s="1"/>
      <c r="T2347" s="109"/>
      <c r="W2347" s="130" t="str">
        <f t="shared" si="46"/>
        <v>1w</v>
      </c>
      <c r="X2347" s="128">
        <f>_xll.qlCalendarAdvance(Calendar,X2346,W2347,"f",FALSE)</f>
        <v>55591</v>
      </c>
      <c r="Y2347" s="131">
        <f>_xll.qlCalendarAdvance(Calendar,X2347,NDays&amp;"D")</f>
        <v>55593</v>
      </c>
      <c r="Z2347" s="132">
        <v>1.2672488615766147E-2</v>
      </c>
      <c r="AA2347" s="129">
        <v>1.2699491372796246E-2</v>
      </c>
    </row>
    <row r="2348" spans="19:27" x14ac:dyDescent="0.2">
      <c r="S2348" s="1"/>
      <c r="T2348" s="109"/>
      <c r="W2348" s="130" t="str">
        <f t="shared" si="46"/>
        <v>1w</v>
      </c>
      <c r="X2348" s="128">
        <f>_xll.qlCalendarAdvance(Calendar,X2347,W2348,"f",FALSE)</f>
        <v>55598</v>
      </c>
      <c r="Y2348" s="131">
        <f>_xll.qlCalendarAdvance(Calendar,X2348,NDays&amp;"D")</f>
        <v>55600</v>
      </c>
      <c r="Z2348" s="132">
        <v>1.2665141775839084E-2</v>
      </c>
      <c r="AA2348" s="129">
        <v>1.2692301376384663E-2</v>
      </c>
    </row>
    <row r="2349" spans="19:27" x14ac:dyDescent="0.2">
      <c r="S2349" s="1"/>
      <c r="T2349" s="109"/>
      <c r="W2349" s="130" t="str">
        <f t="shared" si="46"/>
        <v>1w</v>
      </c>
      <c r="X2349" s="128">
        <f>_xll.qlCalendarAdvance(Calendar,X2348,W2349,"f",FALSE)</f>
        <v>55605</v>
      </c>
      <c r="Y2349" s="131">
        <f>_xll.qlCalendarAdvance(Calendar,X2349,NDays&amp;"D")</f>
        <v>55607</v>
      </c>
      <c r="Z2349" s="132">
        <v>1.2658697551765918E-2</v>
      </c>
      <c r="AA2349" s="129">
        <v>1.2685090858068904E-2</v>
      </c>
    </row>
    <row r="2350" spans="19:27" x14ac:dyDescent="0.2">
      <c r="S2350" s="1"/>
      <c r="T2350" s="109"/>
      <c r="W2350" s="130" t="str">
        <f t="shared" si="46"/>
        <v>1w</v>
      </c>
      <c r="X2350" s="128">
        <f>_xll.qlCalendarAdvance(Calendar,X2349,W2350,"f",FALSE)</f>
        <v>55612</v>
      </c>
      <c r="Y2350" s="131">
        <f>_xll.qlCalendarAdvance(Calendar,X2350,NDays&amp;"D")</f>
        <v>55614</v>
      </c>
      <c r="Z2350" s="132">
        <v>1.2651314750080756E-2</v>
      </c>
      <c r="AA2350" s="129">
        <v>1.2677859817848969E-2</v>
      </c>
    </row>
    <row r="2351" spans="19:27" x14ac:dyDescent="0.2">
      <c r="S2351" s="1"/>
      <c r="T2351" s="109"/>
      <c r="W2351" s="130" t="str">
        <f t="shared" si="46"/>
        <v>1w</v>
      </c>
      <c r="X2351" s="128">
        <f>_xll.qlCalendarAdvance(Calendar,X2350,W2351,"f",FALSE)</f>
        <v>55619</v>
      </c>
      <c r="Y2351" s="131">
        <f>_xll.qlCalendarAdvance(Calendar,X2351,NDays&amp;"D")</f>
        <v>55621</v>
      </c>
      <c r="Z2351" s="132">
        <v>1.2643911376371511E-2</v>
      </c>
      <c r="AA2351" s="129">
        <v>1.2670608255724858E-2</v>
      </c>
    </row>
    <row r="2352" spans="19:27" x14ac:dyDescent="0.2">
      <c r="S2352" s="1"/>
      <c r="T2352" s="109"/>
      <c r="W2352" s="130" t="str">
        <f t="shared" si="46"/>
        <v>1w</v>
      </c>
      <c r="X2352" s="128">
        <f>_xll.qlCalendarAdvance(Calendar,X2351,W2352,"f",FALSE)</f>
        <v>55626</v>
      </c>
      <c r="Y2352" s="131">
        <f>_xll.qlCalendarAdvance(Calendar,X2352,NDays&amp;"D")</f>
        <v>55632</v>
      </c>
      <c r="Z2352" s="132">
        <v>1.2632235939781232E-2</v>
      </c>
      <c r="AA2352" s="129">
        <v>1.2659768222613721E-2</v>
      </c>
    </row>
    <row r="2353" spans="19:27" x14ac:dyDescent="0.2">
      <c r="S2353" s="1"/>
      <c r="T2353" s="109"/>
      <c r="W2353" s="130" t="str">
        <f t="shared" si="46"/>
        <v>1w</v>
      </c>
      <c r="X2353" s="128">
        <f>_xll.qlCalendarAdvance(Calendar,X2352,W2353,"f",FALSE)</f>
        <v>55633</v>
      </c>
      <c r="Y2353" s="131">
        <f>_xll.qlCalendarAdvance(Calendar,X2353,NDays&amp;"D")</f>
        <v>55635</v>
      </c>
      <c r="Z2353" s="132">
        <v>1.2629042913326125E-2</v>
      </c>
      <c r="AA2353" s="129">
        <v>1.2656043565684172E-2</v>
      </c>
    </row>
    <row r="2354" spans="19:27" x14ac:dyDescent="0.2">
      <c r="S2354" s="1"/>
      <c r="T2354" s="109"/>
      <c r="W2354" s="130" t="str">
        <f t="shared" si="46"/>
        <v>1w</v>
      </c>
      <c r="X2354" s="128">
        <f>_xll.qlCalendarAdvance(Calendar,X2353,W2354,"f",FALSE)</f>
        <v>55641</v>
      </c>
      <c r="Y2354" s="131">
        <f>_xll.qlCalendarAdvance(Calendar,X2354,NDays&amp;"D")</f>
        <v>55645</v>
      </c>
      <c r="Z2354" s="132">
        <v>1.2618055254457618E-2</v>
      </c>
      <c r="AA2354" s="129">
        <v>1.2646193098309055E-2</v>
      </c>
    </row>
    <row r="2355" spans="19:27" x14ac:dyDescent="0.2">
      <c r="S2355" s="1"/>
      <c r="T2355" s="109"/>
      <c r="W2355" s="130" t="str">
        <f t="shared" si="46"/>
        <v>1w</v>
      </c>
      <c r="X2355" s="128">
        <f>_xll.qlCalendarAdvance(Calendar,X2354,W2355,"f",FALSE)</f>
        <v>55648</v>
      </c>
      <c r="Y2355" s="131">
        <f>_xll.qlCalendarAdvance(Calendar,X2355,NDays&amp;"D")</f>
        <v>55652</v>
      </c>
      <c r="Z2355" s="132">
        <v>1.2610559045821182E-2</v>
      </c>
      <c r="AA2355" s="129">
        <v>1.2638854100739394E-2</v>
      </c>
    </row>
    <row r="2356" spans="19:27" x14ac:dyDescent="0.2">
      <c r="S2356" s="1"/>
      <c r="T2356" s="109"/>
      <c r="W2356" s="130" t="str">
        <f t="shared" si="46"/>
        <v>1w</v>
      </c>
      <c r="X2356" s="128">
        <f>_xll.qlCalendarAdvance(Calendar,X2355,W2356,"f",FALSE)</f>
        <v>55655</v>
      </c>
      <c r="Y2356" s="131">
        <f>_xll.qlCalendarAdvance(Calendar,X2356,NDays&amp;"D")</f>
        <v>55659</v>
      </c>
      <c r="Z2356" s="132">
        <v>1.2603042265230173E-2</v>
      </c>
      <c r="AA2356" s="129">
        <v>1.2631494582384661E-2</v>
      </c>
    </row>
    <row r="2357" spans="19:27" x14ac:dyDescent="0.2">
      <c r="S2357" s="1"/>
      <c r="T2357" s="109"/>
      <c r="W2357" s="130" t="str">
        <f t="shared" si="46"/>
        <v>1w</v>
      </c>
      <c r="X2357" s="128">
        <f>_xll.qlCalendarAdvance(Calendar,X2356,W2357,"f",FALSE)</f>
        <v>55662</v>
      </c>
      <c r="Y2357" s="131">
        <f>_xll.qlCalendarAdvance(Calendar,X2357,NDays&amp;"D")</f>
        <v>55666</v>
      </c>
      <c r="Z2357" s="132">
        <v>1.2595504912804494E-2</v>
      </c>
      <c r="AA2357" s="129">
        <v>1.2624114543164922E-2</v>
      </c>
    </row>
    <row r="2358" spans="19:27" x14ac:dyDescent="0.2">
      <c r="S2358" s="1"/>
      <c r="T2358" s="109"/>
      <c r="W2358" s="130" t="str">
        <f t="shared" si="46"/>
        <v>1w</v>
      </c>
      <c r="X2358" s="128">
        <f>_xll.qlCalendarAdvance(Calendar,X2357,W2358,"f",FALSE)</f>
        <v>55669</v>
      </c>
      <c r="Y2358" s="131">
        <f>_xll.qlCalendarAdvance(Calendar,X2358,NDays&amp;"D")</f>
        <v>55673</v>
      </c>
      <c r="Z2358" s="132">
        <v>1.2587946988660573E-2</v>
      </c>
      <c r="AA2358" s="129">
        <v>1.2616713983319983E-2</v>
      </c>
    </row>
    <row r="2359" spans="19:27" x14ac:dyDescent="0.2">
      <c r="S2359" s="1"/>
      <c r="T2359" s="109"/>
      <c r="W2359" s="130" t="str">
        <f t="shared" si="46"/>
        <v>1w</v>
      </c>
      <c r="X2359" s="128">
        <f>_xll.qlCalendarAdvance(Calendar,X2358,W2359,"f",FALSE)</f>
        <v>55676</v>
      </c>
      <c r="Y2359" s="131">
        <f>_xll.qlCalendarAdvance(Calendar,X2359,NDays&amp;"D")</f>
        <v>55680</v>
      </c>
      <c r="Z2359" s="132">
        <v>1.2580368492919181E-2</v>
      </c>
      <c r="AA2359" s="129">
        <v>1.2609292902610036E-2</v>
      </c>
    </row>
    <row r="2360" spans="19:27" x14ac:dyDescent="0.2">
      <c r="S2360" s="1"/>
      <c r="T2360" s="109"/>
      <c r="W2360" s="130" t="str">
        <f t="shared" si="46"/>
        <v>1w</v>
      </c>
      <c r="X2360" s="128">
        <f>_xll.qlCalendarAdvance(Calendar,X2359,W2360,"f",FALSE)</f>
        <v>55683</v>
      </c>
      <c r="Y2360" s="131">
        <f>_xll.qlCalendarAdvance(Calendar,X2360,NDays&amp;"D")</f>
        <v>55687</v>
      </c>
      <c r="Z2360" s="132">
        <v>1.2572769425699357E-2</v>
      </c>
      <c r="AA2360" s="129">
        <v>1.2601851301274891E-2</v>
      </c>
    </row>
    <row r="2361" spans="19:27" x14ac:dyDescent="0.2">
      <c r="S2361" s="1"/>
      <c r="T2361" s="109"/>
      <c r="W2361" s="130" t="str">
        <f t="shared" si="46"/>
        <v>1w</v>
      </c>
      <c r="X2361" s="128">
        <f>_xll.qlCalendarAdvance(Calendar,X2360,W2361,"f",FALSE)</f>
        <v>55690</v>
      </c>
      <c r="Y2361" s="131">
        <f>_xll.qlCalendarAdvance(Calendar,X2361,NDays&amp;"D")</f>
        <v>55694</v>
      </c>
      <c r="Z2361" s="132">
        <v>1.2565149787121001E-2</v>
      </c>
      <c r="AA2361" s="129">
        <v>1.2594389179154675E-2</v>
      </c>
    </row>
    <row r="2362" spans="19:27" x14ac:dyDescent="0.2">
      <c r="S2362" s="1"/>
      <c r="T2362" s="109"/>
      <c r="W2362" s="130" t="str">
        <f t="shared" si="46"/>
        <v>1w</v>
      </c>
      <c r="X2362" s="128">
        <f>_xll.qlCalendarAdvance(Calendar,X2361,W2362,"f",FALSE)</f>
        <v>55697</v>
      </c>
      <c r="Y2362" s="131">
        <f>_xll.qlCalendarAdvance(Calendar,X2362,NDays&amp;"D")</f>
        <v>55701</v>
      </c>
      <c r="Z2362" s="132">
        <v>1.2557509577304022E-2</v>
      </c>
      <c r="AA2362" s="129">
        <v>1.2586906536329323E-2</v>
      </c>
    </row>
    <row r="2363" spans="19:27" x14ac:dyDescent="0.2">
      <c r="S2363" s="1"/>
      <c r="T2363" s="109"/>
      <c r="W2363" s="130" t="str">
        <f t="shared" si="46"/>
        <v>1w</v>
      </c>
      <c r="X2363" s="128">
        <f>_xll.qlCalendarAdvance(Calendar,X2362,W2363,"f",FALSE)</f>
        <v>55704</v>
      </c>
      <c r="Y2363" s="131">
        <f>_xll.qlCalendarAdvance(Calendar,X2363,NDays&amp;"D")</f>
        <v>55708</v>
      </c>
      <c r="Z2363" s="132">
        <v>1.2549848796365715E-2</v>
      </c>
      <c r="AA2363" s="129">
        <v>1.2579403372638964E-2</v>
      </c>
    </row>
    <row r="2364" spans="19:27" x14ac:dyDescent="0.2">
      <c r="S2364" s="1"/>
      <c r="T2364" s="109"/>
      <c r="W2364" s="130" t="str">
        <f t="shared" si="46"/>
        <v>1w</v>
      </c>
      <c r="X2364" s="128">
        <f>_xll.qlCalendarAdvance(Calendar,X2363,W2364,"f",FALSE)</f>
        <v>55711</v>
      </c>
      <c r="Y2364" s="131">
        <f>_xll.qlCalendarAdvance(Calendar,X2364,NDays&amp;"D")</f>
        <v>55715</v>
      </c>
      <c r="Z2364" s="132">
        <v>1.2542167444430328E-2</v>
      </c>
      <c r="AA2364" s="129">
        <v>1.2571879688323406E-2</v>
      </c>
    </row>
    <row r="2365" spans="19:27" x14ac:dyDescent="0.2">
      <c r="S2365" s="1"/>
      <c r="T2365" s="109"/>
      <c r="W2365" s="130" t="str">
        <f t="shared" si="46"/>
        <v>1w</v>
      </c>
      <c r="X2365" s="128">
        <f>_xll.qlCalendarAdvance(Calendar,X2364,W2365,"f",FALSE)</f>
        <v>55718</v>
      </c>
      <c r="Y2365" s="131">
        <f>_xll.qlCalendarAdvance(Calendar,X2365,NDays&amp;"D")</f>
        <v>55722</v>
      </c>
      <c r="Z2365" s="132">
        <v>1.2534465521616026E-2</v>
      </c>
      <c r="AA2365" s="129">
        <v>1.2564335483222777E-2</v>
      </c>
    </row>
    <row r="2366" spans="19:27" x14ac:dyDescent="0.2">
      <c r="S2366" s="1"/>
      <c r="T2366" s="109"/>
      <c r="W2366" s="130" t="str">
        <f t="shared" si="46"/>
        <v>1w</v>
      </c>
      <c r="X2366" s="128">
        <f>_xll.qlCalendarAdvance(Calendar,X2365,W2366,"f",FALSE)</f>
        <v>55725</v>
      </c>
      <c r="Y2366" s="131">
        <f>_xll.qlCalendarAdvance(Calendar,X2366,NDays&amp;"D")</f>
        <v>55729</v>
      </c>
      <c r="Z2366" s="132">
        <v>1.2526743028044454E-2</v>
      </c>
      <c r="AA2366" s="129">
        <v>1.2556770757417013E-2</v>
      </c>
    </row>
    <row r="2367" spans="19:27" x14ac:dyDescent="0.2">
      <c r="S2367" s="1"/>
      <c r="T2367" s="109"/>
      <c r="W2367" s="130" t="str">
        <f t="shared" si="46"/>
        <v>1w</v>
      </c>
      <c r="X2367" s="128">
        <f>_xll.qlCalendarAdvance(Calendar,X2366,W2367,"f",FALSE)</f>
        <v>55732</v>
      </c>
      <c r="Y2367" s="131">
        <f>_xll.qlCalendarAdvance(Calendar,X2367,NDays&amp;"D")</f>
        <v>55736</v>
      </c>
      <c r="Z2367" s="132">
        <v>1.2518999963839858E-2</v>
      </c>
      <c r="AA2367" s="129">
        <v>1.2549185510906113E-2</v>
      </c>
    </row>
    <row r="2368" spans="19:27" x14ac:dyDescent="0.2">
      <c r="S2368" s="1"/>
      <c r="T2368" s="109"/>
      <c r="W2368" s="130" t="str">
        <f t="shared" si="46"/>
        <v>1w</v>
      </c>
      <c r="X2368" s="128">
        <f>_xll.qlCalendarAdvance(Calendar,X2367,W2368,"f",FALSE)</f>
        <v>55739</v>
      </c>
      <c r="Y2368" s="131">
        <f>_xll.qlCalendarAdvance(Calendar,X2368,NDays&amp;"D")</f>
        <v>55743</v>
      </c>
      <c r="Z2368" s="132">
        <v>1.2511236329120407E-2</v>
      </c>
      <c r="AA2368" s="129">
        <v>1.2541579743610143E-2</v>
      </c>
    </row>
    <row r="2369" spans="19:27" x14ac:dyDescent="0.2">
      <c r="S2369" s="1"/>
      <c r="T2369" s="109"/>
      <c r="W2369" s="130" t="str">
        <f t="shared" si="46"/>
        <v>1w</v>
      </c>
      <c r="X2369" s="128">
        <f>_xll.qlCalendarAdvance(Calendar,X2368,W2369,"f",FALSE)</f>
        <v>55746</v>
      </c>
      <c r="Y2369" s="131">
        <f>_xll.qlCalendarAdvance(Calendar,X2369,NDays&amp;"D")</f>
        <v>55750</v>
      </c>
      <c r="Z2369" s="132">
        <v>1.2503452124008609E-2</v>
      </c>
      <c r="AA2369" s="129">
        <v>1.2533953455609037E-2</v>
      </c>
    </row>
    <row r="2370" spans="19:27" x14ac:dyDescent="0.2">
      <c r="S2370" s="1"/>
      <c r="T2370" s="109"/>
      <c r="W2370" s="130" t="str">
        <f t="shared" si="46"/>
        <v>1w</v>
      </c>
      <c r="X2370" s="128">
        <f>_xll.qlCalendarAdvance(Calendar,X2369,W2370,"f",FALSE)</f>
        <v>55753</v>
      </c>
      <c r="Y2370" s="131">
        <f>_xll.qlCalendarAdvance(Calendar,X2370,NDays&amp;"D")</f>
        <v>55757</v>
      </c>
      <c r="Z2370" s="132">
        <v>1.249564734863045E-2</v>
      </c>
      <c r="AA2370" s="129">
        <v>1.2526306646902796E-2</v>
      </c>
    </row>
    <row r="2371" spans="19:27" x14ac:dyDescent="0.2">
      <c r="S2371" s="1"/>
      <c r="T2371" s="109"/>
      <c r="W2371" s="130" t="str">
        <f t="shared" si="46"/>
        <v>1w</v>
      </c>
      <c r="X2371" s="128">
        <f>_xll.qlCalendarAdvance(Calendar,X2370,W2371,"f",FALSE)</f>
        <v>55760</v>
      </c>
      <c r="Y2371" s="131">
        <f>_xll.qlCalendarAdvance(Calendar,X2371,NDays&amp;"D")</f>
        <v>55764</v>
      </c>
      <c r="Z2371" s="132">
        <v>1.2488168463703132E-2</v>
      </c>
      <c r="AA2371" s="129">
        <v>1.2518639317411484E-2</v>
      </c>
    </row>
    <row r="2372" spans="19:27" x14ac:dyDescent="0.2">
      <c r="S2372" s="1"/>
      <c r="T2372" s="109"/>
      <c r="W2372" s="130" t="str">
        <f t="shared" si="46"/>
        <v>1w</v>
      </c>
      <c r="X2372" s="128">
        <f>_xll.qlCalendarAdvance(Calendar,X2371,W2372,"f",FALSE)</f>
        <v>55767</v>
      </c>
      <c r="Y2372" s="131">
        <f>_xll.qlCalendarAdvance(Calendar,X2372,NDays&amp;"D")</f>
        <v>55771</v>
      </c>
      <c r="Z2372" s="132">
        <v>1.2480324289031564E-2</v>
      </c>
      <c r="AA2372" s="129">
        <v>1.2510951467135101E-2</v>
      </c>
    </row>
    <row r="2373" spans="19:27" x14ac:dyDescent="0.2">
      <c r="S2373" s="1"/>
      <c r="T2373" s="109"/>
      <c r="W2373" s="130" t="str">
        <f t="shared" si="46"/>
        <v>1w</v>
      </c>
      <c r="X2373" s="128">
        <f>_xll.qlCalendarAdvance(Calendar,X2372,W2373,"f",FALSE)</f>
        <v>55774</v>
      </c>
      <c r="Y2373" s="131">
        <f>_xll.qlCalendarAdvance(Calendar,X2373,NDays&amp;"D")</f>
        <v>55778</v>
      </c>
      <c r="Z2373" s="132">
        <v>1.2472459544992246E-2</v>
      </c>
      <c r="AA2373" s="129">
        <v>1.2503243096233518E-2</v>
      </c>
    </row>
    <row r="2374" spans="19:27" x14ac:dyDescent="0.2">
      <c r="S2374" s="1"/>
      <c r="T2374" s="109"/>
      <c r="W2374" s="130" t="str">
        <f t="shared" si="46"/>
        <v>1w</v>
      </c>
      <c r="X2374" s="128">
        <f>_xll.qlCalendarAdvance(Calendar,X2373,W2374,"f",FALSE)</f>
        <v>55781</v>
      </c>
      <c r="Y2374" s="131">
        <f>_xll.qlCalendarAdvance(Calendar,X2374,NDays&amp;"D")</f>
        <v>55785</v>
      </c>
      <c r="Z2374" s="132">
        <v>1.2464574231708159E-2</v>
      </c>
      <c r="AA2374" s="129">
        <v>1.2495514204626801E-2</v>
      </c>
    </row>
    <row r="2375" spans="19:27" x14ac:dyDescent="0.2">
      <c r="S2375" s="1"/>
      <c r="T2375" s="109"/>
      <c r="W2375" s="130" t="str">
        <f t="shared" si="46"/>
        <v>1w</v>
      </c>
      <c r="X2375" s="128">
        <f>_xll.qlCalendarAdvance(Calendar,X2374,W2375,"f",FALSE)</f>
        <v>55788</v>
      </c>
      <c r="Y2375" s="131">
        <f>_xll.qlCalendarAdvance(Calendar,X2375,NDays&amp;"D")</f>
        <v>55792</v>
      </c>
      <c r="Z2375" s="132">
        <v>1.2456314922004334E-2</v>
      </c>
      <c r="AA2375" s="129">
        <v>1.2487764792314948E-2</v>
      </c>
    </row>
    <row r="2376" spans="19:27" x14ac:dyDescent="0.2">
      <c r="S2376" s="1"/>
      <c r="T2376" s="109"/>
      <c r="W2376" s="130" t="str">
        <f t="shared" si="46"/>
        <v>1w</v>
      </c>
      <c r="X2376" s="128">
        <f>_xll.qlCalendarAdvance(Calendar,X2375,W2376,"f",FALSE)</f>
        <v>55795</v>
      </c>
      <c r="Y2376" s="131">
        <f>_xll.qlCalendarAdvance(Calendar,X2376,NDays&amp;"D")</f>
        <v>55799</v>
      </c>
      <c r="Z2376" s="132">
        <v>1.2448386727600741E-2</v>
      </c>
      <c r="AA2376" s="129">
        <v>1.2479994859218024E-2</v>
      </c>
    </row>
    <row r="2377" spans="19:27" x14ac:dyDescent="0.2">
      <c r="S2377" s="1"/>
      <c r="T2377" s="109"/>
      <c r="W2377" s="130" t="str">
        <f t="shared" si="46"/>
        <v>1w</v>
      </c>
      <c r="X2377" s="128">
        <f>_xll.qlCalendarAdvance(Calendar,X2376,W2377,"f",FALSE)</f>
        <v>55802</v>
      </c>
      <c r="Y2377" s="131">
        <f>_xll.qlCalendarAdvance(Calendar,X2377,NDays&amp;"D")</f>
        <v>55806</v>
      </c>
      <c r="Z2377" s="132">
        <v>1.2440437963793577E-2</v>
      </c>
      <c r="AA2377" s="129">
        <v>1.2472204405415965E-2</v>
      </c>
    </row>
    <row r="2378" spans="19:27" x14ac:dyDescent="0.2">
      <c r="S2378" s="1"/>
      <c r="T2378" s="109"/>
      <c r="W2378" s="130" t="str">
        <f t="shared" si="46"/>
        <v>1w</v>
      </c>
      <c r="X2378" s="128">
        <f>_xll.qlCalendarAdvance(Calendar,X2377,W2378,"f",FALSE)</f>
        <v>55809</v>
      </c>
      <c r="Y2378" s="131">
        <f>_xll.qlCalendarAdvance(Calendar,X2378,NDays&amp;"D")</f>
        <v>55813</v>
      </c>
      <c r="Z2378" s="132">
        <v>1.2432468630707958E-2</v>
      </c>
      <c r="AA2378" s="129">
        <v>1.2464393430908771E-2</v>
      </c>
    </row>
    <row r="2379" spans="19:27" x14ac:dyDescent="0.2">
      <c r="S2379" s="1"/>
      <c r="T2379" s="109"/>
      <c r="W2379" s="130" t="str">
        <f t="shared" si="46"/>
        <v>1w</v>
      </c>
      <c r="X2379" s="128">
        <f>_xll.qlCalendarAdvance(Calendar,X2378,W2379,"f",FALSE)</f>
        <v>55816</v>
      </c>
      <c r="Y2379" s="131">
        <f>_xll.qlCalendarAdvance(Calendar,X2379,NDays&amp;"D")</f>
        <v>55820</v>
      </c>
      <c r="Z2379" s="132">
        <v>1.2424478728470741E-2</v>
      </c>
      <c r="AA2379" s="129">
        <v>1.2456561935616506E-2</v>
      </c>
    </row>
    <row r="2380" spans="19:27" x14ac:dyDescent="0.2">
      <c r="S2380" s="1"/>
      <c r="T2380" s="109"/>
      <c r="W2380" s="130" t="str">
        <f t="shared" si="46"/>
        <v>1w</v>
      </c>
      <c r="X2380" s="128">
        <f>_xll.qlCalendarAdvance(Calendar,X2379,W2380,"f",FALSE)</f>
        <v>55823</v>
      </c>
      <c r="Y2380" s="131">
        <f>_xll.qlCalendarAdvance(Calendar,X2380,NDays&amp;"D")</f>
        <v>55827</v>
      </c>
      <c r="Z2380" s="132">
        <v>1.241646825720704E-2</v>
      </c>
      <c r="AA2380" s="129">
        <v>1.2448709919778977E-2</v>
      </c>
    </row>
    <row r="2381" spans="19:27" x14ac:dyDescent="0.2">
      <c r="S2381" s="1"/>
      <c r="T2381" s="109"/>
      <c r="W2381" s="130" t="str">
        <f t="shared" si="46"/>
        <v>1w</v>
      </c>
      <c r="X2381" s="128">
        <f>_xll.qlCalendarAdvance(Calendar,X2380,W2381,"f",FALSE)</f>
        <v>55830</v>
      </c>
      <c r="Y2381" s="131">
        <f>_xll.qlCalendarAdvance(Calendar,X2381,NDays&amp;"D")</f>
        <v>55834</v>
      </c>
      <c r="Z2381" s="132">
        <v>1.2408437217041107E-2</v>
      </c>
      <c r="AA2381" s="129">
        <v>1.2440837383076442E-2</v>
      </c>
    </row>
    <row r="2382" spans="19:27" x14ac:dyDescent="0.2">
      <c r="S2382" s="1"/>
      <c r="T2382" s="109"/>
      <c r="W2382" s="130" t="str">
        <f t="shared" si="46"/>
        <v>1w</v>
      </c>
      <c r="X2382" s="128">
        <f>_xll.qlCalendarAdvance(Calendar,X2381,W2382,"f",FALSE)</f>
        <v>55837</v>
      </c>
      <c r="Y2382" s="131">
        <f>_xll.qlCalendarAdvance(Calendar,X2382,NDays&amp;"D")</f>
        <v>55841</v>
      </c>
      <c r="Z2382" s="132">
        <v>1.2400385608101533E-2</v>
      </c>
      <c r="AA2382" s="129">
        <v>1.2432944325588835E-2</v>
      </c>
    </row>
    <row r="2383" spans="19:27" x14ac:dyDescent="0.2">
      <c r="S2383" s="1"/>
      <c r="T2383" s="109"/>
      <c r="W2383" s="130" t="str">
        <f t="shared" si="46"/>
        <v>1w</v>
      </c>
      <c r="X2383" s="128">
        <f>_xll.qlCalendarAdvance(Calendar,X2382,W2383,"f",FALSE)</f>
        <v>55844</v>
      </c>
      <c r="Y2383" s="131">
        <f>_xll.qlCalendarAdvance(Calendar,X2383,NDays&amp;"D")</f>
        <v>55848</v>
      </c>
      <c r="Z2383" s="132">
        <v>1.2392313430513436E-2</v>
      </c>
      <c r="AA2383" s="129">
        <v>1.2425030747555965E-2</v>
      </c>
    </row>
    <row r="2384" spans="19:27" x14ac:dyDescent="0.2">
      <c r="S2384" s="1"/>
      <c r="T2384" s="109"/>
      <c r="W2384" s="130" t="str">
        <f t="shared" si="46"/>
        <v>1w</v>
      </c>
      <c r="X2384" s="128">
        <f>_xll.qlCalendarAdvance(Calendar,X2383,W2384,"f",FALSE)</f>
        <v>55851</v>
      </c>
      <c r="Y2384" s="131">
        <f>_xll.qlCalendarAdvance(Calendar,X2384,NDays&amp;"D")</f>
        <v>55855</v>
      </c>
      <c r="Z2384" s="132">
        <v>1.2384589817534066E-2</v>
      </c>
      <c r="AA2384" s="129">
        <v>1.2417096648738024E-2</v>
      </c>
    </row>
    <row r="2385" spans="19:27" x14ac:dyDescent="0.2">
      <c r="S2385" s="1"/>
      <c r="T2385" s="109"/>
      <c r="W2385" s="130" t="str">
        <f t="shared" si="46"/>
        <v>1w</v>
      </c>
      <c r="X2385" s="128">
        <f>_xll.qlCalendarAdvance(Calendar,X2384,W2385,"f",FALSE)</f>
        <v>55858</v>
      </c>
      <c r="Y2385" s="131">
        <f>_xll.qlCalendarAdvance(Calendar,X2385,NDays&amp;"D")</f>
        <v>55862</v>
      </c>
      <c r="Z2385" s="132">
        <v>1.2376478250719783E-2</v>
      </c>
      <c r="AA2385" s="129">
        <v>1.2409142029214948E-2</v>
      </c>
    </row>
    <row r="2386" spans="19:27" x14ac:dyDescent="0.2">
      <c r="S2386" s="1"/>
      <c r="T2386" s="109"/>
      <c r="W2386" s="130" t="str">
        <f t="shared" si="46"/>
        <v>1w</v>
      </c>
      <c r="X2386" s="128">
        <f>_xll.qlCalendarAdvance(Calendar,X2385,W2386,"f",FALSE)</f>
        <v>55865</v>
      </c>
      <c r="Y2386" s="131">
        <f>_xll.qlCalendarAdvance(Calendar,X2386,NDays&amp;"D")</f>
        <v>55869</v>
      </c>
      <c r="Z2386" s="132">
        <v>1.236834611615492E-2</v>
      </c>
      <c r="AA2386" s="129">
        <v>1.2401166888906801E-2</v>
      </c>
    </row>
    <row r="2387" spans="19:27" x14ac:dyDescent="0.2">
      <c r="S2387" s="1"/>
      <c r="T2387" s="109"/>
      <c r="W2387" s="130" t="str">
        <f t="shared" si="46"/>
        <v>1w</v>
      </c>
      <c r="X2387" s="128">
        <f>_xll.qlCalendarAdvance(Calendar,X2386,W2387,"f",FALSE)</f>
        <v>55872</v>
      </c>
      <c r="Y2387" s="131">
        <f>_xll.qlCalendarAdvance(Calendar,X2387,NDays&amp;"D")</f>
        <v>55876</v>
      </c>
      <c r="Z2387" s="132">
        <v>1.2360193413964212E-2</v>
      </c>
      <c r="AA2387" s="129">
        <v>1.239317122805339E-2</v>
      </c>
    </row>
    <row r="2388" spans="19:27" x14ac:dyDescent="0.2">
      <c r="S2388" s="1"/>
      <c r="T2388" s="109"/>
      <c r="W2388" s="130" t="str">
        <f t="shared" si="46"/>
        <v>1w</v>
      </c>
      <c r="X2388" s="128">
        <f>_xll.qlCalendarAdvance(Calendar,X2387,W2388,"f",FALSE)</f>
        <v>55880</v>
      </c>
      <c r="Y2388" s="131">
        <f>_xll.qlCalendarAdvance(Calendar,X2388,NDays&amp;"D")</f>
        <v>55884</v>
      </c>
      <c r="Z2388" s="132">
        <v>1.2351227056856651E-2</v>
      </c>
      <c r="AA2388" s="129">
        <v>1.2383647556402089E-2</v>
      </c>
    </row>
    <row r="2389" spans="19:27" x14ac:dyDescent="0.2">
      <c r="S2389" s="1"/>
      <c r="T2389" s="109"/>
      <c r="W2389" s="130" t="str">
        <f t="shared" ref="W2389:W2452" si="47">W2388</f>
        <v>1w</v>
      </c>
      <c r="X2389" s="128">
        <f>_xll.qlCalendarAdvance(Calendar,X2388,W2389,"f",FALSE)</f>
        <v>55887</v>
      </c>
      <c r="Y2389" s="131">
        <f>_xll.qlCalendarAdvance(Calendar,X2389,NDays&amp;"D")</f>
        <v>55891</v>
      </c>
      <c r="Z2389" s="132">
        <v>1.2342654080102006E-2</v>
      </c>
      <c r="AA2389" s="129">
        <v>1.2375968568596463E-2</v>
      </c>
    </row>
    <row r="2390" spans="19:27" x14ac:dyDescent="0.2">
      <c r="S2390" s="1"/>
      <c r="T2390" s="109"/>
      <c r="W2390" s="130" t="str">
        <f t="shared" si="47"/>
        <v>1w</v>
      </c>
      <c r="X2390" s="128">
        <f>_xll.qlCalendarAdvance(Calendar,X2389,W2390,"f",FALSE)</f>
        <v>55894</v>
      </c>
      <c r="Y2390" s="131">
        <f>_xll.qlCalendarAdvance(Calendar,X2390,NDays&amp;"D")</f>
        <v>55898</v>
      </c>
      <c r="Z2390" s="132">
        <v>1.2334816439103058E-2</v>
      </c>
      <c r="AA2390" s="129">
        <v>1.2367908414052664E-2</v>
      </c>
    </row>
    <row r="2391" spans="19:27" x14ac:dyDescent="0.2">
      <c r="S2391" s="1"/>
      <c r="T2391" s="109"/>
      <c r="W2391" s="130" t="str">
        <f t="shared" si="47"/>
        <v>1w</v>
      </c>
      <c r="X2391" s="128">
        <f>_xll.qlCalendarAdvance(Calendar,X2390,W2391,"f",FALSE)</f>
        <v>55901</v>
      </c>
      <c r="Y2391" s="131">
        <f>_xll.qlCalendarAdvance(Calendar,X2391,NDays&amp;"D")</f>
        <v>55905</v>
      </c>
      <c r="Z2391" s="132">
        <v>1.2326580280277E-2</v>
      </c>
      <c r="AA2391" s="129">
        <v>1.2359827738643858E-2</v>
      </c>
    </row>
    <row r="2392" spans="19:27" x14ac:dyDescent="0.2">
      <c r="S2392" s="1"/>
      <c r="T2392" s="109"/>
      <c r="W2392" s="130" t="str">
        <f t="shared" si="47"/>
        <v>1w</v>
      </c>
      <c r="X2392" s="128">
        <f>_xll.qlCalendarAdvance(Calendar,X2391,W2392,"f",FALSE)</f>
        <v>55908</v>
      </c>
      <c r="Y2392" s="131">
        <f>_xll.qlCalendarAdvance(Calendar,X2392,NDays&amp;"D")</f>
        <v>55912</v>
      </c>
      <c r="Z2392" s="132">
        <v>1.2318323554985078E-2</v>
      </c>
      <c r="AA2392" s="129">
        <v>1.2351726542769725E-2</v>
      </c>
    </row>
    <row r="2393" spans="19:27" x14ac:dyDescent="0.2">
      <c r="S2393" s="1"/>
      <c r="T2393" s="109"/>
      <c r="W2393" s="130" t="str">
        <f t="shared" si="47"/>
        <v>1w</v>
      </c>
      <c r="X2393" s="128">
        <f>_xll.qlCalendarAdvance(Calendar,X2392,W2393,"f",FALSE)</f>
        <v>55915</v>
      </c>
      <c r="Y2393" s="131">
        <f>_xll.qlCalendarAdvance(Calendar,X2393,NDays&amp;"D")</f>
        <v>55919</v>
      </c>
      <c r="Z2393" s="132">
        <v>1.2310046263357854E-2</v>
      </c>
      <c r="AA2393" s="129">
        <v>1.2343604826030585E-2</v>
      </c>
    </row>
    <row r="2394" spans="19:27" x14ac:dyDescent="0.2">
      <c r="S2394" s="1"/>
      <c r="T2394" s="109"/>
      <c r="W2394" s="130" t="str">
        <f t="shared" si="47"/>
        <v>1w</v>
      </c>
      <c r="X2394" s="128">
        <f>_xll.qlCalendarAdvance(Calendar,X2393,W2394,"f",FALSE)</f>
        <v>55922</v>
      </c>
      <c r="Y2394" s="131">
        <f>_xll.qlCalendarAdvance(Calendar,X2394,NDays&amp;"D")</f>
        <v>55926</v>
      </c>
      <c r="Z2394" s="132">
        <v>1.2301748405521451E-2</v>
      </c>
      <c r="AA2394" s="129">
        <v>1.2335462588666246E-2</v>
      </c>
    </row>
    <row r="2395" spans="19:27" x14ac:dyDescent="0.2">
      <c r="S2395" s="1"/>
      <c r="T2395" s="109"/>
      <c r="W2395" s="130" t="str">
        <f t="shared" si="47"/>
        <v>1w</v>
      </c>
      <c r="X2395" s="128">
        <f>_xll.qlCalendarAdvance(Calendar,X2394,W2395,"f",FALSE)</f>
        <v>55929</v>
      </c>
      <c r="Y2395" s="131">
        <f>_xll.qlCalendarAdvance(Calendar,X2395,NDays&amp;"D")</f>
        <v>55933</v>
      </c>
      <c r="Z2395" s="132">
        <v>1.2293429981601989E-2</v>
      </c>
      <c r="AA2395" s="129">
        <v>1.2327299830676708E-2</v>
      </c>
    </row>
    <row r="2396" spans="19:27" x14ac:dyDescent="0.2">
      <c r="S2396" s="1"/>
      <c r="T2396" s="109"/>
      <c r="W2396" s="130" t="str">
        <f t="shared" si="47"/>
        <v>1w</v>
      </c>
      <c r="X2396" s="128">
        <f>_xll.qlCalendarAdvance(Calendar,X2395,W2396,"f",FALSE)</f>
        <v>55936</v>
      </c>
      <c r="Y2396" s="131">
        <f>_xll.qlCalendarAdvance(Calendar,X2396,NDays&amp;"D")</f>
        <v>55940</v>
      </c>
      <c r="Z2396" s="132">
        <v>1.2285090991729142E-2</v>
      </c>
      <c r="AA2396" s="129">
        <v>1.2319116551902098E-2</v>
      </c>
    </row>
    <row r="2397" spans="19:27" x14ac:dyDescent="0.2">
      <c r="S2397" s="1"/>
      <c r="T2397" s="109"/>
      <c r="W2397" s="130" t="str">
        <f t="shared" si="47"/>
        <v>1w</v>
      </c>
      <c r="X2397" s="128">
        <f>_xll.qlCalendarAdvance(Calendar,X2396,W2397,"f",FALSE)</f>
        <v>55943</v>
      </c>
      <c r="Y2397" s="131">
        <f>_xll.qlCalendarAdvance(Calendar,X2397,NDays&amp;"D")</f>
        <v>55947</v>
      </c>
      <c r="Z2397" s="132">
        <v>1.2275947325425977E-2</v>
      </c>
      <c r="AA2397" s="129">
        <v>1.231091275250229E-2</v>
      </c>
    </row>
    <row r="2398" spans="19:27" x14ac:dyDescent="0.2">
      <c r="S2398" s="1"/>
      <c r="T2398" s="109"/>
      <c r="W2398" s="130" t="str">
        <f t="shared" si="47"/>
        <v>1w</v>
      </c>
      <c r="X2398" s="128">
        <f>_xll.qlCalendarAdvance(Calendar,X2397,W2398,"f",FALSE)</f>
        <v>55950</v>
      </c>
      <c r="Y2398" s="131">
        <f>_xll.qlCalendarAdvance(Calendar,X2398,NDays&amp;"D")</f>
        <v>55954</v>
      </c>
      <c r="Z2398" s="132">
        <v>1.2267563695444439E-2</v>
      </c>
      <c r="AA2398" s="129">
        <v>1.2302688432397346E-2</v>
      </c>
    </row>
    <row r="2399" spans="19:27" x14ac:dyDescent="0.2">
      <c r="S2399" s="1"/>
      <c r="T2399" s="109"/>
      <c r="W2399" s="130" t="str">
        <f t="shared" si="47"/>
        <v>1w</v>
      </c>
      <c r="X2399" s="128">
        <f>_xll.qlCalendarAdvance(Calendar,X2398,W2399,"f",FALSE)</f>
        <v>55957</v>
      </c>
      <c r="Y2399" s="131">
        <f>_xll.qlCalendarAdvance(Calendar,X2399,NDays&amp;"D")</f>
        <v>55961</v>
      </c>
      <c r="Z2399" s="132">
        <v>1.2259159498905747E-2</v>
      </c>
      <c r="AA2399" s="129">
        <v>1.2294443591507331E-2</v>
      </c>
    </row>
    <row r="2400" spans="19:27" x14ac:dyDescent="0.2">
      <c r="S2400" s="1"/>
      <c r="T2400" s="109"/>
      <c r="W2400" s="130" t="str">
        <f t="shared" si="47"/>
        <v>1w</v>
      </c>
      <c r="X2400" s="128">
        <f>_xll.qlCalendarAdvance(Calendar,X2399,W2400,"f",FALSE)</f>
        <v>55964</v>
      </c>
      <c r="Y2400" s="131">
        <f>_xll.qlCalendarAdvance(Calendar,X2400,NDays&amp;"D")</f>
        <v>55968</v>
      </c>
      <c r="Z2400" s="132">
        <v>1.2250734735938495E-2</v>
      </c>
      <c r="AA2400" s="129">
        <v>1.2286178229912181E-2</v>
      </c>
    </row>
    <row r="2401" spans="19:27" x14ac:dyDescent="0.2">
      <c r="S2401" s="1"/>
      <c r="T2401" s="109"/>
      <c r="W2401" s="130" t="str">
        <f t="shared" si="47"/>
        <v>1w</v>
      </c>
      <c r="X2401" s="128">
        <f>_xll.qlCalendarAdvance(Calendar,X2400,W2401,"f",FALSE)</f>
        <v>55971</v>
      </c>
      <c r="Y2401" s="131">
        <f>_xll.qlCalendarAdvance(Calendar,X2401,NDays&amp;"D")</f>
        <v>55975</v>
      </c>
      <c r="Z2401" s="132">
        <v>1.224268857033927E-2</v>
      </c>
      <c r="AA2401" s="129">
        <v>1.2277892347771768E-2</v>
      </c>
    </row>
    <row r="2402" spans="19:27" x14ac:dyDescent="0.2">
      <c r="S2402" s="1"/>
      <c r="T2402" s="109"/>
      <c r="W2402" s="130" t="str">
        <f t="shared" si="47"/>
        <v>1w</v>
      </c>
      <c r="X2402" s="128">
        <f>_xll.qlCalendarAdvance(Calendar,X2401,W2402,"f",FALSE)</f>
        <v>55982</v>
      </c>
      <c r="Y2402" s="131">
        <f>_xll.qlCalendarAdvance(Calendar,X2402,NDays&amp;"D")</f>
        <v>55984</v>
      </c>
      <c r="Z2402" s="132">
        <v>1.2231802328412898E-2</v>
      </c>
      <c r="AA2402" s="129">
        <v>1.2267208917791095E-2</v>
      </c>
    </row>
    <row r="2403" spans="19:27" x14ac:dyDescent="0.2">
      <c r="S2403" s="1"/>
      <c r="T2403" s="109"/>
      <c r="W2403" s="130" t="str">
        <f t="shared" si="47"/>
        <v>1w</v>
      </c>
      <c r="X2403" s="128">
        <f>_xll.qlCalendarAdvance(Calendar,X2402,W2403,"f",FALSE)</f>
        <v>55989</v>
      </c>
      <c r="Y2403" s="131">
        <f>_xll.qlCalendarAdvance(Calendar,X2403,NDays&amp;"D")</f>
        <v>55991</v>
      </c>
      <c r="Z2403" s="132">
        <v>1.2223311747912245E-2</v>
      </c>
      <c r="AA2403" s="129">
        <v>1.2258876131170382E-2</v>
      </c>
    </row>
    <row r="2404" spans="19:27" x14ac:dyDescent="0.2">
      <c r="S2404" s="1"/>
      <c r="T2404" s="109"/>
      <c r="W2404" s="130" t="str">
        <f t="shared" si="47"/>
        <v>1w</v>
      </c>
      <c r="X2404" s="128">
        <f>_xll.qlCalendarAdvance(Calendar,X2403,W2404,"f",FALSE)</f>
        <v>55996</v>
      </c>
      <c r="Y2404" s="131">
        <f>_xll.qlCalendarAdvance(Calendar,X2404,NDays&amp;"D")</f>
        <v>55998</v>
      </c>
      <c r="Z2404" s="132">
        <v>1.2214800602044161E-2</v>
      </c>
      <c r="AA2404" s="129">
        <v>1.2250522823844534E-2</v>
      </c>
    </row>
    <row r="2405" spans="19:27" x14ac:dyDescent="0.2">
      <c r="S2405" s="1"/>
      <c r="T2405" s="109"/>
      <c r="W2405" s="130" t="str">
        <f t="shared" si="47"/>
        <v>1w</v>
      </c>
      <c r="X2405" s="128">
        <f>_xll.qlCalendarAdvance(Calendar,X2404,W2405,"f",FALSE)</f>
        <v>56003</v>
      </c>
      <c r="Y2405" s="131">
        <f>_xll.qlCalendarAdvance(Calendar,X2405,NDays&amp;"D")</f>
        <v>56006</v>
      </c>
      <c r="Z2405" s="132">
        <v>1.2203827029947401E-2</v>
      </c>
      <c r="AA2405" s="129">
        <v>1.2240168712782662E-2</v>
      </c>
    </row>
    <row r="2406" spans="19:27" x14ac:dyDescent="0.2">
      <c r="S2406" s="1"/>
      <c r="T2406" s="109"/>
      <c r="W2406" s="130" t="str">
        <f t="shared" si="47"/>
        <v>1w</v>
      </c>
      <c r="X2406" s="128">
        <f>_xll.qlCalendarAdvance(Calendar,X2405,W2406,"f",FALSE)</f>
        <v>56010</v>
      </c>
      <c r="Y2406" s="131">
        <f>_xll.qlCalendarAdvance(Calendar,X2406,NDays&amp;"D")</f>
        <v>56012</v>
      </c>
      <c r="Z2406" s="132">
        <v>1.2197308162213405E-2</v>
      </c>
      <c r="AA2406" s="129">
        <v>1.2233754647237305E-2</v>
      </c>
    </row>
    <row r="2407" spans="19:27" x14ac:dyDescent="0.2">
      <c r="S2407" s="1"/>
      <c r="T2407" s="109"/>
      <c r="W2407" s="130" t="str">
        <f t="shared" si="47"/>
        <v>1w</v>
      </c>
      <c r="X2407" s="128">
        <f>_xll.qlCalendarAdvance(Calendar,X2406,W2407,"f",FALSE)</f>
        <v>56017</v>
      </c>
      <c r="Y2407" s="131">
        <f>_xll.qlCalendarAdvance(Calendar,X2407,NDays&amp;"D")</f>
        <v>56019</v>
      </c>
      <c r="Z2407" s="132">
        <v>1.2188733562158197E-2</v>
      </c>
      <c r="AA2407" s="129">
        <v>1.2225339777955924E-2</v>
      </c>
    </row>
    <row r="2408" spans="19:27" x14ac:dyDescent="0.2">
      <c r="S2408" s="1"/>
      <c r="T2408" s="109"/>
      <c r="W2408" s="130" t="str">
        <f t="shared" si="47"/>
        <v>1w</v>
      </c>
      <c r="X2408" s="128">
        <f>_xll.qlCalendarAdvance(Calendar,X2407,W2408,"f",FALSE)</f>
        <v>56024</v>
      </c>
      <c r="Y2408" s="131">
        <f>_xll.qlCalendarAdvance(Calendar,X2408,NDays&amp;"D")</f>
        <v>56026</v>
      </c>
      <c r="Z2408" s="132">
        <v>1.2180138396782241E-2</v>
      </c>
      <c r="AA2408" s="129">
        <v>1.2216904387729599E-2</v>
      </c>
    </row>
    <row r="2409" spans="19:27" x14ac:dyDescent="0.2">
      <c r="S2409" s="1"/>
      <c r="T2409" s="109"/>
      <c r="W2409" s="130" t="str">
        <f t="shared" si="47"/>
        <v>1w</v>
      </c>
      <c r="X2409" s="128">
        <f>_xll.qlCalendarAdvance(Calendar,X2408,W2409,"f",FALSE)</f>
        <v>56031</v>
      </c>
      <c r="Y2409" s="131">
        <f>_xll.qlCalendarAdvance(Calendar,X2409,NDays&amp;"D")</f>
        <v>56033</v>
      </c>
      <c r="Z2409" s="132">
        <v>1.2171522666222814E-2</v>
      </c>
      <c r="AA2409" s="129">
        <v>1.2208448477117884E-2</v>
      </c>
    </row>
    <row r="2410" spans="19:27" x14ac:dyDescent="0.2">
      <c r="S2410" s="1"/>
      <c r="T2410" s="109"/>
      <c r="W2410" s="130" t="str">
        <f t="shared" si="47"/>
        <v>1w</v>
      </c>
      <c r="X2410" s="128">
        <f>_xll.qlCalendarAdvance(Calendar,X2409,W2410,"f",FALSE)</f>
        <v>56038</v>
      </c>
      <c r="Y2410" s="131">
        <f>_xll.qlCalendarAdvance(Calendar,X2410,NDays&amp;"D")</f>
        <v>56040</v>
      </c>
      <c r="Z2410" s="132">
        <v>1.2162886370615463E-2</v>
      </c>
      <c r="AA2410" s="129">
        <v>1.2199972045721097E-2</v>
      </c>
    </row>
    <row r="2411" spans="19:27" x14ac:dyDescent="0.2">
      <c r="S2411" s="1"/>
      <c r="T2411" s="109"/>
      <c r="W2411" s="130" t="str">
        <f t="shared" si="47"/>
        <v>1w</v>
      </c>
      <c r="X2411" s="128">
        <f>_xll.qlCalendarAdvance(Calendar,X2410,W2411,"f",FALSE)</f>
        <v>56045</v>
      </c>
      <c r="Y2411" s="131">
        <f>_xll.qlCalendarAdvance(Calendar,X2411,NDays&amp;"D")</f>
        <v>56047</v>
      </c>
      <c r="Z2411" s="132">
        <v>1.2154229510095729E-2</v>
      </c>
      <c r="AA2411" s="129">
        <v>1.2191475093699111E-2</v>
      </c>
    </row>
    <row r="2412" spans="19:27" x14ac:dyDescent="0.2">
      <c r="S2412" s="1"/>
      <c r="T2412" s="109"/>
      <c r="W2412" s="130" t="str">
        <f t="shared" si="47"/>
        <v>1w</v>
      </c>
      <c r="X2412" s="128">
        <f>_xll.qlCalendarAdvance(Calendar,X2411,W2412,"f",FALSE)</f>
        <v>56052</v>
      </c>
      <c r="Y2412" s="131">
        <f>_xll.qlCalendarAdvance(Calendar,X2412,NDays&amp;"D")</f>
        <v>56054</v>
      </c>
      <c r="Z2412" s="132">
        <v>1.2145552084799158E-2</v>
      </c>
      <c r="AA2412" s="129">
        <v>1.2182957620892054E-2</v>
      </c>
    </row>
    <row r="2413" spans="19:27" x14ac:dyDescent="0.2">
      <c r="S2413" s="1"/>
      <c r="T2413" s="109"/>
      <c r="W2413" s="130" t="str">
        <f t="shared" si="47"/>
        <v>1w</v>
      </c>
      <c r="X2413" s="128">
        <f>_xll.qlCalendarAdvance(Calendar,X2412,W2413,"f",FALSE)</f>
        <v>56059</v>
      </c>
      <c r="Y2413" s="131">
        <f>_xll.qlCalendarAdvance(Calendar,X2413,NDays&amp;"D")</f>
        <v>56061</v>
      </c>
      <c r="Z2413" s="132">
        <v>1.213685409486303E-2</v>
      </c>
      <c r="AA2413" s="129">
        <v>1.217441962761967E-2</v>
      </c>
    </row>
    <row r="2414" spans="19:27" x14ac:dyDescent="0.2">
      <c r="S2414" s="1"/>
      <c r="T2414" s="109"/>
      <c r="W2414" s="130" t="str">
        <f t="shared" si="47"/>
        <v>1w</v>
      </c>
      <c r="X2414" s="128">
        <f>_xll.qlCalendarAdvance(Calendar,X2413,W2414,"f",FALSE)</f>
        <v>56066</v>
      </c>
      <c r="Y2414" s="131">
        <f>_xll.qlCalendarAdvance(Calendar,X2414,NDays&amp;"D")</f>
        <v>56068</v>
      </c>
      <c r="Z2414" s="132">
        <v>1.212813554042289E-2</v>
      </c>
      <c r="AA2414" s="129">
        <v>1.2165861113482279E-2</v>
      </c>
    </row>
    <row r="2415" spans="19:27" x14ac:dyDescent="0.2">
      <c r="S2415" s="1"/>
      <c r="T2415" s="109"/>
      <c r="W2415" s="130" t="str">
        <f t="shared" si="47"/>
        <v>1w</v>
      </c>
      <c r="X2415" s="128">
        <f>_xll.qlCalendarAdvance(Calendar,X2414,W2415,"f",FALSE)</f>
        <v>56073</v>
      </c>
      <c r="Y2415" s="131">
        <f>_xll.qlCalendarAdvance(Calendar,X2415,NDays&amp;"D")</f>
        <v>56075</v>
      </c>
      <c r="Z2415" s="132">
        <v>1.2119396421616887E-2</v>
      </c>
      <c r="AA2415" s="129">
        <v>1.2157282078719689E-2</v>
      </c>
    </row>
    <row r="2416" spans="19:27" x14ac:dyDescent="0.2">
      <c r="S2416" s="1"/>
      <c r="T2416" s="109"/>
      <c r="W2416" s="130" t="str">
        <f t="shared" si="47"/>
        <v>1w</v>
      </c>
      <c r="X2416" s="128">
        <f>_xll.qlCalendarAdvance(Calendar,X2415,W2416,"f",FALSE)</f>
        <v>56080</v>
      </c>
      <c r="Y2416" s="131">
        <f>_xll.qlCalendarAdvance(Calendar,X2416,NDays&amp;"D")</f>
        <v>56082</v>
      </c>
      <c r="Z2416" s="132">
        <v>1.2110636738583171E-2</v>
      </c>
      <c r="AA2416" s="129">
        <v>1.2148682523411836E-2</v>
      </c>
    </row>
    <row r="2417" spans="19:27" x14ac:dyDescent="0.2">
      <c r="S2417" s="1"/>
      <c r="T2417" s="109"/>
      <c r="W2417" s="130" t="str">
        <f t="shared" si="47"/>
        <v>1w</v>
      </c>
      <c r="X2417" s="128">
        <f>_xll.qlCalendarAdvance(Calendar,X2416,W2417,"f",FALSE)</f>
        <v>56087</v>
      </c>
      <c r="Y2417" s="131">
        <f>_xll.qlCalendarAdvance(Calendar,X2417,NDays&amp;"D")</f>
        <v>56089</v>
      </c>
      <c r="Z2417" s="132">
        <v>1.210185649145642E-2</v>
      </c>
      <c r="AA2417" s="129">
        <v>1.2140062447318911E-2</v>
      </c>
    </row>
    <row r="2418" spans="19:27" x14ac:dyDescent="0.2">
      <c r="S2418" s="1"/>
      <c r="T2418" s="109"/>
      <c r="W2418" s="130" t="str">
        <f t="shared" si="47"/>
        <v>1w</v>
      </c>
      <c r="X2418" s="128">
        <f>_xll.qlCalendarAdvance(Calendar,X2417,W2418,"f",FALSE)</f>
        <v>56094</v>
      </c>
      <c r="Y2418" s="131">
        <f>_xll.qlCalendarAdvance(Calendar,X2418,NDays&amp;"D")</f>
        <v>56096</v>
      </c>
      <c r="Z2418" s="132">
        <v>1.2093055680379996E-2</v>
      </c>
      <c r="AA2418" s="129">
        <v>1.2131421850600788E-2</v>
      </c>
    </row>
    <row r="2419" spans="19:27" x14ac:dyDescent="0.2">
      <c r="S2419" s="1"/>
      <c r="T2419" s="109"/>
      <c r="W2419" s="130" t="str">
        <f t="shared" si="47"/>
        <v>1w</v>
      </c>
      <c r="X2419" s="128">
        <f>_xll.qlCalendarAdvance(Calendar,X2418,W2419,"f",FALSE)</f>
        <v>56101</v>
      </c>
      <c r="Y2419" s="131">
        <f>_xll.qlCalendarAdvance(Calendar,X2419,NDays&amp;"D")</f>
        <v>56103</v>
      </c>
      <c r="Z2419" s="132">
        <v>1.2084234305485964E-2</v>
      </c>
      <c r="AA2419" s="129">
        <v>1.2122760733257465E-2</v>
      </c>
    </row>
    <row r="2420" spans="19:27" x14ac:dyDescent="0.2">
      <c r="S2420" s="1"/>
      <c r="T2420" s="109"/>
      <c r="W2420" s="130" t="str">
        <f t="shared" si="47"/>
        <v>1w</v>
      </c>
      <c r="X2420" s="128">
        <f>_xll.qlCalendarAdvance(Calendar,X2419,W2420,"f",FALSE)</f>
        <v>56108</v>
      </c>
      <c r="Y2420" s="131">
        <f>_xll.qlCalendarAdvance(Calendar,X2420,NDays&amp;"D")</f>
        <v>56110</v>
      </c>
      <c r="Z2420" s="132">
        <v>1.2075392366918561E-2</v>
      </c>
      <c r="AA2420" s="129">
        <v>1.2114079095368879E-2</v>
      </c>
    </row>
    <row r="2421" spans="19:27" x14ac:dyDescent="0.2">
      <c r="S2421" s="1"/>
      <c r="T2421" s="109"/>
      <c r="W2421" s="130" t="str">
        <f t="shared" si="47"/>
        <v>1w</v>
      </c>
      <c r="X2421" s="128">
        <f>_xll.qlCalendarAdvance(Calendar,X2420,W2421,"f",FALSE)</f>
        <v>56115</v>
      </c>
      <c r="Y2421" s="131">
        <f>_xll.qlCalendarAdvance(Calendar,X2421,NDays&amp;"D")</f>
        <v>56117</v>
      </c>
      <c r="Z2421" s="132">
        <v>1.2066529864814197E-2</v>
      </c>
      <c r="AA2421" s="129">
        <v>1.210537693653535E-2</v>
      </c>
    </row>
    <row r="2422" spans="19:27" x14ac:dyDescent="0.2">
      <c r="S2422" s="1"/>
      <c r="T2422" s="109"/>
      <c r="W2422" s="130" t="str">
        <f t="shared" si="47"/>
        <v>1w</v>
      </c>
      <c r="X2422" s="128">
        <f>_xll.qlCalendarAdvance(Calendar,X2421,W2422,"f",FALSE)</f>
        <v>56122</v>
      </c>
      <c r="Y2422" s="131">
        <f>_xll.qlCalendarAdvance(Calendar,X2422,NDays&amp;"D")</f>
        <v>56124</v>
      </c>
      <c r="Z2422" s="132">
        <v>1.2057646799312762E-2</v>
      </c>
      <c r="AA2422" s="129">
        <v>1.2096654257236494E-2</v>
      </c>
    </row>
    <row r="2423" spans="19:27" x14ac:dyDescent="0.2">
      <c r="S2423" s="1"/>
      <c r="T2423" s="109"/>
      <c r="W2423" s="130" t="str">
        <f t="shared" si="47"/>
        <v>1w</v>
      </c>
      <c r="X2423" s="128">
        <f>_xll.qlCalendarAdvance(Calendar,X2422,W2423,"f",FALSE)</f>
        <v>56129</v>
      </c>
      <c r="Y2423" s="131">
        <f>_xll.qlCalendarAdvance(Calendar,X2423,NDays&amp;"D")</f>
        <v>56131</v>
      </c>
      <c r="Z2423" s="132">
        <v>1.2049181588418084E-2</v>
      </c>
      <c r="AA2423" s="129">
        <v>1.2087911057232503E-2</v>
      </c>
    </row>
    <row r="2424" spans="19:27" x14ac:dyDescent="0.2">
      <c r="S2424" s="1"/>
      <c r="T2424" s="109"/>
      <c r="W2424" s="130" t="str">
        <f t="shared" si="47"/>
        <v>1w</v>
      </c>
      <c r="X2424" s="128">
        <f>_xll.qlCalendarAdvance(Calendar,X2423,W2424,"f",FALSE)</f>
        <v>56136</v>
      </c>
      <c r="Y2424" s="131">
        <f>_xll.qlCalendarAdvance(Calendar,X2424,NDays&amp;"D")</f>
        <v>56138</v>
      </c>
      <c r="Z2424" s="132">
        <v>1.2040259163398605E-2</v>
      </c>
      <c r="AA2424" s="129">
        <v>1.2079147336603313E-2</v>
      </c>
    </row>
    <row r="2425" spans="19:27" x14ac:dyDescent="0.2">
      <c r="S2425" s="1"/>
      <c r="T2425" s="109"/>
      <c r="W2425" s="130" t="str">
        <f t="shared" si="47"/>
        <v>1w</v>
      </c>
      <c r="X2425" s="128">
        <f>_xll.qlCalendarAdvance(Calendar,X2424,W2425,"f",FALSE)</f>
        <v>56143</v>
      </c>
      <c r="Y2425" s="131">
        <f>_xll.qlCalendarAdvance(Calendar,X2425,NDays&amp;"D")</f>
        <v>56145</v>
      </c>
      <c r="Z2425" s="132">
        <v>1.2031316175856012E-2</v>
      </c>
      <c r="AA2425" s="129">
        <v>1.2070363095348924E-2</v>
      </c>
    </row>
    <row r="2426" spans="19:27" x14ac:dyDescent="0.2">
      <c r="S2426" s="1"/>
      <c r="T2426" s="109"/>
      <c r="W2426" s="130" t="str">
        <f t="shared" si="47"/>
        <v>1w</v>
      </c>
      <c r="X2426" s="128">
        <f>_xll.qlCalendarAdvance(Calendar,X2425,W2426,"f",FALSE)</f>
        <v>56150</v>
      </c>
      <c r="Y2426" s="131">
        <f>_xll.qlCalendarAdvance(Calendar,X2426,NDays&amp;"D")</f>
        <v>56152</v>
      </c>
      <c r="Z2426" s="132">
        <v>1.2020576676129236E-2</v>
      </c>
      <c r="AA2426" s="129">
        <v>1.2061558333309463E-2</v>
      </c>
    </row>
    <row r="2427" spans="19:27" x14ac:dyDescent="0.2">
      <c r="S2427" s="1"/>
      <c r="T2427" s="109"/>
      <c r="W2427" s="130" t="str">
        <f t="shared" si="47"/>
        <v>1w</v>
      </c>
      <c r="X2427" s="128">
        <f>_xll.qlCalendarAdvance(Calendar,X2426,W2427,"f",FALSE)</f>
        <v>56157</v>
      </c>
      <c r="Y2427" s="131">
        <f>_xll.qlCalendarAdvance(Calendar,X2427,NDays&amp;"D")</f>
        <v>56159</v>
      </c>
      <c r="Z2427" s="132">
        <v>1.2012923025745584E-2</v>
      </c>
      <c r="AA2427" s="129">
        <v>1.2052733050644804E-2</v>
      </c>
    </row>
    <row r="2428" spans="19:27" x14ac:dyDescent="0.2">
      <c r="S2428" s="1"/>
      <c r="T2428" s="109"/>
      <c r="W2428" s="130" t="str">
        <f t="shared" si="47"/>
        <v>1w</v>
      </c>
      <c r="X2428" s="128">
        <f>_xll.qlCalendarAdvance(Calendar,X2427,W2428,"f",FALSE)</f>
        <v>56164</v>
      </c>
      <c r="Y2428" s="131">
        <f>_xll.qlCalendarAdvance(Calendar,X2428,NDays&amp;"D")</f>
        <v>56166</v>
      </c>
      <c r="Z2428" s="132">
        <v>1.2003916582806317E-2</v>
      </c>
      <c r="AA2428" s="129">
        <v>1.2043887247594753E-2</v>
      </c>
    </row>
    <row r="2429" spans="19:27" x14ac:dyDescent="0.2">
      <c r="S2429" s="1"/>
      <c r="T2429" s="109"/>
      <c r="W2429" s="130" t="str">
        <f t="shared" si="47"/>
        <v>1w</v>
      </c>
      <c r="X2429" s="128">
        <f>_xll.qlCalendarAdvance(Calendar,X2428,W2429,"f",FALSE)</f>
        <v>56171</v>
      </c>
      <c r="Y2429" s="131">
        <f>_xll.qlCalendarAdvance(Calendar,X2429,NDays&amp;"D")</f>
        <v>56173</v>
      </c>
      <c r="Z2429" s="132">
        <v>1.1994889577454407E-2</v>
      </c>
      <c r="AA2429" s="129">
        <v>1.203502092359976E-2</v>
      </c>
    </row>
    <row r="2430" spans="19:27" x14ac:dyDescent="0.2">
      <c r="S2430" s="1"/>
      <c r="T2430" s="109"/>
      <c r="W2430" s="130" t="str">
        <f t="shared" si="47"/>
        <v>1w</v>
      </c>
      <c r="X2430" s="128">
        <f>_xll.qlCalendarAdvance(Calendar,X2429,W2430,"f",FALSE)</f>
        <v>56178</v>
      </c>
      <c r="Y2430" s="131">
        <f>_xll.qlCalendarAdvance(Calendar,X2430,NDays&amp;"D")</f>
        <v>56180</v>
      </c>
      <c r="Z2430" s="132">
        <v>1.1985842009831483E-2</v>
      </c>
      <c r="AA2430" s="129">
        <v>1.2026134078979567E-2</v>
      </c>
    </row>
    <row r="2431" spans="19:27" x14ac:dyDescent="0.2">
      <c r="S2431" s="1"/>
      <c r="T2431" s="109"/>
      <c r="W2431" s="130" t="str">
        <f t="shared" si="47"/>
        <v>1w</v>
      </c>
      <c r="X2431" s="128">
        <f>_xll.qlCalendarAdvance(Calendar,X2430,W2431,"f",FALSE)</f>
        <v>56185</v>
      </c>
      <c r="Y2431" s="131">
        <f>_xll.qlCalendarAdvance(Calendar,X2431,NDays&amp;"D")</f>
        <v>56187</v>
      </c>
      <c r="Z2431" s="132">
        <v>1.1976773880080034E-2</v>
      </c>
      <c r="AA2431" s="129">
        <v>1.2017226713973983E-2</v>
      </c>
    </row>
    <row r="2432" spans="19:27" x14ac:dyDescent="0.2">
      <c r="S2432" s="1"/>
      <c r="T2432" s="109"/>
      <c r="W2432" s="130" t="str">
        <f t="shared" si="47"/>
        <v>1w</v>
      </c>
      <c r="X2432" s="128">
        <f>_xll.qlCalendarAdvance(Calendar,X2431,W2432,"f",FALSE)</f>
        <v>56192</v>
      </c>
      <c r="Y2432" s="131">
        <f>_xll.qlCalendarAdvance(Calendar,X2432,NDays&amp;"D")</f>
        <v>56194</v>
      </c>
      <c r="Z2432" s="132">
        <v>1.196768518834343E-2</v>
      </c>
      <c r="AA2432" s="129">
        <v>1.2008298828023456E-2</v>
      </c>
    </row>
    <row r="2433" spans="19:27" x14ac:dyDescent="0.2">
      <c r="S2433" s="1"/>
      <c r="T2433" s="109"/>
      <c r="W2433" s="130" t="str">
        <f t="shared" si="47"/>
        <v>1w</v>
      </c>
      <c r="X2433" s="128">
        <f>_xll.qlCalendarAdvance(Calendar,X2432,W2433,"f",FALSE)</f>
        <v>56199</v>
      </c>
      <c r="Y2433" s="131">
        <f>_xll.qlCalendarAdvance(Calendar,X2433,NDays&amp;"D")</f>
        <v>56201</v>
      </c>
      <c r="Z2433" s="132">
        <v>1.1958575934762423E-2</v>
      </c>
      <c r="AA2433" s="129">
        <v>1.199935042144773E-2</v>
      </c>
    </row>
    <row r="2434" spans="19:27" x14ac:dyDescent="0.2">
      <c r="S2434" s="1"/>
      <c r="T2434" s="109"/>
      <c r="W2434" s="130" t="str">
        <f t="shared" si="47"/>
        <v>1w</v>
      </c>
      <c r="X2434" s="128">
        <f>_xll.qlCalendarAdvance(Calendar,X2433,W2434,"f",FALSE)</f>
        <v>56206</v>
      </c>
      <c r="Y2434" s="131">
        <f>_xll.qlCalendarAdvance(Calendar,X2434,NDays&amp;"D")</f>
        <v>56208</v>
      </c>
      <c r="Z2434" s="132">
        <v>1.1949446119483854E-2</v>
      </c>
      <c r="AA2434" s="129">
        <v>1.1990381494406677E-2</v>
      </c>
    </row>
    <row r="2435" spans="19:27" x14ac:dyDescent="0.2">
      <c r="S2435" s="1"/>
      <c r="T2435" s="109"/>
      <c r="W2435" s="130" t="str">
        <f t="shared" si="47"/>
        <v>1w</v>
      </c>
      <c r="X2435" s="128">
        <f>_xll.qlCalendarAdvance(Calendar,X2434,W2435,"f",FALSE)</f>
        <v>56213</v>
      </c>
      <c r="Y2435" s="131">
        <f>_xll.qlCalendarAdvance(Calendar,X2435,NDays&amp;"D")</f>
        <v>56215</v>
      </c>
      <c r="Z2435" s="132">
        <v>1.1940295742650219E-2</v>
      </c>
      <c r="AA2435" s="129">
        <v>1.1981392046820361E-2</v>
      </c>
    </row>
    <row r="2436" spans="19:27" x14ac:dyDescent="0.2">
      <c r="S2436" s="1"/>
      <c r="T2436" s="109"/>
      <c r="W2436" s="130" t="str">
        <f t="shared" si="47"/>
        <v>1w</v>
      </c>
      <c r="X2436" s="128">
        <f>_xll.qlCalendarAdvance(Calendar,X2435,W2436,"f",FALSE)</f>
        <v>56220</v>
      </c>
      <c r="Y2436" s="131">
        <f>_xll.qlCalendarAdvance(Calendar,X2436,NDays&amp;"D")</f>
        <v>56222</v>
      </c>
      <c r="Z2436" s="132">
        <v>1.1932047469425555E-2</v>
      </c>
      <c r="AA2436" s="129">
        <v>1.1972382078369037E-2</v>
      </c>
    </row>
    <row r="2437" spans="19:27" x14ac:dyDescent="0.2">
      <c r="S2437" s="1"/>
      <c r="T2437" s="109"/>
      <c r="W2437" s="130" t="str">
        <f t="shared" si="47"/>
        <v>1w</v>
      </c>
      <c r="X2437" s="128">
        <f>_xll.qlCalendarAdvance(Calendar,X2436,W2437,"f",FALSE)</f>
        <v>56227</v>
      </c>
      <c r="Y2437" s="131">
        <f>_xll.qlCalendarAdvance(Calendar,X2437,NDays&amp;"D")</f>
        <v>56229</v>
      </c>
      <c r="Z2437" s="132">
        <v>1.1922859515152595E-2</v>
      </c>
      <c r="AA2437" s="129">
        <v>1.1963351589292515E-2</v>
      </c>
    </row>
    <row r="2438" spans="19:27" x14ac:dyDescent="0.2">
      <c r="S2438" s="1"/>
      <c r="T2438" s="109"/>
      <c r="W2438" s="130" t="str">
        <f t="shared" si="47"/>
        <v>1w</v>
      </c>
      <c r="X2438" s="128">
        <f>_xll.qlCalendarAdvance(Calendar,X2437,W2438,"f",FALSE)</f>
        <v>56234</v>
      </c>
      <c r="Y2438" s="131">
        <f>_xll.qlCalendarAdvance(Calendar,X2438,NDays&amp;"D")</f>
        <v>56236</v>
      </c>
      <c r="Z2438" s="132">
        <v>1.1913651000627468E-2</v>
      </c>
      <c r="AA2438" s="129">
        <v>1.1954300579750665E-2</v>
      </c>
    </row>
    <row r="2439" spans="19:27" x14ac:dyDescent="0.2">
      <c r="S2439" s="1"/>
      <c r="T2439" s="109"/>
      <c r="W2439" s="130" t="str">
        <f t="shared" si="47"/>
        <v>1w</v>
      </c>
      <c r="X2439" s="128">
        <f>_xll.qlCalendarAdvance(Calendar,X2438,W2439,"f",FALSE)</f>
        <v>56241</v>
      </c>
      <c r="Y2439" s="131">
        <f>_xll.qlCalendarAdvance(Calendar,X2439,NDays&amp;"D")</f>
        <v>56247</v>
      </c>
      <c r="Z2439" s="132">
        <v>1.1898203607450265E-2</v>
      </c>
      <c r="AA2439" s="129">
        <v>1.1940036104469698E-2</v>
      </c>
    </row>
    <row r="2440" spans="19:27" x14ac:dyDescent="0.2">
      <c r="S2440" s="1"/>
      <c r="T2440" s="109"/>
      <c r="W2440" s="130" t="str">
        <f t="shared" si="47"/>
        <v>1w</v>
      </c>
      <c r="X2440" s="128">
        <f>_xll.qlCalendarAdvance(Calendar,X2439,W2440,"f",FALSE)</f>
        <v>56248</v>
      </c>
      <c r="Y2440" s="131">
        <f>_xll.qlCalendarAdvance(Calendar,X2440,NDays&amp;"D")</f>
        <v>56251</v>
      </c>
      <c r="Z2440" s="132">
        <v>1.1893849236656706E-2</v>
      </c>
      <c r="AA2440" s="129">
        <v>1.1933930946677052E-2</v>
      </c>
    </row>
    <row r="2441" spans="19:27" x14ac:dyDescent="0.2">
      <c r="S2441" s="1"/>
      <c r="T2441" s="109"/>
      <c r="W2441" s="130" t="str">
        <f t="shared" si="47"/>
        <v>1w</v>
      </c>
      <c r="X2441" s="128">
        <f>_xll.qlCalendarAdvance(Calendar,X2440,W2441,"f",FALSE)</f>
        <v>56255</v>
      </c>
      <c r="Y2441" s="131">
        <f>_xll.qlCalendarAdvance(Calendar,X2441,NDays&amp;"D")</f>
        <v>56257</v>
      </c>
      <c r="Z2441" s="132">
        <v>1.1885902096953949E-2</v>
      </c>
      <c r="AA2441" s="129">
        <v>1.1927024427054178E-2</v>
      </c>
    </row>
    <row r="2442" spans="19:27" x14ac:dyDescent="0.2">
      <c r="S2442" s="1"/>
      <c r="T2442" s="109"/>
      <c r="W2442" s="130" t="str">
        <f t="shared" si="47"/>
        <v>1w</v>
      </c>
      <c r="X2442" s="128">
        <f>_xll.qlCalendarAdvance(Calendar,X2441,W2442,"f",FALSE)</f>
        <v>56262</v>
      </c>
      <c r="Y2442" s="131">
        <f>_xll.qlCalendarAdvance(Calendar,X2442,NDays&amp;"D")</f>
        <v>56264</v>
      </c>
      <c r="Z2442" s="132">
        <v>1.1876611342837684E-2</v>
      </c>
      <c r="AA2442" s="129">
        <v>1.1917891334931596E-2</v>
      </c>
    </row>
    <row r="2443" spans="19:27" x14ac:dyDescent="0.2">
      <c r="S2443" s="1"/>
      <c r="T2443" s="109"/>
      <c r="W2443" s="130" t="str">
        <f t="shared" si="47"/>
        <v>1w</v>
      </c>
      <c r="X2443" s="128">
        <f>_xll.qlCalendarAdvance(Calendar,X2442,W2443,"f",FALSE)</f>
        <v>56269</v>
      </c>
      <c r="Y2443" s="131">
        <f>_xll.qlCalendarAdvance(Calendar,X2443,NDays&amp;"D")</f>
        <v>56271</v>
      </c>
      <c r="Z2443" s="132">
        <v>1.1867300029180683E-2</v>
      </c>
      <c r="AA2443" s="129">
        <v>1.1908737722183815E-2</v>
      </c>
    </row>
    <row r="2444" spans="19:27" x14ac:dyDescent="0.2">
      <c r="S2444" s="1"/>
      <c r="T2444" s="109"/>
      <c r="W2444" s="130" t="str">
        <f t="shared" si="47"/>
        <v>1w</v>
      </c>
      <c r="X2444" s="128">
        <f>_xll.qlCalendarAdvance(Calendar,X2443,W2444,"f",FALSE)</f>
        <v>56276</v>
      </c>
      <c r="Y2444" s="131">
        <f>_xll.qlCalendarAdvance(Calendar,X2444,NDays&amp;"D")</f>
        <v>56278</v>
      </c>
      <c r="Z2444" s="132">
        <v>1.1857968156124166E-2</v>
      </c>
      <c r="AA2444" s="129">
        <v>1.1899563588650963E-2</v>
      </c>
    </row>
    <row r="2445" spans="19:27" x14ac:dyDescent="0.2">
      <c r="S2445" s="1"/>
      <c r="T2445" s="109"/>
      <c r="W2445" s="130" t="str">
        <f t="shared" si="47"/>
        <v>1w</v>
      </c>
      <c r="X2445" s="128">
        <f>_xll.qlCalendarAdvance(Calendar,X2444,W2445,"f",FALSE)</f>
        <v>56283</v>
      </c>
      <c r="Y2445" s="131">
        <f>_xll.qlCalendarAdvance(Calendar,X2445,NDays&amp;"D")</f>
        <v>56285</v>
      </c>
      <c r="Z2445" s="132">
        <v>1.1849092755759084E-2</v>
      </c>
      <c r="AA2445" s="129">
        <v>1.189036893473272E-2</v>
      </c>
    </row>
    <row r="2446" spans="19:27" x14ac:dyDescent="0.2">
      <c r="S2446" s="1"/>
      <c r="T2446" s="109"/>
      <c r="W2446" s="130" t="str">
        <f t="shared" si="47"/>
        <v>1w</v>
      </c>
      <c r="X2446" s="128">
        <f>_xll.qlCalendarAdvance(Calendar,X2445,W2446,"f",FALSE)</f>
        <v>56290</v>
      </c>
      <c r="Y2446" s="131">
        <f>_xll.qlCalendarAdvance(Calendar,X2446,NDays&amp;"D")</f>
        <v>56292</v>
      </c>
      <c r="Z2446" s="132">
        <v>1.1839721540712876E-2</v>
      </c>
      <c r="AA2446" s="129">
        <v>1.1881153760109342E-2</v>
      </c>
    </row>
    <row r="2447" spans="19:27" x14ac:dyDescent="0.2">
      <c r="S2447" s="1"/>
      <c r="T2447" s="109"/>
      <c r="W2447" s="130" t="str">
        <f t="shared" si="47"/>
        <v>1w</v>
      </c>
      <c r="X2447" s="128">
        <f>_xll.qlCalendarAdvance(Calendar,X2446,W2447,"f",FALSE)</f>
        <v>56297</v>
      </c>
      <c r="Y2447" s="131">
        <f>_xll.qlCalendarAdvance(Calendar,X2447,NDays&amp;"D")</f>
        <v>56299</v>
      </c>
      <c r="Z2447" s="132">
        <v>1.1830329767122137E-2</v>
      </c>
      <c r="AA2447" s="129">
        <v>1.1871918064860765E-2</v>
      </c>
    </row>
    <row r="2448" spans="19:27" x14ac:dyDescent="0.2">
      <c r="S2448" s="1"/>
      <c r="T2448" s="109"/>
      <c r="W2448" s="130" t="str">
        <f t="shared" si="47"/>
        <v>1w</v>
      </c>
      <c r="X2448" s="128">
        <f>_xll.qlCalendarAdvance(Calendar,X2447,W2448,"f",FALSE)</f>
        <v>56304</v>
      </c>
      <c r="Y2448" s="131">
        <f>_xll.qlCalendarAdvance(Calendar,X2448,NDays&amp;"D")</f>
        <v>56306</v>
      </c>
      <c r="Z2448" s="132">
        <v>1.1820917435128779E-2</v>
      </c>
      <c r="AA2448" s="129">
        <v>1.1862661848986988E-2</v>
      </c>
    </row>
    <row r="2449" spans="19:27" x14ac:dyDescent="0.2">
      <c r="S2449" s="1"/>
      <c r="T2449" s="109"/>
      <c r="W2449" s="130" t="str">
        <f t="shared" si="47"/>
        <v>1w</v>
      </c>
      <c r="X2449" s="128">
        <f>_xll.qlCalendarAdvance(Calendar,X2448,W2449,"f",FALSE)</f>
        <v>56311</v>
      </c>
      <c r="Y2449" s="131">
        <f>_xll.qlCalendarAdvance(Calendar,X2449,NDays&amp;"D")</f>
        <v>56313</v>
      </c>
      <c r="Z2449" s="132">
        <v>1.1810031584772404E-2</v>
      </c>
      <c r="AA2449" s="129">
        <v>1.1853385112408077E-2</v>
      </c>
    </row>
    <row r="2450" spans="19:27" x14ac:dyDescent="0.2">
      <c r="S2450" s="1"/>
      <c r="T2450" s="109"/>
      <c r="W2450" s="130" t="str">
        <f t="shared" si="47"/>
        <v>1w</v>
      </c>
      <c r="X2450" s="128">
        <f>_xll.qlCalendarAdvance(Calendar,X2449,W2450,"f",FALSE)</f>
        <v>56318</v>
      </c>
      <c r="Y2450" s="131">
        <f>_xll.qlCalendarAdvance(Calendar,X2450,NDays&amp;"D")</f>
        <v>56320</v>
      </c>
      <c r="Z2450" s="132">
        <v>1.1800572802049247E-2</v>
      </c>
      <c r="AA2450" s="129">
        <v>1.1844087855283902E-2</v>
      </c>
    </row>
    <row r="2451" spans="19:27" x14ac:dyDescent="0.2">
      <c r="S2451" s="1"/>
      <c r="T2451" s="109"/>
      <c r="W2451" s="130" t="str">
        <f t="shared" si="47"/>
        <v>1w</v>
      </c>
      <c r="X2451" s="128">
        <f>_xll.qlCalendarAdvance(Calendar,X2450,W2451,"f",FALSE)</f>
        <v>56325</v>
      </c>
      <c r="Y2451" s="131">
        <f>_xll.qlCalendarAdvance(Calendar,X2451,NDays&amp;"D")</f>
        <v>56327</v>
      </c>
      <c r="Z2451" s="132">
        <v>1.1791093460111758E-2</v>
      </c>
      <c r="AA2451" s="129">
        <v>1.1834770077614465E-2</v>
      </c>
    </row>
    <row r="2452" spans="19:27" x14ac:dyDescent="0.2">
      <c r="S2452" s="1"/>
      <c r="T2452" s="109"/>
      <c r="W2452" s="130" t="str">
        <f t="shared" si="47"/>
        <v>1w</v>
      </c>
      <c r="X2452" s="128">
        <f>_xll.qlCalendarAdvance(Calendar,X2451,W2452,"f",FALSE)</f>
        <v>56332</v>
      </c>
      <c r="Y2452" s="131">
        <f>_xll.qlCalendarAdvance(Calendar,X2452,NDays&amp;"D")</f>
        <v>56334</v>
      </c>
      <c r="Z2452" s="132">
        <v>1.1781593559110253E-2</v>
      </c>
      <c r="AA2452" s="129">
        <v>1.1823536074190955E-2</v>
      </c>
    </row>
    <row r="2453" spans="19:27" x14ac:dyDescent="0.2">
      <c r="S2453" s="1"/>
      <c r="T2453" s="109"/>
      <c r="W2453" s="130" t="str">
        <f t="shared" ref="W2453:W2516" si="48">W2452</f>
        <v>1w</v>
      </c>
      <c r="X2453" s="128">
        <f>_xll.qlCalendarAdvance(Calendar,X2452,W2453,"f",FALSE)</f>
        <v>56339</v>
      </c>
      <c r="Y2453" s="131">
        <f>_xll.qlCalendarAdvance(Calendar,X2453,NDays&amp;"D")</f>
        <v>56341</v>
      </c>
      <c r="Z2453" s="132">
        <v>1.1772564714535015E-2</v>
      </c>
      <c r="AA2453" s="129">
        <v>1.1816072960479929E-2</v>
      </c>
    </row>
    <row r="2454" spans="19:27" x14ac:dyDescent="0.2">
      <c r="S2454" s="1"/>
      <c r="T2454" s="109"/>
      <c r="W2454" s="130" t="str">
        <f t="shared" si="48"/>
        <v>1w</v>
      </c>
      <c r="X2454" s="128">
        <f>_xll.qlCalendarAdvance(Calendar,X2453,W2454,"f",FALSE)</f>
        <v>56346</v>
      </c>
      <c r="Y2454" s="131">
        <f>_xll.qlCalendarAdvance(Calendar,X2454,NDays&amp;"D")</f>
        <v>56348</v>
      </c>
      <c r="Z2454" s="132">
        <v>1.1763025475683878E-2</v>
      </c>
      <c r="AA2454" s="129">
        <v>1.1806693620934894E-2</v>
      </c>
    </row>
    <row r="2455" spans="19:27" x14ac:dyDescent="0.2">
      <c r="S2455" s="1"/>
      <c r="T2455" s="109"/>
      <c r="W2455" s="130" t="str">
        <f t="shared" si="48"/>
        <v>1w</v>
      </c>
      <c r="X2455" s="128">
        <f>_xll.qlCalendarAdvance(Calendar,X2454,W2455,"f",FALSE)</f>
        <v>56353</v>
      </c>
      <c r="Y2455" s="131">
        <f>_xll.qlCalendarAdvance(Calendar,X2455,NDays&amp;"D")</f>
        <v>56355</v>
      </c>
      <c r="Z2455" s="132">
        <v>1.1753465678622659E-2</v>
      </c>
      <c r="AA2455" s="129">
        <v>1.1797293760684724E-2</v>
      </c>
    </row>
    <row r="2456" spans="19:27" x14ac:dyDescent="0.2">
      <c r="S2456" s="1"/>
      <c r="T2456" s="109"/>
      <c r="W2456" s="130" t="str">
        <f t="shared" si="48"/>
        <v>1w</v>
      </c>
      <c r="X2456" s="128">
        <f>_xll.qlCalendarAdvance(Calendar,X2455,W2456,"f",FALSE)</f>
        <v>56360</v>
      </c>
      <c r="Y2456" s="131">
        <f>_xll.qlCalendarAdvance(Calendar,X2456,NDays&amp;"D")</f>
        <v>56362</v>
      </c>
      <c r="Z2456" s="132">
        <v>1.1743885323502451E-2</v>
      </c>
      <c r="AA2456" s="129">
        <v>1.1787873380049163E-2</v>
      </c>
    </row>
    <row r="2457" spans="19:27" x14ac:dyDescent="0.2">
      <c r="S2457" s="1"/>
      <c r="T2457" s="109"/>
      <c r="W2457" s="130" t="str">
        <f t="shared" si="48"/>
        <v>1w</v>
      </c>
      <c r="X2457" s="128">
        <f>_xll.qlCalendarAdvance(Calendar,X2456,W2457,"f",FALSE)</f>
        <v>56367</v>
      </c>
      <c r="Y2457" s="131">
        <f>_xll.qlCalendarAdvance(Calendar,X2457,NDays&amp;"D")</f>
        <v>56369</v>
      </c>
      <c r="Z2457" s="132">
        <v>1.1733785673352226E-2</v>
      </c>
      <c r="AA2457" s="129">
        <v>1.177698435842478E-2</v>
      </c>
    </row>
    <row r="2458" spans="19:27" x14ac:dyDescent="0.2">
      <c r="S2458" s="1"/>
      <c r="T2458" s="109"/>
      <c r="W2458" s="130" t="str">
        <f t="shared" si="48"/>
        <v>1w</v>
      </c>
      <c r="X2458" s="128">
        <f>_xll.qlCalendarAdvance(Calendar,X2457,W2458,"f",FALSE)</f>
        <v>56374</v>
      </c>
      <c r="Y2458" s="131">
        <f>_xll.qlCalendarAdvance(Calendar,X2458,NDays&amp;"D")</f>
        <v>56376</v>
      </c>
      <c r="Z2458" s="132">
        <v>1.1724162421104982E-2</v>
      </c>
      <c r="AA2458" s="129">
        <v>1.1768971056742572E-2</v>
      </c>
    </row>
    <row r="2459" spans="19:27" x14ac:dyDescent="0.2">
      <c r="S2459" s="1"/>
      <c r="T2459" s="109"/>
      <c r="W2459" s="130" t="str">
        <f t="shared" si="48"/>
        <v>1w</v>
      </c>
      <c r="X2459" s="128">
        <f>_xll.qlCalendarAdvance(Calendar,X2458,W2459,"f",FALSE)</f>
        <v>56381</v>
      </c>
      <c r="Y2459" s="131">
        <f>_xll.qlCalendarAdvance(Calendar,X2459,NDays&amp;"D")</f>
        <v>56383</v>
      </c>
      <c r="Z2459" s="132">
        <v>1.1714518610844184E-2</v>
      </c>
      <c r="AA2459" s="129">
        <v>1.1759489114071542E-2</v>
      </c>
    </row>
    <row r="2460" spans="19:27" x14ac:dyDescent="0.2">
      <c r="S2460" s="1"/>
      <c r="T2460" s="109"/>
      <c r="W2460" s="130" t="str">
        <f t="shared" si="48"/>
        <v>1w</v>
      </c>
      <c r="X2460" s="128">
        <f>_xll.qlCalendarAdvance(Calendar,X2459,W2460,"f",FALSE)</f>
        <v>56388</v>
      </c>
      <c r="Y2460" s="131">
        <f>_xll.qlCalendarAdvance(Calendar,X2460,NDays&amp;"D")</f>
        <v>56390</v>
      </c>
      <c r="Z2460" s="132">
        <v>1.1704854242723627E-2</v>
      </c>
      <c r="AA2460" s="129">
        <v>1.1749986651015121E-2</v>
      </c>
    </row>
    <row r="2461" spans="19:27" x14ac:dyDescent="0.2">
      <c r="S2461" s="1"/>
      <c r="T2461" s="109"/>
      <c r="W2461" s="130" t="str">
        <f t="shared" si="48"/>
        <v>1w</v>
      </c>
      <c r="X2461" s="128">
        <f>_xll.qlCalendarAdvance(Calendar,X2460,W2461,"f",FALSE)</f>
        <v>56395</v>
      </c>
      <c r="Y2461" s="131">
        <f>_xll.qlCalendarAdvance(Calendar,X2461,NDays&amp;"D")</f>
        <v>56397</v>
      </c>
      <c r="Z2461" s="132">
        <v>1.169516931689275E-2</v>
      </c>
      <c r="AA2461" s="129">
        <v>1.1740463667413437E-2</v>
      </c>
    </row>
    <row r="2462" spans="19:27" x14ac:dyDescent="0.2">
      <c r="S2462" s="1"/>
      <c r="T2462" s="109"/>
      <c r="W2462" s="130" t="str">
        <f t="shared" si="48"/>
        <v>1w</v>
      </c>
      <c r="X2462" s="128">
        <f>_xll.qlCalendarAdvance(Calendar,X2461,W2462,"f",FALSE)</f>
        <v>56402</v>
      </c>
      <c r="Y2462" s="131">
        <f>_xll.qlCalendarAdvance(Calendar,X2462,NDays&amp;"D")</f>
        <v>56404</v>
      </c>
      <c r="Z2462" s="132">
        <v>1.1685463833504479E-2</v>
      </c>
      <c r="AA2462" s="129">
        <v>1.1730920163026681E-2</v>
      </c>
    </row>
    <row r="2463" spans="19:27" x14ac:dyDescent="0.2">
      <c r="S2463" s="1"/>
      <c r="T2463" s="109"/>
      <c r="W2463" s="130" t="str">
        <f t="shared" si="48"/>
        <v>1w</v>
      </c>
      <c r="X2463" s="128">
        <f>_xll.qlCalendarAdvance(Calendar,X2462,W2463,"f",FALSE)</f>
        <v>56409</v>
      </c>
      <c r="Y2463" s="131">
        <f>_xll.qlCalendarAdvance(Calendar,X2463,NDays&amp;"D")</f>
        <v>56411</v>
      </c>
      <c r="Z2463" s="132">
        <v>1.1675737792711733E-2</v>
      </c>
      <c r="AA2463" s="129">
        <v>1.1721356138014727E-2</v>
      </c>
    </row>
    <row r="2464" spans="19:27" x14ac:dyDescent="0.2">
      <c r="S2464" s="1"/>
      <c r="T2464" s="109"/>
      <c r="W2464" s="130" t="str">
        <f t="shared" si="48"/>
        <v>1w</v>
      </c>
      <c r="X2464" s="128">
        <f>_xll.qlCalendarAdvance(Calendar,X2463,W2464,"f",FALSE)</f>
        <v>56416</v>
      </c>
      <c r="Y2464" s="131">
        <f>_xll.qlCalendarAdvance(Calendar,X2464,NDays&amp;"D")</f>
        <v>56418</v>
      </c>
      <c r="Z2464" s="132">
        <v>1.1665991194669172E-2</v>
      </c>
      <c r="AA2464" s="129">
        <v>1.1711771592537445E-2</v>
      </c>
    </row>
    <row r="2465" spans="19:27" x14ac:dyDescent="0.2">
      <c r="S2465" s="1"/>
      <c r="T2465" s="109"/>
      <c r="W2465" s="130" t="str">
        <f t="shared" si="48"/>
        <v>1w</v>
      </c>
      <c r="X2465" s="128">
        <f>_xll.qlCalendarAdvance(Calendar,X2464,W2465,"f",FALSE)</f>
        <v>56423</v>
      </c>
      <c r="Y2465" s="131">
        <f>_xll.qlCalendarAdvance(Calendar,X2465,NDays&amp;"D")</f>
        <v>56425</v>
      </c>
      <c r="Z2465" s="132">
        <v>1.1656224039527109E-2</v>
      </c>
      <c r="AA2465" s="129">
        <v>1.1702166526514901E-2</v>
      </c>
    </row>
    <row r="2466" spans="19:27" x14ac:dyDescent="0.2">
      <c r="S2466" s="1"/>
      <c r="T2466" s="109"/>
      <c r="W2466" s="130" t="str">
        <f t="shared" si="48"/>
        <v>1w</v>
      </c>
      <c r="X2466" s="128">
        <f>_xll.qlCalendarAdvance(Calendar,X2465,W2466,"f",FALSE)</f>
        <v>56430</v>
      </c>
      <c r="Y2466" s="131">
        <f>_xll.qlCalendarAdvance(Calendar,X2466,NDays&amp;"D")</f>
        <v>56432</v>
      </c>
      <c r="Z2466" s="132">
        <v>1.1646436327439337E-2</v>
      </c>
      <c r="AA2466" s="129">
        <v>1.1692540939787222E-2</v>
      </c>
    </row>
    <row r="2467" spans="19:27" x14ac:dyDescent="0.2">
      <c r="S2467" s="1"/>
      <c r="T2467" s="109"/>
      <c r="W2467" s="130" t="str">
        <f t="shared" si="48"/>
        <v>1w</v>
      </c>
      <c r="X2467" s="128">
        <f>_xll.qlCalendarAdvance(Calendar,X2466,W2467,"f",FALSE)</f>
        <v>56437</v>
      </c>
      <c r="Y2467" s="131">
        <f>_xll.qlCalendarAdvance(Calendar,X2467,NDays&amp;"D")</f>
        <v>56439</v>
      </c>
      <c r="Z2467" s="132">
        <v>1.1636628058563117E-2</v>
      </c>
      <c r="AA2467" s="129">
        <v>1.1682894832434343E-2</v>
      </c>
    </row>
    <row r="2468" spans="19:27" x14ac:dyDescent="0.2">
      <c r="S2468" s="1"/>
      <c r="T2468" s="109"/>
      <c r="W2468" s="130" t="str">
        <f t="shared" si="48"/>
        <v>1w</v>
      </c>
      <c r="X2468" s="128">
        <f>_xll.qlCalendarAdvance(Calendar,X2467,W2468,"f",FALSE)</f>
        <v>56444</v>
      </c>
      <c r="Y2468" s="131">
        <f>_xll.qlCalendarAdvance(Calendar,X2468,NDays&amp;"D")</f>
        <v>56446</v>
      </c>
      <c r="Z2468" s="132">
        <v>1.1626799233049637E-2</v>
      </c>
      <c r="AA2468" s="129">
        <v>1.1673228204696073E-2</v>
      </c>
    </row>
    <row r="2469" spans="19:27" x14ac:dyDescent="0.2">
      <c r="S2469" s="1"/>
      <c r="T2469" s="109"/>
      <c r="W2469" s="130" t="str">
        <f t="shared" si="48"/>
        <v>1w</v>
      </c>
      <c r="X2469" s="128">
        <f>_xll.qlCalendarAdvance(Calendar,X2468,W2469,"f",FALSE)</f>
        <v>56451</v>
      </c>
      <c r="Y2469" s="131">
        <f>_xll.qlCalendarAdvance(Calendar,X2469,NDays&amp;"D")</f>
        <v>56453</v>
      </c>
      <c r="Z2469" s="132">
        <v>1.1616949851056161E-2</v>
      </c>
      <c r="AA2469" s="129">
        <v>1.1663541056332605E-2</v>
      </c>
    </row>
    <row r="2470" spans="19:27" x14ac:dyDescent="0.2">
      <c r="S2470" s="1"/>
      <c r="T2470" s="109"/>
      <c r="W2470" s="130" t="str">
        <f t="shared" si="48"/>
        <v>1w</v>
      </c>
      <c r="X2470" s="128">
        <f>_xll.qlCalendarAdvance(Calendar,X2469,W2470,"f",FALSE)</f>
        <v>56458</v>
      </c>
      <c r="Y2470" s="131">
        <f>_xll.qlCalendarAdvance(Calendar,X2470,NDays&amp;"D")</f>
        <v>56460</v>
      </c>
      <c r="Z2470" s="132">
        <v>1.1607079912733001E-2</v>
      </c>
      <c r="AA2470" s="129">
        <v>1.1653833387264001E-2</v>
      </c>
    </row>
    <row r="2471" spans="19:27" x14ac:dyDescent="0.2">
      <c r="S2471" s="1"/>
      <c r="T2471" s="109"/>
      <c r="W2471" s="130" t="str">
        <f t="shared" si="48"/>
        <v>1w</v>
      </c>
      <c r="X2471" s="128">
        <f>_xll.qlCalendarAdvance(Calendar,X2470,W2471,"f",FALSE)</f>
        <v>56465</v>
      </c>
      <c r="Y2471" s="131">
        <f>_xll.qlCalendarAdvance(Calendar,X2471,NDays&amp;"D")</f>
        <v>56467</v>
      </c>
      <c r="Z2471" s="132">
        <v>1.1597189418238295E-2</v>
      </c>
      <c r="AA2471" s="129">
        <v>1.1644105197570198E-2</v>
      </c>
    </row>
    <row r="2472" spans="19:27" x14ac:dyDescent="0.2">
      <c r="S2472" s="1"/>
      <c r="T2472" s="109"/>
      <c r="W2472" s="130" t="str">
        <f t="shared" si="48"/>
        <v>1w</v>
      </c>
      <c r="X2472" s="128">
        <f>_xll.qlCalendarAdvance(Calendar,X2471,W2472,"f",FALSE)</f>
        <v>56472</v>
      </c>
      <c r="Y2472" s="131">
        <f>_xll.qlCalendarAdvance(Calendar,X2472,NDays&amp;"D")</f>
        <v>56474</v>
      </c>
      <c r="Z2472" s="132">
        <v>1.1587278367728439E-2</v>
      </c>
      <c r="AA2472" s="129">
        <v>1.1634356487411068E-2</v>
      </c>
    </row>
    <row r="2473" spans="19:27" x14ac:dyDescent="0.2">
      <c r="S2473" s="1"/>
      <c r="T2473" s="109"/>
      <c r="W2473" s="130" t="str">
        <f t="shared" si="48"/>
        <v>1w</v>
      </c>
      <c r="X2473" s="128">
        <f>_xll.qlCalendarAdvance(Calendar,X2472,W2473,"f",FALSE)</f>
        <v>56479</v>
      </c>
      <c r="Y2473" s="131">
        <f>_xll.qlCalendarAdvance(Calendar,X2473,NDays&amp;"D")</f>
        <v>56481</v>
      </c>
      <c r="Z2473" s="132">
        <v>1.1577346761358957E-2</v>
      </c>
      <c r="AA2473" s="129">
        <v>1.1624587256706675E-2</v>
      </c>
    </row>
    <row r="2474" spans="19:27" x14ac:dyDescent="0.2">
      <c r="S2474" s="1"/>
      <c r="T2474" s="109"/>
      <c r="W2474" s="130" t="str">
        <f t="shared" si="48"/>
        <v>1w</v>
      </c>
      <c r="X2474" s="128">
        <f>_xll.qlCalendarAdvance(Calendar,X2473,W2474,"f",FALSE)</f>
        <v>56486</v>
      </c>
      <c r="Y2474" s="131">
        <f>_xll.qlCalendarAdvance(Calendar,X2474,NDays&amp;"D")</f>
        <v>56488</v>
      </c>
      <c r="Z2474" s="132">
        <v>1.1567394599284513E-2</v>
      </c>
      <c r="AA2474" s="129">
        <v>1.1614797505377084E-2</v>
      </c>
    </row>
    <row r="2475" spans="19:27" x14ac:dyDescent="0.2">
      <c r="S2475" s="1"/>
      <c r="T2475" s="109"/>
      <c r="W2475" s="130" t="str">
        <f t="shared" si="48"/>
        <v>1w</v>
      </c>
      <c r="X2475" s="128">
        <f>_xll.qlCalendarAdvance(Calendar,X2474,W2475,"f",FALSE)</f>
        <v>56493</v>
      </c>
      <c r="Y2475" s="131">
        <f>_xll.qlCalendarAdvance(Calendar,X2475,NDays&amp;"D")</f>
        <v>56495</v>
      </c>
      <c r="Z2475" s="132">
        <v>1.1557952744898568E-2</v>
      </c>
      <c r="AA2475" s="129">
        <v>1.1604987233502229E-2</v>
      </c>
    </row>
    <row r="2476" spans="19:27" x14ac:dyDescent="0.2">
      <c r="S2476" s="1"/>
      <c r="T2476" s="109"/>
      <c r="W2476" s="130" t="str">
        <f t="shared" si="48"/>
        <v>1w</v>
      </c>
      <c r="X2476" s="128">
        <f>_xll.qlCalendarAdvance(Calendar,X2475,W2476,"f",FALSE)</f>
        <v>56500</v>
      </c>
      <c r="Y2476" s="131">
        <f>_xll.qlCalendarAdvance(Calendar,X2476,NDays&amp;"D")</f>
        <v>56502</v>
      </c>
      <c r="Z2476" s="132">
        <v>1.1547961260294495E-2</v>
      </c>
      <c r="AA2476" s="129">
        <v>1.1595156441002175E-2</v>
      </c>
    </row>
    <row r="2477" spans="19:27" x14ac:dyDescent="0.2">
      <c r="S2477" s="1"/>
      <c r="T2477" s="109"/>
      <c r="W2477" s="130" t="str">
        <f t="shared" si="48"/>
        <v>1w</v>
      </c>
      <c r="X2477" s="128">
        <f>_xll.qlCalendarAdvance(Calendar,X2476,W2477,"f",FALSE)</f>
        <v>56507</v>
      </c>
      <c r="Y2477" s="131">
        <f>_xll.qlCalendarAdvance(Calendar,X2477,NDays&amp;"D")</f>
        <v>56509</v>
      </c>
      <c r="Z2477" s="132">
        <v>1.1537949220826238E-2</v>
      </c>
      <c r="AA2477" s="129">
        <v>1.1585305127956858E-2</v>
      </c>
    </row>
    <row r="2478" spans="19:27" x14ac:dyDescent="0.2">
      <c r="S2478" s="1"/>
      <c r="T2478" s="109"/>
      <c r="W2478" s="130" t="str">
        <f t="shared" si="48"/>
        <v>1w</v>
      </c>
      <c r="X2478" s="128">
        <f>_xll.qlCalendarAdvance(Calendar,X2477,W2478,"f",FALSE)</f>
        <v>56514</v>
      </c>
      <c r="Y2478" s="131">
        <f>_xll.qlCalendarAdvance(Calendar,X2478,NDays&amp;"D")</f>
        <v>56516</v>
      </c>
      <c r="Z2478" s="132">
        <v>1.1527916626651912E-2</v>
      </c>
      <c r="AA2478" s="129">
        <v>1.1575433294446213E-2</v>
      </c>
    </row>
    <row r="2479" spans="19:27" x14ac:dyDescent="0.2">
      <c r="S2479" s="1"/>
      <c r="T2479" s="109"/>
      <c r="W2479" s="130" t="str">
        <f t="shared" si="48"/>
        <v>1w</v>
      </c>
      <c r="X2479" s="128">
        <f>_xll.qlCalendarAdvance(Calendar,X2478,W2479,"f",FALSE)</f>
        <v>56521</v>
      </c>
      <c r="Y2479" s="131">
        <f>_xll.qlCalendarAdvance(Calendar,X2479,NDays&amp;"D")</f>
        <v>56523</v>
      </c>
      <c r="Z2479" s="132">
        <v>1.1515710308999011E-2</v>
      </c>
      <c r="AA2479" s="129">
        <v>1.1565540940150498E-2</v>
      </c>
    </row>
    <row r="2480" spans="19:27" x14ac:dyDescent="0.2">
      <c r="S2480" s="1"/>
      <c r="T2480" s="109"/>
      <c r="W2480" s="130" t="str">
        <f t="shared" si="48"/>
        <v>1w</v>
      </c>
      <c r="X2480" s="128">
        <f>_xll.qlCalendarAdvance(Calendar,X2479,W2480,"f",FALSE)</f>
        <v>56528</v>
      </c>
      <c r="Y2480" s="131">
        <f>_xll.qlCalendarAdvance(Calendar,X2480,NDays&amp;"D")</f>
        <v>56530</v>
      </c>
      <c r="Z2480" s="132">
        <v>1.1507249965837857E-2</v>
      </c>
      <c r="AA2480" s="129">
        <v>1.1555628065469392E-2</v>
      </c>
    </row>
    <row r="2481" spans="19:27" x14ac:dyDescent="0.2">
      <c r="S2481" s="1"/>
      <c r="T2481" s="109"/>
      <c r="W2481" s="130" t="str">
        <f t="shared" si="48"/>
        <v>1w</v>
      </c>
      <c r="X2481" s="128">
        <f>_xll.qlCalendarAdvance(Calendar,X2480,W2481,"f",FALSE)</f>
        <v>56535</v>
      </c>
      <c r="Y2481" s="131">
        <f>_xll.qlCalendarAdvance(Calendar,X2481,NDays&amp;"D")</f>
        <v>56537</v>
      </c>
      <c r="Z2481" s="132">
        <v>1.1497153918234703E-2</v>
      </c>
      <c r="AA2481" s="129">
        <v>1.1545694670163087E-2</v>
      </c>
    </row>
    <row r="2482" spans="19:27" x14ac:dyDescent="0.2">
      <c r="S2482" s="1"/>
      <c r="T2482" s="109"/>
      <c r="W2482" s="130" t="str">
        <f t="shared" si="48"/>
        <v>1w</v>
      </c>
      <c r="X2482" s="128">
        <f>_xll.qlCalendarAdvance(Calendar,X2481,W2482,"f",FALSE)</f>
        <v>56542</v>
      </c>
      <c r="Y2482" s="131">
        <f>_xll.qlCalendarAdvance(Calendar,X2482,NDays&amp;"D")</f>
        <v>56544</v>
      </c>
      <c r="Z2482" s="132">
        <v>1.1487037316189054E-2</v>
      </c>
      <c r="AA2482" s="129">
        <v>1.1535740754391455E-2</v>
      </c>
    </row>
    <row r="2483" spans="19:27" x14ac:dyDescent="0.2">
      <c r="S2483" s="1"/>
      <c r="T2483" s="109"/>
      <c r="W2483" s="130" t="str">
        <f t="shared" si="48"/>
        <v>1w</v>
      </c>
      <c r="X2483" s="128">
        <f>_xll.qlCalendarAdvance(Calendar,X2482,W2483,"f",FALSE)</f>
        <v>56549</v>
      </c>
      <c r="Y2483" s="131">
        <f>_xll.qlCalendarAdvance(Calendar,X2483,NDays&amp;"D")</f>
        <v>56551</v>
      </c>
      <c r="Z2483" s="132">
        <v>1.1476900159859912E-2</v>
      </c>
      <c r="AA2483" s="129">
        <v>1.1525766317994623E-2</v>
      </c>
    </row>
    <row r="2484" spans="19:27" x14ac:dyDescent="0.2">
      <c r="S2484" s="1"/>
      <c r="T2484" s="109"/>
      <c r="W2484" s="130" t="str">
        <f t="shared" si="48"/>
        <v>1w</v>
      </c>
      <c r="X2484" s="128">
        <f>_xll.qlCalendarAdvance(Calendar,X2483,W2484,"f",FALSE)</f>
        <v>56556</v>
      </c>
      <c r="Y2484" s="131">
        <f>_xll.qlCalendarAdvance(Calendar,X2484,NDays&amp;"D")</f>
        <v>56558</v>
      </c>
      <c r="Z2484" s="132">
        <v>1.1466742449405411E-2</v>
      </c>
      <c r="AA2484" s="129">
        <v>1.1515771360892657E-2</v>
      </c>
    </row>
    <row r="2485" spans="19:27" x14ac:dyDescent="0.2">
      <c r="S2485" s="1"/>
      <c r="T2485" s="109"/>
      <c r="W2485" s="130" t="str">
        <f t="shared" si="48"/>
        <v>1w</v>
      </c>
      <c r="X2485" s="128">
        <f>_xll.qlCalendarAdvance(Calendar,X2484,W2485,"f",FALSE)</f>
        <v>56563</v>
      </c>
      <c r="Y2485" s="131">
        <f>_xll.qlCalendarAdvance(Calendar,X2485,NDays&amp;"D")</f>
        <v>56565</v>
      </c>
      <c r="Z2485" s="132">
        <v>1.1456564184984554E-2</v>
      </c>
      <c r="AA2485" s="129">
        <v>1.1505755883325364E-2</v>
      </c>
    </row>
    <row r="2486" spans="19:27" x14ac:dyDescent="0.2">
      <c r="S2486" s="1"/>
      <c r="T2486" s="109"/>
      <c r="W2486" s="130" t="str">
        <f t="shared" si="48"/>
        <v>1w</v>
      </c>
      <c r="X2486" s="128">
        <f>_xll.qlCalendarAdvance(Calendar,X2485,W2486,"f",FALSE)</f>
        <v>56570</v>
      </c>
      <c r="Y2486" s="131">
        <f>_xll.qlCalendarAdvance(Calendar,X2486,NDays&amp;"D")</f>
        <v>56572</v>
      </c>
      <c r="Z2486" s="132">
        <v>1.144636536676156E-2</v>
      </c>
      <c r="AA2486" s="129">
        <v>1.1495719885372679E-2</v>
      </c>
    </row>
    <row r="2487" spans="19:27" x14ac:dyDescent="0.2">
      <c r="S2487" s="1"/>
      <c r="T2487" s="109"/>
      <c r="W2487" s="130" t="str">
        <f t="shared" si="48"/>
        <v>1w</v>
      </c>
      <c r="X2487" s="128">
        <f>_xll.qlCalendarAdvance(Calendar,X2486,W2487,"f",FALSE)</f>
        <v>56577</v>
      </c>
      <c r="Y2487" s="131">
        <f>_xll.qlCalendarAdvance(Calendar,X2487,NDays&amp;"D")</f>
        <v>56579</v>
      </c>
      <c r="Z2487" s="132">
        <v>1.1436145994892824E-2</v>
      </c>
      <c r="AA2487" s="129">
        <v>1.1485663366634924E-2</v>
      </c>
    </row>
    <row r="2488" spans="19:27" x14ac:dyDescent="0.2">
      <c r="S2488" s="1"/>
      <c r="T2488" s="109"/>
      <c r="W2488" s="130" t="str">
        <f t="shared" si="48"/>
        <v>1w</v>
      </c>
      <c r="X2488" s="128">
        <f>_xll.qlCalendarAdvance(Calendar,X2487,W2488,"f",FALSE)</f>
        <v>56584</v>
      </c>
      <c r="Y2488" s="131">
        <f>_xll.qlCalendarAdvance(Calendar,X2488,NDays&amp;"D")</f>
        <v>56586</v>
      </c>
      <c r="Z2488" s="132">
        <v>1.1427014168738481E-2</v>
      </c>
      <c r="AA2488" s="129">
        <v>1.1475586327511778E-2</v>
      </c>
    </row>
    <row r="2489" spans="19:27" x14ac:dyDescent="0.2">
      <c r="S2489" s="1"/>
      <c r="T2489" s="109"/>
      <c r="W2489" s="130" t="str">
        <f t="shared" si="48"/>
        <v>1w</v>
      </c>
      <c r="X2489" s="128">
        <f>_xll.qlCalendarAdvance(Calendar,X2488,W2489,"f",FALSE)</f>
        <v>56591</v>
      </c>
      <c r="Y2489" s="131">
        <f>_xll.qlCalendarAdvance(Calendar,X2489,NDays&amp;"D")</f>
        <v>56593</v>
      </c>
      <c r="Z2489" s="132">
        <v>1.141675727616942E-2</v>
      </c>
      <c r="AA2489" s="129">
        <v>1.1465488767763432E-2</v>
      </c>
    </row>
    <row r="2490" spans="19:27" x14ac:dyDescent="0.2">
      <c r="S2490" s="1"/>
      <c r="T2490" s="109"/>
      <c r="W2490" s="130" t="str">
        <f t="shared" si="48"/>
        <v>1w</v>
      </c>
      <c r="X2490" s="128">
        <f>_xll.qlCalendarAdvance(Calendar,X2489,W2490,"f",FALSE)</f>
        <v>56598</v>
      </c>
      <c r="Y2490" s="131">
        <f>_xll.qlCalendarAdvance(Calendar,X2490,NDays&amp;"D")</f>
        <v>56600</v>
      </c>
      <c r="Z2490" s="132">
        <v>1.1406479831133964E-2</v>
      </c>
      <c r="AA2490" s="129">
        <v>1.1455370687629696E-2</v>
      </c>
    </row>
    <row r="2491" spans="19:27" x14ac:dyDescent="0.2">
      <c r="S2491" s="1"/>
      <c r="T2491" s="109"/>
      <c r="W2491" s="130" t="str">
        <f t="shared" si="48"/>
        <v>1w</v>
      </c>
      <c r="X2491" s="128">
        <f>_xll.qlCalendarAdvance(Calendar,X2490,W2491,"f",FALSE)</f>
        <v>56605</v>
      </c>
      <c r="Y2491" s="131">
        <f>_xll.qlCalendarAdvance(Calendar,X2491,NDays&amp;"D")</f>
        <v>56607</v>
      </c>
      <c r="Z2491" s="132">
        <v>1.1396181833791097E-2</v>
      </c>
      <c r="AA2491" s="129">
        <v>1.1443602207539261E-2</v>
      </c>
    </row>
    <row r="2492" spans="19:27" x14ac:dyDescent="0.2">
      <c r="S2492" s="1"/>
      <c r="T2492" s="109"/>
      <c r="W2492" s="130" t="str">
        <f t="shared" si="48"/>
        <v>1w</v>
      </c>
      <c r="X2492" s="128">
        <f>_xll.qlCalendarAdvance(Calendar,X2491,W2492,"f",FALSE)</f>
        <v>56612</v>
      </c>
      <c r="Y2492" s="131">
        <f>_xll.qlCalendarAdvance(Calendar,X2492,NDays&amp;"D")</f>
        <v>56614</v>
      </c>
      <c r="Z2492" s="132">
        <v>1.1385863284295361E-2</v>
      </c>
      <c r="AA2492" s="129">
        <v>1.1433437720127504E-2</v>
      </c>
    </row>
    <row r="2493" spans="19:27" x14ac:dyDescent="0.2">
      <c r="S2493" s="1"/>
      <c r="T2493" s="109"/>
      <c r="W2493" s="130" t="str">
        <f t="shared" si="48"/>
        <v>1w</v>
      </c>
      <c r="X2493" s="128">
        <f>_xll.qlCalendarAdvance(Calendar,X2492,W2493,"f",FALSE)</f>
        <v>56619</v>
      </c>
      <c r="Y2493" s="131">
        <f>_xll.qlCalendarAdvance(Calendar,X2493,NDays&amp;"D")</f>
        <v>56621</v>
      </c>
      <c r="Z2493" s="132">
        <v>1.1375524182809293E-2</v>
      </c>
      <c r="AA2493" s="129">
        <v>1.1424893323477292E-2</v>
      </c>
    </row>
    <row r="2494" spans="19:27" x14ac:dyDescent="0.2">
      <c r="S2494" s="1"/>
      <c r="T2494" s="109"/>
      <c r="W2494" s="130" t="str">
        <f t="shared" si="48"/>
        <v>1w</v>
      </c>
      <c r="X2494" s="128">
        <f>_xll.qlCalendarAdvance(Calendar,X2493,W2494,"f",FALSE)</f>
        <v>56626</v>
      </c>
      <c r="Y2494" s="131">
        <f>_xll.qlCalendarAdvance(Calendar,X2494,NDays&amp;"D")</f>
        <v>56628</v>
      </c>
      <c r="Z2494" s="132">
        <v>1.1365164529491878E-2</v>
      </c>
      <c r="AA2494" s="129">
        <v>1.1414693160922695E-2</v>
      </c>
    </row>
    <row r="2495" spans="19:27" x14ac:dyDescent="0.2">
      <c r="S2495" s="1"/>
      <c r="T2495" s="109"/>
      <c r="W2495" s="130" t="str">
        <f t="shared" si="48"/>
        <v>1w</v>
      </c>
      <c r="X2495" s="128">
        <f>_xll.qlCalendarAdvance(Calendar,X2494,W2495,"f",FALSE)</f>
        <v>56633</v>
      </c>
      <c r="Y2495" s="131">
        <f>_xll.qlCalendarAdvance(Calendar,X2495,NDays&amp;"D")</f>
        <v>56635</v>
      </c>
      <c r="Z2495" s="132">
        <v>1.1354784324500322E-2</v>
      </c>
      <c r="AA2495" s="129">
        <v>1.1404472477982708E-2</v>
      </c>
    </row>
    <row r="2496" spans="19:27" x14ac:dyDescent="0.2">
      <c r="S2496" s="1"/>
      <c r="T2496" s="109"/>
      <c r="W2496" s="130" t="str">
        <f t="shared" si="48"/>
        <v>1w</v>
      </c>
      <c r="X2496" s="128">
        <f>_xll.qlCalendarAdvance(Calendar,X2495,W2496,"f",FALSE)</f>
        <v>56640</v>
      </c>
      <c r="Y2496" s="131">
        <f>_xll.qlCalendarAdvance(Calendar,X2496,NDays&amp;"D")</f>
        <v>56642</v>
      </c>
      <c r="Z2496" s="132">
        <v>1.1344383567996275E-2</v>
      </c>
      <c r="AA2496" s="129">
        <v>1.1394231274497457E-2</v>
      </c>
    </row>
    <row r="2497" spans="19:27" x14ac:dyDescent="0.2">
      <c r="S2497" s="1"/>
      <c r="T2497" s="109"/>
      <c r="W2497" s="130" t="str">
        <f t="shared" si="48"/>
        <v>1w</v>
      </c>
      <c r="X2497" s="128">
        <f>_xll.qlCalendarAdvance(Calendar,X2496,W2497,"f",FALSE)</f>
        <v>56647</v>
      </c>
      <c r="Y2497" s="131">
        <f>_xll.qlCalendarAdvance(Calendar,X2497,NDays&amp;"D")</f>
        <v>56649</v>
      </c>
      <c r="Z2497" s="132">
        <v>1.1334532184821227E-2</v>
      </c>
      <c r="AA2497" s="129">
        <v>1.138396955054688E-2</v>
      </c>
    </row>
    <row r="2498" spans="19:27" x14ac:dyDescent="0.2">
      <c r="S2498" s="1"/>
      <c r="T2498" s="109"/>
      <c r="W2498" s="130" t="str">
        <f t="shared" si="48"/>
        <v>1w</v>
      </c>
      <c r="X2498" s="128">
        <f>_xll.qlCalendarAdvance(Calendar,X2497,W2498,"f",FALSE)</f>
        <v>56654</v>
      </c>
      <c r="Y2498" s="131">
        <f>_xll.qlCalendarAdvance(Calendar,X2498,NDays&amp;"D")</f>
        <v>56656</v>
      </c>
      <c r="Z2498" s="132">
        <v>1.1324092121796804E-2</v>
      </c>
      <c r="AA2498" s="129">
        <v>1.1373687305811231E-2</v>
      </c>
    </row>
    <row r="2499" spans="19:27" x14ac:dyDescent="0.2">
      <c r="S2499" s="1"/>
      <c r="T2499" s="109"/>
      <c r="W2499" s="130" t="str">
        <f t="shared" si="48"/>
        <v>1w</v>
      </c>
      <c r="X2499" s="128">
        <f>_xll.qlCalendarAdvance(Calendar,X2498,W2499,"f",FALSE)</f>
        <v>56661</v>
      </c>
      <c r="Y2499" s="131">
        <f>_xll.qlCalendarAdvance(Calendar,X2499,NDays&amp;"D")</f>
        <v>56663</v>
      </c>
      <c r="Z2499" s="132">
        <v>1.1313631759927528E-2</v>
      </c>
      <c r="AA2499" s="129">
        <v>1.1363384540770127E-2</v>
      </c>
    </row>
    <row r="2500" spans="19:27" x14ac:dyDescent="0.2">
      <c r="S2500" s="1"/>
      <c r="T2500" s="109"/>
      <c r="W2500" s="130" t="str">
        <f t="shared" si="48"/>
        <v>1w</v>
      </c>
      <c r="X2500" s="128">
        <f>_xll.qlCalendarAdvance(Calendar,X2499,W2500,"f",FALSE)</f>
        <v>56668</v>
      </c>
      <c r="Y2500" s="131">
        <f>_xll.qlCalendarAdvance(Calendar,X2500,NDays&amp;"D")</f>
        <v>56670</v>
      </c>
      <c r="Z2500" s="132">
        <v>1.1303153825447021E-2</v>
      </c>
      <c r="AA2500" s="129">
        <v>1.1353061255023889E-2</v>
      </c>
    </row>
    <row r="2501" spans="19:27" x14ac:dyDescent="0.2">
      <c r="S2501" s="1"/>
      <c r="T2501" s="109"/>
      <c r="W2501" s="130" t="str">
        <f t="shared" si="48"/>
        <v>1w</v>
      </c>
      <c r="X2501" s="128">
        <f>_xll.qlCalendarAdvance(Calendar,X2500,W2501,"f",FALSE)</f>
        <v>56675</v>
      </c>
      <c r="Y2501" s="131">
        <f>_xll.qlCalendarAdvance(Calendar,X2501,NDays&amp;"D")</f>
        <v>56677</v>
      </c>
      <c r="Z2501" s="132">
        <v>1.1290937502960417E-2</v>
      </c>
      <c r="AA2501" s="129">
        <v>1.1342717448892259E-2</v>
      </c>
    </row>
    <row r="2502" spans="19:27" x14ac:dyDescent="0.2">
      <c r="S2502" s="1"/>
      <c r="T2502" s="109"/>
      <c r="W2502" s="130" t="str">
        <f t="shared" si="48"/>
        <v>1w</v>
      </c>
      <c r="X2502" s="128">
        <f>_xll.qlCalendarAdvance(Calendar,X2501,W2502,"f",FALSE)</f>
        <v>56682</v>
      </c>
      <c r="Y2502" s="131">
        <f>_xll.qlCalendarAdvance(Calendar,X2502,NDays&amp;"D")</f>
        <v>56684</v>
      </c>
      <c r="Z2502" s="132">
        <v>1.1280436631302116E-2</v>
      </c>
      <c r="AA2502" s="129">
        <v>1.1332353122215366E-2</v>
      </c>
    </row>
    <row r="2503" spans="19:27" x14ac:dyDescent="0.2">
      <c r="S2503" s="1"/>
      <c r="T2503" s="109"/>
      <c r="W2503" s="130" t="str">
        <f t="shared" si="48"/>
        <v>1w</v>
      </c>
      <c r="X2503" s="128">
        <f>_xll.qlCalendarAdvance(Calendar,X2502,W2503,"f",FALSE)</f>
        <v>56689</v>
      </c>
      <c r="Y2503" s="131">
        <f>_xll.qlCalendarAdvance(Calendar,X2503,NDays&amp;"D")</f>
        <v>56691</v>
      </c>
      <c r="Z2503" s="132">
        <v>1.1269931828235571E-2</v>
      </c>
      <c r="AA2503" s="129">
        <v>1.132196827499321E-2</v>
      </c>
    </row>
    <row r="2504" spans="19:27" x14ac:dyDescent="0.2">
      <c r="S2504" s="1"/>
      <c r="T2504" s="109"/>
      <c r="W2504" s="130" t="str">
        <f t="shared" si="48"/>
        <v>1w</v>
      </c>
      <c r="X2504" s="128">
        <f>_xll.qlCalendarAdvance(Calendar,X2503,W2504,"f",FALSE)</f>
        <v>56696</v>
      </c>
      <c r="Y2504" s="131">
        <f>_xll.qlCalendarAdvance(Calendar,X2504,NDays&amp;"D")</f>
        <v>56698</v>
      </c>
      <c r="Z2504" s="132">
        <v>1.1259427105450895E-2</v>
      </c>
      <c r="AA2504" s="129">
        <v>1.1311562907305728E-2</v>
      </c>
    </row>
    <row r="2505" spans="19:27" x14ac:dyDescent="0.2">
      <c r="S2505" s="1"/>
      <c r="T2505" s="109"/>
      <c r="W2505" s="130" t="str">
        <f t="shared" si="48"/>
        <v>1w</v>
      </c>
      <c r="X2505" s="128">
        <f>_xll.qlCalendarAdvance(Calendar,X2504,W2505,"f",FALSE)</f>
        <v>56703</v>
      </c>
      <c r="Y2505" s="131">
        <f>_xll.qlCalendarAdvance(Calendar,X2505,NDays&amp;"D")</f>
        <v>56705</v>
      </c>
      <c r="Z2505" s="132">
        <v>1.1249499327613068E-2</v>
      </c>
      <c r="AA2505" s="129">
        <v>1.1301137019072982E-2</v>
      </c>
    </row>
    <row r="2506" spans="19:27" x14ac:dyDescent="0.2">
      <c r="S2506" s="1"/>
      <c r="T2506" s="109"/>
      <c r="W2506" s="130" t="str">
        <f t="shared" si="48"/>
        <v>1w</v>
      </c>
      <c r="X2506" s="128">
        <f>_xll.qlCalendarAdvance(Calendar,X2505,W2506,"f",FALSE)</f>
        <v>56710</v>
      </c>
      <c r="Y2506" s="131">
        <f>_xll.qlCalendarAdvance(Calendar,X2506,NDays&amp;"D")</f>
        <v>56712</v>
      </c>
      <c r="Z2506" s="132">
        <v>1.1239005498110129E-2</v>
      </c>
      <c r="AA2506" s="129">
        <v>1.1290690610135101E-2</v>
      </c>
    </row>
    <row r="2507" spans="19:27" x14ac:dyDescent="0.2">
      <c r="S2507" s="1"/>
      <c r="T2507" s="109"/>
      <c r="W2507" s="130" t="str">
        <f t="shared" si="48"/>
        <v>1w</v>
      </c>
      <c r="X2507" s="128">
        <f>_xll.qlCalendarAdvance(Calendar,X2506,W2507,"f",FALSE)</f>
        <v>56717</v>
      </c>
      <c r="Y2507" s="131">
        <f>_xll.qlCalendarAdvance(Calendar,X2507,NDays&amp;"D")</f>
        <v>56719</v>
      </c>
      <c r="Z2507" s="132">
        <v>1.122852356262E-2</v>
      </c>
      <c r="AA2507" s="129">
        <v>1.1277935496689651E-2</v>
      </c>
    </row>
    <row r="2508" spans="19:27" x14ac:dyDescent="0.2">
      <c r="S2508" s="1"/>
      <c r="T2508" s="109"/>
      <c r="W2508" s="130" t="str">
        <f t="shared" si="48"/>
        <v>1w</v>
      </c>
      <c r="X2508" s="128">
        <f>_xll.qlCalendarAdvance(Calendar,X2507,W2508,"f",FALSE)</f>
        <v>56724</v>
      </c>
      <c r="Y2508" s="131">
        <f>_xll.qlCalendarAdvance(Calendar,X2508,NDays&amp;"D")</f>
        <v>56726</v>
      </c>
      <c r="Z2508" s="132">
        <v>1.1218057576617754E-2</v>
      </c>
      <c r="AA2508" s="129">
        <v>1.1269736231103167E-2</v>
      </c>
    </row>
    <row r="2509" spans="19:27" x14ac:dyDescent="0.2">
      <c r="S2509" s="1"/>
      <c r="T2509" s="109"/>
      <c r="W2509" s="130" t="str">
        <f t="shared" si="48"/>
        <v>1w</v>
      </c>
      <c r="X2509" s="128">
        <f>_xll.qlCalendarAdvance(Calendar,X2508,W2509,"f",FALSE)</f>
        <v>56731</v>
      </c>
      <c r="Y2509" s="131">
        <f>_xll.qlCalendarAdvance(Calendar,X2509,NDays&amp;"D")</f>
        <v>56733</v>
      </c>
      <c r="Z2509" s="132">
        <v>1.1207611595543333E-2</v>
      </c>
      <c r="AA2509" s="129">
        <v>1.1259228260689369E-2</v>
      </c>
    </row>
    <row r="2510" spans="19:27" x14ac:dyDescent="0.2">
      <c r="S2510" s="1"/>
      <c r="T2510" s="109"/>
      <c r="W2510" s="130" t="str">
        <f t="shared" si="48"/>
        <v>1w</v>
      </c>
      <c r="X2510" s="128">
        <f>_xll.qlCalendarAdvance(Calendar,X2509,W2510,"f",FALSE)</f>
        <v>56738</v>
      </c>
      <c r="Y2510" s="131">
        <f>_xll.qlCalendarAdvance(Calendar,X2510,NDays&amp;"D")</f>
        <v>56740</v>
      </c>
      <c r="Z2510" s="132">
        <v>1.1196625103901283E-2</v>
      </c>
      <c r="AA2510" s="129">
        <v>1.1248699769970116E-2</v>
      </c>
    </row>
    <row r="2511" spans="19:27" x14ac:dyDescent="0.2">
      <c r="S2511" s="1"/>
      <c r="T2511" s="109"/>
      <c r="W2511" s="130" t="str">
        <f t="shared" si="48"/>
        <v>1w</v>
      </c>
      <c r="X2511" s="128">
        <f>_xll.qlCalendarAdvance(Calendar,X2510,W2511,"f",FALSE)</f>
        <v>56745</v>
      </c>
      <c r="Y2511" s="131">
        <f>_xll.qlCalendarAdvance(Calendar,X2511,NDays&amp;"D")</f>
        <v>56747</v>
      </c>
      <c r="Z2511" s="132">
        <v>1.1186233266808706E-2</v>
      </c>
      <c r="AA2511" s="129">
        <v>1.1238150937442626E-2</v>
      </c>
    </row>
    <row r="2512" spans="19:27" x14ac:dyDescent="0.2">
      <c r="S2512" s="1"/>
      <c r="T2512" s="109"/>
      <c r="W2512" s="130" t="str">
        <f t="shared" si="48"/>
        <v>1w</v>
      </c>
      <c r="X2512" s="128">
        <f>_xll.qlCalendarAdvance(Calendar,X2511,W2512,"f",FALSE)</f>
        <v>56752</v>
      </c>
      <c r="Y2512" s="131">
        <f>_xll.qlCalendarAdvance(Calendar,X2512,NDays&amp;"D")</f>
        <v>56754</v>
      </c>
      <c r="Z2512" s="132">
        <v>1.1175872933381023E-2</v>
      </c>
      <c r="AA2512" s="129">
        <v>1.122761144840112E-2</v>
      </c>
    </row>
    <row r="2513" spans="19:27" x14ac:dyDescent="0.2">
      <c r="S2513" s="1"/>
      <c r="T2513" s="109"/>
      <c r="W2513" s="130" t="str">
        <f t="shared" si="48"/>
        <v>1w</v>
      </c>
      <c r="X2513" s="128">
        <f>_xll.qlCalendarAdvance(Calendar,X2512,W2513,"f",FALSE)</f>
        <v>56759</v>
      </c>
      <c r="Y2513" s="131">
        <f>_xll.qlCalendarAdvance(Calendar,X2513,NDays&amp;"D")</f>
        <v>56761</v>
      </c>
      <c r="Z2513" s="132">
        <v>1.1165544771964481E-2</v>
      </c>
      <c r="AA2513" s="129">
        <v>1.1217104013878654E-2</v>
      </c>
    </row>
    <row r="2514" spans="19:27" x14ac:dyDescent="0.2">
      <c r="S2514" s="1"/>
      <c r="T2514" s="109"/>
      <c r="W2514" s="130" t="str">
        <f t="shared" si="48"/>
        <v>1w</v>
      </c>
      <c r="X2514" s="128">
        <f>_xll.qlCalendarAdvance(Calendar,X2513,W2514,"f",FALSE)</f>
        <v>56766</v>
      </c>
      <c r="Y2514" s="131">
        <f>_xll.qlCalendarAdvance(Calendar,X2514,NDays&amp;"D")</f>
        <v>56768</v>
      </c>
      <c r="Z2514" s="132">
        <v>1.1155248782306242E-2</v>
      </c>
      <c r="AA2514" s="129">
        <v>1.1206628633875226E-2</v>
      </c>
    </row>
    <row r="2515" spans="19:27" x14ac:dyDescent="0.2">
      <c r="S2515" s="1"/>
      <c r="T2515" s="109"/>
      <c r="W2515" s="130" t="str">
        <f t="shared" si="48"/>
        <v>1w</v>
      </c>
      <c r="X2515" s="128">
        <f>_xll.qlCalendarAdvance(Calendar,X2514,W2515,"f",FALSE)</f>
        <v>56773</v>
      </c>
      <c r="Y2515" s="131">
        <f>_xll.qlCalendarAdvance(Calendar,X2515,NDays&amp;"D")</f>
        <v>56775</v>
      </c>
      <c r="Z2515" s="132">
        <v>1.1144984964149117E-2</v>
      </c>
      <c r="AA2515" s="129">
        <v>1.1196185308470774E-2</v>
      </c>
    </row>
    <row r="2516" spans="19:27" x14ac:dyDescent="0.2">
      <c r="S2516" s="1"/>
      <c r="T2516" s="109"/>
      <c r="W2516" s="130" t="str">
        <f t="shared" si="48"/>
        <v>1w</v>
      </c>
      <c r="X2516" s="128">
        <f>_xll.qlCalendarAdvance(Calendar,X2515,W2516,"f",FALSE)</f>
        <v>56780</v>
      </c>
      <c r="Y2516" s="131">
        <f>_xll.qlCalendarAdvance(Calendar,X2516,NDays&amp;"D")</f>
        <v>56782</v>
      </c>
      <c r="Z2516" s="132">
        <v>1.113475331724461E-2</v>
      </c>
      <c r="AA2516" s="129">
        <v>1.1185774037425489E-2</v>
      </c>
    </row>
    <row r="2517" spans="19:27" x14ac:dyDescent="0.2">
      <c r="S2517" s="1"/>
      <c r="T2517" s="109"/>
      <c r="W2517" s="130" t="str">
        <f t="shared" ref="W2517:W2580" si="49">W2516</f>
        <v>1w</v>
      </c>
      <c r="X2517" s="128">
        <f>_xll.qlCalendarAdvance(Calendar,X2516,W2517,"f",FALSE)</f>
        <v>56787</v>
      </c>
      <c r="Y2517" s="131">
        <f>_xll.qlCalendarAdvance(Calendar,X2517,NDays&amp;"D")</f>
        <v>56789</v>
      </c>
      <c r="Z2517" s="132">
        <v>1.1124553841339013E-2</v>
      </c>
      <c r="AA2517" s="129">
        <v>1.1175394820979179E-2</v>
      </c>
    </row>
    <row r="2518" spans="19:27" x14ac:dyDescent="0.2">
      <c r="S2518" s="1"/>
      <c r="T2518" s="109"/>
      <c r="W2518" s="130" t="str">
        <f t="shared" si="49"/>
        <v>1w</v>
      </c>
      <c r="X2518" s="128">
        <f>_xll.qlCalendarAdvance(Calendar,X2517,W2518,"f",FALSE)</f>
        <v>56794</v>
      </c>
      <c r="Y2518" s="131">
        <f>_xll.qlCalendarAdvance(Calendar,X2518,NDays&amp;"D")</f>
        <v>56796</v>
      </c>
      <c r="Z2518" s="132">
        <v>1.1114386536182087E-2</v>
      </c>
      <c r="AA2518" s="129">
        <v>1.1165047658892036E-2</v>
      </c>
    </row>
    <row r="2519" spans="19:27" x14ac:dyDescent="0.2">
      <c r="S2519" s="1"/>
      <c r="T2519" s="109"/>
      <c r="W2519" s="130" t="str">
        <f t="shared" si="49"/>
        <v>1w</v>
      </c>
      <c r="X2519" s="128">
        <f>_xll.qlCalendarAdvance(Calendar,X2518,W2519,"f",FALSE)</f>
        <v>56801</v>
      </c>
      <c r="Y2519" s="131">
        <f>_xll.qlCalendarAdvance(Calendar,X2519,NDays&amp;"D")</f>
        <v>56803</v>
      </c>
      <c r="Z2519" s="132">
        <v>1.110425140152534E-2</v>
      </c>
      <c r="AA2519" s="129">
        <v>1.1154732551483804E-2</v>
      </c>
    </row>
    <row r="2520" spans="19:27" x14ac:dyDescent="0.2">
      <c r="S2520" s="1"/>
      <c r="T2520" s="109"/>
      <c r="W2520" s="130" t="str">
        <f t="shared" si="49"/>
        <v>1w</v>
      </c>
      <c r="X2520" s="128">
        <f>_xll.qlCalendarAdvance(Calendar,X2519,W2520,"f",FALSE)</f>
        <v>56808</v>
      </c>
      <c r="Y2520" s="131">
        <f>_xll.qlCalendarAdvance(Calendar,X2520,NDays&amp;"D")</f>
        <v>56810</v>
      </c>
      <c r="Z2520" s="132">
        <v>1.1094148437116797E-2</v>
      </c>
      <c r="AA2520" s="129">
        <v>1.1144449498354803E-2</v>
      </c>
    </row>
    <row r="2521" spans="19:27" x14ac:dyDescent="0.2">
      <c r="S2521" s="1"/>
      <c r="T2521" s="109"/>
      <c r="W2521" s="130" t="str">
        <f t="shared" si="49"/>
        <v>1w</v>
      </c>
      <c r="X2521" s="128">
        <f>_xll.qlCalendarAdvance(Calendar,X2520,W2521,"f",FALSE)</f>
        <v>56815</v>
      </c>
      <c r="Y2521" s="131">
        <f>_xll.qlCalendarAdvance(Calendar,X2521,NDays&amp;"D")</f>
        <v>56817</v>
      </c>
      <c r="Z2521" s="132">
        <v>1.1084077642711437E-2</v>
      </c>
      <c r="AA2521" s="129">
        <v>1.1134198499824777E-2</v>
      </c>
    </row>
    <row r="2522" spans="19:27" x14ac:dyDescent="0.2">
      <c r="S2522" s="1"/>
      <c r="T2522" s="109"/>
      <c r="W2522" s="130" t="str">
        <f t="shared" si="49"/>
        <v>1w</v>
      </c>
      <c r="X2522" s="128">
        <f>_xll.qlCalendarAdvance(Calendar,X2521,W2522,"f",FALSE)</f>
        <v>56822</v>
      </c>
      <c r="Y2522" s="131">
        <f>_xll.qlCalendarAdvance(Calendar,X2522,NDays&amp;"D")</f>
        <v>56824</v>
      </c>
      <c r="Z2522" s="132">
        <v>1.1074039018059026E-2</v>
      </c>
      <c r="AA2522" s="129">
        <v>1.1123979555733854E-2</v>
      </c>
    </row>
    <row r="2523" spans="19:27" x14ac:dyDescent="0.2">
      <c r="S2523" s="1"/>
      <c r="T2523" s="109"/>
      <c r="W2523" s="130" t="str">
        <f t="shared" si="49"/>
        <v>1w</v>
      </c>
      <c r="X2523" s="128">
        <f>_xll.qlCalendarAdvance(Calendar,X2522,W2523,"f",FALSE)</f>
        <v>56829</v>
      </c>
      <c r="Y2523" s="131">
        <f>_xll.qlCalendarAdvance(Calendar,X2523,NDays&amp;"D")</f>
        <v>56831</v>
      </c>
      <c r="Z2523" s="132">
        <v>1.1064032562914541E-2</v>
      </c>
      <c r="AA2523" s="129">
        <v>1.1113792666082034E-2</v>
      </c>
    </row>
    <row r="2524" spans="19:27" x14ac:dyDescent="0.2">
      <c r="S2524" s="1"/>
      <c r="T2524" s="109"/>
      <c r="W2524" s="130" t="str">
        <f t="shared" si="49"/>
        <v>1w</v>
      </c>
      <c r="X2524" s="128">
        <f>_xll.qlCalendarAdvance(Calendar,X2523,W2524,"f",FALSE)</f>
        <v>56836</v>
      </c>
      <c r="Y2524" s="131">
        <f>_xll.qlCalendarAdvance(Calendar,X2524,NDays&amp;"D")</f>
        <v>56838</v>
      </c>
      <c r="Z2524" s="132">
        <v>1.1054058277031225E-2</v>
      </c>
      <c r="AA2524" s="129">
        <v>1.1103637831109126E-2</v>
      </c>
    </row>
    <row r="2525" spans="19:27" x14ac:dyDescent="0.2">
      <c r="S2525" s="1"/>
      <c r="T2525" s="109"/>
      <c r="W2525" s="130" t="str">
        <f t="shared" si="49"/>
        <v>1w</v>
      </c>
      <c r="X2525" s="128">
        <f>_xll.qlCalendarAdvance(Calendar,X2524,W2525,"f",FALSE)</f>
        <v>56843</v>
      </c>
      <c r="Y2525" s="131">
        <f>_xll.qlCalendarAdvance(Calendar,X2525,NDays&amp;"D")</f>
        <v>56845</v>
      </c>
      <c r="Z2525" s="132">
        <v>1.1044116160164054E-2</v>
      </c>
      <c r="AA2525" s="129">
        <v>1.1093515050415448E-2</v>
      </c>
    </row>
    <row r="2526" spans="19:27" x14ac:dyDescent="0.2">
      <c r="S2526" s="1"/>
      <c r="T2526" s="109"/>
      <c r="W2526" s="130" t="str">
        <f t="shared" si="49"/>
        <v>1w</v>
      </c>
      <c r="X2526" s="128">
        <f>_xll.qlCalendarAdvance(Calendar,X2525,W2526,"f",FALSE)</f>
        <v>56850</v>
      </c>
      <c r="Y2526" s="131">
        <f>_xll.qlCalendarAdvance(Calendar,X2526,NDays&amp;"D")</f>
        <v>56852</v>
      </c>
      <c r="Z2526" s="132">
        <v>1.103420621206801E-2</v>
      </c>
      <c r="AA2526" s="129">
        <v>1.1083424324160873E-2</v>
      </c>
    </row>
    <row r="2527" spans="19:27" x14ac:dyDescent="0.2">
      <c r="S2527" s="1"/>
      <c r="T2527" s="109"/>
      <c r="W2527" s="130" t="str">
        <f t="shared" si="49"/>
        <v>1w</v>
      </c>
      <c r="X2527" s="128">
        <f>_xll.qlCalendarAdvance(Calendar,X2526,W2527,"f",FALSE)</f>
        <v>56857</v>
      </c>
      <c r="Y2527" s="131">
        <f>_xll.qlCalendarAdvance(Calendar,X2527,NDays&amp;"D")</f>
        <v>56859</v>
      </c>
      <c r="Z2527" s="132">
        <v>1.1024859258334513E-2</v>
      </c>
      <c r="AA2527" s="129">
        <v>1.107336565258521E-2</v>
      </c>
    </row>
    <row r="2528" spans="19:27" x14ac:dyDescent="0.2">
      <c r="S2528" s="1"/>
      <c r="T2528" s="109"/>
      <c r="W2528" s="130" t="str">
        <f t="shared" si="49"/>
        <v>1w</v>
      </c>
      <c r="X2528" s="128">
        <f>_xll.qlCalendarAdvance(Calendar,X2527,W2528,"f",FALSE)</f>
        <v>56864</v>
      </c>
      <c r="Y2528" s="131">
        <f>_xll.qlCalendarAdvance(Calendar,X2528,NDays&amp;"D")</f>
        <v>56866</v>
      </c>
      <c r="Z2528" s="132">
        <v>1.1015011650366759E-2</v>
      </c>
      <c r="AA2528" s="129">
        <v>1.1063339035208841E-2</v>
      </c>
    </row>
    <row r="2529" spans="19:27" x14ac:dyDescent="0.2">
      <c r="S2529" s="1"/>
      <c r="T2529" s="109"/>
      <c r="W2529" s="130" t="str">
        <f t="shared" si="49"/>
        <v>1w</v>
      </c>
      <c r="X2529" s="128">
        <f>_xll.qlCalendarAdvance(Calendar,X2528,W2529,"f",FALSE)</f>
        <v>56871</v>
      </c>
      <c r="Y2529" s="131">
        <f>_xll.qlCalendarAdvance(Calendar,X2529,NDays&amp;"D")</f>
        <v>56873</v>
      </c>
      <c r="Z2529" s="132">
        <v>1.1005196209212394E-2</v>
      </c>
      <c r="AA2529" s="129">
        <v>1.105334447259132E-2</v>
      </c>
    </row>
    <row r="2530" spans="19:27" x14ac:dyDescent="0.2">
      <c r="S2530" s="1"/>
      <c r="T2530" s="109"/>
      <c r="W2530" s="130" t="str">
        <f t="shared" si="49"/>
        <v>1w</v>
      </c>
      <c r="X2530" s="128">
        <f>_xll.qlCalendarAdvance(Calendar,X2529,W2530,"f",FALSE)</f>
        <v>56878</v>
      </c>
      <c r="Y2530" s="131">
        <f>_xll.qlCalendarAdvance(Calendar,X2530,NDays&amp;"D")</f>
        <v>56880</v>
      </c>
      <c r="Z2530" s="132">
        <v>1.0995412934626339E-2</v>
      </c>
      <c r="AA2530" s="129">
        <v>1.1043381964173093E-2</v>
      </c>
    </row>
    <row r="2531" spans="19:27" x14ac:dyDescent="0.2">
      <c r="S2531" s="1"/>
      <c r="T2531" s="109"/>
      <c r="W2531" s="130" t="str">
        <f t="shared" si="49"/>
        <v>1w</v>
      </c>
      <c r="X2531" s="128">
        <f>_xll.qlCalendarAdvance(Calendar,X2530,W2531,"f",FALSE)</f>
        <v>56885</v>
      </c>
      <c r="Y2531" s="131">
        <f>_xll.qlCalendarAdvance(Calendar,X2531,NDays&amp;"D")</f>
        <v>56887</v>
      </c>
      <c r="Z2531" s="132">
        <v>1.0985138994669276E-2</v>
      </c>
      <c r="AA2531" s="129">
        <v>1.1033451510273906E-2</v>
      </c>
    </row>
    <row r="2532" spans="19:27" x14ac:dyDescent="0.2">
      <c r="S2532" s="1"/>
      <c r="T2532" s="109"/>
      <c r="W2532" s="130" t="str">
        <f t="shared" si="49"/>
        <v>1w</v>
      </c>
      <c r="X2532" s="128">
        <f>_xll.qlCalendarAdvance(Calendar,X2531,W2532,"f",FALSE)</f>
        <v>56892</v>
      </c>
      <c r="Y2532" s="131">
        <f>_xll.qlCalendarAdvance(Calendar,X2532,NDays&amp;"D")</f>
        <v>56894</v>
      </c>
      <c r="Z2532" s="132">
        <v>1.0975422054116222E-2</v>
      </c>
      <c r="AA2532" s="129">
        <v>1.1023553110893758E-2</v>
      </c>
    </row>
    <row r="2533" spans="19:27" x14ac:dyDescent="0.2">
      <c r="S2533" s="1"/>
      <c r="T2533" s="109"/>
      <c r="W2533" s="130" t="str">
        <f t="shared" si="49"/>
        <v>1w</v>
      </c>
      <c r="X2533" s="128">
        <f>_xll.qlCalendarAdvance(Calendar,X2532,W2533,"f",FALSE)</f>
        <v>56899</v>
      </c>
      <c r="Y2533" s="131">
        <f>_xll.qlCalendarAdvance(Calendar,X2533,NDays&amp;"D")</f>
        <v>56901</v>
      </c>
      <c r="Z2533" s="132">
        <v>1.0965737280647817E-2</v>
      </c>
      <c r="AA2533" s="129">
        <v>1.1013686765872777E-2</v>
      </c>
    </row>
    <row r="2534" spans="19:27" x14ac:dyDescent="0.2">
      <c r="S2534" s="1"/>
      <c r="T2534" s="109"/>
      <c r="W2534" s="130" t="str">
        <f t="shared" si="49"/>
        <v>1w</v>
      </c>
      <c r="X2534" s="128">
        <f>_xll.qlCalendarAdvance(Calendar,X2533,W2534,"f",FALSE)</f>
        <v>56906</v>
      </c>
      <c r="Y2534" s="131">
        <f>_xll.qlCalendarAdvance(Calendar,X2534,NDays&amp;"D")</f>
        <v>56908</v>
      </c>
      <c r="Z2534" s="132">
        <v>1.0956084674021645E-2</v>
      </c>
      <c r="AA2534" s="129">
        <v>1.1003852475370834E-2</v>
      </c>
    </row>
    <row r="2535" spans="19:27" x14ac:dyDescent="0.2">
      <c r="S2535" s="1"/>
      <c r="T2535" s="109"/>
      <c r="W2535" s="130" t="str">
        <f t="shared" si="49"/>
        <v>1w</v>
      </c>
      <c r="X2535" s="128">
        <f>_xll.qlCalendarAdvance(Calendar,X2534,W2535,"f",FALSE)</f>
        <v>56913</v>
      </c>
      <c r="Y2535" s="131">
        <f>_xll.qlCalendarAdvance(Calendar,X2535,NDays&amp;"D")</f>
        <v>56915</v>
      </c>
      <c r="Z2535" s="132">
        <v>1.094646423400485E-2</v>
      </c>
      <c r="AA2535" s="129">
        <v>1.0994050239228059E-2</v>
      </c>
    </row>
    <row r="2536" spans="19:27" x14ac:dyDescent="0.2">
      <c r="S2536" s="1"/>
      <c r="T2536" s="109"/>
      <c r="W2536" s="130" t="str">
        <f t="shared" si="49"/>
        <v>1w</v>
      </c>
      <c r="X2536" s="128">
        <f>_xll.qlCalendarAdvance(Calendar,X2535,W2536,"f",FALSE)</f>
        <v>56920</v>
      </c>
      <c r="Y2536" s="131">
        <f>_xll.qlCalendarAdvance(Calendar,X2536,NDays&amp;"D")</f>
        <v>56922</v>
      </c>
      <c r="Z2536" s="132">
        <v>1.0936875960360228E-2</v>
      </c>
      <c r="AA2536" s="129">
        <v>1.0984280057604323E-2</v>
      </c>
    </row>
    <row r="2537" spans="19:27" x14ac:dyDescent="0.2">
      <c r="S2537" s="1"/>
      <c r="T2537" s="109"/>
      <c r="W2537" s="130" t="str">
        <f t="shared" si="49"/>
        <v>1w</v>
      </c>
      <c r="X2537" s="128">
        <f>_xll.qlCalendarAdvance(Calendar,X2536,W2537,"f",FALSE)</f>
        <v>56927</v>
      </c>
      <c r="Y2537" s="131">
        <f>_xll.qlCalendarAdvance(Calendar,X2537,NDays&amp;"D")</f>
        <v>56929</v>
      </c>
      <c r="Z2537" s="132">
        <v>1.0927319852851447E-2</v>
      </c>
      <c r="AA2537" s="129">
        <v>1.097454193041969E-2</v>
      </c>
    </row>
    <row r="2538" spans="19:27" x14ac:dyDescent="0.2">
      <c r="S2538" s="1"/>
      <c r="T2538" s="109"/>
      <c r="W2538" s="130" t="str">
        <f t="shared" si="49"/>
        <v>1w</v>
      </c>
      <c r="X2538" s="128">
        <f>_xll.qlCalendarAdvance(Calendar,X2537,W2538,"f",FALSE)</f>
        <v>56934</v>
      </c>
      <c r="Y2538" s="131">
        <f>_xll.qlCalendarAdvance(Calendar,X2538,NDays&amp;"D")</f>
        <v>56936</v>
      </c>
      <c r="Z2538" s="132">
        <v>1.0917795911242178E-2</v>
      </c>
      <c r="AA2538" s="129">
        <v>1.0964835857594224E-2</v>
      </c>
    </row>
    <row r="2539" spans="19:27" x14ac:dyDescent="0.2">
      <c r="S2539" s="1"/>
      <c r="T2539" s="109"/>
      <c r="W2539" s="130" t="str">
        <f t="shared" si="49"/>
        <v>1w</v>
      </c>
      <c r="X2539" s="128">
        <f>_xll.qlCalendarAdvance(Calendar,X2538,W2539,"f",FALSE)</f>
        <v>56941</v>
      </c>
      <c r="Y2539" s="131">
        <f>_xll.qlCalendarAdvance(Calendar,X2539,NDays&amp;"D")</f>
        <v>56943</v>
      </c>
      <c r="Z2539" s="132">
        <v>1.0908304135300428E-2</v>
      </c>
      <c r="AA2539" s="129">
        <v>1.0955161839287797E-2</v>
      </c>
    </row>
    <row r="2540" spans="19:27" x14ac:dyDescent="0.2">
      <c r="S2540" s="1"/>
      <c r="T2540" s="109"/>
      <c r="W2540" s="130" t="str">
        <f t="shared" si="49"/>
        <v>1w</v>
      </c>
      <c r="X2540" s="128">
        <f>_xll.qlCalendarAdvance(Calendar,X2539,W2540,"f",FALSE)</f>
        <v>56948</v>
      </c>
      <c r="Y2540" s="131">
        <f>_xll.qlCalendarAdvance(Calendar,X2540,NDays&amp;"D")</f>
        <v>56950</v>
      </c>
      <c r="Z2540" s="132">
        <v>1.0899349298255902E-2</v>
      </c>
      <c r="AA2540" s="129">
        <v>1.0945519875420473E-2</v>
      </c>
    </row>
    <row r="2541" spans="19:27" x14ac:dyDescent="0.2">
      <c r="S2541" s="1"/>
      <c r="T2541" s="109"/>
      <c r="W2541" s="130" t="str">
        <f t="shared" si="49"/>
        <v>1w</v>
      </c>
      <c r="X2541" s="128">
        <f>_xll.qlCalendarAdvance(Calendar,X2540,W2541,"f",FALSE)</f>
        <v>56955</v>
      </c>
      <c r="Y2541" s="131">
        <f>_xll.qlCalendarAdvance(Calendar,X2541,NDays&amp;"D")</f>
        <v>56957</v>
      </c>
      <c r="Z2541" s="132">
        <v>1.0889919840429474E-2</v>
      </c>
      <c r="AA2541" s="129">
        <v>1.0935909965992252E-2</v>
      </c>
    </row>
    <row r="2542" spans="19:27" x14ac:dyDescent="0.2">
      <c r="S2542" s="1"/>
      <c r="T2542" s="109"/>
      <c r="W2542" s="130" t="str">
        <f t="shared" si="49"/>
        <v>1w</v>
      </c>
      <c r="X2542" s="128">
        <f>_xll.qlCalendarAdvance(Calendar,X2541,W2542,"f",FALSE)</f>
        <v>56962</v>
      </c>
      <c r="Y2542" s="131">
        <f>_xll.qlCalendarAdvance(Calendar,X2542,NDays&amp;"D")</f>
        <v>56964</v>
      </c>
      <c r="Z2542" s="132">
        <v>1.0880522546370079E-2</v>
      </c>
      <c r="AA2542" s="129">
        <v>1.0926332110923198E-2</v>
      </c>
    </row>
    <row r="2543" spans="19:27" x14ac:dyDescent="0.2">
      <c r="S2543" s="1"/>
      <c r="T2543" s="109"/>
      <c r="W2543" s="130" t="str">
        <f t="shared" si="49"/>
        <v>1w</v>
      </c>
      <c r="X2543" s="128">
        <f>_xll.qlCalendarAdvance(Calendar,X2542,W2543,"f",FALSE)</f>
        <v>56969</v>
      </c>
      <c r="Y2543" s="131">
        <f>_xll.qlCalendarAdvance(Calendar,X2543,NDays&amp;"D")</f>
        <v>56971</v>
      </c>
      <c r="Z2543" s="132">
        <v>1.0871157415852846E-2</v>
      </c>
      <c r="AA2543" s="129">
        <v>1.0916786310293247E-2</v>
      </c>
    </row>
    <row r="2544" spans="19:27" x14ac:dyDescent="0.2">
      <c r="S2544" s="1"/>
      <c r="T2544" s="109"/>
      <c r="W2544" s="130" t="str">
        <f t="shared" si="49"/>
        <v>1w</v>
      </c>
      <c r="X2544" s="128">
        <f>_xll.qlCalendarAdvance(Calendar,X2543,W2544,"f",FALSE)</f>
        <v>56976</v>
      </c>
      <c r="Y2544" s="131">
        <f>_xll.qlCalendarAdvance(Calendar,X2544,NDays&amp;"D")</f>
        <v>56978</v>
      </c>
      <c r="Z2544" s="132">
        <v>1.086182444864499E-2</v>
      </c>
      <c r="AA2544" s="129">
        <v>1.0907272564022463E-2</v>
      </c>
    </row>
    <row r="2545" spans="19:27" x14ac:dyDescent="0.2">
      <c r="S2545" s="1"/>
      <c r="T2545" s="109"/>
      <c r="W2545" s="130" t="str">
        <f t="shared" si="49"/>
        <v>1w</v>
      </c>
      <c r="X2545" s="128">
        <f>_xll.qlCalendarAdvance(Calendar,X2544,W2545,"f",FALSE)</f>
        <v>56983</v>
      </c>
      <c r="Y2545" s="131">
        <f>_xll.qlCalendarAdvance(Calendar,X2545,NDays&amp;"D")</f>
        <v>56985</v>
      </c>
      <c r="Z2545" s="132">
        <v>1.0852523644525151E-2</v>
      </c>
      <c r="AA2545" s="129">
        <v>1.0897790872350654E-2</v>
      </c>
    </row>
    <row r="2546" spans="19:27" x14ac:dyDescent="0.2">
      <c r="S2546" s="1"/>
      <c r="T2546" s="109"/>
      <c r="W2546" s="130" t="str">
        <f t="shared" si="49"/>
        <v>1w</v>
      </c>
      <c r="X2546" s="128">
        <f>_xll.qlCalendarAdvance(Calendar,X2545,W2546,"f",FALSE)</f>
        <v>56990</v>
      </c>
      <c r="Y2546" s="131">
        <f>_xll.qlCalendarAdvance(Calendar,X2546,NDays&amp;"D")</f>
        <v>56992</v>
      </c>
      <c r="Z2546" s="132">
        <v>1.0843255003263184E-2</v>
      </c>
      <c r="AA2546" s="129">
        <v>1.0888341234958077E-2</v>
      </c>
    </row>
    <row r="2547" spans="19:27" x14ac:dyDescent="0.2">
      <c r="S2547" s="1"/>
      <c r="T2547" s="109"/>
      <c r="W2547" s="130" t="str">
        <f t="shared" si="49"/>
        <v>1w</v>
      </c>
      <c r="X2547" s="128">
        <f>_xll.qlCalendarAdvance(Calendar,X2546,W2547,"f",FALSE)</f>
        <v>56997</v>
      </c>
      <c r="Y2547" s="131">
        <f>_xll.qlCalendarAdvance(Calendar,X2547,NDays&amp;"D")</f>
        <v>56999</v>
      </c>
      <c r="Z2547" s="132">
        <v>1.0834018524636849E-2</v>
      </c>
      <c r="AA2547" s="129">
        <v>1.0878923652004602E-2</v>
      </c>
    </row>
    <row r="2548" spans="19:27" x14ac:dyDescent="0.2">
      <c r="S2548" s="1"/>
      <c r="T2548" s="109"/>
      <c r="W2548" s="130" t="str">
        <f t="shared" si="49"/>
        <v>1w</v>
      </c>
      <c r="X2548" s="128">
        <f>_xll.qlCalendarAdvance(Calendar,X2547,W2548,"f",FALSE)</f>
        <v>57004</v>
      </c>
      <c r="Y2548" s="131">
        <f>_xll.qlCalendarAdvance(Calendar,X2548,NDays&amp;"D")</f>
        <v>57006</v>
      </c>
      <c r="Z2548" s="132">
        <v>1.0824814208417756E-2</v>
      </c>
      <c r="AA2548" s="129">
        <v>1.086953812349023E-2</v>
      </c>
    </row>
    <row r="2549" spans="19:27" x14ac:dyDescent="0.2">
      <c r="S2549" s="1"/>
      <c r="T2549" s="109"/>
      <c r="W2549" s="130" t="str">
        <f t="shared" si="49"/>
        <v>1w</v>
      </c>
      <c r="X2549" s="128">
        <f>_xll.qlCalendarAdvance(Calendar,X2548,W2549,"f",FALSE)</f>
        <v>57011</v>
      </c>
      <c r="Y2549" s="131">
        <f>_xll.qlCalendarAdvance(Calendar,X2549,NDays&amp;"D")</f>
        <v>57013</v>
      </c>
      <c r="Z2549" s="132">
        <v>1.0816128855205775E-2</v>
      </c>
      <c r="AA2549" s="129">
        <v>1.0860184649255089E-2</v>
      </c>
    </row>
    <row r="2550" spans="19:27" x14ac:dyDescent="0.2">
      <c r="S2550" s="1"/>
      <c r="T2550" s="109"/>
      <c r="W2550" s="130" t="str">
        <f t="shared" si="49"/>
        <v>1w</v>
      </c>
      <c r="X2550" s="128">
        <f>_xll.qlCalendarAdvance(Calendar,X2549,W2550,"f",FALSE)</f>
        <v>57018</v>
      </c>
      <c r="Y2550" s="131">
        <f>_xll.qlCalendarAdvance(Calendar,X2550,NDays&amp;"D")</f>
        <v>57020</v>
      </c>
      <c r="Z2550" s="132">
        <v>1.0806986840061761E-2</v>
      </c>
      <c r="AA2550" s="129">
        <v>1.0850863229618923E-2</v>
      </c>
    </row>
    <row r="2551" spans="19:27" x14ac:dyDescent="0.2">
      <c r="S2551" s="1"/>
      <c r="T2551" s="109"/>
      <c r="W2551" s="130" t="str">
        <f t="shared" si="49"/>
        <v>1w</v>
      </c>
      <c r="X2551" s="128">
        <f>_xll.qlCalendarAdvance(Calendar,X2550,W2551,"f",FALSE)</f>
        <v>57025</v>
      </c>
      <c r="Y2551" s="131">
        <f>_xll.qlCalendarAdvance(Calendar,X2551,NDays&amp;"D")</f>
        <v>57027</v>
      </c>
      <c r="Z2551" s="132">
        <v>1.0797876985476407E-2</v>
      </c>
      <c r="AA2551" s="129">
        <v>1.0841573864261989E-2</v>
      </c>
    </row>
    <row r="2552" spans="19:27" x14ac:dyDescent="0.2">
      <c r="S2552" s="1"/>
      <c r="T2552" s="109"/>
      <c r="W2552" s="130" t="str">
        <f t="shared" si="49"/>
        <v>1w</v>
      </c>
      <c r="X2552" s="128">
        <f>_xll.qlCalendarAdvance(Calendar,X2551,W2552,"f",FALSE)</f>
        <v>57032</v>
      </c>
      <c r="Y2552" s="131">
        <f>_xll.qlCalendarAdvance(Calendar,X2552,NDays&amp;"D")</f>
        <v>57034</v>
      </c>
      <c r="Z2552" s="132">
        <v>1.0788799291233886E-2</v>
      </c>
      <c r="AA2552" s="129">
        <v>1.0832316553344157E-2</v>
      </c>
    </row>
    <row r="2553" spans="19:27" x14ac:dyDescent="0.2">
      <c r="S2553" s="1"/>
      <c r="T2553" s="109"/>
      <c r="W2553" s="130" t="str">
        <f t="shared" si="49"/>
        <v>1w</v>
      </c>
      <c r="X2553" s="128">
        <f>_xll.qlCalendarAdvance(Calendar,X2552,W2553,"f",FALSE)</f>
        <v>57039</v>
      </c>
      <c r="Y2553" s="131">
        <f>_xll.qlCalendarAdvance(Calendar,X2553,NDays&amp;"D")</f>
        <v>57041</v>
      </c>
      <c r="Z2553" s="132">
        <v>1.0778796537914258E-2</v>
      </c>
      <c r="AA2553" s="129">
        <v>1.0823091296945364E-2</v>
      </c>
    </row>
    <row r="2554" spans="19:27" x14ac:dyDescent="0.2">
      <c r="S2554" s="1"/>
      <c r="T2554" s="109"/>
      <c r="W2554" s="130" t="str">
        <f t="shared" si="49"/>
        <v>1w</v>
      </c>
      <c r="X2554" s="128">
        <f>_xll.qlCalendarAdvance(Calendar,X2553,W2554,"f",FALSE)</f>
        <v>57046</v>
      </c>
      <c r="Y2554" s="131">
        <f>_xll.qlCalendarAdvance(Calendar,X2554,NDays&amp;"D")</f>
        <v>57048</v>
      </c>
      <c r="Z2554" s="132">
        <v>1.0769787219419546E-2</v>
      </c>
      <c r="AA2554" s="129">
        <v>1.0813898094745866E-2</v>
      </c>
    </row>
    <row r="2555" spans="19:27" x14ac:dyDescent="0.2">
      <c r="S2555" s="1"/>
      <c r="T2555" s="109"/>
      <c r="W2555" s="130" t="str">
        <f t="shared" si="49"/>
        <v>1w</v>
      </c>
      <c r="X2555" s="128">
        <f>_xll.qlCalendarAdvance(Calendar,X2554,W2555,"f",FALSE)</f>
        <v>57053</v>
      </c>
      <c r="Y2555" s="131">
        <f>_xll.qlCalendarAdvance(Calendar,X2555,NDays&amp;"D")</f>
        <v>57055</v>
      </c>
      <c r="Z2555" s="132">
        <v>1.0760810062954394E-2</v>
      </c>
      <c r="AA2555" s="129">
        <v>1.0804736947065408E-2</v>
      </c>
    </row>
    <row r="2556" spans="19:27" x14ac:dyDescent="0.2">
      <c r="S2556" s="1"/>
      <c r="T2556" s="109"/>
      <c r="W2556" s="130" t="str">
        <f t="shared" si="49"/>
        <v>1w</v>
      </c>
      <c r="X2556" s="128">
        <f>_xll.qlCalendarAdvance(Calendar,X2555,W2556,"f",FALSE)</f>
        <v>57060</v>
      </c>
      <c r="Y2556" s="131">
        <f>_xll.qlCalendarAdvance(Calendar,X2556,NDays&amp;"D")</f>
        <v>57062</v>
      </c>
      <c r="Z2556" s="132">
        <v>1.0751865068296373E-2</v>
      </c>
      <c r="AA2556" s="129">
        <v>1.0795607853584244E-2</v>
      </c>
    </row>
    <row r="2557" spans="19:27" x14ac:dyDescent="0.2">
      <c r="S2557" s="1"/>
      <c r="T2557" s="109"/>
      <c r="W2557" s="130" t="str">
        <f t="shared" si="49"/>
        <v>1w</v>
      </c>
      <c r="X2557" s="128">
        <f>_xll.qlCalendarAdvance(Calendar,X2556,W2557,"f",FALSE)</f>
        <v>57067</v>
      </c>
      <c r="Y2557" s="131">
        <f>_xll.qlCalendarAdvance(Calendar,X2557,NDays&amp;"D")</f>
        <v>57069</v>
      </c>
      <c r="Z2557" s="132">
        <v>1.0742952235227395E-2</v>
      </c>
      <c r="AA2557" s="129">
        <v>1.0784564293421894E-2</v>
      </c>
    </row>
    <row r="2558" spans="19:27" x14ac:dyDescent="0.2">
      <c r="S2558" s="1"/>
      <c r="T2558" s="109"/>
      <c r="W2558" s="130" t="str">
        <f t="shared" si="49"/>
        <v>1w</v>
      </c>
      <c r="X2558" s="128">
        <f>_xll.qlCalendarAdvance(Calendar,X2557,W2558,"f",FALSE)</f>
        <v>57074</v>
      </c>
      <c r="Y2558" s="131">
        <f>_xll.qlCalendarAdvance(Calendar,X2558,NDays&amp;"D")</f>
        <v>57076</v>
      </c>
      <c r="Z2558" s="132">
        <v>1.0734539929918659E-2</v>
      </c>
      <c r="AA2558" s="129">
        <v>1.0777445830099097E-2</v>
      </c>
    </row>
    <row r="2559" spans="19:27" x14ac:dyDescent="0.2">
      <c r="S2559" s="1"/>
      <c r="T2559" s="109"/>
      <c r="W2559" s="130" t="str">
        <f t="shared" si="49"/>
        <v>1w</v>
      </c>
      <c r="X2559" s="128">
        <f>_xll.qlCalendarAdvance(Calendar,X2558,W2559,"f",FALSE)</f>
        <v>57081</v>
      </c>
      <c r="Y2559" s="131">
        <f>_xll.qlCalendarAdvance(Calendar,X2559,NDays&amp;"D")</f>
        <v>57083</v>
      </c>
      <c r="Z2559" s="132">
        <v>1.0725689385607159E-2</v>
      </c>
      <c r="AA2559" s="129">
        <v>1.0768412899935242E-2</v>
      </c>
    </row>
    <row r="2560" spans="19:27" x14ac:dyDescent="0.2">
      <c r="S2560" s="1"/>
      <c r="T2560" s="109"/>
      <c r="W2560" s="130" t="str">
        <f t="shared" si="49"/>
        <v>1w</v>
      </c>
      <c r="X2560" s="128">
        <f>_xll.qlCalendarAdvance(Calendar,X2559,W2560,"f",FALSE)</f>
        <v>57088</v>
      </c>
      <c r="Y2560" s="131">
        <f>_xll.qlCalendarAdvance(Calendar,X2560,NDays&amp;"D")</f>
        <v>57090</v>
      </c>
      <c r="Z2560" s="132">
        <v>1.0716871001072041E-2</v>
      </c>
      <c r="AA2560" s="129">
        <v>1.0759412024130555E-2</v>
      </c>
    </row>
    <row r="2561" spans="19:27" x14ac:dyDescent="0.2">
      <c r="S2561" s="1"/>
      <c r="T2561" s="109"/>
      <c r="W2561" s="130" t="str">
        <f t="shared" si="49"/>
        <v>1w</v>
      </c>
      <c r="X2561" s="128">
        <f>_xll.qlCalendarAdvance(Calendar,X2560,W2561,"f",FALSE)</f>
        <v>57095</v>
      </c>
      <c r="Y2561" s="131">
        <f>_xll.qlCalendarAdvance(Calendar,X2561,NDays&amp;"D")</f>
        <v>57097</v>
      </c>
      <c r="Z2561" s="132">
        <v>1.0708084776099846E-2</v>
      </c>
      <c r="AA2561" s="129">
        <v>1.075044320276497E-2</v>
      </c>
    </row>
    <row r="2562" spans="19:27" x14ac:dyDescent="0.2">
      <c r="S2562" s="1"/>
      <c r="T2562" s="109"/>
      <c r="W2562" s="130" t="str">
        <f t="shared" si="49"/>
        <v>1w</v>
      </c>
      <c r="X2562" s="128">
        <f>_xll.qlCalendarAdvance(Calendar,X2561,W2562,"f",FALSE)</f>
        <v>57102</v>
      </c>
      <c r="Y2562" s="131">
        <f>_xll.qlCalendarAdvance(Calendar,X2562,NDays&amp;"D")</f>
        <v>57104</v>
      </c>
      <c r="Z2562" s="132">
        <v>1.0698870486065163E-2</v>
      </c>
      <c r="AA2562" s="129">
        <v>1.0741506435678616E-2</v>
      </c>
    </row>
    <row r="2563" spans="19:27" x14ac:dyDescent="0.2">
      <c r="S2563" s="1"/>
      <c r="T2563" s="109"/>
      <c r="W2563" s="130" t="str">
        <f t="shared" si="49"/>
        <v>1w</v>
      </c>
      <c r="X2563" s="128">
        <f>_xll.qlCalendarAdvance(Calendar,X2562,W2563,"f",FALSE)</f>
        <v>57109</v>
      </c>
      <c r="Y2563" s="131">
        <f>_xll.qlCalendarAdvance(Calendar,X2563,NDays&amp;"D")</f>
        <v>57111</v>
      </c>
      <c r="Z2563" s="132">
        <v>1.069015061795411E-2</v>
      </c>
      <c r="AA2563" s="129">
        <v>1.0732601723191237E-2</v>
      </c>
    </row>
    <row r="2564" spans="19:27" x14ac:dyDescent="0.2">
      <c r="S2564" s="1"/>
      <c r="T2564" s="109"/>
      <c r="W2564" s="130" t="str">
        <f t="shared" si="49"/>
        <v>1w</v>
      </c>
      <c r="X2564" s="128">
        <f>_xll.qlCalendarAdvance(Calendar,X2563,W2564,"f",FALSE)</f>
        <v>57116</v>
      </c>
      <c r="Y2564" s="131">
        <f>_xll.qlCalendarAdvance(Calendar,X2564,NDays&amp;"D")</f>
        <v>57118</v>
      </c>
      <c r="Z2564" s="132">
        <v>1.0681462909910712E-2</v>
      </c>
      <c r="AA2564" s="129">
        <v>1.0723729064743281E-2</v>
      </c>
    </row>
    <row r="2565" spans="19:27" x14ac:dyDescent="0.2">
      <c r="S2565" s="1"/>
      <c r="T2565" s="109"/>
      <c r="W2565" s="130" t="str">
        <f t="shared" si="49"/>
        <v>1w</v>
      </c>
      <c r="X2565" s="128">
        <f>_xll.qlCalendarAdvance(Calendar,X2564,W2565,"f",FALSE)</f>
        <v>57123</v>
      </c>
      <c r="Y2565" s="131">
        <f>_xll.qlCalendarAdvance(Calendar,X2565,NDays&amp;"D")</f>
        <v>57125</v>
      </c>
      <c r="Z2565" s="132">
        <v>1.0672807361727306E-2</v>
      </c>
      <c r="AA2565" s="129">
        <v>1.0714888460894301E-2</v>
      </c>
    </row>
    <row r="2566" spans="19:27" x14ac:dyDescent="0.2">
      <c r="S2566" s="1"/>
      <c r="T2566" s="109"/>
      <c r="W2566" s="130" t="str">
        <f t="shared" si="49"/>
        <v>1w</v>
      </c>
      <c r="X2566" s="128">
        <f>_xll.qlCalendarAdvance(Calendar,X2565,W2566,"f",FALSE)</f>
        <v>57130</v>
      </c>
      <c r="Y2566" s="131">
        <f>_xll.qlCalendarAdvance(Calendar,X2566,NDays&amp;"D")</f>
        <v>57132</v>
      </c>
      <c r="Z2566" s="132">
        <v>1.066418397318928E-2</v>
      </c>
      <c r="AA2566" s="129">
        <v>1.0706079911324551E-2</v>
      </c>
    </row>
    <row r="2567" spans="19:27" x14ac:dyDescent="0.2">
      <c r="S2567" s="1"/>
      <c r="T2567" s="109"/>
      <c r="W2567" s="130" t="str">
        <f t="shared" si="49"/>
        <v>1w</v>
      </c>
      <c r="X2567" s="128">
        <f>_xll.qlCalendarAdvance(Calendar,X2566,W2567,"f",FALSE)</f>
        <v>57137</v>
      </c>
      <c r="Y2567" s="131">
        <f>_xll.qlCalendarAdvance(Calendar,X2567,NDays&amp;"D")</f>
        <v>57139</v>
      </c>
      <c r="Z2567" s="132">
        <v>1.0655592744083764E-2</v>
      </c>
      <c r="AA2567" s="129">
        <v>1.0697303416034032E-2</v>
      </c>
    </row>
    <row r="2568" spans="19:27" x14ac:dyDescent="0.2">
      <c r="S2568" s="1"/>
      <c r="T2568" s="109"/>
      <c r="W2568" s="130" t="str">
        <f t="shared" si="49"/>
        <v>1w</v>
      </c>
      <c r="X2568" s="128">
        <f>_xll.qlCalendarAdvance(Calendar,X2567,W2568,"f",FALSE)</f>
        <v>57144</v>
      </c>
      <c r="Y2568" s="131">
        <f>_xll.qlCalendarAdvance(Calendar,X2568,NDays&amp;"D")</f>
        <v>57146</v>
      </c>
      <c r="Z2568" s="132">
        <v>1.0647033674200487E-2</v>
      </c>
      <c r="AA2568" s="129">
        <v>1.0688558975262552E-2</v>
      </c>
    </row>
    <row r="2569" spans="19:27" x14ac:dyDescent="0.2">
      <c r="S2569" s="1"/>
      <c r="T2569" s="109"/>
      <c r="W2569" s="130" t="str">
        <f t="shared" si="49"/>
        <v>1w</v>
      </c>
      <c r="X2569" s="128">
        <f>_xll.qlCalendarAdvance(Calendar,X2568,W2569,"f",FALSE)</f>
        <v>57151</v>
      </c>
      <c r="Y2569" s="131">
        <f>_xll.qlCalendarAdvance(Calendar,X2569,NDays&amp;"D")</f>
        <v>57153</v>
      </c>
      <c r="Z2569" s="132">
        <v>1.0638506763329187E-2</v>
      </c>
      <c r="AA2569" s="129">
        <v>1.0679846588850239E-2</v>
      </c>
    </row>
    <row r="2570" spans="19:27" x14ac:dyDescent="0.2">
      <c r="S2570" s="1"/>
      <c r="T2570" s="109"/>
      <c r="W2570" s="130" t="str">
        <f t="shared" si="49"/>
        <v>1w</v>
      </c>
      <c r="X2570" s="128">
        <f>_xll.qlCalendarAdvance(Calendar,X2569,W2570,"f",FALSE)</f>
        <v>57158</v>
      </c>
      <c r="Y2570" s="131">
        <f>_xll.qlCalendarAdvance(Calendar,X2570,NDays&amp;"D")</f>
        <v>57160</v>
      </c>
      <c r="Z2570" s="132">
        <v>1.0630012011260464E-2</v>
      </c>
      <c r="AA2570" s="129">
        <v>1.0671166256797093E-2</v>
      </c>
    </row>
    <row r="2571" spans="19:27" x14ac:dyDescent="0.2">
      <c r="S2571" s="1"/>
      <c r="T2571" s="109"/>
      <c r="W2571" s="130" t="str">
        <f t="shared" si="49"/>
        <v>1w</v>
      </c>
      <c r="X2571" s="128">
        <f>_xll.qlCalendarAdvance(Calendar,X2570,W2571,"f",FALSE)</f>
        <v>57165</v>
      </c>
      <c r="Y2571" s="131">
        <f>_xll.qlCalendarAdvance(Calendar,X2571,NDays&amp;"D")</f>
        <v>57167</v>
      </c>
      <c r="Z2571" s="132">
        <v>1.0621549417782315E-2</v>
      </c>
      <c r="AA2571" s="129">
        <v>1.0662517978943242E-2</v>
      </c>
    </row>
    <row r="2572" spans="19:27" x14ac:dyDescent="0.2">
      <c r="S2572" s="1"/>
      <c r="T2572" s="109"/>
      <c r="W2572" s="130" t="str">
        <f t="shared" si="49"/>
        <v>1w</v>
      </c>
      <c r="X2572" s="128">
        <f>_xll.qlCalendarAdvance(Calendar,X2571,W2572,"f",FALSE)</f>
        <v>57172</v>
      </c>
      <c r="Y2572" s="131">
        <f>_xll.qlCalendarAdvance(Calendar,X2572,NDays&amp;"D")</f>
        <v>57174</v>
      </c>
      <c r="Z2572" s="132">
        <v>1.0613118982691423E-2</v>
      </c>
      <c r="AA2572" s="129">
        <v>1.065390175560843E-2</v>
      </c>
    </row>
    <row r="2573" spans="19:27" x14ac:dyDescent="0.2">
      <c r="S2573" s="1"/>
      <c r="T2573" s="109"/>
      <c r="W2573" s="130" t="str">
        <f t="shared" si="49"/>
        <v>1w</v>
      </c>
      <c r="X2573" s="128">
        <f>_xll.qlCalendarAdvance(Calendar,X2572,W2573,"f",FALSE)</f>
        <v>57179</v>
      </c>
      <c r="Y2573" s="131">
        <f>_xll.qlCalendarAdvance(Calendar,X2573,NDays&amp;"D")</f>
        <v>57181</v>
      </c>
      <c r="Z2573" s="132">
        <v>1.060472070577839E-2</v>
      </c>
      <c r="AA2573" s="129">
        <v>1.0645317586552849E-2</v>
      </c>
    </row>
    <row r="2574" spans="19:27" x14ac:dyDescent="0.2">
      <c r="S2574" s="1"/>
      <c r="T2574" s="109"/>
      <c r="W2574" s="130" t="str">
        <f t="shared" si="49"/>
        <v>1w</v>
      </c>
      <c r="X2574" s="128">
        <f>_xll.qlCalendarAdvance(Calendar,X2573,W2574,"f",FALSE)</f>
        <v>57186</v>
      </c>
      <c r="Y2574" s="131">
        <f>_xll.qlCalendarAdvance(Calendar,X2574,NDays&amp;"D")</f>
        <v>57188</v>
      </c>
      <c r="Z2574" s="132">
        <v>1.0596354586836427E-2</v>
      </c>
      <c r="AA2574" s="129">
        <v>1.0636765471776499E-2</v>
      </c>
    </row>
    <row r="2575" spans="19:27" x14ac:dyDescent="0.2">
      <c r="S2575" s="1"/>
      <c r="T2575" s="109"/>
      <c r="W2575" s="130" t="str">
        <f t="shared" si="49"/>
        <v>1w</v>
      </c>
      <c r="X2575" s="128">
        <f>_xll.qlCalendarAdvance(Calendar,X2574,W2575,"f",FALSE)</f>
        <v>57193</v>
      </c>
      <c r="Y2575" s="131">
        <f>_xll.qlCalendarAdvance(Calendar,X2575,NDays&amp;"D")</f>
        <v>57195</v>
      </c>
      <c r="Z2575" s="132">
        <v>1.0588020625660478E-2</v>
      </c>
      <c r="AA2575" s="129">
        <v>1.0628245411439252E-2</v>
      </c>
    </row>
    <row r="2576" spans="19:27" x14ac:dyDescent="0.2">
      <c r="S2576" s="1"/>
      <c r="T2576" s="109"/>
      <c r="W2576" s="130" t="str">
        <f t="shared" si="49"/>
        <v>1w</v>
      </c>
      <c r="X2576" s="128">
        <f>_xll.qlCalendarAdvance(Calendar,X2575,W2576,"f",FALSE)</f>
        <v>57200</v>
      </c>
      <c r="Y2576" s="131">
        <f>_xll.qlCalendarAdvance(Calendar,X2576,NDays&amp;"D")</f>
        <v>57202</v>
      </c>
      <c r="Z2576" s="132">
        <v>1.057971882204636E-2</v>
      </c>
      <c r="AA2576" s="129">
        <v>1.0619757405461172E-2</v>
      </c>
    </row>
    <row r="2577" spans="19:27" x14ac:dyDescent="0.2">
      <c r="S2577" s="1"/>
      <c r="T2577" s="109"/>
      <c r="W2577" s="130" t="str">
        <f t="shared" si="49"/>
        <v>1w</v>
      </c>
      <c r="X2577" s="128">
        <f>_xll.qlCalendarAdvance(Calendar,X2576,W2577,"f",FALSE)</f>
        <v>57207</v>
      </c>
      <c r="Y2577" s="131">
        <f>_xll.qlCalendarAdvance(Calendar,X2577,NDays&amp;"D")</f>
        <v>57209</v>
      </c>
      <c r="Z2577" s="132">
        <v>1.0571449175789021E-2</v>
      </c>
      <c r="AA2577" s="129">
        <v>1.0611301453842259E-2</v>
      </c>
    </row>
    <row r="2578" spans="19:27" x14ac:dyDescent="0.2">
      <c r="S2578" s="1"/>
      <c r="T2578" s="109"/>
      <c r="W2578" s="130" t="str">
        <f t="shared" si="49"/>
        <v>1w</v>
      </c>
      <c r="X2578" s="128">
        <f>_xll.qlCalendarAdvance(Calendar,X2577,W2578,"f",FALSE)</f>
        <v>57214</v>
      </c>
      <c r="Y2578" s="131">
        <f>_xll.qlCalendarAdvance(Calendar,X2578,NDays&amp;"D")</f>
        <v>57216</v>
      </c>
      <c r="Z2578" s="132">
        <v>1.0563211686685142E-2</v>
      </c>
      <c r="AA2578" s="129">
        <v>1.0602877556422641E-2</v>
      </c>
    </row>
    <row r="2579" spans="19:27" x14ac:dyDescent="0.2">
      <c r="S2579" s="1"/>
      <c r="T2579" s="109"/>
      <c r="W2579" s="130" t="str">
        <f t="shared" si="49"/>
        <v>1w</v>
      </c>
      <c r="X2579" s="128">
        <f>_xll.qlCalendarAdvance(Calendar,X2578,W2579,"f",FALSE)</f>
        <v>57221</v>
      </c>
      <c r="Y2579" s="131">
        <f>_xll.qlCalendarAdvance(Calendar,X2579,NDays&amp;"D")</f>
        <v>57223</v>
      </c>
      <c r="Z2579" s="132">
        <v>1.0555431771845876E-2</v>
      </c>
      <c r="AA2579" s="129">
        <v>1.0594485713442126E-2</v>
      </c>
    </row>
    <row r="2580" spans="19:27" x14ac:dyDescent="0.2">
      <c r="S2580" s="1"/>
      <c r="T2580" s="109"/>
      <c r="W2580" s="130" t="str">
        <f t="shared" si="49"/>
        <v>1w</v>
      </c>
      <c r="X2580" s="128">
        <f>_xll.qlCalendarAdvance(Calendar,X2579,W2580,"f",FALSE)</f>
        <v>57228</v>
      </c>
      <c r="Y2580" s="131">
        <f>_xll.qlCalendarAdvance(Calendar,X2580,NDays&amp;"D")</f>
        <v>57230</v>
      </c>
      <c r="Z2580" s="132">
        <v>1.0547256538844545E-2</v>
      </c>
      <c r="AA2580" s="129">
        <v>1.0586125924820777E-2</v>
      </c>
    </row>
    <row r="2581" spans="19:27" x14ac:dyDescent="0.2">
      <c r="S2581" s="1"/>
      <c r="T2581" s="109"/>
      <c r="W2581" s="130" t="str">
        <f t="shared" ref="W2581:W2644" si="50">W2580</f>
        <v>1w</v>
      </c>
      <c r="X2581" s="128">
        <f>_xll.qlCalendarAdvance(Calendar,X2580,W2581,"f",FALSE)</f>
        <v>57235</v>
      </c>
      <c r="Y2581" s="131">
        <f>_xll.qlCalendarAdvance(Calendar,X2581,NDays&amp;"D")</f>
        <v>57237</v>
      </c>
      <c r="Z2581" s="132">
        <v>1.0539113461280208E-2</v>
      </c>
      <c r="AA2581" s="129">
        <v>1.057779819047866E-2</v>
      </c>
    </row>
    <row r="2582" spans="19:27" x14ac:dyDescent="0.2">
      <c r="S2582" s="1"/>
      <c r="T2582" s="109"/>
      <c r="W2582" s="130" t="str">
        <f t="shared" si="50"/>
        <v>1w</v>
      </c>
      <c r="X2582" s="128">
        <f>_xll.qlCalendarAdvance(Calendar,X2581,W2582,"f",FALSE)</f>
        <v>57242</v>
      </c>
      <c r="Y2582" s="131">
        <f>_xll.qlCalendarAdvance(Calendar,X2582,NDays&amp;"D")</f>
        <v>57244</v>
      </c>
      <c r="Z2582" s="132">
        <v>1.0531002538956979E-2</v>
      </c>
      <c r="AA2582" s="129">
        <v>1.056950251049571E-2</v>
      </c>
    </row>
    <row r="2583" spans="19:27" x14ac:dyDescent="0.2">
      <c r="S2583" s="1"/>
      <c r="T2583" s="109"/>
      <c r="W2583" s="130" t="str">
        <f t="shared" si="50"/>
        <v>1w</v>
      </c>
      <c r="X2583" s="128">
        <f>_xll.qlCalendarAdvance(Calendar,X2582,W2583,"f",FALSE)</f>
        <v>57249</v>
      </c>
      <c r="Y2583" s="131">
        <f>_xll.qlCalendarAdvance(Calendar,X2583,NDays&amp;"D")</f>
        <v>57251</v>
      </c>
      <c r="Z2583" s="132">
        <v>1.0522923771675456E-2</v>
      </c>
      <c r="AA2583" s="129">
        <v>1.0561238884951862E-2</v>
      </c>
    </row>
    <row r="2584" spans="19:27" x14ac:dyDescent="0.2">
      <c r="S2584" s="1"/>
      <c r="T2584" s="109"/>
      <c r="W2584" s="130" t="str">
        <f t="shared" si="50"/>
        <v>1w</v>
      </c>
      <c r="X2584" s="128">
        <f>_xll.qlCalendarAdvance(Calendar,X2583,W2584,"f",FALSE)</f>
        <v>57256</v>
      </c>
      <c r="Y2584" s="131">
        <f>_xll.qlCalendarAdvance(Calendar,X2584,NDays&amp;"D")</f>
        <v>57258</v>
      </c>
      <c r="Z2584" s="132">
        <v>1.0514462041010978E-2</v>
      </c>
      <c r="AA2584" s="129">
        <v>1.055300731360731E-2</v>
      </c>
    </row>
    <row r="2585" spans="19:27" x14ac:dyDescent="0.2">
      <c r="S2585" s="1"/>
      <c r="T2585" s="109"/>
      <c r="W2585" s="130" t="str">
        <f t="shared" si="50"/>
        <v>1w</v>
      </c>
      <c r="X2585" s="128">
        <f>_xll.qlCalendarAdvance(Calendar,X2584,W2585,"f",FALSE)</f>
        <v>57263</v>
      </c>
      <c r="Y2585" s="131">
        <f>_xll.qlCalendarAdvance(Calendar,X2585,NDays&amp;"D")</f>
        <v>57265</v>
      </c>
      <c r="Z2585" s="132">
        <v>1.0506449646358005E-2</v>
      </c>
      <c r="AA2585" s="129">
        <v>1.0544807796462052E-2</v>
      </c>
    </row>
    <row r="2586" spans="19:27" x14ac:dyDescent="0.2">
      <c r="S2586" s="1"/>
      <c r="T2586" s="109"/>
      <c r="W2586" s="130" t="str">
        <f t="shared" si="50"/>
        <v>1w</v>
      </c>
      <c r="X2586" s="128">
        <f>_xll.qlCalendarAdvance(Calendar,X2585,W2586,"f",FALSE)</f>
        <v>57270</v>
      </c>
      <c r="Y2586" s="131">
        <f>_xll.qlCalendarAdvance(Calendar,X2586,NDays&amp;"D")</f>
        <v>57272</v>
      </c>
      <c r="Z2586" s="132">
        <v>1.0498469407262378E-2</v>
      </c>
      <c r="AA2586" s="129">
        <v>1.0536640333835834E-2</v>
      </c>
    </row>
    <row r="2587" spans="19:27" x14ac:dyDescent="0.2">
      <c r="S2587" s="1"/>
      <c r="T2587" s="109"/>
      <c r="W2587" s="130" t="str">
        <f t="shared" si="50"/>
        <v>1w</v>
      </c>
      <c r="X2587" s="128">
        <f>_xll.qlCalendarAdvance(Calendar,X2586,W2587,"f",FALSE)</f>
        <v>57277</v>
      </c>
      <c r="Y2587" s="131">
        <f>_xll.qlCalendarAdvance(Calendar,X2587,NDays&amp;"D")</f>
        <v>57279</v>
      </c>
      <c r="Z2587" s="132">
        <v>1.0490521323526864E-2</v>
      </c>
      <c r="AA2587" s="129">
        <v>1.0528504925488846E-2</v>
      </c>
    </row>
    <row r="2588" spans="19:27" x14ac:dyDescent="0.2">
      <c r="S2588" s="1"/>
      <c r="T2588" s="109"/>
      <c r="W2588" s="130" t="str">
        <f t="shared" si="50"/>
        <v>1w</v>
      </c>
      <c r="X2588" s="128">
        <f>_xll.qlCalendarAdvance(Calendar,X2587,W2588,"f",FALSE)</f>
        <v>57284</v>
      </c>
      <c r="Y2588" s="131">
        <f>_xll.qlCalendarAdvance(Calendar,X2588,NDays&amp;"D")</f>
        <v>57286</v>
      </c>
      <c r="Z2588" s="132">
        <v>1.048260539495597E-2</v>
      </c>
      <c r="AA2588" s="129">
        <v>1.052040157142109E-2</v>
      </c>
    </row>
    <row r="2589" spans="19:27" x14ac:dyDescent="0.2">
      <c r="S2589" s="1"/>
      <c r="T2589" s="109"/>
      <c r="W2589" s="130" t="str">
        <f t="shared" si="50"/>
        <v>1w</v>
      </c>
      <c r="X2589" s="128">
        <f>_xll.qlCalendarAdvance(Calendar,X2588,W2589,"f",FALSE)</f>
        <v>57291</v>
      </c>
      <c r="Y2589" s="131">
        <f>_xll.qlCalendarAdvance(Calendar,X2589,NDays&amp;"D")</f>
        <v>57293</v>
      </c>
      <c r="Z2589" s="132">
        <v>1.0474721621355066E-2</v>
      </c>
      <c r="AA2589" s="129">
        <v>1.0512330271552628E-2</v>
      </c>
    </row>
    <row r="2590" spans="19:27" x14ac:dyDescent="0.2">
      <c r="S2590" s="1"/>
      <c r="T2590" s="109"/>
      <c r="W2590" s="130" t="str">
        <f t="shared" si="50"/>
        <v>1w</v>
      </c>
      <c r="X2590" s="128">
        <f>_xll.qlCalendarAdvance(Calendar,X2589,W2590,"f",FALSE)</f>
        <v>57298</v>
      </c>
      <c r="Y2590" s="131">
        <f>_xll.qlCalendarAdvance(Calendar,X2590,NDays&amp;"D")</f>
        <v>57300</v>
      </c>
      <c r="Z2590" s="132">
        <v>1.0466870002530394E-2</v>
      </c>
      <c r="AA2590" s="129">
        <v>1.0504291026283141E-2</v>
      </c>
    </row>
    <row r="2591" spans="19:27" x14ac:dyDescent="0.2">
      <c r="S2591" s="1"/>
      <c r="T2591" s="109"/>
      <c r="W2591" s="130" t="str">
        <f t="shared" si="50"/>
        <v>1w</v>
      </c>
      <c r="X2591" s="128">
        <f>_xll.qlCalendarAdvance(Calendar,X2590,W2591,"f",FALSE)</f>
        <v>57305</v>
      </c>
      <c r="Y2591" s="131">
        <f>_xll.qlCalendarAdvance(Calendar,X2591,NDays&amp;"D")</f>
        <v>57307</v>
      </c>
      <c r="Z2591" s="132">
        <v>1.0459050538290805E-2</v>
      </c>
      <c r="AA2591" s="129">
        <v>1.0496283835133013E-2</v>
      </c>
    </row>
    <row r="2592" spans="19:27" x14ac:dyDescent="0.2">
      <c r="S2592" s="1"/>
      <c r="T2592" s="109"/>
      <c r="W2592" s="130" t="str">
        <f t="shared" si="50"/>
        <v>1w</v>
      </c>
      <c r="X2592" s="128">
        <f>_xll.qlCalendarAdvance(Calendar,X2591,W2592,"f",FALSE)</f>
        <v>57312</v>
      </c>
      <c r="Y2592" s="131">
        <f>_xll.qlCalendarAdvance(Calendar,X2592,NDays&amp;"D")</f>
        <v>57314</v>
      </c>
      <c r="Z2592" s="132">
        <v>1.0452060583108214E-2</v>
      </c>
      <c r="AA2592" s="129">
        <v>1.0488308698262117E-2</v>
      </c>
    </row>
    <row r="2593" spans="19:27" x14ac:dyDescent="0.2">
      <c r="S2593" s="1"/>
      <c r="T2593" s="109"/>
      <c r="W2593" s="130" t="str">
        <f t="shared" si="50"/>
        <v>1w</v>
      </c>
      <c r="X2593" s="128">
        <f>_xll.qlCalendarAdvance(Calendar,X2592,W2593,"f",FALSE)</f>
        <v>57319</v>
      </c>
      <c r="Y2593" s="131">
        <f>_xll.qlCalendarAdvance(Calendar,X2593,NDays&amp;"D")</f>
        <v>57321</v>
      </c>
      <c r="Z2593" s="132">
        <v>1.0444301283851765E-2</v>
      </c>
      <c r="AA2593" s="129">
        <v>1.0480365615830323E-2</v>
      </c>
    </row>
    <row r="2594" spans="19:27" x14ac:dyDescent="0.2">
      <c r="S2594" s="1"/>
      <c r="T2594" s="109"/>
      <c r="W2594" s="130" t="str">
        <f t="shared" si="50"/>
        <v>1w</v>
      </c>
      <c r="X2594" s="128">
        <f>_xll.qlCalendarAdvance(Calendar,X2593,W2594,"f",FALSE)</f>
        <v>57326</v>
      </c>
      <c r="Y2594" s="131">
        <f>_xll.qlCalendarAdvance(Calendar,X2594,NDays&amp;"D")</f>
        <v>57328</v>
      </c>
      <c r="Z2594" s="132">
        <v>1.0436574136434729E-2</v>
      </c>
      <c r="AA2594" s="129">
        <v>1.0472454587757696E-2</v>
      </c>
    </row>
    <row r="2595" spans="19:27" x14ac:dyDescent="0.2">
      <c r="S2595" s="1"/>
      <c r="T2595" s="109"/>
      <c r="W2595" s="130" t="str">
        <f t="shared" si="50"/>
        <v>1w</v>
      </c>
      <c r="X2595" s="128">
        <f>_xll.qlCalendarAdvance(Calendar,X2594,W2595,"f",FALSE)</f>
        <v>57333</v>
      </c>
      <c r="Y2595" s="131">
        <f>_xll.qlCalendarAdvance(Calendar,X2595,NDays&amp;"D")</f>
        <v>57335</v>
      </c>
      <c r="Z2595" s="132">
        <v>1.0428879140672365E-2</v>
      </c>
      <c r="AA2595" s="129">
        <v>1.0464575613724492E-2</v>
      </c>
    </row>
    <row r="2596" spans="19:27" x14ac:dyDescent="0.2">
      <c r="S2596" s="1"/>
      <c r="T2596" s="109"/>
      <c r="W2596" s="130" t="str">
        <f t="shared" si="50"/>
        <v>1w</v>
      </c>
      <c r="X2596" s="128">
        <f>_xll.qlCalendarAdvance(Calendar,X2595,W2596,"f",FALSE)</f>
        <v>57341</v>
      </c>
      <c r="Y2596" s="131">
        <f>_xll.qlCalendarAdvance(Calendar,X2596,NDays&amp;"D")</f>
        <v>57343</v>
      </c>
      <c r="Z2596" s="132">
        <v>1.0419734046671552E-2</v>
      </c>
      <c r="AA2596" s="129">
        <v>1.0454389761962446E-2</v>
      </c>
    </row>
    <row r="2597" spans="19:27" x14ac:dyDescent="0.2">
      <c r="S2597" s="1"/>
      <c r="T2597" s="109"/>
      <c r="W2597" s="130" t="str">
        <f t="shared" si="50"/>
        <v>1w</v>
      </c>
      <c r="X2597" s="128">
        <f>_xll.qlCalendarAdvance(Calendar,X2596,W2597,"f",FALSE)</f>
        <v>57348</v>
      </c>
      <c r="Y2597" s="131">
        <f>_xll.qlCalendarAdvance(Calendar,X2597,NDays&amp;"D")</f>
        <v>57350</v>
      </c>
      <c r="Z2597" s="132">
        <v>1.0412498128959058E-2</v>
      </c>
      <c r="AA2597" s="129">
        <v>1.0446990266705924E-2</v>
      </c>
    </row>
    <row r="2598" spans="19:27" x14ac:dyDescent="0.2">
      <c r="S2598" s="1"/>
      <c r="T2598" s="109"/>
      <c r="W2598" s="130" t="str">
        <f t="shared" si="50"/>
        <v>1w</v>
      </c>
      <c r="X2598" s="128">
        <f>_xll.qlCalendarAdvance(Calendar,X2597,W2598,"f",FALSE)</f>
        <v>57355</v>
      </c>
      <c r="Y2598" s="131">
        <f>_xll.qlCalendarAdvance(Calendar,X2598,NDays&amp;"D")</f>
        <v>57357</v>
      </c>
      <c r="Z2598" s="132">
        <v>1.0404904180054686E-2</v>
      </c>
      <c r="AA2598" s="129">
        <v>1.0439216163131704E-2</v>
      </c>
    </row>
    <row r="2599" spans="19:27" x14ac:dyDescent="0.2">
      <c r="S2599" s="1"/>
      <c r="T2599" s="109"/>
      <c r="W2599" s="130" t="str">
        <f t="shared" si="50"/>
        <v>1w</v>
      </c>
      <c r="X2599" s="128">
        <f>_xll.qlCalendarAdvance(Calendar,X2598,W2599,"f",FALSE)</f>
        <v>57362</v>
      </c>
      <c r="Y2599" s="131">
        <f>_xll.qlCalendarAdvance(Calendar,X2599,NDays&amp;"D")</f>
        <v>57364</v>
      </c>
      <c r="Z2599" s="132">
        <v>1.0397342382045593E-2</v>
      </c>
      <c r="AA2599" s="129">
        <v>1.0431474115968342E-2</v>
      </c>
    </row>
    <row r="2600" spans="19:27" x14ac:dyDescent="0.2">
      <c r="S2600" s="1"/>
      <c r="T2600" s="109"/>
      <c r="W2600" s="130" t="str">
        <f t="shared" si="50"/>
        <v>1w</v>
      </c>
      <c r="X2600" s="128">
        <f>_xll.qlCalendarAdvance(Calendar,X2599,W2600,"f",FALSE)</f>
        <v>57369</v>
      </c>
      <c r="Y2600" s="131">
        <f>_xll.qlCalendarAdvance(Calendar,X2600,NDays&amp;"D")</f>
        <v>57371</v>
      </c>
      <c r="Z2600" s="132">
        <v>1.0389812734746151E-2</v>
      </c>
      <c r="AA2600" s="129">
        <v>1.0423764125322421E-2</v>
      </c>
    </row>
    <row r="2601" spans="19:27" x14ac:dyDescent="0.2">
      <c r="S2601" s="1"/>
      <c r="T2601" s="109"/>
      <c r="W2601" s="130" t="str">
        <f t="shared" si="50"/>
        <v>1w</v>
      </c>
      <c r="X2601" s="128">
        <f>_xll.qlCalendarAdvance(Calendar,X2600,W2601,"f",FALSE)</f>
        <v>57376</v>
      </c>
      <c r="Y2601" s="131">
        <f>_xll.qlCalendarAdvance(Calendar,X2601,NDays&amp;"D")</f>
        <v>57378</v>
      </c>
      <c r="Z2601" s="132">
        <v>1.0382695219522092E-2</v>
      </c>
      <c r="AA2601" s="129">
        <v>1.041608619114065E-2</v>
      </c>
    </row>
    <row r="2602" spans="19:27" x14ac:dyDescent="0.2">
      <c r="S2602" s="1"/>
      <c r="T2602" s="109"/>
      <c r="W2602" s="130" t="str">
        <f t="shared" si="50"/>
        <v>1w</v>
      </c>
      <c r="X2602" s="128">
        <f>_xll.qlCalendarAdvance(Calendar,X2601,W2602,"f",FALSE)</f>
        <v>57383</v>
      </c>
      <c r="Y2602" s="131">
        <f>_xll.qlCalendarAdvance(Calendar,X2602,NDays&amp;"D")</f>
        <v>57385</v>
      </c>
      <c r="Z2602" s="132">
        <v>1.0375227791683763E-2</v>
      </c>
      <c r="AA2602" s="129">
        <v>1.0408440313423029E-2</v>
      </c>
    </row>
    <row r="2603" spans="19:27" x14ac:dyDescent="0.2">
      <c r="S2603" s="1"/>
      <c r="T2603" s="109"/>
      <c r="W2603" s="130" t="str">
        <f t="shared" si="50"/>
        <v>1w</v>
      </c>
      <c r="X2603" s="128">
        <f>_xll.qlCalendarAdvance(Calendar,X2602,W2603,"f",FALSE)</f>
        <v>57390</v>
      </c>
      <c r="Y2603" s="131">
        <f>_xll.qlCalendarAdvance(Calendar,X2603,NDays&amp;"D")</f>
        <v>57392</v>
      </c>
      <c r="Z2603" s="132">
        <v>1.0367792512950386E-2</v>
      </c>
      <c r="AA2603" s="129">
        <v>1.0400826492222848E-2</v>
      </c>
    </row>
    <row r="2604" spans="19:27" x14ac:dyDescent="0.2">
      <c r="S2604" s="1"/>
      <c r="T2604" s="109"/>
      <c r="W2604" s="130" t="str">
        <f t="shared" si="50"/>
        <v>1w</v>
      </c>
      <c r="X2604" s="128">
        <f>_xll.qlCalendarAdvance(Calendar,X2603,W2604,"f",FALSE)</f>
        <v>57397</v>
      </c>
      <c r="Y2604" s="131">
        <f>_xll.qlCalendarAdvance(Calendar,X2604,NDays&amp;"D")</f>
        <v>57399</v>
      </c>
      <c r="Z2604" s="132">
        <v>1.0360389383143227E-2</v>
      </c>
      <c r="AA2604" s="129">
        <v>1.0393244727406881E-2</v>
      </c>
    </row>
    <row r="2605" spans="19:27" x14ac:dyDescent="0.2">
      <c r="S2605" s="1"/>
      <c r="T2605" s="109"/>
      <c r="W2605" s="130" t="str">
        <f t="shared" si="50"/>
        <v>1w</v>
      </c>
      <c r="X2605" s="128">
        <f>_xll.qlCalendarAdvance(Calendar,X2604,W2605,"f",FALSE)</f>
        <v>57404</v>
      </c>
      <c r="Y2605" s="131">
        <f>_xll.qlCalendarAdvance(Calendar,X2605,NDays&amp;"D")</f>
        <v>57406</v>
      </c>
      <c r="Z2605" s="132">
        <v>1.0351162071405259E-2</v>
      </c>
      <c r="AA2605" s="129">
        <v>1.0385695019108354E-2</v>
      </c>
    </row>
    <row r="2606" spans="19:27" x14ac:dyDescent="0.2">
      <c r="S2606" s="1"/>
      <c r="T2606" s="109"/>
      <c r="W2606" s="130" t="str">
        <f t="shared" si="50"/>
        <v>1w</v>
      </c>
      <c r="X2606" s="128">
        <f>_xll.qlCalendarAdvance(Calendar,X2605,W2606,"f",FALSE)</f>
        <v>57411</v>
      </c>
      <c r="Y2606" s="131">
        <f>_xll.qlCalendarAdvance(Calendar,X2606,NDays&amp;"D")</f>
        <v>57413</v>
      </c>
      <c r="Z2606" s="132">
        <v>1.0343833668767339E-2</v>
      </c>
      <c r="AA2606" s="129">
        <v>1.0378177367194041E-2</v>
      </c>
    </row>
    <row r="2607" spans="19:27" x14ac:dyDescent="0.2">
      <c r="S2607" s="1"/>
      <c r="T2607" s="109"/>
      <c r="W2607" s="130" t="str">
        <f t="shared" si="50"/>
        <v>1w</v>
      </c>
      <c r="X2607" s="128">
        <f>_xll.qlCalendarAdvance(Calendar,X2606,W2607,"f",FALSE)</f>
        <v>57418</v>
      </c>
      <c r="Y2607" s="131">
        <f>_xll.qlCalendarAdvance(Calendar,X2607,NDays&amp;"D")</f>
        <v>57420</v>
      </c>
      <c r="Z2607" s="132">
        <v>1.0336537419821892E-2</v>
      </c>
      <c r="AA2607" s="129">
        <v>1.0370691771717233E-2</v>
      </c>
    </row>
    <row r="2608" spans="19:27" x14ac:dyDescent="0.2">
      <c r="S2608" s="1"/>
      <c r="T2608" s="109"/>
      <c r="W2608" s="130" t="str">
        <f t="shared" si="50"/>
        <v>1w</v>
      </c>
      <c r="X2608" s="128">
        <f>_xll.qlCalendarAdvance(Calendar,X2607,W2608,"f",FALSE)</f>
        <v>57425</v>
      </c>
      <c r="Y2608" s="131">
        <f>_xll.qlCalendarAdvance(Calendar,X2608,NDays&amp;"D")</f>
        <v>57427</v>
      </c>
      <c r="Z2608" s="132">
        <v>1.0329273324386937E-2</v>
      </c>
      <c r="AA2608" s="129">
        <v>1.0363238232677929E-2</v>
      </c>
    </row>
    <row r="2609" spans="19:27" x14ac:dyDescent="0.2">
      <c r="S2609" s="1"/>
      <c r="T2609" s="109"/>
      <c r="W2609" s="130" t="str">
        <f t="shared" si="50"/>
        <v>1w</v>
      </c>
      <c r="X2609" s="128">
        <f>_xll.qlCalendarAdvance(Calendar,X2608,W2609,"f",FALSE)</f>
        <v>57432</v>
      </c>
      <c r="Y2609" s="131">
        <f>_xll.qlCalendarAdvance(Calendar,X2609,NDays&amp;"D")</f>
        <v>57434</v>
      </c>
      <c r="Z2609" s="132">
        <v>1.0323129553291826E-2</v>
      </c>
      <c r="AA2609" s="129">
        <v>1.035581675007613E-2</v>
      </c>
    </row>
    <row r="2610" spans="19:27" x14ac:dyDescent="0.2">
      <c r="S2610" s="1"/>
      <c r="T2610" s="109"/>
      <c r="W2610" s="130" t="str">
        <f t="shared" si="50"/>
        <v>1w</v>
      </c>
      <c r="X2610" s="128">
        <f>_xll.qlCalendarAdvance(Calendar,X2609,W2610,"f",FALSE)</f>
        <v>57439</v>
      </c>
      <c r="Y2610" s="131">
        <f>_xll.qlCalendarAdvance(Calendar,X2610,NDays&amp;"D")</f>
        <v>57441</v>
      </c>
      <c r="Z2610" s="132">
        <v>1.0315923493327703E-2</v>
      </c>
      <c r="AA2610" s="129">
        <v>1.0348427323938481E-2</v>
      </c>
    </row>
    <row r="2611" spans="19:27" x14ac:dyDescent="0.2">
      <c r="S2611" s="1"/>
      <c r="T2611" s="109"/>
      <c r="W2611" s="130" t="str">
        <f t="shared" si="50"/>
        <v>1w</v>
      </c>
      <c r="X2611" s="128">
        <f>_xll.qlCalendarAdvance(Calendar,X2610,W2611,"f",FALSE)</f>
        <v>57446</v>
      </c>
      <c r="Y2611" s="131">
        <f>_xll.qlCalendarAdvance(Calendar,X2611,NDays&amp;"D")</f>
        <v>57448</v>
      </c>
      <c r="Z2611" s="132">
        <v>1.0308749583176064E-2</v>
      </c>
      <c r="AA2611" s="129">
        <v>1.0341069954131754E-2</v>
      </c>
    </row>
    <row r="2612" spans="19:27" x14ac:dyDescent="0.2">
      <c r="S2612" s="1"/>
      <c r="T2612" s="109"/>
      <c r="W2612" s="130" t="str">
        <f t="shared" si="50"/>
        <v>1w</v>
      </c>
      <c r="X2612" s="128">
        <f>_xll.qlCalendarAdvance(Calendar,X2611,W2612,"f",FALSE)</f>
        <v>57453</v>
      </c>
      <c r="Y2612" s="131">
        <f>_xll.qlCalendarAdvance(Calendar,X2612,NDays&amp;"D")</f>
        <v>57459</v>
      </c>
      <c r="Z2612" s="132">
        <v>1.0297541251124569E-2</v>
      </c>
      <c r="AA2612" s="129">
        <v>1.0330318381193138E-2</v>
      </c>
    </row>
    <row r="2613" spans="19:27" x14ac:dyDescent="0.2">
      <c r="S2613" s="1"/>
      <c r="T2613" s="109"/>
      <c r="W2613" s="130" t="str">
        <f t="shared" si="50"/>
        <v>1w</v>
      </c>
      <c r="X2613" s="128">
        <f>_xll.qlCalendarAdvance(Calendar,X2612,W2613,"f",FALSE)</f>
        <v>57460</v>
      </c>
      <c r="Y2613" s="131">
        <f>_xll.qlCalendarAdvance(Calendar,X2613,NDays&amp;"D")</f>
        <v>57462</v>
      </c>
      <c r="Z2613" s="132">
        <v>1.0294498211619795E-2</v>
      </c>
      <c r="AA2613" s="129">
        <v>1.0326451383884105E-2</v>
      </c>
    </row>
    <row r="2614" spans="19:27" x14ac:dyDescent="0.2">
      <c r="S2614" s="1"/>
      <c r="T2614" s="109"/>
      <c r="W2614" s="130" t="str">
        <f t="shared" si="50"/>
        <v>1w</v>
      </c>
      <c r="X2614" s="128">
        <f>_xll.qlCalendarAdvance(Calendar,X2613,W2614,"f",FALSE)</f>
        <v>57467</v>
      </c>
      <c r="Y2614" s="131">
        <f>_xll.qlCalendarAdvance(Calendar,X2614,NDays&amp;"D")</f>
        <v>57469</v>
      </c>
      <c r="Z2614" s="132">
        <v>1.0286363965333771E-2</v>
      </c>
      <c r="AA2614" s="129">
        <v>1.0319190183309956E-2</v>
      </c>
    </row>
    <row r="2615" spans="19:27" x14ac:dyDescent="0.2">
      <c r="S2615" s="1"/>
      <c r="T2615" s="109"/>
      <c r="W2615" s="130" t="str">
        <f t="shared" si="50"/>
        <v>1w</v>
      </c>
      <c r="X2615" s="128">
        <f>_xll.qlCalendarAdvance(Calendar,X2614,W2615,"f",FALSE)</f>
        <v>57474</v>
      </c>
      <c r="Y2615" s="131">
        <f>_xll.qlCalendarAdvance(Calendar,X2615,NDays&amp;"D")</f>
        <v>57476</v>
      </c>
      <c r="Z2615" s="132">
        <v>1.0279324939407378E-2</v>
      </c>
      <c r="AA2615" s="129">
        <v>1.0311961039146667E-2</v>
      </c>
    </row>
    <row r="2616" spans="19:27" x14ac:dyDescent="0.2">
      <c r="S2616" s="1"/>
      <c r="T2616" s="109"/>
      <c r="W2616" s="130" t="str">
        <f t="shared" si="50"/>
        <v>1w</v>
      </c>
      <c r="X2616" s="128">
        <f>_xll.qlCalendarAdvance(Calendar,X2615,W2616,"f",FALSE)</f>
        <v>57481</v>
      </c>
      <c r="Y2616" s="131">
        <f>_xll.qlCalendarAdvance(Calendar,X2616,NDays&amp;"D")</f>
        <v>57483</v>
      </c>
      <c r="Z2616" s="132">
        <v>1.0272318065554332E-2</v>
      </c>
      <c r="AA2616" s="129">
        <v>1.03047639513143E-2</v>
      </c>
    </row>
    <row r="2617" spans="19:27" x14ac:dyDescent="0.2">
      <c r="S2617" s="1"/>
      <c r="T2617" s="109"/>
      <c r="W2617" s="130" t="str">
        <f t="shared" si="50"/>
        <v>1w</v>
      </c>
      <c r="X2617" s="128">
        <f>_xll.qlCalendarAdvance(Calendar,X2616,W2617,"f",FALSE)</f>
        <v>57488</v>
      </c>
      <c r="Y2617" s="131">
        <f>_xll.qlCalendarAdvance(Calendar,X2617,NDays&amp;"D")</f>
        <v>57490</v>
      </c>
      <c r="Z2617" s="132">
        <v>1.0265343343599449E-2</v>
      </c>
      <c r="AA2617" s="129">
        <v>1.0297598919946083E-2</v>
      </c>
    </row>
    <row r="2618" spans="19:27" x14ac:dyDescent="0.2">
      <c r="S2618" s="1"/>
      <c r="T2618" s="109"/>
      <c r="W2618" s="130" t="str">
        <f t="shared" si="50"/>
        <v>1w</v>
      </c>
      <c r="X2618" s="128">
        <f>_xll.qlCalendarAdvance(Calendar,X2617,W2618,"f",FALSE)</f>
        <v>57495</v>
      </c>
      <c r="Y2618" s="131">
        <f>_xll.qlCalendarAdvance(Calendar,X2618,NDays&amp;"D")</f>
        <v>57497</v>
      </c>
      <c r="Z2618" s="132">
        <v>1.0258400773367551E-2</v>
      </c>
      <c r="AA2618" s="129">
        <v>1.0290465944935434E-2</v>
      </c>
    </row>
    <row r="2619" spans="19:27" x14ac:dyDescent="0.2">
      <c r="S2619" s="1"/>
      <c r="T2619" s="109"/>
      <c r="W2619" s="130" t="str">
        <f t="shared" si="50"/>
        <v>1w</v>
      </c>
      <c r="X2619" s="128">
        <f>_xll.qlCalendarAdvance(Calendar,X2618,W2619,"f",FALSE)</f>
        <v>57502</v>
      </c>
      <c r="Y2619" s="131">
        <f>_xll.qlCalendarAdvance(Calendar,X2619,NDays&amp;"D")</f>
        <v>57504</v>
      </c>
      <c r="Z2619" s="132">
        <v>1.0251490354683463E-2</v>
      </c>
      <c r="AA2619" s="129">
        <v>1.0283365026282354E-2</v>
      </c>
    </row>
    <row r="2620" spans="19:27" x14ac:dyDescent="0.2">
      <c r="S2620" s="1"/>
      <c r="T2620" s="109"/>
      <c r="W2620" s="130" t="str">
        <f t="shared" si="50"/>
        <v>1w</v>
      </c>
      <c r="X2620" s="128">
        <f>_xll.qlCalendarAdvance(Calendar,X2619,W2620,"f",FALSE)</f>
        <v>57509</v>
      </c>
      <c r="Y2620" s="131">
        <f>_xll.qlCalendarAdvance(Calendar,X2620,NDays&amp;"D")</f>
        <v>57511</v>
      </c>
      <c r="Z2620" s="132">
        <v>1.0244612087372852E-2</v>
      </c>
      <c r="AA2620" s="129">
        <v>1.0276296163986842E-2</v>
      </c>
    </row>
    <row r="2621" spans="19:27" x14ac:dyDescent="0.2">
      <c r="S2621" s="1"/>
      <c r="T2621" s="109"/>
      <c r="W2621" s="130" t="str">
        <f t="shared" si="50"/>
        <v>1w</v>
      </c>
      <c r="X2621" s="128">
        <f>_xll.qlCalendarAdvance(Calendar,X2620,W2621,"f",FALSE)</f>
        <v>57516</v>
      </c>
      <c r="Y2621" s="131">
        <f>_xll.qlCalendarAdvance(Calendar,X2621,NDays&amp;"D")</f>
        <v>57518</v>
      </c>
      <c r="Z2621" s="132">
        <v>1.0237765971265644E-2</v>
      </c>
      <c r="AA2621" s="129">
        <v>1.0269259358048899E-2</v>
      </c>
    </row>
    <row r="2622" spans="19:27" x14ac:dyDescent="0.2">
      <c r="S2622" s="1"/>
      <c r="T2622" s="109"/>
      <c r="W2622" s="130" t="str">
        <f t="shared" si="50"/>
        <v>1w</v>
      </c>
      <c r="X2622" s="128">
        <f>_xll.qlCalendarAdvance(Calendar,X2621,W2622,"f",FALSE)</f>
        <v>57523</v>
      </c>
      <c r="Y2622" s="131">
        <f>_xll.qlCalendarAdvance(Calendar,X2622,NDays&amp;"D")</f>
        <v>57525</v>
      </c>
      <c r="Z2622" s="132">
        <v>1.0231958409916737E-2</v>
      </c>
      <c r="AA2622" s="129">
        <v>1.0262254608441879E-2</v>
      </c>
    </row>
    <row r="2623" spans="19:27" x14ac:dyDescent="0.2">
      <c r="S2623" s="1"/>
      <c r="T2623" s="109"/>
      <c r="W2623" s="130" t="str">
        <f t="shared" si="50"/>
        <v>1w</v>
      </c>
      <c r="X2623" s="128">
        <f>_xll.qlCalendarAdvance(Calendar,X2622,W2623,"f",FALSE)</f>
        <v>57530</v>
      </c>
      <c r="Y2623" s="131">
        <f>_xll.qlCalendarAdvance(Calendar,X2623,NDays&amp;"D")</f>
        <v>57532</v>
      </c>
      <c r="Z2623" s="132">
        <v>1.0224170191967518E-2</v>
      </c>
      <c r="AA2623" s="129">
        <v>1.0255281915192427E-2</v>
      </c>
    </row>
    <row r="2624" spans="19:27" x14ac:dyDescent="0.2">
      <c r="S2624" s="1"/>
      <c r="T2624" s="109"/>
      <c r="W2624" s="130" t="str">
        <f t="shared" si="50"/>
        <v>1w</v>
      </c>
      <c r="X2624" s="128">
        <f>_xll.qlCalendarAdvance(Calendar,X2623,W2624,"f",FALSE)</f>
        <v>57537</v>
      </c>
      <c r="Y2624" s="131">
        <f>_xll.qlCalendarAdvance(Calendar,X2624,NDays&amp;"D")</f>
        <v>57539</v>
      </c>
      <c r="Z2624" s="132">
        <v>1.0217420528436447E-2</v>
      </c>
      <c r="AA2624" s="129">
        <v>1.0248341278273898E-2</v>
      </c>
    </row>
    <row r="2625" spans="19:27" x14ac:dyDescent="0.2">
      <c r="S2625" s="1"/>
      <c r="T2625" s="109"/>
      <c r="W2625" s="130" t="str">
        <f t="shared" si="50"/>
        <v>1w</v>
      </c>
      <c r="X2625" s="128">
        <f>_xll.qlCalendarAdvance(Calendar,X2624,W2625,"f",FALSE)</f>
        <v>57544</v>
      </c>
      <c r="Y2625" s="131">
        <f>_xll.qlCalendarAdvance(Calendar,X2625,NDays&amp;"D")</f>
        <v>57546</v>
      </c>
      <c r="Z2625" s="132">
        <v>1.0210703015425921E-2</v>
      </c>
      <c r="AA2625" s="129">
        <v>1.0241432697712938E-2</v>
      </c>
    </row>
    <row r="2626" spans="19:27" x14ac:dyDescent="0.2">
      <c r="S2626" s="1"/>
      <c r="T2626" s="109"/>
      <c r="W2626" s="130" t="str">
        <f t="shared" si="50"/>
        <v>1w</v>
      </c>
      <c r="X2626" s="128">
        <f>_xll.qlCalendarAdvance(Calendar,X2625,W2626,"f",FALSE)</f>
        <v>57551</v>
      </c>
      <c r="Y2626" s="131">
        <f>_xll.qlCalendarAdvance(Calendar,X2626,NDays&amp;"D")</f>
        <v>57553</v>
      </c>
      <c r="Z2626" s="132">
        <v>1.020401765276331E-2</v>
      </c>
      <c r="AA2626" s="129">
        <v>1.02345561734829E-2</v>
      </c>
    </row>
    <row r="2627" spans="19:27" x14ac:dyDescent="0.2">
      <c r="S2627" s="1"/>
      <c r="T2627" s="109"/>
      <c r="W2627" s="130" t="str">
        <f t="shared" si="50"/>
        <v>1w</v>
      </c>
      <c r="X2627" s="128">
        <f>_xll.qlCalendarAdvance(Calendar,X2626,W2627,"f",FALSE)</f>
        <v>57558</v>
      </c>
      <c r="Y2627" s="131">
        <f>_xll.qlCalendarAdvance(Calendar,X2627,NDays&amp;"D")</f>
        <v>57560</v>
      </c>
      <c r="Z2627" s="132">
        <v>1.0197364440285342E-2</v>
      </c>
      <c r="AA2627" s="129">
        <v>1.0227711705583786E-2</v>
      </c>
    </row>
    <row r="2628" spans="19:27" x14ac:dyDescent="0.2">
      <c r="S2628" s="1"/>
      <c r="T2628" s="109"/>
      <c r="W2628" s="130" t="str">
        <f t="shared" si="50"/>
        <v>1w</v>
      </c>
      <c r="X2628" s="128">
        <f>_xll.qlCalendarAdvance(Calendar,X2627,W2628,"f",FALSE)</f>
        <v>57565</v>
      </c>
      <c r="Y2628" s="131">
        <f>_xll.qlCalendarAdvance(Calendar,X2628,NDays&amp;"D")</f>
        <v>57567</v>
      </c>
      <c r="Z2628" s="132">
        <v>1.0190743377821087E-2</v>
      </c>
      <c r="AA2628" s="129">
        <v>1.0220899293962304E-2</v>
      </c>
    </row>
    <row r="2629" spans="19:27" x14ac:dyDescent="0.2">
      <c r="S2629" s="1"/>
      <c r="T2629" s="109"/>
      <c r="W2629" s="130" t="str">
        <f t="shared" si="50"/>
        <v>1w</v>
      </c>
      <c r="X2629" s="128">
        <f>_xll.qlCalendarAdvance(Calendar,X2628,W2629,"f",FALSE)</f>
        <v>57572</v>
      </c>
      <c r="Y2629" s="131">
        <f>_xll.qlCalendarAdvance(Calendar,X2629,NDays&amp;"D")</f>
        <v>57574</v>
      </c>
      <c r="Z2629" s="132">
        <v>1.0184154465206426E-2</v>
      </c>
      <c r="AA2629" s="129">
        <v>1.0214118938671746E-2</v>
      </c>
    </row>
    <row r="2630" spans="19:27" x14ac:dyDescent="0.2">
      <c r="S2630" s="1"/>
      <c r="T2630" s="109"/>
      <c r="W2630" s="130" t="str">
        <f t="shared" si="50"/>
        <v>1w</v>
      </c>
      <c r="X2630" s="128">
        <f>_xll.qlCalendarAdvance(Calendar,X2629,W2630,"f",FALSE)</f>
        <v>57579</v>
      </c>
      <c r="Y2630" s="131">
        <f>_xll.qlCalendarAdvance(Calendar,X2630,NDays&amp;"D")</f>
        <v>57581</v>
      </c>
      <c r="Z2630" s="132">
        <v>1.0177597702274679E-2</v>
      </c>
      <c r="AA2630" s="129">
        <v>1.0207370639685465E-2</v>
      </c>
    </row>
    <row r="2631" spans="19:27" x14ac:dyDescent="0.2">
      <c r="S2631" s="1"/>
      <c r="T2631" s="109"/>
      <c r="W2631" s="130" t="str">
        <f t="shared" si="50"/>
        <v>1w</v>
      </c>
      <c r="X2631" s="128">
        <f>_xll.qlCalendarAdvance(Calendar,X2630,W2631,"f",FALSE)</f>
        <v>57586</v>
      </c>
      <c r="Y2631" s="131">
        <f>_xll.qlCalendarAdvance(Calendar,X2631,NDays&amp;"D")</f>
        <v>57588</v>
      </c>
      <c r="Z2631" s="132">
        <v>1.0172022578222969E-2</v>
      </c>
      <c r="AA2631" s="129">
        <v>1.0200654397003461E-2</v>
      </c>
    </row>
    <row r="2632" spans="19:27" x14ac:dyDescent="0.2">
      <c r="S2632" s="1"/>
      <c r="T2632" s="109"/>
      <c r="W2632" s="130" t="str">
        <f t="shared" si="50"/>
        <v>1w</v>
      </c>
      <c r="X2632" s="128">
        <f>_xll.qlCalendarAdvance(Calendar,X2631,W2632,"f",FALSE)</f>
        <v>57593</v>
      </c>
      <c r="Y2632" s="131">
        <f>_xll.qlCalendarAdvance(Calendar,X2632,NDays&amp;"D")</f>
        <v>57595</v>
      </c>
      <c r="Z2632" s="132">
        <v>1.0165523775082503E-2</v>
      </c>
      <c r="AA2632" s="129">
        <v>1.0193970210625736E-2</v>
      </c>
    </row>
    <row r="2633" spans="19:27" x14ac:dyDescent="0.2">
      <c r="S2633" s="1"/>
      <c r="T2633" s="109"/>
      <c r="W2633" s="130" t="str">
        <f t="shared" si="50"/>
        <v>1w</v>
      </c>
      <c r="X2633" s="128">
        <f>_xll.qlCalendarAdvance(Calendar,X2632,W2633,"f",FALSE)</f>
        <v>57600</v>
      </c>
      <c r="Y2633" s="131">
        <f>_xll.qlCalendarAdvance(Calendar,X2633,NDays&amp;"D")</f>
        <v>57602</v>
      </c>
      <c r="Z2633" s="132">
        <v>1.015905711809942E-2</v>
      </c>
      <c r="AA2633" s="129">
        <v>1.0187318080525642E-2</v>
      </c>
    </row>
    <row r="2634" spans="19:27" x14ac:dyDescent="0.2">
      <c r="S2634" s="1"/>
      <c r="T2634" s="109"/>
      <c r="W2634" s="130" t="str">
        <f t="shared" si="50"/>
        <v>1w</v>
      </c>
      <c r="X2634" s="128">
        <f>_xll.qlCalendarAdvance(Calendar,X2633,W2634,"f",FALSE)</f>
        <v>57607</v>
      </c>
      <c r="Y2634" s="131">
        <f>_xll.qlCalendarAdvance(Calendar,X2634,NDays&amp;"D")</f>
        <v>57609</v>
      </c>
      <c r="Z2634" s="132">
        <v>1.0152622607115608E-2</v>
      </c>
      <c r="AA2634" s="129">
        <v>1.0180698006703182E-2</v>
      </c>
    </row>
    <row r="2635" spans="19:27" x14ac:dyDescent="0.2">
      <c r="S2635" s="1"/>
      <c r="T2635" s="109"/>
      <c r="W2635" s="130" t="str">
        <f t="shared" si="50"/>
        <v>1w</v>
      </c>
      <c r="X2635" s="128">
        <f>_xll.qlCalendarAdvance(Calendar,X2634,W2635,"f",FALSE)</f>
        <v>57614</v>
      </c>
      <c r="Y2635" s="131">
        <f>_xll.qlCalendarAdvance(Calendar,X2635,NDays&amp;"D")</f>
        <v>57616</v>
      </c>
      <c r="Z2635" s="132">
        <v>1.0145296127139155E-2</v>
      </c>
      <c r="AA2635" s="129">
        <v>1.0174109989184998E-2</v>
      </c>
    </row>
    <row r="2636" spans="19:27" x14ac:dyDescent="0.2">
      <c r="S2636" s="1"/>
      <c r="T2636" s="109"/>
      <c r="W2636" s="130" t="str">
        <f t="shared" si="50"/>
        <v>1w</v>
      </c>
      <c r="X2636" s="128">
        <f>_xll.qlCalendarAdvance(Calendar,X2635,W2636,"f",FALSE)</f>
        <v>57621</v>
      </c>
      <c r="Y2636" s="131">
        <f>_xll.qlCalendarAdvance(Calendar,X2636,NDays&amp;"D")</f>
        <v>57623</v>
      </c>
      <c r="Z2636" s="132">
        <v>1.0138932258881258E-2</v>
      </c>
      <c r="AA2636" s="129">
        <v>1.0167554027944448E-2</v>
      </c>
    </row>
    <row r="2637" spans="19:27" x14ac:dyDescent="0.2">
      <c r="S2637" s="1"/>
      <c r="T2637" s="109"/>
      <c r="W2637" s="130" t="str">
        <f t="shared" si="50"/>
        <v>1w</v>
      </c>
      <c r="X2637" s="128">
        <f>_xll.qlCalendarAdvance(Calendar,X2636,W2637,"f",FALSE)</f>
        <v>57628</v>
      </c>
      <c r="Y2637" s="131">
        <f>_xll.qlCalendarAdvance(Calendar,X2637,NDays&amp;"D")</f>
        <v>57630</v>
      </c>
      <c r="Z2637" s="132">
        <v>1.0132600539170167E-2</v>
      </c>
      <c r="AA2637" s="129">
        <v>1.0161030122954884E-2</v>
      </c>
    </row>
    <row r="2638" spans="19:27" x14ac:dyDescent="0.2">
      <c r="S2638" s="1"/>
      <c r="T2638" s="109"/>
      <c r="W2638" s="130" t="str">
        <f t="shared" si="50"/>
        <v>1w</v>
      </c>
      <c r="X2638" s="128">
        <f>_xll.qlCalendarAdvance(Calendar,X2637,W2638,"f",FALSE)</f>
        <v>57635</v>
      </c>
      <c r="Y2638" s="131">
        <f>_xll.qlCalendarAdvance(Calendar,X2638,NDays&amp;"D")</f>
        <v>57637</v>
      </c>
      <c r="Z2638" s="132">
        <v>1.0126300967847706E-2</v>
      </c>
      <c r="AA2638" s="129">
        <v>1.0154538274242952E-2</v>
      </c>
    </row>
    <row r="2639" spans="19:27" x14ac:dyDescent="0.2">
      <c r="S2639" s="1"/>
      <c r="T2639" s="109"/>
      <c r="W2639" s="130" t="str">
        <f t="shared" si="50"/>
        <v>1w</v>
      </c>
      <c r="X2639" s="128">
        <f>_xll.qlCalendarAdvance(Calendar,X2638,W2639,"f",FALSE)</f>
        <v>57642</v>
      </c>
      <c r="Y2639" s="131">
        <f>_xll.qlCalendarAdvance(Calendar,X2639,NDays&amp;"D")</f>
        <v>57644</v>
      </c>
      <c r="Z2639" s="132">
        <v>1.0120033544757408E-2</v>
      </c>
      <c r="AA2639" s="129">
        <v>1.0148078481755363E-2</v>
      </c>
    </row>
    <row r="2640" spans="19:27" x14ac:dyDescent="0.2">
      <c r="S2640" s="1"/>
      <c r="T2640" s="109"/>
      <c r="W2640" s="130" t="str">
        <f t="shared" si="50"/>
        <v>1w</v>
      </c>
      <c r="X2640" s="128">
        <f>_xll.qlCalendarAdvance(Calendar,X2639,W2640,"f",FALSE)</f>
        <v>57649</v>
      </c>
      <c r="Y2640" s="131">
        <f>_xll.qlCalendarAdvance(Calendar,X2640,NDays&amp;"D")</f>
        <v>57651</v>
      </c>
      <c r="Z2640" s="132">
        <v>1.0113798269740248E-2</v>
      </c>
      <c r="AA2640" s="129">
        <v>1.0141650745598696E-2</v>
      </c>
    </row>
    <row r="2641" spans="19:27" x14ac:dyDescent="0.2">
      <c r="S2641" s="1"/>
      <c r="T2641" s="109"/>
      <c r="W2641" s="130" t="str">
        <f t="shared" si="50"/>
        <v>1w</v>
      </c>
      <c r="X2641" s="128">
        <f>_xll.qlCalendarAdvance(Calendar,X2640,W2641,"f",FALSE)</f>
        <v>57656</v>
      </c>
      <c r="Y2641" s="131">
        <f>_xll.qlCalendarAdvance(Calendar,X2641,NDays&amp;"D")</f>
        <v>57658</v>
      </c>
      <c r="Z2641" s="132">
        <v>1.0107595142639758E-2</v>
      </c>
      <c r="AA2641" s="129">
        <v>1.013525506561308E-2</v>
      </c>
    </row>
    <row r="2642" spans="19:27" x14ac:dyDescent="0.2">
      <c r="S2642" s="1"/>
      <c r="T2642" s="109"/>
      <c r="W2642" s="130" t="str">
        <f t="shared" si="50"/>
        <v>1w</v>
      </c>
      <c r="X2642" s="128">
        <f>_xll.qlCalendarAdvance(Calendar,X2641,W2642,"f",FALSE)</f>
        <v>57663</v>
      </c>
      <c r="Y2642" s="131">
        <f>_xll.qlCalendarAdvance(Calendar,X2642,NDays&amp;"D")</f>
        <v>57665</v>
      </c>
      <c r="Z2642" s="132">
        <v>1.0101424163300317E-2</v>
      </c>
      <c r="AA2642" s="129">
        <v>1.0128891441905097E-2</v>
      </c>
    </row>
    <row r="2643" spans="19:27" x14ac:dyDescent="0.2">
      <c r="S2643" s="1"/>
      <c r="T2643" s="109"/>
      <c r="W2643" s="130" t="str">
        <f t="shared" si="50"/>
        <v>1w</v>
      </c>
      <c r="X2643" s="128">
        <f>_xll.qlCalendarAdvance(Calendar,X2642,W2643,"f",FALSE)</f>
        <v>57670</v>
      </c>
      <c r="Y2643" s="131">
        <f>_xll.qlCalendarAdvance(Calendar,X2643,NDays&amp;"D")</f>
        <v>57672</v>
      </c>
      <c r="Z2643" s="132">
        <v>1.0095285331568006E-2</v>
      </c>
      <c r="AA2643" s="129">
        <v>1.0122559874421455E-2</v>
      </c>
    </row>
    <row r="2644" spans="19:27" x14ac:dyDescent="0.2">
      <c r="S2644" s="1"/>
      <c r="T2644" s="109"/>
      <c r="W2644" s="130" t="str">
        <f t="shared" si="50"/>
        <v>1w</v>
      </c>
      <c r="X2644" s="128">
        <f>_xll.qlCalendarAdvance(Calendar,X2643,W2644,"f",FALSE)</f>
        <v>57677</v>
      </c>
      <c r="Y2644" s="131">
        <f>_xll.qlCalendarAdvance(Calendar,X2644,NDays&amp;"D")</f>
        <v>57679</v>
      </c>
      <c r="Z2644" s="132">
        <v>1.0090334836350578E-2</v>
      </c>
      <c r="AA2644" s="129">
        <v>1.01162603631888E-2</v>
      </c>
    </row>
    <row r="2645" spans="19:27" x14ac:dyDescent="0.2">
      <c r="S2645" s="1"/>
      <c r="T2645" s="109"/>
      <c r="W2645" s="130" t="str">
        <f t="shared" ref="W2645:W2708" si="51">W2644</f>
        <v>1w</v>
      </c>
      <c r="X2645" s="128">
        <f>_xll.qlCalendarAdvance(Calendar,X2644,W2645,"f",FALSE)</f>
        <v>57684</v>
      </c>
      <c r="Y2645" s="131">
        <f>_xll.qlCalendarAdvance(Calendar,X2645,NDays&amp;"D")</f>
        <v>57686</v>
      </c>
      <c r="Z2645" s="132">
        <v>1.0084251795445809E-2</v>
      </c>
      <c r="AA2645" s="129">
        <v>1.0109992908153842E-2</v>
      </c>
    </row>
    <row r="2646" spans="19:27" x14ac:dyDescent="0.2">
      <c r="S2646" s="1"/>
      <c r="T2646" s="109"/>
      <c r="W2646" s="130" t="str">
        <f t="shared" si="51"/>
        <v>1w</v>
      </c>
      <c r="X2646" s="128">
        <f>_xll.qlCalendarAdvance(Calendar,X2645,W2646,"f",FALSE)</f>
        <v>57691</v>
      </c>
      <c r="Y2646" s="131">
        <f>_xll.qlCalendarAdvance(Calendar,X2646,NDays&amp;"D")</f>
        <v>57693</v>
      </c>
      <c r="Z2646" s="132">
        <v>1.0078200897726042E-2</v>
      </c>
      <c r="AA2646" s="129">
        <v>1.0103757509369871E-2</v>
      </c>
    </row>
    <row r="2647" spans="19:27" x14ac:dyDescent="0.2">
      <c r="S2647" s="1"/>
      <c r="T2647" s="109"/>
      <c r="W2647" s="130" t="str">
        <f t="shared" si="51"/>
        <v>1w</v>
      </c>
      <c r="X2647" s="128">
        <f>_xll.qlCalendarAdvance(Calendar,X2646,W2647,"f",FALSE)</f>
        <v>57698</v>
      </c>
      <c r="Y2647" s="131">
        <f>_xll.qlCalendarAdvance(Calendar,X2647,NDays&amp;"D")</f>
        <v>57700</v>
      </c>
      <c r="Z2647" s="132">
        <v>1.0072182143045616E-2</v>
      </c>
      <c r="AA2647" s="129">
        <v>1.0097554166810241E-2</v>
      </c>
    </row>
    <row r="2648" spans="19:27" x14ac:dyDescent="0.2">
      <c r="S2648" s="1"/>
      <c r="T2648" s="109"/>
      <c r="W2648" s="130" t="str">
        <f t="shared" si="51"/>
        <v>1w</v>
      </c>
      <c r="X2648" s="128">
        <f>_xll.qlCalendarAdvance(Calendar,X2647,W2648,"f",FALSE)</f>
        <v>57706</v>
      </c>
      <c r="Y2648" s="131">
        <f>_xll.qlCalendarAdvance(Calendar,X2648,NDays&amp;"D")</f>
        <v>57710</v>
      </c>
      <c r="Z2648" s="132">
        <v>1.0064200116238764E-2</v>
      </c>
      <c r="AA2648" s="129">
        <v>1.008904510999109E-2</v>
      </c>
    </row>
    <row r="2649" spans="19:27" x14ac:dyDescent="0.2">
      <c r="S2649" s="1"/>
      <c r="T2649" s="109"/>
      <c r="W2649" s="130" t="str">
        <f t="shared" si="51"/>
        <v>1w</v>
      </c>
      <c r="X2649" s="128">
        <f>_xll.qlCalendarAdvance(Calendar,X2648,W2649,"f",FALSE)</f>
        <v>57713</v>
      </c>
      <c r="Y2649" s="131">
        <f>_xll.qlCalendarAdvance(Calendar,X2649,NDays&amp;"D")</f>
        <v>57717</v>
      </c>
      <c r="Z2649" s="132">
        <v>1.0057421195244441E-2</v>
      </c>
      <c r="AA2649" s="129">
        <v>1.0083212831810684E-2</v>
      </c>
    </row>
    <row r="2650" spans="19:27" x14ac:dyDescent="0.2">
      <c r="S2650" s="1"/>
      <c r="T2650" s="109"/>
      <c r="W2650" s="130" t="str">
        <f t="shared" si="51"/>
        <v>1w</v>
      </c>
      <c r="X2650" s="128">
        <f>_xll.qlCalendarAdvance(Calendar,X2649,W2650,"f",FALSE)</f>
        <v>57720</v>
      </c>
      <c r="Y2650" s="131">
        <f>_xll.qlCalendarAdvance(Calendar,X2650,NDays&amp;"D")</f>
        <v>57724</v>
      </c>
      <c r="Z2650" s="132">
        <v>1.0051239313250958E-2</v>
      </c>
      <c r="AA2650" s="129">
        <v>1.0077115158244609E-2</v>
      </c>
    </row>
    <row r="2651" spans="19:27" x14ac:dyDescent="0.2">
      <c r="S2651" s="1"/>
      <c r="T2651" s="109"/>
      <c r="W2651" s="130" t="str">
        <f t="shared" si="51"/>
        <v>1w</v>
      </c>
      <c r="X2651" s="128">
        <f>_xll.qlCalendarAdvance(Calendar,X2650,W2651,"f",FALSE)</f>
        <v>57727</v>
      </c>
      <c r="Y2651" s="131">
        <f>_xll.qlCalendarAdvance(Calendar,X2651,NDays&amp;"D")</f>
        <v>57731</v>
      </c>
      <c r="Z2651" s="132">
        <v>1.0045640498758418E-2</v>
      </c>
      <c r="AA2651" s="129">
        <v>1.007104953887783E-2</v>
      </c>
    </row>
    <row r="2652" spans="19:27" x14ac:dyDescent="0.2">
      <c r="S2652" s="1"/>
      <c r="T2652" s="109"/>
      <c r="W2652" s="130" t="str">
        <f t="shared" si="51"/>
        <v>1w</v>
      </c>
      <c r="X2652" s="128">
        <f>_xll.qlCalendarAdvance(Calendar,X2651,W2652,"f",FALSE)</f>
        <v>57734</v>
      </c>
      <c r="Y2652" s="131">
        <f>_xll.qlCalendarAdvance(Calendar,X2652,NDays&amp;"D")</f>
        <v>57738</v>
      </c>
      <c r="Z2652" s="132">
        <v>1.0039798365452065E-2</v>
      </c>
      <c r="AA2652" s="129">
        <v>1.0065015973630409E-2</v>
      </c>
    </row>
    <row r="2653" spans="19:27" x14ac:dyDescent="0.2">
      <c r="S2653" s="1"/>
      <c r="T2653" s="109"/>
      <c r="W2653" s="130" t="str">
        <f t="shared" si="51"/>
        <v>1w</v>
      </c>
      <c r="X2653" s="128">
        <f>_xll.qlCalendarAdvance(Calendar,X2652,W2653,"f",FALSE)</f>
        <v>57741</v>
      </c>
      <c r="Y2653" s="131">
        <f>_xll.qlCalendarAdvance(Calendar,X2653,NDays&amp;"D")</f>
        <v>57745</v>
      </c>
      <c r="Z2653" s="132">
        <v>1.0033988375245323E-2</v>
      </c>
      <c r="AA2653" s="129">
        <v>1.0059014462662219E-2</v>
      </c>
    </row>
    <row r="2654" spans="19:27" x14ac:dyDescent="0.2">
      <c r="S2654" s="1"/>
      <c r="T2654" s="109"/>
      <c r="W2654" s="130" t="str">
        <f t="shared" si="51"/>
        <v>1w</v>
      </c>
      <c r="X2654" s="128">
        <f>_xll.qlCalendarAdvance(Calendar,X2653,W2654,"f",FALSE)</f>
        <v>57748</v>
      </c>
      <c r="Y2654" s="131">
        <f>_xll.qlCalendarAdvance(Calendar,X2654,NDays&amp;"D")</f>
        <v>57752</v>
      </c>
      <c r="Z2654" s="132">
        <v>1.0028210528001159E-2</v>
      </c>
      <c r="AA2654" s="129">
        <v>1.005304500597326E-2</v>
      </c>
    </row>
    <row r="2655" spans="19:27" x14ac:dyDescent="0.2">
      <c r="S2655" s="1"/>
      <c r="T2655" s="109"/>
      <c r="W2655" s="130" t="str">
        <f t="shared" si="51"/>
        <v>1w</v>
      </c>
      <c r="X2655" s="128">
        <f>_xll.qlCalendarAdvance(Calendar,X2654,W2655,"f",FALSE)</f>
        <v>57755</v>
      </c>
      <c r="Y2655" s="131">
        <f>_xll.qlCalendarAdvance(Calendar,X2655,NDays&amp;"D")</f>
        <v>57759</v>
      </c>
      <c r="Z2655" s="132">
        <v>1.002246482357551E-2</v>
      </c>
      <c r="AA2655" s="129">
        <v>1.0047107603323724E-2</v>
      </c>
    </row>
    <row r="2656" spans="19:27" x14ac:dyDescent="0.2">
      <c r="S2656" s="1"/>
      <c r="T2656" s="109"/>
      <c r="W2656" s="130" t="str">
        <f t="shared" si="51"/>
        <v>1w</v>
      </c>
      <c r="X2656" s="128">
        <f>_xll.qlCalendarAdvance(Calendar,X2655,W2656,"f",FALSE)</f>
        <v>57762</v>
      </c>
      <c r="Y2656" s="131">
        <f>_xll.qlCalendarAdvance(Calendar,X2656,NDays&amp;"D")</f>
        <v>57766</v>
      </c>
      <c r="Z2656" s="132">
        <v>1.0016751261829588E-2</v>
      </c>
      <c r="AA2656" s="129">
        <v>1.0041202255033355E-2</v>
      </c>
    </row>
    <row r="2657" spans="19:27" x14ac:dyDescent="0.2">
      <c r="S2657" s="1"/>
      <c r="T2657" s="109"/>
      <c r="W2657" s="130" t="str">
        <f t="shared" si="51"/>
        <v>1w</v>
      </c>
      <c r="X2657" s="128">
        <f>_xll.qlCalendarAdvance(Calendar,X2656,W2657,"f",FALSE)</f>
        <v>57769</v>
      </c>
      <c r="Y2657" s="131">
        <f>_xll.qlCalendarAdvance(Calendar,X2657,NDays&amp;"D")</f>
        <v>57773</v>
      </c>
      <c r="Z2657" s="132">
        <v>1.0010809326877408E-2</v>
      </c>
      <c r="AA2657" s="129">
        <v>1.0035328960782408E-2</v>
      </c>
    </row>
    <row r="2658" spans="19:27" x14ac:dyDescent="0.2">
      <c r="S2658" s="1"/>
      <c r="T2658" s="109"/>
      <c r="W2658" s="130" t="str">
        <f t="shared" si="51"/>
        <v>1w</v>
      </c>
      <c r="X2658" s="128">
        <f>_xll.qlCalendarAdvance(Calendar,X2657,W2658,"f",FALSE)</f>
        <v>57776</v>
      </c>
      <c r="Y2658" s="131">
        <f>_xll.qlCalendarAdvance(Calendar,X2658,NDays&amp;"D")</f>
        <v>57780</v>
      </c>
      <c r="Z2658" s="132">
        <v>1.0005162189162567E-2</v>
      </c>
      <c r="AA2658" s="129">
        <v>1.0029487720730756E-2</v>
      </c>
    </row>
    <row r="2659" spans="19:27" x14ac:dyDescent="0.2">
      <c r="S2659" s="1"/>
      <c r="T2659" s="109"/>
      <c r="W2659" s="130" t="str">
        <f t="shared" si="51"/>
        <v>1w</v>
      </c>
      <c r="X2659" s="128">
        <f>_xll.qlCalendarAdvance(Calendar,X2658,W2659,"f",FALSE)</f>
        <v>57783</v>
      </c>
      <c r="Y2659" s="131">
        <f>_xll.qlCalendarAdvance(Calendar,X2659,NDays&amp;"D")</f>
        <v>57787</v>
      </c>
      <c r="Z2659" s="132">
        <v>9.9995471946844969E-3</v>
      </c>
      <c r="AA2659" s="129">
        <v>1.00236785348784E-2</v>
      </c>
    </row>
    <row r="2660" spans="19:27" x14ac:dyDescent="0.2">
      <c r="S2660" s="1"/>
      <c r="T2660" s="109"/>
      <c r="W2660" s="130" t="str">
        <f t="shared" si="51"/>
        <v>1w</v>
      </c>
      <c r="X2660" s="128">
        <f>_xll.qlCalendarAdvance(Calendar,X2659,W2660,"f",FALSE)</f>
        <v>57790</v>
      </c>
      <c r="Y2660" s="131">
        <f>_xll.qlCalendarAdvance(Calendar,X2660,NDays&amp;"D")</f>
        <v>57794</v>
      </c>
      <c r="Z2660" s="132">
        <v>9.993964343301567E-3</v>
      </c>
      <c r="AA2660" s="129">
        <v>1.0017901403305274E-2</v>
      </c>
    </row>
    <row r="2661" spans="19:27" x14ac:dyDescent="0.2">
      <c r="S2661" s="1"/>
      <c r="T2661" s="109"/>
      <c r="W2661" s="130" t="str">
        <f t="shared" si="51"/>
        <v>1w</v>
      </c>
      <c r="X2661" s="128">
        <f>_xll.qlCalendarAdvance(Calendar,X2660,W2661,"f",FALSE)</f>
        <v>57797</v>
      </c>
      <c r="Y2661" s="131">
        <f>_xll.qlCalendarAdvance(Calendar,X2661,NDays&amp;"D")</f>
        <v>57801</v>
      </c>
      <c r="Z2661" s="132">
        <v>9.9886655884698517E-3</v>
      </c>
      <c r="AA2661" s="129">
        <v>1.0012156325851507E-2</v>
      </c>
    </row>
    <row r="2662" spans="19:27" x14ac:dyDescent="0.2">
      <c r="S2662" s="1"/>
      <c r="T2662" s="109"/>
      <c r="W2662" s="130" t="str">
        <f t="shared" si="51"/>
        <v>1w</v>
      </c>
      <c r="X2662" s="128">
        <f>_xll.qlCalendarAdvance(Calendar,X2661,W2662,"f",FALSE)</f>
        <v>57804</v>
      </c>
      <c r="Y2662" s="131">
        <f>_xll.qlCalendarAdvance(Calendar,X2662,NDays&amp;"D")</f>
        <v>57808</v>
      </c>
      <c r="Z2662" s="132">
        <v>9.9831448799140507E-3</v>
      </c>
      <c r="AA2662" s="129">
        <v>1.0006443302437162E-2</v>
      </c>
    </row>
    <row r="2663" spans="19:27" x14ac:dyDescent="0.2">
      <c r="S2663" s="1"/>
      <c r="T2663" s="109"/>
      <c r="W2663" s="130" t="str">
        <f t="shared" si="51"/>
        <v>1w</v>
      </c>
      <c r="X2663" s="128">
        <f>_xll.qlCalendarAdvance(Calendar,X2662,W2663,"f",FALSE)</f>
        <v>57811</v>
      </c>
      <c r="Y2663" s="131">
        <f>_xll.qlCalendarAdvance(Calendar,X2663,NDays&amp;"D")</f>
        <v>57817</v>
      </c>
      <c r="Z2663" s="132">
        <v>9.9760940546954266E-3</v>
      </c>
      <c r="AA2663" s="129">
        <v>9.9991450868053278E-3</v>
      </c>
    </row>
    <row r="2664" spans="19:27" x14ac:dyDescent="0.2">
      <c r="S2664" s="1"/>
      <c r="T2664" s="109"/>
      <c r="W2664" s="130" t="str">
        <f t="shared" si="51"/>
        <v>1w</v>
      </c>
      <c r="X2664" s="128">
        <f>_xll.qlCalendarAdvance(Calendar,X2663,W2664,"f",FALSE)</f>
        <v>57818</v>
      </c>
      <c r="Y2664" s="131">
        <f>_xll.qlCalendarAdvance(Calendar,X2664,NDays&amp;"D")</f>
        <v>57822</v>
      </c>
      <c r="Z2664" s="132">
        <v>9.9721998878435879E-3</v>
      </c>
      <c r="AA2664" s="129">
        <v>9.9951134184461665E-3</v>
      </c>
    </row>
    <row r="2665" spans="19:27" x14ac:dyDescent="0.2">
      <c r="S2665" s="1"/>
      <c r="T2665" s="109"/>
      <c r="W2665" s="130" t="str">
        <f t="shared" si="51"/>
        <v>1w</v>
      </c>
      <c r="X2665" s="128">
        <f>_xll.qlCalendarAdvance(Calendar,X2664,W2665,"f",FALSE)</f>
        <v>57825</v>
      </c>
      <c r="Y2665" s="131">
        <f>_xll.qlCalendarAdvance(Calendar,X2665,NDays&amp;"D")</f>
        <v>57829</v>
      </c>
      <c r="Z2665" s="132">
        <v>9.9667756040618862E-3</v>
      </c>
      <c r="AA2665" s="129">
        <v>9.9894965576297068E-3</v>
      </c>
    </row>
    <row r="2666" spans="19:27" x14ac:dyDescent="0.2">
      <c r="S2666" s="1"/>
      <c r="T2666" s="109"/>
      <c r="W2666" s="130" t="str">
        <f t="shared" si="51"/>
        <v>1w</v>
      </c>
      <c r="X2666" s="128">
        <f>_xll.qlCalendarAdvance(Calendar,X2665,W2666,"f",FALSE)</f>
        <v>57832</v>
      </c>
      <c r="Y2666" s="131">
        <f>_xll.qlCalendarAdvance(Calendar,X2666,NDays&amp;"D")</f>
        <v>57836</v>
      </c>
      <c r="Z2666" s="132">
        <v>9.9611422324428021E-3</v>
      </c>
      <c r="AA2666" s="129">
        <v>9.983911751092478E-3</v>
      </c>
    </row>
    <row r="2667" spans="19:27" x14ac:dyDescent="0.2">
      <c r="S2667" s="1"/>
      <c r="T2667" s="109"/>
      <c r="W2667" s="130" t="str">
        <f t="shared" si="51"/>
        <v>1w</v>
      </c>
      <c r="X2667" s="128">
        <f>_xll.qlCalendarAdvance(Calendar,X2666,W2667,"f",FALSE)</f>
        <v>57839</v>
      </c>
      <c r="Y2667" s="131">
        <f>_xll.qlCalendarAdvance(Calendar,X2667,NDays&amp;"D")</f>
        <v>57843</v>
      </c>
      <c r="Z2667" s="132">
        <v>9.9557843789488884E-3</v>
      </c>
      <c r="AA2667" s="129">
        <v>9.9783589985946719E-3</v>
      </c>
    </row>
    <row r="2668" spans="19:27" x14ac:dyDescent="0.2">
      <c r="S2668" s="1"/>
      <c r="T2668" s="109"/>
      <c r="W2668" s="130" t="str">
        <f t="shared" si="51"/>
        <v>1w</v>
      </c>
      <c r="X2668" s="128">
        <f>_xll.qlCalendarAdvance(Calendar,X2667,W2668,"f",FALSE)</f>
        <v>57846</v>
      </c>
      <c r="Y2668" s="131">
        <f>_xll.qlCalendarAdvance(Calendar,X2668,NDays&amp;"D")</f>
        <v>57850</v>
      </c>
      <c r="Z2668" s="132">
        <v>9.9504586674779311E-3</v>
      </c>
      <c r="AA2668" s="129">
        <v>9.9728383004560328E-3</v>
      </c>
    </row>
    <row r="2669" spans="19:27" x14ac:dyDescent="0.2">
      <c r="S2669" s="1"/>
      <c r="T2669" s="109"/>
      <c r="W2669" s="130" t="str">
        <f t="shared" si="51"/>
        <v>1w</v>
      </c>
      <c r="X2669" s="128">
        <f>_xll.qlCalendarAdvance(Calendar,X2668,W2669,"f",FALSE)</f>
        <v>57853</v>
      </c>
      <c r="Y2669" s="131">
        <f>_xll.qlCalendarAdvance(Calendar,X2669,NDays&amp;"D")</f>
        <v>57857</v>
      </c>
      <c r="Z2669" s="132">
        <v>9.9451650978995988E-3</v>
      </c>
      <c r="AA2669" s="129">
        <v>9.9673496563568165E-3</v>
      </c>
    </row>
    <row r="2670" spans="19:27" x14ac:dyDescent="0.2">
      <c r="S2670" s="1"/>
      <c r="T2670" s="109"/>
      <c r="W2670" s="130" t="str">
        <f t="shared" si="51"/>
        <v>1w</v>
      </c>
      <c r="X2670" s="128">
        <f>_xll.qlCalendarAdvance(Calendar,X2669,W2670,"f",FALSE)</f>
        <v>57860</v>
      </c>
      <c r="Y2670" s="131">
        <f>_xll.qlCalendarAdvance(Calendar,X2670,NDays&amp;"D")</f>
        <v>57864</v>
      </c>
      <c r="Z2670" s="132">
        <v>9.9399036700809559E-3</v>
      </c>
      <c r="AA2670" s="129">
        <v>9.9618930663769589E-3</v>
      </c>
    </row>
    <row r="2671" spans="19:27" x14ac:dyDescent="0.2">
      <c r="S2671" s="1"/>
      <c r="T2671" s="109"/>
      <c r="W2671" s="130" t="str">
        <f t="shared" si="51"/>
        <v>1w</v>
      </c>
      <c r="X2671" s="128">
        <f>_xll.qlCalendarAdvance(Calendar,X2670,W2671,"f",FALSE)</f>
        <v>57867</v>
      </c>
      <c r="Y2671" s="131">
        <f>_xll.qlCalendarAdvance(Calendar,X2671,NDays&amp;"D")</f>
        <v>57871</v>
      </c>
      <c r="Z2671" s="132">
        <v>9.9346743838960149E-3</v>
      </c>
      <c r="AA2671" s="129">
        <v>9.9564685306763323E-3</v>
      </c>
    </row>
    <row r="2672" spans="19:27" x14ac:dyDescent="0.2">
      <c r="S2672" s="1"/>
      <c r="T2672" s="109"/>
      <c r="W2672" s="130" t="str">
        <f t="shared" si="51"/>
        <v>1w</v>
      </c>
      <c r="X2672" s="128">
        <f>_xll.qlCalendarAdvance(Calendar,X2671,W2672,"f",FALSE)</f>
        <v>57874</v>
      </c>
      <c r="Y2672" s="131">
        <f>_xll.qlCalendarAdvance(Calendar,X2672,NDays&amp;"D")</f>
        <v>57878</v>
      </c>
      <c r="Z2672" s="132">
        <v>9.9294772392144459E-3</v>
      </c>
      <c r="AA2672" s="129">
        <v>9.9510760491750005E-3</v>
      </c>
    </row>
    <row r="2673" spans="19:27" x14ac:dyDescent="0.2">
      <c r="S2673" s="1"/>
      <c r="T2673" s="109"/>
      <c r="W2673" s="130" t="str">
        <f t="shared" si="51"/>
        <v>1w</v>
      </c>
      <c r="X2673" s="128">
        <f>_xll.qlCalendarAdvance(Calendar,X2672,W2673,"f",FALSE)</f>
        <v>57881</v>
      </c>
      <c r="Y2673" s="131">
        <f>_xll.qlCalendarAdvance(Calendar,X2673,NDays&amp;"D")</f>
        <v>57885</v>
      </c>
      <c r="Z2673" s="132">
        <v>9.9243122359093938E-3</v>
      </c>
      <c r="AA2673" s="129">
        <v>9.9457156217130915E-3</v>
      </c>
    </row>
    <row r="2674" spans="19:27" x14ac:dyDescent="0.2">
      <c r="S2674" s="1"/>
      <c r="T2674" s="109"/>
      <c r="W2674" s="130" t="str">
        <f t="shared" si="51"/>
        <v>1w</v>
      </c>
      <c r="X2674" s="128">
        <f>_xll.qlCalendarAdvance(Calendar,X2673,W2674,"f",FALSE)</f>
        <v>57888</v>
      </c>
      <c r="Y2674" s="131">
        <f>_xll.qlCalendarAdvance(Calendar,X2674,NDays&amp;"D")</f>
        <v>57892</v>
      </c>
      <c r="Z2674" s="132">
        <v>9.9191793738513979E-3</v>
      </c>
      <c r="AA2674" s="129">
        <v>9.9403872483705413E-3</v>
      </c>
    </row>
    <row r="2675" spans="19:27" x14ac:dyDescent="0.2">
      <c r="S2675" s="1"/>
      <c r="T2675" s="109"/>
      <c r="W2675" s="130" t="str">
        <f t="shared" si="51"/>
        <v>1w</v>
      </c>
      <c r="X2675" s="128">
        <f>_xll.qlCalendarAdvance(Calendar,X2674,W2675,"f",FALSE)</f>
        <v>57895</v>
      </c>
      <c r="Y2675" s="131">
        <f>_xll.qlCalendarAdvance(Calendar,X2675,NDays&amp;"D")</f>
        <v>57899</v>
      </c>
      <c r="Z2675" s="132">
        <v>9.9140786529179452E-3</v>
      </c>
      <c r="AA2675" s="129">
        <v>9.9350909293871581E-3</v>
      </c>
    </row>
    <row r="2676" spans="19:27" x14ac:dyDescent="0.2">
      <c r="S2676" s="1"/>
      <c r="T2676" s="109"/>
      <c r="W2676" s="130" t="str">
        <f t="shared" si="51"/>
        <v>1w</v>
      </c>
      <c r="X2676" s="128">
        <f>_xll.qlCalendarAdvance(Calendar,X2675,W2676,"f",FALSE)</f>
        <v>57902</v>
      </c>
      <c r="Y2676" s="131">
        <f>_xll.qlCalendarAdvance(Calendar,X2676,NDays&amp;"D")</f>
        <v>57906</v>
      </c>
      <c r="Z2676" s="132">
        <v>9.909010072981313E-3</v>
      </c>
      <c r="AA2676" s="129">
        <v>9.9298266643632616E-3</v>
      </c>
    </row>
    <row r="2677" spans="19:27" x14ac:dyDescent="0.2">
      <c r="S2677" s="1"/>
      <c r="T2677" s="109"/>
      <c r="W2677" s="130" t="str">
        <f t="shared" si="51"/>
        <v>1w</v>
      </c>
      <c r="X2677" s="128">
        <f>_xll.qlCalendarAdvance(Calendar,X2676,W2677,"f",FALSE)</f>
        <v>57909</v>
      </c>
      <c r="Y2677" s="131">
        <f>_xll.qlCalendarAdvance(Calendar,X2677,NDays&amp;"D")</f>
        <v>57913</v>
      </c>
      <c r="Z2677" s="132">
        <v>9.9039736339181228E-3</v>
      </c>
      <c r="AA2677" s="129">
        <v>9.9245944536185959E-3</v>
      </c>
    </row>
    <row r="2678" spans="19:27" x14ac:dyDescent="0.2">
      <c r="S2678" s="1"/>
      <c r="T2678" s="109"/>
      <c r="W2678" s="130" t="str">
        <f t="shared" si="51"/>
        <v>1w</v>
      </c>
      <c r="X2678" s="128">
        <f>_xll.qlCalendarAdvance(Calendar,X2677,W2678,"f",FALSE)</f>
        <v>57916</v>
      </c>
      <c r="Y2678" s="131">
        <f>_xll.qlCalendarAdvance(Calendar,X2678,NDays&amp;"D")</f>
        <v>57920</v>
      </c>
      <c r="Z2678" s="132">
        <v>9.8989693356032558E-3</v>
      </c>
      <c r="AA2678" s="129">
        <v>9.9193942970732252E-3</v>
      </c>
    </row>
    <row r="2679" spans="19:27" x14ac:dyDescent="0.2">
      <c r="S2679" s="1"/>
      <c r="T2679" s="109"/>
      <c r="W2679" s="130" t="str">
        <f t="shared" si="51"/>
        <v>1w</v>
      </c>
      <c r="X2679" s="128">
        <f>_xll.qlCalendarAdvance(Calendar,X2678,W2679,"f",FALSE)</f>
        <v>57923</v>
      </c>
      <c r="Y2679" s="131">
        <f>_xll.qlCalendarAdvance(Calendar,X2679,NDays&amp;"D")</f>
        <v>57927</v>
      </c>
      <c r="Z2679" s="132">
        <v>9.8939971779159388E-3</v>
      </c>
      <c r="AA2679" s="129">
        <v>9.9142261944873411E-3</v>
      </c>
    </row>
    <row r="2680" spans="19:27" x14ac:dyDescent="0.2">
      <c r="S2680" s="1"/>
      <c r="T2680" s="109"/>
      <c r="W2680" s="130" t="str">
        <f t="shared" si="51"/>
        <v>1w</v>
      </c>
      <c r="X2680" s="128">
        <f>_xll.qlCalendarAdvance(Calendar,X2679,W2680,"f",FALSE)</f>
        <v>57930</v>
      </c>
      <c r="Y2680" s="131">
        <f>_xll.qlCalendarAdvance(Calendar,X2680,NDays&amp;"D")</f>
        <v>57934</v>
      </c>
      <c r="Z2680" s="132">
        <v>9.8890571607310549E-3</v>
      </c>
      <c r="AA2680" s="129">
        <v>9.909090146260624E-3</v>
      </c>
    </row>
    <row r="2681" spans="19:27" x14ac:dyDescent="0.2">
      <c r="S2681" s="1"/>
      <c r="T2681" s="109"/>
      <c r="W2681" s="130" t="str">
        <f t="shared" si="51"/>
        <v>1w</v>
      </c>
      <c r="X2681" s="128">
        <f>_xll.qlCalendarAdvance(Calendar,X2680,W2681,"f",FALSE)</f>
        <v>57937</v>
      </c>
      <c r="Y2681" s="131">
        <f>_xll.qlCalendarAdvance(Calendar,X2681,NDays&amp;"D")</f>
        <v>57941</v>
      </c>
      <c r="Z2681" s="132">
        <v>9.8841492839295709E-3</v>
      </c>
      <c r="AA2681" s="129">
        <v>9.9039861520733297E-3</v>
      </c>
    </row>
    <row r="2682" spans="19:27" x14ac:dyDescent="0.2">
      <c r="S2682" s="1"/>
      <c r="T2682" s="109"/>
      <c r="W2682" s="130" t="str">
        <f t="shared" si="51"/>
        <v>1w</v>
      </c>
      <c r="X2682" s="128">
        <f>_xll.qlCalendarAdvance(Calendar,X2681,W2682,"f",FALSE)</f>
        <v>57944</v>
      </c>
      <c r="Y2682" s="131">
        <f>_xll.qlCalendarAdvance(Calendar,X2682,NDays&amp;"D")</f>
        <v>57948</v>
      </c>
      <c r="Z2682" s="132">
        <v>9.8792735473898427E-3</v>
      </c>
      <c r="AA2682" s="129">
        <v>9.8989142120853302E-3</v>
      </c>
    </row>
    <row r="2683" spans="19:27" x14ac:dyDescent="0.2">
      <c r="S2683" s="1"/>
      <c r="T2683" s="109"/>
      <c r="W2683" s="130" t="str">
        <f t="shared" si="51"/>
        <v>1w</v>
      </c>
      <c r="X2683" s="128">
        <f>_xll.qlCalendarAdvance(Calendar,X2682,W2683,"f",FALSE)</f>
        <v>57951</v>
      </c>
      <c r="Y2683" s="131">
        <f>_xll.qlCalendarAdvance(Calendar,X2683,NDays&amp;"D")</f>
        <v>57955</v>
      </c>
      <c r="Z2683" s="132">
        <v>9.8746345387971807E-3</v>
      </c>
      <c r="AA2683" s="129">
        <v>9.8938743261367534E-3</v>
      </c>
    </row>
    <row r="2684" spans="19:27" x14ac:dyDescent="0.2">
      <c r="S2684" s="1"/>
      <c r="T2684" s="109"/>
      <c r="W2684" s="130" t="str">
        <f t="shared" si="51"/>
        <v>1w</v>
      </c>
      <c r="X2684" s="128">
        <f>_xll.qlCalendarAdvance(Calendar,X2683,W2684,"f",FALSE)</f>
        <v>57958</v>
      </c>
      <c r="Y2684" s="131">
        <f>_xll.qlCalendarAdvance(Calendar,X2684,NDays&amp;"D")</f>
        <v>57962</v>
      </c>
      <c r="Z2684" s="132">
        <v>9.8698209185580695E-3</v>
      </c>
      <c r="AA2684" s="129">
        <v>9.8888664944674076E-3</v>
      </c>
    </row>
    <row r="2685" spans="19:27" x14ac:dyDescent="0.2">
      <c r="S2685" s="1"/>
      <c r="T2685" s="109"/>
      <c r="W2685" s="130" t="str">
        <f t="shared" si="51"/>
        <v>1w</v>
      </c>
      <c r="X2685" s="128">
        <f>_xll.qlCalendarAdvance(Calendar,X2684,W2685,"f",FALSE)</f>
        <v>57965</v>
      </c>
      <c r="Y2685" s="131">
        <f>_xll.qlCalendarAdvance(Calendar,X2685,NDays&amp;"D")</f>
        <v>57969</v>
      </c>
      <c r="Z2685" s="132">
        <v>9.8650394372882463E-3</v>
      </c>
      <c r="AA2685" s="129">
        <v>9.8838907169973567E-3</v>
      </c>
    </row>
    <row r="2686" spans="19:27" x14ac:dyDescent="0.2">
      <c r="S2686" s="1"/>
      <c r="T2686" s="109"/>
      <c r="W2686" s="130" t="str">
        <f t="shared" si="51"/>
        <v>1w</v>
      </c>
      <c r="X2686" s="128">
        <f>_xll.qlCalendarAdvance(Calendar,X2685,W2686,"f",FALSE)</f>
        <v>57972</v>
      </c>
      <c r="Y2686" s="131">
        <f>_xll.qlCalendarAdvance(Calendar,X2686,NDays&amp;"D")</f>
        <v>57976</v>
      </c>
      <c r="Z2686" s="132">
        <v>9.8602900948700032E-3</v>
      </c>
      <c r="AA2686" s="129">
        <v>9.8789469935667285E-3</v>
      </c>
    </row>
    <row r="2687" spans="19:27" x14ac:dyDescent="0.2">
      <c r="S2687" s="1"/>
      <c r="T2687" s="109"/>
      <c r="W2687" s="130" t="str">
        <f t="shared" si="51"/>
        <v>1w</v>
      </c>
      <c r="X2687" s="128">
        <f>_xll.qlCalendarAdvance(Calendar,X2686,W2687,"f",FALSE)</f>
        <v>57979</v>
      </c>
      <c r="Y2687" s="131">
        <f>_xll.qlCalendarAdvance(Calendar,X2687,NDays&amp;"D")</f>
        <v>57983</v>
      </c>
      <c r="Z2687" s="132">
        <v>9.8553769644556567E-3</v>
      </c>
      <c r="AA2687" s="129">
        <v>9.874035324255459E-3</v>
      </c>
    </row>
    <row r="2688" spans="19:27" x14ac:dyDescent="0.2">
      <c r="S2688" s="1"/>
      <c r="T2688" s="109"/>
      <c r="W2688" s="130" t="str">
        <f t="shared" si="51"/>
        <v>1w</v>
      </c>
      <c r="X2688" s="128">
        <f>_xll.qlCalendarAdvance(Calendar,X2687,W2688,"f",FALSE)</f>
        <v>57986</v>
      </c>
      <c r="Y2688" s="131">
        <f>_xll.qlCalendarAdvance(Calendar,X2688,NDays&amp;"D")</f>
        <v>57990</v>
      </c>
      <c r="Z2688" s="132">
        <v>9.8506940669988909E-3</v>
      </c>
      <c r="AA2688" s="129">
        <v>9.8691557091434845E-3</v>
      </c>
    </row>
    <row r="2689" spans="19:27" x14ac:dyDescent="0.2">
      <c r="S2689" s="1"/>
      <c r="T2689" s="109"/>
      <c r="W2689" s="130" t="str">
        <f t="shared" si="51"/>
        <v>1w</v>
      </c>
      <c r="X2689" s="128">
        <f>_xll.qlCalendarAdvance(Calendar,X2688,W2689,"f",FALSE)</f>
        <v>57993</v>
      </c>
      <c r="Y2689" s="131">
        <f>_xll.qlCalendarAdvance(Calendar,X2689,NDays&amp;"D")</f>
        <v>57997</v>
      </c>
      <c r="Z2689" s="132">
        <v>9.8460433089827982E-3</v>
      </c>
      <c r="AA2689" s="129">
        <v>9.8643081482308048E-3</v>
      </c>
    </row>
    <row r="2690" spans="19:27" x14ac:dyDescent="0.2">
      <c r="S2690" s="1"/>
      <c r="T2690" s="109"/>
      <c r="W2690" s="130" t="str">
        <f t="shared" si="51"/>
        <v>1w</v>
      </c>
      <c r="X2690" s="128">
        <f>_xll.qlCalendarAdvance(Calendar,X2689,W2690,"f",FALSE)</f>
        <v>58000</v>
      </c>
      <c r="Y2690" s="131">
        <f>_xll.qlCalendarAdvance(Calendar,X2690,NDays&amp;"D")</f>
        <v>58004</v>
      </c>
      <c r="Z2690" s="132">
        <v>9.8414246902909525E-3</v>
      </c>
      <c r="AA2690" s="129">
        <v>9.8594926412776118E-3</v>
      </c>
    </row>
    <row r="2691" spans="19:27" x14ac:dyDescent="0.2">
      <c r="S2691" s="1"/>
      <c r="T2691" s="109"/>
      <c r="W2691" s="130" t="str">
        <f t="shared" si="51"/>
        <v>1w</v>
      </c>
      <c r="X2691" s="128">
        <f>_xll.qlCalendarAdvance(Calendar,X2690,W2691,"f",FALSE)</f>
        <v>58007</v>
      </c>
      <c r="Y2691" s="131">
        <f>_xll.qlCalendarAdvance(Calendar,X2691,NDays&amp;"D")</f>
        <v>58011</v>
      </c>
      <c r="Z2691" s="132">
        <v>9.8368382108121374E-3</v>
      </c>
      <c r="AA2691" s="129">
        <v>9.8547091886036497E-3</v>
      </c>
    </row>
    <row r="2692" spans="19:27" x14ac:dyDescent="0.2">
      <c r="S2692" s="1"/>
      <c r="T2692" s="109"/>
      <c r="W2692" s="130" t="str">
        <f t="shared" si="51"/>
        <v>1w</v>
      </c>
      <c r="X2692" s="128">
        <f>_xll.qlCalendarAdvance(Calendar,X2691,W2692,"f",FALSE)</f>
        <v>58014</v>
      </c>
      <c r="Y2692" s="131">
        <f>_xll.qlCalendarAdvance(Calendar,X2692,NDays&amp;"D")</f>
        <v>58018</v>
      </c>
      <c r="Z2692" s="132">
        <v>9.8322838704316597E-3</v>
      </c>
      <c r="AA2692" s="129">
        <v>9.8499577900490465E-3</v>
      </c>
    </row>
    <row r="2693" spans="19:27" x14ac:dyDescent="0.2">
      <c r="S2693" s="1"/>
      <c r="T2693" s="109"/>
      <c r="W2693" s="130" t="str">
        <f t="shared" si="51"/>
        <v>1w</v>
      </c>
      <c r="X2693" s="128">
        <f>_xll.qlCalendarAdvance(Calendar,X2692,W2693,"f",FALSE)</f>
        <v>58021</v>
      </c>
      <c r="Y2693" s="131">
        <f>_xll.qlCalendarAdvance(Calendar,X2693,NDays&amp;"D")</f>
        <v>58025</v>
      </c>
      <c r="Z2693" s="132">
        <v>9.8277616690383065E-3</v>
      </c>
      <c r="AA2693" s="129">
        <v>9.845238445533866E-3</v>
      </c>
    </row>
    <row r="2694" spans="19:27" x14ac:dyDescent="0.2">
      <c r="S2694" s="1"/>
      <c r="T2694" s="109"/>
      <c r="W2694" s="130" t="str">
        <f t="shared" si="51"/>
        <v>1w</v>
      </c>
      <c r="X2694" s="128">
        <f>_xll.qlCalendarAdvance(Calendar,X2693,W2694,"f",FALSE)</f>
        <v>58028</v>
      </c>
      <c r="Y2694" s="131">
        <f>_xll.qlCalendarAdvance(Calendar,X2694,NDays&amp;"D")</f>
        <v>58032</v>
      </c>
      <c r="Z2694" s="132">
        <v>9.8232716065225992E-3</v>
      </c>
      <c r="AA2694" s="129">
        <v>9.8405511552979164E-3</v>
      </c>
    </row>
    <row r="2695" spans="19:27" x14ac:dyDescent="0.2">
      <c r="S2695" s="1"/>
      <c r="T2695" s="109"/>
      <c r="W2695" s="130" t="str">
        <f t="shared" si="51"/>
        <v>1w</v>
      </c>
      <c r="X2695" s="128">
        <f>_xll.qlCalendarAdvance(Calendar,X2694,W2695,"f",FALSE)</f>
        <v>58035</v>
      </c>
      <c r="Y2695" s="131">
        <f>_xll.qlCalendarAdvance(Calendar,X2695,NDays&amp;"D")</f>
        <v>58039</v>
      </c>
      <c r="Z2695" s="132">
        <v>9.8188136827715849E-3</v>
      </c>
      <c r="AA2695" s="129">
        <v>9.8358959191013895E-3</v>
      </c>
    </row>
    <row r="2696" spans="19:27" x14ac:dyDescent="0.2">
      <c r="S2696" s="1"/>
      <c r="T2696" s="109"/>
      <c r="W2696" s="130" t="str">
        <f t="shared" si="51"/>
        <v>1w</v>
      </c>
      <c r="X2696" s="128">
        <f>_xll.qlCalendarAdvance(Calendar,X2695,W2696,"f",FALSE)</f>
        <v>58042</v>
      </c>
      <c r="Y2696" s="131">
        <f>_xll.qlCalendarAdvance(Calendar,X2696,NDays&amp;"D")</f>
        <v>58046</v>
      </c>
      <c r="Z2696" s="132">
        <v>9.8145642826134114E-3</v>
      </c>
      <c r="AA2696" s="129">
        <v>9.8312727371041575E-3</v>
      </c>
    </row>
    <row r="2697" spans="19:27" x14ac:dyDescent="0.2">
      <c r="S2697" s="1"/>
      <c r="T2697" s="109"/>
      <c r="W2697" s="130" t="str">
        <f t="shared" si="51"/>
        <v>1w</v>
      </c>
      <c r="X2697" s="128">
        <f>_xll.qlCalendarAdvance(Calendar,X2696,W2697,"f",FALSE)</f>
        <v>58049</v>
      </c>
      <c r="Y2697" s="131">
        <f>_xll.qlCalendarAdvance(Calendar,X2697,NDays&amp;"D")</f>
        <v>58053</v>
      </c>
      <c r="Z2697" s="132">
        <v>9.8101684601337655E-3</v>
      </c>
      <c r="AA2697" s="129">
        <v>9.8266816091463483E-3</v>
      </c>
    </row>
    <row r="2698" spans="19:27" x14ac:dyDescent="0.2">
      <c r="S2698" s="1"/>
      <c r="T2698" s="109"/>
      <c r="W2698" s="130" t="str">
        <f t="shared" si="51"/>
        <v>1w</v>
      </c>
      <c r="X2698" s="128">
        <f>_xll.qlCalendarAdvance(Calendar,X2697,W2698,"f",FALSE)</f>
        <v>58056</v>
      </c>
      <c r="Y2698" s="131">
        <f>_xll.qlCalendarAdvance(Calendar,X2698,NDays&amp;"D")</f>
        <v>58060</v>
      </c>
      <c r="Z2698" s="132">
        <v>9.8058047751731405E-3</v>
      </c>
      <c r="AA2698" s="129">
        <v>9.8221225353878339E-3</v>
      </c>
    </row>
    <row r="2699" spans="19:27" x14ac:dyDescent="0.2">
      <c r="S2699" s="1"/>
      <c r="T2699" s="109"/>
      <c r="W2699" s="130" t="str">
        <f t="shared" si="51"/>
        <v>1w</v>
      </c>
      <c r="X2699" s="128">
        <f>_xll.qlCalendarAdvance(Calendar,X2698,W2699,"f",FALSE)</f>
        <v>58063</v>
      </c>
      <c r="Y2699" s="131">
        <f>_xll.qlCalendarAdvance(Calendar,X2699,NDays&amp;"D")</f>
        <v>58067</v>
      </c>
      <c r="Z2699" s="132">
        <v>9.8014732276270021E-3</v>
      </c>
      <c r="AA2699" s="129">
        <v>9.8175955158286143E-3</v>
      </c>
    </row>
    <row r="2700" spans="19:27" x14ac:dyDescent="0.2">
      <c r="S2700" s="1"/>
      <c r="T2700" s="109"/>
      <c r="W2700" s="130" t="str">
        <f t="shared" si="51"/>
        <v>1w</v>
      </c>
      <c r="X2700" s="128">
        <f>_xll.qlCalendarAdvance(Calendar,X2699,W2700,"f",FALSE)</f>
        <v>58071</v>
      </c>
      <c r="Y2700" s="131">
        <f>_xll.qlCalendarAdvance(Calendar,X2700,NDays&amp;"D")</f>
        <v>58075</v>
      </c>
      <c r="Z2700" s="132">
        <v>9.7974021311061071E-3</v>
      </c>
      <c r="AA2700" s="129">
        <v>9.8122753150686748E-3</v>
      </c>
    </row>
    <row r="2701" spans="19:27" x14ac:dyDescent="0.2">
      <c r="S2701" s="1"/>
      <c r="T2701" s="109"/>
      <c r="W2701" s="130" t="str">
        <f t="shared" si="51"/>
        <v>1w</v>
      </c>
      <c r="X2701" s="128">
        <f>_xll.qlCalendarAdvance(Calendar,X2700,W2701,"f",FALSE)</f>
        <v>58078</v>
      </c>
      <c r="Y2701" s="131">
        <f>_xll.qlCalendarAdvance(Calendar,X2701,NDays&amp;"D")</f>
        <v>58082</v>
      </c>
      <c r="Z2701" s="132">
        <v>9.7924649468010827E-3</v>
      </c>
      <c r="AA2701" s="129">
        <v>9.8080026967295453E-3</v>
      </c>
    </row>
    <row r="2702" spans="19:27" x14ac:dyDescent="0.2">
      <c r="S2702" s="1"/>
      <c r="T2702" s="109"/>
      <c r="W2702" s="130" t="str">
        <f t="shared" si="51"/>
        <v>1w</v>
      </c>
      <c r="X2702" s="128">
        <f>_xll.qlCalendarAdvance(Calendar,X2701,W2702,"f",FALSE)</f>
        <v>58085</v>
      </c>
      <c r="Y2702" s="131">
        <f>_xll.qlCalendarAdvance(Calendar,X2702,NDays&amp;"D")</f>
        <v>58089</v>
      </c>
      <c r="Z2702" s="132">
        <v>9.7882322213447281E-3</v>
      </c>
      <c r="AA2702" s="129">
        <v>9.8035764186654717E-3</v>
      </c>
    </row>
    <row r="2703" spans="19:27" x14ac:dyDescent="0.2">
      <c r="S2703" s="1"/>
      <c r="T2703" s="109"/>
      <c r="W2703" s="130" t="str">
        <f t="shared" si="51"/>
        <v>1w</v>
      </c>
      <c r="X2703" s="128">
        <f>_xll.qlCalendarAdvance(Calendar,X2702,W2703,"f",FALSE)</f>
        <v>58092</v>
      </c>
      <c r="Y2703" s="131">
        <f>_xll.qlCalendarAdvance(Calendar,X2703,NDays&amp;"D")</f>
        <v>58096</v>
      </c>
      <c r="Z2703" s="132">
        <v>9.7840316319572906E-3</v>
      </c>
      <c r="AA2703" s="129">
        <v>9.799182194800693E-3</v>
      </c>
    </row>
    <row r="2704" spans="19:27" x14ac:dyDescent="0.2">
      <c r="S2704" s="1"/>
      <c r="T2704" s="109"/>
      <c r="W2704" s="130" t="str">
        <f t="shared" si="51"/>
        <v>1w</v>
      </c>
      <c r="X2704" s="128">
        <f>_xll.qlCalendarAdvance(Calendar,X2703,W2704,"f",FALSE)</f>
        <v>58099</v>
      </c>
      <c r="Y2704" s="131">
        <f>_xll.qlCalendarAdvance(Calendar,X2704,NDays&amp;"D")</f>
        <v>58103</v>
      </c>
      <c r="Z2704" s="132">
        <v>9.7798631785357415E-3</v>
      </c>
      <c r="AA2704" s="129">
        <v>9.7948200248154649E-3</v>
      </c>
    </row>
    <row r="2705" spans="19:27" x14ac:dyDescent="0.2">
      <c r="S2705" s="1"/>
      <c r="T2705" s="109"/>
      <c r="W2705" s="130" t="str">
        <f t="shared" si="51"/>
        <v>1w</v>
      </c>
      <c r="X2705" s="128">
        <f>_xll.qlCalendarAdvance(Calendar,X2704,W2705,"f",FALSE)</f>
        <v>58106</v>
      </c>
      <c r="Y2705" s="131">
        <f>_xll.qlCalendarAdvance(Calendar,X2705,NDays&amp;"D")</f>
        <v>58110</v>
      </c>
      <c r="Z2705" s="132">
        <v>9.7757268609797165E-3</v>
      </c>
      <c r="AA2705" s="129">
        <v>9.7904899090295316E-3</v>
      </c>
    </row>
    <row r="2706" spans="19:27" x14ac:dyDescent="0.2">
      <c r="S2706" s="1"/>
      <c r="T2706" s="109"/>
      <c r="W2706" s="130" t="str">
        <f t="shared" si="51"/>
        <v>1w</v>
      </c>
      <c r="X2706" s="128">
        <f>_xll.qlCalendarAdvance(Calendar,X2705,W2706,"f",FALSE)</f>
        <v>58113</v>
      </c>
      <c r="Y2706" s="131">
        <f>_xll.qlCalendarAdvance(Calendar,X2706,NDays&amp;"D")</f>
        <v>58117</v>
      </c>
      <c r="Z2706" s="132">
        <v>9.7716226791915162E-3</v>
      </c>
      <c r="AA2706" s="129">
        <v>9.7861918475228293E-3</v>
      </c>
    </row>
    <row r="2707" spans="19:27" x14ac:dyDescent="0.2">
      <c r="S2707" s="1"/>
      <c r="T2707" s="109"/>
      <c r="W2707" s="130" t="str">
        <f t="shared" si="51"/>
        <v>1w</v>
      </c>
      <c r="X2707" s="128">
        <f>_xll.qlCalendarAdvance(Calendar,X2706,W2707,"f",FALSE)</f>
        <v>58120</v>
      </c>
      <c r="Y2707" s="131">
        <f>_xll.qlCalendarAdvance(Calendar,X2707,NDays&amp;"D")</f>
        <v>58124</v>
      </c>
      <c r="Z2707" s="132">
        <v>9.7675506330707762E-3</v>
      </c>
      <c r="AA2707" s="129">
        <v>9.7819258400555498E-3</v>
      </c>
    </row>
    <row r="2708" spans="19:27" x14ac:dyDescent="0.2">
      <c r="S2708" s="1"/>
      <c r="T2708" s="109"/>
      <c r="W2708" s="130" t="str">
        <f t="shared" si="51"/>
        <v>1w</v>
      </c>
      <c r="X2708" s="128">
        <f>_xll.qlCalendarAdvance(Calendar,X2707,W2708,"f",FALSE)</f>
        <v>58127</v>
      </c>
      <c r="Y2708" s="131">
        <f>_xll.qlCalendarAdvance(Calendar,X2708,NDays&amp;"D")</f>
        <v>58131</v>
      </c>
      <c r="Z2708" s="132">
        <v>9.7635107225215734E-3</v>
      </c>
      <c r="AA2708" s="129">
        <v>9.777691886707629E-3</v>
      </c>
    </row>
    <row r="2709" spans="19:27" x14ac:dyDescent="0.2">
      <c r="S2709" s="1"/>
      <c r="T2709" s="109"/>
      <c r="W2709" s="130" t="str">
        <f t="shared" ref="W2709:W2772" si="52">W2708</f>
        <v>1w</v>
      </c>
      <c r="X2709" s="128">
        <f>_xll.qlCalendarAdvance(Calendar,X2708,W2709,"f",FALSE)</f>
        <v>58134</v>
      </c>
      <c r="Y2709" s="131">
        <f>_xll.qlCalendarAdvance(Calendar,X2709,NDays&amp;"D")</f>
        <v>58138</v>
      </c>
      <c r="Z2709" s="132">
        <v>9.7592073139047934E-3</v>
      </c>
      <c r="AA2709" s="129">
        <v>9.773489987399131E-3</v>
      </c>
    </row>
    <row r="2710" spans="19:27" x14ac:dyDescent="0.2">
      <c r="S2710" s="1"/>
      <c r="T2710" s="109"/>
      <c r="W2710" s="130" t="str">
        <f t="shared" si="52"/>
        <v>1w</v>
      </c>
      <c r="X2710" s="128">
        <f>_xll.qlCalendarAdvance(Calendar,X2709,W2710,"f",FALSE)</f>
        <v>58141</v>
      </c>
      <c r="Y2710" s="131">
        <f>_xll.qlCalendarAdvance(Calendar,X2710,NDays&amp;"D")</f>
        <v>58145</v>
      </c>
      <c r="Z2710" s="132">
        <v>9.7552360499592768E-3</v>
      </c>
      <c r="AA2710" s="129">
        <v>9.7693201422899278E-3</v>
      </c>
    </row>
    <row r="2711" spans="19:27" x14ac:dyDescent="0.2">
      <c r="S2711" s="1"/>
      <c r="T2711" s="109"/>
      <c r="W2711" s="130" t="str">
        <f t="shared" si="52"/>
        <v>1w</v>
      </c>
      <c r="X2711" s="128">
        <f>_xll.qlCalendarAdvance(Calendar,X2710,W2711,"f",FALSE)</f>
        <v>58148</v>
      </c>
      <c r="Y2711" s="131">
        <f>_xll.qlCalendarAdvance(Calendar,X2711,NDays&amp;"D")</f>
        <v>58152</v>
      </c>
      <c r="Z2711" s="132">
        <v>9.7512969231067469E-3</v>
      </c>
      <c r="AA2711" s="129">
        <v>9.7651823512201474E-3</v>
      </c>
    </row>
    <row r="2712" spans="19:27" x14ac:dyDescent="0.2">
      <c r="S2712" s="1"/>
      <c r="T2712" s="109"/>
      <c r="W2712" s="130" t="str">
        <f t="shared" si="52"/>
        <v>1w</v>
      </c>
      <c r="X2712" s="128">
        <f>_xll.qlCalendarAdvance(Calendar,X2711,W2712,"f",FALSE)</f>
        <v>58155</v>
      </c>
      <c r="Y2712" s="131">
        <f>_xll.qlCalendarAdvance(Calendar,X2712,NDays&amp;"D")</f>
        <v>58159</v>
      </c>
      <c r="Z2712" s="132">
        <v>9.7473899332524983E-3</v>
      </c>
      <c r="AA2712" s="129">
        <v>9.7610766142697258E-3</v>
      </c>
    </row>
    <row r="2713" spans="19:27" x14ac:dyDescent="0.2">
      <c r="S2713" s="1"/>
      <c r="T2713" s="109"/>
      <c r="W2713" s="130" t="str">
        <f t="shared" si="52"/>
        <v>1w</v>
      </c>
      <c r="X2713" s="128">
        <f>_xll.qlCalendarAdvance(Calendar,X2712,W2713,"f",FALSE)</f>
        <v>58166</v>
      </c>
      <c r="Y2713" s="131">
        <f>_xll.qlCalendarAdvance(Calendar,X2713,NDays&amp;"D")</f>
        <v>58168</v>
      </c>
      <c r="Z2713" s="132">
        <v>9.7425522127273477E-3</v>
      </c>
      <c r="AA2713" s="129">
        <v>9.755844909680178E-3</v>
      </c>
    </row>
    <row r="2714" spans="19:27" x14ac:dyDescent="0.2">
      <c r="S2714" s="1"/>
      <c r="T2714" s="109"/>
      <c r="W2714" s="130" t="str">
        <f t="shared" si="52"/>
        <v>1w</v>
      </c>
      <c r="X2714" s="128">
        <f>_xll.qlCalendarAdvance(Calendar,X2713,W2714,"f",FALSE)</f>
        <v>58173</v>
      </c>
      <c r="Y2714" s="131">
        <f>_xll.qlCalendarAdvance(Calendar,X2714,NDays&amp;"D")</f>
        <v>58175</v>
      </c>
      <c r="Z2714" s="132">
        <v>9.7387164866898947E-3</v>
      </c>
      <c r="AA2714" s="129">
        <v>9.7518124392426131E-3</v>
      </c>
    </row>
    <row r="2715" spans="19:27" x14ac:dyDescent="0.2">
      <c r="S2715" s="1"/>
      <c r="T2715" s="109"/>
      <c r="W2715" s="130" t="str">
        <f t="shared" si="52"/>
        <v>1w</v>
      </c>
      <c r="X2715" s="128">
        <f>_xll.qlCalendarAdvance(Calendar,X2714,W2715,"f",FALSE)</f>
        <v>58180</v>
      </c>
      <c r="Y2715" s="131">
        <f>_xll.qlCalendarAdvance(Calendar,X2715,NDays&amp;"D")</f>
        <v>58182</v>
      </c>
      <c r="Z2715" s="132">
        <v>9.7349128964339515E-3</v>
      </c>
      <c r="AA2715" s="129">
        <v>9.747812022924407E-3</v>
      </c>
    </row>
    <row r="2716" spans="19:27" x14ac:dyDescent="0.2">
      <c r="S2716" s="1"/>
      <c r="T2716" s="109"/>
      <c r="W2716" s="130" t="str">
        <f t="shared" si="52"/>
        <v>1w</v>
      </c>
      <c r="X2716" s="128">
        <f>_xll.qlCalendarAdvance(Calendar,X2715,W2716,"f",FALSE)</f>
        <v>58187</v>
      </c>
      <c r="Y2716" s="131">
        <f>_xll.qlCalendarAdvance(Calendar,X2716,NDays&amp;"D")</f>
        <v>58189</v>
      </c>
      <c r="Z2716" s="132">
        <v>9.7311414418672811E-3</v>
      </c>
      <c r="AA2716" s="129">
        <v>9.7438436608854317E-3</v>
      </c>
    </row>
    <row r="2717" spans="19:27" x14ac:dyDescent="0.2">
      <c r="S2717" s="1"/>
      <c r="T2717" s="109"/>
      <c r="W2717" s="130" t="str">
        <f t="shared" si="52"/>
        <v>1w</v>
      </c>
      <c r="X2717" s="128">
        <f>_xll.qlCalendarAdvance(Calendar,X2716,W2717,"f",FALSE)</f>
        <v>58194</v>
      </c>
      <c r="Y2717" s="131">
        <f>_xll.qlCalendarAdvance(Calendar,X2717,NDays&amp;"D")</f>
        <v>58197</v>
      </c>
      <c r="Z2717" s="132">
        <v>9.7264834455486719E-3</v>
      </c>
      <c r="AA2717" s="129">
        <v>9.7390522568652216E-3</v>
      </c>
    </row>
    <row r="2718" spans="19:27" x14ac:dyDescent="0.2">
      <c r="S2718" s="1"/>
      <c r="T2718" s="109"/>
      <c r="W2718" s="130" t="str">
        <f t="shared" si="52"/>
        <v>1w</v>
      </c>
      <c r="X2718" s="128">
        <f>_xll.qlCalendarAdvance(Calendar,X2717,W2718,"f",FALSE)</f>
        <v>58201</v>
      </c>
      <c r="Y2718" s="131">
        <f>_xll.qlCalendarAdvance(Calendar,X2718,NDays&amp;"D")</f>
        <v>58203</v>
      </c>
      <c r="Z2718" s="132">
        <v>9.7235675769501099E-3</v>
      </c>
      <c r="AA2718" s="129">
        <v>9.7360030988458135E-3</v>
      </c>
    </row>
    <row r="2719" spans="19:27" x14ac:dyDescent="0.2">
      <c r="S2719" s="1"/>
      <c r="T2719" s="109"/>
      <c r="W2719" s="130" t="str">
        <f t="shared" si="52"/>
        <v>1w</v>
      </c>
      <c r="X2719" s="128">
        <f>_xll.qlCalendarAdvance(Calendar,X2718,W2719,"f",FALSE)</f>
        <v>58208</v>
      </c>
      <c r="Y2719" s="131">
        <f>_xll.qlCalendarAdvance(Calendar,X2719,NDays&amp;"D")</f>
        <v>58210</v>
      </c>
      <c r="Z2719" s="132">
        <v>9.7198947252264828E-3</v>
      </c>
      <c r="AA2719" s="129">
        <v>9.7321308991649147E-3</v>
      </c>
    </row>
    <row r="2720" spans="19:27" x14ac:dyDescent="0.2">
      <c r="S2720" s="1"/>
      <c r="T2720" s="109"/>
      <c r="W2720" s="130" t="str">
        <f t="shared" si="52"/>
        <v>1w</v>
      </c>
      <c r="X2720" s="128">
        <f>_xll.qlCalendarAdvance(Calendar,X2719,W2720,"f",FALSE)</f>
        <v>58215</v>
      </c>
      <c r="Y2720" s="131">
        <f>_xll.qlCalendarAdvance(Calendar,X2720,NDays&amp;"D")</f>
        <v>58217</v>
      </c>
      <c r="Z2720" s="132">
        <v>9.7162540097278424E-3</v>
      </c>
      <c r="AA2720" s="129">
        <v>9.7282907532836305E-3</v>
      </c>
    </row>
    <row r="2721" spans="19:27" x14ac:dyDescent="0.2">
      <c r="S2721" s="1"/>
      <c r="T2721" s="109"/>
      <c r="W2721" s="130" t="str">
        <f t="shared" si="52"/>
        <v>1w</v>
      </c>
      <c r="X2721" s="128">
        <f>_xll.qlCalendarAdvance(Calendar,X2720,W2721,"f",FALSE)</f>
        <v>58222</v>
      </c>
      <c r="Y2721" s="131">
        <f>_xll.qlCalendarAdvance(Calendar,X2721,NDays&amp;"D")</f>
        <v>58224</v>
      </c>
      <c r="Z2721" s="132">
        <v>9.7126454303646925E-3</v>
      </c>
      <c r="AA2721" s="129">
        <v>9.7244826616016411E-3</v>
      </c>
    </row>
    <row r="2722" spans="19:27" x14ac:dyDescent="0.2">
      <c r="S2722" s="1"/>
      <c r="T2722" s="109"/>
      <c r="W2722" s="130" t="str">
        <f t="shared" si="52"/>
        <v>1w</v>
      </c>
      <c r="X2722" s="128">
        <f>_xll.qlCalendarAdvance(Calendar,X2721,W2722,"f",FALSE)</f>
        <v>58229</v>
      </c>
      <c r="Y2722" s="131">
        <f>_xll.qlCalendarAdvance(Calendar,X2722,NDays&amp;"D")</f>
        <v>58231</v>
      </c>
      <c r="Z2722" s="132">
        <v>9.7090689870501477E-3</v>
      </c>
      <c r="AA2722" s="129">
        <v>9.7207066241988827E-3</v>
      </c>
    </row>
    <row r="2723" spans="19:27" x14ac:dyDescent="0.2">
      <c r="S2723" s="1"/>
      <c r="T2723" s="109"/>
      <c r="W2723" s="130" t="str">
        <f t="shared" si="52"/>
        <v>1w</v>
      </c>
      <c r="X2723" s="128">
        <f>_xll.qlCalendarAdvance(Calendar,X2722,W2723,"f",FALSE)</f>
        <v>58236</v>
      </c>
      <c r="Y2723" s="131">
        <f>_xll.qlCalendarAdvance(Calendar,X2723,NDays&amp;"D")</f>
        <v>58238</v>
      </c>
      <c r="Z2723" s="132">
        <v>9.7055246796929756E-3</v>
      </c>
      <c r="AA2723" s="129">
        <v>9.7169626408355469E-3</v>
      </c>
    </row>
    <row r="2724" spans="19:27" x14ac:dyDescent="0.2">
      <c r="S2724" s="1"/>
      <c r="T2724" s="109"/>
      <c r="W2724" s="130" t="str">
        <f t="shared" si="52"/>
        <v>1w</v>
      </c>
      <c r="X2724" s="128">
        <f>_xll.qlCalendarAdvance(Calendar,X2723,W2724,"f",FALSE)</f>
        <v>58243</v>
      </c>
      <c r="Y2724" s="131">
        <f>_xll.qlCalendarAdvance(Calendar,X2724,NDays&amp;"D")</f>
        <v>58245</v>
      </c>
      <c r="Z2724" s="132">
        <v>9.7020125082097671E-3</v>
      </c>
      <c r="AA2724" s="129">
        <v>9.7132507114316979E-3</v>
      </c>
    </row>
    <row r="2725" spans="19:27" x14ac:dyDescent="0.2">
      <c r="S2725" s="1"/>
      <c r="T2725" s="109"/>
      <c r="W2725" s="130" t="str">
        <f t="shared" si="52"/>
        <v>1w</v>
      </c>
      <c r="X2725" s="128">
        <f>_xll.qlCalendarAdvance(Calendar,X2724,W2725,"f",FALSE)</f>
        <v>58250</v>
      </c>
      <c r="Y2725" s="131">
        <f>_xll.qlCalendarAdvance(Calendar,X2725,NDays&amp;"D")</f>
        <v>58252</v>
      </c>
      <c r="Z2725" s="132">
        <v>9.698532472510157E-3</v>
      </c>
      <c r="AA2725" s="129">
        <v>9.7095708362271438E-3</v>
      </c>
    </row>
    <row r="2726" spans="19:27" x14ac:dyDescent="0.2">
      <c r="S2726" s="1"/>
      <c r="T2726" s="109"/>
      <c r="W2726" s="130" t="str">
        <f t="shared" si="52"/>
        <v>1w</v>
      </c>
      <c r="X2726" s="128">
        <f>_xll.qlCalendarAdvance(Calendar,X2725,W2726,"f",FALSE)</f>
        <v>58257</v>
      </c>
      <c r="Y2726" s="131">
        <f>_xll.qlCalendarAdvance(Calendar,X2726,NDays&amp;"D")</f>
        <v>58259</v>
      </c>
      <c r="Z2726" s="132">
        <v>9.6950845725124711E-3</v>
      </c>
      <c r="AA2726" s="129">
        <v>9.7059230151419484E-3</v>
      </c>
    </row>
    <row r="2727" spans="19:27" x14ac:dyDescent="0.2">
      <c r="S2727" s="1"/>
      <c r="T2727" s="109"/>
      <c r="W2727" s="130" t="str">
        <f t="shared" si="52"/>
        <v>1w</v>
      </c>
      <c r="X2727" s="128">
        <f>_xll.qlCalendarAdvance(Calendar,X2726,W2727,"f",FALSE)</f>
        <v>58264</v>
      </c>
      <c r="Y2727" s="131">
        <f>_xll.qlCalendarAdvance(Calendar,X2727,NDays&amp;"D")</f>
        <v>58266</v>
      </c>
      <c r="Z2727" s="132">
        <v>9.6916688081306948E-3</v>
      </c>
      <c r="AA2727" s="129">
        <v>9.7023072480162398E-3</v>
      </c>
    </row>
    <row r="2728" spans="19:27" x14ac:dyDescent="0.2">
      <c r="S2728" s="1"/>
      <c r="T2728" s="109"/>
      <c r="W2728" s="130" t="str">
        <f t="shared" si="52"/>
        <v>1w</v>
      </c>
      <c r="X2728" s="128">
        <f>_xll.qlCalendarAdvance(Calendar,X2727,W2728,"f",FALSE)</f>
        <v>58271</v>
      </c>
      <c r="Y2728" s="131">
        <f>_xll.qlCalendarAdvance(Calendar,X2728,NDays&amp;"D")</f>
        <v>58273</v>
      </c>
      <c r="Z2728" s="132">
        <v>9.6882851792805449E-3</v>
      </c>
      <c r="AA2728" s="129">
        <v>9.698723535169762E-3</v>
      </c>
    </row>
    <row r="2729" spans="19:27" x14ac:dyDescent="0.2">
      <c r="S2729" s="1"/>
      <c r="T2729" s="109"/>
      <c r="W2729" s="130" t="str">
        <f t="shared" si="52"/>
        <v>1w</v>
      </c>
      <c r="X2729" s="128">
        <f>_xll.qlCalendarAdvance(Calendar,X2728,W2729,"f",FALSE)</f>
        <v>58278</v>
      </c>
      <c r="Y2729" s="131">
        <f>_xll.qlCalendarAdvance(Calendar,X2729,NDays&amp;"D")</f>
        <v>58280</v>
      </c>
      <c r="Z2729" s="132">
        <v>9.6849336858786106E-3</v>
      </c>
      <c r="AA2729" s="129">
        <v>9.6951718763627071E-3</v>
      </c>
    </row>
    <row r="2730" spans="19:27" x14ac:dyDescent="0.2">
      <c r="S2730" s="1"/>
      <c r="T2730" s="109"/>
      <c r="W2730" s="130" t="str">
        <f t="shared" si="52"/>
        <v>1w</v>
      </c>
      <c r="X2730" s="128">
        <f>_xll.qlCalendarAdvance(Calendar,X2729,W2730,"f",FALSE)</f>
        <v>58285</v>
      </c>
      <c r="Y2730" s="131">
        <f>_xll.qlCalendarAdvance(Calendar,X2730,NDays&amp;"D")</f>
        <v>58287</v>
      </c>
      <c r="Z2730" s="132">
        <v>9.6816143278432177E-3</v>
      </c>
      <c r="AA2730" s="129">
        <v>9.6916522716750109E-3</v>
      </c>
    </row>
    <row r="2731" spans="19:27" x14ac:dyDescent="0.2">
      <c r="S2731" s="1"/>
      <c r="T2731" s="109"/>
      <c r="W2731" s="130" t="str">
        <f t="shared" si="52"/>
        <v>1w</v>
      </c>
      <c r="X2731" s="128">
        <f>_xll.qlCalendarAdvance(Calendar,X2730,W2731,"f",FALSE)</f>
        <v>58292</v>
      </c>
      <c r="Y2731" s="131">
        <f>_xll.qlCalendarAdvance(Calendar,X2731,NDays&amp;"D")</f>
        <v>58294</v>
      </c>
      <c r="Z2731" s="132">
        <v>9.678327105092692E-3</v>
      </c>
      <c r="AA2731" s="129">
        <v>9.6881647210267374E-3</v>
      </c>
    </row>
    <row r="2732" spans="19:27" x14ac:dyDescent="0.2">
      <c r="S2732" s="1"/>
      <c r="T2732" s="109"/>
      <c r="W2732" s="130" t="str">
        <f t="shared" si="52"/>
        <v>1w</v>
      </c>
      <c r="X2732" s="128">
        <f>_xll.qlCalendarAdvance(Calendar,X2731,W2732,"f",FALSE)</f>
        <v>58299</v>
      </c>
      <c r="Y2732" s="131">
        <f>_xll.qlCalendarAdvance(Calendar,X2732,NDays&amp;"D")</f>
        <v>58301</v>
      </c>
      <c r="Z2732" s="132">
        <v>9.6750720175462299E-3</v>
      </c>
      <c r="AA2732" s="129">
        <v>9.6847092244178867E-3</v>
      </c>
    </row>
    <row r="2733" spans="19:27" x14ac:dyDescent="0.2">
      <c r="S2733" s="1"/>
      <c r="T2733" s="109"/>
      <c r="W2733" s="130" t="str">
        <f t="shared" si="52"/>
        <v>1w</v>
      </c>
      <c r="X2733" s="128">
        <f>_xll.qlCalendarAdvance(Calendar,X2732,W2733,"f",FALSE)</f>
        <v>58306</v>
      </c>
      <c r="Y2733" s="131">
        <f>_xll.qlCalendarAdvance(Calendar,X2733,NDays&amp;"D")</f>
        <v>58308</v>
      </c>
      <c r="Z2733" s="132">
        <v>9.6718490651212883E-3</v>
      </c>
      <c r="AA2733" s="129">
        <v>9.6812857820083309E-3</v>
      </c>
    </row>
    <row r="2734" spans="19:27" x14ac:dyDescent="0.2">
      <c r="S2734" s="1"/>
      <c r="T2734" s="109"/>
      <c r="W2734" s="130" t="str">
        <f t="shared" si="52"/>
        <v>1w</v>
      </c>
      <c r="X2734" s="128">
        <f>_xll.qlCalendarAdvance(Calendar,X2733,W2734,"f",FALSE)</f>
        <v>58313</v>
      </c>
      <c r="Y2734" s="131">
        <f>_xll.qlCalendarAdvance(Calendar,X2734,NDays&amp;"D")</f>
        <v>58315</v>
      </c>
      <c r="Z2734" s="132">
        <v>9.6686582477422765E-3</v>
      </c>
      <c r="AA2734" s="129">
        <v>9.6778943936381978E-3</v>
      </c>
    </row>
    <row r="2735" spans="19:27" x14ac:dyDescent="0.2">
      <c r="S2735" s="1"/>
      <c r="T2735" s="109"/>
      <c r="W2735" s="130" t="str">
        <f t="shared" si="52"/>
        <v>1w</v>
      </c>
      <c r="X2735" s="128">
        <f>_xll.qlCalendarAdvance(Calendar,X2734,W2735,"f",FALSE)</f>
        <v>58320</v>
      </c>
      <c r="Y2735" s="131">
        <f>_xll.qlCalendarAdvance(Calendar,X2735,NDays&amp;"D")</f>
        <v>58322</v>
      </c>
      <c r="Z2735" s="132">
        <v>9.6655894689721897E-3</v>
      </c>
      <c r="AA2735" s="129">
        <v>9.6745350593874235E-3</v>
      </c>
    </row>
    <row r="2736" spans="19:27" x14ac:dyDescent="0.2">
      <c r="S2736" s="1"/>
      <c r="T2736" s="109"/>
      <c r="W2736" s="130" t="str">
        <f t="shared" si="52"/>
        <v>1w</v>
      </c>
      <c r="X2736" s="128">
        <f>_xll.qlCalendarAdvance(Calendar,X2735,W2736,"f",FALSE)</f>
        <v>58327</v>
      </c>
      <c r="Y2736" s="131">
        <f>_xll.qlCalendarAdvance(Calendar,X2736,NDays&amp;"D")</f>
        <v>58329</v>
      </c>
      <c r="Z2736" s="132">
        <v>9.662460709993697E-3</v>
      </c>
      <c r="AA2736" s="129">
        <v>9.6712077790961359E-3</v>
      </c>
    </row>
    <row r="2737" spans="19:27" x14ac:dyDescent="0.2">
      <c r="S2737" s="1"/>
      <c r="T2737" s="109"/>
      <c r="W2737" s="130" t="str">
        <f t="shared" si="52"/>
        <v>1w</v>
      </c>
      <c r="X2737" s="128">
        <f>_xll.qlCalendarAdvance(Calendar,X2736,W2737,"f",FALSE)</f>
        <v>58334</v>
      </c>
      <c r="Y2737" s="131">
        <f>_xll.qlCalendarAdvance(Calendar,X2737,NDays&amp;"D")</f>
        <v>58336</v>
      </c>
      <c r="Z2737" s="132">
        <v>9.6593640849450078E-3</v>
      </c>
      <c r="AA2737" s="129">
        <v>9.6679125531640153E-3</v>
      </c>
    </row>
    <row r="2738" spans="19:27" x14ac:dyDescent="0.2">
      <c r="S2738" s="1"/>
      <c r="T2738" s="109"/>
      <c r="W2738" s="130" t="str">
        <f t="shared" si="52"/>
        <v>1w</v>
      </c>
      <c r="X2738" s="128">
        <f>_xll.qlCalendarAdvance(Calendar,X2737,W2738,"f",FALSE)</f>
        <v>58341</v>
      </c>
      <c r="Y2738" s="131">
        <f>_xll.qlCalendarAdvance(Calendar,X2738,NDays&amp;"D")</f>
        <v>58343</v>
      </c>
      <c r="Z2738" s="132">
        <v>9.6559677844176971E-3</v>
      </c>
      <c r="AA2738" s="129">
        <v>9.6646493811114453E-3</v>
      </c>
    </row>
    <row r="2739" spans="19:27" x14ac:dyDescent="0.2">
      <c r="S2739" s="1"/>
      <c r="T2739" s="109"/>
      <c r="W2739" s="130" t="str">
        <f t="shared" si="52"/>
        <v>1w</v>
      </c>
      <c r="X2739" s="128">
        <f>_xll.qlCalendarAdvance(Calendar,X2738,W2739,"f",FALSE)</f>
        <v>58348</v>
      </c>
      <c r="Y2739" s="131">
        <f>_xll.qlCalendarAdvance(Calendar,X2739,NDays&amp;"D")</f>
        <v>58350</v>
      </c>
      <c r="Z2739" s="132">
        <v>9.6531861838018047E-3</v>
      </c>
      <c r="AA2739" s="129">
        <v>9.6614182631782342E-3</v>
      </c>
    </row>
    <row r="2740" spans="19:27" x14ac:dyDescent="0.2">
      <c r="S2740" s="1"/>
      <c r="T2740" s="109"/>
      <c r="W2740" s="130" t="str">
        <f t="shared" si="52"/>
        <v>1w</v>
      </c>
      <c r="X2740" s="128">
        <f>_xll.qlCalendarAdvance(Calendar,X2739,W2740,"f",FALSE)</f>
        <v>58355</v>
      </c>
      <c r="Y2740" s="131">
        <f>_xll.qlCalendarAdvance(Calendar,X2740,NDays&amp;"D")</f>
        <v>58357</v>
      </c>
      <c r="Z2740" s="132">
        <v>9.6501881750718378E-3</v>
      </c>
      <c r="AA2740" s="129">
        <v>9.6582191993643818E-3</v>
      </c>
    </row>
    <row r="2741" spans="19:27" x14ac:dyDescent="0.2">
      <c r="S2741" s="1"/>
      <c r="T2741" s="109"/>
      <c r="W2741" s="130" t="str">
        <f t="shared" si="52"/>
        <v>1w</v>
      </c>
      <c r="X2741" s="128">
        <f>_xll.qlCalendarAdvance(Calendar,X2740,W2741,"f",FALSE)</f>
        <v>58362</v>
      </c>
      <c r="Y2741" s="131">
        <f>_xll.qlCalendarAdvance(Calendar,X2741,NDays&amp;"D")</f>
        <v>58364</v>
      </c>
      <c r="Z2741" s="132">
        <v>9.6472223008543141E-3</v>
      </c>
      <c r="AA2741" s="129">
        <v>9.6550521896698882E-3</v>
      </c>
    </row>
    <row r="2742" spans="19:27" x14ac:dyDescent="0.2">
      <c r="S2742" s="1"/>
      <c r="T2742" s="109"/>
      <c r="W2742" s="130" t="str">
        <f t="shared" si="52"/>
        <v>1w</v>
      </c>
      <c r="X2742" s="128">
        <f>_xll.qlCalendarAdvance(Calendar,X2741,W2742,"f",FALSE)</f>
        <v>58369</v>
      </c>
      <c r="Y2742" s="131">
        <f>_xll.qlCalendarAdvance(Calendar,X2742,NDays&amp;"D")</f>
        <v>58371</v>
      </c>
      <c r="Z2742" s="132">
        <v>9.6442885610762471E-3</v>
      </c>
      <c r="AA2742" s="129">
        <v>9.6519172339348813E-3</v>
      </c>
    </row>
    <row r="2743" spans="19:27" x14ac:dyDescent="0.2">
      <c r="S2743" s="1"/>
      <c r="T2743" s="109"/>
      <c r="W2743" s="130" t="str">
        <f t="shared" si="52"/>
        <v>1w</v>
      </c>
      <c r="X2743" s="128">
        <f>_xll.qlCalendarAdvance(Calendar,X2742,W2743,"f",FALSE)</f>
        <v>58376</v>
      </c>
      <c r="Y2743" s="131">
        <f>_xll.qlCalendarAdvance(Calendar,X2743,NDays&amp;"D")</f>
        <v>58378</v>
      </c>
      <c r="Z2743" s="132">
        <v>9.6413869556646534E-3</v>
      </c>
      <c r="AA2743" s="129">
        <v>9.6488143323991693E-3</v>
      </c>
    </row>
    <row r="2744" spans="19:27" x14ac:dyDescent="0.2">
      <c r="S2744" s="1"/>
      <c r="T2744" s="109"/>
      <c r="W2744" s="130" t="str">
        <f t="shared" si="52"/>
        <v>1w</v>
      </c>
      <c r="X2744" s="128">
        <f>_xll.qlCalendarAdvance(Calendar,X2743,W2744,"f",FALSE)</f>
        <v>58383</v>
      </c>
      <c r="Y2744" s="131">
        <f>_xll.qlCalendarAdvance(Calendar,X2744,NDays&amp;"D")</f>
        <v>58385</v>
      </c>
      <c r="Z2744" s="132">
        <v>9.6385174845491518E-3</v>
      </c>
      <c r="AA2744" s="129">
        <v>9.645743484822944E-3</v>
      </c>
    </row>
    <row r="2745" spans="19:27" x14ac:dyDescent="0.2">
      <c r="S2745" s="1"/>
      <c r="T2745" s="109"/>
      <c r="W2745" s="130" t="str">
        <f t="shared" si="52"/>
        <v>1w</v>
      </c>
      <c r="X2745" s="128">
        <f>_xll.qlCalendarAdvance(Calendar,X2744,W2745,"f",FALSE)</f>
        <v>58390</v>
      </c>
      <c r="Y2745" s="131">
        <f>_xll.qlCalendarAdvance(Calendar,X2745,NDays&amp;"D")</f>
        <v>58392</v>
      </c>
      <c r="Z2745" s="132">
        <v>9.6356801476611027E-3</v>
      </c>
      <c r="AA2745" s="129">
        <v>9.6427046915259496E-3</v>
      </c>
    </row>
    <row r="2746" spans="19:27" x14ac:dyDescent="0.2">
      <c r="S2746" s="1"/>
      <c r="T2746" s="109"/>
      <c r="W2746" s="130" t="str">
        <f t="shared" si="52"/>
        <v>1w</v>
      </c>
      <c r="X2746" s="128">
        <f>_xll.qlCalendarAdvance(Calendar,X2745,W2746,"f",FALSE)</f>
        <v>58397</v>
      </c>
      <c r="Y2746" s="131">
        <f>_xll.qlCalendarAdvance(Calendar,X2746,NDays&amp;"D")</f>
        <v>58399</v>
      </c>
      <c r="Z2746" s="132">
        <v>9.632874944927523E-3</v>
      </c>
      <c r="AA2746" s="129">
        <v>9.6396979521085058E-3</v>
      </c>
    </row>
    <row r="2747" spans="19:27" x14ac:dyDescent="0.2">
      <c r="S2747" s="1"/>
      <c r="T2747" s="109"/>
      <c r="W2747" s="130" t="str">
        <f t="shared" si="52"/>
        <v>1w</v>
      </c>
      <c r="X2747" s="128">
        <f>_xll.qlCalendarAdvance(Calendar,X2746,W2747,"f",FALSE)</f>
        <v>58404</v>
      </c>
      <c r="Y2747" s="131">
        <f>_xll.qlCalendarAdvance(Calendar,X2747,NDays&amp;"D")</f>
        <v>58406</v>
      </c>
      <c r="Z2747" s="132">
        <v>9.6301018762806386E-3</v>
      </c>
      <c r="AA2747" s="129">
        <v>9.6367232668903569E-3</v>
      </c>
    </row>
    <row r="2748" spans="19:27" x14ac:dyDescent="0.2">
      <c r="S2748" s="1"/>
      <c r="T2748" s="109"/>
      <c r="W2748" s="130" t="str">
        <f t="shared" si="52"/>
        <v>1w</v>
      </c>
      <c r="X2748" s="128">
        <f>_xll.qlCalendarAdvance(Calendar,X2747,W2748,"f",FALSE)</f>
        <v>58411</v>
      </c>
      <c r="Y2748" s="131">
        <f>_xll.qlCalendarAdvance(Calendar,X2748,NDays&amp;"D")</f>
        <v>58413</v>
      </c>
      <c r="Z2748" s="132">
        <v>9.6274220277453165E-3</v>
      </c>
      <c r="AA2748" s="129">
        <v>9.6337806357116307E-3</v>
      </c>
    </row>
    <row r="2749" spans="19:27" x14ac:dyDescent="0.2">
      <c r="S2749" s="1"/>
      <c r="T2749" s="109"/>
      <c r="W2749" s="130" t="str">
        <f t="shared" si="52"/>
        <v>1w</v>
      </c>
      <c r="X2749" s="128">
        <f>_xll.qlCalendarAdvance(Calendar,X2748,W2749,"f",FALSE)</f>
        <v>58418</v>
      </c>
      <c r="Y2749" s="131">
        <f>_xll.qlCalendarAdvance(Calendar,X2749,NDays&amp;"D")</f>
        <v>58420</v>
      </c>
      <c r="Z2749" s="132">
        <v>9.6247110041954888E-3</v>
      </c>
      <c r="AA2749" s="129">
        <v>9.6308700586522633E-3</v>
      </c>
    </row>
    <row r="2750" spans="19:27" x14ac:dyDescent="0.2">
      <c r="S2750" s="1"/>
      <c r="T2750" s="109"/>
      <c r="W2750" s="130" t="str">
        <f t="shared" si="52"/>
        <v>1w</v>
      </c>
      <c r="X2750" s="128">
        <f>_xll.qlCalendarAdvance(Calendar,X2749,W2750,"f",FALSE)</f>
        <v>58425</v>
      </c>
      <c r="Y2750" s="131">
        <f>_xll.qlCalendarAdvance(Calendar,X2750,NDays&amp;"D")</f>
        <v>58427</v>
      </c>
      <c r="Z2750" s="132">
        <v>9.622032113655761E-3</v>
      </c>
      <c r="AA2750" s="129">
        <v>9.6279915356323187E-3</v>
      </c>
    </row>
    <row r="2751" spans="19:27" x14ac:dyDescent="0.2">
      <c r="S2751" s="1"/>
      <c r="T2751" s="109"/>
      <c r="W2751" s="130" t="str">
        <f t="shared" si="52"/>
        <v>1w</v>
      </c>
      <c r="X2751" s="128">
        <f>_xll.qlCalendarAdvance(Calendar,X2750,W2751,"f",FALSE)</f>
        <v>58432</v>
      </c>
      <c r="Y2751" s="131">
        <f>_xll.qlCalendarAdvance(Calendar,X2751,NDays&amp;"D")</f>
        <v>58438</v>
      </c>
      <c r="Z2751" s="132">
        <v>9.6178873501677337E-3</v>
      </c>
      <c r="AA2751" s="129">
        <v>9.6235329047278384E-3</v>
      </c>
    </row>
    <row r="2752" spans="19:27" x14ac:dyDescent="0.2">
      <c r="S2752" s="1"/>
      <c r="T2752" s="109"/>
      <c r="W2752" s="130" t="str">
        <f t="shared" si="52"/>
        <v>1w</v>
      </c>
      <c r="X2752" s="128">
        <f>_xll.qlCalendarAdvance(Calendar,X2751,W2752,"f",FALSE)</f>
        <v>58439</v>
      </c>
      <c r="Y2752" s="131">
        <f>_xll.qlCalendarAdvance(Calendar,X2752,NDays&amp;"D")</f>
        <v>58442</v>
      </c>
      <c r="Z2752" s="132">
        <v>9.6163998366268193E-3</v>
      </c>
      <c r="AA2752" s="129">
        <v>9.6217897908346117E-3</v>
      </c>
    </row>
    <row r="2753" spans="19:27" x14ac:dyDescent="0.2">
      <c r="S2753" s="1"/>
      <c r="T2753" s="109"/>
      <c r="W2753" s="130" t="str">
        <f t="shared" si="52"/>
        <v>1w</v>
      </c>
      <c r="X2753" s="128">
        <f>_xll.qlCalendarAdvance(Calendar,X2752,W2753,"f",FALSE)</f>
        <v>58446</v>
      </c>
      <c r="Y2753" s="131">
        <f>_xll.qlCalendarAdvance(Calendar,X2753,NDays&amp;"D")</f>
        <v>58448</v>
      </c>
      <c r="Z2753" s="132">
        <v>9.6141882394611983E-3</v>
      </c>
      <c r="AA2753" s="129">
        <v>9.6195482910488295E-3</v>
      </c>
    </row>
    <row r="2754" spans="19:27" x14ac:dyDescent="0.2">
      <c r="S2754" s="1"/>
      <c r="T2754" s="109"/>
      <c r="W2754" s="130" t="str">
        <f t="shared" si="52"/>
        <v>1w</v>
      </c>
      <c r="X2754" s="128">
        <f>_xll.qlCalendarAdvance(Calendar,X2753,W2754,"f",FALSE)</f>
        <v>58453</v>
      </c>
      <c r="Y2754" s="131">
        <f>_xll.qlCalendarAdvance(Calendar,X2754,NDays&amp;"D")</f>
        <v>58455</v>
      </c>
      <c r="Z2754" s="132">
        <v>9.6116378803250118E-3</v>
      </c>
      <c r="AA2754" s="129">
        <v>9.6167979843464479E-3</v>
      </c>
    </row>
    <row r="2755" spans="19:27" x14ac:dyDescent="0.2">
      <c r="S2755" s="1"/>
      <c r="T2755" s="109"/>
      <c r="W2755" s="130" t="str">
        <f t="shared" si="52"/>
        <v>1w</v>
      </c>
      <c r="X2755" s="128">
        <f>_xll.qlCalendarAdvance(Calendar,X2754,W2755,"f",FALSE)</f>
        <v>58460</v>
      </c>
      <c r="Y2755" s="131">
        <f>_xll.qlCalendarAdvance(Calendar,X2755,NDays&amp;"D")</f>
        <v>58462</v>
      </c>
      <c r="Z2755" s="132">
        <v>9.6091196538818178E-3</v>
      </c>
      <c r="AA2755" s="129">
        <v>9.6140797316834892E-3</v>
      </c>
    </row>
    <row r="2756" spans="19:27" x14ac:dyDescent="0.2">
      <c r="S2756" s="1"/>
      <c r="T2756" s="109"/>
      <c r="W2756" s="130" t="str">
        <f t="shared" si="52"/>
        <v>1w</v>
      </c>
      <c r="X2756" s="128">
        <f>_xll.qlCalendarAdvance(Calendar,X2755,W2756,"f",FALSE)</f>
        <v>58467</v>
      </c>
      <c r="Y2756" s="131">
        <f>_xll.qlCalendarAdvance(Calendar,X2756,NDays&amp;"D")</f>
        <v>58469</v>
      </c>
      <c r="Z2756" s="132">
        <v>9.6066335600701221E-3</v>
      </c>
      <c r="AA2756" s="129">
        <v>9.6113935330599531E-3</v>
      </c>
    </row>
    <row r="2757" spans="19:27" x14ac:dyDescent="0.2">
      <c r="S2757" s="1"/>
      <c r="T2757" s="109"/>
      <c r="W2757" s="130" t="str">
        <f t="shared" si="52"/>
        <v>1w</v>
      </c>
      <c r="X2757" s="128">
        <f>_xll.qlCalendarAdvance(Calendar,X2756,W2757,"f",FALSE)</f>
        <v>58474</v>
      </c>
      <c r="Y2757" s="131">
        <f>_xll.qlCalendarAdvance(Calendar,X2757,NDays&amp;"D")</f>
        <v>58476</v>
      </c>
      <c r="Z2757" s="132">
        <v>9.6042208595168432E-3</v>
      </c>
      <c r="AA2757" s="129">
        <v>9.608739388635712E-3</v>
      </c>
    </row>
    <row r="2758" spans="19:27" x14ac:dyDescent="0.2">
      <c r="S2758" s="1"/>
      <c r="T2758" s="109"/>
      <c r="W2758" s="130" t="str">
        <f t="shared" si="52"/>
        <v>1w</v>
      </c>
      <c r="X2758" s="128">
        <f>_xll.qlCalendarAdvance(Calendar,X2757,W2758,"f",FALSE)</f>
        <v>58481</v>
      </c>
      <c r="Y2758" s="131">
        <f>_xll.qlCalendarAdvance(Calendar,X2758,NDays&amp;"D")</f>
        <v>58483</v>
      </c>
      <c r="Z2758" s="132">
        <v>9.6017968002009013E-3</v>
      </c>
      <c r="AA2758" s="129">
        <v>9.6061172982508936E-3</v>
      </c>
    </row>
    <row r="2759" spans="19:27" x14ac:dyDescent="0.2">
      <c r="S2759" s="1"/>
      <c r="T2759" s="109"/>
      <c r="W2759" s="130" t="str">
        <f t="shared" si="52"/>
        <v>1w</v>
      </c>
      <c r="X2759" s="128">
        <f>_xll.qlCalendarAdvance(Calendar,X2758,W2759,"f",FALSE)</f>
        <v>58488</v>
      </c>
      <c r="Y2759" s="131">
        <f>_xll.qlCalendarAdvance(Calendar,X2759,NDays&amp;"D")</f>
        <v>58490</v>
      </c>
      <c r="Z2759" s="132">
        <v>9.5994048724694636E-3</v>
      </c>
      <c r="AA2759" s="129">
        <v>9.6035272618255618E-3</v>
      </c>
    </row>
    <row r="2760" spans="19:27" x14ac:dyDescent="0.2">
      <c r="S2760" s="1"/>
      <c r="T2760" s="109"/>
      <c r="W2760" s="130" t="str">
        <f t="shared" si="52"/>
        <v>1w</v>
      </c>
      <c r="X2760" s="128">
        <f>_xll.qlCalendarAdvance(Calendar,X2759,W2760,"f",FALSE)</f>
        <v>58495</v>
      </c>
      <c r="Y2760" s="131">
        <f>_xll.qlCalendarAdvance(Calendar,X2760,NDays&amp;"D")</f>
        <v>58497</v>
      </c>
      <c r="Z2760" s="132">
        <v>9.5970450762665749E-3</v>
      </c>
      <c r="AA2760" s="129">
        <v>9.600969279599525E-3</v>
      </c>
    </row>
    <row r="2761" spans="19:27" x14ac:dyDescent="0.2">
      <c r="S2761" s="1"/>
      <c r="T2761" s="109"/>
      <c r="W2761" s="130" t="str">
        <f t="shared" si="52"/>
        <v>1w</v>
      </c>
      <c r="X2761" s="128">
        <f>_xll.qlCalendarAdvance(Calendar,X2760,W2761,"f",FALSE)</f>
        <v>58502</v>
      </c>
      <c r="Y2761" s="131">
        <f>_xll.qlCalendarAdvance(Calendar,X2761,NDays&amp;"D")</f>
        <v>58504</v>
      </c>
      <c r="Z2761" s="132">
        <v>9.5946529576236388E-3</v>
      </c>
      <c r="AA2761" s="129">
        <v>9.5984433513329748E-3</v>
      </c>
    </row>
    <row r="2762" spans="19:27" x14ac:dyDescent="0.2">
      <c r="S2762" s="1"/>
      <c r="T2762" s="109"/>
      <c r="W2762" s="130" t="str">
        <f t="shared" si="52"/>
        <v>1w</v>
      </c>
      <c r="X2762" s="128">
        <f>_xll.qlCalendarAdvance(Calendar,X2761,W2762,"f",FALSE)</f>
        <v>58509</v>
      </c>
      <c r="Y2762" s="131">
        <f>_xll.qlCalendarAdvance(Calendar,X2762,NDays&amp;"D")</f>
        <v>58511</v>
      </c>
      <c r="Z2762" s="132">
        <v>9.5923618925459857E-3</v>
      </c>
      <c r="AA2762" s="129">
        <v>9.5959494772657195E-3</v>
      </c>
    </row>
    <row r="2763" spans="19:27" x14ac:dyDescent="0.2">
      <c r="S2763" s="1"/>
      <c r="T2763" s="109"/>
      <c r="W2763" s="130" t="str">
        <f t="shared" si="52"/>
        <v>1w</v>
      </c>
      <c r="X2763" s="128">
        <f>_xll.qlCalendarAdvance(Calendar,X2762,W2763,"f",FALSE)</f>
        <v>58516</v>
      </c>
      <c r="Y2763" s="131">
        <f>_xll.qlCalendarAdvance(Calendar,X2763,NDays&amp;"D")</f>
        <v>58518</v>
      </c>
      <c r="Z2763" s="132">
        <v>9.5901029605584345E-3</v>
      </c>
      <c r="AA2763" s="129">
        <v>9.5934876573178229E-3</v>
      </c>
    </row>
    <row r="2764" spans="19:27" x14ac:dyDescent="0.2">
      <c r="S2764" s="1"/>
      <c r="T2764" s="109"/>
      <c r="W2764" s="130" t="str">
        <f t="shared" si="52"/>
        <v>1w</v>
      </c>
      <c r="X2764" s="128">
        <f>_xll.qlCalendarAdvance(Calendar,X2763,W2764,"f",FALSE)</f>
        <v>58523</v>
      </c>
      <c r="Y2764" s="131">
        <f>_xll.qlCalendarAdvance(Calendar,X2764,NDays&amp;"D")</f>
        <v>58525</v>
      </c>
      <c r="Z2764" s="132">
        <v>9.587876161605377E-3</v>
      </c>
      <c r="AA2764" s="129">
        <v>9.591057891169541E-3</v>
      </c>
    </row>
    <row r="2765" spans="19:27" x14ac:dyDescent="0.2">
      <c r="S2765" s="1"/>
      <c r="T2765" s="109"/>
      <c r="W2765" s="130" t="str">
        <f t="shared" si="52"/>
        <v>1w</v>
      </c>
      <c r="X2765" s="128">
        <f>_xll.qlCalendarAdvance(Calendar,X2764,W2765,"f",FALSE)</f>
        <v>58530</v>
      </c>
      <c r="Y2765" s="131">
        <f>_xll.qlCalendarAdvance(Calendar,X2765,NDays&amp;"D")</f>
        <v>58532</v>
      </c>
      <c r="Z2765" s="132">
        <v>9.5857046745136502E-3</v>
      </c>
      <c r="AA2765" s="129">
        <v>9.588660179380426E-3</v>
      </c>
    </row>
    <row r="2766" spans="19:27" x14ac:dyDescent="0.2">
      <c r="S2766" s="1"/>
      <c r="T2766" s="109"/>
      <c r="W2766" s="130" t="str">
        <f t="shared" si="52"/>
        <v>1w</v>
      </c>
      <c r="X2766" s="128">
        <f>_xll.qlCalendarAdvance(Calendar,X2765,W2766,"f",FALSE)</f>
        <v>58537</v>
      </c>
      <c r="Y2766" s="131">
        <f>_xll.qlCalendarAdvance(Calendar,X2766,NDays&amp;"D")</f>
        <v>58539</v>
      </c>
      <c r="Z2766" s="132">
        <v>9.5835399038300614E-3</v>
      </c>
      <c r="AA2766" s="129">
        <v>9.5862945213909256E-3</v>
      </c>
    </row>
    <row r="2767" spans="19:27" x14ac:dyDescent="0.2">
      <c r="S2767" s="1"/>
      <c r="T2767" s="109"/>
      <c r="W2767" s="130" t="str">
        <f t="shared" si="52"/>
        <v>1w</v>
      </c>
      <c r="X2767" s="128">
        <f>_xll.qlCalendarAdvance(Calendar,X2766,W2767,"f",FALSE)</f>
        <v>58544</v>
      </c>
      <c r="Y2767" s="131">
        <f>_xll.qlCalendarAdvance(Calendar,X2767,NDays&amp;"D")</f>
        <v>58546</v>
      </c>
      <c r="Z2767" s="132">
        <v>9.581407265157809E-3</v>
      </c>
      <c r="AA2767" s="129">
        <v>9.5838109491950263E-3</v>
      </c>
    </row>
    <row r="2768" spans="19:27" x14ac:dyDescent="0.2">
      <c r="S2768" s="1"/>
      <c r="T2768" s="109"/>
      <c r="W2768" s="130" t="str">
        <f t="shared" si="52"/>
        <v>1w</v>
      </c>
      <c r="X2768" s="128">
        <f>_xll.qlCalendarAdvance(Calendar,X2767,W2768,"f",FALSE)</f>
        <v>58551</v>
      </c>
      <c r="Y2768" s="131">
        <f>_xll.qlCalendarAdvance(Calendar,X2768,NDays&amp;"D")</f>
        <v>58553</v>
      </c>
      <c r="Z2768" s="132">
        <v>9.5793067584441886E-3</v>
      </c>
      <c r="AA2768" s="129">
        <v>9.5816593677700013E-3</v>
      </c>
    </row>
    <row r="2769" spans="19:27" x14ac:dyDescent="0.2">
      <c r="S2769" s="1"/>
      <c r="T2769" s="109"/>
      <c r="W2769" s="130" t="str">
        <f t="shared" si="52"/>
        <v>1w</v>
      </c>
      <c r="X2769" s="128">
        <f>_xll.qlCalendarAdvance(Calendar,X2768,W2769,"f",FALSE)</f>
        <v>58558</v>
      </c>
      <c r="Y2769" s="131">
        <f>_xll.qlCalendarAdvance(Calendar,X2769,NDays&amp;"D")</f>
        <v>58560</v>
      </c>
      <c r="Z2769" s="132">
        <v>9.5772383836400105E-3</v>
      </c>
      <c r="AA2769" s="129">
        <v>9.5793898722185133E-3</v>
      </c>
    </row>
    <row r="2770" spans="19:27" x14ac:dyDescent="0.2">
      <c r="S2770" s="1"/>
      <c r="T2770" s="109"/>
      <c r="W2770" s="130" t="str">
        <f t="shared" si="52"/>
        <v>1w</v>
      </c>
      <c r="X2770" s="128">
        <f>_xll.qlCalendarAdvance(Calendar,X2769,W2770,"f",FALSE)</f>
        <v>58565</v>
      </c>
      <c r="Y2770" s="131">
        <f>_xll.qlCalendarAdvance(Calendar,X2770,NDays&amp;"D")</f>
        <v>58567</v>
      </c>
      <c r="Z2770" s="132">
        <v>9.57519015863466E-3</v>
      </c>
      <c r="AA2770" s="129">
        <v>9.5771524306265121E-3</v>
      </c>
    </row>
    <row r="2771" spans="19:27" x14ac:dyDescent="0.2">
      <c r="S2771" s="1"/>
      <c r="T2771" s="109"/>
      <c r="W2771" s="130" t="str">
        <f t="shared" si="52"/>
        <v>1w</v>
      </c>
      <c r="X2771" s="128">
        <f>_xll.qlCalendarAdvance(Calendar,X2770,W2771,"f",FALSE)</f>
        <v>58572</v>
      </c>
      <c r="Y2771" s="131">
        <f>_xll.qlCalendarAdvance(Calendar,X2771,NDays&amp;"D")</f>
        <v>58574</v>
      </c>
      <c r="Z2771" s="132">
        <v>9.5731882894459826E-3</v>
      </c>
      <c r="AA2771" s="129">
        <v>9.5749470431538697E-3</v>
      </c>
    </row>
    <row r="2772" spans="19:27" x14ac:dyDescent="0.2">
      <c r="S2772" s="1"/>
      <c r="T2772" s="109"/>
      <c r="W2772" s="130" t="str">
        <f t="shared" si="52"/>
        <v>1w</v>
      </c>
      <c r="X2772" s="128">
        <f>_xll.qlCalendarAdvance(Calendar,X2771,W2772,"f",FALSE)</f>
        <v>58579</v>
      </c>
      <c r="Y2772" s="131">
        <f>_xll.qlCalendarAdvance(Calendar,X2772,NDays&amp;"D")</f>
        <v>58581</v>
      </c>
      <c r="Z2772" s="132">
        <v>9.5712185528764801E-3</v>
      </c>
      <c r="AA2772" s="129">
        <v>9.5727737095607779E-3</v>
      </c>
    </row>
    <row r="2773" spans="19:27" x14ac:dyDescent="0.2">
      <c r="S2773" s="1"/>
      <c r="T2773" s="109"/>
      <c r="W2773" s="130" t="str">
        <f t="shared" ref="W2773:W2836" si="53">W2772</f>
        <v>1w</v>
      </c>
      <c r="X2773" s="128">
        <f>_xll.qlCalendarAdvance(Calendar,X2772,W2773,"f",FALSE)</f>
        <v>58586</v>
      </c>
      <c r="Y2773" s="131">
        <f>_xll.qlCalendarAdvance(Calendar,X2773,NDays&amp;"D")</f>
        <v>58588</v>
      </c>
      <c r="Z2773" s="132">
        <v>9.5692809488792316E-3</v>
      </c>
      <c r="AA2773" s="129">
        <v>9.570632430166981E-3</v>
      </c>
    </row>
    <row r="2774" spans="19:27" x14ac:dyDescent="0.2">
      <c r="S2774" s="1"/>
      <c r="T2774" s="109"/>
      <c r="W2774" s="130" t="str">
        <f t="shared" si="53"/>
        <v>1w</v>
      </c>
      <c r="X2774" s="128">
        <f>_xll.qlCalendarAdvance(Calendar,X2773,W2774,"f",FALSE)</f>
        <v>58593</v>
      </c>
      <c r="Y2774" s="131">
        <f>_xll.qlCalendarAdvance(Calendar,X2774,NDays&amp;"D")</f>
        <v>58595</v>
      </c>
      <c r="Z2774" s="132">
        <v>9.5673754774038434E-3</v>
      </c>
      <c r="AA2774" s="129">
        <v>9.5685232047326707E-3</v>
      </c>
    </row>
    <row r="2775" spans="19:27" x14ac:dyDescent="0.2">
      <c r="S2775" s="1"/>
      <c r="T2775" s="109"/>
      <c r="W2775" s="130" t="str">
        <f t="shared" si="53"/>
        <v>1w</v>
      </c>
      <c r="X2775" s="128">
        <f>_xll.qlCalendarAdvance(Calendar,X2774,W2775,"f",FALSE)</f>
        <v>58600</v>
      </c>
      <c r="Y2775" s="131">
        <f>_xll.qlCalendarAdvance(Calendar,X2775,NDays&amp;"D")</f>
        <v>58602</v>
      </c>
      <c r="Z2775" s="132">
        <v>9.5655021384094784E-3</v>
      </c>
      <c r="AA2775" s="129">
        <v>9.5664460335775914E-3</v>
      </c>
    </row>
    <row r="2776" spans="19:27" x14ac:dyDescent="0.2">
      <c r="S2776" s="1"/>
      <c r="T2776" s="109"/>
      <c r="W2776" s="130" t="str">
        <f t="shared" si="53"/>
        <v>1w</v>
      </c>
      <c r="X2776" s="128">
        <f>_xll.qlCalendarAdvance(Calendar,X2775,W2776,"f",FALSE)</f>
        <v>58607</v>
      </c>
      <c r="Y2776" s="131">
        <f>_xll.qlCalendarAdvance(Calendar,X2776,NDays&amp;"D")</f>
        <v>58609</v>
      </c>
      <c r="Z2776" s="132">
        <v>9.5636609318422681E-3</v>
      </c>
      <c r="AA2776" s="129">
        <v>9.5644009163020627E-3</v>
      </c>
    </row>
    <row r="2777" spans="19:27" x14ac:dyDescent="0.2">
      <c r="S2777" s="1"/>
      <c r="T2777" s="109"/>
      <c r="W2777" s="130" t="str">
        <f t="shared" si="53"/>
        <v>1w</v>
      </c>
      <c r="X2777" s="128">
        <f>_xll.qlCalendarAdvance(Calendar,X2776,W2777,"f",FALSE)</f>
        <v>58614</v>
      </c>
      <c r="Y2777" s="131">
        <f>_xll.qlCalendarAdvance(Calendar,X2777,NDays&amp;"D")</f>
        <v>58616</v>
      </c>
      <c r="Z2777" s="132">
        <v>9.5618518576622447E-3</v>
      </c>
      <c r="AA2777" s="129">
        <v>9.5623878530659567E-3</v>
      </c>
    </row>
    <row r="2778" spans="19:27" x14ac:dyDescent="0.2">
      <c r="S2778" s="1"/>
      <c r="T2778" s="109"/>
      <c r="W2778" s="130" t="str">
        <f t="shared" si="53"/>
        <v>1w</v>
      </c>
      <c r="X2778" s="128">
        <f>_xll.qlCalendarAdvance(Calendar,X2777,W2778,"f",FALSE)</f>
        <v>58621</v>
      </c>
      <c r="Y2778" s="131">
        <f>_xll.qlCalendarAdvance(Calendar,X2778,NDays&amp;"D")</f>
        <v>58623</v>
      </c>
      <c r="Z2778" s="132">
        <v>9.5600749158250928E-3</v>
      </c>
      <c r="AA2778" s="129">
        <v>9.5604068440291456E-3</v>
      </c>
    </row>
    <row r="2779" spans="19:27" x14ac:dyDescent="0.2">
      <c r="S2779" s="1"/>
      <c r="T2779" s="109"/>
      <c r="W2779" s="130" t="str">
        <f t="shared" si="53"/>
        <v>1w</v>
      </c>
      <c r="X2779" s="128">
        <f>_xll.qlCalendarAdvance(Calendar,X2778,W2779,"f",FALSE)</f>
        <v>58628</v>
      </c>
      <c r="Y2779" s="131">
        <f>_xll.qlCalendarAdvance(Calendar,X2779,NDays&amp;"D")</f>
        <v>58630</v>
      </c>
      <c r="Z2779" s="132">
        <v>9.5583301062856351E-3</v>
      </c>
      <c r="AA2779" s="129">
        <v>9.5584578888718852E-3</v>
      </c>
    </row>
    <row r="2780" spans="19:27" x14ac:dyDescent="0.2">
      <c r="S2780" s="1"/>
      <c r="T2780" s="109"/>
      <c r="W2780" s="130" t="str">
        <f t="shared" si="53"/>
        <v>1w</v>
      </c>
      <c r="X2780" s="128">
        <f>_xll.qlCalendarAdvance(Calendar,X2779,W2780,"f",FALSE)</f>
        <v>58635</v>
      </c>
      <c r="Y2780" s="131">
        <f>_xll.qlCalendarAdvance(Calendar,X2780,NDays&amp;"D")</f>
        <v>58637</v>
      </c>
      <c r="Z2780" s="132">
        <v>9.5566174289995563E-3</v>
      </c>
      <c r="AA2780" s="129">
        <v>9.5565409879938557E-3</v>
      </c>
    </row>
    <row r="2781" spans="19:27" x14ac:dyDescent="0.2">
      <c r="S2781" s="1"/>
      <c r="T2781" s="109"/>
      <c r="W2781" s="130" t="str">
        <f t="shared" si="53"/>
        <v>1w</v>
      </c>
      <c r="X2781" s="128">
        <f>_xll.qlCalendarAdvance(Calendar,X2780,W2781,"f",FALSE)</f>
        <v>58642</v>
      </c>
      <c r="Y2781" s="131">
        <f>_xll.qlCalendarAdvance(Calendar,X2781,NDays&amp;"D")</f>
        <v>58644</v>
      </c>
      <c r="Z2781" s="132">
        <v>9.5549368839277574E-3</v>
      </c>
      <c r="AA2781" s="129">
        <v>9.5546561410753128E-3</v>
      </c>
    </row>
    <row r="2782" spans="19:27" x14ac:dyDescent="0.2">
      <c r="S2782" s="1"/>
      <c r="T2782" s="109"/>
      <c r="W2782" s="130" t="str">
        <f t="shared" si="53"/>
        <v>1w</v>
      </c>
      <c r="X2782" s="128">
        <f>_xll.qlCalendarAdvance(Calendar,X2781,W2782,"f",FALSE)</f>
        <v>58649</v>
      </c>
      <c r="Y2782" s="131">
        <f>_xll.qlCalendarAdvance(Calendar,X2782,NDays&amp;"D")</f>
        <v>58651</v>
      </c>
      <c r="Z2782" s="132">
        <v>9.5532884710276648E-3</v>
      </c>
      <c r="AA2782" s="129">
        <v>9.5528033481162566E-3</v>
      </c>
    </row>
    <row r="2783" spans="19:27" x14ac:dyDescent="0.2">
      <c r="S2783" s="1"/>
      <c r="T2783" s="109"/>
      <c r="W2783" s="130" t="str">
        <f t="shared" si="53"/>
        <v>1w</v>
      </c>
      <c r="X2783" s="128">
        <f>_xll.qlCalendarAdvance(Calendar,X2782,W2783,"f",FALSE)</f>
        <v>58656</v>
      </c>
      <c r="Y2783" s="131">
        <f>_xll.qlCalendarAdvance(Calendar,X2783,NDays&amp;"D")</f>
        <v>58658</v>
      </c>
      <c r="Z2783" s="132">
        <v>9.5516721902575725E-3</v>
      </c>
      <c r="AA2783" s="129">
        <v>9.5509826093564953E-3</v>
      </c>
    </row>
    <row r="2784" spans="19:27" x14ac:dyDescent="0.2">
      <c r="S2784" s="1"/>
      <c r="T2784" s="109"/>
      <c r="W2784" s="130" t="str">
        <f t="shared" si="53"/>
        <v>1w</v>
      </c>
      <c r="X2784" s="128">
        <f>_xll.qlCalendarAdvance(Calendar,X2783,W2784,"f",FALSE)</f>
        <v>58663</v>
      </c>
      <c r="Y2784" s="131">
        <f>_xll.qlCalendarAdvance(Calendar,X2784,NDays&amp;"D")</f>
        <v>58665</v>
      </c>
      <c r="Z2784" s="132">
        <v>9.5500880415783813E-3</v>
      </c>
      <c r="AA2784" s="129">
        <v>9.5491939244762847E-3</v>
      </c>
    </row>
    <row r="2785" spans="19:27" x14ac:dyDescent="0.2">
      <c r="S2785" s="1"/>
      <c r="T2785" s="109"/>
      <c r="W2785" s="130" t="str">
        <f t="shared" si="53"/>
        <v>1w</v>
      </c>
      <c r="X2785" s="128">
        <f>_xll.qlCalendarAdvance(Calendar,X2784,W2785,"f",FALSE)</f>
        <v>58670</v>
      </c>
      <c r="Y2785" s="131">
        <f>_xll.qlCalendarAdvance(Calendar,X2785,NDays&amp;"D")</f>
        <v>58672</v>
      </c>
      <c r="Z2785" s="132">
        <v>9.5485360249535998E-3</v>
      </c>
      <c r="AA2785" s="129">
        <v>9.547437293955241E-3</v>
      </c>
    </row>
    <row r="2786" spans="19:27" x14ac:dyDescent="0.2">
      <c r="S2786" s="1"/>
      <c r="T2786" s="109"/>
      <c r="W2786" s="130" t="str">
        <f t="shared" si="53"/>
        <v>1w</v>
      </c>
      <c r="X2786" s="128">
        <f>_xll.qlCalendarAdvance(Calendar,X2785,W2786,"f",FALSE)</f>
        <v>58677</v>
      </c>
      <c r="Y2786" s="131">
        <f>_xll.qlCalendarAdvance(Calendar,X2786,NDays&amp;"D")</f>
        <v>58679</v>
      </c>
      <c r="Z2786" s="132">
        <v>9.5470161403423889E-3</v>
      </c>
      <c r="AA2786" s="129">
        <v>9.5457127172338119E-3</v>
      </c>
    </row>
    <row r="2787" spans="19:27" x14ac:dyDescent="0.2">
      <c r="S2787" s="1"/>
      <c r="T2787" s="109"/>
      <c r="W2787" s="130" t="str">
        <f t="shared" si="53"/>
        <v>1w</v>
      </c>
      <c r="X2787" s="128">
        <f>_xll.qlCalendarAdvance(Calendar,X2786,W2787,"f",FALSE)</f>
        <v>58684</v>
      </c>
      <c r="Y2787" s="131">
        <f>_xll.qlCalendarAdvance(Calendar,X2787,NDays&amp;"D")</f>
        <v>58686</v>
      </c>
      <c r="Z2787" s="132">
        <v>9.5455021398119389E-3</v>
      </c>
      <c r="AA2787" s="129">
        <v>9.5440201946317416E-3</v>
      </c>
    </row>
    <row r="2788" spans="19:27" x14ac:dyDescent="0.2">
      <c r="S2788" s="1"/>
      <c r="T2788" s="109"/>
      <c r="W2788" s="130" t="str">
        <f t="shared" si="53"/>
        <v>1w</v>
      </c>
      <c r="X2788" s="128">
        <f>_xll.qlCalendarAdvance(Calendar,X2787,W2788,"f",FALSE)</f>
        <v>58691</v>
      </c>
      <c r="Y2788" s="131">
        <f>_xll.qlCalendarAdvance(Calendar,X2788,NDays&amp;"D")</f>
        <v>58693</v>
      </c>
      <c r="Z2788" s="132">
        <v>9.5440442625890388E-3</v>
      </c>
      <c r="AA2788" s="129">
        <v>9.5423597262289661E-3</v>
      </c>
    </row>
    <row r="2789" spans="19:27" x14ac:dyDescent="0.2">
      <c r="S2789" s="1"/>
      <c r="T2789" s="109"/>
      <c r="W2789" s="130" t="str">
        <f t="shared" si="53"/>
        <v>1w</v>
      </c>
      <c r="X2789" s="128">
        <f>_xll.qlCalendarAdvance(Calendar,X2788,W2789,"f",FALSE)</f>
        <v>58698</v>
      </c>
      <c r="Y2789" s="131">
        <f>_xll.qlCalendarAdvance(Calendar,X2789,NDays&amp;"D")</f>
        <v>58700</v>
      </c>
      <c r="Z2789" s="132">
        <v>9.5426185164164869E-3</v>
      </c>
      <c r="AA2789" s="129">
        <v>9.5407313115458692E-3</v>
      </c>
    </row>
    <row r="2790" spans="19:27" x14ac:dyDescent="0.2">
      <c r="S2790" s="1"/>
      <c r="T2790" s="109"/>
      <c r="W2790" s="130" t="str">
        <f t="shared" si="53"/>
        <v>1w</v>
      </c>
      <c r="X2790" s="128">
        <f>_xll.qlCalendarAdvance(Calendar,X2789,W2790,"f",FALSE)</f>
        <v>58705</v>
      </c>
      <c r="Y2790" s="131">
        <f>_xll.qlCalendarAdvance(Calendar,X2790,NDays&amp;"D")</f>
        <v>58707</v>
      </c>
      <c r="Z2790" s="132">
        <v>9.5412249012591464E-3</v>
      </c>
      <c r="AA2790" s="129">
        <v>9.5391349511420032E-3</v>
      </c>
    </row>
    <row r="2791" spans="19:27" x14ac:dyDescent="0.2">
      <c r="S2791" s="1"/>
      <c r="T2791" s="109"/>
      <c r="W2791" s="130" t="str">
        <f t="shared" si="53"/>
        <v>1w</v>
      </c>
      <c r="X2791" s="128">
        <f>_xll.qlCalendarAdvance(Calendar,X2790,W2791,"f",FALSE)</f>
        <v>58712</v>
      </c>
      <c r="Y2791" s="131">
        <f>_xll.qlCalendarAdvance(Calendar,X2791,NDays&amp;"D")</f>
        <v>58714</v>
      </c>
      <c r="Z2791" s="132">
        <v>9.5398986962178817E-3</v>
      </c>
      <c r="AA2791" s="129">
        <v>9.5375706447775599E-3</v>
      </c>
    </row>
    <row r="2792" spans="19:27" x14ac:dyDescent="0.2">
      <c r="S2792" s="1"/>
      <c r="T2792" s="109"/>
      <c r="W2792" s="130" t="str">
        <f t="shared" si="53"/>
        <v>1w</v>
      </c>
      <c r="X2792" s="128">
        <f>_xll.qlCalendarAdvance(Calendar,X2791,W2792,"f",FALSE)</f>
        <v>58719</v>
      </c>
      <c r="Y2792" s="131">
        <f>_xll.qlCalendarAdvance(Calendar,X2792,NDays&amp;"D")</f>
        <v>58721</v>
      </c>
      <c r="Z2792" s="132">
        <v>9.5385716029373971E-3</v>
      </c>
      <c r="AA2792" s="129">
        <v>9.5360383925324754E-3</v>
      </c>
    </row>
    <row r="2793" spans="19:27" x14ac:dyDescent="0.2">
      <c r="S2793" s="1"/>
      <c r="T2793" s="109"/>
      <c r="W2793" s="130" t="str">
        <f t="shared" si="53"/>
        <v>1w</v>
      </c>
      <c r="X2793" s="128">
        <f>_xll.qlCalendarAdvance(Calendar,X2792,W2793,"f",FALSE)</f>
        <v>58726</v>
      </c>
      <c r="Y2793" s="131">
        <f>_xll.qlCalendarAdvance(Calendar,X2793,NDays&amp;"D")</f>
        <v>58728</v>
      </c>
      <c r="Z2793" s="132">
        <v>9.5372766414228548E-3</v>
      </c>
      <c r="AA2793" s="129">
        <v>9.5345381941669416E-3</v>
      </c>
    </row>
    <row r="2794" spans="19:27" x14ac:dyDescent="0.2">
      <c r="S2794" s="1"/>
      <c r="T2794" s="109"/>
      <c r="W2794" s="130" t="str">
        <f t="shared" si="53"/>
        <v>1w</v>
      </c>
      <c r="X2794" s="128">
        <f>_xll.qlCalendarAdvance(Calendar,X2793,W2794,"f",FALSE)</f>
        <v>58733</v>
      </c>
      <c r="Y2794" s="131">
        <f>_xll.qlCalendarAdvance(Calendar,X2794,NDays&amp;"D")</f>
        <v>58735</v>
      </c>
      <c r="Z2794" s="132">
        <v>9.5360138116481908E-3</v>
      </c>
      <c r="AA2794" s="129">
        <v>9.5330700499207666E-3</v>
      </c>
    </row>
    <row r="2795" spans="19:27" x14ac:dyDescent="0.2">
      <c r="S2795" s="1"/>
      <c r="T2795" s="109"/>
      <c r="W2795" s="130" t="str">
        <f t="shared" si="53"/>
        <v>1w</v>
      </c>
      <c r="X2795" s="128">
        <f>_xll.qlCalendarAdvance(Calendar,X2794,W2795,"f",FALSE)</f>
        <v>58740</v>
      </c>
      <c r="Y2795" s="131">
        <f>_xll.qlCalendarAdvance(Calendar,X2795,NDays&amp;"D")</f>
        <v>58742</v>
      </c>
      <c r="Z2795" s="132">
        <v>9.5347831135786498E-3</v>
      </c>
      <c r="AA2795" s="129">
        <v>9.5316339598738864E-3</v>
      </c>
    </row>
    <row r="2796" spans="19:27" x14ac:dyDescent="0.2">
      <c r="S2796" s="1"/>
      <c r="T2796" s="109"/>
      <c r="W2796" s="130" t="str">
        <f t="shared" si="53"/>
        <v>1w</v>
      </c>
      <c r="X2796" s="128">
        <f>_xll.qlCalendarAdvance(Calendar,X2795,W2796,"f",FALSE)</f>
        <v>58747</v>
      </c>
      <c r="Y2796" s="131">
        <f>_xll.qlCalendarAdvance(Calendar,X2796,NDays&amp;"D")</f>
        <v>58749</v>
      </c>
      <c r="Z2796" s="132">
        <v>9.5335845471864276E-3</v>
      </c>
      <c r="AA2796" s="129">
        <v>9.5302299237065569E-3</v>
      </c>
    </row>
    <row r="2797" spans="19:27" x14ac:dyDescent="0.2">
      <c r="S2797" s="1"/>
      <c r="T2797" s="109"/>
      <c r="W2797" s="130" t="str">
        <f t="shared" si="53"/>
        <v>1w</v>
      </c>
      <c r="X2797" s="128">
        <f>_xll.qlCalendarAdvance(Calendar,X2796,W2797,"f",FALSE)</f>
        <v>58754</v>
      </c>
      <c r="Y2797" s="131">
        <f>_xll.qlCalendarAdvance(Calendar,X2797,NDays&amp;"D")</f>
        <v>58756</v>
      </c>
      <c r="Z2797" s="132">
        <v>9.5324181124402455E-3</v>
      </c>
      <c r="AA2797" s="129">
        <v>9.528857941498714E-3</v>
      </c>
    </row>
    <row r="2798" spans="19:27" x14ac:dyDescent="0.2">
      <c r="S2798" s="1"/>
      <c r="T2798" s="109"/>
      <c r="W2798" s="130" t="str">
        <f t="shared" si="53"/>
        <v>1w</v>
      </c>
      <c r="X2798" s="128">
        <f>_xll.qlCalendarAdvance(Calendar,X2797,W2798,"f",FALSE)</f>
        <v>58761</v>
      </c>
      <c r="Y2798" s="131">
        <f>_xll.qlCalendarAdvance(Calendar,X2798,NDays&amp;"D")</f>
        <v>58763</v>
      </c>
      <c r="Z2798" s="132">
        <v>9.5312838093131666E-3</v>
      </c>
      <c r="AA2798" s="129">
        <v>9.5275180135701021E-3</v>
      </c>
    </row>
    <row r="2799" spans="19:27" x14ac:dyDescent="0.2">
      <c r="S2799" s="1"/>
      <c r="T2799" s="109"/>
      <c r="W2799" s="130" t="str">
        <f t="shared" si="53"/>
        <v>1w</v>
      </c>
      <c r="X2799" s="128">
        <f>_xll.qlCalendarAdvance(Calendar,X2798,W2799,"f",FALSE)</f>
        <v>58768</v>
      </c>
      <c r="Y2799" s="131">
        <f>_xll.qlCalendarAdvance(Calendar,X2799,NDays&amp;"D")</f>
        <v>58770</v>
      </c>
      <c r="Z2799" s="132">
        <v>9.5301816377756522E-3</v>
      </c>
      <c r="AA2799" s="129">
        <v>9.5262101396809129E-3</v>
      </c>
    </row>
    <row r="2800" spans="19:27" x14ac:dyDescent="0.2">
      <c r="S2800" s="1"/>
      <c r="T2800" s="109"/>
      <c r="W2800" s="130" t="str">
        <f t="shared" si="53"/>
        <v>1w</v>
      </c>
      <c r="X2800" s="128">
        <f>_xll.qlCalendarAdvance(Calendar,X2799,W2800,"f",FALSE)</f>
        <v>58775</v>
      </c>
      <c r="Y2800" s="131">
        <f>_xll.qlCalendarAdvance(Calendar,X2800,NDays&amp;"D")</f>
        <v>58777</v>
      </c>
      <c r="Z2800" s="132">
        <v>9.5290005162738112E-3</v>
      </c>
      <c r="AA2800" s="129">
        <v>9.5249343196712744E-3</v>
      </c>
    </row>
    <row r="2801" spans="19:27" x14ac:dyDescent="0.2">
      <c r="S2801" s="1"/>
      <c r="T2801" s="109"/>
      <c r="W2801" s="130" t="str">
        <f t="shared" si="53"/>
        <v>1w</v>
      </c>
      <c r="X2801" s="128">
        <f>_xll.qlCalendarAdvance(Calendar,X2800,W2801,"f",FALSE)</f>
        <v>58782</v>
      </c>
      <c r="Y2801" s="131">
        <f>_xll.qlCalendarAdvance(Calendar,X2801,NDays&amp;"D")</f>
        <v>58784</v>
      </c>
      <c r="Z2801" s="132">
        <v>9.5279580727396507E-3</v>
      </c>
      <c r="AA2801" s="129">
        <v>9.5236905537809946E-3</v>
      </c>
    </row>
    <row r="2802" spans="19:27" x14ac:dyDescent="0.2">
      <c r="S2802" s="1"/>
      <c r="T2802" s="109"/>
      <c r="W2802" s="130" t="str">
        <f t="shared" si="53"/>
        <v>1w</v>
      </c>
      <c r="X2802" s="128">
        <f>_xll.qlCalendarAdvance(Calendar,X2801,W2802,"f",FALSE)</f>
        <v>58789</v>
      </c>
      <c r="Y2802" s="131">
        <f>_xll.qlCalendarAdvance(Calendar,X2802,NDays&amp;"D")</f>
        <v>58791</v>
      </c>
      <c r="Z2802" s="132">
        <v>9.5269477590163021E-3</v>
      </c>
      <c r="AA2802" s="129">
        <v>9.5224788419301376E-3</v>
      </c>
    </row>
    <row r="2803" spans="19:27" x14ac:dyDescent="0.2">
      <c r="S2803" s="1"/>
      <c r="T2803" s="109"/>
      <c r="W2803" s="130" t="str">
        <f t="shared" si="53"/>
        <v>1w</v>
      </c>
      <c r="X2803" s="128">
        <f>_xll.qlCalendarAdvance(Calendar,X2802,W2803,"f",FALSE)</f>
        <v>58796</v>
      </c>
      <c r="Y2803" s="131">
        <f>_xll.qlCalendarAdvance(Calendar,X2803,NDays&amp;"D")</f>
        <v>58798</v>
      </c>
      <c r="Z2803" s="132">
        <v>9.5259695750788964E-3</v>
      </c>
      <c r="AA2803" s="129">
        <v>9.5212991841986394E-3</v>
      </c>
    </row>
    <row r="2804" spans="19:27" x14ac:dyDescent="0.2">
      <c r="S2804" s="1"/>
      <c r="T2804" s="109"/>
      <c r="W2804" s="130" t="str">
        <f t="shared" si="53"/>
        <v>1w</v>
      </c>
      <c r="X2804" s="128">
        <f>_xll.qlCalendarAdvance(Calendar,X2803,W2804,"f",FALSE)</f>
        <v>58803</v>
      </c>
      <c r="Y2804" s="131">
        <f>_xll.qlCalendarAdvance(Calendar,X2804,NDays&amp;"D")</f>
        <v>58805</v>
      </c>
      <c r="Z2804" s="132">
        <v>9.5250235209034528E-3</v>
      </c>
      <c r="AA2804" s="129">
        <v>9.5201515804266279E-3</v>
      </c>
    </row>
    <row r="2805" spans="19:27" x14ac:dyDescent="0.2">
      <c r="S2805" s="1"/>
      <c r="T2805" s="109"/>
      <c r="W2805" s="130" t="str">
        <f t="shared" si="53"/>
        <v>1w</v>
      </c>
      <c r="X2805" s="128">
        <f>_xll.qlCalendarAdvance(Calendar,X2804,W2805,"f",FALSE)</f>
        <v>58810</v>
      </c>
      <c r="Y2805" s="131">
        <f>_xll.qlCalendarAdvance(Calendar,X2805,NDays&amp;"D")</f>
        <v>58812</v>
      </c>
      <c r="Z2805" s="132">
        <v>9.5241095964686551E-3</v>
      </c>
      <c r="AA2805" s="129">
        <v>9.5190360309338473E-3</v>
      </c>
    </row>
    <row r="2806" spans="19:27" x14ac:dyDescent="0.2">
      <c r="S2806" s="1"/>
      <c r="T2806" s="109"/>
      <c r="W2806" s="130" t="str">
        <f t="shared" si="53"/>
        <v>1w</v>
      </c>
      <c r="X2806" s="128">
        <f>_xll.qlCalendarAdvance(Calendar,X2805,W2806,"f",FALSE)</f>
        <v>58817</v>
      </c>
      <c r="Y2806" s="131">
        <f>_xll.qlCalendarAdvance(Calendar,X2806,NDays&amp;"D")</f>
        <v>58819</v>
      </c>
      <c r="Z2806" s="132">
        <v>9.5232278017522987E-3</v>
      </c>
      <c r="AA2806" s="129">
        <v>9.5179525351607452E-3</v>
      </c>
    </row>
    <row r="2807" spans="19:27" x14ac:dyDescent="0.2">
      <c r="S2807" s="1"/>
      <c r="T2807" s="109"/>
      <c r="W2807" s="130" t="str">
        <f t="shared" si="53"/>
        <v>1w</v>
      </c>
      <c r="X2807" s="128">
        <f>_xll.qlCalendarAdvance(Calendar,X2806,W2807,"f",FALSE)</f>
        <v>58824</v>
      </c>
      <c r="Y2807" s="131">
        <f>_xll.qlCalendarAdvance(Calendar,X2807,NDays&amp;"D")</f>
        <v>58826</v>
      </c>
      <c r="Z2807" s="132">
        <v>9.5223781367295146E-3</v>
      </c>
      <c r="AA2807" s="129">
        <v>9.5169010936668741E-3</v>
      </c>
    </row>
    <row r="2808" spans="19:27" x14ac:dyDescent="0.2">
      <c r="S2808" s="1"/>
      <c r="T2808" s="109"/>
      <c r="W2808" s="130" t="str">
        <f t="shared" si="53"/>
        <v>1w</v>
      </c>
      <c r="X2808" s="128">
        <f>_xll.qlCalendarAdvance(Calendar,X2807,W2808,"f",FALSE)</f>
        <v>58831</v>
      </c>
      <c r="Y2808" s="131">
        <f>_xll.qlCalendarAdvance(Calendar,X2808,NDays&amp;"D")</f>
        <v>58833</v>
      </c>
      <c r="Z2808" s="132">
        <v>9.5215606013869802E-3</v>
      </c>
      <c r="AA2808" s="129">
        <v>9.5158817060525536E-3</v>
      </c>
    </row>
    <row r="2809" spans="19:27" x14ac:dyDescent="0.2">
      <c r="S2809" s="1"/>
      <c r="T2809" s="109"/>
      <c r="W2809" s="130" t="str">
        <f t="shared" si="53"/>
        <v>1w</v>
      </c>
      <c r="X2809" s="128">
        <f>_xll.qlCalendarAdvance(Calendar,X2808,W2809,"f",FALSE)</f>
        <v>58838</v>
      </c>
      <c r="Y2809" s="131">
        <f>_xll.qlCalendarAdvance(Calendar,X2809,NDays&amp;"D")</f>
        <v>58840</v>
      </c>
      <c r="Z2809" s="132">
        <v>9.5206995436169558E-3</v>
      </c>
      <c r="AA2809" s="129">
        <v>9.5148943726375279E-3</v>
      </c>
    </row>
    <row r="2810" spans="19:27" x14ac:dyDescent="0.2">
      <c r="S2810" s="1"/>
      <c r="T2810" s="109"/>
      <c r="W2810" s="130" t="str">
        <f t="shared" si="53"/>
        <v>1w</v>
      </c>
      <c r="X2810" s="128">
        <f>_xll.qlCalendarAdvance(Calendar,X2809,W2810,"f",FALSE)</f>
        <v>58845</v>
      </c>
      <c r="Y2810" s="131">
        <f>_xll.qlCalendarAdvance(Calendar,X2810,NDays&amp;"D")</f>
        <v>58847</v>
      </c>
      <c r="Z2810" s="132">
        <v>9.5199439925507494E-3</v>
      </c>
      <c r="AA2810" s="129">
        <v>9.5139390931819889E-3</v>
      </c>
    </row>
    <row r="2811" spans="19:27" x14ac:dyDescent="0.2">
      <c r="S2811" s="1"/>
      <c r="T2811" s="109"/>
      <c r="W2811" s="130" t="str">
        <f t="shared" si="53"/>
        <v>1w</v>
      </c>
      <c r="X2811" s="128">
        <f>_xll.qlCalendarAdvance(Calendar,X2810,W2811,"f",FALSE)</f>
        <v>58852</v>
      </c>
      <c r="Y2811" s="131">
        <f>_xll.qlCalendarAdvance(Calendar,X2811,NDays&amp;"D")</f>
        <v>58854</v>
      </c>
      <c r="Z2811" s="132">
        <v>9.5192205702578931E-3</v>
      </c>
      <c r="AA2811" s="129">
        <v>9.5130158677658727E-3</v>
      </c>
    </row>
    <row r="2812" spans="19:27" x14ac:dyDescent="0.2">
      <c r="S2812" s="1"/>
      <c r="T2812" s="109"/>
      <c r="W2812" s="130" t="str">
        <f t="shared" si="53"/>
        <v>1w</v>
      </c>
      <c r="X2812" s="128">
        <f>_xll.qlCalendarAdvance(Calendar,X2811,W2812,"f",FALSE)</f>
        <v>58859</v>
      </c>
      <c r="Y2812" s="131">
        <f>_xll.qlCalendarAdvance(Calendar,X2812,NDays&amp;"D")</f>
        <v>58861</v>
      </c>
      <c r="Z2812" s="132">
        <v>9.5185292767168313E-3</v>
      </c>
      <c r="AA2812" s="129">
        <v>9.5121246964691153E-3</v>
      </c>
    </row>
    <row r="2813" spans="19:27" x14ac:dyDescent="0.2">
      <c r="S2813" s="1"/>
      <c r="T2813" s="109"/>
      <c r="W2813" s="130" t="str">
        <f t="shared" si="53"/>
        <v>1w</v>
      </c>
      <c r="X2813" s="128">
        <f>_xll.qlCalendarAdvance(Calendar,X2812,W2813,"f",FALSE)</f>
        <v>58866</v>
      </c>
      <c r="Y2813" s="131">
        <f>_xll.qlCalendarAdvance(Calendar,X2813,NDays&amp;"D")</f>
        <v>58868</v>
      </c>
      <c r="Z2813" s="132">
        <v>9.5181250395063362E-3</v>
      </c>
      <c r="AA2813" s="129">
        <v>9.5112655792117806E-3</v>
      </c>
    </row>
    <row r="2814" spans="19:27" x14ac:dyDescent="0.2">
      <c r="S2814" s="1"/>
      <c r="T2814" s="109"/>
      <c r="W2814" s="130" t="str">
        <f t="shared" si="53"/>
        <v>1w</v>
      </c>
      <c r="X2814" s="128">
        <f>_xll.qlCalendarAdvance(Calendar,X2813,W2814,"f",FALSE)</f>
        <v>58873</v>
      </c>
      <c r="Y2814" s="131">
        <f>_xll.qlCalendarAdvance(Calendar,X2814,NDays&amp;"D")</f>
        <v>58875</v>
      </c>
      <c r="Z2814" s="132">
        <v>9.5175048390153724E-3</v>
      </c>
      <c r="AA2814" s="129">
        <v>9.5104385159139326E-3</v>
      </c>
    </row>
    <row r="2815" spans="19:27" x14ac:dyDescent="0.2">
      <c r="S2815" s="1"/>
      <c r="T2815" s="109"/>
      <c r="W2815" s="130" t="str">
        <f t="shared" si="53"/>
        <v>1w</v>
      </c>
      <c r="X2815" s="128">
        <f>_xll.qlCalendarAdvance(Calendar,X2814,W2815,"f",FALSE)</f>
        <v>58880</v>
      </c>
      <c r="Y2815" s="131">
        <f>_xll.qlCalendarAdvance(Calendar,X2815,NDays&amp;"D")</f>
        <v>58882</v>
      </c>
      <c r="Z2815" s="132">
        <v>9.5169167697768502E-3</v>
      </c>
      <c r="AA2815" s="129">
        <v>9.5096435067354435E-3</v>
      </c>
    </row>
    <row r="2816" spans="19:27" x14ac:dyDescent="0.2">
      <c r="S2816" s="1"/>
      <c r="T2816" s="109"/>
      <c r="W2816" s="130" t="str">
        <f t="shared" si="53"/>
        <v>1w</v>
      </c>
      <c r="X2816" s="128">
        <f>_xll.qlCalendarAdvance(Calendar,X2815,W2816,"f",FALSE)</f>
        <v>58887</v>
      </c>
      <c r="Y2816" s="131">
        <f>_xll.qlCalendarAdvance(Calendar,X2816,NDays&amp;"D")</f>
        <v>58889</v>
      </c>
      <c r="Z2816" s="132">
        <v>9.5163608317751294E-3</v>
      </c>
      <c r="AA2816" s="129">
        <v>9.508880551596377E-3</v>
      </c>
    </row>
    <row r="2817" spans="19:27" x14ac:dyDescent="0.2">
      <c r="S2817" s="1"/>
      <c r="T2817" s="109"/>
      <c r="W2817" s="130" t="str">
        <f t="shared" si="53"/>
        <v>1w</v>
      </c>
      <c r="X2817" s="128">
        <f>_xll.qlCalendarAdvance(Calendar,X2816,W2817,"f",FALSE)</f>
        <v>58894</v>
      </c>
      <c r="Y2817" s="131">
        <f>_xll.qlCalendarAdvance(Calendar,X2817,NDays&amp;"D")</f>
        <v>58896</v>
      </c>
      <c r="Z2817" s="132">
        <v>9.5157427108003238E-3</v>
      </c>
      <c r="AA2817" s="129">
        <v>9.5081496504167973E-3</v>
      </c>
    </row>
    <row r="2818" spans="19:27" x14ac:dyDescent="0.2">
      <c r="S2818" s="1"/>
      <c r="T2818" s="109"/>
      <c r="W2818" s="130" t="str">
        <f t="shared" si="53"/>
        <v>1w</v>
      </c>
      <c r="X2818" s="128">
        <f>_xll.qlCalendarAdvance(Calendar,X2817,W2818,"f",FALSE)</f>
        <v>58901</v>
      </c>
      <c r="Y2818" s="131">
        <f>_xll.qlCalendarAdvance(Calendar,X2818,NDays&amp;"D")</f>
        <v>58903</v>
      </c>
      <c r="Z2818" s="132">
        <v>9.5152487531879274E-3</v>
      </c>
      <c r="AA2818" s="129">
        <v>9.5077598429504917E-3</v>
      </c>
    </row>
    <row r="2819" spans="19:27" x14ac:dyDescent="0.2">
      <c r="S2819" s="1"/>
      <c r="T2819" s="109"/>
      <c r="W2819" s="130" t="str">
        <f t="shared" si="53"/>
        <v>1w</v>
      </c>
      <c r="X2819" s="128">
        <f>_xll.qlCalendarAdvance(Calendar,X2818,W2819,"f",FALSE)</f>
        <v>58908</v>
      </c>
      <c r="Y2819" s="131">
        <f>_xll.qlCalendarAdvance(Calendar,X2819,NDays&amp;"D")</f>
        <v>58910</v>
      </c>
      <c r="Z2819" s="132">
        <v>9.5147869259257813E-3</v>
      </c>
      <c r="AA2819" s="129">
        <v>9.5067840102558421E-3</v>
      </c>
    </row>
    <row r="2820" spans="19:27" x14ac:dyDescent="0.2">
      <c r="S2820" s="1"/>
      <c r="T2820" s="109"/>
      <c r="W2820" s="130" t="str">
        <f t="shared" si="53"/>
        <v>1w</v>
      </c>
      <c r="X2820" s="128">
        <f>_xll.qlCalendarAdvance(Calendar,X2819,W2820,"f",FALSE)</f>
        <v>58915</v>
      </c>
      <c r="Y2820" s="131">
        <f>_xll.qlCalendarAdvance(Calendar,X2820,NDays&amp;"D")</f>
        <v>58917</v>
      </c>
      <c r="Z2820" s="132">
        <v>9.5143572290050972E-3</v>
      </c>
      <c r="AA2820" s="129">
        <v>9.5061492713544027E-3</v>
      </c>
    </row>
    <row r="2821" spans="19:27" x14ac:dyDescent="0.2">
      <c r="S2821" s="1"/>
      <c r="T2821" s="109"/>
      <c r="W2821" s="130" t="str">
        <f t="shared" si="53"/>
        <v>1w</v>
      </c>
      <c r="X2821" s="128">
        <f>_xll.qlCalendarAdvance(Calendar,X2820,W2821,"f",FALSE)</f>
        <v>58922</v>
      </c>
      <c r="Y2821" s="131">
        <f>_xll.qlCalendarAdvance(Calendar,X2821,NDays&amp;"D")</f>
        <v>58924</v>
      </c>
      <c r="Z2821" s="132">
        <v>9.5139596624135812E-3</v>
      </c>
      <c r="AA2821" s="129">
        <v>9.505546586492386E-3</v>
      </c>
    </row>
    <row r="2822" spans="19:27" x14ac:dyDescent="0.2">
      <c r="S2822" s="1"/>
      <c r="T2822" s="109"/>
      <c r="W2822" s="130" t="str">
        <f t="shared" si="53"/>
        <v>1w</v>
      </c>
      <c r="X2822" s="128">
        <f>_xll.qlCalendarAdvance(Calendar,X2821,W2822,"f",FALSE)</f>
        <v>58929</v>
      </c>
      <c r="Y2822" s="131">
        <f>_xll.qlCalendarAdvance(Calendar,X2822,NDays&amp;"D")</f>
        <v>58931</v>
      </c>
      <c r="Z2822" s="132">
        <v>9.5136999590381983E-3</v>
      </c>
      <c r="AA2822" s="129">
        <v>9.50497595550992E-3</v>
      </c>
    </row>
    <row r="2823" spans="19:27" x14ac:dyDescent="0.2">
      <c r="S2823" s="1"/>
      <c r="T2823" s="109"/>
      <c r="W2823" s="130" t="str">
        <f t="shared" si="53"/>
        <v>1w</v>
      </c>
      <c r="X2823" s="128">
        <f>_xll.qlCalendarAdvance(Calendar,X2822,W2823,"f",FALSE)</f>
        <v>58936</v>
      </c>
      <c r="Y2823" s="131">
        <f>_xll.qlCalendarAdvance(Calendar,X2823,NDays&amp;"D")</f>
        <v>58938</v>
      </c>
      <c r="Z2823" s="132">
        <v>9.513368939359574E-3</v>
      </c>
      <c r="AA2823" s="129">
        <v>9.5044373786468128E-3</v>
      </c>
    </row>
    <row r="2824" spans="19:27" x14ac:dyDescent="0.2">
      <c r="S2824" s="1"/>
      <c r="T2824" s="109"/>
      <c r="W2824" s="130" t="str">
        <f t="shared" si="53"/>
        <v>1w</v>
      </c>
      <c r="X2824" s="128">
        <f>_xll.qlCalendarAdvance(Calendar,X2823,W2824,"f",FALSE)</f>
        <v>58943</v>
      </c>
      <c r="Y2824" s="131">
        <f>_xll.qlCalendarAdvance(Calendar,X2824,NDays&amp;"D")</f>
        <v>58945</v>
      </c>
      <c r="Z2824" s="132">
        <v>9.513070050830864E-3</v>
      </c>
      <c r="AA2824" s="129">
        <v>9.5039308559030644E-3</v>
      </c>
    </row>
    <row r="2825" spans="19:27" x14ac:dyDescent="0.2">
      <c r="S2825" s="1"/>
      <c r="T2825" s="109"/>
      <c r="W2825" s="130" t="str">
        <f t="shared" si="53"/>
        <v>1w</v>
      </c>
      <c r="X2825" s="128">
        <f>_xll.qlCalendarAdvance(Calendar,X2824,W2825,"f",FALSE)</f>
        <v>58950</v>
      </c>
      <c r="Y2825" s="131">
        <f>_xll.qlCalendarAdvance(Calendar,X2825,NDays&amp;"D")</f>
        <v>58952</v>
      </c>
      <c r="Z2825" s="132">
        <v>9.5128032934451191E-3</v>
      </c>
      <c r="AA2825" s="129">
        <v>9.5034563871987388E-3</v>
      </c>
    </row>
    <row r="2826" spans="19:27" x14ac:dyDescent="0.2">
      <c r="S2826" s="1"/>
      <c r="T2826" s="109"/>
      <c r="W2826" s="130" t="str">
        <f t="shared" si="53"/>
        <v>1w</v>
      </c>
      <c r="X2826" s="128">
        <f>_xll.qlCalendarAdvance(Calendar,X2825,W2826,"f",FALSE)</f>
        <v>58957</v>
      </c>
      <c r="Y2826" s="131">
        <f>_xll.qlCalendarAdvance(Calendar,X2826,NDays&amp;"D")</f>
        <v>58959</v>
      </c>
      <c r="Z2826" s="132">
        <v>9.5125686671945174E-3</v>
      </c>
      <c r="AA2826" s="129">
        <v>9.5030139723739637E-3</v>
      </c>
    </row>
    <row r="2827" spans="19:27" x14ac:dyDescent="0.2">
      <c r="S2827" s="1"/>
      <c r="T2827" s="109"/>
      <c r="W2827" s="130" t="str">
        <f t="shared" si="53"/>
        <v>1w</v>
      </c>
      <c r="X2827" s="128">
        <f>_xll.qlCalendarAdvance(Calendar,X2826,W2827,"f",FALSE)</f>
        <v>58964</v>
      </c>
      <c r="Y2827" s="131">
        <f>_xll.qlCalendarAdvance(Calendar,X2827,NDays&amp;"D")</f>
        <v>58966</v>
      </c>
      <c r="Z2827" s="132">
        <v>9.5123661720755825E-3</v>
      </c>
      <c r="AA2827" s="129">
        <v>9.5026036118284196E-3</v>
      </c>
    </row>
    <row r="2828" spans="19:27" x14ac:dyDescent="0.2">
      <c r="S2828" s="1"/>
      <c r="T2828" s="109"/>
      <c r="W2828" s="130" t="str">
        <f t="shared" si="53"/>
        <v>1w</v>
      </c>
      <c r="X2828" s="128">
        <f>_xll.qlCalendarAdvance(Calendar,X2827,W2828,"f",FALSE)</f>
        <v>58971</v>
      </c>
      <c r="Y2828" s="131">
        <f>_xll.qlCalendarAdvance(Calendar,X2828,NDays&amp;"D")</f>
        <v>58973</v>
      </c>
      <c r="Z2828" s="132">
        <v>9.5121958080813668E-3</v>
      </c>
      <c r="AA2828" s="129">
        <v>9.5022253050824901E-3</v>
      </c>
    </row>
    <row r="2829" spans="19:27" x14ac:dyDescent="0.2">
      <c r="S2829" s="1"/>
      <c r="T2829" s="109"/>
      <c r="W2829" s="130" t="str">
        <f t="shared" si="53"/>
        <v>1w</v>
      </c>
      <c r="X2829" s="128">
        <f>_xll.qlCalendarAdvance(Calendar,X2828,W2829,"f",FALSE)</f>
        <v>58978</v>
      </c>
      <c r="Y2829" s="131">
        <f>_xll.qlCalendarAdvance(Calendar,X2829,NDays&amp;"D")</f>
        <v>58980</v>
      </c>
      <c r="Z2829" s="132">
        <v>9.5120575752083922E-3</v>
      </c>
      <c r="AA2829" s="129">
        <v>9.5018790526157915E-3</v>
      </c>
    </row>
    <row r="2830" spans="19:27" x14ac:dyDescent="0.2">
      <c r="S2830" s="1"/>
      <c r="T2830" s="109"/>
      <c r="W2830" s="130" t="str">
        <f t="shared" si="53"/>
        <v>1w</v>
      </c>
      <c r="X2830" s="128">
        <f>_xll.qlCalendarAdvance(Calendar,X2829,W2830,"f",FALSE)</f>
        <v>58985</v>
      </c>
      <c r="Y2830" s="131">
        <f>_xll.qlCalendarAdvance(Calendar,X2830,NDays&amp;"D")</f>
        <v>58987</v>
      </c>
      <c r="Z2830" s="132">
        <v>9.511951473453184E-3</v>
      </c>
      <c r="AA2830" s="129">
        <v>9.5015648540286435E-3</v>
      </c>
    </row>
    <row r="2831" spans="19:27" x14ac:dyDescent="0.2">
      <c r="S2831" s="1"/>
      <c r="T2831" s="109"/>
      <c r="W2831" s="130" t="str">
        <f t="shared" si="53"/>
        <v>1w</v>
      </c>
      <c r="X2831" s="128">
        <f>_xll.qlCalendarAdvance(Calendar,X2830,W2831,"f",FALSE)</f>
        <v>58992</v>
      </c>
      <c r="Y2831" s="131">
        <f>_xll.qlCalendarAdvance(Calendar,X2831,NDays&amp;"D")</f>
        <v>58994</v>
      </c>
      <c r="Z2831" s="132">
        <v>9.5118775028131368E-3</v>
      </c>
      <c r="AA2831" s="129">
        <v>9.5012827095608543E-3</v>
      </c>
    </row>
    <row r="2832" spans="19:27" x14ac:dyDescent="0.2">
      <c r="S2832" s="1"/>
      <c r="T2832" s="109"/>
      <c r="W2832" s="130" t="str">
        <f t="shared" si="53"/>
        <v>1w</v>
      </c>
      <c r="X2832" s="128">
        <f>_xll.qlCalendarAdvance(Calendar,X2831,W2832,"f",FALSE)</f>
        <v>58999</v>
      </c>
      <c r="Y2832" s="131">
        <f>_xll.qlCalendarAdvance(Calendar,X2832,NDays&amp;"D")</f>
        <v>59001</v>
      </c>
      <c r="Z2832" s="132">
        <v>9.5118356632873796E-3</v>
      </c>
      <c r="AA2832" s="129">
        <v>9.5010326191324879E-3</v>
      </c>
    </row>
    <row r="2833" spans="19:27" x14ac:dyDescent="0.2">
      <c r="S2833" s="1"/>
      <c r="T2833" s="109"/>
      <c r="W2833" s="130" t="str">
        <f t="shared" si="53"/>
        <v>1w</v>
      </c>
      <c r="X2833" s="128">
        <f>_xll.qlCalendarAdvance(Calendar,X2832,W2833,"f",FALSE)</f>
        <v>59006</v>
      </c>
      <c r="Y2833" s="131">
        <f>_xll.qlCalendarAdvance(Calendar,X2833,NDays&amp;"D")</f>
        <v>59008</v>
      </c>
      <c r="Z2833" s="132">
        <v>9.511825954873307E-3</v>
      </c>
      <c r="AA2833" s="129">
        <v>9.5008145827435442E-3</v>
      </c>
    </row>
    <row r="2834" spans="19:27" x14ac:dyDescent="0.2">
      <c r="S2834" s="1"/>
      <c r="T2834" s="109"/>
      <c r="W2834" s="130" t="str">
        <f t="shared" si="53"/>
        <v>1w</v>
      </c>
      <c r="X2834" s="128">
        <f>_xll.qlCalendarAdvance(Calendar,X2833,W2834,"f",FALSE)</f>
        <v>59013</v>
      </c>
      <c r="Y2834" s="131">
        <f>_xll.qlCalendarAdvance(Calendar,X2834,NDays&amp;"D")</f>
        <v>59015</v>
      </c>
      <c r="Z2834" s="132">
        <v>9.5118483775700497E-3</v>
      </c>
      <c r="AA2834" s="129">
        <v>9.5006286003140872E-3</v>
      </c>
    </row>
    <row r="2835" spans="19:27" x14ac:dyDescent="0.2">
      <c r="S2835" s="1"/>
      <c r="T2835" s="109"/>
      <c r="W2835" s="130" t="str">
        <f t="shared" si="53"/>
        <v>1w</v>
      </c>
      <c r="X2835" s="128">
        <f>_xll.qlCalendarAdvance(Calendar,X2834,W2835,"f",FALSE)</f>
        <v>59020</v>
      </c>
      <c r="Y2835" s="131">
        <f>_xll.qlCalendarAdvance(Calendar,X2835,NDays&amp;"D")</f>
        <v>59022</v>
      </c>
      <c r="Z2835" s="132">
        <v>9.5119029313819534E-3</v>
      </c>
      <c r="AA2835" s="129">
        <v>9.500474672003989E-3</v>
      </c>
    </row>
    <row r="2836" spans="19:27" x14ac:dyDescent="0.2">
      <c r="S2836" s="1"/>
      <c r="T2836" s="109"/>
      <c r="W2836" s="130" t="str">
        <f t="shared" si="53"/>
        <v>1w</v>
      </c>
      <c r="X2836" s="128">
        <f>_xll.qlCalendarAdvance(Calendar,X2835,W2836,"f",FALSE)</f>
        <v>59027</v>
      </c>
      <c r="Y2836" s="131">
        <f>_xll.qlCalendarAdvance(Calendar,X2836,NDays&amp;"D")</f>
        <v>59029</v>
      </c>
      <c r="Z2836" s="132">
        <v>9.511989616307278E-3</v>
      </c>
      <c r="AA2836" s="129">
        <v>9.5003527977333135E-3</v>
      </c>
    </row>
    <row r="2837" spans="19:27" x14ac:dyDescent="0.2">
      <c r="S2837" s="1"/>
      <c r="T2837" s="109"/>
      <c r="W2837" s="130" t="str">
        <f t="shared" ref="W2837:W2900" si="54">W2836</f>
        <v>1w</v>
      </c>
      <c r="X2837" s="128">
        <f>_xll.qlCalendarAdvance(Calendar,X2836,W2837,"f",FALSE)</f>
        <v>59034</v>
      </c>
      <c r="Y2837" s="131">
        <f>_xll.qlCalendarAdvance(Calendar,X2837,NDays&amp;"D")</f>
        <v>59036</v>
      </c>
      <c r="Z2837" s="132">
        <v>9.5121084323477618E-3</v>
      </c>
      <c r="AA2837" s="129">
        <v>9.5002629775020608E-3</v>
      </c>
    </row>
    <row r="2838" spans="19:27" x14ac:dyDescent="0.2">
      <c r="S2838" s="1"/>
      <c r="T2838" s="109"/>
      <c r="W2838" s="130" t="str">
        <f t="shared" si="54"/>
        <v>1w</v>
      </c>
      <c r="X2838" s="128">
        <f>_xll.qlCalendarAdvance(Calendar,X2837,W2838,"f",FALSE)</f>
        <v>59041</v>
      </c>
      <c r="Y2838" s="131">
        <f>_xll.qlCalendarAdvance(Calendar,X2838,NDays&amp;"D")</f>
        <v>59043</v>
      </c>
      <c r="Z2838" s="132">
        <v>9.5122593795077502E-3</v>
      </c>
      <c r="AA2838" s="129">
        <v>9.5002052112302948E-3</v>
      </c>
    </row>
    <row r="2839" spans="19:27" x14ac:dyDescent="0.2">
      <c r="S2839" s="1"/>
      <c r="T2839" s="109"/>
      <c r="W2839" s="130" t="str">
        <f t="shared" si="54"/>
        <v>1w</v>
      </c>
      <c r="X2839" s="128">
        <f>_xll.qlCalendarAdvance(Calendar,X2838,W2839,"f",FALSE)</f>
        <v>59048</v>
      </c>
      <c r="Y2839" s="131">
        <f>_xll.qlCalendarAdvance(Calendar,X2839,NDays&amp;"D")</f>
        <v>59050</v>
      </c>
      <c r="Z2839" s="132">
        <v>9.512297742747082E-3</v>
      </c>
      <c r="AA2839" s="129">
        <v>9.5001794991578237E-3</v>
      </c>
    </row>
    <row r="2840" spans="19:27" x14ac:dyDescent="0.2">
      <c r="S2840" s="1"/>
      <c r="T2840" s="109"/>
      <c r="W2840" s="130" t="str">
        <f t="shared" si="54"/>
        <v>1w</v>
      </c>
      <c r="X2840" s="128">
        <f>_xll.qlCalendarAdvance(Calendar,X2839,W2840,"f",FALSE)</f>
        <v>59055</v>
      </c>
      <c r="Y2840" s="131">
        <f>_xll.qlCalendarAdvance(Calendar,X2840,NDays&amp;"D")</f>
        <v>59057</v>
      </c>
      <c r="Z2840" s="132">
        <v>9.5125106514575234E-3</v>
      </c>
      <c r="AA2840" s="129">
        <v>9.5001858410448392E-3</v>
      </c>
    </row>
    <row r="2841" spans="19:27" x14ac:dyDescent="0.2">
      <c r="S2841" s="1"/>
      <c r="T2841" s="109"/>
      <c r="W2841" s="130" t="str">
        <f t="shared" si="54"/>
        <v>1w</v>
      </c>
      <c r="X2841" s="128">
        <f>_xll.qlCalendarAdvance(Calendar,X2840,W2841,"f",FALSE)</f>
        <v>59062</v>
      </c>
      <c r="Y2841" s="131">
        <f>_xll.qlCalendarAdvance(Calendar,X2841,NDays&amp;"D")</f>
        <v>59064</v>
      </c>
      <c r="Z2841" s="132">
        <v>9.5127556904514542E-3</v>
      </c>
      <c r="AA2841" s="129">
        <v>9.5002242369712775E-3</v>
      </c>
    </row>
    <row r="2842" spans="19:27" x14ac:dyDescent="0.2">
      <c r="S2842" s="1"/>
      <c r="T2842" s="109"/>
      <c r="W2842" s="130" t="str">
        <f t="shared" si="54"/>
        <v>1w</v>
      </c>
      <c r="X2842" s="128">
        <f>_xll.qlCalendarAdvance(Calendar,X2841,W2842,"f",FALSE)</f>
        <v>59069</v>
      </c>
      <c r="Y2842" s="131">
        <f>_xll.qlCalendarAdvance(Calendar,X2842,NDays&amp;"D")</f>
        <v>59071</v>
      </c>
      <c r="Z2842" s="132">
        <v>9.5130328597350239E-3</v>
      </c>
      <c r="AA2842" s="129">
        <v>9.5002946868572025E-3</v>
      </c>
    </row>
    <row r="2843" spans="19:27" x14ac:dyDescent="0.2">
      <c r="S2843" s="1"/>
      <c r="T2843" s="109"/>
      <c r="W2843" s="130" t="str">
        <f t="shared" si="54"/>
        <v>1w</v>
      </c>
      <c r="X2843" s="128">
        <f>_xll.qlCalendarAdvance(Calendar,X2842,W2843,"f",FALSE)</f>
        <v>59076</v>
      </c>
      <c r="Y2843" s="131">
        <f>_xll.qlCalendarAdvance(Calendar,X2843,NDays&amp;"D")</f>
        <v>59078</v>
      </c>
      <c r="Z2843" s="132">
        <v>9.5133421593170137E-3</v>
      </c>
      <c r="AA2843" s="129">
        <v>9.5003971909424223E-3</v>
      </c>
    </row>
    <row r="2844" spans="19:27" x14ac:dyDescent="0.2">
      <c r="S2844" s="1"/>
      <c r="T2844" s="109"/>
      <c r="W2844" s="130" t="str">
        <f t="shared" si="54"/>
        <v>1w</v>
      </c>
      <c r="X2844" s="128">
        <f>_xll.qlCalendarAdvance(Calendar,X2843,W2844,"f",FALSE)</f>
        <v>59083</v>
      </c>
      <c r="Y2844" s="131">
        <f>_xll.qlCalendarAdvance(Calendar,X2844,NDays&amp;"D")</f>
        <v>59085</v>
      </c>
      <c r="Z2844" s="132">
        <v>9.513839816233589E-3</v>
      </c>
      <c r="AA2844" s="129">
        <v>9.5005317489871288E-3</v>
      </c>
    </row>
    <row r="2845" spans="19:27" x14ac:dyDescent="0.2">
      <c r="S2845" s="1"/>
      <c r="T2845" s="109"/>
      <c r="W2845" s="130" t="str">
        <f t="shared" si="54"/>
        <v>1w</v>
      </c>
      <c r="X2845" s="128">
        <f>_xll.qlCalendarAdvance(Calendar,X2844,W2845,"f",FALSE)</f>
        <v>59090</v>
      </c>
      <c r="Y2845" s="131">
        <f>_xll.qlCalendarAdvance(Calendar,X2845,NDays&amp;"D")</f>
        <v>59092</v>
      </c>
      <c r="Z2845" s="132">
        <v>9.5142156813752075E-3</v>
      </c>
      <c r="AA2845" s="129">
        <v>9.5006983610712581E-3</v>
      </c>
    </row>
    <row r="2846" spans="19:27" x14ac:dyDescent="0.2">
      <c r="S2846" s="1"/>
      <c r="T2846" s="109"/>
      <c r="W2846" s="130" t="str">
        <f t="shared" si="54"/>
        <v>1w</v>
      </c>
      <c r="X2846" s="128">
        <f>_xll.qlCalendarAdvance(Calendar,X2845,W2846,"f",FALSE)</f>
        <v>59097</v>
      </c>
      <c r="Y2846" s="131">
        <f>_xll.qlCalendarAdvance(Calendar,X2846,NDays&amp;"D")</f>
        <v>59099</v>
      </c>
      <c r="Z2846" s="132">
        <v>9.5146236776884642E-3</v>
      </c>
      <c r="AA2846" s="129">
        <v>9.5008970272747462E-3</v>
      </c>
    </row>
    <row r="2847" spans="19:27" x14ac:dyDescent="0.2">
      <c r="S2847" s="1"/>
      <c r="T2847" s="109"/>
      <c r="W2847" s="130" t="str">
        <f t="shared" si="54"/>
        <v>1w</v>
      </c>
      <c r="X2847" s="128">
        <f>_xll.qlCalendarAdvance(Calendar,X2846,W2847,"f",FALSE)</f>
        <v>59104</v>
      </c>
      <c r="Y2847" s="131">
        <f>_xll.qlCalendarAdvance(Calendar,X2847,NDays&amp;"D")</f>
        <v>59106</v>
      </c>
      <c r="Z2847" s="132">
        <v>9.5150638051837832E-3</v>
      </c>
      <c r="AA2847" s="129">
        <v>9.5011277474377209E-3</v>
      </c>
    </row>
    <row r="2848" spans="19:27" x14ac:dyDescent="0.2">
      <c r="S2848" s="1"/>
      <c r="T2848" s="109"/>
      <c r="W2848" s="130" t="str">
        <f t="shared" si="54"/>
        <v>1w</v>
      </c>
      <c r="X2848" s="128">
        <f>_xll.qlCalendarAdvance(Calendar,X2847,W2848,"f",FALSE)</f>
        <v>59111</v>
      </c>
      <c r="Y2848" s="131">
        <f>_xll.qlCalendarAdvance(Calendar,X2848,NDays&amp;"D")</f>
        <v>59113</v>
      </c>
      <c r="Z2848" s="132">
        <v>9.5155360638681154E-3</v>
      </c>
      <c r="AA2848" s="129">
        <v>9.5013905217200545E-3</v>
      </c>
    </row>
    <row r="2849" spans="19:27" x14ac:dyDescent="0.2">
      <c r="S2849" s="1"/>
      <c r="T2849" s="109"/>
      <c r="W2849" s="130" t="str">
        <f t="shared" si="54"/>
        <v>1w</v>
      </c>
      <c r="X2849" s="128">
        <f>_xll.qlCalendarAdvance(Calendar,X2848,W2849,"f",FALSE)</f>
        <v>59118</v>
      </c>
      <c r="Y2849" s="131">
        <f>_xll.qlCalendarAdvance(Calendar,X2849,NDays&amp;"D")</f>
        <v>59120</v>
      </c>
      <c r="Z2849" s="132">
        <v>9.5160404537571013E-3</v>
      </c>
      <c r="AA2849" s="129">
        <v>9.5016853500418108E-3</v>
      </c>
    </row>
    <row r="2850" spans="19:27" x14ac:dyDescent="0.2">
      <c r="S2850" s="1"/>
      <c r="T2850" s="109"/>
      <c r="W2850" s="130" t="str">
        <f t="shared" si="54"/>
        <v>1w</v>
      </c>
      <c r="X2850" s="128">
        <f>_xll.qlCalendarAdvance(Calendar,X2849,W2850,"f",FALSE)</f>
        <v>59125</v>
      </c>
      <c r="Y2850" s="131">
        <f>_xll.qlCalendarAdvance(Calendar,X2850,NDays&amp;"D")</f>
        <v>59127</v>
      </c>
      <c r="Z2850" s="132">
        <v>9.516576974861168E-3</v>
      </c>
      <c r="AA2850" s="129">
        <v>9.5020122323230538E-3</v>
      </c>
    </row>
    <row r="2851" spans="19:27" x14ac:dyDescent="0.2">
      <c r="S2851" s="1"/>
      <c r="T2851" s="109"/>
      <c r="W2851" s="130" t="str">
        <f t="shared" si="54"/>
        <v>1w</v>
      </c>
      <c r="X2851" s="128">
        <f>_xll.qlCalendarAdvance(Calendar,X2850,W2851,"f",FALSE)</f>
        <v>59132</v>
      </c>
      <c r="Y2851" s="131">
        <f>_xll.qlCalendarAdvance(Calendar,X2851,NDays&amp;"D")</f>
        <v>59134</v>
      </c>
      <c r="Z2851" s="132">
        <v>9.5171456271950835E-3</v>
      </c>
      <c r="AA2851" s="129">
        <v>9.5023711687236556E-3</v>
      </c>
    </row>
    <row r="2852" spans="19:27" x14ac:dyDescent="0.2">
      <c r="S2852" s="1"/>
      <c r="T2852" s="109"/>
      <c r="W2852" s="130" t="str">
        <f t="shared" si="54"/>
        <v>1w</v>
      </c>
      <c r="X2852" s="128">
        <f>_xll.qlCalendarAdvance(Calendar,X2851,W2852,"f",FALSE)</f>
        <v>59139</v>
      </c>
      <c r="Y2852" s="131">
        <f>_xll.qlCalendarAdvance(Calendar,X2852,NDays&amp;"D")</f>
        <v>59141</v>
      </c>
      <c r="Z2852" s="132">
        <v>9.5173972533890705E-3</v>
      </c>
      <c r="AA2852" s="129">
        <v>9.5027621590837441E-3</v>
      </c>
    </row>
    <row r="2853" spans="19:27" x14ac:dyDescent="0.2">
      <c r="S2853" s="1"/>
      <c r="T2853" s="109"/>
      <c r="W2853" s="130" t="str">
        <f t="shared" si="54"/>
        <v>1w</v>
      </c>
      <c r="X2853" s="128">
        <f>_xll.qlCalendarAdvance(Calendar,X2852,W2853,"f",FALSE)</f>
        <v>59146</v>
      </c>
      <c r="Y2853" s="131">
        <f>_xll.qlCalendarAdvance(Calendar,X2853,NDays&amp;"D")</f>
        <v>59148</v>
      </c>
      <c r="Z2853" s="132">
        <v>9.5180255448577E-3</v>
      </c>
      <c r="AA2853" s="129">
        <v>9.5031852034832553E-3</v>
      </c>
    </row>
    <row r="2854" spans="19:27" x14ac:dyDescent="0.2">
      <c r="S2854" s="1"/>
      <c r="T2854" s="109"/>
      <c r="W2854" s="130" t="str">
        <f t="shared" si="54"/>
        <v>1w</v>
      </c>
      <c r="X2854" s="128">
        <f>_xll.qlCalendarAdvance(Calendar,X2853,W2854,"f",FALSE)</f>
        <v>59153</v>
      </c>
      <c r="Y2854" s="131">
        <f>_xll.qlCalendarAdvance(Calendar,X2854,NDays&amp;"D")</f>
        <v>59155</v>
      </c>
      <c r="Z2854" s="132">
        <v>9.5186859658982215E-3</v>
      </c>
      <c r="AA2854" s="129">
        <v>9.5036403020820615E-3</v>
      </c>
    </row>
    <row r="2855" spans="19:27" x14ac:dyDescent="0.2">
      <c r="S2855" s="1"/>
      <c r="T2855" s="109"/>
      <c r="W2855" s="130" t="str">
        <f t="shared" si="54"/>
        <v>1w</v>
      </c>
      <c r="X2855" s="128">
        <f>_xll.qlCalendarAdvance(Calendar,X2854,W2855,"f",FALSE)</f>
        <v>59160</v>
      </c>
      <c r="Y2855" s="131">
        <f>_xll.qlCalendarAdvance(Calendar,X2855,NDays&amp;"D")</f>
        <v>59162</v>
      </c>
      <c r="Z2855" s="132">
        <v>9.519378516526622E-3</v>
      </c>
      <c r="AA2855" s="129">
        <v>9.5041274546403542E-3</v>
      </c>
    </row>
    <row r="2856" spans="19:27" x14ac:dyDescent="0.2">
      <c r="S2856" s="1"/>
      <c r="T2856" s="109"/>
      <c r="W2856" s="130" t="str">
        <f t="shared" si="54"/>
        <v>1w</v>
      </c>
      <c r="X2856" s="128">
        <f>_xll.qlCalendarAdvance(Calendar,X2855,W2856,"f",FALSE)</f>
        <v>59167</v>
      </c>
      <c r="Y2856" s="131">
        <f>_xll.qlCalendarAdvance(Calendar,X2856,NDays&amp;"D")</f>
        <v>59169</v>
      </c>
      <c r="Z2856" s="132">
        <v>9.5201031967588889E-3</v>
      </c>
      <c r="AA2856" s="129">
        <v>9.5046466611581337E-3</v>
      </c>
    </row>
    <row r="2857" spans="19:27" x14ac:dyDescent="0.2">
      <c r="S2857" s="1"/>
      <c r="T2857" s="109"/>
      <c r="W2857" s="130" t="str">
        <f t="shared" si="54"/>
        <v>1w</v>
      </c>
      <c r="X2857" s="128">
        <f>_xll.qlCalendarAdvance(Calendar,X2856,W2857,"f",FALSE)</f>
        <v>59174</v>
      </c>
      <c r="Y2857" s="131">
        <f>_xll.qlCalendarAdvance(Calendar,X2857,NDays&amp;"D")</f>
        <v>59176</v>
      </c>
      <c r="Z2857" s="132">
        <v>9.5208600066110094E-3</v>
      </c>
      <c r="AA2857" s="129">
        <v>9.505197921795272E-3</v>
      </c>
    </row>
    <row r="2858" spans="19:27" x14ac:dyDescent="0.2">
      <c r="S2858" s="1"/>
      <c r="T2858" s="109"/>
      <c r="W2858" s="130" t="str">
        <f t="shared" si="54"/>
        <v>1w</v>
      </c>
      <c r="X2858" s="128">
        <f>_xll.qlCalendarAdvance(Calendar,X2857,W2858,"f",FALSE)</f>
        <v>59181</v>
      </c>
      <c r="Y2858" s="131">
        <f>_xll.qlCalendarAdvance(Calendar,X2858,NDays&amp;"D")</f>
        <v>59183</v>
      </c>
      <c r="Z2858" s="132">
        <v>9.5216489461051879E-3</v>
      </c>
      <c r="AA2858" s="129">
        <v>9.5057812365517691E-3</v>
      </c>
    </row>
    <row r="2859" spans="19:27" x14ac:dyDescent="0.2">
      <c r="S2859" s="1"/>
      <c r="T2859" s="109"/>
      <c r="W2859" s="130" t="str">
        <f t="shared" si="54"/>
        <v>1w</v>
      </c>
      <c r="X2859" s="128">
        <f>_xll.qlCalendarAdvance(Calendar,X2858,W2859,"f",FALSE)</f>
        <v>59188</v>
      </c>
      <c r="Y2859" s="131">
        <f>_xll.qlCalendarAdvance(Calendar,X2859,NDays&amp;"D")</f>
        <v>59190</v>
      </c>
      <c r="Z2859" s="132">
        <v>9.5224700152565234E-3</v>
      </c>
      <c r="AA2859" s="129">
        <v>9.5063966052677529E-3</v>
      </c>
    </row>
    <row r="2860" spans="19:27" x14ac:dyDescent="0.2">
      <c r="S2860" s="1"/>
      <c r="T2860" s="109"/>
      <c r="W2860" s="130" t="str">
        <f t="shared" si="54"/>
        <v>1w</v>
      </c>
      <c r="X2860" s="128">
        <f>_xll.qlCalendarAdvance(Calendar,X2859,W2860,"f",FALSE)</f>
        <v>59195</v>
      </c>
      <c r="Y2860" s="131">
        <f>_xll.qlCalendarAdvance(Calendar,X2860,NDays&amp;"D")</f>
        <v>59197</v>
      </c>
      <c r="Z2860" s="132">
        <v>9.5233232140872204E-3</v>
      </c>
      <c r="AA2860" s="129">
        <v>9.5070440281030955E-3</v>
      </c>
    </row>
    <row r="2861" spans="19:27" x14ac:dyDescent="0.2">
      <c r="S2861" s="1"/>
      <c r="T2861" s="109"/>
      <c r="W2861" s="130" t="str">
        <f t="shared" si="54"/>
        <v>1w</v>
      </c>
      <c r="X2861" s="128">
        <f>_xll.qlCalendarAdvance(Calendar,X2860,W2861,"f",FALSE)</f>
        <v>59202</v>
      </c>
      <c r="Y2861" s="131">
        <f>_xll.qlCalendarAdvance(Calendar,X2861,NDays&amp;"D")</f>
        <v>59204</v>
      </c>
      <c r="Z2861" s="132">
        <v>9.524013464814636E-3</v>
      </c>
      <c r="AA2861" s="129">
        <v>9.5077235048979247E-3</v>
      </c>
    </row>
    <row r="2862" spans="19:27" x14ac:dyDescent="0.2">
      <c r="S2862" s="1"/>
      <c r="T2862" s="109"/>
      <c r="W2862" s="130" t="str">
        <f t="shared" si="54"/>
        <v>1w</v>
      </c>
      <c r="X2862" s="128">
        <f>_xll.qlCalendarAdvance(Calendar,X2861,W2862,"f",FALSE)</f>
        <v>59209</v>
      </c>
      <c r="Y2862" s="131">
        <f>_xll.qlCalendarAdvance(Calendar,X2862,NDays&amp;"D")</f>
        <v>59211</v>
      </c>
      <c r="Z2862" s="132">
        <v>9.5249286038991479E-3</v>
      </c>
      <c r="AA2862" s="129">
        <v>9.5084350356522407E-3</v>
      </c>
    </row>
    <row r="2863" spans="19:27" x14ac:dyDescent="0.2">
      <c r="S2863" s="1"/>
      <c r="T2863" s="109"/>
      <c r="W2863" s="130" t="str">
        <f t="shared" si="54"/>
        <v>1w</v>
      </c>
      <c r="X2863" s="128">
        <f>_xll.qlCalendarAdvance(Calendar,X2862,W2863,"f",FALSE)</f>
        <v>59216</v>
      </c>
      <c r="Y2863" s="131">
        <f>_xll.qlCalendarAdvance(Calendar,X2863,NDays&amp;"D")</f>
        <v>59218</v>
      </c>
      <c r="Z2863" s="132">
        <v>9.5258758718728721E-3</v>
      </c>
      <c r="AA2863" s="129">
        <v>9.5091786205259154E-3</v>
      </c>
    </row>
    <row r="2864" spans="19:27" x14ac:dyDescent="0.2">
      <c r="S2864" s="1"/>
      <c r="T2864" s="109"/>
      <c r="W2864" s="130" t="str">
        <f t="shared" si="54"/>
        <v>1w</v>
      </c>
      <c r="X2864" s="128">
        <f>_xll.qlCalendarAdvance(Calendar,X2863,W2864,"f",FALSE)</f>
        <v>59223</v>
      </c>
      <c r="Y2864" s="131">
        <f>_xll.qlCalendarAdvance(Calendar,X2864,NDays&amp;"D")</f>
        <v>59225</v>
      </c>
      <c r="Z2864" s="132">
        <v>9.5268552687582629E-3</v>
      </c>
      <c r="AA2864" s="129">
        <v>9.509954259518949E-3</v>
      </c>
    </row>
    <row r="2865" spans="19:27" x14ac:dyDescent="0.2">
      <c r="S2865" s="1"/>
      <c r="T2865" s="109"/>
      <c r="W2865" s="130" t="str">
        <f t="shared" si="54"/>
        <v>1w</v>
      </c>
      <c r="X2865" s="128">
        <f>_xll.qlCalendarAdvance(Calendar,X2864,W2865,"f",FALSE)</f>
        <v>59230</v>
      </c>
      <c r="Y2865" s="131">
        <f>_xll.qlCalendarAdvance(Calendar,X2865,NDays&amp;"D")</f>
        <v>59232</v>
      </c>
      <c r="Z2865" s="132">
        <v>9.5284805481630017E-3</v>
      </c>
      <c r="AA2865" s="129">
        <v>9.5107619525514053E-3</v>
      </c>
    </row>
    <row r="2866" spans="19:27" x14ac:dyDescent="0.2">
      <c r="S2866" s="1"/>
      <c r="T2866" s="109"/>
      <c r="W2866" s="130" t="str">
        <f t="shared" si="54"/>
        <v>1w</v>
      </c>
      <c r="X2866" s="128">
        <f>_xll.qlCalendarAdvance(Calendar,X2865,W2866,"f",FALSE)</f>
        <v>59237</v>
      </c>
      <c r="Y2866" s="131">
        <f>_xll.qlCalendarAdvance(Calendar,X2866,NDays&amp;"D")</f>
        <v>59239</v>
      </c>
      <c r="Z2866" s="132">
        <v>9.5295311710482146E-3</v>
      </c>
      <c r="AA2866" s="129">
        <v>9.5116016996232844E-3</v>
      </c>
    </row>
    <row r="2867" spans="19:27" x14ac:dyDescent="0.2">
      <c r="S2867" s="1"/>
      <c r="T2867" s="109"/>
      <c r="W2867" s="130" t="str">
        <f t="shared" si="54"/>
        <v>1w</v>
      </c>
      <c r="X2867" s="128">
        <f>_xll.qlCalendarAdvance(Calendar,X2866,W2867,"f",FALSE)</f>
        <v>59244</v>
      </c>
      <c r="Y2867" s="131">
        <f>_xll.qlCalendarAdvance(Calendar,X2867,NDays&amp;"D")</f>
        <v>59246</v>
      </c>
      <c r="Z2867" s="132">
        <v>9.530613925482153E-3</v>
      </c>
      <c r="AA2867" s="129">
        <v>9.5124735006546501E-3</v>
      </c>
    </row>
    <row r="2868" spans="19:27" x14ac:dyDescent="0.2">
      <c r="S2868" s="1"/>
      <c r="T2868" s="109"/>
      <c r="W2868" s="130" t="str">
        <f t="shared" si="54"/>
        <v>1w</v>
      </c>
      <c r="X2868" s="128">
        <f>_xll.qlCalendarAdvance(Calendar,X2867,W2868,"f",FALSE)</f>
        <v>59251</v>
      </c>
      <c r="Y2868" s="131">
        <f>_xll.qlCalendarAdvance(Calendar,X2868,NDays&amp;"D")</f>
        <v>59253</v>
      </c>
      <c r="Z2868" s="132">
        <v>9.5317288114891447E-3</v>
      </c>
      <c r="AA2868" s="129">
        <v>9.514144984949624E-3</v>
      </c>
    </row>
    <row r="2869" spans="19:27" x14ac:dyDescent="0.2">
      <c r="S2869" s="1"/>
      <c r="T2869" s="109"/>
      <c r="W2869" s="130" t="str">
        <f t="shared" si="54"/>
        <v>1w</v>
      </c>
      <c r="X2869" s="128">
        <f>_xll.qlCalendarAdvance(Calendar,X2868,W2869,"f",FALSE)</f>
        <v>59258</v>
      </c>
      <c r="Y2869" s="131">
        <f>_xll.qlCalendarAdvance(Calendar,X2869,NDays&amp;"D")</f>
        <v>59260</v>
      </c>
      <c r="Z2869" s="132">
        <v>9.5328758290996029E-3</v>
      </c>
      <c r="AA2869" s="129">
        <v>9.5143132649155859E-3</v>
      </c>
    </row>
    <row r="2870" spans="19:27" x14ac:dyDescent="0.2">
      <c r="S2870" s="1"/>
      <c r="T2870" s="109"/>
      <c r="W2870" s="130" t="str">
        <f t="shared" si="54"/>
        <v>1w</v>
      </c>
      <c r="X2870" s="128">
        <f>_xll.qlCalendarAdvance(Calendar,X2869,W2870,"f",FALSE)</f>
        <v>59265</v>
      </c>
      <c r="Y2870" s="131">
        <f>_xll.qlCalendarAdvance(Calendar,X2870,NDays&amp;"D")</f>
        <v>59267</v>
      </c>
      <c r="Z2870" s="132">
        <v>9.5338385461808013E-3</v>
      </c>
      <c r="AA2870" s="129">
        <v>9.515281228145156E-3</v>
      </c>
    </row>
    <row r="2871" spans="19:27" x14ac:dyDescent="0.2">
      <c r="S2871" s="1"/>
      <c r="T2871" s="109"/>
      <c r="W2871" s="130" t="str">
        <f t="shared" si="54"/>
        <v>1w</v>
      </c>
      <c r="X2871" s="128">
        <f>_xll.qlCalendarAdvance(Calendar,X2870,W2871,"f",FALSE)</f>
        <v>59272</v>
      </c>
      <c r="Y2871" s="131">
        <f>_xll.qlCalendarAdvance(Calendar,X2871,NDays&amp;"D")</f>
        <v>59274</v>
      </c>
      <c r="Z2871" s="132">
        <v>9.5350474999767749E-3</v>
      </c>
      <c r="AA2871" s="129">
        <v>9.5162812454141488E-3</v>
      </c>
    </row>
    <row r="2872" spans="19:27" x14ac:dyDescent="0.2">
      <c r="S2872" s="1"/>
      <c r="T2872" s="109"/>
      <c r="W2872" s="130" t="str">
        <f t="shared" si="54"/>
        <v>1w</v>
      </c>
      <c r="X2872" s="128">
        <f>_xll.qlCalendarAdvance(Calendar,X2871,W2872,"f",FALSE)</f>
        <v>59279</v>
      </c>
      <c r="Y2872" s="131">
        <f>_xll.qlCalendarAdvance(Calendar,X2872,NDays&amp;"D")</f>
        <v>59281</v>
      </c>
      <c r="Z2872" s="132">
        <v>9.536288584602615E-3</v>
      </c>
      <c r="AA2872" s="129">
        <v>9.5173133167225643E-3</v>
      </c>
    </row>
    <row r="2873" spans="19:27" x14ac:dyDescent="0.2">
      <c r="S2873" s="1"/>
      <c r="T2873" s="109"/>
      <c r="W2873" s="130" t="str">
        <f t="shared" si="54"/>
        <v>1w</v>
      </c>
      <c r="X2873" s="128">
        <f>_xll.qlCalendarAdvance(Calendar,X2872,W2873,"f",FALSE)</f>
        <v>59286</v>
      </c>
      <c r="Y2873" s="131">
        <f>_xll.qlCalendarAdvance(Calendar,X2873,NDays&amp;"D")</f>
        <v>59288</v>
      </c>
      <c r="Z2873" s="132">
        <v>9.5375618000916977E-3</v>
      </c>
      <c r="AA2873" s="129">
        <v>9.5183774421503387E-3</v>
      </c>
    </row>
    <row r="2874" spans="19:27" x14ac:dyDescent="0.2">
      <c r="S2874" s="1"/>
      <c r="T2874" s="109"/>
      <c r="W2874" s="130" t="str">
        <f t="shared" si="54"/>
        <v>1w</v>
      </c>
      <c r="X2874" s="128">
        <f>_xll.qlCalendarAdvance(Calendar,X2873,W2874,"f",FALSE)</f>
        <v>59293</v>
      </c>
      <c r="Y2874" s="131">
        <f>_xll.qlCalendarAdvance(Calendar,X2874,NDays&amp;"D")</f>
        <v>59295</v>
      </c>
      <c r="Z2874" s="132">
        <v>9.5390928921743907E-3</v>
      </c>
      <c r="AA2874" s="129">
        <v>9.5194736215375997E-3</v>
      </c>
    </row>
    <row r="2875" spans="19:27" x14ac:dyDescent="0.2">
      <c r="S2875" s="1"/>
      <c r="T2875" s="109"/>
      <c r="W2875" s="130" t="str">
        <f t="shared" si="54"/>
        <v>1w</v>
      </c>
      <c r="X2875" s="128">
        <f>_xll.qlCalendarAdvance(Calendar,X2874,W2875,"f",FALSE)</f>
        <v>59300</v>
      </c>
      <c r="Y2875" s="131">
        <f>_xll.qlCalendarAdvance(Calendar,X2875,NDays&amp;"D")</f>
        <v>59302</v>
      </c>
      <c r="Z2875" s="132">
        <v>9.5404327000103706E-3</v>
      </c>
      <c r="AA2875" s="129">
        <v>9.5206018550442195E-3</v>
      </c>
    </row>
    <row r="2876" spans="19:27" x14ac:dyDescent="0.2">
      <c r="S2876" s="1"/>
      <c r="T2876" s="109"/>
      <c r="W2876" s="130" t="str">
        <f t="shared" si="54"/>
        <v>1w</v>
      </c>
      <c r="X2876" s="128">
        <f>_xll.qlCalendarAdvance(Calendar,X2875,W2876,"f",FALSE)</f>
        <v>59307</v>
      </c>
      <c r="Y2876" s="131">
        <f>_xll.qlCalendarAdvance(Calendar,X2876,NDays&amp;"D")</f>
        <v>59309</v>
      </c>
      <c r="Z2876" s="132">
        <v>9.5418046396609519E-3</v>
      </c>
      <c r="AA2876" s="129">
        <v>9.521762142510326E-3</v>
      </c>
    </row>
    <row r="2877" spans="19:27" x14ac:dyDescent="0.2">
      <c r="S2877" s="1"/>
      <c r="T2877" s="109"/>
      <c r="W2877" s="130" t="str">
        <f t="shared" si="54"/>
        <v>1w</v>
      </c>
      <c r="X2877" s="128">
        <f>_xll.qlCalendarAdvance(Calendar,X2876,W2877,"f",FALSE)</f>
        <v>59314</v>
      </c>
      <c r="Y2877" s="131">
        <f>_xll.qlCalendarAdvance(Calendar,X2877,NDays&amp;"D")</f>
        <v>59316</v>
      </c>
      <c r="Z2877" s="132">
        <v>9.5432087111617572E-3</v>
      </c>
      <c r="AA2877" s="129">
        <v>9.5229544840158553E-3</v>
      </c>
    </row>
    <row r="2878" spans="19:27" x14ac:dyDescent="0.2">
      <c r="S2878" s="1"/>
      <c r="T2878" s="109"/>
      <c r="W2878" s="130" t="str">
        <f t="shared" si="54"/>
        <v>1w</v>
      </c>
      <c r="X2878" s="128">
        <f>_xll.qlCalendarAdvance(Calendar,X2877,W2878,"f",FALSE)</f>
        <v>59321</v>
      </c>
      <c r="Y2878" s="131">
        <f>_xll.qlCalendarAdvance(Calendar,X2878,NDays&amp;"D")</f>
        <v>59323</v>
      </c>
      <c r="Z2878" s="132">
        <v>9.5446449145431961E-3</v>
      </c>
      <c r="AA2878" s="129">
        <v>9.5241788797206794E-3</v>
      </c>
    </row>
    <row r="2879" spans="19:27" x14ac:dyDescent="0.2">
      <c r="S2879" s="1"/>
      <c r="T2879" s="109"/>
      <c r="W2879" s="130" t="str">
        <f t="shared" si="54"/>
        <v>1w</v>
      </c>
      <c r="X2879" s="128">
        <f>_xll.qlCalendarAdvance(Calendar,X2878,W2879,"f",FALSE)</f>
        <v>59328</v>
      </c>
      <c r="Y2879" s="131">
        <f>_xll.qlCalendarAdvance(Calendar,X2879,NDays&amp;"D")</f>
        <v>59330</v>
      </c>
      <c r="Z2879" s="132">
        <v>9.5461132498452384E-3</v>
      </c>
      <c r="AA2879" s="129">
        <v>9.5254353292251182E-3</v>
      </c>
    </row>
    <row r="2880" spans="19:27" x14ac:dyDescent="0.2">
      <c r="S2880" s="1"/>
      <c r="T2880" s="109"/>
      <c r="W2880" s="130" t="str">
        <f t="shared" si="54"/>
        <v>1w</v>
      </c>
      <c r="X2880" s="128">
        <f>_xll.qlCalendarAdvance(Calendar,X2879,W2880,"f",FALSE)</f>
        <v>59335</v>
      </c>
      <c r="Y2880" s="131">
        <f>_xll.qlCalendarAdvance(Calendar,X2880,NDays&amp;"D")</f>
        <v>59337</v>
      </c>
      <c r="Z2880" s="132">
        <v>9.5476137171026376E-3</v>
      </c>
      <c r="AA2880" s="129">
        <v>9.5267238331686599E-3</v>
      </c>
    </row>
    <row r="2881" spans="19:27" x14ac:dyDescent="0.2">
      <c r="S2881" s="1"/>
      <c r="T2881" s="109"/>
      <c r="W2881" s="130" t="str">
        <f t="shared" si="54"/>
        <v>1w</v>
      </c>
      <c r="X2881" s="128">
        <f>_xll.qlCalendarAdvance(Calendar,X2880,W2881,"f",FALSE)</f>
        <v>59342</v>
      </c>
      <c r="Y2881" s="131">
        <f>_xll.qlCalendarAdvance(Calendar,X2881,NDays&amp;"D")</f>
        <v>59344</v>
      </c>
      <c r="Z2881" s="132">
        <v>9.5491463163501489E-3</v>
      </c>
      <c r="AA2881" s="129">
        <v>9.5280443907519441E-3</v>
      </c>
    </row>
    <row r="2882" spans="19:27" x14ac:dyDescent="0.2">
      <c r="S2882" s="1"/>
      <c r="T2882" s="109"/>
      <c r="W2882" s="130" t="str">
        <f t="shared" si="54"/>
        <v>1w</v>
      </c>
      <c r="X2882" s="128">
        <f>_xll.qlCalendarAdvance(Calendar,X2881,W2882,"f",FALSE)</f>
        <v>59349</v>
      </c>
      <c r="Y2882" s="131">
        <f>_xll.qlCalendarAdvance(Calendar,X2882,NDays&amp;"D")</f>
        <v>59351</v>
      </c>
      <c r="Z2882" s="132">
        <v>9.5507110476268711E-3</v>
      </c>
      <c r="AA2882" s="129">
        <v>9.5293970026943953E-3</v>
      </c>
    </row>
    <row r="2883" spans="19:27" x14ac:dyDescent="0.2">
      <c r="S2883" s="1"/>
      <c r="T2883" s="109"/>
      <c r="W2883" s="130" t="str">
        <f t="shared" si="54"/>
        <v>1w</v>
      </c>
      <c r="X2883" s="128">
        <f>_xll.qlCalendarAdvance(Calendar,X2882,W2883,"f",FALSE)</f>
        <v>59356</v>
      </c>
      <c r="Y2883" s="131">
        <f>_xll.qlCalendarAdvance(Calendar,X2883,NDays&amp;"D")</f>
        <v>59358</v>
      </c>
      <c r="Z2883" s="132">
        <v>9.5523079109727724E-3</v>
      </c>
      <c r="AA2883" s="129">
        <v>9.5307816685163971E-3</v>
      </c>
    </row>
    <row r="2884" spans="19:27" x14ac:dyDescent="0.2">
      <c r="S2884" s="1"/>
      <c r="T2884" s="109"/>
      <c r="W2884" s="130" t="str">
        <f t="shared" si="54"/>
        <v>1w</v>
      </c>
      <c r="X2884" s="128">
        <f>_xll.qlCalendarAdvance(Calendar,X2883,W2884,"f",FALSE)</f>
        <v>59363</v>
      </c>
      <c r="Y2884" s="131">
        <f>_xll.qlCalendarAdvance(Calendar,X2884,NDays&amp;"D")</f>
        <v>59365</v>
      </c>
      <c r="Z2884" s="132">
        <v>9.553936906424346E-3</v>
      </c>
      <c r="AA2884" s="129">
        <v>9.5321983882179495E-3</v>
      </c>
    </row>
    <row r="2885" spans="19:27" x14ac:dyDescent="0.2">
      <c r="S2885" s="1"/>
      <c r="T2885" s="109"/>
      <c r="W2885" s="130" t="str">
        <f t="shared" si="54"/>
        <v>1w</v>
      </c>
      <c r="X2885" s="128">
        <f>_xll.qlCalendarAdvance(Calendar,X2884,W2885,"f",FALSE)</f>
        <v>59370</v>
      </c>
      <c r="Y2885" s="131">
        <f>_xll.qlCalendarAdvance(Calendar,X2885,NDays&amp;"D")</f>
        <v>59372</v>
      </c>
      <c r="Z2885" s="132">
        <v>9.5555980340241674E-3</v>
      </c>
      <c r="AA2885" s="129">
        <v>9.533647162358605E-3</v>
      </c>
    </row>
    <row r="2886" spans="19:27" x14ac:dyDescent="0.2">
      <c r="S2886" s="1"/>
      <c r="T2886" s="109"/>
      <c r="W2886" s="130" t="str">
        <f t="shared" si="54"/>
        <v>1w</v>
      </c>
      <c r="X2886" s="128">
        <f>_xll.qlCalendarAdvance(Calendar,X2885,W2886,"f",FALSE)</f>
        <v>59377</v>
      </c>
      <c r="Y2886" s="131">
        <f>_xll.qlCalendarAdvance(Calendar,X2886,NDays&amp;"D")</f>
        <v>59379</v>
      </c>
      <c r="Z2886" s="132">
        <v>9.557291293812201E-3</v>
      </c>
      <c r="AA2886" s="129">
        <v>9.5351279903788111E-3</v>
      </c>
    </row>
    <row r="2887" spans="19:27" x14ac:dyDescent="0.2">
      <c r="S2887" s="1"/>
      <c r="T2887" s="109"/>
      <c r="W2887" s="130" t="str">
        <f t="shared" si="54"/>
        <v>1w</v>
      </c>
      <c r="X2887" s="128">
        <f>_xll.qlCalendarAdvance(Calendar,X2886,W2887,"f",FALSE)</f>
        <v>59384</v>
      </c>
      <c r="Y2887" s="131">
        <f>_xll.qlCalendarAdvance(Calendar,X2887,NDays&amp;"D")</f>
        <v>59386</v>
      </c>
      <c r="Z2887" s="132">
        <v>9.5590166858284184E-3</v>
      </c>
      <c r="AA2887" s="129">
        <v>9.5366408724384399E-3</v>
      </c>
    </row>
    <row r="2888" spans="19:27" x14ac:dyDescent="0.2">
      <c r="S2888" s="1"/>
      <c r="T2888" s="109"/>
      <c r="W2888" s="130" t="str">
        <f t="shared" si="54"/>
        <v>1w</v>
      </c>
      <c r="X2888" s="128">
        <f>_xll.qlCalendarAdvance(Calendar,X2887,W2888,"f",FALSE)</f>
        <v>59391</v>
      </c>
      <c r="Y2888" s="131">
        <f>_xll.qlCalendarAdvance(Calendar,X2888,NDays&amp;"D")</f>
        <v>59393</v>
      </c>
      <c r="Z2888" s="132">
        <v>9.5607742101162622E-3</v>
      </c>
      <c r="AA2888" s="129">
        <v>9.5381858086174276E-3</v>
      </c>
    </row>
    <row r="2889" spans="19:27" x14ac:dyDescent="0.2">
      <c r="S2889" s="1"/>
      <c r="T2889" s="109"/>
      <c r="W2889" s="130" t="str">
        <f t="shared" si="54"/>
        <v>1w</v>
      </c>
      <c r="X2889" s="128">
        <f>_xll.qlCalendarAdvance(Calendar,X2888,W2889,"f",FALSE)</f>
        <v>59398</v>
      </c>
      <c r="Y2889" s="131">
        <f>_xll.qlCalendarAdvance(Calendar,X2889,NDays&amp;"D")</f>
        <v>59400</v>
      </c>
      <c r="Z2889" s="132">
        <v>9.5625638667191752E-3</v>
      </c>
      <c r="AA2889" s="129">
        <v>9.5397627987559019E-3</v>
      </c>
    </row>
    <row r="2890" spans="19:27" x14ac:dyDescent="0.2">
      <c r="S2890" s="1"/>
      <c r="T2890" s="109"/>
      <c r="W2890" s="130" t="str">
        <f t="shared" si="54"/>
        <v>1w</v>
      </c>
      <c r="X2890" s="128">
        <f>_xll.qlCalendarAdvance(Calendar,X2889,W2890,"f",FALSE)</f>
        <v>59405</v>
      </c>
      <c r="Y2890" s="131">
        <f>_xll.qlCalendarAdvance(Calendar,X2890,NDays&amp;"D")</f>
        <v>59407</v>
      </c>
      <c r="Z2890" s="132">
        <v>9.5643856556806017E-3</v>
      </c>
      <c r="AA2890" s="129">
        <v>9.5413718430137351E-3</v>
      </c>
    </row>
    <row r="2891" spans="19:27" x14ac:dyDescent="0.2">
      <c r="S2891" s="1"/>
      <c r="T2891" s="109"/>
      <c r="W2891" s="130" t="str">
        <f t="shared" si="54"/>
        <v>1w</v>
      </c>
      <c r="X2891" s="128">
        <f>_xll.qlCalendarAdvance(Calendar,X2890,W2891,"f",FALSE)</f>
        <v>59412</v>
      </c>
      <c r="Y2891" s="131">
        <f>_xll.qlCalendarAdvance(Calendar,X2891,NDays&amp;"D")</f>
        <v>59414</v>
      </c>
      <c r="Z2891" s="132">
        <v>9.5659740953563423E-3</v>
      </c>
      <c r="AA2891" s="129">
        <v>9.5430129411511189E-3</v>
      </c>
    </row>
    <row r="2892" spans="19:27" x14ac:dyDescent="0.2">
      <c r="S2892" s="1"/>
      <c r="T2892" s="109"/>
      <c r="W2892" s="130" t="str">
        <f t="shared" si="54"/>
        <v>1w</v>
      </c>
      <c r="X2892" s="128">
        <f>_xll.qlCalendarAdvance(Calendar,X2891,W2892,"f",FALSE)</f>
        <v>59419</v>
      </c>
      <c r="Y2892" s="131">
        <f>_xll.qlCalendarAdvance(Calendar,X2892,NDays&amp;"D")</f>
        <v>59421</v>
      </c>
      <c r="Z2892" s="132">
        <v>9.5678578039924498E-3</v>
      </c>
      <c r="AA2892" s="129">
        <v>9.5446860935677336E-3</v>
      </c>
    </row>
    <row r="2893" spans="19:27" x14ac:dyDescent="0.2">
      <c r="S2893" s="1"/>
      <c r="T2893" s="109"/>
      <c r="W2893" s="130" t="str">
        <f t="shared" si="54"/>
        <v>1w</v>
      </c>
      <c r="X2893" s="128">
        <f>_xll.qlCalendarAdvance(Calendar,X2892,W2893,"f",FALSE)</f>
        <v>59426</v>
      </c>
      <c r="Y2893" s="131">
        <f>_xll.qlCalendarAdvance(Calendar,X2893,NDays&amp;"D")</f>
        <v>59428</v>
      </c>
      <c r="Z2893" s="132">
        <v>9.56977364425954E-3</v>
      </c>
      <c r="AA2893" s="129">
        <v>9.546391300023771E-3</v>
      </c>
    </row>
    <row r="2894" spans="19:27" x14ac:dyDescent="0.2">
      <c r="S2894" s="1"/>
      <c r="T2894" s="109"/>
      <c r="W2894" s="130" t="str">
        <f t="shared" si="54"/>
        <v>1w</v>
      </c>
      <c r="X2894" s="128">
        <f>_xll.qlCalendarAdvance(Calendar,X2893,W2894,"f",FALSE)</f>
        <v>59433</v>
      </c>
      <c r="Y2894" s="131">
        <f>_xll.qlCalendarAdvance(Calendar,X2894,NDays&amp;"D")</f>
        <v>59435</v>
      </c>
      <c r="Z2894" s="132">
        <v>9.5717216162015326E-3</v>
      </c>
      <c r="AA2894" s="129">
        <v>9.5481285605192312E-3</v>
      </c>
    </row>
    <row r="2895" spans="19:27" x14ac:dyDescent="0.2">
      <c r="S2895" s="1"/>
      <c r="T2895" s="109"/>
      <c r="W2895" s="130" t="str">
        <f t="shared" si="54"/>
        <v>1w</v>
      </c>
      <c r="X2895" s="128">
        <f>_xll.qlCalendarAdvance(Calendar,X2894,W2895,"f",FALSE)</f>
        <v>59440</v>
      </c>
      <c r="Y2895" s="131">
        <f>_xll.qlCalendarAdvance(Calendar,X2895,NDays&amp;"D")</f>
        <v>59442</v>
      </c>
      <c r="Z2895" s="132">
        <v>9.5737017198667413E-3</v>
      </c>
      <c r="AA2895" s="129">
        <v>9.549897874814306E-3</v>
      </c>
    </row>
    <row r="2896" spans="19:27" x14ac:dyDescent="0.2">
      <c r="S2896" s="1"/>
      <c r="T2896" s="109"/>
      <c r="W2896" s="130" t="str">
        <f t="shared" si="54"/>
        <v>1w</v>
      </c>
      <c r="X2896" s="128">
        <f>_xll.qlCalendarAdvance(Calendar,X2895,W2896,"f",FALSE)</f>
        <v>59447</v>
      </c>
      <c r="Y2896" s="131">
        <f>_xll.qlCalendarAdvance(Calendar,X2896,NDays&amp;"D")</f>
        <v>59449</v>
      </c>
      <c r="Z2896" s="132">
        <v>9.57599117155674E-3</v>
      </c>
      <c r="AA2896" s="129">
        <v>9.5516992433886116E-3</v>
      </c>
    </row>
    <row r="2897" spans="19:27" x14ac:dyDescent="0.2">
      <c r="S2897" s="1"/>
      <c r="T2897" s="109"/>
      <c r="W2897" s="130" t="str">
        <f t="shared" si="54"/>
        <v>1w</v>
      </c>
      <c r="X2897" s="128">
        <f>_xll.qlCalendarAdvance(Calendar,X2896,W2897,"f",FALSE)</f>
        <v>59454</v>
      </c>
      <c r="Y2897" s="131">
        <f>_xll.qlCalendarAdvance(Calendar,X2897,NDays&amp;"D")</f>
        <v>59456</v>
      </c>
      <c r="Z2897" s="132">
        <v>9.5780378883293243E-3</v>
      </c>
      <c r="AA2897" s="129">
        <v>9.5535326660822761E-3</v>
      </c>
    </row>
    <row r="2898" spans="19:27" x14ac:dyDescent="0.2">
      <c r="S2898" s="1"/>
      <c r="T2898" s="109"/>
      <c r="W2898" s="130" t="str">
        <f t="shared" si="54"/>
        <v>1w</v>
      </c>
      <c r="X2898" s="128">
        <f>_xll.qlCalendarAdvance(Calendar,X2897,W2898,"f",FALSE)</f>
        <v>59461</v>
      </c>
      <c r="Y2898" s="131">
        <f>_xll.qlCalendarAdvance(Calendar,X2898,NDays&amp;"D")</f>
        <v>59463</v>
      </c>
      <c r="Z2898" s="132">
        <v>9.5801167378427258E-3</v>
      </c>
      <c r="AA2898" s="129">
        <v>9.5553981428153634E-3</v>
      </c>
    </row>
    <row r="2899" spans="19:27" x14ac:dyDescent="0.2">
      <c r="S2899" s="1"/>
      <c r="T2899" s="109"/>
      <c r="W2899" s="130" t="str">
        <f t="shared" si="54"/>
        <v>1w</v>
      </c>
      <c r="X2899" s="128">
        <f>_xll.qlCalendarAdvance(Calendar,X2898,W2899,"f",FALSE)</f>
        <v>59468</v>
      </c>
      <c r="Y2899" s="131">
        <f>_xll.qlCalendarAdvance(Calendar,X2899,NDays&amp;"D")</f>
        <v>59470</v>
      </c>
      <c r="Z2899" s="132">
        <v>9.5822277201438617E-3</v>
      </c>
      <c r="AA2899" s="129">
        <v>9.5572956735079373E-3</v>
      </c>
    </row>
    <row r="2900" spans="19:27" x14ac:dyDescent="0.2">
      <c r="S2900" s="1"/>
      <c r="T2900" s="109"/>
      <c r="W2900" s="130" t="str">
        <f t="shared" si="54"/>
        <v>1w</v>
      </c>
      <c r="X2900" s="128">
        <f>_xll.qlCalendarAdvance(Calendar,X2899,W2900,"f",FALSE)</f>
        <v>59475</v>
      </c>
      <c r="Y2900" s="131">
        <f>_xll.qlCalendarAdvance(Calendar,X2900,NDays&amp;"D")</f>
        <v>59477</v>
      </c>
      <c r="Z2900" s="132">
        <v>9.5843708352892094E-3</v>
      </c>
      <c r="AA2900" s="129">
        <v>9.55922525831987E-3</v>
      </c>
    </row>
    <row r="2901" spans="19:27" x14ac:dyDescent="0.2">
      <c r="S2901" s="1"/>
      <c r="T2901" s="109"/>
      <c r="W2901" s="130" t="str">
        <f t="shared" ref="W2901:W2964" si="55">W2900</f>
        <v>1w</v>
      </c>
      <c r="X2901" s="128">
        <f>_xll.qlCalendarAdvance(Calendar,X2900,W2901,"f",FALSE)</f>
        <v>59482</v>
      </c>
      <c r="Y2901" s="131">
        <f>_xll.qlCalendarAdvance(Calendar,X2901,NDays&amp;"D")</f>
        <v>59484</v>
      </c>
      <c r="Z2901" s="132">
        <v>9.5865460833300317E-3</v>
      </c>
      <c r="AA2901" s="129">
        <v>9.5611868970912894E-3</v>
      </c>
    </row>
    <row r="2902" spans="19:27" x14ac:dyDescent="0.2">
      <c r="S2902" s="1"/>
      <c r="T2902" s="109"/>
      <c r="W2902" s="130" t="str">
        <f t="shared" si="55"/>
        <v>1w</v>
      </c>
      <c r="X2902" s="128">
        <f>_xll.qlCalendarAdvance(Calendar,X2901,W2902,"f",FALSE)</f>
        <v>59489</v>
      </c>
      <c r="Y2902" s="131">
        <f>_xll.qlCalendarAdvance(Calendar,X2902,NDays&amp;"D")</f>
        <v>59491</v>
      </c>
      <c r="Z2902" s="132">
        <v>9.5887534643175933E-3</v>
      </c>
      <c r="AA2902" s="129">
        <v>9.5631805900620037E-3</v>
      </c>
    </row>
    <row r="2903" spans="19:27" x14ac:dyDescent="0.2">
      <c r="S2903" s="1"/>
      <c r="T2903" s="109"/>
      <c r="W2903" s="130" t="str">
        <f t="shared" si="55"/>
        <v>1w</v>
      </c>
      <c r="X2903" s="128">
        <f>_xll.qlCalendarAdvance(Calendar,X2902,W2903,"f",FALSE)</f>
        <v>59496</v>
      </c>
      <c r="Y2903" s="131">
        <f>_xll.qlCalendarAdvance(Calendar,X2903,NDays&amp;"D")</f>
        <v>59498</v>
      </c>
      <c r="Z2903" s="132">
        <v>9.5909929783074988E-3</v>
      </c>
      <c r="AA2903" s="129">
        <v>9.5652063369122686E-3</v>
      </c>
    </row>
    <row r="2904" spans="19:27" x14ac:dyDescent="0.2">
      <c r="S2904" s="1"/>
      <c r="T2904" s="109"/>
      <c r="W2904" s="130" t="str">
        <f t="shared" si="55"/>
        <v>1w</v>
      </c>
      <c r="X2904" s="128">
        <f>_xll.qlCalendarAdvance(Calendar,X2903,W2904,"f",FALSE)</f>
        <v>59503</v>
      </c>
      <c r="Y2904" s="131">
        <f>_xll.qlCalendarAdvance(Calendar,X2904,NDays&amp;"D")</f>
        <v>59505</v>
      </c>
      <c r="Z2904" s="132">
        <v>9.5926727816566526E-3</v>
      </c>
      <c r="AA2904" s="129">
        <v>9.5672641380417645E-3</v>
      </c>
    </row>
    <row r="2905" spans="19:27" x14ac:dyDescent="0.2">
      <c r="S2905" s="1"/>
      <c r="T2905" s="109"/>
      <c r="W2905" s="130" t="str">
        <f t="shared" si="55"/>
        <v>1w</v>
      </c>
      <c r="X2905" s="128">
        <f>_xll.qlCalendarAdvance(Calendar,X2904,W2905,"f",FALSE)</f>
        <v>59510</v>
      </c>
      <c r="Y2905" s="131">
        <f>_xll.qlCalendarAdvance(Calendar,X2905,NDays&amp;"D")</f>
        <v>59512</v>
      </c>
      <c r="Z2905" s="132">
        <v>9.594971848971845E-3</v>
      </c>
      <c r="AA2905" s="129">
        <v>9.569353993210683E-3</v>
      </c>
    </row>
    <row r="2906" spans="19:27" x14ac:dyDescent="0.2">
      <c r="S2906" s="1"/>
      <c r="T2906" s="109"/>
      <c r="W2906" s="130" t="str">
        <f t="shared" si="55"/>
        <v>1w</v>
      </c>
      <c r="X2906" s="128">
        <f>_xll.qlCalendarAdvance(Calendar,X2905,W2906,"f",FALSE)</f>
        <v>59517</v>
      </c>
      <c r="Y2906" s="131">
        <f>_xll.qlCalendarAdvance(Calendar,X2906,NDays&amp;"D")</f>
        <v>59519</v>
      </c>
      <c r="Z2906" s="132">
        <v>9.5973030477054522E-3</v>
      </c>
      <c r="AA2906" s="129">
        <v>9.5714759022591522E-3</v>
      </c>
    </row>
    <row r="2907" spans="19:27" x14ac:dyDescent="0.2">
      <c r="S2907" s="1"/>
      <c r="T2907" s="109"/>
      <c r="W2907" s="130" t="str">
        <f t="shared" si="55"/>
        <v>1w</v>
      </c>
      <c r="X2907" s="128">
        <f>_xll.qlCalendarAdvance(Calendar,X2906,W2907,"f",FALSE)</f>
        <v>59524</v>
      </c>
      <c r="Y2907" s="131">
        <f>_xll.qlCalendarAdvance(Calendar,X2907,NDays&amp;"D")</f>
        <v>59526</v>
      </c>
      <c r="Z2907" s="132">
        <v>9.5996663779178704E-3</v>
      </c>
      <c r="AA2907" s="129">
        <v>9.5736298655069163E-3</v>
      </c>
    </row>
    <row r="2908" spans="19:27" x14ac:dyDescent="0.2">
      <c r="S2908" s="1"/>
      <c r="T2908" s="109"/>
      <c r="W2908" s="130" t="str">
        <f t="shared" si="55"/>
        <v>1w</v>
      </c>
      <c r="X2908" s="128">
        <f>_xll.qlCalendarAdvance(Calendar,X2907,W2908,"f",FALSE)</f>
        <v>59532</v>
      </c>
      <c r="Y2908" s="131">
        <f>_xll.qlCalendarAdvance(Calendar,X2908,NDays&amp;"D")</f>
        <v>59534</v>
      </c>
      <c r="Z2908" s="132">
        <v>9.6027122461793818E-3</v>
      </c>
      <c r="AA2908" s="129">
        <v>9.5769869176631772E-3</v>
      </c>
    </row>
    <row r="2909" spans="19:27" x14ac:dyDescent="0.2">
      <c r="S2909" s="1"/>
      <c r="T2909" s="109"/>
      <c r="W2909" s="130" t="str">
        <f t="shared" si="55"/>
        <v>1w</v>
      </c>
      <c r="X2909" s="128">
        <f>_xll.qlCalendarAdvance(Calendar,X2908,W2909,"f",FALSE)</f>
        <v>59539</v>
      </c>
      <c r="Y2909" s="131">
        <f>_xll.qlCalendarAdvance(Calendar,X2909,NDays&amp;"D")</f>
        <v>59541</v>
      </c>
      <c r="Z2909" s="132">
        <v>9.6048388550400432E-3</v>
      </c>
      <c r="AA2909" s="129">
        <v>9.5789286604031076E-3</v>
      </c>
    </row>
    <row r="2910" spans="19:27" x14ac:dyDescent="0.2">
      <c r="S2910" s="1"/>
      <c r="T2910" s="109"/>
      <c r="W2910" s="130" t="str">
        <f t="shared" si="55"/>
        <v>1w</v>
      </c>
      <c r="X2910" s="128">
        <f>_xll.qlCalendarAdvance(Calendar,X2909,W2910,"f",FALSE)</f>
        <v>59546</v>
      </c>
      <c r="Y2910" s="131">
        <f>_xll.qlCalendarAdvance(Calendar,X2910,NDays&amp;"D")</f>
        <v>59548</v>
      </c>
      <c r="Z2910" s="132">
        <v>9.6073031702692546E-3</v>
      </c>
      <c r="AA2910" s="129">
        <v>9.581188064347046E-3</v>
      </c>
    </row>
    <row r="2911" spans="19:27" x14ac:dyDescent="0.2">
      <c r="S2911" s="1"/>
      <c r="T2911" s="109"/>
      <c r="W2911" s="130" t="str">
        <f t="shared" si="55"/>
        <v>1w</v>
      </c>
      <c r="X2911" s="128">
        <f>_xll.qlCalendarAdvance(Calendar,X2910,W2911,"f",FALSE)</f>
        <v>59553</v>
      </c>
      <c r="Y2911" s="131">
        <f>_xll.qlCalendarAdvance(Calendar,X2911,NDays&amp;"D")</f>
        <v>59555</v>
      </c>
      <c r="Z2911" s="132">
        <v>9.6097996172153088E-3</v>
      </c>
      <c r="AA2911" s="129">
        <v>9.5834795240890003E-3</v>
      </c>
    </row>
    <row r="2912" spans="19:27" x14ac:dyDescent="0.2">
      <c r="S2912" s="1"/>
      <c r="T2912" s="109"/>
      <c r="W2912" s="130" t="str">
        <f t="shared" si="55"/>
        <v>1w</v>
      </c>
      <c r="X2912" s="128">
        <f>_xll.qlCalendarAdvance(Calendar,X2911,W2912,"f",FALSE)</f>
        <v>59560</v>
      </c>
      <c r="Y2912" s="131">
        <f>_xll.qlCalendarAdvance(Calendar,X2912,NDays&amp;"D")</f>
        <v>59562</v>
      </c>
      <c r="Z2912" s="132">
        <v>9.6123281959412665E-3</v>
      </c>
      <c r="AA2912" s="129">
        <v>9.585803039655616E-3</v>
      </c>
    </row>
    <row r="2913" spans="19:27" x14ac:dyDescent="0.2">
      <c r="S2913" s="1"/>
      <c r="T2913" s="109"/>
      <c r="W2913" s="130" t="str">
        <f t="shared" si="55"/>
        <v>1w</v>
      </c>
      <c r="X2913" s="128">
        <f>_xll.qlCalendarAdvance(Calendar,X2912,W2913,"f",FALSE)</f>
        <v>59567</v>
      </c>
      <c r="Y2913" s="131">
        <f>_xll.qlCalendarAdvance(Calendar,X2913,NDays&amp;"D")</f>
        <v>59569</v>
      </c>
      <c r="Z2913" s="132">
        <v>9.6145717540227649E-3</v>
      </c>
      <c r="AA2913" s="129">
        <v>9.588158610966957E-3</v>
      </c>
    </row>
    <row r="2914" spans="19:27" x14ac:dyDescent="0.2">
      <c r="S2914" s="1"/>
      <c r="T2914" s="109"/>
      <c r="W2914" s="130" t="str">
        <f t="shared" si="55"/>
        <v>1w</v>
      </c>
      <c r="X2914" s="128">
        <f>_xll.qlCalendarAdvance(Calendar,X2913,W2914,"f",FALSE)</f>
        <v>59574</v>
      </c>
      <c r="Y2914" s="131">
        <f>_xll.qlCalendarAdvance(Calendar,X2914,NDays&amp;"D")</f>
        <v>59576</v>
      </c>
      <c r="Z2914" s="132">
        <v>9.6171622322322337E-3</v>
      </c>
      <c r="AA2914" s="129">
        <v>9.5905462381296047E-3</v>
      </c>
    </row>
    <row r="2915" spans="19:27" x14ac:dyDescent="0.2">
      <c r="S2915" s="1"/>
      <c r="T2915" s="109"/>
      <c r="W2915" s="130" t="str">
        <f t="shared" si="55"/>
        <v>1w</v>
      </c>
      <c r="X2915" s="128">
        <f>_xll.qlCalendarAdvance(Calendar,X2914,W2915,"f",FALSE)</f>
        <v>59581</v>
      </c>
      <c r="Y2915" s="131">
        <f>_xll.qlCalendarAdvance(Calendar,X2915,NDays&amp;"D")</f>
        <v>59583</v>
      </c>
      <c r="Z2915" s="132">
        <v>9.6197848415233191E-3</v>
      </c>
      <c r="AA2915" s="129">
        <v>9.5929659211435592E-3</v>
      </c>
    </row>
    <row r="2916" spans="19:27" x14ac:dyDescent="0.2">
      <c r="S2916" s="1"/>
      <c r="T2916" s="109"/>
      <c r="W2916" s="130" t="str">
        <f t="shared" si="55"/>
        <v>1w</v>
      </c>
      <c r="X2916" s="128">
        <f>_xll.qlCalendarAdvance(Calendar,X2915,W2916,"f",FALSE)</f>
        <v>59588</v>
      </c>
      <c r="Y2916" s="131">
        <f>_xll.qlCalendarAdvance(Calendar,X2916,NDays&amp;"D")</f>
        <v>59590</v>
      </c>
      <c r="Z2916" s="132">
        <v>9.6224395819606862E-3</v>
      </c>
      <c r="AA2916" s="129">
        <v>9.5954176599022389E-3</v>
      </c>
    </row>
    <row r="2917" spans="19:27" x14ac:dyDescent="0.2">
      <c r="S2917" s="1"/>
      <c r="T2917" s="109"/>
      <c r="W2917" s="130" t="str">
        <f t="shared" si="55"/>
        <v>1w</v>
      </c>
      <c r="X2917" s="128">
        <f>_xll.qlCalendarAdvance(Calendar,X2916,W2917,"f",FALSE)</f>
        <v>59595</v>
      </c>
      <c r="Y2917" s="131">
        <f>_xll.qlCalendarAdvance(Calendar,X2917,NDays&amp;"D")</f>
        <v>59597</v>
      </c>
      <c r="Z2917" s="132">
        <v>9.6267618422588071E-3</v>
      </c>
      <c r="AA2917" s="129">
        <v>9.5979014544322894E-3</v>
      </c>
    </row>
    <row r="2918" spans="19:27" x14ac:dyDescent="0.2">
      <c r="S2918" s="1"/>
      <c r="T2918" s="109"/>
      <c r="W2918" s="130" t="str">
        <f t="shared" si="55"/>
        <v>1w</v>
      </c>
      <c r="X2918" s="128">
        <f>_xll.qlCalendarAdvance(Calendar,X2917,W2918,"f",FALSE)</f>
        <v>59602</v>
      </c>
      <c r="Y2918" s="131">
        <f>_xll.qlCalendarAdvance(Calendar,X2918,NDays&amp;"D")</f>
        <v>59604</v>
      </c>
      <c r="Z2918" s="132">
        <v>9.6294926853551423E-3</v>
      </c>
      <c r="AA2918" s="129">
        <v>9.6004173048669372E-3</v>
      </c>
    </row>
    <row r="2919" spans="19:27" x14ac:dyDescent="0.2">
      <c r="S2919" s="1"/>
      <c r="T2919" s="109"/>
      <c r="W2919" s="130" t="str">
        <f t="shared" si="55"/>
        <v>1w</v>
      </c>
      <c r="X2919" s="128">
        <f>_xll.qlCalendarAdvance(Calendar,X2918,W2919,"f",FALSE)</f>
        <v>59609</v>
      </c>
      <c r="Y2919" s="131">
        <f>_xll.qlCalendarAdvance(Calendar,X2919,NDays&amp;"D")</f>
        <v>59611</v>
      </c>
      <c r="Z2919" s="132">
        <v>9.6322556642085121E-3</v>
      </c>
      <c r="AA2919" s="129">
        <v>9.6029652110729558E-3</v>
      </c>
    </row>
    <row r="2920" spans="19:27" x14ac:dyDescent="0.2">
      <c r="S2920" s="1"/>
      <c r="T2920" s="109"/>
      <c r="W2920" s="130" t="str">
        <f t="shared" si="55"/>
        <v>1w</v>
      </c>
      <c r="X2920" s="128">
        <f>_xll.qlCalendarAdvance(Calendar,X2919,W2920,"f",FALSE)</f>
        <v>59616</v>
      </c>
      <c r="Y2920" s="131">
        <f>_xll.qlCalendarAdvance(Calendar,X2920,NDays&amp;"D")</f>
        <v>59618</v>
      </c>
      <c r="Z2920" s="132">
        <v>9.6350507788894972E-3</v>
      </c>
      <c r="AA2920" s="129">
        <v>9.6055451731036356E-3</v>
      </c>
    </row>
    <row r="2921" spans="19:27" x14ac:dyDescent="0.2">
      <c r="S2921" s="1"/>
      <c r="T2921" s="109"/>
      <c r="W2921" s="130" t="str">
        <f t="shared" si="55"/>
        <v>1w</v>
      </c>
      <c r="X2921" s="128">
        <f>_xll.qlCalendarAdvance(Calendar,X2920,W2921,"f",FALSE)</f>
        <v>59623</v>
      </c>
      <c r="Y2921" s="131">
        <f>_xll.qlCalendarAdvance(Calendar,X2921,NDays&amp;"D")</f>
        <v>59625</v>
      </c>
      <c r="Z2921" s="132">
        <v>9.6368676679274186E-3</v>
      </c>
      <c r="AA2921" s="129">
        <v>9.6081571909323316E-3</v>
      </c>
    </row>
    <row r="2922" spans="19:27" x14ac:dyDescent="0.2">
      <c r="S2922" s="1"/>
      <c r="T2922" s="109"/>
      <c r="W2922" s="130" t="str">
        <f t="shared" si="55"/>
        <v>1w</v>
      </c>
      <c r="X2922" s="128">
        <f>_xll.qlCalendarAdvance(Calendar,X2921,W2922,"f",FALSE)</f>
        <v>59630</v>
      </c>
      <c r="Y2922" s="131">
        <f>_xll.qlCalendarAdvance(Calendar,X2922,NDays&amp;"D")</f>
        <v>59632</v>
      </c>
      <c r="Z2922" s="132">
        <v>9.6397199393504236E-3</v>
      </c>
      <c r="AA2922" s="129">
        <v>9.6108012646389795E-3</v>
      </c>
    </row>
    <row r="2923" spans="19:27" x14ac:dyDescent="0.2">
      <c r="S2923" s="1"/>
      <c r="T2923" s="109"/>
      <c r="W2923" s="130" t="str">
        <f t="shared" si="55"/>
        <v>1w</v>
      </c>
      <c r="X2923" s="128">
        <f>_xll.qlCalendarAdvance(Calendar,X2922,W2923,"f",FALSE)</f>
        <v>59637</v>
      </c>
      <c r="Y2923" s="131">
        <f>_xll.qlCalendarAdvance(Calendar,X2923,NDays&amp;"D")</f>
        <v>59643</v>
      </c>
      <c r="Z2923" s="132">
        <v>9.6442670027188926E-3</v>
      </c>
      <c r="AA2923" s="129">
        <v>9.6143771321077764E-3</v>
      </c>
    </row>
    <row r="2924" spans="19:27" x14ac:dyDescent="0.2">
      <c r="S2924" s="1"/>
      <c r="T2924" s="109"/>
      <c r="W2924" s="130" t="str">
        <f t="shared" si="55"/>
        <v>1w</v>
      </c>
      <c r="X2924" s="128">
        <f>_xll.qlCalendarAdvance(Calendar,X2923,W2924,"f",FALSE)</f>
        <v>59644</v>
      </c>
      <c r="Y2924" s="131">
        <f>_xll.qlCalendarAdvance(Calendar,X2924,NDays&amp;"D")</f>
        <v>59646</v>
      </c>
      <c r="Z2924" s="132">
        <v>9.6455208823941468E-3</v>
      </c>
      <c r="AA2924" s="129">
        <v>9.6161855794196782E-3</v>
      </c>
    </row>
    <row r="2925" spans="19:27" x14ac:dyDescent="0.2">
      <c r="S2925" s="1"/>
      <c r="T2925" s="109"/>
      <c r="W2925" s="130" t="str">
        <f t="shared" si="55"/>
        <v>1w</v>
      </c>
      <c r="X2925" s="128">
        <f>_xll.qlCalendarAdvance(Calendar,X2924,W2925,"f",FALSE)</f>
        <v>59651</v>
      </c>
      <c r="Y2925" s="131">
        <f>_xll.qlCalendarAdvance(Calendar,X2925,NDays&amp;"D")</f>
        <v>59653</v>
      </c>
      <c r="Z2925" s="132">
        <v>9.6484695541562918E-3</v>
      </c>
      <c r="AA2925" s="129">
        <v>9.618925820573665E-3</v>
      </c>
    </row>
    <row r="2926" spans="19:27" x14ac:dyDescent="0.2">
      <c r="S2926" s="1"/>
      <c r="T2926" s="109"/>
      <c r="W2926" s="130" t="str">
        <f t="shared" si="55"/>
        <v>1w</v>
      </c>
      <c r="X2926" s="128">
        <f>_xll.qlCalendarAdvance(Calendar,X2925,W2926,"f",FALSE)</f>
        <v>59658</v>
      </c>
      <c r="Y2926" s="131">
        <f>_xll.qlCalendarAdvance(Calendar,X2926,NDays&amp;"D")</f>
        <v>59660</v>
      </c>
      <c r="Z2926" s="132">
        <v>9.6524963232824182E-3</v>
      </c>
      <c r="AA2926" s="129">
        <v>9.6216981175523131E-3</v>
      </c>
    </row>
    <row r="2927" spans="19:27" x14ac:dyDescent="0.2">
      <c r="S2927" s="1"/>
      <c r="T2927" s="109"/>
      <c r="W2927" s="130" t="str">
        <f t="shared" si="55"/>
        <v>1w</v>
      </c>
      <c r="X2927" s="128">
        <f>_xll.qlCalendarAdvance(Calendar,X2926,W2927,"f",FALSE)</f>
        <v>59665</v>
      </c>
      <c r="Y2927" s="131">
        <f>_xll.qlCalendarAdvance(Calendar,X2927,NDays&amp;"D")</f>
        <v>59667</v>
      </c>
      <c r="Z2927" s="132">
        <v>9.6555163907491651E-3</v>
      </c>
      <c r="AA2927" s="129">
        <v>9.6245024703289772E-3</v>
      </c>
    </row>
    <row r="2928" spans="19:27" x14ac:dyDescent="0.2">
      <c r="S2928" s="1"/>
      <c r="T2928" s="109"/>
      <c r="W2928" s="130" t="str">
        <f t="shared" si="55"/>
        <v>1w</v>
      </c>
      <c r="X2928" s="128">
        <f>_xll.qlCalendarAdvance(Calendar,X2927,W2928,"f",FALSE)</f>
        <v>59672</v>
      </c>
      <c r="Y2928" s="131">
        <f>_xll.qlCalendarAdvance(Calendar,X2928,NDays&amp;"D")</f>
        <v>59674</v>
      </c>
      <c r="Z2928" s="132">
        <v>9.6585685946251904E-3</v>
      </c>
      <c r="AA2928" s="129">
        <v>9.6273388790102388E-3</v>
      </c>
    </row>
    <row r="2929" spans="19:27" x14ac:dyDescent="0.2">
      <c r="S2929" s="1"/>
      <c r="T2929" s="109"/>
      <c r="W2929" s="130" t="str">
        <f t="shared" si="55"/>
        <v>1w</v>
      </c>
      <c r="X2929" s="128">
        <f>_xll.qlCalendarAdvance(Calendar,X2928,W2929,"f",FALSE)</f>
        <v>59679</v>
      </c>
      <c r="Y2929" s="131">
        <f>_xll.qlCalendarAdvance(Calendar,X2929,NDays&amp;"D")</f>
        <v>59681</v>
      </c>
      <c r="Z2929" s="132">
        <v>9.6616529349878785E-3</v>
      </c>
      <c r="AA2929" s="129">
        <v>9.6302073434895163E-3</v>
      </c>
    </row>
    <row r="2930" spans="19:27" x14ac:dyDescent="0.2">
      <c r="S2930" s="1"/>
      <c r="T2930" s="109"/>
      <c r="W2930" s="130" t="str">
        <f t="shared" si="55"/>
        <v>1w</v>
      </c>
      <c r="X2930" s="128">
        <f>_xll.qlCalendarAdvance(Calendar,X2929,W2930,"f",FALSE)</f>
        <v>59686</v>
      </c>
      <c r="Y2930" s="131">
        <f>_xll.qlCalendarAdvance(Calendar,X2930,NDays&amp;"D")</f>
        <v>59688</v>
      </c>
      <c r="Z2930" s="132">
        <v>9.6647694119137637E-3</v>
      </c>
      <c r="AA2930" s="129">
        <v>9.6331078637934553E-3</v>
      </c>
    </row>
    <row r="2931" spans="19:27" x14ac:dyDescent="0.2">
      <c r="S2931" s="1"/>
      <c r="T2931" s="109"/>
      <c r="W2931" s="130" t="str">
        <f t="shared" si="55"/>
        <v>1w</v>
      </c>
      <c r="X2931" s="128">
        <f>_xll.qlCalendarAdvance(Calendar,X2930,W2931,"f",FALSE)</f>
        <v>59693</v>
      </c>
      <c r="Y2931" s="131">
        <f>_xll.qlCalendarAdvance(Calendar,X2931,NDays&amp;"D")</f>
        <v>59695</v>
      </c>
      <c r="Z2931" s="132">
        <v>9.6679180254819318E-3</v>
      </c>
      <c r="AA2931" s="129">
        <v>9.636040439948701E-3</v>
      </c>
    </row>
    <row r="2932" spans="19:27" x14ac:dyDescent="0.2">
      <c r="S2932" s="1"/>
      <c r="T2932" s="109"/>
      <c r="W2932" s="130" t="str">
        <f t="shared" si="55"/>
        <v>1w</v>
      </c>
      <c r="X2932" s="128">
        <f>_xll.qlCalendarAdvance(Calendar,X2931,W2932,"f",FALSE)</f>
        <v>59700</v>
      </c>
      <c r="Y2932" s="131">
        <f>_xll.qlCalendarAdvance(Calendar,X2932,NDays&amp;"D")</f>
        <v>59702</v>
      </c>
      <c r="Z2932" s="132">
        <v>9.6710987757706209E-3</v>
      </c>
      <c r="AA2932" s="129">
        <v>9.639005071928608E-3</v>
      </c>
    </row>
    <row r="2933" spans="19:27" x14ac:dyDescent="0.2">
      <c r="S2933" s="1"/>
      <c r="T2933" s="109"/>
      <c r="W2933" s="130" t="str">
        <f t="shared" si="55"/>
        <v>1w</v>
      </c>
      <c r="X2933" s="128">
        <f>_xll.qlCalendarAdvance(Calendar,X2932,W2933,"f",FALSE)</f>
        <v>59707</v>
      </c>
      <c r="Y2933" s="131">
        <f>_xll.qlCalendarAdvance(Calendar,X2933,NDays&amp;"D")</f>
        <v>59709</v>
      </c>
      <c r="Z2933" s="132">
        <v>9.6743116628597633E-3</v>
      </c>
      <c r="AA2933" s="129">
        <v>9.6420017598131125E-3</v>
      </c>
    </row>
    <row r="2934" spans="19:27" x14ac:dyDescent="0.2">
      <c r="S2934" s="1"/>
      <c r="T2934" s="109"/>
      <c r="W2934" s="130" t="str">
        <f t="shared" si="55"/>
        <v>1w</v>
      </c>
      <c r="X2934" s="128">
        <f>_xll.qlCalendarAdvance(Calendar,X2933,W2934,"f",FALSE)</f>
        <v>59714</v>
      </c>
      <c r="Y2934" s="131">
        <f>_xll.qlCalendarAdvance(Calendar,X2934,NDays&amp;"D")</f>
        <v>59716</v>
      </c>
      <c r="Z2934" s="132">
        <v>9.676453620371353E-3</v>
      </c>
      <c r="AA2934" s="129">
        <v>9.645030503495633E-3</v>
      </c>
    </row>
    <row r="2935" spans="19:27" x14ac:dyDescent="0.2">
      <c r="S2935" s="1"/>
      <c r="T2935" s="109"/>
      <c r="W2935" s="130" t="str">
        <f t="shared" si="55"/>
        <v>1w</v>
      </c>
      <c r="X2935" s="128">
        <f>_xll.qlCalendarAdvance(Calendar,X2934,W2935,"f",FALSE)</f>
        <v>59721</v>
      </c>
      <c r="Y2935" s="131">
        <f>_xll.qlCalendarAdvance(Calendar,X2935,NDays&amp;"D")</f>
        <v>59723</v>
      </c>
      <c r="Z2935" s="132">
        <v>9.6808338477659614E-3</v>
      </c>
      <c r="AA2935" s="129">
        <v>9.6480913030561055E-3</v>
      </c>
    </row>
    <row r="2936" spans="19:27" x14ac:dyDescent="0.2">
      <c r="S2936" s="1"/>
      <c r="T2936" s="109"/>
      <c r="W2936" s="130" t="str">
        <f t="shared" si="55"/>
        <v>1w</v>
      </c>
      <c r="X2936" s="128">
        <f>_xll.qlCalendarAdvance(Calendar,X2935,W2936,"f",FALSE)</f>
        <v>59728</v>
      </c>
      <c r="Y2936" s="131">
        <f>_xll.qlCalendarAdvance(Calendar,X2936,NDays&amp;"D")</f>
        <v>59730</v>
      </c>
      <c r="Z2936" s="132">
        <v>9.6841431457437375E-3</v>
      </c>
      <c r="AA2936" s="129">
        <v>9.6511841584412394E-3</v>
      </c>
    </row>
    <row r="2937" spans="19:27" x14ac:dyDescent="0.2">
      <c r="S2937" s="1"/>
      <c r="T2937" s="109"/>
      <c r="W2937" s="130" t="str">
        <f t="shared" si="55"/>
        <v>1w</v>
      </c>
      <c r="X2937" s="128">
        <f>_xll.qlCalendarAdvance(Calendar,X2936,W2937,"f",FALSE)</f>
        <v>59735</v>
      </c>
      <c r="Y2937" s="131">
        <f>_xll.qlCalendarAdvance(Calendar,X2937,NDays&amp;"D")</f>
        <v>59737</v>
      </c>
      <c r="Z2937" s="132">
        <v>9.6874845808502183E-3</v>
      </c>
      <c r="AA2937" s="129">
        <v>9.6543090696776801E-3</v>
      </c>
    </row>
    <row r="2938" spans="19:27" x14ac:dyDescent="0.2">
      <c r="S2938" s="1"/>
      <c r="T2938" s="109"/>
      <c r="W2938" s="130" t="str">
        <f t="shared" si="55"/>
        <v>1w</v>
      </c>
      <c r="X2938" s="128">
        <f>_xll.qlCalendarAdvance(Calendar,X2937,W2938,"f",FALSE)</f>
        <v>59742</v>
      </c>
      <c r="Y2938" s="131">
        <f>_xll.qlCalendarAdvance(Calendar,X2938,NDays&amp;"D")</f>
        <v>59744</v>
      </c>
      <c r="Z2938" s="132">
        <v>9.6908581531712883E-3</v>
      </c>
      <c r="AA2938" s="129">
        <v>9.6574660368187182E-3</v>
      </c>
    </row>
    <row r="2939" spans="19:27" x14ac:dyDescent="0.2">
      <c r="S2939" s="1"/>
      <c r="T2939" s="109"/>
      <c r="W2939" s="130" t="str">
        <f t="shared" si="55"/>
        <v>1w</v>
      </c>
      <c r="X2939" s="128">
        <f>_xll.qlCalendarAdvance(Calendar,X2938,W2939,"f",FALSE)</f>
        <v>59749</v>
      </c>
      <c r="Y2939" s="131">
        <f>_xll.qlCalendarAdvance(Calendar,X2939,NDays&amp;"D")</f>
        <v>59751</v>
      </c>
      <c r="Z2939" s="132">
        <v>9.6942638627868886E-3</v>
      </c>
      <c r="AA2939" s="129">
        <v>9.6606550597844176E-3</v>
      </c>
    </row>
    <row r="2940" spans="19:27" x14ac:dyDescent="0.2">
      <c r="S2940" s="1"/>
      <c r="T2940" s="109"/>
      <c r="W2940" s="130" t="str">
        <f t="shared" si="55"/>
        <v>1w</v>
      </c>
      <c r="X2940" s="128">
        <f>_xll.qlCalendarAdvance(Calendar,X2939,W2940,"f",FALSE)</f>
        <v>59756</v>
      </c>
      <c r="Y2940" s="131">
        <f>_xll.qlCalendarAdvance(Calendar,X2940,NDays&amp;"D")</f>
        <v>59758</v>
      </c>
      <c r="Z2940" s="132">
        <v>9.6977017097854556E-3</v>
      </c>
      <c r="AA2940" s="129">
        <v>9.6638761386280692E-3</v>
      </c>
    </row>
    <row r="2941" spans="19:27" x14ac:dyDescent="0.2">
      <c r="S2941" s="1"/>
      <c r="T2941" s="109"/>
      <c r="W2941" s="130" t="str">
        <f t="shared" si="55"/>
        <v>1w</v>
      </c>
      <c r="X2941" s="128">
        <f>_xll.qlCalendarAdvance(Calendar,X2940,W2941,"f",FALSE)</f>
        <v>59763</v>
      </c>
      <c r="Y2941" s="131">
        <f>_xll.qlCalendarAdvance(Calendar,X2941,NDays&amp;"D")</f>
        <v>59765</v>
      </c>
      <c r="Z2941" s="132">
        <v>9.7011716942520271E-3</v>
      </c>
      <c r="AA2941" s="129">
        <v>9.6671292733230274E-3</v>
      </c>
    </row>
    <row r="2942" spans="19:27" x14ac:dyDescent="0.2">
      <c r="S2942" s="1"/>
      <c r="T2942" s="109"/>
      <c r="W2942" s="130" t="str">
        <f t="shared" si="55"/>
        <v>1w</v>
      </c>
      <c r="X2942" s="128">
        <f>_xll.qlCalendarAdvance(Calendar,X2941,W2942,"f",FALSE)</f>
        <v>59770</v>
      </c>
      <c r="Y2942" s="131">
        <f>_xll.qlCalendarAdvance(Calendar,X2942,NDays&amp;"D")</f>
        <v>59772</v>
      </c>
      <c r="Z2942" s="132">
        <v>9.7046738162758963E-3</v>
      </c>
      <c r="AA2942" s="129">
        <v>9.6704144638959377E-3</v>
      </c>
    </row>
    <row r="2943" spans="19:27" x14ac:dyDescent="0.2">
      <c r="S2943" s="1"/>
      <c r="T2943" s="109"/>
      <c r="W2943" s="130" t="str">
        <f t="shared" si="55"/>
        <v>1w</v>
      </c>
      <c r="X2943" s="128">
        <f>_xll.qlCalendarAdvance(Calendar,X2942,W2943,"f",FALSE)</f>
        <v>59777</v>
      </c>
      <c r="Y2943" s="131">
        <f>_xll.qlCalendarAdvance(Calendar,X2943,NDays&amp;"D")</f>
        <v>59779</v>
      </c>
      <c r="Z2943" s="132">
        <v>9.7070405627998797E-3</v>
      </c>
      <c r="AA2943" s="129">
        <v>9.6737317103201548E-3</v>
      </c>
    </row>
    <row r="2944" spans="19:27" x14ac:dyDescent="0.2">
      <c r="S2944" s="1"/>
      <c r="T2944" s="109"/>
      <c r="W2944" s="130" t="str">
        <f t="shared" si="55"/>
        <v>1w</v>
      </c>
      <c r="X2944" s="128">
        <f>_xll.qlCalendarAdvance(Calendar,X2943,W2944,"f",FALSE)</f>
        <v>59784</v>
      </c>
      <c r="Y2944" s="131">
        <f>_xll.qlCalendarAdvance(Calendar,X2944,NDays&amp;"D")</f>
        <v>59786</v>
      </c>
      <c r="Z2944" s="132">
        <v>9.7105997858954705E-3</v>
      </c>
      <c r="AA2944" s="129">
        <v>9.6770810126223239E-3</v>
      </c>
    </row>
    <row r="2945" spans="19:27" x14ac:dyDescent="0.2">
      <c r="S2945" s="1"/>
      <c r="T2945" s="109"/>
      <c r="W2945" s="130" t="str">
        <f t="shared" si="55"/>
        <v>1w</v>
      </c>
      <c r="X2945" s="128">
        <f>_xll.qlCalendarAdvance(Calendar,X2944,W2945,"f",FALSE)</f>
        <v>59791</v>
      </c>
      <c r="Y2945" s="131">
        <f>_xll.qlCalendarAdvance(Calendar,X2945,NDays&amp;"D")</f>
        <v>59793</v>
      </c>
      <c r="Z2945" s="132">
        <v>9.7141911440917963E-3</v>
      </c>
      <c r="AA2945" s="129">
        <v>9.6804623708557358E-3</v>
      </c>
    </row>
    <row r="2946" spans="19:27" x14ac:dyDescent="0.2">
      <c r="S2946" s="1"/>
      <c r="T2946" s="109"/>
      <c r="W2946" s="130" t="str">
        <f t="shared" si="55"/>
        <v>1w</v>
      </c>
      <c r="X2946" s="128">
        <f>_xll.qlCalendarAdvance(Calendar,X2945,W2946,"f",FALSE)</f>
        <v>59798</v>
      </c>
      <c r="Y2946" s="131">
        <f>_xll.qlCalendarAdvance(Calendar,X2946,NDays&amp;"D")</f>
        <v>59800</v>
      </c>
      <c r="Z2946" s="132">
        <v>9.7178146374731836E-3</v>
      </c>
      <c r="AA2946" s="129">
        <v>9.6838757849138091E-3</v>
      </c>
    </row>
    <row r="2947" spans="19:27" x14ac:dyDescent="0.2">
      <c r="S2947" s="1"/>
      <c r="T2947" s="109"/>
      <c r="W2947" s="130" t="str">
        <f t="shared" si="55"/>
        <v>1w</v>
      </c>
      <c r="X2947" s="128">
        <f>_xll.qlCalendarAdvance(Calendar,X2946,W2947,"f",FALSE)</f>
        <v>59805</v>
      </c>
      <c r="Y2947" s="131">
        <f>_xll.qlCalendarAdvance(Calendar,X2947,NDays&amp;"D")</f>
        <v>59807</v>
      </c>
      <c r="Z2947" s="132">
        <v>9.7226664928330726E-3</v>
      </c>
      <c r="AA2947" s="129">
        <v>9.6873212548231891E-3</v>
      </c>
    </row>
    <row r="2948" spans="19:27" x14ac:dyDescent="0.2">
      <c r="S2948" s="1"/>
      <c r="T2948" s="109"/>
      <c r="W2948" s="130" t="str">
        <f t="shared" si="55"/>
        <v>1w</v>
      </c>
      <c r="X2948" s="128">
        <f>_xll.qlCalendarAdvance(Calendar,X2947,W2948,"f",FALSE)</f>
        <v>59812</v>
      </c>
      <c r="Y2948" s="131">
        <f>_xll.qlCalendarAdvance(Calendar,X2948,NDays&amp;"D")</f>
        <v>59814</v>
      </c>
      <c r="Z2948" s="132">
        <v>9.7263614420673109E-3</v>
      </c>
      <c r="AA2948" s="129">
        <v>9.6907987807171025E-3</v>
      </c>
    </row>
    <row r="2949" spans="19:27" x14ac:dyDescent="0.2">
      <c r="S2949" s="1"/>
      <c r="T2949" s="109"/>
      <c r="W2949" s="130" t="str">
        <f t="shared" si="55"/>
        <v>1w</v>
      </c>
      <c r="X2949" s="128">
        <f>_xll.qlCalendarAdvance(Calendar,X2948,W2949,"f",FALSE)</f>
        <v>59819</v>
      </c>
      <c r="Y2949" s="131">
        <f>_xll.qlCalendarAdvance(Calendar,X2949,NDays&amp;"D")</f>
        <v>59821</v>
      </c>
      <c r="Z2949" s="132">
        <v>9.73008852948898E-3</v>
      </c>
      <c r="AA2949" s="129">
        <v>9.6943083624356774E-3</v>
      </c>
    </row>
    <row r="2950" spans="19:27" x14ac:dyDescent="0.2">
      <c r="S2950" s="1"/>
      <c r="T2950" s="109"/>
      <c r="W2950" s="130" t="str">
        <f t="shared" si="55"/>
        <v>1w</v>
      </c>
      <c r="X2950" s="128">
        <f>_xll.qlCalendarAdvance(Calendar,X2949,W2950,"f",FALSE)</f>
        <v>59826</v>
      </c>
      <c r="Y2950" s="131">
        <f>_xll.qlCalendarAdvance(Calendar,X2950,NDays&amp;"D")</f>
        <v>59828</v>
      </c>
      <c r="Z2950" s="132">
        <v>9.7338477551907714E-3</v>
      </c>
      <c r="AA2950" s="129">
        <v>9.6978500000322043E-3</v>
      </c>
    </row>
    <row r="2951" spans="19:27" x14ac:dyDescent="0.2">
      <c r="S2951" s="1"/>
      <c r="T2951" s="109"/>
      <c r="W2951" s="130" t="str">
        <f t="shared" si="55"/>
        <v>1w</v>
      </c>
      <c r="X2951" s="128">
        <f>_xll.qlCalendarAdvance(Calendar,X2950,W2951,"f",FALSE)</f>
        <v>59833</v>
      </c>
      <c r="Y2951" s="131">
        <f>_xll.qlCalendarAdvance(Calendar,X2951,NDays&amp;"D")</f>
        <v>59835</v>
      </c>
      <c r="Z2951" s="132">
        <v>9.7376391192713282E-3</v>
      </c>
      <c r="AA2951" s="129">
        <v>9.701423693559974E-3</v>
      </c>
    </row>
    <row r="2952" spans="19:27" x14ac:dyDescent="0.2">
      <c r="S2952" s="1"/>
      <c r="T2952" s="109"/>
      <c r="W2952" s="130" t="str">
        <f t="shared" si="55"/>
        <v>1w</v>
      </c>
      <c r="X2952" s="128">
        <f>_xll.qlCalendarAdvance(Calendar,X2951,W2952,"f",FALSE)</f>
        <v>59840</v>
      </c>
      <c r="Y2952" s="131">
        <f>_xll.qlCalendarAdvance(Calendar,X2952,NDays&amp;"D")</f>
        <v>59842</v>
      </c>
      <c r="Z2952" s="132">
        <v>9.7414626218224939E-3</v>
      </c>
      <c r="AA2952" s="129">
        <v>9.7050294429656958E-3</v>
      </c>
    </row>
    <row r="2953" spans="19:27" x14ac:dyDescent="0.2">
      <c r="S2953" s="1"/>
      <c r="T2953" s="109"/>
      <c r="W2953" s="130" t="str">
        <f t="shared" si="55"/>
        <v>1w</v>
      </c>
      <c r="X2953" s="128">
        <f>_xll.qlCalendarAdvance(Calendar,X2952,W2953,"f",FALSE)</f>
        <v>59847</v>
      </c>
      <c r="Y2953" s="131">
        <f>_xll.qlCalendarAdvance(Calendar,X2953,NDays&amp;"D")</f>
        <v>59849</v>
      </c>
      <c r="Z2953" s="132">
        <v>9.7453182629403615E-3</v>
      </c>
      <c r="AA2953" s="129">
        <v>9.7086672482493697E-3</v>
      </c>
    </row>
    <row r="2954" spans="19:27" x14ac:dyDescent="0.2">
      <c r="S2954" s="1"/>
      <c r="T2954" s="109"/>
      <c r="W2954" s="130" t="str">
        <f t="shared" si="55"/>
        <v>1w</v>
      </c>
      <c r="X2954" s="128">
        <f>_xll.qlCalendarAdvance(Calendar,X2953,W2954,"f",FALSE)</f>
        <v>59854</v>
      </c>
      <c r="Y2954" s="131">
        <f>_xll.qlCalendarAdvance(Calendar,X2954,NDays&amp;"D")</f>
        <v>59856</v>
      </c>
      <c r="Z2954" s="132">
        <v>9.7492060427235763E-3</v>
      </c>
      <c r="AA2954" s="129">
        <v>9.7123371094642863E-3</v>
      </c>
    </row>
    <row r="2955" spans="19:27" x14ac:dyDescent="0.2">
      <c r="S2955" s="1"/>
      <c r="T2955" s="109"/>
      <c r="W2955" s="130" t="str">
        <f t="shared" si="55"/>
        <v>1w</v>
      </c>
      <c r="X2955" s="128">
        <f>_xll.qlCalendarAdvance(Calendar,X2954,W2955,"f",FALSE)</f>
        <v>59861</v>
      </c>
      <c r="Y2955" s="131">
        <f>_xll.qlCalendarAdvance(Calendar,X2955,NDays&amp;"D")</f>
        <v>59863</v>
      </c>
      <c r="Z2955" s="132">
        <v>9.7531259612682279E-3</v>
      </c>
      <c r="AA2955" s="129">
        <v>9.7160390265838004E-3</v>
      </c>
    </row>
    <row r="2956" spans="19:27" x14ac:dyDescent="0.2">
      <c r="S2956" s="1"/>
      <c r="T2956" s="109"/>
      <c r="W2956" s="130" t="str">
        <f t="shared" si="55"/>
        <v>1w</v>
      </c>
      <c r="X2956" s="128">
        <f>_xll.qlCalendarAdvance(Calendar,X2955,W2956,"f",FALSE)</f>
        <v>59868</v>
      </c>
      <c r="Y2956" s="131">
        <f>_xll.qlCalendarAdvance(Calendar,X2956,NDays&amp;"D")</f>
        <v>59870</v>
      </c>
      <c r="Z2956" s="132">
        <v>9.7558170263054491E-3</v>
      </c>
      <c r="AA2956" s="129">
        <v>9.7197729995812665E-3</v>
      </c>
    </row>
    <row r="2957" spans="19:27" x14ac:dyDescent="0.2">
      <c r="S2957" s="1"/>
      <c r="T2957" s="109"/>
      <c r="W2957" s="130" t="str">
        <f t="shared" si="55"/>
        <v>1w</v>
      </c>
      <c r="X2957" s="128">
        <f>_xll.qlCalendarAdvance(Calendar,X2956,W2957,"f",FALSE)</f>
        <v>59875</v>
      </c>
      <c r="Y2957" s="131">
        <f>_xll.qlCalendarAdvance(Calendar,X2957,NDays&amp;"D")</f>
        <v>59877</v>
      </c>
      <c r="Z2957" s="132">
        <v>9.7597940127238762E-3</v>
      </c>
      <c r="AA2957" s="129">
        <v>9.7235390285366208E-3</v>
      </c>
    </row>
    <row r="2958" spans="19:27" x14ac:dyDescent="0.2">
      <c r="S2958" s="1"/>
      <c r="T2958" s="109"/>
      <c r="W2958" s="130" t="str">
        <f t="shared" si="55"/>
        <v>1w</v>
      </c>
      <c r="X2958" s="128">
        <f>_xll.qlCalendarAdvance(Calendar,X2957,W2958,"f",FALSE)</f>
        <v>59882</v>
      </c>
      <c r="Y2958" s="131">
        <f>_xll.qlCalendarAdvance(Calendar,X2958,NDays&amp;"D")</f>
        <v>59884</v>
      </c>
      <c r="Z2958" s="132">
        <v>9.7638031354359296E-3</v>
      </c>
      <c r="AA2958" s="129">
        <v>9.7273371133965725E-3</v>
      </c>
    </row>
    <row r="2959" spans="19:27" x14ac:dyDescent="0.2">
      <c r="S2959" s="1"/>
      <c r="T2959" s="109"/>
      <c r="W2959" s="130" t="str">
        <f t="shared" si="55"/>
        <v>1w</v>
      </c>
      <c r="X2959" s="128">
        <f>_xll.qlCalendarAdvance(Calendar,X2958,W2959,"f",FALSE)</f>
        <v>59889</v>
      </c>
      <c r="Y2959" s="131">
        <f>_xll.qlCalendarAdvance(Calendar,X2959,NDays&amp;"D")</f>
        <v>59891</v>
      </c>
      <c r="Z2959" s="132">
        <v>9.7678443945391144E-3</v>
      </c>
      <c r="AA2959" s="129">
        <v>9.7311672541344763E-3</v>
      </c>
    </row>
    <row r="2960" spans="19:27" x14ac:dyDescent="0.2">
      <c r="S2960" s="1"/>
      <c r="T2960" s="109"/>
      <c r="W2960" s="130" t="str">
        <f t="shared" si="55"/>
        <v>1w</v>
      </c>
      <c r="X2960" s="128">
        <f>_xll.qlCalendarAdvance(Calendar,X2959,W2960,"f",FALSE)</f>
        <v>59897</v>
      </c>
      <c r="Y2960" s="131">
        <f>_xll.qlCalendarAdvance(Calendar,X2960,NDays&amp;"D")</f>
        <v>59901</v>
      </c>
      <c r="Z2960" s="132">
        <v>9.7736733688287333E-3</v>
      </c>
      <c r="AA2960" s="129">
        <v>9.73628478024402E-3</v>
      </c>
    </row>
    <row r="2961" spans="19:27" x14ac:dyDescent="0.2">
      <c r="S2961" s="1"/>
      <c r="T2961" s="109"/>
      <c r="W2961" s="130" t="str">
        <f t="shared" si="55"/>
        <v>1w</v>
      </c>
      <c r="X2961" s="128">
        <f>_xll.qlCalendarAdvance(Calendar,X2960,W2961,"f",FALSE)</f>
        <v>59904</v>
      </c>
      <c r="Y2961" s="131">
        <f>_xll.qlCalendarAdvance(Calendar,X2961,NDays&amp;"D")</f>
        <v>59908</v>
      </c>
      <c r="Z2961" s="132">
        <v>9.778225824989913E-3</v>
      </c>
      <c r="AA2961" s="129">
        <v>9.7397785053132679E-3</v>
      </c>
    </row>
    <row r="2962" spans="19:27" x14ac:dyDescent="0.2">
      <c r="S2962" s="1"/>
      <c r="T2962" s="109"/>
      <c r="W2962" s="130" t="str">
        <f t="shared" si="55"/>
        <v>1w</v>
      </c>
      <c r="X2962" s="128">
        <f>_xll.qlCalendarAdvance(Calendar,X2961,W2962,"f",FALSE)</f>
        <v>59911</v>
      </c>
      <c r="Y2962" s="131">
        <f>_xll.qlCalendarAdvance(Calendar,X2962,NDays&amp;"D")</f>
        <v>59915</v>
      </c>
      <c r="Z2962" s="132">
        <v>9.7819441156370372E-3</v>
      </c>
      <c r="AA2962" s="129">
        <v>9.7437137595957068E-3</v>
      </c>
    </row>
    <row r="2963" spans="19:27" x14ac:dyDescent="0.2">
      <c r="S2963" s="1"/>
      <c r="T2963" s="109"/>
      <c r="W2963" s="130" t="str">
        <f t="shared" si="55"/>
        <v>1w</v>
      </c>
      <c r="X2963" s="128">
        <f>_xll.qlCalendarAdvance(Calendar,X2962,W2963,"f",FALSE)</f>
        <v>59918</v>
      </c>
      <c r="Y2963" s="131">
        <f>_xll.qlCalendarAdvance(Calendar,X2963,NDays&amp;"D")</f>
        <v>59922</v>
      </c>
      <c r="Z2963" s="132">
        <v>9.7861276942432188E-3</v>
      </c>
      <c r="AA2963" s="129">
        <v>9.7476810681573767E-3</v>
      </c>
    </row>
    <row r="2964" spans="19:27" x14ac:dyDescent="0.2">
      <c r="S2964" s="1"/>
      <c r="T2964" s="109"/>
      <c r="W2964" s="130" t="str">
        <f t="shared" si="55"/>
        <v>1w</v>
      </c>
      <c r="X2964" s="128">
        <f>_xll.qlCalendarAdvance(Calendar,X2963,W2964,"f",FALSE)</f>
        <v>59925</v>
      </c>
      <c r="Y2964" s="131">
        <f>_xll.qlCalendarAdvance(Calendar,X2964,NDays&amp;"D")</f>
        <v>59929</v>
      </c>
      <c r="Z2964" s="132">
        <v>9.7903434097816339E-3</v>
      </c>
      <c r="AA2964" s="129">
        <v>9.7516804307584692E-3</v>
      </c>
    </row>
    <row r="2965" spans="19:27" x14ac:dyDescent="0.2">
      <c r="S2965" s="1"/>
      <c r="T2965" s="109"/>
      <c r="W2965" s="130" t="str">
        <f t="shared" ref="W2965:W3028" si="56">W2964</f>
        <v>1w</v>
      </c>
      <c r="X2965" s="128">
        <f>_xll.qlCalendarAdvance(Calendar,X2964,W2965,"f",FALSE)</f>
        <v>59932</v>
      </c>
      <c r="Y2965" s="131">
        <f>_xll.qlCalendarAdvance(Calendar,X2965,NDays&amp;"D")</f>
        <v>59936</v>
      </c>
      <c r="Z2965" s="132">
        <v>9.7945912623585759E-3</v>
      </c>
      <c r="AA2965" s="129">
        <v>9.7557118473190485E-3</v>
      </c>
    </row>
    <row r="2966" spans="19:27" x14ac:dyDescent="0.2">
      <c r="S2966" s="1"/>
      <c r="T2966" s="109"/>
      <c r="W2966" s="130" t="str">
        <f t="shared" si="56"/>
        <v>1w</v>
      </c>
      <c r="X2966" s="128">
        <f>_xll.qlCalendarAdvance(Calendar,X2965,W2966,"f",FALSE)</f>
        <v>59939</v>
      </c>
      <c r="Y2966" s="131">
        <f>_xll.qlCalendarAdvance(Calendar,X2966,NDays&amp;"D")</f>
        <v>59943</v>
      </c>
      <c r="Z2966" s="132">
        <v>9.7988712520750594E-3</v>
      </c>
      <c r="AA2966" s="129">
        <v>9.7597753182387947E-3</v>
      </c>
    </row>
    <row r="2967" spans="19:27" x14ac:dyDescent="0.2">
      <c r="S2967" s="1"/>
      <c r="T2967" s="109"/>
      <c r="W2967" s="130" t="str">
        <f t="shared" si="56"/>
        <v>1w</v>
      </c>
      <c r="X2967" s="128">
        <f>_xll.qlCalendarAdvance(Calendar,X2966,W2967,"f",FALSE)</f>
        <v>59946</v>
      </c>
      <c r="Y2967" s="131">
        <f>_xll.qlCalendarAdvance(Calendar,X2967,NDays&amp;"D")</f>
        <v>59950</v>
      </c>
      <c r="Z2967" s="132">
        <v>9.8031833790391317E-3</v>
      </c>
      <c r="AA2967" s="129">
        <v>9.7638708431979637E-3</v>
      </c>
    </row>
    <row r="2968" spans="19:27" x14ac:dyDescent="0.2">
      <c r="S2968" s="1"/>
      <c r="T2968" s="109"/>
      <c r="W2968" s="130" t="str">
        <f t="shared" si="56"/>
        <v>1w</v>
      </c>
      <c r="X2968" s="128">
        <f>_xll.qlCalendarAdvance(Calendar,X2967,W2968,"f",FALSE)</f>
        <v>59953</v>
      </c>
      <c r="Y2968" s="131">
        <f>_xll.qlCalendarAdvance(Calendar,X2968,NDays&amp;"D")</f>
        <v>59957</v>
      </c>
      <c r="Z2968" s="132">
        <v>9.8075276433509332E-3</v>
      </c>
      <c r="AA2968" s="129">
        <v>9.7679984222764915E-3</v>
      </c>
    </row>
    <row r="2969" spans="19:27" x14ac:dyDescent="0.2">
      <c r="S2969" s="1"/>
      <c r="T2969" s="109"/>
      <c r="W2969" s="130" t="str">
        <f t="shared" si="56"/>
        <v>1w</v>
      </c>
      <c r="X2969" s="128">
        <f>_xll.qlCalendarAdvance(Calendar,X2968,W2969,"f",FALSE)</f>
        <v>59960</v>
      </c>
      <c r="Y2969" s="131">
        <f>_xll.qlCalendarAdvance(Calendar,X2969,NDays&amp;"D")</f>
        <v>59964</v>
      </c>
      <c r="Z2969" s="132">
        <v>9.8123564878615111E-3</v>
      </c>
      <c r="AA2969" s="129">
        <v>9.772158055394442E-3</v>
      </c>
    </row>
    <row r="2970" spans="19:27" x14ac:dyDescent="0.2">
      <c r="S2970" s="1"/>
      <c r="T2970" s="109"/>
      <c r="W2970" s="130" t="str">
        <f t="shared" si="56"/>
        <v>1w</v>
      </c>
      <c r="X2970" s="128">
        <f>_xll.qlCalendarAdvance(Calendar,X2969,W2970,"f",FALSE)</f>
        <v>59967</v>
      </c>
      <c r="Y2970" s="131">
        <f>_xll.qlCalendarAdvance(Calendar,X2970,NDays&amp;"D")</f>
        <v>59971</v>
      </c>
      <c r="Z2970" s="132">
        <v>9.8167674428410439E-3</v>
      </c>
      <c r="AA2970" s="129">
        <v>9.7763497426317514E-3</v>
      </c>
    </row>
    <row r="2971" spans="19:27" x14ac:dyDescent="0.2">
      <c r="S2971" s="1"/>
      <c r="T2971" s="109"/>
      <c r="W2971" s="130" t="str">
        <f t="shared" si="56"/>
        <v>1w</v>
      </c>
      <c r="X2971" s="128">
        <f>_xll.qlCalendarAdvance(Calendar,X2970,W2971,"f",FALSE)</f>
        <v>59974</v>
      </c>
      <c r="Y2971" s="131">
        <f>_xll.qlCalendarAdvance(Calendar,X2971,NDays&amp;"D")</f>
        <v>59978</v>
      </c>
      <c r="Z2971" s="132">
        <v>9.8212105364280048E-3</v>
      </c>
      <c r="AA2971" s="129">
        <v>9.7805734841482916E-3</v>
      </c>
    </row>
    <row r="2972" spans="19:27" x14ac:dyDescent="0.2">
      <c r="S2972" s="1"/>
      <c r="T2972" s="109"/>
      <c r="W2972" s="130" t="str">
        <f t="shared" si="56"/>
        <v>1w</v>
      </c>
      <c r="X2972" s="128">
        <f>_xll.qlCalendarAdvance(Calendar,X2971,W2972,"f",FALSE)</f>
        <v>59981</v>
      </c>
      <c r="Y2972" s="131">
        <f>_xll.qlCalendarAdvance(Calendar,X2972,NDays&amp;"D")</f>
        <v>59985</v>
      </c>
      <c r="Z2972" s="132">
        <v>9.8256857687301323E-3</v>
      </c>
      <c r="AA2972" s="129">
        <v>9.7848292796243186E-3</v>
      </c>
    </row>
    <row r="2973" spans="19:27" x14ac:dyDescent="0.2">
      <c r="S2973" s="1"/>
      <c r="T2973" s="109"/>
      <c r="W2973" s="130" t="str">
        <f t="shared" si="56"/>
        <v>1w</v>
      </c>
      <c r="X2973" s="128">
        <f>_xll.qlCalendarAdvance(Calendar,X2972,W2973,"f",FALSE)</f>
        <v>59988</v>
      </c>
      <c r="Y2973" s="131">
        <f>_xll.qlCalendarAdvance(Calendar,X2973,NDays&amp;"D")</f>
        <v>59992</v>
      </c>
      <c r="Z2973" s="132">
        <v>9.8297310288767027E-3</v>
      </c>
      <c r="AA2973" s="129">
        <v>9.7891171291397683E-3</v>
      </c>
    </row>
    <row r="2974" spans="19:27" x14ac:dyDescent="0.2">
      <c r="S2974" s="1"/>
      <c r="T2974" s="109"/>
      <c r="W2974" s="130" t="str">
        <f t="shared" si="56"/>
        <v>1w</v>
      </c>
      <c r="X2974" s="128">
        <f>_xll.qlCalendarAdvance(Calendar,X2973,W2974,"f",FALSE)</f>
        <v>59995</v>
      </c>
      <c r="Y2974" s="131">
        <f>_xll.qlCalendarAdvance(Calendar,X2974,NDays&amp;"D")</f>
        <v>60001</v>
      </c>
      <c r="Z2974" s="132">
        <v>9.8355703340593861E-3</v>
      </c>
      <c r="AA2974" s="129">
        <v>9.7946771786805442E-3</v>
      </c>
    </row>
    <row r="2975" spans="19:27" x14ac:dyDescent="0.2">
      <c r="S2975" s="1"/>
      <c r="T2975" s="109"/>
      <c r="W2975" s="130" t="str">
        <f t="shared" si="56"/>
        <v>1w</v>
      </c>
      <c r="X2975" s="128">
        <f>_xll.qlCalendarAdvance(Calendar,X2974,W2975,"f",FALSE)</f>
        <v>60002</v>
      </c>
      <c r="Y2975" s="131">
        <f>_xll.qlCalendarAdvance(Calendar,X2975,NDays&amp;"D")</f>
        <v>60006</v>
      </c>
      <c r="Z2975" s="132">
        <v>9.8388373482921569E-3</v>
      </c>
      <c r="AA2975" s="129">
        <v>9.7977889908484883E-3</v>
      </c>
    </row>
    <row r="2976" spans="19:27" x14ac:dyDescent="0.2">
      <c r="S2976" s="1"/>
      <c r="T2976" s="109"/>
      <c r="W2976" s="130" t="str">
        <f t="shared" si="56"/>
        <v>1w</v>
      </c>
      <c r="X2976" s="128">
        <f>_xll.qlCalendarAdvance(Calendar,X2975,W2976,"f",FALSE)</f>
        <v>60009</v>
      </c>
      <c r="Y2976" s="131">
        <f>_xll.qlCalendarAdvance(Calendar,X2976,NDays&amp;"D")</f>
        <v>60013</v>
      </c>
      <c r="Z2976" s="132">
        <v>9.8434387152666336E-3</v>
      </c>
      <c r="AA2976" s="129">
        <v>9.8021730027220144E-3</v>
      </c>
    </row>
    <row r="2977" spans="19:27" x14ac:dyDescent="0.2">
      <c r="S2977" s="1"/>
      <c r="T2977" s="109"/>
      <c r="W2977" s="130" t="str">
        <f t="shared" si="56"/>
        <v>1w</v>
      </c>
      <c r="X2977" s="128">
        <f>_xll.qlCalendarAdvance(Calendar,X2976,W2977,"f",FALSE)</f>
        <v>60016</v>
      </c>
      <c r="Y2977" s="131">
        <f>_xll.qlCalendarAdvance(Calendar,X2977,NDays&amp;"D")</f>
        <v>60020</v>
      </c>
      <c r="Z2977" s="132">
        <v>9.8480722205709099E-3</v>
      </c>
      <c r="AA2977" s="129">
        <v>9.8065890689547075E-3</v>
      </c>
    </row>
    <row r="2978" spans="19:27" x14ac:dyDescent="0.2">
      <c r="S2978" s="1"/>
      <c r="T2978" s="109"/>
      <c r="W2978" s="130" t="str">
        <f t="shared" si="56"/>
        <v>1w</v>
      </c>
      <c r="X2978" s="128">
        <f>_xll.qlCalendarAdvance(Calendar,X2977,W2978,"f",FALSE)</f>
        <v>60024</v>
      </c>
      <c r="Y2978" s="131">
        <f>_xll.qlCalendarAdvance(Calendar,X2978,NDays&amp;"D")</f>
        <v>60028</v>
      </c>
      <c r="Z2978" s="132">
        <v>9.853881572109183E-3</v>
      </c>
      <c r="AA2978" s="129">
        <v>9.8116752515498007E-3</v>
      </c>
    </row>
    <row r="2979" spans="19:27" x14ac:dyDescent="0.2">
      <c r="S2979" s="1"/>
      <c r="T2979" s="109"/>
      <c r="W2979" s="130" t="str">
        <f t="shared" si="56"/>
        <v>1w</v>
      </c>
      <c r="X2979" s="128">
        <f>_xll.qlCalendarAdvance(Calendar,X2978,W2979,"f",FALSE)</f>
        <v>60031</v>
      </c>
      <c r="Y2979" s="131">
        <f>_xll.qlCalendarAdvance(Calendar,X2979,NDays&amp;"D")</f>
        <v>60035</v>
      </c>
      <c r="Z2979" s="132">
        <v>9.85858636990662E-3</v>
      </c>
      <c r="AA2979" s="129">
        <v>9.8161600051582809E-3</v>
      </c>
    </row>
    <row r="2980" spans="19:27" x14ac:dyDescent="0.2">
      <c r="S2980" s="1"/>
      <c r="T2980" s="109"/>
      <c r="W2980" s="130" t="str">
        <f t="shared" si="56"/>
        <v>1w</v>
      </c>
      <c r="X2980" s="128">
        <f>_xll.qlCalendarAdvance(Calendar,X2979,W2980,"f",FALSE)</f>
        <v>60038</v>
      </c>
      <c r="Y2980" s="131">
        <f>_xll.qlCalendarAdvance(Calendar,X2980,NDays&amp;"D")</f>
        <v>60042</v>
      </c>
      <c r="Z2980" s="132">
        <v>9.8633233073410972E-3</v>
      </c>
      <c r="AA2980" s="129">
        <v>9.8206768128061839E-3</v>
      </c>
    </row>
    <row r="2981" spans="19:27" x14ac:dyDescent="0.2">
      <c r="S2981" s="1"/>
      <c r="T2981" s="109"/>
      <c r="W2981" s="130" t="str">
        <f t="shared" si="56"/>
        <v>1w</v>
      </c>
      <c r="X2981" s="128">
        <f>_xll.qlCalendarAdvance(Calendar,X2980,W2981,"f",FALSE)</f>
        <v>60045</v>
      </c>
      <c r="Y2981" s="131">
        <f>_xll.qlCalendarAdvance(Calendar,X2981,NDays&amp;"D")</f>
        <v>60049</v>
      </c>
      <c r="Z2981" s="132">
        <v>9.8680923845229571E-3</v>
      </c>
      <c r="AA2981" s="129">
        <v>9.8252256745734456E-3</v>
      </c>
    </row>
    <row r="2982" spans="19:27" x14ac:dyDescent="0.2">
      <c r="S2982" s="1"/>
      <c r="T2982" s="109"/>
      <c r="W2982" s="130" t="str">
        <f t="shared" si="56"/>
        <v>1w</v>
      </c>
      <c r="X2982" s="128">
        <f>_xll.qlCalendarAdvance(Calendar,X2981,W2982,"f",FALSE)</f>
        <v>60052</v>
      </c>
      <c r="Y2982" s="131">
        <f>_xll.qlCalendarAdvance(Calendar,X2982,NDays&amp;"D")</f>
        <v>60056</v>
      </c>
      <c r="Z2982" s="132">
        <v>9.8728936015738452E-3</v>
      </c>
      <c r="AA2982" s="129">
        <v>9.8298065903801302E-3</v>
      </c>
    </row>
    <row r="2983" spans="19:27" x14ac:dyDescent="0.2">
      <c r="S2983" s="1"/>
      <c r="T2983" s="109"/>
      <c r="W2983" s="130" t="str">
        <f t="shared" si="56"/>
        <v>1w</v>
      </c>
      <c r="X2983" s="128">
        <f>_xll.qlCalendarAdvance(Calendar,X2982,W2983,"f",FALSE)</f>
        <v>60059</v>
      </c>
      <c r="Y2983" s="131">
        <f>_xll.qlCalendarAdvance(Calendar,X2983,NDays&amp;"D")</f>
        <v>60063</v>
      </c>
      <c r="Z2983" s="132">
        <v>9.8777269586084512E-3</v>
      </c>
      <c r="AA2983" s="129">
        <v>9.8344195604660456E-3</v>
      </c>
    </row>
    <row r="2984" spans="19:27" x14ac:dyDescent="0.2">
      <c r="S2984" s="1"/>
      <c r="T2984" s="109"/>
      <c r="W2984" s="130" t="str">
        <f t="shared" si="56"/>
        <v>1w</v>
      </c>
      <c r="X2984" s="128">
        <f>_xll.qlCalendarAdvance(Calendar,X2983,W2984,"f",FALSE)</f>
        <v>60066</v>
      </c>
      <c r="Y2984" s="131">
        <f>_xll.qlCalendarAdvance(Calendar,X2984,NDays&amp;"D")</f>
        <v>60070</v>
      </c>
      <c r="Z2984" s="132">
        <v>9.8825924557484172E-3</v>
      </c>
      <c r="AA2984" s="129">
        <v>9.8390645847512559E-3</v>
      </c>
    </row>
    <row r="2985" spans="19:27" x14ac:dyDescent="0.2">
      <c r="S2985" s="1"/>
      <c r="T2985" s="109"/>
      <c r="W2985" s="130" t="str">
        <f t="shared" si="56"/>
        <v>1w</v>
      </c>
      <c r="X2985" s="128">
        <f>_xll.qlCalendarAdvance(Calendar,X2984,W2985,"f",FALSE)</f>
        <v>60073</v>
      </c>
      <c r="Y2985" s="131">
        <f>_xll.qlCalendarAdvance(Calendar,X2985,NDays&amp;"D")</f>
        <v>60077</v>
      </c>
      <c r="Z2985" s="132">
        <v>9.8874900931119093E-3</v>
      </c>
      <c r="AA2985" s="129">
        <v>9.8437416629959529E-3</v>
      </c>
    </row>
    <row r="2986" spans="19:27" x14ac:dyDescent="0.2">
      <c r="S2986" s="1"/>
      <c r="T2986" s="109"/>
      <c r="W2986" s="130" t="str">
        <f t="shared" si="56"/>
        <v>1w</v>
      </c>
      <c r="X2986" s="128">
        <f>_xll.qlCalendarAdvance(Calendar,X2985,W2986,"f",FALSE)</f>
        <v>60080</v>
      </c>
      <c r="Y2986" s="131">
        <f>_xll.qlCalendarAdvance(Calendar,X2986,NDays&amp;"D")</f>
        <v>60084</v>
      </c>
      <c r="Z2986" s="132">
        <v>9.8924198708197006E-3</v>
      </c>
      <c r="AA2986" s="129">
        <v>9.8484507955198808E-3</v>
      </c>
    </row>
    <row r="2987" spans="19:27" x14ac:dyDescent="0.2">
      <c r="S2987" s="1"/>
      <c r="T2987" s="109"/>
      <c r="W2987" s="130" t="str">
        <f t="shared" si="56"/>
        <v>1w</v>
      </c>
      <c r="X2987" s="128">
        <f>_xll.qlCalendarAdvance(Calendar,X2986,W2987,"f",FALSE)</f>
        <v>60087</v>
      </c>
      <c r="Y2987" s="131">
        <f>_xll.qlCalendarAdvance(Calendar,X2987,NDays&amp;"D")</f>
        <v>60091</v>
      </c>
      <c r="Z2987" s="132">
        <v>9.8973817889908243E-3</v>
      </c>
      <c r="AA2987" s="129">
        <v>9.8531919820032954E-3</v>
      </c>
    </row>
    <row r="2988" spans="19:27" x14ac:dyDescent="0.2">
      <c r="S2988" s="1"/>
      <c r="T2988" s="109"/>
      <c r="W2988" s="130" t="str">
        <f t="shared" si="56"/>
        <v>1w</v>
      </c>
      <c r="X2988" s="128">
        <f>_xll.qlCalendarAdvance(Calendar,X2987,W2988,"f",FALSE)</f>
        <v>60094</v>
      </c>
      <c r="Y2988" s="131">
        <f>_xll.qlCalendarAdvance(Calendar,X2988,NDays&amp;"D")</f>
        <v>60098</v>
      </c>
      <c r="Z2988" s="132">
        <v>9.9023758477512699E-3</v>
      </c>
      <c r="AA2988" s="129">
        <v>9.8579652227659409E-3</v>
      </c>
    </row>
    <row r="2989" spans="19:27" x14ac:dyDescent="0.2">
      <c r="S2989" s="1"/>
      <c r="T2989" s="109"/>
      <c r="W2989" s="130" t="str">
        <f t="shared" si="56"/>
        <v>1w</v>
      </c>
      <c r="X2989" s="128">
        <f>_xll.qlCalendarAdvance(Calendar,X2988,W2989,"f",FALSE)</f>
        <v>60101</v>
      </c>
      <c r="Y2989" s="131">
        <f>_xll.qlCalendarAdvance(Calendar,X2989,NDays&amp;"D")</f>
        <v>60105</v>
      </c>
      <c r="Z2989" s="132">
        <v>9.907402047221809E-3</v>
      </c>
      <c r="AA2989" s="129">
        <v>9.8627705176479452E-3</v>
      </c>
    </row>
    <row r="2990" spans="19:27" x14ac:dyDescent="0.2">
      <c r="S2990" s="1"/>
      <c r="T2990" s="109"/>
      <c r="W2990" s="130" t="str">
        <f t="shared" si="56"/>
        <v>1w</v>
      </c>
      <c r="X2990" s="128">
        <f>_xll.qlCalendarAdvance(Calendar,X2989,W2990,"f",FALSE)</f>
        <v>60108</v>
      </c>
      <c r="Y2990" s="131">
        <f>_xll.qlCalendarAdvance(Calendar,X2990,NDays&amp;"D")</f>
        <v>60112</v>
      </c>
      <c r="Z2990" s="132">
        <v>9.9124603875249528E-3</v>
      </c>
      <c r="AA2990" s="129">
        <v>9.8676078666493083E-3</v>
      </c>
    </row>
    <row r="2991" spans="19:27" x14ac:dyDescent="0.2">
      <c r="S2991" s="1"/>
      <c r="T2991" s="109"/>
      <c r="W2991" s="130" t="str">
        <f t="shared" si="56"/>
        <v>1w</v>
      </c>
      <c r="X2991" s="128">
        <f>_xll.qlCalendarAdvance(Calendar,X2990,W2991,"f",FALSE)</f>
        <v>60115</v>
      </c>
      <c r="Y2991" s="131">
        <f>_xll.qlCalendarAdvance(Calendar,X2991,NDays&amp;"D")</f>
        <v>60119</v>
      </c>
      <c r="Z2991" s="132">
        <v>9.9175508687849474E-3</v>
      </c>
      <c r="AA2991" s="129">
        <v>9.8724772697700303E-3</v>
      </c>
    </row>
    <row r="2992" spans="19:27" x14ac:dyDescent="0.2">
      <c r="S2992" s="1"/>
      <c r="T2992" s="109"/>
      <c r="W2992" s="130" t="str">
        <f t="shared" si="56"/>
        <v>1w</v>
      </c>
      <c r="X2992" s="128">
        <f>_xll.qlCalendarAdvance(Calendar,X2991,W2992,"f",FALSE)</f>
        <v>60122</v>
      </c>
      <c r="Y2992" s="131">
        <f>_xll.qlCalendarAdvance(Calendar,X2992,NDays&amp;"D")</f>
        <v>60126</v>
      </c>
      <c r="Z2992" s="132">
        <v>9.9226734911286515E-3</v>
      </c>
      <c r="AA2992" s="129">
        <v>9.877378727010111E-3</v>
      </c>
    </row>
    <row r="2993" spans="19:27" x14ac:dyDescent="0.2">
      <c r="S2993" s="1"/>
      <c r="T2993" s="109"/>
      <c r="W2993" s="130" t="str">
        <f t="shared" si="56"/>
        <v>1w</v>
      </c>
      <c r="X2993" s="128">
        <f>_xll.qlCalendarAdvance(Calendar,X2992,W2993,"f",FALSE)</f>
        <v>60129</v>
      </c>
      <c r="Y2993" s="131">
        <f>_xll.qlCalendarAdvance(Calendar,X2993,NDays&amp;"D")</f>
        <v>60133</v>
      </c>
      <c r="Z2993" s="132">
        <v>9.9278282546811786E-3</v>
      </c>
      <c r="AA2993" s="129">
        <v>9.8823122384494866E-3</v>
      </c>
    </row>
    <row r="2994" spans="19:27" x14ac:dyDescent="0.2">
      <c r="S2994" s="1"/>
      <c r="T2994" s="109"/>
      <c r="W2994" s="130" t="str">
        <f t="shared" si="56"/>
        <v>1w</v>
      </c>
      <c r="X2994" s="128">
        <f>_xll.qlCalendarAdvance(Calendar,X2993,W2994,"f",FALSE)</f>
        <v>60136</v>
      </c>
      <c r="Y2994" s="131">
        <f>_xll.qlCalendarAdvance(Calendar,X2994,NDays&amp;"D")</f>
        <v>60140</v>
      </c>
      <c r="Z2994" s="132">
        <v>9.933015159568518E-3</v>
      </c>
      <c r="AA2994" s="129">
        <v>9.887277804008221E-3</v>
      </c>
    </row>
    <row r="2995" spans="19:27" x14ac:dyDescent="0.2">
      <c r="S2995" s="1"/>
      <c r="T2995" s="109"/>
      <c r="W2995" s="130" t="str">
        <f t="shared" si="56"/>
        <v>1w</v>
      </c>
      <c r="X2995" s="128">
        <f>_xll.qlCalendarAdvance(Calendar,X2994,W2995,"f",FALSE)</f>
        <v>60143</v>
      </c>
      <c r="Y2995" s="131">
        <f>_xll.qlCalendarAdvance(Calendar,X2995,NDays&amp;"D")</f>
        <v>60147</v>
      </c>
      <c r="Z2995" s="132">
        <v>9.937718299659273E-3</v>
      </c>
      <c r="AA2995" s="129">
        <v>9.8922754237662502E-3</v>
      </c>
    </row>
    <row r="2996" spans="19:27" x14ac:dyDescent="0.2">
      <c r="S2996" s="1"/>
      <c r="T2996" s="109"/>
      <c r="W2996" s="130" t="str">
        <f t="shared" si="56"/>
        <v>1w</v>
      </c>
      <c r="X2996" s="128">
        <f>_xll.qlCalendarAdvance(Calendar,X2995,W2996,"f",FALSE)</f>
        <v>60150</v>
      </c>
      <c r="Y2996" s="131">
        <f>_xll.qlCalendarAdvance(Calendar,X2996,NDays&amp;"D")</f>
        <v>60154</v>
      </c>
      <c r="Z2996" s="132">
        <v>9.9429670470133832E-3</v>
      </c>
      <c r="AA2996" s="129">
        <v>9.8973050976436383E-3</v>
      </c>
    </row>
    <row r="2997" spans="19:27" x14ac:dyDescent="0.2">
      <c r="S2997" s="1"/>
      <c r="T2997" s="109"/>
      <c r="W2997" s="130" t="str">
        <f t="shared" si="56"/>
        <v>1w</v>
      </c>
      <c r="X2997" s="128">
        <f>_xll.qlCalendarAdvance(Calendar,X2996,W2997,"f",FALSE)</f>
        <v>60157</v>
      </c>
      <c r="Y2997" s="131">
        <f>_xll.qlCalendarAdvance(Calendar,X2997,NDays&amp;"D")</f>
        <v>60161</v>
      </c>
      <c r="Z2997" s="132">
        <v>9.9482479351146996E-3</v>
      </c>
      <c r="AA2997" s="129">
        <v>9.9023668255604491E-3</v>
      </c>
    </row>
    <row r="2998" spans="19:27" x14ac:dyDescent="0.2">
      <c r="S2998" s="1"/>
      <c r="T2998" s="109"/>
      <c r="W2998" s="130" t="str">
        <f t="shared" si="56"/>
        <v>1w</v>
      </c>
      <c r="X2998" s="128">
        <f>_xll.qlCalendarAdvance(Calendar,X2997,W2998,"f",FALSE)</f>
        <v>60164</v>
      </c>
      <c r="Y2998" s="131">
        <f>_xll.qlCalendarAdvance(Calendar,X2998,NDays&amp;"D")</f>
        <v>60168</v>
      </c>
      <c r="Z2998" s="132">
        <v>9.953560964093229E-3</v>
      </c>
      <c r="AA2998" s="129">
        <v>9.9074606078364269E-3</v>
      </c>
    </row>
    <row r="2999" spans="19:27" x14ac:dyDescent="0.2">
      <c r="S2999" s="1"/>
      <c r="T2999" s="109"/>
      <c r="W2999" s="130" t="str">
        <f t="shared" si="56"/>
        <v>1w</v>
      </c>
      <c r="X2999" s="128">
        <f>_xll.qlCalendarAdvance(Calendar,X2998,W2999,"f",FALSE)</f>
        <v>60171</v>
      </c>
      <c r="Y2999" s="131">
        <f>_xll.qlCalendarAdvance(Calendar,X2999,NDays&amp;"D")</f>
        <v>60175</v>
      </c>
      <c r="Z2999" s="132">
        <v>9.959431808528995E-3</v>
      </c>
      <c r="AA2999" s="129">
        <v>9.9125864442317635E-3</v>
      </c>
    </row>
    <row r="3000" spans="19:27" x14ac:dyDescent="0.2">
      <c r="S3000" s="1"/>
      <c r="T3000" s="109"/>
      <c r="W3000" s="130" t="str">
        <f t="shared" si="56"/>
        <v>1w</v>
      </c>
      <c r="X3000" s="128">
        <f>_xll.qlCalendarAdvance(Calendar,X2999,W3000,"f",FALSE)</f>
        <v>60178</v>
      </c>
      <c r="Y3000" s="131">
        <f>_xll.qlCalendarAdvance(Calendar,X3000,NDays&amp;"D")</f>
        <v>60182</v>
      </c>
      <c r="Z3000" s="132">
        <v>9.9648115641334679E-3</v>
      </c>
      <c r="AA3000" s="129">
        <v>9.9177443345865868E-3</v>
      </c>
    </row>
    <row r="3001" spans="19:27" x14ac:dyDescent="0.2">
      <c r="S3001" s="1"/>
      <c r="T3001" s="109"/>
      <c r="W3001" s="130" t="str">
        <f t="shared" si="56"/>
        <v>1w</v>
      </c>
      <c r="X3001" s="128">
        <f>_xll.qlCalendarAdvance(Calendar,X3000,W3001,"f",FALSE)</f>
        <v>60185</v>
      </c>
      <c r="Y3001" s="131">
        <f>_xll.qlCalendarAdvance(Calendar,X3001,NDays&amp;"D")</f>
        <v>60189</v>
      </c>
      <c r="Z3001" s="132">
        <v>9.9702234619815922E-3</v>
      </c>
      <c r="AA3001" s="129">
        <v>9.9229342791407049E-3</v>
      </c>
    </row>
    <row r="3002" spans="19:27" x14ac:dyDescent="0.2">
      <c r="S3002" s="1"/>
      <c r="T3002" s="109"/>
      <c r="W3002" s="130" t="str">
        <f t="shared" si="56"/>
        <v>1w</v>
      </c>
      <c r="X3002" s="128">
        <f>_xll.qlCalendarAdvance(Calendar,X3001,W3002,"f",FALSE)</f>
        <v>60192</v>
      </c>
      <c r="Y3002" s="131">
        <f>_xll.qlCalendarAdvance(Calendar,X3002,NDays&amp;"D")</f>
        <v>60196</v>
      </c>
      <c r="Z3002" s="132">
        <v>9.9756675022097761E-3</v>
      </c>
      <c r="AA3002" s="129">
        <v>9.92815627805399E-3</v>
      </c>
    </row>
    <row r="3003" spans="19:27" x14ac:dyDescent="0.2">
      <c r="S3003" s="1"/>
      <c r="T3003" s="109"/>
      <c r="W3003" s="130" t="str">
        <f t="shared" si="56"/>
        <v>1w</v>
      </c>
      <c r="X3003" s="128">
        <f>_xll.qlCalendarAdvance(Calendar,X3002,W3003,"f",FALSE)</f>
        <v>60199</v>
      </c>
      <c r="Y3003" s="131">
        <f>_xll.qlCalendarAdvance(Calendar,X3003,NDays&amp;"D")</f>
        <v>60203</v>
      </c>
      <c r="Z3003" s="132">
        <v>9.9811436849466164E-3</v>
      </c>
      <c r="AA3003" s="129">
        <v>9.9334103309267618E-3</v>
      </c>
    </row>
    <row r="3004" spans="19:27" x14ac:dyDescent="0.2">
      <c r="S3004" s="1"/>
      <c r="T3004" s="109"/>
      <c r="W3004" s="130" t="str">
        <f t="shared" si="56"/>
        <v>1w</v>
      </c>
      <c r="X3004" s="128">
        <f>_xll.qlCalendarAdvance(Calendar,X3003,W3004,"f",FALSE)</f>
        <v>60206</v>
      </c>
      <c r="Y3004" s="131">
        <f>_xll.qlCalendarAdvance(Calendar,X3004,NDays&amp;"D")</f>
        <v>60210</v>
      </c>
      <c r="Z3004" s="132">
        <v>9.9866520103293922E-3</v>
      </c>
      <c r="AA3004" s="129">
        <v>9.9386964380787646E-3</v>
      </c>
    </row>
    <row r="3005" spans="19:27" x14ac:dyDescent="0.2">
      <c r="S3005" s="1"/>
      <c r="T3005" s="109"/>
      <c r="W3005" s="130" t="str">
        <f t="shared" si="56"/>
        <v>1w</v>
      </c>
      <c r="X3005" s="128">
        <f>_xll.qlCalendarAdvance(Calendar,X3004,W3005,"f",FALSE)</f>
        <v>60213</v>
      </c>
      <c r="Y3005" s="131">
        <f>_xll.qlCalendarAdvance(Calendar,X3005,NDays&amp;"D")</f>
        <v>60217</v>
      </c>
      <c r="Z3005" s="132">
        <v>9.9921924784936479E-3</v>
      </c>
      <c r="AA3005" s="129">
        <v>9.94401459927019E-3</v>
      </c>
    </row>
    <row r="3006" spans="19:27" x14ac:dyDescent="0.2">
      <c r="S3006" s="1"/>
      <c r="T3006" s="109"/>
      <c r="W3006" s="130" t="str">
        <f t="shared" si="56"/>
        <v>1w</v>
      </c>
      <c r="X3006" s="128">
        <f>_xll.qlCalendarAdvance(Calendar,X3005,W3006,"f",FALSE)</f>
        <v>60220</v>
      </c>
      <c r="Y3006" s="131">
        <f>_xll.qlCalendarAdvance(Calendar,X3006,NDays&amp;"D")</f>
        <v>60224</v>
      </c>
      <c r="Z3006" s="132">
        <v>9.9977650895757952E-3</v>
      </c>
      <c r="AA3006" s="129">
        <v>9.9493648147408464E-3</v>
      </c>
    </row>
    <row r="3007" spans="19:27" x14ac:dyDescent="0.2">
      <c r="S3007" s="1"/>
      <c r="T3007" s="109"/>
      <c r="W3007" s="130" t="str">
        <f t="shared" si="56"/>
        <v>1w</v>
      </c>
      <c r="X3007" s="128">
        <f>_xll.qlCalendarAdvance(Calendar,X3006,W3007,"f",FALSE)</f>
        <v>60227</v>
      </c>
      <c r="Y3007" s="131">
        <f>_xll.qlCalendarAdvance(Calendar,X3007,NDays&amp;"D")</f>
        <v>60231</v>
      </c>
      <c r="Z3007" s="132">
        <v>1.000336984371138E-2</v>
      </c>
      <c r="AA3007" s="129">
        <v>9.9547470842509256E-3</v>
      </c>
    </row>
    <row r="3008" spans="19:27" x14ac:dyDescent="0.2">
      <c r="S3008" s="1"/>
      <c r="T3008" s="109"/>
      <c r="W3008" s="130" t="str">
        <f t="shared" si="56"/>
        <v>1w</v>
      </c>
      <c r="X3008" s="128">
        <f>_xll.qlCalendarAdvance(Calendar,X3007,W3008,"f",FALSE)</f>
        <v>60234</v>
      </c>
      <c r="Y3008" s="131">
        <f>_xll.qlCalendarAdvance(Calendar,X3008,NDays&amp;"D")</f>
        <v>60238</v>
      </c>
      <c r="Z3008" s="132">
        <v>1.0007911564545502E-2</v>
      </c>
      <c r="AA3008" s="129">
        <v>9.9601614080402356E-3</v>
      </c>
    </row>
    <row r="3009" spans="19:27" x14ac:dyDescent="0.2">
      <c r="S3009" s="1"/>
      <c r="T3009" s="109"/>
      <c r="W3009" s="130" t="str">
        <f t="shared" si="56"/>
        <v>1w</v>
      </c>
      <c r="X3009" s="128">
        <f>_xll.qlCalendarAdvance(Calendar,X3008,W3009,"f",FALSE)</f>
        <v>60241</v>
      </c>
      <c r="Y3009" s="131">
        <f>_xll.qlCalendarAdvance(Calendar,X3009,NDays&amp;"D")</f>
        <v>60245</v>
      </c>
      <c r="Z3009" s="132">
        <v>1.0013575698649468E-2</v>
      </c>
      <c r="AA3009" s="129">
        <v>9.9656077860288406E-3</v>
      </c>
    </row>
    <row r="3010" spans="19:27" x14ac:dyDescent="0.2">
      <c r="S3010" s="1"/>
      <c r="T3010" s="109"/>
      <c r="W3010" s="130" t="str">
        <f t="shared" si="56"/>
        <v>1w</v>
      </c>
      <c r="X3010" s="128">
        <f>_xll.qlCalendarAdvance(Calendar,X3009,W3010,"f",FALSE)</f>
        <v>60248</v>
      </c>
      <c r="Y3010" s="131">
        <f>_xll.qlCalendarAdvance(Calendar,X3010,NDays&amp;"D")</f>
        <v>60252</v>
      </c>
      <c r="Z3010" s="132">
        <v>1.0019271974237576E-2</v>
      </c>
      <c r="AA3010" s="129">
        <v>9.9710862179769322E-3</v>
      </c>
    </row>
    <row r="3011" spans="19:27" x14ac:dyDescent="0.2">
      <c r="S3011" s="1"/>
      <c r="T3011" s="109"/>
      <c r="W3011" s="130" t="str">
        <f t="shared" si="56"/>
        <v>1w</v>
      </c>
      <c r="X3011" s="128">
        <f>_xll.qlCalendarAdvance(Calendar,X3010,W3011,"f",FALSE)</f>
        <v>60255</v>
      </c>
      <c r="Y3011" s="131">
        <f>_xll.qlCalendarAdvance(Calendar,X3011,NDays&amp;"D")</f>
        <v>60259</v>
      </c>
      <c r="Z3011" s="132">
        <v>1.0025000391446603E-2</v>
      </c>
      <c r="AA3011" s="129">
        <v>9.9765967042042547E-3</v>
      </c>
    </row>
    <row r="3012" spans="19:27" x14ac:dyDescent="0.2">
      <c r="S3012" s="1"/>
      <c r="T3012" s="109"/>
      <c r="W3012" s="130" t="str">
        <f t="shared" si="56"/>
        <v>1w</v>
      </c>
      <c r="X3012" s="128">
        <f>_xll.qlCalendarAdvance(Calendar,X3011,W3012,"f",FALSE)</f>
        <v>60265</v>
      </c>
      <c r="Y3012" s="131">
        <f>_xll.qlCalendarAdvance(Calendar,X3012,NDays&amp;"D")</f>
        <v>60267</v>
      </c>
      <c r="Z3012" s="132">
        <v>1.0031586511239254E-2</v>
      </c>
      <c r="AA3012" s="129">
        <v>9.983469610288509E-3</v>
      </c>
    </row>
    <row r="3013" spans="19:27" x14ac:dyDescent="0.2">
      <c r="S3013" s="1"/>
      <c r="T3013" s="109"/>
      <c r="W3013" s="130" t="str">
        <f t="shared" si="56"/>
        <v>1w</v>
      </c>
      <c r="X3013" s="128">
        <f>_xll.qlCalendarAdvance(Calendar,X3012,W3013,"f",FALSE)</f>
        <v>60272</v>
      </c>
      <c r="Y3013" s="131">
        <f>_xll.qlCalendarAdvance(Calendar,X3013,NDays&amp;"D")</f>
        <v>60274</v>
      </c>
      <c r="Z3013" s="132">
        <v>1.0037383803819466E-2</v>
      </c>
      <c r="AA3013" s="129">
        <v>9.9885128266130607E-3</v>
      </c>
    </row>
    <row r="3014" spans="19:27" x14ac:dyDescent="0.2">
      <c r="S3014" s="1"/>
      <c r="T3014" s="109"/>
      <c r="W3014" s="130" t="str">
        <f t="shared" si="56"/>
        <v>1w</v>
      </c>
      <c r="X3014" s="128">
        <f>_xll.qlCalendarAdvance(Calendar,X3013,W3014,"f",FALSE)</f>
        <v>60279</v>
      </c>
      <c r="Y3014" s="131">
        <f>_xll.qlCalendarAdvance(Calendar,X3014,NDays&amp;"D")</f>
        <v>60281</v>
      </c>
      <c r="Z3014" s="132">
        <v>1.0043213238455806E-2</v>
      </c>
      <c r="AA3014" s="129">
        <v>9.9941240545753374E-3</v>
      </c>
    </row>
    <row r="3015" spans="19:27" x14ac:dyDescent="0.2">
      <c r="S3015" s="1"/>
      <c r="T3015" s="109"/>
      <c r="W3015" s="130" t="str">
        <f t="shared" si="56"/>
        <v>1w</v>
      </c>
      <c r="X3015" s="128">
        <f>_xll.qlCalendarAdvance(Calendar,X3014,W3015,"f",FALSE)</f>
        <v>60286</v>
      </c>
      <c r="Y3015" s="131">
        <f>_xll.qlCalendarAdvance(Calendar,X3015,NDays&amp;"D")</f>
        <v>60288</v>
      </c>
      <c r="Z3015" s="132">
        <v>1.0049074815290382E-2</v>
      </c>
      <c r="AA3015" s="129">
        <v>9.9997673365770368E-3</v>
      </c>
    </row>
    <row r="3016" spans="19:27" x14ac:dyDescent="0.2">
      <c r="S3016" s="1"/>
      <c r="T3016" s="109"/>
      <c r="W3016" s="130" t="str">
        <f t="shared" si="56"/>
        <v>1w</v>
      </c>
      <c r="X3016" s="128">
        <f>_xll.qlCalendarAdvance(Calendar,X3015,W3016,"f",FALSE)</f>
        <v>60293</v>
      </c>
      <c r="Y3016" s="131">
        <f>_xll.qlCalendarAdvance(Calendar,X3016,NDays&amp;"D")</f>
        <v>60295</v>
      </c>
      <c r="Z3016" s="132">
        <v>1.0054968534463526E-2</v>
      </c>
      <c r="AA3016" s="129">
        <v>1.0005442672937903E-2</v>
      </c>
    </row>
    <row r="3017" spans="19:27" x14ac:dyDescent="0.2">
      <c r="S3017" s="1"/>
      <c r="T3017" s="109"/>
      <c r="W3017" s="130" t="str">
        <f t="shared" si="56"/>
        <v>1w</v>
      </c>
      <c r="X3017" s="128">
        <f>_xll.qlCalendarAdvance(Calendar,X3016,W3017,"f",FALSE)</f>
        <v>60300</v>
      </c>
      <c r="Y3017" s="131">
        <f>_xll.qlCalendarAdvance(Calendar,X3017,NDays&amp;"D")</f>
        <v>60302</v>
      </c>
      <c r="Z3017" s="132">
        <v>1.0060324708673681E-2</v>
      </c>
      <c r="AA3017" s="129">
        <v>1.0011150063498064E-2</v>
      </c>
    </row>
    <row r="3018" spans="19:27" x14ac:dyDescent="0.2">
      <c r="S3018" s="1"/>
      <c r="T3018" s="109"/>
      <c r="W3018" s="130" t="str">
        <f t="shared" si="56"/>
        <v>1w</v>
      </c>
      <c r="X3018" s="128">
        <f>_xll.qlCalendarAdvance(Calendar,X3017,W3018,"f",FALSE)</f>
        <v>60307</v>
      </c>
      <c r="Y3018" s="131">
        <f>_xll.qlCalendarAdvance(Calendar,X3018,NDays&amp;"D")</f>
        <v>60309</v>
      </c>
      <c r="Z3018" s="132">
        <v>1.0066280250761932E-2</v>
      </c>
      <c r="AA3018" s="129">
        <v>1.0016889508017712E-2</v>
      </c>
    </row>
    <row r="3019" spans="19:27" x14ac:dyDescent="0.2">
      <c r="S3019" s="1"/>
      <c r="T3019" s="109"/>
      <c r="W3019" s="130" t="str">
        <f t="shared" si="56"/>
        <v>1w</v>
      </c>
      <c r="X3019" s="128">
        <f>_xll.qlCalendarAdvance(Calendar,X3018,W3019,"f",FALSE)</f>
        <v>60314</v>
      </c>
      <c r="Y3019" s="131">
        <f>_xll.qlCalendarAdvance(Calendar,X3019,NDays&amp;"D")</f>
        <v>60316</v>
      </c>
      <c r="Z3019" s="132">
        <v>1.0072267724467086E-2</v>
      </c>
      <c r="AA3019" s="129">
        <v>1.0022661006816591E-2</v>
      </c>
    </row>
    <row r="3020" spans="19:27" x14ac:dyDescent="0.2">
      <c r="S3020" s="1"/>
      <c r="T3020" s="109"/>
      <c r="W3020" s="130" t="str">
        <f t="shared" si="56"/>
        <v>1w</v>
      </c>
      <c r="X3020" s="128">
        <f>_xll.qlCalendarAdvance(Calendar,X3019,W3020,"f",FALSE)</f>
        <v>60321</v>
      </c>
      <c r="Y3020" s="131">
        <f>_xll.qlCalendarAdvance(Calendar,X3020,NDays&amp;"D")</f>
        <v>60323</v>
      </c>
      <c r="Z3020" s="132">
        <v>1.0078284855368488E-2</v>
      </c>
      <c r="AA3020" s="129">
        <v>1.0028464559814765E-2</v>
      </c>
    </row>
    <row r="3021" spans="19:27" x14ac:dyDescent="0.2">
      <c r="S3021" s="1"/>
      <c r="T3021" s="109"/>
      <c r="W3021" s="130" t="str">
        <f t="shared" si="56"/>
        <v>1w</v>
      </c>
      <c r="X3021" s="128">
        <f>_xll.qlCalendarAdvance(Calendar,X3020,W3021,"f",FALSE)</f>
        <v>60328</v>
      </c>
      <c r="Y3021" s="131">
        <f>_xll.qlCalendarAdvance(Calendar,X3021,NDays&amp;"D")</f>
        <v>60330</v>
      </c>
      <c r="Z3021" s="132">
        <v>1.0086061773946799E-2</v>
      </c>
      <c r="AA3021" s="129">
        <v>1.0034300167092169E-2</v>
      </c>
    </row>
    <row r="3022" spans="19:27" x14ac:dyDescent="0.2">
      <c r="S3022" s="1"/>
      <c r="T3022" s="109"/>
      <c r="W3022" s="130" t="str">
        <f t="shared" si="56"/>
        <v>1w</v>
      </c>
      <c r="X3022" s="128">
        <f>_xll.qlCalendarAdvance(Calendar,X3021,W3022,"f",FALSE)</f>
        <v>60335</v>
      </c>
      <c r="Y3022" s="131">
        <f>_xll.qlCalendarAdvance(Calendar,X3022,NDays&amp;"D")</f>
        <v>60337</v>
      </c>
      <c r="Z3022" s="132">
        <v>1.0092130933978732E-2</v>
      </c>
      <c r="AA3022" s="129">
        <v>1.0040167828408997E-2</v>
      </c>
    </row>
    <row r="3023" spans="19:27" x14ac:dyDescent="0.2">
      <c r="S3023" s="1"/>
      <c r="T3023" s="109"/>
      <c r="W3023" s="130" t="str">
        <f t="shared" si="56"/>
        <v>1w</v>
      </c>
      <c r="X3023" s="128">
        <f>_xll.qlCalendarAdvance(Calendar,X3022,W3023,"f",FALSE)</f>
        <v>60342</v>
      </c>
      <c r="Y3023" s="131">
        <f>_xll.qlCalendarAdvance(Calendar,X3023,NDays&amp;"D")</f>
        <v>60344</v>
      </c>
      <c r="Z3023" s="132">
        <v>1.0098218372181814E-2</v>
      </c>
      <c r="AA3023" s="129">
        <v>1.0046067544005055E-2</v>
      </c>
    </row>
    <row r="3024" spans="19:27" x14ac:dyDescent="0.2">
      <c r="S3024" s="1"/>
      <c r="T3024" s="109"/>
      <c r="W3024" s="130" t="str">
        <f t="shared" si="56"/>
        <v>1w</v>
      </c>
      <c r="X3024" s="128">
        <f>_xll.qlCalendarAdvance(Calendar,X3023,W3024,"f",FALSE)</f>
        <v>60349</v>
      </c>
      <c r="Y3024" s="131">
        <f>_xll.qlCalendarAdvance(Calendar,X3024,NDays&amp;"D")</f>
        <v>60351</v>
      </c>
      <c r="Z3024" s="132">
        <v>1.0104320741397844E-2</v>
      </c>
      <c r="AA3024" s="129">
        <v>1.0051999313800408E-2</v>
      </c>
    </row>
    <row r="3025" spans="19:27" x14ac:dyDescent="0.2">
      <c r="S3025" s="1"/>
      <c r="T3025" s="109"/>
      <c r="W3025" s="130" t="str">
        <f t="shared" si="56"/>
        <v>1w</v>
      </c>
      <c r="X3025" s="128">
        <f>_xll.qlCalendarAdvance(Calendar,X3024,W3025,"f",FALSE)</f>
        <v>60357</v>
      </c>
      <c r="Y3025" s="131">
        <f>_xll.qlCalendarAdvance(Calendar,X3025,NDays&amp;"D")</f>
        <v>60359</v>
      </c>
      <c r="Z3025" s="132">
        <v>1.011072882346817E-2</v>
      </c>
      <c r="AA3025" s="129">
        <v>1.0058817729232672E-2</v>
      </c>
    </row>
    <row r="3026" spans="19:27" x14ac:dyDescent="0.2">
      <c r="S3026" s="1"/>
      <c r="T3026" s="109"/>
      <c r="W3026" s="130" t="str">
        <f t="shared" si="56"/>
        <v>1w</v>
      </c>
      <c r="X3026" s="128">
        <f>_xll.qlCalendarAdvance(Calendar,X3025,W3026,"f",FALSE)</f>
        <v>60364</v>
      </c>
      <c r="Y3026" s="131">
        <f>_xll.qlCalendarAdvance(Calendar,X3026,NDays&amp;"D")</f>
        <v>60366</v>
      </c>
      <c r="Z3026" s="132">
        <v>1.0116852061618541E-2</v>
      </c>
      <c r="AA3026" s="129">
        <v>1.0064818186563684E-2</v>
      </c>
    </row>
    <row r="3027" spans="19:27" x14ac:dyDescent="0.2">
      <c r="S3027" s="1"/>
      <c r="T3027" s="109"/>
      <c r="W3027" s="130" t="str">
        <f t="shared" si="56"/>
        <v>1w</v>
      </c>
      <c r="X3027" s="128">
        <f>_xll.qlCalendarAdvance(Calendar,X3026,W3027,"f",FALSE)</f>
        <v>60371</v>
      </c>
      <c r="Y3027" s="131">
        <f>_xll.qlCalendarAdvance(Calendar,X3027,NDays&amp;"D")</f>
        <v>60373</v>
      </c>
      <c r="Z3027" s="132">
        <v>1.012297988943031E-2</v>
      </c>
      <c r="AA3027" s="129">
        <v>1.0070850698014056E-2</v>
      </c>
    </row>
    <row r="3028" spans="19:27" x14ac:dyDescent="0.2">
      <c r="S3028" s="1"/>
      <c r="T3028" s="109"/>
      <c r="W3028" s="130" t="str">
        <f t="shared" si="56"/>
        <v>1w</v>
      </c>
      <c r="X3028" s="128">
        <f>_xll.qlCalendarAdvance(Calendar,X3027,W3028,"f",FALSE)</f>
        <v>60378</v>
      </c>
      <c r="Y3028" s="131">
        <f>_xll.qlCalendarAdvance(Calendar,X3028,NDays&amp;"D")</f>
        <v>60380</v>
      </c>
      <c r="Z3028" s="132">
        <v>1.0129108922975612E-2</v>
      </c>
      <c r="AA3028" s="129">
        <v>1.0076915263663722E-2</v>
      </c>
    </row>
    <row r="3029" spans="19:27" x14ac:dyDescent="0.2">
      <c r="S3029" s="1"/>
      <c r="T3029" s="109"/>
      <c r="W3029" s="130" t="str">
        <f t="shared" ref="W3029:W3092" si="57">W3028</f>
        <v>1w</v>
      </c>
      <c r="X3029" s="128">
        <f>_xll.qlCalendarAdvance(Calendar,X3028,W3029,"f",FALSE)</f>
        <v>60385</v>
      </c>
      <c r="Y3029" s="131">
        <f>_xll.qlCalendarAdvance(Calendar,X3029,NDays&amp;"D")</f>
        <v>60387</v>
      </c>
      <c r="Z3029" s="132">
        <v>1.0135814317590851E-2</v>
      </c>
      <c r="AA3029" s="129">
        <v>1.0084746612413209E-2</v>
      </c>
    </row>
    <row r="3030" spans="19:27" x14ac:dyDescent="0.2">
      <c r="S3030" s="1"/>
      <c r="T3030" s="109"/>
      <c r="W3030" s="130" t="str">
        <f t="shared" si="57"/>
        <v>1w</v>
      </c>
      <c r="X3030" s="128">
        <f>_xll.qlCalendarAdvance(Calendar,X3029,W3030,"f",FALSE)</f>
        <v>60392</v>
      </c>
      <c r="Y3030" s="131">
        <f>_xll.qlCalendarAdvance(Calendar,X3030,NDays&amp;"D")</f>
        <v>60394</v>
      </c>
      <c r="Z3030" s="132">
        <v>1.0141934972084522E-2</v>
      </c>
      <c r="AA3030" s="129">
        <v>1.008914055772081E-2</v>
      </c>
    </row>
    <row r="3031" spans="19:27" x14ac:dyDescent="0.2">
      <c r="S3031" s="1"/>
      <c r="T3031" s="109"/>
      <c r="W3031" s="130" t="str">
        <f t="shared" si="57"/>
        <v>1w</v>
      </c>
      <c r="X3031" s="128">
        <f>_xll.qlCalendarAdvance(Calendar,X3030,W3031,"f",FALSE)</f>
        <v>60399</v>
      </c>
      <c r="Y3031" s="131">
        <f>_xll.qlCalendarAdvance(Calendar,X3031,NDays&amp;"D")</f>
        <v>60401</v>
      </c>
      <c r="Z3031" s="132">
        <v>1.0148046650335835E-2</v>
      </c>
      <c r="AA3031" s="129">
        <v>1.0095300241204086E-2</v>
      </c>
    </row>
    <row r="3032" spans="19:27" x14ac:dyDescent="0.2">
      <c r="S3032" s="1"/>
      <c r="T3032" s="109"/>
      <c r="W3032" s="130" t="str">
        <f t="shared" si="57"/>
        <v>1w</v>
      </c>
      <c r="X3032" s="128">
        <f>_xll.qlCalendarAdvance(Calendar,X3031,W3032,"f",FALSE)</f>
        <v>60406</v>
      </c>
      <c r="Y3032" s="131">
        <f>_xll.qlCalendarAdvance(Calendar,X3032,NDays&amp;"D")</f>
        <v>60408</v>
      </c>
      <c r="Z3032" s="132">
        <v>1.0154146832892315E-2</v>
      </c>
      <c r="AA3032" s="129">
        <v>1.0101461680642743E-2</v>
      </c>
    </row>
    <row r="3033" spans="19:27" x14ac:dyDescent="0.2">
      <c r="S3033" s="1"/>
      <c r="T3033" s="109"/>
      <c r="W3033" s="130" t="str">
        <f t="shared" si="57"/>
        <v>1w</v>
      </c>
      <c r="X3033" s="128">
        <f>_xll.qlCalendarAdvance(Calendar,X3032,W3033,"f",FALSE)</f>
        <v>60413</v>
      </c>
      <c r="Y3033" s="131">
        <f>_xll.qlCalendarAdvance(Calendar,X3033,NDays&amp;"D")</f>
        <v>60415</v>
      </c>
      <c r="Z3033" s="132">
        <v>1.0160235168380253E-2</v>
      </c>
      <c r="AA3033" s="129">
        <v>1.0107611294021268E-2</v>
      </c>
    </row>
    <row r="3034" spans="19:27" x14ac:dyDescent="0.2">
      <c r="S3034" s="1"/>
      <c r="T3034" s="109"/>
      <c r="W3034" s="130" t="str">
        <f t="shared" si="57"/>
        <v>1w</v>
      </c>
      <c r="X3034" s="128">
        <f>_xll.qlCalendarAdvance(Calendar,X3033,W3034,"f",FALSE)</f>
        <v>60420</v>
      </c>
      <c r="Y3034" s="131">
        <f>_xll.qlCalendarAdvance(Calendar,X3034,NDays&amp;"D")</f>
        <v>60422</v>
      </c>
      <c r="Z3034" s="132">
        <v>1.016631165674404E-2</v>
      </c>
      <c r="AA3034" s="129">
        <v>1.0113749081339662E-2</v>
      </c>
    </row>
    <row r="3035" spans="19:27" x14ac:dyDescent="0.2">
      <c r="S3035" s="1"/>
      <c r="T3035" s="109"/>
      <c r="W3035" s="130" t="str">
        <f t="shared" si="57"/>
        <v>1w</v>
      </c>
      <c r="X3035" s="128">
        <f>_xll.qlCalendarAdvance(Calendar,X3034,W3035,"f",FALSE)</f>
        <v>60427</v>
      </c>
      <c r="Y3035" s="131">
        <f>_xll.qlCalendarAdvance(Calendar,X3035,NDays&amp;"D")</f>
        <v>60429</v>
      </c>
      <c r="Z3035" s="132">
        <v>1.0172376297929804E-2</v>
      </c>
      <c r="AA3035" s="129">
        <v>1.011987504251799E-2</v>
      </c>
    </row>
    <row r="3036" spans="19:27" x14ac:dyDescent="0.2">
      <c r="S3036" s="1"/>
      <c r="T3036" s="109"/>
      <c r="W3036" s="130" t="str">
        <f t="shared" si="57"/>
        <v>1w</v>
      </c>
      <c r="X3036" s="128">
        <f>_xll.qlCalendarAdvance(Calendar,X3035,W3036,"f",FALSE)</f>
        <v>60434</v>
      </c>
      <c r="Y3036" s="131">
        <f>_xll.qlCalendarAdvance(Calendar,X3036,NDays&amp;"D")</f>
        <v>60436</v>
      </c>
      <c r="Z3036" s="132">
        <v>1.0178429091881071E-2</v>
      </c>
      <c r="AA3036" s="129">
        <v>1.0125989177636185E-2</v>
      </c>
    </row>
    <row r="3037" spans="19:27" x14ac:dyDescent="0.2">
      <c r="S3037" s="1"/>
      <c r="T3037" s="109"/>
      <c r="W3037" s="130" t="str">
        <f t="shared" si="57"/>
        <v>1w</v>
      </c>
      <c r="X3037" s="128">
        <f>_xll.qlCalendarAdvance(Calendar,X3036,W3037,"f",FALSE)</f>
        <v>60441</v>
      </c>
      <c r="Y3037" s="131">
        <f>_xll.qlCalendarAdvance(Calendar,X3037,NDays&amp;"D")</f>
        <v>60443</v>
      </c>
      <c r="Z3037" s="132">
        <v>1.0184470038546578E-2</v>
      </c>
      <c r="AA3037" s="129">
        <v>1.013209148669425E-2</v>
      </c>
    </row>
    <row r="3038" spans="19:27" x14ac:dyDescent="0.2">
      <c r="S3038" s="1"/>
      <c r="T3038" s="109"/>
      <c r="W3038" s="130" t="str">
        <f t="shared" si="57"/>
        <v>1w</v>
      </c>
      <c r="X3038" s="128">
        <f>_xll.qlCalendarAdvance(Calendar,X3037,W3038,"f",FALSE)</f>
        <v>60448</v>
      </c>
      <c r="Y3038" s="131">
        <f>_xll.qlCalendarAdvance(Calendar,X3038,NDays&amp;"D")</f>
        <v>60450</v>
      </c>
      <c r="Z3038" s="132">
        <v>1.0190499137866372E-2</v>
      </c>
      <c r="AA3038" s="129">
        <v>1.0138181969692184E-2</v>
      </c>
    </row>
    <row r="3039" spans="19:27" x14ac:dyDescent="0.2">
      <c r="S3039" s="1"/>
      <c r="T3039" s="109"/>
      <c r="W3039" s="130" t="str">
        <f t="shared" si="57"/>
        <v>1w</v>
      </c>
      <c r="X3039" s="128">
        <f>_xll.qlCalendarAdvance(Calendar,X3038,W3039,"f",FALSE)</f>
        <v>60455</v>
      </c>
      <c r="Y3039" s="131">
        <f>_xll.qlCalendarAdvance(Calendar,X3039,NDays&amp;"D")</f>
        <v>60457</v>
      </c>
      <c r="Z3039" s="132">
        <v>1.0196516389788319E-2</v>
      </c>
      <c r="AA3039" s="129">
        <v>1.0144260626470114E-2</v>
      </c>
    </row>
    <row r="3040" spans="19:27" x14ac:dyDescent="0.2">
      <c r="S3040" s="1"/>
      <c r="T3040" s="109"/>
      <c r="W3040" s="130" t="str">
        <f t="shared" si="57"/>
        <v>1w</v>
      </c>
      <c r="X3040" s="128">
        <f>_xll.qlCalendarAdvance(Calendar,X3039,W3040,"f",FALSE)</f>
        <v>60462</v>
      </c>
      <c r="Y3040" s="131">
        <f>_xll.qlCalendarAdvance(Calendar,X3040,NDays&amp;"D")</f>
        <v>60464</v>
      </c>
      <c r="Z3040" s="132">
        <v>1.0202521794259421E-2</v>
      </c>
      <c r="AA3040" s="129">
        <v>1.0150327457427721E-2</v>
      </c>
    </row>
    <row r="3041" spans="19:27" x14ac:dyDescent="0.2">
      <c r="S3041" s="1"/>
      <c r="T3041" s="109"/>
      <c r="W3041" s="130" t="str">
        <f t="shared" si="57"/>
        <v>1w</v>
      </c>
      <c r="X3041" s="128">
        <f>_xll.qlCalendarAdvance(Calendar,X3040,W3041,"f",FALSE)</f>
        <v>60469</v>
      </c>
      <c r="Y3041" s="131">
        <f>_xll.qlCalendarAdvance(Calendar,X3041,NDays&amp;"D")</f>
        <v>60471</v>
      </c>
      <c r="Z3041" s="132">
        <v>1.0208515351224067E-2</v>
      </c>
      <c r="AA3041" s="129">
        <v>1.0156382462165325E-2</v>
      </c>
    </row>
    <row r="3042" spans="19:27" x14ac:dyDescent="0.2">
      <c r="S3042" s="1"/>
      <c r="T3042" s="109"/>
      <c r="W3042" s="130" t="str">
        <f t="shared" si="57"/>
        <v>1w</v>
      </c>
      <c r="X3042" s="128">
        <f>_xll.qlCalendarAdvance(Calendar,X3041,W3042,"f",FALSE)</f>
        <v>60476</v>
      </c>
      <c r="Y3042" s="131">
        <f>_xll.qlCalendarAdvance(Calendar,X3042,NDays&amp;"D")</f>
        <v>60478</v>
      </c>
      <c r="Z3042" s="132">
        <v>1.0214497060626652E-2</v>
      </c>
      <c r="AA3042" s="129">
        <v>1.0162425640842798E-2</v>
      </c>
    </row>
    <row r="3043" spans="19:27" x14ac:dyDescent="0.2">
      <c r="S3043" s="1"/>
      <c r="T3043" s="109"/>
      <c r="W3043" s="130" t="str">
        <f t="shared" si="57"/>
        <v>1w</v>
      </c>
      <c r="X3043" s="128">
        <f>_xll.qlCalendarAdvance(Calendar,X3042,W3043,"f",FALSE)</f>
        <v>60483</v>
      </c>
      <c r="Y3043" s="131">
        <f>_xll.qlCalendarAdvance(Calendar,X3043,NDays&amp;"D")</f>
        <v>60485</v>
      </c>
      <c r="Z3043" s="132">
        <v>1.0220466922412437E-2</v>
      </c>
      <c r="AA3043" s="129">
        <v>1.0168456993300268E-2</v>
      </c>
    </row>
    <row r="3044" spans="19:27" x14ac:dyDescent="0.2">
      <c r="S3044" s="1"/>
      <c r="T3044" s="109"/>
      <c r="W3044" s="130" t="str">
        <f t="shared" si="57"/>
        <v>1w</v>
      </c>
      <c r="X3044" s="128">
        <f>_xll.qlCalendarAdvance(Calendar,X3043,W3044,"f",FALSE)</f>
        <v>60490</v>
      </c>
      <c r="Y3044" s="131">
        <f>_xll.qlCalendarAdvance(Calendar,X3044,NDays&amp;"D")</f>
        <v>60492</v>
      </c>
      <c r="Z3044" s="132">
        <v>1.0226424936530159E-2</v>
      </c>
      <c r="AA3044" s="129">
        <v>1.0174476519937414E-2</v>
      </c>
    </row>
    <row r="3045" spans="19:27" x14ac:dyDescent="0.2">
      <c r="S3045" s="1"/>
      <c r="T3045" s="109"/>
      <c r="W3045" s="130" t="str">
        <f t="shared" si="57"/>
        <v>1w</v>
      </c>
      <c r="X3045" s="128">
        <f>_xll.qlCalendarAdvance(Calendar,X3044,W3045,"f",FALSE)</f>
        <v>60497</v>
      </c>
      <c r="Y3045" s="131">
        <f>_xll.qlCalendarAdvance(Calendar,X3045,NDays&amp;"D")</f>
        <v>60499</v>
      </c>
      <c r="Z3045" s="132">
        <v>1.0232371102924208E-2</v>
      </c>
      <c r="AA3045" s="129">
        <v>1.0180484220274622E-2</v>
      </c>
    </row>
    <row r="3046" spans="19:27" x14ac:dyDescent="0.2">
      <c r="S3046" s="1"/>
      <c r="T3046" s="109"/>
      <c r="W3046" s="130" t="str">
        <f t="shared" si="57"/>
        <v>1w</v>
      </c>
      <c r="X3046" s="128">
        <f>_xll.qlCalendarAdvance(Calendar,X3045,W3046,"f",FALSE)</f>
        <v>60504</v>
      </c>
      <c r="Y3046" s="131">
        <f>_xll.qlCalendarAdvance(Calendar,X3046,NDays&amp;"D")</f>
        <v>60506</v>
      </c>
      <c r="Z3046" s="132">
        <v>1.0238305421542452E-2</v>
      </c>
      <c r="AA3046" s="129">
        <v>1.018648009471157E-2</v>
      </c>
    </row>
    <row r="3047" spans="19:27" x14ac:dyDescent="0.2">
      <c r="S3047" s="1"/>
      <c r="T3047" s="109"/>
      <c r="W3047" s="130" t="str">
        <f t="shared" si="57"/>
        <v>1w</v>
      </c>
      <c r="X3047" s="128">
        <f>_xll.qlCalendarAdvance(Calendar,X3046,W3047,"f",FALSE)</f>
        <v>60511</v>
      </c>
      <c r="Y3047" s="131">
        <f>_xll.qlCalendarAdvance(Calendar,X3047,NDays&amp;"D")</f>
        <v>60513</v>
      </c>
      <c r="Z3047" s="132">
        <v>1.0243661481205061E-2</v>
      </c>
      <c r="AA3047" s="129">
        <v>1.0192464142928515E-2</v>
      </c>
    </row>
    <row r="3048" spans="19:27" x14ac:dyDescent="0.2">
      <c r="S3048" s="1"/>
      <c r="T3048" s="109"/>
      <c r="W3048" s="130" t="str">
        <f t="shared" si="57"/>
        <v>1w</v>
      </c>
      <c r="X3048" s="128">
        <f>_xll.qlCalendarAdvance(Calendar,X3047,W3048,"f",FALSE)</f>
        <v>60518</v>
      </c>
      <c r="Y3048" s="131">
        <f>_xll.qlCalendarAdvance(Calendar,X3048,NDays&amp;"D")</f>
        <v>60520</v>
      </c>
      <c r="Z3048" s="132">
        <v>1.024957278235122E-2</v>
      </c>
      <c r="AA3048" s="129">
        <v>1.0198436365085328E-2</v>
      </c>
    </row>
    <row r="3049" spans="19:27" x14ac:dyDescent="0.2">
      <c r="S3049" s="1"/>
      <c r="T3049" s="109"/>
      <c r="W3049" s="130" t="str">
        <f t="shared" si="57"/>
        <v>1w</v>
      </c>
      <c r="X3049" s="128">
        <f>_xll.qlCalendarAdvance(Calendar,X3048,W3049,"f",FALSE)</f>
        <v>60525</v>
      </c>
      <c r="Y3049" s="131">
        <f>_xll.qlCalendarAdvance(Calendar,X3049,NDays&amp;"D")</f>
        <v>60527</v>
      </c>
      <c r="Z3049" s="132">
        <v>1.0255472235802688E-2</v>
      </c>
      <c r="AA3049" s="129">
        <v>1.0204396761182011E-2</v>
      </c>
    </row>
    <row r="3050" spans="19:27" x14ac:dyDescent="0.2">
      <c r="S3050" s="1"/>
      <c r="T3050" s="109"/>
      <c r="W3050" s="130" t="str">
        <f t="shared" si="57"/>
        <v>1w</v>
      </c>
      <c r="X3050" s="128">
        <f>_xll.qlCalendarAdvance(Calendar,X3049,W3050,"f",FALSE)</f>
        <v>60532</v>
      </c>
      <c r="Y3050" s="131">
        <f>_xll.qlCalendarAdvance(Calendar,X3050,NDays&amp;"D")</f>
        <v>60534</v>
      </c>
      <c r="Z3050" s="132">
        <v>1.0261359841506756E-2</v>
      </c>
      <c r="AA3050" s="129">
        <v>1.0210345331298498E-2</v>
      </c>
    </row>
    <row r="3051" spans="19:27" x14ac:dyDescent="0.2">
      <c r="S3051" s="1"/>
      <c r="T3051" s="109"/>
      <c r="W3051" s="130" t="str">
        <f t="shared" si="57"/>
        <v>1w</v>
      </c>
      <c r="X3051" s="128">
        <f>_xll.qlCalendarAdvance(Calendar,X3050,W3051,"f",FALSE)</f>
        <v>60539</v>
      </c>
      <c r="Y3051" s="131">
        <f>_xll.qlCalendarAdvance(Calendar,X3051,NDays&amp;"D")</f>
        <v>60541</v>
      </c>
      <c r="Z3051" s="132">
        <v>1.0269490061748971E-2</v>
      </c>
      <c r="AA3051" s="129">
        <v>1.0216282075115046E-2</v>
      </c>
    </row>
    <row r="3052" spans="19:27" x14ac:dyDescent="0.2">
      <c r="S3052" s="1"/>
      <c r="T3052" s="109"/>
      <c r="W3052" s="130" t="str">
        <f t="shared" si="57"/>
        <v>1w</v>
      </c>
      <c r="X3052" s="128">
        <f>_xll.qlCalendarAdvance(Calendar,X3051,W3052,"f",FALSE)</f>
        <v>60546</v>
      </c>
      <c r="Y3052" s="131">
        <f>_xll.qlCalendarAdvance(Calendar,X3052,NDays&amp;"D")</f>
        <v>60548</v>
      </c>
      <c r="Z3052" s="132">
        <v>1.0273662526916388E-2</v>
      </c>
      <c r="AA3052" s="129">
        <v>1.0222206993031335E-2</v>
      </c>
    </row>
    <row r="3053" spans="19:27" x14ac:dyDescent="0.2">
      <c r="S3053" s="1"/>
      <c r="T3053" s="109"/>
      <c r="W3053" s="130" t="str">
        <f t="shared" si="57"/>
        <v>1w</v>
      </c>
      <c r="X3053" s="128">
        <f>_xll.qlCalendarAdvance(Calendar,X3052,W3053,"f",FALSE)</f>
        <v>60553</v>
      </c>
      <c r="Y3053" s="131">
        <f>_xll.qlCalendarAdvance(Calendar,X3053,NDays&amp;"D")</f>
        <v>60555</v>
      </c>
      <c r="Z3053" s="132">
        <v>1.0279513909590433E-2</v>
      </c>
      <c r="AA3053" s="129">
        <v>1.0228120084727621E-2</v>
      </c>
    </row>
    <row r="3054" spans="19:27" x14ac:dyDescent="0.2">
      <c r="S3054" s="1"/>
      <c r="T3054" s="109"/>
      <c r="W3054" s="130" t="str">
        <f t="shared" si="57"/>
        <v>1w</v>
      </c>
      <c r="X3054" s="128">
        <f>_xll.qlCalendarAdvance(Calendar,X3053,W3054,"f",FALSE)</f>
        <v>60560</v>
      </c>
      <c r="Y3054" s="131">
        <f>_xll.qlCalendarAdvance(Calendar,X3054,NDays&amp;"D")</f>
        <v>60562</v>
      </c>
      <c r="Z3054" s="132">
        <v>1.0285353444061191E-2</v>
      </c>
      <c r="AA3054" s="129">
        <v>1.0234021350443712E-2</v>
      </c>
    </row>
    <row r="3055" spans="19:27" x14ac:dyDescent="0.2">
      <c r="S3055" s="1"/>
      <c r="T3055" s="109"/>
      <c r="W3055" s="130" t="str">
        <f t="shared" si="57"/>
        <v>1w</v>
      </c>
      <c r="X3055" s="128">
        <f>_xll.qlCalendarAdvance(Calendar,X3054,W3055,"f",FALSE)</f>
        <v>60567</v>
      </c>
      <c r="Y3055" s="131">
        <f>_xll.qlCalendarAdvance(Calendar,X3055,NDays&amp;"D")</f>
        <v>60569</v>
      </c>
      <c r="Z3055" s="132">
        <v>1.0291181130274791E-2</v>
      </c>
      <c r="AA3055" s="129">
        <v>1.0239910790019735E-2</v>
      </c>
    </row>
    <row r="3056" spans="19:27" x14ac:dyDescent="0.2">
      <c r="S3056" s="1"/>
      <c r="T3056" s="109"/>
      <c r="W3056" s="130" t="str">
        <f t="shared" si="57"/>
        <v>1w</v>
      </c>
      <c r="X3056" s="128">
        <f>_xll.qlCalendarAdvance(Calendar,X3055,W3056,"f",FALSE)</f>
        <v>60574</v>
      </c>
      <c r="Y3056" s="131">
        <f>_xll.qlCalendarAdvance(Calendar,X3056,NDays&amp;"D")</f>
        <v>60576</v>
      </c>
      <c r="Z3056" s="132">
        <v>1.0296996968177364E-2</v>
      </c>
      <c r="AA3056" s="129">
        <v>1.0245788403455691E-2</v>
      </c>
    </row>
    <row r="3057" spans="19:27" x14ac:dyDescent="0.2">
      <c r="S3057" s="1"/>
      <c r="T3057" s="109"/>
      <c r="W3057" s="130" t="str">
        <f t="shared" si="57"/>
        <v>1w</v>
      </c>
      <c r="X3057" s="128">
        <f>_xll.qlCalendarAdvance(Calendar,X3056,W3057,"f",FALSE)</f>
        <v>60581</v>
      </c>
      <c r="Y3057" s="131">
        <f>_xll.qlCalendarAdvance(Calendar,X3057,NDays&amp;"D")</f>
        <v>60583</v>
      </c>
      <c r="Z3057" s="132">
        <v>1.0302800957718513E-2</v>
      </c>
      <c r="AA3057" s="129">
        <v>1.0251654190831516E-2</v>
      </c>
    </row>
    <row r="3058" spans="19:27" x14ac:dyDescent="0.2">
      <c r="S3058" s="1"/>
      <c r="T3058" s="109"/>
      <c r="W3058" s="130" t="str">
        <f t="shared" si="57"/>
        <v>1w</v>
      </c>
      <c r="X3058" s="128">
        <f>_xll.qlCalendarAdvance(Calendar,X3057,W3058,"f",FALSE)</f>
        <v>60588</v>
      </c>
      <c r="Y3058" s="131">
        <f>_xll.qlCalendarAdvance(Calendar,X3058,NDays&amp;"D")</f>
        <v>60590</v>
      </c>
      <c r="Z3058" s="132">
        <v>1.0308593098840893E-2</v>
      </c>
      <c r="AA3058" s="129">
        <v>1.025750815214721E-2</v>
      </c>
    </row>
    <row r="3059" spans="19:27" x14ac:dyDescent="0.2">
      <c r="S3059" s="1"/>
      <c r="T3059" s="109"/>
      <c r="W3059" s="130" t="str">
        <f t="shared" si="57"/>
        <v>1w</v>
      </c>
      <c r="X3059" s="128">
        <f>_xll.qlCalendarAdvance(Calendar,X3058,W3059,"f",FALSE)</f>
        <v>60595</v>
      </c>
      <c r="Y3059" s="131">
        <f>_xll.qlCalendarAdvance(Calendar,X3059,NDays&amp;"D")</f>
        <v>60597</v>
      </c>
      <c r="Z3059" s="132">
        <v>1.031437339149672E-2</v>
      </c>
      <c r="AA3059" s="129">
        <v>1.0263350287482709E-2</v>
      </c>
    </row>
    <row r="3060" spans="19:27" x14ac:dyDescent="0.2">
      <c r="S3060" s="1"/>
      <c r="T3060" s="109"/>
      <c r="W3060" s="130" t="str">
        <f t="shared" si="57"/>
        <v>1w</v>
      </c>
      <c r="X3060" s="128">
        <f>_xll.qlCalendarAdvance(Calendar,X3059,W3060,"f",FALSE)</f>
        <v>60602</v>
      </c>
      <c r="Y3060" s="131">
        <f>_xll.qlCalendarAdvance(Calendar,X3060,NDays&amp;"D")</f>
        <v>60604</v>
      </c>
      <c r="Z3060" s="132">
        <v>1.0319026631825601E-2</v>
      </c>
      <c r="AA3060" s="129">
        <v>1.0269180596518268E-2</v>
      </c>
    </row>
    <row r="3061" spans="19:27" x14ac:dyDescent="0.2">
      <c r="S3061" s="1"/>
      <c r="T3061" s="109"/>
      <c r="W3061" s="130" t="str">
        <f t="shared" si="57"/>
        <v>1w</v>
      </c>
      <c r="X3061" s="128">
        <f>_xll.qlCalendarAdvance(Calendar,X3060,W3061,"f",FALSE)</f>
        <v>60609</v>
      </c>
      <c r="Y3061" s="131">
        <f>_xll.qlCalendarAdvance(Calendar,X3061,NDays&amp;"D")</f>
        <v>60611</v>
      </c>
      <c r="Z3061" s="132">
        <v>1.0324784590282299E-2</v>
      </c>
      <c r="AA3061" s="129">
        <v>1.0274999079573632E-2</v>
      </c>
    </row>
    <row r="3062" spans="19:27" x14ac:dyDescent="0.2">
      <c r="S3062" s="1"/>
      <c r="T3062" s="109"/>
      <c r="W3062" s="130" t="str">
        <f t="shared" si="57"/>
        <v>1w</v>
      </c>
      <c r="X3062" s="128">
        <f>_xll.qlCalendarAdvance(Calendar,X3061,W3062,"f",FALSE)</f>
        <v>60616</v>
      </c>
      <c r="Y3062" s="131">
        <f>_xll.qlCalendarAdvance(Calendar,X3062,NDays&amp;"D")</f>
        <v>60618</v>
      </c>
      <c r="Z3062" s="132">
        <v>1.0330530700614737E-2</v>
      </c>
      <c r="AA3062" s="129">
        <v>1.0280805736488929E-2</v>
      </c>
    </row>
    <row r="3063" spans="19:27" x14ac:dyDescent="0.2">
      <c r="S3063" s="1"/>
      <c r="T3063" s="109"/>
      <c r="W3063" s="130" t="str">
        <f t="shared" si="57"/>
        <v>1w</v>
      </c>
      <c r="X3063" s="128">
        <f>_xll.qlCalendarAdvance(Calendar,X3062,W3063,"f",FALSE)</f>
        <v>60623</v>
      </c>
      <c r="Y3063" s="131">
        <f>_xll.qlCalendarAdvance(Calendar,X3063,NDays&amp;"D")</f>
        <v>60625</v>
      </c>
      <c r="Z3063" s="132">
        <v>1.0336264962775843E-2</v>
      </c>
      <c r="AA3063" s="129">
        <v>1.028828163442963E-2</v>
      </c>
    </row>
    <row r="3064" spans="19:27" x14ac:dyDescent="0.2">
      <c r="S3064" s="1"/>
      <c r="T3064" s="109"/>
      <c r="W3064" s="130" t="str">
        <f t="shared" si="57"/>
        <v>1w</v>
      </c>
      <c r="X3064" s="128">
        <f>_xll.qlCalendarAdvance(Calendar,X3063,W3064,"f",FALSE)</f>
        <v>60630</v>
      </c>
      <c r="Y3064" s="131">
        <f>_xll.qlCalendarAdvance(Calendar,X3064,NDays&amp;"D")</f>
        <v>60632</v>
      </c>
      <c r="Z3064" s="132">
        <v>1.0341987376713213E-2</v>
      </c>
      <c r="AA3064" s="129">
        <v>1.0294062600755272E-2</v>
      </c>
    </row>
    <row r="3065" spans="19:27" x14ac:dyDescent="0.2">
      <c r="S3065" s="1"/>
      <c r="T3065" s="109"/>
      <c r="W3065" s="130" t="str">
        <f t="shared" si="57"/>
        <v>1w</v>
      </c>
      <c r="X3065" s="128">
        <f>_xll.qlCalendarAdvance(Calendar,X3064,W3065,"f",FALSE)</f>
        <v>60637</v>
      </c>
      <c r="Y3065" s="131">
        <f>_xll.qlCalendarAdvance(Calendar,X3065,NDays&amp;"D")</f>
        <v>60639</v>
      </c>
      <c r="Z3065" s="132">
        <v>1.0347697942374445E-2</v>
      </c>
      <c r="AA3065" s="129">
        <v>1.0298154750794097E-2</v>
      </c>
    </row>
    <row r="3066" spans="19:27" x14ac:dyDescent="0.2">
      <c r="S3066" s="1"/>
      <c r="T3066" s="109"/>
      <c r="W3066" s="130" t="str">
        <f t="shared" si="57"/>
        <v>1w</v>
      </c>
      <c r="X3066" s="128">
        <f>_xll.qlCalendarAdvance(Calendar,X3065,W3066,"f",FALSE)</f>
        <v>60644</v>
      </c>
      <c r="Y3066" s="131">
        <f>_xll.qlCalendarAdvance(Calendar,X3066,NDays&amp;"D")</f>
        <v>60646</v>
      </c>
      <c r="Z3066" s="132">
        <v>1.0353396659709801E-2</v>
      </c>
      <c r="AA3066" s="129">
        <v>1.0303914103388934E-2</v>
      </c>
    </row>
    <row r="3067" spans="19:27" x14ac:dyDescent="0.2">
      <c r="S3067" s="1"/>
      <c r="T3067" s="109"/>
      <c r="W3067" s="130" t="str">
        <f t="shared" si="57"/>
        <v>1w</v>
      </c>
      <c r="X3067" s="128">
        <f>_xll.qlCalendarAdvance(Calendar,X3066,W3067,"f",FALSE)</f>
        <v>60651</v>
      </c>
      <c r="Y3067" s="131">
        <f>_xll.qlCalendarAdvance(Calendar,X3067,NDays&amp;"D")</f>
        <v>60653</v>
      </c>
      <c r="Z3067" s="132">
        <v>1.0359083528670432E-2</v>
      </c>
      <c r="AA3067" s="129">
        <v>1.0309661629843703E-2</v>
      </c>
    </row>
    <row r="3068" spans="19:27" x14ac:dyDescent="0.2">
      <c r="S3068" s="1"/>
      <c r="T3068" s="109"/>
      <c r="W3068" s="130" t="str">
        <f t="shared" si="57"/>
        <v>1w</v>
      </c>
      <c r="X3068" s="128">
        <f>_xll.qlCalendarAdvance(Calendar,X3067,W3068,"f",FALSE)</f>
        <v>60658</v>
      </c>
      <c r="Y3068" s="131">
        <f>_xll.qlCalendarAdvance(Calendar,X3068,NDays&amp;"D")</f>
        <v>60660</v>
      </c>
      <c r="Z3068" s="132">
        <v>1.0364758549204822E-2</v>
      </c>
      <c r="AA3068" s="129">
        <v>1.0315397330238341E-2</v>
      </c>
    </row>
    <row r="3069" spans="19:27" x14ac:dyDescent="0.2">
      <c r="S3069" s="1"/>
      <c r="T3069" s="109"/>
      <c r="W3069" s="130" t="str">
        <f t="shared" si="57"/>
        <v>1w</v>
      </c>
      <c r="X3069" s="128">
        <f>_xll.qlCalendarAdvance(Calendar,X3068,W3069,"f",FALSE)</f>
        <v>60665</v>
      </c>
      <c r="Y3069" s="131">
        <f>_xll.qlCalendarAdvance(Calendar,X3069,NDays&amp;"D")</f>
        <v>60667</v>
      </c>
      <c r="Z3069" s="132">
        <v>1.0369870179567114E-2</v>
      </c>
      <c r="AA3069" s="129">
        <v>1.0321121204572847E-2</v>
      </c>
    </row>
    <row r="3070" spans="19:27" x14ac:dyDescent="0.2">
      <c r="S3070" s="1"/>
      <c r="T3070" s="109"/>
      <c r="W3070" s="130" t="str">
        <f t="shared" si="57"/>
        <v>1w</v>
      </c>
      <c r="X3070" s="128">
        <f>_xll.qlCalendarAdvance(Calendar,X3069,W3070,"f",FALSE)</f>
        <v>60672</v>
      </c>
      <c r="Y3070" s="131">
        <f>_xll.qlCalendarAdvance(Calendar,X3070,NDays&amp;"D")</f>
        <v>60674</v>
      </c>
      <c r="Z3070" s="132">
        <v>1.0375522186779031E-2</v>
      </c>
      <c r="AA3070" s="129">
        <v>1.0326833252927159E-2</v>
      </c>
    </row>
    <row r="3071" spans="19:27" x14ac:dyDescent="0.2">
      <c r="S3071" s="1"/>
      <c r="T3071" s="109"/>
      <c r="W3071" s="130" t="str">
        <f t="shared" si="57"/>
        <v>1w</v>
      </c>
      <c r="X3071" s="128">
        <f>_xll.qlCalendarAdvance(Calendar,X3070,W3071,"f",FALSE)</f>
        <v>60679</v>
      </c>
      <c r="Y3071" s="131">
        <f>_xll.qlCalendarAdvance(Calendar,X3071,NDays&amp;"D")</f>
        <v>60681</v>
      </c>
      <c r="Z3071" s="132">
        <v>1.0381162345669074E-2</v>
      </c>
      <c r="AA3071" s="129">
        <v>1.0332533474821659E-2</v>
      </c>
    </row>
    <row r="3072" spans="19:27" x14ac:dyDescent="0.2">
      <c r="S3072" s="1"/>
      <c r="T3072" s="109"/>
      <c r="W3072" s="130" t="str">
        <f t="shared" si="57"/>
        <v>1w</v>
      </c>
      <c r="X3072" s="128">
        <f>_xll.qlCalendarAdvance(Calendar,X3071,W3072,"f",FALSE)</f>
        <v>60686</v>
      </c>
      <c r="Y3072" s="131">
        <f>_xll.qlCalendarAdvance(Calendar,X3072,NDays&amp;"D")</f>
        <v>60688</v>
      </c>
      <c r="Z3072" s="132">
        <v>1.0386790656191436E-2</v>
      </c>
      <c r="AA3072" s="129">
        <v>1.03382218708159E-2</v>
      </c>
    </row>
    <row r="3073" spans="19:27" x14ac:dyDescent="0.2">
      <c r="S3073" s="1"/>
      <c r="T3073" s="109"/>
      <c r="W3073" s="130" t="str">
        <f t="shared" si="57"/>
        <v>1w</v>
      </c>
      <c r="X3073" s="128">
        <f>_xll.qlCalendarAdvance(Calendar,X3072,W3073,"f",FALSE)</f>
        <v>60693</v>
      </c>
      <c r="Y3073" s="131">
        <f>_xll.qlCalendarAdvance(Calendar,X3073,NDays&amp;"D")</f>
        <v>60695</v>
      </c>
      <c r="Z3073" s="132">
        <v>1.0394053370368169E-2</v>
      </c>
      <c r="AA3073" s="129">
        <v>1.034389844075001E-2</v>
      </c>
    </row>
    <row r="3074" spans="19:27" x14ac:dyDescent="0.2">
      <c r="S3074" s="1"/>
      <c r="T3074" s="109"/>
      <c r="W3074" s="130" t="str">
        <f t="shared" si="57"/>
        <v>1w</v>
      </c>
      <c r="X3074" s="128">
        <f>_xll.qlCalendarAdvance(Calendar,X3073,W3074,"f",FALSE)</f>
        <v>60700</v>
      </c>
      <c r="Y3074" s="131">
        <f>_xll.qlCalendarAdvance(Calendar,X3074,NDays&amp;"D")</f>
        <v>60702</v>
      </c>
      <c r="Z3074" s="132">
        <v>1.0399655929773269E-2</v>
      </c>
      <c r="AA3074" s="129">
        <v>1.0349563184623989E-2</v>
      </c>
    </row>
    <row r="3075" spans="19:27" x14ac:dyDescent="0.2">
      <c r="S3075" s="1"/>
      <c r="T3075" s="109"/>
      <c r="W3075" s="130" t="str">
        <f t="shared" si="57"/>
        <v>1w</v>
      </c>
      <c r="X3075" s="128">
        <f>_xll.qlCalendarAdvance(Calendar,X3074,W3075,"f",FALSE)</f>
        <v>60707</v>
      </c>
      <c r="Y3075" s="131">
        <f>_xll.qlCalendarAdvance(Calendar,X3075,NDays&amp;"D")</f>
        <v>60709</v>
      </c>
      <c r="Z3075" s="132">
        <v>1.0405246639883781E-2</v>
      </c>
      <c r="AA3075" s="129">
        <v>1.0355216102277964E-2</v>
      </c>
    </row>
    <row r="3076" spans="19:27" x14ac:dyDescent="0.2">
      <c r="S3076" s="1"/>
      <c r="T3076" s="109"/>
      <c r="W3076" s="130" t="str">
        <f t="shared" si="57"/>
        <v>1w</v>
      </c>
      <c r="X3076" s="128">
        <f>_xll.qlCalendarAdvance(Calendar,X3075,W3076,"f",FALSE)</f>
        <v>60714</v>
      </c>
      <c r="Y3076" s="131">
        <f>_xll.qlCalendarAdvance(Calendar,X3076,NDays&amp;"D")</f>
        <v>60716</v>
      </c>
      <c r="Z3076" s="132">
        <v>1.0410825500651914E-2</v>
      </c>
      <c r="AA3076" s="129">
        <v>1.0360857193951745E-2</v>
      </c>
    </row>
    <row r="3077" spans="19:27" x14ac:dyDescent="0.2">
      <c r="S3077" s="1"/>
      <c r="T3077" s="109"/>
      <c r="W3077" s="130" t="str">
        <f t="shared" si="57"/>
        <v>1w</v>
      </c>
      <c r="X3077" s="128">
        <f>_xll.qlCalendarAdvance(Calendar,X3076,W3077,"f",FALSE)</f>
        <v>60721</v>
      </c>
      <c r="Y3077" s="131">
        <f>_xll.qlCalendarAdvance(Calendar,X3077,NDays&amp;"D")</f>
        <v>60723</v>
      </c>
      <c r="Z3077" s="132">
        <v>1.0415846556721382E-2</v>
      </c>
      <c r="AA3077" s="129">
        <v>1.0366486459405522E-2</v>
      </c>
    </row>
    <row r="3078" spans="19:27" x14ac:dyDescent="0.2">
      <c r="S3078" s="1"/>
      <c r="T3078" s="109"/>
      <c r="W3078" s="130" t="str">
        <f t="shared" si="57"/>
        <v>1w</v>
      </c>
      <c r="X3078" s="128">
        <f>_xll.qlCalendarAdvance(Calendar,X3077,W3078,"f",FALSE)</f>
        <v>60728</v>
      </c>
      <c r="Y3078" s="131">
        <f>_xll.qlCalendarAdvance(Calendar,X3078,NDays&amp;"D")</f>
        <v>60730</v>
      </c>
      <c r="Z3078" s="132">
        <v>1.0421402404461932E-2</v>
      </c>
      <c r="AA3078" s="129">
        <v>1.0374304339668683E-2</v>
      </c>
    </row>
    <row r="3079" spans="19:27" x14ac:dyDescent="0.2">
      <c r="S3079" s="1"/>
      <c r="T3079" s="109"/>
      <c r="W3079" s="130" t="str">
        <f t="shared" si="57"/>
        <v>1w</v>
      </c>
      <c r="X3079" s="128">
        <f>_xll.qlCalendarAdvance(Calendar,X3078,W3079,"f",FALSE)</f>
        <v>60735</v>
      </c>
      <c r="Y3079" s="131">
        <f>_xll.qlCalendarAdvance(Calendar,X3079,NDays&amp;"D")</f>
        <v>60737</v>
      </c>
      <c r="Z3079" s="132">
        <v>1.0426946402966165E-2</v>
      </c>
      <c r="AA3079" s="129">
        <v>1.0377709512212618E-2</v>
      </c>
    </row>
    <row r="3080" spans="19:27" x14ac:dyDescent="0.2">
      <c r="S3080" s="1"/>
      <c r="T3080" s="109"/>
      <c r="W3080" s="130" t="str">
        <f t="shared" si="57"/>
        <v>1w</v>
      </c>
      <c r="X3080" s="128">
        <f>_xll.qlCalendarAdvance(Calendar,X3079,W3080,"f",FALSE)</f>
        <v>60742</v>
      </c>
      <c r="Y3080" s="131">
        <f>_xll.qlCalendarAdvance(Calendar,X3080,NDays&amp;"D")</f>
        <v>60744</v>
      </c>
      <c r="Z3080" s="132">
        <v>1.0432478552185766E-2</v>
      </c>
      <c r="AA3080" s="129">
        <v>1.0383303299486002E-2</v>
      </c>
    </row>
    <row r="3081" spans="19:27" x14ac:dyDescent="0.2">
      <c r="S3081" s="1"/>
      <c r="T3081" s="109"/>
      <c r="W3081" s="130" t="str">
        <f t="shared" si="57"/>
        <v>1w</v>
      </c>
      <c r="X3081" s="128">
        <f>_xll.qlCalendarAdvance(Calendar,X3080,W3081,"f",FALSE)</f>
        <v>60749</v>
      </c>
      <c r="Y3081" s="131">
        <f>_xll.qlCalendarAdvance(Calendar,X3081,NDays&amp;"D")</f>
        <v>60751</v>
      </c>
      <c r="Z3081" s="132">
        <v>1.0437998852070668E-2</v>
      </c>
      <c r="AA3081" s="129">
        <v>1.0388885260459446E-2</v>
      </c>
    </row>
    <row r="3082" spans="19:27" x14ac:dyDescent="0.2">
      <c r="S3082" s="1"/>
      <c r="T3082" s="109"/>
      <c r="W3082" s="130" t="str">
        <f t="shared" si="57"/>
        <v>1w</v>
      </c>
      <c r="X3082" s="128">
        <f>_xll.qlCalendarAdvance(Calendar,X3081,W3082,"f",FALSE)</f>
        <v>60756</v>
      </c>
      <c r="Y3082" s="131">
        <f>_xll.qlCalendarAdvance(Calendar,X3082,NDays&amp;"D")</f>
        <v>60758</v>
      </c>
      <c r="Z3082" s="132">
        <v>1.0444049826198322E-2</v>
      </c>
      <c r="AA3082" s="129">
        <v>1.0394455395532631E-2</v>
      </c>
    </row>
    <row r="3083" spans="19:27" x14ac:dyDescent="0.2">
      <c r="S3083" s="1"/>
      <c r="T3083" s="109"/>
      <c r="W3083" s="130" t="str">
        <f t="shared" si="57"/>
        <v>1w</v>
      </c>
      <c r="X3083" s="128">
        <f>_xll.qlCalendarAdvance(Calendar,X3082,W3083,"f",FALSE)</f>
        <v>60763</v>
      </c>
      <c r="Y3083" s="131">
        <f>_xll.qlCalendarAdvance(Calendar,X3083,NDays&amp;"D")</f>
        <v>60765</v>
      </c>
      <c r="Z3083" s="132">
        <v>1.0449545740144003E-2</v>
      </c>
      <c r="AA3083" s="129">
        <v>1.0400013704465749E-2</v>
      </c>
    </row>
    <row r="3084" spans="19:27" x14ac:dyDescent="0.2">
      <c r="S3084" s="1"/>
      <c r="T3084" s="109"/>
      <c r="W3084" s="130" t="str">
        <f t="shared" si="57"/>
        <v>1w</v>
      </c>
      <c r="X3084" s="128">
        <f>_xll.qlCalendarAdvance(Calendar,X3083,W3084,"f",FALSE)</f>
        <v>60770</v>
      </c>
      <c r="Y3084" s="131">
        <f>_xll.qlCalendarAdvance(Calendar,X3084,NDays&amp;"D")</f>
        <v>60772</v>
      </c>
      <c r="Z3084" s="132">
        <v>1.0455029804345019E-2</v>
      </c>
      <c r="AA3084" s="129">
        <v>1.04055601872588E-2</v>
      </c>
    </row>
    <row r="3085" spans="19:27" x14ac:dyDescent="0.2">
      <c r="S3085" s="1"/>
      <c r="T3085" s="109"/>
      <c r="W3085" s="130" t="str">
        <f t="shared" si="57"/>
        <v>1w</v>
      </c>
      <c r="X3085" s="128">
        <f>_xll.qlCalendarAdvance(Calendar,X3084,W3085,"f",FALSE)</f>
        <v>60777</v>
      </c>
      <c r="Y3085" s="131">
        <f>_xll.qlCalendarAdvance(Calendar,X3085,NDays&amp;"D")</f>
        <v>60779</v>
      </c>
      <c r="Z3085" s="132">
        <v>1.0460502018750976E-2</v>
      </c>
      <c r="AA3085" s="129">
        <v>1.0411094843911783E-2</v>
      </c>
    </row>
    <row r="3086" spans="19:27" x14ac:dyDescent="0.2">
      <c r="S3086" s="1"/>
      <c r="T3086" s="109"/>
      <c r="W3086" s="130" t="str">
        <f t="shared" si="57"/>
        <v>1w</v>
      </c>
      <c r="X3086" s="128">
        <f>_xll.qlCalendarAdvance(Calendar,X3085,W3086,"f",FALSE)</f>
        <v>60784</v>
      </c>
      <c r="Y3086" s="131">
        <f>_xll.qlCalendarAdvance(Calendar,X3086,NDays&amp;"D")</f>
        <v>60786</v>
      </c>
      <c r="Z3086" s="132">
        <v>1.0465962383310613E-2</v>
      </c>
      <c r="AA3086" s="129">
        <v>1.0416617674584572E-2</v>
      </c>
    </row>
    <row r="3087" spans="19:27" x14ac:dyDescent="0.2">
      <c r="S3087" s="1"/>
      <c r="T3087" s="109"/>
      <c r="W3087" s="130" t="str">
        <f t="shared" si="57"/>
        <v>1w</v>
      </c>
      <c r="X3087" s="128">
        <f>_xll.qlCalendarAdvance(Calendar,X3086,W3087,"f",FALSE)</f>
        <v>60791</v>
      </c>
      <c r="Y3087" s="131">
        <f>_xll.qlCalendarAdvance(Calendar,X3087,NDays&amp;"D")</f>
        <v>60793</v>
      </c>
      <c r="Z3087" s="132">
        <v>1.0471410897975273E-2</v>
      </c>
      <c r="AA3087" s="129">
        <v>1.0422128678957421E-2</v>
      </c>
    </row>
    <row r="3088" spans="19:27" x14ac:dyDescent="0.2">
      <c r="S3088" s="1"/>
      <c r="T3088" s="109"/>
      <c r="W3088" s="130" t="str">
        <f t="shared" si="57"/>
        <v>1w</v>
      </c>
      <c r="X3088" s="128">
        <f>_xll.qlCalendarAdvance(Calendar,X3087,W3088,"f",FALSE)</f>
        <v>60798</v>
      </c>
      <c r="Y3088" s="131">
        <f>_xll.qlCalendarAdvance(Calendar,X3088,NDays&amp;"D")</f>
        <v>60800</v>
      </c>
      <c r="Z3088" s="132">
        <v>1.0476847562697164E-2</v>
      </c>
      <c r="AA3088" s="129">
        <v>1.0427627857350075E-2</v>
      </c>
    </row>
    <row r="3089" spans="19:27" x14ac:dyDescent="0.2">
      <c r="S3089" s="1"/>
      <c r="T3089" s="109"/>
      <c r="W3089" s="130" t="str">
        <f t="shared" si="57"/>
        <v>1w</v>
      </c>
      <c r="X3089" s="128">
        <f>_xll.qlCalendarAdvance(Calendar,X3088,W3089,"f",FALSE)</f>
        <v>60805</v>
      </c>
      <c r="Y3089" s="131">
        <f>_xll.qlCalendarAdvance(Calendar,X3089,NDays&amp;"D")</f>
        <v>60807</v>
      </c>
      <c r="Z3089" s="132">
        <v>1.0482272377425028E-2</v>
      </c>
      <c r="AA3089" s="129">
        <v>1.0433115209682597E-2</v>
      </c>
    </row>
    <row r="3090" spans="19:27" x14ac:dyDescent="0.2">
      <c r="S3090" s="1"/>
      <c r="T3090" s="109"/>
      <c r="W3090" s="130" t="str">
        <f t="shared" si="57"/>
        <v>1w</v>
      </c>
      <c r="X3090" s="128">
        <f>_xll.qlCalendarAdvance(Calendar,X3089,W3090,"f",FALSE)</f>
        <v>60812</v>
      </c>
      <c r="Y3090" s="131">
        <f>_xll.qlCalendarAdvance(Calendar,X3090,NDays&amp;"D")</f>
        <v>60814</v>
      </c>
      <c r="Z3090" s="132">
        <v>1.0487685342111072E-2</v>
      </c>
      <c r="AA3090" s="129">
        <v>1.0438590735715181E-2</v>
      </c>
    </row>
    <row r="3091" spans="19:27" x14ac:dyDescent="0.2">
      <c r="S3091" s="1"/>
      <c r="T3091" s="109"/>
      <c r="W3091" s="130" t="str">
        <f t="shared" si="57"/>
        <v>1w</v>
      </c>
      <c r="X3091" s="128">
        <f>_xll.qlCalendarAdvance(Calendar,X3090,W3091,"f",FALSE)</f>
        <v>60819</v>
      </c>
      <c r="Y3091" s="131">
        <f>_xll.qlCalendarAdvance(Calendar,X3091,NDays&amp;"D")</f>
        <v>60821</v>
      </c>
      <c r="Z3091" s="132">
        <v>1.0493086456704038E-2</v>
      </c>
      <c r="AA3091" s="129">
        <v>1.0444054435847505E-2</v>
      </c>
    </row>
    <row r="3092" spans="19:27" x14ac:dyDescent="0.2">
      <c r="S3092" s="1"/>
      <c r="T3092" s="109"/>
      <c r="W3092" s="130" t="str">
        <f t="shared" si="57"/>
        <v>1w</v>
      </c>
      <c r="X3092" s="128">
        <f>_xll.qlCalendarAdvance(Calendar,X3091,W3092,"f",FALSE)</f>
        <v>60826</v>
      </c>
      <c r="Y3092" s="131">
        <f>_xll.qlCalendarAdvance(Calendar,X3092,NDays&amp;"D")</f>
        <v>60828</v>
      </c>
      <c r="Z3092" s="132">
        <v>1.0498475721157871E-2</v>
      </c>
      <c r="AA3092" s="129">
        <v>1.0449506309919698E-2</v>
      </c>
    </row>
    <row r="3093" spans="19:27" x14ac:dyDescent="0.2">
      <c r="S3093" s="1"/>
      <c r="T3093" s="109"/>
      <c r="W3093" s="130" t="str">
        <f t="shared" ref="W3093:W3156" si="58">W3092</f>
        <v>1w</v>
      </c>
      <c r="X3093" s="128">
        <f>_xll.qlCalendarAdvance(Calendar,X3092,W3093,"f",FALSE)</f>
        <v>60833</v>
      </c>
      <c r="Y3093" s="131">
        <f>_xll.qlCalendarAdvance(Calendar,X3093,NDays&amp;"D")</f>
        <v>60835</v>
      </c>
      <c r="Z3093" s="132">
        <v>1.0503853135420441E-2</v>
      </c>
      <c r="AA3093" s="129">
        <v>1.0454946357612016E-2</v>
      </c>
    </row>
    <row r="3094" spans="19:27" x14ac:dyDescent="0.2">
      <c r="S3094" s="1"/>
      <c r="T3094" s="109"/>
      <c r="W3094" s="130" t="str">
        <f t="shared" si="58"/>
        <v>1w</v>
      </c>
      <c r="X3094" s="128">
        <f>_xll.qlCalendarAdvance(Calendar,X3093,W3094,"f",FALSE)</f>
        <v>60840</v>
      </c>
      <c r="Y3094" s="131">
        <f>_xll.qlCalendarAdvance(Calendar,X3094,NDays&amp;"D")</f>
        <v>60842</v>
      </c>
      <c r="Z3094" s="132">
        <v>1.0509218699447436E-2</v>
      </c>
      <c r="AA3094" s="129">
        <v>1.0460374579404075E-2</v>
      </c>
    </row>
    <row r="3095" spans="19:27" x14ac:dyDescent="0.2">
      <c r="S3095" s="1"/>
      <c r="T3095" s="109"/>
      <c r="W3095" s="130" t="str">
        <f t="shared" si="58"/>
        <v>1w</v>
      </c>
      <c r="X3095" s="128">
        <f>_xll.qlCalendarAdvance(Calendar,X3094,W3095,"f",FALSE)</f>
        <v>60847</v>
      </c>
      <c r="Y3095" s="131">
        <f>_xll.qlCalendarAdvance(Calendar,X3095,NDays&amp;"D")</f>
        <v>60849</v>
      </c>
      <c r="Z3095" s="132">
        <v>1.0514572413184986E-2</v>
      </c>
      <c r="AA3095" s="129">
        <v>1.046579097497613E-2</v>
      </c>
    </row>
    <row r="3096" spans="19:27" x14ac:dyDescent="0.2">
      <c r="S3096" s="1"/>
      <c r="T3096" s="109"/>
      <c r="W3096" s="130" t="str">
        <f t="shared" si="58"/>
        <v>1w</v>
      </c>
      <c r="X3096" s="128">
        <f>_xll.qlCalendarAdvance(Calendar,X3095,W3096,"f",FALSE)</f>
        <v>60854</v>
      </c>
      <c r="Y3096" s="131">
        <f>_xll.qlCalendarAdvance(Calendar,X3096,NDays&amp;"D")</f>
        <v>60856</v>
      </c>
      <c r="Z3096" s="132">
        <v>1.0519914276587911E-2</v>
      </c>
      <c r="AA3096" s="129">
        <v>1.0471195544488054E-2</v>
      </c>
    </row>
    <row r="3097" spans="19:27" x14ac:dyDescent="0.2">
      <c r="S3097" s="1"/>
      <c r="T3097" s="109"/>
      <c r="W3097" s="130" t="str">
        <f t="shared" si="58"/>
        <v>1w</v>
      </c>
      <c r="X3097" s="128">
        <f>_xll.qlCalendarAdvance(Calendar,X3096,W3097,"f",FALSE)</f>
        <v>60861</v>
      </c>
      <c r="Y3097" s="131">
        <f>_xll.qlCalendarAdvance(Calendar,X3097,NDays&amp;"D")</f>
        <v>60863</v>
      </c>
      <c r="Z3097" s="132">
        <v>1.0525244289608418E-2</v>
      </c>
      <c r="AA3097" s="129">
        <v>1.0476588287939848E-2</v>
      </c>
    </row>
    <row r="3098" spans="19:27" x14ac:dyDescent="0.2">
      <c r="S3098" s="1"/>
      <c r="T3098" s="109"/>
      <c r="W3098" s="130" t="str">
        <f t="shared" si="58"/>
        <v>1w</v>
      </c>
      <c r="X3098" s="128">
        <f>_xll.qlCalendarAdvance(Calendar,X3097,W3098,"f",FALSE)</f>
        <v>60868</v>
      </c>
      <c r="Y3098" s="131">
        <f>_xll.qlCalendarAdvance(Calendar,X3098,NDays&amp;"D")</f>
        <v>60870</v>
      </c>
      <c r="Z3098" s="132">
        <v>1.0530562452196988E-2</v>
      </c>
      <c r="AA3098" s="129">
        <v>1.0481969205251573E-2</v>
      </c>
    </row>
    <row r="3099" spans="19:27" x14ac:dyDescent="0.2">
      <c r="S3099" s="1"/>
      <c r="T3099" s="109"/>
      <c r="W3099" s="130" t="str">
        <f t="shared" si="58"/>
        <v>1w</v>
      </c>
      <c r="X3099" s="128">
        <f>_xll.qlCalendarAdvance(Calendar,X3098,W3099,"f",FALSE)</f>
        <v>60875</v>
      </c>
      <c r="Y3099" s="131">
        <f>_xll.qlCalendarAdvance(Calendar,X3099,NDays&amp;"D")</f>
        <v>60877</v>
      </c>
      <c r="Z3099" s="132">
        <v>1.0535337957950456E-2</v>
      </c>
      <c r="AA3099" s="129">
        <v>1.0487338296423232E-2</v>
      </c>
    </row>
    <row r="3100" spans="19:27" x14ac:dyDescent="0.2">
      <c r="S3100" s="1"/>
      <c r="T3100" s="109"/>
      <c r="W3100" s="130" t="str">
        <f t="shared" si="58"/>
        <v>1w</v>
      </c>
      <c r="X3100" s="128">
        <f>_xll.qlCalendarAdvance(Calendar,X3099,W3100,"f",FALSE)</f>
        <v>60882</v>
      </c>
      <c r="Y3100" s="131">
        <f>_xll.qlCalendarAdvance(Calendar,X3100,NDays&amp;"D")</f>
        <v>60884</v>
      </c>
      <c r="Z3100" s="132">
        <v>1.0540633111204348E-2</v>
      </c>
      <c r="AA3100" s="129">
        <v>1.0492695561534759E-2</v>
      </c>
    </row>
    <row r="3101" spans="19:27" x14ac:dyDescent="0.2">
      <c r="S3101" s="1"/>
      <c r="T3101" s="109"/>
      <c r="W3101" s="130" t="str">
        <f t="shared" si="58"/>
        <v>1w</v>
      </c>
      <c r="X3101" s="128">
        <f>_xll.qlCalendarAdvance(Calendar,X3100,W3101,"f",FALSE)</f>
        <v>60889</v>
      </c>
      <c r="Y3101" s="131">
        <f>_xll.qlCalendarAdvance(Calendar,X3101,NDays&amp;"D")</f>
        <v>60891</v>
      </c>
      <c r="Z3101" s="132">
        <v>1.0545916414152888E-2</v>
      </c>
      <c r="AA3101" s="129">
        <v>1.049804100050622E-2</v>
      </c>
    </row>
    <row r="3102" spans="19:27" x14ac:dyDescent="0.2">
      <c r="S3102" s="1"/>
      <c r="T3102" s="109"/>
      <c r="W3102" s="130" t="str">
        <f t="shared" si="58"/>
        <v>1w</v>
      </c>
      <c r="X3102" s="128">
        <f>_xll.qlCalendarAdvance(Calendar,X3101,W3102,"f",FALSE)</f>
        <v>60896</v>
      </c>
      <c r="Y3102" s="131">
        <f>_xll.qlCalendarAdvance(Calendar,X3102,NDays&amp;"D")</f>
        <v>60898</v>
      </c>
      <c r="Z3102" s="132">
        <v>1.0551187866749519E-2</v>
      </c>
      <c r="AA3102" s="129">
        <v>1.0503374613257677E-2</v>
      </c>
    </row>
    <row r="3103" spans="19:27" x14ac:dyDescent="0.2">
      <c r="S3103" s="1"/>
      <c r="T3103" s="109"/>
      <c r="W3103" s="130" t="str">
        <f t="shared" si="58"/>
        <v>1w</v>
      </c>
      <c r="X3103" s="128">
        <f>_xll.qlCalendarAdvance(Calendar,X3102,W3103,"f",FALSE)</f>
        <v>60903</v>
      </c>
      <c r="Y3103" s="131">
        <f>_xll.qlCalendarAdvance(Calendar,X3103,NDays&amp;"D")</f>
        <v>60905</v>
      </c>
      <c r="Z3103" s="132">
        <v>1.0556975506969908E-2</v>
      </c>
      <c r="AA3103" s="129">
        <v>1.0508696400028938E-2</v>
      </c>
    </row>
    <row r="3104" spans="19:27" x14ac:dyDescent="0.2">
      <c r="S3104" s="1"/>
      <c r="T3104" s="109"/>
      <c r="W3104" s="130" t="str">
        <f t="shared" si="58"/>
        <v>1w</v>
      </c>
      <c r="X3104" s="128">
        <f>_xll.qlCalendarAdvance(Calendar,X3103,W3104,"f",FALSE)</f>
        <v>60910</v>
      </c>
      <c r="Y3104" s="131">
        <f>_xll.qlCalendarAdvance(Calendar,X3104,NDays&amp;"D")</f>
        <v>60912</v>
      </c>
      <c r="Z3104" s="132">
        <v>1.056222256595634E-2</v>
      </c>
      <c r="AA3104" s="129">
        <v>1.0514006360660133E-2</v>
      </c>
    </row>
    <row r="3105" spans="19:27" x14ac:dyDescent="0.2">
      <c r="S3105" s="1"/>
      <c r="T3105" s="109"/>
      <c r="W3105" s="130" t="str">
        <f t="shared" si="58"/>
        <v>1w</v>
      </c>
      <c r="X3105" s="128">
        <f>_xll.qlCalendarAdvance(Calendar,X3104,W3105,"f",FALSE)</f>
        <v>60917</v>
      </c>
      <c r="Y3105" s="131">
        <f>_xll.qlCalendarAdvance(Calendar,X3105,NDays&amp;"D")</f>
        <v>60919</v>
      </c>
      <c r="Z3105" s="132">
        <v>1.0567457774175448E-2</v>
      </c>
      <c r="AA3105" s="129">
        <v>1.051930449515126E-2</v>
      </c>
    </row>
    <row r="3106" spans="19:27" x14ac:dyDescent="0.2">
      <c r="S3106" s="1"/>
      <c r="T3106" s="109"/>
      <c r="W3106" s="130" t="str">
        <f t="shared" si="58"/>
        <v>1w</v>
      </c>
      <c r="X3106" s="128">
        <f>_xll.qlCalendarAdvance(Calendar,X3105,W3106,"f",FALSE)</f>
        <v>60924</v>
      </c>
      <c r="Y3106" s="131">
        <f>_xll.qlCalendarAdvance(Calendar,X3106,NDays&amp;"D")</f>
        <v>60926</v>
      </c>
      <c r="Z3106" s="132">
        <v>1.0572681131581184E-2</v>
      </c>
      <c r="AA3106" s="129">
        <v>1.0524590803502321E-2</v>
      </c>
    </row>
    <row r="3107" spans="19:27" x14ac:dyDescent="0.2">
      <c r="S3107" s="1"/>
      <c r="T3107" s="109"/>
      <c r="W3107" s="130" t="str">
        <f t="shared" si="58"/>
        <v>1w</v>
      </c>
      <c r="X3107" s="128">
        <f>_xll.qlCalendarAdvance(Calendar,X3106,W3107,"f",FALSE)</f>
        <v>60931</v>
      </c>
      <c r="Y3107" s="131">
        <f>_xll.qlCalendarAdvance(Calendar,X3107,NDays&amp;"D")</f>
        <v>60933</v>
      </c>
      <c r="Z3107" s="132">
        <v>1.0577892638124886E-2</v>
      </c>
      <c r="AA3107" s="129">
        <v>1.0529865285873186E-2</v>
      </c>
    </row>
    <row r="3108" spans="19:27" x14ac:dyDescent="0.2">
      <c r="S3108" s="1"/>
      <c r="T3108" s="109"/>
      <c r="W3108" s="130" t="str">
        <f t="shared" si="58"/>
        <v>1w</v>
      </c>
      <c r="X3108" s="128">
        <f>_xll.qlCalendarAdvance(Calendar,X3107,W3108,"f",FALSE)</f>
        <v>60938</v>
      </c>
      <c r="Y3108" s="131">
        <f>_xll.qlCalendarAdvance(Calendar,X3108,NDays&amp;"D")</f>
        <v>60940</v>
      </c>
      <c r="Z3108" s="132">
        <v>1.0583092293757033E-2</v>
      </c>
      <c r="AA3108" s="129">
        <v>1.0535127941944111E-2</v>
      </c>
    </row>
    <row r="3109" spans="19:27" x14ac:dyDescent="0.2">
      <c r="S3109" s="1"/>
      <c r="T3109" s="109"/>
      <c r="W3109" s="130" t="str">
        <f t="shared" si="58"/>
        <v>1w</v>
      </c>
      <c r="X3109" s="128">
        <f>_xll.qlCalendarAdvance(Calendar,X3108,W3109,"f",FALSE)</f>
        <v>60945</v>
      </c>
      <c r="Y3109" s="131">
        <f>_xll.qlCalendarAdvance(Calendar,X3109,NDays&amp;"D")</f>
        <v>60947</v>
      </c>
      <c r="Z3109" s="132">
        <v>1.0588280098433312E-2</v>
      </c>
      <c r="AA3109" s="129">
        <v>1.054037877187497E-2</v>
      </c>
    </row>
    <row r="3110" spans="19:27" x14ac:dyDescent="0.2">
      <c r="S3110" s="1"/>
      <c r="T3110" s="109"/>
      <c r="W3110" s="130" t="str">
        <f t="shared" si="58"/>
        <v>1w</v>
      </c>
      <c r="X3110" s="128">
        <f>_xll.qlCalendarAdvance(Calendar,X3109,W3110,"f",FALSE)</f>
        <v>60952</v>
      </c>
      <c r="Y3110" s="131">
        <f>_xll.qlCalendarAdvance(Calendar,X3110,NDays&amp;"D")</f>
        <v>60954</v>
      </c>
      <c r="Z3110" s="132">
        <v>1.059345605210767E-2</v>
      </c>
      <c r="AA3110" s="129">
        <v>1.0545617775905569E-2</v>
      </c>
    </row>
    <row r="3111" spans="19:27" x14ac:dyDescent="0.2">
      <c r="S3111" s="1"/>
      <c r="T3111" s="109"/>
      <c r="W3111" s="130" t="str">
        <f t="shared" si="58"/>
        <v>1w</v>
      </c>
      <c r="X3111" s="128">
        <f>_xll.qlCalendarAdvance(Calendar,X3110,W3111,"f",FALSE)</f>
        <v>60959</v>
      </c>
      <c r="Y3111" s="131">
        <f>_xll.qlCalendarAdvance(Calendar,X3111,NDays&amp;"D")</f>
        <v>60961</v>
      </c>
      <c r="Z3111" s="132">
        <v>1.0598620154730586E-2</v>
      </c>
      <c r="AA3111" s="129">
        <v>1.0550844953716165E-2</v>
      </c>
    </row>
    <row r="3112" spans="19:27" x14ac:dyDescent="0.2">
      <c r="S3112" s="1"/>
      <c r="T3112" s="109"/>
      <c r="W3112" s="130" t="str">
        <f t="shared" si="58"/>
        <v>1w</v>
      </c>
      <c r="X3112" s="128">
        <f>_xll.qlCalendarAdvance(Calendar,X3111,W3112,"f",FALSE)</f>
        <v>60966</v>
      </c>
      <c r="Y3112" s="131">
        <f>_xll.qlCalendarAdvance(Calendar,X3112,NDays&amp;"D")</f>
        <v>60968</v>
      </c>
      <c r="Z3112" s="132">
        <v>1.0602728763804414E-2</v>
      </c>
      <c r="AA3112" s="129">
        <v>1.055606030546663E-2</v>
      </c>
    </row>
    <row r="3113" spans="19:27" x14ac:dyDescent="0.2">
      <c r="S3113" s="1"/>
      <c r="T3113" s="109"/>
      <c r="W3113" s="130" t="str">
        <f t="shared" si="58"/>
        <v>1w</v>
      </c>
      <c r="X3113" s="128">
        <f>_xll.qlCalendarAdvance(Calendar,X3112,W3113,"f",FALSE)</f>
        <v>60973</v>
      </c>
      <c r="Y3113" s="131">
        <f>_xll.qlCalendarAdvance(Calendar,X3113,NDays&amp;"D")</f>
        <v>60975</v>
      </c>
      <c r="Z3113" s="132">
        <v>1.0607870554659726E-2</v>
      </c>
      <c r="AA3113" s="129">
        <v>1.0561263830917156E-2</v>
      </c>
    </row>
    <row r="3114" spans="19:27" x14ac:dyDescent="0.2">
      <c r="S3114" s="1"/>
      <c r="T3114" s="109"/>
      <c r="W3114" s="130" t="str">
        <f t="shared" si="58"/>
        <v>1w</v>
      </c>
      <c r="X3114" s="128">
        <f>_xll.qlCalendarAdvance(Calendar,X3113,W3114,"f",FALSE)</f>
        <v>60980</v>
      </c>
      <c r="Y3114" s="131">
        <f>_xll.qlCalendarAdvance(Calendar,X3114,NDays&amp;"D")</f>
        <v>60982</v>
      </c>
      <c r="Z3114" s="132">
        <v>1.0613000494883451E-2</v>
      </c>
      <c r="AA3114" s="129">
        <v>1.0566455530467422E-2</v>
      </c>
    </row>
    <row r="3115" spans="19:27" x14ac:dyDescent="0.2">
      <c r="S3115" s="1"/>
      <c r="T3115" s="109"/>
      <c r="W3115" s="130" t="str">
        <f t="shared" si="58"/>
        <v>1w</v>
      </c>
      <c r="X3115" s="128">
        <f>_xll.qlCalendarAdvance(Calendar,X3114,W3115,"f",FALSE)</f>
        <v>60987</v>
      </c>
      <c r="Y3115" s="131">
        <f>_xll.qlCalendarAdvance(Calendar,X3115,NDays&amp;"D")</f>
        <v>60989</v>
      </c>
      <c r="Z3115" s="132">
        <v>1.0618118584430292E-2</v>
      </c>
      <c r="AA3115" s="129">
        <v>1.057163540371775E-2</v>
      </c>
    </row>
    <row r="3116" spans="19:27" x14ac:dyDescent="0.2">
      <c r="S3116" s="1"/>
      <c r="T3116" s="109"/>
      <c r="W3116" s="130" t="str">
        <f t="shared" si="58"/>
        <v>1w</v>
      </c>
      <c r="X3116" s="128">
        <f>_xll.qlCalendarAdvance(Calendar,X3115,W3116,"f",FALSE)</f>
        <v>60994</v>
      </c>
      <c r="Y3116" s="131">
        <f>_xll.qlCalendarAdvance(Calendar,X3116,NDays&amp;"D")</f>
        <v>60996</v>
      </c>
      <c r="Z3116" s="132">
        <v>1.0623224823252286E-2</v>
      </c>
      <c r="AA3116" s="129">
        <v>1.0576803450907946E-2</v>
      </c>
    </row>
    <row r="3117" spans="19:27" x14ac:dyDescent="0.2">
      <c r="S3117" s="1"/>
      <c r="T3117" s="109"/>
      <c r="W3117" s="130" t="str">
        <f t="shared" si="58"/>
        <v>1w</v>
      </c>
      <c r="X3117" s="128">
        <f>_xll.qlCalendarAdvance(Calendar,X3116,W3117,"f",FALSE)</f>
        <v>61001</v>
      </c>
      <c r="Y3117" s="131">
        <f>_xll.qlCalendarAdvance(Calendar,X3117,NDays&amp;"D")</f>
        <v>61003</v>
      </c>
      <c r="Z3117" s="132">
        <v>1.0628319211305914E-2</v>
      </c>
      <c r="AA3117" s="129">
        <v>1.058195967203801E-2</v>
      </c>
    </row>
    <row r="3118" spans="19:27" x14ac:dyDescent="0.2">
      <c r="S3118" s="1"/>
      <c r="T3118" s="109"/>
      <c r="W3118" s="130" t="str">
        <f t="shared" si="58"/>
        <v>1w</v>
      </c>
      <c r="X3118" s="128">
        <f>_xll.qlCalendarAdvance(Calendar,X3117,W3118,"f",FALSE)</f>
        <v>61008</v>
      </c>
      <c r="Y3118" s="131">
        <f>_xll.qlCalendarAdvance(Calendar,X3118,NDays&amp;"D")</f>
        <v>61010</v>
      </c>
      <c r="Z3118" s="132">
        <v>1.0633401748545879E-2</v>
      </c>
      <c r="AA3118" s="129">
        <v>1.0587104066948072E-2</v>
      </c>
    </row>
    <row r="3119" spans="19:27" x14ac:dyDescent="0.2">
      <c r="S3119" s="1"/>
      <c r="T3119" s="109"/>
      <c r="W3119" s="130" t="str">
        <f t="shared" si="58"/>
        <v>1w</v>
      </c>
      <c r="X3119" s="128">
        <f>_xll.qlCalendarAdvance(Calendar,X3118,W3119,"f",FALSE)</f>
        <v>61015</v>
      </c>
      <c r="Y3119" s="131">
        <f>_xll.qlCalendarAdvance(Calendar,X3119,NDays&amp;"D")</f>
        <v>61017</v>
      </c>
      <c r="Z3119" s="132">
        <v>1.0638472434926882E-2</v>
      </c>
      <c r="AA3119" s="129">
        <v>1.0592236635877939E-2</v>
      </c>
    </row>
    <row r="3120" spans="19:27" x14ac:dyDescent="0.2">
      <c r="S3120" s="1"/>
      <c r="T3120" s="109"/>
      <c r="W3120" s="130" t="str">
        <f t="shared" si="58"/>
        <v>1w</v>
      </c>
      <c r="X3120" s="128">
        <f>_xll.qlCalendarAdvance(Calendar,X3119,W3120,"f",FALSE)</f>
        <v>61022</v>
      </c>
      <c r="Y3120" s="131">
        <f>_xll.qlCalendarAdvance(Calendar,X3120,NDays&amp;"D")</f>
        <v>61024</v>
      </c>
      <c r="Z3120" s="132">
        <v>1.0643531270403628E-2</v>
      </c>
      <c r="AA3120" s="129">
        <v>1.0597357378587802E-2</v>
      </c>
    </row>
    <row r="3121" spans="19:27" x14ac:dyDescent="0.2">
      <c r="S3121" s="1"/>
      <c r="T3121" s="109"/>
      <c r="W3121" s="130" t="str">
        <f t="shared" si="58"/>
        <v>1w</v>
      </c>
      <c r="X3121" s="128">
        <f>_xll.qlCalendarAdvance(Calendar,X3120,W3121,"f",FALSE)</f>
        <v>61029</v>
      </c>
      <c r="Y3121" s="131">
        <f>_xll.qlCalendarAdvance(Calendar,X3121,NDays&amp;"D")</f>
        <v>61031</v>
      </c>
      <c r="Z3121" s="132">
        <v>1.064806261637697E-2</v>
      </c>
      <c r="AA3121" s="129">
        <v>1.0602466295077662E-2</v>
      </c>
    </row>
    <row r="3122" spans="19:27" x14ac:dyDescent="0.2">
      <c r="S3122" s="1"/>
      <c r="T3122" s="109"/>
      <c r="W3122" s="130" t="str">
        <f t="shared" si="58"/>
        <v>1w</v>
      </c>
      <c r="X3122" s="128">
        <f>_xll.qlCalendarAdvance(Calendar,X3121,W3122,"f",FALSE)</f>
        <v>61036</v>
      </c>
      <c r="Y3122" s="131">
        <f>_xll.qlCalendarAdvance(Calendar,X3122,NDays&amp;"D")</f>
        <v>61038</v>
      </c>
      <c r="Z3122" s="132">
        <v>1.0653098447623804E-2</v>
      </c>
      <c r="AA3122" s="129">
        <v>1.0607563385587326E-2</v>
      </c>
    </row>
    <row r="3123" spans="19:27" x14ac:dyDescent="0.2">
      <c r="S3123" s="1"/>
      <c r="T3123" s="109"/>
      <c r="W3123" s="130" t="str">
        <f t="shared" si="58"/>
        <v>1w</v>
      </c>
      <c r="X3123" s="128">
        <f>_xll.qlCalendarAdvance(Calendar,X3122,W3123,"f",FALSE)</f>
        <v>61043</v>
      </c>
      <c r="Y3123" s="131">
        <f>_xll.qlCalendarAdvance(Calendar,X3123,NDays&amp;"D")</f>
        <v>61045</v>
      </c>
      <c r="Z3123" s="132">
        <v>1.0658122428116552E-2</v>
      </c>
      <c r="AA3123" s="129">
        <v>1.061264865003686E-2</v>
      </c>
    </row>
    <row r="3124" spans="19:27" x14ac:dyDescent="0.2">
      <c r="S3124" s="1"/>
      <c r="T3124" s="109"/>
      <c r="W3124" s="130" t="str">
        <f t="shared" si="58"/>
        <v>1w</v>
      </c>
      <c r="X3124" s="128">
        <f>_xll.qlCalendarAdvance(Calendar,X3123,W3124,"f",FALSE)</f>
        <v>61050</v>
      </c>
      <c r="Y3124" s="131">
        <f>_xll.qlCalendarAdvance(Calendar,X3124,NDays&amp;"D")</f>
        <v>61052</v>
      </c>
      <c r="Z3124" s="132">
        <v>1.0663134557808509E-2</v>
      </c>
      <c r="AA3124" s="129">
        <v>1.0617722088186454E-2</v>
      </c>
    </row>
    <row r="3125" spans="19:27" x14ac:dyDescent="0.2">
      <c r="S3125" s="1"/>
      <c r="T3125" s="109"/>
      <c r="W3125" s="130" t="str">
        <f t="shared" si="58"/>
        <v>1w</v>
      </c>
      <c r="X3125" s="128">
        <f>_xll.qlCalendarAdvance(Calendar,X3124,W3125,"f",FALSE)</f>
        <v>61057</v>
      </c>
      <c r="Y3125" s="131">
        <f>_xll.qlCalendarAdvance(Calendar,X3125,NDays&amp;"D")</f>
        <v>61059</v>
      </c>
      <c r="Z3125" s="132">
        <v>1.0669673205143478E-2</v>
      </c>
      <c r="AA3125" s="129">
        <v>1.0622783700195981E-2</v>
      </c>
    </row>
    <row r="3126" spans="19:27" x14ac:dyDescent="0.2">
      <c r="S3126" s="1"/>
      <c r="T3126" s="109"/>
      <c r="W3126" s="130" t="str">
        <f t="shared" si="58"/>
        <v>1w</v>
      </c>
      <c r="X3126" s="128">
        <f>_xll.qlCalendarAdvance(Calendar,X3125,W3126,"f",FALSE)</f>
        <v>61064</v>
      </c>
      <c r="Y3126" s="131">
        <f>_xll.qlCalendarAdvance(Calendar,X3126,NDays&amp;"D")</f>
        <v>61066</v>
      </c>
      <c r="Z3126" s="132">
        <v>1.0674659536453071E-2</v>
      </c>
      <c r="AA3126" s="129">
        <v>1.0627833486145377E-2</v>
      </c>
    </row>
    <row r="3127" spans="19:27" x14ac:dyDescent="0.2">
      <c r="S3127" s="1"/>
      <c r="T3127" s="109"/>
      <c r="W3127" s="130" t="str">
        <f t="shared" si="58"/>
        <v>1w</v>
      </c>
      <c r="X3127" s="128">
        <f>_xll.qlCalendarAdvance(Calendar,X3126,W3127,"f",FALSE)</f>
        <v>61071</v>
      </c>
      <c r="Y3127" s="131">
        <f>_xll.qlCalendarAdvance(Calendar,X3127,NDays&amp;"D")</f>
        <v>61073</v>
      </c>
      <c r="Z3127" s="132">
        <v>1.0679634015977024E-2</v>
      </c>
      <c r="AA3127" s="129">
        <v>1.0632871446034642E-2</v>
      </c>
    </row>
    <row r="3128" spans="19:27" x14ac:dyDescent="0.2">
      <c r="S3128" s="1"/>
      <c r="T3128" s="109"/>
      <c r="W3128" s="130" t="str">
        <f t="shared" si="58"/>
        <v>1w</v>
      </c>
      <c r="X3128" s="128">
        <f>_xll.qlCalendarAdvance(Calendar,X3127,W3128,"f",FALSE)</f>
        <v>61078</v>
      </c>
      <c r="Y3128" s="131">
        <f>_xll.qlCalendarAdvance(Calendar,X3128,NDays&amp;"D")</f>
        <v>61080</v>
      </c>
      <c r="Z3128" s="132">
        <v>1.0684596643668417E-2</v>
      </c>
      <c r="AA3128" s="129">
        <v>1.0637897579783839E-2</v>
      </c>
    </row>
    <row r="3129" spans="19:27" x14ac:dyDescent="0.2">
      <c r="S3129" s="1"/>
      <c r="T3129" s="109"/>
      <c r="W3129" s="130" t="str">
        <f t="shared" si="58"/>
        <v>1w</v>
      </c>
      <c r="X3129" s="128">
        <f>_xll.qlCalendarAdvance(Calendar,X3128,W3129,"f",FALSE)</f>
        <v>61085</v>
      </c>
      <c r="Y3129" s="131">
        <f>_xll.qlCalendarAdvance(Calendar,X3129,NDays&amp;"D")</f>
        <v>61087</v>
      </c>
      <c r="Z3129" s="132">
        <v>1.0689037483898345E-2</v>
      </c>
      <c r="AA3129" s="129">
        <v>1.0644971607435494E-2</v>
      </c>
    </row>
    <row r="3130" spans="19:27" x14ac:dyDescent="0.2">
      <c r="S3130" s="1"/>
      <c r="T3130" s="109"/>
      <c r="W3130" s="130" t="str">
        <f t="shared" si="58"/>
        <v>1w</v>
      </c>
      <c r="X3130" s="128">
        <f>_xll.qlCalendarAdvance(Calendar,X3129,W3130,"f",FALSE)</f>
        <v>61092</v>
      </c>
      <c r="Y3130" s="131">
        <f>_xll.qlCalendarAdvance(Calendar,X3130,NDays&amp;"D")</f>
        <v>61094</v>
      </c>
      <c r="Z3130" s="132">
        <v>1.069397710785832E-2</v>
      </c>
      <c r="AA3130" s="129">
        <v>1.0647914368862033E-2</v>
      </c>
    </row>
    <row r="3131" spans="19:27" x14ac:dyDescent="0.2">
      <c r="S3131" s="1"/>
      <c r="T3131" s="109"/>
      <c r="W3131" s="130" t="str">
        <f t="shared" si="58"/>
        <v>1w</v>
      </c>
      <c r="X3131" s="128">
        <f>_xll.qlCalendarAdvance(Calendar,X3130,W3131,"f",FALSE)</f>
        <v>61099</v>
      </c>
      <c r="Y3131" s="131">
        <f>_xll.qlCalendarAdvance(Calendar,X3131,NDays&amp;"D")</f>
        <v>61101</v>
      </c>
      <c r="Z3131" s="132">
        <v>1.0698904880139096E-2</v>
      </c>
      <c r="AA3131" s="129">
        <v>1.0652905024191028E-2</v>
      </c>
    </row>
    <row r="3132" spans="19:27" x14ac:dyDescent="0.2">
      <c r="S3132" s="1"/>
      <c r="T3132" s="109"/>
      <c r="W3132" s="130" t="str">
        <f t="shared" si="58"/>
        <v>1w</v>
      </c>
      <c r="X3132" s="128">
        <f>_xll.qlCalendarAdvance(Calendar,X3131,W3132,"f",FALSE)</f>
        <v>61106</v>
      </c>
      <c r="Y3132" s="131">
        <f>_xll.qlCalendarAdvance(Calendar,X3132,NDays&amp;"D")</f>
        <v>61108</v>
      </c>
      <c r="Z3132" s="132">
        <v>1.0703820800694997E-2</v>
      </c>
      <c r="AA3132" s="129">
        <v>1.0657883853300021E-2</v>
      </c>
    </row>
    <row r="3133" spans="19:27" x14ac:dyDescent="0.2">
      <c r="S3133" s="1"/>
      <c r="T3133" s="109"/>
      <c r="W3133" s="130" t="str">
        <f t="shared" si="58"/>
        <v>1w</v>
      </c>
      <c r="X3133" s="128">
        <f>_xll.qlCalendarAdvance(Calendar,X3132,W3133,"f",FALSE)</f>
        <v>61113</v>
      </c>
      <c r="Y3133" s="131">
        <f>_xll.qlCalendarAdvance(Calendar,X3133,NDays&amp;"D")</f>
        <v>61115</v>
      </c>
      <c r="Z3133" s="132">
        <v>1.0708724869486493E-2</v>
      </c>
      <c r="AA3133" s="129">
        <v>1.0662850856508754E-2</v>
      </c>
    </row>
    <row r="3134" spans="19:27" x14ac:dyDescent="0.2">
      <c r="S3134" s="1"/>
      <c r="T3134" s="109"/>
      <c r="W3134" s="130" t="str">
        <f t="shared" si="58"/>
        <v>1w</v>
      </c>
      <c r="X3134" s="128">
        <f>_xll.qlCalendarAdvance(Calendar,X3133,W3134,"f",FALSE)</f>
        <v>61120</v>
      </c>
      <c r="Y3134" s="131">
        <f>_xll.qlCalendarAdvance(Calendar,X3134,NDays&amp;"D")</f>
        <v>61122</v>
      </c>
      <c r="Z3134" s="132">
        <v>1.0714123518845467E-2</v>
      </c>
      <c r="AA3134" s="129">
        <v>1.0667806033337612E-2</v>
      </c>
    </row>
    <row r="3135" spans="19:27" x14ac:dyDescent="0.2">
      <c r="S3135" s="1"/>
      <c r="T3135" s="109"/>
      <c r="W3135" s="130" t="str">
        <f t="shared" si="58"/>
        <v>1w</v>
      </c>
      <c r="X3135" s="128">
        <f>_xll.qlCalendarAdvance(Calendar,X3134,W3135,"f",FALSE)</f>
        <v>61127</v>
      </c>
      <c r="Y3135" s="131">
        <f>_xll.qlCalendarAdvance(Calendar,X3135,NDays&amp;"D")</f>
        <v>61129</v>
      </c>
      <c r="Z3135" s="132">
        <v>1.0719003182464727E-2</v>
      </c>
      <c r="AA3135" s="129">
        <v>1.0672749384266211E-2</v>
      </c>
    </row>
    <row r="3136" spans="19:27" x14ac:dyDescent="0.2">
      <c r="S3136" s="1"/>
      <c r="T3136" s="109"/>
      <c r="W3136" s="130" t="str">
        <f t="shared" si="58"/>
        <v>1w</v>
      </c>
      <c r="X3136" s="128">
        <f>_xll.qlCalendarAdvance(Calendar,X3135,W3136,"f",FALSE)</f>
        <v>61134</v>
      </c>
      <c r="Y3136" s="131">
        <f>_xll.qlCalendarAdvance(Calendar,X3136,NDays&amp;"D")</f>
        <v>61136</v>
      </c>
      <c r="Z3136" s="132">
        <v>1.0723870993891715E-2</v>
      </c>
      <c r="AA3136" s="129">
        <v>1.0677680908814935E-2</v>
      </c>
    </row>
    <row r="3137" spans="19:27" x14ac:dyDescent="0.2">
      <c r="S3137" s="1"/>
      <c r="T3137" s="109"/>
      <c r="W3137" s="130" t="str">
        <f t="shared" si="58"/>
        <v>1w</v>
      </c>
      <c r="X3137" s="128">
        <f>_xll.qlCalendarAdvance(Calendar,X3136,W3137,"f",FALSE)</f>
        <v>61141</v>
      </c>
      <c r="Y3137" s="131">
        <f>_xll.qlCalendarAdvance(Calendar,X3137,NDays&amp;"D")</f>
        <v>61143</v>
      </c>
      <c r="Z3137" s="132">
        <v>1.0728726953088203E-2</v>
      </c>
      <c r="AA3137" s="129">
        <v>1.0682600607303527E-2</v>
      </c>
    </row>
    <row r="3138" spans="19:27" x14ac:dyDescent="0.2">
      <c r="S3138" s="1"/>
      <c r="T3138" s="109"/>
      <c r="W3138" s="130" t="str">
        <f t="shared" si="58"/>
        <v>1w</v>
      </c>
      <c r="X3138" s="128">
        <f>_xll.qlCalendarAdvance(Calendar,X3137,W3138,"f",FALSE)</f>
        <v>61148</v>
      </c>
      <c r="Y3138" s="131">
        <f>_xll.qlCalendarAdvance(Calendar,X3138,NDays&amp;"D")</f>
        <v>61150</v>
      </c>
      <c r="Z3138" s="132">
        <v>1.0733571060009007E-2</v>
      </c>
      <c r="AA3138" s="129">
        <v>1.0687508479891861E-2</v>
      </c>
    </row>
    <row r="3139" spans="19:27" x14ac:dyDescent="0.2">
      <c r="S3139" s="1"/>
      <c r="T3139" s="109"/>
      <c r="W3139" s="130" t="str">
        <f t="shared" si="58"/>
        <v>1w</v>
      </c>
      <c r="X3139" s="128">
        <f>_xll.qlCalendarAdvance(Calendar,X3138,W3139,"f",FALSE)</f>
        <v>61155</v>
      </c>
      <c r="Y3139" s="131">
        <f>_xll.qlCalendarAdvance(Calendar,X3139,NDays&amp;"D")</f>
        <v>61157</v>
      </c>
      <c r="Z3139" s="132">
        <v>1.0738403314608949E-2</v>
      </c>
      <c r="AA3139" s="129">
        <v>1.0692404526260191E-2</v>
      </c>
    </row>
    <row r="3140" spans="19:27" x14ac:dyDescent="0.2">
      <c r="S3140" s="1"/>
      <c r="T3140" s="109"/>
      <c r="W3140" s="130" t="str">
        <f t="shared" si="58"/>
        <v>1w</v>
      </c>
      <c r="X3140" s="128">
        <f>_xll.qlCalendarAdvance(Calendar,X3139,W3140,"f",FALSE)</f>
        <v>61162</v>
      </c>
      <c r="Y3140" s="131">
        <f>_xll.qlCalendarAdvance(Calendar,X3140,NDays&amp;"D")</f>
        <v>61164</v>
      </c>
      <c r="Z3140" s="132">
        <v>1.0743223716843713E-2</v>
      </c>
      <c r="AA3140" s="129">
        <v>1.0697288746328582E-2</v>
      </c>
    </row>
    <row r="3141" spans="19:27" x14ac:dyDescent="0.2">
      <c r="S3141" s="1"/>
      <c r="T3141" s="109"/>
      <c r="W3141" s="130" t="str">
        <f t="shared" si="58"/>
        <v>1w</v>
      </c>
      <c r="X3141" s="128">
        <f>_xll.qlCalendarAdvance(Calendar,X3140,W3141,"f",FALSE)</f>
        <v>61169</v>
      </c>
      <c r="Y3141" s="131">
        <f>_xll.qlCalendarAdvance(Calendar,X3141,NDays&amp;"D")</f>
        <v>61171</v>
      </c>
      <c r="Z3141" s="132">
        <v>1.0748032266669857E-2</v>
      </c>
      <c r="AA3141" s="129">
        <v>1.0702161140336841E-2</v>
      </c>
    </row>
    <row r="3142" spans="19:27" x14ac:dyDescent="0.2">
      <c r="S3142" s="1"/>
      <c r="T3142" s="109"/>
      <c r="W3142" s="130" t="str">
        <f t="shared" si="58"/>
        <v>1w</v>
      </c>
      <c r="X3142" s="128">
        <f>_xll.qlCalendarAdvance(Calendar,X3141,W3142,"f",FALSE)</f>
        <v>61176</v>
      </c>
      <c r="Y3142" s="131">
        <f>_xll.qlCalendarAdvance(Calendar,X3142,NDays&amp;"D")</f>
        <v>61178</v>
      </c>
      <c r="Z3142" s="132">
        <v>1.0752828964044808E-2</v>
      </c>
      <c r="AA3142" s="129">
        <v>1.0707021708284969E-2</v>
      </c>
    </row>
    <row r="3143" spans="19:27" x14ac:dyDescent="0.2">
      <c r="S3143" s="1"/>
      <c r="T3143" s="109"/>
      <c r="W3143" s="130" t="str">
        <f t="shared" si="58"/>
        <v>1w</v>
      </c>
      <c r="X3143" s="128">
        <f>_xll.qlCalendarAdvance(Calendar,X3142,W3143,"f",FALSE)</f>
        <v>61183</v>
      </c>
      <c r="Y3143" s="131">
        <f>_xll.qlCalendarAdvance(Calendar,X3143,NDays&amp;"D")</f>
        <v>61185</v>
      </c>
      <c r="Z3143" s="132">
        <v>1.075761380892599E-2</v>
      </c>
      <c r="AA3143" s="129">
        <v>1.0711870450013095E-2</v>
      </c>
    </row>
    <row r="3144" spans="19:27" x14ac:dyDescent="0.2">
      <c r="S3144" s="1"/>
      <c r="T3144" s="109"/>
      <c r="W3144" s="130" t="str">
        <f t="shared" si="58"/>
        <v>1w</v>
      </c>
      <c r="X3144" s="128">
        <f>_xll.qlCalendarAdvance(Calendar,X3143,W3144,"f",FALSE)</f>
        <v>61190</v>
      </c>
      <c r="Y3144" s="131">
        <f>_xll.qlCalendarAdvance(Calendar,X3144,NDays&amp;"D")</f>
        <v>61192</v>
      </c>
      <c r="Z3144" s="132">
        <v>1.0762386801266483E-2</v>
      </c>
      <c r="AA3144" s="129">
        <v>1.0716707365601152E-2</v>
      </c>
    </row>
    <row r="3145" spans="19:27" x14ac:dyDescent="0.2">
      <c r="S3145" s="1"/>
      <c r="T3145" s="109"/>
      <c r="W3145" s="130" t="str">
        <f t="shared" si="58"/>
        <v>1w</v>
      </c>
      <c r="X3145" s="128">
        <f>_xll.qlCalendarAdvance(Calendar,X3144,W3145,"f",FALSE)</f>
        <v>61197</v>
      </c>
      <c r="Y3145" s="131">
        <f>_xll.qlCalendarAdvance(Calendar,X3145,NDays&amp;"D")</f>
        <v>61199</v>
      </c>
      <c r="Z3145" s="132">
        <v>1.0767147941027188E-2</v>
      </c>
      <c r="AA3145" s="129">
        <v>1.0721532455209015E-2</v>
      </c>
    </row>
    <row r="3146" spans="19:27" x14ac:dyDescent="0.2">
      <c r="S3146" s="1"/>
      <c r="T3146" s="109"/>
      <c r="W3146" s="130" t="str">
        <f t="shared" si="58"/>
        <v>1w</v>
      </c>
      <c r="X3146" s="128">
        <f>_xll.qlCalendarAdvance(Calendar,X3145,W3146,"f",FALSE)</f>
        <v>61204</v>
      </c>
      <c r="Y3146" s="131">
        <f>_xll.qlCalendarAdvance(Calendar,X3146,NDays&amp;"D")</f>
        <v>61206</v>
      </c>
      <c r="Z3146" s="132">
        <v>1.0771897228162925E-2</v>
      </c>
      <c r="AA3146" s="129">
        <v>1.0726345718516939E-2</v>
      </c>
    </row>
    <row r="3147" spans="19:27" x14ac:dyDescent="0.2">
      <c r="S3147" s="1"/>
      <c r="T3147" s="109"/>
      <c r="W3147" s="130" t="str">
        <f t="shared" si="58"/>
        <v>1w</v>
      </c>
      <c r="X3147" s="128">
        <f>_xll.qlCalendarAdvance(Calendar,X3146,W3147,"f",FALSE)</f>
        <v>61211</v>
      </c>
      <c r="Y3147" s="131">
        <f>_xll.qlCalendarAdvance(Calendar,X3147,NDays&amp;"D")</f>
        <v>61213</v>
      </c>
      <c r="Z3147" s="132">
        <v>1.0776634662629382E-2</v>
      </c>
      <c r="AA3147" s="129">
        <v>1.0731147155604859E-2</v>
      </c>
    </row>
    <row r="3148" spans="19:27" x14ac:dyDescent="0.2">
      <c r="S3148" s="1"/>
      <c r="T3148" s="109"/>
      <c r="W3148" s="130" t="str">
        <f t="shared" si="58"/>
        <v>1w</v>
      </c>
      <c r="X3148" s="128">
        <f>_xll.qlCalendarAdvance(Calendar,X3147,W3148,"f",FALSE)</f>
        <v>61218</v>
      </c>
      <c r="Y3148" s="131">
        <f>_xll.qlCalendarAdvance(Calendar,X3148,NDays&amp;"D")</f>
        <v>61220</v>
      </c>
      <c r="Z3148" s="132">
        <v>1.0781360244386589E-2</v>
      </c>
      <c r="AA3148" s="129">
        <v>1.073593676679252E-2</v>
      </c>
    </row>
    <row r="3149" spans="19:27" x14ac:dyDescent="0.2">
      <c r="S3149" s="1"/>
      <c r="T3149" s="109"/>
      <c r="W3149" s="130" t="str">
        <f t="shared" si="58"/>
        <v>1w</v>
      </c>
      <c r="X3149" s="128">
        <f>_xll.qlCalendarAdvance(Calendar,X3148,W3149,"f",FALSE)</f>
        <v>61225</v>
      </c>
      <c r="Y3149" s="131">
        <f>_xll.qlCalendarAdvance(Calendar,X3149,NDays&amp;"D")</f>
        <v>61227</v>
      </c>
      <c r="Z3149" s="132">
        <v>1.0786073973389368E-2</v>
      </c>
      <c r="AA3149" s="129">
        <v>1.0740714551680242E-2</v>
      </c>
    </row>
    <row r="3150" spans="19:27" x14ac:dyDescent="0.2">
      <c r="S3150" s="1"/>
      <c r="T3150" s="109"/>
      <c r="W3150" s="130" t="str">
        <f t="shared" si="58"/>
        <v>1w</v>
      </c>
      <c r="X3150" s="128">
        <f>_xll.qlCalendarAdvance(Calendar,X3149,W3150,"f",FALSE)</f>
        <v>61232</v>
      </c>
      <c r="Y3150" s="131">
        <f>_xll.qlCalendarAdvance(Calendar,X3150,NDays&amp;"D")</f>
        <v>61234</v>
      </c>
      <c r="Z3150" s="132">
        <v>1.0790775849596878E-2</v>
      </c>
      <c r="AA3150" s="129">
        <v>1.0745480510587768E-2</v>
      </c>
    </row>
    <row r="3151" spans="19:27" x14ac:dyDescent="0.2">
      <c r="S3151" s="1"/>
      <c r="T3151" s="109"/>
      <c r="W3151" s="130" t="str">
        <f t="shared" si="58"/>
        <v>1w</v>
      </c>
      <c r="X3151" s="128">
        <f>_xll.qlCalendarAdvance(Calendar,X3150,W3151,"f",FALSE)</f>
        <v>61239</v>
      </c>
      <c r="Y3151" s="131">
        <f>_xll.qlCalendarAdvance(Calendar,X3151,NDays&amp;"D")</f>
        <v>61241</v>
      </c>
      <c r="Z3151" s="132">
        <v>1.0794971405918686E-2</v>
      </c>
      <c r="AA3151" s="129">
        <v>1.0750234643195355E-2</v>
      </c>
    </row>
    <row r="3152" spans="19:27" x14ac:dyDescent="0.2">
      <c r="S3152" s="1"/>
      <c r="T3152" s="109"/>
      <c r="W3152" s="130" t="str">
        <f t="shared" si="58"/>
        <v>1w</v>
      </c>
      <c r="X3152" s="128">
        <f>_xll.qlCalendarAdvance(Calendar,X3151,W3152,"f",FALSE)</f>
        <v>61246</v>
      </c>
      <c r="Y3152" s="131">
        <f>_xll.qlCalendarAdvance(Calendar,X3152,NDays&amp;"D")</f>
        <v>61248</v>
      </c>
      <c r="Z3152" s="132">
        <v>1.0799650282900366E-2</v>
      </c>
      <c r="AA3152" s="129">
        <v>1.0754976949822748E-2</v>
      </c>
    </row>
    <row r="3153" spans="19:27" x14ac:dyDescent="0.2">
      <c r="S3153" s="1"/>
      <c r="T3153" s="109"/>
      <c r="W3153" s="130" t="str">
        <f t="shared" si="58"/>
        <v>1w</v>
      </c>
      <c r="X3153" s="128">
        <f>_xll.qlCalendarAdvance(Calendar,X3152,W3153,"f",FALSE)</f>
        <v>61253</v>
      </c>
      <c r="Y3153" s="131">
        <f>_xll.qlCalendarAdvance(Calendar,X3153,NDays&amp;"D")</f>
        <v>61255</v>
      </c>
      <c r="Z3153" s="132">
        <v>1.0804317307255035E-2</v>
      </c>
      <c r="AA3153" s="129">
        <v>1.07597074301502E-2</v>
      </c>
    </row>
    <row r="3154" spans="19:27" x14ac:dyDescent="0.2">
      <c r="S3154" s="1"/>
      <c r="T3154" s="109"/>
      <c r="W3154" s="130" t="str">
        <f t="shared" si="58"/>
        <v>1w</v>
      </c>
      <c r="X3154" s="128">
        <f>_xll.qlCalendarAdvance(Calendar,X3153,W3154,"f",FALSE)</f>
        <v>61260</v>
      </c>
      <c r="Y3154" s="131">
        <f>_xll.qlCalendarAdvance(Calendar,X3154,NDays&amp;"D")</f>
        <v>61262</v>
      </c>
      <c r="Z3154" s="132">
        <v>1.0808972478942285E-2</v>
      </c>
      <c r="AA3154" s="129">
        <v>1.0764426084417522E-2</v>
      </c>
    </row>
    <row r="3155" spans="19:27" x14ac:dyDescent="0.2">
      <c r="S3155" s="1"/>
      <c r="T3155" s="109"/>
      <c r="W3155" s="130" t="str">
        <f t="shared" si="58"/>
        <v>1w</v>
      </c>
      <c r="X3155" s="128">
        <f>_xll.qlCalendarAdvance(Calendar,X3154,W3155,"f",FALSE)</f>
        <v>61267</v>
      </c>
      <c r="Y3155" s="131">
        <f>_xll.qlCalendarAdvance(Calendar,X3155,NDays&amp;"D")</f>
        <v>61269</v>
      </c>
      <c r="Z3155" s="132">
        <v>1.0813615797919073E-2</v>
      </c>
      <c r="AA3155" s="129">
        <v>1.0769132912464841E-2</v>
      </c>
    </row>
    <row r="3156" spans="19:27" x14ac:dyDescent="0.2">
      <c r="S3156" s="1"/>
      <c r="T3156" s="109"/>
      <c r="W3156" s="130" t="str">
        <f t="shared" si="58"/>
        <v>1w</v>
      </c>
      <c r="X3156" s="128">
        <f>_xll.qlCalendarAdvance(Calendar,X3155,W3156,"f",FALSE)</f>
        <v>61274</v>
      </c>
      <c r="Y3156" s="131">
        <f>_xll.qlCalendarAdvance(Calendar,X3156,NDays&amp;"D")</f>
        <v>61276</v>
      </c>
      <c r="Z3156" s="132">
        <v>1.0818738195727613E-2</v>
      </c>
      <c r="AA3156" s="129">
        <v>1.0773827914452028E-2</v>
      </c>
    </row>
    <row r="3157" spans="19:27" x14ac:dyDescent="0.2">
      <c r="S3157" s="1"/>
      <c r="T3157" s="109"/>
      <c r="W3157" s="130" t="str">
        <f t="shared" ref="W3157:W3220" si="59">W3156</f>
        <v>1w</v>
      </c>
      <c r="X3157" s="128">
        <f>_xll.qlCalendarAdvance(Calendar,X3156,W3157,"f",FALSE)</f>
        <v>61281</v>
      </c>
      <c r="Y3157" s="131">
        <f>_xll.qlCalendarAdvance(Calendar,X3157,NDays&amp;"D")</f>
        <v>61283</v>
      </c>
      <c r="Z3157" s="132">
        <v>1.0823357101172689E-2</v>
      </c>
      <c r="AA3157" s="129">
        <v>1.0778511090219212E-2</v>
      </c>
    </row>
    <row r="3158" spans="19:27" x14ac:dyDescent="0.2">
      <c r="S3158" s="1"/>
      <c r="T3158" s="109"/>
      <c r="W3158" s="130" t="str">
        <f t="shared" si="59"/>
        <v>1w</v>
      </c>
      <c r="X3158" s="128">
        <f>_xll.qlCalendarAdvance(Calendar,X3157,W3158,"f",FALSE)</f>
        <v>61288</v>
      </c>
      <c r="Y3158" s="131">
        <f>_xll.qlCalendarAdvance(Calendar,X3158,NDays&amp;"D")</f>
        <v>61290</v>
      </c>
      <c r="Z3158" s="132">
        <v>1.0827964153482771E-2</v>
      </c>
      <c r="AA3158" s="129">
        <v>1.0783182439926264E-2</v>
      </c>
    </row>
    <row r="3159" spans="19:27" x14ac:dyDescent="0.2">
      <c r="S3159" s="1"/>
      <c r="T3159" s="109"/>
      <c r="W3159" s="130" t="str">
        <f t="shared" si="59"/>
        <v>1w</v>
      </c>
      <c r="X3159" s="128">
        <f>_xll.qlCalendarAdvance(Calendar,X3158,W3159,"f",FALSE)</f>
        <v>61295</v>
      </c>
      <c r="Y3159" s="131">
        <f>_xll.qlCalendarAdvance(Calendar,X3159,NDays&amp;"D")</f>
        <v>61297</v>
      </c>
      <c r="Z3159" s="132">
        <v>1.0832559352615281E-2</v>
      </c>
      <c r="AA3159" s="129">
        <v>1.0787841963573186E-2</v>
      </c>
    </row>
    <row r="3160" spans="19:27" x14ac:dyDescent="0.2">
      <c r="S3160" s="1"/>
      <c r="T3160" s="109"/>
      <c r="W3160" s="130" t="str">
        <f t="shared" si="59"/>
        <v>1w</v>
      </c>
      <c r="X3160" s="128">
        <f>_xll.qlCalendarAdvance(Calendar,X3159,W3160,"f",FALSE)</f>
        <v>61302</v>
      </c>
      <c r="Y3160" s="131">
        <f>_xll.qlCalendarAdvance(Calendar,X3160,NDays&amp;"D")</f>
        <v>61304</v>
      </c>
      <c r="Z3160" s="132">
        <v>1.0837142698530254E-2</v>
      </c>
      <c r="AA3160" s="129">
        <v>1.0792489661000104E-2</v>
      </c>
    </row>
    <row r="3161" spans="19:27" x14ac:dyDescent="0.2">
      <c r="S3161" s="1"/>
      <c r="T3161" s="109"/>
      <c r="W3161" s="130" t="str">
        <f t="shared" si="59"/>
        <v>1w</v>
      </c>
      <c r="X3161" s="128">
        <f>_xll.qlCalendarAdvance(Calendar,X3160,W3161,"f",FALSE)</f>
        <v>61309</v>
      </c>
      <c r="Y3161" s="131">
        <f>_xll.qlCalendarAdvance(Calendar,X3161,NDays&amp;"D")</f>
        <v>61311</v>
      </c>
      <c r="Z3161" s="132">
        <v>1.0841714191185983E-2</v>
      </c>
      <c r="AA3161" s="129">
        <v>1.0797125532127083E-2</v>
      </c>
    </row>
    <row r="3162" spans="19:27" x14ac:dyDescent="0.2">
      <c r="S3162" s="1"/>
      <c r="T3162" s="109"/>
      <c r="W3162" s="130" t="str">
        <f t="shared" si="59"/>
        <v>1w</v>
      </c>
      <c r="X3162" s="128">
        <f>_xll.qlCalendarAdvance(Calendar,X3161,W3162,"f",FALSE)</f>
        <v>61316</v>
      </c>
      <c r="Y3162" s="131">
        <f>_xll.qlCalendarAdvance(Calendar,X3162,NDays&amp;"D")</f>
        <v>61318</v>
      </c>
      <c r="Z3162" s="132">
        <v>1.0846273830541632E-2</v>
      </c>
      <c r="AA3162" s="129">
        <v>1.0801749577433739E-2</v>
      </c>
    </row>
    <row r="3163" spans="19:27" x14ac:dyDescent="0.2">
      <c r="S3163" s="1"/>
      <c r="T3163" s="109"/>
      <c r="W3163" s="130" t="str">
        <f t="shared" si="59"/>
        <v>1w</v>
      </c>
      <c r="X3163" s="128">
        <f>_xll.qlCalendarAdvance(Calendar,X3162,W3163,"f",FALSE)</f>
        <v>61323</v>
      </c>
      <c r="Y3163" s="131">
        <f>_xll.qlCalendarAdvance(Calendar,X3163,NDays&amp;"D")</f>
        <v>61325</v>
      </c>
      <c r="Z3163" s="132">
        <v>1.0850821616552887E-2</v>
      </c>
      <c r="AA3163" s="129">
        <v>1.0806361796280584E-2</v>
      </c>
    </row>
    <row r="3164" spans="19:27" x14ac:dyDescent="0.2">
      <c r="S3164" s="1"/>
      <c r="T3164" s="109"/>
      <c r="W3164" s="130" t="str">
        <f t="shared" si="59"/>
        <v>1w</v>
      </c>
      <c r="X3164" s="128">
        <f>_xll.qlCalendarAdvance(Calendar,X3163,W3164,"f",FALSE)</f>
        <v>61330</v>
      </c>
      <c r="Y3164" s="131">
        <f>_xll.qlCalendarAdvance(Calendar,X3164,NDays&amp;"D")</f>
        <v>61332</v>
      </c>
      <c r="Z3164" s="132">
        <v>1.0854872289928147E-2</v>
      </c>
      <c r="AA3164" s="129">
        <v>1.0810962189227169E-2</v>
      </c>
    </row>
    <row r="3165" spans="19:27" x14ac:dyDescent="0.2">
      <c r="S3165" s="1"/>
      <c r="T3165" s="109"/>
      <c r="W3165" s="130" t="str">
        <f t="shared" si="59"/>
        <v>1w</v>
      </c>
      <c r="X3165" s="128">
        <f>_xll.qlCalendarAdvance(Calendar,X3164,W3165,"f",FALSE)</f>
        <v>61337</v>
      </c>
      <c r="Y3165" s="131">
        <f>_xll.qlCalendarAdvance(Calendar,X3165,NDays&amp;"D")</f>
        <v>61339</v>
      </c>
      <c r="Z3165" s="132">
        <v>1.0859397079531367E-2</v>
      </c>
      <c r="AA3165" s="129">
        <v>1.0815550755873815E-2</v>
      </c>
    </row>
    <row r="3166" spans="19:27" x14ac:dyDescent="0.2">
      <c r="S3166" s="1"/>
      <c r="T3166" s="109"/>
      <c r="W3166" s="130" t="str">
        <f t="shared" si="59"/>
        <v>1w</v>
      </c>
      <c r="X3166" s="128">
        <f>_xll.qlCalendarAdvance(Calendar,X3165,W3166,"f",FALSE)</f>
        <v>61344</v>
      </c>
      <c r="Y3166" s="131">
        <f>_xll.qlCalendarAdvance(Calendar,X3166,NDays&amp;"D")</f>
        <v>61346</v>
      </c>
      <c r="Z3166" s="132">
        <v>1.0863910015975253E-2</v>
      </c>
      <c r="AA3166" s="129">
        <v>1.0820127496380394E-2</v>
      </c>
    </row>
    <row r="3167" spans="19:27" x14ac:dyDescent="0.2">
      <c r="S3167" s="1"/>
      <c r="T3167" s="109"/>
      <c r="W3167" s="130" t="str">
        <f t="shared" si="59"/>
        <v>1w</v>
      </c>
      <c r="X3167" s="128">
        <f>_xll.qlCalendarAdvance(Calendar,X3166,W3167,"f",FALSE)</f>
        <v>61351</v>
      </c>
      <c r="Y3167" s="131">
        <f>_xll.qlCalendarAdvance(Calendar,X3167,NDays&amp;"D")</f>
        <v>61353</v>
      </c>
      <c r="Z3167" s="132">
        <v>1.0868411099214128E-2</v>
      </c>
      <c r="AA3167" s="129">
        <v>1.0824692410906778E-2</v>
      </c>
    </row>
    <row r="3168" spans="19:27" x14ac:dyDescent="0.2">
      <c r="S3168" s="1"/>
      <c r="T3168" s="109"/>
      <c r="W3168" s="130" t="str">
        <f t="shared" si="59"/>
        <v>1w</v>
      </c>
      <c r="X3168" s="128">
        <f>_xll.qlCalendarAdvance(Calendar,X3167,W3168,"f",FALSE)</f>
        <v>61358</v>
      </c>
      <c r="Y3168" s="131">
        <f>_xll.qlCalendarAdvance(Calendar,X3168,NDays&amp;"D")</f>
        <v>61360</v>
      </c>
      <c r="Z3168" s="132">
        <v>1.0872900329211978E-2</v>
      </c>
      <c r="AA3168" s="129">
        <v>1.0829245499053286E-2</v>
      </c>
    </row>
    <row r="3169" spans="19:27" x14ac:dyDescent="0.2">
      <c r="S3169" s="1"/>
      <c r="T3169" s="109"/>
      <c r="W3169" s="130" t="str">
        <f t="shared" si="59"/>
        <v>1w</v>
      </c>
      <c r="X3169" s="128">
        <f>_xll.qlCalendarAdvance(Calendar,X3168,W3169,"f",FALSE)</f>
        <v>61365</v>
      </c>
      <c r="Y3169" s="131">
        <f>_xll.qlCalendarAdvance(Calendar,X3169,NDays&amp;"D")</f>
        <v>61367</v>
      </c>
      <c r="Z3169" s="132">
        <v>1.087737770592488E-2</v>
      </c>
      <c r="AA3169" s="129">
        <v>1.0833786761059727E-2</v>
      </c>
    </row>
    <row r="3170" spans="19:27" x14ac:dyDescent="0.2">
      <c r="S3170" s="1"/>
      <c r="T3170" s="109"/>
      <c r="W3170" s="130" t="str">
        <f t="shared" si="59"/>
        <v>1w</v>
      </c>
      <c r="X3170" s="128">
        <f>_xll.qlCalendarAdvance(Calendar,X3169,W3170,"f",FALSE)</f>
        <v>61372</v>
      </c>
      <c r="Y3170" s="131">
        <f>_xll.qlCalendarAdvance(Calendar,X3170,NDays&amp;"D")</f>
        <v>61374</v>
      </c>
      <c r="Z3170" s="132">
        <v>1.0881843229316819E-2</v>
      </c>
      <c r="AA3170" s="129">
        <v>1.0838316197245845E-2</v>
      </c>
    </row>
    <row r="3171" spans="19:27" x14ac:dyDescent="0.2">
      <c r="S3171" s="1"/>
      <c r="T3171" s="109"/>
      <c r="W3171" s="130" t="str">
        <f t="shared" si="59"/>
        <v>1w</v>
      </c>
      <c r="X3171" s="128">
        <f>_xll.qlCalendarAdvance(Calendar,X3170,W3171,"f",FALSE)</f>
        <v>61379</v>
      </c>
      <c r="Y3171" s="131">
        <f>_xll.qlCalendarAdvance(Calendar,X3171,NDays&amp;"D")</f>
        <v>61381</v>
      </c>
      <c r="Z3171" s="132">
        <v>1.0886296899343877E-2</v>
      </c>
      <c r="AA3171" s="129">
        <v>1.0842833807052088E-2</v>
      </c>
    </row>
    <row r="3172" spans="19:27" x14ac:dyDescent="0.2">
      <c r="S3172" s="1"/>
      <c r="T3172" s="109"/>
      <c r="W3172" s="130" t="str">
        <f t="shared" si="59"/>
        <v>1w</v>
      </c>
      <c r="X3172" s="128">
        <f>_xll.qlCalendarAdvance(Calendar,X3171,W3172,"f",FALSE)</f>
        <v>61386</v>
      </c>
      <c r="Y3172" s="131">
        <f>_xll.qlCalendarAdvance(Calendar,X3172,NDays&amp;"D")</f>
        <v>61388</v>
      </c>
      <c r="Z3172" s="132">
        <v>1.0890738715966523E-2</v>
      </c>
      <c r="AA3172" s="129">
        <v>1.0847339590638327E-2</v>
      </c>
    </row>
    <row r="3173" spans="19:27" x14ac:dyDescent="0.2">
      <c r="S3173" s="1"/>
      <c r="T3173" s="109"/>
      <c r="W3173" s="130" t="str">
        <f t="shared" si="59"/>
        <v>1w</v>
      </c>
      <c r="X3173" s="128">
        <f>_xll.qlCalendarAdvance(Calendar,X3172,W3173,"f",FALSE)</f>
        <v>61393</v>
      </c>
      <c r="Y3173" s="131">
        <f>_xll.qlCalendarAdvance(Calendar,X3173,NDays&amp;"D")</f>
        <v>61395</v>
      </c>
      <c r="Z3173" s="132">
        <v>1.0894689766113075E-2</v>
      </c>
      <c r="AA3173" s="129">
        <v>1.0851833548164436E-2</v>
      </c>
    </row>
    <row r="3174" spans="19:27" x14ac:dyDescent="0.2">
      <c r="S3174" s="1"/>
      <c r="T3174" s="109"/>
      <c r="W3174" s="130" t="str">
        <f t="shared" si="59"/>
        <v>1w</v>
      </c>
      <c r="X3174" s="128">
        <f>_xll.qlCalendarAdvance(Calendar,X3173,W3174,"f",FALSE)</f>
        <v>61400</v>
      </c>
      <c r="Y3174" s="131">
        <f>_xll.qlCalendarAdvance(Calendar,X3174,NDays&amp;"D")</f>
        <v>61402</v>
      </c>
      <c r="Z3174" s="132">
        <v>1.0899108588917628E-2</v>
      </c>
      <c r="AA3174" s="129">
        <v>1.0856315679550477E-2</v>
      </c>
    </row>
    <row r="3175" spans="19:27" x14ac:dyDescent="0.2">
      <c r="S3175" s="1"/>
      <c r="T3175" s="109"/>
      <c r="W3175" s="130" t="str">
        <f t="shared" si="59"/>
        <v>1w</v>
      </c>
      <c r="X3175" s="128">
        <f>_xll.qlCalendarAdvance(Calendar,X3174,W3175,"f",FALSE)</f>
        <v>61407</v>
      </c>
      <c r="Y3175" s="131">
        <f>_xll.qlCalendarAdvance(Calendar,X3175,NDays&amp;"D")</f>
        <v>61409</v>
      </c>
      <c r="Z3175" s="132">
        <v>1.090351555850777E-2</v>
      </c>
      <c r="AA3175" s="129">
        <v>1.0860785984796451E-2</v>
      </c>
    </row>
    <row r="3176" spans="19:27" x14ac:dyDescent="0.2">
      <c r="S3176" s="1"/>
      <c r="T3176" s="109"/>
      <c r="W3176" s="130" t="str">
        <f t="shared" si="59"/>
        <v>1w</v>
      </c>
      <c r="X3176" s="128">
        <f>_xll.qlCalendarAdvance(Calendar,X3175,W3176,"f",FALSE)</f>
        <v>61414</v>
      </c>
      <c r="Y3176" s="131">
        <f>_xll.qlCalendarAdvance(Calendar,X3176,NDays&amp;"D")</f>
        <v>61416</v>
      </c>
      <c r="Z3176" s="132">
        <v>1.0907910674841759E-2</v>
      </c>
      <c r="AA3176" s="129">
        <v>1.0865244463902357E-2</v>
      </c>
    </row>
    <row r="3177" spans="19:27" x14ac:dyDescent="0.2">
      <c r="S3177" s="1"/>
      <c r="T3177" s="109"/>
      <c r="W3177" s="130" t="str">
        <f t="shared" si="59"/>
        <v>1w</v>
      </c>
      <c r="X3177" s="128">
        <f>_xll.qlCalendarAdvance(Calendar,X3176,W3177,"f",FALSE)</f>
        <v>61421</v>
      </c>
      <c r="Y3177" s="131">
        <f>_xll.qlCalendarAdvance(Calendar,X3177,NDays&amp;"D")</f>
        <v>61423</v>
      </c>
      <c r="Z3177" s="132">
        <v>1.0913245996916876E-2</v>
      </c>
      <c r="AA3177" s="129">
        <v>1.086969111678826E-2</v>
      </c>
    </row>
    <row r="3178" spans="19:27" x14ac:dyDescent="0.2">
      <c r="S3178" s="1"/>
      <c r="T3178" s="109"/>
      <c r="W3178" s="130" t="str">
        <f t="shared" si="59"/>
        <v>1w</v>
      </c>
      <c r="X3178" s="128">
        <f>_xll.qlCalendarAdvance(Calendar,X3177,W3178,"f",FALSE)</f>
        <v>61428</v>
      </c>
      <c r="Y3178" s="131">
        <f>_xll.qlCalendarAdvance(Calendar,X3178,NDays&amp;"D")</f>
        <v>61430</v>
      </c>
      <c r="Z3178" s="132">
        <v>1.0917615977912203E-2</v>
      </c>
      <c r="AA3178" s="129">
        <v>1.0874125943693969E-2</v>
      </c>
    </row>
    <row r="3179" spans="19:27" x14ac:dyDescent="0.2">
      <c r="S3179" s="1"/>
      <c r="T3179" s="109"/>
      <c r="W3179" s="130" t="str">
        <f t="shared" si="59"/>
        <v>1w</v>
      </c>
      <c r="X3179" s="128">
        <f>_xll.qlCalendarAdvance(Calendar,X3178,W3179,"f",FALSE)</f>
        <v>61435</v>
      </c>
      <c r="Y3179" s="131">
        <f>_xll.qlCalendarAdvance(Calendar,X3179,NDays&amp;"D")</f>
        <v>61437</v>
      </c>
      <c r="Z3179" s="132">
        <v>1.0921974104914091E-2</v>
      </c>
      <c r="AA3179" s="129">
        <v>1.0878548944139865E-2</v>
      </c>
    </row>
    <row r="3180" spans="19:27" x14ac:dyDescent="0.2">
      <c r="S3180" s="1"/>
      <c r="T3180" s="109"/>
      <c r="W3180" s="130" t="str">
        <f t="shared" si="59"/>
        <v>1w</v>
      </c>
      <c r="X3180" s="128">
        <f>_xll.qlCalendarAdvance(Calendar,X3179,W3180,"f",FALSE)</f>
        <v>61442</v>
      </c>
      <c r="Y3180" s="131">
        <f>_xll.qlCalendarAdvance(Calendar,X3180,NDays&amp;"D")</f>
        <v>61444</v>
      </c>
      <c r="Z3180" s="132">
        <v>1.0926320377892131E-2</v>
      </c>
      <c r="AA3180" s="129">
        <v>1.0882960118765439E-2</v>
      </c>
    </row>
    <row r="3181" spans="19:27" x14ac:dyDescent="0.2">
      <c r="S3181" s="1"/>
      <c r="T3181" s="109"/>
      <c r="W3181" s="130" t="str">
        <f t="shared" si="59"/>
        <v>1w</v>
      </c>
      <c r="X3181" s="128">
        <f>_xll.qlCalendarAdvance(Calendar,X3180,W3181,"f",FALSE)</f>
        <v>61449</v>
      </c>
      <c r="Y3181" s="131">
        <f>_xll.qlCalendarAdvance(Calendar,X3181,NDays&amp;"D")</f>
        <v>61451</v>
      </c>
      <c r="Z3181" s="132">
        <v>1.09306547967994E-2</v>
      </c>
      <c r="AA3181" s="129">
        <v>1.0887359467011137E-2</v>
      </c>
    </row>
    <row r="3182" spans="19:27" x14ac:dyDescent="0.2">
      <c r="S3182" s="1"/>
      <c r="T3182" s="109"/>
      <c r="W3182" s="130" t="str">
        <f t="shared" si="59"/>
        <v>1w</v>
      </c>
      <c r="X3182" s="128">
        <f>_xll.qlCalendarAdvance(Calendar,X3181,W3182,"f",FALSE)</f>
        <v>61456</v>
      </c>
      <c r="Y3182" s="131">
        <f>_xll.qlCalendarAdvance(Calendar,X3182,NDays&amp;"D")</f>
        <v>61458</v>
      </c>
      <c r="Z3182" s="132">
        <v>1.093450493631635E-2</v>
      </c>
      <c r="AA3182" s="129">
        <v>1.0891746989276641E-2</v>
      </c>
    </row>
    <row r="3183" spans="19:27" x14ac:dyDescent="0.2">
      <c r="S3183" s="1"/>
      <c r="T3183" s="109"/>
      <c r="W3183" s="130" t="str">
        <f t="shared" si="59"/>
        <v>1w</v>
      </c>
      <c r="X3183" s="128">
        <f>_xll.qlCalendarAdvance(Calendar,X3182,W3183,"f",FALSE)</f>
        <v>61463</v>
      </c>
      <c r="Y3183" s="131">
        <f>_xll.qlCalendarAdvance(Calendar,X3183,NDays&amp;"D")</f>
        <v>61465</v>
      </c>
      <c r="Z3183" s="132">
        <v>1.0938816362898254E-2</v>
      </c>
      <c r="AA3183" s="129">
        <v>1.0896122685242204E-2</v>
      </c>
    </row>
    <row r="3184" spans="19:27" x14ac:dyDescent="0.2">
      <c r="S3184" s="1"/>
      <c r="T3184" s="109"/>
      <c r="W3184" s="130" t="str">
        <f t="shared" si="59"/>
        <v>1w</v>
      </c>
      <c r="X3184" s="128">
        <f>_xll.qlCalendarAdvance(Calendar,X3183,W3184,"f",FALSE)</f>
        <v>61470</v>
      </c>
      <c r="Y3184" s="131">
        <f>_xll.qlCalendarAdvance(Calendar,X3184,NDays&amp;"D")</f>
        <v>61472</v>
      </c>
      <c r="Z3184" s="132">
        <v>1.0943115935605791E-2</v>
      </c>
      <c r="AA3184" s="129">
        <v>1.0902391246784049E-2</v>
      </c>
    </row>
    <row r="3185" spans="19:27" x14ac:dyDescent="0.2">
      <c r="S3185" s="1"/>
      <c r="T3185" s="109"/>
      <c r="W3185" s="130" t="str">
        <f t="shared" si="59"/>
        <v>1w</v>
      </c>
      <c r="X3185" s="128">
        <f>_xll.qlCalendarAdvance(Calendar,X3184,W3185,"f",FALSE)</f>
        <v>61477</v>
      </c>
      <c r="Y3185" s="131">
        <f>_xll.qlCalendarAdvance(Calendar,X3185,NDays&amp;"D")</f>
        <v>61479</v>
      </c>
      <c r="Z3185" s="132">
        <v>1.0947403654402946E-2</v>
      </c>
      <c r="AA3185" s="129">
        <v>1.0904838598833066E-2</v>
      </c>
    </row>
    <row r="3186" spans="19:27" x14ac:dyDescent="0.2">
      <c r="S3186" s="1"/>
      <c r="T3186" s="109"/>
      <c r="W3186" s="130" t="str">
        <f t="shared" si="59"/>
        <v>1w</v>
      </c>
      <c r="X3186" s="128">
        <f>_xll.qlCalendarAdvance(Calendar,X3185,W3186,"f",FALSE)</f>
        <v>61485</v>
      </c>
      <c r="Y3186" s="131">
        <f>_xll.qlCalendarAdvance(Calendar,X3186,NDays&amp;"D")</f>
        <v>61487</v>
      </c>
      <c r="Z3186" s="132">
        <v>1.0953697584618793E-2</v>
      </c>
      <c r="AA3186" s="129">
        <v>1.0910747288157552E-2</v>
      </c>
    </row>
    <row r="3187" spans="19:27" x14ac:dyDescent="0.2">
      <c r="S3187" s="1"/>
      <c r="T3187" s="109"/>
      <c r="W3187" s="130" t="str">
        <f t="shared" si="59"/>
        <v>1w</v>
      </c>
      <c r="X3187" s="128">
        <f>_xll.qlCalendarAdvance(Calendar,X3186,W3187,"f",FALSE)</f>
        <v>61492</v>
      </c>
      <c r="Y3187" s="131">
        <f>_xll.qlCalendarAdvance(Calendar,X3187,NDays&amp;"D")</f>
        <v>61494</v>
      </c>
      <c r="Z3187" s="132">
        <v>1.0957957750264577E-2</v>
      </c>
      <c r="AA3187" s="129">
        <v>1.09150725628826E-2</v>
      </c>
    </row>
    <row r="3188" spans="19:27" x14ac:dyDescent="0.2">
      <c r="S3188" s="1"/>
      <c r="T3188" s="109"/>
      <c r="W3188" s="130" t="str">
        <f t="shared" si="59"/>
        <v>1w</v>
      </c>
      <c r="X3188" s="128">
        <f>_xll.qlCalendarAdvance(Calendar,X3187,W3188,"f",FALSE)</f>
        <v>61499</v>
      </c>
      <c r="Y3188" s="131">
        <f>_xll.qlCalendarAdvance(Calendar,X3188,NDays&amp;"D")</f>
        <v>61501</v>
      </c>
      <c r="Z3188" s="132">
        <v>1.096220606093889E-2</v>
      </c>
      <c r="AA3188" s="129">
        <v>1.0919386010828092E-2</v>
      </c>
    </row>
    <row r="3189" spans="19:27" x14ac:dyDescent="0.2">
      <c r="S3189" s="1"/>
      <c r="T3189" s="109"/>
      <c r="W3189" s="130" t="str">
        <f t="shared" si="59"/>
        <v>1w</v>
      </c>
      <c r="X3189" s="128">
        <f>_xll.qlCalendarAdvance(Calendar,X3188,W3189,"f",FALSE)</f>
        <v>61506</v>
      </c>
      <c r="Y3189" s="131">
        <f>_xll.qlCalendarAdvance(Calendar,X3189,NDays&amp;"D")</f>
        <v>61508</v>
      </c>
      <c r="Z3189" s="132">
        <v>1.0966442516600911E-2</v>
      </c>
      <c r="AA3189" s="129">
        <v>1.0923687632020673E-2</v>
      </c>
    </row>
    <row r="3190" spans="19:27" x14ac:dyDescent="0.2">
      <c r="S3190" s="1"/>
      <c r="T3190" s="109"/>
      <c r="W3190" s="130" t="str">
        <f t="shared" si="59"/>
        <v>1w</v>
      </c>
      <c r="X3190" s="128">
        <f>_xll.qlCalendarAdvance(Calendar,X3189,W3190,"f",FALSE)</f>
        <v>61513</v>
      </c>
      <c r="Y3190" s="131">
        <f>_xll.qlCalendarAdvance(Calendar,X3190,NDays&amp;"D")</f>
        <v>61515</v>
      </c>
      <c r="Z3190" s="132">
        <v>1.0970667117212373E-2</v>
      </c>
      <c r="AA3190" s="129">
        <v>1.0927977426433699E-2</v>
      </c>
    </row>
    <row r="3191" spans="19:27" x14ac:dyDescent="0.2">
      <c r="S3191" s="1"/>
      <c r="T3191" s="109"/>
      <c r="W3191" s="130" t="str">
        <f t="shared" si="59"/>
        <v>1w</v>
      </c>
      <c r="X3191" s="128">
        <f>_xll.qlCalendarAdvance(Calendar,X3190,W3191,"f",FALSE)</f>
        <v>61520</v>
      </c>
      <c r="Y3191" s="131">
        <f>_xll.qlCalendarAdvance(Calendar,X3191,NDays&amp;"D")</f>
        <v>61522</v>
      </c>
      <c r="Z3191" s="132">
        <v>1.097487986273331E-2</v>
      </c>
      <c r="AA3191" s="129">
        <v>1.093225539406717E-2</v>
      </c>
    </row>
    <row r="3192" spans="19:27" x14ac:dyDescent="0.2">
      <c r="S3192" s="1"/>
      <c r="T3192" s="109"/>
      <c r="W3192" s="130" t="str">
        <f t="shared" si="59"/>
        <v>1w</v>
      </c>
      <c r="X3192" s="128">
        <f>_xll.qlCalendarAdvance(Calendar,X3191,W3192,"f",FALSE)</f>
        <v>61527</v>
      </c>
      <c r="Y3192" s="131">
        <f>_xll.qlCalendarAdvance(Calendar,X3192,NDays&amp;"D")</f>
        <v>61529</v>
      </c>
      <c r="Z3192" s="132">
        <v>1.0979080753128005E-2</v>
      </c>
      <c r="AA3192" s="129">
        <v>1.093652153494773E-2</v>
      </c>
    </row>
    <row r="3193" spans="19:27" x14ac:dyDescent="0.2">
      <c r="S3193" s="1"/>
      <c r="T3193" s="109"/>
      <c r="W3193" s="130" t="str">
        <f t="shared" si="59"/>
        <v>1w</v>
      </c>
      <c r="X3193" s="128">
        <f>_xll.qlCalendarAdvance(Calendar,X3192,W3193,"f",FALSE)</f>
        <v>61534</v>
      </c>
      <c r="Y3193" s="131">
        <f>_xll.qlCalendarAdvance(Calendar,X3193,NDays&amp;"D")</f>
        <v>61536</v>
      </c>
      <c r="Z3193" s="132">
        <v>1.0983269788353088E-2</v>
      </c>
      <c r="AA3193" s="129">
        <v>1.0940775849048734E-2</v>
      </c>
    </row>
    <row r="3194" spans="19:27" x14ac:dyDescent="0.2">
      <c r="S3194" s="1"/>
      <c r="T3194" s="109"/>
      <c r="W3194" s="130" t="str">
        <f t="shared" si="59"/>
        <v>1w</v>
      </c>
      <c r="X3194" s="128">
        <f>_xll.qlCalendarAdvance(Calendar,X3193,W3194,"f",FALSE)</f>
        <v>61541</v>
      </c>
      <c r="Y3194" s="131">
        <f>_xll.qlCalendarAdvance(Calendar,X3194,NDays&amp;"D")</f>
        <v>61543</v>
      </c>
      <c r="Z3194" s="132">
        <v>1.0986056013746909E-2</v>
      </c>
      <c r="AA3194" s="129">
        <v>1.0945018336370183E-2</v>
      </c>
    </row>
    <row r="3195" spans="19:27" x14ac:dyDescent="0.2">
      <c r="S3195" s="1"/>
      <c r="T3195" s="109"/>
      <c r="W3195" s="130" t="str">
        <f t="shared" si="59"/>
        <v>1w</v>
      </c>
      <c r="X3195" s="128">
        <f>_xll.qlCalendarAdvance(Calendar,X3194,W3195,"f",FALSE)</f>
        <v>61548</v>
      </c>
      <c r="Y3195" s="131">
        <f>_xll.qlCalendarAdvance(Calendar,X3195,NDays&amp;"D")</f>
        <v>61550</v>
      </c>
      <c r="Z3195" s="132">
        <v>1.0991612293147301E-2</v>
      </c>
      <c r="AA3195" s="129">
        <v>1.0949248996938721E-2</v>
      </c>
    </row>
    <row r="3196" spans="19:27" x14ac:dyDescent="0.2">
      <c r="S3196" s="1"/>
      <c r="T3196" s="109"/>
      <c r="W3196" s="130" t="str">
        <f t="shared" si="59"/>
        <v>1w</v>
      </c>
      <c r="X3196" s="128">
        <f>_xll.qlCalendarAdvance(Calendar,X3195,W3196,"f",FALSE)</f>
        <v>61555</v>
      </c>
      <c r="Y3196" s="131">
        <f>_xll.qlCalendarAdvance(Calendar,X3196,NDays&amp;"D")</f>
        <v>61557</v>
      </c>
      <c r="Z3196" s="132">
        <v>1.0995765762637345E-2</v>
      </c>
      <c r="AA3196" s="129">
        <v>1.0953467830674413E-2</v>
      </c>
    </row>
    <row r="3197" spans="19:27" x14ac:dyDescent="0.2">
      <c r="S3197" s="1"/>
      <c r="T3197" s="109"/>
      <c r="W3197" s="130" t="str">
        <f t="shared" si="59"/>
        <v>1w</v>
      </c>
      <c r="X3197" s="128">
        <f>_xll.qlCalendarAdvance(Calendar,X3196,W3197,"f",FALSE)</f>
        <v>61562</v>
      </c>
      <c r="Y3197" s="131">
        <f>_xll.qlCalendarAdvance(Calendar,X3197,NDays&amp;"D")</f>
        <v>61564</v>
      </c>
      <c r="Z3197" s="132">
        <v>1.0999907376805559E-2</v>
      </c>
      <c r="AA3197" s="129">
        <v>1.095767483768384E-2</v>
      </c>
    </row>
    <row r="3198" spans="19:27" x14ac:dyDescent="0.2">
      <c r="S3198" s="1"/>
      <c r="T3198" s="109"/>
      <c r="W3198" s="130" t="str">
        <f t="shared" si="59"/>
        <v>1w</v>
      </c>
      <c r="X3198" s="128">
        <f>_xll.qlCalendarAdvance(Calendar,X3197,W3198,"f",FALSE)</f>
        <v>61569</v>
      </c>
      <c r="Y3198" s="131">
        <f>_xll.qlCalendarAdvance(Calendar,X3198,NDays&amp;"D")</f>
        <v>61571</v>
      </c>
      <c r="Z3198" s="132">
        <v>1.1004037135613676E-2</v>
      </c>
      <c r="AA3198" s="129">
        <v>1.0961870017887065E-2</v>
      </c>
    </row>
    <row r="3199" spans="19:27" x14ac:dyDescent="0.2">
      <c r="S3199" s="1"/>
      <c r="T3199" s="109"/>
      <c r="W3199" s="130" t="str">
        <f t="shared" si="59"/>
        <v>1w</v>
      </c>
      <c r="X3199" s="128">
        <f>_xll.qlCalendarAdvance(Calendar,X3198,W3199,"f",FALSE)</f>
        <v>61576</v>
      </c>
      <c r="Y3199" s="131">
        <f>_xll.qlCalendarAdvance(Calendar,X3199,NDays&amp;"D")</f>
        <v>61578</v>
      </c>
      <c r="Z3199" s="132">
        <v>1.1008155039020875E-2</v>
      </c>
      <c r="AA3199" s="129">
        <v>1.096605337128409E-2</v>
      </c>
    </row>
    <row r="3200" spans="19:27" x14ac:dyDescent="0.2">
      <c r="S3200" s="1"/>
      <c r="T3200" s="109"/>
      <c r="W3200" s="130" t="str">
        <f t="shared" si="59"/>
        <v>1w</v>
      </c>
      <c r="X3200" s="128">
        <f>_xll.qlCalendarAdvance(Calendar,X3199,W3200,"f",FALSE)</f>
        <v>61583</v>
      </c>
      <c r="Y3200" s="131">
        <f>_xll.qlCalendarAdvance(Calendar,X3200,NDays&amp;"D")</f>
        <v>61585</v>
      </c>
      <c r="Z3200" s="132">
        <v>1.1012261086993142E-2</v>
      </c>
      <c r="AA3200" s="129">
        <v>1.0970224897928205E-2</v>
      </c>
    </row>
    <row r="3201" spans="19:27" x14ac:dyDescent="0.2">
      <c r="S3201" s="1"/>
      <c r="T3201" s="109"/>
      <c r="W3201" s="130" t="str">
        <f t="shared" si="59"/>
        <v>1w</v>
      </c>
      <c r="X3201" s="128">
        <f>_xll.qlCalendarAdvance(Calendar,X3200,W3201,"f",FALSE)</f>
        <v>61590</v>
      </c>
      <c r="Y3201" s="131">
        <f>_xll.qlCalendarAdvance(Calendar,X3201,NDays&amp;"D")</f>
        <v>61592</v>
      </c>
      <c r="Z3201" s="132">
        <v>1.1016355279489661E-2</v>
      </c>
      <c r="AA3201" s="129">
        <v>1.0974384597819409E-2</v>
      </c>
    </row>
    <row r="3202" spans="19:27" x14ac:dyDescent="0.2">
      <c r="S3202" s="1"/>
      <c r="T3202" s="109"/>
      <c r="W3202" s="130" t="str">
        <f t="shared" si="59"/>
        <v>1w</v>
      </c>
      <c r="X3202" s="128">
        <f>_xll.qlCalendarAdvance(Calendar,X3201,W3202,"f",FALSE)</f>
        <v>61597</v>
      </c>
      <c r="Y3202" s="131">
        <f>_xll.qlCalendarAdvance(Calendar,X3202,NDays&amp;"D")</f>
        <v>61599</v>
      </c>
      <c r="Z3202" s="132">
        <v>1.1020437616473863E-2</v>
      </c>
      <c r="AA3202" s="129">
        <v>1.0978532470877767E-2</v>
      </c>
    </row>
    <row r="3203" spans="19:27" x14ac:dyDescent="0.2">
      <c r="S3203" s="1"/>
      <c r="T3203" s="109"/>
      <c r="W3203" s="130" t="str">
        <f t="shared" si="59"/>
        <v>1w</v>
      </c>
      <c r="X3203" s="128">
        <f>_xll.qlCalendarAdvance(Calendar,X3202,W3203,"f",FALSE)</f>
        <v>61604</v>
      </c>
      <c r="Y3203" s="131">
        <f>_xll.qlCalendarAdvance(Calendar,X3203,NDays&amp;"D")</f>
        <v>61606</v>
      </c>
      <c r="Z3203" s="132">
        <v>1.1023136611436418E-2</v>
      </c>
      <c r="AA3203" s="129">
        <v>1.0982668517156569E-2</v>
      </c>
    </row>
    <row r="3204" spans="19:27" x14ac:dyDescent="0.2">
      <c r="S3204" s="1"/>
      <c r="T3204" s="109"/>
      <c r="W3204" s="130" t="str">
        <f t="shared" si="59"/>
        <v>1w</v>
      </c>
      <c r="X3204" s="128">
        <f>_xll.qlCalendarAdvance(Calendar,X3203,W3204,"f",FALSE)</f>
        <v>61611</v>
      </c>
      <c r="Y3204" s="131">
        <f>_xll.qlCalendarAdvance(Calendar,X3204,NDays&amp;"D")</f>
        <v>61613</v>
      </c>
      <c r="Z3204" s="132">
        <v>1.1027197405184274E-2</v>
      </c>
      <c r="AA3204" s="129">
        <v>1.0986792736655815E-2</v>
      </c>
    </row>
    <row r="3205" spans="19:27" x14ac:dyDescent="0.2">
      <c r="S3205" s="1"/>
      <c r="T3205" s="109"/>
      <c r="W3205" s="130" t="str">
        <f t="shared" si="59"/>
        <v>1w</v>
      </c>
      <c r="X3205" s="128">
        <f>_xll.qlCalendarAdvance(Calendar,X3204,W3205,"f",FALSE)</f>
        <v>61618</v>
      </c>
      <c r="Y3205" s="131">
        <f>_xll.qlCalendarAdvance(Calendar,X3205,NDays&amp;"D")</f>
        <v>61620</v>
      </c>
      <c r="Z3205" s="132">
        <v>1.103124634426543E-2</v>
      </c>
      <c r="AA3205" s="129">
        <v>1.099090512934886E-2</v>
      </c>
    </row>
    <row r="3206" spans="19:27" x14ac:dyDescent="0.2">
      <c r="S3206" s="1"/>
      <c r="T3206" s="109"/>
      <c r="W3206" s="130" t="str">
        <f t="shared" si="59"/>
        <v>1w</v>
      </c>
      <c r="X3206" s="128">
        <f>_xll.qlCalendarAdvance(Calendar,X3205,W3206,"f",FALSE)</f>
        <v>61625</v>
      </c>
      <c r="Y3206" s="131">
        <f>_xll.qlCalendarAdvance(Calendar,X3206,NDays&amp;"D")</f>
        <v>61627</v>
      </c>
      <c r="Z3206" s="132">
        <v>1.1035283428642116E-2</v>
      </c>
      <c r="AA3206" s="129">
        <v>1.099500569526235E-2</v>
      </c>
    </row>
    <row r="3207" spans="19:27" x14ac:dyDescent="0.2">
      <c r="S3207" s="1"/>
      <c r="T3207" s="109"/>
      <c r="W3207" s="130" t="str">
        <f t="shared" si="59"/>
        <v>1w</v>
      </c>
      <c r="X3207" s="128">
        <f>_xll.qlCalendarAdvance(Calendar,X3206,W3207,"f",FALSE)</f>
        <v>61632</v>
      </c>
      <c r="Y3207" s="131">
        <f>_xll.qlCalendarAdvance(Calendar,X3207,NDays&amp;"D")</f>
        <v>61634</v>
      </c>
      <c r="Z3207" s="132">
        <v>1.1040671467379273E-2</v>
      </c>
      <c r="AA3207" s="129">
        <v>1.0999094434369638E-2</v>
      </c>
    </row>
    <row r="3208" spans="19:27" x14ac:dyDescent="0.2">
      <c r="S3208" s="1"/>
      <c r="T3208" s="109"/>
      <c r="W3208" s="130" t="str">
        <f t="shared" si="59"/>
        <v>1w</v>
      </c>
      <c r="X3208" s="128">
        <f>_xll.qlCalendarAdvance(Calendar,X3207,W3208,"f",FALSE)</f>
        <v>61639</v>
      </c>
      <c r="Y3208" s="131">
        <f>_xll.qlCalendarAdvance(Calendar,X3208,NDays&amp;"D")</f>
        <v>61641</v>
      </c>
      <c r="Z3208" s="132">
        <v>1.1044682670496167E-2</v>
      </c>
      <c r="AA3208" s="129">
        <v>1.1003171346750662E-2</v>
      </c>
    </row>
    <row r="3209" spans="19:27" x14ac:dyDescent="0.2">
      <c r="S3209" s="1"/>
      <c r="T3209" s="109"/>
      <c r="W3209" s="130" t="str">
        <f t="shared" si="59"/>
        <v>1w</v>
      </c>
      <c r="X3209" s="128">
        <f>_xll.qlCalendarAdvance(Calendar,X3208,W3209,"f",FALSE)</f>
        <v>61646</v>
      </c>
      <c r="Y3209" s="131">
        <f>_xll.qlCalendarAdvance(Calendar,X3209,NDays&amp;"D")</f>
        <v>61648</v>
      </c>
      <c r="Z3209" s="132">
        <v>1.1048682017837127E-2</v>
      </c>
      <c r="AA3209" s="129">
        <v>1.1007236432298839E-2</v>
      </c>
    </row>
    <row r="3210" spans="19:27" x14ac:dyDescent="0.2">
      <c r="S3210" s="1"/>
      <c r="T3210" s="109"/>
      <c r="W3210" s="130" t="str">
        <f t="shared" si="59"/>
        <v>1w</v>
      </c>
      <c r="X3210" s="128">
        <f>_xll.qlCalendarAdvance(Calendar,X3209,W3210,"f",FALSE)</f>
        <v>61653</v>
      </c>
      <c r="Y3210" s="131">
        <f>_xll.qlCalendarAdvance(Calendar,X3210,NDays&amp;"D")</f>
        <v>61655</v>
      </c>
      <c r="Z3210" s="132">
        <v>1.1052669509365584E-2</v>
      </c>
      <c r="AA3210" s="129">
        <v>1.1011289691040815E-2</v>
      </c>
    </row>
    <row r="3211" spans="19:27" x14ac:dyDescent="0.2">
      <c r="S3211" s="1"/>
      <c r="T3211" s="109"/>
      <c r="W3211" s="130" t="str">
        <f t="shared" si="59"/>
        <v>1w</v>
      </c>
      <c r="X3211" s="128">
        <f>_xll.qlCalendarAdvance(Calendar,X3210,W3211,"f",FALSE)</f>
        <v>61660</v>
      </c>
      <c r="Y3211" s="131">
        <f>_xll.qlCalendarAdvance(Calendar,X3211,NDays&amp;"D")</f>
        <v>61662</v>
      </c>
      <c r="Z3211" s="132">
        <v>1.1056645145044971E-2</v>
      </c>
      <c r="AA3211" s="129">
        <v>1.1015331123003236E-2</v>
      </c>
    </row>
    <row r="3212" spans="19:27" x14ac:dyDescent="0.2">
      <c r="S3212" s="1"/>
      <c r="T3212" s="109"/>
      <c r="W3212" s="130" t="str">
        <f t="shared" si="59"/>
        <v>1w</v>
      </c>
      <c r="X3212" s="128">
        <f>_xll.qlCalendarAdvance(Calendar,X3211,W3212,"f",FALSE)</f>
        <v>61667</v>
      </c>
      <c r="Y3212" s="131">
        <f>_xll.qlCalendarAdvance(Calendar,X3212,NDays&amp;"D")</f>
        <v>61669</v>
      </c>
      <c r="Z3212" s="132">
        <v>1.1060608924838726E-2</v>
      </c>
      <c r="AA3212" s="129">
        <v>1.101936072813281E-2</v>
      </c>
    </row>
    <row r="3213" spans="19:27" x14ac:dyDescent="0.2">
      <c r="S3213" s="1"/>
      <c r="T3213" s="109"/>
      <c r="W3213" s="130" t="str">
        <f t="shared" si="59"/>
        <v>1w</v>
      </c>
      <c r="X3213" s="128">
        <f>_xll.qlCalendarAdvance(Calendar,X3212,W3213,"f",FALSE)</f>
        <v>61674</v>
      </c>
      <c r="Y3213" s="131">
        <f>_xll.qlCalendarAdvance(Calendar,X3213,NDays&amp;"D")</f>
        <v>61676</v>
      </c>
      <c r="Z3213" s="132">
        <v>1.1064560848709427E-2</v>
      </c>
      <c r="AA3213" s="129">
        <v>1.1023378506509474E-2</v>
      </c>
    </row>
    <row r="3214" spans="19:27" x14ac:dyDescent="0.2">
      <c r="S3214" s="1"/>
      <c r="T3214" s="109"/>
      <c r="W3214" s="130" t="str">
        <f t="shared" si="59"/>
        <v>1w</v>
      </c>
      <c r="X3214" s="128">
        <f>_xll.qlCalendarAdvance(Calendar,X3213,W3214,"f",FALSE)</f>
        <v>61681</v>
      </c>
      <c r="Y3214" s="131">
        <f>_xll.qlCalendarAdvance(Calendar,X3214,NDays&amp;"D")</f>
        <v>61683</v>
      </c>
      <c r="Z3214" s="132">
        <v>1.1068500916619661E-2</v>
      </c>
      <c r="AA3214" s="129">
        <v>1.1027384458026646E-2</v>
      </c>
    </row>
    <row r="3215" spans="19:27" x14ac:dyDescent="0.2">
      <c r="S3215" s="1"/>
      <c r="T3215" s="109"/>
      <c r="W3215" s="130" t="str">
        <f t="shared" si="59"/>
        <v>1w</v>
      </c>
      <c r="X3215" s="128">
        <f>_xll.qlCalendarAdvance(Calendar,X3214,W3215,"f",FALSE)</f>
        <v>61688</v>
      </c>
      <c r="Y3215" s="131">
        <f>_xll.qlCalendarAdvance(Calendar,X3215,NDays&amp;"D")</f>
        <v>61690</v>
      </c>
      <c r="Z3215" s="132">
        <v>1.107242912853626E-2</v>
      </c>
      <c r="AA3215" s="129">
        <v>1.1031378582790907E-2</v>
      </c>
    </row>
    <row r="3216" spans="19:27" x14ac:dyDescent="0.2">
      <c r="S3216" s="1"/>
      <c r="T3216" s="109"/>
      <c r="W3216" s="130" t="str">
        <f t="shared" si="59"/>
        <v>1w</v>
      </c>
      <c r="X3216" s="128">
        <f>_xll.qlCalendarAdvance(Calendar,X3215,W3216,"f",FALSE)</f>
        <v>61695</v>
      </c>
      <c r="Y3216" s="131">
        <f>_xll.qlCalendarAdvance(Calendar,X3216,NDays&amp;"D")</f>
        <v>61697</v>
      </c>
      <c r="Z3216" s="132">
        <v>1.1074554392763503E-2</v>
      </c>
      <c r="AA3216" s="129">
        <v>1.1035360880722322E-2</v>
      </c>
    </row>
    <row r="3217" spans="19:27" x14ac:dyDescent="0.2">
      <c r="S3217" s="1"/>
      <c r="T3217" s="109"/>
      <c r="W3217" s="130" t="str">
        <f t="shared" si="59"/>
        <v>1w</v>
      </c>
      <c r="X3217" s="128">
        <f>_xll.qlCalendarAdvance(Calendar,X3216,W3217,"f",FALSE)</f>
        <v>61702</v>
      </c>
      <c r="Y3217" s="131">
        <f>_xll.qlCalendarAdvance(Calendar,X3217,NDays&amp;"D")</f>
        <v>61704</v>
      </c>
      <c r="Z3217" s="132">
        <v>1.1078461799778339E-2</v>
      </c>
      <c r="AA3217" s="129">
        <v>1.1039331351900827E-2</v>
      </c>
    </row>
    <row r="3218" spans="19:27" x14ac:dyDescent="0.2">
      <c r="S3218" s="1"/>
      <c r="T3218" s="109"/>
      <c r="W3218" s="130" t="str">
        <f t="shared" si="59"/>
        <v>1w</v>
      </c>
      <c r="X3218" s="128">
        <f>_xll.qlCalendarAdvance(Calendar,X3217,W3218,"f",FALSE)</f>
        <v>61709</v>
      </c>
      <c r="Y3218" s="131">
        <f>_xll.qlCalendarAdvance(Calendar,X3218,NDays&amp;"D")</f>
        <v>61711</v>
      </c>
      <c r="Z3218" s="132">
        <v>1.1082357351988037E-2</v>
      </c>
      <c r="AA3218" s="129">
        <v>1.1043289996219841E-2</v>
      </c>
    </row>
    <row r="3219" spans="19:27" x14ac:dyDescent="0.2">
      <c r="S3219" s="1"/>
      <c r="T3219" s="109"/>
      <c r="W3219" s="130" t="str">
        <f t="shared" si="59"/>
        <v>1w</v>
      </c>
      <c r="X3219" s="128">
        <f>_xll.qlCalendarAdvance(Calendar,X3218,W3219,"f",FALSE)</f>
        <v>61716</v>
      </c>
      <c r="Y3219" s="131">
        <f>_xll.qlCalendarAdvance(Calendar,X3219,NDays&amp;"D")</f>
        <v>61718</v>
      </c>
      <c r="Z3219" s="132">
        <v>1.1086241049357959E-2</v>
      </c>
      <c r="AA3219" s="129">
        <v>1.1047236813785943E-2</v>
      </c>
    </row>
    <row r="3220" spans="19:27" x14ac:dyDescent="0.2">
      <c r="S3220" s="1"/>
      <c r="T3220" s="109"/>
      <c r="W3220" s="130" t="str">
        <f t="shared" si="59"/>
        <v>1w</v>
      </c>
      <c r="X3220" s="128">
        <f>_xll.qlCalendarAdvance(Calendar,X3219,W3220,"f",FALSE)</f>
        <v>61724</v>
      </c>
      <c r="Y3220" s="131">
        <f>_xll.qlCalendarAdvance(Calendar,X3220,NDays&amp;"D")</f>
        <v>61728</v>
      </c>
      <c r="Z3220" s="132">
        <v>1.1090879158576105E-2</v>
      </c>
      <c r="AA3220" s="129">
        <v>1.1052404683504768E-2</v>
      </c>
    </row>
    <row r="3221" spans="19:27" x14ac:dyDescent="0.2">
      <c r="S3221" s="1"/>
      <c r="T3221" s="109"/>
      <c r="W3221" s="130" t="str">
        <f t="shared" ref="W3221:W3284" si="60">W3220</f>
        <v>1w</v>
      </c>
      <c r="X3221" s="128">
        <f>_xll.qlCalendarAdvance(Calendar,X3220,W3221,"f",FALSE)</f>
        <v>61731</v>
      </c>
      <c r="Y3221" s="131">
        <f>_xll.qlCalendarAdvance(Calendar,X3221,NDays&amp;"D")</f>
        <v>61735</v>
      </c>
      <c r="Z3221" s="132">
        <v>1.10960674448036E-2</v>
      </c>
      <c r="AA3221" s="129">
        <v>1.1055874242824615E-2</v>
      </c>
    </row>
    <row r="3222" spans="19:27" x14ac:dyDescent="0.2">
      <c r="S3222" s="1"/>
      <c r="T3222" s="109"/>
      <c r="W3222" s="130" t="str">
        <f t="shared" si="60"/>
        <v>1w</v>
      </c>
      <c r="X3222" s="128">
        <f>_xll.qlCalendarAdvance(Calendar,X3221,W3222,"f",FALSE)</f>
        <v>61738</v>
      </c>
      <c r="Y3222" s="131">
        <f>_xll.qlCalendarAdvance(Calendar,X3222,NDays&amp;"D")</f>
        <v>61742</v>
      </c>
      <c r="Z3222" s="132">
        <v>1.1100352893389896E-2</v>
      </c>
      <c r="AA3222" s="129">
        <v>1.1059781960813808E-2</v>
      </c>
    </row>
    <row r="3223" spans="19:27" x14ac:dyDescent="0.2">
      <c r="S3223" s="1"/>
      <c r="T3223" s="109"/>
      <c r="W3223" s="130" t="str">
        <f t="shared" si="60"/>
        <v>1w</v>
      </c>
      <c r="X3223" s="128">
        <f>_xll.qlCalendarAdvance(Calendar,X3222,W3223,"f",FALSE)</f>
        <v>61745</v>
      </c>
      <c r="Y3223" s="131">
        <f>_xll.qlCalendarAdvance(Calendar,X3223,NDays&amp;"D")</f>
        <v>61749</v>
      </c>
      <c r="Z3223" s="132">
        <v>1.1103740236360876E-2</v>
      </c>
      <c r="AA3223" s="129">
        <v>1.1063677852503062E-2</v>
      </c>
    </row>
    <row r="3224" spans="19:27" x14ac:dyDescent="0.2">
      <c r="S3224" s="1"/>
      <c r="T3224" s="109"/>
      <c r="W3224" s="130" t="str">
        <f t="shared" si="60"/>
        <v>1w</v>
      </c>
      <c r="X3224" s="128">
        <f>_xll.qlCalendarAdvance(Calendar,X3223,W3224,"f",FALSE)</f>
        <v>61752</v>
      </c>
      <c r="Y3224" s="131">
        <f>_xll.qlCalendarAdvance(Calendar,X3224,NDays&amp;"D")</f>
        <v>61756</v>
      </c>
      <c r="Z3224" s="132">
        <v>1.1107558849127529E-2</v>
      </c>
      <c r="AA3224" s="129">
        <v>1.1067561918212121E-2</v>
      </c>
    </row>
    <row r="3225" spans="19:27" x14ac:dyDescent="0.2">
      <c r="S3225" s="1"/>
      <c r="T3225" s="109"/>
      <c r="W3225" s="130" t="str">
        <f t="shared" si="60"/>
        <v>1w</v>
      </c>
      <c r="X3225" s="128">
        <f>_xll.qlCalendarAdvance(Calendar,X3224,W3225,"f",FALSE)</f>
        <v>61759</v>
      </c>
      <c r="Y3225" s="131">
        <f>_xll.qlCalendarAdvance(Calendar,X3225,NDays&amp;"D")</f>
        <v>61763</v>
      </c>
      <c r="Z3225" s="132">
        <v>1.1111365606505422E-2</v>
      </c>
      <c r="AA3225" s="129">
        <v>1.1071434157541304E-2</v>
      </c>
    </row>
    <row r="3226" spans="19:27" x14ac:dyDescent="0.2">
      <c r="S3226" s="1"/>
      <c r="T3226" s="109"/>
      <c r="W3226" s="130" t="str">
        <f t="shared" si="60"/>
        <v>1w</v>
      </c>
      <c r="X3226" s="128">
        <f>_xll.qlCalendarAdvance(Calendar,X3225,W3226,"f",FALSE)</f>
        <v>61766</v>
      </c>
      <c r="Y3226" s="131">
        <f>_xll.qlCalendarAdvance(Calendar,X3226,NDays&amp;"D")</f>
        <v>61770</v>
      </c>
      <c r="Z3226" s="132">
        <v>1.1115160508463813E-2</v>
      </c>
      <c r="AA3226" s="129">
        <v>1.1075294570890293E-2</v>
      </c>
    </row>
    <row r="3227" spans="19:27" x14ac:dyDescent="0.2">
      <c r="S3227" s="1"/>
      <c r="T3227" s="109"/>
      <c r="W3227" s="130" t="str">
        <f t="shared" si="60"/>
        <v>1w</v>
      </c>
      <c r="X3227" s="128">
        <f>_xll.qlCalendarAdvance(Calendar,X3226,W3227,"f",FALSE)</f>
        <v>61773</v>
      </c>
      <c r="Y3227" s="131">
        <f>_xll.qlCalendarAdvance(Calendar,X3227,NDays&amp;"D")</f>
        <v>61777</v>
      </c>
      <c r="Z3227" s="132">
        <v>1.1118943554965807E-2</v>
      </c>
      <c r="AA3227" s="129">
        <v>1.1079143157939342E-2</v>
      </c>
    </row>
    <row r="3228" spans="19:27" x14ac:dyDescent="0.2">
      <c r="S3228" s="1"/>
      <c r="T3228" s="109"/>
      <c r="W3228" s="130" t="str">
        <f t="shared" si="60"/>
        <v>1w</v>
      </c>
      <c r="X3228" s="128">
        <f>_xll.qlCalendarAdvance(Calendar,X3227,W3228,"f",FALSE)</f>
        <v>61780</v>
      </c>
      <c r="Y3228" s="131">
        <f>_xll.qlCalendarAdvance(Calendar,X3228,NDays&amp;"D")</f>
        <v>61784</v>
      </c>
      <c r="Z3228" s="132">
        <v>1.1122714745978902E-2</v>
      </c>
      <c r="AA3228" s="129">
        <v>1.1082979918848324E-2</v>
      </c>
    </row>
    <row r="3229" spans="19:27" x14ac:dyDescent="0.2">
      <c r="S3229" s="1"/>
      <c r="T3229" s="109"/>
      <c r="W3229" s="130" t="str">
        <f t="shared" si="60"/>
        <v>1w</v>
      </c>
      <c r="X3229" s="128">
        <f>_xll.qlCalendarAdvance(Calendar,X3228,W3229,"f",FALSE)</f>
        <v>61787</v>
      </c>
      <c r="Y3229" s="131">
        <f>_xll.qlCalendarAdvance(Calendar,X3229,NDays&amp;"D")</f>
        <v>61791</v>
      </c>
      <c r="Z3229" s="132">
        <v>1.1126912097624914E-2</v>
      </c>
      <c r="AA3229" s="129">
        <v>1.1086804853617238E-2</v>
      </c>
    </row>
    <row r="3230" spans="19:27" x14ac:dyDescent="0.2">
      <c r="S3230" s="1"/>
      <c r="T3230" s="109"/>
      <c r="W3230" s="130" t="str">
        <f t="shared" si="60"/>
        <v>1w</v>
      </c>
      <c r="X3230" s="128">
        <f>_xll.qlCalendarAdvance(Calendar,X3229,W3230,"f",FALSE)</f>
        <v>61794</v>
      </c>
      <c r="Y3230" s="131">
        <f>_xll.qlCalendarAdvance(Calendar,X3230,NDays&amp;"D")</f>
        <v>61798</v>
      </c>
      <c r="Z3230" s="132">
        <v>1.1130658846386596E-2</v>
      </c>
      <c r="AA3230" s="129">
        <v>1.1090617962246085E-2</v>
      </c>
    </row>
    <row r="3231" spans="19:27" x14ac:dyDescent="0.2">
      <c r="S3231" s="1"/>
      <c r="T3231" s="109"/>
      <c r="W3231" s="130" t="str">
        <f t="shared" si="60"/>
        <v>1w</v>
      </c>
      <c r="X3231" s="128">
        <f>_xll.qlCalendarAdvance(Calendar,X3230,W3231,"f",FALSE)</f>
        <v>61801</v>
      </c>
      <c r="Y3231" s="131">
        <f>_xll.qlCalendarAdvance(Calendar,X3231,NDays&amp;"D")</f>
        <v>61805</v>
      </c>
      <c r="Z3231" s="132">
        <v>1.1134393739228553E-2</v>
      </c>
      <c r="AA3231" s="129">
        <v>1.1094419244734866E-2</v>
      </c>
    </row>
    <row r="3232" spans="19:27" x14ac:dyDescent="0.2">
      <c r="S3232" s="1"/>
      <c r="T3232" s="109"/>
      <c r="W3232" s="130" t="str">
        <f t="shared" si="60"/>
        <v>1w</v>
      </c>
      <c r="X3232" s="128">
        <f>_xll.qlCalendarAdvance(Calendar,X3231,W3232,"f",FALSE)</f>
        <v>61808</v>
      </c>
      <c r="Y3232" s="131">
        <f>_xll.qlCalendarAdvance(Calendar,X3232,NDays&amp;"D")</f>
        <v>61812</v>
      </c>
      <c r="Z3232" s="132">
        <v>1.1138116776117767E-2</v>
      </c>
      <c r="AA3232" s="129">
        <v>1.1098208701003642E-2</v>
      </c>
    </row>
    <row r="3233" spans="19:27" x14ac:dyDescent="0.2">
      <c r="S3233" s="1"/>
      <c r="T3233" s="109"/>
      <c r="W3233" s="130" t="str">
        <f t="shared" si="60"/>
        <v>1w</v>
      </c>
      <c r="X3233" s="128">
        <f>_xll.qlCalendarAdvance(Calendar,X3232,W3233,"f",FALSE)</f>
        <v>61815</v>
      </c>
      <c r="Y3233" s="131">
        <f>_xll.qlCalendarAdvance(Calendar,X3233,NDays&amp;"D")</f>
        <v>61819</v>
      </c>
      <c r="Z3233" s="132">
        <v>1.1141392867521525E-2</v>
      </c>
      <c r="AA3233" s="129">
        <v>1.1101986331132352E-2</v>
      </c>
    </row>
    <row r="3234" spans="19:27" x14ac:dyDescent="0.2">
      <c r="S3234" s="1"/>
      <c r="T3234" s="109"/>
      <c r="W3234" s="130" t="str">
        <f t="shared" si="60"/>
        <v>1w</v>
      </c>
      <c r="X3234" s="128">
        <f>_xll.qlCalendarAdvance(Calendar,X3233,W3234,"f",FALSE)</f>
        <v>61822</v>
      </c>
      <c r="Y3234" s="131">
        <f>_xll.qlCalendarAdvance(Calendar,X3234,NDays&amp;"D")</f>
        <v>61826</v>
      </c>
      <c r="Z3234" s="132">
        <v>1.114509292489059E-2</v>
      </c>
      <c r="AA3234" s="129">
        <v>1.1105752134961122E-2</v>
      </c>
    </row>
    <row r="3235" spans="19:27" x14ac:dyDescent="0.2">
      <c r="S3235" s="1"/>
      <c r="T3235" s="109"/>
      <c r="W3235" s="130" t="str">
        <f t="shared" si="60"/>
        <v>1w</v>
      </c>
      <c r="X3235" s="128">
        <f>_xll.qlCalendarAdvance(Calendar,X3234,W3235,"f",FALSE)</f>
        <v>61829</v>
      </c>
      <c r="Y3235" s="131">
        <f>_xll.qlCalendarAdvance(Calendar,X3235,NDays&amp;"D")</f>
        <v>61835</v>
      </c>
      <c r="Z3235" s="132">
        <v>1.1149832720849387E-2</v>
      </c>
      <c r="AA3235" s="129">
        <v>1.1110576505624081E-2</v>
      </c>
    </row>
    <row r="3236" spans="19:27" x14ac:dyDescent="0.2">
      <c r="S3236" s="1"/>
      <c r="T3236" s="109"/>
      <c r="W3236" s="130" t="str">
        <f t="shared" si="60"/>
        <v>1w</v>
      </c>
      <c r="X3236" s="128">
        <f>_xll.qlCalendarAdvance(Calendar,X3235,W3236,"f",FALSE)</f>
        <v>61836</v>
      </c>
      <c r="Y3236" s="131">
        <f>_xll.qlCalendarAdvance(Calendar,X3236,NDays&amp;"D")</f>
        <v>61840</v>
      </c>
      <c r="Z3236" s="132">
        <v>1.1152457472425912E-2</v>
      </c>
      <c r="AA3236" s="129">
        <v>1.1113248264198461E-2</v>
      </c>
    </row>
    <row r="3237" spans="19:27" x14ac:dyDescent="0.2">
      <c r="S3237" s="1"/>
      <c r="T3237" s="109"/>
      <c r="W3237" s="130" t="str">
        <f t="shared" si="60"/>
        <v>1w</v>
      </c>
      <c r="X3237" s="128">
        <f>_xll.qlCalendarAdvance(Calendar,X3236,W3237,"f",FALSE)</f>
        <v>61843</v>
      </c>
      <c r="Y3237" s="131">
        <f>_xll.qlCalendarAdvance(Calendar,X3237,NDays&amp;"D")</f>
        <v>61847</v>
      </c>
      <c r="Z3237" s="132">
        <v>1.1156121962526286E-2</v>
      </c>
      <c r="AA3237" s="129">
        <v>1.1116978589686966E-2</v>
      </c>
    </row>
    <row r="3238" spans="19:27" x14ac:dyDescent="0.2">
      <c r="S3238" s="1"/>
      <c r="T3238" s="109"/>
      <c r="W3238" s="130" t="str">
        <f t="shared" si="60"/>
        <v>1w</v>
      </c>
      <c r="X3238" s="128">
        <f>_xll.qlCalendarAdvance(Calendar,X3237,W3238,"f",FALSE)</f>
        <v>61850</v>
      </c>
      <c r="Y3238" s="131">
        <f>_xll.qlCalendarAdvance(Calendar,X3238,NDays&amp;"D")</f>
        <v>61854</v>
      </c>
      <c r="Z3238" s="132">
        <v>1.1160206020527027E-2</v>
      </c>
      <c r="AA3238" s="129">
        <v>1.1120697088875531E-2</v>
      </c>
    </row>
    <row r="3239" spans="19:27" x14ac:dyDescent="0.2">
      <c r="S3239" s="1"/>
      <c r="T3239" s="109"/>
      <c r="W3239" s="130" t="str">
        <f t="shared" si="60"/>
        <v>1w</v>
      </c>
      <c r="X3239" s="128">
        <f>_xll.qlCalendarAdvance(Calendar,X3238,W3239,"f",FALSE)</f>
        <v>61857</v>
      </c>
      <c r="Y3239" s="131">
        <f>_xll.qlCalendarAdvance(Calendar,X3239,NDays&amp;"D")</f>
        <v>61861</v>
      </c>
      <c r="Z3239" s="132">
        <v>1.1163846064796508E-2</v>
      </c>
      <c r="AA3239" s="129">
        <v>1.1124403761924029E-2</v>
      </c>
    </row>
    <row r="3240" spans="19:27" x14ac:dyDescent="0.2">
      <c r="S3240" s="1"/>
      <c r="T3240" s="109"/>
      <c r="W3240" s="130" t="str">
        <f t="shared" si="60"/>
        <v>1w</v>
      </c>
      <c r="X3240" s="128">
        <f>_xll.qlCalendarAdvance(Calendar,X3239,W3240,"f",FALSE)</f>
        <v>61864</v>
      </c>
      <c r="Y3240" s="131">
        <f>_xll.qlCalendarAdvance(Calendar,X3240,NDays&amp;"D")</f>
        <v>61868</v>
      </c>
      <c r="Z3240" s="132">
        <v>1.1167474252845637E-2</v>
      </c>
      <c r="AA3240" s="129">
        <v>1.1128098608672587E-2</v>
      </c>
    </row>
    <row r="3241" spans="19:27" x14ac:dyDescent="0.2">
      <c r="S3241" s="1"/>
      <c r="T3241" s="109"/>
      <c r="W3241" s="130" t="str">
        <f t="shared" si="60"/>
        <v>1w</v>
      </c>
      <c r="X3241" s="128">
        <f>_xll.qlCalendarAdvance(Calendar,X3240,W3241,"f",FALSE)</f>
        <v>61871</v>
      </c>
      <c r="Y3241" s="131">
        <f>_xll.qlCalendarAdvance(Calendar,X3241,NDays&amp;"D")</f>
        <v>61875</v>
      </c>
      <c r="Z3241" s="132">
        <v>1.1171090584640527E-2</v>
      </c>
      <c r="AA3241" s="129">
        <v>1.1131781629440951E-2</v>
      </c>
    </row>
    <row r="3242" spans="19:27" x14ac:dyDescent="0.2">
      <c r="S3242" s="1"/>
      <c r="T3242" s="109"/>
      <c r="W3242" s="130" t="str">
        <f t="shared" si="60"/>
        <v>1w</v>
      </c>
      <c r="X3242" s="128">
        <f>_xll.qlCalendarAdvance(Calendar,X3241,W3242,"f",FALSE)</f>
        <v>61878</v>
      </c>
      <c r="Y3242" s="131">
        <f>_xll.qlCalendarAdvance(Calendar,X3242,NDays&amp;"D")</f>
        <v>61882</v>
      </c>
      <c r="Z3242" s="132">
        <v>1.1174695060149897E-2</v>
      </c>
      <c r="AA3242" s="129">
        <v>1.1135452824069247E-2</v>
      </c>
    </row>
    <row r="3243" spans="19:27" x14ac:dyDescent="0.2">
      <c r="S3243" s="1"/>
      <c r="T3243" s="109"/>
      <c r="W3243" s="130" t="str">
        <f t="shared" si="60"/>
        <v>1w</v>
      </c>
      <c r="X3243" s="128">
        <f>_xll.qlCalendarAdvance(Calendar,X3242,W3243,"f",FALSE)</f>
        <v>61885</v>
      </c>
      <c r="Y3243" s="131">
        <f>_xll.qlCalendarAdvance(Calendar,X3243,NDays&amp;"D")</f>
        <v>61889</v>
      </c>
      <c r="Z3243" s="132">
        <v>1.1178287679338995E-2</v>
      </c>
      <c r="AA3243" s="129">
        <v>1.1139112192317668E-2</v>
      </c>
    </row>
    <row r="3244" spans="19:27" x14ac:dyDescent="0.2">
      <c r="S3244" s="1"/>
      <c r="T3244" s="109"/>
      <c r="W3244" s="130" t="str">
        <f t="shared" si="60"/>
        <v>1w</v>
      </c>
      <c r="X3244" s="128">
        <f>_xll.qlCalendarAdvance(Calendar,X3243,W3244,"f",FALSE)</f>
        <v>61892</v>
      </c>
      <c r="Y3244" s="131">
        <f>_xll.qlCalendarAdvance(Calendar,X3244,NDays&amp;"D")</f>
        <v>61896</v>
      </c>
      <c r="Z3244" s="132">
        <v>1.1181868442176541E-2</v>
      </c>
      <c r="AA3244" s="129">
        <v>1.1142759734505958E-2</v>
      </c>
    </row>
    <row r="3245" spans="19:27" x14ac:dyDescent="0.2">
      <c r="S3245" s="1"/>
      <c r="T3245" s="109"/>
      <c r="W3245" s="130" t="str">
        <f t="shared" si="60"/>
        <v>1w</v>
      </c>
      <c r="X3245" s="128">
        <f>_xll.qlCalendarAdvance(Calendar,X3244,W3245,"f",FALSE)</f>
        <v>61899</v>
      </c>
      <c r="Y3245" s="131">
        <f>_xll.qlCalendarAdvance(Calendar,X3245,NDays&amp;"D")</f>
        <v>61903</v>
      </c>
      <c r="Z3245" s="132">
        <v>1.1185437348628646E-2</v>
      </c>
      <c r="AA3245" s="129">
        <v>1.1146395450554181E-2</v>
      </c>
    </row>
    <row r="3246" spans="19:27" x14ac:dyDescent="0.2">
      <c r="S3246" s="1"/>
      <c r="T3246" s="109"/>
      <c r="W3246" s="130" t="str">
        <f t="shared" si="60"/>
        <v>1w</v>
      </c>
      <c r="X3246" s="128">
        <f>_xll.qlCalendarAdvance(Calendar,X3245,W3246,"f",FALSE)</f>
        <v>61906</v>
      </c>
      <c r="Y3246" s="131">
        <f>_xll.qlCalendarAdvance(Calendar,X3246,NDays&amp;"D")</f>
        <v>61910</v>
      </c>
      <c r="Z3246" s="132">
        <v>1.1188994398665773E-2</v>
      </c>
      <c r="AA3246" s="129">
        <v>1.1150019340302464E-2</v>
      </c>
    </row>
    <row r="3247" spans="19:27" x14ac:dyDescent="0.2">
      <c r="S3247" s="1"/>
      <c r="T3247" s="109"/>
      <c r="W3247" s="130" t="str">
        <f t="shared" si="60"/>
        <v>1w</v>
      </c>
      <c r="X3247" s="128">
        <f>_xll.qlCalendarAdvance(Calendar,X3246,W3247,"f",FALSE)</f>
        <v>61913</v>
      </c>
      <c r="Y3247" s="131">
        <f>_xll.qlCalendarAdvance(Calendar,X3247,NDays&amp;"D")</f>
        <v>61917</v>
      </c>
      <c r="Z3247" s="132">
        <v>1.1192539592252295E-2</v>
      </c>
      <c r="AA3247" s="129">
        <v>1.115363140391068E-2</v>
      </c>
    </row>
    <row r="3248" spans="19:27" x14ac:dyDescent="0.2">
      <c r="S3248" s="1"/>
      <c r="T3248" s="109"/>
      <c r="W3248" s="130" t="str">
        <f t="shared" si="60"/>
        <v>1w</v>
      </c>
      <c r="X3248" s="128">
        <f>_xll.qlCalendarAdvance(Calendar,X3247,W3248,"f",FALSE)</f>
        <v>61920</v>
      </c>
      <c r="Y3248" s="131">
        <f>_xll.qlCalendarAdvance(Calendar,X3248,NDays&amp;"D")</f>
        <v>61924</v>
      </c>
      <c r="Z3248" s="132">
        <v>1.1196072929356935E-2</v>
      </c>
      <c r="AA3248" s="129">
        <v>1.1157231641378829E-2</v>
      </c>
    </row>
    <row r="3249" spans="19:27" x14ac:dyDescent="0.2">
      <c r="S3249" s="1"/>
      <c r="T3249" s="109"/>
      <c r="W3249" s="130" t="str">
        <f t="shared" si="60"/>
        <v>1w</v>
      </c>
      <c r="X3249" s="128">
        <f>_xll.qlCalendarAdvance(Calendar,X3248,W3249,"f",FALSE)</f>
        <v>61927</v>
      </c>
      <c r="Y3249" s="131">
        <f>_xll.qlCalendarAdvance(Calendar,X3249,NDays&amp;"D")</f>
        <v>61931</v>
      </c>
      <c r="Z3249" s="132">
        <v>1.119959440994928E-2</v>
      </c>
      <c r="AA3249" s="129">
        <v>1.1160820052626974E-2</v>
      </c>
    </row>
    <row r="3250" spans="19:27" x14ac:dyDescent="0.2">
      <c r="S3250" s="1"/>
      <c r="T3250" s="109"/>
      <c r="W3250" s="130" t="str">
        <f t="shared" si="60"/>
        <v>1w</v>
      </c>
      <c r="X3250" s="128">
        <f>_xll.qlCalendarAdvance(Calendar,X3249,W3250,"f",FALSE)</f>
        <v>61934</v>
      </c>
      <c r="Y3250" s="131">
        <f>_xll.qlCalendarAdvance(Calendar,X3250,NDays&amp;"D")</f>
        <v>61938</v>
      </c>
      <c r="Z3250" s="132">
        <v>1.1203104033997182E-2</v>
      </c>
      <c r="AA3250" s="129">
        <v>1.1164396637655116E-2</v>
      </c>
    </row>
    <row r="3251" spans="19:27" x14ac:dyDescent="0.2">
      <c r="S3251" s="1"/>
      <c r="T3251" s="109"/>
      <c r="W3251" s="130" t="str">
        <f t="shared" si="60"/>
        <v>1w</v>
      </c>
      <c r="X3251" s="128">
        <f>_xll.qlCalendarAdvance(Calendar,X3250,W3251,"f",FALSE)</f>
        <v>61941</v>
      </c>
      <c r="Y3251" s="131">
        <f>_xll.qlCalendarAdvance(Calendar,X3251,NDays&amp;"D")</f>
        <v>61945</v>
      </c>
      <c r="Z3251" s="132">
        <v>1.1206601801468496E-2</v>
      </c>
      <c r="AA3251" s="129">
        <v>1.1167961396703063E-2</v>
      </c>
    </row>
    <row r="3252" spans="19:27" x14ac:dyDescent="0.2">
      <c r="S3252" s="1"/>
      <c r="T3252" s="109"/>
      <c r="W3252" s="130" t="str">
        <f t="shared" si="60"/>
        <v>1w</v>
      </c>
      <c r="X3252" s="128">
        <f>_xll.qlCalendarAdvance(Calendar,X3251,W3252,"f",FALSE)</f>
        <v>61948</v>
      </c>
      <c r="Y3252" s="131">
        <f>_xll.qlCalendarAdvance(Calendar,X3252,NDays&amp;"D")</f>
        <v>61952</v>
      </c>
      <c r="Z3252" s="132">
        <v>1.1210087712328464E-2</v>
      </c>
      <c r="AA3252" s="129">
        <v>1.1171514329451071E-2</v>
      </c>
    </row>
    <row r="3253" spans="19:27" x14ac:dyDescent="0.2">
      <c r="S3253" s="1"/>
      <c r="T3253" s="109"/>
      <c r="W3253" s="130" t="str">
        <f t="shared" si="60"/>
        <v>1w</v>
      </c>
      <c r="X3253" s="128">
        <f>_xll.qlCalendarAdvance(Calendar,X3252,W3253,"f",FALSE)</f>
        <v>61955</v>
      </c>
      <c r="Y3253" s="131">
        <f>_xll.qlCalendarAdvance(Calendar,X3253,NDays&amp;"D")</f>
        <v>61959</v>
      </c>
      <c r="Z3253" s="132">
        <v>1.1213561766551021E-2</v>
      </c>
      <c r="AA3253" s="129">
        <v>1.1175055435979075E-2</v>
      </c>
    </row>
    <row r="3254" spans="19:27" x14ac:dyDescent="0.2">
      <c r="S3254" s="1"/>
      <c r="T3254" s="109"/>
      <c r="W3254" s="130" t="str">
        <f t="shared" si="60"/>
        <v>1w</v>
      </c>
      <c r="X3254" s="128">
        <f>_xll.qlCalendarAdvance(Calendar,X3253,W3254,"f",FALSE)</f>
        <v>61962</v>
      </c>
      <c r="Y3254" s="131">
        <f>_xll.qlCalendarAdvance(Calendar,X3254,NDays&amp;"D")</f>
        <v>61966</v>
      </c>
      <c r="Z3254" s="132">
        <v>1.1217023964100544E-2</v>
      </c>
      <c r="AA3254" s="129">
        <v>1.1178584716287077E-2</v>
      </c>
    </row>
    <row r="3255" spans="19:27" x14ac:dyDescent="0.2">
      <c r="S3255" s="1"/>
      <c r="T3255" s="109"/>
      <c r="W3255" s="130" t="str">
        <f t="shared" si="60"/>
        <v>1w</v>
      </c>
      <c r="X3255" s="128">
        <f>_xll.qlCalendarAdvance(Calendar,X3254,W3255,"f",FALSE)</f>
        <v>61969</v>
      </c>
      <c r="Y3255" s="131">
        <f>_xll.qlCalendarAdvance(Calendar,X3255,NDays&amp;"D")</f>
        <v>61973</v>
      </c>
      <c r="Z3255" s="132">
        <v>1.1220055407284369E-2</v>
      </c>
      <c r="AA3255" s="129">
        <v>1.1182102170455011E-2</v>
      </c>
    </row>
    <row r="3256" spans="19:27" x14ac:dyDescent="0.2">
      <c r="S3256" s="1"/>
      <c r="T3256" s="109"/>
      <c r="W3256" s="130" t="str">
        <f t="shared" si="60"/>
        <v>1w</v>
      </c>
      <c r="X3256" s="128">
        <f>_xll.qlCalendarAdvance(Calendar,X3255,W3256,"f",FALSE)</f>
        <v>61976</v>
      </c>
      <c r="Y3256" s="131">
        <f>_xll.qlCalendarAdvance(Calendar,X3256,NDays&amp;"D")</f>
        <v>61980</v>
      </c>
      <c r="Z3256" s="132">
        <v>1.122349463125372E-2</v>
      </c>
      <c r="AA3256" s="129">
        <v>1.1185607798482877E-2</v>
      </c>
    </row>
    <row r="3257" spans="19:27" x14ac:dyDescent="0.2">
      <c r="S3257" s="1"/>
      <c r="T3257" s="109"/>
      <c r="W3257" s="130" t="str">
        <f t="shared" si="60"/>
        <v>1w</v>
      </c>
      <c r="X3257" s="128">
        <f>_xll.qlCalendarAdvance(Calendar,X3256,W3257,"f",FALSE)</f>
        <v>61983</v>
      </c>
      <c r="Y3257" s="131">
        <f>_xll.qlCalendarAdvance(Calendar,X3257,NDays&amp;"D")</f>
        <v>61987</v>
      </c>
      <c r="Z3257" s="132">
        <v>1.1226921998794265E-2</v>
      </c>
      <c r="AA3257" s="129">
        <v>1.1189101600450613E-2</v>
      </c>
    </row>
    <row r="3258" spans="19:27" x14ac:dyDescent="0.2">
      <c r="S3258" s="1"/>
      <c r="T3258" s="109"/>
      <c r="W3258" s="130" t="str">
        <f t="shared" si="60"/>
        <v>1w</v>
      </c>
      <c r="X3258" s="128">
        <f>_xll.qlCalendarAdvance(Calendar,X3257,W3258,"f",FALSE)</f>
        <v>61990</v>
      </c>
      <c r="Y3258" s="131">
        <f>_xll.qlCalendarAdvance(Calendar,X3258,NDays&amp;"D")</f>
        <v>61994</v>
      </c>
      <c r="Z3258" s="132">
        <v>1.1230337509878773E-2</v>
      </c>
      <c r="AA3258" s="129">
        <v>1.1192583576038473E-2</v>
      </c>
    </row>
    <row r="3259" spans="19:27" x14ac:dyDescent="0.2">
      <c r="S3259" s="1"/>
      <c r="T3259" s="109"/>
      <c r="W3259" s="130" t="str">
        <f t="shared" si="60"/>
        <v>1w</v>
      </c>
      <c r="X3259" s="128">
        <f>_xll.qlCalendarAdvance(Calendar,X3258,W3259,"f",FALSE)</f>
        <v>61997</v>
      </c>
      <c r="Y3259" s="131">
        <f>_xll.qlCalendarAdvance(Calendar,X3259,NDays&amp;"D")</f>
        <v>62001</v>
      </c>
      <c r="Z3259" s="132">
        <v>1.1234157100676106E-2</v>
      </c>
      <c r="AA3259" s="129">
        <v>1.1196053725486266E-2</v>
      </c>
    </row>
    <row r="3260" spans="19:27" x14ac:dyDescent="0.2">
      <c r="S3260" s="1"/>
      <c r="T3260" s="109"/>
      <c r="W3260" s="130" t="str">
        <f t="shared" si="60"/>
        <v>1w</v>
      </c>
      <c r="X3260" s="128">
        <f>_xll.qlCalendarAdvance(Calendar,X3259,W3260,"f",FALSE)</f>
        <v>62004</v>
      </c>
      <c r="Y3260" s="131">
        <f>_xll.qlCalendarAdvance(Calendar,X3260,NDays&amp;"D")</f>
        <v>62008</v>
      </c>
      <c r="Z3260" s="132">
        <v>1.1237548157539244E-2</v>
      </c>
      <c r="AA3260" s="129">
        <v>1.1199512048793991E-2</v>
      </c>
    </row>
    <row r="3261" spans="19:27" x14ac:dyDescent="0.2">
      <c r="S3261" s="1"/>
      <c r="T3261" s="109"/>
      <c r="W3261" s="130" t="str">
        <f t="shared" si="60"/>
        <v>1w</v>
      </c>
      <c r="X3261" s="128">
        <f>_xll.qlCalendarAdvance(Calendar,X3260,W3261,"f",FALSE)</f>
        <v>62011</v>
      </c>
      <c r="Y3261" s="131">
        <f>_xll.qlCalendarAdvance(Calendar,X3261,NDays&amp;"D")</f>
        <v>62015</v>
      </c>
      <c r="Z3261" s="132">
        <v>1.1240927357513867E-2</v>
      </c>
      <c r="AA3261" s="129">
        <v>1.1202958545881714E-2</v>
      </c>
    </row>
    <row r="3262" spans="19:27" x14ac:dyDescent="0.2">
      <c r="S3262" s="1"/>
      <c r="T3262" s="109"/>
      <c r="W3262" s="130" t="str">
        <f t="shared" si="60"/>
        <v>1w</v>
      </c>
      <c r="X3262" s="128">
        <f>_xll.qlCalendarAdvance(Calendar,X3261,W3262,"f",FALSE)</f>
        <v>62018</v>
      </c>
      <c r="Y3262" s="131">
        <f>_xll.qlCalendarAdvance(Calendar,X3262,NDays&amp;"D")</f>
        <v>62022</v>
      </c>
      <c r="Z3262" s="132">
        <v>1.1244294700567826E-2</v>
      </c>
      <c r="AA3262" s="129">
        <v>1.1206393216829369E-2</v>
      </c>
    </row>
    <row r="3263" spans="19:27" x14ac:dyDescent="0.2">
      <c r="S3263" s="1"/>
      <c r="T3263" s="109"/>
      <c r="W3263" s="130" t="str">
        <f t="shared" si="60"/>
        <v>1w</v>
      </c>
      <c r="X3263" s="128">
        <f>_xll.qlCalendarAdvance(Calendar,X3262,W3263,"f",FALSE)</f>
        <v>62025</v>
      </c>
      <c r="Y3263" s="131">
        <f>_xll.qlCalendarAdvance(Calendar,X3263,NDays&amp;"D")</f>
        <v>62029</v>
      </c>
      <c r="Z3263" s="132">
        <v>1.1247650186671582E-2</v>
      </c>
      <c r="AA3263" s="129">
        <v>1.1209816061636957E-2</v>
      </c>
    </row>
    <row r="3264" spans="19:27" x14ac:dyDescent="0.2">
      <c r="S3264" s="1"/>
      <c r="T3264" s="109"/>
      <c r="W3264" s="130" t="str">
        <f t="shared" si="60"/>
        <v>1w</v>
      </c>
      <c r="X3264" s="128">
        <f>_xll.qlCalendarAdvance(Calendar,X3263,W3264,"f",FALSE)</f>
        <v>62032</v>
      </c>
      <c r="Y3264" s="131">
        <f>_xll.qlCalendarAdvance(Calendar,X3264,NDays&amp;"D")</f>
        <v>62036</v>
      </c>
      <c r="Z3264" s="132">
        <v>1.1250993815795593E-2</v>
      </c>
      <c r="AA3264" s="129">
        <v>1.1213227080224542E-2</v>
      </c>
    </row>
    <row r="3265" spans="19:27" x14ac:dyDescent="0.2">
      <c r="S3265" s="1"/>
      <c r="T3265" s="109"/>
      <c r="W3265" s="130" t="str">
        <f t="shared" si="60"/>
        <v>1w</v>
      </c>
      <c r="X3265" s="128">
        <f>_xll.qlCalendarAdvance(Calendar,X3264,W3265,"f",FALSE)</f>
        <v>62039</v>
      </c>
      <c r="Y3265" s="131">
        <f>_xll.qlCalendarAdvance(Calendar,X3265,NDays&amp;"D")</f>
        <v>62043</v>
      </c>
      <c r="Z3265" s="132">
        <v>1.1254325587907709E-2</v>
      </c>
      <c r="AA3265" s="129">
        <v>1.1216626272432251E-2</v>
      </c>
    </row>
    <row r="3266" spans="19:27" x14ac:dyDescent="0.2">
      <c r="S3266" s="1"/>
      <c r="T3266" s="109"/>
      <c r="W3266" s="130" t="str">
        <f t="shared" si="60"/>
        <v>1w</v>
      </c>
      <c r="X3266" s="128">
        <f>_xll.qlCalendarAdvance(Calendar,X3265,W3266,"f",FALSE)</f>
        <v>62046</v>
      </c>
      <c r="Y3266" s="131">
        <f>_xll.qlCalendarAdvance(Calendar,X3266,NDays&amp;"D")</f>
        <v>62050</v>
      </c>
      <c r="Z3266" s="132">
        <v>1.1257645502978388E-2</v>
      </c>
      <c r="AA3266" s="129">
        <v>1.1220013638739701E-2</v>
      </c>
    </row>
    <row r="3267" spans="19:27" x14ac:dyDescent="0.2">
      <c r="S3267" s="1"/>
      <c r="T3267" s="109"/>
      <c r="W3267" s="130" t="str">
        <f t="shared" si="60"/>
        <v>1w</v>
      </c>
      <c r="X3267" s="128">
        <f>_xll.qlCalendarAdvance(Calendar,X3266,W3267,"f",FALSE)</f>
        <v>62053</v>
      </c>
      <c r="Y3267" s="131">
        <f>_xll.qlCalendarAdvance(Calendar,X3267,NDays&amp;"D")</f>
        <v>62057</v>
      </c>
      <c r="Z3267" s="132">
        <v>1.126095356097896E-2</v>
      </c>
      <c r="AA3267" s="129">
        <v>1.1223389178747212E-2</v>
      </c>
    </row>
    <row r="3268" spans="19:27" x14ac:dyDescent="0.2">
      <c r="S3268" s="1"/>
      <c r="T3268" s="109"/>
      <c r="W3268" s="130" t="str">
        <f t="shared" si="60"/>
        <v>1w</v>
      </c>
      <c r="X3268" s="128">
        <f>_xll.qlCalendarAdvance(Calendar,X3267,W3268,"f",FALSE)</f>
        <v>62060</v>
      </c>
      <c r="Y3268" s="131">
        <f>_xll.qlCalendarAdvance(Calendar,X3268,NDays&amp;"D")</f>
        <v>62064</v>
      </c>
      <c r="Z3268" s="132">
        <v>1.1263840508857814E-2</v>
      </c>
      <c r="AA3268" s="129">
        <v>1.1226752892614655E-2</v>
      </c>
    </row>
    <row r="3269" spans="19:27" x14ac:dyDescent="0.2">
      <c r="S3269" s="1"/>
      <c r="T3269" s="109"/>
      <c r="W3269" s="130" t="str">
        <f t="shared" si="60"/>
        <v>1w</v>
      </c>
      <c r="X3269" s="128">
        <f>_xll.qlCalendarAdvance(Calendar,X3268,W3269,"f",FALSE)</f>
        <v>62067</v>
      </c>
      <c r="Y3269" s="131">
        <f>_xll.qlCalendarAdvance(Calendar,X3269,NDays&amp;"D")</f>
        <v>62071</v>
      </c>
      <c r="Z3269" s="132">
        <v>1.1267125596908192E-2</v>
      </c>
      <c r="AA3269" s="129">
        <v>1.123010478018216E-2</v>
      </c>
    </row>
    <row r="3270" spans="19:27" x14ac:dyDescent="0.2">
      <c r="S3270" s="1"/>
      <c r="T3270" s="109"/>
      <c r="W3270" s="130" t="str">
        <f t="shared" si="60"/>
        <v>1w</v>
      </c>
      <c r="X3270" s="128">
        <f>_xll.qlCalendarAdvance(Calendar,X3269,W3270,"f",FALSE)</f>
        <v>62074</v>
      </c>
      <c r="Y3270" s="131">
        <f>_xll.qlCalendarAdvance(Calendar,X3270,NDays&amp;"D")</f>
        <v>62078</v>
      </c>
      <c r="Z3270" s="132">
        <v>1.1270398828141502E-2</v>
      </c>
      <c r="AA3270" s="129">
        <v>1.1233444841689533E-2</v>
      </c>
    </row>
    <row r="3271" spans="19:27" x14ac:dyDescent="0.2">
      <c r="S3271" s="1"/>
      <c r="T3271" s="109"/>
      <c r="W3271" s="130" t="str">
        <f t="shared" si="60"/>
        <v>1w</v>
      </c>
      <c r="X3271" s="128">
        <f>_xll.qlCalendarAdvance(Calendar,X3270,W3271,"f",FALSE)</f>
        <v>62081</v>
      </c>
      <c r="Y3271" s="131">
        <f>_xll.qlCalendarAdvance(Calendar,X3271,NDays&amp;"D")</f>
        <v>62085</v>
      </c>
      <c r="Z3271" s="132">
        <v>1.1273660202527881E-2</v>
      </c>
      <c r="AA3271" s="129">
        <v>1.1236773076896966E-2</v>
      </c>
    </row>
    <row r="3272" spans="19:27" x14ac:dyDescent="0.2">
      <c r="S3272" s="1"/>
      <c r="T3272" s="109"/>
      <c r="W3272" s="130" t="str">
        <f t="shared" si="60"/>
        <v>1w</v>
      </c>
      <c r="X3272" s="128">
        <f>_xll.qlCalendarAdvance(Calendar,X3271,W3272,"f",FALSE)</f>
        <v>62089</v>
      </c>
      <c r="Y3272" s="131">
        <f>_xll.qlCalendarAdvance(Calendar,X3272,NDays&amp;"D")</f>
        <v>62093</v>
      </c>
      <c r="Z3272" s="132">
        <v>1.1275341193287779E-2</v>
      </c>
      <c r="AA3272" s="129">
        <v>1.124097407013025E-2</v>
      </c>
    </row>
    <row r="3273" spans="19:27" x14ac:dyDescent="0.2">
      <c r="S3273" s="1"/>
      <c r="T3273" s="109"/>
      <c r="W3273" s="130" t="str">
        <f t="shared" si="60"/>
        <v>1w</v>
      </c>
      <c r="X3273" s="128">
        <f>_xll.qlCalendarAdvance(Calendar,X3272,W3273,"f",FALSE)</f>
        <v>62096</v>
      </c>
      <c r="Y3273" s="131">
        <f>_xll.qlCalendarAdvance(Calendar,X3273,NDays&amp;"D")</f>
        <v>62100</v>
      </c>
      <c r="Z3273" s="132">
        <v>1.1280203451402571E-2</v>
      </c>
      <c r="AA3273" s="129">
        <v>1.1243865186756352E-2</v>
      </c>
    </row>
    <row r="3274" spans="19:27" x14ac:dyDescent="0.2">
      <c r="S3274" s="1"/>
      <c r="T3274" s="109"/>
      <c r="W3274" s="130" t="str">
        <f t="shared" si="60"/>
        <v>1w</v>
      </c>
      <c r="X3274" s="128">
        <f>_xll.qlCalendarAdvance(Calendar,X3273,W3274,"f",FALSE)</f>
        <v>62103</v>
      </c>
      <c r="Y3274" s="131">
        <f>_xll.qlCalendarAdvance(Calendar,X3274,NDays&amp;"D")</f>
        <v>62107</v>
      </c>
      <c r="Z3274" s="132">
        <v>1.1283428307224064E-2</v>
      </c>
      <c r="AA3274" s="129">
        <v>1.1247156253935131E-2</v>
      </c>
    </row>
    <row r="3275" spans="19:27" x14ac:dyDescent="0.2">
      <c r="S3275" s="1"/>
      <c r="T3275" s="109"/>
      <c r="W3275" s="130" t="str">
        <f t="shared" si="60"/>
        <v>1w</v>
      </c>
      <c r="X3275" s="128">
        <f>_xll.qlCalendarAdvance(Calendar,X3274,W3275,"f",FALSE)</f>
        <v>62110</v>
      </c>
      <c r="Y3275" s="131">
        <f>_xll.qlCalendarAdvance(Calendar,X3275,NDays&amp;"D")</f>
        <v>62114</v>
      </c>
      <c r="Z3275" s="132">
        <v>1.1286641306424094E-2</v>
      </c>
      <c r="AA3275" s="129">
        <v>1.1250435495133715E-2</v>
      </c>
    </row>
    <row r="3276" spans="19:27" x14ac:dyDescent="0.2">
      <c r="S3276" s="1"/>
      <c r="T3276" s="109"/>
      <c r="W3276" s="130" t="str">
        <f t="shared" si="60"/>
        <v>1w</v>
      </c>
      <c r="X3276" s="128">
        <f>_xll.qlCalendarAdvance(Calendar,X3275,W3276,"f",FALSE)</f>
        <v>62117</v>
      </c>
      <c r="Y3276" s="131">
        <f>_xll.qlCalendarAdvance(Calendar,X3276,NDays&amp;"D")</f>
        <v>62121</v>
      </c>
      <c r="Z3276" s="132">
        <v>1.1289842448972465E-2</v>
      </c>
      <c r="AA3276" s="129">
        <v>1.1253702909952423E-2</v>
      </c>
    </row>
    <row r="3277" spans="19:27" x14ac:dyDescent="0.2">
      <c r="S3277" s="1"/>
      <c r="T3277" s="109"/>
      <c r="W3277" s="130" t="str">
        <f t="shared" si="60"/>
        <v>1w</v>
      </c>
      <c r="X3277" s="128">
        <f>_xll.qlCalendarAdvance(Calendar,X3276,W3277,"f",FALSE)</f>
        <v>62124</v>
      </c>
      <c r="Y3277" s="131">
        <f>_xll.qlCalendarAdvance(Calendar,X3277,NDays&amp;"D")</f>
        <v>62128</v>
      </c>
      <c r="Z3277" s="132">
        <v>1.1293031734838976E-2</v>
      </c>
      <c r="AA3277" s="129">
        <v>1.1256958498551128E-2</v>
      </c>
    </row>
    <row r="3278" spans="19:27" x14ac:dyDescent="0.2">
      <c r="S3278" s="1"/>
      <c r="T3278" s="109"/>
      <c r="W3278" s="130" t="str">
        <f t="shared" si="60"/>
        <v>1w</v>
      </c>
      <c r="X3278" s="128">
        <f>_xll.qlCalendarAdvance(Calendar,X3277,W3278,"f",FALSE)</f>
        <v>62131</v>
      </c>
      <c r="Y3278" s="131">
        <f>_xll.qlCalendarAdvance(Calendar,X3278,NDays&amp;"D")</f>
        <v>62135</v>
      </c>
      <c r="Z3278" s="132">
        <v>1.1296209163996984E-2</v>
      </c>
      <c r="AA3278" s="129">
        <v>1.1260202261009766E-2</v>
      </c>
    </row>
    <row r="3279" spans="19:27" x14ac:dyDescent="0.2">
      <c r="S3279" s="1"/>
      <c r="T3279" s="109"/>
      <c r="W3279" s="130" t="str">
        <f t="shared" si="60"/>
        <v>1w</v>
      </c>
      <c r="X3279" s="128">
        <f>_xll.qlCalendarAdvance(Calendar,X3278,W3279,"f",FALSE)</f>
        <v>62138</v>
      </c>
      <c r="Y3279" s="131">
        <f>_xll.qlCalendarAdvance(Calendar,X3279,NDays&amp;"D")</f>
        <v>62142</v>
      </c>
      <c r="Z3279" s="132">
        <v>1.1299374736419843E-2</v>
      </c>
      <c r="AA3279" s="129">
        <v>1.1263434197488209E-2</v>
      </c>
    </row>
    <row r="3280" spans="19:27" x14ac:dyDescent="0.2">
      <c r="S3280" s="1"/>
      <c r="T3280" s="109"/>
      <c r="W3280" s="130" t="str">
        <f t="shared" si="60"/>
        <v>1w</v>
      </c>
      <c r="X3280" s="128">
        <f>_xll.qlCalendarAdvance(Calendar,X3279,W3280,"f",FALSE)</f>
        <v>62145</v>
      </c>
      <c r="Y3280" s="131">
        <f>_xll.qlCalendarAdvance(Calendar,X3280,NDays&amp;"D")</f>
        <v>62149</v>
      </c>
      <c r="Z3280" s="132">
        <v>1.1302528452074689E-2</v>
      </c>
      <c r="AA3280" s="129">
        <v>1.126665430750684E-2</v>
      </c>
    </row>
    <row r="3281" spans="19:27" x14ac:dyDescent="0.2">
      <c r="S3281" s="1"/>
      <c r="T3281" s="109"/>
      <c r="W3281" s="130" t="str">
        <f t="shared" si="60"/>
        <v>1w</v>
      </c>
      <c r="X3281" s="128">
        <f>_xll.qlCalendarAdvance(Calendar,X3280,W3281,"f",FALSE)</f>
        <v>62152</v>
      </c>
      <c r="Y3281" s="131">
        <f>_xll.qlCalendarAdvance(Calendar,X3281,NDays&amp;"D")</f>
        <v>62156</v>
      </c>
      <c r="Z3281" s="132">
        <v>1.1306469261036609E-2</v>
      </c>
      <c r="AA3281" s="129">
        <v>1.1269862591385404E-2</v>
      </c>
    </row>
    <row r="3282" spans="19:27" x14ac:dyDescent="0.2">
      <c r="S3282" s="1"/>
      <c r="T3282" s="109"/>
      <c r="W3282" s="130" t="str">
        <f t="shared" si="60"/>
        <v>1w</v>
      </c>
      <c r="X3282" s="128">
        <f>_xll.qlCalendarAdvance(Calendar,X3281,W3282,"f",FALSE)</f>
        <v>62159</v>
      </c>
      <c r="Y3282" s="131">
        <f>_xll.qlCalendarAdvance(Calendar,X3282,NDays&amp;"D")</f>
        <v>62163</v>
      </c>
      <c r="Z3282" s="132">
        <v>1.1309597765493843E-2</v>
      </c>
      <c r="AA3282" s="129">
        <v>1.1273059049123901E-2</v>
      </c>
    </row>
    <row r="3283" spans="19:27" x14ac:dyDescent="0.2">
      <c r="S3283" s="1"/>
      <c r="T3283" s="109"/>
      <c r="W3283" s="130" t="str">
        <f t="shared" si="60"/>
        <v>1w</v>
      </c>
      <c r="X3283" s="128">
        <f>_xll.qlCalendarAdvance(Calendar,X3282,W3283,"f",FALSE)</f>
        <v>62166</v>
      </c>
      <c r="Y3283" s="131">
        <f>_xll.qlCalendarAdvance(Calendar,X3283,NDays&amp;"D")</f>
        <v>62170</v>
      </c>
      <c r="Z3283" s="132">
        <v>1.1312714412409173E-2</v>
      </c>
      <c r="AA3283" s="129">
        <v>1.1276243680882203E-2</v>
      </c>
    </row>
    <row r="3284" spans="19:27" x14ac:dyDescent="0.2">
      <c r="S3284" s="1"/>
      <c r="T3284" s="109"/>
      <c r="W3284" s="130" t="str">
        <f t="shared" si="60"/>
        <v>1w</v>
      </c>
      <c r="X3284" s="128">
        <f>_xll.qlCalendarAdvance(Calendar,X3283,W3284,"f",FALSE)</f>
        <v>62173</v>
      </c>
      <c r="Y3284" s="131">
        <f>_xll.qlCalendarAdvance(Calendar,X3284,NDays&amp;"D")</f>
        <v>62177</v>
      </c>
      <c r="Z3284" s="132">
        <v>1.1315819201752186E-2</v>
      </c>
      <c r="AA3284" s="129">
        <v>1.1279416486100757E-2</v>
      </c>
    </row>
    <row r="3285" spans="19:27" x14ac:dyDescent="0.2">
      <c r="S3285" s="1"/>
      <c r="T3285" s="109"/>
      <c r="W3285" s="130" t="str">
        <f t="shared" ref="W3285:W3348" si="61">W3284</f>
        <v>1w</v>
      </c>
      <c r="X3285" s="128">
        <f>_xll.qlCalendarAdvance(Calendar,X3284,W3285,"f",FALSE)</f>
        <v>62184</v>
      </c>
      <c r="Y3285" s="131">
        <f>_xll.qlCalendarAdvance(Calendar,X3285,NDays&amp;"D")</f>
        <v>62186</v>
      </c>
      <c r="Z3285" s="132">
        <v>1.1319397418473015E-2</v>
      </c>
      <c r="AA3285" s="129">
        <v>1.1283478430081928E-2</v>
      </c>
    </row>
    <row r="3286" spans="19:27" x14ac:dyDescent="0.2">
      <c r="S3286" s="1"/>
      <c r="T3286" s="109"/>
      <c r="W3286" s="130" t="str">
        <f t="shared" si="61"/>
        <v>1w</v>
      </c>
      <c r="X3286" s="128">
        <f>_xll.qlCalendarAdvance(Calendar,X3285,W3286,"f",FALSE)</f>
        <v>62191</v>
      </c>
      <c r="Y3286" s="131">
        <f>_xll.qlCalendarAdvance(Calendar,X3286,NDays&amp;"D")</f>
        <v>62193</v>
      </c>
      <c r="Z3286" s="132">
        <v>1.1322475854996733E-2</v>
      </c>
      <c r="AA3286" s="129">
        <v>1.1286624204203122E-2</v>
      </c>
    </row>
    <row r="3287" spans="19:27" x14ac:dyDescent="0.2">
      <c r="S3287" s="1"/>
      <c r="T3287" s="109"/>
      <c r="W3287" s="130" t="str">
        <f t="shared" si="61"/>
        <v>1w</v>
      </c>
      <c r="X3287" s="128">
        <f>_xll.qlCalendarAdvance(Calendar,X3286,W3287,"f",FALSE)</f>
        <v>62198</v>
      </c>
      <c r="Y3287" s="131">
        <f>_xll.qlCalendarAdvance(Calendar,X3287,NDays&amp;"D")</f>
        <v>62200</v>
      </c>
      <c r="Z3287" s="132">
        <v>1.1325542434207077E-2</v>
      </c>
      <c r="AA3287" s="129">
        <v>1.1289758152024376E-2</v>
      </c>
    </row>
    <row r="3288" spans="19:27" x14ac:dyDescent="0.2">
      <c r="S3288" s="1"/>
      <c r="T3288" s="109"/>
      <c r="W3288" s="130" t="str">
        <f t="shared" si="61"/>
        <v>1w</v>
      </c>
      <c r="X3288" s="128">
        <f>_xll.qlCalendarAdvance(Calendar,X3287,W3288,"f",FALSE)</f>
        <v>62205</v>
      </c>
      <c r="Y3288" s="131">
        <f>_xll.qlCalendarAdvance(Calendar,X3288,NDays&amp;"D")</f>
        <v>62207</v>
      </c>
      <c r="Z3288" s="132">
        <v>1.1328597156075941E-2</v>
      </c>
      <c r="AA3288" s="129">
        <v>1.1292880273705563E-2</v>
      </c>
    </row>
    <row r="3289" spans="19:27" x14ac:dyDescent="0.2">
      <c r="S3289" s="1"/>
      <c r="T3289" s="109"/>
      <c r="W3289" s="130" t="str">
        <f t="shared" si="61"/>
        <v>1w</v>
      </c>
      <c r="X3289" s="128">
        <f>_xll.qlCalendarAdvance(Calendar,X3288,W3289,"f",FALSE)</f>
        <v>62212</v>
      </c>
      <c r="Y3289" s="131">
        <f>_xll.qlCalendarAdvance(Calendar,X3289,NDays&amp;"D")</f>
        <v>62215</v>
      </c>
      <c r="Z3289" s="132">
        <v>1.133325292088158E-2</v>
      </c>
      <c r="AA3289" s="129">
        <v>1.1297231474571845E-2</v>
      </c>
    </row>
    <row r="3290" spans="19:27" x14ac:dyDescent="0.2">
      <c r="S3290" s="1"/>
      <c r="T3290" s="109"/>
      <c r="W3290" s="130" t="str">
        <f t="shared" si="61"/>
        <v>1w</v>
      </c>
      <c r="X3290" s="128">
        <f>_xll.qlCalendarAdvance(Calendar,X3289,W3290,"f",FALSE)</f>
        <v>62219</v>
      </c>
      <c r="Y3290" s="131">
        <f>_xll.qlCalendarAdvance(Calendar,X3290,NDays&amp;"D")</f>
        <v>62221</v>
      </c>
      <c r="Z3290" s="132">
        <v>1.1335063504543507E-2</v>
      </c>
      <c r="AA3290" s="129">
        <v>1.1299089038487864E-2</v>
      </c>
    </row>
    <row r="3291" spans="19:27" x14ac:dyDescent="0.2">
      <c r="S3291" s="1"/>
      <c r="T3291" s="109"/>
      <c r="W3291" s="130" t="str">
        <f t="shared" si="61"/>
        <v>1w</v>
      </c>
      <c r="X3291" s="128">
        <f>_xll.qlCalendarAdvance(Calendar,X3290,W3291,"f",FALSE)</f>
        <v>62226</v>
      </c>
      <c r="Y3291" s="131">
        <f>_xll.qlCalendarAdvance(Calendar,X3291,NDays&amp;"D")</f>
        <v>62228</v>
      </c>
      <c r="Z3291" s="132">
        <v>1.1338081902172737E-2</v>
      </c>
      <c r="AA3291" s="129">
        <v>1.1302175681588977E-2</v>
      </c>
    </row>
    <row r="3292" spans="19:27" x14ac:dyDescent="0.2">
      <c r="S3292" s="1"/>
      <c r="T3292" s="109"/>
      <c r="W3292" s="130" t="str">
        <f t="shared" si="61"/>
        <v>1w</v>
      </c>
      <c r="X3292" s="128">
        <f>_xll.qlCalendarAdvance(Calendar,X3291,W3292,"f",FALSE)</f>
        <v>62233</v>
      </c>
      <c r="Y3292" s="131">
        <f>_xll.qlCalendarAdvance(Calendar,X3292,NDays&amp;"D")</f>
        <v>62235</v>
      </c>
      <c r="Z3292" s="132">
        <v>1.1341088442001141E-2</v>
      </c>
      <c r="AA3292" s="129">
        <v>1.1305250498550024E-2</v>
      </c>
    </row>
    <row r="3293" spans="19:27" x14ac:dyDescent="0.2">
      <c r="S3293" s="1"/>
      <c r="T3293" s="109"/>
      <c r="W3293" s="130" t="str">
        <f t="shared" si="61"/>
        <v>1w</v>
      </c>
      <c r="X3293" s="128">
        <f>_xll.qlCalendarAdvance(Calendar,X3292,W3293,"f",FALSE)</f>
        <v>62240</v>
      </c>
      <c r="Y3293" s="131">
        <f>_xll.qlCalendarAdvance(Calendar,X3293,NDays&amp;"D")</f>
        <v>62242</v>
      </c>
      <c r="Z3293" s="132">
        <v>1.1344083124001781E-2</v>
      </c>
      <c r="AA3293" s="129">
        <v>1.130831348921113E-2</v>
      </c>
    </row>
    <row r="3294" spans="19:27" x14ac:dyDescent="0.2">
      <c r="S3294" s="1"/>
      <c r="T3294" s="109"/>
      <c r="W3294" s="130" t="str">
        <f t="shared" si="61"/>
        <v>1w</v>
      </c>
      <c r="X3294" s="128">
        <f>_xll.qlCalendarAdvance(Calendar,X3293,W3294,"f",FALSE)</f>
        <v>62247</v>
      </c>
      <c r="Y3294" s="131">
        <f>_xll.qlCalendarAdvance(Calendar,X3294,NDays&amp;"D")</f>
        <v>62249</v>
      </c>
      <c r="Z3294" s="132">
        <v>1.1347065948147722E-2</v>
      </c>
      <c r="AA3294" s="129">
        <v>1.1311364653812106E-2</v>
      </c>
    </row>
    <row r="3295" spans="19:27" x14ac:dyDescent="0.2">
      <c r="S3295" s="1"/>
      <c r="T3295" s="109"/>
      <c r="W3295" s="130" t="str">
        <f t="shared" si="61"/>
        <v>1w</v>
      </c>
      <c r="X3295" s="128">
        <f>_xll.qlCalendarAdvance(Calendar,X3294,W3295,"f",FALSE)</f>
        <v>62254</v>
      </c>
      <c r="Y3295" s="131">
        <f>_xll.qlCalendarAdvance(Calendar,X3295,NDays&amp;"D")</f>
        <v>62256</v>
      </c>
      <c r="Z3295" s="132">
        <v>1.1350036914410293E-2</v>
      </c>
      <c r="AA3295" s="129">
        <v>1.1314403992113142E-2</v>
      </c>
    </row>
    <row r="3296" spans="19:27" x14ac:dyDescent="0.2">
      <c r="S3296" s="1"/>
      <c r="T3296" s="109"/>
      <c r="W3296" s="130" t="str">
        <f t="shared" si="61"/>
        <v>1w</v>
      </c>
      <c r="X3296" s="128">
        <f>_xll.qlCalendarAdvance(Calendar,X3295,W3296,"f",FALSE)</f>
        <v>62261</v>
      </c>
      <c r="Y3296" s="131">
        <f>_xll.qlCalendarAdvance(Calendar,X3296,NDays&amp;"D")</f>
        <v>62263</v>
      </c>
      <c r="Z3296" s="132">
        <v>1.1352996022763427E-2</v>
      </c>
      <c r="AA3296" s="129">
        <v>1.1317431504354047E-2</v>
      </c>
    </row>
    <row r="3297" spans="19:27" x14ac:dyDescent="0.2">
      <c r="S3297" s="1"/>
      <c r="T3297" s="109"/>
      <c r="W3297" s="130" t="str">
        <f t="shared" si="61"/>
        <v>1w</v>
      </c>
      <c r="X3297" s="128">
        <f>_xll.qlCalendarAdvance(Calendar,X3296,W3297,"f",FALSE)</f>
        <v>62268</v>
      </c>
      <c r="Y3297" s="131">
        <f>_xll.qlCalendarAdvance(Calendar,X3297,NDays&amp;"D")</f>
        <v>62270</v>
      </c>
      <c r="Z3297" s="132">
        <v>1.1355943273181925E-2</v>
      </c>
      <c r="AA3297" s="129">
        <v>1.1320447190295013E-2</v>
      </c>
    </row>
    <row r="3298" spans="19:27" x14ac:dyDescent="0.2">
      <c r="S3298" s="1"/>
      <c r="T3298" s="109"/>
      <c r="W3298" s="130" t="str">
        <f t="shared" si="61"/>
        <v>1w</v>
      </c>
      <c r="X3298" s="128">
        <f>_xll.qlCalendarAdvance(Calendar,X3297,W3298,"f",FALSE)</f>
        <v>62275</v>
      </c>
      <c r="Y3298" s="131">
        <f>_xll.qlCalendarAdvance(Calendar,X3298,NDays&amp;"D")</f>
        <v>62277</v>
      </c>
      <c r="Z3298" s="132">
        <v>1.1358878665637987E-2</v>
      </c>
      <c r="AA3298" s="129">
        <v>1.1323451050015976E-2</v>
      </c>
    </row>
    <row r="3299" spans="19:27" x14ac:dyDescent="0.2">
      <c r="S3299" s="1"/>
      <c r="T3299" s="109"/>
      <c r="W3299" s="130" t="str">
        <f t="shared" si="61"/>
        <v>1w</v>
      </c>
      <c r="X3299" s="128">
        <f>_xll.qlCalendarAdvance(Calendar,X3298,W3299,"f",FALSE)</f>
        <v>62282</v>
      </c>
      <c r="Y3299" s="131">
        <f>_xll.qlCalendarAdvance(Calendar,X3299,NDays&amp;"D")</f>
        <v>62284</v>
      </c>
      <c r="Z3299" s="132">
        <v>1.1361802200104677E-2</v>
      </c>
      <c r="AA3299" s="129">
        <v>1.1326443083676807E-2</v>
      </c>
    </row>
    <row r="3300" spans="19:27" x14ac:dyDescent="0.2">
      <c r="S3300" s="1"/>
      <c r="T3300" s="109"/>
      <c r="W3300" s="130" t="str">
        <f t="shared" si="61"/>
        <v>1w</v>
      </c>
      <c r="X3300" s="128">
        <f>_xll.qlCalendarAdvance(Calendar,X3299,W3300,"f",FALSE)</f>
        <v>62289</v>
      </c>
      <c r="Y3300" s="131">
        <f>_xll.qlCalendarAdvance(Calendar,X3300,NDays&amp;"D")</f>
        <v>62291</v>
      </c>
      <c r="Z3300" s="132">
        <v>1.1364713876554187E-2</v>
      </c>
      <c r="AA3300" s="129">
        <v>1.1329423291037699E-2</v>
      </c>
    </row>
    <row r="3301" spans="19:27" x14ac:dyDescent="0.2">
      <c r="S3301" s="1"/>
      <c r="T3301" s="109"/>
      <c r="W3301" s="130" t="str">
        <f t="shared" si="61"/>
        <v>1w</v>
      </c>
      <c r="X3301" s="128">
        <f>_xll.qlCalendarAdvance(Calendar,X3300,W3301,"f",FALSE)</f>
        <v>62296</v>
      </c>
      <c r="Y3301" s="131">
        <f>_xll.qlCalendarAdvance(Calendar,X3301,NDays&amp;"D")</f>
        <v>62298</v>
      </c>
      <c r="Z3301" s="132">
        <v>1.1367613694963931E-2</v>
      </c>
      <c r="AA3301" s="129">
        <v>1.1332391672178588E-2</v>
      </c>
    </row>
    <row r="3302" spans="19:27" x14ac:dyDescent="0.2">
      <c r="S3302" s="1"/>
      <c r="T3302" s="109"/>
      <c r="W3302" s="130" t="str">
        <f t="shared" si="61"/>
        <v>1w</v>
      </c>
      <c r="X3302" s="128">
        <f>_xll.qlCalendarAdvance(Calendar,X3301,W3302,"f",FALSE)</f>
        <v>62303</v>
      </c>
      <c r="Y3302" s="131">
        <f>_xll.qlCalendarAdvance(Calendar,X3302,NDays&amp;"D")</f>
        <v>62305</v>
      </c>
      <c r="Z3302" s="132">
        <v>1.1370501655303497E-2</v>
      </c>
      <c r="AA3302" s="129">
        <v>1.1335348227179409E-2</v>
      </c>
    </row>
    <row r="3303" spans="19:27" x14ac:dyDescent="0.2">
      <c r="S3303" s="1"/>
      <c r="T3303" s="109"/>
      <c r="W3303" s="130" t="str">
        <f t="shared" si="61"/>
        <v>1w</v>
      </c>
      <c r="X3303" s="128">
        <f>_xll.qlCalendarAdvance(Calendar,X3302,W3303,"f",FALSE)</f>
        <v>62310</v>
      </c>
      <c r="Y3303" s="131">
        <f>_xll.qlCalendarAdvance(Calendar,X3303,NDays&amp;"D")</f>
        <v>62312</v>
      </c>
      <c r="Z3303" s="132">
        <v>1.1373377757549426E-2</v>
      </c>
      <c r="AA3303" s="129">
        <v>1.1338292955880291E-2</v>
      </c>
    </row>
    <row r="3304" spans="19:27" x14ac:dyDescent="0.2">
      <c r="S3304" s="1"/>
      <c r="T3304" s="109"/>
      <c r="W3304" s="130" t="str">
        <f t="shared" si="61"/>
        <v>1w</v>
      </c>
      <c r="X3304" s="128">
        <f>_xll.qlCalendarAdvance(Calendar,X3303,W3304,"f",FALSE)</f>
        <v>62317</v>
      </c>
      <c r="Y3304" s="131">
        <f>_xll.qlCalendarAdvance(Calendar,X3304,NDays&amp;"D")</f>
        <v>62319</v>
      </c>
      <c r="Z3304" s="132">
        <v>1.1376242001674782E-2</v>
      </c>
      <c r="AA3304" s="129">
        <v>1.1341225858441106E-2</v>
      </c>
    </row>
    <row r="3305" spans="19:27" x14ac:dyDescent="0.2">
      <c r="S3305" s="1"/>
      <c r="T3305" s="109"/>
      <c r="W3305" s="130" t="str">
        <f t="shared" si="61"/>
        <v>1w</v>
      </c>
      <c r="X3305" s="128">
        <f>_xll.qlCalendarAdvance(Calendar,X3304,W3305,"f",FALSE)</f>
        <v>62324</v>
      </c>
      <c r="Y3305" s="131">
        <f>_xll.qlCalendarAdvance(Calendar,X3305,NDays&amp;"D")</f>
        <v>62326</v>
      </c>
      <c r="Z3305" s="132">
        <v>1.1379094387652632E-2</v>
      </c>
      <c r="AA3305" s="129">
        <v>1.134414693494179E-2</v>
      </c>
    </row>
    <row r="3306" spans="19:27" x14ac:dyDescent="0.2">
      <c r="S3306" s="1"/>
      <c r="T3306" s="109"/>
      <c r="W3306" s="130" t="str">
        <f t="shared" si="61"/>
        <v>1w</v>
      </c>
      <c r="X3306" s="128">
        <f>_xll.qlCalendarAdvance(Calendar,X3305,W3306,"f",FALSE)</f>
        <v>62331</v>
      </c>
      <c r="Y3306" s="131">
        <f>_xll.qlCalendarAdvance(Calendar,X3306,NDays&amp;"D")</f>
        <v>62333</v>
      </c>
      <c r="Z3306" s="132">
        <v>1.1381934915459514E-2</v>
      </c>
      <c r="AA3306" s="129">
        <v>1.1347056185222471E-2</v>
      </c>
    </row>
    <row r="3307" spans="19:27" x14ac:dyDescent="0.2">
      <c r="S3307" s="1"/>
      <c r="T3307" s="109"/>
      <c r="W3307" s="130" t="str">
        <f t="shared" si="61"/>
        <v>1w</v>
      </c>
      <c r="X3307" s="128">
        <f>_xll.qlCalendarAdvance(Calendar,X3306,W3307,"f",FALSE)</f>
        <v>62338</v>
      </c>
      <c r="Y3307" s="131">
        <f>_xll.qlCalendarAdvance(Calendar,X3307,NDays&amp;"D")</f>
        <v>62340</v>
      </c>
      <c r="Z3307" s="132">
        <v>1.1384383940793831E-2</v>
      </c>
      <c r="AA3307" s="129">
        <v>1.1349953609203212E-2</v>
      </c>
    </row>
    <row r="3308" spans="19:27" x14ac:dyDescent="0.2">
      <c r="S3308" s="1"/>
      <c r="T3308" s="109"/>
      <c r="W3308" s="130" t="str">
        <f t="shared" si="61"/>
        <v>1w</v>
      </c>
      <c r="X3308" s="128">
        <f>_xll.qlCalendarAdvance(Calendar,X3307,W3308,"f",FALSE)</f>
        <v>62345</v>
      </c>
      <c r="Y3308" s="131">
        <f>_xll.qlCalendarAdvance(Calendar,X3308,NDays&amp;"D")</f>
        <v>62347</v>
      </c>
      <c r="Z3308" s="132">
        <v>1.1387201510209414E-2</v>
      </c>
      <c r="AA3308" s="129">
        <v>1.1352839206963949E-2</v>
      </c>
    </row>
    <row r="3309" spans="19:27" x14ac:dyDescent="0.2">
      <c r="S3309" s="1"/>
      <c r="T3309" s="109"/>
      <c r="W3309" s="130" t="str">
        <f t="shared" si="61"/>
        <v>1w</v>
      </c>
      <c r="X3309" s="128">
        <f>_xll.qlCalendarAdvance(Calendar,X3308,W3309,"f",FALSE)</f>
        <v>62352</v>
      </c>
      <c r="Y3309" s="131">
        <f>_xll.qlCalendarAdvance(Calendar,X3309,NDays&amp;"D")</f>
        <v>62354</v>
      </c>
      <c r="Z3309" s="132">
        <v>1.139000722173187E-2</v>
      </c>
      <c r="AA3309" s="129">
        <v>1.1355712978504684E-2</v>
      </c>
    </row>
    <row r="3310" spans="19:27" x14ac:dyDescent="0.2">
      <c r="S3310" s="1"/>
      <c r="T3310" s="109"/>
      <c r="W3310" s="130" t="str">
        <f t="shared" si="61"/>
        <v>1w</v>
      </c>
      <c r="X3310" s="128">
        <f>_xll.qlCalendarAdvance(Calendar,X3309,W3310,"f",FALSE)</f>
        <v>62359</v>
      </c>
      <c r="Y3310" s="131">
        <f>_xll.qlCalendarAdvance(Calendar,X3310,NDays&amp;"D")</f>
        <v>62361</v>
      </c>
      <c r="Z3310" s="132">
        <v>1.1394310165285254E-2</v>
      </c>
      <c r="AA3310" s="129">
        <v>1.1358574923985287E-2</v>
      </c>
    </row>
    <row r="3311" spans="19:27" x14ac:dyDescent="0.2">
      <c r="S3311" s="1"/>
      <c r="T3311" s="109"/>
      <c r="W3311" s="130" t="str">
        <f t="shared" si="61"/>
        <v>1w</v>
      </c>
      <c r="X3311" s="128">
        <f>_xll.qlCalendarAdvance(Calendar,X3310,W3311,"f",FALSE)</f>
        <v>62366</v>
      </c>
      <c r="Y3311" s="131">
        <f>_xll.qlCalendarAdvance(Calendar,X3311,NDays&amp;"D")</f>
        <v>62368</v>
      </c>
      <c r="Z3311" s="132">
        <v>1.1395959681004071E-2</v>
      </c>
      <c r="AA3311" s="129">
        <v>1.1361425043165951E-2</v>
      </c>
    </row>
    <row r="3312" spans="19:27" x14ac:dyDescent="0.2">
      <c r="S3312" s="1"/>
      <c r="T3312" s="109"/>
      <c r="W3312" s="130" t="str">
        <f t="shared" si="61"/>
        <v>1w</v>
      </c>
      <c r="X3312" s="128">
        <f>_xll.qlCalendarAdvance(Calendar,X3311,W3312,"f",FALSE)</f>
        <v>62373</v>
      </c>
      <c r="Y3312" s="131">
        <f>_xll.qlCalendarAdvance(Calendar,X3312,NDays&amp;"D")</f>
        <v>62375</v>
      </c>
      <c r="Z3312" s="132">
        <v>1.1398729059237764E-2</v>
      </c>
      <c r="AA3312" s="129">
        <v>1.1364263336206548E-2</v>
      </c>
    </row>
    <row r="3313" spans="19:27" x14ac:dyDescent="0.2">
      <c r="S3313" s="1"/>
      <c r="T3313" s="109"/>
      <c r="W3313" s="130" t="str">
        <f t="shared" si="61"/>
        <v>1w</v>
      </c>
      <c r="X3313" s="128">
        <f>_xll.qlCalendarAdvance(Calendar,X3312,W3313,"f",FALSE)</f>
        <v>62380</v>
      </c>
      <c r="Y3313" s="131">
        <f>_xll.qlCalendarAdvance(Calendar,X3313,NDays&amp;"D")</f>
        <v>62382</v>
      </c>
      <c r="Z3313" s="132">
        <v>1.140148657912237E-2</v>
      </c>
      <c r="AA3313" s="129">
        <v>1.1367089802947206E-2</v>
      </c>
    </row>
    <row r="3314" spans="19:27" x14ac:dyDescent="0.2">
      <c r="S3314" s="1"/>
      <c r="T3314" s="109"/>
      <c r="W3314" s="130" t="str">
        <f t="shared" si="61"/>
        <v>1w</v>
      </c>
      <c r="X3314" s="128">
        <f>_xll.qlCalendarAdvance(Calendar,X3313,W3314,"f",FALSE)</f>
        <v>62387</v>
      </c>
      <c r="Y3314" s="131">
        <f>_xll.qlCalendarAdvance(Calendar,X3314,NDays&amp;"D")</f>
        <v>62389</v>
      </c>
      <c r="Z3314" s="132">
        <v>1.1404232240630958E-2</v>
      </c>
      <c r="AA3314" s="129">
        <v>1.1369904443707668E-2</v>
      </c>
    </row>
    <row r="3315" spans="19:27" x14ac:dyDescent="0.2">
      <c r="S3315" s="1"/>
      <c r="T3315" s="109"/>
      <c r="W3315" s="130" t="str">
        <f t="shared" si="61"/>
        <v>1w</v>
      </c>
      <c r="X3315" s="128">
        <f>_xll.qlCalendarAdvance(Calendar,X3314,W3315,"f",FALSE)</f>
        <v>62394</v>
      </c>
      <c r="Y3315" s="131">
        <f>_xll.qlCalendarAdvance(Calendar,X3315,NDays&amp;"D")</f>
        <v>62396</v>
      </c>
      <c r="Z3315" s="132">
        <v>1.1406966043739196E-2</v>
      </c>
      <c r="AA3315" s="129">
        <v>1.1372707258008319E-2</v>
      </c>
    </row>
    <row r="3316" spans="19:27" x14ac:dyDescent="0.2">
      <c r="S3316" s="1"/>
      <c r="T3316" s="109"/>
      <c r="W3316" s="130" t="str">
        <f t="shared" si="61"/>
        <v>1w</v>
      </c>
      <c r="X3316" s="128">
        <f>_xll.qlCalendarAdvance(Calendar,X3315,W3316,"f",FALSE)</f>
        <v>62401</v>
      </c>
      <c r="Y3316" s="131">
        <f>_xll.qlCalendarAdvance(Calendar,X3316,NDays&amp;"D")</f>
        <v>62403</v>
      </c>
      <c r="Z3316" s="132">
        <v>1.140968798842015E-2</v>
      </c>
      <c r="AA3316" s="129">
        <v>1.1375498246168902E-2</v>
      </c>
    </row>
    <row r="3317" spans="19:27" x14ac:dyDescent="0.2">
      <c r="S3317" s="1"/>
      <c r="T3317" s="109"/>
      <c r="W3317" s="130" t="str">
        <f t="shared" si="61"/>
        <v>1w</v>
      </c>
      <c r="X3317" s="128">
        <f>_xll.qlCalendarAdvance(Calendar,X3316,W3317,"f",FALSE)</f>
        <v>62408</v>
      </c>
      <c r="Y3317" s="131">
        <f>_xll.qlCalendarAdvance(Calendar,X3317,NDays&amp;"D")</f>
        <v>62410</v>
      </c>
      <c r="Z3317" s="132">
        <v>1.1412398074652099E-2</v>
      </c>
      <c r="AA3317" s="129">
        <v>1.1378277408189419E-2</v>
      </c>
    </row>
    <row r="3318" spans="19:27" x14ac:dyDescent="0.2">
      <c r="S3318" s="1"/>
      <c r="T3318" s="109"/>
      <c r="W3318" s="130" t="str">
        <f t="shared" si="61"/>
        <v>1w</v>
      </c>
      <c r="X3318" s="128">
        <f>_xll.qlCalendarAdvance(Calendar,X3317,W3318,"f",FALSE)</f>
        <v>62415</v>
      </c>
      <c r="Y3318" s="131">
        <f>_xll.qlCalendarAdvance(Calendar,X3318,NDays&amp;"D")</f>
        <v>62417</v>
      </c>
      <c r="Z3318" s="132">
        <v>1.1415096302411583E-2</v>
      </c>
      <c r="AA3318" s="129">
        <v>1.1381044743989932E-2</v>
      </c>
    </row>
    <row r="3319" spans="19:27" x14ac:dyDescent="0.2">
      <c r="S3319" s="1"/>
      <c r="T3319" s="109"/>
      <c r="W3319" s="130" t="str">
        <f t="shared" si="61"/>
        <v>1w</v>
      </c>
      <c r="X3319" s="128">
        <f>_xll.qlCalendarAdvance(Calendar,X3318,W3319,"f",FALSE)</f>
        <v>62422</v>
      </c>
      <c r="Y3319" s="131">
        <f>_xll.qlCalendarAdvance(Calendar,X3319,NDays&amp;"D")</f>
        <v>62424</v>
      </c>
      <c r="Z3319" s="132">
        <v>1.1417782671670798E-2</v>
      </c>
      <c r="AA3319" s="129">
        <v>1.1383800253570442E-2</v>
      </c>
    </row>
    <row r="3320" spans="19:27" x14ac:dyDescent="0.2">
      <c r="S3320" s="1"/>
      <c r="T3320" s="109"/>
      <c r="W3320" s="130" t="str">
        <f t="shared" si="61"/>
        <v>1w</v>
      </c>
      <c r="X3320" s="128">
        <f>_xll.qlCalendarAdvance(Calendar,X3319,W3320,"f",FALSE)</f>
        <v>62429</v>
      </c>
      <c r="Y3320" s="131">
        <f>_xll.qlCalendarAdvance(Calendar,X3320,NDays&amp;"D")</f>
        <v>62431</v>
      </c>
      <c r="Z3320" s="132">
        <v>1.1419717593277312E-2</v>
      </c>
      <c r="AA3320" s="129">
        <v>1.1386543937010885E-2</v>
      </c>
    </row>
    <row r="3321" spans="19:27" x14ac:dyDescent="0.2">
      <c r="S3321" s="1"/>
      <c r="T3321" s="109"/>
      <c r="W3321" s="130" t="str">
        <f t="shared" si="61"/>
        <v>1w</v>
      </c>
      <c r="X3321" s="128">
        <f>_xll.qlCalendarAdvance(Calendar,X3320,W3321,"f",FALSE)</f>
        <v>62436</v>
      </c>
      <c r="Y3321" s="131">
        <f>_xll.qlCalendarAdvance(Calendar,X3321,NDays&amp;"D")</f>
        <v>62438</v>
      </c>
      <c r="Z3321" s="132">
        <v>1.142238177074173E-2</v>
      </c>
      <c r="AA3321" s="129">
        <v>1.138927579431126E-2</v>
      </c>
    </row>
    <row r="3322" spans="19:27" x14ac:dyDescent="0.2">
      <c r="S3322" s="1"/>
      <c r="T3322" s="109"/>
      <c r="W3322" s="130" t="str">
        <f t="shared" si="61"/>
        <v>1w</v>
      </c>
      <c r="X3322" s="128">
        <f>_xll.qlCalendarAdvance(Calendar,X3321,W3322,"f",FALSE)</f>
        <v>62443</v>
      </c>
      <c r="Y3322" s="131">
        <f>_xll.qlCalendarAdvance(Calendar,X3322,NDays&amp;"D")</f>
        <v>62445</v>
      </c>
      <c r="Z3322" s="132">
        <v>1.1425034090349229E-2</v>
      </c>
      <c r="AA3322" s="129">
        <v>1.139199582523176E-2</v>
      </c>
    </row>
    <row r="3323" spans="19:27" x14ac:dyDescent="0.2">
      <c r="S3323" s="1"/>
      <c r="T3323" s="109"/>
      <c r="W3323" s="130" t="str">
        <f t="shared" si="61"/>
        <v>1w</v>
      </c>
      <c r="X3323" s="128">
        <f>_xll.qlCalendarAdvance(Calendar,X3322,W3323,"f",FALSE)</f>
        <v>62450</v>
      </c>
      <c r="Y3323" s="131">
        <f>_xll.qlCalendarAdvance(Calendar,X3323,NDays&amp;"D")</f>
        <v>62456</v>
      </c>
      <c r="Z3323" s="132">
        <v>1.1429545165141691E-2</v>
      </c>
      <c r="AA3323" s="129">
        <v>1.1396246266031085E-2</v>
      </c>
    </row>
    <row r="3324" spans="19:27" x14ac:dyDescent="0.2">
      <c r="S3324" s="1"/>
      <c r="T3324" s="109"/>
      <c r="W3324" s="130" t="str">
        <f t="shared" si="61"/>
        <v>1w</v>
      </c>
      <c r="X3324" s="128">
        <f>_xll.qlCalendarAdvance(Calendar,X3323,W3324,"f",FALSE)</f>
        <v>62457</v>
      </c>
      <c r="Y3324" s="131">
        <f>_xll.qlCalendarAdvance(Calendar,X3324,NDays&amp;"D")</f>
        <v>62460</v>
      </c>
      <c r="Z3324" s="132">
        <v>1.1430677702742642E-2</v>
      </c>
      <c r="AA3324" s="129">
        <v>1.1398529437816052E-2</v>
      </c>
    </row>
    <row r="3325" spans="19:27" x14ac:dyDescent="0.2">
      <c r="S3325" s="1"/>
      <c r="T3325" s="109"/>
      <c r="W3325" s="130" t="str">
        <f t="shared" si="61"/>
        <v>1w</v>
      </c>
      <c r="X3325" s="128">
        <f>_xll.qlCalendarAdvance(Calendar,X3324,W3325,"f",FALSE)</f>
        <v>62464</v>
      </c>
      <c r="Y3325" s="131">
        <f>_xll.qlCalendarAdvance(Calendar,X3325,NDays&amp;"D")</f>
        <v>62466</v>
      </c>
      <c r="Z3325" s="132">
        <v>1.143291990180284E-2</v>
      </c>
      <c r="AA3325" s="129">
        <v>1.1400084960992984E-2</v>
      </c>
    </row>
    <row r="3326" spans="19:27" x14ac:dyDescent="0.2">
      <c r="S3326" s="1"/>
      <c r="T3326" s="109"/>
      <c r="W3326" s="130" t="str">
        <f t="shared" si="61"/>
        <v>1w</v>
      </c>
      <c r="X3326" s="128">
        <f>_xll.qlCalendarAdvance(Calendar,X3325,W3326,"f",FALSE)</f>
        <v>62471</v>
      </c>
      <c r="Y3326" s="131">
        <f>_xll.qlCalendarAdvance(Calendar,X3326,NDays&amp;"D")</f>
        <v>62473</v>
      </c>
      <c r="Z3326" s="132">
        <v>1.1435524789753515E-2</v>
      </c>
      <c r="AA3326" s="129">
        <v>1.1402757687273279E-2</v>
      </c>
    </row>
    <row r="3327" spans="19:27" x14ac:dyDescent="0.2">
      <c r="S3327" s="1"/>
      <c r="T3327" s="109"/>
      <c r="W3327" s="130" t="str">
        <f t="shared" si="61"/>
        <v>1w</v>
      </c>
      <c r="X3327" s="128">
        <f>_xll.qlCalendarAdvance(Calendar,X3326,W3327,"f",FALSE)</f>
        <v>62478</v>
      </c>
      <c r="Y3327" s="131">
        <f>_xll.qlCalendarAdvance(Calendar,X3327,NDays&amp;"D")</f>
        <v>62480</v>
      </c>
      <c r="Z3327" s="132">
        <v>1.1438117819731808E-2</v>
      </c>
      <c r="AA3327" s="129">
        <v>1.1405418587333571E-2</v>
      </c>
    </row>
    <row r="3328" spans="19:27" x14ac:dyDescent="0.2">
      <c r="S3328" s="1"/>
      <c r="T3328" s="109"/>
      <c r="W3328" s="130" t="str">
        <f t="shared" si="61"/>
        <v>1w</v>
      </c>
      <c r="X3328" s="128">
        <f>_xll.qlCalendarAdvance(Calendar,X3327,W3328,"f",FALSE)</f>
        <v>62485</v>
      </c>
      <c r="Y3328" s="131">
        <f>_xll.qlCalendarAdvance(Calendar,X3328,NDays&amp;"D")</f>
        <v>62487</v>
      </c>
      <c r="Z3328" s="132">
        <v>1.144069899171285E-2</v>
      </c>
      <c r="AA3328" s="129">
        <v>1.1408067661093924E-2</v>
      </c>
    </row>
    <row r="3329" spans="19:27" x14ac:dyDescent="0.2">
      <c r="S3329" s="1"/>
      <c r="T3329" s="109"/>
      <c r="W3329" s="130" t="str">
        <f t="shared" si="61"/>
        <v>1w</v>
      </c>
      <c r="X3329" s="128">
        <f>_xll.qlCalendarAdvance(Calendar,X3328,W3329,"f",FALSE)</f>
        <v>62492</v>
      </c>
      <c r="Y3329" s="131">
        <f>_xll.qlCalendarAdvance(Calendar,X3329,NDays&amp;"D")</f>
        <v>62494</v>
      </c>
      <c r="Z3329" s="132">
        <v>1.1442905289776885E-2</v>
      </c>
      <c r="AA3329" s="129">
        <v>1.1410704908714209E-2</v>
      </c>
    </row>
    <row r="3330" spans="19:27" x14ac:dyDescent="0.2">
      <c r="S3330" s="1"/>
      <c r="T3330" s="109"/>
      <c r="W3330" s="130" t="str">
        <f t="shared" si="61"/>
        <v>1w</v>
      </c>
      <c r="X3330" s="128">
        <f>_xll.qlCalendarAdvance(Calendar,X3329,W3330,"f",FALSE)</f>
        <v>62499</v>
      </c>
      <c r="Y3330" s="131">
        <f>_xll.qlCalendarAdvance(Calendar,X3330,NDays&amp;"D")</f>
        <v>62501</v>
      </c>
      <c r="Z3330" s="132">
        <v>1.1445463511493146E-2</v>
      </c>
      <c r="AA3330" s="129">
        <v>1.1413330330034555E-2</v>
      </c>
    </row>
    <row r="3331" spans="19:27" x14ac:dyDescent="0.2">
      <c r="S3331" s="1"/>
      <c r="T3331" s="109"/>
      <c r="W3331" s="130" t="str">
        <f t="shared" si="61"/>
        <v>1w</v>
      </c>
      <c r="X3331" s="128">
        <f>_xll.qlCalendarAdvance(Calendar,X3330,W3331,"f",FALSE)</f>
        <v>62506</v>
      </c>
      <c r="Y3331" s="131">
        <f>_xll.qlCalendarAdvance(Calendar,X3331,NDays&amp;"D")</f>
        <v>62508</v>
      </c>
      <c r="Z3331" s="132">
        <v>1.1448009875506275E-2</v>
      </c>
      <c r="AA3331" s="129">
        <v>1.1415943925294769E-2</v>
      </c>
    </row>
    <row r="3332" spans="19:27" x14ac:dyDescent="0.2">
      <c r="S3332" s="1"/>
      <c r="T3332" s="109"/>
      <c r="W3332" s="130" t="str">
        <f t="shared" si="61"/>
        <v>1w</v>
      </c>
      <c r="X3332" s="128">
        <f>_xll.qlCalendarAdvance(Calendar,X3331,W3332,"f",FALSE)</f>
        <v>62513</v>
      </c>
      <c r="Y3332" s="131">
        <f>_xll.qlCalendarAdvance(Calendar,X3332,NDays&amp;"D")</f>
        <v>62515</v>
      </c>
      <c r="Z3332" s="132">
        <v>1.1450544381792917E-2</v>
      </c>
      <c r="AA3332" s="129">
        <v>1.1418545694255045E-2</v>
      </c>
    </row>
    <row r="3333" spans="19:27" x14ac:dyDescent="0.2">
      <c r="S3333" s="1"/>
      <c r="T3333" s="109"/>
      <c r="W3333" s="130" t="str">
        <f t="shared" si="61"/>
        <v>1w</v>
      </c>
      <c r="X3333" s="128">
        <f>_xll.qlCalendarAdvance(Calendar,X3332,W3333,"f",FALSE)</f>
        <v>62520</v>
      </c>
      <c r="Y3333" s="131">
        <f>_xll.qlCalendarAdvance(Calendar,X3333,NDays&amp;"D")</f>
        <v>62522</v>
      </c>
      <c r="Z3333" s="132">
        <v>1.1454146685481364E-2</v>
      </c>
      <c r="AA3333" s="129">
        <v>1.1421135637155189E-2</v>
      </c>
    </row>
    <row r="3334" spans="19:27" x14ac:dyDescent="0.2">
      <c r="S3334" s="1"/>
      <c r="T3334" s="109"/>
      <c r="W3334" s="130" t="str">
        <f t="shared" si="61"/>
        <v>1w</v>
      </c>
      <c r="X3334" s="128">
        <f>_xll.qlCalendarAdvance(Calendar,X3333,W3334,"f",FALSE)</f>
        <v>62527</v>
      </c>
      <c r="Y3334" s="131">
        <f>_xll.qlCalendarAdvance(Calendar,X3334,NDays&amp;"D")</f>
        <v>62529</v>
      </c>
      <c r="Z3334" s="132">
        <v>1.1456655174395343E-2</v>
      </c>
      <c r="AA3334" s="129">
        <v>1.1423713753595521E-2</v>
      </c>
    </row>
    <row r="3335" spans="19:27" x14ac:dyDescent="0.2">
      <c r="S3335" s="1"/>
      <c r="T3335" s="109"/>
      <c r="W3335" s="130" t="str">
        <f t="shared" si="61"/>
        <v>1w</v>
      </c>
      <c r="X3335" s="128">
        <f>_xll.qlCalendarAdvance(Calendar,X3334,W3335,"f",FALSE)</f>
        <v>62534</v>
      </c>
      <c r="Y3335" s="131">
        <f>_xll.qlCalendarAdvance(Calendar,X3335,NDays&amp;"D")</f>
        <v>62536</v>
      </c>
      <c r="Z3335" s="132">
        <v>1.1459151804432834E-2</v>
      </c>
      <c r="AA3335" s="129">
        <v>1.1426280043975723E-2</v>
      </c>
    </row>
    <row r="3336" spans="19:27" x14ac:dyDescent="0.2">
      <c r="S3336" s="1"/>
      <c r="T3336" s="109"/>
      <c r="W3336" s="130" t="str">
        <f t="shared" si="61"/>
        <v>1w</v>
      </c>
      <c r="X3336" s="128">
        <f>_xll.qlCalendarAdvance(Calendar,X3335,W3336,"f",FALSE)</f>
        <v>62541</v>
      </c>
      <c r="Y3336" s="131">
        <f>_xll.qlCalendarAdvance(Calendar,X3336,NDays&amp;"D")</f>
        <v>62543</v>
      </c>
      <c r="Z3336" s="132">
        <v>1.146163657557385E-2</v>
      </c>
      <c r="AA3336" s="129">
        <v>1.1428834508215857E-2</v>
      </c>
    </row>
    <row r="3337" spans="19:27" x14ac:dyDescent="0.2">
      <c r="S3337" s="1"/>
      <c r="T3337" s="109"/>
      <c r="W3337" s="130" t="str">
        <f t="shared" si="61"/>
        <v>1w</v>
      </c>
      <c r="X3337" s="128">
        <f>_xll.qlCalendarAdvance(Calendar,X3336,W3337,"f",FALSE)</f>
        <v>62548</v>
      </c>
      <c r="Y3337" s="131">
        <f>_xll.qlCalendarAdvance(Calendar,X3337,NDays&amp;"D")</f>
        <v>62550</v>
      </c>
      <c r="Z3337" s="132">
        <v>1.1463752739759882E-2</v>
      </c>
      <c r="AA3337" s="129">
        <v>1.1431377146156052E-2</v>
      </c>
    </row>
    <row r="3338" spans="19:27" x14ac:dyDescent="0.2">
      <c r="S3338" s="1"/>
      <c r="T3338" s="109"/>
      <c r="W3338" s="130" t="str">
        <f t="shared" si="61"/>
        <v>1w</v>
      </c>
      <c r="X3338" s="128">
        <f>_xll.qlCalendarAdvance(Calendar,X3337,W3338,"f",FALSE)</f>
        <v>62555</v>
      </c>
      <c r="Y3338" s="131">
        <f>_xll.qlCalendarAdvance(Calendar,X3338,NDays&amp;"D")</f>
        <v>62557</v>
      </c>
      <c r="Z3338" s="132">
        <v>1.1466214561816861E-2</v>
      </c>
      <c r="AA3338" s="129">
        <v>1.1433907957876244E-2</v>
      </c>
    </row>
    <row r="3339" spans="19:27" x14ac:dyDescent="0.2">
      <c r="S3339" s="1"/>
      <c r="T3339" s="109"/>
      <c r="W3339" s="130" t="str">
        <f t="shared" si="61"/>
        <v>1w</v>
      </c>
      <c r="X3339" s="128">
        <f>_xll.qlCalendarAdvance(Calendar,X3338,W3339,"f",FALSE)</f>
        <v>62562</v>
      </c>
      <c r="Y3339" s="131">
        <f>_xll.qlCalendarAdvance(Calendar,X3339,NDays&amp;"D")</f>
        <v>62564</v>
      </c>
      <c r="Z3339" s="132">
        <v>1.1468664525268315E-2</v>
      </c>
      <c r="AA3339" s="129">
        <v>1.1437870975806064E-2</v>
      </c>
    </row>
    <row r="3340" spans="19:27" x14ac:dyDescent="0.2">
      <c r="S3340" s="1"/>
      <c r="T3340" s="109"/>
      <c r="W3340" s="130" t="str">
        <f t="shared" si="61"/>
        <v>1w</v>
      </c>
      <c r="X3340" s="128">
        <f>_xll.qlCalendarAdvance(Calendar,X3339,W3340,"f",FALSE)</f>
        <v>62569</v>
      </c>
      <c r="Y3340" s="131">
        <f>_xll.qlCalendarAdvance(Calendar,X3340,NDays&amp;"D")</f>
        <v>62571</v>
      </c>
      <c r="Z3340" s="132">
        <v>1.1471102630096673E-2</v>
      </c>
      <c r="AA3340" s="129">
        <v>1.1438934102896425E-2</v>
      </c>
    </row>
    <row r="3341" spans="19:27" x14ac:dyDescent="0.2">
      <c r="S3341" s="1"/>
      <c r="T3341" s="109"/>
      <c r="W3341" s="130" t="str">
        <f t="shared" si="61"/>
        <v>1w</v>
      </c>
      <c r="X3341" s="128">
        <f>_xll.qlCalendarAdvance(Calendar,X3340,W3341,"f",FALSE)</f>
        <v>62576</v>
      </c>
      <c r="Y3341" s="131">
        <f>_xll.qlCalendarAdvance(Calendar,X3341,NDays&amp;"D")</f>
        <v>62578</v>
      </c>
      <c r="Z3341" s="132">
        <v>1.147388254701596E-2</v>
      </c>
      <c r="AA3341" s="129">
        <v>1.1442507966061832E-2</v>
      </c>
    </row>
    <row r="3342" spans="19:27" x14ac:dyDescent="0.2">
      <c r="S3342" s="1"/>
      <c r="T3342" s="109"/>
      <c r="W3342" s="130" t="str">
        <f t="shared" si="61"/>
        <v>1w</v>
      </c>
      <c r="X3342" s="128">
        <f>_xll.qlCalendarAdvance(Calendar,X3341,W3342,"f",FALSE)</f>
        <v>62583</v>
      </c>
      <c r="Y3342" s="131">
        <f>_xll.qlCalendarAdvance(Calendar,X3342,NDays&amp;"D")</f>
        <v>62585</v>
      </c>
      <c r="Z3342" s="132">
        <v>1.1476296164297651E-2</v>
      </c>
      <c r="AA3342" s="129">
        <v>1.1443912942876722E-2</v>
      </c>
    </row>
    <row r="3343" spans="19:27" x14ac:dyDescent="0.2">
      <c r="S3343" s="1"/>
      <c r="T3343" s="109"/>
      <c r="W3343" s="130" t="str">
        <f t="shared" si="61"/>
        <v>1w</v>
      </c>
      <c r="X3343" s="128">
        <f>_xll.qlCalendarAdvance(Calendar,X3342,W3343,"f",FALSE)</f>
        <v>62590</v>
      </c>
      <c r="Y3343" s="131">
        <f>_xll.qlCalendarAdvance(Calendar,X3343,NDays&amp;"D")</f>
        <v>62592</v>
      </c>
      <c r="Z3343" s="132">
        <v>1.1478697922525602E-2</v>
      </c>
      <c r="AA3343" s="129">
        <v>1.1446384623576833E-2</v>
      </c>
    </row>
    <row r="3344" spans="19:27" x14ac:dyDescent="0.2">
      <c r="S3344" s="1"/>
      <c r="T3344" s="109"/>
      <c r="W3344" s="130" t="str">
        <f t="shared" si="61"/>
        <v>1w</v>
      </c>
      <c r="X3344" s="128">
        <f>_xll.qlCalendarAdvance(Calendar,X3343,W3344,"f",FALSE)</f>
        <v>62597</v>
      </c>
      <c r="Y3344" s="131">
        <f>_xll.qlCalendarAdvance(Calendar,X3344,NDays&amp;"D")</f>
        <v>62599</v>
      </c>
      <c r="Z3344" s="132">
        <v>1.1481087821677224E-2</v>
      </c>
      <c r="AA3344" s="129">
        <v>1.1448844478136877E-2</v>
      </c>
    </row>
    <row r="3345" spans="19:27" x14ac:dyDescent="0.2">
      <c r="S3345" s="1"/>
      <c r="T3345" s="109"/>
      <c r="W3345" s="130" t="str">
        <f t="shared" si="61"/>
        <v>1w</v>
      </c>
      <c r="X3345" s="128">
        <f>_xll.qlCalendarAdvance(Calendar,X3344,W3345,"f",FALSE)</f>
        <v>62604</v>
      </c>
      <c r="Y3345" s="131">
        <f>_xll.qlCalendarAdvance(Calendar,X3345,NDays&amp;"D")</f>
        <v>62606</v>
      </c>
      <c r="Z3345" s="132">
        <v>1.14834658617334E-2</v>
      </c>
      <c r="AA3345" s="129">
        <v>1.1451292506556854E-2</v>
      </c>
    </row>
    <row r="3346" spans="19:27" x14ac:dyDescent="0.2">
      <c r="S3346" s="1"/>
      <c r="T3346" s="109"/>
      <c r="W3346" s="130" t="str">
        <f t="shared" si="61"/>
        <v>1w</v>
      </c>
      <c r="X3346" s="128">
        <f>_xll.qlCalendarAdvance(Calendar,X3345,W3346,"f",FALSE)</f>
        <v>62611</v>
      </c>
      <c r="Y3346" s="131">
        <f>_xll.qlCalendarAdvance(Calendar,X3346,NDays&amp;"D")</f>
        <v>62613</v>
      </c>
      <c r="Z3346" s="132">
        <v>1.1485832042669803E-2</v>
      </c>
      <c r="AA3346" s="129">
        <v>1.1453728708596955E-2</v>
      </c>
    </row>
    <row r="3347" spans="19:27" x14ac:dyDescent="0.2">
      <c r="S3347" s="1"/>
      <c r="T3347" s="109"/>
      <c r="W3347" s="130" t="str">
        <f t="shared" si="61"/>
        <v>1w</v>
      </c>
      <c r="X3347" s="128">
        <f>_xll.qlCalendarAdvance(Calendar,X3346,W3347,"f",FALSE)</f>
        <v>62618</v>
      </c>
      <c r="Y3347" s="131">
        <f>_xll.qlCalendarAdvance(Calendar,X3347,NDays&amp;"D")</f>
        <v>62620</v>
      </c>
      <c r="Z3347" s="132">
        <v>1.1488186364464713E-2</v>
      </c>
      <c r="AA3347" s="129">
        <v>1.1456153084417053E-2</v>
      </c>
    </row>
    <row r="3348" spans="19:27" x14ac:dyDescent="0.2">
      <c r="S3348" s="1"/>
      <c r="T3348" s="109"/>
      <c r="W3348" s="130" t="str">
        <f t="shared" si="61"/>
        <v>1w</v>
      </c>
      <c r="X3348" s="128">
        <f>_xll.qlCalendarAdvance(Calendar,X3347,W3348,"f",FALSE)</f>
        <v>62625</v>
      </c>
      <c r="Y3348" s="131">
        <f>_xll.qlCalendarAdvance(Calendar,X3348,NDays&amp;"D")</f>
        <v>62627</v>
      </c>
      <c r="Z3348" s="132">
        <v>1.1490528827100749E-2</v>
      </c>
      <c r="AA3348" s="129">
        <v>1.1458565634097084E-2</v>
      </c>
    </row>
    <row r="3349" spans="19:27" x14ac:dyDescent="0.2">
      <c r="S3349" s="1"/>
      <c r="T3349" s="109"/>
      <c r="W3349" s="130" t="str">
        <f t="shared" ref="W3349:W3412" si="62">W3348</f>
        <v>1w</v>
      </c>
      <c r="X3349" s="128">
        <f>_xll.qlCalendarAdvance(Calendar,X3348,W3349,"f",FALSE)</f>
        <v>62632</v>
      </c>
      <c r="Y3349" s="131">
        <f>_xll.qlCalendarAdvance(Calendar,X3349,NDays&amp;"D")</f>
        <v>62634</v>
      </c>
      <c r="Z3349" s="132">
        <v>1.1492859430551847E-2</v>
      </c>
      <c r="AA3349" s="129">
        <v>1.1460966357716984E-2</v>
      </c>
    </row>
    <row r="3350" spans="19:27" x14ac:dyDescent="0.2">
      <c r="S3350" s="1"/>
      <c r="T3350" s="109"/>
      <c r="W3350" s="130" t="str">
        <f t="shared" si="62"/>
        <v>1w</v>
      </c>
      <c r="X3350" s="128">
        <f>_xll.qlCalendarAdvance(Calendar,X3349,W3350,"f",FALSE)</f>
        <v>62639</v>
      </c>
      <c r="Y3350" s="131">
        <f>_xll.qlCalendarAdvance(Calendar,X3350,NDays&amp;"D")</f>
        <v>62641</v>
      </c>
      <c r="Z3350" s="132">
        <v>1.1495178174798891E-2</v>
      </c>
      <c r="AA3350" s="129">
        <v>1.1463355254957008E-2</v>
      </c>
    </row>
    <row r="3351" spans="19:27" x14ac:dyDescent="0.2">
      <c r="S3351" s="1"/>
      <c r="T3351" s="109"/>
      <c r="W3351" s="130" t="str">
        <f t="shared" si="62"/>
        <v>1w</v>
      </c>
      <c r="X3351" s="128">
        <f>_xll.qlCalendarAdvance(Calendar,X3350,W3351,"f",FALSE)</f>
        <v>62646</v>
      </c>
      <c r="Y3351" s="131">
        <f>_xll.qlCalendarAdvance(Calendar,X3351,NDays&amp;"D")</f>
        <v>62648</v>
      </c>
      <c r="Z3351" s="132">
        <v>1.1497485059821897E-2</v>
      </c>
      <c r="AA3351" s="129">
        <v>1.1465732325897093E-2</v>
      </c>
    </row>
    <row r="3352" spans="19:27" x14ac:dyDescent="0.2">
      <c r="S3352" s="1"/>
      <c r="T3352" s="109"/>
      <c r="W3352" s="130" t="str">
        <f t="shared" si="62"/>
        <v>1w</v>
      </c>
      <c r="X3352" s="128">
        <f>_xll.qlCalendarAdvance(Calendar,X3351,W3352,"f",FALSE)</f>
        <v>62653</v>
      </c>
      <c r="Y3352" s="131">
        <f>_xll.qlCalendarAdvance(Calendar,X3352,NDays&amp;"D")</f>
        <v>62655</v>
      </c>
      <c r="Z3352" s="132">
        <v>1.1499780085600014E-2</v>
      </c>
      <c r="AA3352" s="129">
        <v>1.1468097570856983E-2</v>
      </c>
    </row>
    <row r="3353" spans="19:27" x14ac:dyDescent="0.2">
      <c r="S3353" s="1"/>
      <c r="T3353" s="109"/>
      <c r="W3353" s="130" t="str">
        <f t="shared" si="62"/>
        <v>1w</v>
      </c>
      <c r="X3353" s="128">
        <f>_xll.qlCalendarAdvance(Calendar,X3352,W3353,"f",FALSE)</f>
        <v>62660</v>
      </c>
      <c r="Y3353" s="131">
        <f>_xll.qlCalendarAdvance(Calendar,X3353,NDays&amp;"D")</f>
        <v>62662</v>
      </c>
      <c r="Z3353" s="132">
        <v>1.1502063252109781E-2</v>
      </c>
      <c r="AA3353" s="129">
        <v>1.1470450989436998E-2</v>
      </c>
    </row>
    <row r="3354" spans="19:27" x14ac:dyDescent="0.2">
      <c r="S3354" s="1"/>
      <c r="T3354" s="109"/>
      <c r="W3354" s="130" t="str">
        <f t="shared" si="62"/>
        <v>1w</v>
      </c>
      <c r="X3354" s="128">
        <f>_xll.qlCalendarAdvance(Calendar,X3353,W3354,"f",FALSE)</f>
        <v>62667</v>
      </c>
      <c r="Y3354" s="131">
        <f>_xll.qlCalendarAdvance(Calendar,X3354,NDays&amp;"D")</f>
        <v>62669</v>
      </c>
      <c r="Z3354" s="132">
        <v>1.1504334559333819E-2</v>
      </c>
      <c r="AA3354" s="129">
        <v>1.1472792581876945E-2</v>
      </c>
    </row>
    <row r="3355" spans="19:27" x14ac:dyDescent="0.2">
      <c r="S3355" s="1"/>
      <c r="T3355" s="109"/>
      <c r="W3355" s="130" t="str">
        <f t="shared" si="62"/>
        <v>1w</v>
      </c>
      <c r="X3355" s="128">
        <f>_xll.qlCalendarAdvance(Calendar,X3354,W3355,"f",FALSE)</f>
        <v>62674</v>
      </c>
      <c r="Y3355" s="131">
        <f>_xll.qlCalendarAdvance(Calendar,X3355,NDays&amp;"D")</f>
        <v>62676</v>
      </c>
      <c r="Z3355" s="132">
        <v>1.150659400724954E-2</v>
      </c>
      <c r="AA3355" s="129">
        <v>1.1475122348096889E-2</v>
      </c>
    </row>
    <row r="3356" spans="19:27" x14ac:dyDescent="0.2">
      <c r="S3356" s="1"/>
      <c r="T3356" s="109"/>
      <c r="W3356" s="130" t="str">
        <f t="shared" si="62"/>
        <v>1w</v>
      </c>
      <c r="X3356" s="128">
        <f>_xll.qlCalendarAdvance(Calendar,X3355,W3356,"f",FALSE)</f>
        <v>62681</v>
      </c>
      <c r="Y3356" s="131">
        <f>_xll.qlCalendarAdvance(Calendar,X3356,NDays&amp;"D")</f>
        <v>62683</v>
      </c>
      <c r="Z3356" s="132">
        <v>1.1508841595836091E-2</v>
      </c>
      <c r="AA3356" s="129">
        <v>1.1477440288176766E-2</v>
      </c>
    </row>
    <row r="3357" spans="19:27" x14ac:dyDescent="0.2">
      <c r="S3357" s="1"/>
      <c r="T3357" s="109"/>
      <c r="W3357" s="130" t="str">
        <f t="shared" si="62"/>
        <v>1w</v>
      </c>
      <c r="X3357" s="128">
        <f>_xll.qlCalendarAdvance(Calendar,X3356,W3357,"f",FALSE)</f>
        <v>62688</v>
      </c>
      <c r="Y3357" s="131">
        <f>_xll.qlCalendarAdvance(Calendar,X3357,NDays&amp;"D")</f>
        <v>62690</v>
      </c>
      <c r="Z3357" s="132">
        <v>1.1511077325074354E-2</v>
      </c>
      <c r="AA3357" s="129">
        <v>1.1479746401876767E-2</v>
      </c>
    </row>
    <row r="3358" spans="19:27" x14ac:dyDescent="0.2">
      <c r="S3358" s="1"/>
      <c r="T3358" s="109"/>
      <c r="W3358" s="130" t="str">
        <f t="shared" si="62"/>
        <v>1w</v>
      </c>
      <c r="X3358" s="128">
        <f>_xll.qlCalendarAdvance(Calendar,X3357,W3358,"f",FALSE)</f>
        <v>62695</v>
      </c>
      <c r="Y3358" s="131">
        <f>_xll.qlCalendarAdvance(Calendar,X3358,NDays&amp;"D")</f>
        <v>62697</v>
      </c>
      <c r="Z3358" s="132">
        <v>1.1513301194945218E-2</v>
      </c>
      <c r="AA3358" s="129">
        <v>1.1482040689676509E-2</v>
      </c>
    </row>
    <row r="3359" spans="19:27" x14ac:dyDescent="0.2">
      <c r="S3359" s="1"/>
      <c r="T3359" s="109"/>
      <c r="W3359" s="130" t="str">
        <f t="shared" si="62"/>
        <v>1w</v>
      </c>
      <c r="X3359" s="128">
        <f>_xll.qlCalendarAdvance(Calendar,X3358,W3359,"f",FALSE)</f>
        <v>62702</v>
      </c>
      <c r="Y3359" s="131">
        <f>_xll.qlCalendarAdvance(Calendar,X3359,NDays&amp;"D")</f>
        <v>62704</v>
      </c>
      <c r="Z3359" s="132">
        <v>1.1515173454520333E-2</v>
      </c>
      <c r="AA3359" s="129">
        <v>1.1484323150936504E-2</v>
      </c>
    </row>
    <row r="3360" spans="19:27" x14ac:dyDescent="0.2">
      <c r="S3360" s="1"/>
      <c r="T3360" s="109"/>
      <c r="W3360" s="130" t="str">
        <f t="shared" si="62"/>
        <v>1w</v>
      </c>
      <c r="X3360" s="128">
        <f>_xll.qlCalendarAdvance(Calendar,X3359,W3360,"f",FALSE)</f>
        <v>62709</v>
      </c>
      <c r="Y3360" s="131">
        <f>_xll.qlCalendarAdvance(Calendar,X3360,NDays&amp;"D")</f>
        <v>62711</v>
      </c>
      <c r="Z3360" s="132">
        <v>1.1517374382388422E-2</v>
      </c>
      <c r="AA3360" s="129">
        <v>1.1486593786216304E-2</v>
      </c>
    </row>
    <row r="3361" spans="19:27" x14ac:dyDescent="0.2">
      <c r="S3361" s="1"/>
      <c r="T3361" s="109"/>
      <c r="W3361" s="130" t="str">
        <f t="shared" si="62"/>
        <v>1w</v>
      </c>
      <c r="X3361" s="128">
        <f>_xll.qlCalendarAdvance(Calendar,X3360,W3361,"f",FALSE)</f>
        <v>62716</v>
      </c>
      <c r="Y3361" s="131">
        <f>_xll.qlCalendarAdvance(Calendar,X3361,NDays&amp;"D")</f>
        <v>62718</v>
      </c>
      <c r="Z3361" s="132">
        <v>1.1519563451193328E-2</v>
      </c>
      <c r="AA3361" s="129">
        <v>1.1488852595196164E-2</v>
      </c>
    </row>
    <row r="3362" spans="19:27" x14ac:dyDescent="0.2">
      <c r="S3362" s="1"/>
      <c r="T3362" s="109"/>
      <c r="W3362" s="130" t="str">
        <f t="shared" si="62"/>
        <v>1w</v>
      </c>
      <c r="X3362" s="128">
        <f>_xll.qlCalendarAdvance(Calendar,X3361,W3362,"f",FALSE)</f>
        <v>62723</v>
      </c>
      <c r="Y3362" s="131">
        <f>_xll.qlCalendarAdvance(Calendar,X3362,NDays&amp;"D")</f>
        <v>62725</v>
      </c>
      <c r="Z3362" s="132">
        <v>1.1521740660916605E-2</v>
      </c>
      <c r="AA3362" s="129">
        <v>1.1491099577876085E-2</v>
      </c>
    </row>
    <row r="3363" spans="19:27" x14ac:dyDescent="0.2">
      <c r="S3363" s="1"/>
      <c r="T3363" s="109"/>
      <c r="W3363" s="130" t="str">
        <f t="shared" si="62"/>
        <v>1w</v>
      </c>
      <c r="X3363" s="128">
        <f>_xll.qlCalendarAdvance(Calendar,X3362,W3363,"f",FALSE)</f>
        <v>62730</v>
      </c>
      <c r="Y3363" s="131">
        <f>_xll.qlCalendarAdvance(Calendar,X3363,NDays&amp;"D")</f>
        <v>62732</v>
      </c>
      <c r="Z3363" s="132">
        <v>1.1525252175493418E-2</v>
      </c>
      <c r="AA3363" s="129">
        <v>1.1493334734336003E-2</v>
      </c>
    </row>
    <row r="3364" spans="19:27" x14ac:dyDescent="0.2">
      <c r="S3364" s="1"/>
      <c r="T3364" s="109"/>
      <c r="W3364" s="130" t="str">
        <f t="shared" si="62"/>
        <v>1w</v>
      </c>
      <c r="X3364" s="128">
        <f>_xll.qlCalendarAdvance(Calendar,X3363,W3364,"f",FALSE)</f>
        <v>62737</v>
      </c>
      <c r="Y3364" s="131">
        <f>_xll.qlCalendarAdvance(Calendar,X3364,NDays&amp;"D")</f>
        <v>62739</v>
      </c>
      <c r="Z3364" s="132">
        <v>1.152639536628808E-2</v>
      </c>
      <c r="AA3364" s="129">
        <v>1.1495558064735789E-2</v>
      </c>
    </row>
    <row r="3365" spans="19:27" x14ac:dyDescent="0.2">
      <c r="S3365" s="1"/>
      <c r="T3365" s="109"/>
      <c r="W3365" s="130" t="str">
        <f t="shared" si="62"/>
        <v>1w</v>
      </c>
      <c r="X3365" s="128">
        <f>_xll.qlCalendarAdvance(Calendar,X3364,W3365,"f",FALSE)</f>
        <v>62744</v>
      </c>
      <c r="Y3365" s="131">
        <f>_xll.qlCalendarAdvance(Calendar,X3365,NDays&amp;"D")</f>
        <v>62746</v>
      </c>
      <c r="Z3365" s="132">
        <v>1.1528536220016285E-2</v>
      </c>
      <c r="AA3365" s="129">
        <v>1.1497769568915572E-2</v>
      </c>
    </row>
    <row r="3366" spans="19:27" x14ac:dyDescent="0.2">
      <c r="S3366" s="1"/>
      <c r="T3366" s="109"/>
      <c r="W3366" s="130" t="str">
        <f t="shared" si="62"/>
        <v>1w</v>
      </c>
      <c r="X3366" s="128">
        <f>_xll.qlCalendarAdvance(Calendar,X3365,W3366,"f",FALSE)</f>
        <v>62751</v>
      </c>
      <c r="Y3366" s="131">
        <f>_xll.qlCalendarAdvance(Calendar,X3366,NDays&amp;"D")</f>
        <v>62753</v>
      </c>
      <c r="Z3366" s="132">
        <v>1.1530665214215483E-2</v>
      </c>
      <c r="AA3366" s="129">
        <v>1.1499969246795416E-2</v>
      </c>
    </row>
    <row r="3367" spans="19:27" x14ac:dyDescent="0.2">
      <c r="S3367" s="1"/>
      <c r="T3367" s="109"/>
      <c r="W3367" s="130" t="str">
        <f t="shared" si="62"/>
        <v>1w</v>
      </c>
      <c r="X3367" s="128">
        <f>_xll.qlCalendarAdvance(Calendar,X3366,W3367,"f",FALSE)</f>
        <v>62758</v>
      </c>
      <c r="Y3367" s="131">
        <f>_xll.qlCalendarAdvance(Calendar,X3367,NDays&amp;"D")</f>
        <v>62760</v>
      </c>
      <c r="Z3367" s="132">
        <v>1.1532782348869159E-2</v>
      </c>
      <c r="AA3367" s="129">
        <v>1.1502157098535193E-2</v>
      </c>
    </row>
    <row r="3368" spans="19:27" x14ac:dyDescent="0.2">
      <c r="S3368" s="1"/>
      <c r="T3368" s="109"/>
      <c r="W3368" s="130" t="str">
        <f t="shared" si="62"/>
        <v>1w</v>
      </c>
      <c r="X3368" s="128">
        <f>_xll.qlCalendarAdvance(Calendar,X3367,W3368,"f",FALSE)</f>
        <v>62765</v>
      </c>
      <c r="Y3368" s="131">
        <f>_xll.qlCalendarAdvance(Calendar,X3368,NDays&amp;"D")</f>
        <v>62767</v>
      </c>
      <c r="Z3368" s="132">
        <v>1.1534887623958202E-2</v>
      </c>
      <c r="AA3368" s="129">
        <v>1.1504333124054966E-2</v>
      </c>
    </row>
    <row r="3369" spans="19:27" x14ac:dyDescent="0.2">
      <c r="S3369" s="1"/>
      <c r="T3369" s="109"/>
      <c r="W3369" s="130" t="str">
        <f t="shared" si="62"/>
        <v>1w</v>
      </c>
      <c r="X3369" s="128">
        <f>_xll.qlCalendarAdvance(Calendar,X3368,W3369,"f",FALSE)</f>
        <v>62772</v>
      </c>
      <c r="Y3369" s="131">
        <f>_xll.qlCalendarAdvance(Calendar,X3369,NDays&amp;"D")</f>
        <v>62774</v>
      </c>
      <c r="Z3369" s="132">
        <v>1.1536981039460017E-2</v>
      </c>
      <c r="AA3369" s="129">
        <v>1.15064973232748E-2</v>
      </c>
    </row>
    <row r="3370" spans="19:27" x14ac:dyDescent="0.2">
      <c r="S3370" s="1"/>
      <c r="T3370" s="109"/>
      <c r="W3370" s="130" t="str">
        <f t="shared" si="62"/>
        <v>1w</v>
      </c>
      <c r="X3370" s="128">
        <f>_xll.qlCalendarAdvance(Calendar,X3369,W3370,"f",FALSE)</f>
        <v>62779</v>
      </c>
      <c r="Y3370" s="131">
        <f>_xll.qlCalendarAdvance(Calendar,X3370,NDays&amp;"D")</f>
        <v>62781</v>
      </c>
      <c r="Z3370" s="132">
        <v>1.153906259535897E-2</v>
      </c>
      <c r="AA3370" s="129">
        <v>1.1508649696274631E-2</v>
      </c>
    </row>
    <row r="3371" spans="19:27" x14ac:dyDescent="0.2">
      <c r="S3371" s="1"/>
      <c r="T3371" s="109"/>
      <c r="W3371" s="130" t="str">
        <f t="shared" si="62"/>
        <v>1w</v>
      </c>
      <c r="X3371" s="128">
        <f>_xll.qlCalendarAdvance(Calendar,X3370,W3371,"f",FALSE)</f>
        <v>62786</v>
      </c>
      <c r="Y3371" s="131">
        <f>_xll.qlCalendarAdvance(Calendar,X3371,NDays&amp;"D")</f>
        <v>62788</v>
      </c>
      <c r="Z3371" s="132">
        <v>1.154113229163594E-2</v>
      </c>
      <c r="AA3371" s="129">
        <v>1.1510790243294267E-2</v>
      </c>
    </row>
    <row r="3372" spans="19:27" x14ac:dyDescent="0.2">
      <c r="S3372" s="1"/>
      <c r="T3372" s="109"/>
      <c r="W3372" s="130" t="str">
        <f t="shared" si="62"/>
        <v>1w</v>
      </c>
      <c r="X3372" s="128">
        <f>_xll.qlCalendarAdvance(Calendar,X3371,W3372,"f",FALSE)</f>
        <v>62793</v>
      </c>
      <c r="Y3372" s="131">
        <f>_xll.qlCalendarAdvance(Calendar,X3372,NDays&amp;"D")</f>
        <v>62795</v>
      </c>
      <c r="Z3372" s="132">
        <v>1.1542860504402107E-2</v>
      </c>
      <c r="AA3372" s="129">
        <v>1.1512918963854091E-2</v>
      </c>
    </row>
    <row r="3373" spans="19:27" x14ac:dyDescent="0.2">
      <c r="S3373" s="1"/>
      <c r="T3373" s="109"/>
      <c r="W3373" s="130" t="str">
        <f t="shared" si="62"/>
        <v>1w</v>
      </c>
      <c r="X3373" s="128">
        <f>_xll.qlCalendarAdvance(Calendar,X3372,W3373,"f",FALSE)</f>
        <v>62800</v>
      </c>
      <c r="Y3373" s="131">
        <f>_xll.qlCalendarAdvance(Calendar,X3373,NDays&amp;"D")</f>
        <v>62802</v>
      </c>
      <c r="Z3373" s="132">
        <v>1.1544907262959033E-2</v>
      </c>
      <c r="AA3373" s="129">
        <v>1.1515035858273848E-2</v>
      </c>
    </row>
    <row r="3374" spans="19:27" x14ac:dyDescent="0.2">
      <c r="S3374" s="1"/>
      <c r="T3374" s="109"/>
      <c r="W3374" s="130" t="str">
        <f t="shared" si="62"/>
        <v>1w</v>
      </c>
      <c r="X3374" s="128">
        <f>_xll.qlCalendarAdvance(Calendar,X3373,W3374,"f",FALSE)</f>
        <v>62807</v>
      </c>
      <c r="Y3374" s="131">
        <f>_xll.qlCalendarAdvance(Calendar,X3374,NDays&amp;"D")</f>
        <v>62809</v>
      </c>
      <c r="Z3374" s="132">
        <v>1.1546942162207698E-2</v>
      </c>
      <c r="AA3374" s="129">
        <v>1.1517140926473601E-2</v>
      </c>
    </row>
    <row r="3375" spans="19:27" x14ac:dyDescent="0.2">
      <c r="S3375" s="1"/>
      <c r="T3375" s="109"/>
      <c r="W3375" s="130" t="str">
        <f t="shared" si="62"/>
        <v>1w</v>
      </c>
      <c r="X3375" s="128">
        <f>_xll.qlCalendarAdvance(Calendar,X3374,W3375,"f",FALSE)</f>
        <v>62814</v>
      </c>
      <c r="Y3375" s="131">
        <f>_xll.qlCalendarAdvance(Calendar,X3375,NDays&amp;"D")</f>
        <v>62816</v>
      </c>
      <c r="Z3375" s="132">
        <v>1.154896520212702E-2</v>
      </c>
      <c r="AA3375" s="129">
        <v>1.1520233972053262E-2</v>
      </c>
    </row>
    <row r="3376" spans="19:27" x14ac:dyDescent="0.2">
      <c r="S3376" s="1"/>
      <c r="T3376" s="109"/>
      <c r="W3376" s="130" t="str">
        <f t="shared" si="62"/>
        <v>1w</v>
      </c>
      <c r="X3376" s="128">
        <f>_xll.qlCalendarAdvance(Calendar,X3375,W3376,"f",FALSE)</f>
        <v>62821</v>
      </c>
      <c r="Y3376" s="131">
        <f>_xll.qlCalendarAdvance(Calendar,X3376,NDays&amp;"D")</f>
        <v>62823</v>
      </c>
      <c r="Z3376" s="132">
        <v>1.1550976382703821E-2</v>
      </c>
      <c r="AA3376" s="129">
        <v>1.1522313053280442E-2</v>
      </c>
    </row>
    <row r="3377" spans="19:27" x14ac:dyDescent="0.2">
      <c r="S3377" s="1"/>
      <c r="T3377" s="109"/>
      <c r="W3377" s="130" t="str">
        <f t="shared" si="62"/>
        <v>1w</v>
      </c>
      <c r="X3377" s="128">
        <f>_xll.qlCalendarAdvance(Calendar,X3376,W3377,"f",FALSE)</f>
        <v>62828</v>
      </c>
      <c r="Y3377" s="131">
        <f>_xll.qlCalendarAdvance(Calendar,X3377,NDays&amp;"D")</f>
        <v>62830</v>
      </c>
      <c r="Z3377" s="132">
        <v>1.1552975703914389E-2</v>
      </c>
      <c r="AA3377" s="129">
        <v>1.1523385173752843E-2</v>
      </c>
    </row>
    <row r="3378" spans="19:27" x14ac:dyDescent="0.2">
      <c r="S3378" s="1"/>
      <c r="T3378" s="109"/>
      <c r="W3378" s="130" t="str">
        <f t="shared" si="62"/>
        <v>1w</v>
      </c>
      <c r="X3378" s="128">
        <f>_xll.qlCalendarAdvance(Calendar,X3377,W3378,"f",FALSE)</f>
        <v>62835</v>
      </c>
      <c r="Y3378" s="131">
        <f>_xll.qlCalendarAdvance(Calendar,X3378,NDays&amp;"D")</f>
        <v>62837</v>
      </c>
      <c r="Z3378" s="132">
        <v>1.1554963165743785E-2</v>
      </c>
      <c r="AA3378" s="129">
        <v>1.1525442937232455E-2</v>
      </c>
    </row>
    <row r="3379" spans="19:27" x14ac:dyDescent="0.2">
      <c r="S3379" s="1"/>
      <c r="T3379" s="109"/>
      <c r="W3379" s="130" t="str">
        <f t="shared" si="62"/>
        <v>1w</v>
      </c>
      <c r="X3379" s="128">
        <f>_xll.qlCalendarAdvance(Calendar,X3378,W3379,"f",FALSE)</f>
        <v>62842</v>
      </c>
      <c r="Y3379" s="131">
        <f>_xll.qlCalendarAdvance(Calendar,X3379,NDays&amp;"D")</f>
        <v>62844</v>
      </c>
      <c r="Z3379" s="132">
        <v>1.1556938768174445E-2</v>
      </c>
      <c r="AA3379" s="129">
        <v>1.1527488874332192E-2</v>
      </c>
    </row>
    <row r="3380" spans="19:27" x14ac:dyDescent="0.2">
      <c r="S3380" s="1"/>
      <c r="T3380" s="109"/>
      <c r="W3380" s="130" t="str">
        <f t="shared" si="62"/>
        <v>1w</v>
      </c>
      <c r="X3380" s="128">
        <f>_xll.qlCalendarAdvance(Calendar,X3379,W3380,"f",FALSE)</f>
        <v>62849</v>
      </c>
      <c r="Y3380" s="131">
        <f>_xll.qlCalendarAdvance(Calendar,X3380,NDays&amp;"D")</f>
        <v>62851</v>
      </c>
      <c r="Z3380" s="132">
        <v>1.1558902511187919E-2</v>
      </c>
      <c r="AA3380" s="129">
        <v>1.1529522985211926E-2</v>
      </c>
    </row>
    <row r="3381" spans="19:27" x14ac:dyDescent="0.2">
      <c r="S3381" s="1"/>
      <c r="T3381" s="109"/>
      <c r="W3381" s="130" t="str">
        <f t="shared" si="62"/>
        <v>1w</v>
      </c>
      <c r="X3381" s="128">
        <f>_xll.qlCalendarAdvance(Calendar,X3380,W3381,"f",FALSE)</f>
        <v>62856</v>
      </c>
      <c r="Y3381" s="131">
        <f>_xll.qlCalendarAdvance(Calendar,X3381,NDays&amp;"D")</f>
        <v>62858</v>
      </c>
      <c r="Z3381" s="132">
        <v>1.1560531750546055E-2</v>
      </c>
      <c r="AA3381" s="129">
        <v>1.1531545269951593E-2</v>
      </c>
    </row>
    <row r="3382" spans="19:27" x14ac:dyDescent="0.2">
      <c r="S3382" s="1"/>
      <c r="T3382" s="109"/>
      <c r="W3382" s="130" t="str">
        <f t="shared" si="62"/>
        <v>1w</v>
      </c>
      <c r="X3382" s="128">
        <f>_xll.qlCalendarAdvance(Calendar,X3381,W3382,"f",FALSE)</f>
        <v>62863</v>
      </c>
      <c r="Y3382" s="131">
        <f>_xll.qlCalendarAdvance(Calendar,X3382,NDays&amp;"D")</f>
        <v>62865</v>
      </c>
      <c r="Z3382" s="132">
        <v>1.1562472559537795E-2</v>
      </c>
      <c r="AA3382" s="129">
        <v>1.1533555728471256E-2</v>
      </c>
    </row>
    <row r="3383" spans="19:27" x14ac:dyDescent="0.2">
      <c r="S3383" s="1"/>
      <c r="T3383" s="109"/>
      <c r="W3383" s="130" t="str">
        <f t="shared" si="62"/>
        <v>1w</v>
      </c>
      <c r="X3383" s="128">
        <f>_xll.qlCalendarAdvance(Calendar,X3382,W3383,"f",FALSE)</f>
        <v>62870</v>
      </c>
      <c r="Y3383" s="131">
        <f>_xll.qlCalendarAdvance(Calendar,X3383,NDays&amp;"D")</f>
        <v>62872</v>
      </c>
      <c r="Z3383" s="132">
        <v>1.1564401509429167E-2</v>
      </c>
      <c r="AA3383" s="129">
        <v>1.1535554360770917E-2</v>
      </c>
    </row>
    <row r="3384" spans="19:27" x14ac:dyDescent="0.2">
      <c r="S3384" s="1"/>
      <c r="T3384" s="109"/>
      <c r="W3384" s="130" t="str">
        <f t="shared" si="62"/>
        <v>1w</v>
      </c>
      <c r="X3384" s="128">
        <f>_xll.qlCalendarAdvance(Calendar,X3383,W3384,"f",FALSE)</f>
        <v>62877</v>
      </c>
      <c r="Y3384" s="131">
        <f>_xll.qlCalendarAdvance(Calendar,X3384,NDays&amp;"D")</f>
        <v>62879</v>
      </c>
      <c r="Z3384" s="132">
        <v>1.156631860020596E-2</v>
      </c>
      <c r="AA3384" s="129">
        <v>1.1537541166770637E-2</v>
      </c>
    </row>
    <row r="3385" spans="19:27" x14ac:dyDescent="0.2">
      <c r="S3385" s="1"/>
      <c r="T3385" s="109"/>
      <c r="W3385" s="130" t="str">
        <f t="shared" si="62"/>
        <v>1w</v>
      </c>
      <c r="X3385" s="128">
        <f>_xll.qlCalendarAdvance(Calendar,X3384,W3385,"f",FALSE)</f>
        <v>62884</v>
      </c>
      <c r="Y3385" s="131">
        <f>_xll.qlCalendarAdvance(Calendar,X3385,NDays&amp;"D")</f>
        <v>62886</v>
      </c>
      <c r="Z3385" s="132">
        <v>1.1568862768800909E-2</v>
      </c>
      <c r="AA3385" s="129">
        <v>1.1539516146630291E-2</v>
      </c>
    </row>
    <row r="3386" spans="19:27" x14ac:dyDescent="0.2">
      <c r="S3386" s="1"/>
      <c r="T3386" s="109"/>
      <c r="W3386" s="130" t="str">
        <f t="shared" si="62"/>
        <v>1w</v>
      </c>
      <c r="X3386" s="128">
        <f>_xll.qlCalendarAdvance(Calendar,X3385,W3386,"f",FALSE)</f>
        <v>62891</v>
      </c>
      <c r="Y3386" s="131">
        <f>_xll.qlCalendarAdvance(Calendar,X3386,NDays&amp;"D")</f>
        <v>62893</v>
      </c>
      <c r="Z3386" s="132">
        <v>1.1570754568543855E-2</v>
      </c>
      <c r="AA3386" s="129">
        <v>1.1541479300349877E-2</v>
      </c>
    </row>
    <row r="3387" spans="19:27" x14ac:dyDescent="0.2">
      <c r="S3387" s="1"/>
      <c r="T3387" s="109"/>
      <c r="W3387" s="130" t="str">
        <f t="shared" si="62"/>
        <v>1w</v>
      </c>
      <c r="X3387" s="128">
        <f>_xll.qlCalendarAdvance(Calendar,X3386,W3387,"f",FALSE)</f>
        <v>62898</v>
      </c>
      <c r="Y3387" s="131">
        <f>_xll.qlCalendarAdvance(Calendar,X3387,NDays&amp;"D")</f>
        <v>62900</v>
      </c>
      <c r="Z3387" s="132">
        <v>1.1572634508378093E-2</v>
      </c>
      <c r="AA3387" s="129">
        <v>1.1543430627689588E-2</v>
      </c>
    </row>
    <row r="3388" spans="19:27" x14ac:dyDescent="0.2">
      <c r="S3388" s="1"/>
      <c r="T3388" s="109"/>
      <c r="W3388" s="130" t="str">
        <f t="shared" si="62"/>
        <v>1w</v>
      </c>
      <c r="X3388" s="128">
        <f>_xll.qlCalendarAdvance(Calendar,X3387,W3388,"f",FALSE)</f>
        <v>62905</v>
      </c>
      <c r="Y3388" s="131">
        <f>_xll.qlCalendarAdvance(Calendar,X3388,NDays&amp;"D")</f>
        <v>62907</v>
      </c>
      <c r="Z3388" s="132">
        <v>1.157450258828451E-2</v>
      </c>
      <c r="AA3388" s="129">
        <v>1.1545370128969168E-2</v>
      </c>
    </row>
    <row r="3389" spans="19:27" x14ac:dyDescent="0.2">
      <c r="S3389" s="1"/>
      <c r="T3389" s="109"/>
      <c r="W3389" s="130" t="str">
        <f t="shared" si="62"/>
        <v>1w</v>
      </c>
      <c r="X3389" s="128">
        <f>_xll.qlCalendarAdvance(Calendar,X3388,W3389,"f",FALSE)</f>
        <v>62912</v>
      </c>
      <c r="Y3389" s="131">
        <f>_xll.qlCalendarAdvance(Calendar,X3389,NDays&amp;"D")</f>
        <v>62914</v>
      </c>
      <c r="Z3389" s="132">
        <v>1.1576042521670486E-2</v>
      </c>
      <c r="AA3389" s="129">
        <v>1.1547297803948808E-2</v>
      </c>
    </row>
    <row r="3390" spans="19:27" x14ac:dyDescent="0.2">
      <c r="S3390" s="1"/>
      <c r="T3390" s="109"/>
      <c r="W3390" s="130" t="str">
        <f t="shared" si="62"/>
        <v>1w</v>
      </c>
      <c r="X3390" s="128">
        <f>_xll.qlCalendarAdvance(Calendar,X3389,W3390,"f",FALSE)</f>
        <v>62919</v>
      </c>
      <c r="Y3390" s="131">
        <f>_xll.qlCalendarAdvance(Calendar,X3390,NDays&amp;"D")</f>
        <v>62921</v>
      </c>
      <c r="Z3390" s="132">
        <v>1.1577887669561667E-2</v>
      </c>
      <c r="AA3390" s="129">
        <v>1.1550499742343234E-2</v>
      </c>
    </row>
    <row r="3391" spans="19:27" x14ac:dyDescent="0.2">
      <c r="S3391" s="1"/>
      <c r="T3391" s="109"/>
      <c r="W3391" s="130" t="str">
        <f t="shared" si="62"/>
        <v>1w</v>
      </c>
      <c r="X3391" s="128">
        <f>_xll.qlCalendarAdvance(Calendar,X3390,W3391,"f",FALSE)</f>
        <v>62926</v>
      </c>
      <c r="Y3391" s="131">
        <f>_xll.qlCalendarAdvance(Calendar,X3391,NDays&amp;"D")</f>
        <v>62928</v>
      </c>
      <c r="Z3391" s="132">
        <v>1.1579720957848561E-2</v>
      </c>
      <c r="AA3391" s="129">
        <v>1.1551117675248079E-2</v>
      </c>
    </row>
    <row r="3392" spans="19:27" x14ac:dyDescent="0.2">
      <c r="S3392" s="1"/>
      <c r="T3392" s="109"/>
      <c r="W3392" s="130" t="str">
        <f t="shared" si="62"/>
        <v>1w</v>
      </c>
      <c r="X3392" s="128">
        <f>_xll.qlCalendarAdvance(Calendar,X3391,W3392,"f",FALSE)</f>
        <v>62933</v>
      </c>
      <c r="Y3392" s="131">
        <f>_xll.qlCalendarAdvance(Calendar,X3392,NDays&amp;"D")</f>
        <v>62935</v>
      </c>
      <c r="Z3392" s="132">
        <v>1.1581542386514477E-2</v>
      </c>
      <c r="AA3392" s="129">
        <v>1.155300987156771E-2</v>
      </c>
    </row>
    <row r="3393" spans="19:27" x14ac:dyDescent="0.2">
      <c r="S3393" s="1"/>
      <c r="T3393" s="109"/>
      <c r="W3393" s="130" t="str">
        <f t="shared" si="62"/>
        <v>1w</v>
      </c>
      <c r="X3393" s="128">
        <f>_xll.qlCalendarAdvance(Calendar,X3392,W3393,"f",FALSE)</f>
        <v>62940</v>
      </c>
      <c r="Y3393" s="131">
        <f>_xll.qlCalendarAdvance(Calendar,X3393,NDays&amp;"D")</f>
        <v>62942</v>
      </c>
      <c r="Z3393" s="132">
        <v>1.1583351955541846E-2</v>
      </c>
      <c r="AA3393" s="129">
        <v>1.1554890241747273E-2</v>
      </c>
    </row>
    <row r="3394" spans="19:27" x14ac:dyDescent="0.2">
      <c r="S3394" s="1"/>
      <c r="T3394" s="109"/>
      <c r="W3394" s="130" t="str">
        <f t="shared" si="62"/>
        <v>1w</v>
      </c>
      <c r="X3394" s="128">
        <f>_xll.qlCalendarAdvance(Calendar,X3393,W3394,"f",FALSE)</f>
        <v>62947</v>
      </c>
      <c r="Y3394" s="131">
        <f>_xll.qlCalendarAdvance(Calendar,X3394,NDays&amp;"D")</f>
        <v>62949</v>
      </c>
      <c r="Z3394" s="132">
        <v>1.1585462008310784E-2</v>
      </c>
      <c r="AA3394" s="129">
        <v>1.1556758785626897E-2</v>
      </c>
    </row>
    <row r="3395" spans="19:27" x14ac:dyDescent="0.2">
      <c r="S3395" s="1"/>
      <c r="T3395" s="109"/>
      <c r="W3395" s="130" t="str">
        <f t="shared" si="62"/>
        <v>1w</v>
      </c>
      <c r="X3395" s="128">
        <f>_xll.qlCalendarAdvance(Calendar,X3394,W3395,"f",FALSE)</f>
        <v>62954</v>
      </c>
      <c r="Y3395" s="131">
        <f>_xll.qlCalendarAdvance(Calendar,X3395,NDays&amp;"D")</f>
        <v>62956</v>
      </c>
      <c r="Z3395" s="132">
        <v>1.1587247068257598E-2</v>
      </c>
      <c r="AA3395" s="129">
        <v>1.1558615503286518E-2</v>
      </c>
    </row>
    <row r="3396" spans="19:27" x14ac:dyDescent="0.2">
      <c r="S3396" s="1"/>
      <c r="T3396" s="109"/>
      <c r="W3396" s="130" t="str">
        <f t="shared" si="62"/>
        <v>1w</v>
      </c>
      <c r="X3396" s="128">
        <f>_xll.qlCalendarAdvance(Calendar,X3395,W3396,"f",FALSE)</f>
        <v>62961</v>
      </c>
      <c r="Y3396" s="131">
        <f>_xll.qlCalendarAdvance(Calendar,X3396,NDays&amp;"D")</f>
        <v>62963</v>
      </c>
      <c r="Z3396" s="132">
        <v>1.1589020268146257E-2</v>
      </c>
      <c r="AA3396" s="129">
        <v>1.1560460394726135E-2</v>
      </c>
    </row>
    <row r="3397" spans="19:27" x14ac:dyDescent="0.2">
      <c r="S3397" s="1"/>
      <c r="T3397" s="109"/>
      <c r="W3397" s="130" t="str">
        <f t="shared" si="62"/>
        <v>1w</v>
      </c>
      <c r="X3397" s="128">
        <f>_xll.qlCalendarAdvance(Calendar,X3396,W3397,"f",FALSE)</f>
        <v>62968</v>
      </c>
      <c r="Y3397" s="131">
        <f>_xll.qlCalendarAdvance(Calendar,X3397,NDays&amp;"D")</f>
        <v>62970</v>
      </c>
      <c r="Z3397" s="132">
        <v>1.1590781607959389E-2</v>
      </c>
      <c r="AA3397" s="129">
        <v>1.1562293460025685E-2</v>
      </c>
    </row>
    <row r="3398" spans="19:27" x14ac:dyDescent="0.2">
      <c r="S3398" s="1"/>
      <c r="T3398" s="109"/>
      <c r="W3398" s="130" t="str">
        <f t="shared" si="62"/>
        <v>1w</v>
      </c>
      <c r="X3398" s="128">
        <f>_xll.qlCalendarAdvance(Calendar,X3397,W3398,"f",FALSE)</f>
        <v>62975</v>
      </c>
      <c r="Y3398" s="131">
        <f>_xll.qlCalendarAdvance(Calendar,X3398,NDays&amp;"D")</f>
        <v>62977</v>
      </c>
      <c r="Z3398" s="132">
        <v>1.1592531087681348E-2</v>
      </c>
      <c r="AA3398" s="129">
        <v>1.1564114699025296E-2</v>
      </c>
    </row>
    <row r="3399" spans="19:27" x14ac:dyDescent="0.2">
      <c r="S3399" s="1"/>
      <c r="T3399" s="109"/>
      <c r="W3399" s="130" t="str">
        <f t="shared" si="62"/>
        <v>1w</v>
      </c>
      <c r="X3399" s="128">
        <f>_xll.qlCalendarAdvance(Calendar,X3398,W3399,"f",FALSE)</f>
        <v>62982</v>
      </c>
      <c r="Y3399" s="131">
        <f>_xll.qlCalendarAdvance(Calendar,X3399,NDays&amp;"D")</f>
        <v>62984</v>
      </c>
      <c r="Z3399" s="132">
        <v>1.1594268707294762E-2</v>
      </c>
      <c r="AA3399" s="129">
        <v>1.1565924111804904E-2</v>
      </c>
    </row>
    <row r="3400" spans="19:27" x14ac:dyDescent="0.2">
      <c r="S3400" s="1"/>
      <c r="T3400" s="109"/>
      <c r="W3400" s="130" t="str">
        <f t="shared" si="62"/>
        <v>1w</v>
      </c>
      <c r="X3400" s="128">
        <f>_xll.qlCalendarAdvance(Calendar,X3399,W3400,"f",FALSE)</f>
        <v>62989</v>
      </c>
      <c r="Y3400" s="131">
        <f>_xll.qlCalendarAdvance(Calendar,X3400,NDays&amp;"D")</f>
        <v>62991</v>
      </c>
      <c r="Z3400" s="132">
        <v>1.1595994466784856E-2</v>
      </c>
      <c r="AA3400" s="129">
        <v>1.1567721698444444E-2</v>
      </c>
    </row>
    <row r="3401" spans="19:27" x14ac:dyDescent="0.2">
      <c r="S3401" s="1"/>
      <c r="T3401" s="109"/>
      <c r="W3401" s="130" t="str">
        <f t="shared" si="62"/>
        <v>1w</v>
      </c>
      <c r="X3401" s="128">
        <f>_xll.qlCalendarAdvance(Calendar,X3400,W3401,"f",FALSE)</f>
        <v>62996</v>
      </c>
      <c r="Y3401" s="131">
        <f>_xll.qlCalendarAdvance(Calendar,X3401,NDays&amp;"D")</f>
        <v>62998</v>
      </c>
      <c r="Z3401" s="132">
        <v>1.1597708366135993E-2</v>
      </c>
      <c r="AA3401" s="129">
        <v>1.1569507458863981E-2</v>
      </c>
    </row>
    <row r="3402" spans="19:27" x14ac:dyDescent="0.2">
      <c r="S3402" s="1"/>
      <c r="T3402" s="109"/>
      <c r="W3402" s="130" t="str">
        <f t="shared" si="62"/>
        <v>1w</v>
      </c>
      <c r="X3402" s="128">
        <f>_xll.qlCalendarAdvance(Calendar,X3401,W3402,"f",FALSE)</f>
        <v>63003</v>
      </c>
      <c r="Y3402" s="131">
        <f>_xll.qlCalendarAdvance(Calendar,X3402,NDays&amp;"D")</f>
        <v>63005</v>
      </c>
      <c r="Z3402" s="132">
        <v>1.1599410405332532E-2</v>
      </c>
      <c r="AA3402" s="129">
        <v>1.1571281392903643E-2</v>
      </c>
    </row>
    <row r="3403" spans="19:27" x14ac:dyDescent="0.2">
      <c r="S3403" s="1"/>
      <c r="T3403" s="109"/>
      <c r="W3403" s="130" t="str">
        <f t="shared" si="62"/>
        <v>1w</v>
      </c>
      <c r="X3403" s="128">
        <f>_xll.qlCalendarAdvance(Calendar,X3402,W3403,"f",FALSE)</f>
        <v>63010</v>
      </c>
      <c r="Y3403" s="131">
        <f>_xll.qlCalendarAdvance(Calendar,X3403,NDays&amp;"D")</f>
        <v>63012</v>
      </c>
      <c r="Z3403" s="132">
        <v>1.1601100584360572E-2</v>
      </c>
      <c r="AA3403" s="129">
        <v>1.1573043500883173E-2</v>
      </c>
    </row>
    <row r="3404" spans="19:27" x14ac:dyDescent="0.2">
      <c r="S3404" s="1"/>
      <c r="T3404" s="109"/>
      <c r="W3404" s="130" t="str">
        <f t="shared" si="62"/>
        <v>1w</v>
      </c>
      <c r="X3404" s="128">
        <f>_xll.qlCalendarAdvance(Calendar,X3403,W3404,"f",FALSE)</f>
        <v>63017</v>
      </c>
      <c r="Y3404" s="131">
        <f>_xll.qlCalendarAdvance(Calendar,X3404,NDays&amp;"D")</f>
        <v>63019</v>
      </c>
      <c r="Z3404" s="132">
        <v>1.1602778903201867E-2</v>
      </c>
      <c r="AA3404" s="129">
        <v>1.1574793782562764E-2</v>
      </c>
    </row>
    <row r="3405" spans="19:27" x14ac:dyDescent="0.2">
      <c r="S3405" s="1"/>
      <c r="T3405" s="109"/>
      <c r="W3405" s="130" t="str">
        <f t="shared" si="62"/>
        <v>1w</v>
      </c>
      <c r="X3405" s="128">
        <f>_xll.qlCalendarAdvance(Calendar,X3404,W3405,"f",FALSE)</f>
        <v>63024</v>
      </c>
      <c r="Y3405" s="131">
        <f>_xll.qlCalendarAdvance(Calendar,X3405,NDays&amp;"D")</f>
        <v>63026</v>
      </c>
      <c r="Z3405" s="132">
        <v>1.1604445361843381E-2</v>
      </c>
      <c r="AA3405" s="129">
        <v>1.1576532238102288E-2</v>
      </c>
    </row>
    <row r="3406" spans="19:27" x14ac:dyDescent="0.2">
      <c r="S3406" s="1"/>
      <c r="T3406" s="109"/>
      <c r="W3406" s="130" t="str">
        <f t="shared" si="62"/>
        <v>1w</v>
      </c>
      <c r="X3406" s="128">
        <f>_xll.qlCalendarAdvance(Calendar,X3405,W3406,"f",FALSE)</f>
        <v>63031</v>
      </c>
      <c r="Y3406" s="131">
        <f>_xll.qlCalendarAdvance(Calendar,X3406,NDays&amp;"D")</f>
        <v>63033</v>
      </c>
      <c r="Z3406" s="132">
        <v>1.1606099960269478E-2</v>
      </c>
      <c r="AA3406" s="129">
        <v>1.1578258867341873E-2</v>
      </c>
    </row>
    <row r="3407" spans="19:27" x14ac:dyDescent="0.2">
      <c r="S3407" s="1"/>
      <c r="T3407" s="109"/>
      <c r="W3407" s="130" t="str">
        <f t="shared" si="62"/>
        <v>1w</v>
      </c>
      <c r="X3407" s="128">
        <f>_xll.qlCalendarAdvance(Calendar,X3406,W3407,"f",FALSE)</f>
        <v>63038</v>
      </c>
      <c r="Y3407" s="131">
        <f>_xll.qlCalendarAdvance(Calendar,X3407,NDays&amp;"D")</f>
        <v>63040</v>
      </c>
      <c r="Z3407" s="132">
        <v>1.1607742698464518E-2</v>
      </c>
      <c r="AA3407" s="129">
        <v>1.157997367044139E-2</v>
      </c>
    </row>
    <row r="3408" spans="19:27" x14ac:dyDescent="0.2">
      <c r="S3408" s="1"/>
      <c r="T3408" s="109"/>
      <c r="W3408" s="130" t="str">
        <f t="shared" si="62"/>
        <v>1w</v>
      </c>
      <c r="X3408" s="128">
        <f>_xll.qlCalendarAdvance(Calendar,X3407,W3408,"f",FALSE)</f>
        <v>63045</v>
      </c>
      <c r="Y3408" s="131">
        <f>_xll.qlCalendarAdvance(Calendar,X3408,NDays&amp;"D")</f>
        <v>63047</v>
      </c>
      <c r="Z3408" s="132">
        <v>1.1609373576414596E-2</v>
      </c>
      <c r="AA3408" s="129">
        <v>1.1581676647240968E-2</v>
      </c>
    </row>
    <row r="3409" spans="19:27" x14ac:dyDescent="0.2">
      <c r="S3409" s="1"/>
      <c r="T3409" s="109"/>
      <c r="W3409" s="130" t="str">
        <f t="shared" si="62"/>
        <v>1w</v>
      </c>
      <c r="X3409" s="128">
        <f>_xll.qlCalendarAdvance(Calendar,X3408,W3409,"f",FALSE)</f>
        <v>63052</v>
      </c>
      <c r="Y3409" s="131">
        <f>_xll.qlCalendarAdvance(Calendar,X3409,NDays&amp;"D")</f>
        <v>63054</v>
      </c>
      <c r="Z3409" s="132">
        <v>1.1610992594104943E-2</v>
      </c>
      <c r="AA3409" s="129">
        <v>1.1583367797900479E-2</v>
      </c>
    </row>
    <row r="3410" spans="19:27" x14ac:dyDescent="0.2">
      <c r="S3410" s="1"/>
      <c r="T3410" s="109"/>
      <c r="W3410" s="130" t="str">
        <f t="shared" si="62"/>
        <v>1w</v>
      </c>
      <c r="X3410" s="128">
        <f>_xll.qlCalendarAdvance(Calendar,X3409,W3410,"f",FALSE)</f>
        <v>63059</v>
      </c>
      <c r="Y3410" s="131">
        <f>_xll.qlCalendarAdvance(Calendar,X3410,NDays&amp;"D")</f>
        <v>63061</v>
      </c>
      <c r="Z3410" s="132">
        <v>1.1612599751519051E-2</v>
      </c>
      <c r="AA3410" s="129">
        <v>1.158504712226005E-2</v>
      </c>
    </row>
    <row r="3411" spans="19:27" x14ac:dyDescent="0.2">
      <c r="S3411" s="1"/>
      <c r="T3411" s="109"/>
      <c r="W3411" s="130" t="str">
        <f t="shared" si="62"/>
        <v>1w</v>
      </c>
      <c r="X3411" s="128">
        <f>_xll.qlCalendarAdvance(Calendar,X3410,W3411,"f",FALSE)</f>
        <v>63066</v>
      </c>
      <c r="Y3411" s="131">
        <f>_xll.qlCalendarAdvance(Calendar,X3411,NDays&amp;"D")</f>
        <v>63068</v>
      </c>
      <c r="Z3411" s="132">
        <v>1.1613896182007737E-2</v>
      </c>
      <c r="AA3411" s="129">
        <v>1.1586714620479555E-2</v>
      </c>
    </row>
    <row r="3412" spans="19:27" x14ac:dyDescent="0.2">
      <c r="S3412" s="1"/>
      <c r="T3412" s="109"/>
      <c r="W3412" s="130" t="str">
        <f t="shared" si="62"/>
        <v>1w</v>
      </c>
      <c r="X3412" s="128">
        <f>_xll.qlCalendarAdvance(Calendar,X3411,W3412,"f",FALSE)</f>
        <v>63073</v>
      </c>
      <c r="Y3412" s="131">
        <f>_xll.qlCalendarAdvance(Calendar,X3412,NDays&amp;"D")</f>
        <v>63075</v>
      </c>
      <c r="Z3412" s="132">
        <v>1.161548041495652E-2</v>
      </c>
      <c r="AA3412" s="129">
        <v>1.1588370292479055E-2</v>
      </c>
    </row>
    <row r="3413" spans="19:27" x14ac:dyDescent="0.2">
      <c r="S3413" s="1"/>
      <c r="T3413" s="109"/>
      <c r="W3413" s="130" t="str">
        <f t="shared" ref="W3413:W3476" si="63">W3412</f>
        <v>1w</v>
      </c>
      <c r="X3413" s="128">
        <f>_xll.qlCalendarAdvance(Calendar,X3412,W3413,"f",FALSE)</f>
        <v>63080</v>
      </c>
      <c r="Y3413" s="131">
        <f>_xll.qlCalendarAdvance(Calendar,X3413,NDays&amp;"D")</f>
        <v>63082</v>
      </c>
      <c r="Z3413" s="132">
        <v>1.1617052787962823E-2</v>
      </c>
      <c r="AA3413" s="129">
        <v>1.1590014138178617E-2</v>
      </c>
    </row>
    <row r="3414" spans="19:27" x14ac:dyDescent="0.2">
      <c r="S3414" s="1"/>
      <c r="T3414" s="109"/>
      <c r="W3414" s="130" t="str">
        <f t="shared" si="63"/>
        <v>1w</v>
      </c>
      <c r="X3414" s="128">
        <f>_xll.qlCalendarAdvance(Calendar,X3413,W3414,"f",FALSE)</f>
        <v>63087</v>
      </c>
      <c r="Y3414" s="131">
        <f>_xll.qlCalendarAdvance(Calendar,X3414,NDays&amp;"D")</f>
        <v>63089</v>
      </c>
      <c r="Z3414" s="132">
        <v>1.1618613301014349E-2</v>
      </c>
      <c r="AA3414" s="129">
        <v>1.1591646157578239E-2</v>
      </c>
    </row>
    <row r="3415" spans="19:27" x14ac:dyDescent="0.2">
      <c r="S3415" s="1"/>
      <c r="T3415" s="109"/>
      <c r="W3415" s="130" t="str">
        <f t="shared" si="63"/>
        <v>1w</v>
      </c>
      <c r="X3415" s="128">
        <f>_xll.qlCalendarAdvance(Calendar,X3414,W3415,"f",FALSE)</f>
        <v>63094</v>
      </c>
      <c r="Y3415" s="131">
        <f>_xll.qlCalendarAdvance(Calendar,X3415,NDays&amp;"D")</f>
        <v>63096</v>
      </c>
      <c r="Z3415" s="132">
        <v>1.1620161954095288E-2</v>
      </c>
      <c r="AA3415" s="129">
        <v>1.1593266350997666E-2</v>
      </c>
    </row>
    <row r="3416" spans="19:27" x14ac:dyDescent="0.2">
      <c r="S3416" s="1"/>
      <c r="T3416" s="109"/>
      <c r="W3416" s="130" t="str">
        <f t="shared" si="63"/>
        <v>1w</v>
      </c>
      <c r="X3416" s="128">
        <f>_xll.qlCalendarAdvance(Calendar,X3415,W3416,"f",FALSE)</f>
        <v>63101</v>
      </c>
      <c r="Y3416" s="131">
        <f>_xll.qlCalendarAdvance(Calendar,X3416,NDays&amp;"D")</f>
        <v>63103</v>
      </c>
      <c r="Z3416" s="132">
        <v>1.1621993629427643E-2</v>
      </c>
      <c r="AA3416" s="129">
        <v>1.1594874718117154E-2</v>
      </c>
    </row>
    <row r="3417" spans="19:27" x14ac:dyDescent="0.2">
      <c r="S3417" s="1"/>
      <c r="T3417" s="109"/>
      <c r="W3417" s="130" t="str">
        <f t="shared" si="63"/>
        <v>1w</v>
      </c>
      <c r="X3417" s="128">
        <f>_xll.qlCalendarAdvance(Calendar,X3416,W3417,"f",FALSE)</f>
        <v>63108</v>
      </c>
      <c r="Y3417" s="131">
        <f>_xll.qlCalendarAdvance(Calendar,X3417,NDays&amp;"D")</f>
        <v>63110</v>
      </c>
      <c r="Z3417" s="132">
        <v>1.1623517764516216E-2</v>
      </c>
      <c r="AA3417" s="129">
        <v>1.1596471258936702E-2</v>
      </c>
    </row>
    <row r="3418" spans="19:27" x14ac:dyDescent="0.2">
      <c r="S3418" s="1"/>
      <c r="T3418" s="109"/>
      <c r="W3418" s="130" t="str">
        <f t="shared" si="63"/>
        <v>1w</v>
      </c>
      <c r="X3418" s="128">
        <f>_xll.qlCalendarAdvance(Calendar,X3417,W3418,"f",FALSE)</f>
        <v>63115</v>
      </c>
      <c r="Y3418" s="131">
        <f>_xll.qlCalendarAdvance(Calendar,X3418,NDays&amp;"D")</f>
        <v>63117</v>
      </c>
      <c r="Z3418" s="132">
        <v>1.1625030039215596E-2</v>
      </c>
      <c r="AA3418" s="129">
        <v>1.1598055973536248E-2</v>
      </c>
    </row>
    <row r="3419" spans="19:27" x14ac:dyDescent="0.2">
      <c r="S3419" s="1"/>
      <c r="T3419" s="109"/>
      <c r="W3419" s="130" t="str">
        <f t="shared" si="63"/>
        <v>1w</v>
      </c>
      <c r="X3419" s="128">
        <f>_xll.qlCalendarAdvance(Calendar,X3418,W3419,"f",FALSE)</f>
        <v>63122</v>
      </c>
      <c r="Y3419" s="131">
        <f>_xll.qlCalendarAdvance(Calendar,X3419,NDays&amp;"D")</f>
        <v>63124</v>
      </c>
      <c r="Z3419" s="132">
        <v>1.1626530453514488E-2</v>
      </c>
      <c r="AA3419" s="129">
        <v>1.1599628861995726E-2</v>
      </c>
    </row>
    <row r="3420" spans="19:27" x14ac:dyDescent="0.2">
      <c r="S3420" s="1"/>
      <c r="T3420" s="109"/>
      <c r="W3420" s="130" t="str">
        <f t="shared" si="63"/>
        <v>1w</v>
      </c>
      <c r="X3420" s="128">
        <f>_xll.qlCalendarAdvance(Calendar,X3419,W3420,"f",FALSE)</f>
        <v>63129</v>
      </c>
      <c r="Y3420" s="131">
        <f>_xll.qlCalendarAdvance(Calendar,X3420,NDays&amp;"D")</f>
        <v>63131</v>
      </c>
      <c r="Z3420" s="132">
        <v>1.1628019007397251E-2</v>
      </c>
      <c r="AA3420" s="129">
        <v>1.1601189924155264E-2</v>
      </c>
    </row>
    <row r="3421" spans="19:27" x14ac:dyDescent="0.2">
      <c r="S3421" s="1"/>
      <c r="T3421" s="109"/>
      <c r="W3421" s="130" t="str">
        <f t="shared" si="63"/>
        <v>1w</v>
      </c>
      <c r="X3421" s="128">
        <f>_xll.qlCalendarAdvance(Calendar,X3420,W3421,"f",FALSE)</f>
        <v>63136</v>
      </c>
      <c r="Y3421" s="131">
        <f>_xll.qlCalendarAdvance(Calendar,X3421,NDays&amp;"D")</f>
        <v>63138</v>
      </c>
      <c r="Z3421" s="132">
        <v>1.1629495700849118E-2</v>
      </c>
      <c r="AA3421" s="129">
        <v>1.1602739160014863E-2</v>
      </c>
    </row>
    <row r="3422" spans="19:27" x14ac:dyDescent="0.2">
      <c r="S3422" s="1"/>
      <c r="T3422" s="109"/>
      <c r="W3422" s="130" t="str">
        <f t="shared" si="63"/>
        <v>1w</v>
      </c>
      <c r="X3422" s="128">
        <f>_xll.qlCalendarAdvance(Calendar,X3421,W3422,"f",FALSE)</f>
        <v>63143</v>
      </c>
      <c r="Y3422" s="131">
        <f>_xll.qlCalendarAdvance(Calendar,X3422,NDays&amp;"D")</f>
        <v>63145</v>
      </c>
      <c r="Z3422" s="132">
        <v>1.1630960533859659E-2</v>
      </c>
      <c r="AA3422" s="129">
        <v>1.1604276569814331E-2</v>
      </c>
    </row>
    <row r="3423" spans="19:27" x14ac:dyDescent="0.2">
      <c r="S3423" s="1"/>
      <c r="T3423" s="109"/>
      <c r="W3423" s="130" t="str">
        <f t="shared" si="63"/>
        <v>1w</v>
      </c>
      <c r="X3423" s="128">
        <f>_xll.qlCalendarAdvance(Calendar,X3422,W3423,"f",FALSE)</f>
        <v>63150</v>
      </c>
      <c r="Y3423" s="131">
        <f>_xll.qlCalendarAdvance(Calendar,X3423,NDays&amp;"D")</f>
        <v>63152</v>
      </c>
      <c r="Z3423" s="132">
        <v>1.1632413506414106E-2</v>
      </c>
      <c r="AA3423" s="129">
        <v>1.160580215331386E-2</v>
      </c>
    </row>
    <row r="3424" spans="19:27" x14ac:dyDescent="0.2">
      <c r="S3424" s="1"/>
      <c r="T3424" s="109"/>
      <c r="W3424" s="130" t="str">
        <f t="shared" si="63"/>
        <v>1w</v>
      </c>
      <c r="X3424" s="128">
        <f>_xll.qlCalendarAdvance(Calendar,X3423,W3424,"f",FALSE)</f>
        <v>63157</v>
      </c>
      <c r="Y3424" s="131">
        <f>_xll.qlCalendarAdvance(Calendar,X3424,NDays&amp;"D")</f>
        <v>63159</v>
      </c>
      <c r="Z3424" s="132">
        <v>1.1633277573178447E-2</v>
      </c>
      <c r="AA3424" s="129">
        <v>1.1607315910593385E-2</v>
      </c>
    </row>
    <row r="3425" spans="19:27" x14ac:dyDescent="0.2">
      <c r="S3425" s="1"/>
      <c r="T3425" s="109"/>
      <c r="W3425" s="130" t="str">
        <f t="shared" si="63"/>
        <v>1w</v>
      </c>
      <c r="X3425" s="128">
        <f>_xll.qlCalendarAdvance(Calendar,X3424,W3425,"f",FALSE)</f>
        <v>63164</v>
      </c>
      <c r="Y3425" s="131">
        <f>_xll.qlCalendarAdvance(Calendar,X3425,NDays&amp;"D")</f>
        <v>63166</v>
      </c>
      <c r="Z3425" s="132">
        <v>1.1634708426788265E-2</v>
      </c>
      <c r="AA3425" s="129">
        <v>1.1608817841652908E-2</v>
      </c>
    </row>
    <row r="3426" spans="19:27" x14ac:dyDescent="0.2">
      <c r="S3426" s="1"/>
      <c r="T3426" s="109"/>
      <c r="W3426" s="130" t="str">
        <f t="shared" si="63"/>
        <v>1w</v>
      </c>
      <c r="X3426" s="128">
        <f>_xll.qlCalendarAdvance(Calendar,X3425,W3426,"f",FALSE)</f>
        <v>63171</v>
      </c>
      <c r="Y3426" s="131">
        <f>_xll.qlCalendarAdvance(Calendar,X3426,NDays&amp;"D")</f>
        <v>63173</v>
      </c>
      <c r="Z3426" s="132">
        <v>1.1636127420660891E-2</v>
      </c>
      <c r="AA3426" s="129">
        <v>1.1610307946572362E-2</v>
      </c>
    </row>
    <row r="3427" spans="19:27" x14ac:dyDescent="0.2">
      <c r="S3427" s="1"/>
      <c r="T3427" s="109"/>
      <c r="W3427" s="130" t="str">
        <f t="shared" si="63"/>
        <v>1w</v>
      </c>
      <c r="X3427" s="128">
        <f>_xll.qlCalendarAdvance(Calendar,X3426,W3427,"f",FALSE)</f>
        <v>63178</v>
      </c>
      <c r="Y3427" s="131">
        <f>_xll.qlCalendarAdvance(Calendar,X3427,NDays&amp;"D")</f>
        <v>63180</v>
      </c>
      <c r="Z3427" s="132">
        <v>1.163753455477945E-2</v>
      </c>
      <c r="AA3427" s="129">
        <v>1.1611786225191878E-2</v>
      </c>
    </row>
    <row r="3428" spans="19:27" x14ac:dyDescent="0.2">
      <c r="S3428" s="1"/>
      <c r="T3428" s="109"/>
      <c r="W3428" s="130" t="str">
        <f t="shared" si="63"/>
        <v>1w</v>
      </c>
      <c r="X3428" s="128">
        <f>_xll.qlCalendarAdvance(Calendar,X3427,W3428,"f",FALSE)</f>
        <v>63185</v>
      </c>
      <c r="Y3428" s="131">
        <f>_xll.qlCalendarAdvance(Calendar,X3428,NDays&amp;"D")</f>
        <v>63187</v>
      </c>
      <c r="Z3428" s="132">
        <v>1.1638929829135058E-2</v>
      </c>
      <c r="AA3428" s="129">
        <v>1.161325267759139E-2</v>
      </c>
    </row>
    <row r="3429" spans="19:27" x14ac:dyDescent="0.2">
      <c r="S3429" s="1"/>
      <c r="T3429" s="109"/>
      <c r="W3429" s="130" t="str">
        <f t="shared" si="63"/>
        <v>1w</v>
      </c>
      <c r="X3429" s="128">
        <f>_xll.qlCalendarAdvance(Calendar,X3428,W3429,"f",FALSE)</f>
        <v>63192</v>
      </c>
      <c r="Y3429" s="131">
        <f>_xll.qlCalendarAdvance(Calendar,X3429,NDays&amp;"D")</f>
        <v>63194</v>
      </c>
      <c r="Z3429" s="132">
        <v>1.1640313243714395E-2</v>
      </c>
      <c r="AA3429" s="129">
        <v>1.1614707303770899E-2</v>
      </c>
    </row>
    <row r="3430" spans="19:27" x14ac:dyDescent="0.2">
      <c r="S3430" s="1"/>
      <c r="T3430" s="109"/>
      <c r="W3430" s="130" t="str">
        <f t="shared" si="63"/>
        <v>1w</v>
      </c>
      <c r="X3430" s="128">
        <f>_xll.qlCalendarAdvance(Calendar,X3429,W3430,"f",FALSE)</f>
        <v>63199</v>
      </c>
      <c r="Y3430" s="131">
        <f>_xll.qlCalendarAdvance(Calendar,X3430,NDays&amp;"D")</f>
        <v>63201</v>
      </c>
      <c r="Z3430" s="132">
        <v>1.1641684798505025E-2</v>
      </c>
      <c r="AA3430" s="129">
        <v>1.1616150103810341E-2</v>
      </c>
    </row>
    <row r="3431" spans="19:27" x14ac:dyDescent="0.2">
      <c r="S3431" s="1"/>
      <c r="T3431" s="109"/>
      <c r="W3431" s="130" t="str">
        <f t="shared" si="63"/>
        <v>1w</v>
      </c>
      <c r="X3431" s="128">
        <f>_xll.qlCalendarAdvance(Calendar,X3430,W3431,"f",FALSE)</f>
        <v>63206</v>
      </c>
      <c r="Y3431" s="131">
        <f>_xll.qlCalendarAdvance(Calendar,X3431,NDays&amp;"D")</f>
        <v>63208</v>
      </c>
      <c r="Z3431" s="132">
        <v>1.1643044493493626E-2</v>
      </c>
      <c r="AA3431" s="129">
        <v>1.1617581077389971E-2</v>
      </c>
    </row>
    <row r="3432" spans="19:27" x14ac:dyDescent="0.2">
      <c r="S3432" s="1"/>
      <c r="T3432" s="109"/>
      <c r="W3432" s="130" t="str">
        <f t="shared" si="63"/>
        <v>1w</v>
      </c>
      <c r="X3432" s="128">
        <f>_xll.qlCalendarAdvance(Calendar,X3431,W3432,"f",FALSE)</f>
        <v>63213</v>
      </c>
      <c r="Y3432" s="131">
        <f>_xll.qlCalendarAdvance(Calendar,X3432,NDays&amp;"D")</f>
        <v>63215</v>
      </c>
      <c r="Z3432" s="132">
        <v>1.1644392328670428E-2</v>
      </c>
      <c r="AA3432" s="129">
        <v>1.1619000224989406E-2</v>
      </c>
    </row>
    <row r="3433" spans="19:27" x14ac:dyDescent="0.2">
      <c r="S3433" s="1"/>
      <c r="T3433" s="109"/>
      <c r="W3433" s="130" t="str">
        <f t="shared" si="63"/>
        <v>1w</v>
      </c>
      <c r="X3433" s="128">
        <f>_xll.qlCalendarAdvance(Calendar,X3432,W3433,"f",FALSE)</f>
        <v>63220</v>
      </c>
      <c r="Y3433" s="131">
        <f>_xll.qlCalendarAdvance(Calendar,X3433,NDays&amp;"D")</f>
        <v>63222</v>
      </c>
      <c r="Z3433" s="132">
        <v>1.164544689810065E-2</v>
      </c>
      <c r="AA3433" s="129">
        <v>1.1620407546288902E-2</v>
      </c>
    </row>
    <row r="3434" spans="19:27" x14ac:dyDescent="0.2">
      <c r="S3434" s="1"/>
      <c r="T3434" s="109"/>
      <c r="W3434" s="130" t="str">
        <f t="shared" si="63"/>
        <v>1w</v>
      </c>
      <c r="X3434" s="128">
        <f>_xll.qlCalendarAdvance(Calendar,X3433,W3434,"f",FALSE)</f>
        <v>63227</v>
      </c>
      <c r="Y3434" s="131">
        <f>_xll.qlCalendarAdvance(Calendar,X3434,NDays&amp;"D")</f>
        <v>63229</v>
      </c>
      <c r="Z3434" s="132">
        <v>1.1646771817948192E-2</v>
      </c>
      <c r="AA3434" s="129">
        <v>1.1621803041368395E-2</v>
      </c>
    </row>
    <row r="3435" spans="19:27" x14ac:dyDescent="0.2">
      <c r="S3435" s="1"/>
      <c r="T3435" s="109"/>
      <c r="W3435" s="130" t="str">
        <f t="shared" si="63"/>
        <v>1w</v>
      </c>
      <c r="X3435" s="128">
        <f>_xll.qlCalendarAdvance(Calendar,X3434,W3435,"f",FALSE)</f>
        <v>63234</v>
      </c>
      <c r="Y3435" s="131">
        <f>_xll.qlCalendarAdvance(Calendar,X3435,NDays&amp;"D")</f>
        <v>63236</v>
      </c>
      <c r="Z3435" s="132">
        <v>1.1648084878324126E-2</v>
      </c>
      <c r="AA3435" s="129">
        <v>1.1623186710147948E-2</v>
      </c>
    </row>
    <row r="3436" spans="19:27" x14ac:dyDescent="0.2">
      <c r="S3436" s="1"/>
      <c r="T3436" s="109"/>
      <c r="W3436" s="130" t="str">
        <f t="shared" si="63"/>
        <v>1w</v>
      </c>
      <c r="X3436" s="128">
        <f>_xll.qlCalendarAdvance(Calendar,X3435,W3436,"f",FALSE)</f>
        <v>63241</v>
      </c>
      <c r="Y3436" s="131">
        <f>_xll.qlCalendarAdvance(Calendar,X3436,NDays&amp;"D")</f>
        <v>63243</v>
      </c>
      <c r="Z3436" s="132">
        <v>1.1649386079220371E-2</v>
      </c>
      <c r="AA3436" s="129">
        <v>1.1624558552787434E-2</v>
      </c>
    </row>
    <row r="3437" spans="19:27" x14ac:dyDescent="0.2">
      <c r="S3437" s="1"/>
      <c r="T3437" s="109"/>
      <c r="W3437" s="130" t="str">
        <f t="shared" si="63"/>
        <v>1w</v>
      </c>
      <c r="X3437" s="128">
        <f>_xll.qlCalendarAdvance(Calendar,X3436,W3437,"f",FALSE)</f>
        <v>63248</v>
      </c>
      <c r="Y3437" s="131">
        <f>_xll.qlCalendarAdvance(Calendar,X3437,NDays&amp;"D")</f>
        <v>63250</v>
      </c>
      <c r="Z3437" s="132">
        <v>1.1651509767122486E-2</v>
      </c>
      <c r="AA3437" s="129">
        <v>1.1625918569206917E-2</v>
      </c>
    </row>
    <row r="3438" spans="19:27" x14ac:dyDescent="0.2">
      <c r="S3438" s="1"/>
      <c r="T3438" s="109"/>
      <c r="W3438" s="130" t="str">
        <f t="shared" si="63"/>
        <v>1w</v>
      </c>
      <c r="X3438" s="128">
        <f>_xll.qlCalendarAdvance(Calendar,X3437,W3438,"f",FALSE)</f>
        <v>63255</v>
      </c>
      <c r="Y3438" s="131">
        <f>_xll.qlCalendarAdvance(Calendar,X3438,NDays&amp;"D")</f>
        <v>63257</v>
      </c>
      <c r="Z3438" s="132">
        <v>1.1652784831317584E-2</v>
      </c>
      <c r="AA3438" s="129">
        <v>1.162726675932646E-2</v>
      </c>
    </row>
    <row r="3439" spans="19:27" x14ac:dyDescent="0.2">
      <c r="S3439" s="1"/>
      <c r="T3439" s="109"/>
      <c r="W3439" s="130" t="str">
        <f t="shared" si="63"/>
        <v>1w</v>
      </c>
      <c r="X3439" s="128">
        <f>_xll.qlCalendarAdvance(Calendar,X3438,W3439,"f",FALSE)</f>
        <v>63262</v>
      </c>
      <c r="Y3439" s="131">
        <f>_xll.qlCalendarAdvance(Calendar,X3439,NDays&amp;"D")</f>
        <v>63264</v>
      </c>
      <c r="Z3439" s="132">
        <v>1.1654048034859352E-2</v>
      </c>
      <c r="AA3439" s="129">
        <v>1.1628603123305936E-2</v>
      </c>
    </row>
    <row r="3440" spans="19:27" x14ac:dyDescent="0.2">
      <c r="S3440" s="1"/>
      <c r="T3440" s="109"/>
      <c r="W3440" s="130" t="str">
        <f t="shared" si="63"/>
        <v>1w</v>
      </c>
      <c r="X3440" s="128">
        <f>_xll.qlCalendarAdvance(Calendar,X3439,W3440,"f",FALSE)</f>
        <v>63269</v>
      </c>
      <c r="Y3440" s="131">
        <f>_xll.qlCalendarAdvance(Calendar,X3440,NDays&amp;"D")</f>
        <v>63271</v>
      </c>
      <c r="Z3440" s="132">
        <v>1.1655299377734758E-2</v>
      </c>
      <c r="AA3440" s="129">
        <v>1.1631055177577565E-2</v>
      </c>
    </row>
    <row r="3441" spans="19:27" x14ac:dyDescent="0.2">
      <c r="S3441" s="1"/>
      <c r="T3441" s="109"/>
      <c r="W3441" s="130" t="str">
        <f t="shared" si="63"/>
        <v>1w</v>
      </c>
      <c r="X3441" s="128">
        <f>_xll.qlCalendarAdvance(Calendar,X3440,W3441,"f",FALSE)</f>
        <v>63276</v>
      </c>
      <c r="Y3441" s="131">
        <f>_xll.qlCalendarAdvance(Calendar,X3441,NDays&amp;"D")</f>
        <v>63278</v>
      </c>
      <c r="Z3441" s="132">
        <v>1.1656538859934245E-2</v>
      </c>
      <c r="AA3441" s="129">
        <v>1.1631240372524942E-2</v>
      </c>
    </row>
    <row r="3442" spans="19:27" x14ac:dyDescent="0.2">
      <c r="S3442" s="1"/>
      <c r="T3442" s="109"/>
      <c r="W3442" s="130" t="str">
        <f t="shared" si="63"/>
        <v>1w</v>
      </c>
      <c r="X3442" s="128">
        <f>_xll.qlCalendarAdvance(Calendar,X3441,W3442,"f",FALSE)</f>
        <v>63283</v>
      </c>
      <c r="Y3442" s="131">
        <f>_xll.qlCalendarAdvance(Calendar,X3442,NDays&amp;"D")</f>
        <v>63285</v>
      </c>
      <c r="Z3442" s="132">
        <v>1.165749247033834E-2</v>
      </c>
      <c r="AA3442" s="129">
        <v>1.1632541257764473E-2</v>
      </c>
    </row>
    <row r="3443" spans="19:27" x14ac:dyDescent="0.2">
      <c r="S3443" s="1"/>
      <c r="T3443" s="109"/>
      <c r="W3443" s="130" t="str">
        <f t="shared" si="63"/>
        <v>1w</v>
      </c>
      <c r="X3443" s="128">
        <f>_xll.qlCalendarAdvance(Calendar,X3442,W3443,"f",FALSE)</f>
        <v>63290</v>
      </c>
      <c r="Y3443" s="131">
        <f>_xll.qlCalendarAdvance(Calendar,X3443,NDays&amp;"D")</f>
        <v>63292</v>
      </c>
      <c r="Z3443" s="132">
        <v>1.1658709039004806E-2</v>
      </c>
      <c r="AA3443" s="129">
        <v>1.1633830316784E-2</v>
      </c>
    </row>
    <row r="3444" spans="19:27" x14ac:dyDescent="0.2">
      <c r="S3444" s="1"/>
      <c r="T3444" s="109"/>
      <c r="W3444" s="130" t="str">
        <f t="shared" si="63"/>
        <v>1w</v>
      </c>
      <c r="X3444" s="128">
        <f>_xll.qlCalendarAdvance(Calendar,X3443,W3444,"f",FALSE)</f>
        <v>63297</v>
      </c>
      <c r="Y3444" s="131">
        <f>_xll.qlCalendarAdvance(Calendar,X3444,NDays&amp;"D")</f>
        <v>63299</v>
      </c>
      <c r="Z3444" s="132">
        <v>1.165991374734229E-2</v>
      </c>
      <c r="AA3444" s="129">
        <v>1.1635107549663459E-2</v>
      </c>
    </row>
    <row r="3445" spans="19:27" x14ac:dyDescent="0.2">
      <c r="S3445" s="1"/>
      <c r="T3445" s="109"/>
      <c r="W3445" s="130" t="str">
        <f t="shared" si="63"/>
        <v>1w</v>
      </c>
      <c r="X3445" s="128">
        <f>_xll.qlCalendarAdvance(Calendar,X3444,W3445,"f",FALSE)</f>
        <v>63304</v>
      </c>
      <c r="Y3445" s="131">
        <f>_xll.qlCalendarAdvance(Calendar,X3445,NDays&amp;"D")</f>
        <v>63306</v>
      </c>
      <c r="Z3445" s="132">
        <v>1.1661106595338493E-2</v>
      </c>
      <c r="AA3445" s="129">
        <v>1.1636372956163044E-2</v>
      </c>
    </row>
    <row r="3446" spans="19:27" x14ac:dyDescent="0.2">
      <c r="S3446" s="1"/>
      <c r="T3446" s="109"/>
      <c r="W3446" s="130" t="str">
        <f t="shared" si="63"/>
        <v>1w</v>
      </c>
      <c r="X3446" s="128">
        <f>_xll.qlCalendarAdvance(Calendar,X3445,W3446,"f",FALSE)</f>
        <v>63311</v>
      </c>
      <c r="Y3446" s="131">
        <f>_xll.qlCalendarAdvance(Calendar,X3446,NDays&amp;"D")</f>
        <v>63313</v>
      </c>
      <c r="Z3446" s="132">
        <v>1.1662558360392332E-2</v>
      </c>
      <c r="AA3446" s="129">
        <v>1.1637626536602497E-2</v>
      </c>
    </row>
    <row r="3447" spans="19:27" x14ac:dyDescent="0.2">
      <c r="S3447" s="1"/>
      <c r="T3447" s="109"/>
      <c r="W3447" s="130" t="str">
        <f t="shared" si="63"/>
        <v>1w</v>
      </c>
      <c r="X3447" s="128">
        <f>_xll.qlCalendarAdvance(Calendar,X3446,W3447,"f",FALSE)</f>
        <v>63318</v>
      </c>
      <c r="Y3447" s="131">
        <f>_xll.qlCalendarAdvance(Calendar,X3447,NDays&amp;"D")</f>
        <v>63320</v>
      </c>
      <c r="Z3447" s="132">
        <v>1.1663726678299098E-2</v>
      </c>
      <c r="AA3447" s="129">
        <v>1.163886829074201E-2</v>
      </c>
    </row>
    <row r="3448" spans="19:27" x14ac:dyDescent="0.2">
      <c r="S3448" s="1"/>
      <c r="T3448" s="109"/>
      <c r="W3448" s="130" t="str">
        <f t="shared" si="63"/>
        <v>1w</v>
      </c>
      <c r="X3448" s="128">
        <f>_xll.qlCalendarAdvance(Calendar,X3447,W3448,"f",FALSE)</f>
        <v>63325</v>
      </c>
      <c r="Y3448" s="131">
        <f>_xll.qlCalendarAdvance(Calendar,X3448,NDays&amp;"D")</f>
        <v>63327</v>
      </c>
      <c r="Z3448" s="132">
        <v>1.1664883135454353E-2</v>
      </c>
      <c r="AA3448" s="129">
        <v>1.1640098218661521E-2</v>
      </c>
    </row>
    <row r="3449" spans="19:27" x14ac:dyDescent="0.2">
      <c r="S3449" s="1"/>
      <c r="T3449" s="109"/>
      <c r="W3449" s="130" t="str">
        <f t="shared" si="63"/>
        <v>1w</v>
      </c>
      <c r="X3449" s="128">
        <f>_xll.qlCalendarAdvance(Calendar,X3448,W3449,"f",FALSE)</f>
        <v>63332</v>
      </c>
      <c r="Y3449" s="131">
        <f>_xll.qlCalendarAdvance(Calendar,X3449,NDays&amp;"D")</f>
        <v>63334</v>
      </c>
      <c r="Z3449" s="132">
        <v>1.1666027731845064E-2</v>
      </c>
      <c r="AA3449" s="129">
        <v>1.1641316320361028E-2</v>
      </c>
    </row>
    <row r="3450" spans="19:27" x14ac:dyDescent="0.2">
      <c r="S3450" s="1"/>
      <c r="T3450" s="109"/>
      <c r="W3450" s="130" t="str">
        <f t="shared" si="63"/>
        <v>1w</v>
      </c>
      <c r="X3450" s="128">
        <f>_xll.qlCalendarAdvance(Calendar,X3449,W3450,"f",FALSE)</f>
        <v>63339</v>
      </c>
      <c r="Y3450" s="131">
        <f>_xll.qlCalendarAdvance(Calendar,X3450,NDays&amp;"D")</f>
        <v>63341</v>
      </c>
      <c r="Z3450" s="132">
        <v>1.1667160467462544E-2</v>
      </c>
      <c r="AA3450" s="129">
        <v>1.1642522595760596E-2</v>
      </c>
    </row>
    <row r="3451" spans="19:27" x14ac:dyDescent="0.2">
      <c r="S3451" s="1"/>
      <c r="T3451" s="109"/>
      <c r="W3451" s="130" t="str">
        <f t="shared" si="63"/>
        <v>1w</v>
      </c>
      <c r="X3451" s="128">
        <f>_xll.qlCalendarAdvance(Calendar,X3450,W3451,"f",FALSE)</f>
        <v>63346</v>
      </c>
      <c r="Y3451" s="131">
        <f>_xll.qlCalendarAdvance(Calendar,X3451,NDays&amp;"D")</f>
        <v>63348</v>
      </c>
      <c r="Z3451" s="132">
        <v>1.1668281342295493E-2</v>
      </c>
      <c r="AA3451" s="129">
        <v>1.1643717045020097E-2</v>
      </c>
    </row>
    <row r="3452" spans="19:27" x14ac:dyDescent="0.2">
      <c r="S3452" s="1"/>
      <c r="T3452" s="109"/>
      <c r="W3452" s="130" t="str">
        <f t="shared" si="63"/>
        <v>1w</v>
      </c>
      <c r="X3452" s="128">
        <f>_xll.qlCalendarAdvance(Calendar,X3451,W3452,"f",FALSE)</f>
        <v>63353</v>
      </c>
      <c r="Y3452" s="131">
        <f>_xll.qlCalendarAdvance(Calendar,X3452,NDays&amp;"D")</f>
        <v>63355</v>
      </c>
      <c r="Z3452" s="132">
        <v>1.1669390356335225E-2</v>
      </c>
      <c r="AA3452" s="129">
        <v>1.164489966813953E-2</v>
      </c>
    </row>
    <row r="3453" spans="19:27" x14ac:dyDescent="0.2">
      <c r="S3453" s="1"/>
      <c r="T3453" s="109"/>
      <c r="W3453" s="130" t="str">
        <f t="shared" si="63"/>
        <v>1w</v>
      </c>
      <c r="X3453" s="128">
        <f>_xll.qlCalendarAdvance(Calendar,X3452,W3453,"f",FALSE)</f>
        <v>63360</v>
      </c>
      <c r="Y3453" s="131">
        <f>_xll.qlCalendarAdvance(Calendar,X3453,NDays&amp;"D")</f>
        <v>63362</v>
      </c>
      <c r="Z3453" s="132">
        <v>1.1670487509568707E-2</v>
      </c>
      <c r="AA3453" s="129">
        <v>1.1646070464799152E-2</v>
      </c>
    </row>
    <row r="3454" spans="19:27" x14ac:dyDescent="0.2">
      <c r="S3454" s="1"/>
      <c r="T3454" s="109"/>
      <c r="W3454" s="130" t="str">
        <f t="shared" si="63"/>
        <v>1w</v>
      </c>
      <c r="X3454" s="128">
        <f>_xll.qlCalendarAdvance(Calendar,X3453,W3454,"f",FALSE)</f>
        <v>63367</v>
      </c>
      <c r="Y3454" s="131">
        <f>_xll.qlCalendarAdvance(Calendar,X3454,NDays&amp;"D")</f>
        <v>63369</v>
      </c>
      <c r="Z3454" s="132">
        <v>1.1671572801988987E-2</v>
      </c>
      <c r="AA3454" s="129">
        <v>1.1647229435398643E-2</v>
      </c>
    </row>
    <row r="3455" spans="19:27" x14ac:dyDescent="0.2">
      <c r="S3455" s="1"/>
      <c r="T3455" s="109"/>
      <c r="W3455" s="130" t="str">
        <f t="shared" si="63"/>
        <v>1w</v>
      </c>
      <c r="X3455" s="128">
        <f>_xll.qlCalendarAdvance(Calendar,X3454,W3455,"f",FALSE)</f>
        <v>63374</v>
      </c>
      <c r="Y3455" s="131">
        <f>_xll.qlCalendarAdvance(Calendar,X3455,NDays&amp;"D")</f>
        <v>63376</v>
      </c>
      <c r="Z3455" s="132">
        <v>1.167264623358564E-2</v>
      </c>
      <c r="AA3455" s="129">
        <v>1.164837657977813E-2</v>
      </c>
    </row>
    <row r="3456" spans="19:27" x14ac:dyDescent="0.2">
      <c r="S3456" s="1"/>
      <c r="T3456" s="109"/>
      <c r="W3456" s="130" t="str">
        <f t="shared" si="63"/>
        <v>1w</v>
      </c>
      <c r="X3456" s="128">
        <f>_xll.qlCalendarAdvance(Calendar,X3455,W3456,"f",FALSE)</f>
        <v>63381</v>
      </c>
      <c r="Y3456" s="131">
        <f>_xll.qlCalendarAdvance(Calendar,X3456,NDays&amp;"D")</f>
        <v>63383</v>
      </c>
      <c r="Z3456" s="132">
        <v>1.1673707804347372E-2</v>
      </c>
      <c r="AA3456" s="129">
        <v>1.1649511897857678E-2</v>
      </c>
    </row>
    <row r="3457" spans="19:27" x14ac:dyDescent="0.2">
      <c r="S3457" s="1"/>
      <c r="T3457" s="109"/>
      <c r="W3457" s="130" t="str">
        <f t="shared" si="63"/>
        <v>1w</v>
      </c>
      <c r="X3457" s="128">
        <f>_xll.qlCalendarAdvance(Calendar,X3456,W3457,"f",FALSE)</f>
        <v>63388</v>
      </c>
      <c r="Y3457" s="131">
        <f>_xll.qlCalendarAdvance(Calendar,X3457,NDays&amp;"D")</f>
        <v>63390</v>
      </c>
      <c r="Z3457" s="132">
        <v>1.167475751426549E-2</v>
      </c>
      <c r="AA3457" s="129">
        <v>1.1650635389717223E-2</v>
      </c>
    </row>
    <row r="3458" spans="19:27" x14ac:dyDescent="0.2">
      <c r="S3458" s="1"/>
      <c r="T3458" s="109"/>
      <c r="W3458" s="130" t="str">
        <f t="shared" si="63"/>
        <v>1w</v>
      </c>
      <c r="X3458" s="128">
        <f>_xll.qlCalendarAdvance(Calendar,X3457,W3458,"f",FALSE)</f>
        <v>63395</v>
      </c>
      <c r="Y3458" s="131">
        <f>_xll.qlCalendarAdvance(Calendar,X3458,NDays&amp;"D")</f>
        <v>63397</v>
      </c>
      <c r="Z3458" s="132">
        <v>1.167579536333044E-2</v>
      </c>
      <c r="AA3458" s="129">
        <v>1.1651747055356765E-2</v>
      </c>
    </row>
    <row r="3459" spans="19:27" x14ac:dyDescent="0.2">
      <c r="S3459" s="1"/>
      <c r="T3459" s="109"/>
      <c r="W3459" s="130" t="str">
        <f t="shared" si="63"/>
        <v>1w</v>
      </c>
      <c r="X3459" s="128">
        <f>_xll.qlCalendarAdvance(Calendar,X3458,W3459,"f",FALSE)</f>
        <v>63402</v>
      </c>
      <c r="Y3459" s="131">
        <f>_xll.qlCalendarAdvance(Calendar,X3459,NDays&amp;"D")</f>
        <v>63404</v>
      </c>
      <c r="Z3459" s="132">
        <v>1.1676821351533532E-2</v>
      </c>
      <c r="AA3459" s="129">
        <v>1.1652846894776303E-2</v>
      </c>
    </row>
    <row r="3460" spans="19:27" x14ac:dyDescent="0.2">
      <c r="S3460" s="1"/>
      <c r="T3460" s="109"/>
      <c r="W3460" s="130" t="str">
        <f t="shared" si="63"/>
        <v>1w</v>
      </c>
      <c r="X3460" s="128">
        <f>_xll.qlCalendarAdvance(Calendar,X3459,W3460,"f",FALSE)</f>
        <v>63409</v>
      </c>
      <c r="Y3460" s="131">
        <f>_xll.qlCalendarAdvance(Calendar,X3460,NDays&amp;"D")</f>
        <v>63411</v>
      </c>
      <c r="Z3460" s="132">
        <v>1.1677835478866076E-2</v>
      </c>
      <c r="AA3460" s="129">
        <v>1.1653934907975838E-2</v>
      </c>
    </row>
    <row r="3461" spans="19:27" x14ac:dyDescent="0.2">
      <c r="S3461" s="1"/>
      <c r="T3461" s="109"/>
      <c r="W3461" s="130" t="str">
        <f t="shared" si="63"/>
        <v>1w</v>
      </c>
      <c r="X3461" s="128">
        <f>_xll.qlCalendarAdvance(Calendar,X3460,W3461,"f",FALSE)</f>
        <v>63416</v>
      </c>
      <c r="Y3461" s="131">
        <f>_xll.qlCalendarAdvance(Calendar,X3461,NDays&amp;"D")</f>
        <v>63418</v>
      </c>
      <c r="Z3461" s="132">
        <v>1.167883774531678E-2</v>
      </c>
      <c r="AA3461" s="129">
        <v>1.165501109495537E-2</v>
      </c>
    </row>
    <row r="3462" spans="19:27" x14ac:dyDescent="0.2">
      <c r="S3462" s="1"/>
      <c r="T3462" s="109"/>
      <c r="W3462" s="130" t="str">
        <f t="shared" si="63"/>
        <v>1w</v>
      </c>
      <c r="X3462" s="128">
        <f>_xll.qlCalendarAdvance(Calendar,X3461,W3462,"f",FALSE)</f>
        <v>63423</v>
      </c>
      <c r="Y3462" s="131">
        <f>_xll.qlCalendarAdvance(Calendar,X3462,NDays&amp;"D")</f>
        <v>63425</v>
      </c>
      <c r="Z3462" s="132">
        <v>1.1679828150876953E-2</v>
      </c>
      <c r="AA3462" s="129">
        <v>1.1656075455714898E-2</v>
      </c>
    </row>
    <row r="3463" spans="19:27" x14ac:dyDescent="0.2">
      <c r="S3463" s="1"/>
      <c r="T3463" s="109"/>
      <c r="W3463" s="130" t="str">
        <f t="shared" si="63"/>
        <v>1w</v>
      </c>
      <c r="X3463" s="128">
        <f>_xll.qlCalendarAdvance(Calendar,X3462,W3463,"f",FALSE)</f>
        <v>63430</v>
      </c>
      <c r="Y3463" s="131">
        <f>_xll.qlCalendarAdvance(Calendar,X3463,NDays&amp;"D")</f>
        <v>63432</v>
      </c>
      <c r="Z3463" s="132">
        <v>1.1680549729364368E-2</v>
      </c>
      <c r="AA3463" s="129">
        <v>1.1657127990254423E-2</v>
      </c>
    </row>
    <row r="3464" spans="19:27" x14ac:dyDescent="0.2">
      <c r="S3464" s="1"/>
      <c r="T3464" s="109"/>
      <c r="W3464" s="130" t="str">
        <f t="shared" si="63"/>
        <v>1w</v>
      </c>
      <c r="X3464" s="128">
        <f>_xll.qlCalendarAdvance(Calendar,X3463,W3464,"f",FALSE)</f>
        <v>63437</v>
      </c>
      <c r="Y3464" s="131">
        <f>_xll.qlCalendarAdvance(Calendar,X3464,NDays&amp;"D")</f>
        <v>63439</v>
      </c>
      <c r="Z3464" s="132">
        <v>1.1681517228979735E-2</v>
      </c>
      <c r="AA3464" s="129">
        <v>1.1658168698573945E-2</v>
      </c>
    </row>
    <row r="3465" spans="19:27" x14ac:dyDescent="0.2">
      <c r="S3465" s="1"/>
      <c r="T3465" s="109"/>
      <c r="W3465" s="130" t="str">
        <f t="shared" si="63"/>
        <v>1w</v>
      </c>
      <c r="X3465" s="128">
        <f>_xll.qlCalendarAdvance(Calendar,X3464,W3465,"f",FALSE)</f>
        <v>63444</v>
      </c>
      <c r="Y3465" s="131">
        <f>_xll.qlCalendarAdvance(Calendar,X3465,NDays&amp;"D")</f>
        <v>63446</v>
      </c>
      <c r="Z3465" s="132">
        <v>1.1682472868060571E-2</v>
      </c>
      <c r="AA3465" s="129">
        <v>1.1659197580593528E-2</v>
      </c>
    </row>
    <row r="3466" spans="19:27" x14ac:dyDescent="0.2">
      <c r="S3466" s="1"/>
      <c r="T3466" s="109"/>
      <c r="W3466" s="130" t="str">
        <f t="shared" si="63"/>
        <v>1w</v>
      </c>
      <c r="X3466" s="128">
        <f>_xll.qlCalendarAdvance(Calendar,X3465,W3466,"f",FALSE)</f>
        <v>63451</v>
      </c>
      <c r="Y3466" s="131">
        <f>_xll.qlCalendarAdvance(Calendar,X3466,NDays&amp;"D")</f>
        <v>63453</v>
      </c>
      <c r="Z3466" s="132">
        <v>1.1683416646599847E-2</v>
      </c>
      <c r="AA3466" s="129">
        <v>1.1660214636473043E-2</v>
      </c>
    </row>
    <row r="3467" spans="19:27" x14ac:dyDescent="0.2">
      <c r="S3467" s="1"/>
      <c r="T3467" s="109"/>
      <c r="W3467" s="130" t="str">
        <f t="shared" si="63"/>
        <v>1w</v>
      </c>
      <c r="X3467" s="128">
        <f>_xll.qlCalendarAdvance(Calendar,X3466,W3467,"f",FALSE)</f>
        <v>63458</v>
      </c>
      <c r="Y3467" s="131">
        <f>_xll.qlCalendarAdvance(Calendar,X3467,NDays&amp;"D")</f>
        <v>63460</v>
      </c>
      <c r="Z3467" s="132">
        <v>1.1684348564586144E-2</v>
      </c>
      <c r="AA3467" s="129">
        <v>1.1661219866052619E-2</v>
      </c>
    </row>
    <row r="3468" spans="19:27" x14ac:dyDescent="0.2">
      <c r="S3468" s="1"/>
      <c r="T3468" s="109"/>
      <c r="W3468" s="130" t="str">
        <f t="shared" si="63"/>
        <v>1w</v>
      </c>
      <c r="X3468" s="128">
        <f>_xll.qlCalendarAdvance(Calendar,X3467,W3468,"f",FALSE)</f>
        <v>63465</v>
      </c>
      <c r="Y3468" s="131">
        <f>_xll.qlCalendarAdvance(Calendar,X3468,NDays&amp;"D")</f>
        <v>63467</v>
      </c>
      <c r="Z3468" s="132">
        <v>1.1685521505055491E-2</v>
      </c>
      <c r="AA3468" s="129">
        <v>1.1662213269412192E-2</v>
      </c>
    </row>
    <row r="3469" spans="19:27" x14ac:dyDescent="0.2">
      <c r="S3469" s="1"/>
      <c r="T3469" s="109"/>
      <c r="W3469" s="130" t="str">
        <f t="shared" si="63"/>
        <v>1w</v>
      </c>
      <c r="X3469" s="128">
        <f>_xll.qlCalendarAdvance(Calendar,X3468,W3469,"f",FALSE)</f>
        <v>63472</v>
      </c>
      <c r="Y3469" s="131">
        <f>_xll.qlCalendarAdvance(Calendar,X3469,NDays&amp;"D")</f>
        <v>63474</v>
      </c>
      <c r="Z3469" s="132">
        <v>1.1686428884140404E-2</v>
      </c>
      <c r="AA3469" s="129">
        <v>1.1663194846551761E-2</v>
      </c>
    </row>
    <row r="3470" spans="19:27" x14ac:dyDescent="0.2">
      <c r="S3470" s="1"/>
      <c r="T3470" s="109"/>
      <c r="W3470" s="130" t="str">
        <f t="shared" si="63"/>
        <v>1w</v>
      </c>
      <c r="X3470" s="128">
        <f>_xll.qlCalendarAdvance(Calendar,X3469,W3470,"f",FALSE)</f>
        <v>63479</v>
      </c>
      <c r="Y3470" s="131">
        <f>_xll.qlCalendarAdvance(Calendar,X3470,NDays&amp;"D")</f>
        <v>63481</v>
      </c>
      <c r="Z3470" s="132">
        <v>1.1687324402267014E-2</v>
      </c>
      <c r="AA3470" s="129">
        <v>1.1664164597551263E-2</v>
      </c>
    </row>
    <row r="3471" spans="19:27" x14ac:dyDescent="0.2">
      <c r="S3471" s="1"/>
      <c r="T3471" s="109"/>
      <c r="W3471" s="130" t="str">
        <f t="shared" si="63"/>
        <v>1w</v>
      </c>
      <c r="X3471" s="128">
        <f>_xll.qlCalendarAdvance(Calendar,X3470,W3471,"f",FALSE)</f>
        <v>63486</v>
      </c>
      <c r="Y3471" s="131">
        <f>_xll.qlCalendarAdvance(Calendar,X3471,NDays&amp;"D")</f>
        <v>63488</v>
      </c>
      <c r="Z3471" s="132">
        <v>1.1688208059426632E-2</v>
      </c>
      <c r="AA3471" s="129">
        <v>1.166512252217089E-2</v>
      </c>
    </row>
    <row r="3472" spans="19:27" x14ac:dyDescent="0.2">
      <c r="S3472" s="1"/>
      <c r="T3472" s="109"/>
      <c r="W3472" s="130" t="str">
        <f t="shared" si="63"/>
        <v>1w</v>
      </c>
      <c r="X3472" s="128">
        <f>_xll.qlCalendarAdvance(Calendar,X3471,W3472,"f",FALSE)</f>
        <v>63493</v>
      </c>
      <c r="Y3472" s="131">
        <f>_xll.qlCalendarAdvance(Calendar,X3472,NDays&amp;"D")</f>
        <v>63495</v>
      </c>
      <c r="Z3472" s="132">
        <v>1.1689079855610572E-2</v>
      </c>
      <c r="AA3472" s="129">
        <v>1.1666068620570513E-2</v>
      </c>
    </row>
    <row r="3473" spans="19:27" x14ac:dyDescent="0.2">
      <c r="S3473" s="1"/>
      <c r="T3473" s="109"/>
      <c r="W3473" s="130" t="str">
        <f t="shared" si="63"/>
        <v>1w</v>
      </c>
      <c r="X3473" s="128">
        <f>_xll.qlCalendarAdvance(Calendar,X3472,W3473,"f",FALSE)</f>
        <v>63500</v>
      </c>
      <c r="Y3473" s="131">
        <f>_xll.qlCalendarAdvance(Calendar,X3473,NDays&amp;"D")</f>
        <v>63502</v>
      </c>
      <c r="Z3473" s="132">
        <v>1.1689939790811879E-2</v>
      </c>
      <c r="AA3473" s="129">
        <v>1.1667002892910006E-2</v>
      </c>
    </row>
    <row r="3474" spans="19:27" x14ac:dyDescent="0.2">
      <c r="S3474" s="1"/>
      <c r="T3474" s="109"/>
      <c r="W3474" s="130" t="str">
        <f t="shared" si="63"/>
        <v>1w</v>
      </c>
      <c r="X3474" s="128">
        <f>_xll.qlCalendarAdvance(Calendar,X3473,W3474,"f",FALSE)</f>
        <v>63507</v>
      </c>
      <c r="Y3474" s="131">
        <f>_xll.qlCalendarAdvance(Calendar,X3474,NDays&amp;"D")</f>
        <v>63509</v>
      </c>
      <c r="Z3474" s="132">
        <v>1.1690787865023606E-2</v>
      </c>
      <c r="AA3474" s="129">
        <v>1.1667925338949559E-2</v>
      </c>
    </row>
    <row r="3475" spans="19:27" x14ac:dyDescent="0.2">
      <c r="S3475" s="1"/>
      <c r="T3475" s="109"/>
      <c r="W3475" s="130" t="str">
        <f t="shared" si="63"/>
        <v>1w</v>
      </c>
      <c r="X3475" s="128">
        <f>_xll.qlCalendarAdvance(Calendar,X3474,W3475,"f",FALSE)</f>
        <v>63514</v>
      </c>
      <c r="Y3475" s="131">
        <f>_xll.qlCalendarAdvance(Calendar,X3475,NDays&amp;"D")</f>
        <v>63516</v>
      </c>
      <c r="Z3475" s="132">
        <v>1.1691624078235324E-2</v>
      </c>
      <c r="AA3475" s="129">
        <v>1.1668835958609236E-2</v>
      </c>
    </row>
    <row r="3476" spans="19:27" x14ac:dyDescent="0.2">
      <c r="S3476" s="1"/>
      <c r="T3476" s="109"/>
      <c r="W3476" s="130" t="str">
        <f t="shared" si="63"/>
        <v>1w</v>
      </c>
      <c r="X3476" s="128">
        <f>_xll.qlCalendarAdvance(Calendar,X3475,W3476,"f",FALSE)</f>
        <v>63521</v>
      </c>
      <c r="Y3476" s="131">
        <f>_xll.qlCalendarAdvance(Calendar,X3476,NDays&amp;"D")</f>
        <v>63523</v>
      </c>
      <c r="Z3476" s="132">
        <v>1.1691955697279433E-2</v>
      </c>
      <c r="AA3476" s="129">
        <v>1.1669734752208782E-2</v>
      </c>
    </row>
    <row r="3477" spans="19:27" x14ac:dyDescent="0.2">
      <c r="S3477" s="1"/>
      <c r="T3477" s="109"/>
      <c r="W3477" s="130" t="str">
        <f t="shared" ref="W3477:W3540" si="64">W3476</f>
        <v>1w</v>
      </c>
      <c r="X3477" s="128">
        <f>_xll.qlCalendarAdvance(Calendar,X3476,W3477,"f",FALSE)</f>
        <v>63528</v>
      </c>
      <c r="Y3477" s="131">
        <f>_xll.qlCalendarAdvance(Calendar,X3477,NDays&amp;"D")</f>
        <v>63530</v>
      </c>
      <c r="Z3477" s="132">
        <v>1.1692769830096594E-2</v>
      </c>
      <c r="AA3477" s="129">
        <v>1.1670621719588326E-2</v>
      </c>
    </row>
    <row r="3478" spans="19:27" x14ac:dyDescent="0.2">
      <c r="S3478" s="1"/>
      <c r="T3478" s="109"/>
      <c r="W3478" s="130" t="str">
        <f t="shared" si="64"/>
        <v>1w</v>
      </c>
      <c r="X3478" s="128">
        <f>_xll.qlCalendarAdvance(Calendar,X3477,W3478,"f",FALSE)</f>
        <v>63535</v>
      </c>
      <c r="Y3478" s="131">
        <f>_xll.qlCalendarAdvance(Calendar,X3478,NDays&amp;"D")</f>
        <v>63537</v>
      </c>
      <c r="Z3478" s="132">
        <v>1.1693572102658756E-2</v>
      </c>
      <c r="AA3478" s="129">
        <v>1.1671496860667929E-2</v>
      </c>
    </row>
    <row r="3479" spans="19:27" x14ac:dyDescent="0.2">
      <c r="S3479" s="1"/>
      <c r="T3479" s="109"/>
      <c r="W3479" s="130" t="str">
        <f t="shared" si="64"/>
        <v>1w</v>
      </c>
      <c r="X3479" s="128">
        <f>_xll.qlCalendarAdvance(Calendar,X3478,W3479,"f",FALSE)</f>
        <v>63542</v>
      </c>
      <c r="Y3479" s="131">
        <f>_xll.qlCalendarAdvance(Calendar,X3479,NDays&amp;"D")</f>
        <v>63544</v>
      </c>
      <c r="Z3479" s="132">
        <v>1.16943625149597E-2</v>
      </c>
      <c r="AA3479" s="129">
        <v>1.1672360175447594E-2</v>
      </c>
    </row>
    <row r="3480" spans="19:27" x14ac:dyDescent="0.2">
      <c r="S3480" s="1"/>
      <c r="T3480" s="109"/>
      <c r="W3480" s="130" t="str">
        <f t="shared" si="64"/>
        <v>1w</v>
      </c>
      <c r="X3480" s="128">
        <f>_xll.qlCalendarAdvance(Calendar,X3479,W3480,"f",FALSE)</f>
        <v>63550</v>
      </c>
      <c r="Y3480" s="131">
        <f>_xll.qlCalendarAdvance(Calendar,X3480,NDays&amp;"D")</f>
        <v>63552</v>
      </c>
      <c r="Z3480" s="132">
        <v>1.1695494320671251E-2</v>
      </c>
      <c r="AA3480" s="129">
        <v>1.1674080558004007E-2</v>
      </c>
    </row>
    <row r="3481" spans="19:27" x14ac:dyDescent="0.2">
      <c r="S3481" s="1"/>
      <c r="T3481" s="109"/>
      <c r="W3481" s="130" t="str">
        <f t="shared" si="64"/>
        <v>1w</v>
      </c>
      <c r="X3481" s="128">
        <f>_xll.qlCalendarAdvance(Calendar,X3480,W3481,"f",FALSE)</f>
        <v>63557</v>
      </c>
      <c r="Y3481" s="131">
        <f>_xll.qlCalendarAdvance(Calendar,X3481,NDays&amp;"D")</f>
        <v>63559</v>
      </c>
      <c r="Z3481" s="132">
        <v>1.1696016317958247E-2</v>
      </c>
      <c r="AA3481" s="129">
        <v>1.167466756215596E-2</v>
      </c>
    </row>
    <row r="3482" spans="19:27" x14ac:dyDescent="0.2">
      <c r="S3482" s="1"/>
      <c r="T3482" s="109"/>
      <c r="W3482" s="130" t="str">
        <f t="shared" si="64"/>
        <v>1w</v>
      </c>
      <c r="X3482" s="128">
        <f>_xll.qlCalendarAdvance(Calendar,X3481,W3482,"f",FALSE)</f>
        <v>63564</v>
      </c>
      <c r="Y3482" s="131">
        <f>_xll.qlCalendarAdvance(Calendar,X3482,NDays&amp;"D")</f>
        <v>63566</v>
      </c>
      <c r="Z3482" s="132">
        <v>1.1696769455108225E-2</v>
      </c>
      <c r="AA3482" s="129">
        <v>1.1675492072908966E-2</v>
      </c>
    </row>
    <row r="3483" spans="19:27" x14ac:dyDescent="0.2">
      <c r="S3483" s="1"/>
      <c r="T3483" s="109"/>
      <c r="W3483" s="130" t="str">
        <f t="shared" si="64"/>
        <v>1w</v>
      </c>
      <c r="X3483" s="128">
        <f>_xll.qlCalendarAdvance(Calendar,X3482,W3483,"f",FALSE)</f>
        <v>63571</v>
      </c>
      <c r="Y3483" s="131">
        <f>_xll.qlCalendarAdvance(Calendar,X3483,NDays&amp;"D")</f>
        <v>63573</v>
      </c>
      <c r="Z3483" s="132">
        <v>1.1697510731968563E-2</v>
      </c>
      <c r="AA3483" s="129">
        <v>1.1676304756642608E-2</v>
      </c>
    </row>
    <row r="3484" spans="19:27" x14ac:dyDescent="0.2">
      <c r="S3484" s="1"/>
      <c r="T3484" s="109"/>
      <c r="W3484" s="130" t="str">
        <f t="shared" si="64"/>
        <v>1w</v>
      </c>
      <c r="X3484" s="128">
        <f>_xll.qlCalendarAdvance(Calendar,X3483,W3484,"f",FALSE)</f>
        <v>63578</v>
      </c>
      <c r="Y3484" s="131">
        <f>_xll.qlCalendarAdvance(Calendar,X3484,NDays&amp;"D")</f>
        <v>63580</v>
      </c>
      <c r="Z3484" s="132">
        <v>1.1698240148532157E-2</v>
      </c>
      <c r="AA3484" s="129">
        <v>1.1677105613410177E-2</v>
      </c>
    </row>
    <row r="3485" spans="19:27" x14ac:dyDescent="0.2">
      <c r="S3485" s="1"/>
      <c r="T3485" s="109"/>
      <c r="W3485" s="130" t="str">
        <f t="shared" si="64"/>
        <v>1w</v>
      </c>
      <c r="X3485" s="128">
        <f>_xll.qlCalendarAdvance(Calendar,X3484,W3485,"f",FALSE)</f>
        <v>63585</v>
      </c>
      <c r="Y3485" s="131">
        <f>_xll.qlCalendarAdvance(Calendar,X3485,NDays&amp;"D")</f>
        <v>63587</v>
      </c>
      <c r="Z3485" s="132">
        <v>1.1698718746960012E-2</v>
      </c>
      <c r="AA3485" s="129">
        <v>1.1677894643158382E-2</v>
      </c>
    </row>
    <row r="3486" spans="19:27" x14ac:dyDescent="0.2">
      <c r="S3486" s="1"/>
      <c r="T3486" s="109"/>
      <c r="W3486" s="130" t="str">
        <f t="shared" si="64"/>
        <v>1w</v>
      </c>
      <c r="X3486" s="128">
        <f>_xll.qlCalendarAdvance(Calendar,X3485,W3486,"f",FALSE)</f>
        <v>63592</v>
      </c>
      <c r="Y3486" s="131">
        <f>_xll.qlCalendarAdvance(Calendar,X3486,NDays&amp;"D")</f>
        <v>63594</v>
      </c>
      <c r="Z3486" s="132">
        <v>1.1699425267151576E-2</v>
      </c>
      <c r="AA3486" s="129">
        <v>1.1678671845913868E-2</v>
      </c>
    </row>
    <row r="3487" spans="19:27" x14ac:dyDescent="0.2">
      <c r="S3487" s="1"/>
      <c r="T3487" s="109"/>
      <c r="W3487" s="130" t="str">
        <f t="shared" si="64"/>
        <v>1w</v>
      </c>
      <c r="X3487" s="128">
        <f>_xll.qlCalendarAdvance(Calendar,X3486,W3487,"f",FALSE)</f>
        <v>63599</v>
      </c>
      <c r="Y3487" s="131">
        <f>_xll.qlCalendarAdvance(Calendar,X3487,NDays&amp;"D")</f>
        <v>63601</v>
      </c>
      <c r="Z3487" s="132">
        <v>1.170011992741078E-2</v>
      </c>
      <c r="AA3487" s="129">
        <v>1.1679437221676636E-2</v>
      </c>
    </row>
    <row r="3488" spans="19:27" x14ac:dyDescent="0.2">
      <c r="S3488" s="1"/>
      <c r="T3488" s="109"/>
      <c r="W3488" s="130" t="str">
        <f t="shared" si="64"/>
        <v>1w</v>
      </c>
      <c r="X3488" s="128">
        <f>_xll.qlCalendarAdvance(Calendar,X3487,W3488,"f",FALSE)</f>
        <v>63606</v>
      </c>
      <c r="Y3488" s="131">
        <f>_xll.qlCalendarAdvance(Calendar,X3488,NDays&amp;"D")</f>
        <v>63608</v>
      </c>
      <c r="Z3488" s="132">
        <v>1.1700802727733129E-2</v>
      </c>
      <c r="AA3488" s="129">
        <v>1.1680190770446686E-2</v>
      </c>
    </row>
    <row r="3489" spans="19:27" x14ac:dyDescent="0.2">
      <c r="S3489" s="1"/>
      <c r="T3489" s="109"/>
      <c r="W3489" s="130" t="str">
        <f t="shared" si="64"/>
        <v>1w</v>
      </c>
      <c r="X3489" s="128">
        <f>_xll.qlCalendarAdvance(Calendar,X3488,W3489,"f",FALSE)</f>
        <v>63613</v>
      </c>
      <c r="Y3489" s="131">
        <f>_xll.qlCalendarAdvance(Calendar,X3489,NDays&amp;"D")</f>
        <v>63615</v>
      </c>
      <c r="Z3489" s="132">
        <v>1.1702651224833828E-2</v>
      </c>
      <c r="AA3489" s="129">
        <v>1.1680932492224017E-2</v>
      </c>
    </row>
    <row r="3490" spans="19:27" x14ac:dyDescent="0.2">
      <c r="S3490" s="1"/>
      <c r="T3490" s="109"/>
      <c r="W3490" s="130" t="str">
        <f t="shared" si="64"/>
        <v>1w</v>
      </c>
      <c r="X3490" s="128">
        <f>_xll.qlCalendarAdvance(Calendar,X3489,W3490,"f",FALSE)</f>
        <v>63620</v>
      </c>
      <c r="Y3490" s="131">
        <f>_xll.qlCalendarAdvance(Calendar,X3490,NDays&amp;"D")</f>
        <v>63622</v>
      </c>
      <c r="Z3490" s="132">
        <v>1.1703306175850654E-2</v>
      </c>
      <c r="AA3490" s="129">
        <v>1.1681662387008629E-2</v>
      </c>
    </row>
    <row r="3491" spans="19:27" x14ac:dyDescent="0.2">
      <c r="S3491" s="1"/>
      <c r="T3491" s="109"/>
      <c r="W3491" s="130" t="str">
        <f t="shared" si="64"/>
        <v>1w</v>
      </c>
      <c r="X3491" s="128">
        <f>_xll.qlCalendarAdvance(Calendar,X3490,W3491,"f",FALSE)</f>
        <v>63627</v>
      </c>
      <c r="Y3491" s="131">
        <f>_xll.qlCalendarAdvance(Calendar,X3491,NDays&amp;"D")</f>
        <v>63629</v>
      </c>
      <c r="Z3491" s="132">
        <v>1.170394926499004E-2</v>
      </c>
      <c r="AA3491" s="129">
        <v>1.1682380454773877E-2</v>
      </c>
    </row>
    <row r="3492" spans="19:27" x14ac:dyDescent="0.2">
      <c r="S3492" s="1"/>
      <c r="T3492" s="109"/>
      <c r="W3492" s="130" t="str">
        <f t="shared" si="64"/>
        <v>1w</v>
      </c>
      <c r="X3492" s="128">
        <f>_xll.qlCalendarAdvance(Calendar,X3491,W3492,"f",FALSE)</f>
        <v>63634</v>
      </c>
      <c r="Y3492" s="131">
        <f>_xll.qlCalendarAdvance(Calendar,X3492,NDays&amp;"D")</f>
        <v>63636</v>
      </c>
      <c r="Z3492" s="132">
        <v>1.1704580492249438E-2</v>
      </c>
      <c r="AA3492" s="129">
        <v>1.1683086695599698E-2</v>
      </c>
    </row>
    <row r="3493" spans="19:27" x14ac:dyDescent="0.2">
      <c r="S3493" s="1"/>
      <c r="T3493" s="109"/>
      <c r="W3493" s="130" t="str">
        <f t="shared" si="64"/>
        <v>1w</v>
      </c>
      <c r="X3493" s="128">
        <f>_xll.qlCalendarAdvance(Calendar,X3492,W3493,"f",FALSE)</f>
        <v>63641</v>
      </c>
      <c r="Y3493" s="131">
        <f>_xll.qlCalendarAdvance(Calendar,X3493,NDays&amp;"D")</f>
        <v>63643</v>
      </c>
      <c r="Z3493" s="132">
        <v>1.1704503462602182E-2</v>
      </c>
      <c r="AA3493" s="129">
        <v>1.168378110937951E-2</v>
      </c>
    </row>
    <row r="3494" spans="19:27" x14ac:dyDescent="0.2">
      <c r="S3494" s="1"/>
      <c r="T3494" s="109"/>
      <c r="W3494" s="130" t="str">
        <f t="shared" si="64"/>
        <v>1w</v>
      </c>
      <c r="X3494" s="128">
        <f>_xll.qlCalendarAdvance(Calendar,X3493,W3494,"f",FALSE)</f>
        <v>63648</v>
      </c>
      <c r="Y3494" s="131">
        <f>_xll.qlCalendarAdvance(Calendar,X3494,NDays&amp;"D")</f>
        <v>63650</v>
      </c>
      <c r="Z3494" s="132">
        <v>1.1705113448502216E-2</v>
      </c>
      <c r="AA3494" s="129">
        <v>1.1684463696166603E-2</v>
      </c>
    </row>
    <row r="3495" spans="19:27" x14ac:dyDescent="0.2">
      <c r="S3495" s="1"/>
      <c r="T3495" s="109"/>
      <c r="W3495" s="130" t="str">
        <f t="shared" si="64"/>
        <v>1w</v>
      </c>
      <c r="X3495" s="128">
        <f>_xll.qlCalendarAdvance(Calendar,X3494,W3495,"f",FALSE)</f>
        <v>63655</v>
      </c>
      <c r="Y3495" s="131">
        <f>_xll.qlCalendarAdvance(Calendar,X3495,NDays&amp;"D")</f>
        <v>63661</v>
      </c>
      <c r="Z3495" s="132">
        <v>1.1706048034222677E-2</v>
      </c>
      <c r="AA3495" s="129">
        <v>1.1685039102076189E-2</v>
      </c>
    </row>
    <row r="3496" spans="19:27" x14ac:dyDescent="0.2">
      <c r="S3496" s="1"/>
      <c r="T3496" s="109"/>
      <c r="W3496" s="130" t="str">
        <f t="shared" si="64"/>
        <v>1w</v>
      </c>
      <c r="X3496" s="128">
        <f>_xll.qlCalendarAdvance(Calendar,X3495,W3496,"f",FALSE)</f>
        <v>63662</v>
      </c>
      <c r="Y3496" s="131">
        <f>_xll.qlCalendarAdvance(Calendar,X3496,NDays&amp;"D")</f>
        <v>63664</v>
      </c>
      <c r="Z3496" s="132">
        <v>1.1706297838057437E-2</v>
      </c>
      <c r="AA3496" s="129">
        <v>1.1685793388815924E-2</v>
      </c>
    </row>
    <row r="3497" spans="19:27" x14ac:dyDescent="0.2">
      <c r="S3497" s="1"/>
      <c r="T3497" s="109"/>
      <c r="W3497" s="130" t="str">
        <f t="shared" si="64"/>
        <v>1w</v>
      </c>
      <c r="X3497" s="128">
        <f>_xll.qlCalendarAdvance(Calendar,X3496,W3497,"f",FALSE)</f>
        <v>63669</v>
      </c>
      <c r="Y3497" s="131">
        <f>_xll.qlCalendarAdvance(Calendar,X3497,NDays&amp;"D")</f>
        <v>63671</v>
      </c>
      <c r="Z3497" s="132">
        <v>1.1706872241703843E-2</v>
      </c>
      <c r="AA3497" s="129">
        <v>1.1686440494624861E-2</v>
      </c>
    </row>
    <row r="3498" spans="19:27" x14ac:dyDescent="0.2">
      <c r="S3498" s="1"/>
      <c r="T3498" s="109"/>
      <c r="W3498" s="130" t="str">
        <f t="shared" si="64"/>
        <v>1w</v>
      </c>
      <c r="X3498" s="128">
        <f>_xll.qlCalendarAdvance(Calendar,X3497,W3498,"f",FALSE)</f>
        <v>63676</v>
      </c>
      <c r="Y3498" s="131">
        <f>_xll.qlCalendarAdvance(Calendar,X3498,NDays&amp;"D")</f>
        <v>63678</v>
      </c>
      <c r="Z3498" s="132">
        <v>1.1708118755955295E-2</v>
      </c>
      <c r="AA3498" s="129">
        <v>1.168707577344108E-2</v>
      </c>
    </row>
    <row r="3499" spans="19:27" x14ac:dyDescent="0.2">
      <c r="S3499" s="1"/>
      <c r="T3499" s="109"/>
      <c r="W3499" s="130" t="str">
        <f t="shared" si="64"/>
        <v>1w</v>
      </c>
      <c r="X3499" s="128">
        <f>_xll.qlCalendarAdvance(Calendar,X3498,W3499,"f",FALSE)</f>
        <v>63683</v>
      </c>
      <c r="Y3499" s="131">
        <f>_xll.qlCalendarAdvance(Calendar,X3499,NDays&amp;"D")</f>
        <v>63685</v>
      </c>
      <c r="Z3499" s="132">
        <v>1.1708666949880443E-2</v>
      </c>
      <c r="AA3499" s="129">
        <v>1.1687699225264581E-2</v>
      </c>
    </row>
    <row r="3500" spans="19:27" x14ac:dyDescent="0.2">
      <c r="S3500" s="1"/>
      <c r="T3500" s="109"/>
      <c r="W3500" s="130" t="str">
        <f t="shared" si="64"/>
        <v>1w</v>
      </c>
      <c r="X3500" s="128">
        <f>_xll.qlCalendarAdvance(Calendar,X3499,W3500,"f",FALSE)</f>
        <v>63690</v>
      </c>
      <c r="Y3500" s="131">
        <f>_xll.qlCalendarAdvance(Calendar,X3500,NDays&amp;"D")</f>
        <v>63692</v>
      </c>
      <c r="Z3500" s="132">
        <v>1.1709203281882232E-2</v>
      </c>
      <c r="AA3500" s="129">
        <v>1.1688310850095363E-2</v>
      </c>
    </row>
    <row r="3501" spans="19:27" x14ac:dyDescent="0.2">
      <c r="S3501" s="1"/>
      <c r="T3501" s="109"/>
      <c r="W3501" s="130" t="str">
        <f t="shared" si="64"/>
        <v>1w</v>
      </c>
      <c r="X3501" s="128">
        <f>_xll.qlCalendarAdvance(Calendar,X3500,W3501,"f",FALSE)</f>
        <v>63697</v>
      </c>
      <c r="Y3501" s="131">
        <f>_xll.qlCalendarAdvance(Calendar,X3501,NDays&amp;"D")</f>
        <v>63699</v>
      </c>
      <c r="Z3501" s="132">
        <v>1.1709727751951308E-2</v>
      </c>
      <c r="AA3501" s="129">
        <v>1.1688910647933426E-2</v>
      </c>
    </row>
    <row r="3502" spans="19:27" x14ac:dyDescent="0.2">
      <c r="S3502" s="1"/>
      <c r="T3502" s="109"/>
      <c r="W3502" s="130" t="str">
        <f t="shared" si="64"/>
        <v>1w</v>
      </c>
      <c r="X3502" s="128">
        <f>_xll.qlCalendarAdvance(Calendar,X3501,W3502,"f",FALSE)</f>
        <v>63704</v>
      </c>
      <c r="Y3502" s="131">
        <f>_xll.qlCalendarAdvance(Calendar,X3502,NDays&amp;"D")</f>
        <v>63706</v>
      </c>
      <c r="Z3502" s="132">
        <v>1.1710240360085122E-2</v>
      </c>
      <c r="AA3502" s="129">
        <v>1.1689498618752125E-2</v>
      </c>
    </row>
    <row r="3503" spans="19:27" x14ac:dyDescent="0.2">
      <c r="S3503" s="1"/>
      <c r="T3503" s="109"/>
      <c r="W3503" s="130" t="str">
        <f t="shared" si="64"/>
        <v>1w</v>
      </c>
      <c r="X3503" s="128">
        <f>_xll.qlCalendarAdvance(Calendar,X3502,W3503,"f",FALSE)</f>
        <v>63711</v>
      </c>
      <c r="Y3503" s="131">
        <f>_xll.qlCalendarAdvance(Calendar,X3503,NDays&amp;"D")</f>
        <v>63713</v>
      </c>
      <c r="Z3503" s="132">
        <v>1.1710741106278568E-2</v>
      </c>
      <c r="AA3503" s="129">
        <v>1.1690074762631397E-2</v>
      </c>
    </row>
    <row r="3504" spans="19:27" x14ac:dyDescent="0.2">
      <c r="S3504" s="1"/>
      <c r="T3504" s="109"/>
      <c r="W3504" s="130" t="str">
        <f t="shared" si="64"/>
        <v>1w</v>
      </c>
      <c r="X3504" s="128">
        <f>_xll.qlCalendarAdvance(Calendar,X3503,W3504,"f",FALSE)</f>
        <v>63718</v>
      </c>
      <c r="Y3504" s="131">
        <f>_xll.qlCalendarAdvance(Calendar,X3504,NDays&amp;"D")</f>
        <v>63720</v>
      </c>
      <c r="Z3504" s="132">
        <v>1.1711229990527396E-2</v>
      </c>
      <c r="AA3504" s="129">
        <v>1.1690639079438014E-2</v>
      </c>
    </row>
    <row r="3505" spans="19:27" x14ac:dyDescent="0.2">
      <c r="S3505" s="1"/>
      <c r="T3505" s="109"/>
      <c r="W3505" s="130" t="str">
        <f t="shared" si="64"/>
        <v>1w</v>
      </c>
      <c r="X3505" s="128">
        <f>_xll.qlCalendarAdvance(Calendar,X3504,W3505,"f",FALSE)</f>
        <v>63725</v>
      </c>
      <c r="Y3505" s="131">
        <f>_xll.qlCalendarAdvance(Calendar,X3505,NDays&amp;"D")</f>
        <v>63727</v>
      </c>
      <c r="Z3505" s="132">
        <v>1.1711707012826504E-2</v>
      </c>
      <c r="AA3505" s="129">
        <v>1.1691191569278558E-2</v>
      </c>
    </row>
    <row r="3506" spans="19:27" x14ac:dyDescent="0.2">
      <c r="S3506" s="1"/>
      <c r="T3506" s="109"/>
      <c r="W3506" s="130" t="str">
        <f t="shared" si="64"/>
        <v>1w</v>
      </c>
      <c r="X3506" s="128">
        <f>_xll.qlCalendarAdvance(Calendar,X3505,W3506,"f",FALSE)</f>
        <v>63732</v>
      </c>
      <c r="Y3506" s="131">
        <f>_xll.qlCalendarAdvance(Calendar,X3506,NDays&amp;"D")</f>
        <v>63734</v>
      </c>
      <c r="Z3506" s="132">
        <v>1.1711508139656835E-2</v>
      </c>
      <c r="AA3506" s="129">
        <v>1.1691732232153029E-2</v>
      </c>
    </row>
    <row r="3507" spans="19:27" x14ac:dyDescent="0.2">
      <c r="S3507" s="1"/>
      <c r="T3507" s="109"/>
      <c r="W3507" s="130" t="str">
        <f t="shared" si="64"/>
        <v>1w</v>
      </c>
      <c r="X3507" s="128">
        <f>_xll.qlCalendarAdvance(Calendar,X3506,W3507,"f",FALSE)</f>
        <v>63739</v>
      </c>
      <c r="Y3507" s="131">
        <f>_xll.qlCalendarAdvance(Calendar,X3507,NDays&amp;"D")</f>
        <v>63741</v>
      </c>
      <c r="Z3507" s="132">
        <v>1.1712625471558552E-2</v>
      </c>
      <c r="AA3507" s="129">
        <v>1.1692261067981491E-2</v>
      </c>
    </row>
    <row r="3508" spans="19:27" x14ac:dyDescent="0.2">
      <c r="S3508" s="1"/>
      <c r="T3508" s="109"/>
      <c r="W3508" s="130" t="str">
        <f t="shared" si="64"/>
        <v>1w</v>
      </c>
      <c r="X3508" s="128">
        <f>_xll.qlCalendarAdvance(Calendar,X3507,W3508,"f",FALSE)</f>
        <v>63746</v>
      </c>
      <c r="Y3508" s="131">
        <f>_xll.qlCalendarAdvance(Calendar,X3508,NDays&amp;"D")</f>
        <v>63748</v>
      </c>
      <c r="Z3508" s="132">
        <v>1.1713066907983837E-2</v>
      </c>
      <c r="AA3508" s="129">
        <v>1.1692778076843879E-2</v>
      </c>
    </row>
    <row r="3509" spans="19:27" x14ac:dyDescent="0.2">
      <c r="S3509" s="1"/>
      <c r="T3509" s="109"/>
      <c r="W3509" s="130" t="str">
        <f t="shared" si="64"/>
        <v>1w</v>
      </c>
      <c r="X3509" s="128">
        <f>_xll.qlCalendarAdvance(Calendar,X3508,W3509,"f",FALSE)</f>
        <v>63753</v>
      </c>
      <c r="Y3509" s="131">
        <f>_xll.qlCalendarAdvance(Calendar,X3509,NDays&amp;"D")</f>
        <v>63755</v>
      </c>
      <c r="Z3509" s="132">
        <v>1.1713496482441545E-2</v>
      </c>
      <c r="AA3509" s="129">
        <v>1.1693283258713549E-2</v>
      </c>
    </row>
    <row r="3510" spans="19:27" x14ac:dyDescent="0.2">
      <c r="S3510" s="1"/>
      <c r="T3510" s="109"/>
      <c r="W3510" s="130" t="str">
        <f t="shared" si="64"/>
        <v>1w</v>
      </c>
      <c r="X3510" s="128">
        <f>_xll.qlCalendarAdvance(Calendar,X3509,W3510,"f",FALSE)</f>
        <v>63760</v>
      </c>
      <c r="Y3510" s="131">
        <f>_xll.qlCalendarAdvance(Calendar,X3510,NDays&amp;"D")</f>
        <v>63762</v>
      </c>
      <c r="Z3510" s="132">
        <v>1.1713914194928272E-2</v>
      </c>
      <c r="AA3510" s="129">
        <v>1.169377661353721E-2</v>
      </c>
    </row>
    <row r="3511" spans="19:27" x14ac:dyDescent="0.2">
      <c r="S3511" s="1"/>
      <c r="T3511" s="109"/>
      <c r="W3511" s="130" t="str">
        <f t="shared" si="64"/>
        <v>1w</v>
      </c>
      <c r="X3511" s="128">
        <f>_xll.qlCalendarAdvance(Calendar,X3510,W3511,"f",FALSE)</f>
        <v>63767</v>
      </c>
      <c r="Y3511" s="131">
        <f>_xll.qlCalendarAdvance(Calendar,X3511,NDays&amp;"D")</f>
        <v>63769</v>
      </c>
      <c r="Z3511" s="132">
        <v>1.1714320045441469E-2</v>
      </c>
      <c r="AA3511" s="129">
        <v>1.1694258141421443E-2</v>
      </c>
    </row>
    <row r="3512" spans="19:27" x14ac:dyDescent="0.2">
      <c r="S3512" s="1"/>
      <c r="T3512" s="109"/>
      <c r="W3512" s="130" t="str">
        <f t="shared" si="64"/>
        <v>1w</v>
      </c>
      <c r="X3512" s="128">
        <f>_xll.qlCalendarAdvance(Calendar,X3511,W3512,"f",FALSE)</f>
        <v>63774</v>
      </c>
      <c r="Y3512" s="131">
        <f>_xll.qlCalendarAdvance(Calendar,X3512,NDays&amp;"D")</f>
        <v>63776</v>
      </c>
      <c r="Z3512" s="132">
        <v>1.1714714033976033E-2</v>
      </c>
      <c r="AA3512" s="129">
        <v>1.1694727842259667E-2</v>
      </c>
    </row>
    <row r="3513" spans="19:27" x14ac:dyDescent="0.2">
      <c r="S3513" s="1"/>
      <c r="T3513" s="109"/>
      <c r="W3513" s="130" t="str">
        <f t="shared" si="64"/>
        <v>1w</v>
      </c>
      <c r="X3513" s="128">
        <f>_xll.qlCalendarAdvance(Calendar,X3512,W3513,"f",FALSE)</f>
        <v>63781</v>
      </c>
      <c r="Y3513" s="131">
        <f>_xll.qlCalendarAdvance(Calendar,X3513,NDays&amp;"D")</f>
        <v>63783</v>
      </c>
      <c r="Z3513" s="132">
        <v>1.171509616052941E-2</v>
      </c>
      <c r="AA3513" s="129">
        <v>1.1695185716131817E-2</v>
      </c>
    </row>
    <row r="3514" spans="19:27" x14ac:dyDescent="0.2">
      <c r="S3514" s="1"/>
      <c r="T3514" s="109"/>
      <c r="W3514" s="130" t="str">
        <f t="shared" si="64"/>
        <v>1w</v>
      </c>
      <c r="X3514" s="128">
        <f>_xll.qlCalendarAdvance(Calendar,X3513,W3514,"f",FALSE)</f>
        <v>63788</v>
      </c>
      <c r="Y3514" s="131">
        <f>_xll.qlCalendarAdvance(Calendar,X3514,NDays&amp;"D")</f>
        <v>63790</v>
      </c>
      <c r="Z3514" s="132">
        <v>1.1715466425098204E-2</v>
      </c>
      <c r="AA3514" s="129">
        <v>1.1695631762984604E-2</v>
      </c>
    </row>
    <row r="3515" spans="19:27" x14ac:dyDescent="0.2">
      <c r="S3515" s="1"/>
      <c r="T3515" s="109"/>
      <c r="W3515" s="130" t="str">
        <f t="shared" si="64"/>
        <v>1w</v>
      </c>
      <c r="X3515" s="128">
        <f>_xll.qlCalendarAdvance(Calendar,X3514,W3515,"f",FALSE)</f>
        <v>63795</v>
      </c>
      <c r="Y3515" s="131">
        <f>_xll.qlCalendarAdvance(Calendar,X3515,NDays&amp;"D")</f>
        <v>63797</v>
      </c>
      <c r="Z3515" s="132">
        <v>1.1715183312609616E-2</v>
      </c>
      <c r="AA3515" s="129">
        <v>1.1696065982871318E-2</v>
      </c>
    </row>
    <row r="3516" spans="19:27" x14ac:dyDescent="0.2">
      <c r="S3516" s="1"/>
      <c r="T3516" s="109"/>
      <c r="W3516" s="130" t="str">
        <f t="shared" si="64"/>
        <v>1w</v>
      </c>
      <c r="X3516" s="128">
        <f>_xll.qlCalendarAdvance(Calendar,X3515,W3516,"f",FALSE)</f>
        <v>63802</v>
      </c>
      <c r="Y3516" s="131">
        <f>_xll.qlCalendarAdvance(Calendar,X3516,NDays&amp;"D")</f>
        <v>63804</v>
      </c>
      <c r="Z3516" s="132">
        <v>1.1715532361023524E-2</v>
      </c>
      <c r="AA3516" s="129">
        <v>1.1696488375712022E-2</v>
      </c>
    </row>
    <row r="3517" spans="19:27" x14ac:dyDescent="0.2">
      <c r="S3517" s="1"/>
      <c r="T3517" s="109"/>
      <c r="W3517" s="130" t="str">
        <f t="shared" si="64"/>
        <v>1w</v>
      </c>
      <c r="X3517" s="128">
        <f>_xll.qlCalendarAdvance(Calendar,X3516,W3517,"f",FALSE)</f>
        <v>63809</v>
      </c>
      <c r="Y3517" s="131">
        <f>_xll.qlCalendarAdvance(Calendar,X3517,NDays&amp;"D")</f>
        <v>63811</v>
      </c>
      <c r="Z3517" s="132">
        <v>1.1715869548598967E-2</v>
      </c>
      <c r="AA3517" s="129">
        <v>1.1696898941586653E-2</v>
      </c>
    </row>
    <row r="3518" spans="19:27" x14ac:dyDescent="0.2">
      <c r="S3518" s="1"/>
      <c r="T3518" s="109"/>
      <c r="W3518" s="130" t="str">
        <f t="shared" si="64"/>
        <v>1w</v>
      </c>
      <c r="X3518" s="128">
        <f>_xll.qlCalendarAdvance(Calendar,X3517,W3518,"f",FALSE)</f>
        <v>63816</v>
      </c>
      <c r="Y3518" s="131">
        <f>_xll.qlCalendarAdvance(Calendar,X3518,NDays&amp;"D")</f>
        <v>63818</v>
      </c>
      <c r="Z3518" s="132">
        <v>1.1716194875332432E-2</v>
      </c>
      <c r="AA3518" s="129">
        <v>1.1697297680495211E-2</v>
      </c>
    </row>
    <row r="3519" spans="19:27" x14ac:dyDescent="0.2">
      <c r="S3519" s="1"/>
      <c r="T3519" s="109"/>
      <c r="W3519" s="130" t="str">
        <f t="shared" si="64"/>
        <v>1w</v>
      </c>
      <c r="X3519" s="128">
        <f>_xll.qlCalendarAdvance(Calendar,X3518,W3519,"f",FALSE)</f>
        <v>63823</v>
      </c>
      <c r="Y3519" s="131">
        <f>_xll.qlCalendarAdvance(Calendar,X3519,NDays&amp;"D")</f>
        <v>63825</v>
      </c>
      <c r="Z3519" s="132">
        <v>1.1717139818039865E-2</v>
      </c>
      <c r="AA3519" s="129">
        <v>1.169768459235776E-2</v>
      </c>
    </row>
    <row r="3520" spans="19:27" x14ac:dyDescent="0.2">
      <c r="S3520" s="1"/>
      <c r="T3520" s="109"/>
      <c r="W3520" s="130" t="str">
        <f t="shared" si="64"/>
        <v>1w</v>
      </c>
      <c r="X3520" s="128">
        <f>_xll.qlCalendarAdvance(Calendar,X3519,W3520,"f",FALSE)</f>
        <v>63830</v>
      </c>
      <c r="Y3520" s="131">
        <f>_xll.qlCalendarAdvance(Calendar,X3520,NDays&amp;"D")</f>
        <v>63832</v>
      </c>
      <c r="Z3520" s="132">
        <v>1.1717438910626307E-2</v>
      </c>
      <c r="AA3520" s="129">
        <v>1.1698059677200945E-2</v>
      </c>
    </row>
    <row r="3521" spans="19:27" x14ac:dyDescent="0.2">
      <c r="S3521" s="1"/>
      <c r="T3521" s="109"/>
      <c r="W3521" s="130" t="str">
        <f t="shared" si="64"/>
        <v>1w</v>
      </c>
      <c r="X3521" s="128">
        <f>_xll.qlCalendarAdvance(Calendar,X3520,W3521,"f",FALSE)</f>
        <v>63837</v>
      </c>
      <c r="Y3521" s="131">
        <f>_xll.qlCalendarAdvance(Calendar,X3521,NDays&amp;"D")</f>
        <v>63839</v>
      </c>
      <c r="Z3521" s="132">
        <v>1.1717726141206903E-2</v>
      </c>
      <c r="AA3521" s="129">
        <v>1.1698422935104702E-2</v>
      </c>
    </row>
    <row r="3522" spans="19:27" x14ac:dyDescent="0.2">
      <c r="S3522" s="1"/>
      <c r="T3522" s="109"/>
      <c r="W3522" s="130" t="str">
        <f t="shared" si="64"/>
        <v>1w</v>
      </c>
      <c r="X3522" s="128">
        <f>_xll.qlCalendarAdvance(Calendar,X3521,W3522,"f",FALSE)</f>
        <v>63844</v>
      </c>
      <c r="Y3522" s="131">
        <f>_xll.qlCalendarAdvance(Calendar,X3522,NDays&amp;"D")</f>
        <v>63846</v>
      </c>
      <c r="Z3522" s="132">
        <v>1.1718001509778253E-2</v>
      </c>
      <c r="AA3522" s="129">
        <v>1.169877436596245E-2</v>
      </c>
    </row>
    <row r="3523" spans="19:27" x14ac:dyDescent="0.2">
      <c r="S3523" s="1"/>
      <c r="T3523" s="109"/>
      <c r="W3523" s="130" t="str">
        <f t="shared" si="64"/>
        <v>1w</v>
      </c>
      <c r="X3523" s="128">
        <f>_xll.qlCalendarAdvance(Calendar,X3522,W3523,"f",FALSE)</f>
        <v>63851</v>
      </c>
      <c r="Y3523" s="131">
        <f>_xll.qlCalendarAdvance(Calendar,X3523,NDays&amp;"D")</f>
        <v>63853</v>
      </c>
      <c r="Z3523" s="132">
        <v>1.1718265016336105E-2</v>
      </c>
      <c r="AA3523" s="129">
        <v>1.1699113969827479E-2</v>
      </c>
    </row>
    <row r="3524" spans="19:27" x14ac:dyDescent="0.2">
      <c r="S3524" s="1"/>
      <c r="T3524" s="109"/>
      <c r="W3524" s="130" t="str">
        <f t="shared" si="64"/>
        <v>1w</v>
      </c>
      <c r="X3524" s="128">
        <f>_xll.qlCalendarAdvance(Calendar,X3523,W3524,"f",FALSE)</f>
        <v>63858</v>
      </c>
      <c r="Y3524" s="131">
        <f>_xll.qlCalendarAdvance(Calendar,X3524,NDays&amp;"D")</f>
        <v>63860</v>
      </c>
      <c r="Z3524" s="132">
        <v>1.1718516660880455E-2</v>
      </c>
      <c r="AA3524" s="129">
        <v>1.169944174669979E-2</v>
      </c>
    </row>
    <row r="3525" spans="19:27" x14ac:dyDescent="0.2">
      <c r="S3525" s="1"/>
      <c r="T3525" s="109"/>
      <c r="W3525" s="130" t="str">
        <f t="shared" si="64"/>
        <v>1w</v>
      </c>
      <c r="X3525" s="128">
        <f>_xll.qlCalendarAdvance(Calendar,X3524,W3525,"f",FALSE)</f>
        <v>63865</v>
      </c>
      <c r="Y3525" s="131">
        <f>_xll.qlCalendarAdvance(Calendar,X3525,NDays&amp;"D")</f>
        <v>63867</v>
      </c>
      <c r="Z3525" s="132">
        <v>1.1718756443407056E-2</v>
      </c>
      <c r="AA3525" s="129">
        <v>1.1699757696579383E-2</v>
      </c>
    </row>
    <row r="3526" spans="19:27" x14ac:dyDescent="0.2">
      <c r="S3526" s="1"/>
      <c r="T3526" s="109"/>
      <c r="W3526" s="130" t="str">
        <f t="shared" si="64"/>
        <v>1w</v>
      </c>
      <c r="X3526" s="128">
        <f>_xll.qlCalendarAdvance(Calendar,X3525,W3526,"f",FALSE)</f>
        <v>63872</v>
      </c>
      <c r="Y3526" s="131">
        <f>_xll.qlCalendarAdvance(Calendar,X3526,NDays&amp;"D")</f>
        <v>63874</v>
      </c>
      <c r="Z3526" s="132">
        <v>1.1718984363914204E-2</v>
      </c>
      <c r="AA3526" s="129">
        <v>1.1700061819439611E-2</v>
      </c>
    </row>
    <row r="3527" spans="19:27" x14ac:dyDescent="0.2">
      <c r="S3527" s="1"/>
      <c r="T3527" s="109"/>
      <c r="W3527" s="130" t="str">
        <f t="shared" si="64"/>
        <v>1w</v>
      </c>
      <c r="X3527" s="128">
        <f>_xll.qlCalendarAdvance(Calendar,X3526,W3527,"f",FALSE)</f>
        <v>63879</v>
      </c>
      <c r="Y3527" s="131">
        <f>_xll.qlCalendarAdvance(Calendar,X3527,NDays&amp;"D")</f>
        <v>63881</v>
      </c>
      <c r="Z3527" s="132">
        <v>1.1719200422400199E-2</v>
      </c>
      <c r="AA3527" s="129">
        <v>1.1700354115333766E-2</v>
      </c>
    </row>
    <row r="3528" spans="19:27" x14ac:dyDescent="0.2">
      <c r="S3528" s="1"/>
      <c r="T3528" s="109"/>
      <c r="W3528" s="130" t="str">
        <f t="shared" si="64"/>
        <v>1w</v>
      </c>
      <c r="X3528" s="128">
        <f>_xll.qlCalendarAdvance(Calendar,X3527,W3528,"f",FALSE)</f>
        <v>63886</v>
      </c>
      <c r="Y3528" s="131">
        <f>_xll.qlCalendarAdvance(Calendar,X3528,NDays&amp;"D")</f>
        <v>63888</v>
      </c>
      <c r="Z3528" s="132">
        <v>1.1718592703211073E-2</v>
      </c>
      <c r="AA3528" s="129">
        <v>1.1700634584181913E-2</v>
      </c>
    </row>
    <row r="3529" spans="19:27" x14ac:dyDescent="0.2">
      <c r="S3529" s="1"/>
      <c r="T3529" s="109"/>
      <c r="W3529" s="130" t="str">
        <f t="shared" si="64"/>
        <v>1w</v>
      </c>
      <c r="X3529" s="128">
        <f>_xll.qlCalendarAdvance(Calendar,X3528,W3529,"f",FALSE)</f>
        <v>63893</v>
      </c>
      <c r="Y3529" s="131">
        <f>_xll.qlCalendarAdvance(Calendar,X3529,NDays&amp;"D")</f>
        <v>63895</v>
      </c>
      <c r="Z3529" s="132">
        <v>1.1718788401354097E-2</v>
      </c>
      <c r="AA3529" s="129">
        <v>1.1700903226063986E-2</v>
      </c>
    </row>
    <row r="3530" spans="19:27" x14ac:dyDescent="0.2">
      <c r="S3530" s="1"/>
      <c r="T3530" s="109"/>
      <c r="W3530" s="130" t="str">
        <f t="shared" si="64"/>
        <v>1w</v>
      </c>
      <c r="X3530" s="128">
        <f>_xll.qlCalendarAdvance(Calendar,X3529,W3530,"f",FALSE)</f>
        <v>63900</v>
      </c>
      <c r="Y3530" s="131">
        <f>_xll.qlCalendarAdvance(Calendar,X3530,NDays&amp;"D")</f>
        <v>63902</v>
      </c>
      <c r="Z3530" s="132">
        <v>1.171897223901297E-2</v>
      </c>
      <c r="AA3530" s="129">
        <v>1.1701160040926695E-2</v>
      </c>
    </row>
    <row r="3531" spans="19:27" x14ac:dyDescent="0.2">
      <c r="S3531" s="1"/>
      <c r="T3531" s="109"/>
      <c r="W3531" s="130" t="str">
        <f t="shared" si="64"/>
        <v>1w</v>
      </c>
      <c r="X3531" s="128">
        <f>_xll.qlCalendarAdvance(Calendar,X3530,W3531,"f",FALSE)</f>
        <v>63907</v>
      </c>
      <c r="Y3531" s="131">
        <f>_xll.qlCalendarAdvance(Calendar,X3531,NDays&amp;"D")</f>
        <v>63909</v>
      </c>
      <c r="Z3531" s="132">
        <v>1.1719144216182364E-2</v>
      </c>
      <c r="AA3531" s="129">
        <v>1.1701405028796685E-2</v>
      </c>
    </row>
    <row r="3532" spans="19:27" x14ac:dyDescent="0.2">
      <c r="S3532" s="1"/>
      <c r="T3532" s="109"/>
      <c r="W3532" s="130" t="str">
        <f t="shared" si="64"/>
        <v>1w</v>
      </c>
      <c r="X3532" s="128">
        <f>_xll.qlCalendarAdvance(Calendar,X3531,W3532,"f",FALSE)</f>
        <v>63915</v>
      </c>
      <c r="Y3532" s="131">
        <f>_xll.qlCalendarAdvance(Calendar,X3532,NDays&amp;"D")</f>
        <v>63919</v>
      </c>
      <c r="Z3532" s="132">
        <v>1.1718970363870122E-2</v>
      </c>
      <c r="AA3532" s="129">
        <v>1.1701528472864986E-2</v>
      </c>
    </row>
    <row r="3533" spans="19:27" x14ac:dyDescent="0.2">
      <c r="S3533" s="1"/>
      <c r="T3533" s="109"/>
      <c r="W3533" s="130" t="str">
        <f t="shared" si="64"/>
        <v>1w</v>
      </c>
      <c r="X3533" s="128">
        <f>_xll.qlCalendarAdvance(Calendar,X3532,W3533,"f",FALSE)</f>
        <v>63922</v>
      </c>
      <c r="Y3533" s="131">
        <f>_xll.qlCalendarAdvance(Calendar,X3533,NDays&amp;"D")</f>
        <v>63926</v>
      </c>
      <c r="Z3533" s="132">
        <v>1.1719909467263709E-2</v>
      </c>
      <c r="AA3533" s="129">
        <v>1.1701540315751657E-2</v>
      </c>
    </row>
    <row r="3534" spans="19:27" x14ac:dyDescent="0.2">
      <c r="S3534" s="1"/>
      <c r="T3534" s="109"/>
      <c r="W3534" s="130" t="str">
        <f t="shared" si="64"/>
        <v>1w</v>
      </c>
      <c r="X3534" s="128">
        <f>_xll.qlCalendarAdvance(Calendar,X3533,W3534,"f",FALSE)</f>
        <v>63929</v>
      </c>
      <c r="Y3534" s="131">
        <f>_xll.qlCalendarAdvance(Calendar,X3534,NDays&amp;"D")</f>
        <v>63933</v>
      </c>
      <c r="Z3534" s="132">
        <v>1.171984148968533E-2</v>
      </c>
      <c r="AA3534" s="129">
        <v>1.1701746430077264E-2</v>
      </c>
    </row>
    <row r="3535" spans="19:27" x14ac:dyDescent="0.2">
      <c r="S3535" s="1"/>
      <c r="T3535" s="109"/>
      <c r="W3535" s="130" t="str">
        <f t="shared" si="64"/>
        <v>1w</v>
      </c>
      <c r="X3535" s="128">
        <f>_xll.qlCalendarAdvance(Calendar,X3534,W3535,"f",FALSE)</f>
        <v>63936</v>
      </c>
      <c r="Y3535" s="131">
        <f>_xll.qlCalendarAdvance(Calendar,X3535,NDays&amp;"D")</f>
        <v>63940</v>
      </c>
      <c r="Z3535" s="132">
        <v>1.17199600985048E-2</v>
      </c>
      <c r="AA3535" s="129">
        <v>1.1701940718102932E-2</v>
      </c>
    </row>
    <row r="3536" spans="19:27" x14ac:dyDescent="0.2">
      <c r="S3536" s="1"/>
      <c r="T3536" s="109"/>
      <c r="W3536" s="130" t="str">
        <f t="shared" si="64"/>
        <v>1w</v>
      </c>
      <c r="X3536" s="128">
        <f>_xll.qlCalendarAdvance(Calendar,X3535,W3536,"f",FALSE)</f>
        <v>63943</v>
      </c>
      <c r="Y3536" s="131">
        <f>_xll.qlCalendarAdvance(Calendar,X3536,NDays&amp;"D")</f>
        <v>63947</v>
      </c>
      <c r="Z3536" s="132">
        <v>1.1720066846446275E-2</v>
      </c>
      <c r="AA3536" s="129">
        <v>1.1702123179988533E-2</v>
      </c>
    </row>
    <row r="3537" spans="2:27" x14ac:dyDescent="0.2">
      <c r="S3537" s="1"/>
      <c r="T3537" s="109"/>
      <c r="W3537" s="130" t="str">
        <f t="shared" si="64"/>
        <v>1w</v>
      </c>
      <c r="X3537" s="128">
        <f>_xll.qlCalendarAdvance(Calendar,X3536,W3537,"f",FALSE)</f>
        <v>63950</v>
      </c>
      <c r="Y3537" s="131">
        <f>_xll.qlCalendarAdvance(Calendar,X3537,NDays&amp;"D")</f>
        <v>63954</v>
      </c>
      <c r="Z3537" s="132">
        <v>1.1720161733507121E-2</v>
      </c>
      <c r="AA3537" s="129">
        <v>1.1702293815574194E-2</v>
      </c>
    </row>
    <row r="3538" spans="2:27" x14ac:dyDescent="0.2">
      <c r="S3538" s="1"/>
      <c r="T3538" s="109"/>
      <c r="W3538" s="130" t="str">
        <f t="shared" si="64"/>
        <v>1w</v>
      </c>
      <c r="X3538" s="128">
        <f>_xll.qlCalendarAdvance(Calendar,X3537,W3538,"f",FALSE)</f>
        <v>63957</v>
      </c>
      <c r="Y3538" s="131">
        <f>_xll.qlCalendarAdvance(Calendar,X3538,NDays&amp;"D")</f>
        <v>63961</v>
      </c>
      <c r="Z3538" s="132">
        <v>1.1720244759688216E-2</v>
      </c>
      <c r="AA3538" s="129">
        <v>1.1702452625019788E-2</v>
      </c>
    </row>
    <row r="3539" spans="2:27" x14ac:dyDescent="0.2">
      <c r="S3539" s="1"/>
      <c r="T3539" s="109"/>
      <c r="W3539" s="130" t="str">
        <f t="shared" si="64"/>
        <v>1w</v>
      </c>
      <c r="X3539" s="128">
        <f>_xll.qlCalendarAdvance(Calendar,X3538,W3539,"f",FALSE)</f>
        <v>63964</v>
      </c>
      <c r="Y3539" s="131">
        <f>_xll.qlCalendarAdvance(Calendar,X3539,NDays&amp;"D")</f>
        <v>63968</v>
      </c>
      <c r="Z3539" s="132" t="e">
        <v>#N/A</v>
      </c>
      <c r="AA3539" s="129">
        <v>1.1702599608165443E-2</v>
      </c>
    </row>
    <row r="3540" spans="2:27" x14ac:dyDescent="0.2">
      <c r="S3540" s="1"/>
      <c r="T3540" s="109"/>
      <c r="W3540" s="130" t="str">
        <f t="shared" si="64"/>
        <v>1w</v>
      </c>
      <c r="X3540" s="128">
        <f>_xll.qlCalendarAdvance(Calendar,X3539,W3540,"f",FALSE)</f>
        <v>63971</v>
      </c>
      <c r="Y3540" s="131">
        <f>_xll.qlCalendarAdvance(Calendar,X3540,NDays&amp;"D")</f>
        <v>63975</v>
      </c>
      <c r="Z3540" s="132" t="e">
        <v>#N/A</v>
      </c>
      <c r="AA3540" s="129">
        <v>1.1702734765091094E-2</v>
      </c>
    </row>
    <row r="3541" spans="2:27" x14ac:dyDescent="0.2">
      <c r="S3541" s="1"/>
      <c r="T3541" s="109"/>
      <c r="W3541" s="130" t="str">
        <f t="shared" ref="W3541:W3552" si="65">W3540</f>
        <v>1w</v>
      </c>
      <c r="X3541" s="128">
        <f>_xll.qlCalendarAdvance(Calendar,X3540,W3541,"f",FALSE)</f>
        <v>63978</v>
      </c>
      <c r="Y3541" s="131">
        <f>_xll.qlCalendarAdvance(Calendar,X3541,NDays&amp;"D")</f>
        <v>63982</v>
      </c>
      <c r="Z3541" s="132" t="e">
        <v>#N/A</v>
      </c>
      <c r="AA3541" s="129">
        <v>1.1702858095876678E-2</v>
      </c>
    </row>
    <row r="3542" spans="2:27" x14ac:dyDescent="0.2">
      <c r="S3542" s="1"/>
      <c r="T3542" s="109"/>
      <c r="W3542" s="130" t="str">
        <f t="shared" si="65"/>
        <v>1w</v>
      </c>
      <c r="X3542" s="128">
        <f>_xll.qlCalendarAdvance(Calendar,X3541,W3542,"f",FALSE)</f>
        <v>63985</v>
      </c>
      <c r="Y3542" s="131">
        <f>_xll.qlCalendarAdvance(Calendar,X3542,NDays&amp;"D")</f>
        <v>63989</v>
      </c>
      <c r="Z3542" s="132" t="e">
        <v>#N/A</v>
      </c>
      <c r="AA3542" s="129">
        <v>1.1702969600282387E-2</v>
      </c>
    </row>
    <row r="3543" spans="2:27" x14ac:dyDescent="0.2">
      <c r="B3543" s="128"/>
      <c r="C3543" s="131"/>
      <c r="D3543" s="132"/>
      <c r="E3543" s="132"/>
      <c r="S3543" s="1"/>
      <c r="T3543" s="109"/>
      <c r="W3543" s="130" t="str">
        <f t="shared" si="65"/>
        <v>1w</v>
      </c>
      <c r="X3543" s="128">
        <f>_xll.qlCalendarAdvance(Calendar,X3542,W3543,"f",FALSE)</f>
        <v>63992</v>
      </c>
      <c r="Y3543" s="131">
        <f>_xll.qlCalendarAdvance(Calendar,X3543,NDays&amp;"D")</f>
        <v>63996</v>
      </c>
      <c r="Z3543" s="132" t="e">
        <v>#N/A</v>
      </c>
      <c r="AA3543" s="129">
        <v>1.1703069278627964E-2</v>
      </c>
    </row>
    <row r="3544" spans="2:27" x14ac:dyDescent="0.2">
      <c r="B3544" s="128"/>
      <c r="C3544" s="131"/>
      <c r="D3544" s="132"/>
      <c r="E3544" s="132"/>
      <c r="S3544" s="1"/>
      <c r="T3544" s="109"/>
      <c r="W3544" s="130" t="str">
        <f t="shared" si="65"/>
        <v>1w</v>
      </c>
      <c r="X3544" s="128">
        <f>_xll.qlCalendarAdvance(Calendar,X3543,W3544,"f",FALSE)</f>
        <v>63999</v>
      </c>
      <c r="Y3544" s="131">
        <f>_xll.qlCalendarAdvance(Calendar,X3544,NDays&amp;"D")</f>
        <v>64003</v>
      </c>
      <c r="Z3544" s="132" t="e">
        <v>#N/A</v>
      </c>
      <c r="AA3544" s="129">
        <v>1.1703157130513731E-2</v>
      </c>
    </row>
    <row r="3545" spans="2:27" x14ac:dyDescent="0.2">
      <c r="B3545" s="128"/>
      <c r="C3545" s="131"/>
      <c r="D3545" s="132"/>
      <c r="E3545" s="132"/>
      <c r="W3545" s="130" t="str">
        <f t="shared" si="65"/>
        <v>1w</v>
      </c>
      <c r="X3545" s="128">
        <f>_xll.qlCalendarAdvance(Calendar,X3544,W3545,"f",FALSE)</f>
        <v>64006</v>
      </c>
      <c r="Y3545" s="131">
        <f>_xll.qlCalendarAdvance(Calendar,X3545,NDays&amp;"D")</f>
        <v>64010</v>
      </c>
      <c r="Z3545" s="132" t="e">
        <v>#N/A</v>
      </c>
      <c r="AA3545" s="129">
        <v>1.1703233156339365E-2</v>
      </c>
    </row>
    <row r="3546" spans="2:27" x14ac:dyDescent="0.2">
      <c r="B3546" s="128"/>
      <c r="C3546" s="131"/>
      <c r="D3546" s="132"/>
      <c r="E3546" s="132"/>
      <c r="W3546" s="130" t="str">
        <f t="shared" si="65"/>
        <v>1w</v>
      </c>
      <c r="X3546" s="128">
        <f>_xll.qlCalendarAdvance(Calendar,X3545,W3546,"f",FALSE)</f>
        <v>64013</v>
      </c>
      <c r="Y3546" s="131">
        <f>_xll.qlCalendarAdvance(Calendar,X3546,NDays&amp;"D")</f>
        <v>64019</v>
      </c>
      <c r="Z3546" s="132" t="e">
        <v>#N/A</v>
      </c>
      <c r="AA3546" s="129">
        <v>1.1703313526449932E-2</v>
      </c>
    </row>
    <row r="3547" spans="2:27" x14ac:dyDescent="0.2">
      <c r="B3547" s="128"/>
      <c r="C3547" s="131"/>
      <c r="D3547" s="132"/>
      <c r="E3547" s="132"/>
      <c r="W3547" s="130" t="str">
        <f t="shared" si="65"/>
        <v>1w</v>
      </c>
      <c r="X3547" s="128">
        <f>_xll.qlCalendarAdvance(Calendar,X3546,W3547,"f",FALSE)</f>
        <v>64020</v>
      </c>
      <c r="Y3547" s="131">
        <f>_xll.qlCalendarAdvance(Calendar,X3547,NDays&amp;"D")</f>
        <v>64024</v>
      </c>
      <c r="Z3547" s="132" t="e">
        <v>#N/A</v>
      </c>
      <c r="AA3547" s="129">
        <v>1.1703349729250689E-2</v>
      </c>
    </row>
    <row r="3548" spans="2:27" x14ac:dyDescent="0.2">
      <c r="B3548" s="128"/>
      <c r="C3548" s="131"/>
      <c r="D3548" s="132"/>
      <c r="E3548" s="132"/>
      <c r="W3548" s="130" t="str">
        <f t="shared" si="65"/>
        <v>1w</v>
      </c>
      <c r="X3548" s="128">
        <f>_xll.qlCalendarAdvance(Calendar,X3547,W3548,"f",FALSE)</f>
        <v>64027</v>
      </c>
      <c r="Y3548" s="131">
        <f>_xll.qlCalendarAdvance(Calendar,X3548,NDays&amp;"D")</f>
        <v>64031</v>
      </c>
      <c r="Z3548" s="132" t="e">
        <v>#N/A</v>
      </c>
      <c r="AA3548" s="129">
        <v>1.1703390276256442E-2</v>
      </c>
    </row>
    <row r="3549" spans="2:27" x14ac:dyDescent="0.2">
      <c r="B3549" s="128"/>
      <c r="C3549" s="131"/>
      <c r="D3549" s="132"/>
      <c r="E3549" s="132"/>
      <c r="W3549" s="130" t="str">
        <f t="shared" si="65"/>
        <v>1w</v>
      </c>
      <c r="X3549" s="128">
        <f>_xll.qlCalendarAdvance(Calendar,X3548,W3549,"f",FALSE)</f>
        <v>64034</v>
      </c>
      <c r="Y3549" s="131">
        <f>_xll.qlCalendarAdvance(Calendar,X3549,NDays&amp;"D")</f>
        <v>64038</v>
      </c>
      <c r="Z3549" s="132" t="e">
        <v>#N/A</v>
      </c>
      <c r="AA3549" s="129">
        <v>1.1703418997122128E-2</v>
      </c>
    </row>
    <row r="3550" spans="2:27" x14ac:dyDescent="0.2">
      <c r="B3550" s="128"/>
      <c r="C3550" s="131"/>
      <c r="D3550" s="132"/>
      <c r="E3550" s="132"/>
      <c r="W3550" s="130" t="str">
        <f t="shared" si="65"/>
        <v>1w</v>
      </c>
      <c r="X3550" s="128">
        <f>_xll.qlCalendarAdvance(Calendar,X3549,W3550,"f",FALSE)</f>
        <v>64041</v>
      </c>
      <c r="Y3550" s="131">
        <f>_xll.qlCalendarAdvance(Calendar,X3550,NDays&amp;"D")</f>
        <v>64045</v>
      </c>
      <c r="Z3550" s="132" t="e">
        <v>#N/A</v>
      </c>
      <c r="AA3550" s="129">
        <v>1.1703435891767811E-2</v>
      </c>
    </row>
    <row r="3551" spans="2:27" x14ac:dyDescent="0.2">
      <c r="B3551" s="128"/>
      <c r="C3551" s="131"/>
      <c r="D3551" s="132"/>
      <c r="E3551" s="132"/>
      <c r="W3551" s="130" t="str">
        <f t="shared" si="65"/>
        <v>1w</v>
      </c>
      <c r="X3551" s="128">
        <f>_xll.qlCalendarAdvance(Calendar,X3550,W3551,"f",FALSE)</f>
        <v>64048</v>
      </c>
      <c r="Y3551" s="131">
        <f>_xll.qlCalendarAdvance(Calendar,X3551,NDays&amp;"D")</f>
        <v>64052</v>
      </c>
      <c r="Z3551" s="132" t="e">
        <v>#N/A</v>
      </c>
      <c r="AA3551" s="129" t="e">
        <v>#N/A</v>
      </c>
    </row>
    <row r="3552" spans="2:27" ht="12" thickBot="1" x14ac:dyDescent="0.25">
      <c r="B3552" s="128"/>
      <c r="C3552" s="131"/>
      <c r="D3552" s="132"/>
      <c r="E3552" s="132"/>
      <c r="W3552" s="147" t="str">
        <f t="shared" si="65"/>
        <v>1w</v>
      </c>
      <c r="X3552" s="135">
        <f>_xll.qlCalendarAdvance(Calendar,X3551,W3552,"f",FALSE)</f>
        <v>64055</v>
      </c>
      <c r="Y3552" s="152">
        <f>_xll.qlCalendarAdvance(Calendar,X3552,NDays&amp;"D")</f>
        <v>64059</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2015-05-11T18:05:38Z</dcterms:modified>
</cp:coreProperties>
</file>
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0200" windowHeight="8085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MainChecks!$B$11</definedName>
    <definedName name="InterestRatesTrigger">MainChecks!$L$5</definedName>
    <definedName name="SecondIMMDate">MainChecks!$F$12</definedName>
    <definedName name="Trigger">MainChecks!$L$2</definedName>
    <definedName name="Yesterday">MainChecks!$F$9</definedName>
  </definedNames>
  <calcPr calcId="145621"/>
</workbook>
</file>

<file path=xl/calcChain.xml><?xml version="1.0" encoding="utf-8"?>
<calcChain xmlns="http://schemas.openxmlformats.org/spreadsheetml/2006/main">
  <c r="B3" i="2" l="1"/>
  <c r="B8" i="2"/>
  <c r="B7" i="2"/>
  <c r="C7" i="2"/>
  <c r="F4" i="2"/>
  <c r="D7" i="2"/>
  <c r="E7" i="2"/>
  <c r="B11" i="2" l="1"/>
  <c r="C8" i="2" l="1"/>
  <c r="C6" i="2"/>
  <c r="C5" i="2"/>
  <c r="C4" i="2"/>
  <c r="C3" i="2"/>
  <c r="E8" i="2"/>
  <c r="E6" i="2"/>
  <c r="E4" i="2"/>
  <c r="E5" i="2"/>
  <c r="E3" i="2"/>
  <c r="B6" i="2" l="1"/>
  <c r="B5" i="2"/>
  <c r="B4" i="2"/>
  <c r="F1" i="2"/>
  <c r="D4" i="2"/>
  <c r="D3" i="2"/>
  <c r="D5" i="2"/>
  <c r="L9" i="2"/>
  <c r="L10" i="2"/>
  <c r="L12" i="2"/>
  <c r="D8" i="2"/>
  <c r="L11" i="2"/>
  <c r="D6" i="2"/>
  <c r="F3" i="2"/>
  <c r="F5" i="2" s="1"/>
  <c r="L6" i="2"/>
  <c r="L3" i="2"/>
  <c r="H3" i="2"/>
  <c r="I3" i="2" s="1"/>
  <c r="F9" i="2"/>
  <c r="H5" i="2"/>
  <c r="F6" i="2" l="1"/>
  <c r="F7" i="2" s="1"/>
  <c r="F8" i="2" s="1"/>
  <c r="F11" i="2"/>
  <c r="H7" i="2"/>
  <c r="H8" i="2"/>
  <c r="H4" i="2"/>
  <c r="H6" i="2"/>
  <c r="I7" i="2"/>
  <c r="F10" i="2"/>
  <c r="H10" i="2" s="1"/>
  <c r="H11" i="2"/>
  <c r="F12" i="2"/>
  <c r="H12" i="2" s="1"/>
  <c r="H9" i="2"/>
  <c r="I6" i="2"/>
  <c r="I5" i="2"/>
  <c r="I4" i="2"/>
  <c r="I8" i="2"/>
  <c r="I11" i="2"/>
  <c r="I9" i="2"/>
  <c r="I10" i="2"/>
  <c r="I12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<sst xmlns="http://schemas.openxmlformats.org/spreadsheetml/2006/main" count="17" uniqueCount="17">
  <si>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</si>
  <si>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</si>
  <si>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</si>
  <si>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</si>
  <si>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</si>
  <si>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</si>
  <si>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</si>
  <si>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</si>
  <si>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</si>
  <si>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</si>
  <si>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</si>
  <si>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</si>
  <si>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</si>
  <si>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MarketUpdates</t>
  </si>
  <si>
    <t>Eikon</t>
  </si>
  <si>
    <t>CleanedUp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</si>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</sst>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7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  <xf numFmtId="0" fontId="6" fillId="4" borderId="31" xfId="0" applyNumberFormat="1" applyFont="1" applyFill="1" applyBorder="1" applyAlignment="1">
      <alignment horizontal="center"/>
    </xf>
    <xf numFmtId="0" fontId="6" fillId="5" borderId="9" xfId="0" applyNumberFormat="1" applyFont="1" applyFill="1" applyBorder="1" applyAlignment="1" applyProtection="1">
      <alignment horizontal="center"/>
    </xf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12:19:06</v>
        <stp/>
        <stp>{38F755F1-BD58-4BAD-BE6A-4A9C5BD107B1}</stp>
        <tr r="L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0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11" style="6" bestFit="1" customWidth="1"/>
    <col min="9" max="9" width="96" style="6" bestFit="1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16</v>
      </c>
      <c r="C1" s="2"/>
      <c r="D1" s="2"/>
      <c r="E1" s="2"/>
      <c r="F1" s="3" t="str">
        <f>_xll.qlxlVersion(TRUE,Trigger)</f>
        <v>QuantLibXL 1.4.0 - MS VC++ 9.0 - Multithreaded Dynamic Runtime library - Release Configuration - Mar  3 2014 10:58:57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EURSTD</v>
      </c>
      <c r="C3" s="16" t="str">
        <f>UPPER(Currency)&amp;"YCSTD"</f>
        <v>EURYCSTD</v>
      </c>
      <c r="D3" s="51" t="e">
        <f>_xll.qlRelinkableHandleLinkTo(B3,C3,Trigger)</f>
        <v>#NUM!</v>
      </c>
      <c r="E3" s="51" t="e">
        <f>_xll.qlExtrapolatorEnableExtrapolation(C3,TRUE,Trigger)</f>
        <v>#NUM!</v>
      </c>
      <c r="F3" s="41">
        <f>_xll.qlSettingsEvaluationDate(ISERROR(Trigger))</f>
        <v>41702</v>
      </c>
      <c r="G3" s="17"/>
      <c r="H3" s="18">
        <f>_xll.qlYieldTSDiscount(B3,F3,,Trigger)</f>
        <v>1</v>
      </c>
      <c r="I3" s="19" t="str">
        <f>IF(ISERROR(F3),_xll.ohRangeRetrieveError(F3),_xll.ohRangeRetrieveError(H3))</f>
        <v/>
      </c>
      <c r="J3" s="12"/>
      <c r="K3" s="48" t="s">
        <v>14</v>
      </c>
      <c r="L3" s="47" t="str">
        <f>_xll.RData(K4,"LAST",,"FRQ:1S",,L4)</f>
        <v>Updated at 12:19:06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EURON</v>
      </c>
      <c r="C4" s="16" t="str">
        <f>UPPER(Currency)&amp;"YCON"</f>
        <v>EURYCON</v>
      </c>
      <c r="D4" s="51" t="e">
        <f>_xll.qlRelinkableHandleLinkTo(B4,C4,Trigger)</f>
        <v>#NUM!</v>
      </c>
      <c r="E4" s="51" t="e">
        <f>_xll.qlExtrapolatorEnableExtrapolation(C4,TRUE,Trigger)</f>
        <v>#NUM!</v>
      </c>
      <c r="F4" s="42">
        <f>_xll.qlSettingsEvaluationDate(ISERROR(Trigger))</f>
        <v>41702</v>
      </c>
      <c r="G4" s="17"/>
      <c r="H4" s="18">
        <f>_xll.qlYieldTSDiscount(B4,F4,,Trigger)</f>
        <v>1</v>
      </c>
      <c r="I4" s="19" t="str">
        <f>IF(ISERROR(F4),_xll.ohRangeRetrieveError(F4),_xll.ohRangeRetrieveError(H4))</f>
        <v/>
      </c>
      <c r="J4" s="12"/>
      <c r="K4" s="49" t="s">
        <v>12</v>
      </c>
      <c r="L4" s="46">
        <v>126.140625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EUR1M</v>
      </c>
      <c r="C5" s="16" t="str">
        <f>UPPER(Currency)&amp;"YC1M"</f>
        <v>EURYC1M</v>
      </c>
      <c r="D5" s="51" t="e">
        <f>_xll.qlRelinkableHandleLinkTo(B5,C5,Trigger)</f>
        <v>#NUM!</v>
      </c>
      <c r="E5" s="51" t="e">
        <f>_xll.qlExtrapolatorEnableExtrapolation(C5,TRUE,Trigger)</f>
        <v>#NUM!</v>
      </c>
      <c r="F5" s="42">
        <f>_xll.qlCalendarAdvance(_xll.qlIndexFixingCalendar(FirstIndex),EvaluationDate,_xll.qlInterestRateIndexFixingDays(FirstIndex)&amp;"D")</f>
        <v>41704</v>
      </c>
      <c r="G5" s="17"/>
      <c r="H5" s="18">
        <f>_xll.qlYieldTSDiscount(B5,F5,,Trigger)</f>
        <v>1</v>
      </c>
      <c r="I5" s="19" t="str">
        <f>IF(ISERROR(F5),_xll.ohRangeRetrieveError(F5),_xll.ohRangeRetrieveError(H5))</f>
        <v/>
      </c>
      <c r="J5" s="12"/>
      <c r="K5" s="20" t="s">
        <v>13</v>
      </c>
      <c r="L5" s="21" t="s">
        <v>15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EUR3M</v>
      </c>
      <c r="C6" s="16" t="str">
        <f>UPPER(Currency)&amp;"YC3M"</f>
        <v>EURYC3M</v>
      </c>
      <c r="D6" s="51" t="e">
        <f>_xll.qlRelinkableHandleLinkTo(B6,C6,Trigger)</f>
        <v>#NUM!</v>
      </c>
      <c r="E6" s="51" t="e">
        <f>_xll.qlExtrapolatorEnableExtrapolation(C6,TRUE,Trigger)</f>
        <v>#NUM!</v>
      </c>
      <c r="F6" s="42">
        <f>F5</f>
        <v>41704</v>
      </c>
      <c r="G6" s="17"/>
      <c r="H6" s="18">
        <f>_xll.qlYieldTSDiscount(B6,F6,,Trigger)</f>
        <v>1</v>
      </c>
      <c r="I6" s="19" t="str">
        <f>IF(ISERROR(F6),_xll.ohRangeRetrieveError(F6),_xll.ohRangeRetrieveError(H6))</f>
        <v/>
      </c>
      <c r="J6" s="12"/>
      <c r="K6" s="20" t="s">
        <v>4</v>
      </c>
      <c r="L6" s="21">
        <f>_xll.ohRepositoryObjectCount(Trigger)</f>
        <v>1802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x14ac:dyDescent="0.2">
      <c r="A7" s="7"/>
      <c r="B7" s="16" t="str">
        <f>UPPER(Currency)&amp;"6M"</f>
        <v>EUR6M</v>
      </c>
      <c r="C7" s="16" t="str">
        <f>UPPER(Currency)&amp;"YC3M"</f>
        <v>EURYC3M</v>
      </c>
      <c r="D7" s="51" t="e">
        <f>_xll.qlRelinkableHandleLinkTo(B7,C7,Trigger)</f>
        <v>#NUM!</v>
      </c>
      <c r="E7" s="51" t="e">
        <f>_xll.qlExtrapolatorEnableExtrapolation(C7,TRUE,Trigger)</f>
        <v>#NUM!</v>
      </c>
      <c r="F7" s="42">
        <f>F6</f>
        <v>41704</v>
      </c>
      <c r="G7" s="17"/>
      <c r="H7" s="18">
        <f>_xll.qlYieldTSDiscount(B7,F7,,Trigger)</f>
        <v>1</v>
      </c>
      <c r="I7" s="19" t="str">
        <f>IF(ISERROR(F7),_xll.ohRangeRetrieveError(F7),_xll.ohRangeRetrieveError(H7))</f>
        <v/>
      </c>
      <c r="J7" s="12"/>
      <c r="K7" s="55"/>
      <c r="L7" s="56"/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2" thickBot="1" x14ac:dyDescent="0.25">
      <c r="A8" s="7"/>
      <c r="B8" s="16" t="str">
        <f>UPPER(Currency)&amp;"1Y"</f>
        <v>EUR1Y</v>
      </c>
      <c r="C8" s="16" t="str">
        <f>UPPER(Currency)&amp;"YC6M"</f>
        <v>EURYC6M</v>
      </c>
      <c r="D8" s="51" t="e">
        <f>_xll.qlRelinkableHandleLinkTo(B8,C8,Trigger)</f>
        <v>#NUM!</v>
      </c>
      <c r="E8" s="51" t="e">
        <f>_xll.qlExtrapolatorEnableExtrapolation(C8,TRUE,Trigger)</f>
        <v>#NUM!</v>
      </c>
      <c r="F8" s="42">
        <f>F7</f>
        <v>41704</v>
      </c>
      <c r="G8" s="17"/>
      <c r="H8" s="18">
        <f>_xll.qlYieldTSDiscount(B8,F8,,Trigger)</f>
        <v>1</v>
      </c>
      <c r="I8" s="19" t="str">
        <f>IF(ISERROR(F8),_xll.ohRangeRetrieveError(F8),_xll.ohRangeRetrieveError(H8))</f>
        <v/>
      </c>
      <c r="J8" s="12"/>
      <c r="K8" s="34" t="s">
        <v>7</v>
      </c>
      <c r="L8" s="35" t="s">
        <v>6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4"/>
      <c r="C9" s="52"/>
      <c r="D9" s="52"/>
      <c r="E9" s="52"/>
      <c r="F9" s="43">
        <f>_xll.qlCalendarAdvance(_xll.qlIndexFixingCalendar(FirstIndex),EvaluationDate,"-2D","Preceding")</f>
        <v>41698</v>
      </c>
      <c r="G9" s="25"/>
      <c r="H9" s="26" t="e">
        <f>_xll.qlIndexFixing(FirstIndex,F9)</f>
        <v>#NUM!</v>
      </c>
      <c r="I9" s="15" t="str">
        <f ca="1">IF(ISERROR(F9),_xll.ohRangeRetrieveError(F9),_xll.ohRangeRetrieveError(H9))</f>
        <v>qlIndexFixing - Missing Euribor6M Actual/360 fixing for February 28th, 2014</v>
      </c>
      <c r="J9" s="12"/>
      <c r="K9" s="20" t="s">
        <v>8</v>
      </c>
      <c r="L9" s="21">
        <f>_xll.qlFunctionCount(Trigger)+_xll.ohFunctionCount(Trigger)</f>
        <v>1016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/>
      <c r="C10" s="53"/>
      <c r="D10" s="53"/>
      <c r="E10" s="53"/>
      <c r="F10" s="44">
        <f>_xll.qlCalendarAdvance(_xll.qlIndexFixingCalendar(FirstIndex),EvaluationDate,"-1D","Preceding")</f>
        <v>41701</v>
      </c>
      <c r="G10" s="36"/>
      <c r="H10" s="29">
        <f>_xll.qlIndexFixing(FirstIndex,F10)</f>
        <v>3.8700000000000002E-3</v>
      </c>
      <c r="I10" s="19" t="str">
        <f>IF(ISERROR(F10),_xll.ohRangeRetrieveError(F10),_xll.ohRangeRetrieveError(H10))</f>
        <v/>
      </c>
      <c r="J10" s="12"/>
      <c r="K10" s="22" t="s">
        <v>9</v>
      </c>
      <c r="L10" s="23" t="str">
        <f>_xll.ohBoostVersion(Trigger)</f>
        <v>1_52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">
      <c r="A11" s="7"/>
      <c r="B11" s="27" t="str">
        <f>PROPER(Currency)&amp;IF(UPPER(Currency)="EUR","",IF(UPPER(Currency)="HKD","H","L"))&amp;"ibor6M"</f>
        <v>Euribor6M</v>
      </c>
      <c r="C11" s="53"/>
      <c r="D11" s="53"/>
      <c r="E11" s="53"/>
      <c r="F11" s="44">
        <f>EvaluationDate</f>
        <v>41702</v>
      </c>
      <c r="G11" s="28"/>
      <c r="H11" s="29">
        <f>_xll.qlIndexFixing(FirstIndex,F11)</f>
        <v>3.8600000000000001E-3</v>
      </c>
      <c r="I11" s="19" t="str">
        <f>IF(ISERROR(F11),_xll.ohRangeRetrieveError(F11),_xll.ohRangeRetrieveError(H11))</f>
        <v/>
      </c>
      <c r="J11" s="12"/>
      <c r="K11" s="22" t="s">
        <v>10</v>
      </c>
      <c r="L11" s="23" t="str">
        <f>_xll.qlVersion(Trigger)</f>
        <v>1.4.1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7"/>
      <c r="B12" s="30"/>
      <c r="C12" s="54"/>
      <c r="D12" s="54"/>
      <c r="E12" s="54"/>
      <c r="F12" s="45">
        <f>_xll.qlCalendarAdvance(_xll.qlIndexFixingCalendar(FirstIndex),_xll.qlIMMNextDate(_xll.qlIMMNextDate(EvaluationDate+1)+1),-_xll.qlInterestRateIndexFixingDays(FirstIndex)&amp;"D")</f>
        <v>41806</v>
      </c>
      <c r="G12" s="31"/>
      <c r="H12" s="32" t="e">
        <f>_xll.qlIndexFixing(FirstIndex,F12,TRUE)</f>
        <v>#NUM!</v>
      </c>
      <c r="I12" s="33" t="str">
        <f ca="1">IF(ISERROR(F12),_xll.ohRangeRetrieveError(F12),_xll.ohRangeRetrieveError(H12))</f>
        <v>qlIndexFixing - null term structure set to this instance of Euribor6M Actual/360</v>
      </c>
      <c r="J12" s="12"/>
      <c r="K12" s="34" t="s">
        <v>11</v>
      </c>
      <c r="L12" s="35" t="str">
        <f>_xll.ohVersion(Trigger)</f>
        <v>1.4.0</v>
      </c>
      <c r="M12" s="1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2" thickBot="1" x14ac:dyDescent="0.25">
      <c r="A13" s="3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A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x14ac:dyDescent="0.2"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</sheetData>
  <phoneticPr fontId="2" type="noConversion"/>
  <dataValidations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2014-03-04T11:20:58Z</dcterms:modified>
</cp:coreProperties>
</file>
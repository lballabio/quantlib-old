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095" yWindow="-15" windowWidth="19140" windowHeight="12015"/>
  </bookViews>
  <sheets>
    <sheet name="General Settings" sheetId="4" r:id="rId1"/>
    <sheet name="Triggers" sheetId="24" r:id="rId2"/>
    <sheet name="Calculation" sheetId="12" r:id="rId3"/>
  </sheets>
  <definedNames>
    <definedName name="AllTriggers">Triggers!$C$2:$C$5</definedName>
    <definedName name="Calendar">'General Settings'!$D$5</definedName>
    <definedName name="Currency">'General Settings'!$D$4</definedName>
    <definedName name="DayCounter">'General Settings'!$D$8</definedName>
    <definedName name="EvaluationDate">Triggers!$C$2</definedName>
    <definedName name="IborType">'General Settings'!$D$6</definedName>
    <definedName name="InterestRatesTrigger">Triggers!$C$4</definedName>
    <definedName name="LastDayInNextYear">'General Settings'!$D$12</definedName>
    <definedName name="LastDayInYear">'General Settings'!$D$11</definedName>
    <definedName name="LastFixingsTrigger">Triggers!$C$5</definedName>
    <definedName name="LastUpdate">'General Settings'!$E$17</definedName>
    <definedName name="LiveDataFeed">'General Settings'!$E$20</definedName>
    <definedName name="OisCurve">'General Settings'!$D$13</definedName>
    <definedName name="OisEngine">'General Settings'!$D$14</definedName>
    <definedName name="OvernightIndex">'General Settings'!$D$7</definedName>
    <definedName name="SettlementDate">'General Settings'!$D$10</definedName>
  </definedNames>
  <calcPr calcId="145621"/>
</workbook>
</file>

<file path=xl/calcChain.xml><?xml version="1.0" encoding="utf-8"?>
<calcChain xmlns="http://schemas.openxmlformats.org/spreadsheetml/2006/main">
  <c r="D6" i="4" l="1"/>
  <c r="D13" i="4" s="1"/>
  <c r="D5" i="12"/>
  <c r="A7" i="12"/>
  <c r="A26" i="12"/>
  <c r="A16" i="12"/>
  <c r="A3" i="12"/>
  <c r="D2" i="12"/>
  <c r="D15" i="12"/>
  <c r="D21" i="12"/>
  <c r="D18" i="12"/>
  <c r="D17" i="12"/>
  <c r="D19" i="12"/>
  <c r="D23" i="12"/>
  <c r="D20" i="12"/>
  <c r="D22" i="12"/>
  <c r="D24" i="12"/>
  <c r="D25" i="12"/>
  <c r="D27" i="12"/>
  <c r="D12" i="12"/>
  <c r="D14" i="12"/>
  <c r="D9" i="12"/>
  <c r="D8" i="12"/>
  <c r="D13" i="12"/>
  <c r="D6" i="12"/>
  <c r="C2" i="24"/>
  <c r="B1" i="4"/>
  <c r="F9" i="12"/>
  <c r="F17" i="12"/>
  <c r="F25" i="12"/>
  <c r="E14" i="12"/>
  <c r="F15" i="12"/>
  <c r="E5" i="12"/>
  <c r="G24" i="12"/>
  <c r="G22" i="12"/>
  <c r="G2" i="12"/>
  <c r="F21" i="12"/>
  <c r="E17" i="12"/>
  <c r="F24" i="12"/>
  <c r="E2" i="12"/>
  <c r="F8" i="12"/>
  <c r="D14" i="4"/>
  <c r="C34" i="12" s="1"/>
  <c r="F18" i="12"/>
  <c r="E20" i="12"/>
  <c r="E27" i="12"/>
  <c r="E23" i="12"/>
  <c r="E24" i="12"/>
  <c r="G5" i="12"/>
  <c r="E18" i="12"/>
  <c r="F6" i="12"/>
  <c r="F23" i="12"/>
  <c r="F12" i="12"/>
  <c r="E19" i="12"/>
  <c r="G18" i="12"/>
  <c r="G23" i="12"/>
  <c r="G17" i="12"/>
  <c r="G20" i="12"/>
  <c r="G6" i="12"/>
  <c r="G25" i="12"/>
  <c r="D10" i="4"/>
  <c r="F35" i="12"/>
  <c r="E15" i="12"/>
  <c r="F46" i="12"/>
  <c r="F42" i="12"/>
  <c r="E21" i="12"/>
  <c r="E25" i="12"/>
  <c r="B17" i="12"/>
  <c r="F22" i="12"/>
  <c r="F13" i="12"/>
  <c r="B21" i="12"/>
  <c r="B24" i="12"/>
  <c r="C24" i="12" s="1"/>
  <c r="H24" i="12" s="1"/>
  <c r="G21" i="12"/>
  <c r="G9" i="12"/>
  <c r="G14" i="12"/>
  <c r="F40" i="12"/>
  <c r="F14" i="12"/>
  <c r="F5" i="12"/>
  <c r="C21" i="12"/>
  <c r="F19" i="12"/>
  <c r="F44" i="12"/>
  <c r="F20" i="12"/>
  <c r="H21" i="12"/>
  <c r="E9" i="12"/>
  <c r="F27" i="12"/>
  <c r="B25" i="12"/>
  <c r="C25" i="12" s="1"/>
  <c r="F48" i="12"/>
  <c r="E22" i="12"/>
  <c r="B20" i="12"/>
  <c r="C20" i="12" s="1"/>
  <c r="H20" i="12" s="1"/>
  <c r="G15" i="12"/>
  <c r="G19" i="12"/>
  <c r="F43" i="12"/>
  <c r="B22" i="12"/>
  <c r="C22" i="12" s="1"/>
  <c r="F36" i="12"/>
  <c r="E12" i="12"/>
  <c r="H22" i="12"/>
  <c r="F2" i="12"/>
  <c r="E6" i="12"/>
  <c r="F41" i="12"/>
  <c r="B23" i="12"/>
  <c r="C23" i="12" s="1"/>
  <c r="H23" i="12" s="1"/>
  <c r="G12" i="12"/>
  <c r="E13" i="12"/>
  <c r="C17" i="12"/>
  <c r="H17" i="12" s="1"/>
  <c r="F38" i="12"/>
  <c r="B19" i="12"/>
  <c r="C19" i="12" s="1"/>
  <c r="H19" i="12" s="1"/>
  <c r="G27" i="12"/>
  <c r="H25" i="12"/>
  <c r="G8" i="12"/>
  <c r="G13" i="12"/>
  <c r="E8" i="12"/>
  <c r="D10" i="12"/>
  <c r="B27" i="12"/>
  <c r="C27" i="12" s="1"/>
  <c r="H27" i="12" s="1"/>
  <c r="B18" i="12"/>
  <c r="C18" i="12" s="1"/>
  <c r="H18" i="12" s="1"/>
  <c r="F45" i="12"/>
  <c r="F49" i="12"/>
  <c r="F47" i="12"/>
  <c r="F39" i="12"/>
  <c r="F34" i="12"/>
  <c r="F37" i="12"/>
  <c r="B15" i="12"/>
  <c r="C15" i="12" s="1"/>
  <c r="H15" i="12" s="1"/>
  <c r="B14" i="12"/>
  <c r="C14" i="12" s="1"/>
  <c r="H14" i="12" s="1"/>
  <c r="B5" i="12"/>
  <c r="C5" i="12" s="1"/>
  <c r="H5" i="12" s="1"/>
  <c r="B9" i="12"/>
  <c r="C9" i="12" s="1"/>
  <c r="H9" i="12" s="1"/>
  <c r="B12" i="12"/>
  <c r="C12" i="12" s="1"/>
  <c r="H12" i="12" s="1"/>
  <c r="B2" i="12"/>
  <c r="C2" i="12" s="1"/>
  <c r="H2" i="12" s="1"/>
  <c r="B6" i="12"/>
  <c r="C6" i="12" s="1"/>
  <c r="H6" i="12" s="1"/>
  <c r="B13" i="12"/>
  <c r="C13" i="12" s="1"/>
  <c r="H13" i="12" s="1"/>
  <c r="B8" i="12"/>
  <c r="C8" i="12" s="1"/>
  <c r="H8" i="12" s="1"/>
  <c r="E10" i="12"/>
  <c r="F10" i="12"/>
  <c r="G10" i="12"/>
  <c r="B10" i="12"/>
  <c r="C10" i="12" s="1"/>
  <c r="H10" i="12" s="1"/>
  <c r="D11" i="12"/>
  <c r="F11" i="12"/>
  <c r="G11" i="12"/>
  <c r="E11" i="12"/>
  <c r="B11" i="12"/>
  <c r="C11" i="12" s="1"/>
  <c r="H11" i="12" s="1"/>
  <c r="D12" i="4"/>
  <c r="D11" i="4"/>
  <c r="D3" i="12" l="1"/>
  <c r="D7" i="12"/>
  <c r="D26" i="12"/>
  <c r="D16" i="12"/>
  <c r="N11" i="12"/>
  <c r="I11" i="12"/>
  <c r="O11" i="12"/>
  <c r="I10" i="12"/>
  <c r="O10" i="12"/>
  <c r="N10" i="12"/>
  <c r="K37" i="12"/>
  <c r="K34" i="12"/>
  <c r="K39" i="12"/>
  <c r="K47" i="12"/>
  <c r="K49" i="12"/>
  <c r="K45" i="12"/>
  <c r="N8" i="12"/>
  <c r="I13" i="12"/>
  <c r="I8" i="12"/>
  <c r="I27" i="12"/>
  <c r="K38" i="12"/>
  <c r="N13" i="12"/>
  <c r="I12" i="12"/>
  <c r="K41" i="12"/>
  <c r="E7" i="12"/>
  <c r="N6" i="12"/>
  <c r="O2" i="12"/>
  <c r="F3" i="12"/>
  <c r="N12" i="12"/>
  <c r="K36" i="12"/>
  <c r="K43" i="12"/>
  <c r="I19" i="12"/>
  <c r="I15" i="12"/>
  <c r="N22" i="12"/>
  <c r="K48" i="12"/>
  <c r="O27" i="12"/>
  <c r="N9" i="12"/>
  <c r="O20" i="12"/>
  <c r="K44" i="12"/>
  <c r="O19" i="12"/>
  <c r="F4" i="12"/>
  <c r="O4" i="12" s="1"/>
  <c r="O14" i="12"/>
  <c r="K40" i="12"/>
  <c r="I14" i="12"/>
  <c r="I9" i="12"/>
  <c r="I21" i="12"/>
  <c r="O13" i="12"/>
  <c r="O22" i="12"/>
  <c r="E26" i="12"/>
  <c r="N25" i="12"/>
  <c r="N21" i="12"/>
  <c r="K42" i="12"/>
  <c r="K46" i="12"/>
  <c r="N15" i="12"/>
  <c r="E16" i="12"/>
  <c r="K35" i="12"/>
  <c r="E41" i="12"/>
  <c r="E45" i="12"/>
  <c r="E48" i="12"/>
  <c r="E40" i="12"/>
  <c r="E43" i="12"/>
  <c r="E42" i="12"/>
  <c r="E38" i="12"/>
  <c r="E47" i="12"/>
  <c r="E39" i="12"/>
  <c r="E37" i="12"/>
  <c r="E49" i="12"/>
  <c r="E36" i="12"/>
  <c r="E34" i="12"/>
  <c r="E44" i="12"/>
  <c r="E46" i="12"/>
  <c r="E35" i="12"/>
  <c r="I25" i="12"/>
  <c r="I6" i="12"/>
  <c r="I20" i="12"/>
  <c r="I17" i="12"/>
  <c r="I23" i="12"/>
  <c r="I18" i="12"/>
  <c r="N19" i="12"/>
  <c r="O12" i="12"/>
  <c r="O23" i="12"/>
  <c r="F7" i="12"/>
  <c r="O7" i="12" s="1"/>
  <c r="O6" i="12"/>
  <c r="N18" i="12"/>
  <c r="I5" i="12"/>
  <c r="N24" i="12"/>
  <c r="N23" i="12"/>
  <c r="N27" i="12"/>
  <c r="N20" i="12"/>
  <c r="O18" i="12"/>
  <c r="O8" i="12"/>
  <c r="E3" i="12"/>
  <c r="N2" i="12"/>
  <c r="O24" i="12"/>
  <c r="N17" i="12"/>
  <c r="O21" i="12"/>
  <c r="I2" i="12"/>
  <c r="I22" i="12"/>
  <c r="I24" i="12"/>
  <c r="F16" i="12"/>
  <c r="O16" i="12" s="1"/>
  <c r="O15" i="12"/>
  <c r="N14" i="12"/>
  <c r="O25" i="12"/>
  <c r="F26" i="12"/>
  <c r="O26" i="12" s="1"/>
  <c r="O17" i="12"/>
  <c r="O9" i="12"/>
  <c r="G3" i="12"/>
  <c r="G7" i="12"/>
  <c r="G16" i="12"/>
  <c r="G26" i="12"/>
  <c r="B36" i="12"/>
  <c r="C36" i="12" s="1"/>
  <c r="L36" i="12" s="1"/>
  <c r="B40" i="12"/>
  <c r="C40" i="12" s="1"/>
  <c r="L40" i="12" s="1"/>
  <c r="B48" i="12"/>
  <c r="C48" i="12" s="1"/>
  <c r="L48" i="12" s="1"/>
  <c r="B43" i="12"/>
  <c r="C43" i="12" s="1"/>
  <c r="L43" i="12" s="1"/>
  <c r="B3" i="12"/>
  <c r="C3" i="12" s="1"/>
  <c r="H3" i="12" s="1"/>
  <c r="B7" i="12"/>
  <c r="C7" i="12" s="1"/>
  <c r="H7" i="12" s="1"/>
  <c r="B42" i="12"/>
  <c r="C42" i="12" s="1"/>
  <c r="L42" i="12" s="1"/>
  <c r="B44" i="12"/>
  <c r="C44" i="12" s="1"/>
  <c r="L44" i="12" s="1"/>
  <c r="B16" i="12"/>
  <c r="C16" i="12" s="1"/>
  <c r="H16" i="12" s="1"/>
  <c r="B38" i="12"/>
  <c r="C38" i="12" s="1"/>
  <c r="L38" i="12" s="1"/>
  <c r="B46" i="12"/>
  <c r="C46" i="12" s="1"/>
  <c r="L46" i="12" s="1"/>
  <c r="B47" i="12"/>
  <c r="C47" i="12" s="1"/>
  <c r="L47" i="12" s="1"/>
  <c r="B35" i="12"/>
  <c r="C35" i="12" s="1"/>
  <c r="L35" i="12" s="1"/>
  <c r="B26" i="12"/>
  <c r="C26" i="12" s="1"/>
  <c r="H26" i="12" s="1"/>
  <c r="B41" i="12"/>
  <c r="C41" i="12" s="1"/>
  <c r="L41" i="12" s="1"/>
  <c r="B39" i="12"/>
  <c r="C39" i="12" s="1"/>
  <c r="L39" i="12" s="1"/>
  <c r="B45" i="12"/>
  <c r="C45" i="12" s="1"/>
  <c r="L45" i="12" s="1"/>
  <c r="B37" i="12"/>
  <c r="C37" i="12" s="1"/>
  <c r="L37" i="12" s="1"/>
  <c r="B49" i="12"/>
  <c r="C49" i="12" s="1"/>
  <c r="L49" i="12" s="1"/>
  <c r="I26" i="12" l="1"/>
  <c r="J26" i="12" s="1"/>
  <c r="L34" i="12"/>
  <c r="I16" i="12"/>
  <c r="J16" i="12" s="1"/>
  <c r="I7" i="12"/>
  <c r="J7" i="12" s="1"/>
  <c r="I3" i="12"/>
  <c r="J3" i="12" s="1"/>
  <c r="J22" i="12"/>
  <c r="S18" i="12"/>
  <c r="P18" i="12"/>
  <c r="R18" i="12"/>
  <c r="J20" i="12"/>
  <c r="R27" i="12"/>
  <c r="S27" i="12"/>
  <c r="P27" i="12"/>
  <c r="S11" i="12"/>
  <c r="P11" i="12"/>
  <c r="R11" i="12"/>
  <c r="R25" i="12"/>
  <c r="P25" i="12"/>
  <c r="S25" i="12"/>
  <c r="J17" i="12"/>
  <c r="P23" i="12"/>
  <c r="R23" i="12"/>
  <c r="S23" i="12"/>
  <c r="N26" i="12"/>
  <c r="P26" i="12" s="1"/>
  <c r="P14" i="12"/>
  <c r="R14" i="12"/>
  <c r="S14" i="12"/>
  <c r="O3" i="12"/>
  <c r="E4" i="12"/>
  <c r="G4" i="12" s="1"/>
  <c r="J27" i="12"/>
  <c r="J11" i="12"/>
  <c r="P12" i="12"/>
  <c r="R12" i="12"/>
  <c r="S12" i="12"/>
  <c r="P22" i="12"/>
  <c r="S22" i="12"/>
  <c r="R22" i="12"/>
  <c r="R2" i="12"/>
  <c r="S2" i="12"/>
  <c r="P2" i="12"/>
  <c r="S15" i="12"/>
  <c r="P15" i="12"/>
  <c r="R15" i="12"/>
  <c r="R24" i="12"/>
  <c r="P24" i="12"/>
  <c r="S24" i="12"/>
  <c r="N16" i="12"/>
  <c r="R16" i="12" s="1"/>
  <c r="R13" i="12"/>
  <c r="S13" i="12"/>
  <c r="P13" i="12"/>
  <c r="P19" i="12"/>
  <c r="R19" i="12"/>
  <c r="S19" i="12"/>
  <c r="J13" i="12"/>
  <c r="J21" i="12"/>
  <c r="N7" i="12"/>
  <c r="P7" i="12" s="1"/>
  <c r="J8" i="12"/>
  <c r="J24" i="12"/>
  <c r="N3" i="12"/>
  <c r="J23" i="12"/>
  <c r="P20" i="12"/>
  <c r="R20" i="12"/>
  <c r="S20" i="12"/>
  <c r="J19" i="12"/>
  <c r="J14" i="12"/>
  <c r="R17" i="12"/>
  <c r="S17" i="12"/>
  <c r="P17" i="12"/>
  <c r="J10" i="12"/>
  <c r="R8" i="12"/>
  <c r="S8" i="12"/>
  <c r="P8" i="12"/>
  <c r="J12" i="12"/>
  <c r="R9" i="12"/>
  <c r="P9" i="12"/>
  <c r="S9" i="12"/>
  <c r="P6" i="12"/>
  <c r="S6" i="12"/>
  <c r="R6" i="12"/>
  <c r="S10" i="12"/>
  <c r="P10" i="12"/>
  <c r="R10" i="12"/>
  <c r="P21" i="12"/>
  <c r="R21" i="12"/>
  <c r="S21" i="12"/>
  <c r="B4" i="12"/>
  <c r="C4" i="12" s="1"/>
  <c r="H4" i="12" s="1"/>
  <c r="K27" i="12"/>
  <c r="S16" i="12" l="1"/>
  <c r="S7" i="12"/>
  <c r="K26" i="12"/>
  <c r="Q31" i="12" s="1"/>
  <c r="J9" i="12"/>
  <c r="P16" i="12"/>
  <c r="R7" i="12"/>
  <c r="N4" i="12"/>
  <c r="P3" i="12"/>
  <c r="R3" i="12"/>
  <c r="S3" i="12"/>
  <c r="S26" i="12"/>
  <c r="R26" i="12"/>
  <c r="J18" i="12"/>
  <c r="I4" i="12"/>
  <c r="K22" i="12"/>
  <c r="K20" i="12"/>
  <c r="K24" i="12"/>
  <c r="K19" i="12"/>
  <c r="K21" i="12"/>
  <c r="K23" i="12"/>
  <c r="X18" i="12" a="1"/>
  <c r="L27" i="12"/>
  <c r="K13" i="12"/>
  <c r="K10" i="12"/>
  <c r="K14" i="12"/>
  <c r="X9" i="12" a="1"/>
  <c r="K11" i="12"/>
  <c r="K12" i="12"/>
  <c r="X11" i="12" l="1"/>
  <c r="X9" i="12"/>
  <c r="X10" i="12"/>
  <c r="L26" i="12"/>
  <c r="Q32" i="12" s="1"/>
  <c r="Q41" i="12" s="1"/>
  <c r="X18" i="12"/>
  <c r="X20" i="12"/>
  <c r="X19" i="12"/>
  <c r="P31" i="12"/>
  <c r="J4" i="12"/>
  <c r="S4" i="12"/>
  <c r="P4" i="12"/>
  <c r="R4" i="12"/>
  <c r="L14" i="12"/>
  <c r="L21" i="12"/>
  <c r="L10" i="12"/>
  <c r="L13" i="12"/>
  <c r="L19" i="12"/>
  <c r="L12" i="12"/>
  <c r="L24" i="12"/>
  <c r="L11" i="12"/>
  <c r="L20" i="12"/>
  <c r="L22" i="12"/>
  <c r="K4" i="12"/>
  <c r="L23" i="12"/>
  <c r="Q42" i="12" l="1"/>
  <c r="Q45" i="12"/>
  <c r="Q48" i="12"/>
  <c r="Q39" i="12"/>
  <c r="Q37" i="12"/>
  <c r="Q49" i="12"/>
  <c r="Q44" i="12"/>
  <c r="Q43" i="12"/>
  <c r="Q38" i="12"/>
  <c r="Q46" i="12"/>
  <c r="K3" i="12"/>
  <c r="N31" i="12"/>
  <c r="Q34" i="12"/>
  <c r="Q36" i="12"/>
  <c r="Q40" i="12"/>
  <c r="Q47" i="12"/>
  <c r="Q35" i="12"/>
  <c r="L3" i="12"/>
  <c r="L4" i="12"/>
  <c r="N32" i="12" l="1"/>
  <c r="N38" i="12" s="1"/>
  <c r="G38" i="12" s="1"/>
  <c r="N37" i="12"/>
  <c r="G37" i="12" s="1"/>
  <c r="N35" i="12"/>
  <c r="G35" i="12" s="1"/>
  <c r="N36" i="12" l="1"/>
  <c r="G36" i="12" s="1"/>
  <c r="N34" i="12"/>
  <c r="G34" i="12" s="1"/>
  <c r="V9" i="12" a="1"/>
  <c r="V11" i="12"/>
  <c r="V9" i="12"/>
  <c r="AD9" i="12" a="1"/>
  <c r="AF9" i="12" s="1"/>
  <c r="V10" i="12"/>
  <c r="K9" i="12"/>
  <c r="AE11" i="12" l="1"/>
  <c r="AE10" i="12"/>
  <c r="AF10" i="12"/>
  <c r="AF11" i="12"/>
  <c r="AD9" i="12"/>
  <c r="AD11" i="12"/>
  <c r="AD10" i="12"/>
  <c r="AE9" i="12"/>
  <c r="O31" i="12"/>
  <c r="L9" i="12"/>
  <c r="W9" i="12" a="1"/>
  <c r="O32" i="12" l="1"/>
  <c r="W9" i="12"/>
  <c r="W10" i="12"/>
  <c r="W11" i="12"/>
  <c r="K18" i="12"/>
  <c r="L18" i="12"/>
  <c r="AB18" i="12" a="1"/>
  <c r="P32" i="12" l="1"/>
  <c r="AB20" i="12"/>
  <c r="AB19" i="12"/>
  <c r="AB18" i="12"/>
  <c r="V18" i="12" a="1"/>
  <c r="V19" i="12"/>
  <c r="V20" i="12"/>
  <c r="V18" i="12"/>
  <c r="AD18" i="12" s="1" a="1"/>
  <c r="AF20" i="12" s="1"/>
  <c r="J31" i="12"/>
  <c r="I31" i="12"/>
  <c r="AD18" i="12" l="1"/>
  <c r="Z18" i="12" s="1" a="1"/>
  <c r="AD19" i="12"/>
  <c r="AE19" i="12"/>
  <c r="AD20" i="12"/>
  <c r="AF18" i="12"/>
  <c r="AF19" i="12"/>
  <c r="AE18" i="12"/>
  <c r="AE20" i="12"/>
  <c r="J32" i="12"/>
  <c r="G31" i="12"/>
  <c r="H31" i="12"/>
  <c r="Z20" i="12" l="1"/>
  <c r="W32" i="12" s="1"/>
  <c r="Z19" i="12"/>
  <c r="W31" i="12" s="1"/>
  <c r="Z18" i="12"/>
  <c r="W30" i="12" s="1"/>
  <c r="G32" i="12"/>
  <c r="AB9" i="12" a="1"/>
  <c r="AB11" i="12"/>
  <c r="AB10" i="12"/>
  <c r="AB9" i="12"/>
  <c r="H32" i="12"/>
  <c r="W18" i="12" a="1"/>
  <c r="W18" i="12"/>
  <c r="W19" i="12"/>
  <c r="W20" i="12"/>
  <c r="I32" i="12"/>
  <c r="W41" i="12"/>
  <c r="P41" i="12" s="1"/>
  <c r="I41" i="12" s="1"/>
  <c r="W43" i="12"/>
  <c r="P43" i="12" s="1"/>
  <c r="I43" i="12" s="1"/>
  <c r="W42" i="12"/>
  <c r="P42" i="12"/>
  <c r="I42" i="12" s="1"/>
  <c r="J49" i="12"/>
  <c r="J44" i="12"/>
  <c r="J47" i="12"/>
  <c r="J42" i="12"/>
  <c r="J40" i="12"/>
  <c r="J41" i="12"/>
  <c r="J46" i="12"/>
  <c r="W39" i="12"/>
  <c r="P39" i="12" s="1"/>
  <c r="I39" i="12" s="1"/>
  <c r="W34" i="12"/>
  <c r="P34" i="12" s="1"/>
  <c r="I34" i="12" s="1"/>
  <c r="J38" i="12"/>
  <c r="J36" i="12"/>
  <c r="W37" i="12"/>
  <c r="P37" i="12" s="1"/>
  <c r="I37" i="12" s="1"/>
  <c r="J45" i="12"/>
  <c r="J43" i="12"/>
  <c r="W38" i="12"/>
  <c r="P38" i="12"/>
  <c r="I38" i="12" s="1"/>
  <c r="J35" i="12"/>
  <c r="W35" i="12"/>
  <c r="P35" i="12"/>
  <c r="I35" i="12"/>
  <c r="J39" i="12"/>
  <c r="J48" i="12"/>
  <c r="W36" i="12"/>
  <c r="P36" i="12" s="1"/>
  <c r="I36" i="12" s="1"/>
  <c r="W40" i="12"/>
  <c r="P40" i="12" s="1"/>
  <c r="I40" i="12" s="1"/>
  <c r="J37" i="12"/>
  <c r="J34" i="12"/>
  <c r="Z9" i="12" a="1"/>
  <c r="Z11" i="12" s="1"/>
  <c r="V32" i="12" s="1"/>
  <c r="Z9" i="12"/>
  <c r="AH9" i="12" s="1" a="1"/>
  <c r="AH18" i="12" a="1"/>
  <c r="AH19" i="12" s="1"/>
  <c r="Z10" i="12" l="1"/>
  <c r="V31" i="12" s="1"/>
  <c r="AH11" i="12"/>
  <c r="AH10" i="12"/>
  <c r="AH9" i="12"/>
  <c r="V30" i="12"/>
  <c r="AH18" i="12"/>
  <c r="AH20" i="12"/>
  <c r="V36" i="12" l="1"/>
  <c r="O36" i="12" s="1"/>
  <c r="H36" i="12" s="1"/>
  <c r="V34" i="12"/>
  <c r="O34" i="12" s="1"/>
  <c r="H34" i="12" s="1"/>
  <c r="V40" i="12"/>
  <c r="O40" i="12" s="1"/>
  <c r="H40" i="12" s="1"/>
  <c r="V37" i="12"/>
  <c r="O37" i="12" s="1"/>
  <c r="H37" i="12" s="1"/>
  <c r="V38" i="12"/>
  <c r="O38" i="12" s="1"/>
  <c r="H38" i="12" s="1"/>
  <c r="V39" i="12"/>
  <c r="O39" i="12" s="1"/>
  <c r="H39" i="12" s="1"/>
  <c r="V35" i="12"/>
  <c r="O35" i="12" s="1"/>
  <c r="H35" i="12" s="1"/>
</calcChain>
</file>

<file path=xl/sharedStrings.xml><?xml version="1.0" encoding="utf-8"?>
<sst xmlns="http://schemas.openxmlformats.org/spreadsheetml/2006/main" count="98" uniqueCount="61">
  <si>
    <t>Currency</t>
  </si>
  <si>
    <t>Last update</t>
  </si>
  <si>
    <t>Live Data Feed</t>
  </si>
  <si>
    <t>3M</t>
  </si>
  <si>
    <t>1W</t>
  </si>
  <si>
    <t>2W</t>
  </si>
  <si>
    <t>end</t>
  </si>
  <si>
    <t>start</t>
  </si>
  <si>
    <t>3W</t>
  </si>
  <si>
    <t>1M</t>
  </si>
  <si>
    <t>2M</t>
  </si>
  <si>
    <t>Instrument</t>
  </si>
  <si>
    <t>4M</t>
  </si>
  <si>
    <t>5M</t>
  </si>
  <si>
    <t>1D</t>
  </si>
  <si>
    <t>6M</t>
  </si>
  <si>
    <t>Calendar</t>
  </si>
  <si>
    <t>SettlementDate</t>
  </si>
  <si>
    <t>7M</t>
  </si>
  <si>
    <t>8M</t>
  </si>
  <si>
    <t>9M</t>
  </si>
  <si>
    <t>10M</t>
  </si>
  <si>
    <t>11M</t>
  </si>
  <si>
    <t>12M</t>
  </si>
  <si>
    <t>1Y</t>
  </si>
  <si>
    <t>quote</t>
  </si>
  <si>
    <t>OIS id</t>
  </si>
  <si>
    <t>OvenightIndex</t>
  </si>
  <si>
    <t>OisEngine</t>
  </si>
  <si>
    <t>IborType</t>
  </si>
  <si>
    <t>Evaluation Date</t>
  </si>
  <si>
    <t>Interest Rates Trigger</t>
  </si>
  <si>
    <t>monotonicity</t>
  </si>
  <si>
    <t>first guess</t>
  </si>
  <si>
    <t>OisCurve</t>
  </si>
  <si>
    <t>General Settings</t>
  </si>
  <si>
    <t>LastFixingsTrigger</t>
  </si>
  <si>
    <t>OIS</t>
  </si>
  <si>
    <t>a</t>
  </si>
  <si>
    <t>b</t>
  </si>
  <si>
    <t>BA</t>
  </si>
  <si>
    <t>Flat</t>
  </si>
  <si>
    <t>basis</t>
  </si>
  <si>
    <t>1x2F</t>
  </si>
  <si>
    <t>days</t>
  </si>
  <si>
    <t>α</t>
  </si>
  <si>
    <t>β</t>
  </si>
  <si>
    <t>x</t>
  </si>
  <si>
    <t>=</t>
  </si>
  <si>
    <t>γ</t>
  </si>
  <si>
    <t>error</t>
  </si>
  <si>
    <t>inverse</t>
  </si>
  <si>
    <t>USD</t>
  </si>
  <si>
    <t>FedFund</t>
  </si>
  <si>
    <t>External Link Cleaned Up</t>
  </si>
  <si>
    <t>UnitedKingdom::Exchange</t>
  </si>
  <si>
    <t>=qlMakeDatedOIS(,E34,F34,OvernightIndex,0,,,,EvaluationDate)</t>
  </si>
  <si>
    <t>Actual/360</t>
  </si>
  <si>
    <t>DayCounter</t>
  </si>
  <si>
    <t>LastDayInNextYear</t>
  </si>
  <si>
    <t>LastDayInYear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</si>
</sst>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£&quot;#,##0;[Red]\-&quot;£&quot;#,##0"/>
    <numFmt numFmtId="165" formatCode="0.0000%"/>
    <numFmt numFmtId="166" formatCode="ddd\,\ d\-mmm\-yyyy"/>
    <numFmt numFmtId="167" formatCode="ddd\,\ dd\-mmm\-yyyy\,\ h:mm:ss"/>
    <numFmt numFmtId="168" formatCode="ddd\,\ dd\-mmm\-yyyy\ h:mm:ss"/>
    <numFmt numFmtId="169" formatCode="#,##0.0;#,##0.0"/>
    <numFmt numFmtId="170" formatCode="_([$€-2]* #,##0.00_);_([$€-2]* \(#,##0.00\);_([$€-2]* &quot;-&quot;??_)"/>
    <numFmt numFmtId="171" formatCode="General_)"/>
    <numFmt numFmtId="172" formatCode="ddd\,\ dd\-mmm\-yyyy"/>
    <numFmt numFmtId="173" formatCode="0.0E+00"/>
  </numFmts>
  <fonts count="13" x14ac:knownFonts="1">
    <font>
      <sz val="8"/>
      <name val="Arial"/>
    </font>
    <font>
      <sz val="8"/>
      <name val="Arial"/>
    </font>
    <font>
      <sz val="10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12"/>
      <name val="Courier New"/>
      <family val="3"/>
    </font>
    <font>
      <sz val="14"/>
      <name val="Courier New"/>
      <family val="3"/>
    </font>
    <font>
      <sz val="14"/>
      <name val="Arial"/>
      <family val="2"/>
    </font>
    <font>
      <sz val="8"/>
      <name val="Courier New"/>
      <family val="3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gray0625">
        <bgColor indexed="43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170" fontId="2" fillId="0" borderId="0" applyFont="0" applyFill="0" applyBorder="0" applyAlignment="0" applyProtection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0" fontId="2" fillId="0" borderId="0"/>
    <xf numFmtId="0" fontId="1" fillId="0" borderId="0"/>
    <xf numFmtId="171" fontId="5" fillId="0" borderId="0"/>
    <xf numFmtId="9" fontId="1" fillId="0" borderId="0" applyFont="0" applyFill="0" applyBorder="0" applyAlignment="0" applyProtection="0"/>
    <xf numFmtId="169" fontId="3" fillId="2" borderId="0">
      <alignment horizontal="center" vertical="center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158">
    <xf numFmtId="0" fontId="0" fillId="0" borderId="0" xfId="0"/>
    <xf numFmtId="0" fontId="6" fillId="0" borderId="0" xfId="0" applyFont="1"/>
    <xf numFmtId="165" fontId="6" fillId="0" borderId="1" xfId="7" applyNumberFormat="1" applyFont="1" applyBorder="1"/>
    <xf numFmtId="165" fontId="6" fillId="0" borderId="2" xfId="7" applyNumberFormat="1" applyFont="1" applyBorder="1"/>
    <xf numFmtId="165" fontId="6" fillId="0" borderId="3" xfId="7" applyNumberFormat="1" applyFont="1" applyBorder="1"/>
    <xf numFmtId="0" fontId="6" fillId="0" borderId="0" xfId="0" applyFont="1" applyBorder="1"/>
    <xf numFmtId="166" fontId="6" fillId="0" borderId="0" xfId="0" applyNumberFormat="1" applyFont="1" applyBorder="1" applyAlignment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 applyAlignment="1"/>
    <xf numFmtId="0" fontId="6" fillId="0" borderId="7" xfId="0" applyFont="1" applyBorder="1"/>
    <xf numFmtId="0" fontId="6" fillId="0" borderId="8" xfId="0" applyFont="1" applyBorder="1" applyAlignment="1"/>
    <xf numFmtId="0" fontId="6" fillId="0" borderId="9" xfId="0" applyFont="1" applyBorder="1"/>
    <xf numFmtId="165" fontId="6" fillId="0" borderId="5" xfId="0" applyNumberFormat="1" applyFont="1" applyBorder="1"/>
    <xf numFmtId="165" fontId="6" fillId="0" borderId="10" xfId="0" applyNumberFormat="1" applyFont="1" applyBorder="1"/>
    <xf numFmtId="165" fontId="6" fillId="0" borderId="0" xfId="7" applyNumberFormat="1" applyFont="1" applyBorder="1"/>
    <xf numFmtId="165" fontId="6" fillId="0" borderId="9" xfId="0" applyNumberFormat="1" applyFont="1" applyBorder="1"/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166" fontId="6" fillId="0" borderId="12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right"/>
    </xf>
    <xf numFmtId="172" fontId="6" fillId="0" borderId="5" xfId="0" applyNumberFormat="1" applyFont="1" applyBorder="1"/>
    <xf numFmtId="0" fontId="6" fillId="0" borderId="8" xfId="0" applyFont="1" applyBorder="1" applyAlignment="1">
      <alignment horizontal="right"/>
    </xf>
    <xf numFmtId="172" fontId="6" fillId="0" borderId="9" xfId="0" applyNumberFormat="1" applyFont="1" applyBorder="1"/>
    <xf numFmtId="0" fontId="6" fillId="0" borderId="8" xfId="0" applyFont="1" applyFill="1" applyBorder="1" applyAlignment="1">
      <alignment horizontal="right"/>
    </xf>
    <xf numFmtId="172" fontId="6" fillId="0" borderId="10" xfId="0" applyNumberFormat="1" applyFont="1" applyBorder="1"/>
    <xf numFmtId="165" fontId="6" fillId="0" borderId="8" xfId="0" applyNumberFormat="1" applyFont="1" applyBorder="1" applyAlignment="1"/>
    <xf numFmtId="0" fontId="6" fillId="0" borderId="14" xfId="0" applyFont="1" applyBorder="1"/>
    <xf numFmtId="0" fontId="6" fillId="0" borderId="8" xfId="0" applyFont="1" applyBorder="1"/>
    <xf numFmtId="0" fontId="6" fillId="0" borderId="6" xfId="0" applyFont="1" applyBorder="1"/>
    <xf numFmtId="0" fontId="6" fillId="0" borderId="6" xfId="0" applyFont="1" applyBorder="1" applyAlignment="1">
      <alignment horizontal="right"/>
    </xf>
    <xf numFmtId="165" fontId="7" fillId="0" borderId="0" xfId="7" applyNumberFormat="1" applyFont="1" applyBorder="1"/>
    <xf numFmtId="165" fontId="7" fillId="3" borderId="0" xfId="7" applyNumberFormat="1" applyFont="1" applyFill="1" applyBorder="1"/>
    <xf numFmtId="165" fontId="7" fillId="0" borderId="4" xfId="7" applyNumberFormat="1" applyFont="1" applyBorder="1"/>
    <xf numFmtId="165" fontId="7" fillId="0" borderId="7" xfId="7" applyNumberFormat="1" applyFont="1" applyBorder="1"/>
    <xf numFmtId="165" fontId="7" fillId="3" borderId="8" xfId="7" applyNumberFormat="1" applyFont="1" applyFill="1" applyBorder="1" applyAlignment="1"/>
    <xf numFmtId="165" fontId="6" fillId="0" borderId="11" xfId="0" applyNumberFormat="1" applyFont="1" applyBorder="1"/>
    <xf numFmtId="165" fontId="6" fillId="0" borderId="12" xfId="0" applyNumberFormat="1" applyFont="1" applyBorder="1"/>
    <xf numFmtId="165" fontId="6" fillId="0" borderId="13" xfId="0" applyNumberFormat="1" applyFont="1" applyBorder="1"/>
    <xf numFmtId="0" fontId="6" fillId="4" borderId="0" xfId="0" applyFont="1" applyFill="1" applyBorder="1"/>
    <xf numFmtId="0" fontId="6" fillId="4" borderId="0" xfId="4" applyFont="1" applyFill="1" applyBorder="1"/>
    <xf numFmtId="0" fontId="6" fillId="4" borderId="9" xfId="4" applyFont="1" applyFill="1" applyBorder="1"/>
    <xf numFmtId="0" fontId="6" fillId="5" borderId="0" xfId="5" applyFont="1" applyFill="1"/>
    <xf numFmtId="168" fontId="6" fillId="4" borderId="0" xfId="4" applyNumberFormat="1" applyFont="1" applyFill="1" applyBorder="1" applyAlignment="1">
      <alignment horizontal="center"/>
    </xf>
    <xf numFmtId="0" fontId="6" fillId="4" borderId="0" xfId="4" applyFont="1" applyFill="1" applyBorder="1" applyAlignment="1">
      <alignment horizontal="center"/>
    </xf>
    <xf numFmtId="0" fontId="9" fillId="4" borderId="0" xfId="4" applyFont="1" applyFill="1" applyBorder="1" applyAlignment="1">
      <alignment horizontal="right"/>
    </xf>
    <xf numFmtId="167" fontId="7" fillId="4" borderId="0" xfId="4" applyNumberFormat="1" applyFont="1" applyFill="1" applyBorder="1" applyAlignment="1">
      <alignment horizontal="left"/>
    </xf>
    <xf numFmtId="0" fontId="7" fillId="4" borderId="0" xfId="4" quotePrefix="1" applyFont="1" applyFill="1" applyBorder="1" applyAlignment="1">
      <alignment horizontal="left"/>
    </xf>
    <xf numFmtId="0" fontId="6" fillId="4" borderId="7" xfId="4" applyFont="1" applyFill="1" applyBorder="1"/>
    <xf numFmtId="0" fontId="6" fillId="4" borderId="10" xfId="4" applyFont="1" applyFill="1" applyBorder="1"/>
    <xf numFmtId="0" fontId="6" fillId="6" borderId="0" xfId="4" applyFont="1" applyFill="1" applyBorder="1"/>
    <xf numFmtId="0" fontId="6" fillId="6" borderId="0" xfId="4" applyFont="1" applyFill="1"/>
    <xf numFmtId="0" fontId="6" fillId="4" borderId="8" xfId="4" applyFont="1" applyFill="1" applyBorder="1"/>
    <xf numFmtId="0" fontId="6" fillId="0" borderId="0" xfId="4" applyFont="1"/>
    <xf numFmtId="0" fontId="6" fillId="4" borderId="0" xfId="4" applyFont="1" applyFill="1" applyAlignment="1">
      <alignment horizontal="right"/>
    </xf>
    <xf numFmtId="0" fontId="7" fillId="4" borderId="0" xfId="4" applyFont="1" applyFill="1" applyAlignment="1">
      <alignment horizontal="right"/>
    </xf>
    <xf numFmtId="0" fontId="6" fillId="4" borderId="6" xfId="4" applyFont="1" applyFill="1" applyBorder="1"/>
    <xf numFmtId="0" fontId="6" fillId="4" borderId="0" xfId="4" applyFont="1" applyFill="1"/>
    <xf numFmtId="0" fontId="6" fillId="0" borderId="0" xfId="0" applyFont="1" applyAlignment="1">
      <alignment horizontal="right"/>
    </xf>
    <xf numFmtId="165" fontId="7" fillId="3" borderId="9" xfId="7" applyNumberFormat="1" applyFont="1" applyFill="1" applyBorder="1"/>
    <xf numFmtId="165" fontId="7" fillId="3" borderId="2" xfId="7" applyNumberFormat="1" applyFont="1" applyFill="1" applyBorder="1" applyAlignment="1"/>
    <xf numFmtId="165" fontId="7" fillId="3" borderId="5" xfId="7" applyNumberFormat="1" applyFont="1" applyFill="1" applyBorder="1"/>
    <xf numFmtId="165" fontId="7" fillId="3" borderId="1" xfId="7" applyNumberFormat="1" applyFont="1" applyFill="1" applyBorder="1" applyAlignment="1"/>
    <xf numFmtId="0" fontId="6" fillId="5" borderId="15" xfId="4" applyFont="1" applyFill="1" applyBorder="1" applyAlignment="1">
      <alignment horizontal="right"/>
    </xf>
    <xf numFmtId="166" fontId="6" fillId="4" borderId="13" xfId="7" applyNumberFormat="1" applyFont="1" applyFill="1" applyBorder="1" applyAlignment="1">
      <alignment horizontal="center"/>
    </xf>
    <xf numFmtId="165" fontId="6" fillId="0" borderId="8" xfId="7" applyNumberFormat="1" applyFont="1" applyBorder="1" applyAlignment="1"/>
    <xf numFmtId="172" fontId="6" fillId="0" borderId="4" xfId="0" applyNumberFormat="1" applyFont="1" applyBorder="1" applyAlignment="1"/>
    <xf numFmtId="172" fontId="6" fillId="0" borderId="7" xfId="0" applyNumberFormat="1" applyFont="1" applyBorder="1" applyAlignment="1"/>
    <xf numFmtId="172" fontId="6" fillId="0" borderId="0" xfId="0" applyNumberFormat="1" applyFont="1" applyBorder="1" applyAlignment="1"/>
    <xf numFmtId="172" fontId="6" fillId="0" borderId="9" xfId="0" applyNumberFormat="1" applyFont="1" applyBorder="1" applyAlignment="1"/>
    <xf numFmtId="172" fontId="6" fillId="4" borderId="13" xfId="7" applyNumberFormat="1" applyFont="1" applyFill="1" applyBorder="1" applyAlignment="1">
      <alignment horizontal="center"/>
    </xf>
    <xf numFmtId="0" fontId="6" fillId="4" borderId="8" xfId="0" applyFont="1" applyFill="1" applyBorder="1"/>
    <xf numFmtId="0" fontId="6" fillId="4" borderId="9" xfId="0" applyFont="1" applyFill="1" applyBorder="1"/>
    <xf numFmtId="0" fontId="6" fillId="4" borderId="0" xfId="0" applyFont="1" applyFill="1"/>
    <xf numFmtId="0" fontId="8" fillId="5" borderId="15" xfId="0" applyFont="1" applyFill="1" applyBorder="1" applyProtection="1"/>
    <xf numFmtId="172" fontId="6" fillId="7" borderId="13" xfId="0" applyNumberFormat="1" applyFont="1" applyFill="1" applyBorder="1" applyAlignment="1" applyProtection="1">
      <alignment horizontal="right"/>
    </xf>
    <xf numFmtId="0" fontId="6" fillId="4" borderId="6" xfId="0" applyFont="1" applyFill="1" applyBorder="1"/>
    <xf numFmtId="0" fontId="6" fillId="4" borderId="7" xfId="0" applyFont="1" applyFill="1" applyBorder="1"/>
    <xf numFmtId="0" fontId="6" fillId="4" borderId="10" xfId="0" applyFont="1" applyFill="1" applyBorder="1"/>
    <xf numFmtId="0" fontId="6" fillId="0" borderId="8" xfId="0" applyFont="1" applyFill="1" applyBorder="1"/>
    <xf numFmtId="165" fontId="6" fillId="0" borderId="0" xfId="0" applyNumberFormat="1" applyFont="1"/>
    <xf numFmtId="0" fontId="6" fillId="0" borderId="0" xfId="0" applyFont="1" applyAlignment="1">
      <alignment horizontal="center"/>
    </xf>
    <xf numFmtId="166" fontId="6" fillId="0" borderId="4" xfId="0" applyNumberFormat="1" applyFont="1" applyBorder="1" applyAlignment="1"/>
    <xf numFmtId="165" fontId="6" fillId="0" borderId="4" xfId="0" applyNumberFormat="1" applyFont="1" applyBorder="1" applyAlignment="1"/>
    <xf numFmtId="165" fontId="6" fillId="0" borderId="0" xfId="7" applyNumberFormat="1" applyFont="1"/>
    <xf numFmtId="165" fontId="6" fillId="0" borderId="8" xfId="0" applyNumberFormat="1" applyFont="1" applyBorder="1"/>
    <xf numFmtId="165" fontId="6" fillId="0" borderId="0" xfId="0" applyNumberFormat="1" applyFont="1" applyBorder="1"/>
    <xf numFmtId="165" fontId="7" fillId="3" borderId="6" xfId="7" applyNumberFormat="1" applyFont="1" applyFill="1" applyBorder="1" applyAlignment="1"/>
    <xf numFmtId="165" fontId="7" fillId="3" borderId="7" xfId="7" applyNumberFormat="1" applyFont="1" applyFill="1" applyBorder="1"/>
    <xf numFmtId="165" fontId="7" fillId="3" borderId="10" xfId="7" applyNumberFormat="1" applyFont="1" applyFill="1" applyBorder="1"/>
    <xf numFmtId="165" fontId="6" fillId="0" borderId="1" xfId="0" applyNumberFormat="1" applyFont="1" applyBorder="1"/>
    <xf numFmtId="165" fontId="6" fillId="0" borderId="2" xfId="0" applyNumberFormat="1" applyFont="1" applyBorder="1"/>
    <xf numFmtId="165" fontId="6" fillId="0" borderId="3" xfId="0" applyNumberFormat="1" applyFont="1" applyBorder="1"/>
    <xf numFmtId="173" fontId="6" fillId="0" borderId="1" xfId="0" applyNumberFormat="1" applyFont="1" applyBorder="1"/>
    <xf numFmtId="173" fontId="6" fillId="0" borderId="2" xfId="0" applyNumberFormat="1" applyFont="1" applyBorder="1"/>
    <xf numFmtId="173" fontId="6" fillId="0" borderId="3" xfId="0" applyNumberFormat="1" applyFont="1" applyBorder="1"/>
    <xf numFmtId="173" fontId="6" fillId="0" borderId="14" xfId="0" applyNumberFormat="1" applyFont="1" applyBorder="1"/>
    <xf numFmtId="173" fontId="6" fillId="0" borderId="4" xfId="0" applyNumberFormat="1" applyFont="1" applyBorder="1"/>
    <xf numFmtId="173" fontId="6" fillId="0" borderId="5" xfId="0" applyNumberFormat="1" applyFont="1" applyBorder="1"/>
    <xf numFmtId="173" fontId="6" fillId="0" borderId="8" xfId="0" applyNumberFormat="1" applyFont="1" applyBorder="1"/>
    <xf numFmtId="173" fontId="6" fillId="0" borderId="0" xfId="0" applyNumberFormat="1" applyFont="1" applyBorder="1"/>
    <xf numFmtId="173" fontId="6" fillId="0" borderId="9" xfId="0" applyNumberFormat="1" applyFont="1" applyBorder="1"/>
    <xf numFmtId="173" fontId="6" fillId="0" borderId="6" xfId="0" applyNumberFormat="1" applyFont="1" applyBorder="1"/>
    <xf numFmtId="173" fontId="6" fillId="0" borderId="7" xfId="0" applyNumberFormat="1" applyFont="1" applyBorder="1"/>
    <xf numFmtId="173" fontId="6" fillId="0" borderId="10" xfId="0" applyNumberFormat="1" applyFont="1" applyBorder="1"/>
    <xf numFmtId="2" fontId="6" fillId="0" borderId="14" xfId="0" applyNumberFormat="1" applyFont="1" applyBorder="1"/>
    <xf numFmtId="2" fontId="6" fillId="0" borderId="4" xfId="0" applyNumberFormat="1" applyFont="1" applyBorder="1"/>
    <xf numFmtId="2" fontId="6" fillId="0" borderId="5" xfId="0" applyNumberFormat="1" applyFont="1" applyBorder="1"/>
    <xf numFmtId="2" fontId="6" fillId="0" borderId="8" xfId="0" applyNumberFormat="1" applyFont="1" applyBorder="1"/>
    <xf numFmtId="2" fontId="6" fillId="0" borderId="0" xfId="0" applyNumberFormat="1" applyFont="1" applyBorder="1"/>
    <xf numFmtId="2" fontId="6" fillId="0" borderId="9" xfId="0" applyNumberFormat="1" applyFont="1" applyBorder="1"/>
    <xf numFmtId="2" fontId="6" fillId="0" borderId="6" xfId="0" applyNumberFormat="1" applyFont="1" applyBorder="1"/>
    <xf numFmtId="2" fontId="6" fillId="0" borderId="7" xfId="0" applyNumberFormat="1" applyFont="1" applyBorder="1"/>
    <xf numFmtId="2" fontId="6" fillId="0" borderId="10" xfId="0" applyNumberFormat="1" applyFont="1" applyBorder="1"/>
    <xf numFmtId="2" fontId="6" fillId="0" borderId="0" xfId="0" applyNumberFormat="1" applyFont="1"/>
    <xf numFmtId="165" fontId="6" fillId="0" borderId="6" xfId="0" applyNumberFormat="1" applyFont="1" applyBorder="1"/>
    <xf numFmtId="165" fontId="6" fillId="0" borderId="7" xfId="0" applyNumberFormat="1" applyFont="1" applyBorder="1"/>
    <xf numFmtId="0" fontId="12" fillId="0" borderId="0" xfId="0" applyFont="1"/>
    <xf numFmtId="0" fontId="6" fillId="8" borderId="8" xfId="0" applyFont="1" applyFill="1" applyBorder="1" applyAlignment="1"/>
    <xf numFmtId="172" fontId="6" fillId="8" borderId="0" xfId="0" applyNumberFormat="1" applyFont="1" applyFill="1" applyBorder="1" applyAlignment="1"/>
    <xf numFmtId="172" fontId="6" fillId="8" borderId="9" xfId="0" applyNumberFormat="1" applyFont="1" applyFill="1" applyBorder="1" applyAlignment="1"/>
    <xf numFmtId="165" fontId="6" fillId="8" borderId="8" xfId="0" applyNumberFormat="1" applyFont="1" applyFill="1" applyBorder="1" applyAlignment="1"/>
    <xf numFmtId="165" fontId="6" fillId="8" borderId="0" xfId="7" applyNumberFormat="1" applyFont="1" applyFill="1" applyBorder="1"/>
    <xf numFmtId="165" fontId="6" fillId="8" borderId="9" xfId="0" applyNumberFormat="1" applyFont="1" applyFill="1" applyBorder="1"/>
    <xf numFmtId="165" fontId="6" fillId="8" borderId="8" xfId="7" applyNumberFormat="1" applyFont="1" applyFill="1" applyBorder="1" applyAlignment="1"/>
    <xf numFmtId="0" fontId="6" fillId="8" borderId="14" xfId="0" applyFont="1" applyFill="1" applyBorder="1" applyAlignment="1"/>
    <xf numFmtId="172" fontId="6" fillId="8" borderId="4" xfId="0" applyNumberFormat="1" applyFont="1" applyFill="1" applyBorder="1" applyAlignment="1"/>
    <xf numFmtId="172" fontId="6" fillId="8" borderId="5" xfId="0" applyNumberFormat="1" applyFont="1" applyFill="1" applyBorder="1" applyAlignment="1"/>
    <xf numFmtId="165" fontId="6" fillId="8" borderId="14" xfId="0" applyNumberFormat="1" applyFont="1" applyFill="1" applyBorder="1" applyAlignment="1"/>
    <xf numFmtId="165" fontId="6" fillId="8" borderId="4" xfId="7" applyNumberFormat="1" applyFont="1" applyFill="1" applyBorder="1"/>
    <xf numFmtId="165" fontId="6" fillId="8" borderId="5" xfId="0" applyNumberFormat="1" applyFont="1" applyFill="1" applyBorder="1"/>
    <xf numFmtId="0" fontId="6" fillId="8" borderId="0" xfId="0" applyFont="1" applyFill="1"/>
    <xf numFmtId="0" fontId="6" fillId="8" borderId="0" xfId="0" applyFont="1" applyFill="1" applyBorder="1"/>
    <xf numFmtId="165" fontId="6" fillId="8" borderId="0" xfId="0" applyNumberFormat="1" applyFont="1" applyFill="1" applyBorder="1"/>
    <xf numFmtId="0" fontId="6" fillId="8" borderId="0" xfId="0" applyNumberFormat="1" applyFont="1" applyFill="1" applyBorder="1"/>
    <xf numFmtId="0" fontId="6" fillId="0" borderId="0" xfId="0" applyNumberFormat="1" applyFont="1" applyBorder="1"/>
    <xf numFmtId="165" fontId="6" fillId="0" borderId="0" xfId="7" applyNumberFormat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8" borderId="0" xfId="0" quotePrefix="1" applyFont="1" applyFill="1" applyBorder="1"/>
    <xf numFmtId="0" fontId="12" fillId="0" borderId="14" xfId="0" applyFont="1" applyBorder="1" applyAlignment="1">
      <alignment horizontal="center"/>
    </xf>
    <xf numFmtId="165" fontId="6" fillId="0" borderId="4" xfId="0" applyNumberFormat="1" applyFont="1" applyBorder="1"/>
    <xf numFmtId="0" fontId="6" fillId="0" borderId="8" xfId="0" applyFont="1" applyBorder="1" applyAlignment="1">
      <alignment horizontal="center"/>
    </xf>
    <xf numFmtId="0" fontId="6" fillId="0" borderId="11" xfId="0" applyFont="1" applyBorder="1"/>
    <xf numFmtId="0" fontId="6" fillId="0" borderId="6" xfId="0" applyFont="1" applyFill="1" applyBorder="1" applyAlignment="1">
      <alignment horizontal="right"/>
    </xf>
    <xf numFmtId="0" fontId="7" fillId="0" borderId="0" xfId="0" applyNumberFormat="1" applyFont="1" applyBorder="1"/>
    <xf numFmtId="2" fontId="6" fillId="8" borderId="0" xfId="0" applyNumberFormat="1" applyFont="1" applyFill="1"/>
    <xf numFmtId="0" fontId="6" fillId="0" borderId="14" xfId="0" quotePrefix="1" applyFont="1" applyBorder="1"/>
    <xf numFmtId="0" fontId="6" fillId="0" borderId="1" xfId="0" applyNumberFormat="1" applyFont="1" applyBorder="1"/>
    <xf numFmtId="0" fontId="6" fillId="0" borderId="2" xfId="0" applyNumberFormat="1" applyFont="1" applyBorder="1"/>
    <xf numFmtId="0" fontId="6" fillId="0" borderId="3" xfId="0" applyNumberFormat="1" applyFont="1" applyBorder="1"/>
    <xf numFmtId="0" fontId="10" fillId="9" borderId="11" xfId="5" applyFont="1" applyFill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6" fillId="4" borderId="15" xfId="4" applyFont="1" applyFill="1" applyBorder="1" applyAlignment="1">
      <alignment horizontal="center"/>
    </xf>
    <xf numFmtId="168" fontId="6" fillId="4" borderId="15" xfId="4" applyNumberFormat="1" applyFont="1" applyFill="1" applyBorder="1" applyAlignment="1">
      <alignment horizontal="center"/>
    </xf>
    <xf numFmtId="166" fontId="6" fillId="4" borderId="15" xfId="7" applyNumberFormat="1" applyFont="1" applyFill="1" applyBorder="1" applyAlignment="1">
      <alignment horizontal="center"/>
    </xf>
    <xf numFmtId="0" fontId="6" fillId="10" borderId="15" xfId="0" applyFont="1" applyFill="1" applyBorder="1"/>
  </cellXfs>
  <cellStyles count="11">
    <cellStyle name="Euro" xfId="1"/>
    <cellStyle name="Migliaia (0)_AZIONI" xfId="2"/>
    <cellStyle name="Migliaia_AZIONI" xfId="3"/>
    <cellStyle name="Normal" xfId="0" builtinId="0"/>
    <cellStyle name="Normal_InterestRateQuotesFeed" xfId="4"/>
    <cellStyle name="Normal_SwaptionATMVols" xfId="5"/>
    <cellStyle name="Normale_AZIONI" xfId="6"/>
    <cellStyle name="Percent" xfId="7" builtinId="5"/>
    <cellStyle name="result" xfId="8"/>
    <cellStyle name="Valuta (0)_AZIONI" xfId="9"/>
    <cellStyle name="Valuta_AZIONI" xfId="10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15</xdr:row>
          <xdr:rowOff>57150</xdr:rowOff>
        </xdr:from>
        <xdr:to>
          <xdr:col>2</xdr:col>
          <xdr:colOff>1371600</xdr:colOff>
          <xdr:row>17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123825</xdr:rowOff>
        </xdr:from>
        <xdr:to>
          <xdr:col>2</xdr:col>
          <xdr:colOff>1381125</xdr:colOff>
          <xdr:row>20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53"/>
  <sheetViews>
    <sheetView tabSelected="1" workbookViewId="0"/>
  </sheetViews>
  <sheetFormatPr defaultColWidth="10.6640625" defaultRowHeight="11.25" x14ac:dyDescent="0.2"/>
  <cols>
    <col min="1" max="1" width="3.5" style="58" customWidth="1"/>
    <col min="2" max="2" width="6" style="58" customWidth="1"/>
    <col min="3" max="3" width="24.33203125" style="58" customWidth="1"/>
    <col min="4" max="4" width="28.6640625" style="58" bestFit="1" customWidth="1"/>
    <col min="5" max="5" width="32.33203125" style="58" bestFit="1" customWidth="1"/>
    <col min="6" max="6" width="6.33203125" style="58" customWidth="1"/>
    <col min="7" max="16384" width="10.6640625" style="58"/>
  </cols>
  <sheetData>
    <row r="1" spans="1:36" s="52" customFormat="1" x14ac:dyDescent="0.2">
      <c r="B1" s="52" t="str">
        <f>_xll.qlxlVersion(TRUE,EvaluationDate)</f>
        <v>QuantLibXL 1.4.0 - MS VC++ 9.0 - Multithreaded Dynamic Runtime library - Release Configuration - Feb  7 2014 15:33:58</v>
      </c>
    </row>
    <row r="2" spans="1:36" s="52" customFormat="1" ht="18.75" x14ac:dyDescent="0.2">
      <c r="B2" s="151" t="s">
        <v>35</v>
      </c>
      <c r="C2" s="152"/>
      <c r="D2" s="152"/>
      <c r="E2" s="152"/>
      <c r="F2" s="153"/>
    </row>
    <row r="3" spans="1:36" s="54" customFormat="1" x14ac:dyDescent="0.2">
      <c r="A3" s="52"/>
      <c r="B3" s="53"/>
      <c r="C3" s="41"/>
      <c r="D3" s="41"/>
      <c r="E3" s="41"/>
      <c r="F3" s="4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</row>
    <row r="4" spans="1:36" s="54" customFormat="1" x14ac:dyDescent="0.2">
      <c r="A4" s="52"/>
      <c r="B4" s="53"/>
      <c r="C4" s="64" t="s">
        <v>0</v>
      </c>
      <c r="D4" s="154" t="s">
        <v>52</v>
      </c>
      <c r="E4" s="41"/>
      <c r="F4" s="4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</row>
    <row r="5" spans="1:36" s="43" customFormat="1" x14ac:dyDescent="0.2">
      <c r="A5" s="52"/>
      <c r="B5" s="53"/>
      <c r="C5" s="64" t="s">
        <v>16</v>
      </c>
      <c r="D5" s="155" t="s">
        <v>55</v>
      </c>
      <c r="E5" s="41"/>
      <c r="F5" s="4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</row>
    <row r="6" spans="1:36" s="43" customFormat="1" x14ac:dyDescent="0.2">
      <c r="A6" s="52"/>
      <c r="B6" s="53"/>
      <c r="C6" s="64" t="s">
        <v>29</v>
      </c>
      <c r="D6" s="155" t="str">
        <f>IF(UPPER(Currency)&lt;&gt;"EUR","L","")&amp;"ibor"</f>
        <v>Libor</v>
      </c>
      <c r="E6" s="41"/>
      <c r="F6" s="4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</row>
    <row r="7" spans="1:36" s="54" customFormat="1" x14ac:dyDescent="0.2">
      <c r="A7" s="52"/>
      <c r="B7" s="53"/>
      <c r="C7" s="64" t="s">
        <v>27</v>
      </c>
      <c r="D7" s="156" t="s">
        <v>53</v>
      </c>
      <c r="E7" s="41"/>
      <c r="F7" s="4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</row>
    <row r="8" spans="1:36" s="54" customFormat="1" x14ac:dyDescent="0.2">
      <c r="A8" s="52"/>
      <c r="B8" s="53"/>
      <c r="C8" s="64" t="s">
        <v>58</v>
      </c>
      <c r="D8" s="156" t="s">
        <v>57</v>
      </c>
      <c r="E8" s="41"/>
      <c r="F8" s="4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</row>
    <row r="9" spans="1:36" s="54" customFormat="1" x14ac:dyDescent="0.2">
      <c r="A9" s="52"/>
      <c r="B9" s="53"/>
      <c r="C9" s="41"/>
      <c r="D9" s="44"/>
      <c r="E9" s="41"/>
      <c r="F9" s="4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</row>
    <row r="10" spans="1:36" s="54" customFormat="1" x14ac:dyDescent="0.2">
      <c r="A10" s="52"/>
      <c r="B10" s="53"/>
      <c r="C10" s="64" t="s">
        <v>17</v>
      </c>
      <c r="D10" s="71">
        <f>_xll.qlCalendarAdvance(Calendar,EvaluationDate,"2D","f")</f>
        <v>41661</v>
      </c>
      <c r="E10" s="41"/>
      <c r="F10" s="4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</row>
    <row r="11" spans="1:36" s="54" customFormat="1" x14ac:dyDescent="0.2">
      <c r="A11" s="52"/>
      <c r="B11" s="53"/>
      <c r="C11" s="64" t="s">
        <v>60</v>
      </c>
      <c r="D11" s="71">
        <f>_xll.qlCalendarAdjust(Calendar,DATE(YEAR(SettlementDate),12,31),"Preceding")</f>
        <v>42004</v>
      </c>
      <c r="E11" s="41"/>
      <c r="F11" s="4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</row>
    <row r="12" spans="1:36" s="54" customFormat="1" x14ac:dyDescent="0.2">
      <c r="A12" s="52"/>
      <c r="B12" s="53"/>
      <c r="C12" s="64" t="s">
        <v>59</v>
      </c>
      <c r="D12" s="71">
        <f>_xll.qlCalendarAdjust(Calendar,DATE(YEAR(SettlementDate)+1,12,31),"Preceding")</f>
        <v>42369</v>
      </c>
      <c r="E12" s="41"/>
      <c r="F12" s="4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</row>
    <row r="13" spans="1:36" s="54" customFormat="1" x14ac:dyDescent="0.2">
      <c r="A13" s="52"/>
      <c r="B13" s="53"/>
      <c r="C13" s="64" t="s">
        <v>34</v>
      </c>
      <c r="D13" s="65" t="str">
        <f>Currency&amp;IborType&amp;"YCON"</f>
        <v>USDLiborYCON</v>
      </c>
      <c r="E13" s="41"/>
      <c r="F13" s="4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</row>
    <row r="14" spans="1:36" s="54" customFormat="1" x14ac:dyDescent="0.2">
      <c r="A14" s="52"/>
      <c r="B14" s="53"/>
      <c r="C14" s="64" t="s">
        <v>28</v>
      </c>
      <c r="D14" s="65" t="str">
        <f>_xll.qlDiscountingSwapEngine(,OisCurve,,,,,EvaluationDate)</f>
        <v>obj_0065c#0004</v>
      </c>
      <c r="E14" s="41"/>
      <c r="F14" s="4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</row>
    <row r="15" spans="1:36" s="54" customFormat="1" x14ac:dyDescent="0.2">
      <c r="A15" s="52"/>
      <c r="B15" s="53"/>
      <c r="C15" s="41"/>
      <c r="D15" s="41"/>
      <c r="E15" s="41"/>
      <c r="F15" s="4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</row>
    <row r="16" spans="1:36" s="54" customFormat="1" x14ac:dyDescent="0.2">
      <c r="A16" s="52"/>
      <c r="B16" s="53"/>
      <c r="C16" s="45"/>
      <c r="D16" s="45"/>
      <c r="E16" s="45"/>
      <c r="F16" s="4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</row>
    <row r="17" spans="1:36" s="54" customFormat="1" x14ac:dyDescent="0.2">
      <c r="A17" s="52"/>
      <c r="B17" s="53"/>
      <c r="C17" s="45"/>
      <c r="D17" s="46" t="s">
        <v>1</v>
      </c>
      <c r="E17" s="47">
        <v>41654.636678240742</v>
      </c>
      <c r="F17" s="4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</row>
    <row r="18" spans="1:36" s="54" customFormat="1" x14ac:dyDescent="0.2">
      <c r="A18" s="52"/>
      <c r="B18" s="53"/>
      <c r="C18" s="45"/>
      <c r="D18" s="55"/>
      <c r="E18" s="56"/>
      <c r="F18" s="4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</row>
    <row r="19" spans="1:36" s="54" customFormat="1" x14ac:dyDescent="0.2">
      <c r="A19" s="52"/>
      <c r="B19" s="53"/>
      <c r="C19" s="45"/>
      <c r="D19" s="46"/>
      <c r="E19" s="56"/>
      <c r="F19" s="4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</row>
    <row r="20" spans="1:36" s="52" customFormat="1" x14ac:dyDescent="0.2">
      <c r="B20" s="53"/>
      <c r="C20" s="45"/>
      <c r="D20" s="46" t="s">
        <v>2</v>
      </c>
      <c r="E20" s="48" t="b">
        <v>1</v>
      </c>
      <c r="F20" s="42"/>
    </row>
    <row r="21" spans="1:36" s="52" customFormat="1" x14ac:dyDescent="0.2">
      <c r="B21" s="57"/>
      <c r="C21" s="49"/>
      <c r="D21" s="49"/>
      <c r="E21" s="49"/>
      <c r="F21" s="50"/>
    </row>
    <row r="22" spans="1:36" s="52" customFormat="1" x14ac:dyDescent="0.2">
      <c r="C22" s="51"/>
      <c r="D22" s="51"/>
      <c r="E22" s="51"/>
      <c r="F22" s="51"/>
    </row>
    <row r="23" spans="1:36" s="52" customFormat="1" x14ac:dyDescent="0.2">
      <c r="E23" s="51"/>
      <c r="F23" s="51"/>
    </row>
    <row r="24" spans="1:36" s="52" customFormat="1" x14ac:dyDescent="0.2">
      <c r="C24" s="51"/>
      <c r="D24" s="51"/>
      <c r="E24" s="51"/>
      <c r="F24" s="51"/>
    </row>
    <row r="25" spans="1:36" s="52" customFormat="1" x14ac:dyDescent="0.2">
      <c r="E25" s="51"/>
      <c r="F25" s="51"/>
    </row>
    <row r="26" spans="1:36" s="52" customFormat="1" x14ac:dyDescent="0.2">
      <c r="E26" s="51"/>
      <c r="F26" s="51"/>
    </row>
    <row r="27" spans="1:36" s="52" customFormat="1" x14ac:dyDescent="0.2">
      <c r="C27" s="51"/>
      <c r="D27" s="51"/>
      <c r="E27" s="51"/>
      <c r="F27" s="51"/>
    </row>
    <row r="28" spans="1:36" s="52" customFormat="1" x14ac:dyDescent="0.2"/>
    <row r="29" spans="1:36" s="52" customFormat="1" x14ac:dyDescent="0.2"/>
    <row r="30" spans="1:36" s="52" customFormat="1" x14ac:dyDescent="0.2"/>
    <row r="31" spans="1:36" s="52" customFormat="1" x14ac:dyDescent="0.2"/>
    <row r="32" spans="1:36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  <row r="45" s="52" customFormat="1" x14ac:dyDescent="0.2"/>
    <row r="46" s="52" customFormat="1" x14ac:dyDescent="0.2"/>
    <row r="47" s="52" customFormat="1" x14ac:dyDescent="0.2"/>
    <row r="48" s="52" customFormat="1" x14ac:dyDescent="0.2"/>
    <row r="49" spans="2:6" s="52" customFormat="1" x14ac:dyDescent="0.2"/>
    <row r="50" spans="2:6" s="52" customFormat="1" x14ac:dyDescent="0.2"/>
    <row r="51" spans="2:6" s="52" customFormat="1" x14ac:dyDescent="0.2"/>
    <row r="52" spans="2:6" x14ac:dyDescent="0.2">
      <c r="B52" s="52"/>
      <c r="C52" s="52"/>
      <c r="D52" s="52"/>
      <c r="E52" s="52"/>
      <c r="F52" s="52"/>
    </row>
    <row r="53" spans="2:6" x14ac:dyDescent="0.2">
      <c r="B53" s="52"/>
      <c r="C53" s="52"/>
      <c r="D53" s="52"/>
      <c r="E53" s="52"/>
      <c r="F53" s="52"/>
    </row>
  </sheetData>
  <mergeCells count="1">
    <mergeCell ref="B2:F2"/>
  </mergeCells>
  <phoneticPr fontId="1" type="noConversion"/>
  <conditionalFormatting sqref="E20">
    <cfRule type="cellIs" dxfId="0" priority="1" stopIfTrue="1" operator="equal">
      <formula>TRUE</formula>
    </cfRule>
  </conditionalFormatting>
  <dataValidations count="3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8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</xdr:col>
                <xdr:colOff>333375</xdr:colOff>
                <xdr:row>15</xdr:row>
                <xdr:rowOff>57150</xdr:rowOff>
              </from>
              <to>
                <xdr:col>2</xdr:col>
                <xdr:colOff>1371600</xdr:colOff>
                <xdr:row>17</xdr:row>
                <xdr:rowOff>85725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2</xdr:col>
                <xdr:colOff>0</xdr:colOff>
                <xdr:row>17</xdr:row>
                <xdr:rowOff>123825</xdr:rowOff>
              </from>
              <to>
                <xdr:col>2</xdr:col>
                <xdr:colOff>1381125</xdr:colOff>
                <xdr:row>20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95"/>
  <sheetViews>
    <sheetView workbookViewId="0"/>
  </sheetViews>
  <sheetFormatPr defaultRowHeight="11.25" x14ac:dyDescent="0.2"/>
  <cols>
    <col min="1" max="1" width="3.83203125" style="1" customWidth="1"/>
    <col min="2" max="2" width="27.5" style="1" bestFit="1" customWidth="1"/>
    <col min="3" max="3" width="31.1640625" style="1" customWidth="1"/>
    <col min="4" max="16384" width="9.33203125" style="1"/>
  </cols>
  <sheetData>
    <row r="1" spans="1:26" x14ac:dyDescent="0.2">
      <c r="A1" s="72"/>
      <c r="B1" s="40"/>
      <c r="C1" s="40"/>
      <c r="D1" s="73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</row>
    <row r="2" spans="1:26" x14ac:dyDescent="0.2">
      <c r="A2" s="72"/>
      <c r="B2" s="75" t="s">
        <v>30</v>
      </c>
      <c r="C2" s="76">
        <f>_xll.qlSettingsEvaluationDate()</f>
        <v>41659</v>
      </c>
      <c r="D2" s="73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</row>
    <row r="3" spans="1:26" x14ac:dyDescent="0.2">
      <c r="A3" s="72"/>
      <c r="B3" s="40"/>
      <c r="C3" s="40"/>
      <c r="D3" s="73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</row>
    <row r="4" spans="1:26" x14ac:dyDescent="0.2">
      <c r="A4" s="72"/>
      <c r="B4" s="75" t="s">
        <v>31</v>
      </c>
      <c r="C4" s="157" t="s">
        <v>54</v>
      </c>
      <c r="D4" s="73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</row>
    <row r="5" spans="1:26" x14ac:dyDescent="0.2">
      <c r="A5" s="72"/>
      <c r="B5" s="75" t="s">
        <v>36</v>
      </c>
      <c r="C5" s="157" t="s">
        <v>54</v>
      </c>
      <c r="D5" s="73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</row>
    <row r="6" spans="1:26" x14ac:dyDescent="0.2">
      <c r="A6" s="77"/>
      <c r="B6" s="78"/>
      <c r="C6" s="78"/>
      <c r="D6" s="79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</row>
    <row r="7" spans="1:26" x14ac:dyDescent="0.2">
      <c r="A7" s="74"/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</row>
    <row r="8" spans="1:26" x14ac:dyDescent="0.2">
      <c r="A8" s="74"/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</row>
    <row r="9" spans="1:26" x14ac:dyDescent="0.2">
      <c r="A9" s="74"/>
      <c r="B9" s="74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</row>
    <row r="10" spans="1:26" x14ac:dyDescent="0.2">
      <c r="A10" s="7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</row>
    <row r="11" spans="1:26" x14ac:dyDescent="0.2">
      <c r="A11" s="7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</row>
    <row r="12" spans="1:26" x14ac:dyDescent="0.2">
      <c r="A12" s="74"/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</row>
    <row r="13" spans="1:26" x14ac:dyDescent="0.2">
      <c r="A13" s="74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</row>
    <row r="14" spans="1:26" x14ac:dyDescent="0.2">
      <c r="A14" s="74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</row>
    <row r="15" spans="1:26" x14ac:dyDescent="0.2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</row>
    <row r="16" spans="1:26" x14ac:dyDescent="0.2">
      <c r="A16" s="74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</row>
    <row r="17" spans="1:26" x14ac:dyDescent="0.2">
      <c r="A17" s="74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</row>
    <row r="18" spans="1:26" x14ac:dyDescent="0.2">
      <c r="A18" s="74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</row>
    <row r="19" spans="1:26" x14ac:dyDescent="0.2">
      <c r="A19" s="74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</row>
    <row r="20" spans="1:26" x14ac:dyDescent="0.2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</row>
    <row r="21" spans="1:26" x14ac:dyDescent="0.2">
      <c r="A21" s="74"/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</row>
    <row r="22" spans="1:26" x14ac:dyDescent="0.2">
      <c r="A22" s="74"/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</row>
    <row r="23" spans="1:26" x14ac:dyDescent="0.2">
      <c r="A23" s="74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</row>
    <row r="24" spans="1:26" x14ac:dyDescent="0.2">
      <c r="A24" s="74"/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</row>
    <row r="25" spans="1:26" x14ac:dyDescent="0.2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</row>
    <row r="26" spans="1:26" x14ac:dyDescent="0.2">
      <c r="A26" s="74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</row>
    <row r="27" spans="1:26" x14ac:dyDescent="0.2">
      <c r="A27" s="74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</row>
    <row r="28" spans="1:26" x14ac:dyDescent="0.2">
      <c r="A28" s="74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</row>
    <row r="29" spans="1:26" x14ac:dyDescent="0.2">
      <c r="A29" s="74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</row>
    <row r="30" spans="1:26" x14ac:dyDescent="0.2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</row>
    <row r="31" spans="1:26" x14ac:dyDescent="0.2">
      <c r="A31" s="74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</row>
    <row r="32" spans="1:26" x14ac:dyDescent="0.2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</row>
    <row r="33" spans="1:26" x14ac:dyDescent="0.2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</row>
    <row r="34" spans="1:26" x14ac:dyDescent="0.2">
      <c r="A34" s="74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</row>
    <row r="35" spans="1:26" x14ac:dyDescent="0.2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</row>
    <row r="36" spans="1:26" x14ac:dyDescent="0.2">
      <c r="A36" s="74"/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</row>
    <row r="37" spans="1:26" x14ac:dyDescent="0.2">
      <c r="A37" s="74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</row>
    <row r="38" spans="1:26" x14ac:dyDescent="0.2">
      <c r="A38" s="74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</row>
    <row r="39" spans="1:26" x14ac:dyDescent="0.2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</row>
    <row r="40" spans="1:26" x14ac:dyDescent="0.2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</row>
    <row r="41" spans="1:26" x14ac:dyDescent="0.2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</row>
    <row r="42" spans="1:26" x14ac:dyDescent="0.2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</row>
    <row r="43" spans="1:26" x14ac:dyDescent="0.2">
      <c r="A43" s="74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</row>
    <row r="44" spans="1:26" x14ac:dyDescent="0.2">
      <c r="A44" s="74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</row>
    <row r="45" spans="1:26" x14ac:dyDescent="0.2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</row>
    <row r="46" spans="1:26" x14ac:dyDescent="0.2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</row>
    <row r="47" spans="1:26" x14ac:dyDescent="0.2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</row>
    <row r="48" spans="1:26" x14ac:dyDescent="0.2">
      <c r="A48" s="74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</row>
    <row r="49" spans="1:26" x14ac:dyDescent="0.2">
      <c r="A49" s="7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</row>
    <row r="50" spans="1:26" x14ac:dyDescent="0.2">
      <c r="A50" s="74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</row>
    <row r="51" spans="1:26" x14ac:dyDescent="0.2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</row>
    <row r="52" spans="1:26" x14ac:dyDescent="0.2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</row>
    <row r="53" spans="1:26" x14ac:dyDescent="0.2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</row>
    <row r="54" spans="1:26" x14ac:dyDescent="0.2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</row>
    <row r="55" spans="1:26" x14ac:dyDescent="0.2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</row>
    <row r="56" spans="1:26" x14ac:dyDescent="0.2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</row>
    <row r="57" spans="1:26" x14ac:dyDescent="0.2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</row>
    <row r="58" spans="1:26" x14ac:dyDescent="0.2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</row>
    <row r="59" spans="1:26" x14ac:dyDescent="0.2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</row>
    <row r="60" spans="1:26" x14ac:dyDescent="0.2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</row>
    <row r="61" spans="1:26" x14ac:dyDescent="0.2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</row>
    <row r="62" spans="1:26" x14ac:dyDescent="0.2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</row>
    <row r="63" spans="1:26" x14ac:dyDescent="0.2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</row>
    <row r="64" spans="1:26" x14ac:dyDescent="0.2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</row>
    <row r="65" spans="1:26" x14ac:dyDescent="0.2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</row>
    <row r="66" spans="1:26" x14ac:dyDescent="0.2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</row>
    <row r="67" spans="1:26" x14ac:dyDescent="0.2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</row>
    <row r="68" spans="1:26" x14ac:dyDescent="0.2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</row>
    <row r="69" spans="1:26" x14ac:dyDescent="0.2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</row>
    <row r="70" spans="1:26" x14ac:dyDescent="0.2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</row>
    <row r="71" spans="1:26" x14ac:dyDescent="0.2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</row>
    <row r="72" spans="1:26" x14ac:dyDescent="0.2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</row>
    <row r="73" spans="1:26" x14ac:dyDescent="0.2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</row>
    <row r="74" spans="1:26" x14ac:dyDescent="0.2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</row>
    <row r="75" spans="1:26" x14ac:dyDescent="0.2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</row>
    <row r="76" spans="1:26" x14ac:dyDescent="0.2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</row>
    <row r="77" spans="1:26" x14ac:dyDescent="0.2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</row>
    <row r="78" spans="1:26" x14ac:dyDescent="0.2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</row>
    <row r="79" spans="1:26" x14ac:dyDescent="0.2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</row>
    <row r="80" spans="1:26" x14ac:dyDescent="0.2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</row>
    <row r="81" spans="1:26" x14ac:dyDescent="0.2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</row>
    <row r="82" spans="1:26" x14ac:dyDescent="0.2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</row>
    <row r="83" spans="1:26" x14ac:dyDescent="0.2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</row>
    <row r="84" spans="1:26" x14ac:dyDescent="0.2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</row>
    <row r="85" spans="1:26" x14ac:dyDescent="0.2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</row>
    <row r="86" spans="1:26" x14ac:dyDescent="0.2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</row>
    <row r="87" spans="1:26" x14ac:dyDescent="0.2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</row>
    <row r="88" spans="1:26" x14ac:dyDescent="0.2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</row>
    <row r="89" spans="1:26" x14ac:dyDescent="0.2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</row>
    <row r="90" spans="1:26" x14ac:dyDescent="0.2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</row>
    <row r="91" spans="1:26" x14ac:dyDescent="0.2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</row>
    <row r="92" spans="1:26" x14ac:dyDescent="0.2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</row>
    <row r="93" spans="1:26" x14ac:dyDescent="0.2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</row>
    <row r="94" spans="1:26" x14ac:dyDescent="0.2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</row>
    <row r="95" spans="1:26" x14ac:dyDescent="0.2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</row>
    <row r="96" spans="1:26" x14ac:dyDescent="0.2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</row>
    <row r="97" spans="1:26" x14ac:dyDescent="0.2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</row>
    <row r="98" spans="1:26" x14ac:dyDescent="0.2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</row>
    <row r="99" spans="1:26" x14ac:dyDescent="0.2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</row>
    <row r="100" spans="1:26" x14ac:dyDescent="0.2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</row>
    <row r="101" spans="1:26" x14ac:dyDescent="0.2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</row>
    <row r="102" spans="1:26" x14ac:dyDescent="0.2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</row>
    <row r="103" spans="1:26" x14ac:dyDescent="0.2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</row>
    <row r="104" spans="1:26" x14ac:dyDescent="0.2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</row>
    <row r="105" spans="1:26" x14ac:dyDescent="0.2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</row>
    <row r="106" spans="1:26" x14ac:dyDescent="0.2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</row>
    <row r="107" spans="1:26" x14ac:dyDescent="0.2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</row>
    <row r="108" spans="1:26" x14ac:dyDescent="0.2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</row>
    <row r="109" spans="1:26" x14ac:dyDescent="0.2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</row>
    <row r="110" spans="1:26" x14ac:dyDescent="0.2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</row>
    <row r="111" spans="1:26" x14ac:dyDescent="0.2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</row>
    <row r="112" spans="1:26" x14ac:dyDescent="0.2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</row>
    <row r="113" spans="1:26" x14ac:dyDescent="0.2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</row>
    <row r="114" spans="1:26" x14ac:dyDescent="0.2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</row>
    <row r="115" spans="1:26" x14ac:dyDescent="0.2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</row>
    <row r="116" spans="1:26" x14ac:dyDescent="0.2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</row>
    <row r="117" spans="1:26" x14ac:dyDescent="0.2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</row>
    <row r="118" spans="1:26" x14ac:dyDescent="0.2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</row>
    <row r="119" spans="1:26" x14ac:dyDescent="0.2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</row>
    <row r="120" spans="1:26" x14ac:dyDescent="0.2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</row>
    <row r="121" spans="1:26" x14ac:dyDescent="0.2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</row>
    <row r="122" spans="1:26" x14ac:dyDescent="0.2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</row>
    <row r="123" spans="1:26" x14ac:dyDescent="0.2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</row>
    <row r="124" spans="1:26" x14ac:dyDescent="0.2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</row>
    <row r="125" spans="1:26" x14ac:dyDescent="0.2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</row>
    <row r="126" spans="1:26" x14ac:dyDescent="0.2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</row>
    <row r="127" spans="1:26" x14ac:dyDescent="0.2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</row>
    <row r="128" spans="1:26" x14ac:dyDescent="0.2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</row>
    <row r="129" spans="1:26" x14ac:dyDescent="0.2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</row>
    <row r="130" spans="1:26" x14ac:dyDescent="0.2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</row>
    <row r="131" spans="1:26" x14ac:dyDescent="0.2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</row>
    <row r="132" spans="1:26" x14ac:dyDescent="0.2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</row>
    <row r="133" spans="1:26" x14ac:dyDescent="0.2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</row>
    <row r="134" spans="1:26" x14ac:dyDescent="0.2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</row>
    <row r="135" spans="1:26" x14ac:dyDescent="0.2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</row>
    <row r="136" spans="1:26" x14ac:dyDescent="0.2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</row>
    <row r="137" spans="1:26" x14ac:dyDescent="0.2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</row>
    <row r="138" spans="1:26" x14ac:dyDescent="0.2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</row>
    <row r="139" spans="1:26" x14ac:dyDescent="0.2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</row>
    <row r="140" spans="1:26" x14ac:dyDescent="0.2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</row>
    <row r="141" spans="1:26" x14ac:dyDescent="0.2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</row>
    <row r="142" spans="1:26" x14ac:dyDescent="0.2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</row>
    <row r="143" spans="1:26" x14ac:dyDescent="0.2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</row>
    <row r="144" spans="1:26" x14ac:dyDescent="0.2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</row>
    <row r="145" spans="1:26" x14ac:dyDescent="0.2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</row>
    <row r="146" spans="1:26" x14ac:dyDescent="0.2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</row>
    <row r="147" spans="1:26" x14ac:dyDescent="0.2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</row>
    <row r="148" spans="1:26" x14ac:dyDescent="0.2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</row>
    <row r="149" spans="1:26" x14ac:dyDescent="0.2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</row>
    <row r="150" spans="1:26" x14ac:dyDescent="0.2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</row>
    <row r="151" spans="1:26" x14ac:dyDescent="0.2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</row>
    <row r="152" spans="1:26" x14ac:dyDescent="0.2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</row>
    <row r="153" spans="1:26" x14ac:dyDescent="0.2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</row>
    <row r="154" spans="1:26" x14ac:dyDescent="0.2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</row>
    <row r="155" spans="1:26" x14ac:dyDescent="0.2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</row>
    <row r="156" spans="1:26" x14ac:dyDescent="0.2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</row>
    <row r="157" spans="1:26" x14ac:dyDescent="0.2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</row>
    <row r="158" spans="1:26" x14ac:dyDescent="0.2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</row>
    <row r="159" spans="1:26" x14ac:dyDescent="0.2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</row>
    <row r="160" spans="1:26" x14ac:dyDescent="0.2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</row>
    <row r="161" spans="1:26" x14ac:dyDescent="0.2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</row>
    <row r="162" spans="1:26" x14ac:dyDescent="0.2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</row>
    <row r="163" spans="1:26" x14ac:dyDescent="0.2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</row>
    <row r="164" spans="1:26" x14ac:dyDescent="0.2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</row>
    <row r="165" spans="1:26" x14ac:dyDescent="0.2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</row>
    <row r="166" spans="1:26" x14ac:dyDescent="0.2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</row>
    <row r="167" spans="1:26" x14ac:dyDescent="0.2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</row>
    <row r="168" spans="1:26" x14ac:dyDescent="0.2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</row>
    <row r="169" spans="1:26" x14ac:dyDescent="0.2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</row>
    <row r="170" spans="1:26" x14ac:dyDescent="0.2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</row>
    <row r="171" spans="1:26" x14ac:dyDescent="0.2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</row>
    <row r="172" spans="1:26" x14ac:dyDescent="0.2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</row>
    <row r="173" spans="1:26" x14ac:dyDescent="0.2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</row>
    <row r="174" spans="1:26" x14ac:dyDescent="0.2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</row>
    <row r="175" spans="1:26" x14ac:dyDescent="0.2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</row>
    <row r="176" spans="1:26" x14ac:dyDescent="0.2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</row>
    <row r="177" spans="1:26" x14ac:dyDescent="0.2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</row>
    <row r="178" spans="1:26" x14ac:dyDescent="0.2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</row>
    <row r="179" spans="1:26" x14ac:dyDescent="0.2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</row>
    <row r="180" spans="1:26" x14ac:dyDescent="0.2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</row>
    <row r="181" spans="1:26" x14ac:dyDescent="0.2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</row>
    <row r="182" spans="1:26" x14ac:dyDescent="0.2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</row>
    <row r="183" spans="1:26" x14ac:dyDescent="0.2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</row>
    <row r="184" spans="1:26" x14ac:dyDescent="0.2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  <c r="W184" s="74"/>
      <c r="X184" s="74"/>
      <c r="Y184" s="74"/>
      <c r="Z184" s="74"/>
    </row>
    <row r="185" spans="1:26" x14ac:dyDescent="0.2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  <c r="Z185" s="74"/>
    </row>
    <row r="186" spans="1:26" x14ac:dyDescent="0.2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</row>
    <row r="187" spans="1:26" x14ac:dyDescent="0.2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</row>
    <row r="188" spans="1:26" x14ac:dyDescent="0.2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  <c r="W188" s="74"/>
      <c r="X188" s="74"/>
      <c r="Y188" s="74"/>
      <c r="Z188" s="74"/>
    </row>
    <row r="189" spans="1:26" x14ac:dyDescent="0.2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  <c r="W189" s="74"/>
      <c r="X189" s="74"/>
      <c r="Y189" s="74"/>
      <c r="Z189" s="74"/>
    </row>
    <row r="190" spans="1:26" x14ac:dyDescent="0.2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</row>
    <row r="191" spans="1:26" x14ac:dyDescent="0.2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</row>
    <row r="192" spans="1:26" x14ac:dyDescent="0.2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</row>
    <row r="193" spans="1:26" x14ac:dyDescent="0.2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  <c r="Z193" s="74"/>
    </row>
    <row r="194" spans="1:26" x14ac:dyDescent="0.2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74"/>
    </row>
    <row r="195" spans="1:26" x14ac:dyDescent="0.2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50"/>
  <sheetViews>
    <sheetView workbookViewId="0"/>
  </sheetViews>
  <sheetFormatPr defaultRowHeight="11.25" outlineLevelCol="1" x14ac:dyDescent="0.2"/>
  <cols>
    <col min="1" max="1" width="3.5" style="1" customWidth="1" outlineLevel="1"/>
    <col min="2" max="2" width="17.83203125" style="1" customWidth="1" outlineLevel="1"/>
    <col min="3" max="3" width="7" style="1" customWidth="1" outlineLevel="1"/>
    <col min="4" max="4" width="31.1640625" style="1" bestFit="1" customWidth="1"/>
    <col min="5" max="6" width="20.1640625" style="1" bestFit="1" customWidth="1"/>
    <col min="7" max="10" width="9.33203125" style="1" bestFit="1"/>
    <col min="11" max="12" width="10.5" style="1" bestFit="1" customWidth="1"/>
    <col min="13" max="13" width="2.33203125" style="1" bestFit="1" customWidth="1"/>
    <col min="14" max="17" width="10.5" style="1" bestFit="1" customWidth="1"/>
    <col min="18" max="18" width="11.6640625" style="1" bestFit="1" customWidth="1"/>
    <col min="19" max="19" width="8.1640625" style="1" bestFit="1" customWidth="1"/>
    <col min="20" max="20" width="5.83203125" style="1" bestFit="1" customWidth="1"/>
    <col min="21" max="21" width="3.5" style="1" bestFit="1" customWidth="1"/>
    <col min="22" max="23" width="10.5" style="1" bestFit="1" customWidth="1"/>
    <col min="24" max="24" width="5.83203125" style="1" bestFit="1" customWidth="1"/>
    <col min="25" max="25" width="2.33203125" style="1" bestFit="1" customWidth="1"/>
    <col min="26" max="26" width="10.5" style="1" bestFit="1" customWidth="1"/>
    <col min="27" max="27" width="2.33203125" style="1" bestFit="1" customWidth="1"/>
    <col min="28" max="28" width="9.33203125" style="1" bestFit="1"/>
    <col min="29" max="29" width="2.33203125" style="1" customWidth="1"/>
    <col min="30" max="32" width="10.5" style="1" bestFit="1" customWidth="1"/>
    <col min="33" max="33" width="1.83203125" style="1" customWidth="1"/>
    <col min="34" max="35" width="10.5" style="1" bestFit="1" customWidth="1"/>
    <col min="36" max="36" width="3.5" style="1" bestFit="1" customWidth="1"/>
    <col min="37" max="38" width="10.5" style="1" bestFit="1" customWidth="1"/>
    <col min="39" max="39" width="3.33203125" style="1" customWidth="1"/>
    <col min="40" max="41" width="10.5" style="1" bestFit="1" customWidth="1"/>
    <col min="42" max="16384" width="9.33203125" style="1"/>
  </cols>
  <sheetData>
    <row r="1" spans="1:34" x14ac:dyDescent="0.2">
      <c r="B1" s="17" t="s">
        <v>26</v>
      </c>
      <c r="C1" s="18"/>
      <c r="D1" s="17" t="s">
        <v>11</v>
      </c>
      <c r="E1" s="18" t="s">
        <v>7</v>
      </c>
      <c r="F1" s="19" t="s">
        <v>6</v>
      </c>
      <c r="G1" s="18" t="s">
        <v>25</v>
      </c>
      <c r="H1" s="18" t="s">
        <v>37</v>
      </c>
      <c r="I1" s="20" t="s">
        <v>42</v>
      </c>
      <c r="K1" s="82" t="s">
        <v>46</v>
      </c>
      <c r="L1" s="82" t="s">
        <v>45</v>
      </c>
      <c r="M1" s="82"/>
      <c r="N1" s="59" t="s">
        <v>38</v>
      </c>
      <c r="O1" s="59" t="s">
        <v>39</v>
      </c>
      <c r="P1" s="59" t="s">
        <v>40</v>
      </c>
    </row>
    <row r="2" spans="1:34" x14ac:dyDescent="0.2">
      <c r="A2" s="1">
        <v>1</v>
      </c>
      <c r="B2" s="28" t="e">
        <f>_xll.qlMakeDatedOIS(,E2,F2,OvernightIndex,0,,,,EvaluationDate)</f>
        <v>#NUM!</v>
      </c>
      <c r="C2" s="8" t="e">
        <f>_xll.qlInstrumentSetPricingEngine(B2,OisEngine)</f>
        <v>#VALUE!</v>
      </c>
      <c r="D2" s="126" t="str">
        <f>Currency&amp;"_YCSTDRH_"&amp;A3&amp;"D"</f>
        <v>USD_YCSTDRH_1MD</v>
      </c>
      <c r="E2" s="127" t="e">
        <f>_xll.qlRateHelperEarliestDate($D2,EvaluationDate)</f>
        <v>#NUM!</v>
      </c>
      <c r="F2" s="128" t="e">
        <f>_xll.qlRateHelperLatestDate($D2,EvaluationDate)</f>
        <v>#NUM!</v>
      </c>
      <c r="G2" s="129" t="e">
        <f>_xll.qlRateHelperRate($D2,AllTriggers)</f>
        <v>#NUM!</v>
      </c>
      <c r="H2" s="130" t="e">
        <f>_xll.qlOvernightIndexedSwapFairRate(B2,_xll.ohTrigger(C2,InterestRatesTrigger))</f>
        <v>#VALUE!</v>
      </c>
      <c r="I2" s="131" t="e">
        <f>G2-H2</f>
        <v>#NUM!</v>
      </c>
      <c r="J2" s="132" t="b">
        <v>0</v>
      </c>
      <c r="K2" s="132"/>
      <c r="L2" s="132"/>
      <c r="M2" s="133"/>
      <c r="N2" s="135" t="e">
        <f t="shared" ref="N2:O4" si="0">E2-SettlementDate</f>
        <v>#NUM!</v>
      </c>
      <c r="O2" s="135" t="e">
        <f t="shared" si="0"/>
        <v>#NUM!</v>
      </c>
      <c r="P2" s="135" t="e">
        <f>(O2^2-N2^2)/(O2-N2)</f>
        <v>#NUM!</v>
      </c>
      <c r="Q2" s="132"/>
      <c r="R2" s="146" t="e">
        <f>(O2^3-N2^3)/3/(O2-N2)</f>
        <v>#NUM!</v>
      </c>
      <c r="S2" s="146" t="e">
        <f>(O2+N2)/2</f>
        <v>#NUM!</v>
      </c>
      <c r="T2" s="146">
        <v>1</v>
      </c>
    </row>
    <row r="3" spans="1:34" x14ac:dyDescent="0.2">
      <c r="A3" s="1" t="str">
        <f>_xll.qlPeriodEquivalent(A2&amp;"M")</f>
        <v>1M</v>
      </c>
      <c r="B3" s="80" t="e">
        <f>_xll.qlMakeDatedOIS(,E3,F3,OvernightIndex,0,,,,EvaluationDate)</f>
        <v>#NUM!</v>
      </c>
      <c r="C3" s="12" t="e">
        <f>_xll.qlInstrumentSetPricingEngine(B3,OisEngine)</f>
        <v>#VALUE!</v>
      </c>
      <c r="D3" s="119" t="str">
        <f>PROPER(Currency&amp;IborType)&amp;A3&amp;"LastFixing_Quote"</f>
        <v>Usdlibor1MLastFixing_Quote</v>
      </c>
      <c r="E3" s="120" t="e">
        <f>E2</f>
        <v>#NUM!</v>
      </c>
      <c r="F3" s="121" t="e">
        <f>F2</f>
        <v>#NUM!</v>
      </c>
      <c r="G3" s="122">
        <f>_xll.qlQuoteValue(D3,AllTriggers)</f>
        <v>1.702E-3</v>
      </c>
      <c r="H3" s="123" t="e">
        <f>_xll.qlOvernightIndexedSwapFairRate(B3,_xll.ohTrigger(C3,InterestRatesTrigger))</f>
        <v>#VALUE!</v>
      </c>
      <c r="I3" s="124" t="e">
        <f t="shared" ref="I3:I27" si="1">G3-H3</f>
        <v>#VALUE!</v>
      </c>
      <c r="J3" s="132" t="b">
        <f>NOT(ISERROR(I3))</f>
        <v>0</v>
      </c>
      <c r="K3" s="134" t="e">
        <f>K4</f>
        <v>#NUM!</v>
      </c>
      <c r="L3" s="123" t="e">
        <f>_xll.ohFilter($I$2:$I$3,$J$2:$J$3)-K3*_xll.ohFilter($P$2:$P$3,$J$2:$J$3)</f>
        <v>#NUM!</v>
      </c>
      <c r="M3" s="133"/>
      <c r="N3" s="135" t="e">
        <f t="shared" si="0"/>
        <v>#NUM!</v>
      </c>
      <c r="O3" s="135" t="e">
        <f t="shared" si="0"/>
        <v>#NUM!</v>
      </c>
      <c r="P3" s="135" t="e">
        <f>(O3^2-N3^2)/(O3-N3)</f>
        <v>#NUM!</v>
      </c>
      <c r="Q3" s="132"/>
      <c r="R3" s="146" t="e">
        <f>(O3^3-N3^3)/3/(O3-N3)</f>
        <v>#NUM!</v>
      </c>
      <c r="S3" s="146" t="e">
        <f>(O3+N3)/2</f>
        <v>#NUM!</v>
      </c>
      <c r="T3" s="146">
        <v>1</v>
      </c>
    </row>
    <row r="4" spans="1:34" x14ac:dyDescent="0.2">
      <c r="B4" s="80" t="e">
        <f>_xll.qlMakeDatedOIS(,E4,F4,OvernightIndex,0,,,,EvaluationDate)</f>
        <v>#NUM!</v>
      </c>
      <c r="C4" s="12" t="e">
        <f>_xll.qlInstrumentSetPricingEngine(B4,OisEngine)</f>
        <v>#VALUE!</v>
      </c>
      <c r="D4" s="11" t="s">
        <v>43</v>
      </c>
      <c r="E4" s="69" t="e">
        <f>F3</f>
        <v>#NUM!</v>
      </c>
      <c r="F4" s="70">
        <f>F5</f>
        <v>41743</v>
      </c>
      <c r="G4" s="27" t="e">
        <f>((1+G5*(F5-E5)/360)/(1+G3*(F3-E3)/360)-1)/(F4-E4)*360</f>
        <v>#NUM!</v>
      </c>
      <c r="H4" s="15" t="e">
        <f>_xll.qlOvernightIndexedSwapFairRate(B4,_xll.ohTrigger(C4,InterestRatesTrigger))</f>
        <v>#VALUE!</v>
      </c>
      <c r="I4" s="16" t="e">
        <f>G4-H4</f>
        <v>#NUM!</v>
      </c>
      <c r="J4" s="1" t="b">
        <f>NOT(ISERROR(I4))</f>
        <v>0</v>
      </c>
      <c r="K4" s="15" t="e">
        <f>(I4-_xll.ohFilter($I$2:$I$3,$J$2:$J$3))/(P4-_xll.ohFilter($P$2:$P$3,$J$2:$J$3))</f>
        <v>#NUM!</v>
      </c>
      <c r="L4" s="15" t="e">
        <f>_xll.ohFilter($I$2:$I$3,$J$2:$J$3)-K4*_xll.ohFilter($P$2:$P$3,$J$2:$J$3)</f>
        <v>#NUM!</v>
      </c>
      <c r="M4" s="5"/>
      <c r="N4" s="136" t="e">
        <f t="shared" si="0"/>
        <v>#NUM!</v>
      </c>
      <c r="O4" s="136">
        <f t="shared" si="0"/>
        <v>82</v>
      </c>
      <c r="P4" s="136" t="e">
        <f>(O4^2-N4^2)/(O4-N4)</f>
        <v>#NUM!</v>
      </c>
      <c r="R4" s="115" t="e">
        <f>(O4^3-N4^3)/3/(O4-N4)</f>
        <v>#NUM!</v>
      </c>
      <c r="S4" s="115" t="e">
        <f>(O4+N4)/2</f>
        <v>#NUM!</v>
      </c>
      <c r="T4" s="115">
        <v>1</v>
      </c>
    </row>
    <row r="5" spans="1:34" x14ac:dyDescent="0.2">
      <c r="B5" s="80" t="str">
        <f>_xll.qlMakeDatedOIS(,E5,F5,OvernightIndex,0,,,,EvaluationDate)</f>
        <v>obj_00663#0004</v>
      </c>
      <c r="C5" s="12" t="b">
        <f>_xll.qlInstrumentSetPricingEngine(B5,OisEngine)</f>
        <v>1</v>
      </c>
      <c r="D5" s="9" t="str">
        <f>Currency&amp;"_YC1MRH_2X1S"</f>
        <v>USD_YC1MRH_2X1S</v>
      </c>
      <c r="E5" s="69">
        <f>_xll.qlRateHelperEarliestDate($D5,EvaluationDate)</f>
        <v>41684</v>
      </c>
      <c r="F5" s="70">
        <f>_xll.qlRateHelperLatestDate($D5,EvaluationDate)</f>
        <v>41743</v>
      </c>
      <c r="G5" s="66">
        <f>_xll.qlRateHelperRate($D5,AllTriggers)</f>
        <v>1.72E-3</v>
      </c>
      <c r="H5" s="15" t="e">
        <f>_xll.qlOvernightIndexedSwapFairRate(B5,_xll.ohTrigger(C5,InterestRatesTrigger))</f>
        <v>#NUM!</v>
      </c>
      <c r="I5" s="16" t="e">
        <f>G5-H5</f>
        <v>#NUM!</v>
      </c>
      <c r="J5" s="1" t="b">
        <v>0</v>
      </c>
      <c r="K5" s="137"/>
      <c r="L5" s="137"/>
      <c r="M5" s="138"/>
      <c r="N5" s="145"/>
      <c r="O5" s="136"/>
      <c r="P5" s="136"/>
      <c r="R5" s="115"/>
      <c r="S5" s="115"/>
      <c r="T5" s="115"/>
    </row>
    <row r="6" spans="1:34" x14ac:dyDescent="0.2">
      <c r="A6" s="1">
        <v>3</v>
      </c>
      <c r="B6" s="28" t="e">
        <f>_xll.qlMakeDatedOIS(,E6,F6,OvernightIndex,0,,,,EvaluationDate)</f>
        <v>#NUM!</v>
      </c>
      <c r="C6" s="8" t="e">
        <f>_xll.qlInstrumentSetPricingEngine(B6,OisEngine)</f>
        <v>#VALUE!</v>
      </c>
      <c r="D6" s="126" t="str">
        <f>Currency&amp;"_YCSTDRH_"&amp;A7&amp;"D"</f>
        <v>USD_YCSTDRH_3MD</v>
      </c>
      <c r="E6" s="127" t="e">
        <f>_xll.qlRateHelperEarliestDate($D6,EvaluationDate)</f>
        <v>#NUM!</v>
      </c>
      <c r="F6" s="128" t="e">
        <f>_xll.qlRateHelperLatestDate($D6,EvaluationDate)</f>
        <v>#NUM!</v>
      </c>
      <c r="G6" s="129" t="e">
        <f>_xll.qlRateHelperRate($D6,AllTriggers)</f>
        <v>#NUM!</v>
      </c>
      <c r="H6" s="130" t="e">
        <f>_xll.qlOvernightIndexedSwapFairRate(B6,_xll.ohTrigger(C6,InterestRatesTrigger))</f>
        <v>#VALUE!</v>
      </c>
      <c r="I6" s="131" t="e">
        <f t="shared" si="1"/>
        <v>#NUM!</v>
      </c>
      <c r="J6" s="132" t="b">
        <v>0</v>
      </c>
      <c r="K6" s="133"/>
      <c r="L6" s="133"/>
      <c r="M6" s="133"/>
      <c r="N6" s="135" t="e">
        <f t="shared" ref="N6:N27" si="2">E6-SettlementDate</f>
        <v>#NUM!</v>
      </c>
      <c r="O6" s="135" t="e">
        <f t="shared" ref="O6:O27" si="3">F6-SettlementDate</f>
        <v>#NUM!</v>
      </c>
      <c r="P6" s="135" t="e">
        <f>(O6^2-N6^2)/(O6-N6)</f>
        <v>#NUM!</v>
      </c>
      <c r="Q6" s="132"/>
      <c r="R6" s="146" t="e">
        <f t="shared" ref="R6:R14" si="4">(O6^3-N6^3)/3/(O6-N6)</f>
        <v>#NUM!</v>
      </c>
      <c r="S6" s="146" t="e">
        <f t="shared" ref="S6:S14" si="5">(O6+N6)/2</f>
        <v>#NUM!</v>
      </c>
      <c r="T6" s="146">
        <v>1</v>
      </c>
    </row>
    <row r="7" spans="1:34" x14ac:dyDescent="0.2">
      <c r="A7" s="1" t="str">
        <f>_xll.qlPeriodEquivalent(A6&amp;"M")</f>
        <v>3M</v>
      </c>
      <c r="B7" s="80" t="e">
        <f>_xll.qlMakeDatedOIS(,E7,F7,OvernightIndex,0,,,,EvaluationDate)</f>
        <v>#NUM!</v>
      </c>
      <c r="C7" s="12" t="e">
        <f>_xll.qlInstrumentSetPricingEngine(B7,OisEngine)</f>
        <v>#VALUE!</v>
      </c>
      <c r="D7" s="119" t="str">
        <f>PROPER(Currency&amp;IborType)&amp;A7&amp;"LastFixing_Quote"</f>
        <v>Usdlibor3MLastFixing_Quote</v>
      </c>
      <c r="E7" s="120" t="e">
        <f>E6</f>
        <v>#NUM!</v>
      </c>
      <c r="F7" s="121" t="e">
        <f>F6</f>
        <v>#NUM!</v>
      </c>
      <c r="G7" s="122">
        <f>_xll.qlQuoteValue(D7,AllTriggers)</f>
        <v>2.3835000000000002E-3</v>
      </c>
      <c r="H7" s="123" t="e">
        <f>_xll.qlOvernightIndexedSwapFairRate(B7,_xll.ohTrigger(C7,InterestRatesTrigger))</f>
        <v>#VALUE!</v>
      </c>
      <c r="I7" s="124" t="e">
        <f t="shared" si="1"/>
        <v>#VALUE!</v>
      </c>
      <c r="J7" s="132" t="b">
        <f>AND(ISERROR(I8),ISERROR(I9),NOT(ISERROR(I7)))</f>
        <v>0</v>
      </c>
      <c r="K7" s="139"/>
      <c r="L7" s="133"/>
      <c r="M7" s="133"/>
      <c r="N7" s="135" t="e">
        <f t="shared" si="2"/>
        <v>#NUM!</v>
      </c>
      <c r="O7" s="135" t="e">
        <f t="shared" si="3"/>
        <v>#NUM!</v>
      </c>
      <c r="P7" s="135" t="e">
        <f t="shared" ref="P7:P14" si="6">(O7^2-N7^2)/(O7-N7)</f>
        <v>#NUM!</v>
      </c>
      <c r="Q7" s="132"/>
      <c r="R7" s="146" t="e">
        <f t="shared" si="4"/>
        <v>#NUM!</v>
      </c>
      <c r="S7" s="146" t="e">
        <f t="shared" si="5"/>
        <v>#NUM!</v>
      </c>
      <c r="T7" s="146">
        <v>1</v>
      </c>
    </row>
    <row r="8" spans="1:34" x14ac:dyDescent="0.2">
      <c r="B8" s="29" t="e">
        <f>_xll.qlMakeDatedOIS(,E8,F8,OvernightIndex,0,,,,EvaluationDate)</f>
        <v>#NUM!</v>
      </c>
      <c r="C8" s="12" t="e">
        <f>_xll.qlInstrumentSetPricingEngine(B8,OisEngine)</f>
        <v>#VALUE!</v>
      </c>
      <c r="D8" s="119" t="str">
        <f>Currency&amp;"_YC"&amp;A7&amp;"RH_T"&amp;A6&amp;"F1"</f>
        <v>USD_YC3MRH_T3F1</v>
      </c>
      <c r="E8" s="120" t="e">
        <f>_xll.qlRateHelperEarliestDate($D8,EvaluationDate)</f>
        <v>#NUM!</v>
      </c>
      <c r="F8" s="121" t="e">
        <f>_xll.qlRateHelperLatestDate($D8,EvaluationDate)</f>
        <v>#NUM!</v>
      </c>
      <c r="G8" s="125" t="e">
        <f>_xll.qlRateHelperRate($D8,AllTriggers)</f>
        <v>#NUM!</v>
      </c>
      <c r="H8" s="123" t="e">
        <f>_xll.qlOvernightIndexedSwapFairRate(B8,_xll.ohTrigger(C8,InterestRatesTrigger))</f>
        <v>#VALUE!</v>
      </c>
      <c r="I8" s="124" t="e">
        <f t="shared" si="1"/>
        <v>#NUM!</v>
      </c>
      <c r="J8" s="132" t="e">
        <f>AND(E8&gt;E7,NOT(ISERROR(I8)))</f>
        <v>#NUM!</v>
      </c>
      <c r="K8" s="132"/>
      <c r="L8" s="132"/>
      <c r="M8" s="133"/>
      <c r="N8" s="135" t="e">
        <f t="shared" si="2"/>
        <v>#NUM!</v>
      </c>
      <c r="O8" s="135" t="e">
        <f t="shared" si="3"/>
        <v>#NUM!</v>
      </c>
      <c r="P8" s="135" t="e">
        <f t="shared" si="6"/>
        <v>#NUM!</v>
      </c>
      <c r="Q8" s="132"/>
      <c r="R8" s="146" t="e">
        <f t="shared" si="4"/>
        <v>#NUM!</v>
      </c>
      <c r="S8" s="146" t="e">
        <f t="shared" si="5"/>
        <v>#NUM!</v>
      </c>
      <c r="T8" s="146">
        <v>1</v>
      </c>
      <c r="AD8" s="1" t="s">
        <v>51</v>
      </c>
      <c r="AH8" s="1" t="s">
        <v>50</v>
      </c>
    </row>
    <row r="9" spans="1:34" x14ac:dyDescent="0.2">
      <c r="B9" s="29" t="e">
        <f>_xll.qlMakeDatedOIS(,E9,F9,OvernightIndex,0,,,,EvaluationDate)</f>
        <v>#NUM!</v>
      </c>
      <c r="C9" s="12" t="e">
        <f>_xll.qlInstrumentSetPricingEngine(B9,OisEngine)</f>
        <v>#VALUE!</v>
      </c>
      <c r="D9" s="119" t="str">
        <f>Currency&amp;"_YC"&amp;A7&amp;"RH_TOM"&amp;A6&amp;"F1"</f>
        <v>USD_YC3MRH_TOM3F1</v>
      </c>
      <c r="E9" s="120" t="e">
        <f>_xll.qlRateHelperEarliestDate($D9,EvaluationDate)</f>
        <v>#NUM!</v>
      </c>
      <c r="F9" s="121" t="e">
        <f>_xll.qlRateHelperLatestDate($D9,EvaluationDate)</f>
        <v>#NUM!</v>
      </c>
      <c r="G9" s="125" t="e">
        <f>_xll.qlRateHelperRate($D9,AllTriggers)</f>
        <v>#NUM!</v>
      </c>
      <c r="H9" s="123" t="e">
        <f>_xll.qlOvernightIndexedSwapFairRate(B9,_xll.ohTrigger(C9,InterestRatesTrigger))</f>
        <v>#VALUE!</v>
      </c>
      <c r="I9" s="124" t="e">
        <f t="shared" si="1"/>
        <v>#NUM!</v>
      </c>
      <c r="J9" s="132" t="b">
        <f>AND(NOT(J7),NOT(ISERROR(I9)))</f>
        <v>0</v>
      </c>
      <c r="K9" s="123" t="e">
        <f>AVERAGE(_xll.ohFilter(K10:K12,J10:J12))</f>
        <v>#NUM!</v>
      </c>
      <c r="L9" s="123" t="e">
        <f>_xll.ohFilter($I$6:$I$9,$J$6:$J$9)-K9*_xll.ohFilter($P$6:$P$9,$J$6:$J$9)</f>
        <v>#NUM!</v>
      </c>
      <c r="M9" s="133"/>
      <c r="N9" s="135" t="e">
        <f t="shared" si="2"/>
        <v>#NUM!</v>
      </c>
      <c r="O9" s="135" t="e">
        <f t="shared" si="3"/>
        <v>#NUM!</v>
      </c>
      <c r="P9" s="135" t="e">
        <f t="shared" si="6"/>
        <v>#NUM!</v>
      </c>
      <c r="Q9" s="132"/>
      <c r="R9" s="146" t="e">
        <f t="shared" si="4"/>
        <v>#NUM!</v>
      </c>
      <c r="S9" s="146" t="e">
        <f t="shared" si="5"/>
        <v>#NUM!</v>
      </c>
      <c r="T9" s="146">
        <v>1</v>
      </c>
      <c r="V9" s="106" t="e">
        <f t="array" ref="V9:V11">_xll.ohFilter(R6:R14,$J6:$J14)</f>
        <v>#NUM!</v>
      </c>
      <c r="W9" s="107" t="e">
        <f t="array" ref="W9:W11">_xll.ohFilter(S6:S14,$J6:$J14)</f>
        <v>#NUM!</v>
      </c>
      <c r="X9" s="108" t="e">
        <f t="array" ref="X9:X11">_xll.ohFilter(T6:T14,$J6:$J14)</f>
        <v>#NUM!</v>
      </c>
      <c r="Z9" s="91" t="e">
        <f t="array" ref="Z9:Z11">MMULT(AD9:AF11,AB9:AB11)</f>
        <v>#NUM!</v>
      </c>
      <c r="AB9" s="91" t="e">
        <f t="array" ref="AB9:AB11">_xll.ohFilter(I6:I14,$J6:$J14)</f>
        <v>#NUM!</v>
      </c>
      <c r="AD9" s="97" t="e">
        <f t="array" ref="AD9:AF11">MINVERSE(V9:X11)</f>
        <v>#NUM!</v>
      </c>
      <c r="AE9" s="98" t="e">
        <v>#NUM!</v>
      </c>
      <c r="AF9" s="99" t="e">
        <v>#NUM!</v>
      </c>
      <c r="AH9" s="94" t="e">
        <f t="array" ref="AH9:AH11">MMULT(V9:X11,Z9:Z11)-AB9:AB11</f>
        <v>#NUM!</v>
      </c>
    </row>
    <row r="10" spans="1:34" x14ac:dyDescent="0.2">
      <c r="B10" s="29" t="e">
        <f>_xll.qlMakeDatedOIS(,E10,F10,OvernightIndex,0,,,,EvaluationDate)</f>
        <v>#NUM!</v>
      </c>
      <c r="C10" s="12" t="e">
        <f>_xll.qlInstrumentSetPricingEngine(B10,OisEngine)</f>
        <v>#VALUE!</v>
      </c>
      <c r="D10" s="11" t="e">
        <f>Currency&amp;"_YC3MRH_FUT3M"&amp;_xll.qlIMMNextCode(E9,FALSE)</f>
        <v>#NUM!</v>
      </c>
      <c r="E10" s="69" t="e">
        <f>_xll.qlRateHelperEarliestDate($D10,EvaluationDate)</f>
        <v>#VALUE!</v>
      </c>
      <c r="F10" s="70" t="e">
        <f>_xll.qlRateHelperLatestDate($D10,EvaluationDate)</f>
        <v>#VALUE!</v>
      </c>
      <c r="G10" s="66" t="e">
        <f>_xll.qlRateHelperRate($D10,AllTriggers)</f>
        <v>#VALUE!</v>
      </c>
      <c r="H10" s="15" t="e">
        <f>_xll.qlOvernightIndexedSwapFairRate(B10,_xll.ohTrigger(C10,InterestRatesTrigger))</f>
        <v>#VALUE!</v>
      </c>
      <c r="I10" s="16" t="e">
        <f t="shared" si="1"/>
        <v>#VALUE!</v>
      </c>
      <c r="J10" s="1" t="e">
        <f>AND(NOT(ISERROR(I10)),E10&lt;&gt;$E$9,E10&lt;&gt;$E$8)</f>
        <v>#VALUE!</v>
      </c>
      <c r="K10" s="15" t="e">
        <f>(I10-_xll.ohFilter($I$6:$I$9,$J$6:$J$9))/(P10-_xll.ohFilter($P$6:$P$9,$J$6:$J$9))</f>
        <v>#VALUE!</v>
      </c>
      <c r="L10" s="15" t="e">
        <f>_xll.ohFilter($I$6:$I$9,$J$6:$J$9)-K10*_xll.ohFilter($P$6:$P$9,$J$6:$J$9)</f>
        <v>#NUM!</v>
      </c>
      <c r="M10" s="5"/>
      <c r="N10" s="136" t="e">
        <f t="shared" si="2"/>
        <v>#VALUE!</v>
      </c>
      <c r="O10" s="136" t="e">
        <f t="shared" si="3"/>
        <v>#VALUE!</v>
      </c>
      <c r="P10" s="136" t="e">
        <f t="shared" si="6"/>
        <v>#VALUE!</v>
      </c>
      <c r="R10" s="115" t="e">
        <f t="shared" si="4"/>
        <v>#VALUE!</v>
      </c>
      <c r="S10" s="115" t="e">
        <f t="shared" si="5"/>
        <v>#VALUE!</v>
      </c>
      <c r="T10" s="115">
        <v>1</v>
      </c>
      <c r="V10" s="109" t="e">
        <v>#NUM!</v>
      </c>
      <c r="W10" s="110" t="e">
        <v>#NUM!</v>
      </c>
      <c r="X10" s="111" t="e">
        <v>#NUM!</v>
      </c>
      <c r="Y10" s="82" t="s">
        <v>47</v>
      </c>
      <c r="Z10" s="92" t="e">
        <v>#NUM!</v>
      </c>
      <c r="AA10" s="82" t="s">
        <v>48</v>
      </c>
      <c r="AB10" s="92" t="e">
        <v>#NUM!</v>
      </c>
      <c r="AD10" s="100" t="e">
        <v>#NUM!</v>
      </c>
      <c r="AE10" s="101" t="e">
        <v>#NUM!</v>
      </c>
      <c r="AF10" s="102" t="e">
        <v>#NUM!</v>
      </c>
      <c r="AH10" s="95" t="e">
        <v>#NUM!</v>
      </c>
    </row>
    <row r="11" spans="1:34" x14ac:dyDescent="0.2">
      <c r="B11" s="29" t="e">
        <f>_xll.qlMakeDatedOIS(,E11,F11,OvernightIndex,0,,,,EvaluationDate)</f>
        <v>#NUM!</v>
      </c>
      <c r="C11" s="12" t="e">
        <f>_xll.qlInstrumentSetPricingEngine(B11,OisEngine)</f>
        <v>#VALUE!</v>
      </c>
      <c r="D11" s="11" t="e">
        <f>Currency&amp;"_YC3MRH_FUT3M"&amp;_xll.qlIMMNextCode(E10,IF(_xll.qlIMMIsIMMdate(E10,TRUE),FALSE,TRUE))</f>
        <v>#NUM!</v>
      </c>
      <c r="E11" s="69" t="e">
        <f>_xll.qlRateHelperEarliestDate($D11,EvaluationDate)</f>
        <v>#VALUE!</v>
      </c>
      <c r="F11" s="70" t="e">
        <f>_xll.qlRateHelperLatestDate($D11,EvaluationDate)</f>
        <v>#VALUE!</v>
      </c>
      <c r="G11" s="66" t="e">
        <f>_xll.qlRateHelperRate($D11,AllTriggers)</f>
        <v>#VALUE!</v>
      </c>
      <c r="H11" s="15" t="e">
        <f>_xll.qlOvernightIndexedSwapFairRate(B11,_xll.ohTrigger(C11,InterestRatesTrigger))</f>
        <v>#VALUE!</v>
      </c>
      <c r="I11" s="16" t="e">
        <f t="shared" si="1"/>
        <v>#VALUE!</v>
      </c>
      <c r="J11" s="1" t="b">
        <f>NOT(ISERROR(I11))</f>
        <v>0</v>
      </c>
      <c r="K11" s="15" t="e">
        <f>(I11-_xll.ohFilter($I$6:$I$9,$J$6:$J$9))/(P11-_xll.ohFilter($P$6:$P$9,$J$6:$J$9))</f>
        <v>#VALUE!</v>
      </c>
      <c r="L11" s="15" t="e">
        <f>_xll.ohFilter($I$6:$I$9,$J$6:$J$9)-K11*_xll.ohFilter($P$6:$P$9,$J$6:$J$9)</f>
        <v>#NUM!</v>
      </c>
      <c r="M11" s="5"/>
      <c r="N11" s="136" t="e">
        <f t="shared" si="2"/>
        <v>#VALUE!</v>
      </c>
      <c r="O11" s="136" t="e">
        <f t="shared" si="3"/>
        <v>#VALUE!</v>
      </c>
      <c r="P11" s="136" t="e">
        <f t="shared" si="6"/>
        <v>#VALUE!</v>
      </c>
      <c r="R11" s="115" t="e">
        <f t="shared" si="4"/>
        <v>#VALUE!</v>
      </c>
      <c r="S11" s="115" t="e">
        <f t="shared" si="5"/>
        <v>#VALUE!</v>
      </c>
      <c r="T11" s="115">
        <v>1</v>
      </c>
      <c r="V11" s="112" t="e">
        <v>#NUM!</v>
      </c>
      <c r="W11" s="113" t="e">
        <v>#NUM!</v>
      </c>
      <c r="X11" s="114" t="e">
        <v>#NUM!</v>
      </c>
      <c r="Z11" s="93" t="e">
        <v>#NUM!</v>
      </c>
      <c r="AB11" s="93" t="e">
        <v>#NUM!</v>
      </c>
      <c r="AD11" s="103" t="e">
        <v>#NUM!</v>
      </c>
      <c r="AE11" s="104" t="e">
        <v>#NUM!</v>
      </c>
      <c r="AF11" s="105" t="e">
        <v>#NUM!</v>
      </c>
      <c r="AH11" s="96" t="e">
        <v>#NUM!</v>
      </c>
    </row>
    <row r="12" spans="1:34" x14ac:dyDescent="0.2">
      <c r="B12" s="29" t="e">
        <f>_xll.qlMakeDatedOIS(,E12,F12,OvernightIndex,0,,,,EvaluationDate)</f>
        <v>#NUM!</v>
      </c>
      <c r="C12" s="12" t="e">
        <f>_xll.qlInstrumentSetPricingEngine(B12,OisEngine)</f>
        <v>#VALUE!</v>
      </c>
      <c r="D12" s="11" t="str">
        <f>Currency&amp;"_YC"&amp;$A$7&amp;"RH_1x4F"</f>
        <v>USD_YC3MRH_1x4F</v>
      </c>
      <c r="E12" s="69" t="e">
        <f>_xll.qlRateHelperEarliestDate($D12,EvaluationDate)</f>
        <v>#NUM!</v>
      </c>
      <c r="F12" s="70" t="e">
        <f>_xll.qlRateHelperLatestDate($D12,EvaluationDate)</f>
        <v>#NUM!</v>
      </c>
      <c r="G12" s="66" t="e">
        <f>_xll.qlRateHelperRate($D12,AllTriggers)</f>
        <v>#NUM!</v>
      </c>
      <c r="H12" s="15" t="e">
        <f>_xll.qlOvernightIndexedSwapFairRate(B12,_xll.ohTrigger(C12,InterestRatesTrigger))</f>
        <v>#VALUE!</v>
      </c>
      <c r="I12" s="16" t="e">
        <f>G12-H12</f>
        <v>#NUM!</v>
      </c>
      <c r="J12" s="1" t="e">
        <f>AND(NOT(ISERROR(I12)),E12&lt;&gt;$E$11,E12&lt;&gt;$E$10)</f>
        <v>#NUM!</v>
      </c>
      <c r="K12" s="15" t="e">
        <f>(I12-_xll.ohFilter($I$6:$I$9,$J$6:$J$9))/(P12-_xll.ohFilter($P$6:$P$9,$J$6:$J$9))</f>
        <v>#NUM!</v>
      </c>
      <c r="L12" s="15" t="e">
        <f>_xll.ohFilter($I$6:$I$9,$J$6:$J$9)-K12*_xll.ohFilter($P$6:$P$9,$J$6:$J$9)</f>
        <v>#NUM!</v>
      </c>
      <c r="M12" s="5"/>
      <c r="N12" s="136" t="e">
        <f t="shared" si="2"/>
        <v>#NUM!</v>
      </c>
      <c r="O12" s="136" t="e">
        <f t="shared" si="3"/>
        <v>#NUM!</v>
      </c>
      <c r="P12" s="136" t="e">
        <f t="shared" si="6"/>
        <v>#NUM!</v>
      </c>
      <c r="R12" s="115" t="e">
        <f t="shared" si="4"/>
        <v>#NUM!</v>
      </c>
      <c r="S12" s="115" t="e">
        <f t="shared" si="5"/>
        <v>#NUM!</v>
      </c>
      <c r="T12" s="115">
        <v>1</v>
      </c>
      <c r="V12" s="115"/>
      <c r="W12" s="115"/>
      <c r="X12" s="115"/>
    </row>
    <row r="13" spans="1:34" x14ac:dyDescent="0.2">
      <c r="B13" s="29" t="e">
        <f>_xll.qlMakeDatedOIS(,E13,F13,OvernightIndex,0,,,,EvaluationDate)</f>
        <v>#NUM!</v>
      </c>
      <c r="C13" s="12" t="e">
        <f>_xll.qlInstrumentSetPricingEngine(B13,OisEngine)</f>
        <v>#VALUE!</v>
      </c>
      <c r="D13" s="11" t="str">
        <f>Currency&amp;"_YC"&amp;$A$7&amp;"RH_2x5F"</f>
        <v>USD_YC3MRH_2x5F</v>
      </c>
      <c r="E13" s="69" t="e">
        <f>_xll.qlRateHelperEarliestDate($D13,EvaluationDate)</f>
        <v>#NUM!</v>
      </c>
      <c r="F13" s="70" t="e">
        <f>_xll.qlRateHelperLatestDate($D13,EvaluationDate)</f>
        <v>#NUM!</v>
      </c>
      <c r="G13" s="66" t="e">
        <f>_xll.qlRateHelperRate($D13,AllTriggers)</f>
        <v>#NUM!</v>
      </c>
      <c r="H13" s="15" t="e">
        <f>_xll.qlOvernightIndexedSwapFairRate(B13,_xll.ohTrigger(C13,InterestRatesTrigger))</f>
        <v>#VALUE!</v>
      </c>
      <c r="I13" s="16" t="e">
        <f>G13-H13</f>
        <v>#NUM!</v>
      </c>
      <c r="J13" s="1" t="e">
        <f>AND(NOT(ISERROR(I13)),E13&lt;&gt;$E$11,E13&lt;&gt;$E$10)</f>
        <v>#NUM!</v>
      </c>
      <c r="K13" s="15" t="e">
        <f>(I13-_xll.ohFilter($I$6:$I$9,$J$6:$J$9))/(P13-_xll.ohFilter($P$6:$P$9,$J$6:$J$9))</f>
        <v>#NUM!</v>
      </c>
      <c r="L13" s="15" t="e">
        <f>_xll.ohFilter($I$6:$I$9,$J$6:$J$9)-K13*_xll.ohFilter($P$6:$P$9,$J$6:$J$9)</f>
        <v>#NUM!</v>
      </c>
      <c r="M13" s="5"/>
      <c r="N13" s="136" t="e">
        <f t="shared" si="2"/>
        <v>#NUM!</v>
      </c>
      <c r="O13" s="136" t="e">
        <f t="shared" si="3"/>
        <v>#NUM!</v>
      </c>
      <c r="P13" s="136" t="e">
        <f t="shared" si="6"/>
        <v>#NUM!</v>
      </c>
      <c r="R13" s="115" t="e">
        <f t="shared" si="4"/>
        <v>#NUM!</v>
      </c>
      <c r="S13" s="115" t="e">
        <f t="shared" si="5"/>
        <v>#NUM!</v>
      </c>
      <c r="T13" s="115">
        <v>1</v>
      </c>
      <c r="V13" s="115"/>
      <c r="W13" s="115"/>
      <c r="X13" s="115"/>
    </row>
    <row r="14" spans="1:34" x14ac:dyDescent="0.2">
      <c r="B14" s="29" t="e">
        <f>_xll.qlMakeDatedOIS(,E14,F14,OvernightIndex,0,,,,EvaluationDate)</f>
        <v>#NUM!</v>
      </c>
      <c r="C14" s="12" t="e">
        <f>_xll.qlInstrumentSetPricingEngine(B14,OisEngine)</f>
        <v>#VALUE!</v>
      </c>
      <c r="D14" s="9" t="str">
        <f>Currency&amp;"_YC"&amp;A7&amp;"RH_3x6F"</f>
        <v>USD_YC3MRH_3x6F</v>
      </c>
      <c r="E14" s="69" t="e">
        <f>_xll.qlRateHelperEarliestDate($D14,EvaluationDate)</f>
        <v>#NUM!</v>
      </c>
      <c r="F14" s="70" t="e">
        <f>_xll.qlRateHelperLatestDate($D14,EvaluationDate)</f>
        <v>#NUM!</v>
      </c>
      <c r="G14" s="66" t="e">
        <f>_xll.qlRateHelperRate($D14,AllTriggers)</f>
        <v>#NUM!</v>
      </c>
      <c r="H14" s="15" t="e">
        <f>_xll.qlOvernightIndexedSwapFairRate(B14,_xll.ohTrigger(C14,InterestRatesTrigger))</f>
        <v>#VALUE!</v>
      </c>
      <c r="I14" s="16" t="e">
        <f>G14-H14</f>
        <v>#NUM!</v>
      </c>
      <c r="J14" s="1" t="e">
        <f>AND(NOT(ISERROR(I14)),E14&lt;&gt;$E$11,E14&lt;&gt;$E$10)</f>
        <v>#NUM!</v>
      </c>
      <c r="K14" s="15" t="e">
        <f>(I14-_xll.ohFilter($I$6:$I$9,$J$6:$J$9))/(P14-_xll.ohFilter($P$6:$P$9,$J$6:$J$9))</f>
        <v>#NUM!</v>
      </c>
      <c r="L14" s="15" t="e">
        <f>_xll.ohFilter($I$6:$I$9,$J$6:$J$9)-K14*_xll.ohFilter($P$6:$P$9,$J$6:$J$9)</f>
        <v>#NUM!</v>
      </c>
      <c r="M14" s="5"/>
      <c r="N14" s="136" t="e">
        <f t="shared" si="2"/>
        <v>#NUM!</v>
      </c>
      <c r="O14" s="136" t="e">
        <f t="shared" si="3"/>
        <v>#NUM!</v>
      </c>
      <c r="P14" s="136" t="e">
        <f t="shared" si="6"/>
        <v>#NUM!</v>
      </c>
      <c r="R14" s="115" t="e">
        <f t="shared" si="4"/>
        <v>#NUM!</v>
      </c>
      <c r="S14" s="115" t="e">
        <f t="shared" si="5"/>
        <v>#NUM!</v>
      </c>
      <c r="T14" s="115">
        <v>1</v>
      </c>
      <c r="V14" s="115"/>
      <c r="W14" s="115"/>
      <c r="X14" s="115"/>
    </row>
    <row r="15" spans="1:34" x14ac:dyDescent="0.2">
      <c r="A15" s="1">
        <v>6</v>
      </c>
      <c r="B15" s="28" t="e">
        <f>_xll.qlMakeDatedOIS(,E15,F15,OvernightIndex,0,,,,EvaluationDate)</f>
        <v>#NUM!</v>
      </c>
      <c r="C15" s="8" t="e">
        <f>_xll.qlInstrumentSetPricingEngine(B15,OisEngine)</f>
        <v>#VALUE!</v>
      </c>
      <c r="D15" s="126" t="str">
        <f>Currency&amp;"_YCSTDRH_"&amp;A16&amp;"D"</f>
        <v>USD_YCSTDRH_6MD</v>
      </c>
      <c r="E15" s="127" t="e">
        <f>_xll.qlRateHelperEarliestDate($D15,EvaluationDate)</f>
        <v>#NUM!</v>
      </c>
      <c r="F15" s="128" t="e">
        <f>_xll.qlRateHelperLatestDate($D15,EvaluationDate)</f>
        <v>#NUM!</v>
      </c>
      <c r="G15" s="129" t="e">
        <f>_xll.qlRateHelperRate($D15,AllTriggers)</f>
        <v>#NUM!</v>
      </c>
      <c r="H15" s="130" t="e">
        <f>_xll.qlOvernightIndexedSwapFairRate(B15,_xll.ohTrigger(C15,InterestRatesTrigger))</f>
        <v>#VALUE!</v>
      </c>
      <c r="I15" s="131" t="e">
        <f t="shared" si="1"/>
        <v>#NUM!</v>
      </c>
      <c r="J15" s="132" t="b">
        <v>0</v>
      </c>
      <c r="K15" s="133"/>
      <c r="L15" s="133"/>
      <c r="M15" s="133"/>
      <c r="N15" s="135" t="e">
        <f t="shared" si="2"/>
        <v>#NUM!</v>
      </c>
      <c r="O15" s="135" t="e">
        <f t="shared" si="3"/>
        <v>#NUM!</v>
      </c>
      <c r="P15" s="135" t="e">
        <f t="shared" ref="P15:P27" si="7">(O15^2-N15^2)/(O15-N15)</f>
        <v>#NUM!</v>
      </c>
      <c r="Q15" s="132"/>
      <c r="R15" s="146" t="e">
        <f t="shared" ref="R15:R27" si="8">(O15^3-N15^3)/3/(O15-N15)</f>
        <v>#NUM!</v>
      </c>
      <c r="S15" s="146" t="e">
        <f t="shared" ref="S15:S27" si="9">(O15+N15)/2</f>
        <v>#NUM!</v>
      </c>
      <c r="T15" s="146">
        <v>1</v>
      </c>
    </row>
    <row r="16" spans="1:34" x14ac:dyDescent="0.2">
      <c r="A16" s="1" t="str">
        <f>_xll.qlPeriodEquivalent(A15&amp;"M")</f>
        <v>6M</v>
      </c>
      <c r="B16" s="80" t="e">
        <f>_xll.qlMakeDatedOIS(,E16,F16,OvernightIndex,0,,,,EvaluationDate)</f>
        <v>#NUM!</v>
      </c>
      <c r="C16" s="12" t="e">
        <f>_xll.qlInstrumentSetPricingEngine(B16,OisEngine)</f>
        <v>#VALUE!</v>
      </c>
      <c r="D16" s="119" t="str">
        <f>PROPER(Currency&amp;IborType)&amp;A16&amp;"LastFixing_Quote"</f>
        <v>Usdlibor6MLastFixing_Quote</v>
      </c>
      <c r="E16" s="120" t="e">
        <f>E15</f>
        <v>#NUM!</v>
      </c>
      <c r="F16" s="121" t="e">
        <f>F15</f>
        <v>#NUM!</v>
      </c>
      <c r="G16" s="122">
        <f>_xll.qlQuoteValue(D16,AllTriggers)</f>
        <v>3.5570000000000003E-3</v>
      </c>
      <c r="H16" s="123" t="e">
        <f>_xll.qlOvernightIndexedSwapFairRate(B16,_xll.ohTrigger(C16,InterestRatesTrigger))</f>
        <v>#VALUE!</v>
      </c>
      <c r="I16" s="124" t="e">
        <f t="shared" si="1"/>
        <v>#VALUE!</v>
      </c>
      <c r="J16" s="132" t="b">
        <f>AND(ISERROR(I17),ISERROR(I18),NOT(ISERROR(I16)))</f>
        <v>0</v>
      </c>
      <c r="K16" s="133"/>
      <c r="L16" s="133"/>
      <c r="M16" s="133"/>
      <c r="N16" s="135" t="e">
        <f t="shared" si="2"/>
        <v>#NUM!</v>
      </c>
      <c r="O16" s="135" t="e">
        <f t="shared" si="3"/>
        <v>#NUM!</v>
      </c>
      <c r="P16" s="135" t="e">
        <f t="shared" si="7"/>
        <v>#NUM!</v>
      </c>
      <c r="Q16" s="132"/>
      <c r="R16" s="146" t="e">
        <f t="shared" si="8"/>
        <v>#NUM!</v>
      </c>
      <c r="S16" s="146" t="e">
        <f t="shared" si="9"/>
        <v>#NUM!</v>
      </c>
      <c r="T16" s="146">
        <v>1</v>
      </c>
    </row>
    <row r="17" spans="1:34" x14ac:dyDescent="0.2">
      <c r="B17" s="29" t="e">
        <f>_xll.qlMakeDatedOIS(,E17,F17,OvernightIndex,0,,,,EvaluationDate)</f>
        <v>#NUM!</v>
      </c>
      <c r="C17" s="12" t="e">
        <f>_xll.qlInstrumentSetPricingEngine(B17,OisEngine)</f>
        <v>#VALUE!</v>
      </c>
      <c r="D17" s="119" t="str">
        <f>Currency&amp;"_YC"&amp;A16&amp;"RH_T"&amp;A15&amp;"F1"</f>
        <v>USD_YC6MRH_T6F1</v>
      </c>
      <c r="E17" s="120" t="e">
        <f>_xll.qlRateHelperEarliestDate($D17,EvaluationDate)</f>
        <v>#NUM!</v>
      </c>
      <c r="F17" s="121" t="e">
        <f>_xll.qlRateHelperLatestDate($D17,EvaluationDate)</f>
        <v>#NUM!</v>
      </c>
      <c r="G17" s="122" t="e">
        <f>_xll.qlRateHelperRate($D17,AllTriggers)</f>
        <v>#NUM!</v>
      </c>
      <c r="H17" s="123" t="e">
        <f>_xll.qlOvernightIndexedSwapFairRate(B17,_xll.ohTrigger(C17,InterestRatesTrigger))</f>
        <v>#VALUE!</v>
      </c>
      <c r="I17" s="124" t="e">
        <f t="shared" si="1"/>
        <v>#NUM!</v>
      </c>
      <c r="J17" s="132" t="e">
        <f>AND(E17&gt;E16,NOT(ISERROR(I17)))</f>
        <v>#NUM!</v>
      </c>
      <c r="K17" s="132"/>
      <c r="L17" s="132"/>
      <c r="M17" s="133"/>
      <c r="N17" s="135" t="e">
        <f t="shared" si="2"/>
        <v>#NUM!</v>
      </c>
      <c r="O17" s="135" t="e">
        <f t="shared" si="3"/>
        <v>#NUM!</v>
      </c>
      <c r="P17" s="135" t="e">
        <f t="shared" si="7"/>
        <v>#NUM!</v>
      </c>
      <c r="Q17" s="132"/>
      <c r="R17" s="146" t="e">
        <f t="shared" si="8"/>
        <v>#NUM!</v>
      </c>
      <c r="S17" s="146" t="e">
        <f t="shared" si="9"/>
        <v>#NUM!</v>
      </c>
      <c r="T17" s="146">
        <v>1</v>
      </c>
      <c r="AD17" s="1" t="s">
        <v>51</v>
      </c>
      <c r="AH17" s="1" t="s">
        <v>50</v>
      </c>
    </row>
    <row r="18" spans="1:34" x14ac:dyDescent="0.2">
      <c r="B18" s="29" t="e">
        <f>_xll.qlMakeDatedOIS(,E18,F18,OvernightIndex,0,,,,EvaluationDate)</f>
        <v>#NUM!</v>
      </c>
      <c r="C18" s="12" t="e">
        <f>_xll.qlInstrumentSetPricingEngine(B18,OisEngine)</f>
        <v>#VALUE!</v>
      </c>
      <c r="D18" s="119" t="str">
        <f>Currency&amp;"_YC"&amp;A16&amp;"RH_TOM"&amp;A15&amp;"F1"</f>
        <v>USD_YC6MRH_TOM6F1</v>
      </c>
      <c r="E18" s="120" t="e">
        <f>_xll.qlRateHelperEarliestDate($D18,EvaluationDate)</f>
        <v>#NUM!</v>
      </c>
      <c r="F18" s="121" t="e">
        <f>_xll.qlRateHelperLatestDate($D18,EvaluationDate)</f>
        <v>#NUM!</v>
      </c>
      <c r="G18" s="122" t="e">
        <f>_xll.qlRateHelperRate($D18,AllTriggers)</f>
        <v>#NUM!</v>
      </c>
      <c r="H18" s="123" t="e">
        <f>_xll.qlOvernightIndexedSwapFairRate(B18,_xll.ohTrigger(C18,InterestRatesTrigger))</f>
        <v>#VALUE!</v>
      </c>
      <c r="I18" s="124" t="e">
        <f t="shared" si="1"/>
        <v>#NUM!</v>
      </c>
      <c r="J18" s="132" t="b">
        <f>AND(NOT(J16),NOT(ISERROR(I18)))</f>
        <v>0</v>
      </c>
      <c r="K18" s="123">
        <f>AVERAGE(_xll.ohFilter(K19:K21,J19:J21))</f>
        <v>0</v>
      </c>
      <c r="L18" s="123" t="e">
        <f>_xll.ohFilter($I$15:$I$18,$J$15:$J$18)-K18*_xll.ohFilter($P$15:$P$18,$J$15:$J$18)</f>
        <v>#NUM!</v>
      </c>
      <c r="M18" s="133"/>
      <c r="N18" s="135" t="e">
        <f t="shared" si="2"/>
        <v>#NUM!</v>
      </c>
      <c r="O18" s="135" t="e">
        <f t="shared" si="3"/>
        <v>#NUM!</v>
      </c>
      <c r="P18" s="135" t="e">
        <f t="shared" si="7"/>
        <v>#NUM!</v>
      </c>
      <c r="Q18" s="132"/>
      <c r="R18" s="146" t="e">
        <f t="shared" si="8"/>
        <v>#NUM!</v>
      </c>
      <c r="S18" s="146" t="e">
        <f t="shared" si="9"/>
        <v>#NUM!</v>
      </c>
      <c r="T18" s="146">
        <v>1</v>
      </c>
      <c r="V18" s="106" t="e">
        <f t="array" ref="V18:V20">_xll.ohFilter(R15:R24,$J15:$J24)</f>
        <v>#NUM!</v>
      </c>
      <c r="W18" s="107" t="e">
        <f t="array" ref="W18:W20">_xll.ohFilter(S15:S24,$J15:$J24)</f>
        <v>#NUM!</v>
      </c>
      <c r="X18" s="108" t="e">
        <f t="array" ref="X18:X20">_xll.ohFilter(T15:T24,$J15:$J24)</f>
        <v>#NUM!</v>
      </c>
      <c r="Z18" s="91" t="e">
        <f t="array" ref="Z18:Z20">MMULT(AD18:AF20,AB18:AB20)</f>
        <v>#NUM!</v>
      </c>
      <c r="AB18" s="91" t="e">
        <f t="array" ref="AB18:AB20">_xll.ohFilter(I15:I24,$J15:$J24)</f>
        <v>#NUM!</v>
      </c>
      <c r="AD18" s="97" t="e">
        <f t="array" ref="AD18:AF20">MINVERSE(V18:X20)</f>
        <v>#NUM!</v>
      </c>
      <c r="AE18" s="98" t="e">
        <v>#NUM!</v>
      </c>
      <c r="AF18" s="99" t="e">
        <v>#NUM!</v>
      </c>
      <c r="AH18" s="94" t="e">
        <f t="array" ref="AH18:AH20">MMULT(V18:X20,Z18:Z20)-AB18:AB20</f>
        <v>#NUM!</v>
      </c>
    </row>
    <row r="19" spans="1:34" x14ac:dyDescent="0.2">
      <c r="A19" s="1">
        <v>1</v>
      </c>
      <c r="B19" s="29" t="str">
        <f>_xll.qlMakeDatedOIS(,E19,F19,OvernightIndex,0,,,,EvaluationDate)</f>
        <v>obj_00662#0004</v>
      </c>
      <c r="C19" s="12" t="b">
        <f>_xll.qlInstrumentSetPricingEngine(B19,OisEngine)</f>
        <v>1</v>
      </c>
      <c r="D19" s="11" t="str">
        <f t="shared" ref="D19:D24" si="10">Currency&amp;"_YC"&amp;$A$16&amp;"RH_"&amp;A19&amp;"x"&amp;A19+6&amp;"F"</f>
        <v>USD_YC6MRH_1x7F</v>
      </c>
      <c r="E19" s="69">
        <f>_xll.qlRateHelperEarliestDate($D19,EvaluationDate)</f>
        <v>41712</v>
      </c>
      <c r="F19" s="70">
        <f>_xll.qlRateHelperLatestDate($D19,EvaluationDate)</f>
        <v>41897</v>
      </c>
      <c r="G19" s="27">
        <f>_xll.qlRateHelperRate($D19,AllTriggers)</f>
        <v>3.5999999999999999E-3</v>
      </c>
      <c r="H19" s="15" t="e">
        <f>_xll.qlOvernightIndexedSwapFairRate(B19,_xll.ohTrigger(C19,InterestRatesTrigger))</f>
        <v>#NUM!</v>
      </c>
      <c r="I19" s="16" t="e">
        <f t="shared" ref="I19:I24" si="11">G19-H19</f>
        <v>#NUM!</v>
      </c>
      <c r="J19" s="1" t="b">
        <f t="shared" ref="J19:J24" si="12">NOT(ISERROR(I19))</f>
        <v>0</v>
      </c>
      <c r="K19" s="15" t="e">
        <f>(I19-_xll.ohFilter($I$15:$I$18,$J$15:$J$18))/(P19-_xll.ohFilter($P$15:$P$18,$J$15:$J$18))</f>
        <v>#NUM!</v>
      </c>
      <c r="L19" s="15" t="e">
        <f>_xll.ohFilter($I$15:$I$18,$J$15:$J$18)-K19*_xll.ohFilter($P$15:$P$18,$J$15:$J$18)</f>
        <v>#NUM!</v>
      </c>
      <c r="M19" s="5"/>
      <c r="N19" s="136">
        <f t="shared" si="2"/>
        <v>51</v>
      </c>
      <c r="O19" s="136">
        <f t="shared" si="3"/>
        <v>236</v>
      </c>
      <c r="P19" s="136">
        <f t="shared" si="7"/>
        <v>287</v>
      </c>
      <c r="R19" s="115">
        <f t="shared" si="8"/>
        <v>23444.333333333336</v>
      </c>
      <c r="S19" s="115">
        <f t="shared" si="9"/>
        <v>143.5</v>
      </c>
      <c r="T19" s="115">
        <v>1</v>
      </c>
      <c r="V19" s="109" t="e">
        <v>#NUM!</v>
      </c>
      <c r="W19" s="110" t="e">
        <v>#NUM!</v>
      </c>
      <c r="X19" s="111" t="e">
        <v>#NUM!</v>
      </c>
      <c r="Y19" s="82" t="s">
        <v>47</v>
      </c>
      <c r="Z19" s="92" t="e">
        <v>#NUM!</v>
      </c>
      <c r="AA19" s="82" t="s">
        <v>48</v>
      </c>
      <c r="AB19" s="92" t="e">
        <v>#NUM!</v>
      </c>
      <c r="AD19" s="100" t="e">
        <v>#NUM!</v>
      </c>
      <c r="AE19" s="101" t="e">
        <v>#NUM!</v>
      </c>
      <c r="AF19" s="102" t="e">
        <v>#NUM!</v>
      </c>
      <c r="AH19" s="95" t="e">
        <v>#NUM!</v>
      </c>
    </row>
    <row r="20" spans="1:34" x14ac:dyDescent="0.2">
      <c r="A20" s="1">
        <v>2</v>
      </c>
      <c r="B20" s="29" t="str">
        <f>_xll.qlMakeDatedOIS(,E20,F20,OvernightIndex,0,,,,EvaluationDate)</f>
        <v>obj_0065f#0004</v>
      </c>
      <c r="C20" s="12" t="b">
        <f>_xll.qlInstrumentSetPricingEngine(B20,OisEngine)</f>
        <v>1</v>
      </c>
      <c r="D20" s="11" t="str">
        <f t="shared" si="10"/>
        <v>USD_YC6MRH_2x8F</v>
      </c>
      <c r="E20" s="69">
        <f>_xll.qlRateHelperEarliestDate($D20,EvaluationDate)</f>
        <v>41743</v>
      </c>
      <c r="F20" s="70">
        <f>_xll.qlRateHelperLatestDate($D20,EvaluationDate)</f>
        <v>41926</v>
      </c>
      <c r="G20" s="27">
        <f>_xll.qlRateHelperRate($D20,AllTriggers)</f>
        <v>3.7599999999999999E-3</v>
      </c>
      <c r="H20" s="15" t="e">
        <f>_xll.qlOvernightIndexedSwapFairRate(B20,_xll.ohTrigger(C20,InterestRatesTrigger))</f>
        <v>#NUM!</v>
      </c>
      <c r="I20" s="16" t="e">
        <f t="shared" si="11"/>
        <v>#NUM!</v>
      </c>
      <c r="J20" s="1" t="b">
        <f t="shared" si="12"/>
        <v>0</v>
      </c>
      <c r="K20" s="15" t="e">
        <f>(I20-_xll.ohFilter($I$15:$I$18,$J$15:$J$18))/(P20-_xll.ohFilter($P$15:$P$18,$J$15:$J$18))</f>
        <v>#NUM!</v>
      </c>
      <c r="L20" s="15" t="e">
        <f>_xll.ohFilter($I$15:$I$18,$J$15:$J$18)-K20*_xll.ohFilter($P$15:$P$18,$J$15:$J$18)</f>
        <v>#NUM!</v>
      </c>
      <c r="M20" s="5"/>
      <c r="N20" s="136">
        <f t="shared" si="2"/>
        <v>82</v>
      </c>
      <c r="O20" s="136">
        <f t="shared" si="3"/>
        <v>265</v>
      </c>
      <c r="P20" s="136">
        <f t="shared" si="7"/>
        <v>347</v>
      </c>
      <c r="R20" s="115">
        <f t="shared" si="8"/>
        <v>32893</v>
      </c>
      <c r="S20" s="115">
        <f t="shared" si="9"/>
        <v>173.5</v>
      </c>
      <c r="T20" s="115">
        <v>1</v>
      </c>
      <c r="V20" s="112" t="e">
        <v>#NUM!</v>
      </c>
      <c r="W20" s="113" t="e">
        <v>#NUM!</v>
      </c>
      <c r="X20" s="114" t="e">
        <v>#NUM!</v>
      </c>
      <c r="Z20" s="93" t="e">
        <v>#NUM!</v>
      </c>
      <c r="AB20" s="93" t="e">
        <v>#NUM!</v>
      </c>
      <c r="AD20" s="103" t="e">
        <v>#NUM!</v>
      </c>
      <c r="AE20" s="104" t="e">
        <v>#NUM!</v>
      </c>
      <c r="AF20" s="105" t="e">
        <v>#NUM!</v>
      </c>
      <c r="AH20" s="96" t="e">
        <v>#NUM!</v>
      </c>
    </row>
    <row r="21" spans="1:34" x14ac:dyDescent="0.2">
      <c r="A21" s="1">
        <v>3</v>
      </c>
      <c r="B21" s="29" t="str">
        <f>_xll.qlMakeDatedOIS(,E21,F21,OvernightIndex,0,,,,EvaluationDate)</f>
        <v>obj_0065d#0004</v>
      </c>
      <c r="C21" s="12" t="b">
        <f>_xll.qlInstrumentSetPricingEngine(B21,OisEngine)</f>
        <v>1</v>
      </c>
      <c r="D21" s="11" t="str">
        <f t="shared" si="10"/>
        <v>USD_YC6MRH_3x9F</v>
      </c>
      <c r="E21" s="69">
        <f>_xll.qlRateHelperEarliestDate($D21,EvaluationDate)</f>
        <v>41773</v>
      </c>
      <c r="F21" s="70">
        <f>_xll.qlRateHelperLatestDate($D21,EvaluationDate)</f>
        <v>41957</v>
      </c>
      <c r="G21" s="27">
        <f>_xll.qlRateHelperRate($D21,AllTriggers)</f>
        <v>3.9000000000000003E-3</v>
      </c>
      <c r="H21" s="15" t="e">
        <f>_xll.qlOvernightIndexedSwapFairRate(B21,_xll.ohTrigger(C21,InterestRatesTrigger))</f>
        <v>#NUM!</v>
      </c>
      <c r="I21" s="16" t="e">
        <f t="shared" si="11"/>
        <v>#NUM!</v>
      </c>
      <c r="J21" s="1" t="b">
        <f t="shared" si="12"/>
        <v>0</v>
      </c>
      <c r="K21" s="15" t="e">
        <f>(I21-_xll.ohFilter($I$15:$I$18,$J$15:$J$18))/(P21-_xll.ohFilter($P$15:$P$18,$J$15:$J$18))</f>
        <v>#NUM!</v>
      </c>
      <c r="L21" s="15" t="e">
        <f>_xll.ohFilter($I$15:$I$18,$J$15:$J$18)-K21*_xll.ohFilter($P$15:$P$18,$J$15:$J$18)</f>
        <v>#NUM!</v>
      </c>
      <c r="M21" s="5"/>
      <c r="N21" s="136">
        <f t="shared" si="2"/>
        <v>112</v>
      </c>
      <c r="O21" s="136">
        <f t="shared" si="3"/>
        <v>296</v>
      </c>
      <c r="P21" s="136">
        <f t="shared" si="7"/>
        <v>408</v>
      </c>
      <c r="R21" s="115">
        <f t="shared" si="8"/>
        <v>44437.333333333328</v>
      </c>
      <c r="S21" s="115">
        <f t="shared" si="9"/>
        <v>204</v>
      </c>
      <c r="T21" s="115">
        <v>1</v>
      </c>
      <c r="V21" s="115"/>
      <c r="W21" s="115"/>
      <c r="X21" s="115"/>
      <c r="AB21" s="81"/>
    </row>
    <row r="22" spans="1:34" x14ac:dyDescent="0.2">
      <c r="A22" s="1">
        <v>4</v>
      </c>
      <c r="B22" s="29" t="str">
        <f>_xll.qlMakeDatedOIS(,E22,F22,OvernightIndex,0,,,,EvaluationDate)</f>
        <v>obj_00660#0004</v>
      </c>
      <c r="C22" s="12" t="b">
        <f>_xll.qlInstrumentSetPricingEngine(B22,OisEngine)</f>
        <v>1</v>
      </c>
      <c r="D22" s="11" t="str">
        <f t="shared" si="10"/>
        <v>USD_YC6MRH_4x10F</v>
      </c>
      <c r="E22" s="69">
        <f>_xll.qlRateHelperEarliestDate($D22,EvaluationDate)</f>
        <v>41806</v>
      </c>
      <c r="F22" s="70">
        <f>_xll.qlRateHelperLatestDate($D22,EvaluationDate)</f>
        <v>41989</v>
      </c>
      <c r="G22" s="27">
        <f>_xll.qlRateHelperRate($D22,AllTriggers)</f>
        <v>4.0400000000000002E-3</v>
      </c>
      <c r="H22" s="15" t="e">
        <f>_xll.qlOvernightIndexedSwapFairRate(B22,_xll.ohTrigger(C22,InterestRatesTrigger))</f>
        <v>#NUM!</v>
      </c>
      <c r="I22" s="16" t="e">
        <f t="shared" si="11"/>
        <v>#NUM!</v>
      </c>
      <c r="J22" s="1" t="b">
        <f t="shared" si="12"/>
        <v>0</v>
      </c>
      <c r="K22" s="15" t="e">
        <f>(I22-_xll.ohFilter($I$15:$I$18,$J$15:$J$18))/(P22-_xll.ohFilter($P$15:$P$18,$J$15:$J$18))</f>
        <v>#NUM!</v>
      </c>
      <c r="L22" s="15" t="e">
        <f>_xll.ohFilter($I$15:$I$18,$J$15:$J$18)-K22*_xll.ohFilter($P$15:$P$18,$J$15:$J$18)</f>
        <v>#NUM!</v>
      </c>
      <c r="M22" s="5"/>
      <c r="N22" s="136">
        <f t="shared" si="2"/>
        <v>145</v>
      </c>
      <c r="O22" s="136">
        <f t="shared" si="3"/>
        <v>328</v>
      </c>
      <c r="P22" s="136">
        <f t="shared" si="7"/>
        <v>473</v>
      </c>
      <c r="R22" s="115">
        <f t="shared" si="8"/>
        <v>58723</v>
      </c>
      <c r="S22" s="115">
        <f t="shared" si="9"/>
        <v>236.5</v>
      </c>
      <c r="T22" s="115">
        <v>1</v>
      </c>
      <c r="V22" s="115"/>
      <c r="W22" s="115"/>
      <c r="X22" s="115"/>
      <c r="AB22" s="81"/>
    </row>
    <row r="23" spans="1:34" x14ac:dyDescent="0.2">
      <c r="A23" s="1">
        <v>5</v>
      </c>
      <c r="B23" s="29" t="str">
        <f>_xll.qlMakeDatedOIS(,E23,F23,OvernightIndex,0,,,,EvaluationDate)</f>
        <v>obj_00661#0004</v>
      </c>
      <c r="C23" s="12" t="b">
        <f>_xll.qlInstrumentSetPricingEngine(B23,OisEngine)</f>
        <v>1</v>
      </c>
      <c r="D23" s="11" t="str">
        <f t="shared" si="10"/>
        <v>USD_YC6MRH_5x11F</v>
      </c>
      <c r="E23" s="69">
        <f>_xll.qlRateHelperEarliestDate($D23,EvaluationDate)</f>
        <v>41834</v>
      </c>
      <c r="F23" s="70">
        <f>_xll.qlRateHelperLatestDate($D23,EvaluationDate)</f>
        <v>42018</v>
      </c>
      <c r="G23" s="27">
        <f>_xll.qlRateHelperRate($D23,AllTriggers)</f>
        <v>4.2000000000000006E-3</v>
      </c>
      <c r="H23" s="15" t="e">
        <f>_xll.qlOvernightIndexedSwapFairRate(B23,_xll.ohTrigger(C23,InterestRatesTrigger))</f>
        <v>#NUM!</v>
      </c>
      <c r="I23" s="16" t="e">
        <f t="shared" si="11"/>
        <v>#NUM!</v>
      </c>
      <c r="J23" s="1" t="b">
        <f t="shared" si="12"/>
        <v>0</v>
      </c>
      <c r="K23" s="15" t="e">
        <f>(I23-_xll.ohFilter($I$15:$I$18,$J$15:$J$18))/(P23-_xll.ohFilter($P$15:$P$18,$J$15:$J$18))</f>
        <v>#NUM!</v>
      </c>
      <c r="L23" s="15" t="e">
        <f>_xll.ohFilter($I$15:$I$18,$J$15:$J$18)-K23*_xll.ohFilter($P$15:$P$18,$J$15:$J$18)</f>
        <v>#NUM!</v>
      </c>
      <c r="M23" s="5"/>
      <c r="N23" s="136">
        <f t="shared" si="2"/>
        <v>173</v>
      </c>
      <c r="O23" s="136">
        <f t="shared" si="3"/>
        <v>357</v>
      </c>
      <c r="P23" s="136">
        <f t="shared" si="7"/>
        <v>530</v>
      </c>
      <c r="R23" s="115">
        <f t="shared" si="8"/>
        <v>73046.333333333343</v>
      </c>
      <c r="S23" s="115">
        <f t="shared" si="9"/>
        <v>265</v>
      </c>
      <c r="T23" s="115">
        <v>1</v>
      </c>
      <c r="V23" s="115"/>
      <c r="W23" s="115"/>
      <c r="X23" s="115"/>
      <c r="AB23" s="81"/>
    </row>
    <row r="24" spans="1:34" x14ac:dyDescent="0.2">
      <c r="A24" s="1">
        <v>6</v>
      </c>
      <c r="B24" s="29" t="str">
        <f>_xll.qlMakeDatedOIS(,E24,F24,OvernightIndex,0,,,,EvaluationDate)</f>
        <v>obj_0065e#0004</v>
      </c>
      <c r="C24" s="12" t="b">
        <f>_xll.qlInstrumentSetPricingEngine(B24,OisEngine)</f>
        <v>1</v>
      </c>
      <c r="D24" s="11" t="str">
        <f t="shared" si="10"/>
        <v>USD_YC6MRH_6x12F</v>
      </c>
      <c r="E24" s="69">
        <f>_xll.qlRateHelperEarliestDate($D24,EvaluationDate)</f>
        <v>41865</v>
      </c>
      <c r="F24" s="70">
        <f>_xll.qlRateHelperLatestDate($D24,EvaluationDate)</f>
        <v>42052</v>
      </c>
      <c r="G24" s="27">
        <f>_xll.qlRateHelperRate($D24,AllTriggers)</f>
        <v>4.3800000000000002E-3</v>
      </c>
      <c r="H24" s="15" t="e">
        <f>_xll.qlOvernightIndexedSwapFairRate(B24,_xll.ohTrigger(C24,InterestRatesTrigger))</f>
        <v>#NUM!</v>
      </c>
      <c r="I24" s="16" t="e">
        <f t="shared" si="11"/>
        <v>#NUM!</v>
      </c>
      <c r="J24" s="1" t="b">
        <f t="shared" si="12"/>
        <v>0</v>
      </c>
      <c r="K24" s="15" t="e">
        <f>(I24-_xll.ohFilter($I$15:$I$18,$J$15:$J$18))/(P24-_xll.ohFilter($P$15:$P$18,$J$15:$J$18))</f>
        <v>#NUM!</v>
      </c>
      <c r="L24" s="15" t="e">
        <f>_xll.ohFilter($I$15:$I$18,$J$15:$J$18)-K24*_xll.ohFilter($P$15:$P$18,$J$15:$J$18)</f>
        <v>#NUM!</v>
      </c>
      <c r="M24" s="5"/>
      <c r="N24" s="136">
        <f t="shared" si="2"/>
        <v>204</v>
      </c>
      <c r="O24" s="136">
        <f t="shared" si="3"/>
        <v>391</v>
      </c>
      <c r="P24" s="136">
        <f t="shared" si="7"/>
        <v>595</v>
      </c>
      <c r="R24" s="115">
        <f t="shared" si="8"/>
        <v>91420.333333333328</v>
      </c>
      <c r="S24" s="115">
        <f t="shared" si="9"/>
        <v>297.5</v>
      </c>
      <c r="T24" s="115">
        <v>1</v>
      </c>
    </row>
    <row r="25" spans="1:34" x14ac:dyDescent="0.2">
      <c r="A25" s="1">
        <v>12</v>
      </c>
      <c r="B25" s="28" t="e">
        <f>_xll.qlMakeDatedOIS(,E25,F25,OvernightIndex,0,,,,EvaluationDate)</f>
        <v>#NUM!</v>
      </c>
      <c r="C25" s="8" t="e">
        <f>_xll.qlInstrumentSetPricingEngine(B25,OisEngine)</f>
        <v>#VALUE!</v>
      </c>
      <c r="D25" s="126" t="str">
        <f>Currency&amp;"_YCSTDRH_"&amp;A26&amp;"D"</f>
        <v>USD_YCSTDRH_1YD</v>
      </c>
      <c r="E25" s="127" t="e">
        <f>_xll.qlRateHelperEarliestDate($D25,EvaluationDate)</f>
        <v>#NUM!</v>
      </c>
      <c r="F25" s="128" t="e">
        <f>_xll.qlRateHelperLatestDate($D25,EvaluationDate)</f>
        <v>#NUM!</v>
      </c>
      <c r="G25" s="129" t="e">
        <f>_xll.qlRateHelperRate($D25,AllTriggers)</f>
        <v>#NUM!</v>
      </c>
      <c r="H25" s="130" t="e">
        <f>_xll.qlOvernightIndexedSwapFairRate(B25,_xll.ohTrigger(C25,InterestRatesTrigger))</f>
        <v>#VALUE!</v>
      </c>
      <c r="I25" s="131" t="e">
        <f t="shared" si="1"/>
        <v>#NUM!</v>
      </c>
      <c r="J25" s="132" t="b">
        <v>0</v>
      </c>
      <c r="K25" s="132"/>
      <c r="L25" s="132"/>
      <c r="M25" s="133"/>
      <c r="N25" s="135" t="e">
        <f t="shared" si="2"/>
        <v>#NUM!</v>
      </c>
      <c r="O25" s="135" t="e">
        <f t="shared" si="3"/>
        <v>#NUM!</v>
      </c>
      <c r="P25" s="135" t="e">
        <f t="shared" si="7"/>
        <v>#NUM!</v>
      </c>
      <c r="Q25" s="132"/>
      <c r="R25" s="146" t="e">
        <f t="shared" si="8"/>
        <v>#NUM!</v>
      </c>
      <c r="S25" s="146" t="e">
        <f t="shared" si="9"/>
        <v>#NUM!</v>
      </c>
      <c r="T25" s="146">
        <v>1</v>
      </c>
    </row>
    <row r="26" spans="1:34" x14ac:dyDescent="0.2">
      <c r="A26" s="1" t="str">
        <f>_xll.qlPeriodEquivalent(A25&amp;"M")</f>
        <v>1Y</v>
      </c>
      <c r="B26" s="29" t="e">
        <f>_xll.qlMakeDatedOIS(,E26,F26,OvernightIndex,0,,,,EvaluationDate)</f>
        <v>#NUM!</v>
      </c>
      <c r="C26" s="12" t="e">
        <f>_xll.qlInstrumentSetPricingEngine(B26,OisEngine)</f>
        <v>#VALUE!</v>
      </c>
      <c r="D26" s="119" t="str">
        <f>PROPER(Currency&amp;IborType)&amp;A26&amp;"LastFixing_Quote"</f>
        <v>Usdlibor1YLastFixing_Quote</v>
      </c>
      <c r="E26" s="120" t="e">
        <f>E25</f>
        <v>#NUM!</v>
      </c>
      <c r="F26" s="121" t="e">
        <f>F25</f>
        <v>#NUM!</v>
      </c>
      <c r="G26" s="122">
        <f>_xll.qlQuoteValue(D26,AllTriggers)</f>
        <v>6.0860000000000003E-3</v>
      </c>
      <c r="H26" s="123" t="e">
        <f>_xll.qlOvernightIndexedSwapFairRate(B26,_xll.ohTrigger(C26,InterestRatesTrigger))</f>
        <v>#VALUE!</v>
      </c>
      <c r="I26" s="124" t="e">
        <f t="shared" si="1"/>
        <v>#VALUE!</v>
      </c>
      <c r="J26" s="132" t="b">
        <f>NOT(ISERROR(I26))</f>
        <v>0</v>
      </c>
      <c r="K26" s="134" t="e">
        <f>K27</f>
        <v>#NUM!</v>
      </c>
      <c r="L26" s="123" t="e">
        <f>L27</f>
        <v>#NUM!</v>
      </c>
      <c r="M26" s="133"/>
      <c r="N26" s="135" t="e">
        <f t="shared" si="2"/>
        <v>#NUM!</v>
      </c>
      <c r="O26" s="135" t="e">
        <f t="shared" si="3"/>
        <v>#NUM!</v>
      </c>
      <c r="P26" s="135" t="e">
        <f t="shared" si="7"/>
        <v>#NUM!</v>
      </c>
      <c r="Q26" s="132"/>
      <c r="R26" s="146" t="e">
        <f t="shared" si="8"/>
        <v>#NUM!</v>
      </c>
      <c r="S26" s="146" t="e">
        <f t="shared" si="9"/>
        <v>#NUM!</v>
      </c>
      <c r="T26" s="146">
        <v>1</v>
      </c>
    </row>
    <row r="27" spans="1:34" x14ac:dyDescent="0.2">
      <c r="B27" s="29" t="e">
        <f>_xll.qlMakeDatedOIS(,E27,F27,OvernightIndex,0,,,,EvaluationDate)</f>
        <v>#NUM!</v>
      </c>
      <c r="C27" s="12" t="e">
        <f>_xll.qlInstrumentSetPricingEngine(B27,OisEngine)</f>
        <v>#VALUE!</v>
      </c>
      <c r="D27" s="11" t="str">
        <f>Currency&amp;"_YC"&amp;A26&amp;"RH_12x24F"</f>
        <v>USD_YC1YRH_12x24F</v>
      </c>
      <c r="E27" s="69" t="e">
        <f>_xll.qlRateHelperEarliestDate($D27,EvaluationDate)</f>
        <v>#NUM!</v>
      </c>
      <c r="F27" s="70" t="e">
        <f>_xll.qlRateHelperLatestDate($D27,EvaluationDate)</f>
        <v>#NUM!</v>
      </c>
      <c r="G27" s="27" t="e">
        <f>_xll.qlRateHelperRate($D27,AllTriggers)</f>
        <v>#NUM!</v>
      </c>
      <c r="H27" s="15" t="e">
        <f>_xll.qlOvernightIndexedSwapFairRate(B27,_xll.ohTrigger(C27,InterestRatesTrigger))</f>
        <v>#VALUE!</v>
      </c>
      <c r="I27" s="16" t="e">
        <f t="shared" si="1"/>
        <v>#NUM!</v>
      </c>
      <c r="J27" s="1" t="b">
        <f>NOT(ISERROR(I27))</f>
        <v>0</v>
      </c>
      <c r="K27" s="15" t="e">
        <f>(I27-_xll.ohFilter($I$25:$I$26,$J$25:$J$26))/(P27-_xll.ohFilter($P$25:$P$26,$J$25:$J$26))</f>
        <v>#NUM!</v>
      </c>
      <c r="L27" s="15" t="e">
        <f>_xll.ohFilter($I$25:$I$26,$J$25:$J$26)-K27*_xll.ohFilter($P$25:$P$26,$J$25:$J$26)</f>
        <v>#NUM!</v>
      </c>
      <c r="M27" s="5"/>
      <c r="N27" s="136" t="e">
        <f t="shared" si="2"/>
        <v>#NUM!</v>
      </c>
      <c r="O27" s="136" t="e">
        <f t="shared" si="3"/>
        <v>#NUM!</v>
      </c>
      <c r="P27" s="136" t="e">
        <f t="shared" si="7"/>
        <v>#NUM!</v>
      </c>
      <c r="R27" s="115" t="e">
        <f t="shared" si="8"/>
        <v>#NUM!</v>
      </c>
      <c r="S27" s="115" t="e">
        <f t="shared" si="9"/>
        <v>#NUM!</v>
      </c>
      <c r="T27" s="115">
        <v>1</v>
      </c>
    </row>
    <row r="28" spans="1:34" x14ac:dyDescent="0.2">
      <c r="B28" s="7"/>
      <c r="C28" s="7"/>
      <c r="D28" s="83"/>
      <c r="E28" s="83"/>
      <c r="F28" s="83"/>
      <c r="G28" s="83"/>
      <c r="H28" s="83"/>
      <c r="I28" s="84"/>
      <c r="O28" s="85"/>
      <c r="S28" s="85"/>
      <c r="T28" s="85"/>
      <c r="U28" s="85"/>
      <c r="V28" s="85"/>
      <c r="W28" s="85"/>
      <c r="X28" s="85"/>
      <c r="AA28" s="85"/>
    </row>
    <row r="29" spans="1:34" x14ac:dyDescent="0.2">
      <c r="G29" s="82" t="s">
        <v>41</v>
      </c>
      <c r="H29" s="82" t="s">
        <v>41</v>
      </c>
      <c r="I29" s="82" t="s">
        <v>41</v>
      </c>
      <c r="J29" s="82" t="s">
        <v>41</v>
      </c>
    </row>
    <row r="30" spans="1:34" x14ac:dyDescent="0.2">
      <c r="A30" s="6"/>
      <c r="B30" s="6"/>
      <c r="C30" s="6"/>
      <c r="D30" s="6"/>
      <c r="E30" s="6"/>
      <c r="F30" s="6"/>
      <c r="G30" s="82" t="b">
        <v>0</v>
      </c>
      <c r="H30" s="82" t="b">
        <v>0</v>
      </c>
      <c r="I30" s="82" t="b">
        <v>0</v>
      </c>
      <c r="J30" s="82" t="b">
        <v>1</v>
      </c>
      <c r="M30" s="118" t="s">
        <v>49</v>
      </c>
      <c r="O30" s="82" t="b">
        <v>1</v>
      </c>
      <c r="P30" s="82" t="b">
        <v>1</v>
      </c>
      <c r="U30" s="140" t="s">
        <v>49</v>
      </c>
      <c r="V30" s="141" t="e">
        <f>Z9</f>
        <v>#NUM!</v>
      </c>
      <c r="W30" s="13" t="e">
        <f>Z18</f>
        <v>#NUM!</v>
      </c>
    </row>
    <row r="31" spans="1:34" x14ac:dyDescent="0.2">
      <c r="F31" s="59" t="s">
        <v>33</v>
      </c>
      <c r="G31" s="37">
        <f>_xll.ohFilter(I2:I3,J2:J3)</f>
        <v>0</v>
      </c>
      <c r="H31" s="38" t="e">
        <f>_xll.ohFilter(I6:I9,J6:J9)</f>
        <v>#NUM!</v>
      </c>
      <c r="I31" s="38" t="e">
        <f>_xll.ohFilter(I15:I18,J15:J18)</f>
        <v>#NUM!</v>
      </c>
      <c r="J31" s="39">
        <f>_xll.ohFilter(I25:I26,J25:J26)</f>
        <v>0</v>
      </c>
      <c r="M31" s="82" t="s">
        <v>46</v>
      </c>
      <c r="N31" s="81" t="e">
        <f>K4</f>
        <v>#NUM!</v>
      </c>
      <c r="O31" s="81" t="e">
        <f>K9</f>
        <v>#NUM!</v>
      </c>
      <c r="P31" s="81" t="e">
        <f>AVERAGE(K19:K21)</f>
        <v>#NUM!</v>
      </c>
      <c r="Q31" s="81" t="e">
        <f>K26</f>
        <v>#NUM!</v>
      </c>
      <c r="U31" s="142" t="s">
        <v>46</v>
      </c>
      <c r="V31" s="87" t="e">
        <f>Z10</f>
        <v>#NUM!</v>
      </c>
      <c r="W31" s="16" t="e">
        <f>Z19</f>
        <v>#NUM!</v>
      </c>
    </row>
    <row r="32" spans="1:34" x14ac:dyDescent="0.2">
      <c r="F32" s="59" t="s">
        <v>32</v>
      </c>
      <c r="G32" s="37" t="e">
        <f>IF(G31&lt;H31,G31,H31)</f>
        <v>#NUM!</v>
      </c>
      <c r="H32" s="38" t="e">
        <f>H31</f>
        <v>#NUM!</v>
      </c>
      <c r="I32" s="38" t="e">
        <f>IF(I31&lt;H31,H31,I31)</f>
        <v>#NUM!</v>
      </c>
      <c r="J32" s="39" t="e">
        <f>IF(J31&lt;I31,I31,J31)</f>
        <v>#NUM!</v>
      </c>
      <c r="M32" s="82" t="s">
        <v>45</v>
      </c>
      <c r="N32" s="81" t="e">
        <f>L4</f>
        <v>#NUM!</v>
      </c>
      <c r="O32" s="81" t="e">
        <f>L9</f>
        <v>#NUM!</v>
      </c>
      <c r="P32" s="81" t="e">
        <f>L18</f>
        <v>#NUM!</v>
      </c>
      <c r="Q32" s="81" t="e">
        <f>L26</f>
        <v>#NUM!</v>
      </c>
      <c r="U32" s="142" t="s">
        <v>45</v>
      </c>
      <c r="V32" s="87" t="e">
        <f>Z11</f>
        <v>#NUM!</v>
      </c>
      <c r="W32" s="16" t="e">
        <f>Z20</f>
        <v>#NUM!</v>
      </c>
    </row>
    <row r="33" spans="2:23" x14ac:dyDescent="0.2">
      <c r="B33" s="17" t="s">
        <v>26</v>
      </c>
      <c r="C33" s="18"/>
      <c r="D33" s="17" t="s">
        <v>11</v>
      </c>
      <c r="E33" s="18" t="s">
        <v>7</v>
      </c>
      <c r="F33" s="19" t="s">
        <v>6</v>
      </c>
      <c r="G33" s="17" t="s">
        <v>9</v>
      </c>
      <c r="H33" s="18" t="s">
        <v>3</v>
      </c>
      <c r="I33" s="18" t="s">
        <v>15</v>
      </c>
      <c r="J33" s="20" t="s">
        <v>24</v>
      </c>
      <c r="K33" s="17" t="s">
        <v>44</v>
      </c>
      <c r="L33" s="20" t="s">
        <v>37</v>
      </c>
      <c r="N33" s="17" t="s">
        <v>9</v>
      </c>
      <c r="O33" s="18" t="s">
        <v>3</v>
      </c>
      <c r="P33" s="18" t="s">
        <v>15</v>
      </c>
      <c r="Q33" s="20" t="s">
        <v>24</v>
      </c>
      <c r="U33" s="143"/>
      <c r="V33" s="18" t="s">
        <v>3</v>
      </c>
      <c r="W33" s="20" t="s">
        <v>15</v>
      </c>
    </row>
    <row r="34" spans="2:23" x14ac:dyDescent="0.2">
      <c r="B34" s="147" t="s">
        <v>56</v>
      </c>
      <c r="C34" s="7" t="e">
        <f>_xll.qlInstrumentSetPricingEngine(B34,OisEngine)</f>
        <v>#NUM!</v>
      </c>
      <c r="D34" s="21" t="s">
        <v>14</v>
      </c>
      <c r="E34" s="67">
        <f t="shared" ref="E34:E49" si="13">SettlementDate</f>
        <v>41661</v>
      </c>
      <c r="F34" s="22">
        <f>_xll.qlCalendarAdvance(Calendar,SettlementDate,D34,"Following")</f>
        <v>41662</v>
      </c>
      <c r="G34" s="32" t="e">
        <f t="shared" ref="G34:J38" si="14">$L34+IF(G$30,G$32,N34)</f>
        <v>#NUM!</v>
      </c>
      <c r="H34" s="32" t="e">
        <f t="shared" si="14"/>
        <v>#NUM!</v>
      </c>
      <c r="I34" s="32" t="e">
        <f t="shared" si="14"/>
        <v>#NUM!</v>
      </c>
      <c r="J34" s="32" t="e">
        <f t="shared" si="14"/>
        <v>#NUM!</v>
      </c>
      <c r="K34" s="148" t="e">
        <f>F34-$E$8</f>
        <v>#NUM!</v>
      </c>
      <c r="L34" s="2" t="e">
        <f>L35</f>
        <v>#NUM!</v>
      </c>
      <c r="N34" s="86" t="e">
        <f>N$31*$K34+N$32</f>
        <v>#NUM!</v>
      </c>
      <c r="O34" s="87" t="e">
        <f t="shared" ref="O34:P40" si="15">IF(O$30,V34,O$31*$K34+O$32)</f>
        <v>#NUM!</v>
      </c>
      <c r="P34" s="87" t="e">
        <f t="shared" si="15"/>
        <v>#NUM!</v>
      </c>
      <c r="Q34" s="16" t="e">
        <f t="shared" ref="Q34:Q49" si="16">Q$31*$K34+Q$32</f>
        <v>#NUM!</v>
      </c>
      <c r="U34" s="21" t="s">
        <v>14</v>
      </c>
      <c r="V34" s="87" t="e">
        <f t="shared" ref="V34:W40" si="17">$K34*$K34/3*V$30+$K34/2*V$31+V$32</f>
        <v>#NUM!</v>
      </c>
      <c r="W34" s="16" t="e">
        <f t="shared" si="17"/>
        <v>#NUM!</v>
      </c>
    </row>
    <row r="35" spans="2:23" x14ac:dyDescent="0.2">
      <c r="B35" s="29" t="str">
        <f>_xll.qlMakeDatedOIS(,E35,F35,OvernightIndex,0,,,,EvaluationDate)</f>
        <v>obj_0066d#0004</v>
      </c>
      <c r="C35" s="5" t="b">
        <f>_xll.qlInstrumentSetPricingEngine(B35,OisEngine)</f>
        <v>1</v>
      </c>
      <c r="D35" s="23" t="s">
        <v>4</v>
      </c>
      <c r="E35" s="69">
        <f t="shared" si="13"/>
        <v>41661</v>
      </c>
      <c r="F35" s="24">
        <f>_xll.qlCalendarAdvance(Calendar,SettlementDate,D35,"Following")</f>
        <v>41668</v>
      </c>
      <c r="G35" s="32" t="e">
        <f t="shared" si="14"/>
        <v>#NUM!</v>
      </c>
      <c r="H35" s="32" t="e">
        <f t="shared" si="14"/>
        <v>#NUM!</v>
      </c>
      <c r="I35" s="32" t="e">
        <f t="shared" si="14"/>
        <v>#NUM!</v>
      </c>
      <c r="J35" s="32" t="e">
        <f t="shared" si="14"/>
        <v>#NUM!</v>
      </c>
      <c r="K35" s="149" t="e">
        <f>F35-$E$8</f>
        <v>#NUM!</v>
      </c>
      <c r="L35" s="3" t="e">
        <f>_xll.qlOvernightIndexedSwapFairRate(B35,_xll.ohTrigger(C35,InterestRatesTrigger))</f>
        <v>#NUM!</v>
      </c>
      <c r="N35" s="86" t="e">
        <f>N$31*$K35+N$32</f>
        <v>#NUM!</v>
      </c>
      <c r="O35" s="87" t="e">
        <f t="shared" si="15"/>
        <v>#NUM!</v>
      </c>
      <c r="P35" s="87" t="e">
        <f t="shared" si="15"/>
        <v>#NUM!</v>
      </c>
      <c r="Q35" s="16" t="e">
        <f t="shared" si="16"/>
        <v>#NUM!</v>
      </c>
      <c r="U35" s="23" t="s">
        <v>4</v>
      </c>
      <c r="V35" s="87" t="e">
        <f t="shared" si="17"/>
        <v>#NUM!</v>
      </c>
      <c r="W35" s="16" t="e">
        <f t="shared" si="17"/>
        <v>#NUM!</v>
      </c>
    </row>
    <row r="36" spans="2:23" x14ac:dyDescent="0.2">
      <c r="B36" s="29" t="str">
        <f>_xll.qlMakeDatedOIS(,E36,F36,OvernightIndex,0,,,,EvaluationDate)</f>
        <v>obj_00664#0004</v>
      </c>
      <c r="C36" s="5" t="b">
        <f>_xll.qlInstrumentSetPricingEngine(B36,OisEngine)</f>
        <v>1</v>
      </c>
      <c r="D36" s="23" t="s">
        <v>5</v>
      </c>
      <c r="E36" s="69">
        <f t="shared" si="13"/>
        <v>41661</v>
      </c>
      <c r="F36" s="24">
        <f>_xll.qlCalendarAdvance(Calendar,SettlementDate,D36,"Following")</f>
        <v>41675</v>
      </c>
      <c r="G36" s="32" t="e">
        <f t="shared" si="14"/>
        <v>#NUM!</v>
      </c>
      <c r="H36" s="32" t="e">
        <f t="shared" si="14"/>
        <v>#NUM!</v>
      </c>
      <c r="I36" s="32" t="e">
        <f t="shared" si="14"/>
        <v>#NUM!</v>
      </c>
      <c r="J36" s="32" t="e">
        <f t="shared" si="14"/>
        <v>#NUM!</v>
      </c>
      <c r="K36" s="149" t="e">
        <f>F36-$E$8</f>
        <v>#NUM!</v>
      </c>
      <c r="L36" s="3" t="e">
        <f>_xll.qlOvernightIndexedSwapFairRate(B36,_xll.ohTrigger(C36,InterestRatesTrigger))</f>
        <v>#NUM!</v>
      </c>
      <c r="N36" s="86" t="e">
        <f>N$31*$K36+N$32</f>
        <v>#NUM!</v>
      </c>
      <c r="O36" s="87" t="e">
        <f t="shared" si="15"/>
        <v>#NUM!</v>
      </c>
      <c r="P36" s="87" t="e">
        <f t="shared" si="15"/>
        <v>#NUM!</v>
      </c>
      <c r="Q36" s="16" t="e">
        <f t="shared" si="16"/>
        <v>#NUM!</v>
      </c>
      <c r="U36" s="23" t="s">
        <v>5</v>
      </c>
      <c r="V36" s="87" t="e">
        <f t="shared" si="17"/>
        <v>#NUM!</v>
      </c>
      <c r="W36" s="16" t="e">
        <f t="shared" si="17"/>
        <v>#NUM!</v>
      </c>
    </row>
    <row r="37" spans="2:23" x14ac:dyDescent="0.2">
      <c r="B37" s="30" t="str">
        <f>_xll.qlMakeDatedOIS(,E37,F37,OvernightIndex,0,,,,EvaluationDate)</f>
        <v>obj_00671#0004</v>
      </c>
      <c r="C37" s="10" t="b">
        <f>_xll.qlInstrumentSetPricingEngine(B37,OisEngine)</f>
        <v>1</v>
      </c>
      <c r="D37" s="31" t="s">
        <v>8</v>
      </c>
      <c r="E37" s="68">
        <f t="shared" si="13"/>
        <v>41661</v>
      </c>
      <c r="F37" s="26">
        <f>_xll.qlCalendarAdvance(Calendar,SettlementDate,D37,"Following")</f>
        <v>41682</v>
      </c>
      <c r="G37" s="35" t="e">
        <f t="shared" si="14"/>
        <v>#NUM!</v>
      </c>
      <c r="H37" s="35" t="e">
        <f t="shared" si="14"/>
        <v>#NUM!</v>
      </c>
      <c r="I37" s="35" t="e">
        <f t="shared" si="14"/>
        <v>#NUM!</v>
      </c>
      <c r="J37" s="35" t="e">
        <f t="shared" si="14"/>
        <v>#NUM!</v>
      </c>
      <c r="K37" s="150" t="e">
        <f>F37-$E$8</f>
        <v>#NUM!</v>
      </c>
      <c r="L37" s="4" t="e">
        <f>_xll.qlOvernightIndexedSwapFairRate(B37,_xll.ohTrigger(C37,InterestRatesTrigger))</f>
        <v>#NUM!</v>
      </c>
      <c r="N37" s="116" t="e">
        <f>N$31*$K37+N$32</f>
        <v>#NUM!</v>
      </c>
      <c r="O37" s="117" t="e">
        <f t="shared" si="15"/>
        <v>#NUM!</v>
      </c>
      <c r="P37" s="117" t="e">
        <f t="shared" si="15"/>
        <v>#NUM!</v>
      </c>
      <c r="Q37" s="14" t="e">
        <f t="shared" si="16"/>
        <v>#NUM!</v>
      </c>
      <c r="U37" s="31" t="s">
        <v>8</v>
      </c>
      <c r="V37" s="117" t="e">
        <f t="shared" si="17"/>
        <v>#NUM!</v>
      </c>
      <c r="W37" s="14" t="e">
        <f t="shared" si="17"/>
        <v>#NUM!</v>
      </c>
    </row>
    <row r="38" spans="2:23" x14ac:dyDescent="0.2">
      <c r="B38" s="29" t="str">
        <f>_xll.qlMakeDatedOIS(,E38,F38,OvernightIndex,0,,,,EvaluationDate)</f>
        <v>obj_0066a#0004</v>
      </c>
      <c r="C38" s="5" t="b">
        <f>_xll.qlInstrumentSetPricingEngine(B38,OisEngine)</f>
        <v>1</v>
      </c>
      <c r="D38" s="23" t="s">
        <v>9</v>
      </c>
      <c r="E38" s="69">
        <f t="shared" si="13"/>
        <v>41661</v>
      </c>
      <c r="F38" s="24">
        <f>_xll.qlCalendarAdvance(Calendar,SettlementDate,D38,"mf",TRUE)</f>
        <v>41694</v>
      </c>
      <c r="G38" s="34" t="e">
        <f t="shared" si="14"/>
        <v>#NUM!</v>
      </c>
      <c r="H38" s="34" t="e">
        <f t="shared" si="14"/>
        <v>#NUM!</v>
      </c>
      <c r="I38" s="34" t="e">
        <f t="shared" si="14"/>
        <v>#NUM!</v>
      </c>
      <c r="J38" s="34" t="e">
        <f t="shared" si="14"/>
        <v>#NUM!</v>
      </c>
      <c r="K38" s="148" t="e">
        <f t="shared" ref="K38:K49" si="18">F38-$E$8</f>
        <v>#NUM!</v>
      </c>
      <c r="L38" s="3" t="e">
        <f>_xll.qlOvernightIndexedSwapFairRate(B38,_xll.ohTrigger(C38,InterestRatesTrigger))</f>
        <v>#NUM!</v>
      </c>
      <c r="N38" s="86" t="e">
        <f>N$31*$K38+N$32</f>
        <v>#NUM!</v>
      </c>
      <c r="O38" s="87" t="e">
        <f t="shared" si="15"/>
        <v>#NUM!</v>
      </c>
      <c r="P38" s="87" t="e">
        <f t="shared" si="15"/>
        <v>#NUM!</v>
      </c>
      <c r="Q38" s="16" t="e">
        <f t="shared" si="16"/>
        <v>#NUM!</v>
      </c>
      <c r="U38" s="23" t="s">
        <v>9</v>
      </c>
      <c r="V38" s="87" t="e">
        <f t="shared" si="17"/>
        <v>#NUM!</v>
      </c>
      <c r="W38" s="16" t="e">
        <f t="shared" si="17"/>
        <v>#NUM!</v>
      </c>
    </row>
    <row r="39" spans="2:23" x14ac:dyDescent="0.2">
      <c r="B39" s="29" t="str">
        <f>_xll.qlMakeDatedOIS(,E39,F39,OvernightIndex,0,,,,EvaluationDate)</f>
        <v>obj_0066f#0004</v>
      </c>
      <c r="C39" s="5" t="b">
        <f>_xll.qlInstrumentSetPricingEngine(B39,OisEngine)</f>
        <v>1</v>
      </c>
      <c r="D39" s="23" t="s">
        <v>10</v>
      </c>
      <c r="E39" s="69">
        <f t="shared" si="13"/>
        <v>41661</v>
      </c>
      <c r="F39" s="24">
        <f>_xll.qlCalendarAdvance(Calendar,SettlementDate,D39,"mf",TRUE)</f>
        <v>41722</v>
      </c>
      <c r="G39" s="63"/>
      <c r="H39" s="32" t="e">
        <f t="shared" ref="H39:J40" si="19">$L39+IF(H$30,H$32,O39)</f>
        <v>#NUM!</v>
      </c>
      <c r="I39" s="32" t="e">
        <f t="shared" si="19"/>
        <v>#NUM!</v>
      </c>
      <c r="J39" s="32" t="e">
        <f t="shared" si="19"/>
        <v>#NUM!</v>
      </c>
      <c r="K39" s="149" t="e">
        <f t="shared" si="18"/>
        <v>#NUM!</v>
      </c>
      <c r="L39" s="3" t="e">
        <f>_xll.qlOvernightIndexedSwapFairRate(B39,_xll.ohTrigger(C39,InterestRatesTrigger))</f>
        <v>#NUM!</v>
      </c>
      <c r="N39" s="63"/>
      <c r="O39" s="87" t="e">
        <f t="shared" si="15"/>
        <v>#NUM!</v>
      </c>
      <c r="P39" s="87" t="e">
        <f t="shared" si="15"/>
        <v>#NUM!</v>
      </c>
      <c r="Q39" s="16" t="e">
        <f t="shared" si="16"/>
        <v>#NUM!</v>
      </c>
      <c r="U39" s="23" t="s">
        <v>10</v>
      </c>
      <c r="V39" s="87" t="e">
        <f t="shared" si="17"/>
        <v>#NUM!</v>
      </c>
      <c r="W39" s="16" t="e">
        <f t="shared" si="17"/>
        <v>#NUM!</v>
      </c>
    </row>
    <row r="40" spans="2:23" x14ac:dyDescent="0.2">
      <c r="B40" s="29" t="str">
        <f>_xll.qlMakeDatedOIS(,E40,F40,OvernightIndex,0,,,,EvaluationDate)</f>
        <v>obj_00665#0004</v>
      </c>
      <c r="C40" s="5" t="b">
        <f>_xll.qlInstrumentSetPricingEngine(B40,OisEngine)</f>
        <v>1</v>
      </c>
      <c r="D40" s="23" t="s">
        <v>3</v>
      </c>
      <c r="E40" s="69">
        <f t="shared" si="13"/>
        <v>41661</v>
      </c>
      <c r="F40" s="24">
        <f>_xll.qlCalendarAdvance(Calendar,SettlementDate,D40,"mf",TRUE)</f>
        <v>41751</v>
      </c>
      <c r="G40" s="61"/>
      <c r="H40" s="32" t="e">
        <f t="shared" si="19"/>
        <v>#NUM!</v>
      </c>
      <c r="I40" s="32" t="e">
        <f t="shared" si="19"/>
        <v>#NUM!</v>
      </c>
      <c r="J40" s="32" t="e">
        <f t="shared" si="19"/>
        <v>#NUM!</v>
      </c>
      <c r="K40" s="149" t="e">
        <f t="shared" si="18"/>
        <v>#NUM!</v>
      </c>
      <c r="L40" s="3" t="e">
        <f>_xll.qlOvernightIndexedSwapFairRate(B40,_xll.ohTrigger(C40,InterestRatesTrigger))</f>
        <v>#NUM!</v>
      </c>
      <c r="N40" s="61"/>
      <c r="O40" s="87" t="e">
        <f t="shared" si="15"/>
        <v>#NUM!</v>
      </c>
      <c r="P40" s="87" t="e">
        <f t="shared" si="15"/>
        <v>#NUM!</v>
      </c>
      <c r="Q40" s="16" t="e">
        <f t="shared" si="16"/>
        <v>#NUM!</v>
      </c>
      <c r="U40" s="23" t="s">
        <v>3</v>
      </c>
      <c r="V40" s="87" t="e">
        <f t="shared" si="17"/>
        <v>#NUM!</v>
      </c>
      <c r="W40" s="16" t="e">
        <f t="shared" si="17"/>
        <v>#NUM!</v>
      </c>
    </row>
    <row r="41" spans="2:23" x14ac:dyDescent="0.2">
      <c r="B41" s="29" t="str">
        <f>_xll.qlMakeDatedOIS(,E41,F41,OvernightIndex,0,,,,EvaluationDate)</f>
        <v>obj_0066e#0004</v>
      </c>
      <c r="C41" s="5" t="b">
        <f>_xll.qlInstrumentSetPricingEngine(B41,OisEngine)</f>
        <v>1</v>
      </c>
      <c r="D41" s="23" t="s">
        <v>12</v>
      </c>
      <c r="E41" s="69">
        <f t="shared" si="13"/>
        <v>41661</v>
      </c>
      <c r="F41" s="24">
        <f>_xll.qlCalendarAdvance(Calendar,SettlementDate,D41,"mf",TRUE)</f>
        <v>41781</v>
      </c>
      <c r="G41" s="36"/>
      <c r="H41" s="62"/>
      <c r="I41" s="32" t="e">
        <f t="shared" ref="I41:J43" si="20">$L41+IF(I$30,I$32,P41)</f>
        <v>#NUM!</v>
      </c>
      <c r="J41" s="32" t="e">
        <f t="shared" si="20"/>
        <v>#NUM!</v>
      </c>
      <c r="K41" s="149" t="e">
        <f t="shared" si="18"/>
        <v>#NUM!</v>
      </c>
      <c r="L41" s="3" t="e">
        <f>_xll.qlOvernightIndexedSwapFairRate(B41,_xll.ohTrigger(C41,InterestRatesTrigger))</f>
        <v>#NUM!</v>
      </c>
      <c r="N41" s="36"/>
      <c r="O41" s="62"/>
      <c r="P41" s="87" t="e">
        <f>IF(P$30,W41,P$31*$K41+P$32)</f>
        <v>#NUM!</v>
      </c>
      <c r="Q41" s="16" t="e">
        <f t="shared" si="16"/>
        <v>#NUM!</v>
      </c>
      <c r="U41" s="23" t="s">
        <v>12</v>
      </c>
      <c r="V41" s="87"/>
      <c r="W41" s="16" t="e">
        <f>$K41*$K41/3*W$30+$K41/2*W$31+W$32</f>
        <v>#NUM!</v>
      </c>
    </row>
    <row r="42" spans="2:23" x14ac:dyDescent="0.2">
      <c r="B42" s="29" t="str">
        <f>_xll.qlMakeDatedOIS(,E42,F42,OvernightIndex,0,,,,EvaluationDate)</f>
        <v>obj_00668#0004</v>
      </c>
      <c r="C42" s="5" t="b">
        <f>_xll.qlInstrumentSetPricingEngine(B42,OisEngine)</f>
        <v>1</v>
      </c>
      <c r="D42" s="23" t="s">
        <v>13</v>
      </c>
      <c r="E42" s="69">
        <f t="shared" si="13"/>
        <v>41661</v>
      </c>
      <c r="F42" s="24">
        <f>_xll.qlCalendarAdvance(Calendar,SettlementDate,D42,"mf",TRUE)</f>
        <v>41813</v>
      </c>
      <c r="G42" s="36"/>
      <c r="H42" s="60"/>
      <c r="I42" s="32" t="e">
        <f t="shared" si="20"/>
        <v>#NUM!</v>
      </c>
      <c r="J42" s="32" t="e">
        <f t="shared" si="20"/>
        <v>#NUM!</v>
      </c>
      <c r="K42" s="149" t="e">
        <f t="shared" si="18"/>
        <v>#NUM!</v>
      </c>
      <c r="L42" s="3" t="e">
        <f>_xll.qlOvernightIndexedSwapFairRate(B42,_xll.ohTrigger(C42,InterestRatesTrigger))</f>
        <v>#NUM!</v>
      </c>
      <c r="N42" s="36"/>
      <c r="O42" s="60"/>
      <c r="P42" s="87" t="e">
        <f>IF(P$30,W42,P$31*$K42+P$32)</f>
        <v>#NUM!</v>
      </c>
      <c r="Q42" s="16" t="e">
        <f t="shared" si="16"/>
        <v>#NUM!</v>
      </c>
      <c r="U42" s="23" t="s">
        <v>13</v>
      </c>
      <c r="V42" s="87"/>
      <c r="W42" s="16" t="e">
        <f>$K42*$K42/3*W$30+$K42/2*W$31+W$32</f>
        <v>#NUM!</v>
      </c>
    </row>
    <row r="43" spans="2:23" x14ac:dyDescent="0.2">
      <c r="B43" s="29" t="str">
        <f>_xll.qlMakeDatedOIS(,E43,F43,OvernightIndex,0,,,,EvaluationDate)</f>
        <v>obj_00667#0004</v>
      </c>
      <c r="C43" s="5" t="b">
        <f>_xll.qlInstrumentSetPricingEngine(B43,OisEngine)</f>
        <v>1</v>
      </c>
      <c r="D43" s="25" t="s">
        <v>15</v>
      </c>
      <c r="E43" s="69">
        <f t="shared" si="13"/>
        <v>41661</v>
      </c>
      <c r="F43" s="24">
        <f>_xll.qlCalendarAdvance(Calendar,SettlementDate,D43,"mf",TRUE)</f>
        <v>41842</v>
      </c>
      <c r="G43" s="36"/>
      <c r="H43" s="60"/>
      <c r="I43" s="32" t="e">
        <f t="shared" si="20"/>
        <v>#NUM!</v>
      </c>
      <c r="J43" s="32" t="e">
        <f t="shared" si="20"/>
        <v>#NUM!</v>
      </c>
      <c r="K43" s="149" t="e">
        <f t="shared" si="18"/>
        <v>#NUM!</v>
      </c>
      <c r="L43" s="3" t="e">
        <f>_xll.qlOvernightIndexedSwapFairRate(B43,_xll.ohTrigger(C43,InterestRatesTrigger))</f>
        <v>#NUM!</v>
      </c>
      <c r="N43" s="36"/>
      <c r="O43" s="60"/>
      <c r="P43" s="87" t="e">
        <f>IF(P$30,W43,P$31*$K43+P$32)</f>
        <v>#NUM!</v>
      </c>
      <c r="Q43" s="16" t="e">
        <f t="shared" si="16"/>
        <v>#NUM!</v>
      </c>
      <c r="U43" s="144" t="s">
        <v>15</v>
      </c>
      <c r="V43" s="117"/>
      <c r="W43" s="14" t="e">
        <f>$K43*$K43/3*W$30+$K43/2*W$31+W$32</f>
        <v>#NUM!</v>
      </c>
    </row>
    <row r="44" spans="2:23" x14ac:dyDescent="0.2">
      <c r="B44" s="29" t="str">
        <f>_xll.qlMakeDatedOIS(,E44,F44,OvernightIndex,0,,,,EvaluationDate)</f>
        <v>obj_00669#0004</v>
      </c>
      <c r="C44" s="5" t="b">
        <f>_xll.qlInstrumentSetPricingEngine(B44,OisEngine)</f>
        <v>1</v>
      </c>
      <c r="D44" s="25" t="s">
        <v>18</v>
      </c>
      <c r="E44" s="69">
        <f t="shared" si="13"/>
        <v>41661</v>
      </c>
      <c r="F44" s="24">
        <f>_xll.qlCalendarAdvance(Calendar,SettlementDate,D44,"mf",TRUE)</f>
        <v>41873</v>
      </c>
      <c r="G44" s="36"/>
      <c r="H44" s="33"/>
      <c r="I44" s="62"/>
      <c r="J44" s="32" t="e">
        <f t="shared" ref="J44:J49" si="21">$L44+IF(J$30,J$32,Q44)</f>
        <v>#NUM!</v>
      </c>
      <c r="K44" s="149" t="e">
        <f t="shared" si="18"/>
        <v>#NUM!</v>
      </c>
      <c r="L44" s="3" t="e">
        <f>_xll.qlOvernightIndexedSwapFairRate(B44,_xll.ohTrigger(C44,InterestRatesTrigger))</f>
        <v>#NUM!</v>
      </c>
      <c r="N44" s="36"/>
      <c r="O44" s="33"/>
      <c r="P44" s="62"/>
      <c r="Q44" s="16" t="e">
        <f t="shared" si="16"/>
        <v>#NUM!</v>
      </c>
    </row>
    <row r="45" spans="2:23" x14ac:dyDescent="0.2">
      <c r="B45" s="29" t="str">
        <f>_xll.qlMakeDatedOIS(,E45,F45,OvernightIndex,0,,,,EvaluationDate)</f>
        <v>obj_00670#0004</v>
      </c>
      <c r="C45" s="5" t="b">
        <f>_xll.qlInstrumentSetPricingEngine(B45,OisEngine)</f>
        <v>1</v>
      </c>
      <c r="D45" s="25" t="s">
        <v>19</v>
      </c>
      <c r="E45" s="69">
        <f t="shared" si="13"/>
        <v>41661</v>
      </c>
      <c r="F45" s="24">
        <f>_xll.qlCalendarAdvance(Calendar,SettlementDate,D45,"mf",TRUE)</f>
        <v>41904</v>
      </c>
      <c r="G45" s="36"/>
      <c r="H45" s="33"/>
      <c r="I45" s="60"/>
      <c r="J45" s="32" t="e">
        <f t="shared" si="21"/>
        <v>#NUM!</v>
      </c>
      <c r="K45" s="149" t="e">
        <f t="shared" si="18"/>
        <v>#NUM!</v>
      </c>
      <c r="L45" s="3" t="e">
        <f>_xll.qlOvernightIndexedSwapFairRate(B45,_xll.ohTrigger(C45,InterestRatesTrigger))</f>
        <v>#NUM!</v>
      </c>
      <c r="N45" s="36"/>
      <c r="O45" s="33"/>
      <c r="P45" s="60"/>
      <c r="Q45" s="16" t="e">
        <f t="shared" si="16"/>
        <v>#NUM!</v>
      </c>
    </row>
    <row r="46" spans="2:23" x14ac:dyDescent="0.2">
      <c r="B46" s="29" t="str">
        <f>_xll.qlMakeDatedOIS(,E46,F46,OvernightIndex,0,,,,EvaluationDate)</f>
        <v>obj_0066b#0004</v>
      </c>
      <c r="C46" s="5" t="b">
        <f>_xll.qlInstrumentSetPricingEngine(B46,OisEngine)</f>
        <v>1</v>
      </c>
      <c r="D46" s="25" t="s">
        <v>20</v>
      </c>
      <c r="E46" s="69">
        <f t="shared" si="13"/>
        <v>41661</v>
      </c>
      <c r="F46" s="24">
        <f>_xll.qlCalendarAdvance(Calendar,SettlementDate,D46,"mf",TRUE)</f>
        <v>41934</v>
      </c>
      <c r="G46" s="36"/>
      <c r="H46" s="33"/>
      <c r="I46" s="60"/>
      <c r="J46" s="32" t="e">
        <f t="shared" si="21"/>
        <v>#NUM!</v>
      </c>
      <c r="K46" s="149" t="e">
        <f t="shared" si="18"/>
        <v>#NUM!</v>
      </c>
      <c r="L46" s="3" t="e">
        <f>_xll.qlOvernightIndexedSwapFairRate(B46,_xll.ohTrigger(C46,InterestRatesTrigger))</f>
        <v>#NUM!</v>
      </c>
      <c r="N46" s="36"/>
      <c r="O46" s="33"/>
      <c r="P46" s="60"/>
      <c r="Q46" s="16" t="e">
        <f t="shared" si="16"/>
        <v>#NUM!</v>
      </c>
    </row>
    <row r="47" spans="2:23" x14ac:dyDescent="0.2">
      <c r="B47" s="29" t="str">
        <f>_xll.qlMakeDatedOIS(,E47,F47,OvernightIndex,0,,,,EvaluationDate)</f>
        <v>obj_0066c#0004</v>
      </c>
      <c r="C47" s="5" t="b">
        <f>_xll.qlInstrumentSetPricingEngine(B47,OisEngine)</f>
        <v>1</v>
      </c>
      <c r="D47" s="25" t="s">
        <v>21</v>
      </c>
      <c r="E47" s="69">
        <f t="shared" si="13"/>
        <v>41661</v>
      </c>
      <c r="F47" s="24">
        <f>_xll.qlCalendarAdvance(Calendar,SettlementDate,D47,"mf",TRUE)</f>
        <v>41967</v>
      </c>
      <c r="G47" s="36"/>
      <c r="H47" s="33"/>
      <c r="I47" s="60"/>
      <c r="J47" s="32" t="e">
        <f t="shared" si="21"/>
        <v>#NUM!</v>
      </c>
      <c r="K47" s="149" t="e">
        <f t="shared" si="18"/>
        <v>#NUM!</v>
      </c>
      <c r="L47" s="3" t="e">
        <f>_xll.qlOvernightIndexedSwapFairRate(B47,_xll.ohTrigger(C47,InterestRatesTrigger))</f>
        <v>#NUM!</v>
      </c>
      <c r="N47" s="36"/>
      <c r="O47" s="33"/>
      <c r="P47" s="60"/>
      <c r="Q47" s="16" t="e">
        <f t="shared" si="16"/>
        <v>#NUM!</v>
      </c>
    </row>
    <row r="48" spans="2:23" x14ac:dyDescent="0.2">
      <c r="B48" s="29" t="str">
        <f>_xll.qlMakeDatedOIS(,E48,F48,OvernightIndex,0,,,,EvaluationDate)</f>
        <v>obj_00666#0004</v>
      </c>
      <c r="C48" s="5" t="b">
        <f>_xll.qlInstrumentSetPricingEngine(B48,OisEngine)</f>
        <v>1</v>
      </c>
      <c r="D48" s="25" t="s">
        <v>22</v>
      </c>
      <c r="E48" s="69">
        <f t="shared" si="13"/>
        <v>41661</v>
      </c>
      <c r="F48" s="24">
        <f>_xll.qlCalendarAdvance(Calendar,SettlementDate,D48,"mf",TRUE)</f>
        <v>41995</v>
      </c>
      <c r="G48" s="36"/>
      <c r="H48" s="33"/>
      <c r="I48" s="60"/>
      <c r="J48" s="32" t="e">
        <f t="shared" si="21"/>
        <v>#NUM!</v>
      </c>
      <c r="K48" s="149" t="e">
        <f t="shared" si="18"/>
        <v>#NUM!</v>
      </c>
      <c r="L48" s="3" t="e">
        <f>_xll.qlOvernightIndexedSwapFairRate(B48,_xll.ohTrigger(C48,InterestRatesTrigger))</f>
        <v>#NUM!</v>
      </c>
      <c r="N48" s="36"/>
      <c r="O48" s="33"/>
      <c r="P48" s="60"/>
      <c r="Q48" s="16" t="e">
        <f t="shared" si="16"/>
        <v>#NUM!</v>
      </c>
    </row>
    <row r="49" spans="2:17" x14ac:dyDescent="0.2">
      <c r="B49" s="30" t="str">
        <f>_xll.qlMakeDatedOIS(,E49,F49,OvernightIndex,0,,,,EvaluationDate)</f>
        <v>obj_00672#0004</v>
      </c>
      <c r="C49" s="10" t="b">
        <f>_xll.qlInstrumentSetPricingEngine(B49,OisEngine)</f>
        <v>1</v>
      </c>
      <c r="D49" s="25" t="s">
        <v>23</v>
      </c>
      <c r="E49" s="69">
        <f t="shared" si="13"/>
        <v>41661</v>
      </c>
      <c r="F49" s="24">
        <f>_xll.qlCalendarAdvance(Calendar,SettlementDate,D49,"mf",TRUE)</f>
        <v>42026</v>
      </c>
      <c r="G49" s="36"/>
      <c r="H49" s="33"/>
      <c r="I49" s="60"/>
      <c r="J49" s="32" t="e">
        <f t="shared" si="21"/>
        <v>#NUM!</v>
      </c>
      <c r="K49" s="149" t="e">
        <f t="shared" si="18"/>
        <v>#NUM!</v>
      </c>
      <c r="L49" s="3" t="e">
        <f>_xll.qlOvernightIndexedSwapFairRate(B49,_xll.ohTrigger(C49,InterestRatesTrigger))</f>
        <v>#NUM!</v>
      </c>
      <c r="N49" s="88"/>
      <c r="O49" s="89"/>
      <c r="P49" s="90"/>
      <c r="Q49" s="14" t="e">
        <f t="shared" si="16"/>
        <v>#NUM!</v>
      </c>
    </row>
    <row r="50" spans="2:17" x14ac:dyDescent="0.2">
      <c r="D50" s="7"/>
      <c r="E50" s="7"/>
      <c r="F50" s="7"/>
      <c r="G50" s="7"/>
      <c r="H50" s="7"/>
      <c r="I50" s="7"/>
      <c r="J50" s="7"/>
      <c r="K50" s="7"/>
      <c r="L50" s="7"/>
    </row>
  </sheetData>
  <phoneticPr fontId="1" type="noConversion"/>
  <dataValidations count="1">
    <dataValidation type="list" allowBlank="1" showInputMessage="1" showErrorMessage="1" sqref="G30:J30 O30:P30">
      <formula1>"TRUE,FALSE"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General Settings</vt:lpstr>
      <vt:lpstr>Triggers</vt:lpstr>
      <vt:lpstr>Calculation</vt:lpstr>
      <vt:lpstr>AllTriggers</vt:lpstr>
      <vt:lpstr>Calendar</vt:lpstr>
      <vt:lpstr>Currency</vt:lpstr>
      <vt:lpstr>DayCounter</vt:lpstr>
      <vt:lpstr>EvaluationDate</vt:lpstr>
      <vt:lpstr>IborType</vt:lpstr>
      <vt:lpstr>InterestRatesTrigger</vt:lpstr>
      <vt:lpstr>LastDayInNextYear</vt:lpstr>
      <vt:lpstr>LastDayInYear</vt:lpstr>
      <vt:lpstr>LastFixingsTrigger</vt:lpstr>
      <vt:lpstr>LastUpdate</vt:lpstr>
      <vt:lpstr>LiveDataFeed</vt:lpstr>
      <vt:lpstr>OisCurve</vt:lpstr>
      <vt:lpstr>OisEngine</vt:lpstr>
      <vt:lpstr>OvernightIndex</vt:lpstr>
      <vt:lpstr>SettlementDate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erik</cp:lastModifiedBy>
  <cp:lastPrinted>2008-10-02T09:42:40Z</cp:lastPrinted>
  <dcterms:created xsi:type="dcterms:W3CDTF">2007-10-30T15:41:10Z</dcterms:created>
  <dcterms:modified xsi:type="dcterms:W3CDTF">2014-02-12T16:15:38Z</dcterms:modified>
</cp:coreProperties>
</file>
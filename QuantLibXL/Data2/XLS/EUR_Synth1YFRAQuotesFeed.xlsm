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270" windowWidth="18780" windowHeight="12525"/>
  </bookViews>
  <sheets>
    <sheet name="General Settings" sheetId="3" r:id="rId1"/>
    <sheet name="Triggers" sheetId="7" r:id="rId2"/>
    <sheet name="RateHelpers" sheetId="2" r:id="rId3"/>
    <sheet name="Calculation" sheetId="4" r:id="rId4"/>
  </sheets>
  <definedNames>
    <definedName name="Accuracy">'General Settings'!$D$16</definedName>
    <definedName name="BasisInterpolation">'General Settings'!$D$23</definedName>
    <definedName name="BasisInterpolator">'General Settings'!$D$24</definedName>
    <definedName name="Calendar">'General Settings'!$D$14</definedName>
    <definedName name="Currency">'General Settings'!$D$4</definedName>
    <definedName name="DayCounter">'General Settings'!$D$15</definedName>
    <definedName name="DiscountingCurve">'General Settings'!$D$7</definedName>
    <definedName name="EvaluationDate">Triggers!$C$2</definedName>
    <definedName name="IborIndex">'General Settings'!$D$22</definedName>
    <definedName name="IborTenor">'General Settings'!$D$6</definedName>
    <definedName name="IborType">'General Settings'!$D$5</definedName>
    <definedName name="InterestRatesTrigger">Triggers!$C$4</definedName>
    <definedName name="InterpolatorID">'General Settings'!$D$18</definedName>
    <definedName name="LastUpdate">'General Settings'!$E$30</definedName>
    <definedName name="LiveDataFeed">'General Settings'!$E$33</definedName>
    <definedName name="MinDistance">RateHelpers!$J$2:$J$6</definedName>
    <definedName name="NDays">'General Settings'!$D$13</definedName>
    <definedName name="OvernightIndex">'General Settings'!$D$8</definedName>
    <definedName name="_xlnm.Print_Area" localSheetId="3">Calculation!$A$2:$E$51</definedName>
    <definedName name="RateHelpers">RateHelpers!$F$2:$F$6</definedName>
    <definedName name="RateHelpersIncluded">RateHelpers!$H$2:$H$6</definedName>
    <definedName name="RateHelpersPriority">RateHelpers!$I$2:$I$6</definedName>
    <definedName name="SettlementDate">'General Settings'!#REF!</definedName>
    <definedName name="TraitsID">'General Settings'!$D$17</definedName>
    <definedName name="TriggerCounter">'General Settings'!$D$9</definedName>
    <definedName name="YieldCurve">'General Settings'!$D$11</definedName>
  </definedNames>
  <calcPr calcId="145621"/>
</workbook>
</file>

<file path=xl/calcChain.xml><?xml version="1.0" encoding="utf-8"?>
<calcChain xmlns="http://schemas.openxmlformats.org/spreadsheetml/2006/main">
  <c r="D16" i="3" l="1"/>
  <c r="C2" i="7"/>
  <c r="O2" i="4"/>
  <c r="O5" i="4"/>
  <c r="O4" i="4"/>
  <c r="B1" i="3"/>
  <c r="O6" i="4"/>
  <c r="O3" i="4"/>
  <c r="D8" i="3"/>
  <c r="F10" i="2"/>
  <c r="F5" i="2"/>
  <c r="F2" i="2"/>
  <c r="F4" i="2"/>
  <c r="K4" i="2"/>
  <c r="F3" i="2"/>
  <c r="K3" i="2"/>
  <c r="F6" i="2"/>
  <c r="K5" i="2"/>
  <c r="L5" i="2"/>
  <c r="G5" i="2"/>
  <c r="K2" i="2"/>
  <c r="L2" i="2"/>
  <c r="G2" i="2"/>
  <c r="G4" i="2"/>
  <c r="L4" i="2"/>
  <c r="L3" i="2"/>
  <c r="G3" i="2"/>
  <c r="G6" i="2"/>
  <c r="K6" i="2"/>
  <c r="L6" i="2"/>
  <c r="A7" i="4" l="1"/>
  <c r="A4" i="4"/>
  <c r="A5" i="4"/>
  <c r="A3" i="4"/>
  <c r="A6" i="4"/>
  <c r="D5" i="4"/>
  <c r="C7" i="4"/>
  <c r="B3" i="4"/>
  <c r="D7" i="4"/>
  <c r="D3" i="4"/>
  <c r="B4" i="4"/>
  <c r="D11" i="3"/>
  <c r="C26" i="3"/>
  <c r="D4" i="4"/>
  <c r="C3" i="4"/>
  <c r="C4" i="4"/>
  <c r="B6" i="4"/>
  <c r="B5" i="4"/>
  <c r="D6" i="4"/>
  <c r="C5" i="4"/>
  <c r="C6" i="4"/>
  <c r="B7" i="4"/>
  <c r="D20" i="3"/>
  <c r="D12" i="3"/>
  <c r="E2" i="4" a="1"/>
  <c r="D2" i="4" l="1"/>
  <c r="E3" i="4"/>
  <c r="E98" i="4"/>
  <c r="E118" i="4"/>
  <c r="E22" i="4"/>
  <c r="E106" i="4"/>
  <c r="E62" i="4"/>
  <c r="E49" i="4"/>
  <c r="E86" i="4"/>
  <c r="E21" i="4"/>
  <c r="E10" i="4"/>
  <c r="E123" i="4"/>
  <c r="E71" i="4"/>
  <c r="E68" i="4"/>
  <c r="E73" i="4"/>
  <c r="E65" i="4"/>
  <c r="E36" i="4"/>
  <c r="E125" i="4"/>
  <c r="E75" i="4"/>
  <c r="E87" i="4"/>
  <c r="E122" i="4"/>
  <c r="E2" i="4"/>
  <c r="E97" i="4"/>
  <c r="E28" i="4"/>
  <c r="E23" i="4"/>
  <c r="E31" i="4"/>
  <c r="E90" i="4"/>
  <c r="E67" i="4"/>
  <c r="E107" i="4"/>
  <c r="E76" i="4"/>
  <c r="E13" i="4"/>
  <c r="E45" i="4"/>
  <c r="E94" i="4"/>
  <c r="E25" i="4"/>
  <c r="E84" i="4"/>
  <c r="E112" i="4"/>
  <c r="E30" i="4"/>
  <c r="E117" i="4"/>
  <c r="E89" i="4"/>
  <c r="E57" i="4"/>
  <c r="E43" i="4"/>
  <c r="E8" i="4"/>
  <c r="E54" i="4"/>
  <c r="E58" i="4"/>
  <c r="E104" i="4"/>
  <c r="E48" i="4"/>
  <c r="E53" i="4"/>
  <c r="E46" i="4"/>
  <c r="E20" i="4"/>
  <c r="E26" i="4"/>
  <c r="E44" i="4"/>
  <c r="E78" i="4"/>
  <c r="E79" i="4"/>
  <c r="E69" i="4"/>
  <c r="E95" i="4"/>
  <c r="E59" i="4"/>
  <c r="E39" i="4"/>
  <c r="E50" i="4"/>
  <c r="E60" i="4"/>
  <c r="E40" i="4"/>
  <c r="E109" i="4"/>
  <c r="E11" i="4"/>
  <c r="E81" i="4"/>
  <c r="E126" i="4"/>
  <c r="E82" i="4"/>
  <c r="E66" i="4"/>
  <c r="E9" i="4"/>
  <c r="E105" i="4"/>
  <c r="E55" i="4"/>
  <c r="E18" i="4"/>
  <c r="E88" i="4"/>
  <c r="E119" i="4"/>
  <c r="E115" i="4"/>
  <c r="E61" i="4"/>
  <c r="E33" i="4"/>
  <c r="E99" i="4"/>
  <c r="E56" i="4"/>
  <c r="E83" i="4"/>
  <c r="E27" i="4"/>
  <c r="E91" i="4"/>
  <c r="E52" i="4"/>
  <c r="E77" i="4"/>
  <c r="E127" i="4"/>
  <c r="E108" i="4"/>
  <c r="E74" i="4"/>
  <c r="E29" i="4"/>
  <c r="E6" i="4"/>
  <c r="E38" i="4"/>
  <c r="E102" i="4"/>
  <c r="E17" i="4"/>
  <c r="E51" i="4"/>
  <c r="E80" i="4"/>
  <c r="E14" i="4"/>
  <c r="E5" i="4"/>
  <c r="E63" i="4"/>
  <c r="E120" i="4"/>
  <c r="E37" i="4"/>
  <c r="E93" i="4"/>
  <c r="E64" i="4"/>
  <c r="E96" i="4"/>
  <c r="E85" i="4"/>
  <c r="E12" i="4"/>
  <c r="E116" i="4"/>
  <c r="E111" i="4"/>
  <c r="E101" i="4"/>
  <c r="E72" i="4"/>
  <c r="E16" i="4"/>
  <c r="E100" i="4"/>
  <c r="E103" i="4"/>
  <c r="E41" i="4"/>
  <c r="E32" i="4"/>
  <c r="E114" i="4"/>
  <c r="E124" i="4"/>
  <c r="E34" i="4"/>
  <c r="E92" i="4"/>
  <c r="E110" i="4"/>
  <c r="E15" i="4"/>
  <c r="E4" i="4"/>
  <c r="E113" i="4"/>
  <c r="E24" i="4"/>
  <c r="E42" i="4"/>
  <c r="E19" i="4"/>
  <c r="E70" i="4"/>
  <c r="E7" i="4"/>
  <c r="E121" i="4"/>
  <c r="E35" i="4"/>
  <c r="E47" i="4"/>
  <c r="D22" i="3"/>
  <c r="I48" i="4"/>
  <c r="I38" i="4"/>
  <c r="I30" i="4"/>
  <c r="I37" i="4"/>
  <c r="I34" i="4"/>
  <c r="I16" i="4"/>
  <c r="G48" i="4"/>
  <c r="J38" i="4"/>
  <c r="G30" i="4"/>
  <c r="G37" i="4"/>
  <c r="J34" i="4"/>
  <c r="G16" i="4"/>
  <c r="I42" i="4"/>
  <c r="J42" i="4" s="1"/>
  <c r="I10" i="4"/>
  <c r="J10" i="4" s="1"/>
  <c r="I40" i="4"/>
  <c r="H10" i="4"/>
  <c r="C27" i="3"/>
  <c r="I32" i="4"/>
  <c r="I27" i="4"/>
  <c r="I25" i="4"/>
  <c r="I3" i="4"/>
  <c r="I13" i="4"/>
  <c r="I20" i="4"/>
  <c r="I50" i="4"/>
  <c r="J50" i="4" s="1"/>
  <c r="H38" i="4"/>
  <c r="G42" i="4"/>
  <c r="H34" i="4"/>
  <c r="I23" i="4"/>
  <c r="G32" i="4"/>
  <c r="I19" i="4"/>
  <c r="G10" i="4"/>
  <c r="I17" i="4"/>
  <c r="I45" i="4"/>
  <c r="I21" i="4"/>
  <c r="I41" i="4"/>
  <c r="I51" i="4"/>
  <c r="J51" i="4" s="1"/>
  <c r="I46" i="4"/>
  <c r="J46" i="4" s="1"/>
  <c r="I36" i="4"/>
  <c r="J32" i="4"/>
  <c r="G27" i="4"/>
  <c r="J25" i="4"/>
  <c r="H25" i="4" s="1"/>
  <c r="J3" i="4"/>
  <c r="H42" i="4"/>
  <c r="J13" i="4"/>
  <c r="H13" i="4" s="1"/>
  <c r="G20" i="4"/>
  <c r="I5" i="4"/>
  <c r="G19" i="4"/>
  <c r="I15" i="4"/>
  <c r="J15" i="4" s="1"/>
  <c r="H32" i="4"/>
  <c r="H3" i="4"/>
  <c r="H50" i="4"/>
  <c r="I26" i="4"/>
  <c r="G45" i="4"/>
  <c r="J21" i="4"/>
  <c r="J41" i="4"/>
  <c r="H15" i="4"/>
  <c r="I43" i="4"/>
  <c r="I2" i="4"/>
  <c r="I47" i="4"/>
  <c r="I28" i="4"/>
  <c r="I12" i="4"/>
  <c r="I44" i="4"/>
  <c r="J44" i="4" s="1"/>
  <c r="J45" i="4"/>
  <c r="J17" i="4"/>
  <c r="H17" i="4" s="1"/>
  <c r="G21" i="4"/>
  <c r="G41" i="4"/>
  <c r="G26" i="4"/>
  <c r="G51" i="4"/>
  <c r="G46" i="4"/>
  <c r="G40" i="4"/>
  <c r="J36" i="4"/>
  <c r="I39" i="4"/>
  <c r="I4" i="4"/>
  <c r="I29" i="4"/>
  <c r="I11" i="4"/>
  <c r="I18" i="4"/>
  <c r="I24" i="4"/>
  <c r="H45" i="4"/>
  <c r="G17" i="4"/>
  <c r="J48" i="4"/>
  <c r="H48" i="4" s="1"/>
  <c r="H21" i="4"/>
  <c r="G38" i="4"/>
  <c r="H41" i="4"/>
  <c r="J26" i="4"/>
  <c r="H26" i="4" s="1"/>
  <c r="J30" i="4"/>
  <c r="H30" i="4" s="1"/>
  <c r="H51" i="4"/>
  <c r="J37" i="4"/>
  <c r="H37" i="4" s="1"/>
  <c r="H46" i="4"/>
  <c r="J40" i="4"/>
  <c r="G34" i="4"/>
  <c r="H36" i="4"/>
  <c r="J16" i="4"/>
  <c r="H16" i="4" s="1"/>
  <c r="H40" i="4"/>
  <c r="G44" i="4"/>
  <c r="G50" i="4"/>
  <c r="I6" i="4"/>
  <c r="I35" i="4"/>
  <c r="I9" i="4"/>
  <c r="J27" i="4"/>
  <c r="G25" i="4"/>
  <c r="G3" i="4"/>
  <c r="G13" i="4"/>
  <c r="J20" i="4"/>
  <c r="H20" i="4" s="1"/>
  <c r="H44" i="4"/>
  <c r="I49" i="4"/>
  <c r="I8" i="4"/>
  <c r="I33" i="4"/>
  <c r="H27" i="4"/>
  <c r="J19" i="4"/>
  <c r="H19" i="4" s="1"/>
  <c r="G15" i="4"/>
  <c r="G8" i="4"/>
  <c r="G24" i="4"/>
  <c r="I14" i="4"/>
  <c r="I31" i="4"/>
  <c r="I22" i="4"/>
  <c r="G39" i="4"/>
  <c r="J4" i="4"/>
  <c r="J29" i="4"/>
  <c r="G11" i="4"/>
  <c r="G36" i="4"/>
  <c r="J23" i="4"/>
  <c r="H23" i="4" s="1"/>
  <c r="G23" i="4"/>
  <c r="J5" i="4"/>
  <c r="H5" i="4" s="1"/>
  <c r="G5" i="4"/>
  <c r="G43" i="4"/>
  <c r="J43" i="4"/>
  <c r="H43" i="4" s="1"/>
  <c r="J2" i="4"/>
  <c r="H2" i="4"/>
  <c r="G2" i="4"/>
  <c r="J47" i="4"/>
  <c r="G47" i="4"/>
  <c r="H47" i="4"/>
  <c r="J28" i="4"/>
  <c r="H28" i="4" s="1"/>
  <c r="G28" i="4"/>
  <c r="G12" i="4"/>
  <c r="J12" i="4"/>
  <c r="H12" i="4" s="1"/>
  <c r="J39" i="4"/>
  <c r="H39" i="4" s="1"/>
  <c r="H4" i="4"/>
  <c r="G4" i="4"/>
  <c r="H29" i="4"/>
  <c r="G29" i="4"/>
  <c r="J11" i="4"/>
  <c r="H11" i="4" s="1"/>
  <c r="J18" i="4"/>
  <c r="H18" i="4" s="1"/>
  <c r="G18" i="4"/>
  <c r="J24" i="4"/>
  <c r="H24" i="4" s="1"/>
  <c r="G6" i="4"/>
  <c r="J6" i="4"/>
  <c r="H6" i="4" s="1"/>
  <c r="J35" i="4"/>
  <c r="H35" i="4" s="1"/>
  <c r="G35" i="4"/>
  <c r="G9" i="4"/>
  <c r="J9" i="4"/>
  <c r="H9" i="4" s="1"/>
  <c r="J49" i="4"/>
  <c r="H49" i="4"/>
  <c r="G49" i="4"/>
  <c r="J8" i="4"/>
  <c r="H8" i="4" s="1"/>
  <c r="J33" i="4"/>
  <c r="H33" i="4"/>
  <c r="G33" i="4"/>
  <c r="J14" i="4"/>
  <c r="G14" i="4"/>
  <c r="H14" i="4"/>
  <c r="J31" i="4"/>
  <c r="G31" i="4"/>
  <c r="H31" i="4"/>
  <c r="J22" i="4"/>
  <c r="H22" i="4" s="1"/>
  <c r="G22" i="4"/>
  <c r="D9" i="3" l="1"/>
  <c r="L4" i="4"/>
  <c r="K2" i="4"/>
  <c r="L2" i="4"/>
  <c r="K5" i="4"/>
  <c r="L5" i="4"/>
  <c r="L6" i="4"/>
  <c r="K3" i="4"/>
  <c r="K6" i="4"/>
  <c r="L3" i="4"/>
  <c r="K4" i="4"/>
  <c r="D26" i="3"/>
  <c r="D27" i="3"/>
  <c r="D24" i="3"/>
  <c r="M47" i="4"/>
  <c r="M24" i="4"/>
  <c r="M44" i="4"/>
  <c r="M11" i="4"/>
  <c r="M20" i="4"/>
  <c r="M16" i="4"/>
  <c r="M19" i="4"/>
  <c r="M32" i="4"/>
  <c r="M23" i="4"/>
  <c r="M45" i="4"/>
  <c r="M34" i="4"/>
  <c r="M38" i="4"/>
  <c r="M46" i="4"/>
  <c r="M40" i="4"/>
  <c r="M31" i="4"/>
  <c r="M26" i="4"/>
  <c r="M33" i="4"/>
  <c r="M51" i="4"/>
  <c r="M14" i="4"/>
  <c r="M27" i="4"/>
  <c r="M36" i="4"/>
  <c r="M25" i="4"/>
  <c r="M15" i="4"/>
  <c r="M41" i="4"/>
  <c r="M48" i="4"/>
  <c r="M9" i="4"/>
  <c r="M13" i="4"/>
  <c r="M42" i="4"/>
  <c r="M18" i="4"/>
  <c r="M22" i="4"/>
  <c r="M30" i="4"/>
  <c r="M35" i="4"/>
  <c r="M29" i="4"/>
  <c r="M12" i="4"/>
  <c r="M50" i="4"/>
  <c r="M28" i="4"/>
  <c r="M10" i="4"/>
  <c r="M17" i="4"/>
  <c r="M37" i="4"/>
  <c r="M49" i="4"/>
  <c r="M43" i="4"/>
  <c r="M39" i="4"/>
  <c r="M21" i="4"/>
  <c r="M8" i="4"/>
  <c r="M4" i="4" l="1"/>
  <c r="M6" i="4"/>
  <c r="M3" i="4"/>
  <c r="M5" i="4"/>
  <c r="M2" i="4"/>
  <c r="P4" i="4"/>
  <c r="P6" i="4"/>
  <c r="P3" i="4"/>
  <c r="P2" i="4"/>
  <c r="P5" i="4"/>
  <c r="L47" i="4" l="1"/>
  <c r="N47" i="4"/>
  <c r="L44" i="4"/>
  <c r="N44" i="4"/>
  <c r="L20" i="4"/>
  <c r="N20" i="4"/>
  <c r="L46" i="4"/>
  <c r="N46" i="4"/>
  <c r="L38" i="4"/>
  <c r="N38" i="4"/>
  <c r="L18" i="4"/>
  <c r="N18" i="4"/>
  <c r="L8" i="4"/>
  <c r="N8" i="4"/>
  <c r="L39" i="4"/>
  <c r="N39" i="4"/>
  <c r="L49" i="4"/>
  <c r="N49" i="4"/>
  <c r="L19" i="4"/>
  <c r="N19" i="4"/>
  <c r="L15" i="4"/>
  <c r="N15" i="4"/>
  <c r="L34" i="4"/>
  <c r="N34" i="4"/>
  <c r="L24" i="4"/>
  <c r="N24" i="4"/>
  <c r="L16" i="4"/>
  <c r="N16" i="4"/>
  <c r="L9" i="4"/>
  <c r="N9" i="4"/>
  <c r="L33" i="4"/>
  <c r="N33" i="4"/>
  <c r="L43" i="4"/>
  <c r="N43" i="4"/>
  <c r="L41" i="4"/>
  <c r="N41" i="4"/>
  <c r="L25" i="4"/>
  <c r="N25" i="4"/>
  <c r="L36" i="4"/>
  <c r="N36" i="4"/>
  <c r="L27" i="4"/>
  <c r="N27" i="4"/>
  <c r="L17" i="4"/>
  <c r="N17" i="4"/>
  <c r="L23" i="4"/>
  <c r="N23" i="4"/>
  <c r="L26" i="4"/>
  <c r="N26" i="4"/>
  <c r="L31" i="4"/>
  <c r="N31" i="4"/>
  <c r="L40" i="4"/>
  <c r="N40" i="4"/>
  <c r="L14" i="4"/>
  <c r="N14" i="4"/>
  <c r="L28" i="4"/>
  <c r="N28" i="4"/>
  <c r="L12" i="4"/>
  <c r="N12" i="4"/>
  <c r="L11" i="4"/>
  <c r="N11" i="4"/>
  <c r="L51" i="4"/>
  <c r="N51" i="4"/>
  <c r="L21" i="4"/>
  <c r="N21" i="4"/>
  <c r="L45" i="4"/>
  <c r="N45" i="4"/>
  <c r="L48" i="4"/>
  <c r="N48" i="4"/>
  <c r="L29" i="4"/>
  <c r="N29" i="4"/>
  <c r="L35" i="4"/>
  <c r="N35" i="4"/>
  <c r="L37" i="4"/>
  <c r="N37" i="4"/>
  <c r="L10" i="4"/>
  <c r="N10" i="4"/>
  <c r="L32" i="4"/>
  <c r="N32" i="4"/>
  <c r="L42" i="4"/>
  <c r="N42" i="4"/>
  <c r="L13" i="4"/>
  <c r="N13" i="4"/>
  <c r="L30" i="4"/>
  <c r="N30" i="4"/>
  <c r="L22" i="4"/>
  <c r="N22" i="4"/>
  <c r="L50" i="4"/>
  <c r="N50" i="4"/>
</calcChain>
</file>

<file path=xl/comments1.xml><?xml version="1.0" encoding="utf-8"?>
<comments xmlns="http://schemas.openxmlformats.org/spreadsheetml/2006/main">
  <authors>
    <author>Ferdinando Ametrano</author>
  </authors>
  <commentList>
    <comment ref="D13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I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sharedStrings.xml><?xml version="1.0" encoding="utf-8"?>
<sst xmlns="http://schemas.openxmlformats.org/spreadsheetml/2006/main" count="71" uniqueCount="63">
  <si>
    <t>Earliest Date</t>
  </si>
  <si>
    <t>Latest Date</t>
  </si>
  <si>
    <t>Include Flag</t>
  </si>
  <si>
    <t>Priority</t>
  </si>
  <si>
    <t>Calendar</t>
  </si>
  <si>
    <t>Currency</t>
  </si>
  <si>
    <t>EUR</t>
  </si>
  <si>
    <t>Target</t>
  </si>
  <si>
    <t>General Settings</t>
  </si>
  <si>
    <t>Day Counter</t>
  </si>
  <si>
    <t>NDays</t>
  </si>
  <si>
    <t>TraitsID</t>
  </si>
  <si>
    <t>InterpolatorID</t>
  </si>
  <si>
    <t>PiecewiseYieldCurve</t>
  </si>
  <si>
    <t>Error</t>
  </si>
  <si>
    <t>Quote Value</t>
  </si>
  <si>
    <t>Accuracy</t>
  </si>
  <si>
    <t>1Y</t>
  </si>
  <si>
    <t>IborType</t>
  </si>
  <si>
    <t>Min Distance</t>
  </si>
  <si>
    <t>Rate</t>
  </si>
  <si>
    <t>OIS</t>
  </si>
  <si>
    <t>Actual/360</t>
  </si>
  <si>
    <t>MonotonicCubicNaturalSpline</t>
  </si>
  <si>
    <t>Selected</t>
  </si>
  <si>
    <t>LiveDataFeed</t>
  </si>
  <si>
    <t>LastUpdate</t>
  </si>
  <si>
    <t>Quote</t>
  </si>
  <si>
    <t>RateHelper</t>
  </si>
  <si>
    <t>Code</t>
  </si>
  <si>
    <t>Evaluation Date</t>
  </si>
  <si>
    <t>TriggerCounter</t>
  </si>
  <si>
    <t>IborIndex</t>
  </si>
  <si>
    <t>IborTenor</t>
  </si>
  <si>
    <t>Discount</t>
  </si>
  <si>
    <t>MonotonicLogCubicNaturalSpline</t>
  </si>
  <si>
    <t>D</t>
  </si>
  <si>
    <t>x24</t>
  </si>
  <si>
    <t>F</t>
  </si>
  <si>
    <t>AB12E</t>
  </si>
  <si>
    <t>BASIS</t>
  </si>
  <si>
    <t>3Y</t>
  </si>
  <si>
    <t>4Y</t>
  </si>
  <si>
    <t>5Y</t>
  </si>
  <si>
    <t>EUR1YD_SYNTH1Y_Quote</t>
  </si>
  <si>
    <t>EUR12x24F_Quote</t>
  </si>
  <si>
    <t>EURAB12EBASIS3Y_Quote</t>
  </si>
  <si>
    <t>EURAB12EBASIS4Y_Quote</t>
  </si>
  <si>
    <t>EURAB12EBASIS5Y_Quote</t>
  </si>
  <si>
    <t>DiscountingCurve</t>
  </si>
  <si>
    <t>EurYC</t>
  </si>
  <si>
    <t>Fixing Date</t>
  </si>
  <si>
    <t>FRA</t>
  </si>
  <si>
    <t>Value Date</t>
  </si>
  <si>
    <t>Maturity Date</t>
  </si>
  <si>
    <t>OvernightIndex</t>
  </si>
  <si>
    <t>spread</t>
  </si>
  <si>
    <t>BasisInterpolator</t>
  </si>
  <si>
    <t>BasisInterpolation</t>
  </si>
  <si>
    <t>InterestRatesTrigger</t>
  </si>
  <si>
    <t>AllowInterpolation</t>
  </si>
  <si>
    <t>interp. FRA</t>
  </si>
  <si>
    <t>='C:\Users\erik\Documents\repos\launcher\R010202\Workbooks\MarketData\ReutersFeed\EUR_InterestRateQuotesFeed.xls'!TriggerCounter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</si>
</sst>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&quot;£&quot;#,##0;[Red]\-&quot;£&quot;#,##0"/>
    <numFmt numFmtId="165" formatCode="0.0000%"/>
    <numFmt numFmtId="166" formatCode="ddd\,\ d\-mmm\-yy"/>
    <numFmt numFmtId="167" formatCode="ddd\,\ dd\-mmm\-yyyy"/>
    <numFmt numFmtId="168" formatCode="0.000000000"/>
    <numFmt numFmtId="169" formatCode="ddd\,\ dd\-mmm\-yyyy\,\ hh:mm:ss"/>
    <numFmt numFmtId="170" formatCode="ddd\,\ d\-mmm\-yyyy"/>
    <numFmt numFmtId="171" formatCode="ddd\,\ dd\-mmm\-yyyy\ h:mm:ss"/>
    <numFmt numFmtId="172" formatCode="ddd\,\ dd\-mmm\-yyyy\,\ h:mm:ss"/>
    <numFmt numFmtId="173" formatCode="#,##0.0;#,##0.0"/>
    <numFmt numFmtId="174" formatCode="_([$€-2]* #,##0.00_);_([$€-2]* \(#,##0.00\);_([$€-2]* &quot;-&quot;??_)"/>
    <numFmt numFmtId="175" formatCode="General_)"/>
  </numFmts>
  <fonts count="14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Courier New"/>
      <family val="3"/>
    </font>
    <font>
      <sz val="14"/>
      <name val="Courier New"/>
      <family val="3"/>
    </font>
    <font>
      <b/>
      <sz val="8"/>
      <name val="Courier New"/>
      <family val="3"/>
    </font>
    <font>
      <sz val="8"/>
      <color indexed="10"/>
      <name val="Courier New"/>
      <family val="3"/>
    </font>
    <font>
      <sz val="8"/>
      <color indexed="12"/>
      <name val="Courier New"/>
      <family val="3"/>
    </font>
    <font>
      <sz val="14"/>
      <name val="Arial"/>
      <family val="2"/>
    </font>
  </fonts>
  <fills count="14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bgColor indexed="43"/>
      </patternFill>
    </fill>
    <fill>
      <patternFill patternType="solid">
        <fgColor indexed="9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174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1" fillId="0" borderId="0"/>
    <xf numFmtId="0" fontId="2" fillId="0" borderId="0"/>
    <xf numFmtId="175" fontId="6" fillId="0" borderId="0"/>
    <xf numFmtId="9" fontId="1" fillId="0" borderId="0" applyFont="0" applyFill="0" applyBorder="0" applyAlignment="0" applyProtection="0"/>
    <xf numFmtId="173" fontId="7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116">
    <xf numFmtId="0" fontId="0" fillId="0" borderId="0" xfId="0"/>
    <xf numFmtId="0" fontId="10" fillId="3" borderId="0" xfId="6" applyFont="1" applyFill="1" applyBorder="1"/>
    <xf numFmtId="0" fontId="8" fillId="3" borderId="0" xfId="6" applyFont="1" applyFill="1" applyBorder="1"/>
    <xf numFmtId="0" fontId="8" fillId="3" borderId="3" xfId="6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3" borderId="0" xfId="5" applyFont="1" applyFill="1" applyBorder="1"/>
    <xf numFmtId="171" fontId="8" fillId="3" borderId="0" xfId="5" applyNumberFormat="1" applyFont="1" applyFill="1" applyBorder="1" applyAlignment="1">
      <alignment horizontal="center"/>
    </xf>
    <xf numFmtId="169" fontId="8" fillId="3" borderId="0" xfId="6" applyNumberFormat="1" applyFont="1" applyFill="1" applyBorder="1" applyAlignment="1">
      <alignment horizontal="center"/>
    </xf>
    <xf numFmtId="0" fontId="10" fillId="4" borderId="5" xfId="0" applyFont="1" applyFill="1" applyBorder="1" applyAlignment="1">
      <alignment horizontal="right"/>
    </xf>
    <xf numFmtId="166" fontId="8" fillId="5" borderId="3" xfId="0" quotePrefix="1" applyNumberFormat="1" applyFont="1" applyFill="1" applyBorder="1" applyAlignment="1">
      <alignment horizontal="center"/>
    </xf>
    <xf numFmtId="0" fontId="10" fillId="4" borderId="6" xfId="0" applyFont="1" applyFill="1" applyBorder="1" applyAlignment="1">
      <alignment horizontal="right"/>
    </xf>
    <xf numFmtId="1" fontId="11" fillId="5" borderId="4" xfId="0" applyNumberFormat="1" applyFont="1" applyFill="1" applyBorder="1" applyAlignment="1">
      <alignment horizontal="left"/>
    </xf>
    <xf numFmtId="0" fontId="10" fillId="4" borderId="7" xfId="0" applyFont="1" applyFill="1" applyBorder="1" applyAlignment="1">
      <alignment horizontal="right"/>
    </xf>
    <xf numFmtId="3" fontId="8" fillId="6" borderId="2" xfId="0" applyNumberFormat="1" applyFont="1" applyFill="1" applyBorder="1" applyAlignment="1">
      <alignment horizontal="center"/>
    </xf>
    <xf numFmtId="0" fontId="8" fillId="3" borderId="2" xfId="6" applyFont="1" applyFill="1" applyBorder="1" applyAlignment="1">
      <alignment horizontal="center"/>
    </xf>
    <xf numFmtId="11" fontId="8" fillId="6" borderId="2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170" fontId="8" fillId="3" borderId="5" xfId="0" applyNumberFormat="1" applyFont="1" applyFill="1" applyBorder="1" applyAlignment="1">
      <alignment horizontal="right"/>
    </xf>
    <xf numFmtId="168" fontId="8" fillId="3" borderId="3" xfId="0" applyNumberFormat="1" applyFont="1" applyFill="1" applyBorder="1" applyAlignment="1">
      <alignment horizontal="center"/>
    </xf>
    <xf numFmtId="0" fontId="10" fillId="7" borderId="8" xfId="0" applyFont="1" applyFill="1" applyBorder="1" applyAlignment="1">
      <alignment horizontal="center" vertical="center" wrapText="1"/>
    </xf>
    <xf numFmtId="0" fontId="10" fillId="7" borderId="9" xfId="0" applyFont="1" applyFill="1" applyBorder="1" applyAlignment="1">
      <alignment horizontal="center" vertical="center" wrapText="1"/>
    </xf>
    <xf numFmtId="0" fontId="8" fillId="0" borderId="0" xfId="0" applyFont="1"/>
    <xf numFmtId="0" fontId="8" fillId="3" borderId="1" xfId="0" applyFont="1" applyFill="1" applyBorder="1" applyAlignment="1"/>
    <xf numFmtId="165" fontId="8" fillId="3" borderId="0" xfId="0" applyNumberFormat="1" applyFont="1" applyFill="1" applyBorder="1" applyAlignment="1"/>
    <xf numFmtId="165" fontId="8" fillId="0" borderId="0" xfId="8" applyNumberFormat="1" applyFont="1"/>
    <xf numFmtId="0" fontId="8" fillId="3" borderId="10" xfId="0" applyFont="1" applyFill="1" applyBorder="1" applyAlignment="1"/>
    <xf numFmtId="165" fontId="8" fillId="3" borderId="11" xfId="0" applyNumberFormat="1" applyFont="1" applyFill="1" applyBorder="1" applyAlignment="1"/>
    <xf numFmtId="0" fontId="8" fillId="0" borderId="0" xfId="0" applyFont="1" applyAlignment="1">
      <alignment horizontal="left"/>
    </xf>
    <xf numFmtId="167" fontId="8" fillId="3" borderId="0" xfId="0" applyNumberFormat="1" applyFont="1" applyFill="1" applyBorder="1" applyAlignment="1"/>
    <xf numFmtId="167" fontId="8" fillId="3" borderId="2" xfId="0" applyNumberFormat="1" applyFont="1" applyFill="1" applyBorder="1" applyAlignment="1"/>
    <xf numFmtId="167" fontId="8" fillId="3" borderId="11" xfId="0" applyNumberFormat="1" applyFont="1" applyFill="1" applyBorder="1" applyAlignment="1"/>
    <xf numFmtId="167" fontId="8" fillId="3" borderId="4" xfId="0" applyNumberFormat="1" applyFont="1" applyFill="1" applyBorder="1" applyAlignment="1"/>
    <xf numFmtId="0" fontId="10" fillId="7" borderId="12" xfId="0" applyFont="1" applyFill="1" applyBorder="1" applyAlignment="1">
      <alignment horizontal="center" vertical="center" wrapText="1"/>
    </xf>
    <xf numFmtId="0" fontId="8" fillId="8" borderId="8" xfId="0" applyFont="1" applyFill="1" applyBorder="1"/>
    <xf numFmtId="0" fontId="8" fillId="8" borderId="12" xfId="0" applyFont="1" applyFill="1" applyBorder="1"/>
    <xf numFmtId="167" fontId="8" fillId="8" borderId="9" xfId="0" applyNumberFormat="1" applyFont="1" applyFill="1" applyBorder="1"/>
    <xf numFmtId="170" fontId="8" fillId="3" borderId="6" xfId="0" applyNumberFormat="1" applyFont="1" applyFill="1" applyBorder="1" applyAlignment="1">
      <alignment horizontal="right"/>
    </xf>
    <xf numFmtId="0" fontId="8" fillId="0" borderId="13" xfId="0" applyFont="1" applyBorder="1"/>
    <xf numFmtId="0" fontId="8" fillId="0" borderId="11" xfId="0" applyFont="1" applyBorder="1"/>
    <xf numFmtId="0" fontId="8" fillId="3" borderId="0" xfId="5" applyFont="1" applyFill="1" applyBorder="1" applyAlignment="1">
      <alignment horizontal="center"/>
    </xf>
    <xf numFmtId="0" fontId="12" fillId="3" borderId="0" xfId="5" applyFont="1" applyFill="1" applyBorder="1" applyAlignment="1">
      <alignment horizontal="right"/>
    </xf>
    <xf numFmtId="172" fontId="11" fillId="3" borderId="0" xfId="5" applyNumberFormat="1" applyFont="1" applyFill="1" applyBorder="1" applyAlignment="1">
      <alignment horizontal="left"/>
    </xf>
    <xf numFmtId="0" fontId="11" fillId="3" borderId="0" xfId="5" quotePrefix="1" applyFont="1" applyFill="1" applyBorder="1" applyAlignment="1">
      <alignment horizontal="left"/>
    </xf>
    <xf numFmtId="165" fontId="8" fillId="0" borderId="0" xfId="0" applyNumberFormat="1" applyFont="1"/>
    <xf numFmtId="0" fontId="8" fillId="3" borderId="4" xfId="0" applyNumberFormat="1" applyFont="1" applyFill="1" applyBorder="1" applyAlignment="1">
      <alignment horizontal="center"/>
    </xf>
    <xf numFmtId="0" fontId="8" fillId="4" borderId="5" xfId="6" applyFont="1" applyFill="1" applyBorder="1" applyAlignment="1">
      <alignment horizontal="right"/>
    </xf>
    <xf numFmtId="0" fontId="8" fillId="4" borderId="7" xfId="6" applyFont="1" applyFill="1" applyBorder="1" applyAlignment="1">
      <alignment horizontal="right"/>
    </xf>
    <xf numFmtId="0" fontId="8" fillId="4" borderId="6" xfId="0" applyFont="1" applyFill="1" applyBorder="1" applyAlignment="1">
      <alignment horizontal="right"/>
    </xf>
    <xf numFmtId="0" fontId="8" fillId="4" borderId="5" xfId="5" applyFont="1" applyFill="1" applyBorder="1" applyAlignment="1">
      <alignment horizontal="right"/>
    </xf>
    <xf numFmtId="0" fontId="8" fillId="4" borderId="6" xfId="5" applyFont="1" applyFill="1" applyBorder="1"/>
    <xf numFmtId="0" fontId="8" fillId="3" borderId="1" xfId="4" applyFont="1" applyFill="1" applyBorder="1"/>
    <xf numFmtId="0" fontId="8" fillId="3" borderId="0" xfId="4" applyFont="1" applyFill="1" applyBorder="1"/>
    <xf numFmtId="0" fontId="8" fillId="3" borderId="2" xfId="4" applyFont="1" applyFill="1" applyBorder="1"/>
    <xf numFmtId="0" fontId="8" fillId="3" borderId="0" xfId="4" applyFont="1" applyFill="1"/>
    <xf numFmtId="0" fontId="8" fillId="0" borderId="0" xfId="4" applyFont="1"/>
    <xf numFmtId="0" fontId="10" fillId="4" borderId="14" xfId="4" applyFont="1" applyFill="1" applyBorder="1" applyProtection="1"/>
    <xf numFmtId="167" fontId="8" fillId="9" borderId="9" xfId="4" applyNumberFormat="1" applyFont="1" applyFill="1" applyBorder="1" applyAlignment="1" applyProtection="1">
      <alignment horizontal="right"/>
    </xf>
    <xf numFmtId="0" fontId="8" fillId="3" borderId="10" xfId="4" applyFont="1" applyFill="1" applyBorder="1"/>
    <xf numFmtId="0" fontId="8" fillId="3" borderId="11" xfId="4" applyFont="1" applyFill="1" applyBorder="1"/>
    <xf numFmtId="0" fontId="8" fillId="3" borderId="4" xfId="4" applyFont="1" applyFill="1" applyBorder="1"/>
    <xf numFmtId="0" fontId="8" fillId="3" borderId="0" xfId="0" applyNumberFormat="1" applyFont="1" applyFill="1" applyBorder="1" applyAlignment="1"/>
    <xf numFmtId="0" fontId="8" fillId="3" borderId="0" xfId="0" applyFont="1" applyFill="1" applyBorder="1" applyAlignment="1"/>
    <xf numFmtId="0" fontId="8" fillId="0" borderId="0" xfId="0" applyFont="1" applyBorder="1"/>
    <xf numFmtId="165" fontId="8" fillId="3" borderId="0" xfId="8" applyNumberFormat="1" applyFont="1" applyFill="1" applyBorder="1" applyAlignment="1">
      <alignment horizontal="right"/>
    </xf>
    <xf numFmtId="0" fontId="8" fillId="3" borderId="0" xfId="0" applyFont="1" applyFill="1" applyBorder="1" applyAlignment="1">
      <alignment horizontal="center"/>
    </xf>
    <xf numFmtId="170" fontId="8" fillId="3" borderId="0" xfId="0" applyNumberFormat="1" applyFont="1" applyFill="1" applyBorder="1" applyAlignment="1">
      <alignment horizontal="right"/>
    </xf>
    <xf numFmtId="167" fontId="8" fillId="0" borderId="0" xfId="0" applyNumberFormat="1" applyFont="1"/>
    <xf numFmtId="0" fontId="8" fillId="4" borderId="7" xfId="5" applyFont="1" applyFill="1" applyBorder="1"/>
    <xf numFmtId="170" fontId="8" fillId="10" borderId="5" xfId="8" applyNumberFormat="1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8" fillId="3" borderId="12" xfId="0" applyNumberFormat="1" applyFont="1" applyFill="1" applyBorder="1" applyAlignment="1"/>
    <xf numFmtId="0" fontId="8" fillId="0" borderId="12" xfId="0" applyFont="1" applyBorder="1"/>
    <xf numFmtId="165" fontId="8" fillId="3" borderId="12" xfId="8" applyNumberFormat="1" applyFont="1" applyFill="1" applyBorder="1" applyAlignment="1">
      <alignment horizontal="right"/>
    </xf>
    <xf numFmtId="0" fontId="8" fillId="3" borderId="12" xfId="0" applyFont="1" applyFill="1" applyBorder="1" applyAlignment="1">
      <alignment horizontal="center"/>
    </xf>
    <xf numFmtId="170" fontId="8" fillId="3" borderId="12" xfId="0" applyNumberFormat="1" applyFont="1" applyFill="1" applyBorder="1" applyAlignment="1">
      <alignment horizontal="right"/>
    </xf>
    <xf numFmtId="170" fontId="8" fillId="3" borderId="9" xfId="0" applyNumberFormat="1" applyFont="1" applyFill="1" applyBorder="1" applyAlignment="1">
      <alignment horizontal="right"/>
    </xf>
    <xf numFmtId="0" fontId="8" fillId="3" borderId="8" xfId="0" applyNumberFormat="1" applyFont="1" applyFill="1" applyBorder="1" applyAlignment="1"/>
    <xf numFmtId="0" fontId="8" fillId="3" borderId="15" xfId="0" applyNumberFormat="1" applyFont="1" applyFill="1" applyBorder="1" applyAlignment="1"/>
    <xf numFmtId="0" fontId="8" fillId="3" borderId="13" xfId="0" applyNumberFormat="1" applyFont="1" applyFill="1" applyBorder="1" applyAlignment="1"/>
    <xf numFmtId="0" fontId="8" fillId="3" borderId="13" xfId="0" applyFont="1" applyFill="1" applyBorder="1" applyAlignment="1"/>
    <xf numFmtId="165" fontId="8" fillId="3" borderId="13" xfId="8" applyNumberFormat="1" applyFont="1" applyFill="1" applyBorder="1" applyAlignment="1">
      <alignment horizontal="right"/>
    </xf>
    <xf numFmtId="0" fontId="8" fillId="3" borderId="13" xfId="0" applyFont="1" applyFill="1" applyBorder="1" applyAlignment="1">
      <alignment horizontal="center"/>
    </xf>
    <xf numFmtId="170" fontId="8" fillId="3" borderId="13" xfId="0" applyNumberFormat="1" applyFont="1" applyFill="1" applyBorder="1" applyAlignment="1">
      <alignment horizontal="right"/>
    </xf>
    <xf numFmtId="170" fontId="8" fillId="3" borderId="3" xfId="0" applyNumberFormat="1" applyFont="1" applyFill="1" applyBorder="1" applyAlignment="1">
      <alignment horizontal="right"/>
    </xf>
    <xf numFmtId="0" fontId="8" fillId="3" borderId="1" xfId="0" applyNumberFormat="1" applyFont="1" applyFill="1" applyBorder="1" applyAlignment="1"/>
    <xf numFmtId="170" fontId="8" fillId="3" borderId="2" xfId="0" applyNumberFormat="1" applyFont="1" applyFill="1" applyBorder="1" applyAlignment="1">
      <alignment horizontal="right"/>
    </xf>
    <xf numFmtId="0" fontId="8" fillId="3" borderId="10" xfId="0" applyNumberFormat="1" applyFont="1" applyFill="1" applyBorder="1" applyAlignment="1"/>
    <xf numFmtId="0" fontId="8" fillId="3" borderId="11" xfId="0" applyNumberFormat="1" applyFont="1" applyFill="1" applyBorder="1" applyAlignment="1"/>
    <xf numFmtId="0" fontId="8" fillId="3" borderId="11" xfId="0" applyFont="1" applyFill="1" applyBorder="1" applyAlignment="1"/>
    <xf numFmtId="165" fontId="8" fillId="3" borderId="11" xfId="8" applyNumberFormat="1" applyFont="1" applyFill="1" applyBorder="1" applyAlignment="1">
      <alignment horizontal="right"/>
    </xf>
    <xf numFmtId="0" fontId="8" fillId="3" borderId="11" xfId="0" applyFont="1" applyFill="1" applyBorder="1" applyAlignment="1">
      <alignment horizontal="center"/>
    </xf>
    <xf numFmtId="170" fontId="8" fillId="3" borderId="11" xfId="0" applyNumberFormat="1" applyFont="1" applyFill="1" applyBorder="1" applyAlignment="1">
      <alignment horizontal="right"/>
    </xf>
    <xf numFmtId="170" fontId="8" fillId="3" borderId="4" xfId="0" applyNumberFormat="1" applyFont="1" applyFill="1" applyBorder="1" applyAlignment="1">
      <alignment horizontal="right"/>
    </xf>
    <xf numFmtId="0" fontId="10" fillId="3" borderId="10" xfId="0" applyFont="1" applyFill="1" applyBorder="1" applyAlignment="1">
      <alignment vertical="center" textRotation="90"/>
    </xf>
    <xf numFmtId="0" fontId="8" fillId="4" borderId="14" xfId="5" applyFont="1" applyFill="1" applyBorder="1"/>
    <xf numFmtId="0" fontId="8" fillId="0" borderId="14" xfId="0" applyFont="1" applyFill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12" borderId="14" xfId="4" quotePrefix="1" applyFont="1" applyFill="1" applyBorder="1"/>
    <xf numFmtId="0" fontId="10" fillId="7" borderId="8" xfId="0" applyFont="1" applyFill="1" applyBorder="1" applyAlignment="1">
      <alignment horizontal="center" vertical="center" wrapText="1"/>
    </xf>
    <xf numFmtId="0" fontId="10" fillId="7" borderId="12" xfId="0" applyFont="1" applyFill="1" applyBorder="1" applyAlignment="1">
      <alignment horizontal="center" vertical="center" wrapText="1"/>
    </xf>
    <xf numFmtId="0" fontId="8" fillId="13" borderId="0" xfId="6" applyFont="1" applyFill="1"/>
    <xf numFmtId="0" fontId="8" fillId="13" borderId="0" xfId="5" applyFont="1" applyFill="1"/>
    <xf numFmtId="0" fontId="9" fillId="11" borderId="16" xfId="6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3" borderId="19" xfId="6" applyFont="1" applyFill="1" applyBorder="1"/>
    <xf numFmtId="0" fontId="8" fillId="3" borderId="20" xfId="6" applyFont="1" applyFill="1" applyBorder="1"/>
    <xf numFmtId="0" fontId="8" fillId="3" borderId="19" xfId="5" applyFont="1" applyFill="1" applyBorder="1"/>
    <xf numFmtId="0" fontId="8" fillId="3" borderId="20" xfId="5" applyFont="1" applyFill="1" applyBorder="1"/>
    <xf numFmtId="0" fontId="8" fillId="3" borderId="0" xfId="5" applyFont="1" applyFill="1" applyBorder="1" applyAlignment="1">
      <alignment horizontal="right"/>
    </xf>
    <xf numFmtId="0" fontId="11" fillId="3" borderId="0" xfId="5" applyFont="1" applyFill="1" applyBorder="1" applyAlignment="1">
      <alignment horizontal="right"/>
    </xf>
    <xf numFmtId="0" fontId="8" fillId="3" borderId="21" xfId="5" applyFont="1" applyFill="1" applyBorder="1"/>
    <xf numFmtId="0" fontId="8" fillId="3" borderId="22" xfId="5" applyFont="1" applyFill="1" applyBorder="1"/>
    <xf numFmtId="0" fontId="8" fillId="3" borderId="23" xfId="5" applyFont="1" applyFill="1" applyBorder="1"/>
  </cellXfs>
  <cellStyles count="12">
    <cellStyle name="Euro" xfId="1"/>
    <cellStyle name="Migliaia (0)_AZIONI" xfId="2"/>
    <cellStyle name="Migliaia_AZIONI" xfId="3"/>
    <cellStyle name="Normal" xfId="0" builtinId="0"/>
    <cellStyle name="Normal_EUR_SynthDepoQuotesFeed" xfId="4"/>
    <cellStyle name="Normal_InterestRateQuotesFeed" xfId="5"/>
    <cellStyle name="Normal_SwaptionATMVols" xfId="6"/>
    <cellStyle name="Normale_AZIONI" xfId="7"/>
    <cellStyle name="Percent" xfId="8" builtinId="5"/>
    <cellStyle name="result" xfId="9"/>
    <cellStyle name="Valuta (0)_AZIONI" xfId="10"/>
    <cellStyle name="Valuta_AZIONI" xfId="11"/>
  </cellStyles>
  <dxfs count="2">
    <dxf>
      <font>
        <condense val="0"/>
        <extend val="0"/>
        <color indexed="57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66675</xdr:rowOff>
        </xdr:from>
        <xdr:to>
          <xdr:col>3</xdr:col>
          <xdr:colOff>0</xdr:colOff>
          <xdr:row>30</xdr:row>
          <xdr:rowOff>76200</xdr:rowOff>
        </xdr:to>
        <xdr:sp macro="" textlink="">
          <xdr:nvSpPr>
            <xdr:cNvPr id="3198" name="CommandButton1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28575</xdr:rowOff>
        </xdr:from>
        <xdr:to>
          <xdr:col>3</xdr:col>
          <xdr:colOff>19050</xdr:colOff>
          <xdr:row>33</xdr:row>
          <xdr:rowOff>38100</xdr:rowOff>
        </xdr:to>
        <xdr:sp macro="" textlink="">
          <xdr:nvSpPr>
            <xdr:cNvPr id="3199" name="CommandButton2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4"/>
  <sheetViews>
    <sheetView tabSelected="1" workbookViewId="0"/>
  </sheetViews>
  <sheetFormatPr defaultColWidth="7.140625" defaultRowHeight="11.25" x14ac:dyDescent="0.2"/>
  <cols>
    <col min="1" max="2" width="2.7109375" style="102" customWidth="1"/>
    <col min="3" max="3" width="22.5703125" style="102" customWidth="1"/>
    <col min="4" max="4" width="31.7109375" style="102" bestFit="1" customWidth="1"/>
    <col min="5" max="5" width="27.5703125" style="102" bestFit="1" customWidth="1"/>
    <col min="6" max="6" width="2.7109375" style="102" customWidth="1"/>
    <col min="7" max="16384" width="7.140625" style="102"/>
  </cols>
  <sheetData>
    <row r="1" spans="2:6" ht="12" thickBot="1" x14ac:dyDescent="0.25">
      <c r="B1" s="102" t="str">
        <f>_xll.qlxlVersion(TRUE,EvaluationDate)</f>
        <v>QuantLibXL 1.4.0 - MS VC++ 9.0 - Multithreaded Dynamic Runtime library - Release Configuration - Feb  7 2014 15:33:58</v>
      </c>
    </row>
    <row r="2" spans="2:6" ht="19.5" thickBot="1" x14ac:dyDescent="0.25">
      <c r="B2" s="104" t="s">
        <v>8</v>
      </c>
      <c r="C2" s="105"/>
      <c r="D2" s="105"/>
      <c r="E2" s="105"/>
      <c r="F2" s="106"/>
    </row>
    <row r="3" spans="2:6" x14ac:dyDescent="0.2">
      <c r="B3" s="107"/>
      <c r="C3" s="1"/>
      <c r="D3" s="2"/>
      <c r="E3" s="2"/>
      <c r="F3" s="108"/>
    </row>
    <row r="4" spans="2:6" x14ac:dyDescent="0.2">
      <c r="B4" s="107"/>
      <c r="C4" s="47" t="s">
        <v>5</v>
      </c>
      <c r="D4" s="3" t="s">
        <v>6</v>
      </c>
      <c r="E4" s="2"/>
      <c r="F4" s="108"/>
    </row>
    <row r="5" spans="2:6" x14ac:dyDescent="0.2">
      <c r="B5" s="107"/>
      <c r="C5" s="48" t="s">
        <v>18</v>
      </c>
      <c r="D5" s="4"/>
      <c r="E5" s="2"/>
      <c r="F5" s="108"/>
    </row>
    <row r="6" spans="2:6" x14ac:dyDescent="0.2">
      <c r="B6" s="107"/>
      <c r="C6" s="48" t="s">
        <v>33</v>
      </c>
      <c r="D6" s="4" t="s">
        <v>17</v>
      </c>
      <c r="E6" s="2"/>
      <c r="F6" s="108"/>
    </row>
    <row r="7" spans="2:6" x14ac:dyDescent="0.2">
      <c r="B7" s="107"/>
      <c r="C7" s="48" t="s">
        <v>49</v>
      </c>
      <c r="D7" s="4" t="s">
        <v>50</v>
      </c>
      <c r="E7" s="2"/>
      <c r="F7" s="108"/>
    </row>
    <row r="8" spans="2:6" x14ac:dyDescent="0.2">
      <c r="B8" s="107"/>
      <c r="C8" s="48" t="s">
        <v>55</v>
      </c>
      <c r="D8" s="4" t="str">
        <f>_xll.qlEonia(,DiscountingCurve,,,EvaluationDate)</f>
        <v>obj_0076a#0000</v>
      </c>
      <c r="E8" s="2"/>
      <c r="F8" s="108"/>
    </row>
    <row r="9" spans="2:6" x14ac:dyDescent="0.2">
      <c r="B9" s="107"/>
      <c r="C9" s="49" t="s">
        <v>31</v>
      </c>
      <c r="D9" s="46" t="e">
        <f>_xll.ohTrigger(#REF!)</f>
        <v>#NUM!</v>
      </c>
      <c r="E9" s="2"/>
      <c r="F9" s="108"/>
    </row>
    <row r="10" spans="2:6" x14ac:dyDescent="0.2">
      <c r="B10" s="107"/>
      <c r="C10" s="8"/>
      <c r="D10" s="8"/>
      <c r="E10" s="2"/>
      <c r="F10" s="108"/>
    </row>
    <row r="11" spans="2:6" x14ac:dyDescent="0.2">
      <c r="B11" s="107"/>
      <c r="C11" s="9" t="s">
        <v>13</v>
      </c>
      <c r="D11" s="10" t="str">
        <f>_xll.qlPiecewiseYieldCurve(,NDays,Calendar,_xll.ohPack(Calculation!A3:A127),DayCounter,,,Accuracy,TraitsID,InterpolatorID)</f>
        <v>obj_00771#0000</v>
      </c>
      <c r="E11" s="2"/>
      <c r="F11" s="108"/>
    </row>
    <row r="12" spans="2:6" x14ac:dyDescent="0.2">
      <c r="B12" s="107"/>
      <c r="C12" s="11" t="s">
        <v>14</v>
      </c>
      <c r="D12" s="12" t="str">
        <f>_xll.ohRangeRetrieveError(YieldCurve)</f>
        <v/>
      </c>
      <c r="E12" s="2"/>
      <c r="F12" s="108"/>
    </row>
    <row r="13" spans="2:6" x14ac:dyDescent="0.2">
      <c r="B13" s="107"/>
      <c r="C13" s="13" t="s">
        <v>10</v>
      </c>
      <c r="D13" s="14">
        <v>2</v>
      </c>
      <c r="E13" s="2"/>
      <c r="F13" s="108"/>
    </row>
    <row r="14" spans="2:6" x14ac:dyDescent="0.2">
      <c r="B14" s="107"/>
      <c r="C14" s="13" t="s">
        <v>4</v>
      </c>
      <c r="D14" s="15" t="s">
        <v>7</v>
      </c>
      <c r="E14" s="2"/>
      <c r="F14" s="108"/>
    </row>
    <row r="15" spans="2:6" x14ac:dyDescent="0.2">
      <c r="B15" s="107"/>
      <c r="C15" s="13" t="s">
        <v>9</v>
      </c>
      <c r="D15" s="15" t="s">
        <v>22</v>
      </c>
      <c r="E15" s="2"/>
      <c r="F15" s="108"/>
    </row>
    <row r="16" spans="2:6" x14ac:dyDescent="0.2">
      <c r="B16" s="107"/>
      <c r="C16" s="13" t="s">
        <v>16</v>
      </c>
      <c r="D16" s="16" t="e">
        <f>NA()</f>
        <v>#N/A</v>
      </c>
      <c r="E16" s="2"/>
      <c r="F16" s="108"/>
    </row>
    <row r="17" spans="1:6" x14ac:dyDescent="0.2">
      <c r="B17" s="107"/>
      <c r="C17" s="13" t="s">
        <v>11</v>
      </c>
      <c r="D17" s="17" t="s">
        <v>34</v>
      </c>
      <c r="E17" s="2"/>
      <c r="F17" s="108"/>
    </row>
    <row r="18" spans="1:6" x14ac:dyDescent="0.2">
      <c r="B18" s="107"/>
      <c r="C18" s="11" t="s">
        <v>12</v>
      </c>
      <c r="D18" s="18" t="s">
        <v>35</v>
      </c>
      <c r="E18" s="2"/>
      <c r="F18" s="108"/>
    </row>
    <row r="19" spans="1:6" x14ac:dyDescent="0.2">
      <c r="B19" s="109"/>
      <c r="C19" s="6"/>
      <c r="D19" s="7"/>
      <c r="E19" s="64"/>
      <c r="F19" s="110"/>
    </row>
    <row r="20" spans="1:6" x14ac:dyDescent="0.2">
      <c r="B20" s="109"/>
      <c r="C20" s="96" t="s">
        <v>60</v>
      </c>
      <c r="D20" s="97" t="b">
        <f>_xll.qlExtrapolatorEnableExtrapolation(YieldCurve,TRUE)</f>
        <v>1</v>
      </c>
      <c r="E20" s="6"/>
      <c r="F20" s="110"/>
    </row>
    <row r="21" spans="1:6" x14ac:dyDescent="0.2">
      <c r="B21" s="109"/>
      <c r="C21" s="6"/>
      <c r="D21" s="7"/>
      <c r="E21" s="64"/>
      <c r="F21" s="110"/>
    </row>
    <row r="22" spans="1:6" x14ac:dyDescent="0.2">
      <c r="B22" s="109"/>
      <c r="C22" s="50" t="s">
        <v>32</v>
      </c>
      <c r="D22" s="70" t="str">
        <f>_xll.qlEuribor(,IborTenor,YieldCurve,,D20)</f>
        <v>obj_00772#0000</v>
      </c>
      <c r="E22" s="6"/>
      <c r="F22" s="110"/>
    </row>
    <row r="23" spans="1:6" x14ac:dyDescent="0.2">
      <c r="B23" s="109"/>
      <c r="C23" s="69" t="s">
        <v>58</v>
      </c>
      <c r="D23" s="71" t="s">
        <v>23</v>
      </c>
      <c r="E23" s="6"/>
      <c r="F23" s="110"/>
    </row>
    <row r="24" spans="1:6" x14ac:dyDescent="0.2">
      <c r="B24" s="109"/>
      <c r="C24" s="51" t="s">
        <v>57</v>
      </c>
      <c r="D24" s="46" t="e">
        <f>_xll.qlInterpolation(,BasisInterpolation,Calculation!I2:I6,Calculation!O2:O6)</f>
        <v>#NUM!</v>
      </c>
      <c r="E24" s="6"/>
      <c r="F24" s="110"/>
    </row>
    <row r="25" spans="1:6" x14ac:dyDescent="0.2">
      <c r="B25" s="107"/>
      <c r="C25" s="8"/>
      <c r="D25" s="8"/>
      <c r="E25" s="6"/>
      <c r="F25" s="110"/>
    </row>
    <row r="26" spans="1:6" ht="14.25" customHeight="1" x14ac:dyDescent="0.2">
      <c r="B26" s="107"/>
      <c r="C26" s="19">
        <f>_xll.qlTermStructureReferenceDate(YieldCurve)</f>
        <v>41688</v>
      </c>
      <c r="D26" s="20">
        <f>MAX(_xll.ohPack(Calculation!E2:E127))</f>
        <v>1</v>
      </c>
      <c r="E26" s="6"/>
      <c r="F26" s="110"/>
    </row>
    <row r="27" spans="1:6" x14ac:dyDescent="0.2">
      <c r="A27" s="103"/>
      <c r="B27" s="107"/>
      <c r="C27" s="38">
        <f>MAX(_xll.ohPack(Calculation!D3:D127))</f>
        <v>43514</v>
      </c>
      <c r="D27" s="5">
        <f>MIN(_xll.ohPack(Calculation!E2:E127))</f>
        <v>0.93875670708534253</v>
      </c>
      <c r="E27" s="6"/>
      <c r="F27" s="110"/>
    </row>
    <row r="28" spans="1:6" x14ac:dyDescent="0.2">
      <c r="A28" s="103"/>
      <c r="B28" s="109"/>
      <c r="C28" s="6"/>
      <c r="D28" s="6"/>
      <c r="E28" s="6"/>
      <c r="F28" s="110"/>
    </row>
    <row r="29" spans="1:6" x14ac:dyDescent="0.2">
      <c r="A29" s="103"/>
      <c r="B29" s="109"/>
      <c r="C29" s="41"/>
      <c r="D29" s="41"/>
      <c r="E29" s="6"/>
      <c r="F29" s="110"/>
    </row>
    <row r="30" spans="1:6" x14ac:dyDescent="0.2">
      <c r="A30" s="103"/>
      <c r="B30" s="109"/>
      <c r="C30" s="41"/>
      <c r="D30" s="42" t="s">
        <v>26</v>
      </c>
      <c r="E30" s="43">
        <v>41659.748043981483</v>
      </c>
      <c r="F30" s="110"/>
    </row>
    <row r="31" spans="1:6" x14ac:dyDescent="0.2">
      <c r="A31" s="103"/>
      <c r="B31" s="109"/>
      <c r="C31" s="41"/>
      <c r="D31" s="111"/>
      <c r="E31" s="112"/>
      <c r="F31" s="110"/>
    </row>
    <row r="32" spans="1:6" x14ac:dyDescent="0.2">
      <c r="A32" s="103"/>
      <c r="B32" s="109"/>
      <c r="C32" s="41"/>
      <c r="D32" s="42"/>
      <c r="E32" s="112"/>
      <c r="F32" s="110"/>
    </row>
    <row r="33" spans="1:6" x14ac:dyDescent="0.2">
      <c r="A33" s="103"/>
      <c r="B33" s="109"/>
      <c r="C33" s="41"/>
      <c r="D33" s="42" t="s">
        <v>25</v>
      </c>
      <c r="E33" s="44" t="b">
        <v>0</v>
      </c>
      <c r="F33" s="110"/>
    </row>
    <row r="34" spans="1:6" ht="12" thickBot="1" x14ac:dyDescent="0.25">
      <c r="B34" s="113"/>
      <c r="C34" s="114"/>
      <c r="D34" s="114"/>
      <c r="E34" s="114"/>
      <c r="F34" s="115"/>
    </row>
  </sheetData>
  <mergeCells count="1">
    <mergeCell ref="B2:F2"/>
  </mergeCells>
  <phoneticPr fontId="2" type="noConversion"/>
  <conditionalFormatting sqref="E33">
    <cfRule type="cellIs" dxfId="0" priority="1" stopIfTrue="1" operator="equal">
      <formula>TRUE</formula>
    </cfRule>
  </conditionalFormatting>
  <dataValidations count="6"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5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17">
      <formula1>"Discount,ZeroYield,ForwardRate"</formula1>
    </dataValidation>
    <dataValidation type="list" allowBlank="1" showInputMessage="1" showErrorMessage="1" sqref="D18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3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99" r:id="rId4" name="CommandButton2">
          <controlPr defaultSize="0" autoLine="0" r:id="rId5">
            <anchor moveWithCells="1">
              <from>
                <xdr:col>2</xdr:col>
                <xdr:colOff>9525</xdr:colOff>
                <xdr:row>31</xdr:row>
                <xdr:rowOff>28575</xdr:rowOff>
              </from>
              <to>
                <xdr:col>3</xdr:col>
                <xdr:colOff>19050</xdr:colOff>
                <xdr:row>33</xdr:row>
                <xdr:rowOff>38100</xdr:rowOff>
              </to>
            </anchor>
          </controlPr>
        </control>
      </mc:Choice>
      <mc:Fallback>
        <control shapeId="3199" r:id="rId4" name="CommandButton2"/>
      </mc:Fallback>
    </mc:AlternateContent>
    <mc:AlternateContent xmlns:mc="http://schemas.openxmlformats.org/markup-compatibility/2006">
      <mc:Choice Requires="x14">
        <control shapeId="3198" r:id="rId6" name="CommandButton1">
          <controlPr defaultSize="0" autoLine="0" r:id="rId7">
            <anchor moveWithCells="1">
              <from>
                <xdr:col>2</xdr:col>
                <xdr:colOff>9525</xdr:colOff>
                <xdr:row>28</xdr:row>
                <xdr:rowOff>66675</xdr:rowOff>
              </from>
              <to>
                <xdr:col>3</xdr:col>
                <xdr:colOff>0</xdr:colOff>
                <xdr:row>30</xdr:row>
                <xdr:rowOff>76200</xdr:rowOff>
              </to>
            </anchor>
          </controlPr>
        </control>
      </mc:Choice>
      <mc:Fallback>
        <control shapeId="3198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4"/>
  <sheetViews>
    <sheetView workbookViewId="0"/>
  </sheetViews>
  <sheetFormatPr defaultColWidth="8" defaultRowHeight="11.25" x14ac:dyDescent="0.2"/>
  <cols>
    <col min="1" max="1" width="3.28515625" style="56" customWidth="1"/>
    <col min="2" max="2" width="23.5703125" style="56" bestFit="1" customWidth="1"/>
    <col min="3" max="3" width="26.5703125" style="56" customWidth="1"/>
    <col min="4" max="16384" width="8" style="56"/>
  </cols>
  <sheetData>
    <row r="1" spans="1:26" x14ac:dyDescent="0.2">
      <c r="A1" s="52"/>
      <c r="B1" s="53"/>
      <c r="C1" s="53"/>
      <c r="D1" s="54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</row>
    <row r="2" spans="1:26" x14ac:dyDescent="0.2">
      <c r="A2" s="52"/>
      <c r="B2" s="57" t="s">
        <v>30</v>
      </c>
      <c r="C2" s="58">
        <f>_xll.qlSettingsEvaluationDate()</f>
        <v>41681</v>
      </c>
      <c r="D2" s="54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</row>
    <row r="3" spans="1:26" x14ac:dyDescent="0.2">
      <c r="A3" s="52"/>
      <c r="B3" s="53"/>
      <c r="C3" s="53"/>
      <c r="D3" s="54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</row>
    <row r="4" spans="1:26" x14ac:dyDescent="0.2">
      <c r="A4" s="52"/>
      <c r="B4" s="57" t="s">
        <v>59</v>
      </c>
      <c r="C4" s="99" t="s">
        <v>62</v>
      </c>
      <c r="D4" s="54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</row>
    <row r="5" spans="1:26" x14ac:dyDescent="0.2">
      <c r="A5" s="59"/>
      <c r="B5" s="60"/>
      <c r="C5" s="60"/>
      <c r="D5" s="61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</row>
    <row r="6" spans="1:26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</row>
    <row r="7" spans="1:26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</row>
    <row r="8" spans="1:26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</row>
    <row r="9" spans="1:26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</row>
    <row r="10" spans="1:26" x14ac:dyDescent="0.2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</row>
    <row r="11" spans="1:26" x14ac:dyDescent="0.2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</row>
    <row r="12" spans="1:26" x14ac:dyDescent="0.2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</row>
    <row r="13" spans="1:26" x14ac:dyDescent="0.2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</row>
    <row r="14" spans="1:26" x14ac:dyDescent="0.2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</row>
    <row r="15" spans="1:26" x14ac:dyDescent="0.2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</row>
    <row r="16" spans="1:26" x14ac:dyDescent="0.2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</row>
    <row r="17" spans="1:26" x14ac:dyDescent="0.2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</row>
    <row r="18" spans="1:26" x14ac:dyDescent="0.2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</row>
    <row r="19" spans="1:26" x14ac:dyDescent="0.2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</row>
    <row r="20" spans="1:26" x14ac:dyDescent="0.2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</row>
    <row r="21" spans="1:26" x14ac:dyDescent="0.2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</row>
    <row r="22" spans="1:26" x14ac:dyDescent="0.2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spans="1:26" x14ac:dyDescent="0.2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</row>
    <row r="24" spans="1:26" x14ac:dyDescent="0.2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spans="1:26" x14ac:dyDescent="0.2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</row>
    <row r="26" spans="1:26" x14ac:dyDescent="0.2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</row>
    <row r="27" spans="1:26" x14ac:dyDescent="0.2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</row>
    <row r="28" spans="1:26" x14ac:dyDescent="0.2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</row>
    <row r="29" spans="1:26" x14ac:dyDescent="0.2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</row>
    <row r="30" spans="1:26" x14ac:dyDescent="0.2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</row>
    <row r="31" spans="1:26" x14ac:dyDescent="0.2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</row>
    <row r="32" spans="1:26" x14ac:dyDescent="0.2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</row>
    <row r="33" spans="1:26" x14ac:dyDescent="0.2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</row>
    <row r="34" spans="1:26" x14ac:dyDescent="0.2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</row>
    <row r="35" spans="1:26" x14ac:dyDescent="0.2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</row>
    <row r="36" spans="1:26" x14ac:dyDescent="0.2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</row>
    <row r="37" spans="1:26" x14ac:dyDescent="0.2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</row>
    <row r="38" spans="1:26" x14ac:dyDescent="0.2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</row>
    <row r="39" spans="1:26" x14ac:dyDescent="0.2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</row>
    <row r="40" spans="1:26" x14ac:dyDescent="0.2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</row>
    <row r="41" spans="1:26" x14ac:dyDescent="0.2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</row>
    <row r="42" spans="1:26" x14ac:dyDescent="0.2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</row>
    <row r="43" spans="1:26" x14ac:dyDescent="0.2">
      <c r="A43" s="55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</row>
    <row r="44" spans="1:26" x14ac:dyDescent="0.2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</row>
    <row r="45" spans="1:26" x14ac:dyDescent="0.2">
      <c r="A45" s="55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</row>
    <row r="46" spans="1:26" x14ac:dyDescent="0.2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</row>
    <row r="47" spans="1:26" x14ac:dyDescent="0.2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</row>
    <row r="48" spans="1:26" x14ac:dyDescent="0.2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</row>
    <row r="49" spans="1:26" x14ac:dyDescent="0.2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</row>
    <row r="50" spans="1:26" x14ac:dyDescent="0.2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</row>
    <row r="51" spans="1:26" x14ac:dyDescent="0.2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</row>
    <row r="52" spans="1:26" x14ac:dyDescent="0.2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</row>
    <row r="53" spans="1:26" x14ac:dyDescent="0.2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</row>
    <row r="54" spans="1:26" x14ac:dyDescent="0.2">
      <c r="A54" s="55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</row>
    <row r="55" spans="1:26" x14ac:dyDescent="0.2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</row>
    <row r="56" spans="1:26" x14ac:dyDescent="0.2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</row>
    <row r="57" spans="1:26" x14ac:dyDescent="0.2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</row>
    <row r="58" spans="1:26" x14ac:dyDescent="0.2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</row>
    <row r="59" spans="1:26" x14ac:dyDescent="0.2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</row>
    <row r="60" spans="1:26" x14ac:dyDescent="0.2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</row>
    <row r="61" spans="1:26" x14ac:dyDescent="0.2">
      <c r="A61" s="55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</row>
    <row r="62" spans="1:26" x14ac:dyDescent="0.2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spans="1:26" x14ac:dyDescent="0.2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spans="1:26" x14ac:dyDescent="0.2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</row>
    <row r="65" spans="1:26" x14ac:dyDescent="0.2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</row>
    <row r="66" spans="1:26" x14ac:dyDescent="0.2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</row>
    <row r="67" spans="1:26" x14ac:dyDescent="0.2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</row>
    <row r="68" spans="1:26" x14ac:dyDescent="0.2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</row>
    <row r="69" spans="1:26" x14ac:dyDescent="0.2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</row>
    <row r="70" spans="1:26" x14ac:dyDescent="0.2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</row>
    <row r="71" spans="1:26" x14ac:dyDescent="0.2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</row>
    <row r="72" spans="1:26" x14ac:dyDescent="0.2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</row>
    <row r="73" spans="1:26" x14ac:dyDescent="0.2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</row>
    <row r="74" spans="1:26" x14ac:dyDescent="0.2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</row>
    <row r="75" spans="1:26" x14ac:dyDescent="0.2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</row>
    <row r="76" spans="1:26" x14ac:dyDescent="0.2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</row>
    <row r="77" spans="1:26" x14ac:dyDescent="0.2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</row>
    <row r="78" spans="1:26" x14ac:dyDescent="0.2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</row>
    <row r="79" spans="1:26" x14ac:dyDescent="0.2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</row>
    <row r="80" spans="1:26" x14ac:dyDescent="0.2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</row>
    <row r="81" spans="1:26" x14ac:dyDescent="0.2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</row>
    <row r="82" spans="1:26" x14ac:dyDescent="0.2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</row>
    <row r="83" spans="1:26" x14ac:dyDescent="0.2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</row>
    <row r="84" spans="1:26" x14ac:dyDescent="0.2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</row>
    <row r="85" spans="1:26" x14ac:dyDescent="0.2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</row>
    <row r="86" spans="1:26" x14ac:dyDescent="0.2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</row>
    <row r="87" spans="1:26" x14ac:dyDescent="0.2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</row>
    <row r="88" spans="1:26" x14ac:dyDescent="0.2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</row>
    <row r="89" spans="1:26" x14ac:dyDescent="0.2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</row>
    <row r="90" spans="1:26" x14ac:dyDescent="0.2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</row>
    <row r="91" spans="1:26" x14ac:dyDescent="0.2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</row>
    <row r="92" spans="1:26" x14ac:dyDescent="0.2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</row>
    <row r="93" spans="1:26" x14ac:dyDescent="0.2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</row>
    <row r="94" spans="1:26" x14ac:dyDescent="0.2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</row>
    <row r="95" spans="1:26" x14ac:dyDescent="0.2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</row>
    <row r="96" spans="1:26" x14ac:dyDescent="0.2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</row>
    <row r="97" spans="1:26" x14ac:dyDescent="0.2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</row>
    <row r="98" spans="1:26" x14ac:dyDescent="0.2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</row>
    <row r="99" spans="1:26" x14ac:dyDescent="0.2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</row>
    <row r="100" spans="1:26" x14ac:dyDescent="0.2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</row>
    <row r="101" spans="1:26" x14ac:dyDescent="0.2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</row>
    <row r="102" spans="1:26" x14ac:dyDescent="0.2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</row>
    <row r="103" spans="1:26" x14ac:dyDescent="0.2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</row>
    <row r="104" spans="1:26" x14ac:dyDescent="0.2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</row>
    <row r="105" spans="1:26" x14ac:dyDescent="0.2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</row>
    <row r="106" spans="1:26" x14ac:dyDescent="0.2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</row>
    <row r="107" spans="1:26" x14ac:dyDescent="0.2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</row>
    <row r="108" spans="1:26" x14ac:dyDescent="0.2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</row>
    <row r="109" spans="1:26" x14ac:dyDescent="0.2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</row>
    <row r="110" spans="1:26" x14ac:dyDescent="0.2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</row>
    <row r="111" spans="1:26" x14ac:dyDescent="0.2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</row>
    <row r="112" spans="1:26" x14ac:dyDescent="0.2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</row>
    <row r="113" spans="1:26" x14ac:dyDescent="0.2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</row>
    <row r="114" spans="1:26" x14ac:dyDescent="0.2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</row>
    <row r="115" spans="1:26" x14ac:dyDescent="0.2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</row>
    <row r="116" spans="1:26" x14ac:dyDescent="0.2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</row>
    <row r="117" spans="1:26" x14ac:dyDescent="0.2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</row>
    <row r="118" spans="1:26" x14ac:dyDescent="0.2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</row>
    <row r="119" spans="1:26" x14ac:dyDescent="0.2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</row>
    <row r="120" spans="1:26" x14ac:dyDescent="0.2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</row>
    <row r="121" spans="1:26" x14ac:dyDescent="0.2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</row>
    <row r="122" spans="1:26" x14ac:dyDescent="0.2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</row>
    <row r="123" spans="1:26" x14ac:dyDescent="0.2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</row>
    <row r="124" spans="1:26" x14ac:dyDescent="0.2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</row>
    <row r="125" spans="1:26" x14ac:dyDescent="0.2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</row>
    <row r="126" spans="1:26" x14ac:dyDescent="0.2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</row>
    <row r="127" spans="1:26" x14ac:dyDescent="0.2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</row>
    <row r="128" spans="1:26" x14ac:dyDescent="0.2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</row>
    <row r="129" spans="1:26" x14ac:dyDescent="0.2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</row>
    <row r="130" spans="1:26" x14ac:dyDescent="0.2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</row>
    <row r="131" spans="1:26" x14ac:dyDescent="0.2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</row>
    <row r="132" spans="1:26" x14ac:dyDescent="0.2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</row>
    <row r="133" spans="1:26" x14ac:dyDescent="0.2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</row>
    <row r="134" spans="1:26" x14ac:dyDescent="0.2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</row>
    <row r="135" spans="1:26" x14ac:dyDescent="0.2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</row>
    <row r="136" spans="1:26" x14ac:dyDescent="0.2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</row>
    <row r="137" spans="1:26" x14ac:dyDescent="0.2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</row>
    <row r="138" spans="1:26" x14ac:dyDescent="0.2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</row>
    <row r="139" spans="1:26" x14ac:dyDescent="0.2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</row>
    <row r="140" spans="1:26" x14ac:dyDescent="0.2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</row>
    <row r="141" spans="1:26" x14ac:dyDescent="0.2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</row>
    <row r="142" spans="1:26" x14ac:dyDescent="0.2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</row>
    <row r="143" spans="1:26" x14ac:dyDescent="0.2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</row>
    <row r="144" spans="1:26" x14ac:dyDescent="0.2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</row>
    <row r="145" spans="1:26" x14ac:dyDescent="0.2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</row>
    <row r="146" spans="1:26" x14ac:dyDescent="0.2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</row>
    <row r="147" spans="1:26" x14ac:dyDescent="0.2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</row>
    <row r="148" spans="1:26" x14ac:dyDescent="0.2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</row>
    <row r="149" spans="1:26" x14ac:dyDescent="0.2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</row>
    <row r="150" spans="1:26" x14ac:dyDescent="0.2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</row>
    <row r="151" spans="1:26" x14ac:dyDescent="0.2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</row>
    <row r="152" spans="1:26" x14ac:dyDescent="0.2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</row>
    <row r="153" spans="1:26" x14ac:dyDescent="0.2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</row>
    <row r="154" spans="1:26" x14ac:dyDescent="0.2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</row>
    <row r="155" spans="1:26" x14ac:dyDescent="0.2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</row>
    <row r="156" spans="1:26" x14ac:dyDescent="0.2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</row>
    <row r="157" spans="1:26" x14ac:dyDescent="0.2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</row>
    <row r="158" spans="1:26" x14ac:dyDescent="0.2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</row>
    <row r="159" spans="1:26" x14ac:dyDescent="0.2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</row>
    <row r="160" spans="1:26" x14ac:dyDescent="0.2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</row>
    <row r="161" spans="1:26" x14ac:dyDescent="0.2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</row>
    <row r="162" spans="1:26" x14ac:dyDescent="0.2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</row>
    <row r="163" spans="1:26" x14ac:dyDescent="0.2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</row>
    <row r="164" spans="1:26" x14ac:dyDescent="0.2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</row>
    <row r="165" spans="1:26" x14ac:dyDescent="0.2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</row>
    <row r="166" spans="1:26" x14ac:dyDescent="0.2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</row>
    <row r="167" spans="1:26" x14ac:dyDescent="0.2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</row>
    <row r="168" spans="1:26" x14ac:dyDescent="0.2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</row>
    <row r="169" spans="1:26" x14ac:dyDescent="0.2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</row>
    <row r="170" spans="1:26" x14ac:dyDescent="0.2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</row>
    <row r="171" spans="1:26" x14ac:dyDescent="0.2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</row>
    <row r="172" spans="1:26" x14ac:dyDescent="0.2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</row>
    <row r="173" spans="1:26" x14ac:dyDescent="0.2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</row>
    <row r="174" spans="1:26" x14ac:dyDescent="0.2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</row>
    <row r="175" spans="1:26" x14ac:dyDescent="0.2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</row>
    <row r="176" spans="1:26" x14ac:dyDescent="0.2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</row>
    <row r="177" spans="1:26" x14ac:dyDescent="0.2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</row>
    <row r="178" spans="1:26" x14ac:dyDescent="0.2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</row>
    <row r="179" spans="1:26" x14ac:dyDescent="0.2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</row>
    <row r="180" spans="1:26" x14ac:dyDescent="0.2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</row>
    <row r="181" spans="1:26" x14ac:dyDescent="0.2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</row>
    <row r="182" spans="1:26" x14ac:dyDescent="0.2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</row>
    <row r="183" spans="1:26" x14ac:dyDescent="0.2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</row>
    <row r="184" spans="1:26" x14ac:dyDescent="0.2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</row>
    <row r="185" spans="1:26" x14ac:dyDescent="0.2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</row>
    <row r="186" spans="1:26" x14ac:dyDescent="0.2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</row>
    <row r="187" spans="1:26" x14ac:dyDescent="0.2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</row>
    <row r="188" spans="1:26" x14ac:dyDescent="0.2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</row>
    <row r="189" spans="1:26" x14ac:dyDescent="0.2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</row>
    <row r="190" spans="1:26" x14ac:dyDescent="0.2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</row>
    <row r="191" spans="1:26" x14ac:dyDescent="0.2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</row>
    <row r="192" spans="1:26" x14ac:dyDescent="0.2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</row>
    <row r="193" spans="1:26" x14ac:dyDescent="0.2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</row>
    <row r="194" spans="1:26" x14ac:dyDescent="0.2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0"/>
  <sheetViews>
    <sheetView topLeftCell="D1" workbookViewId="0">
      <selection activeCell="B1" sqref="B1:D1"/>
    </sheetView>
  </sheetViews>
  <sheetFormatPr defaultRowHeight="11.25" outlineLevelCol="1" x14ac:dyDescent="0.2"/>
  <cols>
    <col min="1" max="1" width="5.7109375" style="23" hidden="1" customWidth="1" outlineLevel="1"/>
    <col min="2" max="3" width="6" style="29" hidden="1" customWidth="1" outlineLevel="1"/>
    <col min="4" max="4" width="5.140625" style="29" customWidth="1" collapsed="1"/>
    <col min="5" max="5" width="22.42578125" style="23" bestFit="1" customWidth="1"/>
    <col min="6" max="6" width="19.28515625" style="23" bestFit="1" customWidth="1"/>
    <col min="7" max="8" width="8" style="29" bestFit="1" customWidth="1"/>
    <col min="9" max="10" width="9" style="29" bestFit="1" customWidth="1"/>
    <col min="11" max="12" width="17.28515625" style="29" bestFit="1" customWidth="1"/>
    <col min="13" max="13" width="2.7109375" style="23" bestFit="1" customWidth="1"/>
    <col min="14" max="16384" width="9.140625" style="23"/>
  </cols>
  <sheetData>
    <row r="1" spans="2:13" ht="22.5" x14ac:dyDescent="0.2">
      <c r="B1" s="100" t="s">
        <v>29</v>
      </c>
      <c r="C1" s="101"/>
      <c r="D1" s="101"/>
      <c r="E1" s="34" t="s">
        <v>27</v>
      </c>
      <c r="F1" s="34" t="s">
        <v>28</v>
      </c>
      <c r="G1" s="34" t="s">
        <v>15</v>
      </c>
      <c r="H1" s="34" t="s">
        <v>2</v>
      </c>
      <c r="I1" s="34" t="s">
        <v>3</v>
      </c>
      <c r="J1" s="34" t="s">
        <v>19</v>
      </c>
      <c r="K1" s="34" t="s">
        <v>0</v>
      </c>
      <c r="L1" s="22" t="s">
        <v>1</v>
      </c>
    </row>
    <row r="2" spans="2:13" x14ac:dyDescent="0.2">
      <c r="B2" s="95"/>
      <c r="C2" s="89" t="s">
        <v>17</v>
      </c>
      <c r="D2" s="90" t="s">
        <v>36</v>
      </c>
      <c r="E2" s="40" t="s">
        <v>44</v>
      </c>
      <c r="F2" s="40" t="str">
        <f>_xll.qlDepositRateHelper(,E2,$F$10)</f>
        <v>obj_0076d#0000</v>
      </c>
      <c r="G2" s="91">
        <f>_xll.qlRateHelperQuoteValue(F2,InterestRatesTrigger)</f>
        <v>5.7000000000000002E-3</v>
      </c>
      <c r="H2" s="92" t="b">
        <v>1</v>
      </c>
      <c r="I2" s="92">
        <v>70</v>
      </c>
      <c r="J2" s="92">
        <v>1</v>
      </c>
      <c r="K2" s="93">
        <f>_xll.qlRateHelperEarliestDate($F2,InterestRatesTrigger)</f>
        <v>41688</v>
      </c>
      <c r="L2" s="94">
        <f>_xll.qlRateHelperLatestDate($F2,InterestRatesTrigger)</f>
        <v>42053</v>
      </c>
    </row>
    <row r="3" spans="2:13" ht="11.25" customHeight="1" x14ac:dyDescent="0.2">
      <c r="B3" s="78">
        <v>12</v>
      </c>
      <c r="C3" s="72" t="s">
        <v>37</v>
      </c>
      <c r="D3" s="72" t="s">
        <v>38</v>
      </c>
      <c r="E3" s="73" t="s">
        <v>45</v>
      </c>
      <c r="F3" s="73" t="str">
        <f>_xll.qlFraRateHelper(,E3,B3&amp;"M",$F$10)</f>
        <v>obj_0076f#0000</v>
      </c>
      <c r="G3" s="74">
        <f>_xll.qlRateHelperQuoteValue(F3,InterestRatesTrigger)</f>
        <v>6.7400000000000003E-3</v>
      </c>
      <c r="H3" s="75" t="b">
        <v>1</v>
      </c>
      <c r="I3" s="75">
        <v>70</v>
      </c>
      <c r="J3" s="75">
        <v>1</v>
      </c>
      <c r="K3" s="76">
        <f>_xll.qlRateHelperEarliestDate($F3,InterestRatesTrigger)</f>
        <v>42053</v>
      </c>
      <c r="L3" s="77">
        <f>_xll.qlRateHelperLatestDate($F3,InterestRatesTrigger)</f>
        <v>42418</v>
      </c>
      <c r="M3" s="45"/>
    </row>
    <row r="4" spans="2:13" x14ac:dyDescent="0.2">
      <c r="B4" s="79" t="s">
        <v>39</v>
      </c>
      <c r="C4" s="80" t="s">
        <v>40</v>
      </c>
      <c r="D4" s="81" t="s">
        <v>41</v>
      </c>
      <c r="E4" s="39" t="s">
        <v>46</v>
      </c>
      <c r="F4" s="39" t="str">
        <f>_xll.qlSwapRateHelper2(,E4,D4,Calendar,"annual","mf","30/360 (Bond Basis)",$F$10,0,"0D",DiscountingCurve)</f>
        <v>obj_0076e#0000</v>
      </c>
      <c r="G4" s="82">
        <f>_xll.qlRateHelperQuoteValue(F4,InterestRatesTrigger)</f>
        <v>7.9900000000000006E-3</v>
      </c>
      <c r="H4" s="83" t="b">
        <v>1</v>
      </c>
      <c r="I4" s="83">
        <v>50</v>
      </c>
      <c r="J4" s="83">
        <v>1</v>
      </c>
      <c r="K4" s="84">
        <f>_xll.qlRateHelperEarliestDate($F4,InterestRatesTrigger)</f>
        <v>41688</v>
      </c>
      <c r="L4" s="85">
        <f>_xll.qlRateHelperLatestDate($F4,InterestRatesTrigger)</f>
        <v>42786</v>
      </c>
    </row>
    <row r="5" spans="2:13" x14ac:dyDescent="0.2">
      <c r="B5" s="86" t="s">
        <v>39</v>
      </c>
      <c r="C5" s="62" t="s">
        <v>40</v>
      </c>
      <c r="D5" s="63" t="s">
        <v>42</v>
      </c>
      <c r="E5" s="64" t="s">
        <v>47</v>
      </c>
      <c r="F5" s="64" t="str">
        <f>_xll.qlSwapRateHelper2(,E5,D5,Calendar,"annual","mf","30/360 (Bond Basis)",$F$10,0,"0D",DiscountingCurve)</f>
        <v>obj_0076c#0000</v>
      </c>
      <c r="G5" s="65">
        <f>_xll.qlRateHelperQuoteValue(F5,InterestRatesTrigger)</f>
        <v>1.027E-2</v>
      </c>
      <c r="H5" s="66" t="b">
        <v>1</v>
      </c>
      <c r="I5" s="66">
        <v>50</v>
      </c>
      <c r="J5" s="66">
        <v>1</v>
      </c>
      <c r="K5" s="67">
        <f>_xll.qlRateHelperEarliestDate($F5,InterestRatesTrigger)</f>
        <v>41688</v>
      </c>
      <c r="L5" s="87">
        <f>_xll.qlRateHelperLatestDate($F5,InterestRatesTrigger)</f>
        <v>43150</v>
      </c>
    </row>
    <row r="6" spans="2:13" x14ac:dyDescent="0.2">
      <c r="B6" s="88" t="s">
        <v>39</v>
      </c>
      <c r="C6" s="89" t="s">
        <v>40</v>
      </c>
      <c r="D6" s="90" t="s">
        <v>43</v>
      </c>
      <c r="E6" s="40" t="s">
        <v>48</v>
      </c>
      <c r="F6" s="40" t="str">
        <f>_xll.qlSwapRateHelper2(,E6,D6,Calendar,"annual","mf","30/360 (Bond Basis)",$F$10,0,"0D",DiscountingCurve)</f>
        <v>obj_00770#0000</v>
      </c>
      <c r="G6" s="91">
        <f>_xll.qlRateHelperQuoteValue(F6,InterestRatesTrigger)</f>
        <v>1.2610000000000001E-2</v>
      </c>
      <c r="H6" s="92" t="b">
        <v>1</v>
      </c>
      <c r="I6" s="92">
        <v>50</v>
      </c>
      <c r="J6" s="92">
        <v>1</v>
      </c>
      <c r="K6" s="93">
        <f>_xll.qlRateHelperEarliestDate($F6,InterestRatesTrigger)</f>
        <v>41688</v>
      </c>
      <c r="L6" s="94">
        <f>_xll.qlRateHelperLatestDate($F6,InterestRatesTrigger)</f>
        <v>43514</v>
      </c>
    </row>
    <row r="10" spans="2:13" x14ac:dyDescent="0.2">
      <c r="F10" s="23" t="str">
        <f>_xll.qlEuribor(,IborTenor,,,EvaluationDate)</f>
        <v>obj_0076b#0000</v>
      </c>
    </row>
  </sheetData>
  <mergeCells count="1">
    <mergeCell ref="B1:D1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27"/>
  <sheetViews>
    <sheetView workbookViewId="0"/>
  </sheetViews>
  <sheetFormatPr defaultRowHeight="11.25" outlineLevelCol="1" x14ac:dyDescent="0.2"/>
  <cols>
    <col min="1" max="1" width="15.140625" style="29" bestFit="1" customWidth="1"/>
    <col min="2" max="2" width="8" style="29" bestFit="1" customWidth="1"/>
    <col min="3" max="4" width="17.28515625" style="29" bestFit="1" customWidth="1"/>
    <col min="5" max="5" width="10" style="23" bestFit="1" customWidth="1"/>
    <col min="6" max="6" width="6.28515625" style="23" customWidth="1"/>
    <col min="7" max="7" width="17.28515625" style="23" hidden="1" customWidth="1" outlineLevel="1"/>
    <col min="8" max="8" width="15.140625" style="23" hidden="1" customWidth="1" outlineLevel="1"/>
    <col min="9" max="9" width="17.28515625" style="23" customWidth="1" collapsed="1"/>
    <col min="10" max="10" width="17.28515625" style="23" customWidth="1"/>
    <col min="11" max="13" width="8" style="23" bestFit="1" customWidth="1"/>
    <col min="14" max="14" width="8" style="23" customWidth="1"/>
    <col min="15" max="15" width="15.140625" style="23" bestFit="1" customWidth="1"/>
    <col min="16" max="16384" width="9.140625" style="23"/>
  </cols>
  <sheetData>
    <row r="1" spans="1:16" ht="22.5" x14ac:dyDescent="0.2">
      <c r="A1" s="21" t="s">
        <v>24</v>
      </c>
      <c r="B1" s="34" t="s">
        <v>20</v>
      </c>
      <c r="C1" s="34" t="s">
        <v>0</v>
      </c>
      <c r="D1" s="22" t="s">
        <v>1</v>
      </c>
      <c r="E1" s="98" t="s">
        <v>20</v>
      </c>
      <c r="F1" s="98"/>
      <c r="G1" s="98" t="s">
        <v>51</v>
      </c>
      <c r="H1" s="98"/>
      <c r="I1" s="98" t="s">
        <v>53</v>
      </c>
      <c r="J1" s="98" t="s">
        <v>54</v>
      </c>
      <c r="K1" s="98" t="s">
        <v>52</v>
      </c>
      <c r="L1" s="98" t="s">
        <v>21</v>
      </c>
      <c r="M1" s="98" t="s">
        <v>56</v>
      </c>
      <c r="N1" s="98" t="s">
        <v>61</v>
      </c>
    </row>
    <row r="2" spans="1:16" x14ac:dyDescent="0.2">
      <c r="A2" s="35"/>
      <c r="B2" s="36"/>
      <c r="C2" s="37"/>
      <c r="D2" s="31">
        <f>'General Settings'!C26</f>
        <v>41688</v>
      </c>
      <c r="E2" s="26">
        <f t="array" ref="E2:E127">_xll.qlPiecewiseYieldCurveData(YieldCurve,InterestRatesTrigger)</f>
        <v>1</v>
      </c>
      <c r="F2" s="23">
        <v>0</v>
      </c>
      <c r="G2" s="68">
        <f>_xll.qlInterestRateIndexFixingDate(IborIndex,I2)</f>
        <v>41684</v>
      </c>
      <c r="H2" s="23" t="str">
        <f>_xll.qlMakeDatedOIS(,I2,J2,OvernightIndex,0,"Act/360",0)</f>
        <v>obj_00791#0000</v>
      </c>
      <c r="I2" s="68">
        <f>_xll.qlCalendarAdvance(Calendar,$D$2,F2&amp;"M","mf")</f>
        <v>41688</v>
      </c>
      <c r="J2" s="68">
        <f>_xll.qlInterestRateIndexMaturity(IborIndex,I2)</f>
        <v>42053</v>
      </c>
      <c r="K2" s="26">
        <f>_xll.qlIndexFixing(IborIndex,G2,TRUE,InterestRatesTrigger)</f>
        <v>5.7000000000000019E-3</v>
      </c>
      <c r="L2" s="26" t="e">
        <f>_xll.qlOvernightIndexedSwapFairRate(H2,InterestRatesTrigger)</f>
        <v>#NUM!</v>
      </c>
      <c r="M2" s="45" t="e">
        <f>ROUND(K2-L2,6)</f>
        <v>#NUM!</v>
      </c>
      <c r="N2" s="26"/>
      <c r="O2" s="23" t="str">
        <f>_xll.qlSimpleQuote(,,,,EvaluationDate)</f>
        <v>obj_00701#0000</v>
      </c>
      <c r="P2" s="26" t="e">
        <f>_xll.qlSimpleQuoteSetValue(O2,M2)</f>
        <v>#NUM!</v>
      </c>
    </row>
    <row r="3" spans="1:16" x14ac:dyDescent="0.2">
      <c r="A3" s="24" t="str">
        <f>RateHelpers!F2</f>
        <v>obj_0076d#0000</v>
      </c>
      <c r="B3" s="25">
        <f>_xll.qlRateHelperRate($A3,InterestRatesTrigger)</f>
        <v>5.7000000000000002E-3</v>
      </c>
      <c r="C3" s="30">
        <f>_xll.qlRateHelperEarliestDate($A3)</f>
        <v>41688</v>
      </c>
      <c r="D3" s="31">
        <f>_xll.qlRateHelperLatestDate($A3)</f>
        <v>42053</v>
      </c>
      <c r="E3" s="26">
        <v>0.99425404019271957</v>
      </c>
      <c r="F3" s="23">
        <v>12</v>
      </c>
      <c r="G3" s="68">
        <f>_xll.qlInterestRateIndexFixingDate(IborIndex,I3)</f>
        <v>42051</v>
      </c>
      <c r="H3" s="23" t="str">
        <f>_xll.qlMakeDatedOIS(,I3,J3,OvernightIndex,0,"Act/360",0)</f>
        <v>obj_0077a#0000</v>
      </c>
      <c r="I3" s="68">
        <f>_xll.qlCalendarAdvance(Calendar,$D$2,F3&amp;"M","mf")</f>
        <v>42053</v>
      </c>
      <c r="J3" s="68">
        <f>_xll.qlInterestRateIndexMaturity(IborIndex,I3)</f>
        <v>42418</v>
      </c>
      <c r="K3" s="26">
        <f>_xll.qlIndexFixing(IborIndex,G3,TRUE,InterestRatesTrigger)</f>
        <v>6.7400000000000264E-3</v>
      </c>
      <c r="L3" s="26" t="e">
        <f>_xll.qlOvernightIndexedSwapFairRate(H3,InterestRatesTrigger)</f>
        <v>#NUM!</v>
      </c>
      <c r="M3" s="45" t="e">
        <f>ROUND(K3-L3,6)</f>
        <v>#NUM!</v>
      </c>
      <c r="N3" s="26"/>
      <c r="O3" s="23" t="str">
        <f>_xll.qlSimpleQuote(,,,,EvaluationDate)</f>
        <v>obj_00705#0000</v>
      </c>
      <c r="P3" s="26" t="e">
        <f>_xll.qlSimpleQuoteSetValue(O3,M3)</f>
        <v>#NUM!</v>
      </c>
    </row>
    <row r="4" spans="1:16" x14ac:dyDescent="0.2">
      <c r="A4" s="24" t="str">
        <f>RateHelpers!F3</f>
        <v>obj_0076f#0000</v>
      </c>
      <c r="B4" s="25">
        <f>_xll.qlRateHelperRate($A4,InterestRatesTrigger)</f>
        <v>6.7400000000000003E-3</v>
      </c>
      <c r="C4" s="30">
        <f>_xll.qlRateHelperEarliestDate($A4)</f>
        <v>42053</v>
      </c>
      <c r="D4" s="31">
        <f>_xll.qlRateHelperLatestDate($A4)</f>
        <v>42418</v>
      </c>
      <c r="E4" s="26">
        <v>0.9875058095204936</v>
      </c>
      <c r="F4" s="23">
        <v>24</v>
      </c>
      <c r="G4" s="68">
        <f>_xll.qlInterestRateIndexFixingDate(IborIndex,I4)</f>
        <v>42416</v>
      </c>
      <c r="H4" s="23" t="str">
        <f>_xll.qlMakeDatedOIS(,I4,J4,OvernightIndex,0,"Act/360",0)</f>
        <v>obj_00796#0000</v>
      </c>
      <c r="I4" s="68">
        <f>_xll.qlCalendarAdvance(Calendar,$D$2,F4&amp;"M","mf")</f>
        <v>42418</v>
      </c>
      <c r="J4" s="68">
        <f>_xll.qlInterestRateIndexMaturity(IborIndex,I4)</f>
        <v>42786</v>
      </c>
      <c r="K4" s="26">
        <f>_xll.qlIndexFixing(IborIndex,G4,TRUE,InterestRatesTrigger)</f>
        <v>1.1206433399078636E-2</v>
      </c>
      <c r="L4" s="26" t="e">
        <f>_xll.qlOvernightIndexedSwapFairRate(H4,InterestRatesTrigger)</f>
        <v>#NUM!</v>
      </c>
      <c r="M4" s="45" t="e">
        <f>ROUND(K4-L4,6)</f>
        <v>#NUM!</v>
      </c>
      <c r="N4" s="26"/>
      <c r="O4" s="23" t="str">
        <f>_xll.qlSimpleQuote(,,,,EvaluationDate)</f>
        <v>obj_00703#0000</v>
      </c>
      <c r="P4" s="26" t="e">
        <f>_xll.qlSimpleQuoteSetValue(O4,M4)</f>
        <v>#NUM!</v>
      </c>
    </row>
    <row r="5" spans="1:16" x14ac:dyDescent="0.2">
      <c r="A5" s="24" t="str">
        <f>RateHelpers!F4</f>
        <v>obj_0076e#0000</v>
      </c>
      <c r="B5" s="25">
        <f>_xll.qlRateHelperRate($A5,InterestRatesTrigger)</f>
        <v>7.9900000000000006E-3</v>
      </c>
      <c r="C5" s="30">
        <f>_xll.qlRateHelperEarliestDate($A5)</f>
        <v>41688</v>
      </c>
      <c r="D5" s="31">
        <f>_xll.qlRateHelperLatestDate($A5)</f>
        <v>42786</v>
      </c>
      <c r="E5" s="26">
        <v>0.97632159145442776</v>
      </c>
      <c r="F5" s="23">
        <v>36</v>
      </c>
      <c r="G5" s="68">
        <f>_xll.qlInterestRateIndexFixingDate(IborIndex,I5)</f>
        <v>42782</v>
      </c>
      <c r="H5" s="23" t="str">
        <f>_xll.qlMakeDatedOIS(,I5,J5,OvernightIndex,0,"Act/360",0)</f>
        <v>obj_0078f#0000</v>
      </c>
      <c r="I5" s="68">
        <f>_xll.qlCalendarAdvance(Calendar,$D$2,F5&amp;"M","mf")</f>
        <v>42786</v>
      </c>
      <c r="J5" s="68">
        <f>_xll.qlInterestRateIndexMaturity(IborIndex,I5)</f>
        <v>43151</v>
      </c>
      <c r="K5" s="26">
        <f>_xll.qlIndexFixing(IborIndex,G5,TRUE,InterestRatesTrigger)</f>
        <v>1.7100476276737071E-2</v>
      </c>
      <c r="L5" s="26" t="e">
        <f>_xll.qlOvernightIndexedSwapFairRate(H5,InterestRatesTrigger)</f>
        <v>#NUM!</v>
      </c>
      <c r="M5" s="45" t="e">
        <f>ROUND(K5-L5,6)</f>
        <v>#NUM!</v>
      </c>
      <c r="N5" s="26"/>
      <c r="O5" s="23" t="str">
        <f>_xll.qlSimpleQuote(,,,,EvaluationDate)</f>
        <v>obj_00702#0000</v>
      </c>
      <c r="P5" s="26" t="e">
        <f>_xll.qlSimpleQuoteSetValue(O5,M5)</f>
        <v>#NUM!</v>
      </c>
    </row>
    <row r="6" spans="1:16" x14ac:dyDescent="0.2">
      <c r="A6" s="24" t="str">
        <f>RateHelpers!F5</f>
        <v>obj_0076c#0000</v>
      </c>
      <c r="B6" s="25">
        <f>_xll.qlRateHelperRate($A6,InterestRatesTrigger)</f>
        <v>1.027E-2</v>
      </c>
      <c r="C6" s="30">
        <f>_xll.qlRateHelperEarliestDate($A6)</f>
        <v>41688</v>
      </c>
      <c r="D6" s="31">
        <f>_xll.qlRateHelperLatestDate($A6)</f>
        <v>43150</v>
      </c>
      <c r="E6" s="26">
        <v>0.95973569259205027</v>
      </c>
      <c r="F6" s="23">
        <v>48</v>
      </c>
      <c r="G6" s="68">
        <f>_xll.qlInterestRateIndexFixingDate(IborIndex,I6)</f>
        <v>43146</v>
      </c>
      <c r="H6" s="23" t="str">
        <f>_xll.qlMakeDatedOIS(,I6,J6,OvernightIndex,0,"Act/360",0)</f>
        <v>obj_0079b#0000</v>
      </c>
      <c r="I6" s="68">
        <f>_xll.qlCalendarAdvance(Calendar,$D$2,F6&amp;"M","mf")</f>
        <v>43150</v>
      </c>
      <c r="J6" s="68">
        <f>_xll.qlInterestRateIndexMaturity(IborIndex,I6)</f>
        <v>43515</v>
      </c>
      <c r="K6" s="26">
        <f>_xll.qlIndexFixing(IborIndex,G6,TRUE,InterestRatesTrigger)</f>
        <v>2.210547150728245E-2</v>
      </c>
      <c r="L6" s="26" t="e">
        <f>_xll.qlOvernightIndexedSwapFairRate(H6,InterestRatesTrigger)</f>
        <v>#NUM!</v>
      </c>
      <c r="M6" s="45" t="e">
        <f>ROUND(K6-L6,6)</f>
        <v>#NUM!</v>
      </c>
      <c r="N6" s="26"/>
      <c r="O6" s="23" t="str">
        <f>_xll.qlSimpleQuote(,,,,EvaluationDate)</f>
        <v>obj_00704#0000</v>
      </c>
      <c r="P6" s="26" t="e">
        <f>_xll.qlSimpleQuoteSetValue(O6,M6)</f>
        <v>#NUM!</v>
      </c>
    </row>
    <row r="7" spans="1:16" x14ac:dyDescent="0.2">
      <c r="A7" s="24" t="str">
        <f>RateHelpers!F6</f>
        <v>obj_00770#0000</v>
      </c>
      <c r="B7" s="25">
        <f>_xll.qlRateHelperRate($A7,InterestRatesTrigger)</f>
        <v>1.2610000000000001E-2</v>
      </c>
      <c r="C7" s="30">
        <f>_xll.qlRateHelperEarliestDate($A7)</f>
        <v>41688</v>
      </c>
      <c r="D7" s="31">
        <f>_xll.qlRateHelperLatestDate($A7)</f>
        <v>43514</v>
      </c>
      <c r="E7" s="26">
        <v>0.93875670708534253</v>
      </c>
      <c r="G7" s="68"/>
      <c r="I7" s="68"/>
      <c r="J7" s="68"/>
      <c r="K7" s="26"/>
      <c r="L7" s="26"/>
      <c r="M7" s="45"/>
    </row>
    <row r="8" spans="1:16" x14ac:dyDescent="0.2">
      <c r="A8" s="24"/>
      <c r="B8" s="25"/>
      <c r="C8" s="30"/>
      <c r="D8" s="31"/>
      <c r="E8" s="26" t="e">
        <v>#N/A</v>
      </c>
      <c r="F8" s="23">
        <v>1</v>
      </c>
      <c r="G8" s="68">
        <f>_xll.qlInterestRateIndexFixingDate(IborIndex,I8)</f>
        <v>41712</v>
      </c>
      <c r="H8" s="23" t="str">
        <f>_xll.qlMakeDatedOIS(,I8,J8,OvernightIndex,0,"Act/360",0)</f>
        <v>obj_0079f#0000</v>
      </c>
      <c r="I8" s="68">
        <f>_xll.qlCalendarAdvance(Calendar,$D$2,F8&amp;"M","mf")</f>
        <v>41716</v>
      </c>
      <c r="J8" s="68">
        <f>_xll.qlInterestRateIndexMaturity(IborIndex,I8)</f>
        <v>42081</v>
      </c>
      <c r="L8" s="26" t="e">
        <f>_xll.qlOvernightIndexedSwapFairRate(H8,_xll.ohTrigger($P$2:$P$6))</f>
        <v>#NUM!</v>
      </c>
      <c r="M8" s="45" t="e">
        <f>_xll.qlInterpolationInterpolate(BasisInterpolator,I8,,L8)</f>
        <v>#VALUE!</v>
      </c>
      <c r="N8" s="26" t="e">
        <f t="shared" ref="N8:N51" si="0">L8+M8</f>
        <v>#NUM!</v>
      </c>
    </row>
    <row r="9" spans="1:16" x14ac:dyDescent="0.2">
      <c r="A9" s="24"/>
      <c r="B9" s="25"/>
      <c r="C9" s="30"/>
      <c r="D9" s="31"/>
      <c r="E9" s="26" t="e">
        <v>#N/A</v>
      </c>
      <c r="F9" s="23">
        <v>2</v>
      </c>
      <c r="G9" s="68">
        <f>_xll.qlInterestRateIndexFixingDate(IborIndex,I9)</f>
        <v>41745</v>
      </c>
      <c r="H9" s="23" t="str">
        <f>_xll.qlMakeDatedOIS(,I9,J9,OvernightIndex,0,"Act/360",0)</f>
        <v>obj_0079d#0000</v>
      </c>
      <c r="I9" s="68">
        <f>_xll.qlCalendarAdvance(Calendar,$D$2,F9&amp;"M","mf")</f>
        <v>41751</v>
      </c>
      <c r="J9" s="68">
        <f>_xll.qlInterestRateIndexMaturity(IborIndex,I9)</f>
        <v>42116</v>
      </c>
      <c r="L9" s="26" t="e">
        <f>_xll.qlOvernightIndexedSwapFairRate(H9,_xll.ohTrigger($P$2:$P$6))</f>
        <v>#NUM!</v>
      </c>
      <c r="M9" s="45" t="e">
        <f>_xll.qlInterpolationInterpolate(BasisInterpolator,I9,,L9)</f>
        <v>#VALUE!</v>
      </c>
      <c r="N9" s="26" t="e">
        <f t="shared" si="0"/>
        <v>#NUM!</v>
      </c>
    </row>
    <row r="10" spans="1:16" x14ac:dyDescent="0.2">
      <c r="A10" s="24"/>
      <c r="B10" s="25"/>
      <c r="C10" s="30"/>
      <c r="D10" s="31"/>
      <c r="E10" s="26" t="e">
        <v>#N/A</v>
      </c>
      <c r="F10" s="23">
        <v>3</v>
      </c>
      <c r="G10" s="68">
        <f>_xll.qlInterestRateIndexFixingDate(IborIndex,I10)</f>
        <v>41774</v>
      </c>
      <c r="H10" s="23" t="str">
        <f>_xll.qlMakeDatedOIS(,I10,J10,OvernightIndex,0,"Act/360",0)</f>
        <v>obj_00773#0000</v>
      </c>
      <c r="I10" s="68">
        <f>_xll.qlCalendarAdvance(Calendar,$D$2,F10&amp;"M","mf")</f>
        <v>41778</v>
      </c>
      <c r="J10" s="68">
        <f>_xll.qlInterestRateIndexMaturity(IborIndex,I10)</f>
        <v>42143</v>
      </c>
      <c r="L10" s="26" t="e">
        <f>_xll.qlOvernightIndexedSwapFairRate(H10,_xll.ohTrigger($P$2:$P$6))</f>
        <v>#NUM!</v>
      </c>
      <c r="M10" s="45" t="e">
        <f>_xll.qlInterpolationInterpolate(BasisInterpolator,I10,,L10)</f>
        <v>#VALUE!</v>
      </c>
      <c r="N10" s="26" t="e">
        <f t="shared" si="0"/>
        <v>#NUM!</v>
      </c>
    </row>
    <row r="11" spans="1:16" x14ac:dyDescent="0.2">
      <c r="A11" s="24"/>
      <c r="B11" s="25"/>
      <c r="C11" s="30"/>
      <c r="D11" s="31"/>
      <c r="E11" s="26" t="e">
        <v>#N/A</v>
      </c>
      <c r="F11" s="23">
        <v>4</v>
      </c>
      <c r="G11" s="68">
        <f>_xll.qlInterestRateIndexFixingDate(IborIndex,I11)</f>
        <v>41806</v>
      </c>
      <c r="H11" s="23" t="str">
        <f>_xll.qlMakeDatedOIS(,I11,J11,OvernightIndex,0,"Act/360",0)</f>
        <v>obj_00798#0000</v>
      </c>
      <c r="I11" s="68">
        <f>_xll.qlCalendarAdvance(Calendar,$D$2,F11&amp;"M","mf")</f>
        <v>41808</v>
      </c>
      <c r="J11" s="68">
        <f>_xll.qlInterestRateIndexMaturity(IborIndex,I11)</f>
        <v>42173</v>
      </c>
      <c r="L11" s="26" t="e">
        <f>_xll.qlOvernightIndexedSwapFairRate(H11,_xll.ohTrigger($P$2:$P$6))</f>
        <v>#NUM!</v>
      </c>
      <c r="M11" s="45" t="e">
        <f>_xll.qlInterpolationInterpolate(BasisInterpolator,I11,,L11)</f>
        <v>#VALUE!</v>
      </c>
      <c r="N11" s="26" t="e">
        <f t="shared" si="0"/>
        <v>#NUM!</v>
      </c>
    </row>
    <row r="12" spans="1:16" x14ac:dyDescent="0.2">
      <c r="A12" s="24"/>
      <c r="B12" s="25"/>
      <c r="C12" s="30"/>
      <c r="D12" s="31"/>
      <c r="E12" s="26" t="e">
        <v>#N/A</v>
      </c>
      <c r="F12" s="23">
        <v>5</v>
      </c>
      <c r="G12" s="68">
        <f>_xll.qlInterestRateIndexFixingDate(IborIndex,I12)</f>
        <v>41836</v>
      </c>
      <c r="H12" s="23" t="str">
        <f>_xll.qlMakeDatedOIS(,I12,J12,OvernightIndex,0,"Act/360",0)</f>
        <v>obj_00794#0000</v>
      </c>
      <c r="I12" s="68">
        <f>_xll.qlCalendarAdvance(Calendar,$D$2,F12&amp;"M","mf")</f>
        <v>41838</v>
      </c>
      <c r="J12" s="68">
        <f>_xll.qlInterestRateIndexMaturity(IborIndex,I12)</f>
        <v>42205</v>
      </c>
      <c r="L12" s="26" t="e">
        <f>_xll.qlOvernightIndexedSwapFairRate(H12,_xll.ohTrigger($P$2:$P$6))</f>
        <v>#NUM!</v>
      </c>
      <c r="M12" s="45" t="e">
        <f>_xll.qlInterpolationInterpolate(BasisInterpolator,I12,,L12)</f>
        <v>#VALUE!</v>
      </c>
      <c r="N12" s="26" t="e">
        <f t="shared" si="0"/>
        <v>#NUM!</v>
      </c>
    </row>
    <row r="13" spans="1:16" x14ac:dyDescent="0.2">
      <c r="A13" s="24"/>
      <c r="B13" s="25"/>
      <c r="C13" s="30"/>
      <c r="D13" s="31"/>
      <c r="E13" s="26" t="e">
        <v>#N/A</v>
      </c>
      <c r="F13" s="23">
        <v>6</v>
      </c>
      <c r="G13" s="68">
        <f>_xll.qlInterestRateIndexFixingDate(IborIndex,I13)</f>
        <v>41865</v>
      </c>
      <c r="H13" s="23" t="str">
        <f>_xll.qlMakeDatedOIS(,I13,J13,OvernightIndex,0,"Act/360",0)</f>
        <v>obj_00778#0000</v>
      </c>
      <c r="I13" s="68">
        <f>_xll.qlCalendarAdvance(Calendar,$D$2,F13&amp;"M","mf")</f>
        <v>41869</v>
      </c>
      <c r="J13" s="68">
        <f>_xll.qlInterestRateIndexMaturity(IborIndex,I13)</f>
        <v>42234</v>
      </c>
      <c r="L13" s="26" t="e">
        <f>_xll.qlOvernightIndexedSwapFairRate(H13,_xll.ohTrigger($P$2:$P$6))</f>
        <v>#NUM!</v>
      </c>
      <c r="M13" s="45" t="e">
        <f>_xll.qlInterpolationInterpolate(BasisInterpolator,I13,,L13)</f>
        <v>#VALUE!</v>
      </c>
      <c r="N13" s="26" t="e">
        <f t="shared" si="0"/>
        <v>#NUM!</v>
      </c>
    </row>
    <row r="14" spans="1:16" x14ac:dyDescent="0.2">
      <c r="A14" s="24"/>
      <c r="B14" s="25"/>
      <c r="C14" s="30"/>
      <c r="D14" s="31"/>
      <c r="E14" s="26" t="e">
        <v>#N/A</v>
      </c>
      <c r="F14" s="23">
        <v>7</v>
      </c>
      <c r="G14" s="68">
        <f>_xll.qlInterestRateIndexFixingDate(IborIndex,I14)</f>
        <v>41898</v>
      </c>
      <c r="H14" s="23" t="str">
        <f>_xll.qlMakeDatedOIS(,I14,J14,OvernightIndex,0,"Act/360",0)</f>
        <v>obj_007a1#0000</v>
      </c>
      <c r="I14" s="68">
        <f>_xll.qlCalendarAdvance(Calendar,$D$2,F14&amp;"M","mf")</f>
        <v>41900</v>
      </c>
      <c r="J14" s="68">
        <f>_xll.qlInterestRateIndexMaturity(IborIndex,I14)</f>
        <v>42265</v>
      </c>
      <c r="L14" s="26" t="e">
        <f>_xll.qlOvernightIndexedSwapFairRate(H14,_xll.ohTrigger($P$2:$P$6))</f>
        <v>#NUM!</v>
      </c>
      <c r="M14" s="45" t="e">
        <f>_xll.qlInterpolationInterpolate(BasisInterpolator,I14,,L14)</f>
        <v>#VALUE!</v>
      </c>
      <c r="N14" s="26" t="e">
        <f t="shared" si="0"/>
        <v>#NUM!</v>
      </c>
    </row>
    <row r="15" spans="1:16" x14ac:dyDescent="0.2">
      <c r="A15" s="24"/>
      <c r="B15" s="25"/>
      <c r="C15" s="30"/>
      <c r="D15" s="31"/>
      <c r="E15" s="26" t="e">
        <v>#N/A</v>
      </c>
      <c r="F15" s="23">
        <v>8</v>
      </c>
      <c r="G15" s="68">
        <f>_xll.qlInterestRateIndexFixingDate(IborIndex,I15)</f>
        <v>41928</v>
      </c>
      <c r="H15" s="23" t="str">
        <f>_xll.qlMakeDatedOIS(,I15,J15,OvernightIndex,0,"Act/360",0)</f>
        <v>obj_0077c#0000</v>
      </c>
      <c r="I15" s="68">
        <f>_xll.qlCalendarAdvance(Calendar,$D$2,F15&amp;"M","mf")</f>
        <v>41932</v>
      </c>
      <c r="J15" s="68">
        <f>_xll.qlInterestRateIndexMaturity(IborIndex,I15)</f>
        <v>42297</v>
      </c>
      <c r="L15" s="26" t="e">
        <f>_xll.qlOvernightIndexedSwapFairRate(H15,_xll.ohTrigger($P$2:$P$6))</f>
        <v>#NUM!</v>
      </c>
      <c r="M15" s="45" t="e">
        <f>_xll.qlInterpolationInterpolate(BasisInterpolator,I15,,L15)</f>
        <v>#VALUE!</v>
      </c>
      <c r="N15" s="26" t="e">
        <f t="shared" si="0"/>
        <v>#NUM!</v>
      </c>
    </row>
    <row r="16" spans="1:16" x14ac:dyDescent="0.2">
      <c r="A16" s="24"/>
      <c r="B16" s="25"/>
      <c r="C16" s="30"/>
      <c r="D16" s="31"/>
      <c r="E16" s="26" t="e">
        <v>#N/A</v>
      </c>
      <c r="F16" s="23">
        <v>9</v>
      </c>
      <c r="G16" s="68">
        <f>_xll.qlInterestRateIndexFixingDate(IborIndex,I16)</f>
        <v>41957</v>
      </c>
      <c r="H16" s="23" t="str">
        <f>_xll.qlMakeDatedOIS(,I16,J16,OvernightIndex,0,"Act/360",0)</f>
        <v>obj_00788#0000</v>
      </c>
      <c r="I16" s="68">
        <f>_xll.qlCalendarAdvance(Calendar,$D$2,F16&amp;"M","mf")</f>
        <v>41961</v>
      </c>
      <c r="J16" s="68">
        <f>_xll.qlInterestRateIndexMaturity(IborIndex,I16)</f>
        <v>42326</v>
      </c>
      <c r="L16" s="26" t="e">
        <f>_xll.qlOvernightIndexedSwapFairRate(H16,_xll.ohTrigger($P$2:$P$6))</f>
        <v>#NUM!</v>
      </c>
      <c r="M16" s="45" t="e">
        <f>_xll.qlInterpolationInterpolate(BasisInterpolator,I16,,L16)</f>
        <v>#VALUE!</v>
      </c>
      <c r="N16" s="26" t="e">
        <f t="shared" si="0"/>
        <v>#NUM!</v>
      </c>
    </row>
    <row r="17" spans="1:14" x14ac:dyDescent="0.2">
      <c r="A17" s="24"/>
      <c r="B17" s="25"/>
      <c r="C17" s="30"/>
      <c r="D17" s="31"/>
      <c r="E17" s="26" t="e">
        <v>#N/A</v>
      </c>
      <c r="F17" s="23">
        <v>10</v>
      </c>
      <c r="G17" s="68">
        <f>_xll.qlInterestRateIndexFixingDate(IborIndex,I17)</f>
        <v>41989</v>
      </c>
      <c r="H17" s="23" t="str">
        <f>_xll.qlMakeDatedOIS(,I17,J17,OvernightIndex,0,"Act/360",0)</f>
        <v>obj_0077d#0000</v>
      </c>
      <c r="I17" s="68">
        <f>_xll.qlCalendarAdvance(Calendar,$D$2,F17&amp;"M","mf")</f>
        <v>41991</v>
      </c>
      <c r="J17" s="68">
        <f>_xll.qlInterestRateIndexMaturity(IborIndex,I17)</f>
        <v>42356</v>
      </c>
      <c r="L17" s="26" t="e">
        <f>_xll.qlOvernightIndexedSwapFairRate(H17,_xll.ohTrigger($P$2:$P$6))</f>
        <v>#NUM!</v>
      </c>
      <c r="M17" s="45" t="e">
        <f>_xll.qlInterpolationInterpolate(BasisInterpolator,I17,,L17)</f>
        <v>#VALUE!</v>
      </c>
      <c r="N17" s="26" t="e">
        <f t="shared" si="0"/>
        <v>#NUM!</v>
      </c>
    </row>
    <row r="18" spans="1:14" x14ac:dyDescent="0.2">
      <c r="A18" s="24"/>
      <c r="B18" s="25"/>
      <c r="C18" s="30"/>
      <c r="D18" s="31"/>
      <c r="E18" s="26" t="e">
        <v>#N/A</v>
      </c>
      <c r="F18" s="23">
        <v>11</v>
      </c>
      <c r="G18" s="68">
        <f>_xll.qlInterestRateIndexFixingDate(IborIndex,I18)</f>
        <v>42019</v>
      </c>
      <c r="H18" s="23" t="str">
        <f>_xll.qlMakeDatedOIS(,I18,J18,OvernightIndex,0,"Act/360",0)</f>
        <v>obj_00799#0000</v>
      </c>
      <c r="I18" s="68">
        <f>_xll.qlCalendarAdvance(Calendar,$D$2,F18&amp;"M","mf")</f>
        <v>42023</v>
      </c>
      <c r="J18" s="68">
        <f>_xll.qlInterestRateIndexMaturity(IborIndex,I18)</f>
        <v>42388</v>
      </c>
      <c r="L18" s="26" t="e">
        <f>_xll.qlOvernightIndexedSwapFairRate(H18,_xll.ohTrigger($P$2:$P$6))</f>
        <v>#NUM!</v>
      </c>
      <c r="M18" s="45" t="e">
        <f>_xll.qlInterpolationInterpolate(BasisInterpolator,I18,,L18)</f>
        <v>#VALUE!</v>
      </c>
      <c r="N18" s="26" t="e">
        <f t="shared" si="0"/>
        <v>#NUM!</v>
      </c>
    </row>
    <row r="19" spans="1:14" x14ac:dyDescent="0.2">
      <c r="A19" s="24"/>
      <c r="B19" s="25"/>
      <c r="C19" s="30"/>
      <c r="D19" s="31"/>
      <c r="E19" s="26" t="e">
        <v>#N/A</v>
      </c>
      <c r="F19" s="23">
        <v>13</v>
      </c>
      <c r="G19" s="68">
        <f>_xll.qlInterestRateIndexFixingDate(IborIndex,I19)</f>
        <v>42079</v>
      </c>
      <c r="H19" s="23" t="str">
        <f>_xll.qlMakeDatedOIS(,I19,J19,OvernightIndex,0,"Act/360",0)</f>
        <v>obj_0078d#0000</v>
      </c>
      <c r="I19" s="68">
        <f>_xll.qlCalendarAdvance(Calendar,$D$2,F19&amp;"M","mf")</f>
        <v>42081</v>
      </c>
      <c r="J19" s="68">
        <f>_xll.qlInterestRateIndexMaturity(IborIndex,I19)</f>
        <v>42447</v>
      </c>
      <c r="L19" s="26" t="e">
        <f>_xll.qlOvernightIndexedSwapFairRate(H19,_xll.ohTrigger($P$2:$P$6))</f>
        <v>#NUM!</v>
      </c>
      <c r="M19" s="45" t="e">
        <f>_xll.qlInterpolationInterpolate(BasisInterpolator,I19,,L19)</f>
        <v>#VALUE!</v>
      </c>
      <c r="N19" s="26" t="e">
        <f t="shared" si="0"/>
        <v>#NUM!</v>
      </c>
    </row>
    <row r="20" spans="1:14" x14ac:dyDescent="0.2">
      <c r="A20" s="24"/>
      <c r="B20" s="25"/>
      <c r="C20" s="30"/>
      <c r="D20" s="31"/>
      <c r="E20" s="26" t="e">
        <v>#N/A</v>
      </c>
      <c r="F20" s="23">
        <v>14</v>
      </c>
      <c r="G20" s="68">
        <f>_xll.qlInterestRateIndexFixingDate(IborIndex,I20)</f>
        <v>42110</v>
      </c>
      <c r="H20" s="23" t="str">
        <f>_xll.qlMakeDatedOIS(,I20,J20,OvernightIndex,0,"Act/360",0)</f>
        <v>obj_0078a#0000</v>
      </c>
      <c r="I20" s="68">
        <f>_xll.qlCalendarAdvance(Calendar,$D$2,F20&amp;"M","mf")</f>
        <v>42114</v>
      </c>
      <c r="J20" s="68">
        <f>_xll.qlInterestRateIndexMaturity(IborIndex,I20)</f>
        <v>42480</v>
      </c>
      <c r="L20" s="26" t="e">
        <f>_xll.qlOvernightIndexedSwapFairRate(H20,_xll.ohTrigger($P$2:$P$6))</f>
        <v>#NUM!</v>
      </c>
      <c r="M20" s="45" t="e">
        <f>_xll.qlInterpolationInterpolate(BasisInterpolator,I20,,L20)</f>
        <v>#VALUE!</v>
      </c>
      <c r="N20" s="26" t="e">
        <f t="shared" si="0"/>
        <v>#NUM!</v>
      </c>
    </row>
    <row r="21" spans="1:14" x14ac:dyDescent="0.2">
      <c r="A21" s="24"/>
      <c r="B21" s="25"/>
      <c r="C21" s="30"/>
      <c r="D21" s="31"/>
      <c r="E21" s="26" t="e">
        <v>#N/A</v>
      </c>
      <c r="F21" s="23">
        <v>15</v>
      </c>
      <c r="G21" s="68">
        <f>_xll.qlInterestRateIndexFixingDate(IborIndex,I21)</f>
        <v>42138</v>
      </c>
      <c r="H21" s="23" t="str">
        <f>_xll.qlMakeDatedOIS(,I21,J21,OvernightIndex,0,"Act/360",0)</f>
        <v>obj_00780#0000</v>
      </c>
      <c r="I21" s="68">
        <f>_xll.qlCalendarAdvance(Calendar,$D$2,F21&amp;"M","mf")</f>
        <v>42142</v>
      </c>
      <c r="J21" s="68">
        <f>_xll.qlInterestRateIndexMaturity(IborIndex,I21)</f>
        <v>42508</v>
      </c>
      <c r="L21" s="26" t="e">
        <f>_xll.qlOvernightIndexedSwapFairRate(H21,_xll.ohTrigger($P$2:$P$6))</f>
        <v>#NUM!</v>
      </c>
      <c r="M21" s="45" t="e">
        <f>_xll.qlInterpolationInterpolate(BasisInterpolator,I21,,L21)</f>
        <v>#VALUE!</v>
      </c>
      <c r="N21" s="26" t="e">
        <f t="shared" si="0"/>
        <v>#NUM!</v>
      </c>
    </row>
    <row r="22" spans="1:14" x14ac:dyDescent="0.2">
      <c r="A22" s="24"/>
      <c r="B22" s="25"/>
      <c r="C22" s="30"/>
      <c r="D22" s="31"/>
      <c r="E22" s="26" t="e">
        <v>#N/A</v>
      </c>
      <c r="F22" s="23">
        <v>16</v>
      </c>
      <c r="G22" s="68">
        <f>_xll.qlInterestRateIndexFixingDate(IborIndex,I22)</f>
        <v>42171</v>
      </c>
      <c r="H22" s="23" t="str">
        <f>_xll.qlMakeDatedOIS(,I22,J22,OvernightIndex,0,"Act/360",0)</f>
        <v>obj_007a3#0000</v>
      </c>
      <c r="I22" s="68">
        <f>_xll.qlCalendarAdvance(Calendar,$D$2,F22&amp;"M","mf")</f>
        <v>42173</v>
      </c>
      <c r="J22" s="68">
        <f>_xll.qlInterestRateIndexMaturity(IborIndex,I22)</f>
        <v>42541</v>
      </c>
      <c r="L22" s="26" t="e">
        <f>_xll.qlOvernightIndexedSwapFairRate(H22,_xll.ohTrigger($P$2:$P$6))</f>
        <v>#NUM!</v>
      </c>
      <c r="M22" s="45" t="e">
        <f>_xll.qlInterpolationInterpolate(BasisInterpolator,I22,,L22)</f>
        <v>#VALUE!</v>
      </c>
      <c r="N22" s="26" t="e">
        <f t="shared" si="0"/>
        <v>#NUM!</v>
      </c>
    </row>
    <row r="23" spans="1:14" x14ac:dyDescent="0.2">
      <c r="A23" s="24"/>
      <c r="B23" s="25"/>
      <c r="C23" s="30"/>
      <c r="D23" s="31"/>
      <c r="E23" s="26" t="e">
        <v>#N/A</v>
      </c>
      <c r="F23" s="23">
        <v>17</v>
      </c>
      <c r="G23" s="68">
        <f>_xll.qlInterestRateIndexFixingDate(IborIndex,I23)</f>
        <v>42201</v>
      </c>
      <c r="H23" s="23" t="str">
        <f>_xll.qlMakeDatedOIS(,I23,J23,OvernightIndex,0,"Act/360",0)</f>
        <v>obj_0078e#0000</v>
      </c>
      <c r="I23" s="68">
        <f>_xll.qlCalendarAdvance(Calendar,$D$2,F23&amp;"M","mf")</f>
        <v>42205</v>
      </c>
      <c r="J23" s="68">
        <f>_xll.qlInterestRateIndexMaturity(IborIndex,I23)</f>
        <v>42571</v>
      </c>
      <c r="L23" s="26" t="e">
        <f>_xll.qlOvernightIndexedSwapFairRate(H23,_xll.ohTrigger($P$2:$P$6))</f>
        <v>#NUM!</v>
      </c>
      <c r="M23" s="45" t="e">
        <f>_xll.qlInterpolationInterpolate(BasisInterpolator,I23,,L23)</f>
        <v>#VALUE!</v>
      </c>
      <c r="N23" s="26" t="e">
        <f t="shared" si="0"/>
        <v>#NUM!</v>
      </c>
    </row>
    <row r="24" spans="1:14" x14ac:dyDescent="0.2">
      <c r="A24" s="24"/>
      <c r="B24" s="25"/>
      <c r="C24" s="30"/>
      <c r="D24" s="31"/>
      <c r="E24" s="26" t="e">
        <v>#N/A</v>
      </c>
      <c r="F24" s="23">
        <v>18</v>
      </c>
      <c r="G24" s="68">
        <f>_xll.qlInterestRateIndexFixingDate(IborIndex,I24)</f>
        <v>42230</v>
      </c>
      <c r="H24" s="23" t="str">
        <f>_xll.qlMakeDatedOIS(,I24,J24,OvernightIndex,0,"Act/360",0)</f>
        <v>obj_0079a#0000</v>
      </c>
      <c r="I24" s="68">
        <f>_xll.qlCalendarAdvance(Calendar,$D$2,F24&amp;"M","mf")</f>
        <v>42234</v>
      </c>
      <c r="J24" s="68">
        <f>_xll.qlInterestRateIndexMaturity(IborIndex,I24)</f>
        <v>42600</v>
      </c>
      <c r="L24" s="26" t="e">
        <f>_xll.qlOvernightIndexedSwapFairRate(H24,_xll.ohTrigger($P$2:$P$6))</f>
        <v>#NUM!</v>
      </c>
      <c r="M24" s="45" t="e">
        <f>_xll.qlInterpolationInterpolate(BasisInterpolator,I24,,L24)</f>
        <v>#VALUE!</v>
      </c>
      <c r="N24" s="26" t="e">
        <f t="shared" si="0"/>
        <v>#NUM!</v>
      </c>
    </row>
    <row r="25" spans="1:14" x14ac:dyDescent="0.2">
      <c r="A25" s="24"/>
      <c r="B25" s="25"/>
      <c r="C25" s="30"/>
      <c r="D25" s="31"/>
      <c r="E25" s="26" t="e">
        <v>#N/A</v>
      </c>
      <c r="F25" s="23">
        <v>19</v>
      </c>
      <c r="G25" s="68">
        <f>_xll.qlInterestRateIndexFixingDate(IborIndex,I25)</f>
        <v>42263</v>
      </c>
      <c r="H25" s="23" t="str">
        <f>_xll.qlMakeDatedOIS(,I25,J25,OvernightIndex,0,"Act/360",0)</f>
        <v>obj_00776#0000</v>
      </c>
      <c r="I25" s="68">
        <f>_xll.qlCalendarAdvance(Calendar,$D$2,F25&amp;"M","mf")</f>
        <v>42265</v>
      </c>
      <c r="J25" s="68">
        <f>_xll.qlInterestRateIndexMaturity(IborIndex,I25)</f>
        <v>42632</v>
      </c>
      <c r="L25" s="26" t="e">
        <f>_xll.qlOvernightIndexedSwapFairRate(H25,_xll.ohTrigger($P$2:$P$6))</f>
        <v>#NUM!</v>
      </c>
      <c r="M25" s="45" t="e">
        <f>_xll.qlInterpolationInterpolate(BasisInterpolator,I25,,L25)</f>
        <v>#VALUE!</v>
      </c>
      <c r="N25" s="26" t="e">
        <f t="shared" si="0"/>
        <v>#NUM!</v>
      </c>
    </row>
    <row r="26" spans="1:14" x14ac:dyDescent="0.2">
      <c r="A26" s="24"/>
      <c r="B26" s="25"/>
      <c r="C26" s="30"/>
      <c r="D26" s="31"/>
      <c r="E26" s="26" t="e">
        <v>#N/A</v>
      </c>
      <c r="F26" s="23">
        <v>20</v>
      </c>
      <c r="G26" s="68">
        <f>_xll.qlInterestRateIndexFixingDate(IborIndex,I26)</f>
        <v>42292</v>
      </c>
      <c r="H26" s="23" t="str">
        <f>_xll.qlMakeDatedOIS(,I26,J26,OvernightIndex,0,"Act/360",0)</f>
        <v>obj_00782#0000</v>
      </c>
      <c r="I26" s="68">
        <f>_xll.qlCalendarAdvance(Calendar,$D$2,F26&amp;"M","mf")</f>
        <v>42296</v>
      </c>
      <c r="J26" s="68">
        <f>_xll.qlInterestRateIndexMaturity(IborIndex,I26)</f>
        <v>42662</v>
      </c>
      <c r="L26" s="26" t="e">
        <f>_xll.qlOvernightIndexedSwapFairRate(H26,_xll.ohTrigger($P$2:$P$6))</f>
        <v>#NUM!</v>
      </c>
      <c r="M26" s="45" t="e">
        <f>_xll.qlInterpolationInterpolate(BasisInterpolator,I26,,L26)</f>
        <v>#VALUE!</v>
      </c>
      <c r="N26" s="26" t="e">
        <f t="shared" si="0"/>
        <v>#NUM!</v>
      </c>
    </row>
    <row r="27" spans="1:14" x14ac:dyDescent="0.2">
      <c r="A27" s="24"/>
      <c r="B27" s="25"/>
      <c r="C27" s="30"/>
      <c r="D27" s="31"/>
      <c r="E27" s="26" t="e">
        <v>#N/A</v>
      </c>
      <c r="F27" s="23">
        <v>21</v>
      </c>
      <c r="G27" s="68">
        <f>_xll.qlInterestRateIndexFixingDate(IborIndex,I27)</f>
        <v>42324</v>
      </c>
      <c r="H27" s="23" t="str">
        <f>_xll.qlMakeDatedOIS(,I27,J27,OvernightIndex,0,"Act/360",0)</f>
        <v>obj_0078c#0000</v>
      </c>
      <c r="I27" s="68">
        <f>_xll.qlCalendarAdvance(Calendar,$D$2,F27&amp;"M","mf")</f>
        <v>42326</v>
      </c>
      <c r="J27" s="68">
        <f>_xll.qlInterestRateIndexMaturity(IborIndex,I27)</f>
        <v>42692</v>
      </c>
      <c r="L27" s="26" t="e">
        <f>_xll.qlOvernightIndexedSwapFairRate(H27,_xll.ohTrigger($P$2:$P$6))</f>
        <v>#NUM!</v>
      </c>
      <c r="M27" s="45" t="e">
        <f>_xll.qlInterpolationInterpolate(BasisInterpolator,I27,,L27)</f>
        <v>#VALUE!</v>
      </c>
      <c r="N27" s="26" t="e">
        <f t="shared" si="0"/>
        <v>#NUM!</v>
      </c>
    </row>
    <row r="28" spans="1:14" x14ac:dyDescent="0.2">
      <c r="A28" s="24"/>
      <c r="B28" s="25"/>
      <c r="C28" s="30"/>
      <c r="D28" s="31"/>
      <c r="E28" s="26" t="e">
        <v>#N/A</v>
      </c>
      <c r="F28" s="23">
        <v>22</v>
      </c>
      <c r="G28" s="68">
        <f>_xll.qlInterestRateIndexFixingDate(IborIndex,I28)</f>
        <v>42354</v>
      </c>
      <c r="H28" s="23" t="str">
        <f>_xll.qlMakeDatedOIS(,I28,J28,OvernightIndex,0,"Act/360",0)</f>
        <v>obj_00793#0000</v>
      </c>
      <c r="I28" s="68">
        <f>_xll.qlCalendarAdvance(Calendar,$D$2,F28&amp;"M","mf")</f>
        <v>42356</v>
      </c>
      <c r="J28" s="68">
        <f>_xll.qlInterestRateIndexMaturity(IborIndex,I28)</f>
        <v>42723</v>
      </c>
      <c r="L28" s="26" t="e">
        <f>_xll.qlOvernightIndexedSwapFairRate(H28,_xll.ohTrigger($P$2:$P$6))</f>
        <v>#NUM!</v>
      </c>
      <c r="M28" s="45" t="e">
        <f>_xll.qlInterpolationInterpolate(BasisInterpolator,I28,,L28)</f>
        <v>#VALUE!</v>
      </c>
      <c r="N28" s="26" t="e">
        <f t="shared" si="0"/>
        <v>#NUM!</v>
      </c>
    </row>
    <row r="29" spans="1:14" x14ac:dyDescent="0.2">
      <c r="A29" s="24"/>
      <c r="B29" s="25"/>
      <c r="C29" s="30"/>
      <c r="D29" s="31"/>
      <c r="E29" s="26" t="e">
        <v>#N/A</v>
      </c>
      <c r="F29" s="23">
        <v>23</v>
      </c>
      <c r="G29" s="68">
        <f>_xll.qlInterestRateIndexFixingDate(IborIndex,I29)</f>
        <v>42383</v>
      </c>
      <c r="H29" s="23" t="str">
        <f>_xll.qlMakeDatedOIS(,I29,J29,OvernightIndex,0,"Act/360",0)</f>
        <v>obj_00797#0000</v>
      </c>
      <c r="I29" s="68">
        <f>_xll.qlCalendarAdvance(Calendar,$D$2,F29&amp;"M","mf")</f>
        <v>42387</v>
      </c>
      <c r="J29" s="68">
        <f>_xll.qlInterestRateIndexMaturity(IborIndex,I29)</f>
        <v>42753</v>
      </c>
      <c r="L29" s="26" t="e">
        <f>_xll.qlOvernightIndexedSwapFairRate(H29,_xll.ohTrigger($P$2:$P$6))</f>
        <v>#NUM!</v>
      </c>
      <c r="M29" s="45" t="e">
        <f>_xll.qlInterpolationInterpolate(BasisInterpolator,I29,,L29)</f>
        <v>#VALUE!</v>
      </c>
      <c r="N29" s="26" t="e">
        <f t="shared" si="0"/>
        <v>#NUM!</v>
      </c>
    </row>
    <row r="30" spans="1:14" x14ac:dyDescent="0.2">
      <c r="A30" s="24"/>
      <c r="B30" s="25"/>
      <c r="C30" s="30"/>
      <c r="D30" s="31"/>
      <c r="E30" s="26" t="e">
        <v>#N/A</v>
      </c>
      <c r="F30" s="23">
        <v>25</v>
      </c>
      <c r="G30" s="68">
        <f>_xll.qlInterestRateIndexFixingDate(IborIndex,I30)</f>
        <v>42445</v>
      </c>
      <c r="H30" s="23" t="str">
        <f>_xll.qlMakeDatedOIS(,I30,J30,OvernightIndex,0,"Act/360",0)</f>
        <v>obj_00783#0000</v>
      </c>
      <c r="I30" s="68">
        <f>_xll.qlCalendarAdvance(Calendar,$D$2,F30&amp;"M","mf")</f>
        <v>42447</v>
      </c>
      <c r="J30" s="68">
        <f>_xll.qlInterestRateIndexMaturity(IborIndex,I30)</f>
        <v>42814</v>
      </c>
      <c r="L30" s="26" t="e">
        <f>_xll.qlOvernightIndexedSwapFairRate(H30,_xll.ohTrigger($P$2:$P$6))</f>
        <v>#NUM!</v>
      </c>
      <c r="M30" s="45" t="e">
        <f>_xll.qlInterpolationInterpolate(BasisInterpolator,I30,,L30)</f>
        <v>#VALUE!</v>
      </c>
      <c r="N30" s="26" t="e">
        <f t="shared" si="0"/>
        <v>#NUM!</v>
      </c>
    </row>
    <row r="31" spans="1:14" x14ac:dyDescent="0.2">
      <c r="A31" s="24"/>
      <c r="B31" s="25"/>
      <c r="C31" s="30"/>
      <c r="D31" s="31"/>
      <c r="E31" s="26" t="e">
        <v>#N/A</v>
      </c>
      <c r="F31" s="23">
        <v>26</v>
      </c>
      <c r="G31" s="68">
        <f>_xll.qlInterestRateIndexFixingDate(IborIndex,I31)</f>
        <v>42474</v>
      </c>
      <c r="H31" s="23" t="str">
        <f>_xll.qlMakeDatedOIS(,I31,J31,OvernightIndex,0,"Act/360",0)</f>
        <v>obj_007a2#0000</v>
      </c>
      <c r="I31" s="68">
        <f>_xll.qlCalendarAdvance(Calendar,$D$2,F31&amp;"M","mf")</f>
        <v>42478</v>
      </c>
      <c r="J31" s="68">
        <f>_xll.qlInterestRateIndexMaturity(IborIndex,I31)</f>
        <v>42843</v>
      </c>
      <c r="L31" s="26" t="e">
        <f>_xll.qlOvernightIndexedSwapFairRate(H31,_xll.ohTrigger($P$2:$P$6))</f>
        <v>#NUM!</v>
      </c>
      <c r="M31" s="45" t="e">
        <f>_xll.qlInterpolationInterpolate(BasisInterpolator,I31,,L31)</f>
        <v>#VALUE!</v>
      </c>
      <c r="N31" s="26" t="e">
        <f t="shared" si="0"/>
        <v>#NUM!</v>
      </c>
    </row>
    <row r="32" spans="1:14" x14ac:dyDescent="0.2">
      <c r="A32" s="24"/>
      <c r="B32" s="25"/>
      <c r="C32" s="30"/>
      <c r="D32" s="31"/>
      <c r="E32" s="26" t="e">
        <v>#N/A</v>
      </c>
      <c r="F32" s="23">
        <v>27</v>
      </c>
      <c r="G32" s="68">
        <f>_xll.qlInterestRateIndexFixingDate(IborIndex,I32)</f>
        <v>42506</v>
      </c>
      <c r="H32" s="23" t="str">
        <f>_xll.qlMakeDatedOIS(,I32,J32,OvernightIndex,0,"Act/360",0)</f>
        <v>obj_00779#0000</v>
      </c>
      <c r="I32" s="68">
        <f>_xll.qlCalendarAdvance(Calendar,$D$2,F32&amp;"M","mf")</f>
        <v>42508</v>
      </c>
      <c r="J32" s="68">
        <f>_xll.qlInterestRateIndexMaturity(IborIndex,I32)</f>
        <v>42873</v>
      </c>
      <c r="L32" s="26" t="e">
        <f>_xll.qlOvernightIndexedSwapFairRate(H32,_xll.ohTrigger($P$2:$P$6))</f>
        <v>#NUM!</v>
      </c>
      <c r="M32" s="45" t="e">
        <f>_xll.qlInterpolationInterpolate(BasisInterpolator,I32,,L32)</f>
        <v>#VALUE!</v>
      </c>
      <c r="N32" s="26" t="e">
        <f t="shared" si="0"/>
        <v>#NUM!</v>
      </c>
    </row>
    <row r="33" spans="1:14" x14ac:dyDescent="0.2">
      <c r="A33" s="24"/>
      <c r="B33" s="25"/>
      <c r="C33" s="30"/>
      <c r="D33" s="31"/>
      <c r="E33" s="26" t="e">
        <v>#N/A</v>
      </c>
      <c r="F33" s="23">
        <v>28</v>
      </c>
      <c r="G33" s="68">
        <f>_xll.qlInterestRateIndexFixingDate(IborIndex,I33)</f>
        <v>42537</v>
      </c>
      <c r="H33" s="23" t="str">
        <f>_xll.qlMakeDatedOIS(,I33,J33,OvernightIndex,0,"Act/360",0)</f>
        <v>obj_007a0#0000</v>
      </c>
      <c r="I33" s="68">
        <f>_xll.qlCalendarAdvance(Calendar,$D$2,F33&amp;"M","mf")</f>
        <v>42541</v>
      </c>
      <c r="J33" s="68">
        <f>_xll.qlInterestRateIndexMaturity(IborIndex,I33)</f>
        <v>42906</v>
      </c>
      <c r="L33" s="26" t="e">
        <f>_xll.qlOvernightIndexedSwapFairRate(H33,_xll.ohTrigger($P$2:$P$6))</f>
        <v>#NUM!</v>
      </c>
      <c r="M33" s="45" t="e">
        <f>_xll.qlInterpolationInterpolate(BasisInterpolator,I33,,L33)</f>
        <v>#VALUE!</v>
      </c>
      <c r="N33" s="26" t="e">
        <f t="shared" si="0"/>
        <v>#NUM!</v>
      </c>
    </row>
    <row r="34" spans="1:14" x14ac:dyDescent="0.2">
      <c r="A34" s="24"/>
      <c r="B34" s="25"/>
      <c r="C34" s="30"/>
      <c r="D34" s="31"/>
      <c r="E34" s="26" t="e">
        <v>#N/A</v>
      </c>
      <c r="F34" s="23">
        <v>29</v>
      </c>
      <c r="G34" s="68">
        <f>_xll.qlInterestRateIndexFixingDate(IborIndex,I34)</f>
        <v>42565</v>
      </c>
      <c r="H34" s="23" t="str">
        <f>_xll.qlMakeDatedOIS(,I34,J34,OvernightIndex,0,"Act/360",0)</f>
        <v>obj_00775#0000</v>
      </c>
      <c r="I34" s="68">
        <f>_xll.qlCalendarAdvance(Calendar,$D$2,F34&amp;"M","mf")</f>
        <v>42569</v>
      </c>
      <c r="J34" s="68">
        <f>_xll.qlInterestRateIndexMaturity(IborIndex,I34)</f>
        <v>42934</v>
      </c>
      <c r="L34" s="26" t="e">
        <f>_xll.qlOvernightIndexedSwapFairRate(H34,_xll.ohTrigger($P$2:$P$6))</f>
        <v>#NUM!</v>
      </c>
      <c r="M34" s="45" t="e">
        <f>_xll.qlInterpolationInterpolate(BasisInterpolator,I34,,L34)</f>
        <v>#VALUE!</v>
      </c>
      <c r="N34" s="26" t="e">
        <f t="shared" si="0"/>
        <v>#NUM!</v>
      </c>
    </row>
    <row r="35" spans="1:14" x14ac:dyDescent="0.2">
      <c r="A35" s="24"/>
      <c r="B35" s="25"/>
      <c r="C35" s="30"/>
      <c r="D35" s="31"/>
      <c r="E35" s="26" t="e">
        <v>#N/A</v>
      </c>
      <c r="F35" s="23">
        <v>30</v>
      </c>
      <c r="G35" s="68">
        <f>_xll.qlInterestRateIndexFixingDate(IborIndex,I35)</f>
        <v>42598</v>
      </c>
      <c r="H35" s="23" t="str">
        <f>_xll.qlMakeDatedOIS(,I35,J35,OvernightIndex,0,"Act/360",0)</f>
        <v>obj_0079c#0000</v>
      </c>
      <c r="I35" s="68">
        <f>_xll.qlCalendarAdvance(Calendar,$D$2,F35&amp;"M","mf")</f>
        <v>42600</v>
      </c>
      <c r="J35" s="68">
        <f>_xll.qlInterestRateIndexMaturity(IborIndex,I35)</f>
        <v>42965</v>
      </c>
      <c r="L35" s="26" t="e">
        <f>_xll.qlOvernightIndexedSwapFairRate(H35,_xll.ohTrigger($P$2:$P$6))</f>
        <v>#NUM!</v>
      </c>
      <c r="M35" s="45" t="e">
        <f>_xll.qlInterpolationInterpolate(BasisInterpolator,I35,,L35)</f>
        <v>#VALUE!</v>
      </c>
      <c r="N35" s="26" t="e">
        <f t="shared" si="0"/>
        <v>#NUM!</v>
      </c>
    </row>
    <row r="36" spans="1:14" x14ac:dyDescent="0.2">
      <c r="A36" s="24"/>
      <c r="B36" s="25"/>
      <c r="C36" s="30"/>
      <c r="D36" s="31"/>
      <c r="E36" s="26" t="e">
        <v>#N/A</v>
      </c>
      <c r="F36" s="23">
        <v>31</v>
      </c>
      <c r="G36" s="68">
        <f>_xll.qlInterestRateIndexFixingDate(IborIndex,I36)</f>
        <v>42628</v>
      </c>
      <c r="H36" s="23" t="str">
        <f>_xll.qlMakeDatedOIS(,I36,J36,OvernightIndex,0,"Act/360",0)</f>
        <v>obj_00787#0000</v>
      </c>
      <c r="I36" s="68">
        <f>_xll.qlCalendarAdvance(Calendar,$D$2,F36&amp;"M","mf")</f>
        <v>42632</v>
      </c>
      <c r="J36" s="68">
        <f>_xll.qlInterestRateIndexMaturity(IborIndex,I36)</f>
        <v>42997</v>
      </c>
      <c r="L36" s="26" t="e">
        <f>_xll.qlOvernightIndexedSwapFairRate(H36,_xll.ohTrigger($P$2:$P$6))</f>
        <v>#NUM!</v>
      </c>
      <c r="M36" s="45" t="e">
        <f>_xll.qlInterpolationInterpolate(BasisInterpolator,I36,,L36)</f>
        <v>#VALUE!</v>
      </c>
      <c r="N36" s="26" t="e">
        <f t="shared" si="0"/>
        <v>#NUM!</v>
      </c>
    </row>
    <row r="37" spans="1:14" x14ac:dyDescent="0.2">
      <c r="A37" s="24"/>
      <c r="B37" s="25"/>
      <c r="C37" s="30"/>
      <c r="D37" s="31"/>
      <c r="E37" s="26" t="e">
        <v>#N/A</v>
      </c>
      <c r="F37" s="23">
        <v>32</v>
      </c>
      <c r="G37" s="68">
        <f>_xll.qlInterestRateIndexFixingDate(IborIndex,I37)</f>
        <v>42657</v>
      </c>
      <c r="H37" s="23" t="str">
        <f>_xll.qlMakeDatedOIS(,I37,J37,OvernightIndex,0,"Act/360",0)</f>
        <v>obj_00785#0000</v>
      </c>
      <c r="I37" s="68">
        <f>_xll.qlCalendarAdvance(Calendar,$D$2,F37&amp;"M","mf")</f>
        <v>42661</v>
      </c>
      <c r="J37" s="68">
        <f>_xll.qlInterestRateIndexMaturity(IborIndex,I37)</f>
        <v>43026</v>
      </c>
      <c r="L37" s="26" t="e">
        <f>_xll.qlOvernightIndexedSwapFairRate(H37,_xll.ohTrigger($P$2:$P$6))</f>
        <v>#NUM!</v>
      </c>
      <c r="M37" s="45" t="e">
        <f>_xll.qlInterpolationInterpolate(BasisInterpolator,I37,,L37)</f>
        <v>#VALUE!</v>
      </c>
      <c r="N37" s="26" t="e">
        <f t="shared" si="0"/>
        <v>#NUM!</v>
      </c>
    </row>
    <row r="38" spans="1:14" x14ac:dyDescent="0.2">
      <c r="A38" s="24"/>
      <c r="B38" s="25"/>
      <c r="C38" s="30"/>
      <c r="D38" s="31"/>
      <c r="E38" s="26" t="e">
        <v>#N/A</v>
      </c>
      <c r="F38" s="23">
        <v>33</v>
      </c>
      <c r="G38" s="68">
        <f>_xll.qlInterestRateIndexFixingDate(IborIndex,I38)</f>
        <v>42690</v>
      </c>
      <c r="H38" s="23" t="str">
        <f>_xll.qlMakeDatedOIS(,I38,J38,OvernightIndex,0,"Act/360",0)</f>
        <v>obj_00774#0000</v>
      </c>
      <c r="I38" s="68">
        <f>_xll.qlCalendarAdvance(Calendar,$D$2,F38&amp;"M","mf")</f>
        <v>42692</v>
      </c>
      <c r="J38" s="68">
        <f>_xll.qlInterestRateIndexMaturity(IborIndex,I38)</f>
        <v>43059</v>
      </c>
      <c r="L38" s="26" t="e">
        <f>_xll.qlOvernightIndexedSwapFairRate(H38,_xll.ohTrigger($P$2:$P$6))</f>
        <v>#NUM!</v>
      </c>
      <c r="M38" s="45" t="e">
        <f>_xll.qlInterpolationInterpolate(BasisInterpolator,I38,,L38)</f>
        <v>#VALUE!</v>
      </c>
      <c r="N38" s="26" t="e">
        <f t="shared" si="0"/>
        <v>#NUM!</v>
      </c>
    </row>
    <row r="39" spans="1:14" x14ac:dyDescent="0.2">
      <c r="A39" s="24"/>
      <c r="B39" s="25"/>
      <c r="C39" s="30"/>
      <c r="D39" s="31"/>
      <c r="E39" s="26" t="e">
        <v>#N/A</v>
      </c>
      <c r="F39" s="23">
        <v>34</v>
      </c>
      <c r="G39" s="68">
        <f>_xll.qlInterestRateIndexFixingDate(IborIndex,I39)</f>
        <v>42719</v>
      </c>
      <c r="H39" s="23" t="str">
        <f>_xll.qlMakeDatedOIS(,I39,J39,OvernightIndex,0,"Act/360",0)</f>
        <v>obj_00795#0000</v>
      </c>
      <c r="I39" s="68">
        <f>_xll.qlCalendarAdvance(Calendar,$D$2,F39&amp;"M","mf")</f>
        <v>42723</v>
      </c>
      <c r="J39" s="68">
        <f>_xll.qlInterestRateIndexMaturity(IborIndex,I39)</f>
        <v>43088</v>
      </c>
      <c r="L39" s="26" t="e">
        <f>_xll.qlOvernightIndexedSwapFairRate(H39,_xll.ohTrigger($P$2:$P$6))</f>
        <v>#NUM!</v>
      </c>
      <c r="M39" s="45" t="e">
        <f>_xll.qlInterpolationInterpolate(BasisInterpolator,I39,,L39)</f>
        <v>#VALUE!</v>
      </c>
      <c r="N39" s="26" t="e">
        <f t="shared" si="0"/>
        <v>#NUM!</v>
      </c>
    </row>
    <row r="40" spans="1:14" x14ac:dyDescent="0.2">
      <c r="A40" s="24"/>
      <c r="B40" s="25"/>
      <c r="C40" s="30"/>
      <c r="D40" s="31"/>
      <c r="E40" s="26" t="e">
        <v>#N/A</v>
      </c>
      <c r="F40" s="23">
        <v>35</v>
      </c>
      <c r="G40" s="68">
        <f>_xll.qlInterestRateIndexFixingDate(IborIndex,I40)</f>
        <v>42751</v>
      </c>
      <c r="H40" s="23" t="str">
        <f>_xll.qlMakeDatedOIS(,I40,J40,OvernightIndex,0,"Act/360",0)</f>
        <v>obj_00789#0000</v>
      </c>
      <c r="I40" s="68">
        <f>_xll.qlCalendarAdvance(Calendar,$D$2,F40&amp;"M","mf")</f>
        <v>42753</v>
      </c>
      <c r="J40" s="68">
        <f>_xll.qlInterestRateIndexMaturity(IborIndex,I40)</f>
        <v>43118</v>
      </c>
      <c r="L40" s="26" t="e">
        <f>_xll.qlOvernightIndexedSwapFairRate(H40,_xll.ohTrigger($P$2:$P$6))</f>
        <v>#NUM!</v>
      </c>
      <c r="M40" s="45" t="e">
        <f>_xll.qlInterpolationInterpolate(BasisInterpolator,I40,,L40)</f>
        <v>#VALUE!</v>
      </c>
      <c r="N40" s="26" t="e">
        <f t="shared" si="0"/>
        <v>#NUM!</v>
      </c>
    </row>
    <row r="41" spans="1:14" x14ac:dyDescent="0.2">
      <c r="A41" s="24"/>
      <c r="B41" s="25"/>
      <c r="C41" s="30"/>
      <c r="D41" s="31"/>
      <c r="E41" s="26" t="e">
        <v>#N/A</v>
      </c>
      <c r="F41" s="23">
        <v>37</v>
      </c>
      <c r="G41" s="68">
        <f>_xll.qlInterestRateIndexFixingDate(IborIndex,I41)</f>
        <v>42810</v>
      </c>
      <c r="H41" s="23" t="str">
        <f>_xll.qlMakeDatedOIS(,I41,J41,OvernightIndex,0,"Act/360",0)</f>
        <v>obj_00781#0000</v>
      </c>
      <c r="I41" s="68">
        <f>_xll.qlCalendarAdvance(Calendar,$D$2,F41&amp;"M","mf")</f>
        <v>42814</v>
      </c>
      <c r="J41" s="68">
        <f>_xll.qlInterestRateIndexMaturity(IborIndex,I41)</f>
        <v>43179</v>
      </c>
      <c r="L41" s="26" t="e">
        <f>_xll.qlOvernightIndexedSwapFairRate(H41,_xll.ohTrigger($P$2:$P$6))</f>
        <v>#NUM!</v>
      </c>
      <c r="M41" s="45" t="e">
        <f>_xll.qlInterpolationInterpolate(BasisInterpolator,I41,,L41)</f>
        <v>#VALUE!</v>
      </c>
      <c r="N41" s="26" t="e">
        <f t="shared" si="0"/>
        <v>#NUM!</v>
      </c>
    </row>
    <row r="42" spans="1:14" x14ac:dyDescent="0.2">
      <c r="A42" s="24"/>
      <c r="B42" s="25"/>
      <c r="C42" s="30"/>
      <c r="D42" s="31"/>
      <c r="E42" s="26" t="e">
        <v>#N/A</v>
      </c>
      <c r="F42" s="23">
        <v>38</v>
      </c>
      <c r="G42" s="68">
        <f>_xll.qlInterestRateIndexFixingDate(IborIndex,I42)</f>
        <v>42837</v>
      </c>
      <c r="H42" s="23" t="str">
        <f>_xll.qlMakeDatedOIS(,I42,J42,OvernightIndex,0,"Act/360",0)</f>
        <v>obj_00777#0000</v>
      </c>
      <c r="I42" s="68">
        <f>_xll.qlCalendarAdvance(Calendar,$D$2,F42&amp;"M","mf")</f>
        <v>42843</v>
      </c>
      <c r="J42" s="68">
        <f>_xll.qlInterestRateIndexMaturity(IborIndex,I42)</f>
        <v>43208</v>
      </c>
      <c r="L42" s="26" t="e">
        <f>_xll.qlOvernightIndexedSwapFairRate(H42,_xll.ohTrigger($P$2:$P$6))</f>
        <v>#NUM!</v>
      </c>
      <c r="M42" s="45" t="e">
        <f>_xll.qlInterpolationInterpolate(BasisInterpolator,I42,,L42)</f>
        <v>#VALUE!</v>
      </c>
      <c r="N42" s="26" t="e">
        <f t="shared" si="0"/>
        <v>#NUM!</v>
      </c>
    </row>
    <row r="43" spans="1:14" x14ac:dyDescent="0.2">
      <c r="A43" s="24"/>
      <c r="B43" s="25"/>
      <c r="C43" s="30"/>
      <c r="D43" s="31"/>
      <c r="E43" s="26" t="e">
        <v>#N/A</v>
      </c>
      <c r="F43" s="23">
        <v>39</v>
      </c>
      <c r="G43" s="68">
        <f>_xll.qlInterestRateIndexFixingDate(IborIndex,I43)</f>
        <v>42871</v>
      </c>
      <c r="H43" s="23" t="str">
        <f>_xll.qlMakeDatedOIS(,I43,J43,OvernightIndex,0,"Act/360",0)</f>
        <v>obj_00790#0000</v>
      </c>
      <c r="I43" s="68">
        <f>_xll.qlCalendarAdvance(Calendar,$D$2,F43&amp;"M","mf")</f>
        <v>42873</v>
      </c>
      <c r="J43" s="68">
        <f>_xll.qlInterestRateIndexMaturity(IborIndex,I43)</f>
        <v>43238</v>
      </c>
      <c r="L43" s="26" t="e">
        <f>_xll.qlOvernightIndexedSwapFairRate(H43,_xll.ohTrigger($P$2:$P$6))</f>
        <v>#NUM!</v>
      </c>
      <c r="M43" s="45" t="e">
        <f>_xll.qlInterpolationInterpolate(BasisInterpolator,I43,,L43)</f>
        <v>#VALUE!</v>
      </c>
      <c r="N43" s="26" t="e">
        <f t="shared" si="0"/>
        <v>#NUM!</v>
      </c>
    </row>
    <row r="44" spans="1:14" x14ac:dyDescent="0.2">
      <c r="A44" s="24"/>
      <c r="B44" s="25"/>
      <c r="C44" s="30"/>
      <c r="D44" s="31"/>
      <c r="E44" s="26" t="e">
        <v>#N/A</v>
      </c>
      <c r="F44" s="23">
        <v>40</v>
      </c>
      <c r="G44" s="68">
        <f>_xll.qlInterestRateIndexFixingDate(IborIndex,I44)</f>
        <v>42901</v>
      </c>
      <c r="H44" s="23" t="str">
        <f>_xll.qlMakeDatedOIS(,I44,J44,OvernightIndex,0,"Act/360",0)</f>
        <v>obj_0078b#0000</v>
      </c>
      <c r="I44" s="68">
        <f>_xll.qlCalendarAdvance(Calendar,$D$2,F44&amp;"M","mf")</f>
        <v>42905</v>
      </c>
      <c r="J44" s="68">
        <f>_xll.qlInterestRateIndexMaturity(IborIndex,I44)</f>
        <v>43270</v>
      </c>
      <c r="L44" s="26" t="e">
        <f>_xll.qlOvernightIndexedSwapFairRate(H44,_xll.ohTrigger($P$2:$P$6))</f>
        <v>#NUM!</v>
      </c>
      <c r="M44" s="45" t="e">
        <f>_xll.qlInterpolationInterpolate(BasisInterpolator,I44,,L44)</f>
        <v>#VALUE!</v>
      </c>
      <c r="N44" s="26" t="e">
        <f t="shared" si="0"/>
        <v>#NUM!</v>
      </c>
    </row>
    <row r="45" spans="1:14" x14ac:dyDescent="0.2">
      <c r="A45" s="24"/>
      <c r="B45" s="25"/>
      <c r="C45" s="30"/>
      <c r="D45" s="31"/>
      <c r="E45" s="45" t="e">
        <v>#N/A</v>
      </c>
      <c r="F45" s="23">
        <v>41</v>
      </c>
      <c r="G45" s="68">
        <f>_xll.qlInterestRateIndexFixingDate(IborIndex,I45)</f>
        <v>42930</v>
      </c>
      <c r="H45" s="23" t="str">
        <f>_xll.qlMakeDatedOIS(,I45,J45,OvernightIndex,0,"Act/360",0)</f>
        <v>obj_0077e#0000</v>
      </c>
      <c r="I45" s="68">
        <f>_xll.qlCalendarAdvance(Calendar,$D$2,F45&amp;"M","mf")</f>
        <v>42934</v>
      </c>
      <c r="J45" s="68">
        <f>_xll.qlInterestRateIndexMaturity(IborIndex,I45)</f>
        <v>43299</v>
      </c>
      <c r="L45" s="26" t="e">
        <f>_xll.qlOvernightIndexedSwapFairRate(H45,_xll.ohTrigger($P$2:$P$6))</f>
        <v>#NUM!</v>
      </c>
      <c r="M45" s="45" t="e">
        <f>_xll.qlInterpolationInterpolate(BasisInterpolator,I45,,L45)</f>
        <v>#VALUE!</v>
      </c>
      <c r="N45" s="26" t="e">
        <f t="shared" si="0"/>
        <v>#NUM!</v>
      </c>
    </row>
    <row r="46" spans="1:14" x14ac:dyDescent="0.2">
      <c r="A46" s="24"/>
      <c r="B46" s="25"/>
      <c r="C46" s="30"/>
      <c r="D46" s="31"/>
      <c r="E46" s="45" t="e">
        <v>#N/A</v>
      </c>
      <c r="F46" s="23">
        <v>42</v>
      </c>
      <c r="G46" s="68">
        <f>_xll.qlInterestRateIndexFixingDate(IborIndex,I46)</f>
        <v>42963</v>
      </c>
      <c r="H46" s="23" t="str">
        <f>_xll.qlMakeDatedOIS(,I46,J46,OvernightIndex,0,"Act/360",0)</f>
        <v>obj_00786#0000</v>
      </c>
      <c r="I46" s="68">
        <f>_xll.qlCalendarAdvance(Calendar,$D$2,F46&amp;"M","mf")</f>
        <v>42965</v>
      </c>
      <c r="J46" s="68">
        <f>_xll.qlInterestRateIndexMaturity(IborIndex,I46)</f>
        <v>43332</v>
      </c>
      <c r="L46" s="26" t="e">
        <f>_xll.qlOvernightIndexedSwapFairRate(H46,_xll.ohTrigger($P$2:$P$6))</f>
        <v>#NUM!</v>
      </c>
      <c r="M46" s="45" t="e">
        <f>_xll.qlInterpolationInterpolate(BasisInterpolator,I46,,L46)</f>
        <v>#VALUE!</v>
      </c>
      <c r="N46" s="26" t="e">
        <f t="shared" si="0"/>
        <v>#NUM!</v>
      </c>
    </row>
    <row r="47" spans="1:14" x14ac:dyDescent="0.2">
      <c r="A47" s="24"/>
      <c r="B47" s="25"/>
      <c r="C47" s="30"/>
      <c r="D47" s="31"/>
      <c r="E47" s="45" t="e">
        <v>#N/A</v>
      </c>
      <c r="F47" s="23">
        <v>43</v>
      </c>
      <c r="G47" s="68">
        <f>_xll.qlInterestRateIndexFixingDate(IborIndex,I47)</f>
        <v>42992</v>
      </c>
      <c r="H47" s="23" t="str">
        <f>_xll.qlMakeDatedOIS(,I47,J47,OvernightIndex,0,"Act/360",0)</f>
        <v>obj_00792#0000</v>
      </c>
      <c r="I47" s="68">
        <f>_xll.qlCalendarAdvance(Calendar,$D$2,F47&amp;"M","mf")</f>
        <v>42996</v>
      </c>
      <c r="J47" s="68">
        <f>_xll.qlInterestRateIndexMaturity(IborIndex,I47)</f>
        <v>43361</v>
      </c>
      <c r="L47" s="26" t="e">
        <f>_xll.qlOvernightIndexedSwapFairRate(H47,_xll.ohTrigger($P$2:$P$6))</f>
        <v>#NUM!</v>
      </c>
      <c r="M47" s="45" t="e">
        <f>_xll.qlInterpolationInterpolate(BasisInterpolator,I47,,L47)</f>
        <v>#VALUE!</v>
      </c>
      <c r="N47" s="26" t="e">
        <f t="shared" si="0"/>
        <v>#NUM!</v>
      </c>
    </row>
    <row r="48" spans="1:14" x14ac:dyDescent="0.2">
      <c r="A48" s="24"/>
      <c r="B48" s="25"/>
      <c r="C48" s="30"/>
      <c r="D48" s="31"/>
      <c r="E48" s="45" t="e">
        <v>#N/A</v>
      </c>
      <c r="F48" s="23">
        <v>44</v>
      </c>
      <c r="G48" s="68">
        <f>_xll.qlInterestRateIndexFixingDate(IborIndex,I48)</f>
        <v>43024</v>
      </c>
      <c r="H48" s="23" t="str">
        <f>_xll.qlMakeDatedOIS(,I48,J48,OvernightIndex,0,"Act/360",0)</f>
        <v>obj_0077f#0000</v>
      </c>
      <c r="I48" s="68">
        <f>_xll.qlCalendarAdvance(Calendar,$D$2,F48&amp;"M","mf")</f>
        <v>43026</v>
      </c>
      <c r="J48" s="68">
        <f>_xll.qlInterestRateIndexMaturity(IborIndex,I48)</f>
        <v>43391</v>
      </c>
      <c r="L48" s="26" t="e">
        <f>_xll.qlOvernightIndexedSwapFairRate(H48,_xll.ohTrigger($P$2:$P$6))</f>
        <v>#NUM!</v>
      </c>
      <c r="M48" s="45" t="e">
        <f>_xll.qlInterpolationInterpolate(BasisInterpolator,I48,,L48)</f>
        <v>#VALUE!</v>
      </c>
      <c r="N48" s="26" t="e">
        <f t="shared" si="0"/>
        <v>#NUM!</v>
      </c>
    </row>
    <row r="49" spans="1:14" x14ac:dyDescent="0.2">
      <c r="A49" s="24"/>
      <c r="B49" s="25"/>
      <c r="C49" s="30"/>
      <c r="D49" s="31"/>
      <c r="E49" s="45" t="e">
        <v>#N/A</v>
      </c>
      <c r="F49" s="23">
        <v>45</v>
      </c>
      <c r="G49" s="68">
        <f>_xll.qlInterestRateIndexFixingDate(IborIndex,I49)</f>
        <v>43055</v>
      </c>
      <c r="H49" s="23" t="str">
        <f>_xll.qlMakeDatedOIS(,I49,J49,OvernightIndex,0,"Act/360",0)</f>
        <v>obj_0079e#0000</v>
      </c>
      <c r="I49" s="68">
        <f>_xll.qlCalendarAdvance(Calendar,$D$2,F49&amp;"M","mf")</f>
        <v>43059</v>
      </c>
      <c r="J49" s="68">
        <f>_xll.qlInterestRateIndexMaturity(IborIndex,I49)</f>
        <v>43424</v>
      </c>
      <c r="L49" s="26" t="e">
        <f>_xll.qlOvernightIndexedSwapFairRate(H49,_xll.ohTrigger($P$2:$P$6))</f>
        <v>#NUM!</v>
      </c>
      <c r="M49" s="45" t="e">
        <f>_xll.qlInterpolationInterpolate(BasisInterpolator,I49,,L49)</f>
        <v>#VALUE!</v>
      </c>
      <c r="N49" s="26" t="e">
        <f t="shared" si="0"/>
        <v>#NUM!</v>
      </c>
    </row>
    <row r="50" spans="1:14" x14ac:dyDescent="0.2">
      <c r="A50" s="24"/>
      <c r="B50" s="25"/>
      <c r="C50" s="30"/>
      <c r="D50" s="31"/>
      <c r="E50" s="45" t="e">
        <v>#N/A</v>
      </c>
      <c r="F50" s="23">
        <v>46</v>
      </c>
      <c r="G50" s="68">
        <f>_xll.qlInterestRateIndexFixingDate(IborIndex,I50)</f>
        <v>43083</v>
      </c>
      <c r="H50" s="23" t="str">
        <f>_xll.qlMakeDatedOIS(,I50,J50,OvernightIndex,0,"Act/360",0)</f>
        <v>obj_0077b#0000</v>
      </c>
      <c r="I50" s="68">
        <f>_xll.qlCalendarAdvance(Calendar,$D$2,F50&amp;"M","mf")</f>
        <v>43087</v>
      </c>
      <c r="J50" s="68">
        <f>_xll.qlInterestRateIndexMaturity(IborIndex,I50)</f>
        <v>43452</v>
      </c>
      <c r="L50" s="26" t="e">
        <f>_xll.qlOvernightIndexedSwapFairRate(H50,_xll.ohTrigger($P$2:$P$6))</f>
        <v>#NUM!</v>
      </c>
      <c r="M50" s="45" t="e">
        <f>_xll.qlInterpolationInterpolate(BasisInterpolator,I50,,L50)</f>
        <v>#VALUE!</v>
      </c>
      <c r="N50" s="26" t="e">
        <f t="shared" si="0"/>
        <v>#NUM!</v>
      </c>
    </row>
    <row r="51" spans="1:14" x14ac:dyDescent="0.2">
      <c r="A51" s="24"/>
      <c r="B51" s="25"/>
      <c r="C51" s="30"/>
      <c r="D51" s="31"/>
      <c r="E51" s="45" t="e">
        <v>#N/A</v>
      </c>
      <c r="F51" s="23">
        <v>47</v>
      </c>
      <c r="G51" s="68">
        <f>_xll.qlInterestRateIndexFixingDate(IborIndex,I51)</f>
        <v>43116</v>
      </c>
      <c r="H51" s="23" t="str">
        <f>_xll.qlMakeDatedOIS(,I51,J51,OvernightIndex,0,"Act/360",0)</f>
        <v>obj_00784#0000</v>
      </c>
      <c r="I51" s="68">
        <f>_xll.qlCalendarAdvance(Calendar,$D$2,F51&amp;"M","mf")</f>
        <v>43118</v>
      </c>
      <c r="J51" s="68">
        <f>_xll.qlInterestRateIndexMaturity(IborIndex,I51)</f>
        <v>43483</v>
      </c>
      <c r="L51" s="26" t="e">
        <f>_xll.qlOvernightIndexedSwapFairRate(H51,_xll.ohTrigger($P$2:$P$6))</f>
        <v>#NUM!</v>
      </c>
      <c r="M51" s="45" t="e">
        <f>_xll.qlInterpolationInterpolate(BasisInterpolator,I51,,L51)</f>
        <v>#VALUE!</v>
      </c>
      <c r="N51" s="26" t="e">
        <f t="shared" si="0"/>
        <v>#NUM!</v>
      </c>
    </row>
    <row r="52" spans="1:14" x14ac:dyDescent="0.2">
      <c r="A52" s="24"/>
      <c r="B52" s="25"/>
      <c r="C52" s="30"/>
      <c r="D52" s="31"/>
      <c r="E52" s="45" t="e">
        <v>#N/A</v>
      </c>
    </row>
    <row r="53" spans="1:14" x14ac:dyDescent="0.2">
      <c r="A53" s="24"/>
      <c r="B53" s="25"/>
      <c r="C53" s="30"/>
      <c r="D53" s="31"/>
      <c r="E53" s="45" t="e">
        <v>#N/A</v>
      </c>
    </row>
    <row r="54" spans="1:14" x14ac:dyDescent="0.2">
      <c r="A54" s="24"/>
      <c r="B54" s="25"/>
      <c r="C54" s="30"/>
      <c r="D54" s="31"/>
      <c r="E54" s="45" t="e">
        <v>#N/A</v>
      </c>
    </row>
    <row r="55" spans="1:14" x14ac:dyDescent="0.2">
      <c r="A55" s="24"/>
      <c r="B55" s="25"/>
      <c r="C55" s="30"/>
      <c r="D55" s="31"/>
      <c r="E55" s="45" t="e">
        <v>#N/A</v>
      </c>
    </row>
    <row r="56" spans="1:14" x14ac:dyDescent="0.2">
      <c r="A56" s="24"/>
      <c r="B56" s="25"/>
      <c r="C56" s="30"/>
      <c r="D56" s="31"/>
      <c r="E56" s="45" t="e">
        <v>#N/A</v>
      </c>
    </row>
    <row r="57" spans="1:14" x14ac:dyDescent="0.2">
      <c r="A57" s="24"/>
      <c r="B57" s="25"/>
      <c r="C57" s="30"/>
      <c r="D57" s="31"/>
      <c r="E57" s="45" t="e">
        <v>#N/A</v>
      </c>
    </row>
    <row r="58" spans="1:14" x14ac:dyDescent="0.2">
      <c r="A58" s="24"/>
      <c r="B58" s="25"/>
      <c r="C58" s="30"/>
      <c r="D58" s="31"/>
      <c r="E58" s="45" t="e">
        <v>#N/A</v>
      </c>
    </row>
    <row r="59" spans="1:14" x14ac:dyDescent="0.2">
      <c r="A59" s="24"/>
      <c r="B59" s="25"/>
      <c r="C59" s="30"/>
      <c r="D59" s="31"/>
      <c r="E59" s="45" t="e">
        <v>#N/A</v>
      </c>
    </row>
    <row r="60" spans="1:14" x14ac:dyDescent="0.2">
      <c r="A60" s="24"/>
      <c r="B60" s="25"/>
      <c r="C60" s="30"/>
      <c r="D60" s="31"/>
      <c r="E60" s="45" t="e">
        <v>#N/A</v>
      </c>
    </row>
    <row r="61" spans="1:14" x14ac:dyDescent="0.2">
      <c r="A61" s="24"/>
      <c r="B61" s="25"/>
      <c r="C61" s="30"/>
      <c r="D61" s="31"/>
      <c r="E61" s="45" t="e">
        <v>#N/A</v>
      </c>
    </row>
    <row r="62" spans="1:14" x14ac:dyDescent="0.2">
      <c r="A62" s="24"/>
      <c r="B62" s="25"/>
      <c r="C62" s="30"/>
      <c r="D62" s="31"/>
      <c r="E62" s="45" t="e">
        <v>#N/A</v>
      </c>
    </row>
    <row r="63" spans="1:14" x14ac:dyDescent="0.2">
      <c r="A63" s="24"/>
      <c r="B63" s="25"/>
      <c r="C63" s="30"/>
      <c r="D63" s="31"/>
      <c r="E63" s="45" t="e">
        <v>#N/A</v>
      </c>
    </row>
    <row r="64" spans="1:14" x14ac:dyDescent="0.2">
      <c r="A64" s="24"/>
      <c r="B64" s="25"/>
      <c r="C64" s="30"/>
      <c r="D64" s="31"/>
      <c r="E64" s="45" t="e">
        <v>#N/A</v>
      </c>
    </row>
    <row r="65" spans="1:5" x14ac:dyDescent="0.2">
      <c r="A65" s="24"/>
      <c r="B65" s="25"/>
      <c r="C65" s="30"/>
      <c r="D65" s="31"/>
      <c r="E65" s="45" t="e">
        <v>#N/A</v>
      </c>
    </row>
    <row r="66" spans="1:5" x14ac:dyDescent="0.2">
      <c r="A66" s="24"/>
      <c r="B66" s="25"/>
      <c r="C66" s="30"/>
      <c r="D66" s="31"/>
      <c r="E66" s="45" t="e">
        <v>#N/A</v>
      </c>
    </row>
    <row r="67" spans="1:5" x14ac:dyDescent="0.2">
      <c r="A67" s="24"/>
      <c r="B67" s="25"/>
      <c r="C67" s="30"/>
      <c r="D67" s="31"/>
      <c r="E67" s="45" t="e">
        <v>#N/A</v>
      </c>
    </row>
    <row r="68" spans="1:5" x14ac:dyDescent="0.2">
      <c r="A68" s="24"/>
      <c r="B68" s="25"/>
      <c r="C68" s="30"/>
      <c r="D68" s="31"/>
      <c r="E68" s="45" t="e">
        <v>#N/A</v>
      </c>
    </row>
    <row r="69" spans="1:5" x14ac:dyDescent="0.2">
      <c r="A69" s="24"/>
      <c r="B69" s="25"/>
      <c r="C69" s="30"/>
      <c r="D69" s="31"/>
      <c r="E69" s="45" t="e">
        <v>#N/A</v>
      </c>
    </row>
    <row r="70" spans="1:5" x14ac:dyDescent="0.2">
      <c r="A70" s="24"/>
      <c r="B70" s="25"/>
      <c r="C70" s="30"/>
      <c r="D70" s="31"/>
      <c r="E70" s="45" t="e">
        <v>#N/A</v>
      </c>
    </row>
    <row r="71" spans="1:5" x14ac:dyDescent="0.2">
      <c r="A71" s="24"/>
      <c r="B71" s="25"/>
      <c r="C71" s="30"/>
      <c r="D71" s="31"/>
      <c r="E71" s="45" t="e">
        <v>#N/A</v>
      </c>
    </row>
    <row r="72" spans="1:5" x14ac:dyDescent="0.2">
      <c r="A72" s="24"/>
      <c r="B72" s="25"/>
      <c r="C72" s="30"/>
      <c r="D72" s="31"/>
      <c r="E72" s="45" t="e">
        <v>#N/A</v>
      </c>
    </row>
    <row r="73" spans="1:5" x14ac:dyDescent="0.2">
      <c r="A73" s="24"/>
      <c r="B73" s="25"/>
      <c r="C73" s="30"/>
      <c r="D73" s="31"/>
      <c r="E73" s="45" t="e">
        <v>#N/A</v>
      </c>
    </row>
    <row r="74" spans="1:5" x14ac:dyDescent="0.2">
      <c r="A74" s="24"/>
      <c r="B74" s="25"/>
      <c r="C74" s="30"/>
      <c r="D74" s="31"/>
      <c r="E74" s="45" t="e">
        <v>#N/A</v>
      </c>
    </row>
    <row r="75" spans="1:5" x14ac:dyDescent="0.2">
      <c r="A75" s="24"/>
      <c r="B75" s="25"/>
      <c r="C75" s="30"/>
      <c r="D75" s="31"/>
      <c r="E75" s="45" t="e">
        <v>#N/A</v>
      </c>
    </row>
    <row r="76" spans="1:5" x14ac:dyDescent="0.2">
      <c r="A76" s="24"/>
      <c r="B76" s="25"/>
      <c r="C76" s="30"/>
      <c r="D76" s="31"/>
      <c r="E76" s="45" t="e">
        <v>#N/A</v>
      </c>
    </row>
    <row r="77" spans="1:5" x14ac:dyDescent="0.2">
      <c r="A77" s="24"/>
      <c r="B77" s="25"/>
      <c r="C77" s="30"/>
      <c r="D77" s="31"/>
      <c r="E77" s="45" t="e">
        <v>#N/A</v>
      </c>
    </row>
    <row r="78" spans="1:5" x14ac:dyDescent="0.2">
      <c r="A78" s="24"/>
      <c r="B78" s="25"/>
      <c r="C78" s="30"/>
      <c r="D78" s="31"/>
      <c r="E78" s="45" t="e">
        <v>#N/A</v>
      </c>
    </row>
    <row r="79" spans="1:5" x14ac:dyDescent="0.2">
      <c r="A79" s="24"/>
      <c r="B79" s="25"/>
      <c r="C79" s="30"/>
      <c r="D79" s="31"/>
      <c r="E79" s="45" t="e">
        <v>#N/A</v>
      </c>
    </row>
    <row r="80" spans="1:5" x14ac:dyDescent="0.2">
      <c r="A80" s="24"/>
      <c r="B80" s="25"/>
      <c r="C80" s="30"/>
      <c r="D80" s="31"/>
      <c r="E80" s="45" t="e">
        <v>#N/A</v>
      </c>
    </row>
    <row r="81" spans="1:5" x14ac:dyDescent="0.2">
      <c r="A81" s="24"/>
      <c r="B81" s="25"/>
      <c r="C81" s="30"/>
      <c r="D81" s="31"/>
      <c r="E81" s="45" t="e">
        <v>#N/A</v>
      </c>
    </row>
    <row r="82" spans="1:5" x14ac:dyDescent="0.2">
      <c r="A82" s="24"/>
      <c r="B82" s="25"/>
      <c r="C82" s="30"/>
      <c r="D82" s="31"/>
      <c r="E82" s="45" t="e">
        <v>#N/A</v>
      </c>
    </row>
    <row r="83" spans="1:5" x14ac:dyDescent="0.2">
      <c r="A83" s="24"/>
      <c r="B83" s="25"/>
      <c r="C83" s="30"/>
      <c r="D83" s="31"/>
      <c r="E83" s="45" t="e">
        <v>#N/A</v>
      </c>
    </row>
    <row r="84" spans="1:5" x14ac:dyDescent="0.2">
      <c r="A84" s="24"/>
      <c r="B84" s="25"/>
      <c r="C84" s="30"/>
      <c r="D84" s="31"/>
      <c r="E84" s="45" t="e">
        <v>#N/A</v>
      </c>
    </row>
    <row r="85" spans="1:5" x14ac:dyDescent="0.2">
      <c r="A85" s="24"/>
      <c r="B85" s="25"/>
      <c r="C85" s="30"/>
      <c r="D85" s="31"/>
      <c r="E85" s="45" t="e">
        <v>#N/A</v>
      </c>
    </row>
    <row r="86" spans="1:5" x14ac:dyDescent="0.2">
      <c r="A86" s="24"/>
      <c r="B86" s="25"/>
      <c r="C86" s="30"/>
      <c r="D86" s="31"/>
      <c r="E86" s="45" t="e">
        <v>#N/A</v>
      </c>
    </row>
    <row r="87" spans="1:5" x14ac:dyDescent="0.2">
      <c r="A87" s="24"/>
      <c r="B87" s="25"/>
      <c r="C87" s="30"/>
      <c r="D87" s="31"/>
      <c r="E87" s="45" t="e">
        <v>#N/A</v>
      </c>
    </row>
    <row r="88" spans="1:5" x14ac:dyDescent="0.2">
      <c r="A88" s="24"/>
      <c r="B88" s="25"/>
      <c r="C88" s="30"/>
      <c r="D88" s="31"/>
      <c r="E88" s="45" t="e">
        <v>#N/A</v>
      </c>
    </row>
    <row r="89" spans="1:5" x14ac:dyDescent="0.2">
      <c r="A89" s="24"/>
      <c r="B89" s="25"/>
      <c r="C89" s="30"/>
      <c r="D89" s="31"/>
      <c r="E89" s="45" t="e">
        <v>#N/A</v>
      </c>
    </row>
    <row r="90" spans="1:5" x14ac:dyDescent="0.2">
      <c r="A90" s="24"/>
      <c r="B90" s="25"/>
      <c r="C90" s="30"/>
      <c r="D90" s="31"/>
      <c r="E90" s="45" t="e">
        <v>#N/A</v>
      </c>
    </row>
    <row r="91" spans="1:5" x14ac:dyDescent="0.2">
      <c r="A91" s="24"/>
      <c r="B91" s="25"/>
      <c r="C91" s="30"/>
      <c r="D91" s="31"/>
      <c r="E91" s="45" t="e">
        <v>#N/A</v>
      </c>
    </row>
    <row r="92" spans="1:5" x14ac:dyDescent="0.2">
      <c r="A92" s="24"/>
      <c r="B92" s="25"/>
      <c r="C92" s="30"/>
      <c r="D92" s="31"/>
      <c r="E92" s="45" t="e">
        <v>#N/A</v>
      </c>
    </row>
    <row r="93" spans="1:5" x14ac:dyDescent="0.2">
      <c r="A93" s="24"/>
      <c r="B93" s="25"/>
      <c r="C93" s="30"/>
      <c r="D93" s="31"/>
      <c r="E93" s="45" t="e">
        <v>#N/A</v>
      </c>
    </row>
    <row r="94" spans="1:5" x14ac:dyDescent="0.2">
      <c r="A94" s="24"/>
      <c r="B94" s="25"/>
      <c r="C94" s="30"/>
      <c r="D94" s="31"/>
      <c r="E94" s="45" t="e">
        <v>#N/A</v>
      </c>
    </row>
    <row r="95" spans="1:5" x14ac:dyDescent="0.2">
      <c r="A95" s="24"/>
      <c r="B95" s="25"/>
      <c r="C95" s="30"/>
      <c r="D95" s="31"/>
      <c r="E95" s="45" t="e">
        <v>#N/A</v>
      </c>
    </row>
    <row r="96" spans="1:5" x14ac:dyDescent="0.2">
      <c r="A96" s="24"/>
      <c r="B96" s="25"/>
      <c r="C96" s="30"/>
      <c r="D96" s="31"/>
      <c r="E96" s="45" t="e">
        <v>#N/A</v>
      </c>
    </row>
    <row r="97" spans="1:5" x14ac:dyDescent="0.2">
      <c r="A97" s="24"/>
      <c r="B97" s="25"/>
      <c r="C97" s="30"/>
      <c r="D97" s="31"/>
      <c r="E97" s="45" t="e">
        <v>#N/A</v>
      </c>
    </row>
    <row r="98" spans="1:5" x14ac:dyDescent="0.2">
      <c r="A98" s="24"/>
      <c r="B98" s="25"/>
      <c r="C98" s="30"/>
      <c r="D98" s="31"/>
      <c r="E98" s="45" t="e">
        <v>#N/A</v>
      </c>
    </row>
    <row r="99" spans="1:5" x14ac:dyDescent="0.2">
      <c r="A99" s="24"/>
      <c r="B99" s="25"/>
      <c r="C99" s="30"/>
      <c r="D99" s="31"/>
      <c r="E99" s="45" t="e">
        <v>#N/A</v>
      </c>
    </row>
    <row r="100" spans="1:5" x14ac:dyDescent="0.2">
      <c r="A100" s="24"/>
      <c r="B100" s="25"/>
      <c r="C100" s="30"/>
      <c r="D100" s="31"/>
      <c r="E100" s="45" t="e">
        <v>#N/A</v>
      </c>
    </row>
    <row r="101" spans="1:5" x14ac:dyDescent="0.2">
      <c r="A101" s="24"/>
      <c r="B101" s="25"/>
      <c r="C101" s="30"/>
      <c r="D101" s="31"/>
      <c r="E101" s="45" t="e">
        <v>#N/A</v>
      </c>
    </row>
    <row r="102" spans="1:5" x14ac:dyDescent="0.2">
      <c r="A102" s="24"/>
      <c r="B102" s="25"/>
      <c r="C102" s="30"/>
      <c r="D102" s="31"/>
      <c r="E102" s="45" t="e">
        <v>#N/A</v>
      </c>
    </row>
    <row r="103" spans="1:5" x14ac:dyDescent="0.2">
      <c r="A103" s="24"/>
      <c r="B103" s="25"/>
      <c r="C103" s="30"/>
      <c r="D103" s="31"/>
      <c r="E103" s="45" t="e">
        <v>#N/A</v>
      </c>
    </row>
    <row r="104" spans="1:5" x14ac:dyDescent="0.2">
      <c r="A104" s="24"/>
      <c r="B104" s="25"/>
      <c r="C104" s="30"/>
      <c r="D104" s="31"/>
      <c r="E104" s="45" t="e">
        <v>#N/A</v>
      </c>
    </row>
    <row r="105" spans="1:5" x14ac:dyDescent="0.2">
      <c r="A105" s="24"/>
      <c r="B105" s="25"/>
      <c r="C105" s="30"/>
      <c r="D105" s="31"/>
      <c r="E105" s="45" t="e">
        <v>#N/A</v>
      </c>
    </row>
    <row r="106" spans="1:5" x14ac:dyDescent="0.2">
      <c r="A106" s="24"/>
      <c r="B106" s="25"/>
      <c r="C106" s="30"/>
      <c r="D106" s="31"/>
      <c r="E106" s="45" t="e">
        <v>#N/A</v>
      </c>
    </row>
    <row r="107" spans="1:5" x14ac:dyDescent="0.2">
      <c r="A107" s="24"/>
      <c r="B107" s="25"/>
      <c r="C107" s="30"/>
      <c r="D107" s="31"/>
      <c r="E107" s="45" t="e">
        <v>#N/A</v>
      </c>
    </row>
    <row r="108" spans="1:5" x14ac:dyDescent="0.2">
      <c r="A108" s="24"/>
      <c r="B108" s="25"/>
      <c r="C108" s="30"/>
      <c r="D108" s="31"/>
      <c r="E108" s="45" t="e">
        <v>#N/A</v>
      </c>
    </row>
    <row r="109" spans="1:5" x14ac:dyDescent="0.2">
      <c r="A109" s="24"/>
      <c r="B109" s="25"/>
      <c r="C109" s="30"/>
      <c r="D109" s="31"/>
      <c r="E109" s="45" t="e">
        <v>#N/A</v>
      </c>
    </row>
    <row r="110" spans="1:5" x14ac:dyDescent="0.2">
      <c r="A110" s="24"/>
      <c r="B110" s="25"/>
      <c r="C110" s="30"/>
      <c r="D110" s="31"/>
      <c r="E110" s="45" t="e">
        <v>#N/A</v>
      </c>
    </row>
    <row r="111" spans="1:5" x14ac:dyDescent="0.2">
      <c r="A111" s="24"/>
      <c r="B111" s="25"/>
      <c r="C111" s="30"/>
      <c r="D111" s="31"/>
      <c r="E111" s="45" t="e">
        <v>#N/A</v>
      </c>
    </row>
    <row r="112" spans="1:5" x14ac:dyDescent="0.2">
      <c r="A112" s="24"/>
      <c r="B112" s="25"/>
      <c r="C112" s="30"/>
      <c r="D112" s="31"/>
      <c r="E112" s="45" t="e">
        <v>#N/A</v>
      </c>
    </row>
    <row r="113" spans="1:5" x14ac:dyDescent="0.2">
      <c r="A113" s="24"/>
      <c r="B113" s="25"/>
      <c r="C113" s="30"/>
      <c r="D113" s="31"/>
      <c r="E113" s="45" t="e">
        <v>#N/A</v>
      </c>
    </row>
    <row r="114" spans="1:5" x14ac:dyDescent="0.2">
      <c r="A114" s="24"/>
      <c r="B114" s="25"/>
      <c r="C114" s="30"/>
      <c r="D114" s="31"/>
      <c r="E114" s="45" t="e">
        <v>#N/A</v>
      </c>
    </row>
    <row r="115" spans="1:5" x14ac:dyDescent="0.2">
      <c r="A115" s="24"/>
      <c r="B115" s="25"/>
      <c r="C115" s="30"/>
      <c r="D115" s="31"/>
      <c r="E115" s="45" t="e">
        <v>#N/A</v>
      </c>
    </row>
    <row r="116" spans="1:5" x14ac:dyDescent="0.2">
      <c r="A116" s="24"/>
      <c r="B116" s="25"/>
      <c r="C116" s="30"/>
      <c r="D116" s="31"/>
      <c r="E116" s="45" t="e">
        <v>#N/A</v>
      </c>
    </row>
    <row r="117" spans="1:5" x14ac:dyDescent="0.2">
      <c r="A117" s="24"/>
      <c r="B117" s="25"/>
      <c r="C117" s="30"/>
      <c r="D117" s="31"/>
      <c r="E117" s="45" t="e">
        <v>#N/A</v>
      </c>
    </row>
    <row r="118" spans="1:5" x14ac:dyDescent="0.2">
      <c r="A118" s="24"/>
      <c r="B118" s="25"/>
      <c r="C118" s="30"/>
      <c r="D118" s="31"/>
      <c r="E118" s="45" t="e">
        <v>#N/A</v>
      </c>
    </row>
    <row r="119" spans="1:5" x14ac:dyDescent="0.2">
      <c r="A119" s="24"/>
      <c r="B119" s="25"/>
      <c r="C119" s="30"/>
      <c r="D119" s="31"/>
      <c r="E119" s="45" t="e">
        <v>#N/A</v>
      </c>
    </row>
    <row r="120" spans="1:5" x14ac:dyDescent="0.2">
      <c r="A120" s="24"/>
      <c r="B120" s="25"/>
      <c r="C120" s="30"/>
      <c r="D120" s="31"/>
      <c r="E120" s="45" t="e">
        <v>#N/A</v>
      </c>
    </row>
    <row r="121" spans="1:5" x14ac:dyDescent="0.2">
      <c r="A121" s="24"/>
      <c r="B121" s="25"/>
      <c r="C121" s="30"/>
      <c r="D121" s="31"/>
      <c r="E121" s="45" t="e">
        <v>#N/A</v>
      </c>
    </row>
    <row r="122" spans="1:5" x14ac:dyDescent="0.2">
      <c r="A122" s="24"/>
      <c r="B122" s="25"/>
      <c r="C122" s="30"/>
      <c r="D122" s="31"/>
      <c r="E122" s="45" t="e">
        <v>#N/A</v>
      </c>
    </row>
    <row r="123" spans="1:5" x14ac:dyDescent="0.2">
      <c r="A123" s="24"/>
      <c r="B123" s="25"/>
      <c r="C123" s="30"/>
      <c r="D123" s="31"/>
      <c r="E123" s="45" t="e">
        <v>#N/A</v>
      </c>
    </row>
    <row r="124" spans="1:5" x14ac:dyDescent="0.2">
      <c r="A124" s="24"/>
      <c r="B124" s="25"/>
      <c r="C124" s="30"/>
      <c r="D124" s="31"/>
      <c r="E124" s="45" t="e">
        <v>#N/A</v>
      </c>
    </row>
    <row r="125" spans="1:5" x14ac:dyDescent="0.2">
      <c r="A125" s="24"/>
      <c r="B125" s="25"/>
      <c r="C125" s="30"/>
      <c r="D125" s="31"/>
      <c r="E125" s="45" t="e">
        <v>#N/A</v>
      </c>
    </row>
    <row r="126" spans="1:5" x14ac:dyDescent="0.2">
      <c r="A126" s="24"/>
      <c r="B126" s="25"/>
      <c r="C126" s="30"/>
      <c r="D126" s="31"/>
      <c r="E126" s="45" t="e">
        <v>#N/A</v>
      </c>
    </row>
    <row r="127" spans="1:5" x14ac:dyDescent="0.2">
      <c r="A127" s="27"/>
      <c r="B127" s="28"/>
      <c r="C127" s="32"/>
      <c r="D127" s="33"/>
      <c r="E127" s="45" t="e">
        <v>#N/A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General Settings</vt:lpstr>
      <vt:lpstr>Triggers</vt:lpstr>
      <vt:lpstr>RateHelpers</vt:lpstr>
      <vt:lpstr>Calculation</vt:lpstr>
      <vt:lpstr>Accuracy</vt:lpstr>
      <vt:lpstr>BasisInterpolation</vt:lpstr>
      <vt:lpstr>BasisInterpolator</vt:lpstr>
      <vt:lpstr>Calendar</vt:lpstr>
      <vt:lpstr>Currency</vt:lpstr>
      <vt:lpstr>DayCounter</vt:lpstr>
      <vt:lpstr>DiscountingCurve</vt:lpstr>
      <vt:lpstr>EvaluationDate</vt:lpstr>
      <vt:lpstr>IborIndex</vt:lpstr>
      <vt:lpstr>IborTenor</vt:lpstr>
      <vt:lpstr>IborType</vt:lpstr>
      <vt:lpstr>InterestRatesTrigger</vt:lpstr>
      <vt:lpstr>InterpolatorID</vt:lpstr>
      <vt:lpstr>LastUpdate</vt:lpstr>
      <vt:lpstr>LiveDataFeed</vt:lpstr>
      <vt:lpstr>MinDistance</vt:lpstr>
      <vt:lpstr>NDays</vt:lpstr>
      <vt:lpstr>OvernightIndex</vt:lpstr>
      <vt:lpstr>Calculation!Print_Area</vt:lpstr>
      <vt:lpstr>RateHelpers</vt:lpstr>
      <vt:lpstr>RateHelpersIncluded</vt:lpstr>
      <vt:lpstr>RateHelpersPriority</vt:lpstr>
      <vt:lpstr>TraitsID</vt:lpstr>
      <vt:lpstr>TriggerCounter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2009-10-19T16:16:39Z</cp:lastPrinted>
  <dcterms:created xsi:type="dcterms:W3CDTF">2006-04-26T09:45:07Z</dcterms:created>
  <dcterms:modified xsi:type="dcterms:W3CDTF">2014-02-14T12:59:54Z</dcterms:modified>
</cp:coreProperties>
</file>
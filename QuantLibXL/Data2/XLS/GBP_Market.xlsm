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55" yWindow="180" windowWidth="18060" windowHeight="11610" tabRatio="741" activeTab="10"/>
  </bookViews>
  <sheets>
    <sheet name="General Settings" sheetId="62" r:id="rId1"/>
    <sheet name="GBP" sheetId="7" r:id="rId2"/>
    <sheet name="Libor" sheetId="4" r:id="rId3"/>
    <sheet name="LiborSwapIsda" sheetId="5" r:id="rId4"/>
    <sheet name="BasisSwap1MxM" sheetId="9" r:id="rId5"/>
    <sheet name="BasisSwap3M6M" sheetId="10" r:id="rId6"/>
    <sheet name="BasisSwapxM12M" sheetId="11" r:id="rId7"/>
    <sheet name="Deposits" sheetId="13" r:id="rId8"/>
    <sheet name="FRA" sheetId="14" r:id="rId9"/>
    <sheet name="Futures1M" sheetId="15" r:id="rId10"/>
    <sheet name="Futures3M" sheetId="16" r:id="rId11"/>
    <sheet name="ImmFra6M " sheetId="17" r:id="rId12"/>
    <sheet name="FuturesHWConvAdj" sheetId="18" r:id="rId13"/>
    <sheet name="OIS" sheetId="20" r:id="rId14"/>
    <sheet name="Swaps1M" sheetId="21" r:id="rId15"/>
    <sheet name="SwapsIMMDated" sheetId="22" r:id="rId16"/>
    <sheet name="Swap3M" sheetId="23" r:id="rId17"/>
    <sheet name="Swap6M" sheetId="24" r:id="rId18"/>
    <sheet name="1M" sheetId="26" r:id="rId19"/>
    <sheet name="3M" sheetId="27" r:id="rId20"/>
    <sheet name="6M" sheetId="28" r:id="rId21"/>
    <sheet name="1Y" sheetId="29" r:id="rId22"/>
    <sheet name="1M (2)" sheetId="31" r:id="rId23"/>
    <sheet name="3M (2)" sheetId="32" r:id="rId24"/>
    <sheet name="6M (2)" sheetId="33" r:id="rId25"/>
    <sheet name="1Y (2)" sheetId="34" r:id="rId26"/>
    <sheet name="IBOR" sheetId="39" r:id="rId27"/>
    <sheet name="IB365" sheetId="40" r:id="rId28"/>
    <sheet name="SFIX2" sheetId="43" r:id="rId29"/>
    <sheet name="SFIX3" sheetId="44" r:id="rId30"/>
    <sheet name="MPCOIS" sheetId="60" r:id="rId31"/>
    <sheet name="FwdOIS" sheetId="61" r:id="rId32"/>
  </sheets>
  <definedNames>
    <definedName name="Contributor" localSheetId="4">BasisSwap1MxM!$S$2</definedName>
    <definedName name="Contributor" localSheetId="5">BasisSwap3M6M!$S$2</definedName>
    <definedName name="Contributor" localSheetId="6">BasisSwapxM12M!$S$2</definedName>
    <definedName name="Contributor" localSheetId="7">Deposits!$J$2</definedName>
    <definedName name="Contributor" localSheetId="8">FRA!$M$2</definedName>
    <definedName name="Contributor" localSheetId="12">FuturesHWConvAdj!$H$2</definedName>
    <definedName name="Contributor" localSheetId="31">FwdOIS!$F$2</definedName>
    <definedName name="Contributor" localSheetId="11">'ImmFra6M '!$O$2</definedName>
    <definedName name="Contributor" localSheetId="30">MPCOIS!$F$2</definedName>
    <definedName name="Contributor" localSheetId="13">OIS!$O$2</definedName>
    <definedName name="Contributor" localSheetId="16">Swap3M!$S$2</definedName>
    <definedName name="Contributor" localSheetId="17">Swap6M!$S$2</definedName>
    <definedName name="Contributor" localSheetId="14">Swaps1M!$O$2</definedName>
    <definedName name="Contributor" localSheetId="15">SwapsIMMDated!$O$2</definedName>
    <definedName name="Contributors">'General Settings'!$C$31:$C$37</definedName>
    <definedName name="ContributorTable">'General Settings'!$C$31:$D$37</definedName>
    <definedName name="Conventions" localSheetId="4">BasisSwap1MxM!$AF$5:$AH$9</definedName>
    <definedName name="Conventions" localSheetId="5">BasisSwap3M6M!$AG$5:$AI$9</definedName>
    <definedName name="Conventions" localSheetId="6">BasisSwapxM12M!$AG$5:$AI$9</definedName>
    <definedName name="Conventions" localSheetId="16">Swap3M!$AG$5:$AI$10</definedName>
    <definedName name="Conventions" localSheetId="17">Swap6M!$AF$5:$AH$9</definedName>
    <definedName name="Counter" localSheetId="31">FwdOIS!$Q$3</definedName>
    <definedName name="Counter" localSheetId="30">MPCOIS!$Q$3</definedName>
    <definedName name="Counter">Futures1M!$AA$5</definedName>
    <definedName name="Currency" localSheetId="1">GBP!$E$3</definedName>
    <definedName name="Currency">'General Settings'!$D$18</definedName>
    <definedName name="Discounting">'General Settings'!$D$15</definedName>
    <definedName name="Discounting2">'General Settings'!$D$16</definedName>
    <definedName name="EvaluationDate">'General Settings'!$D$19</definedName>
    <definedName name="FamilyName" localSheetId="3">LiborSwapIsda!$F$3</definedName>
    <definedName name="FamilyName">'General Settings'!$D$21</definedName>
    <definedName name="FileName" localSheetId="2">Libor!$E$5</definedName>
    <definedName name="FileName" localSheetId="3">LiborSwapIsda!$E$6</definedName>
    <definedName name="FileOverwrite">'General Settings'!$D$14</definedName>
    <definedName name="FixingType">'General Settings'!$D$20</definedName>
    <definedName name="FuturesCodes" localSheetId="9">Futures1M!$M$7:$M$18</definedName>
    <definedName name="FuturesCodes" localSheetId="10">Futures3M!$M$7:$M$48</definedName>
    <definedName name="FuturesCodes" localSheetId="11">'ImmFra6M '!$M$6:$M$9</definedName>
    <definedName name="FuturesDates" localSheetId="9">Futures1M!$N$7:$N$18</definedName>
    <definedName name="FuturesDates" localSheetId="10">Futures3M!$N$7:$N$48</definedName>
    <definedName name="FuturesDates" localSheetId="11">'ImmFra6M '!$N$6:$N$9</definedName>
    <definedName name="IborIndex" localSheetId="9">Futures1M!$AN$4</definedName>
    <definedName name="IborIndex" localSheetId="10">Futures3M!$AM$4</definedName>
    <definedName name="Instruments" localSheetId="4">BasisSwap1MxM!$R$5:$R$42</definedName>
    <definedName name="Instruments" localSheetId="5">BasisSwap3M6M!$R$5:$R$42</definedName>
    <definedName name="Instruments" localSheetId="6">BasisSwapxM12M!$R$5:$R$42</definedName>
    <definedName name="Instruments" localSheetId="8">FRA!$L$5:$L$24</definedName>
    <definedName name="Instruments" localSheetId="31">FwdOIS!$E$5:$E$10</definedName>
    <definedName name="Instruments" localSheetId="30">MPCOIS!$E$5:$E$10</definedName>
    <definedName name="Instruments" localSheetId="13">OIS!$N$5:$N$37</definedName>
    <definedName name="Instruments" localSheetId="16">Swap3M!$R$5:$R$42</definedName>
    <definedName name="Instruments" localSheetId="17">Swap6M!$R$5:$R$42</definedName>
    <definedName name="Instruments" localSheetId="14">Swaps1M!$N$5:$N$15</definedName>
    <definedName name="Instruments" localSheetId="15">SwapsIMMDated!$N$5:$N$11</definedName>
    <definedName name="InterpolationType">'General Settings'!$D$28</definedName>
    <definedName name="LastUpdate">'General Settings'!$D$6</definedName>
    <definedName name="LiffeCodes" localSheetId="9">Futures1M!$AD$6:$AE$10</definedName>
    <definedName name="LiffeCodes" localSheetId="10">Futures3M!$AC$6:$AD$10</definedName>
    <definedName name="LiveDataFeed">'General Settings'!$D$7</definedName>
    <definedName name="MeanReversion" localSheetId="9">Futures1M!$AN$3</definedName>
    <definedName name="MeanReversion" localSheetId="10">Futures3M!$AM$3</definedName>
    <definedName name="Months" localSheetId="18">'1M'!$B$2</definedName>
    <definedName name="Months" localSheetId="21">'1Y'!$B$1</definedName>
    <definedName name="Months" localSheetId="19">'3M'!$B$1</definedName>
    <definedName name="Months" localSheetId="20">'6M'!$B$1</definedName>
    <definedName name="ObjectOverwrite">'General Settings'!$D$10</definedName>
    <definedName name="Permanent">'General Settings'!$D$9</definedName>
    <definedName name="PriceTickValue">'General Settings'!$D$24</definedName>
    <definedName name="Quote" localSheetId="31">FwdOIS!$P$5:$P$10</definedName>
    <definedName name="Quote" localSheetId="30">MPCOIS!$P$5:$P$10</definedName>
    <definedName name="QuoteLive" localSheetId="4">BasisSwap1MxM!$X$5:$X$42</definedName>
    <definedName name="QuoteLive" localSheetId="5">BasisSwap3M6M!$X$5:$X$42</definedName>
    <definedName name="QuoteLive" localSheetId="6">BasisSwapxM12M!$X$5:$X$42</definedName>
    <definedName name="QuoteLive" localSheetId="7">Deposits!$K$5:$K$22</definedName>
    <definedName name="QuoteLive" localSheetId="8">FRA!$R$5:$R$24</definedName>
    <definedName name="QuoteLive" localSheetId="9">Futures1M!$U$7:$U$18</definedName>
    <definedName name="QuoteLive" localSheetId="10">Futures3M!$U$7:$U$48</definedName>
    <definedName name="QuoteLive" localSheetId="12">FuturesHWConvAdj!$L$5:$L$6</definedName>
    <definedName name="QuoteLive" localSheetId="31">FwdOIS!$K$5:$K$10</definedName>
    <definedName name="QuoteLive" localSheetId="11">'ImmFra6M '!$U$6:$U$9</definedName>
    <definedName name="QuoteLive" localSheetId="30">MPCOIS!$K$5:$K$10</definedName>
    <definedName name="QuoteLive" localSheetId="13">OIS!$T$5:$T$37</definedName>
    <definedName name="QuoteLive" localSheetId="16">Swap3M!$X$5:$X$42</definedName>
    <definedName name="QuoteLive" localSheetId="17">Swap6M!$X$5:$X$42</definedName>
    <definedName name="QuoteLive" localSheetId="14">Swaps1M!$T$5:$T$15</definedName>
    <definedName name="QuoteLive" localSheetId="15">SwapsIMMDated!$T$5:$T$11</definedName>
    <definedName name="QuoteStatic" localSheetId="18">'1M'!$L$6:$L$10</definedName>
    <definedName name="QuoteStatic" localSheetId="4">BasisSwap1MxM!$Z$5:$Z$42</definedName>
    <definedName name="QuoteStatic" localSheetId="7">Deposits!$M$5:$M$22</definedName>
    <definedName name="QuoteStatic" localSheetId="31">FwdOIS!$M$5:$M$10</definedName>
    <definedName name="QuoteStatic" localSheetId="30">MPCOIS!$M$5:$M$10</definedName>
    <definedName name="QuoteStatic" localSheetId="17">Swap6M!$Z$5:$Z$42</definedName>
    <definedName name="QuoteStatic" localSheetId="14">Swaps1M!$V$5:$V$15</definedName>
    <definedName name="QuoteStatic2" localSheetId="18">'1M'!$V$11:$V$12</definedName>
    <definedName name="QuoteSuffix">'General Settings'!$D$22</definedName>
    <definedName name="RateTickValue">'General Settings'!$D$23</definedName>
    <definedName name="ReutersRtMode">'General Settings'!$D$26</definedName>
    <definedName name="SerializationPath">'General Settings'!$D$13</definedName>
    <definedName name="Serialize">'General Settings'!$D$12</definedName>
    <definedName name="Swap3M4Y">Swap3M!$AC$12</definedName>
    <definedName name="Swap6M4Y">Swap6M!$AB$12</definedName>
    <definedName name="SwapMainSetConventions">Swap3M!$J$6:$L$10</definedName>
    <definedName name="SwapSecondarySetConventions">Swap6M!$J$6:$L$10</definedName>
    <definedName name="Tenor" localSheetId="18">'1M'!$C$2</definedName>
    <definedName name="Tenor" localSheetId="21">'1Y'!$C$1</definedName>
    <definedName name="Tenor" localSheetId="19">'3M'!$C$1</definedName>
    <definedName name="Tenor" localSheetId="20">'6M'!$C$1</definedName>
    <definedName name="Traits" localSheetId="27">'IB365'!$C$24:$E$30</definedName>
    <definedName name="Traits" localSheetId="26">IBOR!$C$24:$E$30</definedName>
    <definedName name="Traits" localSheetId="2">Libor!$P$25:$R$31</definedName>
    <definedName name="Traits" localSheetId="3">LiborSwapIsda!$N$24:$P$30</definedName>
    <definedName name="Traits" localSheetId="28">SFIX2!$C$21:$E$27</definedName>
    <definedName name="Traits" localSheetId="29">SFIX3!$C$21:$E$27</definedName>
    <definedName name="Trigger">'General Settings'!$D$4</definedName>
    <definedName name="TriggerCounter">'General Settings'!$D$27</definedName>
    <definedName name="Volatility" localSheetId="9">Futures1M!$AN$2</definedName>
    <definedName name="Volatility" localSheetId="10">Futures3M!$AM$2</definedName>
  </definedNames>
  <calcPr calcId="145621"/>
</workbook>
</file>

<file path=xl/calcChain.xml><?xml version="1.0" encoding="utf-8"?>
<calcChain xmlns="http://schemas.openxmlformats.org/spreadsheetml/2006/main">
  <c r="AM3" i="16" l="1"/>
  <c r="AM2" i="16"/>
  <c r="AM4" i="16"/>
  <c r="P5" i="61" l="1" a="1"/>
  <c r="P5" i="61" s="1"/>
  <c r="P5" i="60" a="1"/>
  <c r="P5" i="60" s="1"/>
  <c r="P10" i="61" l="1"/>
  <c r="P9" i="61"/>
  <c r="P8" i="61"/>
  <c r="P7" i="61"/>
  <c r="P6" i="61"/>
  <c r="P10" i="60"/>
  <c r="P9" i="60"/>
  <c r="P8" i="60"/>
  <c r="P7" i="60"/>
  <c r="P6" i="60"/>
  <c r="AL6" i="16"/>
  <c r="AN2" i="15"/>
  <c r="AN3" i="15"/>
  <c r="AN4" i="15"/>
  <c r="AN6" i="15"/>
  <c r="AK7" i="16" a="1"/>
  <c r="AL7" i="15" a="1"/>
  <c r="AL10" i="15" l="1"/>
  <c r="AL12" i="15"/>
  <c r="AL21" i="15"/>
  <c r="AL34" i="15"/>
  <c r="AL42" i="15"/>
  <c r="AL36" i="15"/>
  <c r="AL38" i="15"/>
  <c r="AL15" i="15"/>
  <c r="AL7" i="15"/>
  <c r="AL14" i="15"/>
  <c r="AL16" i="15"/>
  <c r="AL26" i="15"/>
  <c r="AL31" i="15"/>
  <c r="AL39" i="15"/>
  <c r="AL18" i="15"/>
  <c r="AL23" i="15"/>
  <c r="AL28" i="15"/>
  <c r="AL25" i="15"/>
  <c r="AL17" i="15"/>
  <c r="AL27" i="15"/>
  <c r="AL35" i="15"/>
  <c r="AL43" i="15"/>
  <c r="AM43" i="15" s="1"/>
  <c r="AL8" i="15"/>
  <c r="AL40" i="15"/>
  <c r="AL9" i="15"/>
  <c r="AL20" i="15"/>
  <c r="AL33" i="15"/>
  <c r="AL41" i="15"/>
  <c r="AL11" i="15"/>
  <c r="AL13" i="15"/>
  <c r="AL30" i="15"/>
  <c r="AL22" i="15"/>
  <c r="AL19" i="15"/>
  <c r="AL32" i="15"/>
  <c r="AL24" i="15"/>
  <c r="AL37" i="15"/>
  <c r="AL29" i="15"/>
  <c r="AK11" i="16"/>
  <c r="AL11" i="16" s="1"/>
  <c r="AK16" i="16"/>
  <c r="AL16" i="16" s="1"/>
  <c r="AK21" i="16"/>
  <c r="AL21" i="16" s="1"/>
  <c r="AK26" i="16"/>
  <c r="AL26" i="16" s="1"/>
  <c r="AK36" i="16"/>
  <c r="AL36" i="16" s="1"/>
  <c r="AK46" i="16"/>
  <c r="AL46" i="16" s="1"/>
  <c r="AK12" i="16"/>
  <c r="AL12" i="16" s="1"/>
  <c r="AK19" i="16"/>
  <c r="AL19" i="16" s="1"/>
  <c r="AK44" i="16"/>
  <c r="AL44" i="16" s="1"/>
  <c r="AK24" i="16"/>
  <c r="AL24" i="16" s="1"/>
  <c r="AK30" i="16"/>
  <c r="AL30" i="16" s="1"/>
  <c r="AK35" i="16"/>
  <c r="AL35" i="16" s="1"/>
  <c r="AK45" i="16"/>
  <c r="AL45" i="16" s="1"/>
  <c r="AK7" i="16"/>
  <c r="AL7" i="16" s="1"/>
  <c r="AK17" i="16"/>
  <c r="AL17" i="16" s="1"/>
  <c r="AK32" i="16"/>
  <c r="AL32" i="16" s="1"/>
  <c r="AK37" i="16"/>
  <c r="AL37" i="16" s="1"/>
  <c r="AK42" i="16"/>
  <c r="AL42" i="16" s="1"/>
  <c r="AK22" i="16"/>
  <c r="AL22" i="16" s="1"/>
  <c r="AK27" i="16"/>
  <c r="AL27" i="16" s="1"/>
  <c r="AK33" i="16"/>
  <c r="AL33" i="16" s="1"/>
  <c r="AK47" i="16"/>
  <c r="AL47" i="16" s="1"/>
  <c r="AK40" i="16"/>
  <c r="AL40" i="16" s="1"/>
  <c r="AK15" i="16"/>
  <c r="AL15" i="16" s="1"/>
  <c r="AK20" i="16"/>
  <c r="AL20" i="16" s="1"/>
  <c r="AK8" i="16"/>
  <c r="AL8" i="16" s="1"/>
  <c r="AK13" i="16"/>
  <c r="AL13" i="16" s="1"/>
  <c r="AK18" i="16"/>
  <c r="AL18" i="16" s="1"/>
  <c r="AK38" i="16"/>
  <c r="AL38" i="16" s="1"/>
  <c r="AK43" i="16"/>
  <c r="AL43" i="16" s="1"/>
  <c r="AK48" i="16"/>
  <c r="AL48" i="16" s="1"/>
  <c r="AK9" i="16"/>
  <c r="AL9" i="16" s="1"/>
  <c r="AK23" i="16"/>
  <c r="AL23" i="16" s="1"/>
  <c r="AK28" i="16"/>
  <c r="AL28" i="16" s="1"/>
  <c r="AK34" i="16"/>
  <c r="AL34" i="16" s="1"/>
  <c r="AK39" i="16"/>
  <c r="AL39" i="16" s="1"/>
  <c r="AK14" i="16"/>
  <c r="AL14" i="16" s="1"/>
  <c r="AK29" i="16"/>
  <c r="AL29" i="16" s="1"/>
  <c r="AK10" i="16"/>
  <c r="AL10" i="16" s="1"/>
  <c r="AK25" i="16"/>
  <c r="AL25" i="16" s="1"/>
  <c r="AK41" i="16"/>
  <c r="AL41" i="16" s="1"/>
  <c r="AK31" i="16"/>
  <c r="AL31" i="16" s="1"/>
  <c r="AN43" i="15"/>
  <c r="AL44" i="15"/>
  <c r="AM44" i="15"/>
  <c r="AN44" i="15"/>
  <c r="AL45" i="15"/>
  <c r="AN45" i="15" s="1"/>
  <c r="AM45" i="15"/>
  <c r="AL46" i="15"/>
  <c r="AM46" i="15" s="1"/>
  <c r="AO43" i="15"/>
  <c r="AO45" i="15"/>
  <c r="AP45" i="15" s="1"/>
  <c r="AO44" i="15"/>
  <c r="AP44" i="15" s="1"/>
  <c r="AN40" i="15" l="1"/>
  <c r="AM40" i="15"/>
  <c r="AN15" i="15"/>
  <c r="AM15" i="15"/>
  <c r="AN13" i="15"/>
  <c r="AM13" i="15"/>
  <c r="AM39" i="15"/>
  <c r="AN39" i="15"/>
  <c r="AM36" i="15"/>
  <c r="AN36" i="15"/>
  <c r="AM29" i="15"/>
  <c r="AN29" i="15"/>
  <c r="AN11" i="15"/>
  <c r="AM11" i="15"/>
  <c r="AM35" i="15"/>
  <c r="AN35" i="15"/>
  <c r="AM31" i="15"/>
  <c r="AN31" i="15"/>
  <c r="AM42" i="15"/>
  <c r="AN42" i="15"/>
  <c r="AM23" i="15"/>
  <c r="AN23" i="15"/>
  <c r="AM30" i="15"/>
  <c r="AN30" i="15"/>
  <c r="AN8" i="15"/>
  <c r="AM8" i="15"/>
  <c r="AN18" i="15"/>
  <c r="AM18" i="15"/>
  <c r="AM38" i="15"/>
  <c r="AN38" i="15"/>
  <c r="AM41" i="15"/>
  <c r="AN41" i="15"/>
  <c r="AN26" i="15"/>
  <c r="AM26" i="15"/>
  <c r="AM16" i="15"/>
  <c r="AN16" i="15"/>
  <c r="AN32" i="15"/>
  <c r="AM32" i="15"/>
  <c r="AN20" i="15"/>
  <c r="AM20" i="15"/>
  <c r="AM25" i="15"/>
  <c r="AN25" i="15"/>
  <c r="AN14" i="15"/>
  <c r="AM14" i="15"/>
  <c r="AN12" i="15"/>
  <c r="AM12" i="15"/>
  <c r="AM22" i="15"/>
  <c r="AN22" i="15"/>
  <c r="AM37" i="15"/>
  <c r="AN37" i="15"/>
  <c r="AM27" i="15"/>
  <c r="AN27" i="15"/>
  <c r="AN34" i="15"/>
  <c r="AM34" i="15"/>
  <c r="AM24" i="15"/>
  <c r="AN24" i="15"/>
  <c r="AM33" i="15"/>
  <c r="AN33" i="15"/>
  <c r="AM17" i="15"/>
  <c r="AN17" i="15"/>
  <c r="AM21" i="15"/>
  <c r="AN21" i="15"/>
  <c r="AN19" i="15"/>
  <c r="AM19" i="15"/>
  <c r="AN9" i="15"/>
  <c r="AM9" i="15"/>
  <c r="AN28" i="15"/>
  <c r="AM28" i="15"/>
  <c r="AM7" i="15"/>
  <c r="AN7" i="15"/>
  <c r="AM10" i="15"/>
  <c r="AN10" i="15"/>
  <c r="AN46" i="15"/>
  <c r="AL47" i="15"/>
  <c r="AM47" i="15" s="1"/>
  <c r="AN47" i="15"/>
  <c r="AL48" i="15"/>
  <c r="AN48" i="15" s="1"/>
  <c r="AM48" i="15"/>
  <c r="AL49" i="15"/>
  <c r="AM49" i="15"/>
  <c r="AN49" i="15"/>
  <c r="AL50" i="15"/>
  <c r="AM50" i="15"/>
  <c r="AN50" i="15"/>
  <c r="AL51" i="15"/>
  <c r="AN51" i="15" s="1"/>
  <c r="AM51" i="15"/>
  <c r="AL52" i="15"/>
  <c r="AM52" i="15"/>
  <c r="AN52" i="15"/>
  <c r="AL53" i="15"/>
  <c r="AM53" i="15"/>
  <c r="AN53" i="15"/>
  <c r="AL54" i="15"/>
  <c r="AM54" i="15"/>
  <c r="AN54" i="15"/>
  <c r="AL55" i="15"/>
  <c r="AM55" i="15" s="1"/>
  <c r="AN55" i="15"/>
  <c r="AL56" i="15"/>
  <c r="AM56" i="15" s="1"/>
  <c r="AL57" i="15"/>
  <c r="AM57" i="15"/>
  <c r="AN57" i="15"/>
  <c r="AL58" i="15"/>
  <c r="AM58" i="15"/>
  <c r="AN58" i="15"/>
  <c r="AL59" i="15"/>
  <c r="AN59" i="15" s="1"/>
  <c r="AM59" i="15"/>
  <c r="AL60" i="15"/>
  <c r="AM60" i="15"/>
  <c r="AN60" i="15"/>
  <c r="AL61" i="15"/>
  <c r="AM61" i="15"/>
  <c r="AN61" i="15"/>
  <c r="AL62" i="15"/>
  <c r="AM62" i="15"/>
  <c r="AN62" i="15"/>
  <c r="AL63" i="15"/>
  <c r="AM63" i="15" s="1"/>
  <c r="AN63" i="15"/>
  <c r="AL64" i="15"/>
  <c r="AM64" i="15" s="1"/>
  <c r="AL65" i="15"/>
  <c r="AM65" i="15"/>
  <c r="AN65" i="15"/>
  <c r="AL66" i="15"/>
  <c r="AM66" i="15"/>
  <c r="AN66" i="15"/>
  <c r="AL67" i="15"/>
  <c r="AN67" i="15" s="1"/>
  <c r="AM67" i="15"/>
  <c r="AL68" i="15"/>
  <c r="AM68" i="15"/>
  <c r="AN68" i="15"/>
  <c r="AL69" i="15"/>
  <c r="AM69" i="15"/>
  <c r="AN69" i="15"/>
  <c r="AL70" i="15"/>
  <c r="AM70" i="15"/>
  <c r="AN70" i="15"/>
  <c r="AL71" i="15"/>
  <c r="AM71" i="15" s="1"/>
  <c r="AN71" i="15"/>
  <c r="AL72" i="15"/>
  <c r="AM72" i="15" s="1"/>
  <c r="AL73" i="15"/>
  <c r="AM73" i="15"/>
  <c r="AN73" i="15"/>
  <c r="AL74" i="15"/>
  <c r="AM74" i="15"/>
  <c r="AN74" i="15"/>
  <c r="AL75" i="15"/>
  <c r="AN75" i="15" s="1"/>
  <c r="AM75" i="15"/>
  <c r="AL76" i="15"/>
  <c r="AM76" i="15" s="1"/>
  <c r="AP43" i="15"/>
  <c r="AO39" i="15"/>
  <c r="AP39" i="15" s="1"/>
  <c r="AO35" i="15"/>
  <c r="AP35" i="15" s="1"/>
  <c r="AO30" i="15"/>
  <c r="AP30" i="15" s="1"/>
  <c r="AO41" i="15"/>
  <c r="AP41" i="15" s="1"/>
  <c r="AO22" i="15"/>
  <c r="AP22" i="15" s="1"/>
  <c r="AO24" i="15"/>
  <c r="AP24" i="15" s="1"/>
  <c r="AO10" i="15"/>
  <c r="AP10" i="15" s="1"/>
  <c r="AO54" i="15"/>
  <c r="AO62" i="15"/>
  <c r="AO70" i="15"/>
  <c r="AP62" i="15"/>
  <c r="AO67" i="15"/>
  <c r="AP70" i="15"/>
  <c r="AO75" i="15"/>
  <c r="AO36" i="15"/>
  <c r="AP36" i="15" s="1"/>
  <c r="AO25" i="15"/>
  <c r="AP25" i="15" s="1"/>
  <c r="AO33" i="15"/>
  <c r="AP33" i="15" s="1"/>
  <c r="AO48" i="15"/>
  <c r="AP75" i="15"/>
  <c r="AO13" i="15"/>
  <c r="AP13" i="15" s="1"/>
  <c r="AO34" i="15"/>
  <c r="AP34" i="15" s="1"/>
  <c r="AO46" i="15"/>
  <c r="AO63" i="15"/>
  <c r="AO21" i="15"/>
  <c r="AP21" i="15" s="1"/>
  <c r="AO68" i="15"/>
  <c r="AO65" i="15"/>
  <c r="AP65" i="15" s="1"/>
  <c r="AO40" i="15"/>
  <c r="AP40" i="15" s="1"/>
  <c r="AO8" i="15"/>
  <c r="AP8" i="15" s="1"/>
  <c r="AO26" i="15"/>
  <c r="AP26" i="15" s="1"/>
  <c r="AO9" i="15"/>
  <c r="AP9" i="15" s="1"/>
  <c r="AO51" i="15"/>
  <c r="AP51" i="15" s="1"/>
  <c r="AP54" i="15"/>
  <c r="AO59" i="15"/>
  <c r="AO31" i="15"/>
  <c r="AP31" i="15" s="1"/>
  <c r="AO37" i="15"/>
  <c r="AP37" i="15" s="1"/>
  <c r="AP59" i="15"/>
  <c r="AP67" i="15"/>
  <c r="AO50" i="15"/>
  <c r="AO74" i="15"/>
  <c r="AO12" i="15"/>
  <c r="AP12" i="15" s="1"/>
  <c r="AP50" i="15"/>
  <c r="AO23" i="15"/>
  <c r="AP23" i="15" s="1"/>
  <c r="AO7" i="15"/>
  <c r="AP7" i="15" s="1"/>
  <c r="AO20" i="15"/>
  <c r="AP20" i="15" s="1"/>
  <c r="AO19" i="15"/>
  <c r="AP19" i="15" s="1"/>
  <c r="AO15" i="15"/>
  <c r="AP15" i="15" s="1"/>
  <c r="AO18" i="15"/>
  <c r="AP18" i="15" s="1"/>
  <c r="AO14" i="15"/>
  <c r="AP14" i="15" s="1"/>
  <c r="AO28" i="15"/>
  <c r="AP28" i="15" s="1"/>
  <c r="AP48" i="15"/>
  <c r="AO53" i="15"/>
  <c r="AO61" i="15"/>
  <c r="AO69" i="15"/>
  <c r="AO29" i="15"/>
  <c r="AP29" i="15" s="1"/>
  <c r="AO42" i="15"/>
  <c r="AP42" i="15" s="1"/>
  <c r="AO16" i="15"/>
  <c r="AP16" i="15" s="1"/>
  <c r="AO27" i="15"/>
  <c r="AP27" i="15" s="1"/>
  <c r="AO17" i="15"/>
  <c r="AP17" i="15" s="1"/>
  <c r="AP53" i="15"/>
  <c r="AO58" i="15"/>
  <c r="AP61" i="15"/>
  <c r="AO66" i="15"/>
  <c r="AP66" i="15" s="1"/>
  <c r="AP69" i="15"/>
  <c r="AO11" i="15"/>
  <c r="AP11" i="15" s="1"/>
  <c r="AO32" i="15"/>
  <c r="AP32" i="15" s="1"/>
  <c r="AO55" i="15"/>
  <c r="AP58" i="15"/>
  <c r="AO71" i="15"/>
  <c r="AP74" i="15"/>
  <c r="AO38" i="15"/>
  <c r="AP38" i="15" s="1"/>
  <c r="AO47" i="15"/>
  <c r="AO52" i="15"/>
  <c r="AP55" i="15"/>
  <c r="AO60" i="15"/>
  <c r="AP63" i="15"/>
  <c r="AP71" i="15"/>
  <c r="AP47" i="15"/>
  <c r="AO49" i="15"/>
  <c r="AP49" i="15" s="1"/>
  <c r="AP52" i="15"/>
  <c r="AO57" i="15"/>
  <c r="AP57" i="15" s="1"/>
  <c r="AP60" i="15"/>
  <c r="AP68" i="15"/>
  <c r="AO73" i="15"/>
  <c r="AP73" i="15" s="1"/>
  <c r="AN64" i="15" l="1"/>
  <c r="AN56" i="15"/>
  <c r="AN72" i="15"/>
  <c r="AN76" i="15"/>
  <c r="AL77" i="15"/>
  <c r="AM77" i="15"/>
  <c r="AN77" i="15"/>
  <c r="AL78" i="15"/>
  <c r="AM78" i="15"/>
  <c r="AN78" i="15"/>
  <c r="AL79" i="15"/>
  <c r="AM79" i="15"/>
  <c r="AN79" i="15"/>
  <c r="AL80" i="15"/>
  <c r="AM80" i="15"/>
  <c r="AN80" i="15"/>
  <c r="AL81" i="15"/>
  <c r="AM81" i="15" s="1"/>
  <c r="AL82" i="15"/>
  <c r="AM82" i="15" s="1"/>
  <c r="AL83" i="15"/>
  <c r="AM83" i="15"/>
  <c r="AN83" i="15"/>
  <c r="AL84" i="15"/>
  <c r="AN84" i="15" s="1"/>
  <c r="AM84" i="15"/>
  <c r="AL85" i="15"/>
  <c r="AM85" i="15"/>
  <c r="AN85" i="15"/>
  <c r="AL86" i="15"/>
  <c r="AM86" i="15" s="1"/>
  <c r="AL87" i="15"/>
  <c r="AM87" i="15" s="1"/>
  <c r="AL88" i="15"/>
  <c r="AM88" i="15"/>
  <c r="AN88" i="15"/>
  <c r="AL89" i="15"/>
  <c r="AN89" i="15" s="1"/>
  <c r="AM89" i="15"/>
  <c r="AL90" i="15"/>
  <c r="AN90" i="15" s="1"/>
  <c r="AM90" i="15"/>
  <c r="AL91" i="15"/>
  <c r="AM91" i="15"/>
  <c r="AN91" i="15"/>
  <c r="AL92" i="15"/>
  <c r="AM92" i="15"/>
  <c r="AN92" i="15"/>
  <c r="AL93" i="15"/>
  <c r="AM93" i="15"/>
  <c r="AN93" i="15"/>
  <c r="AL94" i="15"/>
  <c r="AM94" i="15" s="1"/>
  <c r="AL95" i="15"/>
  <c r="AM95" i="15" s="1"/>
  <c r="AL96" i="15"/>
  <c r="AM96" i="15"/>
  <c r="AN96" i="15"/>
  <c r="AL97" i="15"/>
  <c r="AN97" i="15" s="1"/>
  <c r="AM97" i="15"/>
  <c r="AL98" i="15"/>
  <c r="AN98" i="15" s="1"/>
  <c r="AM98" i="15"/>
  <c r="AL99" i="15"/>
  <c r="AM99" i="15"/>
  <c r="AN99" i="15"/>
  <c r="AL100" i="15"/>
  <c r="AM100" i="15"/>
  <c r="AN100" i="15"/>
  <c r="AL101" i="15"/>
  <c r="AM101" i="15"/>
  <c r="AN101" i="15"/>
  <c r="AL102" i="15"/>
  <c r="AM102" i="15" s="1"/>
  <c r="AL103" i="15"/>
  <c r="AM103" i="15" s="1"/>
  <c r="AL104" i="15"/>
  <c r="AM104" i="15"/>
  <c r="AN104" i="15"/>
  <c r="AL105" i="15"/>
  <c r="AN105" i="15" s="1"/>
  <c r="AM105" i="15"/>
  <c r="AL106" i="15"/>
  <c r="AM106" i="15"/>
  <c r="AN106" i="15"/>
  <c r="AL107" i="15"/>
  <c r="AM107" i="15" s="1"/>
  <c r="AL108" i="15"/>
  <c r="AM108" i="15" s="1"/>
  <c r="AL109" i="15"/>
  <c r="AM109" i="15"/>
  <c r="AN109" i="15"/>
  <c r="AL110" i="15"/>
  <c r="AN110" i="15" s="1"/>
  <c r="AM110" i="15"/>
  <c r="AL111" i="15"/>
  <c r="AN111" i="15" s="1"/>
  <c r="AM111" i="15"/>
  <c r="AL112" i="15"/>
  <c r="AM112" i="15"/>
  <c r="AN112" i="15"/>
  <c r="AL113" i="15"/>
  <c r="AM113" i="15"/>
  <c r="AN113" i="15"/>
  <c r="AL114" i="15"/>
  <c r="AM114" i="15"/>
  <c r="AN114" i="15"/>
  <c r="AL115" i="15"/>
  <c r="AM115" i="15" s="1"/>
  <c r="AL116" i="15"/>
  <c r="AM116" i="15" s="1"/>
  <c r="AL117" i="15"/>
  <c r="AM117" i="15"/>
  <c r="AN117" i="15"/>
  <c r="AL118" i="15"/>
  <c r="AN118" i="15" s="1"/>
  <c r="AM118" i="15"/>
  <c r="AL119" i="15"/>
  <c r="AM119" i="15"/>
  <c r="AN119" i="15"/>
  <c r="AL120" i="15"/>
  <c r="AM120" i="15" s="1"/>
  <c r="AL121" i="15"/>
  <c r="AM121" i="15" s="1"/>
  <c r="AL122" i="15"/>
  <c r="AM122" i="15"/>
  <c r="AN122" i="15"/>
  <c r="AL123" i="15"/>
  <c r="AN123" i="15" s="1"/>
  <c r="AM123" i="15"/>
  <c r="AL124" i="15"/>
  <c r="AN124" i="15" s="1"/>
  <c r="AM124" i="15"/>
  <c r="AL125" i="15"/>
  <c r="AM125" i="15"/>
  <c r="AN125" i="15"/>
  <c r="AL126" i="15"/>
  <c r="AM126" i="15"/>
  <c r="AN126" i="15"/>
  <c r="AP46" i="15"/>
  <c r="AO76" i="15"/>
  <c r="AO80" i="15"/>
  <c r="AO85" i="15"/>
  <c r="AO93" i="15"/>
  <c r="AO101" i="15"/>
  <c r="AO106" i="15"/>
  <c r="AO114" i="15"/>
  <c r="AO119" i="15"/>
  <c r="AP101" i="15"/>
  <c r="AP106" i="15"/>
  <c r="AO111" i="15"/>
  <c r="AO78" i="15"/>
  <c r="AO104" i="15"/>
  <c r="AP104" i="15" s="1"/>
  <c r="AO109" i="15"/>
  <c r="AP109" i="15" s="1"/>
  <c r="AO117" i="15"/>
  <c r="AP117" i="15" s="1"/>
  <c r="AO122" i="15"/>
  <c r="AP122" i="15" s="1"/>
  <c r="AO64" i="15"/>
  <c r="AP64" i="15" s="1"/>
  <c r="AO77" i="15"/>
  <c r="AP77" i="15" s="1"/>
  <c r="AP80" i="15"/>
  <c r="AP85" i="15"/>
  <c r="AO90" i="15"/>
  <c r="AP93" i="15"/>
  <c r="AO98" i="15"/>
  <c r="AP98" i="15" s="1"/>
  <c r="AP114" i="15"/>
  <c r="AP119" i="15"/>
  <c r="AO124" i="15"/>
  <c r="AP124" i="15" s="1"/>
  <c r="AO56" i="15"/>
  <c r="AP56" i="15" s="1"/>
  <c r="AP90" i="15"/>
  <c r="AP111" i="15"/>
  <c r="AO91" i="15"/>
  <c r="AO125" i="15"/>
  <c r="AP78" i="15"/>
  <c r="AO83" i="15"/>
  <c r="AP83" i="15" s="1"/>
  <c r="AO88" i="15"/>
  <c r="AP88" i="15" s="1"/>
  <c r="AP91" i="15"/>
  <c r="AO96" i="15"/>
  <c r="AP96" i="15" s="1"/>
  <c r="AO72" i="15"/>
  <c r="AP72" i="15" s="1"/>
  <c r="AO79" i="15"/>
  <c r="AO84" i="15"/>
  <c r="AO92" i="15"/>
  <c r="AO100" i="15"/>
  <c r="AO105" i="15"/>
  <c r="AO113" i="15"/>
  <c r="AO118" i="15"/>
  <c r="AO126" i="15"/>
  <c r="AP79" i="15"/>
  <c r="AP84" i="15"/>
  <c r="AO89" i="15"/>
  <c r="AP92" i="15"/>
  <c r="AO97" i="15"/>
  <c r="AP100" i="15"/>
  <c r="AP105" i="15"/>
  <c r="AO110" i="15"/>
  <c r="AP113" i="15"/>
  <c r="AP118" i="15"/>
  <c r="AO123" i="15"/>
  <c r="AP126" i="15"/>
  <c r="AP89" i="15"/>
  <c r="AP97" i="15"/>
  <c r="AP110" i="15"/>
  <c r="AP123" i="15"/>
  <c r="AO99" i="15"/>
  <c r="AP99" i="15" s="1"/>
  <c r="AO112" i="15"/>
  <c r="AP112" i="15" s="1"/>
  <c r="AP125" i="15"/>
  <c r="AN120" i="15" l="1"/>
  <c r="AN115" i="15"/>
  <c r="AN107" i="15"/>
  <c r="AN102" i="15"/>
  <c r="AN94" i="15"/>
  <c r="AN86" i="15"/>
  <c r="AN81" i="15"/>
  <c r="AN121" i="15"/>
  <c r="AN116" i="15"/>
  <c r="AN95" i="15"/>
  <c r="AN87" i="15"/>
  <c r="AN82" i="15"/>
  <c r="AN108" i="15"/>
  <c r="AN103" i="15"/>
  <c r="O5" i="13" a="1"/>
  <c r="O7" i="13" s="1"/>
  <c r="AP76" i="15"/>
  <c r="AO121" i="15"/>
  <c r="AP121" i="15" s="1"/>
  <c r="AO120" i="15"/>
  <c r="AP120" i="15" s="1"/>
  <c r="AO116" i="15"/>
  <c r="AP116" i="15" s="1"/>
  <c r="AO115" i="15"/>
  <c r="AP115" i="15" s="1"/>
  <c r="AO107" i="15"/>
  <c r="AP107" i="15" s="1"/>
  <c r="AO87" i="15"/>
  <c r="AP87" i="15" s="1"/>
  <c r="AO102" i="15"/>
  <c r="AP102" i="15" s="1"/>
  <c r="AO82" i="15"/>
  <c r="AP82" i="15" s="1"/>
  <c r="AO94" i="15"/>
  <c r="AP94" i="15" s="1"/>
  <c r="AO108" i="15"/>
  <c r="AP108" i="15" s="1"/>
  <c r="AO86" i="15"/>
  <c r="AP86" i="15" s="1"/>
  <c r="AO103" i="15"/>
  <c r="AP103" i="15" s="1"/>
  <c r="AO81" i="15"/>
  <c r="AP81" i="15" s="1"/>
  <c r="D7" i="16" a="1"/>
  <c r="AO95" i="15"/>
  <c r="AP95" i="15" s="1"/>
  <c r="O5" i="13" l="1"/>
  <c r="D10" i="16"/>
  <c r="D35" i="16"/>
  <c r="D15" i="16"/>
  <c r="D32" i="16"/>
  <c r="D28" i="16"/>
  <c r="D18" i="16"/>
  <c r="D43" i="16"/>
  <c r="D23" i="16"/>
  <c r="D40" i="16"/>
  <c r="D36" i="16"/>
  <c r="D41" i="16"/>
  <c r="D26" i="16"/>
  <c r="D14" i="16"/>
  <c r="D31" i="16"/>
  <c r="D48" i="16"/>
  <c r="D44" i="16"/>
  <c r="D34" i="16"/>
  <c r="D39" i="16"/>
  <c r="D9" i="16"/>
  <c r="D13" i="16"/>
  <c r="D42" i="16"/>
  <c r="D30" i="16"/>
  <c r="D47" i="16"/>
  <c r="D17" i="16"/>
  <c r="D21" i="16"/>
  <c r="D11" i="16"/>
  <c r="D38" i="16"/>
  <c r="D8" i="16"/>
  <c r="D33" i="16"/>
  <c r="D29" i="16"/>
  <c r="D19" i="16"/>
  <c r="D46" i="16"/>
  <c r="D16" i="16"/>
  <c r="D37" i="16"/>
  <c r="D27" i="16"/>
  <c r="D7" i="16"/>
  <c r="D20" i="16"/>
  <c r="D22" i="16"/>
  <c r="D12" i="16"/>
  <c r="D24" i="16"/>
  <c r="D45" i="16"/>
  <c r="D25" i="16"/>
  <c r="O21" i="13"/>
  <c r="O20" i="13"/>
  <c r="O14" i="13"/>
  <c r="O22" i="13"/>
  <c r="O13" i="13"/>
  <c r="O12" i="13"/>
  <c r="O6" i="13"/>
  <c r="O19" i="13"/>
  <c r="O11" i="13"/>
  <c r="O18" i="13"/>
  <c r="O10" i="13"/>
  <c r="O17" i="13"/>
  <c r="O9" i="13"/>
  <c r="O16" i="13"/>
  <c r="O8" i="13"/>
  <c r="O15" i="13"/>
  <c r="X11" i="26" l="1" a="1"/>
  <c r="X12" i="26" s="1"/>
  <c r="X11" i="26" l="1"/>
  <c r="AB5" i="24" l="1" a="1"/>
  <c r="AB5" i="24" s="1"/>
  <c r="AB5" i="9" a="1"/>
  <c r="AB5" i="9" s="1"/>
  <c r="X5" i="21" a="1"/>
  <c r="X5" i="21" s="1"/>
  <c r="AB35" i="24" l="1"/>
  <c r="AB27" i="24"/>
  <c r="AB19" i="24"/>
  <c r="AB11" i="24"/>
  <c r="AB42" i="24"/>
  <c r="AB34" i="24"/>
  <c r="AB26" i="24"/>
  <c r="AB18" i="24"/>
  <c r="AB10" i="24"/>
  <c r="AB36" i="24"/>
  <c r="AB28" i="24"/>
  <c r="AB20" i="24"/>
  <c r="AB12" i="24"/>
  <c r="AB41" i="24"/>
  <c r="AB33" i="24"/>
  <c r="AB25" i="24"/>
  <c r="AB17" i="24"/>
  <c r="AB9" i="24"/>
  <c r="AB40" i="24"/>
  <c r="AB32" i="24"/>
  <c r="AB24" i="24"/>
  <c r="AB16" i="24"/>
  <c r="AB8" i="24"/>
  <c r="AB39" i="24"/>
  <c r="AB31" i="24"/>
  <c r="AB23" i="24"/>
  <c r="AB15" i="24"/>
  <c r="AB7" i="24"/>
  <c r="AB38" i="24"/>
  <c r="AB30" i="24"/>
  <c r="AB22" i="24"/>
  <c r="AB14" i="24"/>
  <c r="AB6" i="24"/>
  <c r="AB37" i="24"/>
  <c r="AB29" i="24"/>
  <c r="AB21" i="24"/>
  <c r="AB13" i="24"/>
  <c r="AB35" i="9"/>
  <c r="AB27" i="9"/>
  <c r="AB19" i="9"/>
  <c r="AB11" i="9"/>
  <c r="AB42" i="9"/>
  <c r="AB34" i="9"/>
  <c r="AB26" i="9"/>
  <c r="AB18" i="9"/>
  <c r="AB10" i="9"/>
  <c r="AB36" i="9"/>
  <c r="AB28" i="9"/>
  <c r="AB20" i="9"/>
  <c r="AB12" i="9"/>
  <c r="AB41" i="9"/>
  <c r="AB33" i="9"/>
  <c r="AB25" i="9"/>
  <c r="AB17" i="9"/>
  <c r="AB9" i="9"/>
  <c r="AB40" i="9"/>
  <c r="AB32" i="9"/>
  <c r="AB24" i="9"/>
  <c r="AB16" i="9"/>
  <c r="AB8" i="9"/>
  <c r="AB39" i="9"/>
  <c r="AB31" i="9"/>
  <c r="AB23" i="9"/>
  <c r="AB15" i="9"/>
  <c r="AB7" i="9"/>
  <c r="AB38" i="9"/>
  <c r="AB30" i="9"/>
  <c r="AB22" i="9"/>
  <c r="AB14" i="9"/>
  <c r="AB6" i="9"/>
  <c r="AB37" i="9"/>
  <c r="AB29" i="9"/>
  <c r="AB21" i="9"/>
  <c r="AB13" i="9"/>
  <c r="X11" i="21"/>
  <c r="X10" i="21"/>
  <c r="X12" i="21"/>
  <c r="X9" i="21"/>
  <c r="X8" i="21"/>
  <c r="X15" i="21"/>
  <c r="X7" i="21"/>
  <c r="X14" i="21"/>
  <c r="X6" i="21"/>
  <c r="X13" i="21"/>
  <c r="N6" i="26" l="1" a="1"/>
  <c r="N7" i="26" s="1"/>
  <c r="N10" i="26" l="1"/>
  <c r="N6" i="26"/>
  <c r="N8" i="26"/>
  <c r="N9" i="26"/>
  <c r="O5" i="5" l="1"/>
  <c r="O7" i="5" s="1"/>
  <c r="U5" i="5"/>
  <c r="U7" i="5" s="1"/>
  <c r="R7" i="5"/>
  <c r="R8" i="5"/>
  <c r="V7" i="5"/>
  <c r="O6" i="5"/>
  <c r="O8" i="5" l="1"/>
  <c r="U8" i="5"/>
  <c r="O9" i="5"/>
  <c r="R9" i="5"/>
  <c r="V8" i="5"/>
  <c r="S7" i="5"/>
  <c r="U9" i="5" l="1"/>
  <c r="O10" i="5"/>
  <c r="R10" i="5"/>
  <c r="W7" i="5"/>
  <c r="S8" i="5"/>
  <c r="V9" i="5"/>
  <c r="X7" i="5" l="1"/>
  <c r="Z7" i="5" s="1"/>
  <c r="U10" i="5"/>
  <c r="O11" i="5"/>
  <c r="R11" i="5"/>
  <c r="U11" i="5"/>
  <c r="O12" i="5"/>
  <c r="R12" i="5"/>
  <c r="U12" i="5"/>
  <c r="O13" i="5"/>
  <c r="R13" i="5"/>
  <c r="U13" i="5"/>
  <c r="O14" i="5"/>
  <c r="R14" i="5"/>
  <c r="U14" i="5"/>
  <c r="O15" i="5"/>
  <c r="R15" i="5"/>
  <c r="U15" i="5"/>
  <c r="O16" i="5"/>
  <c r="R16" i="5"/>
  <c r="U16" i="5"/>
  <c r="O17" i="5"/>
  <c r="R17" i="5"/>
  <c r="U17" i="5"/>
  <c r="O18" i="5"/>
  <c r="R18" i="5"/>
  <c r="U18" i="5"/>
  <c r="O19" i="5"/>
  <c r="R19" i="5"/>
  <c r="U19" i="5"/>
  <c r="O20" i="5"/>
  <c r="R20" i="5"/>
  <c r="U20" i="5"/>
  <c r="O21" i="5"/>
  <c r="R21" i="5"/>
  <c r="U21" i="5"/>
  <c r="V11" i="5"/>
  <c r="V14" i="5"/>
  <c r="V10" i="5"/>
  <c r="V19" i="5"/>
  <c r="V21" i="5"/>
  <c r="S9" i="5"/>
  <c r="V16" i="5"/>
  <c r="V13" i="5"/>
  <c r="V17" i="5"/>
  <c r="V12" i="5"/>
  <c r="Y7" i="5"/>
  <c r="W8" i="5"/>
  <c r="V15" i="5"/>
  <c r="V20" i="5"/>
  <c r="V18" i="5"/>
  <c r="X8" i="5" l="1"/>
  <c r="Z8" i="5" s="1"/>
  <c r="Q3" i="4"/>
  <c r="Q5" i="4" s="1"/>
  <c r="W3" i="4"/>
  <c r="W6" i="4" s="1"/>
  <c r="T5" i="4"/>
  <c r="T6" i="4"/>
  <c r="U6" i="4" s="1"/>
  <c r="W9" i="5"/>
  <c r="S18" i="5"/>
  <c r="S21" i="5"/>
  <c r="S10" i="5"/>
  <c r="S14" i="5"/>
  <c r="S19" i="5"/>
  <c r="S17" i="5"/>
  <c r="S13" i="5"/>
  <c r="S16" i="5"/>
  <c r="X6" i="4"/>
  <c r="S11" i="5"/>
  <c r="S20" i="5"/>
  <c r="Y8" i="5"/>
  <c r="S12" i="5"/>
  <c r="S15" i="5"/>
  <c r="Q4" i="4"/>
  <c r="X9" i="5" l="1"/>
  <c r="Z9" i="5" s="1"/>
  <c r="Q6" i="4"/>
  <c r="W5" i="4"/>
  <c r="Y6" i="4"/>
  <c r="Z6" i="4" s="1"/>
  <c r="Q7" i="4"/>
  <c r="T7" i="4"/>
  <c r="U7" i="4" s="1"/>
  <c r="Y7" i="4" s="1"/>
  <c r="W7" i="4"/>
  <c r="Q8" i="4"/>
  <c r="T8" i="4"/>
  <c r="Q9" i="4"/>
  <c r="T9" i="4"/>
  <c r="U9" i="4" s="1"/>
  <c r="W21" i="5"/>
  <c r="W11" i="5"/>
  <c r="W10" i="5"/>
  <c r="W13" i="5"/>
  <c r="W18" i="5"/>
  <c r="W20" i="5"/>
  <c r="X7" i="4"/>
  <c r="W12" i="5"/>
  <c r="W15" i="5"/>
  <c r="W14" i="5"/>
  <c r="W17" i="5"/>
  <c r="Y9" i="5"/>
  <c r="W19" i="5"/>
  <c r="X5" i="4"/>
  <c r="Y14" i="5"/>
  <c r="AA6" i="4"/>
  <c r="W16" i="5"/>
  <c r="AA7" i="4"/>
  <c r="X10" i="5" l="1"/>
  <c r="Z10" i="5" s="1"/>
  <c r="X19" i="5"/>
  <c r="Z19" i="5" s="1"/>
  <c r="X21" i="5"/>
  <c r="Z21" i="5" s="1"/>
  <c r="X15" i="5"/>
  <c r="Z15" i="5" s="1"/>
  <c r="X20" i="5"/>
  <c r="Z20" i="5" s="1"/>
  <c r="X16" i="5"/>
  <c r="Z16" i="5" s="1"/>
  <c r="X12" i="5"/>
  <c r="Z12" i="5" s="1"/>
  <c r="X17" i="5"/>
  <c r="Z17" i="5" s="1"/>
  <c r="X11" i="5"/>
  <c r="Z11" i="5" s="1"/>
  <c r="X13" i="5"/>
  <c r="Z13" i="5" s="1"/>
  <c r="X18" i="5"/>
  <c r="Z18" i="5" s="1"/>
  <c r="X14" i="5"/>
  <c r="Z14" i="5" s="1"/>
  <c r="Z7" i="4"/>
  <c r="Y9" i="4"/>
  <c r="Q10" i="4"/>
  <c r="T10" i="4"/>
  <c r="U10" i="4" s="1"/>
  <c r="Y19" i="5"/>
  <c r="U5" i="4"/>
  <c r="Y13" i="5"/>
  <c r="Y15" i="5"/>
  <c r="Y21" i="5"/>
  <c r="Y12" i="5"/>
  <c r="Y16" i="5"/>
  <c r="Y10" i="5"/>
  <c r="Y20" i="5"/>
  <c r="Y17" i="5"/>
  <c r="Y18" i="5"/>
  <c r="Y11" i="5"/>
  <c r="Y5" i="4" l="1"/>
  <c r="Z5" i="4" s="1"/>
  <c r="AB5" i="4" s="1"/>
  <c r="X5" i="5"/>
  <c r="Y10" i="4"/>
  <c r="Q11" i="4"/>
  <c r="T11" i="4"/>
  <c r="Q12" i="4"/>
  <c r="T12" i="4"/>
  <c r="Q13" i="4"/>
  <c r="T13" i="4"/>
  <c r="Q14" i="4"/>
  <c r="T14" i="4"/>
  <c r="U14" i="4" s="1"/>
  <c r="Y14" i="4" s="1"/>
  <c r="Q15" i="4"/>
  <c r="T15" i="4"/>
  <c r="U15" i="4" s="1"/>
  <c r="Y15" i="4" s="1"/>
  <c r="Q16" i="4"/>
  <c r="T16" i="4"/>
  <c r="Q17" i="4"/>
  <c r="T17" i="4"/>
  <c r="U17" i="4" s="1"/>
  <c r="Y17" i="4" s="1"/>
  <c r="Q18" i="4"/>
  <c r="T18" i="4"/>
  <c r="U18" i="4" s="1"/>
  <c r="Y18" i="4" s="1"/>
  <c r="Q19" i="4"/>
  <c r="T19" i="4"/>
  <c r="U19" i="4" s="1"/>
  <c r="Y19" i="4" s="1"/>
  <c r="Q20" i="4"/>
  <c r="T20" i="4"/>
  <c r="U20" i="4" s="1"/>
  <c r="Y20" i="4" s="1"/>
  <c r="Q21" i="4"/>
  <c r="T21" i="4"/>
  <c r="U21" i="4" s="1"/>
  <c r="Y21" i="4" s="1"/>
  <c r="Q22" i="4"/>
  <c r="T22" i="4"/>
  <c r="K4" i="13"/>
  <c r="J5" i="13"/>
  <c r="V5" i="13"/>
  <c r="J6" i="13"/>
  <c r="J7" i="13"/>
  <c r="J8" i="13"/>
  <c r="J9" i="13"/>
  <c r="J10" i="13"/>
  <c r="J11" i="13"/>
  <c r="J12" i="13"/>
  <c r="J13" i="13"/>
  <c r="J14" i="13"/>
  <c r="J15" i="13"/>
  <c r="J16" i="13"/>
  <c r="J17" i="13"/>
  <c r="J18" i="13"/>
  <c r="J19" i="13"/>
  <c r="J20" i="13"/>
  <c r="J21" i="13"/>
  <c r="J22" i="13"/>
  <c r="L5" i="14"/>
  <c r="V5" i="14" s="1"/>
  <c r="L6" i="14"/>
  <c r="AA5" i="4"/>
  <c r="R6" i="14"/>
  <c r="R5" i="14"/>
  <c r="M4" i="14"/>
  <c r="J4" i="13"/>
  <c r="AE5" i="14" l="1"/>
  <c r="V6" i="14"/>
  <c r="AE6" i="14"/>
  <c r="L7" i="14"/>
  <c r="R7" i="14"/>
  <c r="V7" i="14" l="1"/>
  <c r="AE7" i="14"/>
  <c r="L8" i="14"/>
  <c r="R8" i="14"/>
  <c r="V8" i="14" l="1"/>
  <c r="AE8" i="14"/>
  <c r="L9" i="14"/>
  <c r="R9" i="14"/>
  <c r="V9" i="14" l="1"/>
  <c r="AE9" i="14"/>
  <c r="L10" i="14"/>
  <c r="R10" i="14"/>
  <c r="V10" i="14" l="1"/>
  <c r="AE10" i="14"/>
  <c r="L11" i="14"/>
  <c r="R11" i="14"/>
  <c r="V11" i="14" l="1"/>
  <c r="AE11" i="14"/>
  <c r="L12" i="14"/>
  <c r="R12" i="14"/>
  <c r="V12" i="14" l="1"/>
  <c r="AE12" i="14"/>
  <c r="L13" i="14"/>
  <c r="R13" i="14"/>
  <c r="V13" i="14" l="1"/>
  <c r="AE13" i="14"/>
  <c r="L14" i="14"/>
  <c r="R14" i="14"/>
  <c r="V14" i="14" l="1"/>
  <c r="AE14" i="14"/>
  <c r="K15" i="14"/>
  <c r="L15" i="14" s="1"/>
  <c r="R15" i="14"/>
  <c r="V15" i="14" l="1"/>
  <c r="AE15" i="14"/>
  <c r="K16" i="14"/>
  <c r="L16" i="14" s="1"/>
  <c r="R16" i="14"/>
  <c r="V16" i="14" l="1"/>
  <c r="AE16" i="14"/>
  <c r="K17" i="14"/>
  <c r="L17" i="14" s="1"/>
  <c r="R17" i="14"/>
  <c r="V17" i="14" l="1"/>
  <c r="AE17" i="14"/>
  <c r="K18" i="14"/>
  <c r="L18" i="14" s="1"/>
  <c r="R18" i="14"/>
  <c r="V18" i="14" l="1"/>
  <c r="AE18" i="14"/>
  <c r="K19" i="14"/>
  <c r="L19" i="14" s="1"/>
  <c r="R19" i="14"/>
  <c r="V19" i="14" l="1"/>
  <c r="AE19" i="14"/>
  <c r="K20" i="14"/>
  <c r="L20" i="14" s="1"/>
  <c r="R20" i="14"/>
  <c r="V20" i="14" l="1"/>
  <c r="K21" i="14"/>
  <c r="L21" i="14" s="1"/>
  <c r="R21" i="14"/>
  <c r="V21" i="14" l="1"/>
  <c r="K22" i="14"/>
  <c r="L22" i="14" s="1"/>
  <c r="R22" i="14"/>
  <c r="V22" i="14" l="1"/>
  <c r="AE22" i="14"/>
  <c r="K23" i="14"/>
  <c r="L23" i="14" s="1"/>
  <c r="R23" i="14"/>
  <c r="V23" i="14" l="1"/>
  <c r="AE23" i="14"/>
  <c r="L24" i="14"/>
  <c r="M5" i="14" s="1" a="1"/>
  <c r="M24" i="14" s="1"/>
  <c r="R24" i="14"/>
  <c r="W5" i="14" l="1" a="1"/>
  <c r="W24" i="14" s="1"/>
  <c r="M5" i="14"/>
  <c r="M6" i="14"/>
  <c r="M7" i="14"/>
  <c r="M8" i="14"/>
  <c r="M9" i="14"/>
  <c r="M10" i="14"/>
  <c r="M11" i="14"/>
  <c r="M12" i="14"/>
  <c r="M13" i="14"/>
  <c r="M14" i="14"/>
  <c r="M15" i="14"/>
  <c r="M16" i="14"/>
  <c r="M17" i="14"/>
  <c r="M18" i="14"/>
  <c r="M19" i="14"/>
  <c r="M20" i="14"/>
  <c r="M21" i="14"/>
  <c r="M22" i="14"/>
  <c r="M23" i="14"/>
  <c r="V24" i="14"/>
  <c r="X24" i="14"/>
  <c r="W5" i="14" l="1"/>
  <c r="W6" i="14"/>
  <c r="W7" i="14"/>
  <c r="W8" i="14"/>
  <c r="W9" i="14"/>
  <c r="W10" i="14"/>
  <c r="W11" i="14"/>
  <c r="W12" i="14"/>
  <c r="W13" i="14"/>
  <c r="W14" i="14"/>
  <c r="W15" i="14"/>
  <c r="W16" i="14"/>
  <c r="W17" i="14"/>
  <c r="W18" i="14"/>
  <c r="W19" i="14"/>
  <c r="W20" i="14"/>
  <c r="W21" i="14"/>
  <c r="W22" i="14"/>
  <c r="W23" i="14"/>
  <c r="AE24" i="14"/>
  <c r="U12" i="15"/>
  <c r="U10" i="15"/>
  <c r="U15" i="15"/>
  <c r="U9" i="15"/>
  <c r="U13" i="15"/>
  <c r="U18" i="15"/>
  <c r="U7" i="15"/>
  <c r="U14" i="15"/>
  <c r="U8" i="15"/>
  <c r="U17" i="15"/>
  <c r="U11" i="15"/>
  <c r="U16" i="15"/>
  <c r="X21" i="14"/>
  <c r="X23" i="14"/>
  <c r="X9" i="14"/>
  <c r="X7" i="14"/>
  <c r="X20" i="14"/>
  <c r="X12" i="14"/>
  <c r="X10" i="14"/>
  <c r="X22" i="14"/>
  <c r="X8" i="14"/>
  <c r="X15" i="14"/>
  <c r="X13" i="14"/>
  <c r="X19" i="14"/>
  <c r="X18" i="14"/>
  <c r="X14" i="14"/>
  <c r="N7" i="15" a="1"/>
  <c r="X5" i="14"/>
  <c r="X17" i="14"/>
  <c r="X6" i="14"/>
  <c r="X16" i="14"/>
  <c r="X11" i="14"/>
  <c r="O6" i="15"/>
  <c r="AG14" i="15" l="1"/>
  <c r="AG10" i="15"/>
  <c r="AG6" i="15"/>
  <c r="AG13" i="15"/>
  <c r="AG9" i="15"/>
  <c r="AG16" i="15"/>
  <c r="AG12" i="15"/>
  <c r="AG8" i="15"/>
  <c r="AG15" i="15"/>
  <c r="AG11" i="15"/>
  <c r="AG7" i="15"/>
  <c r="N7" i="15"/>
  <c r="N15" i="15"/>
  <c r="N10" i="15"/>
  <c r="N18" i="15"/>
  <c r="N8" i="15"/>
  <c r="N17" i="15"/>
  <c r="N12" i="15"/>
  <c r="N13" i="15"/>
  <c r="N16" i="15"/>
  <c r="N11" i="15"/>
  <c r="N14" i="15"/>
  <c r="N9" i="15"/>
  <c r="Z7" i="15" a="1"/>
  <c r="Z18" i="15" s="1"/>
  <c r="Z7" i="15" l="1"/>
  <c r="Z8" i="15"/>
  <c r="Z9" i="15"/>
  <c r="Z10" i="15"/>
  <c r="Z11" i="15"/>
  <c r="Z12" i="15"/>
  <c r="Z13" i="15"/>
  <c r="Z14" i="15"/>
  <c r="Z15" i="15"/>
  <c r="Z16" i="15"/>
  <c r="Z17" i="15"/>
  <c r="AG17" i="15"/>
  <c r="U7" i="16"/>
  <c r="U17" i="16"/>
  <c r="U28" i="16"/>
  <c r="U16" i="16"/>
  <c r="U38" i="16"/>
  <c r="U43" i="16"/>
  <c r="U37" i="16"/>
  <c r="U45" i="16"/>
  <c r="U27" i="16"/>
  <c r="U35" i="16"/>
  <c r="U22" i="16"/>
  <c r="U25" i="16"/>
  <c r="U39" i="16"/>
  <c r="U42" i="16"/>
  <c r="U18" i="16"/>
  <c r="U14" i="16"/>
  <c r="U41" i="16"/>
  <c r="U23" i="16"/>
  <c r="U20" i="16"/>
  <c r="U44" i="16"/>
  <c r="U33" i="16"/>
  <c r="U9" i="16"/>
  <c r="U46" i="16"/>
  <c r="U13" i="16"/>
  <c r="U36" i="16"/>
  <c r="U15" i="16"/>
  <c r="U8" i="16"/>
  <c r="U31" i="16"/>
  <c r="U21" i="16"/>
  <c r="U11" i="16"/>
  <c r="U19" i="16"/>
  <c r="U12" i="16"/>
  <c r="U29" i="16"/>
  <c r="U26" i="16"/>
  <c r="U32" i="16"/>
  <c r="U24" i="16"/>
  <c r="U34" i="16"/>
  <c r="U40" i="16"/>
  <c r="U48" i="16"/>
  <c r="U10" i="16"/>
  <c r="U47" i="16"/>
  <c r="U30" i="16"/>
  <c r="N7" i="16" a="1"/>
  <c r="O6" i="16"/>
  <c r="AF27" i="16" l="1"/>
  <c r="AF23" i="16"/>
  <c r="AF19" i="16"/>
  <c r="AF15" i="16"/>
  <c r="AF11" i="16"/>
  <c r="AF7" i="16"/>
  <c r="AF39" i="16"/>
  <c r="AF30" i="16"/>
  <c r="AF6" i="16"/>
  <c r="AF35" i="16"/>
  <c r="AF38" i="16"/>
  <c r="AF18" i="16"/>
  <c r="AF14" i="16"/>
  <c r="AF45" i="16"/>
  <c r="AF33" i="16"/>
  <c r="AF29" i="16"/>
  <c r="AF25" i="16"/>
  <c r="AF21" i="16"/>
  <c r="AF17" i="16"/>
  <c r="AF13" i="16"/>
  <c r="AF9" i="16"/>
  <c r="AF31" i="16"/>
  <c r="AF42" i="16"/>
  <c r="AF26" i="16"/>
  <c r="AF37" i="16"/>
  <c r="AF43" i="16"/>
  <c r="AF46" i="16"/>
  <c r="AF34" i="16"/>
  <c r="AF22" i="16"/>
  <c r="AF10" i="16"/>
  <c r="AF41" i="16"/>
  <c r="AF44" i="16"/>
  <c r="AF40" i="16"/>
  <c r="AF36" i="16"/>
  <c r="AF32" i="16"/>
  <c r="AF28" i="16"/>
  <c r="AF24" i="16"/>
  <c r="AF20" i="16"/>
  <c r="AF16" i="16"/>
  <c r="AF12" i="16"/>
  <c r="AF8" i="16"/>
  <c r="N8" i="16"/>
  <c r="N16" i="16"/>
  <c r="N24" i="16"/>
  <c r="N32" i="16"/>
  <c r="N40" i="16"/>
  <c r="N48" i="16"/>
  <c r="N19" i="16"/>
  <c r="N27" i="16"/>
  <c r="N35" i="16"/>
  <c r="N43" i="16"/>
  <c r="N30" i="16"/>
  <c r="N38" i="16"/>
  <c r="N46" i="16"/>
  <c r="N9" i="16"/>
  <c r="N17" i="16"/>
  <c r="N33" i="16"/>
  <c r="N41" i="16"/>
  <c r="N12" i="16"/>
  <c r="N28" i="16"/>
  <c r="N36" i="16"/>
  <c r="N44" i="16"/>
  <c r="N39" i="16"/>
  <c r="N18" i="16"/>
  <c r="N34" i="16"/>
  <c r="N42" i="16"/>
  <c r="N13" i="16"/>
  <c r="N11" i="16"/>
  <c r="N14" i="16"/>
  <c r="N22" i="16"/>
  <c r="N25" i="16"/>
  <c r="N20" i="16"/>
  <c r="N7" i="16"/>
  <c r="N15" i="16"/>
  <c r="N23" i="16"/>
  <c r="N31" i="16"/>
  <c r="N47" i="16"/>
  <c r="N10" i="16"/>
  <c r="N26" i="16"/>
  <c r="N21" i="16"/>
  <c r="N29" i="16"/>
  <c r="N37" i="16"/>
  <c r="N45" i="16"/>
  <c r="Y7" i="16" a="1"/>
  <c r="Y48" i="16" s="1"/>
  <c r="Y7" i="16" l="1"/>
  <c r="Y8" i="16"/>
  <c r="Y9" i="16"/>
  <c r="Y10" i="16"/>
  <c r="Y11" i="16"/>
  <c r="Y12" i="16"/>
  <c r="Y13" i="16"/>
  <c r="Y14" i="16"/>
  <c r="Y15" i="16"/>
  <c r="Y16" i="16"/>
  <c r="Y17" i="16"/>
  <c r="Y18" i="16"/>
  <c r="Y19" i="16"/>
  <c r="Y20" i="16"/>
  <c r="Y21" i="16"/>
  <c r="Y22" i="16"/>
  <c r="Y23" i="16"/>
  <c r="Y24" i="16"/>
  <c r="Y25" i="16"/>
  <c r="Y26" i="16"/>
  <c r="Y27" i="16"/>
  <c r="Y28" i="16"/>
  <c r="Y29" i="16"/>
  <c r="Y30" i="16"/>
  <c r="Y31" i="16"/>
  <c r="Y32" i="16"/>
  <c r="Y33" i="16"/>
  <c r="Y34" i="16"/>
  <c r="Y35" i="16"/>
  <c r="Y36" i="16"/>
  <c r="Y37" i="16"/>
  <c r="Y38" i="16"/>
  <c r="Y39" i="16"/>
  <c r="Y40" i="16"/>
  <c r="Y41" i="16"/>
  <c r="Y42" i="16"/>
  <c r="Y43" i="16"/>
  <c r="Y44" i="16"/>
  <c r="Y45" i="16"/>
  <c r="Y46" i="16"/>
  <c r="Y47" i="16"/>
  <c r="AF47" i="16"/>
  <c r="O6" i="17" a="1"/>
  <c r="O6" i="17" s="1"/>
  <c r="AG6" i="17"/>
  <c r="AG7" i="17"/>
  <c r="AG8" i="17"/>
  <c r="U7" i="17"/>
  <c r="U8" i="17"/>
  <c r="U6" i="17"/>
  <c r="U9" i="17"/>
  <c r="N4" i="17"/>
  <c r="O5" i="17"/>
  <c r="O9" i="17" l="1"/>
  <c r="O7" i="17"/>
  <c r="O8" i="17"/>
  <c r="Z6" i="17" a="1"/>
  <c r="Z9" i="17" s="1"/>
  <c r="N6" i="17" a="1"/>
  <c r="N7" i="17" l="1"/>
  <c r="N6" i="17"/>
  <c r="N8" i="17"/>
  <c r="N9" i="17"/>
  <c r="Z6" i="17"/>
  <c r="Z7" i="17"/>
  <c r="Z8" i="17"/>
  <c r="AG9" i="17"/>
  <c r="H5" i="18"/>
  <c r="P5" i="18"/>
  <c r="P6" i="18"/>
  <c r="N5" i="21"/>
  <c r="T5" i="21"/>
  <c r="O4" i="21"/>
  <c r="H4" i="18"/>
  <c r="AF5" i="21" l="1"/>
  <c r="N6" i="21"/>
  <c r="T6" i="21"/>
  <c r="AF6" i="21" l="1"/>
  <c r="N7" i="21"/>
  <c r="T7" i="21"/>
  <c r="AF7" i="21" l="1"/>
  <c r="N8" i="21"/>
  <c r="T8" i="21"/>
  <c r="AF8" i="21" l="1"/>
  <c r="N9" i="21"/>
  <c r="T9" i="21"/>
  <c r="AF9" i="21" l="1"/>
  <c r="N10" i="21"/>
  <c r="T10" i="21"/>
  <c r="AF10" i="21" l="1"/>
  <c r="N11" i="21"/>
  <c r="T11" i="21"/>
  <c r="AF11" i="21" l="1"/>
  <c r="N12" i="21"/>
  <c r="T12" i="21"/>
  <c r="AF12" i="21" l="1"/>
  <c r="N13" i="21"/>
  <c r="T13" i="21"/>
  <c r="AF13" i="21" l="1"/>
  <c r="N14" i="21"/>
  <c r="T14" i="21"/>
  <c r="AF14" i="21" l="1"/>
  <c r="N15" i="21"/>
  <c r="O5" i="21" s="1" a="1"/>
  <c r="T15" i="21"/>
  <c r="O5" i="21" l="1"/>
  <c r="O6" i="21"/>
  <c r="O7" i="21"/>
  <c r="O8" i="21"/>
  <c r="O9" i="21"/>
  <c r="O10" i="21"/>
  <c r="O11" i="21"/>
  <c r="O12" i="21"/>
  <c r="O13" i="21"/>
  <c r="O14" i="21"/>
  <c r="O15" i="21"/>
  <c r="AF15" i="21" l="1"/>
  <c r="N5" i="22"/>
  <c r="X5" i="22" s="1"/>
  <c r="N6" i="22"/>
  <c r="T6" i="22"/>
  <c r="T5" i="22"/>
  <c r="O4" i="22"/>
  <c r="AG5" i="22" l="1"/>
  <c r="X6" i="22"/>
  <c r="AG6" i="22"/>
  <c r="N7" i="22"/>
  <c r="T7" i="22"/>
  <c r="X7" i="22" l="1"/>
  <c r="AG7" i="22"/>
  <c r="N8" i="22"/>
  <c r="T8" i="22"/>
  <c r="X8" i="22" l="1"/>
  <c r="AG8" i="22"/>
  <c r="N9" i="22"/>
  <c r="T9" i="22"/>
  <c r="X9" i="22" l="1"/>
  <c r="AG9" i="22"/>
  <c r="N10" i="22"/>
  <c r="T10" i="22"/>
  <c r="X10" i="22" l="1"/>
  <c r="AG10" i="22"/>
  <c r="N11" i="22"/>
  <c r="O5" i="22" s="1" a="1"/>
  <c r="T11" i="22"/>
  <c r="Y5" i="22" l="1" a="1"/>
  <c r="Y11" i="22" s="1"/>
  <c r="O5" i="22"/>
  <c r="O6" i="22"/>
  <c r="O7" i="22"/>
  <c r="O8" i="22"/>
  <c r="O9" i="22"/>
  <c r="O10" i="22"/>
  <c r="O11" i="22"/>
  <c r="X11" i="22"/>
  <c r="Z11" i="22"/>
  <c r="Y5" i="22" l="1"/>
  <c r="Y6" i="22"/>
  <c r="Y7" i="22"/>
  <c r="Y8" i="22"/>
  <c r="Y9" i="22"/>
  <c r="Y10" i="22"/>
  <c r="AG11" i="22"/>
  <c r="P5" i="23" a="1"/>
  <c r="P5" i="23" s="1"/>
  <c r="Q5" i="23" a="1"/>
  <c r="Q5" i="23" s="1"/>
  <c r="X5" i="23"/>
  <c r="Z7" i="22"/>
  <c r="Z6" i="22"/>
  <c r="Z5" i="22"/>
  <c r="Z10" i="22"/>
  <c r="Z9" i="22"/>
  <c r="Z8" i="22"/>
  <c r="S4" i="23"/>
  <c r="R5" i="23" l="1"/>
  <c r="AB5" i="23" l="1"/>
  <c r="AK5" i="23"/>
  <c r="P6" i="23"/>
  <c r="Q6" i="23"/>
  <c r="R6" i="23"/>
  <c r="X6" i="23"/>
  <c r="AB6" i="23" l="1"/>
  <c r="AK6" i="23"/>
  <c r="P7" i="23"/>
  <c r="Q7" i="23"/>
  <c r="X7" i="23"/>
  <c r="R7" i="23" l="1"/>
  <c r="AB7" i="23" s="1"/>
  <c r="AK7" i="23"/>
  <c r="P8" i="23"/>
  <c r="Q8" i="23"/>
  <c r="X8" i="23"/>
  <c r="R8" i="23" l="1"/>
  <c r="AB8" i="23" s="1"/>
  <c r="AK8" i="23"/>
  <c r="P9" i="23"/>
  <c r="Q9" i="23"/>
  <c r="R9" i="23"/>
  <c r="X9" i="23"/>
  <c r="AB9" i="23" l="1"/>
  <c r="AK9" i="23"/>
  <c r="P10" i="23"/>
  <c r="Q10" i="23"/>
  <c r="R10" i="23"/>
  <c r="X10" i="23"/>
  <c r="AB10" i="23" l="1"/>
  <c r="AK10" i="23"/>
  <c r="P11" i="23"/>
  <c r="Q11" i="23"/>
  <c r="X11" i="23"/>
  <c r="R11" i="23" l="1"/>
  <c r="AB11" i="23" s="1"/>
  <c r="AK11" i="23"/>
  <c r="P12" i="23"/>
  <c r="Q12" i="23"/>
  <c r="X12" i="23"/>
  <c r="R12" i="23" l="1"/>
  <c r="AB12" i="23" s="1"/>
  <c r="AK12" i="23"/>
  <c r="P13" i="23"/>
  <c r="Q13" i="23"/>
  <c r="X13" i="23"/>
  <c r="R13" i="23" l="1"/>
  <c r="AB13" i="23" s="1"/>
  <c r="AK13" i="23"/>
  <c r="P14" i="23"/>
  <c r="Q14" i="23"/>
  <c r="R14" i="23"/>
  <c r="X14" i="23"/>
  <c r="AB14" i="23" l="1"/>
  <c r="AK14" i="23"/>
  <c r="P15" i="23"/>
  <c r="Q15" i="23"/>
  <c r="X15" i="23"/>
  <c r="R15" i="23" l="1"/>
  <c r="AB15" i="23" s="1"/>
  <c r="AK15" i="23"/>
  <c r="P16" i="23"/>
  <c r="Q16" i="23"/>
  <c r="X16" i="23"/>
  <c r="R16" i="23" l="1"/>
  <c r="AB16" i="23" s="1"/>
  <c r="AK16" i="23"/>
  <c r="P17" i="23"/>
  <c r="Q17" i="23"/>
  <c r="X17" i="23"/>
  <c r="R17" i="23" l="1"/>
  <c r="AB17" i="23" s="1"/>
  <c r="AK17" i="23"/>
  <c r="P18" i="23"/>
  <c r="Q18" i="23"/>
  <c r="X18" i="23"/>
  <c r="R18" i="23" l="1"/>
  <c r="AB18" i="23" s="1"/>
  <c r="AK18" i="23"/>
  <c r="P19" i="23"/>
  <c r="Q19" i="23"/>
  <c r="X19" i="23"/>
  <c r="R19" i="23" l="1"/>
  <c r="AB19" i="23" s="1"/>
  <c r="AK19" i="23"/>
  <c r="P20" i="23"/>
  <c r="Q20" i="23"/>
  <c r="X20" i="23"/>
  <c r="R20" i="23" l="1"/>
  <c r="AB20" i="23" s="1"/>
  <c r="AK20" i="23"/>
  <c r="P21" i="23"/>
  <c r="Q21" i="23"/>
  <c r="R21" i="23"/>
  <c r="X21" i="23"/>
  <c r="AB21" i="23" l="1"/>
  <c r="AK21" i="23"/>
  <c r="P22" i="23"/>
  <c r="Q22" i="23"/>
  <c r="R22" i="23"/>
  <c r="X22" i="23"/>
  <c r="AB22" i="23" l="1"/>
  <c r="AK22" i="23"/>
  <c r="P23" i="23"/>
  <c r="Q23" i="23"/>
  <c r="R23" i="23"/>
  <c r="X23" i="23"/>
  <c r="AB23" i="23" l="1"/>
  <c r="AK23" i="23"/>
  <c r="P24" i="23"/>
  <c r="Q24" i="23"/>
  <c r="X24" i="23"/>
  <c r="R24" i="23" l="1"/>
  <c r="AB24" i="23" s="1"/>
  <c r="AK24" i="23"/>
  <c r="P25" i="23"/>
  <c r="Q25" i="23"/>
  <c r="X25" i="23"/>
  <c r="R25" i="23" l="1"/>
  <c r="AB25" i="23" s="1"/>
  <c r="AK25" i="23"/>
  <c r="P26" i="23"/>
  <c r="Q26" i="23"/>
  <c r="X26" i="23"/>
  <c r="R26" i="23" l="1"/>
  <c r="AB26" i="23" s="1"/>
  <c r="AK26" i="23"/>
  <c r="P27" i="23"/>
  <c r="Q27" i="23"/>
  <c r="R27" i="23"/>
  <c r="X27" i="23"/>
  <c r="AB27" i="23" l="1"/>
  <c r="AK27" i="23"/>
  <c r="P28" i="23"/>
  <c r="Q28" i="23"/>
  <c r="X28" i="23"/>
  <c r="R28" i="23" l="1"/>
  <c r="AB28" i="23" s="1"/>
  <c r="AK28" i="23"/>
  <c r="P29" i="23"/>
  <c r="Q29" i="23"/>
  <c r="X29" i="23"/>
  <c r="R29" i="23" l="1"/>
  <c r="AB29" i="23" s="1"/>
  <c r="AK29" i="23"/>
  <c r="P30" i="23"/>
  <c r="R30" i="23" s="1"/>
  <c r="Q30" i="23"/>
  <c r="X30" i="23"/>
  <c r="AB30" i="23" l="1"/>
  <c r="AK30" i="23"/>
  <c r="P31" i="23"/>
  <c r="R31" i="23" s="1"/>
  <c r="Q31" i="23"/>
  <c r="X31" i="23"/>
  <c r="AB31" i="23" l="1"/>
  <c r="AK31" i="23"/>
  <c r="P32" i="23"/>
  <c r="Q32" i="23"/>
  <c r="X32" i="23"/>
  <c r="R32" i="23" l="1"/>
  <c r="AB32" i="23" s="1"/>
  <c r="AK32" i="23"/>
  <c r="P33" i="23"/>
  <c r="Q33" i="23"/>
  <c r="X33" i="23"/>
  <c r="R33" i="23" l="1"/>
  <c r="AB33" i="23" s="1"/>
  <c r="AK33" i="23"/>
  <c r="P34" i="23"/>
  <c r="Q34" i="23"/>
  <c r="R34" i="23"/>
  <c r="X34" i="23"/>
  <c r="AB34" i="23" l="1"/>
  <c r="AK34" i="23"/>
  <c r="P35" i="23"/>
  <c r="Q35" i="23"/>
  <c r="R35" i="23"/>
  <c r="X35" i="23"/>
  <c r="AB35" i="23" l="1"/>
  <c r="AK35" i="23"/>
  <c r="P36" i="23"/>
  <c r="Q36" i="23"/>
  <c r="X36" i="23"/>
  <c r="R36" i="23" l="1"/>
  <c r="AB36" i="23" s="1"/>
  <c r="AK36" i="23"/>
  <c r="P37" i="23"/>
  <c r="Q37" i="23"/>
  <c r="X37" i="23"/>
  <c r="R37" i="23" l="1"/>
  <c r="AB37" i="23" s="1"/>
  <c r="AK37" i="23"/>
  <c r="P38" i="23"/>
  <c r="Q38" i="23"/>
  <c r="R38" i="23"/>
  <c r="X38" i="23"/>
  <c r="AB38" i="23" l="1"/>
  <c r="AK38" i="23"/>
  <c r="P39" i="23"/>
  <c r="Q39" i="23"/>
  <c r="X39" i="23"/>
  <c r="R39" i="23" l="1"/>
  <c r="AB39" i="23" s="1"/>
  <c r="AK39" i="23"/>
  <c r="P40" i="23"/>
  <c r="Q40" i="23"/>
  <c r="X40" i="23"/>
  <c r="R40" i="23" l="1"/>
  <c r="AB40" i="23" s="1"/>
  <c r="AK40" i="23"/>
  <c r="P41" i="23"/>
  <c r="Q41" i="23"/>
  <c r="X41" i="23"/>
  <c r="R41" i="23" l="1"/>
  <c r="AB41" i="23" s="1"/>
  <c r="AK41" i="23"/>
  <c r="P42" i="23"/>
  <c r="Q42" i="23"/>
  <c r="X42" i="23"/>
  <c r="R42" i="23" l="1"/>
  <c r="S5" i="23" s="1" a="1"/>
  <c r="S42" i="23" s="1"/>
  <c r="AC5" i="23" a="1"/>
  <c r="AC42" i="23" s="1"/>
  <c r="AB42" i="23" l="1"/>
  <c r="S34" i="23"/>
  <c r="S26" i="23"/>
  <c r="S18" i="23"/>
  <c r="S10" i="23"/>
  <c r="S41" i="23"/>
  <c r="S33" i="23"/>
  <c r="S25" i="23"/>
  <c r="S17" i="23"/>
  <c r="S9" i="23"/>
  <c r="S40" i="23"/>
  <c r="S32" i="23"/>
  <c r="S24" i="23"/>
  <c r="S16" i="23"/>
  <c r="S8" i="23"/>
  <c r="S36" i="23"/>
  <c r="S28" i="23"/>
  <c r="S20" i="23"/>
  <c r="S12" i="23"/>
  <c r="S35" i="23"/>
  <c r="S27" i="23"/>
  <c r="S19" i="23"/>
  <c r="S11" i="23"/>
  <c r="S39" i="23"/>
  <c r="S31" i="23"/>
  <c r="S23" i="23"/>
  <c r="S15" i="23"/>
  <c r="S7" i="23"/>
  <c r="S38" i="23"/>
  <c r="S30" i="23"/>
  <c r="S22" i="23"/>
  <c r="S14" i="23"/>
  <c r="S6" i="23"/>
  <c r="S37" i="23"/>
  <c r="S29" i="23"/>
  <c r="S21" i="23"/>
  <c r="S13" i="23"/>
  <c r="S5" i="23"/>
  <c r="AC5" i="23"/>
  <c r="AC6" i="23"/>
  <c r="AC7" i="23"/>
  <c r="AC8" i="23"/>
  <c r="AC9" i="23"/>
  <c r="AC10" i="23"/>
  <c r="AC11" i="23"/>
  <c r="AC12" i="23"/>
  <c r="AC13" i="23"/>
  <c r="AC14" i="23"/>
  <c r="AC15" i="23"/>
  <c r="AC16" i="23"/>
  <c r="AC17" i="23"/>
  <c r="AC18" i="23"/>
  <c r="AC19" i="23"/>
  <c r="AC20" i="23"/>
  <c r="AC21" i="23"/>
  <c r="AC22" i="23"/>
  <c r="AC23" i="23"/>
  <c r="AC24" i="23"/>
  <c r="AC25" i="23"/>
  <c r="AC26" i="23"/>
  <c r="AC27" i="23"/>
  <c r="AC28" i="23"/>
  <c r="AC29" i="23"/>
  <c r="AC30" i="23"/>
  <c r="AC31" i="23"/>
  <c r="AC32" i="23"/>
  <c r="AC33" i="23"/>
  <c r="AC34" i="23"/>
  <c r="AC35" i="23"/>
  <c r="AC36" i="23"/>
  <c r="AC37" i="23"/>
  <c r="AC38" i="23"/>
  <c r="AC39" i="23"/>
  <c r="AC40" i="23"/>
  <c r="AC41" i="23"/>
  <c r="AK42" i="23"/>
  <c r="P5" i="24" a="1"/>
  <c r="P5" i="24" s="1"/>
  <c r="Q5" i="24" a="1"/>
  <c r="Q5" i="24" s="1"/>
  <c r="X5" i="24"/>
  <c r="AD16" i="23"/>
  <c r="AD41" i="23"/>
  <c r="AD32" i="23"/>
  <c r="AD17" i="23"/>
  <c r="AD27" i="23"/>
  <c r="AD31" i="23"/>
  <c r="AD10" i="23"/>
  <c r="AD20" i="23"/>
  <c r="AD26" i="23"/>
  <c r="AD9" i="23"/>
  <c r="AD7" i="23"/>
  <c r="AD12" i="23"/>
  <c r="AD42" i="23"/>
  <c r="AD29" i="23"/>
  <c r="AD13" i="23"/>
  <c r="AD28" i="23"/>
  <c r="AD24" i="23"/>
  <c r="AD15" i="23"/>
  <c r="AD23" i="23"/>
  <c r="AD11" i="23"/>
  <c r="AD35" i="23"/>
  <c r="AD18" i="23"/>
  <c r="AD38" i="23"/>
  <c r="AD21" i="23"/>
  <c r="AD14" i="23"/>
  <c r="AD39" i="23"/>
  <c r="AD37" i="23"/>
  <c r="AD22" i="23"/>
  <c r="AD33" i="23"/>
  <c r="AD25" i="23"/>
  <c r="AD40" i="23"/>
  <c r="AD6" i="23"/>
  <c r="AD19" i="23"/>
  <c r="AD30" i="23"/>
  <c r="AD36" i="23"/>
  <c r="AD5" i="23"/>
  <c r="AD34" i="23"/>
  <c r="AD8" i="23"/>
  <c r="S4" i="24"/>
  <c r="R5" i="24" l="1"/>
  <c r="AJ5" i="24" l="1"/>
  <c r="P6" i="24"/>
  <c r="Q6" i="24"/>
  <c r="X6" i="24"/>
  <c r="R6" i="24" l="1"/>
  <c r="AJ6" i="24"/>
  <c r="P7" i="24"/>
  <c r="Q7" i="24"/>
  <c r="X7" i="24"/>
  <c r="R7" i="24" l="1"/>
  <c r="AJ7" i="24"/>
  <c r="P8" i="24"/>
  <c r="Q8" i="24"/>
  <c r="X8" i="24"/>
  <c r="R8" i="24" l="1"/>
  <c r="AJ8" i="24"/>
  <c r="P9" i="24"/>
  <c r="Q9" i="24"/>
  <c r="X9" i="24"/>
  <c r="R9" i="24" l="1"/>
  <c r="AJ9" i="24"/>
  <c r="P10" i="24"/>
  <c r="Q10" i="24"/>
  <c r="X10" i="24"/>
  <c r="R10" i="24" l="1"/>
  <c r="AJ10" i="24"/>
  <c r="P11" i="24"/>
  <c r="Q11" i="24"/>
  <c r="X11" i="24"/>
  <c r="R11" i="24" l="1"/>
  <c r="AJ11" i="24"/>
  <c r="P12" i="24"/>
  <c r="Q12" i="24"/>
  <c r="X12" i="24"/>
  <c r="R12" i="24" l="1"/>
  <c r="AJ12" i="24"/>
  <c r="P13" i="24"/>
  <c r="Q13" i="24"/>
  <c r="X13" i="24"/>
  <c r="R13" i="24" l="1"/>
  <c r="AJ13" i="24"/>
  <c r="P14" i="24"/>
  <c r="Q14" i="24"/>
  <c r="X14" i="24"/>
  <c r="R14" i="24" l="1"/>
  <c r="AJ14" i="24"/>
  <c r="P15" i="24"/>
  <c r="Q15" i="24"/>
  <c r="X15" i="24"/>
  <c r="R15" i="24" l="1"/>
  <c r="AJ15" i="24"/>
  <c r="P16" i="24"/>
  <c r="Q16" i="24"/>
  <c r="X16" i="24"/>
  <c r="R16" i="24" l="1"/>
  <c r="AJ16" i="24"/>
  <c r="P17" i="24"/>
  <c r="Q17" i="24"/>
  <c r="X17" i="24"/>
  <c r="R17" i="24" l="1"/>
  <c r="AJ17" i="24"/>
  <c r="P18" i="24"/>
  <c r="Q18" i="24"/>
  <c r="X18" i="24"/>
  <c r="R18" i="24" l="1"/>
  <c r="AJ18" i="24"/>
  <c r="P19" i="24"/>
  <c r="Q19" i="24"/>
  <c r="R19" i="24"/>
  <c r="X19" i="24"/>
  <c r="AJ19" i="24" l="1"/>
  <c r="P20" i="24"/>
  <c r="Q20" i="24"/>
  <c r="R20" i="24"/>
  <c r="X20" i="24"/>
  <c r="AJ20" i="24" l="1"/>
  <c r="P21" i="24"/>
  <c r="Q21" i="24"/>
  <c r="R21" i="24"/>
  <c r="X21" i="24"/>
  <c r="AJ21" i="24" l="1"/>
  <c r="P22" i="24"/>
  <c r="Q22" i="24"/>
  <c r="X22" i="24"/>
  <c r="R22" i="24" l="1"/>
  <c r="AJ22" i="24"/>
  <c r="P23" i="24"/>
  <c r="Q23" i="24"/>
  <c r="X23" i="24"/>
  <c r="R23" i="24" l="1"/>
  <c r="AJ23" i="24"/>
  <c r="P24" i="24"/>
  <c r="Q24" i="24"/>
  <c r="X24" i="24"/>
  <c r="R24" i="24" l="1"/>
  <c r="AJ24" i="24"/>
  <c r="P25" i="24"/>
  <c r="Q25" i="24"/>
  <c r="X25" i="24"/>
  <c r="R25" i="24" l="1"/>
  <c r="AJ25" i="24"/>
  <c r="P26" i="24"/>
  <c r="Q26" i="24"/>
  <c r="X26" i="24"/>
  <c r="R26" i="24" l="1"/>
  <c r="AJ26" i="24"/>
  <c r="P27" i="24"/>
  <c r="Q27" i="24"/>
  <c r="R27" i="24"/>
  <c r="X27" i="24"/>
  <c r="AJ27" i="24" l="1"/>
  <c r="P28" i="24"/>
  <c r="Q28" i="24"/>
  <c r="R28" i="24"/>
  <c r="X28" i="24"/>
  <c r="AJ28" i="24" l="1"/>
  <c r="P29" i="24"/>
  <c r="Q29" i="24"/>
  <c r="X29" i="24"/>
  <c r="R29" i="24" l="1"/>
  <c r="AJ29" i="24"/>
  <c r="P30" i="24"/>
  <c r="Q30" i="24"/>
  <c r="X30" i="24"/>
  <c r="R30" i="24" l="1"/>
  <c r="AJ30" i="24"/>
  <c r="P31" i="24"/>
  <c r="Q31" i="24"/>
  <c r="X31" i="24"/>
  <c r="R31" i="24" l="1"/>
  <c r="AJ31" i="24"/>
  <c r="P32" i="24"/>
  <c r="Q32" i="24"/>
  <c r="X32" i="24"/>
  <c r="R32" i="24" l="1"/>
  <c r="AJ32" i="24"/>
  <c r="P33" i="24"/>
  <c r="Q33" i="24"/>
  <c r="X33" i="24"/>
  <c r="R33" i="24" l="1"/>
  <c r="AJ33" i="24"/>
  <c r="P34" i="24"/>
  <c r="Q34" i="24"/>
  <c r="R34" i="24"/>
  <c r="X34" i="24"/>
  <c r="AJ34" i="24" l="1"/>
  <c r="P35" i="24"/>
  <c r="Q35" i="24"/>
  <c r="X35" i="24"/>
  <c r="R35" i="24" l="1"/>
  <c r="AJ35" i="24"/>
  <c r="P36" i="24"/>
  <c r="Q36" i="24"/>
  <c r="X36" i="24"/>
  <c r="R36" i="24" l="1"/>
  <c r="AJ36" i="24"/>
  <c r="P37" i="24"/>
  <c r="Q37" i="24"/>
  <c r="X37" i="24"/>
  <c r="R37" i="24" l="1"/>
  <c r="AJ37" i="24"/>
  <c r="P38" i="24"/>
  <c r="Q38" i="24"/>
  <c r="X38" i="24"/>
  <c r="R38" i="24" l="1"/>
  <c r="AJ38" i="24"/>
  <c r="P39" i="24"/>
  <c r="Q39" i="24"/>
  <c r="X39" i="24"/>
  <c r="R39" i="24" l="1"/>
  <c r="AJ39" i="24"/>
  <c r="P40" i="24"/>
  <c r="Q40" i="24"/>
  <c r="X40" i="24"/>
  <c r="R40" i="24" l="1"/>
  <c r="AJ40" i="24"/>
  <c r="P41" i="24"/>
  <c r="Q41" i="24"/>
  <c r="X41" i="24"/>
  <c r="R41" i="24" l="1"/>
  <c r="AJ41" i="24"/>
  <c r="P42" i="24"/>
  <c r="Q42" i="24"/>
  <c r="R42" i="24"/>
  <c r="S5" i="24" s="1" a="1"/>
  <c r="X42" i="24"/>
  <c r="S5" i="24" l="1"/>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AJ42" i="24" l="1"/>
  <c r="P5" i="9" a="1"/>
  <c r="P5" i="9" s="1"/>
  <c r="Q5" i="9" a="1"/>
  <c r="Q5" i="9" s="1"/>
  <c r="V5" i="9"/>
  <c r="S4" i="9"/>
  <c r="L5" i="18" l="1"/>
  <c r="Q5" i="18" s="1" a="1"/>
  <c r="Q6" i="18" s="1"/>
  <c r="R5" i="9"/>
  <c r="W5" i="9"/>
  <c r="R6" i="18"/>
  <c r="Q5" i="18" l="1"/>
  <c r="P6" i="9"/>
  <c r="Q6" i="9"/>
  <c r="R6" i="9"/>
  <c r="V6" i="9"/>
  <c r="R5" i="18"/>
  <c r="R3" i="18"/>
  <c r="W6" i="9" l="1"/>
  <c r="P7" i="9"/>
  <c r="Q7" i="9"/>
  <c r="V7" i="9"/>
  <c r="R7" i="9" l="1"/>
  <c r="W7" i="9"/>
  <c r="P8" i="9"/>
  <c r="Q8" i="9"/>
  <c r="V8" i="9"/>
  <c r="R8" i="9" l="1"/>
  <c r="W8" i="9"/>
  <c r="P9" i="9"/>
  <c r="Q9" i="9"/>
  <c r="V9" i="9"/>
  <c r="R9" i="9" l="1"/>
  <c r="W9" i="9"/>
  <c r="P10" i="9"/>
  <c r="Q10" i="9"/>
  <c r="R10" i="9"/>
  <c r="V10" i="9"/>
  <c r="W10" i="9" l="1"/>
  <c r="P11" i="9"/>
  <c r="Q11" i="9"/>
  <c r="R11" i="9"/>
  <c r="V11" i="9"/>
  <c r="W11" i="9" l="1"/>
  <c r="P12" i="9"/>
  <c r="Q12" i="9"/>
  <c r="R12" i="9"/>
  <c r="V12" i="9"/>
  <c r="W12" i="9" l="1"/>
  <c r="P13" i="9"/>
  <c r="Q13" i="9"/>
  <c r="R13" i="9"/>
  <c r="V13" i="9"/>
  <c r="W13" i="9" l="1"/>
  <c r="P14" i="9"/>
  <c r="Q14" i="9"/>
  <c r="R14" i="9"/>
  <c r="V14" i="9"/>
  <c r="W14" i="9" l="1"/>
  <c r="P15" i="9"/>
  <c r="Q15" i="9"/>
  <c r="R15" i="9"/>
  <c r="V15" i="9"/>
  <c r="W15" i="9" l="1"/>
  <c r="P16" i="9"/>
  <c r="Q16" i="9"/>
  <c r="R16" i="9"/>
  <c r="V16" i="9"/>
  <c r="W16" i="9" l="1"/>
  <c r="P17" i="9"/>
  <c r="Q17" i="9"/>
  <c r="R17" i="9"/>
  <c r="V17" i="9"/>
  <c r="W17" i="9" l="1"/>
  <c r="P18" i="9"/>
  <c r="Q18" i="9"/>
  <c r="R18" i="9"/>
  <c r="V18" i="9"/>
  <c r="W18" i="9" l="1"/>
  <c r="P19" i="9"/>
  <c r="Q19" i="9"/>
  <c r="R19" i="9"/>
  <c r="V19" i="9"/>
  <c r="W19" i="9" l="1"/>
  <c r="P20" i="9"/>
  <c r="Q20" i="9"/>
  <c r="R20" i="9"/>
  <c r="V20" i="9"/>
  <c r="W20" i="9" l="1"/>
  <c r="P21" i="9"/>
  <c r="Q21" i="9"/>
  <c r="R21" i="9"/>
  <c r="V21" i="9"/>
  <c r="W21" i="9" l="1"/>
  <c r="P22" i="9"/>
  <c r="Q22" i="9"/>
  <c r="R22" i="9"/>
  <c r="V22" i="9"/>
  <c r="W22" i="9" l="1"/>
  <c r="P23" i="9"/>
  <c r="Q23" i="9"/>
  <c r="R23" i="9"/>
  <c r="V23" i="9"/>
  <c r="W23" i="9" l="1"/>
  <c r="P24" i="9"/>
  <c r="Q24" i="9"/>
  <c r="R24" i="9"/>
  <c r="V24" i="9"/>
  <c r="W24" i="9" l="1"/>
  <c r="P25" i="9"/>
  <c r="Q25" i="9"/>
  <c r="R25" i="9"/>
  <c r="V25" i="9"/>
  <c r="W25" i="9" l="1"/>
  <c r="P26" i="9"/>
  <c r="Q26" i="9"/>
  <c r="R26" i="9"/>
  <c r="V26" i="9"/>
  <c r="W26" i="9" l="1"/>
  <c r="P27" i="9"/>
  <c r="Q27" i="9"/>
  <c r="R27" i="9"/>
  <c r="V27" i="9"/>
  <c r="W27" i="9" l="1"/>
  <c r="P28" i="9"/>
  <c r="Q28" i="9"/>
  <c r="R28" i="9"/>
  <c r="V28" i="9"/>
  <c r="W28" i="9" l="1"/>
  <c r="P29" i="9"/>
  <c r="Q29" i="9"/>
  <c r="R29" i="9"/>
  <c r="V29" i="9"/>
  <c r="W29" i="9" l="1"/>
  <c r="P30" i="9"/>
  <c r="Q30" i="9"/>
  <c r="R30" i="9"/>
  <c r="V30" i="9"/>
  <c r="W30" i="9" l="1"/>
  <c r="P31" i="9"/>
  <c r="Q31" i="9"/>
  <c r="V31" i="9"/>
  <c r="R31" i="9" l="1"/>
  <c r="W31" i="9"/>
  <c r="P32" i="9"/>
  <c r="Q32" i="9"/>
  <c r="V32" i="9"/>
  <c r="R32" i="9" l="1"/>
  <c r="W32" i="9"/>
  <c r="P33" i="9"/>
  <c r="Q33" i="9"/>
  <c r="R33" i="9"/>
  <c r="V33" i="9"/>
  <c r="W33" i="9" l="1"/>
  <c r="P34" i="9"/>
  <c r="Q34" i="9"/>
  <c r="R34" i="9"/>
  <c r="V34" i="9"/>
  <c r="W34" i="9" l="1"/>
  <c r="P35" i="9"/>
  <c r="Q35" i="9"/>
  <c r="R35" i="9"/>
  <c r="V35" i="9"/>
  <c r="W35" i="9" l="1"/>
  <c r="P36" i="9"/>
  <c r="Q36" i="9"/>
  <c r="R36" i="9"/>
  <c r="V36" i="9"/>
  <c r="W36" i="9" l="1"/>
  <c r="P37" i="9"/>
  <c r="Q37" i="9"/>
  <c r="R37" i="9"/>
  <c r="V37" i="9"/>
  <c r="W37" i="9" l="1"/>
  <c r="P38" i="9"/>
  <c r="Q38" i="9"/>
  <c r="R38" i="9"/>
  <c r="V38" i="9"/>
  <c r="W38" i="9" l="1"/>
  <c r="P39" i="9"/>
  <c r="Q39" i="9"/>
  <c r="R39" i="9"/>
  <c r="V39" i="9"/>
  <c r="W39" i="9" l="1"/>
  <c r="P40" i="9"/>
  <c r="Q40" i="9"/>
  <c r="R40" i="9"/>
  <c r="V40" i="9"/>
  <c r="W40" i="9" l="1"/>
  <c r="P41" i="9"/>
  <c r="Q41" i="9"/>
  <c r="R41" i="9"/>
  <c r="V41" i="9"/>
  <c r="W41" i="9" l="1"/>
  <c r="P42" i="9"/>
  <c r="Q42" i="9"/>
  <c r="V42" i="9"/>
  <c r="R42" i="9" l="1"/>
  <c r="S5" i="9" s="1" a="1"/>
  <c r="S5" i="9" s="1"/>
  <c r="W42" i="9"/>
  <c r="P5" i="10" a="1"/>
  <c r="P5" i="10" s="1"/>
  <c r="Q5" i="10" a="1"/>
  <c r="Q5" i="10" s="1"/>
  <c r="V5" i="10"/>
  <c r="S4" i="10"/>
  <c r="S39" i="9" l="1"/>
  <c r="S31" i="9"/>
  <c r="S23" i="9"/>
  <c r="S35" i="9"/>
  <c r="S27" i="9"/>
  <c r="S19" i="9"/>
  <c r="S11" i="9"/>
  <c r="S42" i="9"/>
  <c r="S34" i="9"/>
  <c r="S26" i="9"/>
  <c r="S18" i="9"/>
  <c r="S10" i="9"/>
  <c r="S40" i="9"/>
  <c r="S32" i="9"/>
  <c r="S24" i="9"/>
  <c r="S16" i="9"/>
  <c r="S8" i="9"/>
  <c r="S36" i="9"/>
  <c r="S28" i="9"/>
  <c r="S20" i="9"/>
  <c r="S12" i="9"/>
  <c r="S41" i="9"/>
  <c r="S33" i="9"/>
  <c r="S25" i="9"/>
  <c r="S17" i="9"/>
  <c r="S9" i="9"/>
  <c r="S15" i="9"/>
  <c r="S7" i="9"/>
  <c r="S38" i="9"/>
  <c r="S30" i="9"/>
  <c r="S22" i="9"/>
  <c r="S14" i="9"/>
  <c r="S6" i="9"/>
  <c r="S37" i="9"/>
  <c r="S29" i="9"/>
  <c r="S21" i="9"/>
  <c r="S13" i="9"/>
  <c r="R5" i="10"/>
  <c r="W5" i="10"/>
  <c r="AB5" i="10" l="1"/>
  <c r="AJ5" i="10"/>
  <c r="P6" i="10"/>
  <c r="Q6" i="10"/>
  <c r="V6" i="10"/>
  <c r="R6" i="10" l="1"/>
  <c r="AB6" i="10" s="1"/>
  <c r="W6" i="10"/>
  <c r="AJ6" i="10"/>
  <c r="P7" i="10"/>
  <c r="Q7" i="10"/>
  <c r="V7" i="10"/>
  <c r="R7" i="10" l="1"/>
  <c r="AB7" i="10" s="1"/>
  <c r="W7" i="10"/>
  <c r="AJ7" i="10"/>
  <c r="P8" i="10"/>
  <c r="Q8" i="10"/>
  <c r="V8" i="10"/>
  <c r="R8" i="10" l="1"/>
  <c r="AB8" i="10" s="1"/>
  <c r="W8" i="10"/>
  <c r="AJ8" i="10"/>
  <c r="P9" i="10"/>
  <c r="Q9" i="10"/>
  <c r="V9" i="10"/>
  <c r="R9" i="10" l="1"/>
  <c r="AB9" i="10" s="1"/>
  <c r="W9" i="10"/>
  <c r="AJ9" i="10"/>
  <c r="P10" i="10"/>
  <c r="Q10" i="10"/>
  <c r="V10" i="10"/>
  <c r="R10" i="10" l="1"/>
  <c r="AB10" i="10" s="1"/>
  <c r="W10" i="10"/>
  <c r="AJ10" i="10"/>
  <c r="P11" i="10"/>
  <c r="Q11" i="10"/>
  <c r="V11" i="10"/>
  <c r="R11" i="10" l="1"/>
  <c r="AB11" i="10" s="1"/>
  <c r="W11" i="10"/>
  <c r="AJ11" i="10"/>
  <c r="P12" i="10"/>
  <c r="Q12" i="10"/>
  <c r="V12" i="10"/>
  <c r="R12" i="10" l="1"/>
  <c r="AB12" i="10" s="1"/>
  <c r="W12" i="10"/>
  <c r="AJ12" i="10"/>
  <c r="P13" i="10"/>
  <c r="Q13" i="10"/>
  <c r="R13" i="10"/>
  <c r="V13" i="10"/>
  <c r="W13" i="10" l="1"/>
  <c r="AB13" i="10"/>
  <c r="AJ13" i="10"/>
  <c r="P14" i="10"/>
  <c r="Q14" i="10"/>
  <c r="R14" i="10"/>
  <c r="V14" i="10"/>
  <c r="W14" i="10" l="1"/>
  <c r="AB14" i="10"/>
  <c r="AJ14" i="10"/>
  <c r="P15" i="10"/>
  <c r="Q15" i="10"/>
  <c r="R15" i="10"/>
  <c r="V15" i="10"/>
  <c r="W15" i="10" l="1"/>
  <c r="AB15" i="10"/>
  <c r="AJ15" i="10"/>
  <c r="P16" i="10"/>
  <c r="Q16" i="10"/>
  <c r="R16" i="10"/>
  <c r="V16" i="10"/>
  <c r="W16" i="10" l="1"/>
  <c r="AB16" i="10"/>
  <c r="AJ16" i="10"/>
  <c r="P17" i="10"/>
  <c r="Q17" i="10"/>
  <c r="R17" i="10"/>
  <c r="V17" i="10"/>
  <c r="W17" i="10" l="1"/>
  <c r="AB17" i="10"/>
  <c r="AJ17" i="10"/>
  <c r="P18" i="10"/>
  <c r="Q18" i="10"/>
  <c r="R18" i="10"/>
  <c r="V18" i="10"/>
  <c r="W18" i="10" l="1"/>
  <c r="AB18" i="10"/>
  <c r="AJ18" i="10"/>
  <c r="P19" i="10"/>
  <c r="Q19" i="10"/>
  <c r="R19" i="10"/>
  <c r="V19" i="10"/>
  <c r="W19" i="10" l="1"/>
  <c r="AB19" i="10"/>
  <c r="AJ19" i="10"/>
  <c r="P20" i="10"/>
  <c r="Q20" i="10"/>
  <c r="R20" i="10"/>
  <c r="V20" i="10"/>
  <c r="W20" i="10" l="1"/>
  <c r="AB20" i="10"/>
  <c r="AJ20" i="10"/>
  <c r="P21" i="10"/>
  <c r="Q21" i="10"/>
  <c r="R21" i="10"/>
  <c r="V21" i="10"/>
  <c r="W21" i="10" l="1"/>
  <c r="AB21" i="10"/>
  <c r="AJ21" i="10"/>
  <c r="P22" i="10"/>
  <c r="Q22" i="10"/>
  <c r="R22" i="10"/>
  <c r="V22" i="10"/>
  <c r="W22" i="10" l="1"/>
  <c r="AB22" i="10"/>
  <c r="AJ22" i="10"/>
  <c r="P23" i="10"/>
  <c r="Q23" i="10"/>
  <c r="R23" i="10"/>
  <c r="V23" i="10"/>
  <c r="W23" i="10" l="1"/>
  <c r="AB23" i="10"/>
  <c r="AJ23" i="10"/>
  <c r="P24" i="10"/>
  <c r="Q24" i="10"/>
  <c r="R24" i="10"/>
  <c r="V24" i="10"/>
  <c r="W24" i="10" l="1"/>
  <c r="AB24" i="10"/>
  <c r="AJ24" i="10"/>
  <c r="P25" i="10"/>
  <c r="Q25" i="10"/>
  <c r="R25" i="10"/>
  <c r="V25" i="10"/>
  <c r="W25" i="10" l="1"/>
  <c r="AB25" i="10"/>
  <c r="AJ25" i="10"/>
  <c r="P26" i="10"/>
  <c r="Q26" i="10"/>
  <c r="R26" i="10"/>
  <c r="V26" i="10"/>
  <c r="W26" i="10" l="1"/>
  <c r="AB26" i="10"/>
  <c r="AJ26" i="10"/>
  <c r="P27" i="10"/>
  <c r="Q27" i="10"/>
  <c r="R27" i="10"/>
  <c r="V27" i="10"/>
  <c r="W27" i="10" l="1"/>
  <c r="AB27" i="10"/>
  <c r="AJ27" i="10"/>
  <c r="P28" i="10"/>
  <c r="Q28" i="10"/>
  <c r="R28" i="10"/>
  <c r="V28" i="10"/>
  <c r="W28" i="10" l="1"/>
  <c r="AB28" i="10"/>
  <c r="AJ28" i="10"/>
  <c r="P29" i="10"/>
  <c r="Q29" i="10"/>
  <c r="R29" i="10"/>
  <c r="V29" i="10"/>
  <c r="W29" i="10" l="1"/>
  <c r="AB29" i="10"/>
  <c r="AJ29" i="10"/>
  <c r="P30" i="10"/>
  <c r="Q30" i="10"/>
  <c r="R30" i="10"/>
  <c r="V30" i="10"/>
  <c r="W30" i="10" l="1"/>
  <c r="AB30" i="10"/>
  <c r="AJ30" i="10"/>
  <c r="P31" i="10"/>
  <c r="Q31" i="10"/>
  <c r="R31" i="10"/>
  <c r="V31" i="10"/>
  <c r="W31" i="10" l="1"/>
  <c r="AB31" i="10"/>
  <c r="AJ31" i="10"/>
  <c r="P32" i="10"/>
  <c r="Q32" i="10"/>
  <c r="R32" i="10"/>
  <c r="V32" i="10"/>
  <c r="W32" i="10" l="1"/>
  <c r="AB32" i="10"/>
  <c r="AJ32" i="10"/>
  <c r="P33" i="10"/>
  <c r="Q33" i="10"/>
  <c r="R33" i="10"/>
  <c r="V33" i="10"/>
  <c r="W33" i="10" l="1"/>
  <c r="AB33" i="10"/>
  <c r="AJ33" i="10"/>
  <c r="P34" i="10"/>
  <c r="Q34" i="10"/>
  <c r="R34" i="10"/>
  <c r="V34" i="10"/>
  <c r="W34" i="10" l="1"/>
  <c r="AB34" i="10"/>
  <c r="AJ34" i="10"/>
  <c r="P35" i="10"/>
  <c r="Q35" i="10"/>
  <c r="R35" i="10"/>
  <c r="V35" i="10"/>
  <c r="W35" i="10" l="1"/>
  <c r="AB35" i="10"/>
  <c r="AJ35" i="10"/>
  <c r="P36" i="10"/>
  <c r="Q36" i="10"/>
  <c r="R36" i="10"/>
  <c r="V36" i="10"/>
  <c r="W36" i="10" l="1"/>
  <c r="AB36" i="10"/>
  <c r="AJ36" i="10"/>
  <c r="P37" i="10"/>
  <c r="Q37" i="10"/>
  <c r="R37" i="10"/>
  <c r="V37" i="10"/>
  <c r="W37" i="10" l="1"/>
  <c r="AB37" i="10"/>
  <c r="AJ37" i="10"/>
  <c r="P38" i="10"/>
  <c r="Q38" i="10"/>
  <c r="R38" i="10"/>
  <c r="V38" i="10"/>
  <c r="W38" i="10" l="1"/>
  <c r="AB38" i="10"/>
  <c r="AJ38" i="10"/>
  <c r="P39" i="10"/>
  <c r="Q39" i="10"/>
  <c r="R39" i="10"/>
  <c r="V39" i="10"/>
  <c r="W39" i="10" l="1"/>
  <c r="AB39" i="10"/>
  <c r="AJ39" i="10"/>
  <c r="P40" i="10"/>
  <c r="Q40" i="10"/>
  <c r="R40" i="10"/>
  <c r="V40" i="10"/>
  <c r="W40" i="10" l="1"/>
  <c r="AB40" i="10"/>
  <c r="AJ40" i="10"/>
  <c r="P41" i="10"/>
  <c r="Q41" i="10"/>
  <c r="R41" i="10"/>
  <c r="V41" i="10"/>
  <c r="W41" i="10" l="1"/>
  <c r="AB41" i="10"/>
  <c r="AJ41" i="10"/>
  <c r="P42" i="10"/>
  <c r="Q42" i="10"/>
  <c r="R42" i="10"/>
  <c r="S5" i="10" s="1" a="1"/>
  <c r="S42" i="10" s="1"/>
  <c r="V42" i="10"/>
  <c r="S5" i="10" l="1"/>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W42" i="10"/>
  <c r="AB42" i="10"/>
  <c r="AJ42" i="10"/>
  <c r="P5" i="11" a="1"/>
  <c r="P5" i="11" s="1"/>
  <c r="Q5" i="11" a="1"/>
  <c r="Q5" i="11" s="1"/>
  <c r="V5" i="11"/>
  <c r="S4" i="11"/>
  <c r="R5" i="11" l="1"/>
  <c r="AB5" i="11" s="1"/>
  <c r="W5" i="11"/>
  <c r="P6" i="11"/>
  <c r="Q6" i="11"/>
  <c r="V6" i="11"/>
  <c r="R6" i="11" l="1"/>
  <c r="AB6" i="11" s="1"/>
  <c r="W6" i="11"/>
  <c r="P7" i="11"/>
  <c r="Q7" i="11"/>
  <c r="V7" i="11"/>
  <c r="R7" i="11" l="1"/>
  <c r="AB7" i="11" s="1"/>
  <c r="W7" i="11"/>
  <c r="P8" i="11"/>
  <c r="Q8" i="11"/>
  <c r="V8" i="11"/>
  <c r="R8" i="11" l="1"/>
  <c r="AB8" i="11" s="1"/>
  <c r="W8" i="11"/>
  <c r="P9" i="11"/>
  <c r="Q9" i="11"/>
  <c r="V9" i="11"/>
  <c r="R9" i="11" l="1"/>
  <c r="AB9" i="11" s="1"/>
  <c r="W9" i="11"/>
  <c r="P10" i="11"/>
  <c r="Q10" i="11"/>
  <c r="V10" i="11"/>
  <c r="R10" i="11" l="1"/>
  <c r="AB10" i="11" s="1"/>
  <c r="W10" i="11"/>
  <c r="P11" i="11"/>
  <c r="Q11" i="11"/>
  <c r="V11" i="11"/>
  <c r="R11" i="11" l="1"/>
  <c r="AB11" i="11" s="1"/>
  <c r="W11" i="11"/>
  <c r="P12" i="11"/>
  <c r="Q12" i="11"/>
  <c r="V12" i="11"/>
  <c r="R12" i="11" l="1"/>
  <c r="AB12" i="11" s="1"/>
  <c r="W12" i="11"/>
  <c r="P13" i="11"/>
  <c r="Q13" i="11"/>
  <c r="V13" i="11"/>
  <c r="R13" i="11" l="1"/>
  <c r="AB13" i="11" s="1"/>
  <c r="W13" i="11"/>
  <c r="P14" i="11"/>
  <c r="Q14" i="11"/>
  <c r="V14" i="11"/>
  <c r="R14" i="11" l="1"/>
  <c r="AB14" i="11" s="1"/>
  <c r="W14" i="11"/>
  <c r="P15" i="11"/>
  <c r="Q15" i="11"/>
  <c r="V15" i="11"/>
  <c r="R15" i="11" l="1"/>
  <c r="AB15" i="11" s="1"/>
  <c r="W15" i="11"/>
  <c r="P16" i="11"/>
  <c r="Q16" i="11"/>
  <c r="V16" i="11"/>
  <c r="R16" i="11" l="1"/>
  <c r="AB16" i="11" s="1"/>
  <c r="W16" i="11"/>
  <c r="P17" i="11"/>
  <c r="Q17" i="11"/>
  <c r="V17" i="11"/>
  <c r="R17" i="11" l="1"/>
  <c r="AB17" i="11" s="1"/>
  <c r="W17" i="11"/>
  <c r="P18" i="11"/>
  <c r="Q18" i="11"/>
  <c r="V18" i="11"/>
  <c r="R18" i="11" l="1"/>
  <c r="AB18" i="11" s="1"/>
  <c r="W18" i="11"/>
  <c r="P19" i="11"/>
  <c r="Q19" i="11"/>
  <c r="V19" i="11"/>
  <c r="R19" i="11" l="1"/>
  <c r="AB19" i="11" s="1"/>
  <c r="W19" i="11"/>
  <c r="P20" i="11"/>
  <c r="Q20" i="11"/>
  <c r="V20" i="11"/>
  <c r="R20" i="11" l="1"/>
  <c r="AB20" i="11" s="1"/>
  <c r="W20" i="11"/>
  <c r="P21" i="11"/>
  <c r="Q21" i="11"/>
  <c r="V21" i="11"/>
  <c r="R21" i="11" l="1"/>
  <c r="AB21" i="11" s="1"/>
  <c r="W21" i="11"/>
  <c r="P22" i="11"/>
  <c r="Q22" i="11"/>
  <c r="V22" i="11"/>
  <c r="R22" i="11" l="1"/>
  <c r="AB22" i="11" s="1"/>
  <c r="W22" i="11"/>
  <c r="P23" i="11"/>
  <c r="Q23" i="11"/>
  <c r="V23" i="11"/>
  <c r="R23" i="11" l="1"/>
  <c r="AB23" i="11" s="1"/>
  <c r="W23" i="11"/>
  <c r="P24" i="11"/>
  <c r="Q24" i="11"/>
  <c r="R24" i="11"/>
  <c r="V24" i="11"/>
  <c r="W24" i="11" l="1"/>
  <c r="AB24" i="11"/>
  <c r="P25" i="11"/>
  <c r="Q25" i="11"/>
  <c r="R25" i="11"/>
  <c r="V25" i="11"/>
  <c r="W25" i="11" l="1"/>
  <c r="AB25" i="11"/>
  <c r="P26" i="11"/>
  <c r="Q26" i="11"/>
  <c r="R26" i="11"/>
  <c r="V26" i="11"/>
  <c r="W26" i="11" l="1"/>
  <c r="AB26" i="11"/>
  <c r="P27" i="11"/>
  <c r="Q27" i="11"/>
  <c r="R27" i="11"/>
  <c r="V27" i="11"/>
  <c r="W27" i="11" l="1"/>
  <c r="AB27" i="11"/>
  <c r="P28" i="11"/>
  <c r="Q28" i="11"/>
  <c r="R28" i="11"/>
  <c r="V28" i="11"/>
  <c r="W28" i="11" l="1"/>
  <c r="AB28" i="11"/>
  <c r="P29" i="11"/>
  <c r="Q29" i="11"/>
  <c r="R29" i="11"/>
  <c r="V29" i="11"/>
  <c r="W29" i="11" l="1"/>
  <c r="AB29" i="11"/>
  <c r="P30" i="11"/>
  <c r="Q30" i="11"/>
  <c r="R30" i="11"/>
  <c r="V30" i="11"/>
  <c r="W30" i="11" l="1"/>
  <c r="AB30" i="11"/>
  <c r="P31" i="11"/>
  <c r="Q31" i="11"/>
  <c r="R31" i="11"/>
  <c r="V31" i="11"/>
  <c r="W31" i="11" l="1"/>
  <c r="AB31" i="11"/>
  <c r="P32" i="11"/>
  <c r="Q32" i="11"/>
  <c r="R32" i="11"/>
  <c r="V32" i="11"/>
  <c r="W32" i="11" l="1"/>
  <c r="AB32" i="11"/>
  <c r="P33" i="11"/>
  <c r="Q33" i="11"/>
  <c r="R33" i="11"/>
  <c r="V33" i="11"/>
  <c r="W33" i="11" l="1"/>
  <c r="AB33" i="11"/>
  <c r="P34" i="11"/>
  <c r="Q34" i="11"/>
  <c r="R34" i="11"/>
  <c r="V34" i="11"/>
  <c r="W34" i="11" l="1"/>
  <c r="AB34" i="11"/>
  <c r="P35" i="11"/>
  <c r="Q35" i="11"/>
  <c r="R35" i="11"/>
  <c r="V35" i="11"/>
  <c r="W35" i="11" l="1"/>
  <c r="AB35" i="11"/>
  <c r="P36" i="11"/>
  <c r="Q36" i="11"/>
  <c r="R36" i="11"/>
  <c r="V36" i="11"/>
  <c r="W36" i="11" l="1"/>
  <c r="AB36" i="11"/>
  <c r="P37" i="11"/>
  <c r="Q37" i="11"/>
  <c r="R37" i="11"/>
  <c r="V37" i="11"/>
  <c r="W37" i="11" l="1"/>
  <c r="AB37" i="11"/>
  <c r="P38" i="11"/>
  <c r="Q38" i="11"/>
  <c r="R38" i="11"/>
  <c r="V38" i="11"/>
  <c r="W38" i="11" l="1"/>
  <c r="AB38" i="11"/>
  <c r="P39" i="11"/>
  <c r="Q39" i="11"/>
  <c r="R39" i="11"/>
  <c r="V39" i="11"/>
  <c r="W39" i="11" l="1"/>
  <c r="AB39" i="11"/>
  <c r="P40" i="11"/>
  <c r="Q40" i="11"/>
  <c r="R40" i="11"/>
  <c r="V40" i="11"/>
  <c r="W40" i="11" l="1"/>
  <c r="AB40" i="11"/>
  <c r="P41" i="11"/>
  <c r="Q41" i="11"/>
  <c r="R41" i="11"/>
  <c r="V41" i="11"/>
  <c r="W41" i="11" l="1"/>
  <c r="AB41" i="11"/>
  <c r="P42" i="11"/>
  <c r="Q42" i="11"/>
  <c r="V42" i="11"/>
  <c r="R42" i="11" l="1"/>
  <c r="S5" i="11" s="1" a="1"/>
  <c r="S42" i="11" s="1"/>
  <c r="W42" i="11"/>
  <c r="AB42" i="11" l="1"/>
  <c r="S35" i="11"/>
  <c r="S27" i="11"/>
  <c r="S19" i="11"/>
  <c r="S17" i="11"/>
  <c r="S28" i="11"/>
  <c r="S20" i="11"/>
  <c r="S12" i="11"/>
  <c r="S11" i="11"/>
  <c r="S36" i="11"/>
  <c r="S34" i="11"/>
  <c r="S26" i="11"/>
  <c r="S18" i="11"/>
  <c r="S10" i="11"/>
  <c r="S41" i="11"/>
  <c r="S33" i="11"/>
  <c r="S25" i="11"/>
  <c r="S9" i="11"/>
  <c r="S40" i="11"/>
  <c r="S32" i="11"/>
  <c r="S24" i="11"/>
  <c r="S16" i="11"/>
  <c r="S8" i="11"/>
  <c r="S39" i="11"/>
  <c r="S31" i="11"/>
  <c r="S23" i="11"/>
  <c r="S15" i="11"/>
  <c r="S7" i="11"/>
  <c r="S38" i="11"/>
  <c r="S30" i="11"/>
  <c r="S22" i="11"/>
  <c r="S14" i="11"/>
  <c r="S6" i="11"/>
  <c r="S37" i="11"/>
  <c r="S29" i="11"/>
  <c r="S21" i="11"/>
  <c r="S13" i="11"/>
  <c r="S5" i="11"/>
  <c r="N5" i="20"/>
  <c r="T5" i="20"/>
  <c r="O4" i="20"/>
  <c r="N6" i="20" l="1"/>
  <c r="T6" i="20"/>
  <c r="N7" i="20" l="1"/>
  <c r="T7" i="20"/>
  <c r="N8" i="20" l="1"/>
  <c r="T8" i="20"/>
  <c r="N9" i="20" l="1"/>
  <c r="T9" i="20"/>
  <c r="N10" i="20" l="1"/>
  <c r="T10" i="20"/>
  <c r="N11" i="20" l="1"/>
  <c r="T11" i="20"/>
  <c r="N12" i="20" l="1"/>
  <c r="N13" i="20"/>
  <c r="T12" i="20"/>
  <c r="T13" i="20"/>
  <c r="N14" i="20" l="1"/>
  <c r="N15" i="20"/>
  <c r="T14" i="20"/>
  <c r="T15" i="20"/>
  <c r="N16" i="20" l="1"/>
  <c r="T16" i="20"/>
  <c r="N17" i="20" l="1"/>
  <c r="N18" i="20"/>
  <c r="T18" i="20"/>
  <c r="T17" i="20"/>
  <c r="N19" i="20" l="1"/>
  <c r="N20" i="20"/>
  <c r="T20" i="20"/>
  <c r="T19" i="20"/>
  <c r="N21" i="20" l="1"/>
  <c r="N22" i="20"/>
  <c r="T21" i="20"/>
  <c r="T22" i="20"/>
  <c r="N23" i="20" l="1"/>
  <c r="N24" i="20"/>
  <c r="T23" i="20"/>
  <c r="T24" i="20"/>
  <c r="N25" i="20" l="1"/>
  <c r="T25" i="20"/>
  <c r="N26" i="20" l="1"/>
  <c r="N27" i="20"/>
  <c r="T26" i="20"/>
  <c r="T27" i="20"/>
  <c r="N28" i="20" l="1"/>
  <c r="N29" i="20"/>
  <c r="T28" i="20"/>
  <c r="T29" i="20"/>
  <c r="N30" i="20" l="1"/>
  <c r="N31" i="20"/>
  <c r="T30" i="20"/>
  <c r="T31" i="20"/>
  <c r="N32" i="20" l="1"/>
  <c r="N33" i="20"/>
  <c r="T32" i="20"/>
  <c r="T33" i="20"/>
  <c r="N34" i="20" l="1"/>
  <c r="N35" i="20"/>
  <c r="T35" i="20"/>
  <c r="T34" i="20"/>
  <c r="N36" i="20" l="1"/>
  <c r="N37" i="20"/>
  <c r="T37" i="20"/>
  <c r="T36" i="20"/>
  <c r="O5" i="20" l="1" a="1"/>
  <c r="O37" i="20" s="1"/>
  <c r="X5" i="20" a="1"/>
  <c r="O26" i="20" l="1"/>
  <c r="O25" i="20"/>
  <c r="O9" i="20"/>
  <c r="O36" i="20"/>
  <c r="O28" i="20"/>
  <c r="O12" i="20"/>
  <c r="O35" i="20"/>
  <c r="O27" i="20"/>
  <c r="O19" i="20"/>
  <c r="O11" i="20"/>
  <c r="O34" i="20"/>
  <c r="O18" i="20"/>
  <c r="O10" i="20"/>
  <c r="O33" i="20"/>
  <c r="O17" i="20"/>
  <c r="O32" i="20"/>
  <c r="O24" i="20"/>
  <c r="O16" i="20"/>
  <c r="O8" i="20"/>
  <c r="O31" i="20"/>
  <c r="O23" i="20"/>
  <c r="O15" i="20"/>
  <c r="O7" i="20"/>
  <c r="O30" i="20"/>
  <c r="O22" i="20"/>
  <c r="O14" i="20"/>
  <c r="O6" i="20"/>
  <c r="O29" i="20"/>
  <c r="O21" i="20"/>
  <c r="O13" i="20"/>
  <c r="O5" i="20"/>
  <c r="O20" i="20"/>
  <c r="X5" i="20"/>
  <c r="X6" i="20"/>
  <c r="X7" i="20"/>
  <c r="X8" i="20"/>
  <c r="X9" i="20"/>
  <c r="X10" i="20"/>
  <c r="X11" i="20"/>
  <c r="X12" i="20"/>
  <c r="X13" i="20"/>
  <c r="X14" i="20"/>
  <c r="X15" i="20"/>
  <c r="X16" i="20"/>
  <c r="X17" i="20"/>
  <c r="X18" i="20"/>
  <c r="X19" i="20"/>
  <c r="X20" i="20"/>
  <c r="X21" i="20"/>
  <c r="X22" i="20"/>
  <c r="X23" i="20"/>
  <c r="X24" i="20"/>
  <c r="X25" i="20"/>
  <c r="X26" i="20"/>
  <c r="X27" i="20"/>
  <c r="X28" i="20"/>
  <c r="X29" i="20"/>
  <c r="X30" i="20"/>
  <c r="X31" i="20"/>
  <c r="X32" i="20"/>
  <c r="X33" i="20"/>
  <c r="X34" i="20"/>
  <c r="X35" i="20"/>
  <c r="X36" i="20"/>
  <c r="X37" i="20"/>
  <c r="D13" i="62" l="1"/>
  <c r="AO6" i="15"/>
  <c r="D15" i="62" l="1"/>
  <c r="D16" i="62"/>
  <c r="D19" i="62"/>
  <c r="AP6" i="15"/>
  <c r="D31" i="62" l="1"/>
  <c r="E5" i="61"/>
  <c r="O5" i="61" s="1"/>
  <c r="E6" i="61"/>
  <c r="Q3" i="61"/>
  <c r="K6" i="61"/>
  <c r="K5" i="61"/>
  <c r="B1" i="62"/>
  <c r="F4" i="61"/>
  <c r="O6" i="61" l="1"/>
  <c r="E7" i="61"/>
  <c r="K7" i="61"/>
  <c r="O7" i="61" l="1"/>
  <c r="E8" i="61"/>
  <c r="K8" i="61"/>
  <c r="O8" i="61" l="1"/>
  <c r="E9" i="61"/>
  <c r="K9" i="61"/>
  <c r="O9" i="61" l="1"/>
  <c r="E10" i="61"/>
  <c r="F5" i="61" s="1" a="1"/>
  <c r="K10" i="61"/>
  <c r="F5" i="61" l="1"/>
  <c r="F6" i="61"/>
  <c r="F7" i="61"/>
  <c r="F8" i="61"/>
  <c r="F9" i="61"/>
  <c r="F10" i="61"/>
  <c r="O10" i="61"/>
  <c r="F4" i="60"/>
  <c r="E5" i="60" l="1"/>
  <c r="O5" i="60"/>
  <c r="E6" i="60"/>
  <c r="K5" i="60"/>
  <c r="K6" i="60"/>
  <c r="O6" i="60" l="1"/>
  <c r="E7" i="60"/>
  <c r="K7" i="60"/>
  <c r="O7" i="60" l="1"/>
  <c r="E8" i="60"/>
  <c r="K8" i="60"/>
  <c r="O8" i="60" l="1"/>
  <c r="E9" i="60"/>
  <c r="K9" i="60"/>
  <c r="O9" i="60" l="1"/>
  <c r="E10" i="60"/>
  <c r="F5" i="60" s="1" a="1"/>
  <c r="F10" i="60" s="1"/>
  <c r="K10" i="60"/>
  <c r="F5" i="60" l="1"/>
  <c r="F6" i="60"/>
  <c r="F7" i="60"/>
  <c r="F8" i="60"/>
  <c r="F9" i="60"/>
  <c r="O10" i="60"/>
  <c r="D2" i="44" l="1"/>
  <c r="D12" i="44" s="1"/>
  <c r="J2" i="44"/>
  <c r="J9" i="44" s="1"/>
  <c r="G4" i="44"/>
  <c r="H4" i="44" s="1"/>
  <c r="L4" i="44" s="1"/>
  <c r="G5" i="44"/>
  <c r="H5" i="44" s="1"/>
  <c r="L5" i="44" s="1"/>
  <c r="G6" i="44"/>
  <c r="H6" i="44" s="1"/>
  <c r="L6" i="44" s="1"/>
  <c r="G7" i="44"/>
  <c r="H7" i="44" s="1"/>
  <c r="L7" i="44" s="1"/>
  <c r="G8" i="44"/>
  <c r="H8" i="44" s="1"/>
  <c r="L8" i="44" s="1"/>
  <c r="G9" i="44"/>
  <c r="H9" i="44" s="1"/>
  <c r="L9" i="44" s="1"/>
  <c r="G10" i="44"/>
  <c r="H10" i="44" s="1"/>
  <c r="L10" i="44" s="1"/>
  <c r="G11" i="44"/>
  <c r="H11" i="44" s="1"/>
  <c r="L11" i="44" s="1"/>
  <c r="G12" i="44"/>
  <c r="H12" i="44" s="1"/>
  <c r="L12" i="44" s="1"/>
  <c r="G13" i="44"/>
  <c r="H13" i="44" s="1"/>
  <c r="L13" i="44" s="1"/>
  <c r="G14" i="44"/>
  <c r="H14" i="44" s="1"/>
  <c r="L14" i="44" s="1"/>
  <c r="G15" i="44"/>
  <c r="H15" i="44" s="1"/>
  <c r="L15" i="44" s="1"/>
  <c r="G16" i="44"/>
  <c r="H16" i="44" s="1"/>
  <c r="L16" i="44" s="1"/>
  <c r="G17" i="44"/>
  <c r="H17" i="44" s="1"/>
  <c r="L17" i="44" s="1"/>
  <c r="G18" i="44"/>
  <c r="H18" i="44" s="1"/>
  <c r="L18" i="44" s="1"/>
  <c r="D2" i="43"/>
  <c r="J2" i="43"/>
  <c r="N9" i="44"/>
  <c r="K9" i="44"/>
  <c r="Q10" i="60"/>
  <c r="Q7" i="60"/>
  <c r="Q8" i="60"/>
  <c r="Q9" i="60"/>
  <c r="Q5" i="60"/>
  <c r="Q6" i="60"/>
  <c r="D3" i="44"/>
  <c r="D3" i="43"/>
  <c r="D6" i="44" l="1"/>
  <c r="D15" i="44"/>
  <c r="D10" i="44"/>
  <c r="D13" i="44"/>
  <c r="D8" i="44"/>
  <c r="D4" i="44"/>
  <c r="D17" i="44"/>
  <c r="J11" i="44"/>
  <c r="D16" i="44"/>
  <c r="D14" i="44"/>
  <c r="D7" i="44"/>
  <c r="D5" i="44"/>
  <c r="D18" i="44"/>
  <c r="J15" i="44"/>
  <c r="J13" i="44"/>
  <c r="D11" i="44"/>
  <c r="D9" i="44"/>
  <c r="J6" i="44"/>
  <c r="J4" i="44"/>
  <c r="J17" i="44"/>
  <c r="J10" i="44"/>
  <c r="J8" i="44"/>
  <c r="J12" i="44"/>
  <c r="J14" i="44"/>
  <c r="J7" i="44"/>
  <c r="J5" i="44"/>
  <c r="J18" i="44"/>
  <c r="J16" i="44"/>
  <c r="M9" i="44"/>
  <c r="O9" i="44" s="1"/>
  <c r="D4" i="43"/>
  <c r="G4" i="43"/>
  <c r="H4" i="43" s="1"/>
  <c r="L4" i="43" s="1"/>
  <c r="J4" i="43"/>
  <c r="D5" i="43"/>
  <c r="G5" i="43"/>
  <c r="H5" i="43" s="1"/>
  <c r="L5" i="43" s="1"/>
  <c r="J5" i="43"/>
  <c r="D6" i="43"/>
  <c r="G6" i="43"/>
  <c r="H6" i="43" s="1"/>
  <c r="L6" i="43" s="1"/>
  <c r="J6" i="43"/>
  <c r="D7" i="43"/>
  <c r="G7" i="43"/>
  <c r="H7" i="43" s="1"/>
  <c r="L7" i="43" s="1"/>
  <c r="J7" i="43"/>
  <c r="D8" i="43"/>
  <c r="G8" i="43"/>
  <c r="H8" i="43" s="1"/>
  <c r="L8" i="43" s="1"/>
  <c r="J8" i="43"/>
  <c r="D9" i="43"/>
  <c r="G9" i="43"/>
  <c r="H9" i="43" s="1"/>
  <c r="L9" i="43" s="1"/>
  <c r="J9" i="43"/>
  <c r="D10" i="43"/>
  <c r="G10" i="43"/>
  <c r="H10" i="43" s="1"/>
  <c r="L10" i="43" s="1"/>
  <c r="J10" i="43"/>
  <c r="D11" i="43"/>
  <c r="G11" i="43"/>
  <c r="H11" i="43" s="1"/>
  <c r="L11" i="43" s="1"/>
  <c r="J11" i="43"/>
  <c r="D12" i="43"/>
  <c r="G12" i="43"/>
  <c r="H12" i="43" s="1"/>
  <c r="L12" i="43" s="1"/>
  <c r="J12" i="43"/>
  <c r="D13" i="43"/>
  <c r="G13" i="43"/>
  <c r="H13" i="43" s="1"/>
  <c r="L13" i="43" s="1"/>
  <c r="J13" i="43"/>
  <c r="D14" i="43"/>
  <c r="G14" i="43"/>
  <c r="H14" i="43" s="1"/>
  <c r="L14" i="43" s="1"/>
  <c r="J14" i="43"/>
  <c r="D15" i="43"/>
  <c r="G15" i="43"/>
  <c r="H15" i="43" s="1"/>
  <c r="L15" i="43" s="1"/>
  <c r="J15" i="43"/>
  <c r="D16" i="43"/>
  <c r="G16" i="43"/>
  <c r="H16" i="43" s="1"/>
  <c r="L16" i="43" s="1"/>
  <c r="J16" i="43"/>
  <c r="D17" i="43"/>
  <c r="G17" i="43"/>
  <c r="H17" i="43" s="1"/>
  <c r="L17" i="43" s="1"/>
  <c r="J17" i="43"/>
  <c r="D18" i="43"/>
  <c r="G18" i="43"/>
  <c r="H18" i="43" s="1"/>
  <c r="L18" i="43" s="1"/>
  <c r="J18" i="43"/>
  <c r="N4" i="43"/>
  <c r="K7" i="44"/>
  <c r="K8" i="44"/>
  <c r="K4" i="43"/>
  <c r="N18" i="43"/>
  <c r="K13" i="44"/>
  <c r="N16" i="43"/>
  <c r="N12" i="44"/>
  <c r="K16" i="44"/>
  <c r="K10" i="44"/>
  <c r="K6" i="43"/>
  <c r="N17" i="43"/>
  <c r="N6" i="43"/>
  <c r="K16" i="43"/>
  <c r="K13" i="43"/>
  <c r="N7" i="44"/>
  <c r="N15" i="44"/>
  <c r="K14" i="43"/>
  <c r="K12" i="43"/>
  <c r="N17" i="44"/>
  <c r="N14" i="44"/>
  <c r="N8" i="44"/>
  <c r="K8" i="43"/>
  <c r="N16" i="44"/>
  <c r="K14" i="44"/>
  <c r="N13" i="43"/>
  <c r="N4" i="44"/>
  <c r="K10" i="43"/>
  <c r="K12" i="44"/>
  <c r="N5" i="43"/>
  <c r="K5" i="44"/>
  <c r="N11" i="44"/>
  <c r="N10" i="43"/>
  <c r="K4" i="44"/>
  <c r="K18" i="44"/>
  <c r="K7" i="43"/>
  <c r="N5" i="44"/>
  <c r="K11" i="44"/>
  <c r="N9" i="43"/>
  <c r="K5" i="43"/>
  <c r="N7" i="43"/>
  <c r="K18" i="43"/>
  <c r="N13" i="44"/>
  <c r="N14" i="43"/>
  <c r="N10" i="44"/>
  <c r="K6" i="44"/>
  <c r="K9" i="43"/>
  <c r="N18" i="44"/>
  <c r="N8" i="43"/>
  <c r="N12" i="43"/>
  <c r="K11" i="43"/>
  <c r="N6" i="44"/>
  <c r="K15" i="44"/>
  <c r="N15" i="43"/>
  <c r="K17" i="43"/>
  <c r="N11" i="43"/>
  <c r="K15" i="43"/>
  <c r="K17" i="44"/>
  <c r="M14" i="44" l="1"/>
  <c r="O14" i="44" s="1"/>
  <c r="M12" i="44"/>
  <c r="O12" i="44" s="1"/>
  <c r="M13" i="44"/>
  <c r="O13" i="44" s="1"/>
  <c r="M16" i="44"/>
  <c r="O16" i="44" s="1"/>
  <c r="M18" i="44"/>
  <c r="O18" i="44" s="1"/>
  <c r="M8" i="44"/>
  <c r="O8" i="44" s="1"/>
  <c r="M15" i="44"/>
  <c r="O15" i="44" s="1"/>
  <c r="M10" i="44"/>
  <c r="O10" i="44" s="1"/>
  <c r="M17" i="44"/>
  <c r="O17" i="44" s="1"/>
  <c r="M5" i="44"/>
  <c r="O5" i="44" s="1"/>
  <c r="M6" i="44"/>
  <c r="O6" i="44" s="1"/>
  <c r="M4" i="44"/>
  <c r="O4" i="44" s="1"/>
  <c r="M7" i="44"/>
  <c r="O7" i="44" s="1"/>
  <c r="M11" i="44"/>
  <c r="O11" i="44" s="1"/>
  <c r="M18" i="43"/>
  <c r="O18" i="43" s="1"/>
  <c r="M16" i="43"/>
  <c r="O16" i="43" s="1"/>
  <c r="M8" i="43"/>
  <c r="O8" i="43" s="1"/>
  <c r="M15" i="43"/>
  <c r="O15" i="43" s="1"/>
  <c r="M7" i="43"/>
  <c r="O7" i="43" s="1"/>
  <c r="M14" i="43"/>
  <c r="O14" i="43" s="1"/>
  <c r="M6" i="43"/>
  <c r="O6" i="43" s="1"/>
  <c r="M13" i="43"/>
  <c r="O13" i="43" s="1"/>
  <c r="M5" i="43"/>
  <c r="O5" i="43" s="1"/>
  <c r="M12" i="43"/>
  <c r="O12" i="43" s="1"/>
  <c r="M11" i="43"/>
  <c r="O11" i="43" s="1"/>
  <c r="M4" i="43"/>
  <c r="O4" i="43" s="1"/>
  <c r="M10" i="43"/>
  <c r="O10" i="43" s="1"/>
  <c r="M17" i="43"/>
  <c r="O17" i="43" s="1"/>
  <c r="M9" i="43"/>
  <c r="O9" i="43" s="1"/>
  <c r="M2" i="44" l="1"/>
  <c r="M2" i="43"/>
  <c r="D2" i="40"/>
  <c r="J2" i="40"/>
  <c r="D3" i="40"/>
  <c r="D4" i="40" l="1"/>
  <c r="G4" i="40"/>
  <c r="H4" i="40" s="1"/>
  <c r="L4" i="40" s="1"/>
  <c r="J4" i="40"/>
  <c r="D5" i="40"/>
  <c r="G5" i="40"/>
  <c r="H5" i="40" s="1"/>
  <c r="L5" i="40" s="1"/>
  <c r="J5" i="40"/>
  <c r="D6" i="40"/>
  <c r="G6" i="40"/>
  <c r="H6" i="40" s="1"/>
  <c r="L6" i="40" s="1"/>
  <c r="J6" i="40"/>
  <c r="D7" i="40"/>
  <c r="G7" i="40"/>
  <c r="H7" i="40" s="1"/>
  <c r="L7" i="40" s="1"/>
  <c r="J7" i="40"/>
  <c r="D8" i="40"/>
  <c r="G8" i="40"/>
  <c r="H8" i="40" s="1"/>
  <c r="L8" i="40" s="1"/>
  <c r="J8" i="40"/>
  <c r="D9" i="40"/>
  <c r="G9" i="40"/>
  <c r="H9" i="40" s="1"/>
  <c r="L9" i="40" s="1"/>
  <c r="J9" i="40"/>
  <c r="D10" i="40"/>
  <c r="G10" i="40"/>
  <c r="H10" i="40" s="1"/>
  <c r="L10" i="40" s="1"/>
  <c r="J10" i="40"/>
  <c r="D11" i="40"/>
  <c r="G11" i="40"/>
  <c r="H11" i="40" s="1"/>
  <c r="L11" i="40" s="1"/>
  <c r="J11" i="40"/>
  <c r="D12" i="40"/>
  <c r="G12" i="40"/>
  <c r="H12" i="40" s="1"/>
  <c r="L12" i="40" s="1"/>
  <c r="J12" i="40"/>
  <c r="D13" i="40"/>
  <c r="G13" i="40"/>
  <c r="H13" i="40" s="1"/>
  <c r="L13" i="40" s="1"/>
  <c r="J13" i="40"/>
  <c r="D14" i="40"/>
  <c r="G14" i="40"/>
  <c r="H14" i="40" s="1"/>
  <c r="L14" i="40" s="1"/>
  <c r="J14" i="40"/>
  <c r="D15" i="40"/>
  <c r="G15" i="40"/>
  <c r="H15" i="40" s="1"/>
  <c r="L15" i="40" s="1"/>
  <c r="J15" i="40"/>
  <c r="D16" i="40"/>
  <c r="G16" i="40"/>
  <c r="H16" i="40" s="1"/>
  <c r="L16" i="40" s="1"/>
  <c r="J16" i="40"/>
  <c r="D17" i="40"/>
  <c r="G17" i="40"/>
  <c r="H17" i="40" s="1"/>
  <c r="L17" i="40" s="1"/>
  <c r="J17" i="40"/>
  <c r="D18" i="40"/>
  <c r="G18" i="40"/>
  <c r="H18" i="40" s="1"/>
  <c r="L18" i="40" s="1"/>
  <c r="J18" i="40"/>
  <c r="D19" i="40"/>
  <c r="G19" i="40"/>
  <c r="H19" i="40" s="1"/>
  <c r="L19" i="40" s="1"/>
  <c r="J19" i="40"/>
  <c r="D20" i="40"/>
  <c r="G20" i="40"/>
  <c r="H20" i="40" s="1"/>
  <c r="L20" i="40" s="1"/>
  <c r="J20" i="40"/>
  <c r="D21" i="40"/>
  <c r="G21" i="40"/>
  <c r="H21" i="40" s="1"/>
  <c r="L21" i="40" s="1"/>
  <c r="J21" i="40"/>
  <c r="D2" i="39"/>
  <c r="J2" i="39"/>
  <c r="N19" i="40"/>
  <c r="N10" i="40"/>
  <c r="K7" i="40"/>
  <c r="N8" i="40"/>
  <c r="K11" i="40"/>
  <c r="K13" i="40"/>
  <c r="K6" i="40"/>
  <c r="N20" i="40"/>
  <c r="N14" i="40"/>
  <c r="N9" i="40"/>
  <c r="K20" i="40"/>
  <c r="N5" i="40"/>
  <c r="N15" i="40"/>
  <c r="K21" i="40"/>
  <c r="N16" i="40"/>
  <c r="K14" i="40"/>
  <c r="N7" i="40"/>
  <c r="K16" i="40"/>
  <c r="N11" i="40"/>
  <c r="K4" i="40"/>
  <c r="N4" i="40"/>
  <c r="K9" i="40"/>
  <c r="N17" i="40"/>
  <c r="K19" i="40"/>
  <c r="K10" i="40"/>
  <c r="N18" i="40"/>
  <c r="K17" i="40"/>
  <c r="K12" i="40"/>
  <c r="K18" i="40"/>
  <c r="N12" i="40"/>
  <c r="K5" i="40"/>
  <c r="K8" i="40"/>
  <c r="N21" i="40"/>
  <c r="K15" i="40"/>
  <c r="N6" i="40"/>
  <c r="N13" i="40"/>
  <c r="D3" i="39"/>
  <c r="M17" i="40" l="1"/>
  <c r="O17" i="40" s="1"/>
  <c r="M9" i="40"/>
  <c r="O9" i="40" s="1"/>
  <c r="M16" i="40"/>
  <c r="O16" i="40" s="1"/>
  <c r="M8" i="40"/>
  <c r="O8" i="40" s="1"/>
  <c r="M15" i="40"/>
  <c r="O15" i="40" s="1"/>
  <c r="M7" i="40"/>
  <c r="O7" i="40" s="1"/>
  <c r="M6" i="40"/>
  <c r="M5" i="40"/>
  <c r="M14" i="40"/>
  <c r="O14" i="40" s="1"/>
  <c r="M4" i="40"/>
  <c r="O4" i="40" s="1"/>
  <c r="M21" i="40"/>
  <c r="O21" i="40" s="1"/>
  <c r="M13" i="40"/>
  <c r="O13" i="40" s="1"/>
  <c r="M19" i="40"/>
  <c r="O19" i="40" s="1"/>
  <c r="M11" i="40"/>
  <c r="O11" i="40" s="1"/>
  <c r="M20" i="40"/>
  <c r="O20" i="40" s="1"/>
  <c r="M12" i="40"/>
  <c r="O12" i="40" s="1"/>
  <c r="M18" i="40"/>
  <c r="O18" i="40" s="1"/>
  <c r="M10" i="40"/>
  <c r="O10" i="40" s="1"/>
  <c r="D4" i="39"/>
  <c r="G4" i="39"/>
  <c r="H4" i="39" s="1"/>
  <c r="L4" i="39" s="1"/>
  <c r="J4" i="39"/>
  <c r="R4" i="39"/>
  <c r="T4" i="39"/>
  <c r="D5" i="39"/>
  <c r="G5" i="39"/>
  <c r="H5" i="39" s="1"/>
  <c r="L5" i="39" s="1"/>
  <c r="J5" i="39"/>
  <c r="D6" i="39"/>
  <c r="G6" i="39"/>
  <c r="H6" i="39" s="1"/>
  <c r="L6" i="39" s="1"/>
  <c r="J6" i="39"/>
  <c r="D7" i="39"/>
  <c r="G7" i="39"/>
  <c r="H7" i="39" s="1"/>
  <c r="J7" i="39"/>
  <c r="R7" i="39"/>
  <c r="T7" i="39"/>
  <c r="D8" i="39"/>
  <c r="G8" i="39"/>
  <c r="H8" i="39" s="1"/>
  <c r="L8" i="39" s="1"/>
  <c r="J8" i="39"/>
  <c r="R8" i="39"/>
  <c r="T8" i="39"/>
  <c r="D9" i="39"/>
  <c r="G9" i="39"/>
  <c r="H9" i="39" s="1"/>
  <c r="L9" i="39" s="1"/>
  <c r="J9" i="39"/>
  <c r="R9" i="39"/>
  <c r="T9" i="39"/>
  <c r="D10" i="39"/>
  <c r="G10" i="39"/>
  <c r="H10" i="39" s="1"/>
  <c r="L10" i="39" s="1"/>
  <c r="J10" i="39"/>
  <c r="R10" i="39"/>
  <c r="T10" i="39"/>
  <c r="D11" i="39"/>
  <c r="G11" i="39"/>
  <c r="H11" i="39" s="1"/>
  <c r="L11" i="39" s="1"/>
  <c r="J11" i="39"/>
  <c r="R11" i="39"/>
  <c r="T11" i="39"/>
  <c r="D12" i="39"/>
  <c r="G12" i="39"/>
  <c r="H12" i="39" s="1"/>
  <c r="L12" i="39" s="1"/>
  <c r="J12" i="39"/>
  <c r="R12" i="39"/>
  <c r="T12" i="39"/>
  <c r="D13" i="39"/>
  <c r="G13" i="39"/>
  <c r="H13" i="39" s="1"/>
  <c r="L13" i="39" s="1"/>
  <c r="J13" i="39"/>
  <c r="R13" i="39"/>
  <c r="T13" i="39"/>
  <c r="D14" i="39"/>
  <c r="G14" i="39"/>
  <c r="H14" i="39" s="1"/>
  <c r="L14" i="39" s="1"/>
  <c r="J14" i="39"/>
  <c r="R14" i="39"/>
  <c r="T14" i="39"/>
  <c r="D15" i="39"/>
  <c r="G15" i="39"/>
  <c r="H15" i="39" s="1"/>
  <c r="J15" i="39"/>
  <c r="R15" i="39"/>
  <c r="T15" i="39"/>
  <c r="D16" i="39"/>
  <c r="G16" i="39"/>
  <c r="H16" i="39" s="1"/>
  <c r="L16" i="39" s="1"/>
  <c r="J16" i="39"/>
  <c r="R16" i="39"/>
  <c r="T16" i="39"/>
  <c r="D17" i="39"/>
  <c r="G17" i="39"/>
  <c r="H17" i="39" s="1"/>
  <c r="L17" i="39" s="1"/>
  <c r="J17" i="39"/>
  <c r="R17" i="39"/>
  <c r="T17" i="39"/>
  <c r="D18" i="39"/>
  <c r="G18" i="39"/>
  <c r="H18" i="39" s="1"/>
  <c r="L18" i="39" s="1"/>
  <c r="J18" i="39"/>
  <c r="R18" i="39"/>
  <c r="T18" i="39"/>
  <c r="D19" i="39"/>
  <c r="G19" i="39"/>
  <c r="H19" i="39" s="1"/>
  <c r="L19" i="39" s="1"/>
  <c r="J19" i="39"/>
  <c r="R19" i="39"/>
  <c r="T19" i="39"/>
  <c r="D20" i="39"/>
  <c r="G20" i="39"/>
  <c r="H20" i="39" s="1"/>
  <c r="J20" i="39"/>
  <c r="R20" i="39"/>
  <c r="T20" i="39"/>
  <c r="D21" i="39"/>
  <c r="G21" i="39"/>
  <c r="H21" i="39" s="1"/>
  <c r="J21" i="39"/>
  <c r="R21" i="39"/>
  <c r="T21" i="39"/>
  <c r="N19" i="39"/>
  <c r="K12" i="39"/>
  <c r="N9" i="39"/>
  <c r="N17" i="39"/>
  <c r="K4" i="39"/>
  <c r="N8" i="39"/>
  <c r="K6" i="39"/>
  <c r="N12" i="39"/>
  <c r="N11" i="39"/>
  <c r="K15" i="39"/>
  <c r="K5" i="39"/>
  <c r="K16" i="39"/>
  <c r="K14" i="39"/>
  <c r="N13" i="39"/>
  <c r="N14" i="39"/>
  <c r="N18" i="39"/>
  <c r="K10" i="39"/>
  <c r="N5" i="39"/>
  <c r="N16" i="39"/>
  <c r="N10" i="39"/>
  <c r="K20" i="39"/>
  <c r="K13" i="39"/>
  <c r="K18" i="39"/>
  <c r="N4" i="39"/>
  <c r="K8" i="39"/>
  <c r="K17" i="39"/>
  <c r="K11" i="39"/>
  <c r="K7" i="39"/>
  <c r="K9" i="39"/>
  <c r="K19" i="39"/>
  <c r="N6" i="39"/>
  <c r="K21" i="39"/>
  <c r="L7" i="39" l="1"/>
  <c r="M7" i="39" s="1"/>
  <c r="O7" i="39" s="1"/>
  <c r="L15" i="39"/>
  <c r="L21" i="39"/>
  <c r="M2" i="40"/>
  <c r="M5" i="39"/>
  <c r="M17" i="39"/>
  <c r="O17" i="39" s="1"/>
  <c r="M11" i="39"/>
  <c r="O11" i="39" s="1"/>
  <c r="M18" i="39"/>
  <c r="O18" i="39" s="1"/>
  <c r="M10" i="39"/>
  <c r="O10" i="39" s="1"/>
  <c r="M8" i="39"/>
  <c r="O8" i="39" s="1"/>
  <c r="M4" i="39"/>
  <c r="O4" i="39" s="1"/>
  <c r="M19" i="39"/>
  <c r="O19" i="39" s="1"/>
  <c r="M9" i="39"/>
  <c r="O9" i="39" s="1"/>
  <c r="M13" i="39"/>
  <c r="O13" i="39" s="1"/>
  <c r="M6" i="39"/>
  <c r="M16" i="39"/>
  <c r="O16" i="39" s="1"/>
  <c r="M14" i="39"/>
  <c r="O14" i="39" s="1"/>
  <c r="M12" i="39"/>
  <c r="O12" i="39" s="1"/>
  <c r="L20" i="39"/>
  <c r="M20" i="39" s="1"/>
  <c r="O20" i="39" s="1"/>
  <c r="S20" i="39"/>
  <c r="S9" i="39"/>
  <c r="S8" i="39"/>
  <c r="S14" i="39"/>
  <c r="S17" i="39"/>
  <c r="S10" i="39"/>
  <c r="S13" i="39"/>
  <c r="S11" i="39"/>
  <c r="S4" i="39"/>
  <c r="S18" i="39"/>
  <c r="S19" i="39"/>
  <c r="S16" i="39"/>
  <c r="N20" i="39"/>
  <c r="S15" i="39"/>
  <c r="S12" i="39"/>
  <c r="S21" i="39"/>
  <c r="S7" i="39"/>
  <c r="N21" i="39"/>
  <c r="N15" i="39"/>
  <c r="N7" i="39"/>
  <c r="M15" i="39" l="1"/>
  <c r="O15" i="39" s="1"/>
  <c r="M21" i="39"/>
  <c r="O21" i="39" s="1"/>
  <c r="M2" i="39" l="1"/>
  <c r="C3" i="34" l="1"/>
  <c r="D3" i="34"/>
  <c r="E3" i="34"/>
  <c r="F3" i="34"/>
  <c r="G3" i="34"/>
  <c r="I3" i="34"/>
  <c r="C4" i="34"/>
  <c r="D4" i="34"/>
  <c r="E4" i="34"/>
  <c r="F4" i="34"/>
  <c r="G4" i="34"/>
  <c r="I4" i="34"/>
  <c r="C5" i="34"/>
  <c r="D5" i="34"/>
  <c r="E5" i="34"/>
  <c r="F5" i="34"/>
  <c r="G5" i="34"/>
  <c r="I5" i="34"/>
  <c r="C6" i="34"/>
  <c r="D6" i="34"/>
  <c r="E6" i="34"/>
  <c r="F6" i="34"/>
  <c r="G6" i="34"/>
  <c r="I6" i="34"/>
  <c r="C7" i="34"/>
  <c r="D7" i="34"/>
  <c r="E7" i="34"/>
  <c r="F7" i="34"/>
  <c r="G7" i="34"/>
  <c r="I7" i="34"/>
  <c r="C8" i="34"/>
  <c r="D8" i="34"/>
  <c r="E8" i="34"/>
  <c r="F8" i="34"/>
  <c r="G8" i="34"/>
  <c r="I8" i="34"/>
  <c r="C9" i="34"/>
  <c r="D9" i="34"/>
  <c r="E9" i="34"/>
  <c r="F9" i="34"/>
  <c r="G9" i="34"/>
  <c r="I9" i="34"/>
  <c r="C10" i="34"/>
  <c r="D10" i="34"/>
  <c r="E10" i="34"/>
  <c r="F10" i="34"/>
  <c r="G10" i="34"/>
  <c r="I10" i="34"/>
  <c r="C11" i="34"/>
  <c r="D11" i="34"/>
  <c r="E11" i="34"/>
  <c r="F11" i="34"/>
  <c r="G11" i="34"/>
  <c r="I11" i="34"/>
  <c r="C12" i="34"/>
  <c r="D12" i="34"/>
  <c r="E12" i="34"/>
  <c r="F12" i="34"/>
  <c r="G12" i="34"/>
  <c r="I12" i="34"/>
  <c r="C13" i="34"/>
  <c r="D13" i="34"/>
  <c r="E13" i="34"/>
  <c r="F13" i="34"/>
  <c r="G13" i="34"/>
  <c r="I13" i="34"/>
  <c r="C14" i="34"/>
  <c r="D14" i="34"/>
  <c r="E14" i="34"/>
  <c r="F14" i="34"/>
  <c r="G14" i="34"/>
  <c r="I14" i="34"/>
  <c r="C15" i="34"/>
  <c r="D15" i="34"/>
  <c r="E15" i="34"/>
  <c r="F15" i="34"/>
  <c r="G15" i="34"/>
  <c r="I15" i="34"/>
  <c r="C16" i="34"/>
  <c r="D16" i="34"/>
  <c r="E16" i="34"/>
  <c r="F16" i="34"/>
  <c r="G16" i="34"/>
  <c r="I16" i="34"/>
  <c r="C17" i="34"/>
  <c r="D17" i="34"/>
  <c r="E17" i="34"/>
  <c r="F17" i="34"/>
  <c r="G17" i="34"/>
  <c r="I17" i="34"/>
  <c r="C18" i="34"/>
  <c r="D18" i="34"/>
  <c r="E18" i="34"/>
  <c r="F18" i="34"/>
  <c r="G18" i="34"/>
  <c r="I18" i="34"/>
  <c r="C19" i="34"/>
  <c r="D19" i="34"/>
  <c r="E19" i="34"/>
  <c r="F19" i="34"/>
  <c r="G19" i="34"/>
  <c r="I19" i="34"/>
  <c r="C20" i="34"/>
  <c r="D20" i="34"/>
  <c r="E20" i="34"/>
  <c r="F20" i="34"/>
  <c r="G20" i="34"/>
  <c r="I20" i="34"/>
  <c r="C21" i="34"/>
  <c r="D21" i="34"/>
  <c r="E21" i="34"/>
  <c r="F21" i="34"/>
  <c r="G21" i="34"/>
  <c r="I21" i="34"/>
  <c r="C22" i="34"/>
  <c r="D22" i="34"/>
  <c r="E22" i="34"/>
  <c r="F22" i="34"/>
  <c r="G22" i="34"/>
  <c r="I22" i="34"/>
  <c r="C23" i="34"/>
  <c r="D23" i="34"/>
  <c r="E23" i="34"/>
  <c r="F23" i="34"/>
  <c r="G23" i="34"/>
  <c r="I23" i="34"/>
  <c r="C24" i="34"/>
  <c r="D24" i="34"/>
  <c r="E24" i="34"/>
  <c r="F24" i="34"/>
  <c r="G24" i="34"/>
  <c r="I24" i="34"/>
  <c r="C25" i="34"/>
  <c r="D25" i="34"/>
  <c r="E25" i="34"/>
  <c r="F25" i="34"/>
  <c r="G25" i="34"/>
  <c r="I25" i="34"/>
  <c r="C26" i="34"/>
  <c r="D26" i="34"/>
  <c r="E26" i="34"/>
  <c r="F26" i="34"/>
  <c r="G26" i="34"/>
  <c r="I26" i="34"/>
  <c r="C27" i="34"/>
  <c r="D27" i="34"/>
  <c r="E27" i="34"/>
  <c r="F27" i="34"/>
  <c r="G27" i="34"/>
  <c r="I27" i="34"/>
  <c r="C28" i="34"/>
  <c r="D28" i="34"/>
  <c r="E28" i="34"/>
  <c r="F28" i="34"/>
  <c r="G28" i="34"/>
  <c r="I28" i="34"/>
  <c r="C29" i="34"/>
  <c r="D29" i="34"/>
  <c r="E29" i="34"/>
  <c r="F29" i="34"/>
  <c r="G29" i="34"/>
  <c r="I29" i="34"/>
  <c r="C30" i="34"/>
  <c r="D30" i="34"/>
  <c r="E30" i="34"/>
  <c r="F30" i="34"/>
  <c r="G30" i="34"/>
  <c r="I30" i="34"/>
  <c r="C31" i="34"/>
  <c r="D31" i="34"/>
  <c r="E31" i="34"/>
  <c r="F31" i="34"/>
  <c r="G31" i="34"/>
  <c r="I31" i="34"/>
  <c r="C32" i="34"/>
  <c r="D32" i="34"/>
  <c r="E32" i="34"/>
  <c r="F32" i="34"/>
  <c r="G32" i="34"/>
  <c r="I32" i="34"/>
  <c r="C33" i="34"/>
  <c r="D33" i="34"/>
  <c r="E33" i="34"/>
  <c r="F33" i="34"/>
  <c r="G33" i="34"/>
  <c r="I33" i="34"/>
  <c r="C34" i="34"/>
  <c r="D34" i="34"/>
  <c r="E34" i="34"/>
  <c r="F34" i="34"/>
  <c r="G34" i="34"/>
  <c r="I34" i="34"/>
  <c r="C35" i="34"/>
  <c r="D35" i="34"/>
  <c r="E35" i="34"/>
  <c r="F35" i="34"/>
  <c r="G35" i="34"/>
  <c r="I35" i="34"/>
  <c r="C36" i="34"/>
  <c r="D36" i="34"/>
  <c r="E36" i="34"/>
  <c r="F36" i="34"/>
  <c r="G36" i="34"/>
  <c r="I36" i="34"/>
  <c r="C3" i="33"/>
  <c r="D3" i="33"/>
  <c r="E3" i="33"/>
  <c r="F3" i="33"/>
  <c r="H3" i="33" s="1"/>
  <c r="G3" i="33"/>
  <c r="C4" i="33"/>
  <c r="D4" i="33"/>
  <c r="E4" i="33"/>
  <c r="F4" i="33"/>
  <c r="H4" i="33" s="1"/>
  <c r="G4" i="33"/>
  <c r="C5" i="33"/>
  <c r="D5" i="33"/>
  <c r="E5" i="33"/>
  <c r="F5" i="33"/>
  <c r="H5" i="33" s="1"/>
  <c r="G5" i="33"/>
  <c r="C6" i="33"/>
  <c r="D6" i="33"/>
  <c r="E6" i="33"/>
  <c r="F6" i="33"/>
  <c r="H6" i="33" s="1"/>
  <c r="G6" i="33"/>
  <c r="C7" i="33"/>
  <c r="D7" i="33"/>
  <c r="E7" i="33"/>
  <c r="F7" i="33"/>
  <c r="H7" i="33" s="1"/>
  <c r="G7" i="33"/>
  <c r="C8" i="33"/>
  <c r="D8" i="33"/>
  <c r="E8" i="33"/>
  <c r="F8" i="33"/>
  <c r="H8" i="33" s="1"/>
  <c r="G8" i="33"/>
  <c r="C9" i="33"/>
  <c r="D9" i="33"/>
  <c r="E9" i="33"/>
  <c r="F9" i="33"/>
  <c r="H9" i="33" s="1"/>
  <c r="G9" i="33"/>
  <c r="C10" i="33"/>
  <c r="D10" i="33"/>
  <c r="E10" i="33"/>
  <c r="F10" i="33"/>
  <c r="H10" i="33" s="1"/>
  <c r="G10" i="33"/>
  <c r="C11" i="33"/>
  <c r="D11" i="33"/>
  <c r="E11" i="33"/>
  <c r="F11" i="33"/>
  <c r="H11" i="33" s="1"/>
  <c r="G11" i="33"/>
  <c r="C12" i="33"/>
  <c r="D12" i="33"/>
  <c r="E12" i="33"/>
  <c r="F12" i="33"/>
  <c r="H12" i="33" s="1"/>
  <c r="G12" i="33"/>
  <c r="C13" i="33"/>
  <c r="D13" i="33"/>
  <c r="E13" i="33"/>
  <c r="F13" i="33"/>
  <c r="H13" i="33" s="1"/>
  <c r="G13" i="33"/>
  <c r="C14" i="33"/>
  <c r="D14" i="33"/>
  <c r="E14" i="33"/>
  <c r="F14" i="33"/>
  <c r="H14" i="33" s="1"/>
  <c r="G14" i="33"/>
  <c r="C15" i="33"/>
  <c r="D15" i="33"/>
  <c r="E15" i="33"/>
  <c r="F15" i="33"/>
  <c r="H15" i="33" s="1"/>
  <c r="G15" i="33"/>
  <c r="C16" i="33"/>
  <c r="D16" i="33"/>
  <c r="E16" i="33"/>
  <c r="F16" i="33"/>
  <c r="H16" i="33" s="1"/>
  <c r="G16" i="33"/>
  <c r="C17" i="33"/>
  <c r="D17" i="33"/>
  <c r="E17" i="33"/>
  <c r="F17" i="33"/>
  <c r="H17" i="33" s="1"/>
  <c r="G17" i="33"/>
  <c r="C18" i="33"/>
  <c r="D18" i="33"/>
  <c r="E18" i="33"/>
  <c r="F18" i="33"/>
  <c r="H18" i="33" s="1"/>
  <c r="G18" i="33"/>
  <c r="C19" i="33"/>
  <c r="D19" i="33"/>
  <c r="E19" i="33"/>
  <c r="F19" i="33"/>
  <c r="H19" i="33" s="1"/>
  <c r="G19" i="33"/>
  <c r="C20" i="33"/>
  <c r="D20" i="33"/>
  <c r="E20" i="33"/>
  <c r="F20" i="33"/>
  <c r="H20" i="33" s="1"/>
  <c r="G20" i="33"/>
  <c r="C21" i="33"/>
  <c r="D21" i="33"/>
  <c r="E21" i="33"/>
  <c r="F21" i="33"/>
  <c r="H21" i="33" s="1"/>
  <c r="G21" i="33"/>
  <c r="C22" i="33"/>
  <c r="D22" i="33"/>
  <c r="E22" i="33"/>
  <c r="F22" i="33"/>
  <c r="H22" i="33" s="1"/>
  <c r="G22" i="33"/>
  <c r="C23" i="33"/>
  <c r="D23" i="33"/>
  <c r="E23" i="33"/>
  <c r="F23" i="33"/>
  <c r="H23" i="33" s="1"/>
  <c r="G23" i="33"/>
  <c r="C24" i="33"/>
  <c r="D24" i="33"/>
  <c r="E24" i="33"/>
  <c r="F24" i="33"/>
  <c r="H24" i="33" s="1"/>
  <c r="G24" i="33"/>
  <c r="C25" i="33"/>
  <c r="D25" i="33"/>
  <c r="E25" i="33"/>
  <c r="F25" i="33"/>
  <c r="H25" i="33" s="1"/>
  <c r="G25" i="33"/>
  <c r="C26" i="33"/>
  <c r="D26" i="33"/>
  <c r="E26" i="33"/>
  <c r="F26" i="33"/>
  <c r="H26" i="33" s="1"/>
  <c r="G26" i="33"/>
  <c r="C27" i="33"/>
  <c r="D27" i="33"/>
  <c r="E27" i="33"/>
  <c r="F27" i="33"/>
  <c r="H27" i="33" s="1"/>
  <c r="G27" i="33"/>
  <c r="C28" i="33"/>
  <c r="D28" i="33"/>
  <c r="E28" i="33"/>
  <c r="F28" i="33"/>
  <c r="H28" i="33" s="1"/>
  <c r="G28" i="33"/>
  <c r="C29" i="33"/>
  <c r="D29" i="33"/>
  <c r="E29" i="33"/>
  <c r="F29" i="33"/>
  <c r="H29" i="33" s="1"/>
  <c r="G29" i="33"/>
  <c r="C30" i="33"/>
  <c r="D30" i="33"/>
  <c r="E30" i="33"/>
  <c r="F30" i="33"/>
  <c r="H30" i="33" s="1"/>
  <c r="G30" i="33"/>
  <c r="C31" i="33"/>
  <c r="D31" i="33"/>
  <c r="E31" i="33"/>
  <c r="F31" i="33"/>
  <c r="H31" i="33" s="1"/>
  <c r="G31" i="33"/>
  <c r="C32" i="33"/>
  <c r="D32" i="33"/>
  <c r="E32" i="33"/>
  <c r="F32" i="33"/>
  <c r="H32" i="33" s="1"/>
  <c r="G32" i="33"/>
  <c r="C33" i="33"/>
  <c r="D33" i="33"/>
  <c r="E33" i="33"/>
  <c r="F33" i="33"/>
  <c r="H33" i="33" s="1"/>
  <c r="G33" i="33"/>
  <c r="C34" i="33"/>
  <c r="D34" i="33"/>
  <c r="E34" i="33"/>
  <c r="F34" i="33"/>
  <c r="H34" i="33" s="1"/>
  <c r="G34" i="33"/>
  <c r="C35" i="33"/>
  <c r="D35" i="33"/>
  <c r="E35" i="33"/>
  <c r="F35" i="33"/>
  <c r="H35" i="33" s="1"/>
  <c r="G35" i="33"/>
  <c r="C36" i="33"/>
  <c r="D36" i="33"/>
  <c r="E36" i="33"/>
  <c r="F36" i="33"/>
  <c r="H36" i="33" s="1"/>
  <c r="G36" i="33"/>
  <c r="C3" i="32"/>
  <c r="D3" i="32"/>
  <c r="E3" i="32"/>
  <c r="F3" i="32"/>
  <c r="H3" i="32" s="1"/>
  <c r="G3" i="32"/>
  <c r="I3" i="32"/>
  <c r="C4" i="32"/>
  <c r="D4" i="32"/>
  <c r="E4" i="32"/>
  <c r="F4" i="32"/>
  <c r="H4" i="32" s="1"/>
  <c r="G4" i="32"/>
  <c r="I4" i="32"/>
  <c r="C5" i="32"/>
  <c r="D5" i="32"/>
  <c r="E5" i="32"/>
  <c r="F5" i="32"/>
  <c r="H5" i="32" s="1"/>
  <c r="G5" i="32"/>
  <c r="I5" i="32"/>
  <c r="C6" i="32"/>
  <c r="D6" i="32"/>
  <c r="E6" i="32"/>
  <c r="F6" i="32"/>
  <c r="H6" i="32" s="1"/>
  <c r="G6" i="32"/>
  <c r="I6" i="32"/>
  <c r="C7" i="32"/>
  <c r="D7" i="32"/>
  <c r="E7" i="32"/>
  <c r="F7" i="32"/>
  <c r="H7" i="32" s="1"/>
  <c r="G7" i="32"/>
  <c r="I7" i="32"/>
  <c r="C8" i="32"/>
  <c r="D8" i="32"/>
  <c r="E8" i="32"/>
  <c r="F8" i="32"/>
  <c r="H8" i="32" s="1"/>
  <c r="G8" i="32"/>
  <c r="I8" i="32"/>
  <c r="C9" i="32"/>
  <c r="D9" i="32"/>
  <c r="E9" i="32"/>
  <c r="F9" i="32"/>
  <c r="H9" i="32" s="1"/>
  <c r="G9" i="32"/>
  <c r="I9" i="32"/>
  <c r="C10" i="32"/>
  <c r="D10" i="32"/>
  <c r="E10" i="32"/>
  <c r="F10" i="32"/>
  <c r="H10" i="32" s="1"/>
  <c r="G10" i="32"/>
  <c r="I10" i="32"/>
  <c r="C11" i="32"/>
  <c r="D11" i="32"/>
  <c r="E11" i="32"/>
  <c r="F11" i="32"/>
  <c r="H11" i="32" s="1"/>
  <c r="G11" i="32"/>
  <c r="I11" i="32"/>
  <c r="C12" i="32"/>
  <c r="D12" i="32"/>
  <c r="E12" i="32"/>
  <c r="F12" i="32"/>
  <c r="H12" i="32" s="1"/>
  <c r="G12" i="32"/>
  <c r="I12" i="32"/>
  <c r="C13" i="32"/>
  <c r="D13" i="32"/>
  <c r="E13" i="32"/>
  <c r="F13" i="32"/>
  <c r="H13" i="32" s="1"/>
  <c r="G13" i="32"/>
  <c r="I13" i="32"/>
  <c r="C14" i="32"/>
  <c r="D14" i="32"/>
  <c r="E14" i="32"/>
  <c r="F14" i="32"/>
  <c r="H14" i="32" s="1"/>
  <c r="G14" i="32"/>
  <c r="I14" i="32"/>
  <c r="C15" i="32"/>
  <c r="D15" i="32"/>
  <c r="E15" i="32"/>
  <c r="F15" i="32"/>
  <c r="H15" i="32" s="1"/>
  <c r="G15" i="32"/>
  <c r="I15" i="32"/>
  <c r="C16" i="32"/>
  <c r="D16" i="32"/>
  <c r="E16" i="32"/>
  <c r="F16" i="32"/>
  <c r="H16" i="32" s="1"/>
  <c r="G16" i="32"/>
  <c r="I16" i="32"/>
  <c r="C17" i="32"/>
  <c r="D17" i="32"/>
  <c r="E17" i="32"/>
  <c r="F17" i="32"/>
  <c r="H17" i="32" s="1"/>
  <c r="G17" i="32"/>
  <c r="I17" i="32"/>
  <c r="C18" i="32"/>
  <c r="D18" i="32"/>
  <c r="E18" i="32"/>
  <c r="F18" i="32"/>
  <c r="H18" i="32" s="1"/>
  <c r="G18" i="32"/>
  <c r="I18" i="32"/>
  <c r="C19" i="32"/>
  <c r="D19" i="32"/>
  <c r="E19" i="32"/>
  <c r="F19" i="32"/>
  <c r="H19" i="32" s="1"/>
  <c r="G19" i="32"/>
  <c r="I19" i="32"/>
  <c r="C20" i="32"/>
  <c r="D20" i="32"/>
  <c r="E20" i="32"/>
  <c r="F20" i="32"/>
  <c r="H20" i="32" s="1"/>
  <c r="G20" i="32"/>
  <c r="I20" i="32"/>
  <c r="C21" i="32"/>
  <c r="D21" i="32"/>
  <c r="E21" i="32"/>
  <c r="F21" i="32"/>
  <c r="H21" i="32" s="1"/>
  <c r="G21" i="32"/>
  <c r="I21" i="32"/>
  <c r="C22" i="32"/>
  <c r="D22" i="32"/>
  <c r="E22" i="32"/>
  <c r="F22" i="32"/>
  <c r="H22" i="32" s="1"/>
  <c r="G22" i="32"/>
  <c r="I22" i="32"/>
  <c r="C23" i="32"/>
  <c r="D23" i="32"/>
  <c r="E23" i="32"/>
  <c r="F23" i="32"/>
  <c r="H23" i="32" s="1"/>
  <c r="G23" i="32"/>
  <c r="I23" i="32"/>
  <c r="C24" i="32"/>
  <c r="D24" i="32"/>
  <c r="E24" i="32"/>
  <c r="F24" i="32"/>
  <c r="H24" i="32" s="1"/>
  <c r="G24" i="32"/>
  <c r="I24" i="32"/>
  <c r="C25" i="32"/>
  <c r="D25" i="32"/>
  <c r="E25" i="32"/>
  <c r="F25" i="32"/>
  <c r="H25" i="32" s="1"/>
  <c r="G25" i="32"/>
  <c r="I25" i="32"/>
  <c r="C26" i="32"/>
  <c r="D26" i="32"/>
  <c r="E26" i="32"/>
  <c r="F26" i="32"/>
  <c r="H26" i="32" s="1"/>
  <c r="G26" i="32"/>
  <c r="I26" i="32"/>
  <c r="C27" i="32"/>
  <c r="D27" i="32"/>
  <c r="E27" i="32"/>
  <c r="F27" i="32"/>
  <c r="H27" i="32" s="1"/>
  <c r="G27" i="32"/>
  <c r="I27" i="32"/>
  <c r="C28" i="32"/>
  <c r="D28" i="32"/>
  <c r="E28" i="32"/>
  <c r="F28" i="32"/>
  <c r="H28" i="32" s="1"/>
  <c r="G28" i="32"/>
  <c r="I28" i="32"/>
  <c r="C29" i="32"/>
  <c r="D29" i="32"/>
  <c r="E29" i="32"/>
  <c r="F29" i="32"/>
  <c r="H29" i="32" s="1"/>
  <c r="G29" i="32"/>
  <c r="I29" i="32"/>
  <c r="C30" i="32"/>
  <c r="D30" i="32"/>
  <c r="E30" i="32"/>
  <c r="F30" i="32"/>
  <c r="H30" i="32" s="1"/>
  <c r="G30" i="32"/>
  <c r="I30" i="32"/>
  <c r="C31" i="32"/>
  <c r="D31" i="32"/>
  <c r="E31" i="32"/>
  <c r="F31" i="32"/>
  <c r="H31" i="32" s="1"/>
  <c r="G31" i="32"/>
  <c r="I31" i="32"/>
  <c r="C32" i="32"/>
  <c r="D32" i="32"/>
  <c r="E32" i="32"/>
  <c r="F32" i="32"/>
  <c r="H32" i="32" s="1"/>
  <c r="G32" i="32"/>
  <c r="I32" i="32"/>
  <c r="C33" i="32"/>
  <c r="D33" i="32"/>
  <c r="E33" i="32"/>
  <c r="F33" i="32"/>
  <c r="H33" i="32" s="1"/>
  <c r="G33" i="32"/>
  <c r="I33" i="32"/>
  <c r="C34" i="32"/>
  <c r="D34" i="32"/>
  <c r="E34" i="32"/>
  <c r="F34" i="32"/>
  <c r="H34" i="32" s="1"/>
  <c r="G34" i="32"/>
  <c r="I34" i="32"/>
  <c r="C35" i="32"/>
  <c r="D35" i="32"/>
  <c r="E35" i="32"/>
  <c r="F35" i="32"/>
  <c r="H35" i="32" s="1"/>
  <c r="G35" i="32"/>
  <c r="I35" i="32"/>
  <c r="C36" i="32"/>
  <c r="D36" i="32"/>
  <c r="E36" i="32"/>
  <c r="F36" i="32"/>
  <c r="H36" i="32" s="1"/>
  <c r="G36" i="32"/>
  <c r="I36" i="32"/>
  <c r="C3" i="31"/>
  <c r="D3" i="31"/>
  <c r="E3" i="31"/>
  <c r="F3" i="31"/>
  <c r="H3" i="31" s="1"/>
  <c r="G3" i="31"/>
  <c r="I3" i="31"/>
  <c r="C4" i="31"/>
  <c r="D4" i="31"/>
  <c r="E4" i="31"/>
  <c r="F4" i="31"/>
  <c r="H4" i="31" s="1"/>
  <c r="G4" i="31"/>
  <c r="I4" i="31"/>
  <c r="C5" i="31"/>
  <c r="D5" i="31"/>
  <c r="E5" i="31"/>
  <c r="F5" i="31"/>
  <c r="H5" i="31" s="1"/>
  <c r="G5" i="31"/>
  <c r="I5" i="31"/>
  <c r="C6" i="31"/>
  <c r="D6" i="31"/>
  <c r="E6" i="31"/>
  <c r="F6" i="31"/>
  <c r="H6" i="31" s="1"/>
  <c r="G6" i="31"/>
  <c r="I6" i="31"/>
  <c r="C7" i="31"/>
  <c r="D7" i="31"/>
  <c r="E7" i="31"/>
  <c r="F7" i="31"/>
  <c r="H7" i="31" s="1"/>
  <c r="G7" i="31"/>
  <c r="I7" i="31"/>
  <c r="C8" i="31"/>
  <c r="D8" i="31"/>
  <c r="E8" i="31"/>
  <c r="F8" i="31"/>
  <c r="H8" i="31" s="1"/>
  <c r="G8" i="31"/>
  <c r="I8" i="31"/>
  <c r="C9" i="31"/>
  <c r="D9" i="31"/>
  <c r="E9" i="31"/>
  <c r="F9" i="31"/>
  <c r="H9" i="31" s="1"/>
  <c r="G9" i="31"/>
  <c r="I9" i="31"/>
  <c r="C10" i="31"/>
  <c r="D10" i="31"/>
  <c r="E10" i="31"/>
  <c r="F10" i="31"/>
  <c r="H10" i="31" s="1"/>
  <c r="G10" i="31"/>
  <c r="I10" i="31"/>
  <c r="C11" i="31"/>
  <c r="D11" i="31"/>
  <c r="E11" i="31"/>
  <c r="F11" i="31"/>
  <c r="H11" i="31" s="1"/>
  <c r="G11" i="31"/>
  <c r="I11" i="31"/>
  <c r="C12" i="31"/>
  <c r="D12" i="31"/>
  <c r="E12" i="31"/>
  <c r="F12" i="31"/>
  <c r="H12" i="31" s="1"/>
  <c r="G12" i="31"/>
  <c r="I12" i="31"/>
  <c r="C13" i="31"/>
  <c r="D13" i="31"/>
  <c r="E13" i="31"/>
  <c r="F13" i="31"/>
  <c r="H13" i="31" s="1"/>
  <c r="G13" i="31"/>
  <c r="I13" i="31"/>
  <c r="C14" i="31"/>
  <c r="D14" i="31"/>
  <c r="E14" i="31"/>
  <c r="F14" i="31"/>
  <c r="H14" i="31" s="1"/>
  <c r="G14" i="31"/>
  <c r="I14" i="31"/>
  <c r="C15" i="31"/>
  <c r="D15" i="31"/>
  <c r="E15" i="31"/>
  <c r="F15" i="31"/>
  <c r="H15" i="31" s="1"/>
  <c r="G15" i="31"/>
  <c r="I15" i="31"/>
  <c r="C16" i="31"/>
  <c r="D16" i="31"/>
  <c r="E16" i="31"/>
  <c r="F16" i="31"/>
  <c r="H16" i="31" s="1"/>
  <c r="G16" i="31"/>
  <c r="I16" i="31"/>
  <c r="C17" i="31"/>
  <c r="D17" i="31"/>
  <c r="E17" i="31"/>
  <c r="F17" i="31"/>
  <c r="H17" i="31" s="1"/>
  <c r="G17" i="31"/>
  <c r="I17" i="31"/>
  <c r="C18" i="31"/>
  <c r="D18" i="31"/>
  <c r="E18" i="31"/>
  <c r="F18" i="31"/>
  <c r="H18" i="31" s="1"/>
  <c r="G18" i="31"/>
  <c r="I18" i="31"/>
  <c r="C19" i="31"/>
  <c r="D19" i="31"/>
  <c r="E19" i="31"/>
  <c r="F19" i="31"/>
  <c r="H19" i="31" s="1"/>
  <c r="G19" i="31"/>
  <c r="I19" i="31"/>
  <c r="C20" i="31"/>
  <c r="D20" i="31"/>
  <c r="E20" i="31"/>
  <c r="F20" i="31"/>
  <c r="H20" i="31" s="1"/>
  <c r="G20" i="31"/>
  <c r="I20" i="31"/>
  <c r="C21" i="31"/>
  <c r="D21" i="31"/>
  <c r="E21" i="31"/>
  <c r="F21" i="31"/>
  <c r="H21" i="31" s="1"/>
  <c r="G21" i="31"/>
  <c r="I21" i="31"/>
  <c r="C22" i="31"/>
  <c r="D22" i="31"/>
  <c r="E22" i="31"/>
  <c r="F22" i="31"/>
  <c r="H22" i="31" s="1"/>
  <c r="G22" i="31"/>
  <c r="I22" i="31"/>
  <c r="C23" i="31"/>
  <c r="D23" i="31"/>
  <c r="E23" i="31"/>
  <c r="F23" i="31"/>
  <c r="H23" i="31" s="1"/>
  <c r="G23" i="31"/>
  <c r="I23" i="31"/>
  <c r="C24" i="31"/>
  <c r="D24" i="31"/>
  <c r="E24" i="31"/>
  <c r="F24" i="31"/>
  <c r="H24" i="31" s="1"/>
  <c r="G24" i="31"/>
  <c r="I24" i="31"/>
  <c r="C25" i="31"/>
  <c r="D25" i="31"/>
  <c r="E25" i="31"/>
  <c r="F25" i="31"/>
  <c r="H25" i="31" s="1"/>
  <c r="G25" i="31"/>
  <c r="I25" i="31"/>
  <c r="C26" i="31"/>
  <c r="D26" i="31"/>
  <c r="E26" i="31"/>
  <c r="F26" i="31"/>
  <c r="H26" i="31" s="1"/>
  <c r="G26" i="31"/>
  <c r="I26" i="31"/>
  <c r="C27" i="31"/>
  <c r="D27" i="31"/>
  <c r="E27" i="31"/>
  <c r="F27" i="31"/>
  <c r="H27" i="31" s="1"/>
  <c r="G27" i="31"/>
  <c r="I27" i="31"/>
  <c r="C28" i="31"/>
  <c r="D28" i="31"/>
  <c r="E28" i="31"/>
  <c r="F28" i="31"/>
  <c r="H28" i="31" s="1"/>
  <c r="G28" i="31"/>
  <c r="I28" i="31"/>
  <c r="C29" i="31"/>
  <c r="D29" i="31"/>
  <c r="E29" i="31"/>
  <c r="F29" i="31"/>
  <c r="H29" i="31" s="1"/>
  <c r="G29" i="31"/>
  <c r="I29" i="31"/>
  <c r="C30" i="31"/>
  <c r="D30" i="31"/>
  <c r="E30" i="31"/>
  <c r="F30" i="31"/>
  <c r="H30" i="31" s="1"/>
  <c r="G30" i="31"/>
  <c r="I30" i="31"/>
  <c r="C31" i="31"/>
  <c r="D31" i="31"/>
  <c r="E31" i="31"/>
  <c r="F31" i="31"/>
  <c r="H31" i="31" s="1"/>
  <c r="G31" i="31"/>
  <c r="I31" i="31"/>
  <c r="C32" i="31"/>
  <c r="D32" i="31"/>
  <c r="E32" i="31"/>
  <c r="F32" i="31"/>
  <c r="H32" i="31" s="1"/>
  <c r="G32" i="31"/>
  <c r="I32" i="31"/>
  <c r="C33" i="31"/>
  <c r="D33" i="31"/>
  <c r="E33" i="31"/>
  <c r="F33" i="31"/>
  <c r="H33" i="31" s="1"/>
  <c r="G33" i="31"/>
  <c r="I33" i="31"/>
  <c r="C34" i="31"/>
  <c r="D34" i="31"/>
  <c r="E34" i="31"/>
  <c r="F34" i="31"/>
  <c r="H34" i="31" s="1"/>
  <c r="G34" i="31"/>
  <c r="I34" i="31"/>
  <c r="C35" i="31"/>
  <c r="D35" i="31"/>
  <c r="E35" i="31"/>
  <c r="F35" i="31"/>
  <c r="H35" i="31" s="1"/>
  <c r="G35" i="31"/>
  <c r="I35" i="31"/>
  <c r="C36" i="31"/>
  <c r="D36" i="31"/>
  <c r="E36" i="31"/>
  <c r="F36" i="31"/>
  <c r="H36" i="31" s="1"/>
  <c r="G36" i="31"/>
  <c r="I36" i="31"/>
  <c r="L23" i="33"/>
  <c r="L15" i="32"/>
  <c r="L9" i="33"/>
  <c r="L6" i="32"/>
  <c r="L23" i="32"/>
  <c r="L8" i="32"/>
  <c r="L16" i="33"/>
  <c r="L18" i="32"/>
  <c r="L34" i="32"/>
  <c r="L22" i="32"/>
  <c r="L21" i="33"/>
  <c r="L10" i="33"/>
  <c r="L12" i="33"/>
  <c r="L11" i="33"/>
  <c r="L17" i="33"/>
  <c r="L35" i="33"/>
  <c r="L3" i="34"/>
  <c r="L29" i="33"/>
  <c r="L6" i="33"/>
  <c r="L12" i="32"/>
  <c r="L24" i="33"/>
  <c r="L15" i="33"/>
  <c r="L18" i="33"/>
  <c r="L20" i="32"/>
  <c r="L17" i="32"/>
  <c r="L28" i="33"/>
  <c r="L3" i="31"/>
  <c r="L19" i="32"/>
  <c r="L4" i="32"/>
  <c r="L31" i="33"/>
  <c r="L31" i="32"/>
  <c r="L35" i="32"/>
  <c r="L20" i="33"/>
  <c r="L16" i="32"/>
  <c r="L14" i="33"/>
  <c r="L10" i="32"/>
  <c r="L13" i="32"/>
  <c r="L36" i="33"/>
  <c r="L25" i="32"/>
  <c r="L7" i="33"/>
  <c r="L4" i="33"/>
  <c r="L32" i="33"/>
  <c r="L5" i="33"/>
  <c r="L36" i="32"/>
  <c r="L7" i="32"/>
  <c r="L34" i="33"/>
  <c r="L9" i="32"/>
  <c r="L3" i="33"/>
  <c r="L32" i="32"/>
  <c r="L22" i="33"/>
  <c r="L27" i="32"/>
  <c r="L14" i="32"/>
  <c r="L21" i="32"/>
  <c r="L33" i="32"/>
  <c r="L33" i="33"/>
  <c r="L19" i="33"/>
  <c r="L25" i="33"/>
  <c r="L8" i="33"/>
  <c r="L24" i="32"/>
  <c r="L11" i="32"/>
  <c r="L30" i="33"/>
  <c r="L28" i="32"/>
  <c r="L13" i="33"/>
  <c r="L5" i="32"/>
  <c r="L27" i="33"/>
  <c r="L26" i="32"/>
  <c r="L30" i="32"/>
  <c r="L26" i="33"/>
  <c r="L3" i="32"/>
  <c r="L29" i="32"/>
  <c r="H18" i="34" l="1"/>
  <c r="J18" i="34" s="1"/>
  <c r="H14" i="34"/>
  <c r="J14" i="34" s="1"/>
  <c r="H35" i="34"/>
  <c r="J35" i="34" s="1"/>
  <c r="H9" i="34"/>
  <c r="J9" i="34" s="1"/>
  <c r="H33" i="34"/>
  <c r="J33" i="34" s="1"/>
  <c r="H31" i="34"/>
  <c r="J31" i="34" s="1"/>
  <c r="H27" i="34"/>
  <c r="J27" i="34" s="1"/>
  <c r="H23" i="34"/>
  <c r="J23" i="34" s="1"/>
  <c r="H19" i="34"/>
  <c r="J19" i="34" s="1"/>
  <c r="H11" i="34"/>
  <c r="J11" i="34" s="1"/>
  <c r="H7" i="34"/>
  <c r="J7" i="34" s="1"/>
  <c r="H32" i="34"/>
  <c r="J32" i="34" s="1"/>
  <c r="H16" i="34"/>
  <c r="J16" i="34" s="1"/>
  <c r="H34" i="34"/>
  <c r="J34" i="34" s="1"/>
  <c r="H29" i="34"/>
  <c r="J29" i="34" s="1"/>
  <c r="H36" i="34"/>
  <c r="J36" i="34" s="1"/>
  <c r="H24" i="34"/>
  <c r="J24" i="34" s="1"/>
  <c r="H8" i="34"/>
  <c r="J8" i="34" s="1"/>
  <c r="H28" i="34"/>
  <c r="J28" i="34" s="1"/>
  <c r="H6" i="34"/>
  <c r="J6" i="34" s="1"/>
  <c r="H20" i="34"/>
  <c r="J20" i="34" s="1"/>
  <c r="H15" i="34"/>
  <c r="J15" i="34" s="1"/>
  <c r="H3" i="34"/>
  <c r="J2" i="34" s="1"/>
  <c r="H25" i="34"/>
  <c r="J25" i="34" s="1"/>
  <c r="H12" i="34"/>
  <c r="J12" i="34" s="1"/>
  <c r="H30" i="34"/>
  <c r="J30" i="34" s="1"/>
  <c r="H17" i="34"/>
  <c r="J17" i="34" s="1"/>
  <c r="H4" i="34"/>
  <c r="J4" i="34" s="1"/>
  <c r="H22" i="34"/>
  <c r="J22" i="34" s="1"/>
  <c r="H13" i="34"/>
  <c r="J13" i="34" s="1"/>
  <c r="J29" i="33"/>
  <c r="J13" i="33"/>
  <c r="J2" i="31"/>
  <c r="J32" i="32"/>
  <c r="J25" i="33"/>
  <c r="J9" i="33"/>
  <c r="J28" i="32"/>
  <c r="J33" i="33"/>
  <c r="J17" i="33"/>
  <c r="J21" i="33"/>
  <c r="H26" i="34"/>
  <c r="J26" i="34" s="1"/>
  <c r="H21" i="34"/>
  <c r="J21" i="34" s="1"/>
  <c r="H10" i="34"/>
  <c r="J10" i="34" s="1"/>
  <c r="H5" i="34"/>
  <c r="J5" i="34" s="1"/>
  <c r="J27" i="33"/>
  <c r="J19" i="33"/>
  <c r="J11" i="33"/>
  <c r="J35" i="33"/>
  <c r="J15" i="33"/>
  <c r="J7" i="33"/>
  <c r="J36" i="33"/>
  <c r="J32" i="33"/>
  <c r="J28" i="33"/>
  <c r="J24" i="33"/>
  <c r="J20" i="33"/>
  <c r="J16" i="33"/>
  <c r="J12" i="33"/>
  <c r="J8" i="33"/>
  <c r="J4" i="33"/>
  <c r="J27" i="31"/>
  <c r="J31" i="33"/>
  <c r="J23" i="33"/>
  <c r="J5" i="33"/>
  <c r="J16" i="32"/>
  <c r="J34" i="33"/>
  <c r="J30" i="33"/>
  <c r="J26" i="33"/>
  <c r="J22" i="33"/>
  <c r="J18" i="33"/>
  <c r="J14" i="33"/>
  <c r="J10" i="33"/>
  <c r="J6" i="33"/>
  <c r="J2" i="33"/>
  <c r="J3" i="33"/>
  <c r="J19" i="31"/>
  <c r="J11" i="31"/>
  <c r="J30" i="32"/>
  <c r="J15" i="32"/>
  <c r="J33" i="32"/>
  <c r="J17" i="32"/>
  <c r="J10" i="32"/>
  <c r="J35" i="31"/>
  <c r="J14" i="32"/>
  <c r="J9" i="32"/>
  <c r="J18" i="31"/>
  <c r="J31" i="32"/>
  <c r="J26" i="32"/>
  <c r="J15" i="31"/>
  <c r="J5" i="31"/>
  <c r="J24" i="32"/>
  <c r="J11" i="32"/>
  <c r="J5" i="32"/>
  <c r="J34" i="31"/>
  <c r="J26" i="31"/>
  <c r="J8" i="32"/>
  <c r="J22" i="32"/>
  <c r="J34" i="32"/>
  <c r="J23" i="32"/>
  <c r="J18" i="32"/>
  <c r="J12" i="32"/>
  <c r="J6" i="32"/>
  <c r="J23" i="31"/>
  <c r="J25" i="32"/>
  <c r="J13" i="32"/>
  <c r="J7" i="32"/>
  <c r="J35" i="32"/>
  <c r="J21" i="32"/>
  <c r="J27" i="32"/>
  <c r="J4" i="32"/>
  <c r="J29" i="32"/>
  <c r="J19" i="32"/>
  <c r="J3" i="32"/>
  <c r="J36" i="32"/>
  <c r="J20" i="32"/>
  <c r="J2" i="32"/>
  <c r="J7" i="31"/>
  <c r="J31" i="31"/>
  <c r="J10" i="31"/>
  <c r="J4" i="31"/>
  <c r="J36" i="31"/>
  <c r="J28" i="31"/>
  <c r="J20" i="31"/>
  <c r="J12" i="31"/>
  <c r="J6" i="31"/>
  <c r="J30" i="31"/>
  <c r="J22" i="31"/>
  <c r="J14" i="31"/>
  <c r="J24" i="31"/>
  <c r="J16" i="31"/>
  <c r="J8" i="31"/>
  <c r="J32" i="31"/>
  <c r="J3" i="31"/>
  <c r="J25" i="31"/>
  <c r="J9" i="31"/>
  <c r="J17" i="31"/>
  <c r="J29" i="31"/>
  <c r="J21" i="31"/>
  <c r="J13" i="31"/>
  <c r="J33" i="31"/>
  <c r="K19" i="34"/>
  <c r="K30" i="34"/>
  <c r="K23" i="31"/>
  <c r="K6" i="34"/>
  <c r="K31" i="31"/>
  <c r="K7" i="34"/>
  <c r="K26" i="34"/>
  <c r="K12" i="34"/>
  <c r="K32" i="34"/>
  <c r="K16" i="34"/>
  <c r="K36" i="34"/>
  <c r="K18" i="31"/>
  <c r="K35" i="31"/>
  <c r="K11" i="31"/>
  <c r="K31" i="34"/>
  <c r="K10" i="34"/>
  <c r="K23" i="34"/>
  <c r="K17" i="31"/>
  <c r="K8" i="34"/>
  <c r="K28" i="34"/>
  <c r="K24" i="31"/>
  <c r="K5" i="31"/>
  <c r="K35" i="34"/>
  <c r="K25" i="34"/>
  <c r="K4" i="31"/>
  <c r="K29" i="34"/>
  <c r="K9" i="31"/>
  <c r="K36" i="31"/>
  <c r="K30" i="31"/>
  <c r="K32" i="31"/>
  <c r="K21" i="34"/>
  <c r="K6" i="31"/>
  <c r="K33" i="31"/>
  <c r="K13" i="34"/>
  <c r="K9" i="34"/>
  <c r="K12" i="31"/>
  <c r="K14" i="31"/>
  <c r="K4" i="34"/>
  <c r="K19" i="31"/>
  <c r="K17" i="34"/>
  <c r="K14" i="34"/>
  <c r="K22" i="34"/>
  <c r="K5" i="34"/>
  <c r="K10" i="31"/>
  <c r="K25" i="31"/>
  <c r="K34" i="34"/>
  <c r="K21" i="31"/>
  <c r="K15" i="31"/>
  <c r="K11" i="34"/>
  <c r="K27" i="34"/>
  <c r="K7" i="31"/>
  <c r="K18" i="34"/>
  <c r="K16" i="31"/>
  <c r="K27" i="31"/>
  <c r="K8" i="31"/>
  <c r="K13" i="31"/>
  <c r="K33" i="34"/>
  <c r="K24" i="34"/>
  <c r="K22" i="31"/>
  <c r="K28" i="31"/>
  <c r="K15" i="34"/>
  <c r="K20" i="31"/>
  <c r="K34" i="31"/>
  <c r="K20" i="34"/>
  <c r="K26" i="31"/>
  <c r="K29" i="31"/>
  <c r="K2" i="34"/>
  <c r="K2" i="33"/>
  <c r="K2" i="32"/>
  <c r="K2" i="31"/>
  <c r="J3" i="34" l="1"/>
  <c r="B21" i="29"/>
  <c r="B22" i="29"/>
  <c r="B23" i="29"/>
  <c r="B24" i="29"/>
  <c r="B25" i="29"/>
  <c r="B26" i="29"/>
  <c r="B27" i="29"/>
  <c r="B28" i="29"/>
  <c r="B29" i="29"/>
  <c r="B30" i="29"/>
  <c r="B31" i="29"/>
  <c r="B32" i="29"/>
  <c r="B33" i="29"/>
  <c r="B34" i="29"/>
  <c r="B35" i="29"/>
  <c r="B36" i="29"/>
  <c r="B37" i="29"/>
  <c r="B38" i="29"/>
  <c r="B39" i="29"/>
  <c r="B40" i="29"/>
  <c r="B41" i="29"/>
  <c r="B42" i="29"/>
  <c r="B43" i="29"/>
  <c r="B44" i="29"/>
  <c r="B45" i="29"/>
  <c r="B46" i="29"/>
  <c r="B47" i="29"/>
  <c r="B48" i="29"/>
  <c r="B49" i="29"/>
  <c r="B50" i="29"/>
  <c r="B51" i="29"/>
  <c r="B52" i="29"/>
  <c r="B53" i="29"/>
  <c r="B54" i="29"/>
  <c r="B55" i="29"/>
  <c r="B56" i="29"/>
  <c r="B57" i="29"/>
  <c r="B58" i="29"/>
  <c r="B59" i="29"/>
  <c r="B60" i="29"/>
  <c r="B61" i="29"/>
  <c r="B62" i="29"/>
  <c r="B63" i="29"/>
  <c r="B64" i="29"/>
  <c r="B15" i="28"/>
  <c r="B16" i="28"/>
  <c r="B17" i="28"/>
  <c r="B18" i="28"/>
  <c r="B19" i="28"/>
  <c r="B20" i="28"/>
  <c r="B21" i="28"/>
  <c r="B22" i="28"/>
  <c r="B23" i="28"/>
  <c r="B24" i="28"/>
  <c r="B25" i="28"/>
  <c r="B26" i="28"/>
  <c r="B27" i="28"/>
  <c r="C1" i="29"/>
  <c r="C1" i="28"/>
  <c r="L32" i="31"/>
  <c r="L19" i="34"/>
  <c r="L16" i="34"/>
  <c r="L26" i="34"/>
  <c r="L32" i="34"/>
  <c r="L34" i="31"/>
  <c r="L7" i="34"/>
  <c r="L31" i="31"/>
  <c r="L12" i="34"/>
  <c r="L13" i="31"/>
  <c r="L13" i="34"/>
  <c r="L11" i="31"/>
  <c r="L18" i="34"/>
  <c r="L24" i="31"/>
  <c r="L22" i="34"/>
  <c r="L21" i="34"/>
  <c r="L29" i="31"/>
  <c r="L24" i="34"/>
  <c r="L30" i="31"/>
  <c r="L15" i="34"/>
  <c r="L10" i="34"/>
  <c r="L6" i="34"/>
  <c r="L20" i="34"/>
  <c r="L11" i="34"/>
  <c r="L27" i="31"/>
  <c r="L9" i="31"/>
  <c r="L20" i="31"/>
  <c r="L33" i="31"/>
  <c r="L18" i="31"/>
  <c r="L9" i="34"/>
  <c r="L19" i="31"/>
  <c r="L12" i="31"/>
  <c r="L4" i="31"/>
  <c r="L35" i="34"/>
  <c r="L16" i="31"/>
  <c r="L36" i="34"/>
  <c r="L25" i="34"/>
  <c r="L21" i="31"/>
  <c r="L6" i="31"/>
  <c r="L15" i="31"/>
  <c r="L22" i="31"/>
  <c r="L23" i="34"/>
  <c r="L30" i="34"/>
  <c r="L5" i="31"/>
  <c r="L31" i="34"/>
  <c r="L26" i="31"/>
  <c r="L35" i="31"/>
  <c r="L17" i="34"/>
  <c r="L27" i="34"/>
  <c r="L17" i="31"/>
  <c r="L28" i="31"/>
  <c r="L29" i="34"/>
  <c r="L8" i="31"/>
  <c r="L14" i="31"/>
  <c r="L7" i="31"/>
  <c r="L36" i="31"/>
  <c r="L10" i="31"/>
  <c r="L23" i="31"/>
  <c r="L28" i="34"/>
  <c r="L5" i="34"/>
  <c r="L33" i="34"/>
  <c r="L8" i="34"/>
  <c r="L25" i="31"/>
  <c r="L4" i="34"/>
  <c r="L34" i="34"/>
  <c r="L14" i="34"/>
  <c r="L2" i="33"/>
  <c r="L2" i="34"/>
  <c r="L2" i="32"/>
  <c r="L2" i="31"/>
  <c r="C2" i="29" l="1"/>
  <c r="C10" i="29"/>
  <c r="C18" i="29"/>
  <c r="C5" i="29"/>
  <c r="C13" i="29"/>
  <c r="C8" i="29"/>
  <c r="C16" i="29"/>
  <c r="C3" i="29"/>
  <c r="C11" i="29"/>
  <c r="C19" i="29"/>
  <c r="C6" i="29"/>
  <c r="C14" i="29"/>
  <c r="C9" i="29"/>
  <c r="C17" i="29"/>
  <c r="C4" i="29"/>
  <c r="C12" i="29"/>
  <c r="C20" i="29"/>
  <c r="C22" i="29"/>
  <c r="C24" i="29"/>
  <c r="C26" i="29"/>
  <c r="C28" i="29"/>
  <c r="C30" i="29"/>
  <c r="C32" i="29"/>
  <c r="C34" i="29"/>
  <c r="C36" i="29"/>
  <c r="C38" i="29"/>
  <c r="C40" i="29"/>
  <c r="C42" i="29"/>
  <c r="C44" i="29"/>
  <c r="C46" i="29"/>
  <c r="C48" i="29"/>
  <c r="C50" i="29"/>
  <c r="C52" i="29"/>
  <c r="C54" i="29"/>
  <c r="C56" i="29"/>
  <c r="C58" i="29"/>
  <c r="C60" i="29"/>
  <c r="C62" i="29"/>
  <c r="C64" i="29"/>
  <c r="C7" i="29"/>
  <c r="C15" i="29"/>
  <c r="C57" i="29"/>
  <c r="C49" i="29"/>
  <c r="C41" i="29"/>
  <c r="C33" i="29"/>
  <c r="C25" i="29"/>
  <c r="C63" i="29"/>
  <c r="C55" i="29"/>
  <c r="C47" i="29"/>
  <c r="C39" i="29"/>
  <c r="C31" i="29"/>
  <c r="C23" i="29"/>
  <c r="C61" i="29"/>
  <c r="C53" i="29"/>
  <c r="C45" i="29"/>
  <c r="C37" i="29"/>
  <c r="C29" i="29"/>
  <c r="C21" i="29"/>
  <c r="C59" i="29"/>
  <c r="C51" i="29"/>
  <c r="C43" i="29"/>
  <c r="C35" i="29"/>
  <c r="C27" i="29"/>
  <c r="C2" i="28"/>
  <c r="C10" i="28"/>
  <c r="C19" i="28"/>
  <c r="C5" i="28"/>
  <c r="C13" i="28"/>
  <c r="C8" i="28"/>
  <c r="C11" i="28"/>
  <c r="C6" i="28"/>
  <c r="C14" i="28"/>
  <c r="C15" i="28"/>
  <c r="C21" i="28"/>
  <c r="C25" i="28"/>
  <c r="C9" i="28"/>
  <c r="C4" i="28"/>
  <c r="C12" i="28"/>
  <c r="C29" i="28"/>
  <c r="C7" i="28"/>
  <c r="C17" i="28"/>
  <c r="C23" i="28"/>
  <c r="C27" i="28"/>
  <c r="C3" i="28"/>
  <c r="C28" i="28"/>
  <c r="C20" i="28"/>
  <c r="C26" i="28"/>
  <c r="C18" i="28"/>
  <c r="C24" i="28"/>
  <c r="C16" i="28"/>
  <c r="C22" i="28"/>
  <c r="C1" i="27"/>
  <c r="C2" i="26"/>
  <c r="D60" i="29"/>
  <c r="D11" i="28"/>
  <c r="D21" i="28"/>
  <c r="D59" i="29"/>
  <c r="D49" i="29"/>
  <c r="D39" i="29"/>
  <c r="D24" i="28"/>
  <c r="D15" i="29"/>
  <c r="D14" i="28"/>
  <c r="D20" i="28"/>
  <c r="D40" i="29"/>
  <c r="D19" i="28"/>
  <c r="D41" i="29"/>
  <c r="D27" i="29"/>
  <c r="D10" i="28"/>
  <c r="D19" i="29"/>
  <c r="D33" i="29"/>
  <c r="D8" i="29"/>
  <c r="D4" i="28"/>
  <c r="D13" i="28"/>
  <c r="D35" i="29"/>
  <c r="D9" i="28"/>
  <c r="D3" i="28"/>
  <c r="D52" i="29"/>
  <c r="D7" i="29"/>
  <c r="D29" i="29"/>
  <c r="D14" i="29"/>
  <c r="D28" i="29"/>
  <c r="D25" i="28"/>
  <c r="D48" i="29"/>
  <c r="D18" i="28"/>
  <c r="D25" i="29"/>
  <c r="D16" i="29"/>
  <c r="D23" i="28"/>
  <c r="D20" i="29"/>
  <c r="D28" i="28"/>
  <c r="D11" i="29"/>
  <c r="D34" i="29"/>
  <c r="D51" i="29"/>
  <c r="D22" i="29"/>
  <c r="D6" i="28"/>
  <c r="D10" i="29"/>
  <c r="D13" i="29"/>
  <c r="D23" i="29"/>
  <c r="D6" i="29"/>
  <c r="D29" i="28"/>
  <c r="D7" i="28"/>
  <c r="D54" i="29"/>
  <c r="D16" i="28"/>
  <c r="D26" i="28"/>
  <c r="D24" i="29"/>
  <c r="D64" i="29"/>
  <c r="D17" i="28"/>
  <c r="D15" i="28"/>
  <c r="D4" i="29"/>
  <c r="D47" i="29"/>
  <c r="D18" i="29"/>
  <c r="D50" i="29"/>
  <c r="D31" i="29"/>
  <c r="D45" i="29"/>
  <c r="D8" i="28"/>
  <c r="D44" i="29"/>
  <c r="D22" i="28"/>
  <c r="D5" i="28"/>
  <c r="D27" i="28"/>
  <c r="D56" i="29"/>
  <c r="D46" i="29"/>
  <c r="D32" i="29"/>
  <c r="D3" i="29"/>
  <c r="D53" i="29"/>
  <c r="D5" i="29"/>
  <c r="D36" i="29"/>
  <c r="D42" i="29"/>
  <c r="D26" i="29"/>
  <c r="D58" i="29"/>
  <c r="D12" i="29"/>
  <c r="D17" i="29"/>
  <c r="D63" i="29"/>
  <c r="D61" i="29"/>
  <c r="D43" i="29"/>
  <c r="D62" i="29"/>
  <c r="D9" i="29"/>
  <c r="D30" i="29"/>
  <c r="D55" i="29"/>
  <c r="D38" i="29"/>
  <c r="D37" i="29"/>
  <c r="D57" i="29"/>
  <c r="D12" i="28"/>
  <c r="D21" i="29"/>
  <c r="D2" i="29"/>
  <c r="C7" i="27" l="1"/>
  <c r="C2" i="27"/>
  <c r="C10" i="27"/>
  <c r="C5" i="27"/>
  <c r="C13" i="27"/>
  <c r="C8" i="27"/>
  <c r="C3" i="27"/>
  <c r="C11" i="27"/>
  <c r="C6" i="27"/>
  <c r="C9" i="27"/>
  <c r="C4" i="27"/>
  <c r="C12" i="27"/>
  <c r="C10" i="26"/>
  <c r="C5" i="26"/>
  <c r="C8" i="26"/>
  <c r="C3" i="26"/>
  <c r="C11" i="26"/>
  <c r="C6" i="26"/>
  <c r="C9" i="26"/>
  <c r="C4" i="26"/>
  <c r="C12" i="26"/>
  <c r="C7" i="26"/>
  <c r="D6" i="26"/>
  <c r="E23" i="29"/>
  <c r="D4" i="27"/>
  <c r="E14" i="28"/>
  <c r="E37" i="29"/>
  <c r="D3" i="27"/>
  <c r="E9" i="29"/>
  <c r="D8" i="26"/>
  <c r="E5" i="29"/>
  <c r="E45" i="29"/>
  <c r="E35" i="29"/>
  <c r="E26" i="29"/>
  <c r="E20" i="29"/>
  <c r="E36" i="29"/>
  <c r="E29" i="29"/>
  <c r="E12" i="29"/>
  <c r="E4" i="29"/>
  <c r="E21" i="28"/>
  <c r="E49" i="29"/>
  <c r="E42" i="29"/>
  <c r="E57" i="29"/>
  <c r="D9" i="27"/>
  <c r="D11" i="26"/>
  <c r="E46" i="29"/>
  <c r="D10" i="26"/>
  <c r="E28" i="28"/>
  <c r="E23" i="28"/>
  <c r="E29" i="28"/>
  <c r="E32" i="29"/>
  <c r="E17" i="28"/>
  <c r="E11" i="28"/>
  <c r="E27" i="28"/>
  <c r="E41" i="29"/>
  <c r="E16" i="29"/>
  <c r="E13" i="28"/>
  <c r="E28" i="29"/>
  <c r="E21" i="29"/>
  <c r="E38" i="29"/>
  <c r="D12" i="27"/>
  <c r="D5" i="27"/>
  <c r="D9" i="26"/>
  <c r="E33" i="29"/>
  <c r="D11" i="27"/>
  <c r="E61" i="29"/>
  <c r="D4" i="26"/>
  <c r="D10" i="27"/>
  <c r="E60" i="29"/>
  <c r="E56" i="29"/>
  <c r="E43" i="29"/>
  <c r="E13" i="29"/>
  <c r="E64" i="29"/>
  <c r="E8" i="29"/>
  <c r="E15" i="28"/>
  <c r="E10" i="29"/>
  <c r="E39" i="29"/>
  <c r="E31" i="29"/>
  <c r="E63" i="29"/>
  <c r="E25" i="29"/>
  <c r="E25" i="28"/>
  <c r="E58" i="29"/>
  <c r="E18" i="28"/>
  <c r="E22" i="29"/>
  <c r="E7" i="28"/>
  <c r="E12" i="28"/>
  <c r="D5" i="26"/>
  <c r="E11" i="29"/>
  <c r="D8" i="27"/>
  <c r="E52" i="29"/>
  <c r="E16" i="28"/>
  <c r="E14" i="29"/>
  <c r="E3" i="28"/>
  <c r="E40" i="29"/>
  <c r="E17" i="29"/>
  <c r="E19" i="29"/>
  <c r="E34" i="29"/>
  <c r="E6" i="28"/>
  <c r="E26" i="28"/>
  <c r="E54" i="29"/>
  <c r="E6" i="29"/>
  <c r="E24" i="29"/>
  <c r="D6" i="27"/>
  <c r="E3" i="29"/>
  <c r="D13" i="27"/>
  <c r="E15" i="29"/>
  <c r="E27" i="29"/>
  <c r="E19" i="28"/>
  <c r="E4" i="28"/>
  <c r="E10" i="28"/>
  <c r="E24" i="28"/>
  <c r="E51" i="29"/>
  <c r="E50" i="29"/>
  <c r="D7" i="27"/>
  <c r="E47" i="29"/>
  <c r="E20" i="28"/>
  <c r="E5" i="28"/>
  <c r="E30" i="29"/>
  <c r="E55" i="29"/>
  <c r="E8" i="28"/>
  <c r="D7" i="26"/>
  <c r="E18" i="29"/>
  <c r="E59" i="29"/>
  <c r="E7" i="29"/>
  <c r="D12" i="26"/>
  <c r="E48" i="29"/>
  <c r="E44" i="29"/>
  <c r="E9" i="28"/>
  <c r="E22" i="28"/>
  <c r="E62" i="29"/>
  <c r="E53" i="29"/>
  <c r="D3" i="26"/>
  <c r="E2" i="29"/>
  <c r="D2" i="27"/>
  <c r="C6" i="24" l="1" a="1"/>
  <c r="C7" i="24" s="1"/>
  <c r="D6" i="24" a="1"/>
  <c r="D10" i="24" s="1"/>
  <c r="C6" i="23" a="1"/>
  <c r="C7" i="23" s="1"/>
  <c r="D6" i="23" a="1"/>
  <c r="D10" i="23" s="1"/>
  <c r="E4" i="22"/>
  <c r="E5" i="22"/>
  <c r="E6" i="22"/>
  <c r="E7" i="22"/>
  <c r="E8" i="22"/>
  <c r="E9" i="22"/>
  <c r="E10" i="22"/>
  <c r="E11" i="22"/>
  <c r="E4" i="21"/>
  <c r="E5" i="21"/>
  <c r="E6" i="21"/>
  <c r="E7" i="21"/>
  <c r="E8" i="21"/>
  <c r="E9" i="21"/>
  <c r="E10" i="21"/>
  <c r="E11" i="21"/>
  <c r="E12" i="21"/>
  <c r="E13" i="21"/>
  <c r="E14" i="21"/>
  <c r="E15" i="21"/>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E13" i="27"/>
  <c r="E11" i="27"/>
  <c r="F64" i="20"/>
  <c r="F54" i="20"/>
  <c r="F5" i="20"/>
  <c r="O7" i="26"/>
  <c r="F50" i="20"/>
  <c r="F9" i="20"/>
  <c r="E4" i="26"/>
  <c r="E12" i="27"/>
  <c r="F21" i="20"/>
  <c r="E12" i="26"/>
  <c r="F46" i="20"/>
  <c r="F69" i="20"/>
  <c r="Y11" i="26"/>
  <c r="F41" i="20"/>
  <c r="F14" i="20"/>
  <c r="F17" i="20"/>
  <c r="F33" i="20"/>
  <c r="F6" i="22"/>
  <c r="F10" i="22"/>
  <c r="E9" i="27"/>
  <c r="F8" i="20"/>
  <c r="F35" i="20"/>
  <c r="F24" i="20"/>
  <c r="F5" i="21"/>
  <c r="F72" i="20"/>
  <c r="F36" i="20"/>
  <c r="F63" i="20"/>
  <c r="E6" i="27"/>
  <c r="F30" i="20"/>
  <c r="E9" i="26"/>
  <c r="F67" i="20"/>
  <c r="F61" i="20"/>
  <c r="F57" i="20"/>
  <c r="F39" i="20"/>
  <c r="F15" i="21"/>
  <c r="F7" i="21"/>
  <c r="F14" i="21"/>
  <c r="E3" i="27"/>
  <c r="F34" i="20"/>
  <c r="E7" i="27"/>
  <c r="F49" i="20"/>
  <c r="E11" i="26"/>
  <c r="F73" i="20"/>
  <c r="F37" i="20"/>
  <c r="F53" i="20"/>
  <c r="F16" i="20"/>
  <c r="F9" i="22"/>
  <c r="Y12" i="26"/>
  <c r="F48" i="20"/>
  <c r="E6" i="26"/>
  <c r="F71" i="20"/>
  <c r="F23" i="20"/>
  <c r="E8" i="26"/>
  <c r="E7" i="26"/>
  <c r="F12" i="21"/>
  <c r="F15" i="20"/>
  <c r="E10" i="26"/>
  <c r="F5" i="22"/>
  <c r="F62" i="20"/>
  <c r="F27" i="20"/>
  <c r="E8" i="27"/>
  <c r="F74" i="20"/>
  <c r="F18" i="20"/>
  <c r="F9" i="21"/>
  <c r="F25" i="20"/>
  <c r="F52" i="20"/>
  <c r="F65" i="20"/>
  <c r="F6" i="20"/>
  <c r="E10" i="27"/>
  <c r="F8" i="21"/>
  <c r="F44" i="20"/>
  <c r="F29" i="20"/>
  <c r="F60" i="20"/>
  <c r="F26" i="20"/>
  <c r="F11" i="20"/>
  <c r="F70" i="20"/>
  <c r="F43" i="20"/>
  <c r="F45" i="20"/>
  <c r="F10" i="21"/>
  <c r="F11" i="22"/>
  <c r="F55" i="20"/>
  <c r="F12" i="20"/>
  <c r="F11" i="21"/>
  <c r="F19" i="20"/>
  <c r="F20" i="20"/>
  <c r="F51" i="20"/>
  <c r="F47" i="20"/>
  <c r="E5" i="26"/>
  <c r="O8" i="26"/>
  <c r="F56" i="20"/>
  <c r="F7" i="22"/>
  <c r="O6" i="26"/>
  <c r="F68" i="20"/>
  <c r="F13" i="21"/>
  <c r="F42" i="20"/>
  <c r="F59" i="20"/>
  <c r="F6" i="21"/>
  <c r="O9" i="26"/>
  <c r="F8" i="22"/>
  <c r="F22" i="20"/>
  <c r="E4" i="27"/>
  <c r="F31" i="20"/>
  <c r="O10" i="26"/>
  <c r="F66" i="20"/>
  <c r="F10" i="20"/>
  <c r="F32" i="20"/>
  <c r="F40" i="20"/>
  <c r="F13" i="20"/>
  <c r="F58" i="20"/>
  <c r="E5" i="27"/>
  <c r="F7" i="20"/>
  <c r="F28" i="20"/>
  <c r="F4" i="21"/>
  <c r="E2" i="27"/>
  <c r="E3" i="26"/>
  <c r="F4" i="20"/>
  <c r="F4" i="22"/>
  <c r="C20" i="24" l="1"/>
  <c r="C36" i="24"/>
  <c r="C28" i="24"/>
  <c r="D21" i="24"/>
  <c r="D9" i="23"/>
  <c r="D20" i="23"/>
  <c r="D39" i="24"/>
  <c r="C41" i="23"/>
  <c r="D17" i="23"/>
  <c r="D37" i="24"/>
  <c r="D15" i="24"/>
  <c r="D39" i="23"/>
  <c r="D15" i="23"/>
  <c r="D13" i="24"/>
  <c r="D31" i="23"/>
  <c r="D12" i="23"/>
  <c r="D31" i="24"/>
  <c r="C12" i="24"/>
  <c r="C22" i="23"/>
  <c r="C30" i="23"/>
  <c r="C12" i="23"/>
  <c r="D29" i="24"/>
  <c r="D7" i="24"/>
  <c r="E7" i="24" s="1"/>
  <c r="C28" i="23"/>
  <c r="C25" i="23"/>
  <c r="D23" i="24"/>
  <c r="C42" i="24"/>
  <c r="C34" i="24"/>
  <c r="C26" i="24"/>
  <c r="C18" i="24"/>
  <c r="C10" i="24"/>
  <c r="D40" i="24"/>
  <c r="C37" i="24"/>
  <c r="D32" i="24"/>
  <c r="C29" i="24"/>
  <c r="D24" i="24"/>
  <c r="C21" i="24"/>
  <c r="D16" i="24"/>
  <c r="C13" i="24"/>
  <c r="D8" i="24"/>
  <c r="C40" i="24"/>
  <c r="D35" i="24"/>
  <c r="C32" i="24"/>
  <c r="D27" i="24"/>
  <c r="C24" i="24"/>
  <c r="D19" i="24"/>
  <c r="C16" i="24"/>
  <c r="D11" i="24"/>
  <c r="C8" i="24"/>
  <c r="D38" i="24"/>
  <c r="C35" i="24"/>
  <c r="D30" i="24"/>
  <c r="C27" i="24"/>
  <c r="D22" i="24"/>
  <c r="C19" i="24"/>
  <c r="D14" i="24"/>
  <c r="C11" i="24"/>
  <c r="D6" i="24"/>
  <c r="D41" i="24"/>
  <c r="C38" i="24"/>
  <c r="D33" i="24"/>
  <c r="C30" i="24"/>
  <c r="D25" i="24"/>
  <c r="C22" i="24"/>
  <c r="D17" i="24"/>
  <c r="C14" i="24"/>
  <c r="D9" i="24"/>
  <c r="C41" i="24"/>
  <c r="D36" i="24"/>
  <c r="C33" i="24"/>
  <c r="D28" i="24"/>
  <c r="C25" i="24"/>
  <c r="D20" i="24"/>
  <c r="E20" i="24" s="1"/>
  <c r="C17" i="24"/>
  <c r="D12" i="24"/>
  <c r="C9" i="24"/>
  <c r="C6" i="24"/>
  <c r="D42" i="24"/>
  <c r="C39" i="24"/>
  <c r="D34" i="24"/>
  <c r="C31" i="24"/>
  <c r="D26" i="24"/>
  <c r="C23" i="24"/>
  <c r="D18" i="24"/>
  <c r="C15" i="24"/>
  <c r="C38" i="23"/>
  <c r="D28" i="23"/>
  <c r="C20" i="23"/>
  <c r="C9" i="23"/>
  <c r="D36" i="23"/>
  <c r="C36" i="23"/>
  <c r="D25" i="23"/>
  <c r="C17" i="23"/>
  <c r="D7" i="23"/>
  <c r="E7" i="23" s="1"/>
  <c r="C42" i="23"/>
  <c r="D33" i="23"/>
  <c r="D41" i="23"/>
  <c r="C33" i="23"/>
  <c r="D23" i="23"/>
  <c r="C14" i="23"/>
  <c r="C6" i="23"/>
  <c r="D37" i="23"/>
  <c r="C34" i="23"/>
  <c r="D29" i="23"/>
  <c r="C26" i="23"/>
  <c r="D21" i="23"/>
  <c r="C18" i="23"/>
  <c r="D13" i="23"/>
  <c r="C10" i="23"/>
  <c r="D40" i="23"/>
  <c r="C37" i="23"/>
  <c r="D32" i="23"/>
  <c r="C29" i="23"/>
  <c r="D24" i="23"/>
  <c r="C21" i="23"/>
  <c r="D16" i="23"/>
  <c r="C13" i="23"/>
  <c r="D8" i="23"/>
  <c r="C40" i="23"/>
  <c r="D35" i="23"/>
  <c r="C32" i="23"/>
  <c r="D27" i="23"/>
  <c r="C24" i="23"/>
  <c r="D19" i="23"/>
  <c r="C16" i="23"/>
  <c r="D11" i="23"/>
  <c r="C8" i="23"/>
  <c r="D38" i="23"/>
  <c r="C35" i="23"/>
  <c r="D30" i="23"/>
  <c r="C27" i="23"/>
  <c r="D22" i="23"/>
  <c r="C19" i="23"/>
  <c r="D14" i="23"/>
  <c r="C11" i="23"/>
  <c r="D6" i="23"/>
  <c r="D42" i="23"/>
  <c r="C39" i="23"/>
  <c r="D34" i="23"/>
  <c r="C31" i="23"/>
  <c r="D26" i="23"/>
  <c r="C23" i="23"/>
  <c r="D18" i="23"/>
  <c r="C15" i="23"/>
  <c r="G21" i="20"/>
  <c r="Y28" i="20"/>
  <c r="G30" i="20"/>
  <c r="G26" i="20"/>
  <c r="G28" i="20"/>
  <c r="G6" i="22"/>
  <c r="Y13" i="21"/>
  <c r="Y7" i="20"/>
  <c r="Y24" i="20"/>
  <c r="G23" i="20"/>
  <c r="Y10" i="21"/>
  <c r="G8" i="20"/>
  <c r="G12" i="21"/>
  <c r="F12" i="23"/>
  <c r="Y29" i="20"/>
  <c r="Y11" i="20"/>
  <c r="G11" i="22"/>
  <c r="G5" i="22"/>
  <c r="G5" i="21"/>
  <c r="G7" i="22"/>
  <c r="Y8" i="20"/>
  <c r="G11" i="20"/>
  <c r="F12" i="24"/>
  <c r="Y25" i="20"/>
  <c r="F30" i="23"/>
  <c r="Y12" i="20"/>
  <c r="G15" i="21"/>
  <c r="G29" i="20"/>
  <c r="G20" i="20"/>
  <c r="G34" i="20"/>
  <c r="Y36" i="20"/>
  <c r="G17" i="20"/>
  <c r="Y23" i="20"/>
  <c r="F14" i="23"/>
  <c r="F28" i="23"/>
  <c r="Y18" i="20"/>
  <c r="Y10" i="20"/>
  <c r="Y9" i="20"/>
  <c r="G7" i="20"/>
  <c r="G33" i="20"/>
  <c r="G35" i="20"/>
  <c r="G13" i="21"/>
  <c r="F41" i="23"/>
  <c r="Y31" i="20"/>
  <c r="F33" i="23"/>
  <c r="G37" i="20"/>
  <c r="G24" i="20"/>
  <c r="Y30" i="20"/>
  <c r="F20" i="23"/>
  <c r="G9" i="21"/>
  <c r="Y6" i="20"/>
  <c r="G9" i="22"/>
  <c r="F36" i="23"/>
  <c r="Y11" i="21"/>
  <c r="Y33" i="20"/>
  <c r="F9" i="23"/>
  <c r="G7" i="21"/>
  <c r="F25" i="23"/>
  <c r="F17" i="23"/>
  <c r="Y15" i="21"/>
  <c r="Y26" i="20"/>
  <c r="Y20" i="20"/>
  <c r="Y17" i="20"/>
  <c r="G13" i="20"/>
  <c r="Y34" i="20"/>
  <c r="Y9" i="21"/>
  <c r="G25" i="20"/>
  <c r="Y19" i="20"/>
  <c r="Y22" i="20"/>
  <c r="Y6" i="21"/>
  <c r="Y5" i="21"/>
  <c r="G14" i="21"/>
  <c r="G5" i="20"/>
  <c r="Y21" i="20"/>
  <c r="G36" i="20"/>
  <c r="Y5" i="20"/>
  <c r="G27" i="20"/>
  <c r="G10" i="22"/>
  <c r="Y14" i="20"/>
  <c r="G16" i="20"/>
  <c r="G6" i="20"/>
  <c r="G10" i="20"/>
  <c r="Y13" i="20"/>
  <c r="F6" i="23"/>
  <c r="F20" i="24"/>
  <c r="F28" i="24"/>
  <c r="Y37" i="20"/>
  <c r="G6" i="21"/>
  <c r="G22" i="20"/>
  <c r="Y7" i="21"/>
  <c r="G11" i="21"/>
  <c r="G18" i="20"/>
  <c r="G31" i="20"/>
  <c r="G8" i="22"/>
  <c r="G12" i="20"/>
  <c r="G15" i="20"/>
  <c r="G10" i="21"/>
  <c r="Y14" i="21"/>
  <c r="Y8" i="21"/>
  <c r="Y27" i="20"/>
  <c r="Y32" i="20"/>
  <c r="Y16" i="20"/>
  <c r="G14" i="20"/>
  <c r="Y15" i="20"/>
  <c r="Y35" i="20"/>
  <c r="G32" i="20"/>
  <c r="Y12" i="21"/>
  <c r="G9" i="20"/>
  <c r="G8" i="21"/>
  <c r="G19" i="20"/>
  <c r="F38" i="23"/>
  <c r="G4" i="22"/>
  <c r="G4" i="20"/>
  <c r="G4" i="21"/>
  <c r="E22" i="23" l="1"/>
  <c r="E12" i="23"/>
  <c r="E36" i="24"/>
  <c r="E17" i="23"/>
  <c r="E28" i="23"/>
  <c r="E28" i="24"/>
  <c r="E30" i="23"/>
  <c r="E25" i="23"/>
  <c r="E9" i="23"/>
  <c r="E41" i="23"/>
  <c r="E20" i="23"/>
  <c r="E5" i="23"/>
  <c r="E38" i="23"/>
  <c r="E33" i="23"/>
  <c r="E33" i="24"/>
  <c r="E30" i="24"/>
  <c r="E19" i="24"/>
  <c r="E16" i="24"/>
  <c r="E13" i="24"/>
  <c r="E10" i="24"/>
  <c r="E15" i="24"/>
  <c r="E6" i="24"/>
  <c r="E5" i="24"/>
  <c r="E18" i="24"/>
  <c r="E9" i="24"/>
  <c r="E41" i="24"/>
  <c r="E38" i="24"/>
  <c r="E27" i="24"/>
  <c r="E24" i="24"/>
  <c r="E21" i="24"/>
  <c r="E26" i="24"/>
  <c r="E23" i="24"/>
  <c r="E34" i="24"/>
  <c r="E17" i="24"/>
  <c r="E14" i="24"/>
  <c r="E35" i="24"/>
  <c r="E32" i="24"/>
  <c r="E29" i="24"/>
  <c r="E42" i="24"/>
  <c r="E31" i="24"/>
  <c r="E11" i="24"/>
  <c r="E12" i="24"/>
  <c r="E25" i="24"/>
  <c r="E22" i="24"/>
  <c r="E8" i="24"/>
  <c r="E40" i="24"/>
  <c r="E37" i="24"/>
  <c r="E39" i="24"/>
  <c r="E36" i="23"/>
  <c r="E14" i="23"/>
  <c r="E6" i="23"/>
  <c r="E11" i="23"/>
  <c r="E8" i="23"/>
  <c r="E40" i="23"/>
  <c r="E37" i="23"/>
  <c r="E34" i="23"/>
  <c r="E23" i="23"/>
  <c r="E19" i="23"/>
  <c r="E16" i="23"/>
  <c r="E13" i="23"/>
  <c r="E10" i="23"/>
  <c r="E31" i="23"/>
  <c r="E27" i="23"/>
  <c r="E24" i="23"/>
  <c r="E21" i="23"/>
  <c r="E18" i="23"/>
  <c r="E39" i="23"/>
  <c r="E15" i="23"/>
  <c r="E42" i="23"/>
  <c r="E35" i="23"/>
  <c r="E32" i="23"/>
  <c r="E29" i="23"/>
  <c r="E26" i="23"/>
  <c r="F42" i="23"/>
  <c r="F42" i="24"/>
  <c r="F32" i="24"/>
  <c r="F31" i="23"/>
  <c r="F24" i="24"/>
  <c r="F25" i="24"/>
  <c r="G36" i="23"/>
  <c r="F24" i="23"/>
  <c r="F8" i="24"/>
  <c r="F9" i="24"/>
  <c r="F35" i="23"/>
  <c r="F17" i="24"/>
  <c r="AC28" i="24"/>
  <c r="F27" i="23"/>
  <c r="F11" i="23"/>
  <c r="F34" i="23"/>
  <c r="F21" i="23"/>
  <c r="F16" i="23"/>
  <c r="F41" i="24"/>
  <c r="F27" i="24"/>
  <c r="F34" i="24"/>
  <c r="G20" i="23"/>
  <c r="F39" i="23"/>
  <c r="F26" i="23"/>
  <c r="F22" i="23"/>
  <c r="G9" i="23"/>
  <c r="F40" i="23"/>
  <c r="F7" i="24"/>
  <c r="G12" i="23"/>
  <c r="F22" i="24"/>
  <c r="F10" i="24"/>
  <c r="G38" i="23"/>
  <c r="F11" i="24"/>
  <c r="G28" i="23"/>
  <c r="F32" i="23"/>
  <c r="G30" i="23"/>
  <c r="F30" i="24"/>
  <c r="F36" i="24"/>
  <c r="F13" i="23"/>
  <c r="F23" i="23"/>
  <c r="F18" i="23"/>
  <c r="G6" i="23"/>
  <c r="F40" i="24"/>
  <c r="G33" i="23"/>
  <c r="F33" i="24"/>
  <c r="F8" i="23"/>
  <c r="F38" i="24"/>
  <c r="F37" i="23"/>
  <c r="AC12" i="24"/>
  <c r="F39" i="24"/>
  <c r="G25" i="23"/>
  <c r="F37" i="24"/>
  <c r="F7" i="23"/>
  <c r="F19" i="23"/>
  <c r="F15" i="23"/>
  <c r="AC20" i="24"/>
  <c r="F10" i="23"/>
  <c r="F26" i="24"/>
  <c r="F14" i="24"/>
  <c r="F6" i="24"/>
  <c r="F21" i="24"/>
  <c r="F23" i="24"/>
  <c r="G12" i="24"/>
  <c r="G17" i="23"/>
  <c r="F16" i="24"/>
  <c r="F29" i="24"/>
  <c r="F18" i="24"/>
  <c r="F19" i="24"/>
  <c r="G14" i="23"/>
  <c r="F29" i="23"/>
  <c r="F15" i="24"/>
  <c r="G41" i="23"/>
  <c r="F35" i="24"/>
  <c r="G28" i="24"/>
  <c r="F31" i="24"/>
  <c r="G20" i="24"/>
  <c r="F13" i="24"/>
  <c r="F5" i="23"/>
  <c r="F5" i="24"/>
  <c r="B4" i="18" l="1"/>
  <c r="B5" i="18"/>
  <c r="B6" i="18"/>
  <c r="E4" i="17"/>
  <c r="E6" i="16"/>
  <c r="E6" i="15"/>
  <c r="D2" i="14"/>
  <c r="D3" i="14"/>
  <c r="D4" i="14"/>
  <c r="D5" i="14"/>
  <c r="D6" i="14"/>
  <c r="D7" i="14"/>
  <c r="D8" i="14"/>
  <c r="D9" i="14"/>
  <c r="D10" i="14"/>
  <c r="D11" i="14"/>
  <c r="D12" i="14"/>
  <c r="D13" i="14"/>
  <c r="D14" i="14"/>
  <c r="D15" i="14"/>
  <c r="D16" i="14"/>
  <c r="D17" i="14"/>
  <c r="D18" i="14"/>
  <c r="D19" i="14"/>
  <c r="D20" i="14"/>
  <c r="D21" i="14"/>
  <c r="D22" i="14"/>
  <c r="D23" i="14"/>
  <c r="D24" i="14"/>
  <c r="D25" i="14"/>
  <c r="D26" i="14"/>
  <c r="C4" i="13"/>
  <c r="C5" i="13"/>
  <c r="C6" i="13"/>
  <c r="C7" i="13"/>
  <c r="C8" i="13"/>
  <c r="C9" i="13"/>
  <c r="C10" i="13"/>
  <c r="C11" i="13"/>
  <c r="C12" i="13"/>
  <c r="C13" i="13"/>
  <c r="C14" i="13"/>
  <c r="C15" i="13"/>
  <c r="C16" i="13"/>
  <c r="C17" i="13"/>
  <c r="C18" i="13"/>
  <c r="C19" i="13"/>
  <c r="C20" i="13"/>
  <c r="C21" i="13"/>
  <c r="C22" i="13"/>
  <c r="D19" i="13"/>
  <c r="G34" i="24"/>
  <c r="G15" i="24"/>
  <c r="D7" i="15" a="1"/>
  <c r="G19" i="24"/>
  <c r="AC7" i="24"/>
  <c r="G17" i="24"/>
  <c r="G7" i="23"/>
  <c r="AC14" i="24"/>
  <c r="G40" i="23"/>
  <c r="E16" i="14"/>
  <c r="D10" i="13"/>
  <c r="C6" i="18"/>
  <c r="AC10" i="24"/>
  <c r="AC35" i="24"/>
  <c r="E19" i="14"/>
  <c r="AC32" i="24"/>
  <c r="C5" i="18"/>
  <c r="AC13" i="24"/>
  <c r="G10" i="23"/>
  <c r="E25" i="14"/>
  <c r="G32" i="24"/>
  <c r="G26" i="23"/>
  <c r="G27" i="24"/>
  <c r="G33" i="24"/>
  <c r="G23" i="24"/>
  <c r="G13" i="23"/>
  <c r="AC15" i="24"/>
  <c r="AC31" i="24"/>
  <c r="G37" i="23"/>
  <c r="G35" i="24"/>
  <c r="E8" i="14"/>
  <c r="E14" i="14"/>
  <c r="G8" i="23"/>
  <c r="G19" i="23"/>
  <c r="G38" i="24"/>
  <c r="E11" i="14"/>
  <c r="G22" i="24"/>
  <c r="E20" i="14"/>
  <c r="AC27" i="24"/>
  <c r="G13" i="24"/>
  <c r="D21" i="13"/>
  <c r="AC36" i="24"/>
  <c r="E24" i="14"/>
  <c r="G10" i="24"/>
  <c r="G29" i="23"/>
  <c r="G29" i="24"/>
  <c r="AC24" i="24"/>
  <c r="G35" i="23"/>
  <c r="AC18" i="24"/>
  <c r="G15" i="23"/>
  <c r="E6" i="14"/>
  <c r="G25" i="24"/>
  <c r="E9" i="14"/>
  <c r="D9" i="13"/>
  <c r="E17" i="14"/>
  <c r="AC29" i="24"/>
  <c r="AC26" i="24"/>
  <c r="E23" i="14"/>
  <c r="E7" i="14"/>
  <c r="G27" i="23"/>
  <c r="G31" i="24"/>
  <c r="G39" i="23"/>
  <c r="G24" i="24"/>
  <c r="D7" i="13"/>
  <c r="G22" i="23"/>
  <c r="AC34" i="24"/>
  <c r="D17" i="13"/>
  <c r="G42" i="23"/>
  <c r="G7" i="24"/>
  <c r="E21" i="14"/>
  <c r="D6" i="13"/>
  <c r="AC33" i="24"/>
  <c r="AC8" i="24"/>
  <c r="AC9" i="24"/>
  <c r="G11" i="23"/>
  <c r="G11" i="24"/>
  <c r="AC38" i="24"/>
  <c r="G6" i="24"/>
  <c r="E5" i="14"/>
  <c r="G39" i="24"/>
  <c r="E3" i="14"/>
  <c r="G9" i="24"/>
  <c r="AC16" i="24"/>
  <c r="D5" i="17" a="1"/>
  <c r="E4" i="14"/>
  <c r="G42" i="24"/>
  <c r="AC42" i="24"/>
  <c r="AC17" i="24"/>
  <c r="E12" i="14"/>
  <c r="AC30" i="24"/>
  <c r="G37" i="24"/>
  <c r="G21" i="24"/>
  <c r="E10" i="14"/>
  <c r="E22" i="14"/>
  <c r="E26" i="14"/>
  <c r="G36" i="24"/>
  <c r="G14" i="24"/>
  <c r="AC6" i="24"/>
  <c r="D18" i="13"/>
  <c r="D12" i="13"/>
  <c r="AC21" i="24"/>
  <c r="G8" i="24"/>
  <c r="G18" i="24"/>
  <c r="G16" i="23"/>
  <c r="AC41" i="24"/>
  <c r="G26" i="24"/>
  <c r="D16" i="13"/>
  <c r="AC22" i="24"/>
  <c r="D15" i="13"/>
  <c r="AC19" i="24"/>
  <c r="D13" i="13"/>
  <c r="G40" i="24"/>
  <c r="AC23" i="24"/>
  <c r="G30" i="24"/>
  <c r="AC25" i="24"/>
  <c r="D14" i="13"/>
  <c r="G24" i="23"/>
  <c r="E15" i="14"/>
  <c r="D5" i="13"/>
  <c r="E13" i="14"/>
  <c r="D22" i="13"/>
  <c r="AC40" i="24"/>
  <c r="G31" i="23"/>
  <c r="AC11" i="24"/>
  <c r="G41" i="24"/>
  <c r="G23" i="23"/>
  <c r="D20" i="13"/>
  <c r="D8" i="13"/>
  <c r="E18" i="14"/>
  <c r="AC37" i="24"/>
  <c r="G32" i="23"/>
  <c r="G34" i="23"/>
  <c r="G21" i="23"/>
  <c r="D11" i="13"/>
  <c r="AC39" i="24"/>
  <c r="G18" i="23"/>
  <c r="G16" i="24"/>
  <c r="G5" i="23"/>
  <c r="AC5" i="24"/>
  <c r="G5" i="24"/>
  <c r="D6" i="17" l="1"/>
  <c r="E6" i="17" s="1"/>
  <c r="D8" i="17"/>
  <c r="E8" i="17" s="1"/>
  <c r="D10" i="17"/>
  <c r="E10" i="17" s="1"/>
  <c r="D12" i="17"/>
  <c r="E12" i="17" s="1"/>
  <c r="D14" i="17"/>
  <c r="E14" i="17" s="1"/>
  <c r="D16" i="17"/>
  <c r="E16" i="17" s="1"/>
  <c r="D18" i="17"/>
  <c r="E18" i="17" s="1"/>
  <c r="D20" i="17"/>
  <c r="E20" i="17" s="1"/>
  <c r="D22" i="17"/>
  <c r="E22" i="17" s="1"/>
  <c r="D24" i="17"/>
  <c r="E24" i="17" s="1"/>
  <c r="D26" i="17"/>
  <c r="E26" i="17" s="1"/>
  <c r="D28" i="17"/>
  <c r="E28" i="17" s="1"/>
  <c r="D30" i="17"/>
  <c r="E30" i="17" s="1"/>
  <c r="D32" i="17"/>
  <c r="E32" i="17" s="1"/>
  <c r="D34" i="17"/>
  <c r="E34" i="17" s="1"/>
  <c r="D36" i="17"/>
  <c r="E36" i="17" s="1"/>
  <c r="D38" i="17"/>
  <c r="E38" i="17" s="1"/>
  <c r="D40" i="17"/>
  <c r="E40" i="17" s="1"/>
  <c r="D42" i="17"/>
  <c r="E42" i="17" s="1"/>
  <c r="D44" i="17"/>
  <c r="E44" i="17" s="1"/>
  <c r="D46" i="17"/>
  <c r="E46" i="17" s="1"/>
  <c r="D48" i="17"/>
  <c r="E48" i="17" s="1"/>
  <c r="D50" i="17"/>
  <c r="E50" i="17" s="1"/>
  <c r="D52" i="17"/>
  <c r="E52" i="17" s="1"/>
  <c r="D54" i="17"/>
  <c r="E54" i="17" s="1"/>
  <c r="D56" i="17"/>
  <c r="E56" i="17" s="1"/>
  <c r="D58" i="17"/>
  <c r="E58" i="17" s="1"/>
  <c r="D60" i="17"/>
  <c r="E60" i="17" s="1"/>
  <c r="D62" i="17"/>
  <c r="E62" i="17" s="1"/>
  <c r="D64" i="17"/>
  <c r="E64" i="17" s="1"/>
  <c r="D66" i="17"/>
  <c r="E66" i="17" s="1"/>
  <c r="D68" i="17"/>
  <c r="E68" i="17" s="1"/>
  <c r="D70" i="17"/>
  <c r="E70" i="17" s="1"/>
  <c r="D72" i="17"/>
  <c r="E72" i="17" s="1"/>
  <c r="D74" i="17"/>
  <c r="E74" i="17" s="1"/>
  <c r="D76" i="17"/>
  <c r="E76" i="17" s="1"/>
  <c r="D78" i="17"/>
  <c r="E78" i="17" s="1"/>
  <c r="D80" i="17"/>
  <c r="E80" i="17" s="1"/>
  <c r="D82" i="17"/>
  <c r="E82" i="17" s="1"/>
  <c r="D84" i="17"/>
  <c r="E84" i="17" s="1"/>
  <c r="D86" i="17"/>
  <c r="E86" i="17" s="1"/>
  <c r="D88" i="17"/>
  <c r="E88" i="17" s="1"/>
  <c r="D90" i="17"/>
  <c r="E90" i="17" s="1"/>
  <c r="D92" i="17"/>
  <c r="E92" i="17" s="1"/>
  <c r="D94" i="17"/>
  <c r="E94" i="17" s="1"/>
  <c r="D96" i="17"/>
  <c r="E96" i="17" s="1"/>
  <c r="D98" i="17"/>
  <c r="E98" i="17" s="1"/>
  <c r="D100" i="17"/>
  <c r="E100" i="17" s="1"/>
  <c r="D102" i="17"/>
  <c r="E102" i="17" s="1"/>
  <c r="D104" i="17"/>
  <c r="E104" i="17" s="1"/>
  <c r="D106" i="17"/>
  <c r="E106" i="17" s="1"/>
  <c r="D108" i="17"/>
  <c r="E108" i="17" s="1"/>
  <c r="D110" i="17"/>
  <c r="E110" i="17" s="1"/>
  <c r="D112" i="17"/>
  <c r="E112" i="17" s="1"/>
  <c r="D114" i="17"/>
  <c r="E114" i="17" s="1"/>
  <c r="D116" i="17"/>
  <c r="E116" i="17" s="1"/>
  <c r="D118" i="17"/>
  <c r="E118" i="17" s="1"/>
  <c r="D120" i="17"/>
  <c r="E120" i="17" s="1"/>
  <c r="D122" i="17"/>
  <c r="E122" i="17" s="1"/>
  <c r="D124" i="17"/>
  <c r="E124" i="17" s="1"/>
  <c r="D9" i="17"/>
  <c r="E9" i="17" s="1"/>
  <c r="D25" i="17"/>
  <c r="E25" i="17" s="1"/>
  <c r="D41" i="17"/>
  <c r="E41" i="17" s="1"/>
  <c r="D57" i="17"/>
  <c r="E57" i="17" s="1"/>
  <c r="D93" i="17"/>
  <c r="E93" i="17" s="1"/>
  <c r="D109" i="17"/>
  <c r="E109" i="17" s="1"/>
  <c r="D19" i="17"/>
  <c r="E19" i="17" s="1"/>
  <c r="D99" i="17"/>
  <c r="E99" i="17" s="1"/>
  <c r="D15" i="17"/>
  <c r="E15" i="17" s="1"/>
  <c r="D31" i="17"/>
  <c r="E31" i="17" s="1"/>
  <c r="D47" i="17"/>
  <c r="E47" i="17" s="1"/>
  <c r="D63" i="17"/>
  <c r="E63" i="17" s="1"/>
  <c r="D73" i="17"/>
  <c r="E73" i="17" s="1"/>
  <c r="D77" i="17"/>
  <c r="E77" i="17" s="1"/>
  <c r="D87" i="17"/>
  <c r="E87" i="17" s="1"/>
  <c r="D103" i="17"/>
  <c r="E103" i="17" s="1"/>
  <c r="D119" i="17"/>
  <c r="E119" i="17" s="1"/>
  <c r="D91" i="17"/>
  <c r="E91" i="17" s="1"/>
  <c r="D123" i="17"/>
  <c r="E123" i="17" s="1"/>
  <c r="D101" i="17"/>
  <c r="E101" i="17" s="1"/>
  <c r="D117" i="17"/>
  <c r="E117" i="17" s="1"/>
  <c r="D13" i="17"/>
  <c r="E13" i="17" s="1"/>
  <c r="D45" i="17"/>
  <c r="E45" i="17" s="1"/>
  <c r="D105" i="17"/>
  <c r="E105" i="17" s="1"/>
  <c r="D121" i="17"/>
  <c r="E121" i="17" s="1"/>
  <c r="D51" i="17"/>
  <c r="E51" i="17" s="1"/>
  <c r="D67" i="17"/>
  <c r="E67" i="17" s="1"/>
  <c r="D5" i="17"/>
  <c r="E5" i="17" s="1"/>
  <c r="D21" i="17"/>
  <c r="E21" i="17" s="1"/>
  <c r="D37" i="17"/>
  <c r="E37" i="17" s="1"/>
  <c r="D53" i="17"/>
  <c r="E53" i="17" s="1"/>
  <c r="D69" i="17"/>
  <c r="E69" i="17" s="1"/>
  <c r="D81" i="17"/>
  <c r="E81" i="17" s="1"/>
  <c r="D97" i="17"/>
  <c r="E97" i="17" s="1"/>
  <c r="D113" i="17"/>
  <c r="E113" i="17" s="1"/>
  <c r="D11" i="17"/>
  <c r="E11" i="17" s="1"/>
  <c r="D27" i="17"/>
  <c r="E27" i="17" s="1"/>
  <c r="D43" i="17"/>
  <c r="E43" i="17" s="1"/>
  <c r="D59" i="17"/>
  <c r="E59" i="17" s="1"/>
  <c r="D107" i="17"/>
  <c r="E107" i="17" s="1"/>
  <c r="D7" i="17"/>
  <c r="E7" i="17" s="1"/>
  <c r="D23" i="17"/>
  <c r="E23" i="17" s="1"/>
  <c r="D39" i="17"/>
  <c r="E39" i="17" s="1"/>
  <c r="D29" i="17"/>
  <c r="E29" i="17" s="1"/>
  <c r="D35" i="17"/>
  <c r="E35" i="17" s="1"/>
  <c r="D83" i="17"/>
  <c r="E83" i="17" s="1"/>
  <c r="D17" i="17"/>
  <c r="E17" i="17" s="1"/>
  <c r="D33" i="17"/>
  <c r="E33" i="17" s="1"/>
  <c r="D49" i="17"/>
  <c r="E49" i="17" s="1"/>
  <c r="D65" i="17"/>
  <c r="E65" i="17" s="1"/>
  <c r="D85" i="17"/>
  <c r="E85" i="17" s="1"/>
  <c r="D55" i="17"/>
  <c r="E55" i="17" s="1"/>
  <c r="D71" i="17"/>
  <c r="E71" i="17" s="1"/>
  <c r="D75" i="17"/>
  <c r="E75" i="17" s="1"/>
  <c r="D79" i="17"/>
  <c r="E79" i="17" s="1"/>
  <c r="D95" i="17"/>
  <c r="E95" i="17" s="1"/>
  <c r="D111" i="17"/>
  <c r="E111" i="17" s="1"/>
  <c r="D61" i="17"/>
  <c r="E61" i="17" s="1"/>
  <c r="D89" i="17"/>
  <c r="E89" i="17" s="1"/>
  <c r="D115" i="17"/>
  <c r="E115" i="17" s="1"/>
  <c r="E8" i="16"/>
  <c r="E10" i="16"/>
  <c r="E12" i="16"/>
  <c r="E14" i="16"/>
  <c r="E16" i="16"/>
  <c r="E18" i="16"/>
  <c r="E20" i="16"/>
  <c r="E22" i="16"/>
  <c r="E24" i="16"/>
  <c r="E26" i="16"/>
  <c r="E28" i="16"/>
  <c r="E30" i="16"/>
  <c r="E32" i="16"/>
  <c r="E34" i="16"/>
  <c r="E36" i="16"/>
  <c r="E38" i="16"/>
  <c r="E40" i="16"/>
  <c r="E42" i="16"/>
  <c r="E44" i="16"/>
  <c r="E46" i="16"/>
  <c r="E48" i="16"/>
  <c r="E11" i="16"/>
  <c r="E27" i="16"/>
  <c r="E13" i="16"/>
  <c r="E17" i="16"/>
  <c r="E33" i="16"/>
  <c r="E37" i="16"/>
  <c r="E41" i="16"/>
  <c r="E45" i="16"/>
  <c r="E29" i="16"/>
  <c r="E7" i="16"/>
  <c r="E23" i="16"/>
  <c r="E9" i="16"/>
  <c r="E25" i="16"/>
  <c r="E35" i="16"/>
  <c r="E39" i="16"/>
  <c r="E43" i="16"/>
  <c r="E47" i="16"/>
  <c r="E15" i="16"/>
  <c r="E31" i="16"/>
  <c r="E21" i="16"/>
  <c r="E19" i="16"/>
  <c r="D8" i="15"/>
  <c r="E8" i="15" s="1"/>
  <c r="D10" i="15"/>
  <c r="E10" i="15" s="1"/>
  <c r="D12" i="15"/>
  <c r="E12" i="15" s="1"/>
  <c r="D14" i="15"/>
  <c r="E14" i="15" s="1"/>
  <c r="D16" i="15"/>
  <c r="E16" i="15" s="1"/>
  <c r="D18" i="15"/>
  <c r="E18" i="15" s="1"/>
  <c r="D20" i="15"/>
  <c r="E20" i="15" s="1"/>
  <c r="D22" i="15"/>
  <c r="E22" i="15" s="1"/>
  <c r="D24" i="15"/>
  <c r="E24" i="15" s="1"/>
  <c r="D26" i="15"/>
  <c r="E26" i="15" s="1"/>
  <c r="D28" i="15"/>
  <c r="E28" i="15" s="1"/>
  <c r="D30" i="15"/>
  <c r="E30" i="15" s="1"/>
  <c r="D32" i="15"/>
  <c r="E32" i="15" s="1"/>
  <c r="D34" i="15"/>
  <c r="E34" i="15" s="1"/>
  <c r="D36" i="15"/>
  <c r="E36" i="15" s="1"/>
  <c r="D38" i="15"/>
  <c r="E38" i="15" s="1"/>
  <c r="D40" i="15"/>
  <c r="E40" i="15" s="1"/>
  <c r="D42" i="15"/>
  <c r="E42" i="15" s="1"/>
  <c r="D44" i="15"/>
  <c r="E44" i="15" s="1"/>
  <c r="D46" i="15"/>
  <c r="E46" i="15" s="1"/>
  <c r="D48" i="15"/>
  <c r="E48" i="15" s="1"/>
  <c r="D50" i="15"/>
  <c r="E50" i="15" s="1"/>
  <c r="D52" i="15"/>
  <c r="E52" i="15" s="1"/>
  <c r="D54" i="15"/>
  <c r="E54" i="15" s="1"/>
  <c r="D56" i="15"/>
  <c r="E56" i="15" s="1"/>
  <c r="D58" i="15"/>
  <c r="E58" i="15" s="1"/>
  <c r="D60" i="15"/>
  <c r="E60" i="15" s="1"/>
  <c r="D62" i="15"/>
  <c r="E62" i="15" s="1"/>
  <c r="D64" i="15"/>
  <c r="E64" i="15" s="1"/>
  <c r="D66" i="15"/>
  <c r="E66" i="15" s="1"/>
  <c r="D68" i="15"/>
  <c r="E68" i="15" s="1"/>
  <c r="D70" i="15"/>
  <c r="E70" i="15" s="1"/>
  <c r="D72" i="15"/>
  <c r="E72" i="15" s="1"/>
  <c r="D74" i="15"/>
  <c r="E74" i="15" s="1"/>
  <c r="D76" i="15"/>
  <c r="E76" i="15" s="1"/>
  <c r="D78" i="15"/>
  <c r="E78" i="15" s="1"/>
  <c r="D80" i="15"/>
  <c r="E80" i="15" s="1"/>
  <c r="D82" i="15"/>
  <c r="E82" i="15" s="1"/>
  <c r="D84" i="15"/>
  <c r="E84" i="15" s="1"/>
  <c r="D86" i="15"/>
  <c r="E86" i="15" s="1"/>
  <c r="D88" i="15"/>
  <c r="E88" i="15" s="1"/>
  <c r="D90" i="15"/>
  <c r="E90" i="15" s="1"/>
  <c r="D92" i="15"/>
  <c r="E92" i="15" s="1"/>
  <c r="D94" i="15"/>
  <c r="E94" i="15" s="1"/>
  <c r="D96" i="15"/>
  <c r="E96" i="15" s="1"/>
  <c r="D98" i="15"/>
  <c r="E98" i="15" s="1"/>
  <c r="D100" i="15"/>
  <c r="E100" i="15" s="1"/>
  <c r="D102" i="15"/>
  <c r="E102" i="15" s="1"/>
  <c r="D104" i="15"/>
  <c r="E104" i="15" s="1"/>
  <c r="D106" i="15"/>
  <c r="E106" i="15" s="1"/>
  <c r="D108" i="15"/>
  <c r="E108" i="15" s="1"/>
  <c r="D110" i="15"/>
  <c r="E110" i="15" s="1"/>
  <c r="D112" i="15"/>
  <c r="E112" i="15" s="1"/>
  <c r="D114" i="15"/>
  <c r="E114" i="15" s="1"/>
  <c r="D116" i="15"/>
  <c r="E116" i="15" s="1"/>
  <c r="D118" i="15"/>
  <c r="E118" i="15" s="1"/>
  <c r="D120" i="15"/>
  <c r="E120" i="15" s="1"/>
  <c r="D122" i="15"/>
  <c r="E122" i="15" s="1"/>
  <c r="D124" i="15"/>
  <c r="E124" i="15" s="1"/>
  <c r="D126" i="15"/>
  <c r="E126" i="15" s="1"/>
  <c r="D11" i="15"/>
  <c r="E11" i="15" s="1"/>
  <c r="D75" i="15"/>
  <c r="E75" i="15" s="1"/>
  <c r="D17" i="15"/>
  <c r="E17" i="15" s="1"/>
  <c r="D33" i="15"/>
  <c r="E33" i="15" s="1"/>
  <c r="D49" i="15"/>
  <c r="E49" i="15" s="1"/>
  <c r="D65" i="15"/>
  <c r="E65" i="15" s="1"/>
  <c r="D81" i="15"/>
  <c r="E81" i="15" s="1"/>
  <c r="D85" i="15"/>
  <c r="E85" i="15" s="1"/>
  <c r="D89" i="15"/>
  <c r="E89" i="15" s="1"/>
  <c r="D93" i="15"/>
  <c r="E93" i="15" s="1"/>
  <c r="D97" i="15"/>
  <c r="E97" i="15" s="1"/>
  <c r="D101" i="15"/>
  <c r="E101" i="15" s="1"/>
  <c r="D105" i="15"/>
  <c r="E105" i="15" s="1"/>
  <c r="D109" i="15"/>
  <c r="E109" i="15" s="1"/>
  <c r="D113" i="15"/>
  <c r="E113" i="15" s="1"/>
  <c r="D117" i="15"/>
  <c r="E117" i="15" s="1"/>
  <c r="D7" i="15"/>
  <c r="E7" i="15" s="1"/>
  <c r="D23" i="15"/>
  <c r="E23" i="15" s="1"/>
  <c r="D39" i="15"/>
  <c r="E39" i="15" s="1"/>
  <c r="D55" i="15"/>
  <c r="E55" i="15" s="1"/>
  <c r="D71" i="15"/>
  <c r="E71" i="15" s="1"/>
  <c r="D121" i="15"/>
  <c r="E121" i="15" s="1"/>
  <c r="D13" i="15"/>
  <c r="E13" i="15" s="1"/>
  <c r="D29" i="15"/>
  <c r="E29" i="15" s="1"/>
  <c r="D45" i="15"/>
  <c r="E45" i="15" s="1"/>
  <c r="D61" i="15"/>
  <c r="E61" i="15" s="1"/>
  <c r="D77" i="15"/>
  <c r="E77" i="15" s="1"/>
  <c r="D19" i="15"/>
  <c r="E19" i="15" s="1"/>
  <c r="D35" i="15"/>
  <c r="E35" i="15" s="1"/>
  <c r="D51" i="15"/>
  <c r="E51" i="15" s="1"/>
  <c r="D67" i="15"/>
  <c r="E67" i="15" s="1"/>
  <c r="D125" i="15"/>
  <c r="E125" i="15" s="1"/>
  <c r="D9" i="15"/>
  <c r="E9" i="15" s="1"/>
  <c r="D25" i="15"/>
  <c r="E25" i="15" s="1"/>
  <c r="D41" i="15"/>
  <c r="E41" i="15" s="1"/>
  <c r="D57" i="15"/>
  <c r="E57" i="15" s="1"/>
  <c r="D73" i="15"/>
  <c r="E73" i="15" s="1"/>
  <c r="D83" i="15"/>
  <c r="E83" i="15" s="1"/>
  <c r="D87" i="15"/>
  <c r="E87" i="15" s="1"/>
  <c r="D91" i="15"/>
  <c r="E91" i="15" s="1"/>
  <c r="D95" i="15"/>
  <c r="E95" i="15" s="1"/>
  <c r="D99" i="15"/>
  <c r="E99" i="15" s="1"/>
  <c r="D103" i="15"/>
  <c r="E103" i="15" s="1"/>
  <c r="D107" i="15"/>
  <c r="E107" i="15" s="1"/>
  <c r="D111" i="15"/>
  <c r="E111" i="15" s="1"/>
  <c r="D115" i="15"/>
  <c r="E115" i="15" s="1"/>
  <c r="D119" i="15"/>
  <c r="E119" i="15" s="1"/>
  <c r="D15" i="15"/>
  <c r="E15" i="15" s="1"/>
  <c r="D31" i="15"/>
  <c r="E31" i="15" s="1"/>
  <c r="D47" i="15"/>
  <c r="E47" i="15" s="1"/>
  <c r="D63" i="15"/>
  <c r="E63" i="15" s="1"/>
  <c r="D79" i="15"/>
  <c r="E79" i="15" s="1"/>
  <c r="D21" i="15"/>
  <c r="E21" i="15" s="1"/>
  <c r="D37" i="15"/>
  <c r="E37" i="15" s="1"/>
  <c r="D53" i="15"/>
  <c r="E53" i="15" s="1"/>
  <c r="D69" i="15"/>
  <c r="E69" i="15" s="1"/>
  <c r="D123" i="15"/>
  <c r="E123" i="15" s="1"/>
  <c r="D27" i="15"/>
  <c r="E27" i="15" s="1"/>
  <c r="D43" i="15"/>
  <c r="E43" i="15" s="1"/>
  <c r="D59" i="15"/>
  <c r="E59" i="15" s="1"/>
  <c r="F15" i="14"/>
  <c r="F8" i="17"/>
  <c r="P5" i="13"/>
  <c r="F23" i="17"/>
  <c r="F110" i="17"/>
  <c r="E8" i="13"/>
  <c r="F101" i="15"/>
  <c r="E20" i="13"/>
  <c r="F11" i="14"/>
  <c r="F98" i="17"/>
  <c r="F20" i="15"/>
  <c r="F32" i="17"/>
  <c r="F21" i="14"/>
  <c r="F22" i="17"/>
  <c r="F33" i="15"/>
  <c r="F46" i="16"/>
  <c r="F38" i="15"/>
  <c r="F120" i="15"/>
  <c r="F107" i="17"/>
  <c r="F123" i="17"/>
  <c r="F100" i="15"/>
  <c r="F108" i="15"/>
  <c r="P18" i="13"/>
  <c r="E14" i="13"/>
  <c r="F39" i="16"/>
  <c r="F9" i="15"/>
  <c r="D6" i="18"/>
  <c r="F45" i="16"/>
  <c r="F82" i="15"/>
  <c r="F108" i="17"/>
  <c r="F27" i="16"/>
  <c r="F106" i="17"/>
  <c r="F24" i="17"/>
  <c r="F68" i="15"/>
  <c r="F43" i="17"/>
  <c r="F13" i="15"/>
  <c r="F56" i="15"/>
  <c r="F17" i="16"/>
  <c r="F105" i="15"/>
  <c r="F30" i="15"/>
  <c r="E19" i="13"/>
  <c r="F48" i="17"/>
  <c r="E15" i="13"/>
  <c r="F42" i="15"/>
  <c r="F74" i="15"/>
  <c r="F69" i="15"/>
  <c r="F55" i="17"/>
  <c r="F40" i="15"/>
  <c r="F13" i="16"/>
  <c r="F32" i="15"/>
  <c r="F111" i="17"/>
  <c r="F112" i="17"/>
  <c r="F117" i="17"/>
  <c r="F44" i="16"/>
  <c r="F16" i="15"/>
  <c r="E10" i="13"/>
  <c r="E16" i="13"/>
  <c r="F28" i="15"/>
  <c r="F47" i="15"/>
  <c r="E13" i="13"/>
  <c r="F19" i="15"/>
  <c r="F64" i="17"/>
  <c r="F35" i="16"/>
  <c r="F19" i="14"/>
  <c r="F71" i="15"/>
  <c r="P21" i="13"/>
  <c r="F38" i="17"/>
  <c r="F11" i="17"/>
  <c r="P22" i="13"/>
  <c r="P12" i="13"/>
  <c r="F13" i="17"/>
  <c r="F110" i="15"/>
  <c r="F88" i="17"/>
  <c r="F85" i="15"/>
  <c r="F107" i="15"/>
  <c r="F16" i="16"/>
  <c r="F93" i="17"/>
  <c r="F48" i="15"/>
  <c r="F121" i="15"/>
  <c r="F114" i="15"/>
  <c r="F53" i="17"/>
  <c r="F28" i="17"/>
  <c r="F117" i="15"/>
  <c r="F7" i="17"/>
  <c r="F104" i="15"/>
  <c r="F91" i="17"/>
  <c r="F63" i="17"/>
  <c r="F106" i="15"/>
  <c r="F36" i="16"/>
  <c r="F70" i="17"/>
  <c r="F14" i="16"/>
  <c r="F22" i="15"/>
  <c r="F102" i="17"/>
  <c r="F53" i="15"/>
  <c r="F109" i="15"/>
  <c r="F46" i="17"/>
  <c r="F36" i="17"/>
  <c r="P6" i="13"/>
  <c r="F113" i="17"/>
  <c r="F46" i="15"/>
  <c r="F104" i="17"/>
  <c r="F40" i="17"/>
  <c r="F54" i="17"/>
  <c r="F51" i="17"/>
  <c r="F15" i="17"/>
  <c r="F18" i="14"/>
  <c r="F34" i="17"/>
  <c r="F114" i="17"/>
  <c r="F122" i="15"/>
  <c r="F100" i="17"/>
  <c r="F33" i="17"/>
  <c r="F31" i="16"/>
  <c r="F44" i="15"/>
  <c r="F25" i="15"/>
  <c r="F12" i="16"/>
  <c r="F66" i="15"/>
  <c r="F39" i="17"/>
  <c r="F60" i="17"/>
  <c r="F52" i="17"/>
  <c r="F47" i="17"/>
  <c r="F82" i="17"/>
  <c r="F68" i="17"/>
  <c r="F71" i="17"/>
  <c r="P8" i="13"/>
  <c r="F10" i="15"/>
  <c r="F103" i="15"/>
  <c r="P7" i="13"/>
  <c r="E21" i="13"/>
  <c r="F37" i="15"/>
  <c r="F9" i="17"/>
  <c r="F118" i="15"/>
  <c r="F121" i="17"/>
  <c r="P17" i="13"/>
  <c r="F25" i="14"/>
  <c r="F57" i="17"/>
  <c r="E7" i="13"/>
  <c r="F124" i="15"/>
  <c r="F17" i="17"/>
  <c r="F41" i="15"/>
  <c r="F10" i="16"/>
  <c r="F89" i="17"/>
  <c r="F113" i="15"/>
  <c r="F25" i="17"/>
  <c r="F116" i="17"/>
  <c r="F17" i="15"/>
  <c r="F35" i="17"/>
  <c r="F17" i="14"/>
  <c r="F15" i="16"/>
  <c r="F15" i="15"/>
  <c r="F7" i="14"/>
  <c r="F10" i="14"/>
  <c r="E22" i="13"/>
  <c r="F101" i="17"/>
  <c r="F49" i="17"/>
  <c r="F119" i="17"/>
  <c r="F95" i="17"/>
  <c r="F34" i="16"/>
  <c r="F62" i="17"/>
  <c r="F14" i="15"/>
  <c r="F55" i="15"/>
  <c r="F70" i="15"/>
  <c r="F119" i="15"/>
  <c r="F95" i="15"/>
  <c r="F86" i="17"/>
  <c r="F60" i="15"/>
  <c r="F42" i="17"/>
  <c r="P19" i="13"/>
  <c r="F43" i="15"/>
  <c r="F20" i="14"/>
  <c r="F65" i="15"/>
  <c r="F23" i="14"/>
  <c r="F47" i="16"/>
  <c r="F4" i="14"/>
  <c r="F35" i="15"/>
  <c r="F85" i="17"/>
  <c r="F87" i="15"/>
  <c r="F31" i="17"/>
  <c r="F87" i="17"/>
  <c r="F5" i="14"/>
  <c r="F12" i="15"/>
  <c r="F92" i="15"/>
  <c r="F9" i="16"/>
  <c r="Z9" i="16" s="1"/>
  <c r="F120" i="17"/>
  <c r="F23" i="15"/>
  <c r="F97" i="15"/>
  <c r="F76" i="17"/>
  <c r="F75" i="17"/>
  <c r="F21" i="17"/>
  <c r="F74" i="17"/>
  <c r="F54" i="15"/>
  <c r="F30" i="17"/>
  <c r="F76" i="15"/>
  <c r="F45" i="15"/>
  <c r="F126" i="15"/>
  <c r="E18" i="13"/>
  <c r="F75" i="15"/>
  <c r="F16" i="14"/>
  <c r="F96" i="17"/>
  <c r="F13" i="14"/>
  <c r="F31" i="15"/>
  <c r="F19" i="17"/>
  <c r="F125" i="15"/>
  <c r="P15" i="13"/>
  <c r="F111" i="15"/>
  <c r="F49" i="15"/>
  <c r="Z10" i="16"/>
  <c r="F3" i="14"/>
  <c r="F89" i="15"/>
  <c r="E12" i="13"/>
  <c r="F72" i="17"/>
  <c r="F24" i="16"/>
  <c r="F102" i="15"/>
  <c r="F73" i="17"/>
  <c r="F20" i="16"/>
  <c r="F19" i="16"/>
  <c r="E6" i="13"/>
  <c r="F96" i="15"/>
  <c r="F8" i="14"/>
  <c r="F86" i="15"/>
  <c r="F12" i="14"/>
  <c r="F72" i="15"/>
  <c r="F69" i="17"/>
  <c r="P13" i="13"/>
  <c r="F81" i="15"/>
  <c r="F36" i="15"/>
  <c r="P16" i="13"/>
  <c r="F93" i="15"/>
  <c r="F39" i="15"/>
  <c r="F67" i="15"/>
  <c r="F14" i="14"/>
  <c r="F77" i="17"/>
  <c r="F78" i="15"/>
  <c r="F9" i="14"/>
  <c r="F57" i="15"/>
  <c r="F29" i="16"/>
  <c r="F58" i="15"/>
  <c r="F12" i="17"/>
  <c r="F50" i="17"/>
  <c r="F61" i="15"/>
  <c r="F26" i="14"/>
  <c r="F50" i="15"/>
  <c r="F77" i="15"/>
  <c r="F7" i="15"/>
  <c r="F7" i="16"/>
  <c r="F26" i="15"/>
  <c r="F23" i="16"/>
  <c r="F37" i="16"/>
  <c r="F5" i="17"/>
  <c r="F79" i="15"/>
  <c r="F29" i="17"/>
  <c r="F123" i="15"/>
  <c r="F99" i="15"/>
  <c r="F116" i="15"/>
  <c r="F6" i="17"/>
  <c r="F34" i="15"/>
  <c r="F44" i="17"/>
  <c r="F37" i="17"/>
  <c r="F11" i="16"/>
  <c r="F40" i="16"/>
  <c r="F38" i="16"/>
  <c r="F122" i="17"/>
  <c r="F115" i="15"/>
  <c r="E5" i="13"/>
  <c r="F52" i="15"/>
  <c r="F59" i="17"/>
  <c r="F41" i="16"/>
  <c r="F84" i="17"/>
  <c r="F28" i="16"/>
  <c r="F11" i="15"/>
  <c r="F63" i="15"/>
  <c r="F83" i="17"/>
  <c r="F29" i="15"/>
  <c r="F16" i="17"/>
  <c r="F56" i="17"/>
  <c r="F51" i="15"/>
  <c r="P11" i="13"/>
  <c r="F10" i="17"/>
  <c r="F18" i="15"/>
  <c r="F18" i="16"/>
  <c r="D5" i="18"/>
  <c r="F61" i="17"/>
  <c r="F105" i="17"/>
  <c r="F25" i="16"/>
  <c r="F83" i="15"/>
  <c r="F109" i="17"/>
  <c r="F26" i="17"/>
  <c r="F118" i="17"/>
  <c r="P10" i="13"/>
  <c r="F98" i="15"/>
  <c r="F99" i="17"/>
  <c r="F33" i="16"/>
  <c r="F45" i="17"/>
  <c r="F20" i="17"/>
  <c r="F64" i="15"/>
  <c r="F103" i="17"/>
  <c r="F58" i="17"/>
  <c r="F88" i="15"/>
  <c r="F22" i="16"/>
  <c r="E9" i="13"/>
  <c r="F8" i="15"/>
  <c r="F30" i="16"/>
  <c r="F73" i="15"/>
  <c r="F21" i="15"/>
  <c r="Z12" i="16"/>
  <c r="E11" i="13"/>
  <c r="F94" i="15"/>
  <c r="F41" i="17"/>
  <c r="E17" i="13"/>
  <c r="F115" i="17"/>
  <c r="F124" i="17"/>
  <c r="F22" i="14"/>
  <c r="F43" i="16"/>
  <c r="F112" i="15"/>
  <c r="F67" i="17"/>
  <c r="F81" i="17"/>
  <c r="F27" i="17"/>
  <c r="F48" i="16"/>
  <c r="F18" i="17"/>
  <c r="Z7" i="16"/>
  <c r="F90" i="15"/>
  <c r="F84" i="15"/>
  <c r="F27" i="15"/>
  <c r="F80" i="17"/>
  <c r="F91" i="15"/>
  <c r="P20" i="13"/>
  <c r="P14" i="13"/>
  <c r="F80" i="15"/>
  <c r="F65" i="17"/>
  <c r="F32" i="16"/>
  <c r="F14" i="17"/>
  <c r="F6" i="14"/>
  <c r="F62" i="15"/>
  <c r="F21" i="16"/>
  <c r="Z11" i="16"/>
  <c r="F59" i="15"/>
  <c r="F79" i="17"/>
  <c r="F8" i="16"/>
  <c r="Z8" i="16" s="1"/>
  <c r="F24" i="14"/>
  <c r="F92" i="17"/>
  <c r="P9" i="13"/>
  <c r="F97" i="17"/>
  <c r="F24" i="15"/>
  <c r="F78" i="17"/>
  <c r="F90" i="17"/>
  <c r="F94" i="17"/>
  <c r="F66" i="17"/>
  <c r="F26" i="16"/>
  <c r="F42" i="16"/>
  <c r="D4" i="13"/>
  <c r="C4" i="18"/>
  <c r="E2" i="14"/>
  <c r="C5" i="11" l="1"/>
  <c r="C6" i="11" s="1"/>
  <c r="D5" i="11"/>
  <c r="D6" i="11" s="1"/>
  <c r="D7" i="11" s="1"/>
  <c r="D8" i="11" s="1"/>
  <c r="D9" i="11" s="1"/>
  <c r="D10" i="11" s="1"/>
  <c r="D11" i="11" s="1"/>
  <c r="D12" i="11" s="1"/>
  <c r="D13" i="11" s="1"/>
  <c r="D14" i="11" s="1"/>
  <c r="D15" i="11" s="1"/>
  <c r="D16" i="11" s="1"/>
  <c r="D17" i="11" s="1"/>
  <c r="D18" i="11" s="1"/>
  <c r="D19" i="11" s="1"/>
  <c r="D20" i="11" s="1"/>
  <c r="D21" i="11" s="1"/>
  <c r="D22" i="11" s="1"/>
  <c r="D23" i="11" s="1"/>
  <c r="D24" i="11" s="1"/>
  <c r="D25" i="11" s="1"/>
  <c r="D26" i="11" s="1"/>
  <c r="D27" i="11" s="1"/>
  <c r="D28" i="11" s="1"/>
  <c r="D29" i="11" s="1"/>
  <c r="D30" i="11" s="1"/>
  <c r="D31" i="11" s="1"/>
  <c r="D32" i="11" s="1"/>
  <c r="D33" i="11" s="1"/>
  <c r="D34" i="11" s="1"/>
  <c r="D35" i="11" s="1"/>
  <c r="D36" i="11" s="1"/>
  <c r="D37" i="11" s="1"/>
  <c r="D38" i="11" s="1"/>
  <c r="D39" i="11" s="1"/>
  <c r="D40" i="11" s="1"/>
  <c r="D41" i="11" s="1"/>
  <c r="D42" i="11" s="1"/>
  <c r="C5" i="10"/>
  <c r="C6" i="10" s="1"/>
  <c r="D5" i="10"/>
  <c r="D6" i="10" s="1"/>
  <c r="D7" i="10" s="1"/>
  <c r="D8" i="10" s="1"/>
  <c r="D9" i="10" s="1"/>
  <c r="D10" i="10" s="1"/>
  <c r="D11" i="10" s="1"/>
  <c r="D12" i="10" s="1"/>
  <c r="D13" i="10" s="1"/>
  <c r="D14" i="10" s="1"/>
  <c r="D15" i="10" s="1"/>
  <c r="D16" i="10" s="1"/>
  <c r="D17" i="10" s="1"/>
  <c r="D18" i="10" s="1"/>
  <c r="D19" i="10" s="1"/>
  <c r="D20" i="10" s="1"/>
  <c r="D21" i="10" s="1"/>
  <c r="D22" i="10" s="1"/>
  <c r="D23" i="10" s="1"/>
  <c r="D24" i="10" s="1"/>
  <c r="D25" i="10" s="1"/>
  <c r="D26" i="10" s="1"/>
  <c r="D27" i="10" s="1"/>
  <c r="D28" i="10" s="1"/>
  <c r="D29" i="10" s="1"/>
  <c r="D30" i="10" s="1"/>
  <c r="D31" i="10" s="1"/>
  <c r="D32" i="10" s="1"/>
  <c r="D33" i="10" s="1"/>
  <c r="D34" i="10" s="1"/>
  <c r="D35" i="10" s="1"/>
  <c r="D36" i="10" s="1"/>
  <c r="D37" i="10" s="1"/>
  <c r="D38" i="10" s="1"/>
  <c r="D39" i="10" s="1"/>
  <c r="D40" i="10" s="1"/>
  <c r="D41" i="10" s="1"/>
  <c r="D42" i="10" s="1"/>
  <c r="C5" i="9"/>
  <c r="C6" i="9" s="1"/>
  <c r="D5" i="9"/>
  <c r="D6" i="9" s="1"/>
  <c r="D7" i="9" s="1"/>
  <c r="D8" i="9" s="1"/>
  <c r="D9" i="9" s="1"/>
  <c r="D10" i="9" s="1"/>
  <c r="D11" i="9" s="1"/>
  <c r="D12" i="9" s="1"/>
  <c r="D13" i="9" s="1"/>
  <c r="D14" i="9" s="1"/>
  <c r="D15" i="9" s="1"/>
  <c r="D16" i="9" s="1"/>
  <c r="D17" i="9" s="1"/>
  <c r="D18" i="9" s="1"/>
  <c r="D19" i="9" s="1"/>
  <c r="D20" i="9" s="1"/>
  <c r="D21" i="9" s="1"/>
  <c r="D22" i="9" s="1"/>
  <c r="D23" i="9" s="1"/>
  <c r="D24" i="9" s="1"/>
  <c r="D25" i="9" s="1"/>
  <c r="D26" i="9" s="1"/>
  <c r="D27" i="9" s="1"/>
  <c r="D28" i="9" s="1"/>
  <c r="D29" i="9" s="1"/>
  <c r="D30" i="9" s="1"/>
  <c r="D31" i="9" s="1"/>
  <c r="D32" i="9" s="1"/>
  <c r="D33" i="9" s="1"/>
  <c r="D34" i="9" s="1"/>
  <c r="D35" i="9" s="1"/>
  <c r="D36" i="9" s="1"/>
  <c r="D37" i="9" s="1"/>
  <c r="D38" i="9" s="1"/>
  <c r="D39" i="9" s="1"/>
  <c r="D40" i="9" s="1"/>
  <c r="D41" i="9" s="1"/>
  <c r="D42" i="9" s="1"/>
  <c r="AM8" i="16"/>
  <c r="G10" i="15"/>
  <c r="G80" i="15"/>
  <c r="G38" i="15"/>
  <c r="G115" i="15"/>
  <c r="Z32" i="16"/>
  <c r="G19" i="17"/>
  <c r="Z31" i="16"/>
  <c r="G8" i="17"/>
  <c r="G31" i="15"/>
  <c r="G65" i="17"/>
  <c r="G70" i="17"/>
  <c r="G91" i="15"/>
  <c r="Z35" i="16"/>
  <c r="Z33" i="16"/>
  <c r="G126" i="15"/>
  <c r="G82" i="17"/>
  <c r="G108" i="17"/>
  <c r="G24" i="17"/>
  <c r="G20" i="17"/>
  <c r="G47" i="15"/>
  <c r="G20" i="15"/>
  <c r="G47" i="16"/>
  <c r="G91" i="17"/>
  <c r="G80" i="17"/>
  <c r="Z25" i="16"/>
  <c r="Z19" i="16"/>
  <c r="G95" i="17"/>
  <c r="G34" i="17"/>
  <c r="G73" i="17"/>
  <c r="G120" i="17"/>
  <c r="Z38" i="16"/>
  <c r="G21" i="16"/>
  <c r="G10" i="17"/>
  <c r="G36" i="17"/>
  <c r="G29" i="17"/>
  <c r="G72" i="15"/>
  <c r="Z23" i="16"/>
  <c r="G43" i="17"/>
  <c r="G86" i="17"/>
  <c r="AM11" i="16"/>
  <c r="G32" i="17"/>
  <c r="G16" i="17"/>
  <c r="G28" i="15"/>
  <c r="G51" i="15"/>
  <c r="Z46" i="16"/>
  <c r="G111" i="15"/>
  <c r="G105" i="17"/>
  <c r="G109" i="17"/>
  <c r="G93" i="15"/>
  <c r="G7" i="17"/>
  <c r="G26" i="15"/>
  <c r="G52" i="17"/>
  <c r="G69" i="17"/>
  <c r="Z18" i="16"/>
  <c r="G18" i="16"/>
  <c r="G96" i="17"/>
  <c r="G40" i="17"/>
  <c r="G67" i="15"/>
  <c r="G30" i="15"/>
  <c r="G70" i="15"/>
  <c r="G25" i="15"/>
  <c r="Z30" i="16"/>
  <c r="G36" i="15"/>
  <c r="G87" i="15"/>
  <c r="Z34" i="16"/>
  <c r="G57" i="15"/>
  <c r="G37" i="15"/>
  <c r="G33" i="15"/>
  <c r="G62" i="17"/>
  <c r="G119" i="17"/>
  <c r="G18" i="17"/>
  <c r="G25" i="16"/>
  <c r="G77" i="15"/>
  <c r="G42" i="15"/>
  <c r="G51" i="17"/>
  <c r="G13" i="16"/>
  <c r="Z24" i="16"/>
  <c r="G69" i="15"/>
  <c r="G22" i="15"/>
  <c r="G19" i="16"/>
  <c r="G104" i="17"/>
  <c r="G121" i="17"/>
  <c r="G107" i="17"/>
  <c r="G35" i="17"/>
  <c r="G36" i="16"/>
  <c r="G73" i="15"/>
  <c r="G43" i="16"/>
  <c r="G53" i="15"/>
  <c r="G55" i="17"/>
  <c r="G118" i="17"/>
  <c r="G121" i="15"/>
  <c r="G9" i="15"/>
  <c r="G89" i="17"/>
  <c r="G67" i="17"/>
  <c r="G68" i="15"/>
  <c r="Z16" i="16"/>
  <c r="G37" i="16"/>
  <c r="G8" i="16"/>
  <c r="G100" i="15"/>
  <c r="G17" i="15"/>
  <c r="G54" i="17"/>
  <c r="Z15" i="16"/>
  <c r="G117" i="15"/>
  <c r="Z22" i="16"/>
  <c r="G45" i="15"/>
  <c r="G101" i="15"/>
  <c r="G40" i="16"/>
  <c r="G109" i="15"/>
  <c r="G108" i="15"/>
  <c r="G103" i="17"/>
  <c r="Z41" i="16"/>
  <c r="G15" i="17"/>
  <c r="AM7" i="16"/>
  <c r="AN7" i="16" s="1"/>
  <c r="Z42" i="16"/>
  <c r="G107" i="15"/>
  <c r="G41" i="17"/>
  <c r="G78" i="17"/>
  <c r="G96" i="15"/>
  <c r="G84" i="15"/>
  <c r="G42" i="17"/>
  <c r="G27" i="17"/>
  <c r="G124" i="17"/>
  <c r="G12" i="15"/>
  <c r="G47" i="17"/>
  <c r="G23" i="17"/>
  <c r="G45" i="17"/>
  <c r="G38" i="17"/>
  <c r="Z14" i="16"/>
  <c r="G98" i="17"/>
  <c r="G99" i="15"/>
  <c r="G68" i="17"/>
  <c r="G22" i="16"/>
  <c r="G54" i="15"/>
  <c r="G118" i="15"/>
  <c r="G30" i="17"/>
  <c r="Z20" i="16"/>
  <c r="G78" i="15"/>
  <c r="G43" i="15"/>
  <c r="G48" i="15"/>
  <c r="G90" i="17"/>
  <c r="G124" i="15"/>
  <c r="G84" i="17"/>
  <c r="G24" i="15"/>
  <c r="G83" i="17"/>
  <c r="G111" i="17"/>
  <c r="Z48" i="16"/>
  <c r="G77" i="17"/>
  <c r="G116" i="17"/>
  <c r="G94" i="15"/>
  <c r="G71" i="15"/>
  <c r="G59" i="15"/>
  <c r="G41" i="16"/>
  <c r="G83" i="15"/>
  <c r="AM10" i="16"/>
  <c r="AN10" i="16" s="1"/>
  <c r="G63" i="17"/>
  <c r="G92" i="15"/>
  <c r="G115" i="17"/>
  <c r="G48" i="16"/>
  <c r="G8" i="15"/>
  <c r="G26" i="17"/>
  <c r="G125" i="15"/>
  <c r="G24" i="16"/>
  <c r="G30" i="16"/>
  <c r="G37" i="17"/>
  <c r="G65" i="15"/>
  <c r="G123" i="17"/>
  <c r="G12" i="16"/>
  <c r="G117" i="17"/>
  <c r="G86" i="15"/>
  <c r="G16" i="16"/>
  <c r="G35" i="15"/>
  <c r="G9" i="16"/>
  <c r="G105" i="15"/>
  <c r="AN8" i="16"/>
  <c r="Z43" i="16"/>
  <c r="G104" i="15"/>
  <c r="G7" i="15"/>
  <c r="G28" i="16"/>
  <c r="G17" i="16"/>
  <c r="G75" i="15"/>
  <c r="G76" i="15"/>
  <c r="G87" i="17"/>
  <c r="G113" i="15"/>
  <c r="G93" i="17"/>
  <c r="G62" i="15"/>
  <c r="G44" i="17"/>
  <c r="G114" i="17"/>
  <c r="G15" i="16"/>
  <c r="G39" i="17"/>
  <c r="G79" i="15"/>
  <c r="G14" i="16"/>
  <c r="G58" i="17"/>
  <c r="G110" i="17"/>
  <c r="G19" i="15"/>
  <c r="G11" i="15"/>
  <c r="G16" i="15"/>
  <c r="G34" i="16"/>
  <c r="G61" i="17"/>
  <c r="Z44" i="16"/>
  <c r="G50" i="17"/>
  <c r="Z40" i="16"/>
  <c r="G64" i="17"/>
  <c r="G53" i="17"/>
  <c r="G31" i="17"/>
  <c r="G74" i="17"/>
  <c r="G66" i="15"/>
  <c r="G52" i="15"/>
  <c r="G74" i="15"/>
  <c r="G95" i="15"/>
  <c r="G44" i="15"/>
  <c r="G17" i="17"/>
  <c r="G12" i="17"/>
  <c r="G114" i="15"/>
  <c r="G59" i="17"/>
  <c r="G23" i="15"/>
  <c r="G44" i="16"/>
  <c r="G11" i="17"/>
  <c r="G81" i="15"/>
  <c r="AM12" i="16"/>
  <c r="AN12" i="16" s="1"/>
  <c r="Z17" i="16"/>
  <c r="G94" i="17"/>
  <c r="G88" i="17"/>
  <c r="G64" i="15"/>
  <c r="G85" i="17"/>
  <c r="G90" i="15"/>
  <c r="G56" i="15"/>
  <c r="G11" i="16"/>
  <c r="G46" i="17"/>
  <c r="G98" i="15"/>
  <c r="G31" i="16"/>
  <c r="G58" i="15"/>
  <c r="G88" i="15"/>
  <c r="G46" i="15"/>
  <c r="Z37" i="16"/>
  <c r="G29" i="15"/>
  <c r="G56" i="17"/>
  <c r="G57" i="17"/>
  <c r="G20" i="16"/>
  <c r="G81" i="17"/>
  <c r="G27" i="16"/>
  <c r="G55" i="15"/>
  <c r="G22" i="17"/>
  <c r="G35" i="16"/>
  <c r="G112" i="17"/>
  <c r="G21" i="17"/>
  <c r="G15" i="15"/>
  <c r="G122" i="15"/>
  <c r="G21" i="15"/>
  <c r="G82" i="15"/>
  <c r="G66" i="17"/>
  <c r="G49" i="17"/>
  <c r="Z28" i="16"/>
  <c r="G99" i="17"/>
  <c r="G103" i="15"/>
  <c r="G110" i="15"/>
  <c r="G10" i="16"/>
  <c r="G14" i="15"/>
  <c r="G112" i="15"/>
  <c r="G106" i="15"/>
  <c r="Z27" i="16"/>
  <c r="G102" i="17"/>
  <c r="G27" i="15"/>
  <c r="G119" i="15"/>
  <c r="G63" i="15"/>
  <c r="G116" i="15"/>
  <c r="G39" i="15"/>
  <c r="G41" i="15"/>
  <c r="G34" i="15"/>
  <c r="G13" i="17"/>
  <c r="G113" i="17"/>
  <c r="G71" i="17"/>
  <c r="G33" i="17"/>
  <c r="Z26" i="16"/>
  <c r="G79" i="17"/>
  <c r="G100" i="17"/>
  <c r="G76" i="17"/>
  <c r="G32" i="15"/>
  <c r="Z39" i="16"/>
  <c r="G60" i="17"/>
  <c r="G85" i="15"/>
  <c r="AM9" i="16"/>
  <c r="AN9" i="16" s="1"/>
  <c r="G123" i="15"/>
  <c r="G40" i="15"/>
  <c r="G42" i="16"/>
  <c r="G23" i="16"/>
  <c r="G9" i="17"/>
  <c r="G89" i="15"/>
  <c r="G50" i="15"/>
  <c r="G29" i="16"/>
  <c r="Z21" i="16"/>
  <c r="G92" i="17"/>
  <c r="G18" i="15"/>
  <c r="G61" i="15"/>
  <c r="G72" i="17"/>
  <c r="Z47" i="16"/>
  <c r="G49" i="15"/>
  <c r="Z29" i="16"/>
  <c r="G106" i="17"/>
  <c r="G120" i="15"/>
  <c r="G45" i="16"/>
  <c r="G102" i="15"/>
  <c r="Z36" i="16"/>
  <c r="G101" i="17"/>
  <c r="G5" i="17"/>
  <c r="G97" i="15"/>
  <c r="G48" i="17"/>
  <c r="G33" i="16"/>
  <c r="G28" i="17"/>
  <c r="G6" i="17"/>
  <c r="G14" i="17"/>
  <c r="AN11" i="16"/>
  <c r="G122" i="17"/>
  <c r="G32" i="16"/>
  <c r="Z45" i="16"/>
  <c r="G60" i="15"/>
  <c r="G46" i="16"/>
  <c r="G97" i="17"/>
  <c r="G13" i="15"/>
  <c r="G7" i="16"/>
  <c r="G25" i="17"/>
  <c r="Z13" i="16"/>
  <c r="G26" i="16"/>
  <c r="G75" i="17"/>
  <c r="G38" i="16"/>
  <c r="G39" i="16"/>
  <c r="D4" i="18"/>
  <c r="F2" i="14"/>
  <c r="E4" i="13"/>
  <c r="E5" i="10" l="1"/>
  <c r="E6" i="11"/>
  <c r="C7" i="11"/>
  <c r="E5" i="11"/>
  <c r="E4" i="10"/>
  <c r="C7" i="10"/>
  <c r="E6" i="10"/>
  <c r="E4" i="9"/>
  <c r="E6" i="9"/>
  <c r="C7" i="9"/>
  <c r="E5" i="9"/>
  <c r="F5" i="10"/>
  <c r="AM16" i="16"/>
  <c r="F5" i="9"/>
  <c r="AM17" i="16"/>
  <c r="AM46" i="16"/>
  <c r="AM13" i="16"/>
  <c r="AN13" i="16" s="1"/>
  <c r="AM47" i="16"/>
  <c r="AN47" i="16" s="1"/>
  <c r="AM27" i="16"/>
  <c r="AN27" i="16" s="1"/>
  <c r="AM40" i="16"/>
  <c r="AN40" i="16" s="1"/>
  <c r="AM20" i="16"/>
  <c r="AN20" i="16" s="1"/>
  <c r="AM22" i="16"/>
  <c r="AN22" i="16" s="1"/>
  <c r="AM34" i="16"/>
  <c r="AN34" i="16" s="1"/>
  <c r="AM23" i="16"/>
  <c r="AN23" i="16" s="1"/>
  <c r="AM33" i="16"/>
  <c r="AN33" i="16" s="1"/>
  <c r="AM36" i="16"/>
  <c r="AM37" i="16"/>
  <c r="AM42" i="16"/>
  <c r="AM19" i="16"/>
  <c r="F6" i="10"/>
  <c r="AN17" i="16"/>
  <c r="AM26" i="16"/>
  <c r="AM41" i="16"/>
  <c r="AN41" i="16" s="1"/>
  <c r="AM25" i="16"/>
  <c r="AN25" i="16" s="1"/>
  <c r="F6" i="11"/>
  <c r="AM45" i="16"/>
  <c r="AN45" i="16" s="1"/>
  <c r="AM21" i="16"/>
  <c r="AN21" i="16" s="1"/>
  <c r="AM28" i="16"/>
  <c r="AN28" i="16" s="1"/>
  <c r="AM44" i="16"/>
  <c r="AN44" i="16" s="1"/>
  <c r="AM14" i="16"/>
  <c r="AN14" i="16" s="1"/>
  <c r="AM15" i="16"/>
  <c r="AN15" i="16" s="1"/>
  <c r="AM30" i="16"/>
  <c r="AN30" i="16" s="1"/>
  <c r="AM38" i="16"/>
  <c r="AN38" i="16" s="1"/>
  <c r="AM35" i="16"/>
  <c r="AN35" i="16" s="1"/>
  <c r="F6" i="9"/>
  <c r="AN36" i="16"/>
  <c r="AN37" i="16"/>
  <c r="AN42" i="16"/>
  <c r="AN16" i="16"/>
  <c r="AN19" i="16"/>
  <c r="F5" i="11"/>
  <c r="AM39" i="16"/>
  <c r="AN39" i="16" s="1"/>
  <c r="AM43" i="16"/>
  <c r="AN43" i="16" s="1"/>
  <c r="AM18" i="16"/>
  <c r="AN18" i="16" s="1"/>
  <c r="AM31" i="16"/>
  <c r="AN31" i="16" s="1"/>
  <c r="AN26" i="16"/>
  <c r="AN46" i="16"/>
  <c r="AM29" i="16"/>
  <c r="AN29" i="16" s="1"/>
  <c r="AM48" i="16"/>
  <c r="AN48" i="16" s="1"/>
  <c r="AM24" i="16"/>
  <c r="AN24" i="16" s="1"/>
  <c r="AM32" i="16"/>
  <c r="AN32" i="16" s="1"/>
  <c r="C8" i="11" l="1"/>
  <c r="E7" i="11"/>
  <c r="E7" i="10"/>
  <c r="C8" i="10"/>
  <c r="C8" i="9"/>
  <c r="E7" i="9"/>
  <c r="G6" i="11"/>
  <c r="G6" i="10"/>
  <c r="G5" i="10"/>
  <c r="G6" i="9"/>
  <c r="F7" i="10"/>
  <c r="AC5" i="9"/>
  <c r="F7" i="11"/>
  <c r="G5" i="9"/>
  <c r="AC6" i="9"/>
  <c r="F7" i="9"/>
  <c r="G5" i="11"/>
  <c r="C9" i="11" l="1"/>
  <c r="E8" i="11"/>
  <c r="C9" i="10"/>
  <c r="E8" i="10"/>
  <c r="E8" i="9"/>
  <c r="C9" i="9"/>
  <c r="AC7" i="9"/>
  <c r="F8" i="11"/>
  <c r="F8" i="10"/>
  <c r="G7" i="11"/>
  <c r="G7" i="9"/>
  <c r="G7" i="10"/>
  <c r="F8" i="9"/>
  <c r="E4" i="11" l="1"/>
  <c r="E9" i="11"/>
  <c r="C10" i="11"/>
  <c r="E9" i="10"/>
  <c r="C10" i="10"/>
  <c r="E9" i="9"/>
  <c r="C10" i="9"/>
  <c r="G8" i="9"/>
  <c r="F9" i="9"/>
  <c r="AC8" i="9"/>
  <c r="G8" i="11"/>
  <c r="G8" i="10"/>
  <c r="F9" i="11"/>
  <c r="F9" i="10"/>
  <c r="C11" i="11" l="1"/>
  <c r="E10" i="11"/>
  <c r="E10" i="10"/>
  <c r="C11" i="10"/>
  <c r="C11" i="9"/>
  <c r="E10" i="9"/>
  <c r="G9" i="9"/>
  <c r="G9" i="10"/>
  <c r="AC9" i="9"/>
  <c r="G9" i="11"/>
  <c r="F10" i="10"/>
  <c r="F10" i="11"/>
  <c r="F10" i="9"/>
  <c r="C12" i="11" l="1"/>
  <c r="E11" i="11"/>
  <c r="C12" i="10"/>
  <c r="E11" i="10"/>
  <c r="C12" i="9"/>
  <c r="E11" i="9"/>
  <c r="G10" i="9"/>
  <c r="AC10" i="9"/>
  <c r="G10" i="10"/>
  <c r="F11" i="10"/>
  <c r="F11" i="9"/>
  <c r="G10" i="11"/>
  <c r="F11" i="11"/>
  <c r="C13" i="11" l="1"/>
  <c r="E12" i="11"/>
  <c r="E12" i="10"/>
  <c r="C13" i="10"/>
  <c r="E12" i="9"/>
  <c r="C13" i="9"/>
  <c r="AC11" i="9"/>
  <c r="F12" i="10"/>
  <c r="F12" i="11"/>
  <c r="G11" i="11"/>
  <c r="G11" i="10"/>
  <c r="G11" i="9"/>
  <c r="F12" i="9"/>
  <c r="C14" i="11" l="1"/>
  <c r="E13" i="11"/>
  <c r="C14" i="10"/>
  <c r="E13" i="10"/>
  <c r="C14" i="9"/>
  <c r="E13" i="9"/>
  <c r="AC12" i="9"/>
  <c r="F13" i="10"/>
  <c r="F13" i="11"/>
  <c r="G12" i="11"/>
  <c r="G12" i="9"/>
  <c r="G12" i="10"/>
  <c r="F13" i="9"/>
  <c r="E14" i="11" l="1"/>
  <c r="C15" i="11"/>
  <c r="C15" i="10"/>
  <c r="E14" i="10"/>
  <c r="E14" i="9"/>
  <c r="C15" i="9"/>
  <c r="F14" i="11"/>
  <c r="AC13" i="9"/>
  <c r="G13" i="9"/>
  <c r="F14" i="9"/>
  <c r="G13" i="11"/>
  <c r="G13" i="10"/>
  <c r="F14" i="10"/>
  <c r="C16" i="11" l="1"/>
  <c r="E15" i="11"/>
  <c r="E15" i="10"/>
  <c r="C16" i="10"/>
  <c r="C16" i="9"/>
  <c r="E15" i="9"/>
  <c r="G14" i="10"/>
  <c r="G14" i="11"/>
  <c r="F15" i="11"/>
  <c r="AC14" i="9"/>
  <c r="G14" i="9"/>
  <c r="F15" i="10"/>
  <c r="F15" i="9"/>
  <c r="C17" i="11" l="1"/>
  <c r="E16" i="11"/>
  <c r="E16" i="10"/>
  <c r="C17" i="10"/>
  <c r="C17" i="9"/>
  <c r="E16" i="9"/>
  <c r="F16" i="10"/>
  <c r="G15" i="10"/>
  <c r="F16" i="9"/>
  <c r="F16" i="11"/>
  <c r="G15" i="9"/>
  <c r="AC15" i="9"/>
  <c r="G15" i="11"/>
  <c r="E17" i="11" l="1"/>
  <c r="C18" i="11"/>
  <c r="E17" i="10"/>
  <c r="C18" i="10"/>
  <c r="C18" i="9"/>
  <c r="E17" i="9"/>
  <c r="F17" i="10"/>
  <c r="G16" i="9"/>
  <c r="G16" i="10"/>
  <c r="F17" i="9"/>
  <c r="G16" i="11"/>
  <c r="F17" i="11"/>
  <c r="AC16" i="9"/>
  <c r="C19" i="11" l="1"/>
  <c r="E18" i="11"/>
  <c r="C19" i="10"/>
  <c r="E18" i="10"/>
  <c r="C19" i="9"/>
  <c r="E18" i="9"/>
  <c r="AC17" i="9"/>
  <c r="G17" i="11"/>
  <c r="G17" i="9"/>
  <c r="F18" i="11"/>
  <c r="F18" i="10"/>
  <c r="G17" i="10"/>
  <c r="F18" i="9"/>
  <c r="E19" i="11" l="1"/>
  <c r="C20" i="11"/>
  <c r="C20" i="10"/>
  <c r="E19" i="10"/>
  <c r="E19" i="9"/>
  <c r="C20" i="9"/>
  <c r="F19" i="11"/>
  <c r="AC18" i="9"/>
  <c r="F19" i="10"/>
  <c r="G18" i="11"/>
  <c r="G18" i="9"/>
  <c r="G18" i="10"/>
  <c r="F19" i="9"/>
  <c r="C21" i="11" l="1"/>
  <c r="E20" i="11"/>
  <c r="E20" i="10"/>
  <c r="C21" i="10"/>
  <c r="E20" i="9"/>
  <c r="C21" i="9"/>
  <c r="G19" i="10"/>
  <c r="F20" i="9"/>
  <c r="G19" i="9"/>
  <c r="G19" i="11"/>
  <c r="F20" i="11"/>
  <c r="F20" i="10"/>
  <c r="AC19" i="9"/>
  <c r="C22" i="11" l="1"/>
  <c r="E21" i="11"/>
  <c r="C22" i="10"/>
  <c r="E21" i="10"/>
  <c r="C22" i="9"/>
  <c r="E21" i="9"/>
  <c r="AC20" i="9"/>
  <c r="F21" i="11"/>
  <c r="F21" i="10"/>
  <c r="F21" i="9"/>
  <c r="G20" i="11"/>
  <c r="G20" i="10"/>
  <c r="G20" i="9"/>
  <c r="E22" i="11" l="1"/>
  <c r="C23" i="11"/>
  <c r="C23" i="10"/>
  <c r="E22" i="10"/>
  <c r="E22" i="9"/>
  <c r="C23" i="9"/>
  <c r="F22" i="10"/>
  <c r="G21" i="9"/>
  <c r="G21" i="11"/>
  <c r="AC21" i="9"/>
  <c r="G21" i="10"/>
  <c r="F22" i="9"/>
  <c r="F22" i="11"/>
  <c r="C24" i="11" l="1"/>
  <c r="E23" i="11"/>
  <c r="C24" i="10"/>
  <c r="E23" i="10"/>
  <c r="C24" i="9"/>
  <c r="E23" i="9"/>
  <c r="F23" i="10"/>
  <c r="F23" i="11"/>
  <c r="AC22" i="9"/>
  <c r="G22" i="9"/>
  <c r="G22" i="10"/>
  <c r="G22" i="11"/>
  <c r="F23" i="9"/>
  <c r="C25" i="11" l="1"/>
  <c r="E24" i="11"/>
  <c r="C25" i="10"/>
  <c r="E24" i="10"/>
  <c r="C25" i="9"/>
  <c r="E24" i="9"/>
  <c r="G23" i="11"/>
  <c r="F24" i="9"/>
  <c r="F24" i="10"/>
  <c r="F24" i="11"/>
  <c r="G23" i="9"/>
  <c r="G23" i="10"/>
  <c r="AC23" i="9"/>
  <c r="E25" i="11" l="1"/>
  <c r="C26" i="11"/>
  <c r="E25" i="10"/>
  <c r="C26" i="10"/>
  <c r="E25" i="9"/>
  <c r="C26" i="9"/>
  <c r="AC24" i="9"/>
  <c r="G24" i="10"/>
  <c r="F25" i="11"/>
  <c r="F25" i="9"/>
  <c r="G24" i="11"/>
  <c r="G24" i="9"/>
  <c r="F25" i="10"/>
  <c r="E26" i="11" l="1"/>
  <c r="C27" i="11"/>
  <c r="E26" i="10"/>
  <c r="C27" i="10"/>
  <c r="C27" i="9"/>
  <c r="E26" i="9"/>
  <c r="F26" i="11"/>
  <c r="F26" i="10"/>
  <c r="G25" i="9"/>
  <c r="G25" i="10"/>
  <c r="G25" i="11"/>
  <c r="AC25" i="9"/>
  <c r="F26" i="9"/>
  <c r="C28" i="11" l="1"/>
  <c r="E27" i="11"/>
  <c r="C28" i="10"/>
  <c r="E27" i="10"/>
  <c r="E27" i="9"/>
  <c r="C28" i="9"/>
  <c r="F27" i="10"/>
  <c r="AC26" i="9"/>
  <c r="G26" i="9"/>
  <c r="G26" i="11"/>
  <c r="F27" i="9"/>
  <c r="G26" i="10"/>
  <c r="F27" i="11"/>
  <c r="C29" i="11" l="1"/>
  <c r="E28" i="11"/>
  <c r="E28" i="10"/>
  <c r="C29" i="10"/>
  <c r="E28" i="9"/>
  <c r="C29" i="9"/>
  <c r="G27" i="9"/>
  <c r="G27" i="11"/>
  <c r="F28" i="10"/>
  <c r="AC27" i="9"/>
  <c r="F28" i="9"/>
  <c r="G27" i="10"/>
  <c r="F28" i="11"/>
  <c r="C30" i="11" l="1"/>
  <c r="E29" i="11"/>
  <c r="C30" i="10"/>
  <c r="E29" i="10"/>
  <c r="C30" i="9"/>
  <c r="E29" i="9"/>
  <c r="F29" i="10"/>
  <c r="AC28" i="9"/>
  <c r="F29" i="11"/>
  <c r="G28" i="9"/>
  <c r="G28" i="11"/>
  <c r="G28" i="10"/>
  <c r="F29" i="9"/>
  <c r="E30" i="11" l="1"/>
  <c r="C31" i="11"/>
  <c r="C31" i="10"/>
  <c r="E30" i="10"/>
  <c r="E30" i="9"/>
  <c r="C31" i="9"/>
  <c r="AC29" i="9"/>
  <c r="G29" i="11"/>
  <c r="F30" i="11"/>
  <c r="G29" i="9"/>
  <c r="F30" i="10"/>
  <c r="F30" i="9"/>
  <c r="G29" i="10"/>
  <c r="C32" i="11" l="1"/>
  <c r="E31" i="11"/>
  <c r="E31" i="10"/>
  <c r="C32" i="10"/>
  <c r="C32" i="9"/>
  <c r="E31" i="9"/>
  <c r="F31" i="10"/>
  <c r="G30" i="9"/>
  <c r="F31" i="9"/>
  <c r="G30" i="10"/>
  <c r="AC30" i="9"/>
  <c r="G30" i="11"/>
  <c r="F31" i="11"/>
  <c r="C33" i="11" l="1"/>
  <c r="E32" i="11"/>
  <c r="E32" i="10"/>
  <c r="C33" i="10"/>
  <c r="C33" i="9"/>
  <c r="E32" i="9"/>
  <c r="F32" i="9"/>
  <c r="F32" i="10"/>
  <c r="G31" i="11"/>
  <c r="F32" i="11"/>
  <c r="G31" i="9"/>
  <c r="G31" i="10"/>
  <c r="AC31" i="9"/>
  <c r="E33" i="11" l="1"/>
  <c r="C34" i="11"/>
  <c r="C34" i="10"/>
  <c r="E33" i="10"/>
  <c r="E33" i="9"/>
  <c r="C34" i="9"/>
  <c r="G32" i="11"/>
  <c r="F33" i="10"/>
  <c r="G32" i="10"/>
  <c r="F33" i="9"/>
  <c r="AC32" i="9"/>
  <c r="F33" i="11"/>
  <c r="G32" i="9"/>
  <c r="E34" i="11" l="1"/>
  <c r="C35" i="11"/>
  <c r="C35" i="10"/>
  <c r="E34" i="10"/>
  <c r="C35" i="9"/>
  <c r="E34" i="9"/>
  <c r="F34" i="11"/>
  <c r="AC33" i="9"/>
  <c r="G33" i="9"/>
  <c r="F34" i="10"/>
  <c r="G33" i="10"/>
  <c r="G33" i="11"/>
  <c r="F34" i="9"/>
  <c r="E35" i="11" l="1"/>
  <c r="C36" i="11"/>
  <c r="E35" i="10"/>
  <c r="C36" i="10"/>
  <c r="E35" i="9"/>
  <c r="C36" i="9"/>
  <c r="G34" i="11"/>
  <c r="F35" i="9"/>
  <c r="AC34" i="9"/>
  <c r="G34" i="9"/>
  <c r="G34" i="10"/>
  <c r="F35" i="11"/>
  <c r="F35" i="10"/>
  <c r="C37" i="11" l="1"/>
  <c r="E36" i="11"/>
  <c r="E36" i="10"/>
  <c r="C37" i="10"/>
  <c r="E36" i="9"/>
  <c r="C37" i="9"/>
  <c r="G35" i="9"/>
  <c r="F36" i="11"/>
  <c r="G35" i="11"/>
  <c r="F36" i="9"/>
  <c r="F36" i="10"/>
  <c r="G35" i="10"/>
  <c r="AC35" i="9"/>
  <c r="E37" i="11" l="1"/>
  <c r="C38" i="11"/>
  <c r="C38" i="10"/>
  <c r="E37" i="10"/>
  <c r="C38" i="9"/>
  <c r="E37" i="9"/>
  <c r="AC36" i="9"/>
  <c r="G36" i="10"/>
  <c r="G36" i="11"/>
  <c r="G36" i="9"/>
  <c r="F37" i="9"/>
  <c r="F37" i="10"/>
  <c r="F37" i="11"/>
  <c r="E38" i="11" l="1"/>
  <c r="C39" i="11"/>
  <c r="C39" i="10"/>
  <c r="E38" i="10"/>
  <c r="E38" i="9"/>
  <c r="C39" i="9"/>
  <c r="F38" i="10"/>
  <c r="G37" i="11"/>
  <c r="G37" i="10"/>
  <c r="F38" i="9"/>
  <c r="AC37" i="9"/>
  <c r="F38" i="11"/>
  <c r="G37" i="9"/>
  <c r="C40" i="11" l="1"/>
  <c r="E39" i="11"/>
  <c r="C40" i="10"/>
  <c r="E39" i="10"/>
  <c r="C40" i="9"/>
  <c r="E39" i="9"/>
  <c r="G38" i="9"/>
  <c r="G38" i="10"/>
  <c r="F39" i="11"/>
  <c r="G38" i="11"/>
  <c r="F39" i="10"/>
  <c r="AC38" i="9"/>
  <c r="F39" i="9"/>
  <c r="C41" i="11" l="1"/>
  <c r="E40" i="11"/>
  <c r="E40" i="10"/>
  <c r="C41" i="10"/>
  <c r="C41" i="9"/>
  <c r="E40" i="9"/>
  <c r="G39" i="9"/>
  <c r="AC39" i="9"/>
  <c r="F40" i="9"/>
  <c r="F40" i="10"/>
  <c r="G39" i="11"/>
  <c r="F40" i="11"/>
  <c r="G39" i="10"/>
  <c r="E41" i="11" l="1"/>
  <c r="C42" i="11"/>
  <c r="E42" i="11" s="1"/>
  <c r="E41" i="10"/>
  <c r="C42" i="10"/>
  <c r="E42" i="10" s="1"/>
  <c r="E41" i="9"/>
  <c r="C42" i="9"/>
  <c r="E42" i="9" s="1"/>
  <c r="F41" i="10"/>
  <c r="AC40" i="9"/>
  <c r="F41" i="11"/>
  <c r="F41" i="9"/>
  <c r="F42" i="11"/>
  <c r="F42" i="9"/>
  <c r="G40" i="11"/>
  <c r="G40" i="10"/>
  <c r="F42" i="10"/>
  <c r="G40" i="9"/>
  <c r="F4" i="10"/>
  <c r="F4" i="11"/>
  <c r="D5" i="7" l="1"/>
  <c r="D6" i="7"/>
  <c r="D7" i="7"/>
  <c r="D8" i="7"/>
  <c r="D9" i="7"/>
  <c r="D10" i="7"/>
  <c r="D11" i="7"/>
  <c r="D12" i="7"/>
  <c r="C13" i="7"/>
  <c r="D13" i="7" s="1"/>
  <c r="C14" i="7"/>
  <c r="D14" i="7" s="1"/>
  <c r="C15" i="7"/>
  <c r="D15" i="7" s="1"/>
  <c r="C16" i="7"/>
  <c r="D16" i="7" s="1"/>
  <c r="C17" i="7"/>
  <c r="D17" i="7" s="1"/>
  <c r="D19" i="7"/>
  <c r="D20" i="7"/>
  <c r="D21" i="7"/>
  <c r="D23" i="7"/>
  <c r="D24" i="7"/>
  <c r="D25" i="7"/>
  <c r="D26" i="7"/>
  <c r="D27" i="7"/>
  <c r="D28" i="7"/>
  <c r="D29" i="7"/>
  <c r="D30" i="7"/>
  <c r="D31" i="7"/>
  <c r="D32" i="7"/>
  <c r="D33" i="7"/>
  <c r="E27" i="7"/>
  <c r="E10" i="7"/>
  <c r="AC42" i="9"/>
  <c r="E15" i="7"/>
  <c r="E9" i="7"/>
  <c r="AC41" i="9"/>
  <c r="E11" i="7"/>
  <c r="E30" i="7"/>
  <c r="E17" i="7"/>
  <c r="E24" i="7"/>
  <c r="E32" i="7"/>
  <c r="E25" i="7"/>
  <c r="G42" i="11"/>
  <c r="E14" i="7"/>
  <c r="E29" i="7"/>
  <c r="E6" i="7"/>
  <c r="G41" i="11"/>
  <c r="E33" i="7"/>
  <c r="G41" i="9"/>
  <c r="E13" i="7"/>
  <c r="E12" i="7"/>
  <c r="E7" i="7"/>
  <c r="G41" i="10"/>
  <c r="E21" i="7"/>
  <c r="E20" i="7"/>
  <c r="E16" i="7"/>
  <c r="E8" i="7"/>
  <c r="E26" i="7"/>
  <c r="G42" i="10"/>
  <c r="E28" i="7"/>
  <c r="G42" i="9"/>
  <c r="E31" i="7"/>
  <c r="G4" i="11"/>
  <c r="G4" i="10"/>
  <c r="E5" i="7"/>
  <c r="E19" i="7"/>
  <c r="E23" i="7"/>
  <c r="E6" i="5" l="1"/>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5" i="4"/>
  <c r="E8" i="4"/>
  <c r="E9" i="4"/>
  <c r="E10" i="4"/>
  <c r="E11" i="4"/>
  <c r="E12" i="4"/>
  <c r="E13" i="4"/>
  <c r="E14" i="4"/>
  <c r="E15" i="4"/>
  <c r="E16" i="4"/>
  <c r="E17" i="4"/>
  <c r="E18" i="4"/>
  <c r="E19" i="4"/>
  <c r="E20" i="4"/>
  <c r="E21" i="4"/>
  <c r="E22" i="4"/>
  <c r="I5" i="4"/>
  <c r="S3" i="11"/>
  <c r="X5" i="11" s="1" a="1"/>
  <c r="F16" i="7"/>
  <c r="F60" i="5"/>
  <c r="F10" i="4"/>
  <c r="F8" i="4"/>
  <c r="F14" i="4"/>
  <c r="F39" i="5"/>
  <c r="F11" i="4"/>
  <c r="L8" i="4"/>
  <c r="F12" i="7"/>
  <c r="F10" i="7"/>
  <c r="F44" i="5"/>
  <c r="F9" i="4"/>
  <c r="F34" i="5"/>
  <c r="F19" i="4"/>
  <c r="F20" i="4"/>
  <c r="L20" i="4"/>
  <c r="F31" i="5"/>
  <c r="F64" i="5"/>
  <c r="F58" i="5"/>
  <c r="G19" i="4"/>
  <c r="F48" i="5"/>
  <c r="F8" i="5"/>
  <c r="F54" i="5"/>
  <c r="F51" i="5"/>
  <c r="F20" i="5"/>
  <c r="F46" i="5"/>
  <c r="F19" i="5"/>
  <c r="F61" i="5"/>
  <c r="F15" i="7"/>
  <c r="F28" i="7"/>
  <c r="F30" i="5"/>
  <c r="F14" i="7"/>
  <c r="F9" i="5"/>
  <c r="F47" i="5"/>
  <c r="F28" i="5"/>
  <c r="F9" i="7"/>
  <c r="F6" i="7"/>
  <c r="F27" i="7"/>
  <c r="F45" i="5"/>
  <c r="F53" i="5"/>
  <c r="F11" i="5"/>
  <c r="F18" i="4"/>
  <c r="F18" i="5"/>
  <c r="F41" i="5"/>
  <c r="F17" i="4"/>
  <c r="H17" i="4" s="1"/>
  <c r="F20" i="7"/>
  <c r="F32" i="7"/>
  <c r="G18" i="4"/>
  <c r="J19" i="5"/>
  <c r="J46" i="5"/>
  <c r="F30" i="7"/>
  <c r="F26" i="7"/>
  <c r="F63" i="5"/>
  <c r="F17" i="7"/>
  <c r="F7" i="4"/>
  <c r="F27" i="5"/>
  <c r="G10" i="4"/>
  <c r="F22" i="5"/>
  <c r="G22" i="5" s="1"/>
  <c r="H14" i="4"/>
  <c r="F16" i="4"/>
  <c r="G16" i="4" s="1"/>
  <c r="F15" i="4"/>
  <c r="F12" i="5"/>
  <c r="L19" i="4"/>
  <c r="F32" i="5"/>
  <c r="F6" i="4"/>
  <c r="L6" i="4" s="1"/>
  <c r="F40" i="5"/>
  <c r="F26" i="5"/>
  <c r="F21" i="5"/>
  <c r="F10" i="5"/>
  <c r="J39" i="5"/>
  <c r="F7" i="5"/>
  <c r="F29" i="7"/>
  <c r="J30" i="5"/>
  <c r="F43" i="5"/>
  <c r="F62" i="5"/>
  <c r="G7" i="5"/>
  <c r="F59" i="5"/>
  <c r="G20" i="4"/>
  <c r="F29" i="5"/>
  <c r="F21" i="7"/>
  <c r="F33" i="7"/>
  <c r="J22" i="5"/>
  <c r="F25" i="7"/>
  <c r="F23" i="5"/>
  <c r="J23" i="5" s="1"/>
  <c r="F24" i="7"/>
  <c r="F12" i="4"/>
  <c r="H12" i="4" s="1"/>
  <c r="F33" i="5"/>
  <c r="F25" i="5"/>
  <c r="F22" i="4"/>
  <c r="H10" i="4"/>
  <c r="F24" i="5"/>
  <c r="J24" i="5" s="1"/>
  <c r="F13" i="4"/>
  <c r="F66" i="5"/>
  <c r="F38" i="5"/>
  <c r="G39" i="5"/>
  <c r="F31" i="7"/>
  <c r="F52" i="5"/>
  <c r="F65" i="5"/>
  <c r="F42" i="5"/>
  <c r="F37" i="5"/>
  <c r="F15" i="5"/>
  <c r="F13" i="7"/>
  <c r="F17" i="5"/>
  <c r="F50" i="5"/>
  <c r="F13" i="5"/>
  <c r="F16" i="5"/>
  <c r="F49" i="5"/>
  <c r="F21" i="4"/>
  <c r="G24" i="5"/>
  <c r="F14" i="5"/>
  <c r="J14" i="5" s="1"/>
  <c r="F56" i="5"/>
  <c r="F36" i="5"/>
  <c r="F35" i="5"/>
  <c r="F11" i="7"/>
  <c r="F57" i="5"/>
  <c r="H6" i="4"/>
  <c r="Y3" i="20"/>
  <c r="F55" i="5"/>
  <c r="G55" i="5" s="1"/>
  <c r="G17" i="4"/>
  <c r="Q3" i="60"/>
  <c r="D2" i="28"/>
  <c r="F6" i="5"/>
  <c r="F6" i="15"/>
  <c r="F19" i="7"/>
  <c r="F5" i="7"/>
  <c r="F4" i="17"/>
  <c r="F23" i="7"/>
  <c r="F4" i="9"/>
  <c r="F6" i="16"/>
  <c r="L13" i="4"/>
  <c r="G13" i="4"/>
  <c r="J50" i="5"/>
  <c r="G50" i="5"/>
  <c r="H21" i="4"/>
  <c r="G21" i="4"/>
  <c r="W17" i="4" l="1"/>
  <c r="W12" i="4"/>
  <c r="W19" i="4"/>
  <c r="W10" i="4"/>
  <c r="W16" i="4"/>
  <c r="W21" i="4"/>
  <c r="W8" i="4"/>
  <c r="W15" i="4"/>
  <c r="W20" i="4"/>
  <c r="W13" i="4"/>
  <c r="W14" i="4"/>
  <c r="W11" i="4"/>
  <c r="W22" i="4"/>
  <c r="W9" i="4"/>
  <c r="W18" i="4"/>
  <c r="X5" i="11"/>
  <c r="X13" i="11"/>
  <c r="X21" i="11"/>
  <c r="X29" i="11"/>
  <c r="X37" i="11"/>
  <c r="X6" i="11"/>
  <c r="X14" i="11"/>
  <c r="X22" i="11"/>
  <c r="X30" i="11"/>
  <c r="X38" i="11"/>
  <c r="X39" i="11" s="1"/>
  <c r="X40" i="11" s="1"/>
  <c r="X41" i="11" s="1"/>
  <c r="X42" i="11" s="1"/>
  <c r="X7" i="11"/>
  <c r="X15" i="11"/>
  <c r="X23" i="11"/>
  <c r="X31" i="11"/>
  <c r="X16" i="11"/>
  <c r="X24" i="11"/>
  <c r="X9" i="11"/>
  <c r="X17" i="11"/>
  <c r="X33" i="11"/>
  <c r="X10" i="11"/>
  <c r="X26" i="11"/>
  <c r="X11" i="11"/>
  <c r="X19" i="11"/>
  <c r="X35" i="11"/>
  <c r="X12" i="11"/>
  <c r="X20" i="11"/>
  <c r="X28" i="11"/>
  <c r="X36" i="11"/>
  <c r="X8" i="11"/>
  <c r="X32" i="11"/>
  <c r="X25" i="11"/>
  <c r="X18" i="11"/>
  <c r="X34" i="11"/>
  <c r="X27" i="11"/>
  <c r="AC5" i="11" a="1"/>
  <c r="AC42" i="11" s="1"/>
  <c r="S3" i="10"/>
  <c r="J65" i="5"/>
  <c r="J31" i="5"/>
  <c r="J49" i="5"/>
  <c r="L12" i="4"/>
  <c r="G65" i="5"/>
  <c r="AA21" i="4"/>
  <c r="J63" i="5"/>
  <c r="G43" i="5"/>
  <c r="J59" i="5"/>
  <c r="J64" i="5"/>
  <c r="G18" i="5"/>
  <c r="L10" i="4"/>
  <c r="H9" i="4"/>
  <c r="G37" i="5"/>
  <c r="H16" i="4"/>
  <c r="G33" i="5"/>
  <c r="G46" i="5"/>
  <c r="G53" i="5"/>
  <c r="G49" i="5"/>
  <c r="H19" i="4"/>
  <c r="H11" i="4"/>
  <c r="AD42" i="11"/>
  <c r="G42" i="5"/>
  <c r="J15" i="5"/>
  <c r="I13" i="4"/>
  <c r="G13" i="5"/>
  <c r="J11" i="5"/>
  <c r="G56" i="5"/>
  <c r="X19" i="4"/>
  <c r="J42" i="5"/>
  <c r="J35" i="5"/>
  <c r="H22" i="4"/>
  <c r="G34" i="5"/>
  <c r="G11" i="5"/>
  <c r="G23" i="5"/>
  <c r="G17" i="5"/>
  <c r="I17" i="4"/>
  <c r="G21" i="5"/>
  <c r="J16" i="5"/>
  <c r="G38" i="5"/>
  <c r="G14" i="4"/>
  <c r="J10" i="5"/>
  <c r="J66" i="5"/>
  <c r="G61" i="5"/>
  <c r="J47" i="5"/>
  <c r="J41" i="5"/>
  <c r="J8" i="5"/>
  <c r="G31" i="5"/>
  <c r="I18" i="4"/>
  <c r="J43" i="5"/>
  <c r="G26" i="5"/>
  <c r="J26" i="5"/>
  <c r="G25" i="5"/>
  <c r="G9" i="4"/>
  <c r="I9" i="4" s="1"/>
  <c r="J12" i="5"/>
  <c r="G15" i="5"/>
  <c r="G12" i="5"/>
  <c r="G30" i="5"/>
  <c r="X12" i="4"/>
  <c r="J17" i="5"/>
  <c r="I16" i="4"/>
  <c r="G15" i="4"/>
  <c r="I15" i="4" s="1"/>
  <c r="L11" i="4"/>
  <c r="H8" i="4"/>
  <c r="G52" i="5"/>
  <c r="H20" i="4"/>
  <c r="X15" i="4"/>
  <c r="G22" i="4"/>
  <c r="G63" i="5"/>
  <c r="I10" i="4"/>
  <c r="G48" i="5"/>
  <c r="AA19" i="4"/>
  <c r="AA15" i="4"/>
  <c r="I19" i="4"/>
  <c r="J57" i="5"/>
  <c r="G64" i="5"/>
  <c r="L15" i="4"/>
  <c r="H7" i="4"/>
  <c r="J60" i="5"/>
  <c r="G28" i="5"/>
  <c r="G58" i="5"/>
  <c r="L16" i="4"/>
  <c r="L17" i="4"/>
  <c r="G40" i="5"/>
  <c r="L21" i="4"/>
  <c r="J36" i="5"/>
  <c r="J33" i="5"/>
  <c r="J13" i="5"/>
  <c r="J53" i="5"/>
  <c r="J32" i="5"/>
  <c r="X11" i="4"/>
  <c r="X21" i="4"/>
  <c r="J20" i="5"/>
  <c r="G6" i="4"/>
  <c r="AA10" i="4"/>
  <c r="G32" i="5"/>
  <c r="G14" i="5"/>
  <c r="G35" i="5"/>
  <c r="X14" i="4"/>
  <c r="G36" i="5"/>
  <c r="G44" i="5"/>
  <c r="J48" i="5"/>
  <c r="J37" i="5"/>
  <c r="J27" i="5"/>
  <c r="G8" i="4"/>
  <c r="I8" i="4" s="1"/>
  <c r="G9" i="5"/>
  <c r="G11" i="4"/>
  <c r="L9" i="4"/>
  <c r="X13" i="4"/>
  <c r="J34" i="5"/>
  <c r="J58" i="5"/>
  <c r="X8" i="4"/>
  <c r="AA18" i="4"/>
  <c r="H18" i="4"/>
  <c r="J45" i="5"/>
  <c r="AA14" i="4"/>
  <c r="G16" i="5"/>
  <c r="G10" i="5"/>
  <c r="G8" i="5"/>
  <c r="X17" i="4"/>
  <c r="J62" i="5"/>
  <c r="J29" i="5"/>
  <c r="G60" i="5"/>
  <c r="X22" i="4"/>
  <c r="J51" i="5"/>
  <c r="G57" i="5"/>
  <c r="AA20" i="4"/>
  <c r="J7" i="5"/>
  <c r="J55" i="5"/>
  <c r="J9" i="5"/>
  <c r="J61" i="5"/>
  <c r="J18" i="5"/>
  <c r="G27" i="5"/>
  <c r="H15" i="4"/>
  <c r="X20" i="4"/>
  <c r="G51" i="5"/>
  <c r="G20" i="5"/>
  <c r="AA17" i="4"/>
  <c r="H13" i="4"/>
  <c r="G47" i="5"/>
  <c r="AA9" i="4"/>
  <c r="X16" i="4"/>
  <c r="G54" i="5"/>
  <c r="J38" i="5"/>
  <c r="G41" i="5"/>
  <c r="J54" i="5"/>
  <c r="G62" i="5"/>
  <c r="G45" i="5"/>
  <c r="L14" i="4"/>
  <c r="L7" i="4"/>
  <c r="J40" i="5"/>
  <c r="J52" i="5"/>
  <c r="J56" i="5"/>
  <c r="L18" i="4"/>
  <c r="G12" i="4"/>
  <c r="I20" i="4"/>
  <c r="X18" i="4"/>
  <c r="X9" i="4"/>
  <c r="J44" i="5"/>
  <c r="J25" i="5"/>
  <c r="I21" i="4"/>
  <c r="G19" i="5"/>
  <c r="J28" i="5"/>
  <c r="G7" i="4"/>
  <c r="L22" i="4"/>
  <c r="X10" i="4"/>
  <c r="J21" i="5"/>
  <c r="G66" i="5"/>
  <c r="G59" i="5"/>
  <c r="G29" i="5"/>
  <c r="E2" i="28"/>
  <c r="G6" i="16"/>
  <c r="G6" i="15"/>
  <c r="G4" i="9"/>
  <c r="G6" i="5"/>
  <c r="G4" i="17"/>
  <c r="F5" i="4"/>
  <c r="Z15" i="4" l="1"/>
  <c r="AB15" i="4" s="1"/>
  <c r="Z10" i="4"/>
  <c r="AB10" i="4" s="1"/>
  <c r="Z9" i="4"/>
  <c r="AB9" i="4" s="1"/>
  <c r="Z17" i="4"/>
  <c r="AB17" i="4" s="1"/>
  <c r="Z20" i="4"/>
  <c r="AB20" i="4" s="1"/>
  <c r="Z14" i="4"/>
  <c r="AB14" i="4" s="1"/>
  <c r="Z18" i="4"/>
  <c r="AB18" i="4" s="1"/>
  <c r="Z21" i="4"/>
  <c r="AB21" i="4" s="1"/>
  <c r="Z19" i="4"/>
  <c r="AB19" i="4" s="1"/>
  <c r="AC5" i="11"/>
  <c r="AC37" i="11"/>
  <c r="AC29" i="11"/>
  <c r="AC21" i="11"/>
  <c r="AC13" i="11"/>
  <c r="AC36" i="11"/>
  <c r="AC28" i="11"/>
  <c r="AC20" i="11"/>
  <c r="AC12" i="11"/>
  <c r="AC35" i="11"/>
  <c r="AC27" i="11"/>
  <c r="AC19" i="11"/>
  <c r="AC11" i="11"/>
  <c r="AC34" i="11"/>
  <c r="AC26" i="11"/>
  <c r="AC18" i="11"/>
  <c r="AC10" i="11"/>
  <c r="AC41" i="11"/>
  <c r="AC33" i="11"/>
  <c r="AC25" i="11"/>
  <c r="AC17" i="11"/>
  <c r="AC9" i="11"/>
  <c r="AC40" i="11"/>
  <c r="AC32" i="11"/>
  <c r="AC24" i="11"/>
  <c r="AC16" i="11"/>
  <c r="AC8" i="11"/>
  <c r="AC39" i="11"/>
  <c r="AC31" i="11"/>
  <c r="AC23" i="11"/>
  <c r="AC15" i="11"/>
  <c r="AC7" i="11"/>
  <c r="AC38" i="11"/>
  <c r="AC30" i="11"/>
  <c r="AC22" i="11"/>
  <c r="AC14" i="11"/>
  <c r="AC6" i="11"/>
  <c r="X5" i="10" a="1"/>
  <c r="I11" i="4"/>
  <c r="U22" i="4"/>
  <c r="AD13" i="11"/>
  <c r="AD26" i="11"/>
  <c r="I6" i="4"/>
  <c r="AD15" i="11"/>
  <c r="AD39" i="11"/>
  <c r="AD12" i="11"/>
  <c r="AD38" i="11"/>
  <c r="I22" i="4"/>
  <c r="AD40" i="11"/>
  <c r="AD21" i="11"/>
  <c r="AD6" i="11"/>
  <c r="AD23" i="11"/>
  <c r="U13" i="4"/>
  <c r="AD14" i="11"/>
  <c r="I14" i="4"/>
  <c r="AD37" i="11"/>
  <c r="U11" i="4"/>
  <c r="AD33" i="11"/>
  <c r="AD30" i="11"/>
  <c r="U12" i="4"/>
  <c r="AD17" i="11"/>
  <c r="AD25" i="11"/>
  <c r="AD34" i="11"/>
  <c r="AD20" i="11"/>
  <c r="AD18" i="11"/>
  <c r="AD41" i="11"/>
  <c r="AD29" i="11"/>
  <c r="I7" i="4"/>
  <c r="AD31" i="11"/>
  <c r="U16" i="4"/>
  <c r="AD32" i="11"/>
  <c r="AD7" i="11"/>
  <c r="AD27" i="11"/>
  <c r="AD28" i="11"/>
  <c r="AD16" i="11"/>
  <c r="AD8" i="11"/>
  <c r="AD35" i="11"/>
  <c r="I12" i="4"/>
  <c r="AD11" i="11"/>
  <c r="U8" i="4"/>
  <c r="AD24" i="11"/>
  <c r="AD9" i="11"/>
  <c r="AD22" i="11"/>
  <c r="AD36" i="11"/>
  <c r="AD10" i="11"/>
  <c r="AD19" i="11"/>
  <c r="AD5" i="11"/>
  <c r="H5" i="4"/>
  <c r="X8" i="10" l="1"/>
  <c r="X5" i="10"/>
  <c r="X6" i="10"/>
  <c r="X7" i="10"/>
  <c r="X9" i="10"/>
  <c r="X10" i="10"/>
  <c r="AD3" i="11"/>
  <c r="Y12" i="4"/>
  <c r="Y16" i="4"/>
  <c r="Y8" i="4"/>
  <c r="Y13" i="4"/>
  <c r="Y11" i="4"/>
  <c r="AA11" i="4" s="1"/>
  <c r="Y22" i="4"/>
  <c r="Z22" i="4" l="1"/>
  <c r="AB22" i="4" s="1"/>
  <c r="Z8" i="4"/>
  <c r="AB8" i="4" s="1"/>
  <c r="Z16" i="4"/>
  <c r="AB16" i="4" s="1"/>
  <c r="Z11" i="4"/>
  <c r="AB11" i="4" s="1"/>
  <c r="Z12" i="4"/>
  <c r="AB12" i="4" s="1"/>
  <c r="Z13" i="4"/>
  <c r="AB13" i="4" s="1"/>
  <c r="X11" i="10"/>
  <c r="X12" i="10"/>
  <c r="X13" i="10"/>
  <c r="X14" i="10"/>
  <c r="X15" i="10"/>
  <c r="X16" i="10"/>
  <c r="X17" i="10"/>
  <c r="X18" i="10"/>
  <c r="X19" i="10"/>
  <c r="X20" i="10"/>
  <c r="X21" i="10"/>
  <c r="X22" i="10"/>
  <c r="X23" i="10"/>
  <c r="X24" i="10"/>
  <c r="X25" i="10"/>
  <c r="X26" i="10"/>
  <c r="X27" i="10"/>
  <c r="X28" i="10"/>
  <c r="X29" i="10"/>
  <c r="X30" i="10"/>
  <c r="X31" i="10"/>
  <c r="X32" i="10"/>
  <c r="X33" i="10"/>
  <c r="X34" i="10"/>
  <c r="X35" i="10"/>
  <c r="X36" i="10"/>
  <c r="X37" i="10"/>
  <c r="X38" i="10"/>
  <c r="X39" i="10" s="1"/>
  <c r="X40" i="10" s="1"/>
  <c r="X41" i="10" s="1"/>
  <c r="X42" i="10" s="1"/>
  <c r="AA8" i="4"/>
  <c r="AA13" i="4"/>
  <c r="AA22" i="4"/>
  <c r="AA12" i="4"/>
  <c r="AA16" i="4"/>
  <c r="Z3" i="4" l="1"/>
  <c r="AC5" i="10" a="1"/>
  <c r="AC5" i="10" s="1"/>
  <c r="AD5" i="10"/>
  <c r="AC36" i="10" l="1"/>
  <c r="AK36" i="10" s="1"/>
  <c r="AC28" i="10"/>
  <c r="AK28" i="10" s="1"/>
  <c r="AC20" i="10"/>
  <c r="AC12" i="10"/>
  <c r="AK12" i="10" s="1"/>
  <c r="AC35" i="10"/>
  <c r="AK35" i="10" s="1"/>
  <c r="AC27" i="10"/>
  <c r="AC19" i="10"/>
  <c r="AC11" i="10"/>
  <c r="AK11" i="10" s="1"/>
  <c r="AC42" i="10"/>
  <c r="AC34" i="10"/>
  <c r="AK34" i="10" s="1"/>
  <c r="AC26" i="10"/>
  <c r="AK26" i="10" s="1"/>
  <c r="AC18" i="10"/>
  <c r="AK18" i="10" s="1"/>
  <c r="AC10" i="10"/>
  <c r="AK10" i="10" s="1"/>
  <c r="AC41" i="10"/>
  <c r="AC33" i="10"/>
  <c r="AC25" i="10"/>
  <c r="AK25" i="10" s="1"/>
  <c r="AC17" i="10"/>
  <c r="AK17" i="10" s="1"/>
  <c r="AC9" i="10"/>
  <c r="AK9" i="10" s="1"/>
  <c r="AC40" i="10"/>
  <c r="AK40" i="10" s="1"/>
  <c r="AC32" i="10"/>
  <c r="AK32" i="10" s="1"/>
  <c r="AC24" i="10"/>
  <c r="AK24" i="10" s="1"/>
  <c r="AC16" i="10"/>
  <c r="AK16" i="10" s="1"/>
  <c r="AC8" i="10"/>
  <c r="AC39" i="10"/>
  <c r="AK39" i="10" s="1"/>
  <c r="AC31" i="10"/>
  <c r="AK31" i="10" s="1"/>
  <c r="AC23" i="10"/>
  <c r="AK23" i="10" s="1"/>
  <c r="AC15" i="10"/>
  <c r="AK15" i="10" s="1"/>
  <c r="AC7" i="10"/>
  <c r="AC38" i="10"/>
  <c r="AK38" i="10" s="1"/>
  <c r="AC30" i="10"/>
  <c r="AK30" i="10" s="1"/>
  <c r="AC22" i="10"/>
  <c r="AK22" i="10" s="1"/>
  <c r="AC14" i="10"/>
  <c r="AK14" i="10" s="1"/>
  <c r="AC6" i="10"/>
  <c r="AK6" i="10" s="1"/>
  <c r="AC37" i="10"/>
  <c r="AK37" i="10" s="1"/>
  <c r="AC29" i="10"/>
  <c r="AK29" i="10" s="1"/>
  <c r="AC21" i="10"/>
  <c r="AK21" i="10" s="1"/>
  <c r="AC13" i="10"/>
  <c r="AK13" i="10" s="1"/>
  <c r="AK5" i="10"/>
  <c r="S3" i="9"/>
  <c r="AD34" i="10"/>
  <c r="AD20" i="10"/>
  <c r="AD25" i="10"/>
  <c r="AD18" i="10"/>
  <c r="AD41" i="10"/>
  <c r="AD13" i="10"/>
  <c r="AD14" i="10"/>
  <c r="AD32" i="10"/>
  <c r="AD7" i="10"/>
  <c r="AD21" i="10"/>
  <c r="AD24" i="10"/>
  <c r="AD35" i="10"/>
  <c r="AD31" i="10"/>
  <c r="AD8" i="10"/>
  <c r="AD23" i="10"/>
  <c r="AD9" i="10"/>
  <c r="AD33" i="10"/>
  <c r="AD30" i="10"/>
  <c r="AD17" i="10"/>
  <c r="AD10" i="10"/>
  <c r="AD39" i="10"/>
  <c r="AD6" i="10"/>
  <c r="AD22" i="10"/>
  <c r="AD15" i="10"/>
  <c r="AD11" i="10"/>
  <c r="AD26" i="10"/>
  <c r="AD19" i="10"/>
  <c r="AD28" i="10"/>
  <c r="AD36" i="10"/>
  <c r="AD16" i="10"/>
  <c r="AD37" i="10"/>
  <c r="AD42" i="10"/>
  <c r="AD40" i="10"/>
  <c r="AD29" i="10"/>
  <c r="AD12" i="10"/>
  <c r="AD27" i="10"/>
  <c r="AD38" i="10"/>
  <c r="AK19" i="10" l="1"/>
  <c r="AK8" i="10"/>
  <c r="AK27" i="10"/>
  <c r="AK7" i="10"/>
  <c r="AK20" i="10"/>
  <c r="AK33" i="10"/>
  <c r="AK41" i="10"/>
  <c r="AK42" i="10"/>
  <c r="X5" i="9" a="1"/>
  <c r="AD3" i="10"/>
  <c r="Z3" i="22"/>
  <c r="Y3" i="21"/>
  <c r="AD3" i="23"/>
  <c r="M6" i="17" a="1"/>
  <c r="AC3" i="24"/>
  <c r="X7" i="9" l="1"/>
  <c r="X18" i="9"/>
  <c r="X20" i="9"/>
  <c r="X22" i="9"/>
  <c r="X24" i="9"/>
  <c r="X5" i="9"/>
  <c r="X26" i="9"/>
  <c r="X28" i="9"/>
  <c r="X30" i="9"/>
  <c r="X8" i="9"/>
  <c r="X34" i="9"/>
  <c r="X36" i="9"/>
  <c r="X38" i="9"/>
  <c r="X39" i="9" s="1"/>
  <c r="X40" i="9" s="1"/>
  <c r="X41" i="9" s="1"/>
  <c r="X42" i="9" s="1"/>
  <c r="X9" i="9"/>
  <c r="X11" i="9"/>
  <c r="X13" i="9"/>
  <c r="X15" i="9"/>
  <c r="X17" i="9"/>
  <c r="X19" i="9"/>
  <c r="X21" i="9"/>
  <c r="X23" i="9"/>
  <c r="X33" i="9"/>
  <c r="X35" i="9"/>
  <c r="X37" i="9"/>
  <c r="X16" i="9"/>
  <c r="X25" i="9"/>
  <c r="X27" i="9"/>
  <c r="X29" i="9"/>
  <c r="X31" i="9"/>
  <c r="X6" i="9"/>
  <c r="X10" i="9"/>
  <c r="X12" i="9"/>
  <c r="X14" i="9"/>
  <c r="X32" i="9"/>
  <c r="M6" i="17"/>
  <c r="M7" i="17"/>
  <c r="M8" i="17"/>
  <c r="M9" i="17"/>
  <c r="Y6" i="17" l="1" a="1"/>
  <c r="Y9" i="17" s="1"/>
  <c r="M7" i="16" a="1"/>
  <c r="AA9" i="17"/>
  <c r="Y6" i="17" l="1"/>
  <c r="Y7" i="17"/>
  <c r="Y8" i="17"/>
  <c r="M7" i="16"/>
  <c r="M8" i="16"/>
  <c r="M9" i="16"/>
  <c r="M10" i="16"/>
  <c r="AA8" i="17"/>
  <c r="AA7" i="17"/>
  <c r="AA6" i="17"/>
  <c r="M11" i="16" l="1"/>
  <c r="M12" i="16"/>
  <c r="AA4" i="17"/>
  <c r="M13" i="16" l="1"/>
  <c r="M14" i="16"/>
  <c r="M15" i="16" l="1"/>
  <c r="M16" i="16"/>
  <c r="M17" i="16" l="1"/>
  <c r="M18" i="16"/>
  <c r="M19" i="16"/>
  <c r="M20" i="16"/>
  <c r="M21" i="16"/>
  <c r="M22" i="16"/>
  <c r="M23" i="16"/>
  <c r="M24" i="16"/>
  <c r="M25" i="16"/>
  <c r="M26" i="16"/>
  <c r="M27" i="16"/>
  <c r="M28" i="16"/>
  <c r="M29" i="16"/>
  <c r="M30" i="16"/>
  <c r="M31" i="16"/>
  <c r="M32" i="16"/>
  <c r="M33" i="16"/>
  <c r="M34" i="16"/>
  <c r="M35" i="16"/>
  <c r="M36" i="16"/>
  <c r="M37" i="16"/>
  <c r="M38" i="16"/>
  <c r="M39" i="16"/>
  <c r="M40" i="16"/>
  <c r="M41" i="16"/>
  <c r="M42" i="16"/>
  <c r="M43" i="16"/>
  <c r="M44" i="16"/>
  <c r="M45" i="16"/>
  <c r="M46" i="16"/>
  <c r="M47" i="16"/>
  <c r="M48" i="16"/>
  <c r="O7" i="16" l="1" a="1"/>
  <c r="O7" i="16" l="1"/>
  <c r="O8" i="16"/>
  <c r="O9" i="16"/>
  <c r="O10" i="16"/>
  <c r="O11" i="16"/>
  <c r="O12" i="16"/>
  <c r="O13" i="16"/>
  <c r="O14" i="16"/>
  <c r="O15" i="16"/>
  <c r="O16" i="16"/>
  <c r="O17" i="16"/>
  <c r="O18" i="16"/>
  <c r="O19" i="16"/>
  <c r="O20" i="16"/>
  <c r="O21" i="16"/>
  <c r="O22" i="16"/>
  <c r="O23" i="16"/>
  <c r="O24" i="16"/>
  <c r="O25" i="16"/>
  <c r="O26" i="16"/>
  <c r="O27" i="16"/>
  <c r="O28" i="16"/>
  <c r="O29" i="16"/>
  <c r="O30" i="16"/>
  <c r="O31" i="16"/>
  <c r="O32" i="16"/>
  <c r="O33" i="16"/>
  <c r="O34" i="16"/>
  <c r="O35" i="16"/>
  <c r="O36" i="16"/>
  <c r="O37" i="16"/>
  <c r="O38" i="16"/>
  <c r="O39" i="16"/>
  <c r="O40" i="16"/>
  <c r="O41" i="16"/>
  <c r="O42" i="16"/>
  <c r="O43" i="16"/>
  <c r="O44" i="16"/>
  <c r="O45" i="16"/>
  <c r="O46" i="16"/>
  <c r="O47" i="16"/>
  <c r="O48" i="16"/>
  <c r="M7" i="15" a="1"/>
  <c r="M7" i="15" l="1"/>
  <c r="M8" i="15"/>
  <c r="M9" i="15"/>
  <c r="M10" i="15"/>
  <c r="Z5" i="16"/>
  <c r="M11" i="15" l="1"/>
  <c r="M12" i="15"/>
  <c r="M13" i="15" l="1"/>
  <c r="M14" i="15"/>
  <c r="M15" i="15" l="1"/>
  <c r="M16" i="15"/>
  <c r="M17" i="15" l="1"/>
  <c r="M18" i="15"/>
  <c r="O7" i="15" l="1" a="1"/>
  <c r="Y7" i="15" a="1"/>
  <c r="Y7" i="15" l="1"/>
  <c r="Y8" i="15"/>
  <c r="Y9" i="15"/>
  <c r="Y10" i="15"/>
  <c r="Y11" i="15"/>
  <c r="Y12" i="15"/>
  <c r="Y13" i="15"/>
  <c r="Y14" i="15"/>
  <c r="Y15" i="15"/>
  <c r="Y16" i="15"/>
  <c r="Y17" i="15"/>
  <c r="Y18" i="15"/>
  <c r="O7" i="15"/>
  <c r="O8" i="15"/>
  <c r="O9" i="15"/>
  <c r="O10" i="15"/>
  <c r="O11" i="15"/>
  <c r="O12" i="15"/>
  <c r="O13" i="15"/>
  <c r="O14" i="15"/>
  <c r="O15" i="15"/>
  <c r="O16" i="15"/>
  <c r="O17" i="15"/>
  <c r="O18" i="15"/>
  <c r="AA11" i="15"/>
  <c r="X3" i="14"/>
  <c r="AA7" i="15"/>
  <c r="AA17" i="15"/>
  <c r="AA15" i="15"/>
  <c r="P3" i="13"/>
  <c r="AA16" i="15"/>
  <c r="AA14" i="15"/>
  <c r="Y9" i="26"/>
  <c r="AA10" i="15"/>
  <c r="AA12" i="15"/>
  <c r="AA9" i="15"/>
  <c r="O4" i="26"/>
  <c r="AA8" i="15"/>
  <c r="AA13" i="15"/>
  <c r="AC3" i="9"/>
  <c r="AA18" i="15"/>
  <c r="AM6" i="16"/>
  <c r="AN6" i="16"/>
  <c r="AA5" i="15"/>
</calcChain>
</file>

<file path=xl/sharedStrings.xml><?xml version="1.0" encoding="utf-8"?>
<sst xmlns="http://schemas.openxmlformats.org/spreadsheetml/2006/main" count="2825" uniqueCount="366">
  <si>
    <t>LiborYC1Y</t>
  </si>
  <si>
    <t>1Y</t>
  </si>
  <si>
    <t>11M</t>
  </si>
  <si>
    <t>10M</t>
  </si>
  <si>
    <t>9M</t>
  </si>
  <si>
    <t>LiborYC6M</t>
  </si>
  <si>
    <t>8M</t>
  </si>
  <si>
    <t>7M</t>
  </si>
  <si>
    <t>6M</t>
  </si>
  <si>
    <t>5M</t>
  </si>
  <si>
    <t>LiborYC3M</t>
  </si>
  <si>
    <t>4M</t>
  </si>
  <si>
    <t>3M</t>
  </si>
  <si>
    <t>2M</t>
  </si>
  <si>
    <t>LiborYC1M</t>
  </si>
  <si>
    <t>1M</t>
  </si>
  <si>
    <t>3W</t>
  </si>
  <si>
    <t>LiborYCON</t>
  </si>
  <si>
    <t>2W</t>
  </si>
  <si>
    <t>SW</t>
  </si>
  <si>
    <t>Sonia</t>
  </si>
  <si>
    <t>Sonia2</t>
  </si>
  <si>
    <t>YC</t>
  </si>
  <si>
    <t>Yield Curve</t>
  </si>
  <si>
    <t>Tenor</t>
  </si>
  <si>
    <t>Libor</t>
  </si>
  <si>
    <t>FamilyName</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</si>
  <si>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</si>
  <si>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</si>
  <si>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</si>
  <si>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</si>
  <si>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</si>
  <si>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</si>
  <si>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</si>
  <si>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</si>
  <si>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</si>
  <si>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</si>
  <si>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</si>
  <si>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</si>
  <si>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</si>
  <si>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</si>
  <si>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</si>
  <si>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</si>
  <si>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</si>
  <si>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</si>
  <si>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</si>
  <si>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</si>
  <si>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</si>
  <si>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</si>
  <si>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</si>
  <si>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</si>
  <si>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</si>
  <si>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</si>
  <si>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</si>
  <si>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</si>
  <si>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</si>
  <si>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</si>
  <si>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</si>
  <si>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</si>
  <si>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</si>
  <si>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</si>
  <si>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</si>
  <si>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</si>
  <si>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</si>
  <si>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</si>
  <si>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</si>
  <si>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</si>
  <si>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</si>
  <si>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</si>
  <si>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</si>
  <si>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</si>
  <si>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</si>
  <si>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</si>
  <si>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</si>
  <si>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</si>
  <si>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</si>
  <si>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</si>
  <si>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</si>
  <si>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</si>
  <si>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</si>
  <si>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</si>
  <si>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</si>
  <si>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</si>
  <si>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</si>
  <si>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</si>
  <si>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</si>
  <si>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Isda</t>
  </si>
  <si>
    <t>FixingType</t>
  </si>
  <si>
    <t>LiborSwap</t>
  </si>
  <si>
    <t>Discounting2</t>
  </si>
  <si>
    <t>Discounting</t>
  </si>
  <si>
    <t>FileOverwrite</t>
  </si>
  <si>
    <t>SerializationPath</t>
  </si>
  <si>
    <t>Serialize</t>
  </si>
  <si>
    <t>ObjectOverwrite</t>
  </si>
  <si>
    <t>Permanent</t>
  </si>
  <si>
    <t>GBP</t>
  </si>
  <si>
    <t>Currency</t>
  </si>
  <si>
    <t>Trigger</t>
  </si>
  <si>
    <t>1YCapletVolEx</t>
  </si>
  <si>
    <t>6MCapletVolEx</t>
  </si>
  <si>
    <t>3MCapletVolEx</t>
  </si>
  <si>
    <t>1MCapletVolEx</t>
  </si>
  <si>
    <t>3MFutOptionVolEx</t>
  </si>
  <si>
    <t>1YCapletVol</t>
  </si>
  <si>
    <t>6MCapletVol</t>
  </si>
  <si>
    <t>3MCapletVol</t>
  </si>
  <si>
    <t>1MCapletVol</t>
  </si>
  <si>
    <t>3MFutOptionVol</t>
  </si>
  <si>
    <t>SwaptionVol</t>
  </si>
  <si>
    <t>SwaptionATMVol</t>
  </si>
  <si>
    <t>YCSTD</t>
  </si>
  <si>
    <t>Gbp</t>
  </si>
  <si>
    <t>1L</t>
  </si>
  <si>
    <t>3L</t>
  </si>
  <si>
    <t>USD</t>
  </si>
  <si>
    <t>6L</t>
  </si>
  <si>
    <t>JPY</t>
  </si>
  <si>
    <t>6E</t>
  </si>
  <si>
    <t>1E</t>
  </si>
  <si>
    <t>EUR</t>
  </si>
  <si>
    <t>CHF</t>
  </si>
  <si>
    <t>21M</t>
  </si>
  <si>
    <t>18M</t>
  </si>
  <si>
    <t>15M</t>
  </si>
  <si>
    <t>Length</t>
  </si>
  <si>
    <t>3E</t>
  </si>
  <si>
    <t>12L</t>
  </si>
  <si>
    <t>12E</t>
  </si>
  <si>
    <t>PriceTickValue</t>
  </si>
  <si>
    <t>RateTickValue</t>
  </si>
  <si>
    <t>_Quote</t>
  </si>
  <si>
    <t>QuoteSuffix</t>
  </si>
  <si>
    <t>GENERAL SETTINGS</t>
  </si>
  <si>
    <t>1YD</t>
  </si>
  <si>
    <t>11MD</t>
  </si>
  <si>
    <t>10MD</t>
  </si>
  <si>
    <t>9MD</t>
  </si>
  <si>
    <t>8MD</t>
  </si>
  <si>
    <t>7MD</t>
  </si>
  <si>
    <t>6MD</t>
  </si>
  <si>
    <t>5MD</t>
  </si>
  <si>
    <t>4MD</t>
  </si>
  <si>
    <t>3MD</t>
  </si>
  <si>
    <t>2MD</t>
  </si>
  <si>
    <t>1MD</t>
  </si>
  <si>
    <t>3WD</t>
  </si>
  <si>
    <t>2WD</t>
  </si>
  <si>
    <t>SWD</t>
  </si>
  <si>
    <t>SND</t>
  </si>
  <si>
    <t>TND</t>
  </si>
  <si>
    <t>OND</t>
  </si>
  <si>
    <t>x24F</t>
  </si>
  <si>
    <t>F1</t>
  </si>
  <si>
    <t>TOM12</t>
  </si>
  <si>
    <t>T12</t>
  </si>
  <si>
    <t>x18F</t>
  </si>
  <si>
    <t>x15F</t>
  </si>
  <si>
    <t>x12F</t>
  </si>
  <si>
    <t>x11F</t>
  </si>
  <si>
    <t>x10F</t>
  </si>
  <si>
    <t>x9F</t>
  </si>
  <si>
    <t>x8F</t>
  </si>
  <si>
    <t>x7F</t>
  </si>
  <si>
    <t>TOM6</t>
  </si>
  <si>
    <t>T6</t>
  </si>
  <si>
    <t>x6F</t>
  </si>
  <si>
    <t>x5F</t>
  </si>
  <si>
    <t>x4F</t>
  </si>
  <si>
    <t>TOM3</t>
  </si>
  <si>
    <t>T3</t>
  </si>
  <si>
    <t>TOM1</t>
  </si>
  <si>
    <t>T1</t>
  </si>
  <si>
    <t>Future Code</t>
  </si>
  <si>
    <t>Main Cycle</t>
  </si>
  <si>
    <t>#</t>
  </si>
  <si>
    <t>FUT</t>
  </si>
  <si>
    <t>IMMFRA</t>
  </si>
  <si>
    <t/>
  </si>
  <si>
    <t>OIS</t>
  </si>
  <si>
    <t>MPC</t>
  </si>
  <si>
    <t>DEC12</t>
  </si>
  <si>
    <t>NOV12</t>
  </si>
  <si>
    <t>OCT12</t>
  </si>
  <si>
    <t>SEP12</t>
  </si>
  <si>
    <t>AUG12</t>
  </si>
  <si>
    <t>JUL12</t>
  </si>
  <si>
    <t>JUN12</t>
  </si>
  <si>
    <t>MAY12</t>
  </si>
  <si>
    <t>APR12</t>
  </si>
  <si>
    <t>MAR12</t>
  </si>
  <si>
    <t>FEB12</t>
  </si>
  <si>
    <t>JAN12</t>
  </si>
  <si>
    <t>DEC11</t>
  </si>
  <si>
    <t>NOV11</t>
  </si>
  <si>
    <t>OCT11</t>
  </si>
  <si>
    <t>SEP11</t>
  </si>
  <si>
    <t>AUG11</t>
  </si>
  <si>
    <t>JUL11</t>
  </si>
  <si>
    <t>JUN11</t>
  </si>
  <si>
    <t>MAY11</t>
  </si>
  <si>
    <t>APR11</t>
  </si>
  <si>
    <t>MAR11</t>
  </si>
  <si>
    <t>FEB11</t>
  </si>
  <si>
    <t>JAN11</t>
  </si>
  <si>
    <t>X1S</t>
  </si>
  <si>
    <t>1S</t>
  </si>
  <si>
    <t>2S</t>
  </si>
  <si>
    <t>4S</t>
  </si>
  <si>
    <t>3S</t>
  </si>
  <si>
    <t>AM</t>
  </si>
  <si>
    <t>SB</t>
  </si>
  <si>
    <t>AB</t>
  </si>
  <si>
    <t>Conventions</t>
  </si>
  <si>
    <t>Set</t>
  </si>
  <si>
    <t>Main</t>
  </si>
  <si>
    <t>Secondary</t>
  </si>
  <si>
    <t>TOY2</t>
  </si>
  <si>
    <t>TOY</t>
  </si>
  <si>
    <t>1w</t>
  </si>
  <si>
    <t>Swap index</t>
  </si>
  <si>
    <t>Spread</t>
  </si>
  <si>
    <t>Fwd start</t>
  </si>
  <si>
    <t>0d</t>
  </si>
  <si>
    <t>Quote</t>
  </si>
  <si>
    <t>IborIndex</t>
  </si>
  <si>
    <t>Meanreversion</t>
  </si>
  <si>
    <t>Volatility</t>
  </si>
  <si>
    <t>-</t>
  </si>
  <si>
    <t>CAD</t>
  </si>
  <si>
    <t>HKD</t>
  </si>
  <si>
    <t>ibor</t>
  </si>
  <si>
    <t>IBOR</t>
  </si>
  <si>
    <t>The record could not be found</t>
  </si>
  <si>
    <t>SN</t>
  </si>
  <si>
    <t>TN</t>
  </si>
  <si>
    <t>ON</t>
  </si>
  <si>
    <t>After Fixing Check</t>
  </si>
  <si>
    <t>Delta</t>
  </si>
  <si>
    <t>Observed Fixing</t>
  </si>
  <si>
    <t>Forecasted Before Fixing</t>
  </si>
  <si>
    <t>Object ID</t>
  </si>
  <si>
    <t>Add Fixing</t>
  </si>
  <si>
    <t>Fixing Check</t>
  </si>
  <si>
    <t>LAST</t>
  </si>
  <si>
    <t>VALUE_DT1</t>
  </si>
  <si>
    <t>ibor365</t>
  </si>
  <si>
    <t>IB365</t>
  </si>
  <si>
    <t>FSR</t>
  </si>
  <si>
    <t>LiborSwapIsdaFixAm</t>
  </si>
  <si>
    <t>SFIX</t>
  </si>
  <si>
    <t>LiborSwapIsda</t>
  </si>
  <si>
    <t>iborSwapIsdaFixA</t>
  </si>
  <si>
    <t>SFIXA</t>
  </si>
  <si>
    <t>PRIM ACT 1</t>
  </si>
  <si>
    <t>LiborSwapIsdaFixPm</t>
  </si>
  <si>
    <t>SFIXP</t>
  </si>
  <si>
    <t>LiborSwapIsdaFixA</t>
  </si>
  <si>
    <t>SFIXLA</t>
  </si>
  <si>
    <t>LiborSwapIsdaFixB</t>
  </si>
  <si>
    <t>SFIXLB</t>
  </si>
  <si>
    <t>Abs Delta</t>
  </si>
  <si>
    <t>TriggerCounter</t>
  </si>
  <si>
    <t>EvaluationDate</t>
  </si>
  <si>
    <t>ASK</t>
  </si>
  <si>
    <t>COSZ</t>
  </si>
  <si>
    <t>D</t>
  </si>
  <si>
    <t>COSMOREX</t>
  </si>
  <si>
    <t>PREL</t>
  </si>
  <si>
    <t>Prebon</t>
  </si>
  <si>
    <t>TRIT</t>
  </si>
  <si>
    <t>Tradition</t>
  </si>
  <si>
    <t>TTKL</t>
  </si>
  <si>
    <t>Tullets</t>
  </si>
  <si>
    <t>#N/A The record could not be found</t>
  </si>
  <si>
    <t>ICAP</t>
  </si>
  <si>
    <t>CKCC</t>
  </si>
  <si>
    <t>KLIEM</t>
  </si>
  <si>
    <t>Reuters</t>
  </si>
  <si>
    <t>Field</t>
  </si>
  <si>
    <t>Code</t>
  </si>
  <si>
    <t>RIC element2</t>
  </si>
  <si>
    <t>RIC element1</t>
  </si>
  <si>
    <t>Contributors</t>
  </si>
  <si>
    <t>Change</t>
  </si>
  <si>
    <t>Effective</t>
  </si>
  <si>
    <t>Static</t>
  </si>
  <si>
    <t>Quote suffix</t>
  </si>
  <si>
    <t>ASK-BID</t>
  </si>
  <si>
    <t>Mid Safe</t>
  </si>
  <si>
    <t>HST_CLOSE</t>
  </si>
  <si>
    <t>BID</t>
  </si>
  <si>
    <t>EM</t>
  </si>
  <si>
    <t>CODES</t>
  </si>
  <si>
    <t>LIFFE</t>
  </si>
  <si>
    <t>EXPIRE DATE</t>
  </si>
  <si>
    <t>Effective Date</t>
  </si>
  <si>
    <t>FUT1M</t>
  </si>
  <si>
    <t>ED</t>
  </si>
  <si>
    <t>FSS</t>
  </si>
  <si>
    <t>FEI</t>
  </si>
  <si>
    <t>FES</t>
  </si>
  <si>
    <t xml:space="preserve">           </t>
  </si>
  <si>
    <t>IMMFRA6M</t>
  </si>
  <si>
    <t>US</t>
  </si>
  <si>
    <t>JP</t>
  </si>
  <si>
    <t>GB</t>
  </si>
  <si>
    <t>EU</t>
  </si>
  <si>
    <t>mean reversion</t>
  </si>
  <si>
    <t>CH</t>
  </si>
  <si>
    <t>sigma</t>
  </si>
  <si>
    <t>HW parameters</t>
  </si>
  <si>
    <t>3H</t>
  </si>
  <si>
    <t>QM</t>
  </si>
  <si>
    <t>Mid</t>
  </si>
  <si>
    <t>Mid Equivalent</t>
  </si>
  <si>
    <t>Error</t>
  </si>
  <si>
    <t xml:space="preserve">JUL13 </t>
  </si>
  <si>
    <t>M6</t>
  </si>
  <si>
    <t xml:space="preserve">JUN13 </t>
  </si>
  <si>
    <t>M5</t>
  </si>
  <si>
    <t xml:space="preserve">MAY13 </t>
  </si>
  <si>
    <t>M4</t>
  </si>
  <si>
    <t xml:space="preserve">APR13 </t>
  </si>
  <si>
    <t>M3</t>
  </si>
  <si>
    <t xml:space="preserve">MAR13 </t>
  </si>
  <si>
    <t>M2</t>
  </si>
  <si>
    <t xml:space="preserve">FEB13 </t>
  </si>
  <si>
    <t>M1</t>
  </si>
  <si>
    <t>GV4_TEXT</t>
  </si>
  <si>
    <t>6X</t>
  </si>
  <si>
    <t>E</t>
  </si>
  <si>
    <t>12S</t>
  </si>
  <si>
    <t>3X</t>
  </si>
  <si>
    <t>6S</t>
  </si>
  <si>
    <t>2X</t>
  </si>
  <si>
    <t>5S</t>
  </si>
  <si>
    <t>1X</t>
  </si>
  <si>
    <t>Live Data Feed</t>
  </si>
  <si>
    <t>Last update</t>
  </si>
  <si>
    <t>Contributor Code</t>
  </si>
  <si>
    <t>MonotonicCubicNaturalSpline</t>
  </si>
  <si>
    <t>InterpolationType</t>
  </si>
  <si>
    <t>FRQ:1S</t>
  </si>
  <si>
    <t>ReutersRtMode</t>
  </si>
  <si>
    <t>GBP_020_ForwardSwapQuotes</t>
  </si>
  <si>
    <t>GBP_010_DepoFRAFuturesQuotes</t>
  </si>
  <si>
    <t>GBP_010_BasisSwapQuotes</t>
  </si>
  <si>
    <t>GBP_010_SwapQuotes</t>
  </si>
  <si>
    <t>GBP_015_SyntheticQuotes</t>
  </si>
  <si>
    <t>GBP_020_FuturesConvAdjQuotes</t>
  </si>
  <si>
    <t>RelinkableHandles</t>
  </si>
  <si>
    <t>GbpLibor</t>
  </si>
  <si>
    <t>GBP_InterestRateQuotesFeed</t>
  </si>
  <si>
    <t>GBP_MMIndicesAddLastFixing</t>
  </si>
  <si>
    <t>Live</t>
  </si>
  <si>
    <t>GBP_SynthDepoQuotesFeed</t>
  </si>
  <si>
    <t>='C:\Users\erik\Documents\repos\quantlib_nando\QuantLibXL\Workbooks\MarketData\ManualFeed\[GBP_SynthDepoQuotesFeed.xls]Calculation'!G34</t>
  </si>
  <si>
    <t>='C:\Users\erik\Documents\repos\quantlib_nando\QuantLibXL\Workbooks\MarketData\ManualFeed\[GBP_SynthDepoQuotesFeed.xls]Calculation'!G35</t>
  </si>
  <si>
    <t>='C:\Users\erik\Documents\repos\quantlib_nando\QuantLibXL\Workbooks\MarketData\ManualFeed\[GBP_SynthDepoQuotesFeed.xls]Calculation'!G36</t>
  </si>
  <si>
    <t>='C:\Users\erik\Documents\repos\quantlib_nando\QuantLibXL\Workbooks\MarketData\ManualFeed\[GBP_SynthDepoQuotesFeed.xls]Calculation'!G37</t>
  </si>
  <si>
    <t>='C:\Users\erik\Documents\repos\quantlib_nando\QuantLibXL\Workbooks\MarketData\ManualFeed\[GBP_SynthDepoQuotesFeed.xls]Calculation'!G38</t>
  </si>
  <si>
    <t>GBP_TurnOfYearQuotesFeed</t>
  </si>
  <si>
    <t>='C:\Users\erik\Documents\repos\quantlib_nando\QuantLibXL\Workbooks\MarketData\ManualFeed\[GBP_TurnOfYearQuotesFeed.xls]6M'!TOY</t>
  </si>
  <si>
    <t>='C:\Users\erik\Documents\repos\quantlib_nando\QuantLibXL\Workbooks\MarketData\ManualFeed\[GBP_TurnOfYearQuotesFeed.xls]6M'!'TOY2'</t>
  </si>
  <si>
    <t>=qlIMMNextCodes(qlSettingsEvaluationDate(Trigger)-1,$C6:$C125)</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</si>
</sst>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0.0;#,##0.0"/>
    <numFmt numFmtId="165" formatCode="ddd\,\ d\-mmm\-yyyy\,\ hh:mm:ss"/>
    <numFmt numFmtId="166" formatCode="[$-409]d\-mmm\-yy;@"/>
    <numFmt numFmtId="167" formatCode="General_)"/>
    <numFmt numFmtId="168" formatCode="&quot;£&quot;#,##0;[Red]\-&quot;£&quot;#,##0"/>
    <numFmt numFmtId="169" formatCode="0.0000"/>
    <numFmt numFmtId="170" formatCode="0.0000%"/>
    <numFmt numFmtId="171" formatCode="mm/dd/yy;@"/>
    <numFmt numFmtId="172" formatCode="ddd\,\ dd\-mmm\-yyyy\,\ hh:mm:ss"/>
    <numFmt numFmtId="173" formatCode="ddd\,\ dd\-mmm\-yy"/>
    <numFmt numFmtId="174" formatCode="0.00000%"/>
    <numFmt numFmtId="175" formatCode="0.00000"/>
    <numFmt numFmtId="176" formatCode="ddd\,\ dd\-mmm\-yyyy"/>
    <numFmt numFmtId="177" formatCode="ddd\,\ d\-mmm\-yyyy"/>
    <numFmt numFmtId="178" formatCode="0.000"/>
    <numFmt numFmtId="179" formatCode="0.000%"/>
    <numFmt numFmtId="180" formatCode="ddd\,\ dd\-mmm\-yyyy\,\ h:mm:ss"/>
  </numFmts>
  <fonts count="30" x14ac:knownFonts="1">
    <font>
      <sz val="11"/>
      <color theme="1"/>
      <name val="Calibri"/>
      <family val="2"/>
      <scheme val="minor"/>
    </font>
    <font>
      <sz val="10"/>
      <name val="Arial"/>
    </font>
    <font>
      <sz val="8"/>
      <name val="Arial"/>
      <family val="2"/>
    </font>
    <font>
      <sz val="8"/>
      <name val="Microsoft Sans Serif"/>
      <family val="2"/>
    </font>
    <font>
      <sz val="10"/>
      <name val="MS Sans Serif"/>
      <family val="2"/>
    </font>
    <font>
      <i/>
      <sz val="8"/>
      <name val="Microsoft Sans Serif"/>
      <family val="2"/>
    </font>
    <font>
      <b/>
      <sz val="10"/>
      <name val="MS Sans Serif"/>
      <family val="2"/>
    </font>
    <font>
      <b/>
      <sz val="12"/>
      <color indexed="16"/>
      <name val="MS Sans Serif"/>
      <family val="2"/>
    </font>
    <font>
      <i/>
      <sz val="8"/>
      <name val="Arial"/>
      <family val="2"/>
    </font>
    <font>
      <b/>
      <sz val="8"/>
      <name val="Arial"/>
      <family val="2"/>
    </font>
    <font>
      <b/>
      <sz val="12"/>
      <name val="MS Sans Serif"/>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23"/>
      <name val="Arial"/>
      <family val="2"/>
    </font>
    <font>
      <b/>
      <sz val="12"/>
      <color indexed="12"/>
      <name val="Arial Black"/>
      <family val="2"/>
    </font>
    <font>
      <b/>
      <sz val="8"/>
      <name val="Arial"/>
    </font>
    <font>
      <b/>
      <u/>
      <sz val="8"/>
      <name val="Arial"/>
    </font>
    <font>
      <sz val="8"/>
      <color indexed="9"/>
      <name val="Arial"/>
      <family val="2"/>
    </font>
    <font>
      <sz val="8"/>
      <name val="MS Sans Serif"/>
      <family val="2"/>
    </font>
    <font>
      <b/>
      <u/>
      <sz val="10"/>
      <name val="Courier New"/>
      <family val="3"/>
    </font>
  </fonts>
  <fills count="1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13"/>
        <bgColor indexed="64"/>
      </patternFill>
    </fill>
    <fill>
      <patternFill patternType="solid">
        <fgColor indexed="31"/>
        <bgColor indexed="64"/>
      </patternFill>
    </fill>
    <fill>
      <patternFill patternType="solid">
        <fgColor indexed="41"/>
        <bgColor indexed="64"/>
      </patternFill>
    </fill>
    <fill>
      <patternFill patternType="solid">
        <fgColor theme="0" tint="-0.34998626667073579"/>
        <bgColor indexed="64"/>
      </patternFill>
    </fill>
    <fill>
      <patternFill patternType="solid">
        <fgColor rgb="FFFF0000"/>
        <bgColor indexed="64"/>
      </patternFill>
    </fill>
  </fills>
  <borders count="32">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diagonal/>
    </border>
    <border>
      <left/>
      <right/>
      <top style="thin">
        <color indexed="64"/>
      </top>
      <bottom style="thin">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medium">
        <color indexed="64"/>
      </bottom>
      <diagonal/>
    </border>
  </borders>
  <cellStyleXfs count="13">
    <xf numFmtId="0" fontId="0" fillId="0" borderId="0"/>
    <xf numFmtId="0" fontId="1" fillId="0" borderId="0"/>
    <xf numFmtId="0" fontId="2" fillId="0" borderId="0"/>
    <xf numFmtId="164" fontId="7"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xf numFmtId="0" fontId="11" fillId="0" borderId="0"/>
  </cellStyleXfs>
  <cellXfs count="655">
    <xf numFmtId="0" fontId="0" fillId="0" borderId="0" xfId="0"/>
    <xf numFmtId="0" fontId="1" fillId="2" borderId="0" xfId="1" applyFill="1"/>
    <xf numFmtId="0" fontId="2" fillId="2" borderId="0" xfId="2" applyFill="1"/>
    <xf numFmtId="0" fontId="3" fillId="3" borderId="1" xfId="1" applyFont="1" applyFill="1" applyBorder="1"/>
    <xf numFmtId="0" fontId="3" fillId="3" borderId="2" xfId="1" applyFont="1" applyFill="1" applyBorder="1"/>
    <xf numFmtId="0" fontId="3" fillId="3" borderId="3" xfId="1" applyFont="1" applyFill="1" applyBorder="1"/>
    <xf numFmtId="0" fontId="3" fillId="3" borderId="4" xfId="1" applyFont="1" applyFill="1" applyBorder="1"/>
    <xf numFmtId="0" fontId="3" fillId="4" borderId="5" xfId="1" applyNumberFormat="1" applyFont="1" applyFill="1" applyBorder="1" applyAlignment="1" applyProtection="1"/>
    <xf numFmtId="0" fontId="3" fillId="4" borderId="6" xfId="1" applyNumberFormat="1" applyFont="1" applyFill="1" applyBorder="1" applyAlignment="1" applyProtection="1"/>
    <xf numFmtId="0" fontId="2" fillId="2" borderId="7" xfId="2" applyFill="1" applyBorder="1" applyAlignment="1"/>
    <xf numFmtId="0" fontId="3" fillId="2" borderId="8" xfId="1" applyFont="1" applyFill="1" applyBorder="1" applyAlignment="1"/>
    <xf numFmtId="0" fontId="3" fillId="2" borderId="9" xfId="1" applyFont="1" applyFill="1" applyBorder="1" applyAlignment="1"/>
    <xf numFmtId="0" fontId="4" fillId="3" borderId="10" xfId="2" applyFont="1" applyFill="1" applyBorder="1"/>
    <xf numFmtId="0" fontId="2" fillId="2" borderId="7" xfId="2" applyFont="1" applyFill="1" applyBorder="1" applyAlignment="1"/>
    <xf numFmtId="0" fontId="2" fillId="3" borderId="4" xfId="2" applyFill="1" applyBorder="1"/>
    <xf numFmtId="0" fontId="3" fillId="4" borderId="5" xfId="1" applyNumberFormat="1" applyFont="1" applyFill="1" applyBorder="1" applyAlignment="1" applyProtection="1">
      <alignment horizontal="center"/>
    </xf>
    <xf numFmtId="0" fontId="3" fillId="4" borderId="8" xfId="1" applyNumberFormat="1" applyFont="1" applyFill="1" applyBorder="1" applyAlignment="1" applyProtection="1">
      <alignment horizontal="center"/>
    </xf>
    <xf numFmtId="0" fontId="5" fillId="3" borderId="11" xfId="1" applyFont="1" applyFill="1" applyBorder="1" applyAlignment="1">
      <alignment horizontal="center"/>
    </xf>
    <xf numFmtId="0" fontId="5" fillId="3" borderId="8" xfId="1" applyFont="1" applyFill="1" applyBorder="1" applyAlignment="1">
      <alignment horizontal="center"/>
    </xf>
    <xf numFmtId="0" fontId="5" fillId="3" borderId="9" xfId="1" applyFont="1" applyFill="1" applyBorder="1" applyAlignment="1">
      <alignment horizontal="center"/>
    </xf>
    <xf numFmtId="0" fontId="2" fillId="3" borderId="0" xfId="2" applyFill="1" applyBorder="1"/>
    <xf numFmtId="0" fontId="4" fillId="3" borderId="0" xfId="2" applyFont="1" applyFill="1" applyBorder="1"/>
    <xf numFmtId="0" fontId="3" fillId="2" borderId="8" xfId="1" applyNumberFormat="1" applyFont="1" applyFill="1" applyBorder="1"/>
    <xf numFmtId="0" fontId="2" fillId="3" borderId="12" xfId="2" applyFill="1" applyBorder="1"/>
    <xf numFmtId="0" fontId="2" fillId="3" borderId="13" xfId="2" applyFill="1" applyBorder="1"/>
    <xf numFmtId="0" fontId="6" fillId="3" borderId="13" xfId="2" applyFont="1" applyFill="1" applyBorder="1"/>
    <xf numFmtId="0" fontId="4" fillId="3" borderId="13" xfId="2" applyFont="1" applyFill="1" applyBorder="1"/>
    <xf numFmtId="0" fontId="4" fillId="3" borderId="14" xfId="2" applyFont="1" applyFill="1" applyBorder="1"/>
    <xf numFmtId="0" fontId="2" fillId="2" borderId="0" xfId="1" applyFont="1" applyFill="1"/>
    <xf numFmtId="0" fontId="2" fillId="2" borderId="0" xfId="2" applyFont="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0" fontId="2" fillId="4" borderId="8" xfId="1" applyNumberFormat="1" applyFont="1" applyFill="1" applyBorder="1" applyAlignment="1" applyProtection="1"/>
    <xf numFmtId="0" fontId="2" fillId="4" borderId="5" xfId="1" applyNumberFormat="1" applyFont="1" applyFill="1" applyBorder="1" applyAlignment="1" applyProtection="1"/>
    <xf numFmtId="0" fontId="2" fillId="2" borderId="8" xfId="2" applyFont="1" applyFill="1" applyBorder="1" applyAlignment="1"/>
    <xf numFmtId="0" fontId="2" fillId="2" borderId="5" xfId="1" applyFont="1" applyFill="1" applyBorder="1" applyAlignment="1"/>
    <xf numFmtId="0" fontId="2" fillId="2" borderId="8" xfId="1" applyFont="1" applyFill="1" applyBorder="1" applyAlignment="1"/>
    <xf numFmtId="0" fontId="2" fillId="3" borderId="10" xfId="2" applyFont="1" applyFill="1" applyBorder="1"/>
    <xf numFmtId="0" fontId="2" fillId="6" borderId="5" xfId="1" applyFont="1" applyFill="1" applyBorder="1" applyAlignment="1"/>
    <xf numFmtId="0" fontId="2" fillId="3" borderId="4" xfId="2" applyFont="1" applyFill="1" applyBorder="1"/>
    <xf numFmtId="0" fontId="2" fillId="4" borderId="5" xfId="1" applyNumberFormat="1" applyFont="1" applyFill="1" applyBorder="1" applyAlignment="1" applyProtection="1">
      <alignment horizontal="center"/>
    </xf>
    <xf numFmtId="0" fontId="8" fillId="3" borderId="8" xfId="1" applyFont="1" applyFill="1" applyBorder="1" applyAlignment="1">
      <alignment horizontal="center"/>
    </xf>
    <xf numFmtId="0" fontId="2" fillId="3" borderId="0" xfId="2" applyFont="1" applyFill="1" applyBorder="1"/>
    <xf numFmtId="0" fontId="2" fillId="2" borderId="8" xfId="1" applyNumberFormat="1" applyFont="1" applyFill="1" applyBorder="1"/>
    <xf numFmtId="0" fontId="2" fillId="3" borderId="12" xfId="2" applyFont="1" applyFill="1" applyBorder="1"/>
    <xf numFmtId="0" fontId="2" fillId="3" borderId="13" xfId="2" applyFont="1" applyFill="1" applyBorder="1"/>
    <xf numFmtId="0" fontId="9" fillId="3" borderId="13" xfId="2" applyFont="1" applyFill="1" applyBorder="1"/>
    <xf numFmtId="0" fontId="2" fillId="3" borderId="14" xfId="2" applyFont="1" applyFill="1" applyBorder="1"/>
    <xf numFmtId="15" fontId="3" fillId="3" borderId="4" xfId="1" applyNumberFormat="1" applyFont="1" applyFill="1" applyBorder="1"/>
    <xf numFmtId="165" fontId="3" fillId="4" borderId="5" xfId="1" applyNumberFormat="1" applyFont="1" applyFill="1" applyBorder="1" applyAlignment="1" applyProtection="1">
      <alignment horizontal="center"/>
    </xf>
    <xf numFmtId="0" fontId="3" fillId="3" borderId="10" xfId="1" applyFont="1" applyFill="1" applyBorder="1"/>
    <xf numFmtId="165" fontId="3" fillId="4" borderId="5" xfId="1" quotePrefix="1" applyNumberFormat="1" applyFont="1" applyFill="1" applyBorder="1" applyAlignment="1" applyProtection="1">
      <alignment horizontal="center"/>
    </xf>
    <xf numFmtId="165" fontId="3" fillId="4" borderId="5" xfId="1" quotePrefix="1" applyNumberFormat="1" applyFont="1" applyFill="1" applyBorder="1" applyAlignment="1" applyProtection="1">
      <alignment horizontal="left"/>
    </xf>
    <xf numFmtId="0" fontId="3" fillId="3" borderId="0" xfId="1" applyFont="1" applyFill="1" applyBorder="1"/>
    <xf numFmtId="166" fontId="3" fillId="4" borderId="8" xfId="1" applyNumberFormat="1" applyFont="1" applyFill="1" applyBorder="1" applyAlignment="1" applyProtection="1">
      <alignment horizontal="left"/>
    </xf>
    <xf numFmtId="0" fontId="3" fillId="2" borderId="8" xfId="1" applyNumberFormat="1" applyFont="1" applyFill="1" applyBorder="1" applyAlignment="1"/>
    <xf numFmtId="0" fontId="5" fillId="3" borderId="8" xfId="1" applyNumberFormat="1" applyFont="1" applyFill="1" applyBorder="1" applyAlignment="1"/>
    <xf numFmtId="0" fontId="3" fillId="3" borderId="0" xfId="1" applyFont="1" applyFill="1" applyBorder="1" applyAlignment="1"/>
    <xf numFmtId="0" fontId="3" fillId="3" borderId="12" xfId="1" applyFont="1" applyFill="1" applyBorder="1"/>
    <xf numFmtId="0" fontId="3" fillId="3" borderId="13" xfId="1" applyFont="1" applyFill="1" applyBorder="1"/>
    <xf numFmtId="0" fontId="3" fillId="3" borderId="14" xfId="1" applyFont="1" applyFill="1" applyBorder="1"/>
    <xf numFmtId="0" fontId="1" fillId="0" borderId="0" xfId="1"/>
    <xf numFmtId="0" fontId="2" fillId="0" borderId="0" xfId="1" applyFont="1"/>
    <xf numFmtId="0" fontId="12" fillId="0" borderId="0" xfId="1" applyFont="1"/>
    <xf numFmtId="0" fontId="12" fillId="0" borderId="0" xfId="1" applyFont="1" applyAlignment="1">
      <alignment horizontal="left"/>
    </xf>
    <xf numFmtId="0" fontId="2" fillId="3" borderId="7" xfId="1" applyFont="1" applyFill="1" applyBorder="1"/>
    <xf numFmtId="0" fontId="2" fillId="3" borderId="18" xfId="1" applyFont="1" applyFill="1" applyBorder="1" applyAlignment="1">
      <alignment horizontal="left"/>
    </xf>
    <xf numFmtId="0" fontId="2" fillId="3" borderId="18" xfId="1" applyFont="1" applyFill="1" applyBorder="1"/>
    <xf numFmtId="0" fontId="2" fillId="3" borderId="19" xfId="1" applyFont="1" applyFill="1" applyBorder="1"/>
    <xf numFmtId="0" fontId="2" fillId="3" borderId="20" xfId="1" applyFont="1" applyFill="1" applyBorder="1"/>
    <xf numFmtId="0" fontId="3" fillId="4" borderId="8" xfId="1" applyNumberFormat="1" applyFont="1" applyFill="1" applyBorder="1" applyAlignment="1" applyProtection="1">
      <alignment vertical="center"/>
    </xf>
    <xf numFmtId="0" fontId="2" fillId="3" borderId="6" xfId="1" applyNumberFormat="1" applyFont="1" applyFill="1" applyBorder="1" applyAlignment="1">
      <alignment horizontal="left"/>
    </xf>
    <xf numFmtId="0" fontId="2" fillId="3" borderId="6" xfId="1" applyNumberFormat="1" applyFont="1" applyFill="1" applyBorder="1" applyAlignment="1">
      <alignment horizontal="center"/>
    </xf>
    <xf numFmtId="0" fontId="2" fillId="3" borderId="7" xfId="1" applyNumberFormat="1" applyFont="1" applyFill="1" applyBorder="1" applyAlignment="1">
      <alignment horizontal="center"/>
    </xf>
    <xf numFmtId="49" fontId="2" fillId="0" borderId="8" xfId="4" applyNumberFormat="1" applyFont="1" applyFill="1" applyBorder="1" applyAlignment="1">
      <alignment horizontal="center"/>
    </xf>
    <xf numFmtId="0" fontId="2" fillId="3" borderId="21" xfId="1" applyFont="1" applyFill="1" applyBorder="1" applyAlignment="1">
      <alignment horizontal="center"/>
    </xf>
    <xf numFmtId="0" fontId="2" fillId="0" borderId="1" xfId="1" applyFont="1" applyBorder="1" applyAlignment="1">
      <alignment horizontal="center"/>
    </xf>
    <xf numFmtId="0" fontId="2" fillId="0" borderId="2" xfId="1" applyFont="1" applyBorder="1" applyAlignment="1">
      <alignment horizontal="center"/>
    </xf>
    <xf numFmtId="0" fontId="2" fillId="0" borderId="3" xfId="1" applyFont="1" applyBorder="1" applyAlignment="1">
      <alignment horizontal="center"/>
    </xf>
    <xf numFmtId="0" fontId="2" fillId="0" borderId="4" xfId="1" applyFont="1" applyBorder="1" applyAlignment="1">
      <alignment horizontal="center"/>
    </xf>
    <xf numFmtId="0" fontId="2" fillId="0" borderId="0" xfId="1" applyFont="1" applyBorder="1" applyAlignment="1">
      <alignment horizontal="center"/>
    </xf>
    <xf numFmtId="0" fontId="2" fillId="0" borderId="10" xfId="1" applyFont="1" applyBorder="1" applyAlignment="1">
      <alignment horizontal="center"/>
    </xf>
    <xf numFmtId="0" fontId="2" fillId="0" borderId="12" xfId="1" applyFont="1" applyBorder="1" applyAlignment="1">
      <alignment horizontal="center"/>
    </xf>
    <xf numFmtId="0" fontId="2" fillId="0" borderId="13" xfId="1" applyFont="1" applyBorder="1" applyAlignment="1">
      <alignment horizontal="center"/>
    </xf>
    <xf numFmtId="0" fontId="2" fillId="0" borderId="14" xfId="1" applyFont="1" applyBorder="1" applyAlignment="1">
      <alignment horizontal="center"/>
    </xf>
    <xf numFmtId="49" fontId="2" fillId="0" borderId="6" xfId="4" applyNumberFormat="1" applyFont="1" applyFill="1" applyBorder="1" applyAlignment="1">
      <alignment horizontal="center"/>
    </xf>
    <xf numFmtId="0" fontId="3" fillId="4" borderId="5" xfId="1" applyNumberFormat="1" applyFont="1" applyFill="1" applyBorder="1" applyAlignment="1" applyProtection="1">
      <alignment horizontal="center" vertical="center"/>
    </xf>
    <xf numFmtId="0" fontId="5" fillId="3" borderId="8" xfId="1" applyFont="1" applyFill="1" applyBorder="1" applyAlignment="1">
      <alignment vertical="center"/>
    </xf>
    <xf numFmtId="0" fontId="9" fillId="3" borderId="8" xfId="1" applyFont="1" applyFill="1" applyBorder="1" applyAlignment="1">
      <alignment horizontal="center" vertical="center" wrapText="1"/>
    </xf>
    <xf numFmtId="0" fontId="9" fillId="3" borderId="5" xfId="1" applyFont="1" applyFill="1" applyBorder="1" applyAlignment="1">
      <alignment horizontal="center" vertical="center" wrapText="1"/>
    </xf>
    <xf numFmtId="0" fontId="2" fillId="3" borderId="22" xfId="1" applyFont="1" applyFill="1" applyBorder="1"/>
    <xf numFmtId="0" fontId="12" fillId="0" borderId="23" xfId="1" applyFont="1" applyBorder="1"/>
    <xf numFmtId="0" fontId="12" fillId="0" borderId="23" xfId="1" applyFont="1" applyBorder="1" applyAlignment="1">
      <alignment horizontal="left"/>
    </xf>
    <xf numFmtId="0" fontId="2" fillId="3" borderId="23" xfId="1" applyFont="1" applyFill="1" applyBorder="1"/>
    <xf numFmtId="0" fontId="1" fillId="0" borderId="23" xfId="1" applyBorder="1"/>
    <xf numFmtId="0" fontId="1" fillId="0" borderId="23" xfId="1" applyBorder="1" applyAlignment="1">
      <alignment horizontal="left"/>
    </xf>
    <xf numFmtId="169" fontId="3" fillId="4" borderId="5" xfId="1" quotePrefix="1" applyNumberFormat="1" applyFont="1" applyFill="1" applyBorder="1" applyAlignment="1" applyProtection="1">
      <alignment horizontal="center"/>
    </xf>
    <xf numFmtId="170" fontId="3" fillId="4" borderId="5" xfId="1" quotePrefix="1" applyNumberFormat="1" applyFont="1" applyFill="1" applyBorder="1" applyAlignment="1" applyProtection="1">
      <alignment horizontal="center"/>
    </xf>
    <xf numFmtId="0" fontId="2" fillId="3" borderId="20" xfId="1" applyFont="1" applyFill="1" applyBorder="1" applyAlignment="1">
      <alignment horizontal="center"/>
    </xf>
    <xf numFmtId="166" fontId="15" fillId="4" borderId="8" xfId="1" applyNumberFormat="1" applyFont="1" applyFill="1" applyBorder="1" applyAlignment="1" applyProtection="1">
      <alignment horizontal="left"/>
    </xf>
    <xf numFmtId="0" fontId="2" fillId="3" borderId="8" xfId="1" applyNumberFormat="1" applyFont="1" applyFill="1" applyBorder="1" applyAlignment="1"/>
    <xf numFmtId="0" fontId="9" fillId="3" borderId="8" xfId="1" applyFont="1" applyFill="1" applyBorder="1" applyAlignment="1"/>
    <xf numFmtId="0" fontId="15" fillId="4" borderId="8" xfId="1" applyNumberFormat="1" applyFont="1" applyFill="1" applyBorder="1" applyAlignment="1" applyProtection="1">
      <alignment vertical="center"/>
    </xf>
    <xf numFmtId="0" fontId="3" fillId="4" borderId="8" xfId="1" applyNumberFormat="1" applyFont="1" applyFill="1" applyBorder="1" applyAlignment="1" applyProtection="1">
      <alignment horizontal="center" vertical="center"/>
    </xf>
    <xf numFmtId="0" fontId="2" fillId="3" borderId="8" xfId="1" applyFont="1" applyFill="1" applyBorder="1" applyAlignment="1">
      <alignment vertical="center"/>
    </xf>
    <xf numFmtId="0" fontId="12" fillId="3" borderId="22" xfId="1" applyFont="1" applyFill="1" applyBorder="1"/>
    <xf numFmtId="0" fontId="12" fillId="3" borderId="23" xfId="1" applyFont="1" applyFill="1" applyBorder="1"/>
    <xf numFmtId="0" fontId="12" fillId="3" borderId="24" xfId="1" applyFont="1" applyFill="1" applyBorder="1"/>
    <xf numFmtId="0" fontId="1" fillId="0" borderId="0" xfId="1" applyAlignment="1">
      <alignment horizontal="left"/>
    </xf>
    <xf numFmtId="0" fontId="11" fillId="0" borderId="0" xfId="1" applyFont="1"/>
    <xf numFmtId="0" fontId="2" fillId="3" borderId="2" xfId="1" applyFont="1" applyFill="1" applyBorder="1" applyAlignment="1">
      <alignment horizontal="left"/>
    </xf>
    <xf numFmtId="0" fontId="15" fillId="4" borderId="6" xfId="1" applyNumberFormat="1" applyFont="1" applyFill="1" applyBorder="1" applyAlignment="1" applyProtection="1"/>
    <xf numFmtId="0" fontId="2" fillId="3" borderId="6" xfId="1" applyNumberFormat="1" applyFont="1" applyFill="1" applyBorder="1" applyAlignment="1"/>
    <xf numFmtId="0" fontId="2" fillId="3" borderId="19" xfId="1" applyNumberFormat="1" applyFont="1" applyFill="1" applyBorder="1" applyAlignment="1"/>
    <xf numFmtId="0" fontId="2" fillId="3" borderId="11" xfId="1" applyNumberFormat="1" applyFont="1" applyFill="1" applyBorder="1" applyAlignment="1"/>
    <xf numFmtId="0" fontId="2" fillId="3" borderId="9" xfId="1" applyNumberFormat="1" applyFont="1" applyFill="1" applyBorder="1" applyAlignment="1"/>
    <xf numFmtId="0" fontId="2" fillId="3" borderId="10" xfId="1" applyFont="1" applyFill="1" applyBorder="1" applyAlignment="1">
      <alignment horizontal="center"/>
    </xf>
    <xf numFmtId="0" fontId="2" fillId="3" borderId="18" xfId="1" applyNumberFormat="1" applyFont="1" applyFill="1" applyBorder="1" applyAlignment="1"/>
    <xf numFmtId="0" fontId="15" fillId="4" borderId="25" xfId="1" applyNumberFormat="1" applyFont="1" applyFill="1" applyBorder="1" applyAlignment="1" applyProtection="1"/>
    <xf numFmtId="0" fontId="2" fillId="3" borderId="25" xfId="1" applyNumberFormat="1" applyFont="1" applyFill="1" applyBorder="1" applyAlignment="1"/>
    <xf numFmtId="0" fontId="2" fillId="3" borderId="24" xfId="1" applyNumberFormat="1" applyFont="1" applyFill="1" applyBorder="1" applyAlignment="1"/>
    <xf numFmtId="0" fontId="2" fillId="3" borderId="23" xfId="1" applyNumberFormat="1" applyFont="1" applyFill="1" applyBorder="1" applyAlignment="1"/>
    <xf numFmtId="0" fontId="15" fillId="4" borderId="26" xfId="1" applyNumberFormat="1" applyFont="1" applyFill="1" applyBorder="1" applyAlignment="1" applyProtection="1"/>
    <xf numFmtId="0" fontId="2" fillId="3" borderId="26" xfId="1" applyNumberFormat="1" applyFont="1" applyFill="1" applyBorder="1" applyAlignment="1"/>
    <xf numFmtId="0" fontId="2" fillId="3" borderId="21" xfId="1" applyNumberFormat="1" applyFont="1" applyFill="1" applyBorder="1" applyAlignment="1"/>
    <xf numFmtId="0" fontId="2" fillId="3" borderId="0" xfId="1" applyNumberFormat="1" applyFont="1" applyFill="1" applyBorder="1" applyAlignment="1"/>
    <xf numFmtId="0" fontId="15" fillId="4" borderId="25" xfId="1" applyNumberFormat="1" applyFont="1" applyFill="1" applyBorder="1" applyAlignment="1" applyProtection="1">
      <alignment vertical="center"/>
    </xf>
    <xf numFmtId="0" fontId="3" fillId="4" borderId="25" xfId="1" applyNumberFormat="1" applyFont="1" applyFill="1" applyBorder="1" applyAlignment="1" applyProtection="1">
      <alignment horizontal="center" vertical="center"/>
    </xf>
    <xf numFmtId="0" fontId="5" fillId="3" borderId="24" xfId="1" applyFont="1" applyFill="1" applyBorder="1" applyAlignment="1">
      <alignment vertical="center"/>
    </xf>
    <xf numFmtId="0" fontId="9" fillId="3" borderId="23" xfId="1" applyFont="1" applyFill="1" applyBorder="1" applyAlignment="1">
      <alignment horizontal="center" vertical="center" wrapText="1"/>
    </xf>
    <xf numFmtId="0" fontId="9" fillId="3" borderId="24" xfId="1" applyFont="1" applyFill="1" applyBorder="1" applyAlignment="1">
      <alignment horizontal="center" vertical="center" wrapText="1"/>
    </xf>
    <xf numFmtId="0" fontId="2"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2" fillId="3" borderId="9" xfId="4" applyNumberFormat="1" applyFont="1" applyFill="1" applyBorder="1" applyAlignment="1">
      <alignment horizontal="center"/>
    </xf>
    <xf numFmtId="0" fontId="2" fillId="3" borderId="19" xfId="1" applyFont="1" applyFill="1" applyBorder="1" applyAlignment="1">
      <alignment horizontal="left"/>
    </xf>
    <xf numFmtId="0" fontId="2" fillId="3" borderId="8" xfId="1" applyFont="1" applyFill="1" applyBorder="1" applyAlignment="1">
      <alignment horizontal="center"/>
    </xf>
    <xf numFmtId="0" fontId="2" fillId="3" borderId="11" xfId="1" applyFont="1" applyFill="1" applyBorder="1" applyAlignment="1">
      <alignment horizontal="center"/>
    </xf>
    <xf numFmtId="0" fontId="9" fillId="3" borderId="8" xfId="1" applyFont="1" applyFill="1" applyBorder="1" applyAlignment="1">
      <alignment horizontal="center"/>
    </xf>
    <xf numFmtId="0" fontId="16" fillId="3" borderId="10" xfId="1" applyFont="1" applyFill="1" applyBorder="1"/>
    <xf numFmtId="166" fontId="15" fillId="4" borderId="6" xfId="1" applyNumberFormat="1" applyFont="1" applyFill="1" applyBorder="1" applyAlignment="1" applyProtection="1">
      <alignment horizontal="left"/>
    </xf>
    <xf numFmtId="171" fontId="2" fillId="3" borderId="19" xfId="4" applyNumberFormat="1" applyFont="1" applyFill="1" applyBorder="1" applyAlignment="1">
      <alignment horizontal="center"/>
    </xf>
    <xf numFmtId="0" fontId="2" fillId="3" borderId="6" xfId="1" applyFont="1" applyFill="1" applyBorder="1" applyAlignment="1">
      <alignment horizontal="center"/>
    </xf>
    <xf numFmtId="0" fontId="2" fillId="3" borderId="18" xfId="1" applyFont="1" applyFill="1" applyBorder="1" applyAlignment="1">
      <alignment horizontal="center"/>
    </xf>
    <xf numFmtId="0" fontId="9" fillId="3" borderId="6" xfId="1" applyFont="1" applyFill="1" applyBorder="1" applyAlignment="1">
      <alignment horizontal="center"/>
    </xf>
    <xf numFmtId="0" fontId="12" fillId="3" borderId="10" xfId="1" applyFont="1" applyFill="1" applyBorder="1"/>
    <xf numFmtId="0" fontId="16" fillId="3" borderId="12" xfId="1" applyFont="1" applyFill="1" applyBorder="1"/>
    <xf numFmtId="0" fontId="12" fillId="0" borderId="13" xfId="1" applyFont="1" applyBorder="1"/>
    <xf numFmtId="0" fontId="12" fillId="0" borderId="13" xfId="1" applyFont="1" applyBorder="1" applyAlignment="1">
      <alignment horizontal="center"/>
    </xf>
    <xf numFmtId="0" fontId="17" fillId="3" borderId="13" xfId="1" applyFont="1" applyFill="1" applyBorder="1"/>
    <xf numFmtId="0" fontId="12" fillId="3" borderId="14" xfId="1" applyFont="1" applyFill="1" applyBorder="1"/>
    <xf numFmtId="0" fontId="12" fillId="3" borderId="7" xfId="1" applyFont="1" applyFill="1" applyBorder="1"/>
    <xf numFmtId="0" fontId="12" fillId="3" borderId="18" xfId="1" applyFont="1" applyFill="1" applyBorder="1"/>
    <xf numFmtId="0" fontId="12" fillId="3" borderId="19" xfId="1" applyFont="1" applyFill="1" applyBorder="1"/>
    <xf numFmtId="0" fontId="12" fillId="3" borderId="20" xfId="1" applyFont="1" applyFill="1" applyBorder="1"/>
    <xf numFmtId="0" fontId="12" fillId="3" borderId="8" xfId="1" applyFont="1" applyFill="1" applyBorder="1"/>
    <xf numFmtId="0" fontId="12" fillId="3" borderId="21" xfId="1" applyFont="1" applyFill="1" applyBorder="1"/>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8" xfId="1" applyNumberFormat="1" applyFont="1" applyFill="1" applyBorder="1" applyAlignment="1" applyProtection="1"/>
    <xf numFmtId="0" fontId="19" fillId="3" borderId="6" xfId="1" applyNumberFormat="1" applyFont="1" applyFill="1" applyBorder="1" applyAlignment="1">
      <alignment horizontal="left"/>
    </xf>
    <xf numFmtId="0" fontId="19" fillId="3" borderId="8" xfId="1" applyNumberFormat="1" applyFont="1" applyFill="1" applyBorder="1" applyAlignment="1">
      <alignment horizontal="center"/>
    </xf>
    <xf numFmtId="0" fontId="19" fillId="3" borderId="8" xfId="1" applyNumberFormat="1" applyFont="1" applyFill="1" applyBorder="1" applyAlignment="1">
      <alignment horizontal="right"/>
    </xf>
    <xf numFmtId="0" fontId="19" fillId="3" borderId="10" xfId="1" applyFont="1" applyFill="1" applyBorder="1" applyAlignment="1">
      <alignment horizontal="center"/>
    </xf>
    <xf numFmtId="0" fontId="19" fillId="3" borderId="8" xfId="1" applyNumberFormat="1" applyFont="1" applyFill="1" applyBorder="1" applyAlignment="1">
      <alignment horizontal="left"/>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0" fontId="19" fillId="3" borderId="0" xfId="1" applyNumberFormat="1" applyFont="1" applyFill="1" applyBorder="1" applyAlignment="1">
      <alignment horizontal="center"/>
    </xf>
    <xf numFmtId="170" fontId="19" fillId="3" borderId="0" xfId="4" applyNumberFormat="1" applyFont="1" applyFill="1" applyBorder="1" applyAlignment="1">
      <alignment horizontal="center"/>
    </xf>
    <xf numFmtId="0" fontId="19" fillId="3" borderId="6" xfId="1" applyNumberFormat="1" applyFont="1" applyFill="1" applyBorder="1" applyAlignment="1">
      <alignment horizontal="center"/>
    </xf>
    <xf numFmtId="170" fontId="19" fillId="0" borderId="8" xfId="4" applyNumberFormat="1" applyFont="1" applyFill="1" applyBorder="1" applyAlignment="1">
      <alignment horizontal="right"/>
    </xf>
    <xf numFmtId="0" fontId="19" fillId="4" borderId="6" xfId="1" applyNumberFormat="1" applyFont="1" applyFill="1" applyBorder="1" applyAlignment="1" applyProtection="1"/>
    <xf numFmtId="0" fontId="19" fillId="4" borderId="8"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8" xfId="1" applyFont="1" applyFill="1" applyBorder="1" applyAlignment="1">
      <alignment vertical="center"/>
    </xf>
    <xf numFmtId="0" fontId="21" fillId="3" borderId="8" xfId="1" applyFont="1" applyFill="1" applyBorder="1" applyAlignment="1">
      <alignment horizontal="center" vertical="center" wrapText="1"/>
    </xf>
    <xf numFmtId="0" fontId="19" fillId="3" borderId="8" xfId="1" applyFont="1" applyFill="1" applyBorder="1" applyAlignment="1">
      <alignment horizontal="center" vertical="center" wrapText="1"/>
    </xf>
    <xf numFmtId="0" fontId="21" fillId="3" borderId="11" xfId="1" applyFont="1" applyFill="1" applyBorder="1" applyAlignment="1">
      <alignment horizontal="center" vertical="center" wrapText="1"/>
    </xf>
    <xf numFmtId="0" fontId="19" fillId="3" borderId="12" xfId="1" applyFont="1" applyFill="1" applyBorder="1"/>
    <xf numFmtId="0" fontId="18" fillId="0" borderId="13" xfId="1" applyFont="1" applyBorder="1"/>
    <xf numFmtId="0" fontId="18" fillId="0" borderId="13" xfId="1" applyFont="1" applyBorder="1" applyAlignment="1">
      <alignment horizontal="left"/>
    </xf>
    <xf numFmtId="0" fontId="19" fillId="3" borderId="13" xfId="1" applyFont="1" applyFill="1" applyBorder="1"/>
    <xf numFmtId="0" fontId="3" fillId="4" borderId="8" xfId="1" applyNumberFormat="1" applyFont="1" applyFill="1" applyBorder="1" applyAlignment="1" applyProtection="1"/>
    <xf numFmtId="0" fontId="2" fillId="3" borderId="8" xfId="1" applyNumberFormat="1" applyFont="1" applyFill="1" applyBorder="1" applyAlignment="1">
      <alignment horizontal="center"/>
    </xf>
    <xf numFmtId="0" fontId="2" fillId="3" borderId="5" xfId="1" applyNumberFormat="1" applyFont="1" applyFill="1" applyBorder="1" applyAlignment="1">
      <alignment horizontal="center"/>
    </xf>
    <xf numFmtId="170" fontId="2" fillId="0" borderId="8" xfId="4" applyNumberFormat="1" applyFont="1" applyFill="1" applyBorder="1" applyAlignment="1">
      <alignment horizontal="center"/>
    </xf>
    <xf numFmtId="170" fontId="2" fillId="0" borderId="6" xfId="4" applyNumberFormat="1" applyFont="1" applyFill="1" applyBorder="1" applyAlignment="1">
      <alignment horizontal="center"/>
    </xf>
    <xf numFmtId="0" fontId="9" fillId="3" borderId="11" xfId="1" applyFont="1" applyFill="1" applyBorder="1" applyAlignment="1">
      <alignment horizontal="center" vertical="center" wrapText="1"/>
    </xf>
    <xf numFmtId="0" fontId="2" fillId="3" borderId="8" xfId="1" applyFont="1" applyFill="1" applyBorder="1" applyAlignment="1">
      <alignment horizontal="center" vertical="center" wrapText="1"/>
    </xf>
    <xf numFmtId="0" fontId="2" fillId="3" borderId="12" xfId="1" applyFont="1" applyFill="1" applyBorder="1"/>
    <xf numFmtId="0" fontId="1" fillId="0" borderId="13" xfId="1" applyBorder="1"/>
    <xf numFmtId="0" fontId="1" fillId="0" borderId="13" xfId="1" applyBorder="1" applyAlignment="1">
      <alignment horizontal="left"/>
    </xf>
    <xf numFmtId="0" fontId="2" fillId="3" borderId="13" xfId="1" applyFont="1" applyFill="1" applyBorder="1"/>
    <xf numFmtId="170" fontId="2" fillId="0" borderId="27" xfId="4" applyNumberFormat="1" applyFont="1" applyFill="1" applyBorder="1" applyAlignment="1">
      <alignment horizontal="center"/>
    </xf>
    <xf numFmtId="170" fontId="2" fillId="0" borderId="28" xfId="4" applyNumberFormat="1" applyFont="1" applyFill="1" applyBorder="1" applyAlignment="1">
      <alignment horizontal="center"/>
    </xf>
    <xf numFmtId="0" fontId="9" fillId="3" borderId="9" xfId="1" applyFont="1" applyFill="1" applyBorder="1" applyAlignment="1">
      <alignment horizontal="center" vertical="center" wrapText="1"/>
    </xf>
    <xf numFmtId="0" fontId="2" fillId="3" borderId="27" xfId="1" applyFont="1" applyFill="1" applyBorder="1" applyAlignment="1">
      <alignment horizontal="center" vertical="center" wrapText="1"/>
    </xf>
    <xf numFmtId="0" fontId="2" fillId="0" borderId="3" xfId="1" applyFont="1" applyBorder="1"/>
    <xf numFmtId="0" fontId="2" fillId="0" borderId="10" xfId="1" applyFont="1" applyBorder="1"/>
    <xf numFmtId="0" fontId="2" fillId="0" borderId="15" xfId="1" applyFont="1" applyBorder="1" applyAlignment="1">
      <alignment horizontal="center" vertical="center"/>
    </xf>
    <xf numFmtId="0" fontId="2" fillId="0" borderId="16" xfId="1" applyFont="1" applyBorder="1" applyAlignment="1">
      <alignment horizontal="center" vertical="center"/>
    </xf>
    <xf numFmtId="0" fontId="2" fillId="0" borderId="17" xfId="1" applyFont="1" applyBorder="1" applyAlignment="1">
      <alignment horizontal="center" vertical="center"/>
    </xf>
    <xf numFmtId="0" fontId="2" fillId="3" borderId="2" xfId="1" applyFont="1" applyFill="1" applyBorder="1" applyAlignment="1">
      <alignment horizontal="center"/>
    </xf>
    <xf numFmtId="0" fontId="2" fillId="3" borderId="3" xfId="1" applyFont="1" applyFill="1" applyBorder="1" applyAlignment="1">
      <alignment horizontal="center"/>
    </xf>
    <xf numFmtId="0" fontId="2" fillId="0" borderId="6" xfId="4" applyNumberFormat="1" applyFont="1" applyFill="1" applyBorder="1" applyAlignment="1">
      <alignment horizontal="center"/>
    </xf>
    <xf numFmtId="0" fontId="2" fillId="0" borderId="4" xfId="1" quotePrefix="1" applyFont="1" applyBorder="1" applyAlignment="1">
      <alignment horizontal="center"/>
    </xf>
    <xf numFmtId="0" fontId="2" fillId="0" borderId="0" xfId="1" quotePrefix="1" applyFont="1" applyBorder="1" applyAlignment="1">
      <alignment horizontal="center"/>
    </xf>
    <xf numFmtId="0" fontId="2" fillId="0" borderId="8" xfId="4" applyNumberFormat="1" applyFont="1" applyFill="1" applyBorder="1" applyAlignment="1">
      <alignment horizontal="center"/>
    </xf>
    <xf numFmtId="0" fontId="12" fillId="0" borderId="13" xfId="1" applyFont="1" applyBorder="1" applyAlignment="1">
      <alignment horizontal="left"/>
    </xf>
    <xf numFmtId="0" fontId="2" fillId="3" borderId="4" xfId="1" applyFont="1" applyFill="1" applyBorder="1" applyAlignment="1">
      <alignment horizontal="center"/>
    </xf>
    <xf numFmtId="166" fontId="3" fillId="4" borderId="6" xfId="1" applyNumberFormat="1" applyFont="1" applyFill="1" applyBorder="1" applyAlignment="1" applyProtection="1">
      <alignment horizontal="left"/>
    </xf>
    <xf numFmtId="0" fontId="9" fillId="3" borderId="19" xfId="1" applyFont="1" applyFill="1" applyBorder="1" applyAlignment="1"/>
    <xf numFmtId="166" fontId="3" fillId="4" borderId="25" xfId="1" applyNumberFormat="1" applyFont="1" applyFill="1" applyBorder="1" applyAlignment="1" applyProtection="1">
      <alignment horizontal="left"/>
    </xf>
    <xf numFmtId="0" fontId="9" fillId="3" borderId="24" xfId="1" applyFont="1" applyFill="1" applyBorder="1" applyAlignment="1"/>
    <xf numFmtId="166" fontId="3" fillId="4" borderId="26" xfId="1" applyNumberFormat="1" applyFont="1" applyFill="1" applyBorder="1" applyAlignment="1" applyProtection="1">
      <alignment horizontal="left"/>
    </xf>
    <xf numFmtId="0" fontId="9" fillId="3" borderId="26" xfId="1" applyFont="1" applyFill="1" applyBorder="1" applyAlignment="1"/>
    <xf numFmtId="0" fontId="9" fillId="3" borderId="21" xfId="1" applyFont="1" applyFill="1" applyBorder="1" applyAlignment="1"/>
    <xf numFmtId="0" fontId="5" fillId="3" borderId="8" xfId="1" applyFont="1" applyFill="1" applyBorder="1" applyAlignment="1">
      <alignment horizontal="left"/>
    </xf>
    <xf numFmtId="0" fontId="2" fillId="3" borderId="8" xfId="1" applyFont="1" applyFill="1" applyBorder="1" applyAlignment="1"/>
    <xf numFmtId="0" fontId="12" fillId="3" borderId="12" xfId="1" applyFont="1" applyFill="1" applyBorder="1"/>
    <xf numFmtId="0" fontId="12" fillId="3" borderId="13" xfId="1" applyFont="1" applyFill="1" applyBorder="1"/>
    <xf numFmtId="0" fontId="12" fillId="3" borderId="13" xfId="1" applyFont="1" applyFill="1" applyBorder="1" applyAlignment="1">
      <alignment horizontal="center"/>
    </xf>
    <xf numFmtId="166" fontId="3" fillId="4" borderId="7" xfId="1" applyNumberFormat="1" applyFont="1" applyFill="1" applyBorder="1" applyAlignment="1" applyProtection="1">
      <alignment horizontal="left"/>
    </xf>
    <xf numFmtId="0" fontId="9" fillId="3" borderId="6" xfId="1" applyFont="1" applyFill="1" applyBorder="1" applyAlignment="1"/>
    <xf numFmtId="166" fontId="3" fillId="4" borderId="22" xfId="1" applyNumberFormat="1" applyFont="1" applyFill="1" applyBorder="1" applyAlignment="1" applyProtection="1">
      <alignment horizontal="left"/>
    </xf>
    <xf numFmtId="0" fontId="9" fillId="3" borderId="25" xfId="1" applyFont="1" applyFill="1" applyBorder="1" applyAlignment="1"/>
    <xf numFmtId="166" fontId="3" fillId="4" borderId="20" xfId="1" applyNumberFormat="1" applyFont="1" applyFill="1" applyBorder="1" applyAlignment="1" applyProtection="1">
      <alignment horizontal="left"/>
    </xf>
    <xf numFmtId="0" fontId="2" fillId="3" borderId="8" xfId="1" applyFont="1" applyFill="1" applyBorder="1"/>
    <xf numFmtId="0" fontId="12" fillId="3" borderId="3" xfId="1" applyFont="1" applyFill="1" applyBorder="1"/>
    <xf numFmtId="0" fontId="12" fillId="3" borderId="0" xfId="1" applyFont="1" applyFill="1" applyBorder="1"/>
    <xf numFmtId="0" fontId="2" fillId="3" borderId="8" xfId="1" applyNumberFormat="1" applyFont="1" applyFill="1" applyBorder="1" applyAlignment="1">
      <alignment horizontal="left"/>
    </xf>
    <xf numFmtId="170" fontId="2" fillId="3" borderId="8" xfId="4" applyNumberFormat="1" applyFont="1" applyFill="1" applyBorder="1" applyAlignment="1">
      <alignment horizontal="left"/>
    </xf>
    <xf numFmtId="0" fontId="3" fillId="4" borderId="25" xfId="1" applyNumberFormat="1" applyFont="1" applyFill="1" applyBorder="1" applyAlignment="1" applyProtection="1">
      <alignment vertical="center"/>
    </xf>
    <xf numFmtId="0" fontId="22" fillId="3" borderId="8" xfId="1" applyNumberFormat="1" applyFont="1" applyFill="1" applyBorder="1" applyAlignment="1"/>
    <xf numFmtId="0" fontId="3" fillId="4" borderId="22" xfId="1" applyNumberFormat="1" applyFont="1" applyFill="1" applyBorder="1" applyAlignment="1" applyProtection="1">
      <alignment horizontal="center" vertical="center"/>
    </xf>
    <xf numFmtId="0" fontId="5" fillId="3" borderId="25" xfId="1" applyFont="1" applyFill="1" applyBorder="1" applyAlignment="1">
      <alignment vertical="center"/>
    </xf>
    <xf numFmtId="0" fontId="9" fillId="3" borderId="25" xfId="1" applyFont="1" applyFill="1" applyBorder="1" applyAlignment="1">
      <alignment horizontal="center" vertical="center" wrapText="1"/>
    </xf>
    <xf numFmtId="0" fontId="9" fillId="3" borderId="22" xfId="1" applyFont="1" applyFill="1" applyBorder="1" applyAlignment="1">
      <alignment horizontal="center" vertical="center" wrapText="1"/>
    </xf>
    <xf numFmtId="0" fontId="15" fillId="4" borderId="8"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2" fillId="3" borderId="6" xfId="4" applyNumberFormat="1" applyFont="1" applyFill="1" applyBorder="1" applyAlignment="1">
      <alignment horizontal="center"/>
    </xf>
    <xf numFmtId="171" fontId="2" fillId="3" borderId="6" xfId="4" applyNumberFormat="1" applyFont="1" applyFill="1" applyBorder="1" applyAlignment="1">
      <alignment horizontal="left"/>
    </xf>
    <xf numFmtId="0" fontId="12" fillId="0" borderId="0" xfId="1" applyFont="1" applyAlignment="1">
      <alignment horizontal="center"/>
    </xf>
    <xf numFmtId="0" fontId="12" fillId="0" borderId="8" xfId="1" applyFont="1" applyFill="1" applyBorder="1"/>
    <xf numFmtId="0" fontId="12" fillId="0" borderId="8"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10" xfId="10" applyFill="1" applyBorder="1"/>
    <xf numFmtId="14" fontId="12" fillId="3" borderId="0" xfId="10" applyNumberFormat="1" applyFill="1"/>
    <xf numFmtId="172" fontId="12" fillId="3" borderId="0" xfId="10" applyNumberFormat="1" applyFill="1"/>
    <xf numFmtId="0" fontId="12" fillId="3" borderId="12" xfId="10" applyFill="1" applyBorder="1"/>
    <xf numFmtId="0" fontId="12" fillId="3" borderId="13" xfId="10" applyFill="1" applyBorder="1"/>
    <xf numFmtId="0" fontId="12" fillId="3" borderId="14" xfId="10" applyFill="1" applyBorder="1"/>
    <xf numFmtId="169" fontId="23" fillId="3" borderId="0" xfId="11" applyNumberFormat="1" applyFont="1" applyFill="1"/>
    <xf numFmtId="0" fontId="23" fillId="3" borderId="0" xfId="10" applyFont="1" applyFill="1" applyAlignment="1">
      <alignment horizontal="left"/>
    </xf>
    <xf numFmtId="0" fontId="12" fillId="2" borderId="1" xfId="10" applyFill="1" applyBorder="1"/>
    <xf numFmtId="0" fontId="12" fillId="2" borderId="2" xfId="10" applyFill="1" applyBorder="1"/>
    <xf numFmtId="169" fontId="23" fillId="2" borderId="2" xfId="11" applyNumberFormat="1" applyFont="1" applyFill="1" applyBorder="1"/>
    <xf numFmtId="0" fontId="23" fillId="2" borderId="2" xfId="10" applyFont="1" applyFill="1" applyBorder="1" applyAlignment="1">
      <alignment horizontal="left"/>
    </xf>
    <xf numFmtId="0" fontId="12" fillId="2" borderId="3" xfId="10" applyFill="1" applyBorder="1"/>
    <xf numFmtId="10" fontId="0" fillId="3" borderId="0" xfId="11" applyNumberFormat="1" applyFont="1" applyFill="1"/>
    <xf numFmtId="170" fontId="0" fillId="3" borderId="0" xfId="11" applyNumberFormat="1" applyFont="1" applyFill="1"/>
    <xf numFmtId="0" fontId="12" fillId="2" borderId="4" xfId="10" applyFill="1" applyBorder="1"/>
    <xf numFmtId="170" fontId="2" fillId="0" borderId="6" xfId="11" applyNumberFormat="1" applyFont="1" applyFill="1" applyBorder="1" applyAlignment="1">
      <alignment horizontal="center"/>
    </xf>
    <xf numFmtId="170" fontId="2" fillId="0" borderId="7" xfId="11" applyNumberFormat="1" applyFont="1" applyFill="1" applyBorder="1" applyAlignment="1"/>
    <xf numFmtId="170" fontId="2" fillId="0" borderId="18" xfId="11" applyNumberFormat="1" applyFont="1" applyFill="1" applyBorder="1" applyAlignment="1"/>
    <xf numFmtId="170" fontId="2" fillId="0" borderId="19" xfId="11" applyNumberFormat="1" applyFont="1" applyFill="1" applyBorder="1" applyAlignment="1"/>
    <xf numFmtId="0" fontId="12" fillId="2" borderId="0" xfId="10" applyFill="1" applyBorder="1" applyAlignment="1"/>
    <xf numFmtId="0" fontId="12" fillId="0" borderId="7" xfId="10" applyBorder="1" applyAlignment="1"/>
    <xf numFmtId="169" fontId="2" fillId="0" borderId="18" xfId="11" applyNumberFormat="1" applyFont="1" applyFill="1" applyBorder="1" applyAlignment="1"/>
    <xf numFmtId="173" fontId="2" fillId="0" borderId="18" xfId="11" applyNumberFormat="1" applyFont="1" applyFill="1" applyBorder="1" applyAlignment="1"/>
    <xf numFmtId="170" fontId="9" fillId="0" borderId="19" xfId="11" applyNumberFormat="1" applyFont="1" applyFill="1" applyBorder="1" applyAlignment="1"/>
    <xf numFmtId="0" fontId="12" fillId="2" borderId="10" xfId="10" applyFill="1" applyBorder="1"/>
    <xf numFmtId="170" fontId="2" fillId="0" borderId="26" xfId="11" applyNumberFormat="1" applyFont="1" applyFill="1" applyBorder="1" applyAlignment="1">
      <alignment horizontal="center"/>
    </xf>
    <xf numFmtId="170" fontId="2" fillId="0" borderId="20" xfId="11" applyNumberFormat="1" applyFont="1" applyFill="1" applyBorder="1" applyAlignment="1"/>
    <xf numFmtId="170" fontId="2" fillId="0" borderId="0" xfId="11" applyNumberFormat="1" applyFont="1" applyFill="1" applyBorder="1" applyAlignment="1"/>
    <xf numFmtId="170" fontId="2" fillId="0" borderId="21" xfId="11" applyNumberFormat="1" applyFont="1" applyFill="1" applyBorder="1" applyAlignment="1"/>
    <xf numFmtId="0" fontId="12" fillId="0" borderId="20" xfId="10" applyBorder="1" applyAlignment="1"/>
    <xf numFmtId="169" fontId="2" fillId="0" borderId="0" xfId="11" applyNumberFormat="1" applyFont="1" applyFill="1" applyBorder="1" applyAlignment="1"/>
    <xf numFmtId="173" fontId="2" fillId="0" borderId="0" xfId="11" applyNumberFormat="1" applyFont="1" applyFill="1" applyBorder="1" applyAlignment="1"/>
    <xf numFmtId="170" fontId="9" fillId="0" borderId="21" xfId="11" applyNumberFormat="1" applyFont="1" applyFill="1" applyBorder="1" applyAlignment="1"/>
    <xf numFmtId="0" fontId="2" fillId="0" borderId="0" xfId="11" applyNumberFormat="1" applyFont="1" applyFill="1" applyBorder="1" applyAlignment="1"/>
    <xf numFmtId="170" fontId="2" fillId="0" borderId="25" xfId="11" applyNumberFormat="1" applyFont="1" applyFill="1" applyBorder="1" applyAlignment="1">
      <alignment horizontal="center"/>
    </xf>
    <xf numFmtId="170" fontId="2" fillId="0" borderId="22" xfId="11" applyNumberFormat="1" applyFont="1" applyFill="1" applyBorder="1" applyAlignment="1"/>
    <xf numFmtId="170" fontId="2" fillId="0" borderId="23" xfId="11" applyNumberFormat="1" applyFont="1" applyFill="1" applyBorder="1" applyAlignment="1"/>
    <xf numFmtId="170" fontId="2" fillId="0" borderId="24" xfId="11" applyNumberFormat="1" applyFont="1" applyFill="1" applyBorder="1" applyAlignment="1"/>
    <xf numFmtId="0" fontId="12" fillId="0" borderId="22" xfId="10" applyBorder="1" applyAlignment="1"/>
    <xf numFmtId="169" fontId="2" fillId="0" borderId="23" xfId="11" applyNumberFormat="1" applyFont="1" applyFill="1" applyBorder="1" applyAlignment="1"/>
    <xf numFmtId="0" fontId="2" fillId="0" borderId="23" xfId="11" applyNumberFormat="1" applyFont="1" applyFill="1" applyBorder="1" applyAlignment="1"/>
    <xf numFmtId="173" fontId="2" fillId="0" borderId="23" xfId="11" applyNumberFormat="1" applyFont="1" applyFill="1" applyBorder="1" applyAlignment="1"/>
    <xf numFmtId="170" fontId="9" fillId="0" borderId="24" xfId="11" applyNumberFormat="1" applyFont="1" applyFill="1" applyBorder="1" applyAlignment="1"/>
    <xf numFmtId="170" fontId="9" fillId="0" borderId="8" xfId="11" applyNumberFormat="1" applyFont="1" applyFill="1" applyBorder="1" applyAlignment="1">
      <alignment horizontal="center" vertical="center" wrapText="1"/>
    </xf>
    <xf numFmtId="170" fontId="9" fillId="0" borderId="5" xfId="11" applyNumberFormat="1" applyFont="1" applyFill="1" applyBorder="1" applyAlignment="1">
      <alignment horizontal="center" vertical="center" wrapText="1"/>
    </xf>
    <xf numFmtId="170" fontId="9" fillId="0" borderId="11" xfId="11" applyNumberFormat="1" applyFont="1" applyFill="1" applyBorder="1" applyAlignment="1">
      <alignment horizontal="center" vertical="center" wrapText="1"/>
    </xf>
    <xf numFmtId="170" fontId="9" fillId="0" borderId="9" xfId="11" applyNumberFormat="1" applyFont="1" applyFill="1" applyBorder="1" applyAlignment="1">
      <alignment horizontal="center" vertical="center" wrapText="1"/>
    </xf>
    <xf numFmtId="0" fontId="12" fillId="2" borderId="0" xfId="10" applyFill="1" applyBorder="1"/>
    <xf numFmtId="0" fontId="12" fillId="2" borderId="12" xfId="10" applyFill="1" applyBorder="1"/>
    <xf numFmtId="0" fontId="12" fillId="2" borderId="13" xfId="10" applyFill="1" applyBorder="1"/>
    <xf numFmtId="170" fontId="12" fillId="2" borderId="13" xfId="10" applyNumberFormat="1" applyFill="1" applyBorder="1"/>
    <xf numFmtId="0" fontId="24" fillId="2" borderId="13" xfId="10" applyFont="1" applyFill="1" applyBorder="1"/>
    <xf numFmtId="0" fontId="23" fillId="2" borderId="13" xfId="10" applyFont="1" applyFill="1" applyBorder="1"/>
    <xf numFmtId="0" fontId="23" fillId="2" borderId="13" xfId="10" applyFont="1" applyFill="1" applyBorder="1" applyAlignment="1">
      <alignment horizontal="left"/>
    </xf>
    <xf numFmtId="0" fontId="24" fillId="2" borderId="13" xfId="10" applyFont="1" applyFill="1" applyBorder="1" applyAlignment="1">
      <alignment horizontal="center"/>
    </xf>
    <xf numFmtId="0" fontId="12" fillId="2" borderId="14" xfId="10" applyFill="1" applyBorder="1"/>
    <xf numFmtId="0" fontId="23" fillId="3" borderId="0" xfId="10" applyFont="1" applyFill="1"/>
    <xf numFmtId="174" fontId="2" fillId="0" borderId="7" xfId="11" applyNumberFormat="1" applyFont="1" applyFill="1" applyBorder="1" applyAlignment="1"/>
    <xf numFmtId="174" fontId="2" fillId="0" borderId="18" xfId="11" applyNumberFormat="1" applyFont="1" applyFill="1" applyBorder="1" applyAlignment="1"/>
    <xf numFmtId="175" fontId="2" fillId="0" borderId="18" xfId="11" applyNumberFormat="1" applyFont="1" applyFill="1" applyBorder="1" applyAlignment="1"/>
    <xf numFmtId="174" fontId="2" fillId="0" borderId="20" xfId="11" applyNumberFormat="1" applyFont="1" applyFill="1" applyBorder="1" applyAlignment="1"/>
    <xf numFmtId="174" fontId="2" fillId="0" borderId="0" xfId="11" applyNumberFormat="1" applyFont="1" applyFill="1" applyBorder="1" applyAlignment="1"/>
    <xf numFmtId="175" fontId="2" fillId="0" borderId="0" xfId="11" applyNumberFormat="1" applyFont="1" applyFill="1" applyBorder="1" applyAlignment="1"/>
    <xf numFmtId="174" fontId="2" fillId="0" borderId="22" xfId="11" applyNumberFormat="1" applyFont="1" applyFill="1" applyBorder="1" applyAlignment="1"/>
    <xf numFmtId="174" fontId="2" fillId="0" borderId="23" xfId="11" applyNumberFormat="1" applyFont="1" applyFill="1" applyBorder="1" applyAlignment="1"/>
    <xf numFmtId="175" fontId="2" fillId="0" borderId="23" xfId="11" applyNumberFormat="1" applyFont="1" applyFill="1" applyBorder="1" applyAlignment="1"/>
    <xf numFmtId="0" fontId="12" fillId="3" borderId="1" xfId="10" applyFill="1" applyBorder="1"/>
    <xf numFmtId="0" fontId="12" fillId="3" borderId="2" xfId="10" applyFill="1" applyBorder="1"/>
    <xf numFmtId="170" fontId="2" fillId="0" borderId="6" xfId="11" applyNumberFormat="1" applyFont="1" applyFill="1" applyBorder="1" applyAlignment="1"/>
    <xf numFmtId="170" fontId="2" fillId="0" borderId="26"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12" xfId="10" quotePrefix="1" applyFill="1" applyBorder="1"/>
    <xf numFmtId="0" fontId="12" fillId="3" borderId="13" xfId="10" quotePrefix="1" applyFill="1" applyBorder="1"/>
    <xf numFmtId="0" fontId="2" fillId="3" borderId="4" xfId="10" applyFont="1" applyFill="1" applyBorder="1"/>
    <xf numFmtId="0" fontId="11" fillId="3" borderId="10" xfId="10" applyFont="1" applyFill="1" applyBorder="1"/>
    <xf numFmtId="0" fontId="2" fillId="2" borderId="26" xfId="10" applyFont="1" applyFill="1" applyBorder="1"/>
    <xf numFmtId="170" fontId="2" fillId="0" borderId="7" xfId="4" applyNumberFormat="1" applyFont="1" applyFill="1" applyBorder="1" applyAlignment="1">
      <alignment horizontal="center"/>
    </xf>
    <xf numFmtId="169" fontId="2" fillId="0" borderId="18" xfId="4" applyNumberFormat="1" applyFont="1" applyFill="1" applyBorder="1" applyAlignment="1">
      <alignment horizontal="center"/>
    </xf>
    <xf numFmtId="0" fontId="2" fillId="3" borderId="0" xfId="1" applyFont="1" applyFill="1" applyBorder="1" applyAlignment="1">
      <alignment horizontal="center"/>
    </xf>
    <xf numFmtId="169" fontId="2" fillId="0" borderId="6" xfId="4" applyNumberFormat="1" applyFont="1" applyBorder="1"/>
    <xf numFmtId="169" fontId="2" fillId="0" borderId="7" xfId="4" applyNumberFormat="1" applyFont="1" applyFill="1" applyBorder="1" applyAlignment="1">
      <alignment horizontal="center"/>
    </xf>
    <xf numFmtId="170" fontId="2" fillId="0" borderId="18" xfId="4" applyNumberFormat="1" applyFont="1" applyFill="1" applyBorder="1" applyAlignment="1"/>
    <xf numFmtId="0" fontId="2" fillId="0" borderId="19" xfId="4" applyNumberFormat="1" applyFont="1" applyFill="1" applyBorder="1" applyAlignment="1"/>
    <xf numFmtId="170" fontId="2" fillId="0" borderId="20" xfId="4" applyNumberFormat="1" applyFont="1" applyFill="1" applyBorder="1" applyAlignment="1">
      <alignment horizontal="center"/>
    </xf>
    <xf numFmtId="169" fontId="2" fillId="0" borderId="0" xfId="4" applyNumberFormat="1" applyFont="1" applyFill="1" applyBorder="1" applyAlignment="1">
      <alignment horizontal="center"/>
    </xf>
    <xf numFmtId="169" fontId="2" fillId="0" borderId="26" xfId="4" applyNumberFormat="1" applyFont="1" applyBorder="1"/>
    <xf numFmtId="169" fontId="2" fillId="0" borderId="20" xfId="4" applyNumberFormat="1" applyFont="1" applyFill="1" applyBorder="1" applyAlignment="1">
      <alignment horizontal="center"/>
    </xf>
    <xf numFmtId="170" fontId="2" fillId="0" borderId="0" xfId="4" applyNumberFormat="1" applyFont="1" applyFill="1" applyBorder="1" applyAlignment="1"/>
    <xf numFmtId="0" fontId="2" fillId="0" borderId="21" xfId="4" applyNumberFormat="1" applyFont="1" applyFill="1" applyBorder="1" applyAlignment="1"/>
    <xf numFmtId="0" fontId="2" fillId="0" borderId="7" xfId="1" applyFont="1" applyBorder="1" applyAlignment="1">
      <alignment horizontal="center"/>
    </xf>
    <xf numFmtId="0" fontId="2" fillId="0" borderId="18" xfId="1" applyFont="1" applyBorder="1" applyAlignment="1">
      <alignment horizontal="center"/>
    </xf>
    <xf numFmtId="0" fontId="2" fillId="0" borderId="19" xfId="1" applyFont="1" applyBorder="1" applyAlignment="1">
      <alignment horizontal="center"/>
    </xf>
    <xf numFmtId="0" fontId="2" fillId="0" borderId="20" xfId="1" applyFont="1" applyBorder="1" applyAlignment="1">
      <alignment horizontal="center"/>
    </xf>
    <xf numFmtId="0" fontId="2" fillId="0" borderId="21" xfId="1" applyFont="1" applyBorder="1" applyAlignment="1">
      <alignment horizontal="center"/>
    </xf>
    <xf numFmtId="170" fontId="2" fillId="0" borderId="22" xfId="4" applyNumberFormat="1" applyFont="1" applyFill="1" applyBorder="1" applyAlignment="1">
      <alignment horizontal="center"/>
    </xf>
    <xf numFmtId="169" fontId="2" fillId="0" borderId="23" xfId="4" applyNumberFormat="1" applyFont="1" applyFill="1" applyBorder="1" applyAlignment="1">
      <alignment horizontal="center"/>
    </xf>
    <xf numFmtId="169" fontId="2" fillId="0" borderId="25" xfId="4" applyNumberFormat="1" applyFont="1" applyBorder="1"/>
    <xf numFmtId="169" fontId="2" fillId="0" borderId="22" xfId="4" applyNumberFormat="1" applyFont="1" applyFill="1" applyBorder="1" applyAlignment="1">
      <alignment horizontal="center"/>
    </xf>
    <xf numFmtId="0" fontId="2" fillId="0" borderId="24" xfId="4" applyNumberFormat="1" applyFont="1" applyFill="1" applyBorder="1" applyAlignment="1"/>
    <xf numFmtId="0" fontId="2" fillId="0" borderId="5" xfId="1" applyFont="1" applyFill="1" applyBorder="1" applyAlignment="1">
      <alignment horizontal="center" vertical="center" wrapText="1"/>
    </xf>
    <xf numFmtId="0" fontId="2" fillId="0" borderId="11" xfId="1" applyFont="1" applyBorder="1" applyAlignment="1">
      <alignment horizontal="center" vertical="center" wrapText="1"/>
    </xf>
    <xf numFmtId="0" fontId="2" fillId="0" borderId="9" xfId="1" applyFont="1" applyBorder="1" applyAlignment="1">
      <alignment horizontal="center" vertical="center" wrapText="1"/>
    </xf>
    <xf numFmtId="170" fontId="9" fillId="0" borderId="5" xfId="4" applyNumberFormat="1" applyFont="1" applyFill="1" applyBorder="1" applyAlignment="1">
      <alignment horizontal="center" vertical="center" wrapText="1"/>
    </xf>
    <xf numFmtId="170" fontId="9" fillId="0" borderId="9" xfId="4" applyNumberFormat="1" applyFont="1" applyFill="1" applyBorder="1" applyAlignment="1">
      <alignment horizontal="center" vertical="center" wrapText="1"/>
    </xf>
    <xf numFmtId="169" fontId="9" fillId="0" borderId="8" xfId="4" applyNumberFormat="1" applyFont="1" applyFill="1" applyBorder="1" applyAlignment="1">
      <alignment horizontal="center" vertical="center" wrapText="1"/>
    </xf>
    <xf numFmtId="169" fontId="9" fillId="0" borderId="5" xfId="4" applyNumberFormat="1" applyFont="1" applyFill="1" applyBorder="1" applyAlignment="1">
      <alignment horizontal="center" vertical="center" wrapText="1"/>
    </xf>
    <xf numFmtId="0" fontId="9" fillId="0" borderId="11" xfId="1" applyFont="1" applyBorder="1" applyAlignment="1">
      <alignment horizontal="center" vertical="center" wrapText="1"/>
    </xf>
    <xf numFmtId="0" fontId="2" fillId="0" borderId="0" xfId="1" applyFont="1" applyFill="1" applyBorder="1"/>
    <xf numFmtId="0" fontId="2" fillId="3" borderId="0" xfId="1" applyFont="1" applyFill="1"/>
    <xf numFmtId="0" fontId="17" fillId="3" borderId="0" xfId="1" applyFont="1" applyFill="1" applyBorder="1"/>
    <xf numFmtId="0" fontId="2" fillId="3" borderId="10" xfId="1" applyFont="1" applyFill="1" applyBorder="1"/>
    <xf numFmtId="0" fontId="2" fillId="3" borderId="14" xfId="1" applyFont="1" applyFill="1" applyBorder="1"/>
    <xf numFmtId="10" fontId="2" fillId="0" borderId="0" xfId="4" applyNumberFormat="1" applyFont="1"/>
    <xf numFmtId="2" fontId="2" fillId="0" borderId="0" xfId="1" applyNumberFormat="1" applyFont="1"/>
    <xf numFmtId="0" fontId="2" fillId="3" borderId="1" xfId="1" applyFont="1" applyFill="1" applyBorder="1" applyAlignment="1">
      <alignment horizontal="center"/>
    </xf>
    <xf numFmtId="170" fontId="2" fillId="0" borderId="5" xfId="4" applyNumberFormat="1" applyFont="1" applyFill="1" applyBorder="1" applyAlignment="1">
      <alignment horizontal="center"/>
    </xf>
    <xf numFmtId="169" fontId="2" fillId="0" borderId="11" xfId="4" applyNumberFormat="1" applyFont="1" applyFill="1" applyBorder="1" applyAlignment="1">
      <alignment horizontal="center"/>
    </xf>
    <xf numFmtId="170" fontId="2" fillId="0" borderId="9" xfId="4" applyNumberFormat="1" applyFont="1" applyFill="1" applyBorder="1" applyAlignment="1"/>
    <xf numFmtId="169" fontId="2" fillId="0" borderId="8" xfId="4" applyNumberFormat="1" applyFont="1" applyFill="1" applyBorder="1" applyAlignment="1">
      <alignment horizontal="center"/>
    </xf>
    <xf numFmtId="169" fontId="2" fillId="0" borderId="5" xfId="4" applyNumberFormat="1" applyFont="1" applyFill="1" applyBorder="1" applyAlignment="1">
      <alignment horizontal="center"/>
    </xf>
    <xf numFmtId="0" fontId="2" fillId="0" borderId="11" xfId="4" applyNumberFormat="1" applyFont="1" applyFill="1" applyBorder="1" applyAlignment="1"/>
    <xf numFmtId="169" fontId="2" fillId="0" borderId="11" xfId="4" applyNumberFormat="1" applyFont="1" applyFill="1" applyBorder="1" applyAlignment="1"/>
    <xf numFmtId="0" fontId="2" fillId="0" borderId="11" xfId="4" applyNumberFormat="1" applyFont="1" applyFill="1" applyBorder="1" applyAlignment="1">
      <alignment horizontal="center"/>
    </xf>
    <xf numFmtId="0" fontId="2" fillId="0" borderId="9" xfId="4" applyNumberFormat="1" applyFont="1" applyFill="1" applyBorder="1" applyAlignment="1">
      <alignment horizontal="center"/>
    </xf>
    <xf numFmtId="170" fontId="2" fillId="0" borderId="21" xfId="4" applyNumberFormat="1" applyFont="1" applyFill="1" applyBorder="1" applyAlignment="1"/>
    <xf numFmtId="169" fontId="2" fillId="0" borderId="26" xfId="4" applyNumberFormat="1" applyFont="1" applyFill="1" applyBorder="1" applyAlignment="1">
      <alignment horizontal="center"/>
    </xf>
    <xf numFmtId="0" fontId="2" fillId="0" borderId="18" xfId="4" applyNumberFormat="1" applyFont="1" applyFill="1" applyBorder="1" applyAlignment="1"/>
    <xf numFmtId="169" fontId="2" fillId="0" borderId="18" xfId="4" applyNumberFormat="1" applyFont="1" applyFill="1" applyBorder="1" applyAlignment="1"/>
    <xf numFmtId="0" fontId="2" fillId="0" borderId="18" xfId="4" applyNumberFormat="1" applyFont="1" applyFill="1" applyBorder="1" applyAlignment="1">
      <alignment horizontal="center"/>
    </xf>
    <xf numFmtId="0" fontId="2" fillId="0" borderId="21" xfId="4" applyNumberFormat="1" applyFont="1" applyFill="1" applyBorder="1" applyAlignment="1">
      <alignment horizontal="center"/>
    </xf>
    <xf numFmtId="0" fontId="2" fillId="0" borderId="0" xfId="4" applyNumberFormat="1" applyFont="1" applyFill="1" applyBorder="1" applyAlignment="1"/>
    <xf numFmtId="169" fontId="2" fillId="0" borderId="0" xfId="4" applyNumberFormat="1" applyFont="1" applyFill="1" applyBorder="1" applyAlignment="1"/>
    <xf numFmtId="0" fontId="2" fillId="0" borderId="0" xfId="4" applyNumberFormat="1" applyFont="1" applyFill="1" applyBorder="1" applyAlignment="1">
      <alignment horizontal="center"/>
    </xf>
    <xf numFmtId="0" fontId="2" fillId="0" borderId="23" xfId="4" applyNumberFormat="1" applyFont="1" applyFill="1" applyBorder="1" applyAlignment="1"/>
    <xf numFmtId="169" fontId="2" fillId="0" borderId="23" xfId="4" applyNumberFormat="1" applyFont="1" applyFill="1" applyBorder="1" applyAlignment="1"/>
    <xf numFmtId="0" fontId="2" fillId="0" borderId="23" xfId="4" applyNumberFormat="1" applyFont="1" applyFill="1" applyBorder="1" applyAlignment="1">
      <alignment horizontal="center"/>
    </xf>
    <xf numFmtId="0" fontId="2" fillId="0" borderId="24" xfId="4" applyNumberFormat="1" applyFont="1" applyFill="1" applyBorder="1" applyAlignment="1">
      <alignment horizontal="center"/>
    </xf>
    <xf numFmtId="170" fontId="2" fillId="0" borderId="19" xfId="4" applyNumberFormat="1" applyFont="1" applyFill="1" applyBorder="1" applyAlignment="1"/>
    <xf numFmtId="169" fontId="2" fillId="0" borderId="6" xfId="4" applyNumberFormat="1" applyFont="1" applyFill="1" applyBorder="1" applyAlignment="1">
      <alignment horizontal="center"/>
    </xf>
    <xf numFmtId="0" fontId="2" fillId="0" borderId="19" xfId="4" applyNumberFormat="1" applyFont="1" applyFill="1" applyBorder="1" applyAlignment="1">
      <alignment horizontal="center"/>
    </xf>
    <xf numFmtId="170" fontId="2" fillId="0" borderId="24" xfId="4" applyNumberFormat="1" applyFont="1" applyFill="1" applyBorder="1" applyAlignment="1"/>
    <xf numFmtId="169" fontId="2" fillId="0" borderId="25" xfId="4" applyNumberFormat="1" applyFont="1" applyFill="1" applyBorder="1" applyAlignment="1">
      <alignment horizontal="center"/>
    </xf>
    <xf numFmtId="0" fontId="2" fillId="0" borderId="0" xfId="1" applyFont="1" applyAlignment="1">
      <alignment horizontal="center" vertical="center"/>
    </xf>
    <xf numFmtId="0" fontId="9" fillId="0" borderId="23" xfId="1" applyFont="1" applyFill="1" applyBorder="1" applyAlignment="1">
      <alignment horizontal="center" vertical="center" wrapText="1"/>
    </xf>
    <xf numFmtId="170" fontId="9" fillId="0" borderId="24" xfId="4" applyNumberFormat="1" applyFont="1" applyFill="1" applyBorder="1" applyAlignment="1">
      <alignment horizontal="center" vertical="center" wrapText="1"/>
    </xf>
    <xf numFmtId="169" fontId="9" fillId="0" borderId="11" xfId="4" applyNumberFormat="1" applyFont="1" applyFill="1" applyBorder="1" applyAlignment="1">
      <alignment horizontal="center" vertical="center" wrapText="1"/>
    </xf>
    <xf numFmtId="0" fontId="9" fillId="8" borderId="8" xfId="1" applyFont="1" applyFill="1" applyBorder="1" applyAlignment="1">
      <alignment horizontal="center"/>
    </xf>
    <xf numFmtId="0" fontId="2" fillId="0" borderId="14" xfId="1" applyFont="1" applyFill="1" applyBorder="1"/>
    <xf numFmtId="10" fontId="12" fillId="0" borderId="0" xfId="4" applyNumberFormat="1" applyFont="1"/>
    <xf numFmtId="169" fontId="12" fillId="0" borderId="7" xfId="4" applyNumberFormat="1" applyFont="1" applyFill="1" applyBorder="1" applyAlignment="1">
      <alignment horizontal="center"/>
    </xf>
    <xf numFmtId="169" fontId="12" fillId="0" borderId="18" xfId="4" applyNumberFormat="1" applyFont="1" applyFill="1" applyBorder="1" applyAlignment="1">
      <alignment horizontal="center"/>
    </xf>
    <xf numFmtId="169" fontId="12" fillId="0" borderId="19" xfId="4" applyNumberFormat="1" applyFont="1" applyFill="1" applyBorder="1" applyAlignment="1">
      <alignment horizontal="center"/>
    </xf>
    <xf numFmtId="0" fontId="12" fillId="3" borderId="0" xfId="1" applyFont="1" applyFill="1" applyBorder="1" applyAlignment="1">
      <alignment horizontal="center"/>
    </xf>
    <xf numFmtId="169" fontId="12" fillId="0" borderId="6" xfId="1" applyNumberFormat="1" applyFont="1" applyBorder="1"/>
    <xf numFmtId="166" fontId="12" fillId="0" borderId="18" xfId="4" applyNumberFormat="1" applyFont="1" applyFill="1" applyBorder="1" applyAlignment="1">
      <alignment horizontal="center"/>
    </xf>
    <xf numFmtId="176" fontId="12" fillId="0" borderId="18" xfId="4" applyNumberFormat="1" applyFont="1" applyFill="1" applyBorder="1" applyAlignment="1">
      <alignment horizontal="center"/>
    </xf>
    <xf numFmtId="1" fontId="12" fillId="0" borderId="18" xfId="4" applyNumberFormat="1" applyFont="1" applyFill="1" applyBorder="1" applyAlignment="1">
      <alignment horizontal="center"/>
    </xf>
    <xf numFmtId="1" fontId="12" fillId="0" borderId="19" xfId="4" applyNumberFormat="1" applyFont="1" applyFill="1" applyBorder="1" applyAlignment="1">
      <alignment horizontal="center"/>
    </xf>
    <xf numFmtId="169" fontId="12" fillId="0" borderId="20" xfId="4" applyNumberFormat="1" applyFont="1" applyFill="1" applyBorder="1" applyAlignment="1">
      <alignment horizontal="center"/>
    </xf>
    <xf numFmtId="169" fontId="12" fillId="0" borderId="0" xfId="4" applyNumberFormat="1" applyFont="1" applyFill="1" applyBorder="1" applyAlignment="1">
      <alignment horizontal="center"/>
    </xf>
    <xf numFmtId="169" fontId="12" fillId="0" borderId="21" xfId="4" applyNumberFormat="1" applyFont="1" applyFill="1" applyBorder="1" applyAlignment="1">
      <alignment horizontal="center"/>
    </xf>
    <xf numFmtId="169" fontId="12" fillId="0" borderId="26" xfId="1" applyNumberFormat="1" applyFont="1" applyBorder="1"/>
    <xf numFmtId="166" fontId="12" fillId="0" borderId="0" xfId="4" applyNumberFormat="1" applyFont="1" applyFill="1" applyBorder="1" applyAlignment="1">
      <alignment horizontal="center"/>
    </xf>
    <xf numFmtId="176" fontId="12" fillId="0" borderId="0" xfId="4" applyNumberFormat="1" applyFont="1" applyFill="1" applyBorder="1" applyAlignment="1">
      <alignment horizontal="center"/>
    </xf>
    <xf numFmtId="1" fontId="12" fillId="0" borderId="0" xfId="4" applyNumberFormat="1" applyFont="1" applyFill="1" applyBorder="1" applyAlignment="1">
      <alignment horizontal="center"/>
    </xf>
    <xf numFmtId="1" fontId="12" fillId="0" borderId="21" xfId="4" applyNumberFormat="1" applyFont="1" applyFill="1" applyBorder="1" applyAlignment="1">
      <alignment horizontal="center"/>
    </xf>
    <xf numFmtId="0" fontId="12" fillId="0" borderId="1" xfId="1" applyFont="1" applyBorder="1" applyAlignment="1">
      <alignment horizontal="center"/>
    </xf>
    <xf numFmtId="0" fontId="12" fillId="0" borderId="3" xfId="1" applyFont="1" applyBorder="1" applyAlignment="1">
      <alignment horizontal="center"/>
    </xf>
    <xf numFmtId="0" fontId="12" fillId="0" borderId="4" xfId="1" applyFont="1" applyBorder="1" applyAlignment="1">
      <alignment horizontal="center"/>
    </xf>
    <xf numFmtId="0" fontId="12" fillId="0" borderId="10" xfId="1" applyFont="1" applyBorder="1" applyAlignment="1">
      <alignment horizontal="center"/>
    </xf>
    <xf numFmtId="169" fontId="12" fillId="0" borderId="26" xfId="1" applyNumberFormat="1" applyFont="1" applyFill="1" applyBorder="1"/>
    <xf numFmtId="169" fontId="12" fillId="0" borderId="22" xfId="4" applyNumberFormat="1" applyFont="1" applyFill="1" applyBorder="1" applyAlignment="1">
      <alignment horizontal="center"/>
    </xf>
    <xf numFmtId="169" fontId="12" fillId="0" borderId="23" xfId="4" applyNumberFormat="1" applyFont="1" applyFill="1" applyBorder="1" applyAlignment="1">
      <alignment horizontal="center"/>
    </xf>
    <xf numFmtId="169" fontId="12" fillId="0" borderId="24" xfId="4" applyNumberFormat="1" applyFont="1" applyFill="1" applyBorder="1" applyAlignment="1">
      <alignment horizontal="center"/>
    </xf>
    <xf numFmtId="169" fontId="12" fillId="0" borderId="25" xfId="1" applyNumberFormat="1" applyFont="1" applyFill="1" applyBorder="1"/>
    <xf numFmtId="166" fontId="12" fillId="0" borderId="23" xfId="4" applyNumberFormat="1" applyFont="1" applyFill="1" applyBorder="1" applyAlignment="1">
      <alignment horizontal="center"/>
    </xf>
    <xf numFmtId="176" fontId="12" fillId="0" borderId="23" xfId="4" applyNumberFormat="1" applyFont="1" applyFill="1" applyBorder="1" applyAlignment="1">
      <alignment horizontal="center"/>
    </xf>
    <xf numFmtId="1" fontId="12" fillId="0" borderId="23" xfId="4" applyNumberFormat="1" applyFont="1" applyFill="1" applyBorder="1" applyAlignment="1">
      <alignment horizontal="center"/>
    </xf>
    <xf numFmtId="1" fontId="12" fillId="0" borderId="24" xfId="4" applyNumberFormat="1" applyFont="1" applyFill="1" applyBorder="1" applyAlignment="1">
      <alignment horizontal="center"/>
    </xf>
    <xf numFmtId="0" fontId="12" fillId="0" borderId="15" xfId="1" applyFont="1" applyBorder="1" applyAlignment="1">
      <alignment horizontal="center" vertical="center"/>
    </xf>
    <xf numFmtId="0" fontId="12" fillId="0" borderId="17" xfId="1" applyFont="1" applyBorder="1" applyAlignment="1">
      <alignment horizontal="center" vertical="center"/>
    </xf>
    <xf numFmtId="169" fontId="25" fillId="0" borderId="5" xfId="4" applyNumberFormat="1" applyFont="1" applyFill="1" applyBorder="1" applyAlignment="1">
      <alignment horizontal="center" vertical="center" wrapText="1"/>
    </xf>
    <xf numFmtId="169" fontId="25" fillId="0" borderId="11" xfId="4" applyNumberFormat="1" applyFont="1" applyFill="1" applyBorder="1" applyAlignment="1">
      <alignment horizontal="center" vertical="center" wrapText="1"/>
    </xf>
    <xf numFmtId="170" fontId="25" fillId="0" borderId="9" xfId="4" applyNumberFormat="1" applyFont="1" applyFill="1" applyBorder="1" applyAlignment="1">
      <alignment horizontal="center" vertical="center" wrapText="1"/>
    </xf>
    <xf numFmtId="169" fontId="25" fillId="0" borderId="8" xfId="4" applyNumberFormat="1" applyFont="1" applyFill="1" applyBorder="1" applyAlignment="1">
      <alignment horizontal="center" vertical="center" wrapText="1"/>
    </xf>
    <xf numFmtId="170" fontId="25" fillId="0" borderId="5" xfId="4" applyNumberFormat="1" applyFont="1" applyFill="1" applyBorder="1" applyAlignment="1">
      <alignment horizontal="center" vertical="center" wrapText="1"/>
    </xf>
    <xf numFmtId="0" fontId="25" fillId="0" borderId="11" xfId="1" applyFont="1" applyBorder="1" applyAlignment="1">
      <alignment horizontal="center" vertical="center" wrapText="1"/>
    </xf>
    <xf numFmtId="169" fontId="25" fillId="0" borderId="9" xfId="4" applyNumberFormat="1" applyFont="1" applyFill="1" applyBorder="1" applyAlignment="1">
      <alignment horizontal="center" vertical="center" wrapText="1"/>
    </xf>
    <xf numFmtId="0" fontId="16" fillId="3" borderId="4" xfId="1" applyFont="1" applyFill="1" applyBorder="1"/>
    <xf numFmtId="0" fontId="12" fillId="0" borderId="0" xfId="1" applyFont="1" applyFill="1" applyBorder="1"/>
    <xf numFmtId="0" fontId="12" fillId="3" borderId="5" xfId="1" applyFont="1" applyFill="1" applyBorder="1" applyAlignment="1">
      <alignment horizontal="center" vertical="center" wrapText="1"/>
    </xf>
    <xf numFmtId="0" fontId="25" fillId="3" borderId="8" xfId="1" applyFont="1" applyFill="1" applyBorder="1" applyAlignment="1">
      <alignment horizontal="center" vertical="center" wrapText="1"/>
    </xf>
    <xf numFmtId="0" fontId="26" fillId="3" borderId="0" xfId="1" applyFont="1" applyFill="1" applyBorder="1"/>
    <xf numFmtId="169" fontId="25" fillId="0" borderId="22" xfId="4" applyNumberFormat="1" applyFont="1" applyFill="1" applyBorder="1" applyAlignment="1">
      <alignment horizontal="center" vertical="center" wrapText="1"/>
    </xf>
    <xf numFmtId="169" fontId="25" fillId="0" borderId="23" xfId="4" applyNumberFormat="1" applyFont="1" applyFill="1" applyBorder="1" applyAlignment="1">
      <alignment horizontal="center" vertical="center" wrapText="1"/>
    </xf>
    <xf numFmtId="170" fontId="25" fillId="0" borderId="24" xfId="4" applyNumberFormat="1" applyFont="1" applyFill="1" applyBorder="1" applyAlignment="1">
      <alignment horizontal="center" vertical="center" wrapText="1"/>
    </xf>
    <xf numFmtId="169" fontId="25" fillId="0" borderId="25" xfId="4" applyNumberFormat="1" applyFont="1" applyFill="1" applyBorder="1" applyAlignment="1">
      <alignment horizontal="center" vertical="center" wrapText="1"/>
    </xf>
    <xf numFmtId="170" fontId="25" fillId="0" borderId="22" xfId="4" applyNumberFormat="1" applyFont="1" applyFill="1" applyBorder="1" applyAlignment="1">
      <alignment horizontal="center" vertical="center" wrapText="1"/>
    </xf>
    <xf numFmtId="0" fontId="25" fillId="0" borderId="23" xfId="1" applyFont="1" applyBorder="1" applyAlignment="1">
      <alignment horizontal="center" vertical="center" wrapText="1"/>
    </xf>
    <xf numFmtId="169" fontId="25" fillId="0" borderId="24" xfId="4" applyNumberFormat="1" applyFont="1" applyFill="1" applyBorder="1" applyAlignment="1">
      <alignment horizontal="center" vertical="center" wrapText="1"/>
    </xf>
    <xf numFmtId="169" fontId="12" fillId="0" borderId="6" xfId="1" applyNumberFormat="1" applyFont="1" applyFill="1" applyBorder="1"/>
    <xf numFmtId="177" fontId="12" fillId="0" borderId="0" xfId="1" applyNumberFormat="1" applyFont="1"/>
    <xf numFmtId="0" fontId="12" fillId="0" borderId="1" xfId="1" applyFont="1" applyBorder="1"/>
    <xf numFmtId="0" fontId="12" fillId="0" borderId="2" xfId="1" applyFont="1" applyBorder="1"/>
    <xf numFmtId="0" fontId="12" fillId="0" borderId="4" xfId="1" applyFont="1" applyBorder="1"/>
    <xf numFmtId="0" fontId="12" fillId="0" borderId="0" xfId="1" applyFont="1" applyBorder="1"/>
    <xf numFmtId="178" fontId="2" fillId="0" borderId="7" xfId="4" applyNumberFormat="1" applyFont="1" applyFill="1" applyBorder="1" applyAlignment="1"/>
    <xf numFmtId="178" fontId="2" fillId="0" borderId="18" xfId="4" applyNumberFormat="1" applyFont="1" applyFill="1" applyBorder="1" applyAlignment="1"/>
    <xf numFmtId="169" fontId="2" fillId="0" borderId="19" xfId="4" applyNumberFormat="1" applyFont="1" applyFill="1" applyBorder="1" applyAlignment="1"/>
    <xf numFmtId="169" fontId="2" fillId="3" borderId="0" xfId="4" applyNumberFormat="1" applyFont="1" applyFill="1" applyBorder="1" applyAlignment="1">
      <alignment horizontal="center"/>
    </xf>
    <xf numFmtId="178" fontId="2" fillId="0" borderId="6" xfId="4" applyNumberFormat="1" applyFont="1" applyFill="1" applyBorder="1" applyAlignment="1"/>
    <xf numFmtId="166" fontId="2" fillId="3" borderId="0" xfId="4" applyNumberFormat="1" applyFont="1" applyFill="1" applyBorder="1" applyAlignment="1">
      <alignment horizontal="center"/>
    </xf>
    <xf numFmtId="176" fontId="2" fillId="0" borderId="19" xfId="4" applyNumberFormat="1" applyFont="1" applyFill="1" applyBorder="1" applyAlignment="1"/>
    <xf numFmtId="176" fontId="2" fillId="0" borderId="7" xfId="4" applyNumberFormat="1" applyFont="1" applyFill="1" applyBorder="1" applyAlignment="1"/>
    <xf numFmtId="0" fontId="12" fillId="0" borderId="12" xfId="1" applyFont="1" applyBorder="1"/>
    <xf numFmtId="0" fontId="12" fillId="0" borderId="14" xfId="1" applyFont="1" applyBorder="1" applyAlignment="1">
      <alignment horizontal="center"/>
    </xf>
    <xf numFmtId="179" fontId="2" fillId="0" borderId="22" xfId="4" applyNumberFormat="1" applyFont="1" applyFill="1" applyBorder="1" applyAlignment="1"/>
    <xf numFmtId="179" fontId="2" fillId="0" borderId="23" xfId="4" applyNumberFormat="1" applyFont="1" applyFill="1" applyBorder="1" applyAlignment="1"/>
    <xf numFmtId="169" fontId="2" fillId="0" borderId="24" xfId="4" applyNumberFormat="1" applyFont="1" applyFill="1" applyBorder="1" applyAlignment="1"/>
    <xf numFmtId="179" fontId="2" fillId="0" borderId="25" xfId="4" applyNumberFormat="1" applyFont="1" applyFill="1" applyBorder="1" applyAlignment="1"/>
    <xf numFmtId="2" fontId="2" fillId="0" borderId="20" xfId="4" applyNumberFormat="1" applyFont="1" applyFill="1" applyBorder="1" applyAlignment="1"/>
    <xf numFmtId="169" fontId="2" fillId="0" borderId="21" xfId="4" applyNumberFormat="1" applyFont="1" applyFill="1" applyBorder="1" applyAlignment="1"/>
    <xf numFmtId="169" fontId="9" fillId="0" borderId="9" xfId="4" applyNumberFormat="1" applyFont="1" applyFill="1" applyBorder="1" applyAlignment="1">
      <alignment horizontal="center" vertical="center" wrapText="1"/>
    </xf>
    <xf numFmtId="176" fontId="9" fillId="0" borderId="5" xfId="4" applyNumberFormat="1" applyFont="1" applyFill="1" applyBorder="1" applyAlignment="1">
      <alignment horizontal="center" vertical="center" wrapText="1"/>
    </xf>
    <xf numFmtId="2" fontId="1" fillId="0" borderId="0" xfId="1" applyNumberFormat="1"/>
    <xf numFmtId="169" fontId="12" fillId="0" borderId="6" xfId="4" applyNumberFormat="1" applyFont="1" applyBorder="1"/>
    <xf numFmtId="169" fontId="2" fillId="0" borderId="7" xfId="4" applyNumberFormat="1" applyFont="1" applyFill="1" applyBorder="1" applyAlignment="1"/>
    <xf numFmtId="169" fontId="12" fillId="0" borderId="26" xfId="4" applyNumberFormat="1" applyFont="1" applyBorder="1"/>
    <xf numFmtId="169" fontId="2" fillId="0" borderId="20" xfId="4" applyNumberFormat="1" applyFont="1" applyFill="1" applyBorder="1" applyAlignment="1"/>
    <xf numFmtId="0" fontId="9" fillId="0" borderId="11" xfId="1" applyFont="1" applyFill="1" applyBorder="1" applyAlignment="1">
      <alignment horizontal="center" vertical="center" wrapText="1"/>
    </xf>
    <xf numFmtId="0" fontId="2" fillId="3" borderId="9" xfId="1" applyFont="1" applyFill="1" applyBorder="1" applyAlignment="1">
      <alignment horizontal="center"/>
    </xf>
    <xf numFmtId="0" fontId="12" fillId="3" borderId="29" xfId="1" applyFont="1" applyFill="1" applyBorder="1" applyAlignment="1">
      <alignment horizontal="center"/>
    </xf>
    <xf numFmtId="0" fontId="25" fillId="8" borderId="30" xfId="1" applyFont="1" applyFill="1" applyBorder="1" applyAlignment="1">
      <alignment horizontal="center"/>
    </xf>
    <xf numFmtId="0" fontId="2" fillId="0" borderId="18" xfId="1" applyFont="1" applyBorder="1" applyAlignment="1"/>
    <xf numFmtId="0" fontId="2" fillId="0" borderId="0" xfId="1" applyFont="1" applyBorder="1" applyAlignment="1"/>
    <xf numFmtId="0" fontId="2" fillId="3" borderId="0" xfId="1" applyFont="1" applyFill="1" applyBorder="1" applyAlignment="1"/>
    <xf numFmtId="0" fontId="2" fillId="0" borderId="14" xfId="1" applyFont="1" applyBorder="1"/>
    <xf numFmtId="0" fontId="2" fillId="3" borderId="29" xfId="1" applyFont="1" applyFill="1" applyBorder="1" applyAlignment="1">
      <alignment horizontal="center"/>
    </xf>
    <xf numFmtId="0" fontId="9" fillId="8" borderId="30" xfId="1" applyFont="1" applyFill="1" applyBorder="1" applyAlignment="1">
      <alignment horizontal="center"/>
    </xf>
    <xf numFmtId="0" fontId="27" fillId="0" borderId="0" xfId="1" applyFont="1" applyFill="1"/>
    <xf numFmtId="0" fontId="2" fillId="3" borderId="9" xfId="1" applyFont="1" applyFill="1" applyBorder="1" applyAlignment="1">
      <alignment horizontal="center" wrapText="1"/>
    </xf>
    <xf numFmtId="170" fontId="2" fillId="0" borderId="0" xfId="4" applyNumberFormat="1" applyFont="1"/>
    <xf numFmtId="2" fontId="2" fillId="0" borderId="18" xfId="4" applyNumberFormat="1" applyFont="1" applyFill="1" applyBorder="1" applyAlignment="1">
      <alignment horizontal="center"/>
    </xf>
    <xf numFmtId="2" fontId="2" fillId="0" borderId="6" xfId="4" applyNumberFormat="1" applyFont="1" applyBorder="1"/>
    <xf numFmtId="2" fontId="2" fillId="6" borderId="7" xfId="4" applyNumberFormat="1" applyFont="1" applyFill="1" applyBorder="1" applyAlignment="1">
      <alignment horizontal="center"/>
    </xf>
    <xf numFmtId="2" fontId="2" fillId="0" borderId="18" xfId="4" applyNumberFormat="1" applyFont="1" applyFill="1" applyBorder="1" applyAlignment="1"/>
    <xf numFmtId="2" fontId="2" fillId="0" borderId="0" xfId="4" applyNumberFormat="1" applyFont="1" applyFill="1" applyBorder="1" applyAlignment="1">
      <alignment horizontal="center"/>
    </xf>
    <xf numFmtId="2" fontId="2" fillId="0" borderId="26" xfId="4" applyNumberFormat="1" applyFont="1" applyBorder="1"/>
    <xf numFmtId="2" fontId="2" fillId="6" borderId="20" xfId="4" applyNumberFormat="1" applyFont="1" applyFill="1" applyBorder="1" applyAlignment="1">
      <alignment horizontal="center"/>
    </xf>
    <xf numFmtId="2" fontId="2" fillId="0" borderId="0" xfId="4" applyNumberFormat="1" applyFont="1" applyFill="1" applyBorder="1" applyAlignment="1"/>
    <xf numFmtId="2" fontId="2" fillId="0" borderId="20" xfId="4" applyNumberFormat="1" applyFont="1" applyFill="1" applyBorder="1" applyAlignment="1">
      <alignment horizontal="center"/>
    </xf>
    <xf numFmtId="2" fontId="2" fillId="3" borderId="10" xfId="1" applyNumberFormat="1" applyFont="1" applyFill="1" applyBorder="1" applyAlignment="1">
      <alignment horizontal="center"/>
    </xf>
    <xf numFmtId="0" fontId="9" fillId="8" borderId="9" xfId="1" applyFont="1" applyFill="1" applyBorder="1" applyAlignment="1">
      <alignment horizontal="center"/>
    </xf>
    <xf numFmtId="0" fontId="2" fillId="3" borderId="31" xfId="1" applyFont="1" applyFill="1" applyBorder="1"/>
    <xf numFmtId="169" fontId="12" fillId="0" borderId="25" xfId="4" applyNumberFormat="1" applyFont="1" applyBorder="1"/>
    <xf numFmtId="0" fontId="12" fillId="3" borderId="8" xfId="1" applyFont="1" applyFill="1" applyBorder="1" applyAlignment="1">
      <alignment horizontal="center"/>
    </xf>
    <xf numFmtId="0" fontId="25" fillId="8" borderId="8" xfId="1" applyFont="1" applyFill="1" applyBorder="1" applyAlignment="1">
      <alignment horizontal="center"/>
    </xf>
    <xf numFmtId="0" fontId="19" fillId="3" borderId="1" xfId="1" applyFont="1" applyFill="1" applyBorder="1" applyAlignment="1">
      <alignment horizontal="center"/>
    </xf>
    <xf numFmtId="0" fontId="19" fillId="3" borderId="31" xfId="1" applyFont="1" applyFill="1" applyBorder="1"/>
    <xf numFmtId="0" fontId="19" fillId="3" borderId="4" xfId="1" applyFont="1" applyFill="1" applyBorder="1" applyAlignment="1">
      <alignment horizontal="center"/>
    </xf>
    <xf numFmtId="170" fontId="19" fillId="0" borderId="20" xfId="4" applyNumberFormat="1" applyFont="1" applyFill="1" applyBorder="1" applyAlignment="1">
      <alignment horizontal="center"/>
    </xf>
    <xf numFmtId="169" fontId="19" fillId="0" borderId="0" xfId="4" applyNumberFormat="1" applyFont="1" applyFill="1" applyBorder="1" applyAlignment="1">
      <alignment horizontal="center"/>
    </xf>
    <xf numFmtId="170" fontId="19" fillId="0" borderId="21" xfId="4" applyNumberFormat="1" applyFont="1" applyFill="1" applyBorder="1" applyAlignment="1"/>
    <xf numFmtId="0" fontId="19" fillId="3" borderId="0" xfId="1" applyFont="1" applyFill="1" applyBorder="1" applyAlignment="1">
      <alignment horizontal="center"/>
    </xf>
    <xf numFmtId="169" fontId="19" fillId="0" borderId="26" xfId="4" applyNumberFormat="1" applyFont="1" applyBorder="1"/>
    <xf numFmtId="169" fontId="19" fillId="0" borderId="20" xfId="4" applyNumberFormat="1" applyFont="1" applyFill="1" applyBorder="1" applyAlignment="1">
      <alignment horizontal="center"/>
    </xf>
    <xf numFmtId="0" fontId="19" fillId="0" borderId="0" xfId="4" applyNumberFormat="1" applyFont="1" applyFill="1" applyBorder="1" applyAlignment="1"/>
    <xf numFmtId="0" fontId="19" fillId="0" borderId="0" xfId="4" applyNumberFormat="1" applyFont="1" applyFill="1" applyBorder="1" applyAlignment="1">
      <alignment horizontal="center"/>
    </xf>
    <xf numFmtId="0" fontId="19" fillId="0" borderId="21" xfId="4" applyNumberFormat="1" applyFont="1" applyFill="1" applyBorder="1" applyAlignment="1">
      <alignment horizontal="center"/>
    </xf>
    <xf numFmtId="170" fontId="19" fillId="0" borderId="24" xfId="4" applyNumberFormat="1" applyFont="1" applyFill="1" applyBorder="1" applyAlignment="1"/>
    <xf numFmtId="169" fontId="19" fillId="0" borderId="25" xfId="4" applyNumberFormat="1" applyFont="1" applyBorder="1"/>
    <xf numFmtId="169" fontId="19" fillId="0" borderId="22" xfId="4" applyNumberFormat="1" applyFont="1" applyFill="1" applyBorder="1" applyAlignment="1">
      <alignment horizontal="center"/>
    </xf>
    <xf numFmtId="169" fontId="19" fillId="0" borderId="23" xfId="4" applyNumberFormat="1" applyFont="1" applyFill="1" applyBorder="1" applyAlignment="1">
      <alignment horizontal="center"/>
    </xf>
    <xf numFmtId="0" fontId="19" fillId="0" borderId="23" xfId="4" applyNumberFormat="1" applyFont="1" applyFill="1" applyBorder="1" applyAlignment="1"/>
    <xf numFmtId="0" fontId="19" fillId="0" borderId="23" xfId="4" applyNumberFormat="1" applyFont="1" applyFill="1" applyBorder="1" applyAlignment="1">
      <alignment horizontal="center"/>
    </xf>
    <xf numFmtId="0" fontId="19" fillId="0" borderId="24" xfId="4" applyNumberFormat="1" applyFont="1" applyFill="1" applyBorder="1" applyAlignment="1">
      <alignment horizontal="center"/>
    </xf>
    <xf numFmtId="0" fontId="21" fillId="3" borderId="5" xfId="1" applyFont="1" applyFill="1" applyBorder="1" applyAlignment="1">
      <alignment horizontal="center" vertical="center" wrapText="1"/>
    </xf>
    <xf numFmtId="0" fontId="21" fillId="0" borderId="11" xfId="1" applyFont="1" applyFill="1" applyBorder="1" applyAlignment="1">
      <alignment horizontal="center" vertical="center" wrapText="1"/>
    </xf>
    <xf numFmtId="170" fontId="21" fillId="0" borderId="9" xfId="4" applyNumberFormat="1" applyFont="1" applyFill="1" applyBorder="1" applyAlignment="1">
      <alignment horizontal="center" vertical="center" wrapText="1"/>
    </xf>
    <xf numFmtId="169" fontId="21" fillId="0" borderId="8" xfId="4" applyNumberFormat="1" applyFont="1" applyFill="1" applyBorder="1" applyAlignment="1">
      <alignment horizontal="center" vertical="center" wrapText="1"/>
    </xf>
    <xf numFmtId="170" fontId="21" fillId="0" borderId="5" xfId="4" applyNumberFormat="1" applyFont="1" applyFill="1" applyBorder="1" applyAlignment="1">
      <alignment horizontal="center" vertical="center" wrapText="1"/>
    </xf>
    <xf numFmtId="169" fontId="21" fillId="0" borderId="11" xfId="4" applyNumberFormat="1" applyFont="1" applyFill="1" applyBorder="1" applyAlignment="1">
      <alignment horizontal="center" vertical="center" wrapText="1"/>
    </xf>
    <xf numFmtId="0" fontId="21" fillId="0" borderId="11" xfId="1" applyFont="1" applyBorder="1" applyAlignment="1">
      <alignment horizontal="center" vertical="center" wrapText="1"/>
    </xf>
    <xf numFmtId="0" fontId="19" fillId="3" borderId="9" xfId="1" applyFont="1" applyFill="1" applyBorder="1" applyAlignment="1">
      <alignment horizontal="center"/>
    </xf>
    <xf numFmtId="0" fontId="19" fillId="0" borderId="0" xfId="1" applyFont="1" applyFill="1" applyBorder="1"/>
    <xf numFmtId="0" fontId="19" fillId="3" borderId="0" xfId="1" applyFont="1" applyFill="1" applyBorder="1"/>
    <xf numFmtId="0" fontId="19" fillId="3" borderId="8" xfId="1" applyFont="1" applyFill="1" applyBorder="1" applyAlignment="1">
      <alignment horizontal="center"/>
    </xf>
    <xf numFmtId="0" fontId="21" fillId="8" borderId="8" xfId="1" applyFont="1" applyFill="1" applyBorder="1" applyAlignment="1">
      <alignment horizontal="center"/>
    </xf>
    <xf numFmtId="0" fontId="19" fillId="3" borderId="10" xfId="1" applyFont="1" applyFill="1" applyBorder="1"/>
    <xf numFmtId="0" fontId="19" fillId="0" borderId="14" xfId="1" applyFont="1" applyFill="1" applyBorder="1"/>
    <xf numFmtId="0" fontId="1" fillId="3" borderId="3" xfId="1" applyFill="1" applyBorder="1"/>
    <xf numFmtId="0" fontId="4" fillId="3" borderId="10" xfId="1" applyFont="1" applyFill="1" applyBorder="1"/>
    <xf numFmtId="0" fontId="28" fillId="3" borderId="4" xfId="1" applyFont="1" applyFill="1" applyBorder="1"/>
    <xf numFmtId="0" fontId="28" fillId="3" borderId="7" xfId="1" applyFont="1" applyFill="1" applyBorder="1" applyAlignment="1">
      <alignment horizontal="center"/>
    </xf>
    <xf numFmtId="0" fontId="28" fillId="3" borderId="6" xfId="1" applyFont="1" applyFill="1" applyBorder="1" applyAlignment="1">
      <alignment horizontal="center"/>
    </xf>
    <xf numFmtId="0" fontId="28" fillId="3" borderId="20" xfId="1" applyFont="1" applyFill="1" applyBorder="1" applyAlignment="1">
      <alignment horizontal="center"/>
    </xf>
    <xf numFmtId="0" fontId="28" fillId="3" borderId="26" xfId="1" applyFont="1" applyFill="1" applyBorder="1" applyAlignment="1">
      <alignment horizontal="center"/>
    </xf>
    <xf numFmtId="0" fontId="28" fillId="3" borderId="0" xfId="1" applyFont="1" applyFill="1" applyBorder="1"/>
    <xf numFmtId="0" fontId="28" fillId="3" borderId="5" xfId="1" applyFont="1" applyFill="1" applyBorder="1" applyAlignment="1">
      <alignment horizontal="center"/>
    </xf>
    <xf numFmtId="0" fontId="28" fillId="3" borderId="8" xfId="1" applyFont="1" applyFill="1" applyBorder="1" applyAlignment="1">
      <alignment horizontal="center"/>
    </xf>
    <xf numFmtId="1" fontId="28" fillId="3" borderId="7" xfId="1" applyNumberFormat="1" applyFont="1" applyFill="1" applyBorder="1" applyAlignment="1">
      <alignment horizontal="center"/>
    </xf>
    <xf numFmtId="0" fontId="28" fillId="2" borderId="6" xfId="1" applyFont="1" applyFill="1" applyBorder="1"/>
    <xf numFmtId="1" fontId="28" fillId="3" borderId="20" xfId="1" applyNumberFormat="1" applyFont="1" applyFill="1" applyBorder="1" applyAlignment="1">
      <alignment horizontal="center"/>
    </xf>
    <xf numFmtId="0" fontId="28" fillId="2" borderId="26" xfId="1" applyFont="1" applyFill="1" applyBorder="1"/>
    <xf numFmtId="0" fontId="28" fillId="2" borderId="25" xfId="1" applyFont="1" applyFill="1" applyBorder="1"/>
    <xf numFmtId="0" fontId="4" fillId="3" borderId="4" xfId="1" applyFont="1" applyFill="1" applyBorder="1"/>
    <xf numFmtId="0" fontId="4" fillId="3" borderId="0" xfId="1" applyFont="1" applyFill="1" applyBorder="1"/>
    <xf numFmtId="0" fontId="2" fillId="3" borderId="8" xfId="1" applyFont="1" applyFill="1" applyBorder="1" applyAlignment="1">
      <alignment horizontal="left"/>
    </xf>
    <xf numFmtId="180" fontId="28" fillId="3" borderId="8" xfId="1" applyNumberFormat="1" applyFont="1" applyFill="1" applyBorder="1" applyAlignment="1">
      <alignment horizontal="center"/>
    </xf>
    <xf numFmtId="0" fontId="2" fillId="3" borderId="8" xfId="1" quotePrefix="1" applyFont="1" applyFill="1" applyBorder="1" applyAlignment="1">
      <alignment horizontal="center"/>
    </xf>
    <xf numFmtId="0" fontId="2" fillId="3" borderId="0" xfId="1" applyFont="1" applyFill="1" applyBorder="1" applyAlignment="1">
      <alignment horizontal="left"/>
    </xf>
    <xf numFmtId="0" fontId="2" fillId="3" borderId="0" xfId="1" quotePrefix="1" applyFont="1" applyFill="1" applyBorder="1" applyAlignment="1">
      <alignment horizontal="center"/>
    </xf>
    <xf numFmtId="0" fontId="28" fillId="3" borderId="22" xfId="1" quotePrefix="1" applyNumberFormat="1" applyFont="1" applyFill="1" applyBorder="1" applyAlignment="1">
      <alignment horizontal="center"/>
    </xf>
    <xf numFmtId="0" fontId="2" fillId="0" borderId="0" xfId="1" applyFont="1" applyBorder="1"/>
    <xf numFmtId="0" fontId="1" fillId="9" borderId="0" xfId="1" applyFill="1"/>
    <xf numFmtId="177" fontId="3" fillId="4" borderId="5" xfId="1" applyNumberFormat="1" applyFont="1" applyFill="1" applyBorder="1" applyAlignment="1" applyProtection="1">
      <alignment horizontal="center"/>
    </xf>
    <xf numFmtId="0" fontId="2" fillId="3" borderId="14" xfId="1" applyFont="1" applyFill="1" applyBorder="1" applyAlignment="1">
      <alignment horizontal="left"/>
    </xf>
    <xf numFmtId="0" fontId="2" fillId="3" borderId="24" xfId="1" applyFont="1" applyFill="1" applyBorder="1" applyAlignment="1">
      <alignment horizontal="left"/>
    </xf>
    <xf numFmtId="0" fontId="19" fillId="3" borderId="14" xfId="1" applyFont="1" applyFill="1" applyBorder="1" applyAlignment="1">
      <alignment horizontal="left"/>
    </xf>
    <xf numFmtId="0" fontId="12" fillId="3" borderId="14" xfId="1" applyFont="1" applyFill="1" applyBorder="1" applyAlignment="1"/>
    <xf numFmtId="0" fontId="19" fillId="3" borderId="10" xfId="1" applyFont="1" applyFill="1" applyBorder="1" applyAlignment="1">
      <alignment horizontal="left"/>
    </xf>
    <xf numFmtId="0" fontId="18" fillId="0" borderId="0" xfId="1" applyFont="1" applyBorder="1"/>
    <xf numFmtId="0" fontId="18" fillId="0" borderId="0" xfId="1" applyFont="1" applyBorder="1" applyAlignment="1">
      <alignment horizontal="left"/>
    </xf>
    <xf numFmtId="0" fontId="9" fillId="0" borderId="9" xfId="1" applyFont="1" applyFill="1" applyBorder="1" applyAlignment="1">
      <alignment horizontal="center" vertical="center" wrapText="1"/>
    </xf>
    <xf numFmtId="169" fontId="2" fillId="0" borderId="24" xfId="4" applyNumberFormat="1" applyFont="1" applyFill="1" applyBorder="1" applyAlignment="1">
      <alignment horizontal="center"/>
    </xf>
    <xf numFmtId="169" fontId="2" fillId="0" borderId="21" xfId="4" applyNumberFormat="1" applyFont="1" applyFill="1" applyBorder="1" applyAlignment="1">
      <alignment horizontal="center"/>
    </xf>
    <xf numFmtId="169" fontId="2" fillId="0" borderId="19" xfId="4" applyNumberFormat="1" applyFont="1" applyFill="1" applyBorder="1" applyAlignment="1">
      <alignment horizontal="center"/>
    </xf>
    <xf numFmtId="0" fontId="19" fillId="3" borderId="1" xfId="12" applyFont="1" applyFill="1" applyBorder="1"/>
    <xf numFmtId="0" fontId="19" fillId="3" borderId="2" xfId="0" applyFont="1" applyFill="1" applyBorder="1"/>
    <xf numFmtId="0" fontId="19" fillId="3" borderId="3" xfId="0" applyFont="1" applyFill="1" applyBorder="1"/>
    <xf numFmtId="0" fontId="19" fillId="3" borderId="4" xfId="12" applyFont="1" applyFill="1" applyBorder="1"/>
    <xf numFmtId="170" fontId="19" fillId="0" borderId="7" xfId="11" applyNumberFormat="1" applyFont="1" applyFill="1" applyBorder="1" applyAlignment="1"/>
    <xf numFmtId="170" fontId="19" fillId="0" borderId="19" xfId="11" applyNumberFormat="1" applyFont="1" applyFill="1" applyBorder="1" applyAlignment="1"/>
    <xf numFmtId="0" fontId="19" fillId="3" borderId="0" xfId="0" applyFont="1" applyFill="1" applyBorder="1" applyAlignment="1">
      <alignment horizontal="center"/>
    </xf>
    <xf numFmtId="170" fontId="19" fillId="0" borderId="6" xfId="11" applyNumberFormat="1" applyFont="1" applyBorder="1" applyAlignment="1"/>
    <xf numFmtId="0" fontId="19" fillId="0" borderId="19" xfId="11" applyNumberFormat="1" applyFont="1" applyFill="1" applyBorder="1" applyAlignment="1"/>
    <xf numFmtId="0" fontId="19" fillId="3" borderId="10" xfId="0" applyFont="1" applyFill="1" applyBorder="1" applyAlignment="1">
      <alignment horizontal="center"/>
    </xf>
    <xf numFmtId="170" fontId="19" fillId="0" borderId="20" xfId="11" applyNumberFormat="1" applyFont="1" applyFill="1" applyBorder="1" applyAlignment="1"/>
    <xf numFmtId="170" fontId="19" fillId="0" borderId="21" xfId="11" applyNumberFormat="1" applyFont="1" applyFill="1" applyBorder="1" applyAlignment="1"/>
    <xf numFmtId="170" fontId="19" fillId="0" borderId="26" xfId="11" applyNumberFormat="1" applyFont="1" applyBorder="1" applyAlignment="1"/>
    <xf numFmtId="0" fontId="19" fillId="0" borderId="21" xfId="11" applyNumberFormat="1" applyFont="1" applyFill="1" applyBorder="1" applyAlignment="1"/>
    <xf numFmtId="170" fontId="21" fillId="0" borderId="5" xfId="11" applyNumberFormat="1" applyFont="1" applyFill="1" applyBorder="1" applyAlignment="1">
      <alignment horizontal="center" vertical="center" wrapText="1"/>
    </xf>
    <xf numFmtId="170" fontId="21" fillId="0" borderId="9" xfId="11" applyNumberFormat="1" applyFont="1" applyFill="1" applyBorder="1" applyAlignment="1">
      <alignment horizontal="center" vertical="center" wrapText="1"/>
    </xf>
    <xf numFmtId="170" fontId="21" fillId="0" borderId="8" xfId="11" applyNumberFormat="1" applyFont="1" applyFill="1" applyBorder="1" applyAlignment="1">
      <alignment horizontal="center" vertical="center" wrapText="1"/>
    </xf>
    <xf numFmtId="169" fontId="21" fillId="0" borderId="5" xfId="11" applyNumberFormat="1" applyFont="1" applyFill="1" applyBorder="1" applyAlignment="1">
      <alignment horizontal="center" vertical="center" wrapText="1"/>
    </xf>
    <xf numFmtId="0" fontId="19" fillId="0" borderId="0" xfId="0" applyFont="1" applyFill="1" applyBorder="1"/>
    <xf numFmtId="0" fontId="19" fillId="3" borderId="0" xfId="0" applyFont="1" applyFill="1" applyBorder="1"/>
    <xf numFmtId="0" fontId="19" fillId="0" borderId="0" xfId="0" applyFont="1" applyBorder="1"/>
    <xf numFmtId="0" fontId="29" fillId="3" borderId="0" xfId="0" applyFont="1" applyFill="1" applyBorder="1"/>
    <xf numFmtId="0" fontId="19" fillId="3" borderId="10" xfId="0" applyFont="1" applyFill="1" applyBorder="1"/>
    <xf numFmtId="0" fontId="19" fillId="3" borderId="12" xfId="12" applyFont="1" applyFill="1" applyBorder="1"/>
    <xf numFmtId="0" fontId="19" fillId="3" borderId="13" xfId="0" applyFont="1" applyFill="1" applyBorder="1"/>
    <xf numFmtId="0" fontId="19" fillId="3" borderId="14" xfId="0" applyFont="1" applyFill="1" applyBorder="1"/>
    <xf numFmtId="0" fontId="12" fillId="3" borderId="10" xfId="1" applyFont="1" applyFill="1" applyBorder="1" applyAlignment="1"/>
    <xf numFmtId="0" fontId="12" fillId="3" borderId="0" xfId="1" applyFont="1" applyFill="1" applyBorder="1" applyAlignment="1"/>
    <xf numFmtId="0" fontId="19" fillId="3" borderId="0" xfId="0" quotePrefix="1" applyFont="1" applyFill="1" applyBorder="1" applyAlignment="1">
      <alignment horizontal="center"/>
    </xf>
    <xf numFmtId="170" fontId="19" fillId="10" borderId="20" xfId="11" quotePrefix="1" applyNumberFormat="1" applyFont="1" applyFill="1" applyBorder="1" applyAlignment="1"/>
    <xf numFmtId="170" fontId="19" fillId="10" borderId="7" xfId="11" quotePrefix="1" applyNumberFormat="1" applyFont="1" applyFill="1" applyBorder="1" applyAlignment="1"/>
    <xf numFmtId="170" fontId="2" fillId="10" borderId="20" xfId="4" applyNumberFormat="1" applyFont="1" applyFill="1" applyBorder="1" applyAlignment="1">
      <alignment horizontal="center"/>
    </xf>
    <xf numFmtId="2" fontId="2" fillId="0" borderId="21" xfId="4" applyNumberFormat="1" applyFont="1" applyFill="1" applyBorder="1" applyAlignment="1">
      <alignment horizontal="center"/>
    </xf>
    <xf numFmtId="2" fontId="2" fillId="0" borderId="19" xfId="4" applyNumberFormat="1" applyFont="1" applyFill="1" applyBorder="1" applyAlignment="1">
      <alignment horizontal="center"/>
    </xf>
    <xf numFmtId="0" fontId="12" fillId="3" borderId="1" xfId="12" applyFont="1" applyFill="1" applyBorder="1"/>
    <xf numFmtId="0" fontId="2" fillId="3" borderId="2" xfId="0" applyFont="1" applyFill="1" applyBorder="1"/>
    <xf numFmtId="0" fontId="2" fillId="3" borderId="3" xfId="0" applyFont="1" applyFill="1" applyBorder="1"/>
    <xf numFmtId="0" fontId="12" fillId="3" borderId="4" xfId="12" applyFont="1" applyFill="1" applyBorder="1"/>
    <xf numFmtId="0" fontId="2" fillId="3" borderId="0" xfId="0" applyFont="1" applyFill="1" applyBorder="1" applyAlignment="1">
      <alignment horizontal="center"/>
    </xf>
    <xf numFmtId="170" fontId="12" fillId="0" borderId="6" xfId="11" applyNumberFormat="1" applyFont="1" applyBorder="1" applyAlignment="1"/>
    <xf numFmtId="0" fontId="2" fillId="0" borderId="19" xfId="11" applyNumberFormat="1" applyFont="1" applyFill="1" applyBorder="1" applyAlignment="1"/>
    <xf numFmtId="0" fontId="2" fillId="3" borderId="10" xfId="0" applyFont="1" applyFill="1" applyBorder="1" applyAlignment="1">
      <alignment horizontal="center"/>
    </xf>
    <xf numFmtId="170" fontId="12" fillId="0" borderId="25" xfId="11" applyNumberFormat="1" applyFont="1" applyBorder="1" applyAlignment="1"/>
    <xf numFmtId="0" fontId="2" fillId="0" borderId="24" xfId="11" applyNumberFormat="1" applyFont="1" applyFill="1" applyBorder="1" applyAlignment="1"/>
    <xf numFmtId="0" fontId="2" fillId="3" borderId="4" xfId="0" applyFont="1" applyFill="1" applyBorder="1" applyAlignment="1">
      <alignment horizontal="center"/>
    </xf>
    <xf numFmtId="169" fontId="9" fillId="0" borderId="5" xfId="11" applyNumberFormat="1" applyFont="1" applyFill="1" applyBorder="1" applyAlignment="1">
      <alignment horizontal="center" vertical="center" wrapText="1"/>
    </xf>
    <xf numFmtId="0" fontId="2" fillId="0" borderId="0" xfId="0" applyFont="1" applyFill="1" applyBorder="1"/>
    <xf numFmtId="0" fontId="2" fillId="3" borderId="0" xfId="0" applyFont="1" applyFill="1" applyBorder="1"/>
    <xf numFmtId="0" fontId="2" fillId="3" borderId="4" xfId="0" applyFont="1" applyFill="1" applyBorder="1"/>
    <xf numFmtId="0" fontId="17" fillId="3" borderId="0" xfId="0" applyFont="1" applyFill="1" applyBorder="1"/>
    <xf numFmtId="0" fontId="2" fillId="3" borderId="10" xfId="0" applyFont="1" applyFill="1" applyBorder="1"/>
    <xf numFmtId="0" fontId="2" fillId="3" borderId="12" xfId="0" applyFont="1" applyFill="1" applyBorder="1"/>
    <xf numFmtId="0" fontId="2" fillId="3" borderId="13" xfId="0" applyFont="1" applyFill="1" applyBorder="1"/>
    <xf numFmtId="0" fontId="2" fillId="3" borderId="14" xfId="0" applyFont="1" applyFill="1" applyBorder="1"/>
    <xf numFmtId="170" fontId="2" fillId="0" borderId="22" xfId="11" quotePrefix="1" applyNumberFormat="1" applyFont="1" applyFill="1" applyBorder="1" applyAlignment="1"/>
    <xf numFmtId="170" fontId="2" fillId="0" borderId="7" xfId="11" quotePrefix="1" applyNumberFormat="1" applyFont="1" applyFill="1" applyBorder="1" applyAlignment="1"/>
    <xf numFmtId="170" fontId="2" fillId="10" borderId="24" xfId="11" applyNumberFormat="1" applyFont="1" applyFill="1" applyBorder="1" applyAlignment="1"/>
    <xf numFmtId="170" fontId="2" fillId="10" borderId="21" xfId="11" applyNumberFormat="1" applyFont="1" applyFill="1" applyBorder="1" applyAlignment="1"/>
    <xf numFmtId="0" fontId="12" fillId="0" borderId="0" xfId="1" quotePrefix="1" applyFont="1"/>
    <xf numFmtId="0" fontId="10" fillId="7" borderId="17" xfId="1" applyFont="1" applyFill="1" applyBorder="1" applyAlignment="1">
      <alignment horizontal="center"/>
    </xf>
    <xf numFmtId="0" fontId="10" fillId="7" borderId="16" xfId="1" applyFont="1" applyFill="1" applyBorder="1" applyAlignment="1">
      <alignment horizontal="center"/>
    </xf>
    <xf numFmtId="0" fontId="10" fillId="7" borderId="15" xfId="1" applyFont="1" applyFill="1" applyBorder="1" applyAlignment="1">
      <alignment horizontal="center"/>
    </xf>
    <xf numFmtId="169" fontId="9" fillId="0" borderId="9" xfId="4" applyNumberFormat="1" applyFont="1" applyFill="1" applyBorder="1" applyAlignment="1">
      <alignment horizontal="center" vertical="center" wrapText="1"/>
    </xf>
    <xf numFmtId="0" fontId="1" fillId="0" borderId="5" xfId="1" applyBorder="1" applyAlignment="1">
      <alignment horizontal="center" vertical="center" wrapText="1"/>
    </xf>
  </cellXfs>
  <cellStyles count="13">
    <cellStyle name="Migliaia (0)_AZIONI" xfId="5"/>
    <cellStyle name="Migliaia_AZIONI" xfId="6"/>
    <cellStyle name="Normal" xfId="0" builtinId="0"/>
    <cellStyle name="Normal 2" xfId="1"/>
    <cellStyle name="Normal 3" xfId="10"/>
    <cellStyle name="Normal_SwaptionATMVols" xfId="2"/>
    <cellStyle name="Normal_TestSyntDisc" xfId="12"/>
    <cellStyle name="Normale_AZIONI" xfId="7"/>
    <cellStyle name="Percent 2" xfId="4"/>
    <cellStyle name="Percent 3" xfId="11"/>
    <cellStyle name="result" xfId="3"/>
    <cellStyle name="Valuta (0)_AZIONI" xfId="8"/>
    <cellStyle name="Valuta_AZIONI" xfId="9"/>
  </cellStyles>
  <dxfs count="45">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SwapsIMMDated!#REF!</c:f>
              <c:numCache>
                <c:formatCode>General</c:formatCode>
                <c:ptCount val="1"/>
                <c:pt idx="0">
                  <c:v>1</c:v>
                </c:pt>
              </c:numCache>
            </c:numRef>
          </c:xVal>
          <c:yVal>
            <c:numRef>
              <c:f>SwapsIMMDated!#REF!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SwapsIMMDated!#REF!</c:f>
              <c:numCache>
                <c:formatCode>General</c:formatCode>
                <c:ptCount val="1"/>
                <c:pt idx="0">
                  <c:v>1</c:v>
                </c:pt>
              </c:numCache>
            </c:numRef>
          </c:xVal>
          <c:yVal>
            <c:numRef>
              <c:f>SwapsIMMDated!#REF!</c:f>
              <c:numCache>
                <c:formatCode>General</c:formatCode>
                <c:ptCount val="1"/>
                <c:pt idx="0">
                  <c:v>1</c:v>
                </c:pt>
              </c:numCache>
            </c:numRef>
          </c:yVal>
          <c:smooth val="0"/>
        </c:ser>
        <c:dLbls>
          <c:showLegendKey val="0"/>
          <c:showVal val="0"/>
          <c:showCatName val="0"/>
          <c:showSerName val="0"/>
          <c:showPercent val="0"/>
          <c:showBubbleSize val="0"/>
        </c:dLbls>
        <c:axId val="375446528"/>
        <c:axId val="375452800"/>
      </c:scatterChart>
      <c:valAx>
        <c:axId val="375446528"/>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225" b="0" i="0" u="none" strike="noStrike" baseline="0">
                <a:solidFill>
                  <a:srgbClr val="000000"/>
                </a:solidFill>
                <a:latin typeface="Arial"/>
                <a:ea typeface="Arial"/>
                <a:cs typeface="Arial"/>
              </a:defRPr>
            </a:pPr>
            <a:endParaRPr lang="en-US"/>
          </a:p>
        </c:txPr>
        <c:crossAx val="375452800"/>
        <c:crosses val="autoZero"/>
        <c:crossBetween val="midCat"/>
      </c:valAx>
      <c:valAx>
        <c:axId val="375452800"/>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225" b="0" i="0" u="none" strike="noStrike" baseline="0">
                <a:solidFill>
                  <a:srgbClr val="000000"/>
                </a:solidFill>
                <a:latin typeface="Arial"/>
                <a:ea typeface="Arial"/>
                <a:cs typeface="Arial"/>
              </a:defRPr>
            </a:pPr>
            <a:endParaRPr lang="en-US"/>
          </a:p>
        </c:txPr>
        <c:crossAx val="375446528"/>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2</xdr:row>
          <xdr:rowOff>0</xdr:rowOff>
        </xdr:from>
        <xdr:to>
          <xdr:col>7</xdr:col>
          <xdr:colOff>171450</xdr:colOff>
          <xdr:row>3</xdr:row>
          <xdr:rowOff>152400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152400</xdr:rowOff>
        </xdr:from>
        <xdr:to>
          <xdr:col>7</xdr:col>
          <xdr:colOff>171450</xdr:colOff>
          <xdr:row>5</xdr:row>
          <xdr:rowOff>142875</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171450</xdr:colOff>
      <xdr:row>12</xdr:row>
      <xdr:rowOff>0</xdr:rowOff>
    </xdr:from>
    <xdr:to>
      <xdr:col>26</xdr:col>
      <xdr:colOff>0</xdr:colOff>
      <xdr:row>12</xdr:row>
      <xdr:rowOff>0</xdr:rowOff>
    </xdr:to>
    <xdr:graphicFrame macro="">
      <xdr:nvGraphicFramePr>
        <xdr:cNvPr id="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dimension ref="B1:E38"/>
  <sheetViews>
    <sheetView workbookViewId="0"/>
  </sheetViews>
  <sheetFormatPr defaultRowHeight="12.75" x14ac:dyDescent="0.2"/>
  <cols>
    <col min="1" max="2" width="2.7109375" style="578" customWidth="1"/>
    <col min="3" max="3" width="12.7109375" style="578" bestFit="1" customWidth="1"/>
    <col min="4" max="4" width="53.7109375" style="578" bestFit="1" customWidth="1"/>
    <col min="5" max="5" width="2.7109375" style="578" customWidth="1"/>
    <col min="6" max="16384" width="9.140625" style="578"/>
  </cols>
  <sheetData>
    <row r="1" spans="2:5" ht="13.5" thickBot="1" x14ac:dyDescent="0.25">
      <c r="B1" s="578" t="str">
        <f>_xll.qlxlVersion(TRUE,Trigger)</f>
        <v>QuantLibXL 1.3.0 - MS VC++ 9.0 - Multithreaded Static Runtime library - Release Configuration - Dec  5 2013 11:03:51</v>
      </c>
    </row>
    <row r="2" spans="2:5" ht="15.75" x14ac:dyDescent="0.25">
      <c r="B2" s="650" t="s">
        <v>133</v>
      </c>
      <c r="C2" s="651"/>
      <c r="D2" s="651"/>
      <c r="E2" s="652"/>
    </row>
    <row r="3" spans="2:5" x14ac:dyDescent="0.2">
      <c r="B3" s="52"/>
      <c r="C3" s="55"/>
      <c r="D3" s="55"/>
      <c r="E3" s="6"/>
    </row>
    <row r="4" spans="2:5" x14ac:dyDescent="0.2">
      <c r="B4" s="52"/>
      <c r="C4" s="22" t="s">
        <v>98</v>
      </c>
      <c r="D4" s="51">
        <v>41653.104594907411</v>
      </c>
      <c r="E4" s="50"/>
    </row>
    <row r="5" spans="2:5" x14ac:dyDescent="0.2">
      <c r="B5" s="52"/>
      <c r="C5" s="55"/>
      <c r="D5" s="55"/>
      <c r="E5" s="50"/>
    </row>
    <row r="6" spans="2:5" x14ac:dyDescent="0.2">
      <c r="B6" s="52"/>
      <c r="C6" s="571" t="s">
        <v>339</v>
      </c>
      <c r="D6" s="572">
        <v>41600.703865740739</v>
      </c>
      <c r="E6" s="50"/>
    </row>
    <row r="7" spans="2:5" x14ac:dyDescent="0.2">
      <c r="B7" s="52"/>
      <c r="C7" s="571" t="s">
        <v>338</v>
      </c>
      <c r="D7" s="573" t="b">
        <v>1</v>
      </c>
      <c r="E7" s="50"/>
    </row>
    <row r="8" spans="2:5" x14ac:dyDescent="0.2">
      <c r="B8" s="52"/>
      <c r="C8" s="574"/>
      <c r="D8" s="575"/>
      <c r="E8" s="50"/>
    </row>
    <row r="9" spans="2:5" x14ac:dyDescent="0.2">
      <c r="B9" s="52"/>
      <c r="C9" s="22" t="s">
        <v>95</v>
      </c>
      <c r="D9" s="51" t="b">
        <v>1</v>
      </c>
      <c r="E9" s="50"/>
    </row>
    <row r="10" spans="2:5" x14ac:dyDescent="0.2">
      <c r="B10" s="52"/>
      <c r="C10" s="22" t="s">
        <v>94</v>
      </c>
      <c r="D10" s="51" t="b">
        <v>0</v>
      </c>
      <c r="E10" s="50"/>
    </row>
    <row r="11" spans="2:5" x14ac:dyDescent="0.2">
      <c r="B11" s="52"/>
      <c r="C11" s="55"/>
      <c r="D11" s="63"/>
      <c r="E11" s="6"/>
    </row>
    <row r="12" spans="2:5" x14ac:dyDescent="0.2">
      <c r="B12" s="52"/>
      <c r="C12" s="22" t="s">
        <v>93</v>
      </c>
      <c r="D12" s="51" t="b">
        <v>1</v>
      </c>
      <c r="E12" s="50"/>
    </row>
    <row r="13" spans="2:5" x14ac:dyDescent="0.2">
      <c r="B13" s="52"/>
      <c r="C13" s="22" t="s">
        <v>92</v>
      </c>
      <c r="D13" s="54" t="str">
        <f ca="1">SUBSTITUTE(LEFT(CELL("filename",A1),FIND("[",CELL("filename",A1),1)-1),"\XLS\","\XML\")</f>
        <v>C:\Users\erik\Documents\repos\quantlib_nando\QuantLibXL\Data2\XML\</v>
      </c>
      <c r="E13" s="50"/>
    </row>
    <row r="14" spans="2:5" x14ac:dyDescent="0.2">
      <c r="B14" s="52"/>
      <c r="C14" s="22" t="s">
        <v>91</v>
      </c>
      <c r="D14" s="53" t="b">
        <v>1</v>
      </c>
      <c r="E14" s="50"/>
    </row>
    <row r="15" spans="2:5" x14ac:dyDescent="0.2">
      <c r="B15" s="52"/>
      <c r="C15" s="22" t="s">
        <v>90</v>
      </c>
      <c r="D15" s="51" t="str">
        <f>Currency&amp;"YC"</f>
        <v>GBPYC</v>
      </c>
      <c r="E15" s="50"/>
    </row>
    <row r="16" spans="2:5" x14ac:dyDescent="0.2">
      <c r="B16" s="52"/>
      <c r="C16" s="22" t="s">
        <v>89</v>
      </c>
      <c r="D16" s="51" t="str">
        <f>Currency&amp;"YCSTD"</f>
        <v>GBPYCSTD</v>
      </c>
      <c r="E16" s="50"/>
    </row>
    <row r="17" spans="2:5" x14ac:dyDescent="0.2">
      <c r="B17" s="52"/>
      <c r="C17" s="55"/>
      <c r="D17" s="55"/>
      <c r="E17" s="6"/>
    </row>
    <row r="18" spans="2:5" x14ac:dyDescent="0.2">
      <c r="B18" s="52"/>
      <c r="C18" s="22" t="s">
        <v>97</v>
      </c>
      <c r="D18" s="51" t="s">
        <v>96</v>
      </c>
      <c r="E18" s="50"/>
    </row>
    <row r="19" spans="2:5" x14ac:dyDescent="0.2">
      <c r="B19" s="338"/>
      <c r="C19" s="339" t="s">
        <v>263</v>
      </c>
      <c r="D19" s="579">
        <f>_xll.qlSettingsEvaluationDate(Trigger)</f>
        <v>41653</v>
      </c>
      <c r="E19" s="337"/>
    </row>
    <row r="20" spans="2:5" x14ac:dyDescent="0.2">
      <c r="B20" s="52"/>
      <c r="C20" s="22" t="s">
        <v>87</v>
      </c>
      <c r="D20" s="51" t="s">
        <v>86</v>
      </c>
      <c r="E20" s="50"/>
    </row>
    <row r="21" spans="2:5" x14ac:dyDescent="0.2">
      <c r="B21" s="52"/>
      <c r="C21" s="22" t="s">
        <v>26</v>
      </c>
      <c r="D21" s="51" t="s">
        <v>25</v>
      </c>
      <c r="E21" s="50"/>
    </row>
    <row r="22" spans="2:5" x14ac:dyDescent="0.2">
      <c r="B22" s="52"/>
      <c r="C22" s="22" t="s">
        <v>132</v>
      </c>
      <c r="D22" s="53" t="s">
        <v>131</v>
      </c>
      <c r="E22" s="50"/>
    </row>
    <row r="23" spans="2:5" x14ac:dyDescent="0.2">
      <c r="B23" s="52"/>
      <c r="C23" s="22" t="s">
        <v>130</v>
      </c>
      <c r="D23" s="99">
        <v>1E-4</v>
      </c>
      <c r="E23" s="50"/>
    </row>
    <row r="24" spans="2:5" ht="11.25" customHeight="1" x14ac:dyDescent="0.2">
      <c r="B24" s="52"/>
      <c r="C24" s="22" t="s">
        <v>129</v>
      </c>
      <c r="D24" s="98">
        <v>-0.01</v>
      </c>
      <c r="E24" s="50"/>
    </row>
    <row r="25" spans="2:5" x14ac:dyDescent="0.2">
      <c r="B25" s="555"/>
      <c r="C25" s="570"/>
      <c r="D25" s="570"/>
      <c r="E25" s="569"/>
    </row>
    <row r="26" spans="2:5" x14ac:dyDescent="0.2">
      <c r="B26" s="555"/>
      <c r="C26" s="568" t="s">
        <v>344</v>
      </c>
      <c r="D26" s="576" t="s">
        <v>343</v>
      </c>
      <c r="E26" s="556"/>
    </row>
    <row r="27" spans="2:5" x14ac:dyDescent="0.2">
      <c r="B27" s="555"/>
      <c r="C27" s="567" t="s">
        <v>262</v>
      </c>
      <c r="D27" s="566">
        <v>9</v>
      </c>
      <c r="E27" s="556"/>
    </row>
    <row r="28" spans="2:5" x14ac:dyDescent="0.2">
      <c r="B28" s="555"/>
      <c r="C28" s="565" t="s">
        <v>342</v>
      </c>
      <c r="D28" s="564" t="s">
        <v>341</v>
      </c>
      <c r="E28" s="556"/>
    </row>
    <row r="29" spans="2:5" x14ac:dyDescent="0.2">
      <c r="B29" s="555"/>
      <c r="C29" s="561"/>
      <c r="D29" s="577"/>
      <c r="E29" s="556"/>
    </row>
    <row r="30" spans="2:5" x14ac:dyDescent="0.2">
      <c r="B30" s="555"/>
      <c r="C30" s="563" t="s">
        <v>283</v>
      </c>
      <c r="D30" s="562" t="s">
        <v>340</v>
      </c>
      <c r="E30" s="556"/>
    </row>
    <row r="31" spans="2:5" x14ac:dyDescent="0.2">
      <c r="B31" s="555"/>
      <c r="C31" s="560" t="s">
        <v>278</v>
      </c>
      <c r="D31" s="559" t="str">
        <f>""</f>
        <v/>
      </c>
      <c r="E31" s="556"/>
    </row>
    <row r="32" spans="2:5" x14ac:dyDescent="0.2">
      <c r="B32" s="555"/>
      <c r="C32" s="560" t="s">
        <v>277</v>
      </c>
      <c r="D32" s="559" t="s">
        <v>276</v>
      </c>
      <c r="E32" s="556"/>
    </row>
    <row r="33" spans="2:5" x14ac:dyDescent="0.2">
      <c r="B33" s="555"/>
      <c r="C33" s="560" t="s">
        <v>275</v>
      </c>
      <c r="D33" s="559" t="s">
        <v>275</v>
      </c>
      <c r="E33" s="556"/>
    </row>
    <row r="34" spans="2:5" x14ac:dyDescent="0.2">
      <c r="B34" s="555"/>
      <c r="C34" s="560" t="s">
        <v>273</v>
      </c>
      <c r="D34" s="559" t="s">
        <v>272</v>
      </c>
      <c r="E34" s="556"/>
    </row>
    <row r="35" spans="2:5" x14ac:dyDescent="0.2">
      <c r="B35" s="555"/>
      <c r="C35" s="560" t="s">
        <v>271</v>
      </c>
      <c r="D35" s="559" t="s">
        <v>270</v>
      </c>
      <c r="E35" s="556"/>
    </row>
    <row r="36" spans="2:5" x14ac:dyDescent="0.2">
      <c r="B36" s="555"/>
      <c r="C36" s="560" t="s">
        <v>269</v>
      </c>
      <c r="D36" s="559" t="s">
        <v>268</v>
      </c>
      <c r="E36" s="556"/>
    </row>
    <row r="37" spans="2:5" x14ac:dyDescent="0.2">
      <c r="B37" s="555"/>
      <c r="C37" s="558" t="s">
        <v>267</v>
      </c>
      <c r="D37" s="557" t="s">
        <v>265</v>
      </c>
      <c r="E37" s="556"/>
    </row>
    <row r="38" spans="2:5" ht="13.5" thickBot="1" x14ac:dyDescent="0.25">
      <c r="B38" s="554"/>
      <c r="C38" s="31"/>
      <c r="D38" s="31"/>
      <c r="E38" s="30"/>
    </row>
  </sheetData>
  <mergeCells count="1">
    <mergeCell ref="B2:E2"/>
  </mergeCells>
  <conditionalFormatting sqref="D7:D8">
    <cfRule type="cellIs" dxfId="44" priority="1" stopIfTrue="1" operator="equal">
      <formula>TRUE</formula>
    </cfRule>
  </conditionalFormatting>
  <dataValidations count="3">
    <dataValidation type="list" allowBlank="1" showInputMessage="1" showErrorMessage="1" sqref="IO8:IO9 SK8:SK9 ACG8:ACG9 AMC8:AMC9 AVY8:AVY9 BFU8:BFU9 BPQ8:BPQ9 BZM8:BZM9 CJI8:CJI9 CTE8:CTE9 DDA8:DDA9 DMW8:DMW9 DWS8:DWS9 EGO8:EGO9 EQK8:EQK9 FAG8:FAG9 FKC8:FKC9 FTY8:FTY9 GDU8:GDU9 GNQ8:GNQ9 GXM8:GXM9 HHI8:HHI9 HRE8:HRE9 IBA8:IBA9 IKW8:IKW9 IUS8:IUS9 JEO8:JEO9 JOK8:JOK9 JYG8:JYG9 KIC8:KIC9 KRY8:KRY9 LBU8:LBU9 LLQ8:LLQ9 LVM8:LVM9 MFI8:MFI9 MPE8:MPE9 MZA8:MZA9 NIW8:NIW9 NSS8:NSS9 OCO8:OCO9 OMK8:OMK9 OWG8:OWG9 PGC8:PGC9 PPY8:PPY9 PZU8:PZU9 QJQ8:QJQ9 QTM8:QTM9 RDI8:RDI9 RNE8:RNE9 RXA8:RXA9 SGW8:SGW9 SQS8:SQS9 TAO8:TAO9 TKK8:TKK9 TUG8:TUG9 UEC8:UEC9 UNY8:UNY9 UXU8:UXU9 VHQ8:VHQ9 VRM8:VRM9 WBI8:WBI9 WLE8:WLE9 WVA8:WVA9 IO65544:IO65545 SK65544:SK65545 ACG65544:ACG65545 AMC65544:AMC65545 AVY65544:AVY65545 BFU65544:BFU65545 BPQ65544:BPQ65545 BZM65544:BZM65545 CJI65544:CJI65545 CTE65544:CTE65545 DDA65544:DDA65545 DMW65544:DMW65545 DWS65544:DWS65545 EGO65544:EGO65545 EQK65544:EQK65545 FAG65544:FAG65545 FKC65544:FKC65545 FTY65544:FTY65545 GDU65544:GDU65545 GNQ65544:GNQ65545 GXM65544:GXM65545 HHI65544:HHI65545 HRE65544:HRE65545 IBA65544:IBA65545 IKW65544:IKW65545 IUS65544:IUS65545 JEO65544:JEO65545 JOK65544:JOK65545 JYG65544:JYG65545 KIC65544:KIC65545 KRY65544:KRY65545 LBU65544:LBU65545 LLQ65544:LLQ65545 LVM65544:LVM65545 MFI65544:MFI65545 MPE65544:MPE65545 MZA65544:MZA65545 NIW65544:NIW65545 NSS65544:NSS65545 OCO65544:OCO65545 OMK65544:OMK65545 OWG65544:OWG65545 PGC65544:PGC65545 PPY65544:PPY65545 PZU65544:PZU65545 QJQ65544:QJQ65545 QTM65544:QTM65545 RDI65544:RDI65545 RNE65544:RNE65545 RXA65544:RXA65545 SGW65544:SGW65545 SQS65544:SQS65545 TAO65544:TAO65545 TKK65544:TKK65545 TUG65544:TUG65545 UEC65544:UEC65545 UNY65544:UNY65545 UXU65544:UXU65545 VHQ65544:VHQ65545 VRM65544:VRM65545 WBI65544:WBI65545 WLE65544:WLE65545 WVA65544:WVA65545 IO131080:IO131081 SK131080:SK131081 ACG131080:ACG131081 AMC131080:AMC131081 AVY131080:AVY131081 BFU131080:BFU131081 BPQ131080:BPQ131081 BZM131080:BZM131081 CJI131080:CJI131081 CTE131080:CTE131081 DDA131080:DDA131081 DMW131080:DMW131081 DWS131080:DWS131081 EGO131080:EGO131081 EQK131080:EQK131081 FAG131080:FAG131081 FKC131080:FKC131081 FTY131080:FTY131081 GDU131080:GDU131081 GNQ131080:GNQ131081 GXM131080:GXM131081 HHI131080:HHI131081 HRE131080:HRE131081 IBA131080:IBA131081 IKW131080:IKW131081 IUS131080:IUS131081 JEO131080:JEO131081 JOK131080:JOK131081 JYG131080:JYG131081 KIC131080:KIC131081 KRY131080:KRY131081 LBU131080:LBU131081 LLQ131080:LLQ131081 LVM131080:LVM131081 MFI131080:MFI131081 MPE131080:MPE131081 MZA131080:MZA131081 NIW131080:NIW131081 NSS131080:NSS131081 OCO131080:OCO131081 OMK131080:OMK131081 OWG131080:OWG131081 PGC131080:PGC131081 PPY131080:PPY131081 PZU131080:PZU131081 QJQ131080:QJQ131081 QTM131080:QTM131081 RDI131080:RDI131081 RNE131080:RNE131081 RXA131080:RXA131081 SGW131080:SGW131081 SQS131080:SQS131081 TAO131080:TAO131081 TKK131080:TKK131081 TUG131080:TUG131081 UEC131080:UEC131081 UNY131080:UNY131081 UXU131080:UXU131081 VHQ131080:VHQ131081 VRM131080:VRM131081 WBI131080:WBI131081 WLE131080:WLE131081 WVA131080:WVA131081 IO196616:IO196617 SK196616:SK196617 ACG196616:ACG196617 AMC196616:AMC196617 AVY196616:AVY196617 BFU196616:BFU196617 BPQ196616:BPQ196617 BZM196616:BZM196617 CJI196616:CJI196617 CTE196616:CTE196617 DDA196616:DDA196617 DMW196616:DMW196617 DWS196616:DWS196617 EGO196616:EGO196617 EQK196616:EQK196617 FAG196616:FAG196617 FKC196616:FKC196617 FTY196616:FTY196617 GDU196616:GDU196617 GNQ196616:GNQ196617 GXM196616:GXM196617 HHI196616:HHI196617 HRE196616:HRE196617 IBA196616:IBA196617 IKW196616:IKW196617 IUS196616:IUS196617 JEO196616:JEO196617 JOK196616:JOK196617 JYG196616:JYG196617 KIC196616:KIC196617 KRY196616:KRY196617 LBU196616:LBU196617 LLQ196616:LLQ196617 LVM196616:LVM196617 MFI196616:MFI196617 MPE196616:MPE196617 MZA196616:MZA196617 NIW196616:NIW196617 NSS196616:NSS196617 OCO196616:OCO196617 OMK196616:OMK196617 OWG196616:OWG196617 PGC196616:PGC196617 PPY196616:PPY196617 PZU196616:PZU196617 QJQ196616:QJQ196617 QTM196616:QTM196617 RDI196616:RDI196617 RNE196616:RNE196617 RXA196616:RXA196617 SGW196616:SGW196617 SQS196616:SQS196617 TAO196616:TAO196617 TKK196616:TKK196617 TUG196616:TUG196617 UEC196616:UEC196617 UNY196616:UNY196617 UXU196616:UXU196617 VHQ196616:VHQ196617 VRM196616:VRM196617 WBI196616:WBI196617 WLE196616:WLE196617 WVA196616:WVA196617 IO262152:IO262153 SK262152:SK262153 ACG262152:ACG262153 AMC262152:AMC262153 AVY262152:AVY262153 BFU262152:BFU262153 BPQ262152:BPQ262153 BZM262152:BZM262153 CJI262152:CJI262153 CTE262152:CTE262153 DDA262152:DDA262153 DMW262152:DMW262153 DWS262152:DWS262153 EGO262152:EGO262153 EQK262152:EQK262153 FAG262152:FAG262153 FKC262152:FKC262153 FTY262152:FTY262153 GDU262152:GDU262153 GNQ262152:GNQ262153 GXM262152:GXM262153 HHI262152:HHI262153 HRE262152:HRE262153 IBA262152:IBA262153 IKW262152:IKW262153 IUS262152:IUS262153 JEO262152:JEO262153 JOK262152:JOK262153 JYG262152:JYG262153 KIC262152:KIC262153 KRY262152:KRY262153 LBU262152:LBU262153 LLQ262152:LLQ262153 LVM262152:LVM262153 MFI262152:MFI262153 MPE262152:MPE262153 MZA262152:MZA262153 NIW262152:NIW262153 NSS262152:NSS262153 OCO262152:OCO262153 OMK262152:OMK262153 OWG262152:OWG262153 PGC262152:PGC262153 PPY262152:PPY262153 PZU262152:PZU262153 QJQ262152:QJQ262153 QTM262152:QTM262153 RDI262152:RDI262153 RNE262152:RNE262153 RXA262152:RXA262153 SGW262152:SGW262153 SQS262152:SQS262153 TAO262152:TAO262153 TKK262152:TKK262153 TUG262152:TUG262153 UEC262152:UEC262153 UNY262152:UNY262153 UXU262152:UXU262153 VHQ262152:VHQ262153 VRM262152:VRM262153 WBI262152:WBI262153 WLE262152:WLE262153 WVA262152:WVA262153 IO327688:IO327689 SK327688:SK327689 ACG327688:ACG327689 AMC327688:AMC327689 AVY327688:AVY327689 BFU327688:BFU327689 BPQ327688:BPQ327689 BZM327688:BZM327689 CJI327688:CJI327689 CTE327688:CTE327689 DDA327688:DDA327689 DMW327688:DMW327689 DWS327688:DWS327689 EGO327688:EGO327689 EQK327688:EQK327689 FAG327688:FAG327689 FKC327688:FKC327689 FTY327688:FTY327689 GDU327688:GDU327689 GNQ327688:GNQ327689 GXM327688:GXM327689 HHI327688:HHI327689 HRE327688:HRE327689 IBA327688:IBA327689 IKW327688:IKW327689 IUS327688:IUS327689 JEO327688:JEO327689 JOK327688:JOK327689 JYG327688:JYG327689 KIC327688:KIC327689 KRY327688:KRY327689 LBU327688:LBU327689 LLQ327688:LLQ327689 LVM327688:LVM327689 MFI327688:MFI327689 MPE327688:MPE327689 MZA327688:MZA327689 NIW327688:NIW327689 NSS327688:NSS327689 OCO327688:OCO327689 OMK327688:OMK327689 OWG327688:OWG327689 PGC327688:PGC327689 PPY327688:PPY327689 PZU327688:PZU327689 QJQ327688:QJQ327689 QTM327688:QTM327689 RDI327688:RDI327689 RNE327688:RNE327689 RXA327688:RXA327689 SGW327688:SGW327689 SQS327688:SQS327689 TAO327688:TAO327689 TKK327688:TKK327689 TUG327688:TUG327689 UEC327688:UEC327689 UNY327688:UNY327689 UXU327688:UXU327689 VHQ327688:VHQ327689 VRM327688:VRM327689 WBI327688:WBI327689 WLE327688:WLE327689 WVA327688:WVA327689 IO393224:IO393225 SK393224:SK393225 ACG393224:ACG393225 AMC393224:AMC393225 AVY393224:AVY393225 BFU393224:BFU393225 BPQ393224:BPQ393225 BZM393224:BZM393225 CJI393224:CJI393225 CTE393224:CTE393225 DDA393224:DDA393225 DMW393224:DMW393225 DWS393224:DWS393225 EGO393224:EGO393225 EQK393224:EQK393225 FAG393224:FAG393225 FKC393224:FKC393225 FTY393224:FTY393225 GDU393224:GDU393225 GNQ393224:GNQ393225 GXM393224:GXM393225 HHI393224:HHI393225 HRE393224:HRE393225 IBA393224:IBA393225 IKW393224:IKW393225 IUS393224:IUS393225 JEO393224:JEO393225 JOK393224:JOK393225 JYG393224:JYG393225 KIC393224:KIC393225 KRY393224:KRY393225 LBU393224:LBU393225 LLQ393224:LLQ393225 LVM393224:LVM393225 MFI393224:MFI393225 MPE393224:MPE393225 MZA393224:MZA393225 NIW393224:NIW393225 NSS393224:NSS393225 OCO393224:OCO393225 OMK393224:OMK393225 OWG393224:OWG393225 PGC393224:PGC393225 PPY393224:PPY393225 PZU393224:PZU393225 QJQ393224:QJQ393225 QTM393224:QTM393225 RDI393224:RDI393225 RNE393224:RNE393225 RXA393224:RXA393225 SGW393224:SGW393225 SQS393224:SQS393225 TAO393224:TAO393225 TKK393224:TKK393225 TUG393224:TUG393225 UEC393224:UEC393225 UNY393224:UNY393225 UXU393224:UXU393225 VHQ393224:VHQ393225 VRM393224:VRM393225 WBI393224:WBI393225 WLE393224:WLE393225 WVA393224:WVA393225 IO458760:IO458761 SK458760:SK458761 ACG458760:ACG458761 AMC458760:AMC458761 AVY458760:AVY458761 BFU458760:BFU458761 BPQ458760:BPQ458761 BZM458760:BZM458761 CJI458760:CJI458761 CTE458760:CTE458761 DDA458760:DDA458761 DMW458760:DMW458761 DWS458760:DWS458761 EGO458760:EGO458761 EQK458760:EQK458761 FAG458760:FAG458761 FKC458760:FKC458761 FTY458760:FTY458761 GDU458760:GDU458761 GNQ458760:GNQ458761 GXM458760:GXM458761 HHI458760:HHI458761 HRE458760:HRE458761 IBA458760:IBA458761 IKW458760:IKW458761 IUS458760:IUS458761 JEO458760:JEO458761 JOK458760:JOK458761 JYG458760:JYG458761 KIC458760:KIC458761 KRY458760:KRY458761 LBU458760:LBU458761 LLQ458760:LLQ458761 LVM458760:LVM458761 MFI458760:MFI458761 MPE458760:MPE458761 MZA458760:MZA458761 NIW458760:NIW458761 NSS458760:NSS458761 OCO458760:OCO458761 OMK458760:OMK458761 OWG458760:OWG458761 PGC458760:PGC458761 PPY458760:PPY458761 PZU458760:PZU458761 QJQ458760:QJQ458761 QTM458760:QTM458761 RDI458760:RDI458761 RNE458760:RNE458761 RXA458760:RXA458761 SGW458760:SGW458761 SQS458760:SQS458761 TAO458760:TAO458761 TKK458760:TKK458761 TUG458760:TUG458761 UEC458760:UEC458761 UNY458760:UNY458761 UXU458760:UXU458761 VHQ458760:VHQ458761 VRM458760:VRM458761 WBI458760:WBI458761 WLE458760:WLE458761 WVA458760:WVA458761 IO524296:IO524297 SK524296:SK524297 ACG524296:ACG524297 AMC524296:AMC524297 AVY524296:AVY524297 BFU524296:BFU524297 BPQ524296:BPQ524297 BZM524296:BZM524297 CJI524296:CJI524297 CTE524296:CTE524297 DDA524296:DDA524297 DMW524296:DMW524297 DWS524296:DWS524297 EGO524296:EGO524297 EQK524296:EQK524297 FAG524296:FAG524297 FKC524296:FKC524297 FTY524296:FTY524297 GDU524296:GDU524297 GNQ524296:GNQ524297 GXM524296:GXM524297 HHI524296:HHI524297 HRE524296:HRE524297 IBA524296:IBA524297 IKW524296:IKW524297 IUS524296:IUS524297 JEO524296:JEO524297 JOK524296:JOK524297 JYG524296:JYG524297 KIC524296:KIC524297 KRY524296:KRY524297 LBU524296:LBU524297 LLQ524296:LLQ524297 LVM524296:LVM524297 MFI524296:MFI524297 MPE524296:MPE524297 MZA524296:MZA524297 NIW524296:NIW524297 NSS524296:NSS524297 OCO524296:OCO524297 OMK524296:OMK524297 OWG524296:OWG524297 PGC524296:PGC524297 PPY524296:PPY524297 PZU524296:PZU524297 QJQ524296:QJQ524297 QTM524296:QTM524297 RDI524296:RDI524297 RNE524296:RNE524297 RXA524296:RXA524297 SGW524296:SGW524297 SQS524296:SQS524297 TAO524296:TAO524297 TKK524296:TKK524297 TUG524296:TUG524297 UEC524296:UEC524297 UNY524296:UNY524297 UXU524296:UXU524297 VHQ524296:VHQ524297 VRM524296:VRM524297 WBI524296:WBI524297 WLE524296:WLE524297 WVA524296:WVA524297 IO589832:IO589833 SK589832:SK589833 ACG589832:ACG589833 AMC589832:AMC589833 AVY589832:AVY589833 BFU589832:BFU589833 BPQ589832:BPQ589833 BZM589832:BZM589833 CJI589832:CJI589833 CTE589832:CTE589833 DDA589832:DDA589833 DMW589832:DMW589833 DWS589832:DWS589833 EGO589832:EGO589833 EQK589832:EQK589833 FAG589832:FAG589833 FKC589832:FKC589833 FTY589832:FTY589833 GDU589832:GDU589833 GNQ589832:GNQ589833 GXM589832:GXM589833 HHI589832:HHI589833 HRE589832:HRE589833 IBA589832:IBA589833 IKW589832:IKW589833 IUS589832:IUS589833 JEO589832:JEO589833 JOK589832:JOK589833 JYG589832:JYG589833 KIC589832:KIC589833 KRY589832:KRY589833 LBU589832:LBU589833 LLQ589832:LLQ589833 LVM589832:LVM589833 MFI589832:MFI589833 MPE589832:MPE589833 MZA589832:MZA589833 NIW589832:NIW589833 NSS589832:NSS589833 OCO589832:OCO589833 OMK589832:OMK589833 OWG589832:OWG589833 PGC589832:PGC589833 PPY589832:PPY589833 PZU589832:PZU589833 QJQ589832:QJQ589833 QTM589832:QTM589833 RDI589832:RDI589833 RNE589832:RNE589833 RXA589832:RXA589833 SGW589832:SGW589833 SQS589832:SQS589833 TAO589832:TAO589833 TKK589832:TKK589833 TUG589832:TUG589833 UEC589832:UEC589833 UNY589832:UNY589833 UXU589832:UXU589833 VHQ589832:VHQ589833 VRM589832:VRM589833 WBI589832:WBI589833 WLE589832:WLE589833 WVA589832:WVA589833 IO655368:IO655369 SK655368:SK655369 ACG655368:ACG655369 AMC655368:AMC655369 AVY655368:AVY655369 BFU655368:BFU655369 BPQ655368:BPQ655369 BZM655368:BZM655369 CJI655368:CJI655369 CTE655368:CTE655369 DDA655368:DDA655369 DMW655368:DMW655369 DWS655368:DWS655369 EGO655368:EGO655369 EQK655368:EQK655369 FAG655368:FAG655369 FKC655368:FKC655369 FTY655368:FTY655369 GDU655368:GDU655369 GNQ655368:GNQ655369 GXM655368:GXM655369 HHI655368:HHI655369 HRE655368:HRE655369 IBA655368:IBA655369 IKW655368:IKW655369 IUS655368:IUS655369 JEO655368:JEO655369 JOK655368:JOK655369 JYG655368:JYG655369 KIC655368:KIC655369 KRY655368:KRY655369 LBU655368:LBU655369 LLQ655368:LLQ655369 LVM655368:LVM655369 MFI655368:MFI655369 MPE655368:MPE655369 MZA655368:MZA655369 NIW655368:NIW655369 NSS655368:NSS655369 OCO655368:OCO655369 OMK655368:OMK655369 OWG655368:OWG655369 PGC655368:PGC655369 PPY655368:PPY655369 PZU655368:PZU655369 QJQ655368:QJQ655369 QTM655368:QTM655369 RDI655368:RDI655369 RNE655368:RNE655369 RXA655368:RXA655369 SGW655368:SGW655369 SQS655368:SQS655369 TAO655368:TAO655369 TKK655368:TKK655369 TUG655368:TUG655369 UEC655368:UEC655369 UNY655368:UNY655369 UXU655368:UXU655369 VHQ655368:VHQ655369 VRM655368:VRM655369 WBI655368:WBI655369 WLE655368:WLE655369 WVA655368:WVA655369 IO720904:IO720905 SK720904:SK720905 ACG720904:ACG720905 AMC720904:AMC720905 AVY720904:AVY720905 BFU720904:BFU720905 BPQ720904:BPQ720905 BZM720904:BZM720905 CJI720904:CJI720905 CTE720904:CTE720905 DDA720904:DDA720905 DMW720904:DMW720905 DWS720904:DWS720905 EGO720904:EGO720905 EQK720904:EQK720905 FAG720904:FAG720905 FKC720904:FKC720905 FTY720904:FTY720905 GDU720904:GDU720905 GNQ720904:GNQ720905 GXM720904:GXM720905 HHI720904:HHI720905 HRE720904:HRE720905 IBA720904:IBA720905 IKW720904:IKW720905 IUS720904:IUS720905 JEO720904:JEO720905 JOK720904:JOK720905 JYG720904:JYG720905 KIC720904:KIC720905 KRY720904:KRY720905 LBU720904:LBU720905 LLQ720904:LLQ720905 LVM720904:LVM720905 MFI720904:MFI720905 MPE720904:MPE720905 MZA720904:MZA720905 NIW720904:NIW720905 NSS720904:NSS720905 OCO720904:OCO720905 OMK720904:OMK720905 OWG720904:OWG720905 PGC720904:PGC720905 PPY720904:PPY720905 PZU720904:PZU720905 QJQ720904:QJQ720905 QTM720904:QTM720905 RDI720904:RDI720905 RNE720904:RNE720905 RXA720904:RXA720905 SGW720904:SGW720905 SQS720904:SQS720905 TAO720904:TAO720905 TKK720904:TKK720905 TUG720904:TUG720905 UEC720904:UEC720905 UNY720904:UNY720905 UXU720904:UXU720905 VHQ720904:VHQ720905 VRM720904:VRM720905 WBI720904:WBI720905 WLE720904:WLE720905 WVA720904:WVA720905 IO786440:IO786441 SK786440:SK786441 ACG786440:ACG786441 AMC786440:AMC786441 AVY786440:AVY786441 BFU786440:BFU786441 BPQ786440:BPQ786441 BZM786440:BZM786441 CJI786440:CJI786441 CTE786440:CTE786441 DDA786440:DDA786441 DMW786440:DMW786441 DWS786440:DWS786441 EGO786440:EGO786441 EQK786440:EQK786441 FAG786440:FAG786441 FKC786440:FKC786441 FTY786440:FTY786441 GDU786440:GDU786441 GNQ786440:GNQ786441 GXM786440:GXM786441 HHI786440:HHI786441 HRE786440:HRE786441 IBA786440:IBA786441 IKW786440:IKW786441 IUS786440:IUS786441 JEO786440:JEO786441 JOK786440:JOK786441 JYG786440:JYG786441 KIC786440:KIC786441 KRY786440:KRY786441 LBU786440:LBU786441 LLQ786440:LLQ786441 LVM786440:LVM786441 MFI786440:MFI786441 MPE786440:MPE786441 MZA786440:MZA786441 NIW786440:NIW786441 NSS786440:NSS786441 OCO786440:OCO786441 OMK786440:OMK786441 OWG786440:OWG786441 PGC786440:PGC786441 PPY786440:PPY786441 PZU786440:PZU786441 QJQ786440:QJQ786441 QTM786440:QTM786441 RDI786440:RDI786441 RNE786440:RNE786441 RXA786440:RXA786441 SGW786440:SGW786441 SQS786440:SQS786441 TAO786440:TAO786441 TKK786440:TKK786441 TUG786440:TUG786441 UEC786440:UEC786441 UNY786440:UNY786441 UXU786440:UXU786441 VHQ786440:VHQ786441 VRM786440:VRM786441 WBI786440:WBI786441 WLE786440:WLE786441 WVA786440:WVA786441 IO851976:IO851977 SK851976:SK851977 ACG851976:ACG851977 AMC851976:AMC851977 AVY851976:AVY851977 BFU851976:BFU851977 BPQ851976:BPQ851977 BZM851976:BZM851977 CJI851976:CJI851977 CTE851976:CTE851977 DDA851976:DDA851977 DMW851976:DMW851977 DWS851976:DWS851977 EGO851976:EGO851977 EQK851976:EQK851977 FAG851976:FAG851977 FKC851976:FKC851977 FTY851976:FTY851977 GDU851976:GDU851977 GNQ851976:GNQ851977 GXM851976:GXM851977 HHI851976:HHI851977 HRE851976:HRE851977 IBA851976:IBA851977 IKW851976:IKW851977 IUS851976:IUS851977 JEO851976:JEO851977 JOK851976:JOK851977 JYG851976:JYG851977 KIC851976:KIC851977 KRY851976:KRY851977 LBU851976:LBU851977 LLQ851976:LLQ851977 LVM851976:LVM851977 MFI851976:MFI851977 MPE851976:MPE851977 MZA851976:MZA851977 NIW851976:NIW851977 NSS851976:NSS851977 OCO851976:OCO851977 OMK851976:OMK851977 OWG851976:OWG851977 PGC851976:PGC851977 PPY851976:PPY851977 PZU851976:PZU851977 QJQ851976:QJQ851977 QTM851976:QTM851977 RDI851976:RDI851977 RNE851976:RNE851977 RXA851976:RXA851977 SGW851976:SGW851977 SQS851976:SQS851977 TAO851976:TAO851977 TKK851976:TKK851977 TUG851976:TUG851977 UEC851976:UEC851977 UNY851976:UNY851977 UXU851976:UXU851977 VHQ851976:VHQ851977 VRM851976:VRM851977 WBI851976:WBI851977 WLE851976:WLE851977 WVA851976:WVA851977 IO917512:IO917513 SK917512:SK917513 ACG917512:ACG917513 AMC917512:AMC917513 AVY917512:AVY917513 BFU917512:BFU917513 BPQ917512:BPQ917513 BZM917512:BZM917513 CJI917512:CJI917513 CTE917512:CTE917513 DDA917512:DDA917513 DMW917512:DMW917513 DWS917512:DWS917513 EGO917512:EGO917513 EQK917512:EQK917513 FAG917512:FAG917513 FKC917512:FKC917513 FTY917512:FTY917513 GDU917512:GDU917513 GNQ917512:GNQ917513 GXM917512:GXM917513 HHI917512:HHI917513 HRE917512:HRE917513 IBA917512:IBA917513 IKW917512:IKW917513 IUS917512:IUS917513 JEO917512:JEO917513 JOK917512:JOK917513 JYG917512:JYG917513 KIC917512:KIC917513 KRY917512:KRY917513 LBU917512:LBU917513 LLQ917512:LLQ917513 LVM917512:LVM917513 MFI917512:MFI917513 MPE917512:MPE917513 MZA917512:MZA917513 NIW917512:NIW917513 NSS917512:NSS917513 OCO917512:OCO917513 OMK917512:OMK917513 OWG917512:OWG917513 PGC917512:PGC917513 PPY917512:PPY917513 PZU917512:PZU917513 QJQ917512:QJQ917513 QTM917512:QTM917513 RDI917512:RDI917513 RNE917512:RNE917513 RXA917512:RXA917513 SGW917512:SGW917513 SQS917512:SQS917513 TAO917512:TAO917513 TKK917512:TKK917513 TUG917512:TUG917513 UEC917512:UEC917513 UNY917512:UNY917513 UXU917512:UXU917513 VHQ917512:VHQ917513 VRM917512:VRM917513 WBI917512:WBI917513 WLE917512:WLE917513 WVA917512:WVA917513 IO983048:IO983049 SK983048:SK983049 ACG983048:ACG983049 AMC983048:AMC983049 AVY983048:AVY983049 BFU983048:BFU983049 BPQ983048:BPQ983049 BZM983048:BZM983049 CJI983048:CJI983049 CTE983048:CTE983049 DDA983048:DDA983049 DMW983048:DMW983049 DWS983048:DWS983049 EGO983048:EGO983049 EQK983048:EQK983049 FAG983048:FAG983049 FKC983048:FKC983049 FTY983048:FTY983049 GDU983048:GDU983049 GNQ983048:GNQ983049 GXM983048:GXM983049 HHI983048:HHI983049 HRE983048:HRE983049 IBA983048:IBA983049 IKW983048:IKW983049 IUS983048:IUS983049 JEO983048:JEO983049 JOK983048:JOK983049 JYG983048:JYG983049 KIC983048:KIC983049 KRY983048:KRY983049 LBU983048:LBU983049 LLQ983048:LLQ983049 LVM983048:LVM983049 MFI983048:MFI983049 MPE983048:MPE983049 MZA983048:MZA983049 NIW983048:NIW983049 NSS983048:NSS983049 OCO983048:OCO983049 OMK983048:OMK983049 OWG983048:OWG983049 PGC983048:PGC983049 PPY983048:PPY983049 PZU983048:PZU983049 QJQ983048:QJQ983049 QTM983048:QTM983049 RDI983048:RDI983049 RNE983048:RNE983049 RXA983048:RXA983049 SGW983048:SGW983049 SQS983048:SQS983049 TAO983048:TAO983049 TKK983048:TKK983049 TUG983048:TUG983049 UEC983048:UEC983049 UNY983048:UNY983049 UXU983048:UXU983049 VHQ983048:VHQ983049 VRM983048:VRM983049 WBI983048:WBI983049 WLE983048:WLE983049 WVA983048:WVA983049">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IO4 SK4 ACG4 AMC4 AVY4 BFU4 BPQ4 BZM4 CJI4 CTE4 DDA4 DMW4 DWS4 EGO4 EQK4 FAG4 FKC4 FTY4 GDU4 GNQ4 GXM4 HHI4 HRE4 IBA4 IKW4 IUS4 JEO4 JOK4 JYG4 KIC4 KRY4 LBU4 LLQ4 LVM4 MFI4 MPE4 MZA4 NIW4 NSS4 OCO4 OMK4 OWG4 PGC4 PPY4 PZU4 QJQ4 QTM4 RDI4 RNE4 RXA4 SGW4 SQS4 TAO4 TKK4 TUG4 UEC4 UNY4 UXU4 VHQ4 VRM4 WBI4 WLE4 WVA4 IO65540 SK65540 ACG65540 AMC65540 AVY65540 BFU65540 BPQ65540 BZM65540 CJI65540 CTE65540 DDA65540 DMW65540 DWS65540 EGO65540 EQK65540 FAG65540 FKC65540 FTY65540 GDU65540 GNQ65540 GXM65540 HHI65540 HRE65540 IBA65540 IKW65540 IUS65540 JEO65540 JOK65540 JYG65540 KIC65540 KRY65540 LBU65540 LLQ65540 LVM65540 MFI65540 MPE65540 MZA65540 NIW65540 NSS65540 OCO65540 OMK65540 OWG65540 PGC65540 PPY65540 PZU65540 QJQ65540 QTM65540 RDI65540 RNE65540 RXA65540 SGW65540 SQS65540 TAO65540 TKK65540 TUG65540 UEC65540 UNY65540 UXU65540 VHQ65540 VRM65540 WBI65540 WLE65540 WVA65540 IO131076 SK131076 ACG131076 AMC131076 AVY131076 BFU131076 BPQ131076 BZM131076 CJI131076 CTE131076 DDA131076 DMW131076 DWS131076 EGO131076 EQK131076 FAG131076 FKC131076 FTY131076 GDU131076 GNQ131076 GXM131076 HHI131076 HRE131076 IBA131076 IKW131076 IUS131076 JEO131076 JOK131076 JYG131076 KIC131076 KRY131076 LBU131076 LLQ131076 LVM131076 MFI131076 MPE131076 MZA131076 NIW131076 NSS131076 OCO131076 OMK131076 OWG131076 PGC131076 PPY131076 PZU131076 QJQ131076 QTM131076 RDI131076 RNE131076 RXA131076 SGW131076 SQS131076 TAO131076 TKK131076 TUG131076 UEC131076 UNY131076 UXU131076 VHQ131076 VRM131076 WBI131076 WLE131076 WVA131076 IO196612 SK196612 ACG196612 AMC196612 AVY196612 BFU196612 BPQ196612 BZM196612 CJI196612 CTE196612 DDA196612 DMW196612 DWS196612 EGO196612 EQK196612 FAG196612 FKC196612 FTY196612 GDU196612 GNQ196612 GXM196612 HHI196612 HRE196612 IBA196612 IKW196612 IUS196612 JEO196612 JOK196612 JYG196612 KIC196612 KRY196612 LBU196612 LLQ196612 LVM196612 MFI196612 MPE196612 MZA196612 NIW196612 NSS196612 OCO196612 OMK196612 OWG196612 PGC196612 PPY196612 PZU196612 QJQ196612 QTM196612 RDI196612 RNE196612 RXA196612 SGW196612 SQS196612 TAO196612 TKK196612 TUG196612 UEC196612 UNY196612 UXU196612 VHQ196612 VRM196612 WBI196612 WLE196612 WVA196612 IO262148 SK262148 ACG262148 AMC262148 AVY262148 BFU262148 BPQ262148 BZM262148 CJI262148 CTE262148 DDA262148 DMW262148 DWS262148 EGO262148 EQK262148 FAG262148 FKC262148 FTY262148 GDU262148 GNQ262148 GXM262148 HHI262148 HRE262148 IBA262148 IKW262148 IUS262148 JEO262148 JOK262148 JYG262148 KIC262148 KRY262148 LBU262148 LLQ262148 LVM262148 MFI262148 MPE262148 MZA262148 NIW262148 NSS262148 OCO262148 OMK262148 OWG262148 PGC262148 PPY262148 PZU262148 QJQ262148 QTM262148 RDI262148 RNE262148 RXA262148 SGW262148 SQS262148 TAO262148 TKK262148 TUG262148 UEC262148 UNY262148 UXU262148 VHQ262148 VRM262148 WBI262148 WLE262148 WVA262148 IO327684 SK327684 ACG327684 AMC327684 AVY327684 BFU327684 BPQ327684 BZM327684 CJI327684 CTE327684 DDA327684 DMW327684 DWS327684 EGO327684 EQK327684 FAG327684 FKC327684 FTY327684 GDU327684 GNQ327684 GXM327684 HHI327684 HRE327684 IBA327684 IKW327684 IUS327684 JEO327684 JOK327684 JYG327684 KIC327684 KRY327684 LBU327684 LLQ327684 LVM327684 MFI327684 MPE327684 MZA327684 NIW327684 NSS327684 OCO327684 OMK327684 OWG327684 PGC327684 PPY327684 PZU327684 QJQ327684 QTM327684 RDI327684 RNE327684 RXA327684 SGW327684 SQS327684 TAO327684 TKK327684 TUG327684 UEC327684 UNY327684 UXU327684 VHQ327684 VRM327684 WBI327684 WLE327684 WVA327684 IO393220 SK393220 ACG393220 AMC393220 AVY393220 BFU393220 BPQ393220 BZM393220 CJI393220 CTE393220 DDA393220 DMW393220 DWS393220 EGO393220 EQK393220 FAG393220 FKC393220 FTY393220 GDU393220 GNQ393220 GXM393220 HHI393220 HRE393220 IBA393220 IKW393220 IUS393220 JEO393220 JOK393220 JYG393220 KIC393220 KRY393220 LBU393220 LLQ393220 LVM393220 MFI393220 MPE393220 MZA393220 NIW393220 NSS393220 OCO393220 OMK393220 OWG393220 PGC393220 PPY393220 PZU393220 QJQ393220 QTM393220 RDI393220 RNE393220 RXA393220 SGW393220 SQS393220 TAO393220 TKK393220 TUG393220 UEC393220 UNY393220 UXU393220 VHQ393220 VRM393220 WBI393220 WLE393220 WVA393220 IO458756 SK458756 ACG458756 AMC458756 AVY458756 BFU458756 BPQ458756 BZM458756 CJI458756 CTE458756 DDA458756 DMW458756 DWS458756 EGO458756 EQK458756 FAG458756 FKC458756 FTY458756 GDU458756 GNQ458756 GXM458756 HHI458756 HRE458756 IBA458756 IKW458756 IUS458756 JEO458756 JOK458756 JYG458756 KIC458756 KRY458756 LBU458756 LLQ458756 LVM458756 MFI458756 MPE458756 MZA458756 NIW458756 NSS458756 OCO458756 OMK458756 OWG458756 PGC458756 PPY458756 PZU458756 QJQ458756 QTM458756 RDI458756 RNE458756 RXA458756 SGW458756 SQS458756 TAO458756 TKK458756 TUG458756 UEC458756 UNY458756 UXU458756 VHQ458756 VRM458756 WBI458756 WLE458756 WVA458756 IO524292 SK524292 ACG524292 AMC524292 AVY524292 BFU524292 BPQ524292 BZM524292 CJI524292 CTE524292 DDA524292 DMW524292 DWS524292 EGO524292 EQK524292 FAG524292 FKC524292 FTY524292 GDU524292 GNQ524292 GXM524292 HHI524292 HRE524292 IBA524292 IKW524292 IUS524292 JEO524292 JOK524292 JYG524292 KIC524292 KRY524292 LBU524292 LLQ524292 LVM524292 MFI524292 MPE524292 MZA524292 NIW524292 NSS524292 OCO524292 OMK524292 OWG524292 PGC524292 PPY524292 PZU524292 QJQ524292 QTM524292 RDI524292 RNE524292 RXA524292 SGW524292 SQS524292 TAO524292 TKK524292 TUG524292 UEC524292 UNY524292 UXU524292 VHQ524292 VRM524292 WBI524292 WLE524292 WVA524292 IO589828 SK589828 ACG589828 AMC589828 AVY589828 BFU589828 BPQ589828 BZM589828 CJI589828 CTE589828 DDA589828 DMW589828 DWS589828 EGO589828 EQK589828 FAG589828 FKC589828 FTY589828 GDU589828 GNQ589828 GXM589828 HHI589828 HRE589828 IBA589828 IKW589828 IUS589828 JEO589828 JOK589828 JYG589828 KIC589828 KRY589828 LBU589828 LLQ589828 LVM589828 MFI589828 MPE589828 MZA589828 NIW589828 NSS589828 OCO589828 OMK589828 OWG589828 PGC589828 PPY589828 PZU589828 QJQ589828 QTM589828 RDI589828 RNE589828 RXA589828 SGW589828 SQS589828 TAO589828 TKK589828 TUG589828 UEC589828 UNY589828 UXU589828 VHQ589828 VRM589828 WBI589828 WLE589828 WVA589828 IO655364 SK655364 ACG655364 AMC655364 AVY655364 BFU655364 BPQ655364 BZM655364 CJI655364 CTE655364 DDA655364 DMW655364 DWS655364 EGO655364 EQK655364 FAG655364 FKC655364 FTY655364 GDU655364 GNQ655364 GXM655364 HHI655364 HRE655364 IBA655364 IKW655364 IUS655364 JEO655364 JOK655364 JYG655364 KIC655364 KRY655364 LBU655364 LLQ655364 LVM655364 MFI655364 MPE655364 MZA655364 NIW655364 NSS655364 OCO655364 OMK655364 OWG655364 PGC655364 PPY655364 PZU655364 QJQ655364 QTM655364 RDI655364 RNE655364 RXA655364 SGW655364 SQS655364 TAO655364 TKK655364 TUG655364 UEC655364 UNY655364 UXU655364 VHQ655364 VRM655364 WBI655364 WLE655364 WVA655364 IO720900 SK720900 ACG720900 AMC720900 AVY720900 BFU720900 BPQ720900 BZM720900 CJI720900 CTE720900 DDA720900 DMW720900 DWS720900 EGO720900 EQK720900 FAG720900 FKC720900 FTY720900 GDU720900 GNQ720900 GXM720900 HHI720900 HRE720900 IBA720900 IKW720900 IUS720900 JEO720900 JOK720900 JYG720900 KIC720900 KRY720900 LBU720900 LLQ720900 LVM720900 MFI720900 MPE720900 MZA720900 NIW720900 NSS720900 OCO720900 OMK720900 OWG720900 PGC720900 PPY720900 PZU720900 QJQ720900 QTM720900 RDI720900 RNE720900 RXA720900 SGW720900 SQS720900 TAO720900 TKK720900 TUG720900 UEC720900 UNY720900 UXU720900 VHQ720900 VRM720900 WBI720900 WLE720900 WVA720900 IO786436 SK786436 ACG786436 AMC786436 AVY786436 BFU786436 BPQ786436 BZM786436 CJI786436 CTE786436 DDA786436 DMW786436 DWS786436 EGO786436 EQK786436 FAG786436 FKC786436 FTY786436 GDU786436 GNQ786436 GXM786436 HHI786436 HRE786436 IBA786436 IKW786436 IUS786436 JEO786436 JOK786436 JYG786436 KIC786436 KRY786436 LBU786436 LLQ786436 LVM786436 MFI786436 MPE786436 MZA786436 NIW786436 NSS786436 OCO786436 OMK786436 OWG786436 PGC786436 PPY786436 PZU786436 QJQ786436 QTM786436 RDI786436 RNE786436 RXA786436 SGW786436 SQS786436 TAO786436 TKK786436 TUG786436 UEC786436 UNY786436 UXU786436 VHQ786436 VRM786436 WBI786436 WLE786436 WVA786436 IO851972 SK851972 ACG851972 AMC851972 AVY851972 BFU851972 BPQ851972 BZM851972 CJI851972 CTE851972 DDA851972 DMW851972 DWS851972 EGO851972 EQK851972 FAG851972 FKC851972 FTY851972 GDU851972 GNQ851972 GXM851972 HHI851972 HRE851972 IBA851972 IKW851972 IUS851972 JEO851972 JOK851972 JYG851972 KIC851972 KRY851972 LBU851972 LLQ851972 LVM851972 MFI851972 MPE851972 MZA851972 NIW851972 NSS851972 OCO851972 OMK851972 OWG851972 PGC851972 PPY851972 PZU851972 QJQ851972 QTM851972 RDI851972 RNE851972 RXA851972 SGW851972 SQS851972 TAO851972 TKK851972 TUG851972 UEC851972 UNY851972 UXU851972 VHQ851972 VRM851972 WBI851972 WLE851972 WVA851972 IO917508 SK917508 ACG917508 AMC917508 AVY917508 BFU917508 BPQ917508 BZM917508 CJI917508 CTE917508 DDA917508 DMW917508 DWS917508 EGO917508 EQK917508 FAG917508 FKC917508 FTY917508 GDU917508 GNQ917508 GXM917508 HHI917508 HRE917508 IBA917508 IKW917508 IUS917508 JEO917508 JOK917508 JYG917508 KIC917508 KRY917508 LBU917508 LLQ917508 LVM917508 MFI917508 MPE917508 MZA917508 NIW917508 NSS917508 OCO917508 OMK917508 OWG917508 PGC917508 PPY917508 PZU917508 QJQ917508 QTM917508 RDI917508 RNE917508 RXA917508 SGW917508 SQS917508 TAO917508 TKK917508 TUG917508 UEC917508 UNY917508 UXU917508 VHQ917508 VRM917508 WBI917508 WLE917508 WVA917508 IO983044 SK983044 ACG983044 AMC983044 AVY983044 BFU983044 BPQ983044 BZM983044 CJI983044 CTE983044 DDA983044 DMW983044 DWS983044 EGO983044 EQK983044 FAG983044 FKC983044 FTY983044 GDU983044 GNQ983044 GXM983044 HHI983044 HRE983044 IBA983044 IKW983044 IUS983044 JEO983044 JOK983044 JYG983044 KIC983044 KRY983044 LBU983044 LLQ983044 LVM983044 MFI983044 MPE983044 MZA983044 NIW983044 NSS983044 OCO983044 OMK983044 OWG983044 PGC983044 PPY983044 PZU983044 QJQ983044 QTM983044 RDI983044 RNE983044 RXA983044 SGW983044 SQS983044 TAO983044 TKK983044 TUG983044 UEC983044 UNY983044 UXU983044 VHQ983044 VRM983044 WBI983044 WLE983044 WVA983044">
      <formula1>"EUR,USD,GBP,JPY,CHF"</formula1>
    </dataValidation>
    <dataValidation type="list" allowBlank="1" showInputMessage="1" showErrorMessage="1" sqref="D21">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49" r:id="rId4" name="CommandButton1">
          <controlPr defaultSize="0" autoLine="0" r:id="rId5">
            <anchor moveWithCells="1">
              <from>
                <xdr:col>5</xdr:col>
                <xdr:colOff>9525</xdr:colOff>
                <xdr:row>2</xdr:row>
                <xdr:rowOff>0</xdr:rowOff>
              </from>
              <to>
                <xdr:col>7</xdr:col>
                <xdr:colOff>171450</xdr:colOff>
                <xdr:row>3</xdr:row>
                <xdr:rowOff>152400</xdr:rowOff>
              </to>
            </anchor>
          </controlPr>
        </control>
      </mc:Choice>
      <mc:Fallback>
        <control shapeId="2049" r:id="rId4" name="CommandButton1"/>
      </mc:Fallback>
    </mc:AlternateContent>
    <mc:AlternateContent xmlns:mc="http://schemas.openxmlformats.org/markup-compatibility/2006">
      <mc:Choice Requires="x14">
        <control shapeId="2050" r:id="rId6" name="CommandButton2">
          <controlPr defaultSize="0" autoLine="0" r:id="rId7">
            <anchor moveWithCells="1">
              <from>
                <xdr:col>5</xdr:col>
                <xdr:colOff>9525</xdr:colOff>
                <xdr:row>3</xdr:row>
                <xdr:rowOff>152400</xdr:rowOff>
              </from>
              <to>
                <xdr:col>7</xdr:col>
                <xdr:colOff>171450</xdr:colOff>
                <xdr:row>5</xdr:row>
                <xdr:rowOff>142875</xdr:rowOff>
              </to>
            </anchor>
          </controlPr>
        </control>
      </mc:Choice>
      <mc:Fallback>
        <control shapeId="2050" r:id="rId6"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4"/>
  <sheetViews>
    <sheetView workbookViewId="0"/>
  </sheetViews>
  <sheetFormatPr defaultRowHeight="12.75" x14ac:dyDescent="0.2"/>
  <cols>
    <col min="1" max="2" width="7.140625" style="1" customWidth="1"/>
    <col min="3" max="3" width="13.7109375" style="1" bestFit="1" customWidth="1"/>
    <col min="4" max="4" width="30" style="1" bestFit="1" customWidth="1"/>
    <col min="5" max="5" width="21.7109375" style="1" bestFit="1" customWidth="1"/>
    <col min="6" max="6" width="51.5703125" style="1" bestFit="1" customWidth="1"/>
    <col min="7" max="7" width="7.140625" style="1" customWidth="1"/>
    <col min="8" max="16384" width="9.140625" style="1"/>
  </cols>
  <sheetData>
    <row r="1" spans="1:7" ht="13.5" thickBot="1" x14ac:dyDescent="0.25">
      <c r="A1" s="1" t="s">
        <v>351</v>
      </c>
    </row>
    <row r="2" spans="1:7" x14ac:dyDescent="0.2">
      <c r="B2" s="62"/>
      <c r="C2" s="61"/>
      <c r="D2" s="61"/>
      <c r="E2" s="61"/>
      <c r="F2" s="61"/>
      <c r="G2" s="60"/>
    </row>
    <row r="3" spans="1:7" x14ac:dyDescent="0.2">
      <c r="B3" s="52"/>
      <c r="C3" s="55"/>
      <c r="D3" s="22" t="s">
        <v>97</v>
      </c>
      <c r="E3" s="51" t="s">
        <v>112</v>
      </c>
      <c r="F3" s="55"/>
      <c r="G3" s="6"/>
    </row>
    <row r="4" spans="1:7" x14ac:dyDescent="0.2">
      <c r="B4" s="52"/>
      <c r="C4" s="55"/>
      <c r="D4" s="55"/>
      <c r="E4" s="55"/>
      <c r="F4" s="55"/>
      <c r="G4" s="6"/>
    </row>
    <row r="5" spans="1:7" x14ac:dyDescent="0.2">
      <c r="B5" s="52"/>
      <c r="C5" s="55"/>
      <c r="D5" s="58" t="str">
        <f>UPPER(Currency)&amp;"_RH_YieldTermStructure.xml"</f>
        <v>GBP_RH_YieldTermStructure.xml</v>
      </c>
      <c r="E5" s="16">
        <f ca="1">IF(Serialize,_xll.ohObjectSave(E6:E17,SerializationPath&amp;D5,FileOverwrite,Serialize),"---")</f>
        <v>12</v>
      </c>
      <c r="F5" s="56" t="str">
        <f ca="1">_xll.ohRangeRetrieveError(E5)</f>
        <v/>
      </c>
      <c r="G5" s="50"/>
    </row>
    <row r="6" spans="1:7" x14ac:dyDescent="0.2">
      <c r="B6" s="52"/>
      <c r="C6" s="57" t="s">
        <v>22</v>
      </c>
      <c r="D6" s="57" t="str">
        <f t="shared" ref="D6:D17" si="0">Currency&amp;C6</f>
        <v>GbpYC</v>
      </c>
      <c r="E6" s="7" t="str">
        <f>_xll.qlRelinkableHandleYieldTermStructure(D6,,Permanent,Trigger,ObjectOverwrite)</f>
        <v>GbpYC#0000</v>
      </c>
      <c r="F6" s="56" t="str">
        <f>_xll.ohRangeRetrieveError(E6)</f>
        <v/>
      </c>
      <c r="G6" s="6"/>
    </row>
    <row r="7" spans="1:7" x14ac:dyDescent="0.2">
      <c r="B7" s="52"/>
      <c r="C7" s="57" t="s">
        <v>111</v>
      </c>
      <c r="D7" s="57" t="str">
        <f t="shared" si="0"/>
        <v>GbpYCSTD</v>
      </c>
      <c r="E7" s="7" t="str">
        <f>_xll.qlRelinkableHandleYieldTermStructure(D7,,Permanent,Trigger,ObjectOverwrite)</f>
        <v>GbpYCSTD#0000</v>
      </c>
      <c r="F7" s="56"/>
      <c r="G7" s="6"/>
    </row>
    <row r="8" spans="1:7" x14ac:dyDescent="0.2">
      <c r="B8" s="52"/>
      <c r="C8" s="57" t="s">
        <v>17</v>
      </c>
      <c r="D8" s="57" t="str">
        <f t="shared" si="0"/>
        <v>GbpLiborYCON</v>
      </c>
      <c r="E8" s="7" t="str">
        <f>_xll.qlRelinkableHandleYieldTermStructure(D8,,Permanent,Trigger,ObjectOverwrite)</f>
        <v>GbpLiborYCON#0000</v>
      </c>
      <c r="F8" s="56"/>
      <c r="G8" s="6"/>
    </row>
    <row r="9" spans="1:7" x14ac:dyDescent="0.2">
      <c r="B9" s="52"/>
      <c r="C9" s="57" t="s">
        <v>14</v>
      </c>
      <c r="D9" s="57" t="str">
        <f t="shared" si="0"/>
        <v>GbpLiborYC1M</v>
      </c>
      <c r="E9" s="7" t="str">
        <f>_xll.qlRelinkableHandleYieldTermStructure(D9,,Permanent,Trigger,ObjectOverwrite)</f>
        <v>GbpLiborYC1M#0000</v>
      </c>
      <c r="F9" s="56" t="str">
        <f>_xll.ohRangeRetrieveError(E9)</f>
        <v/>
      </c>
      <c r="G9" s="6"/>
    </row>
    <row r="10" spans="1:7" x14ac:dyDescent="0.2">
      <c r="B10" s="52"/>
      <c r="C10" s="57" t="s">
        <v>10</v>
      </c>
      <c r="D10" s="57" t="str">
        <f t="shared" si="0"/>
        <v>GbpLiborYC3M</v>
      </c>
      <c r="E10" s="7" t="str">
        <f>_xll.qlRelinkableHandleYieldTermStructure(D10,,Permanent,Trigger,ObjectOverwrite)</f>
        <v>GbpLiborYC3M#0000</v>
      </c>
      <c r="F10" s="56" t="str">
        <f>_xll.ohRangeRetrieveError(E10)</f>
        <v/>
      </c>
      <c r="G10" s="6"/>
    </row>
    <row r="11" spans="1:7" x14ac:dyDescent="0.2">
      <c r="B11" s="52"/>
      <c r="C11" s="57" t="s">
        <v>5</v>
      </c>
      <c r="D11" s="57" t="str">
        <f t="shared" si="0"/>
        <v>GbpLiborYC6M</v>
      </c>
      <c r="E11" s="7" t="str">
        <f>_xll.qlRelinkableHandleYieldTermStructure(D11,,Permanent,Trigger,ObjectOverwrite)</f>
        <v>GbpLiborYC6M#0000</v>
      </c>
      <c r="F11" s="56" t="str">
        <f>_xll.ohRangeRetrieveError(E11)</f>
        <v/>
      </c>
      <c r="G11" s="6"/>
    </row>
    <row r="12" spans="1:7" x14ac:dyDescent="0.2">
      <c r="B12" s="52"/>
      <c r="C12" s="57" t="s">
        <v>0</v>
      </c>
      <c r="D12" s="57" t="str">
        <f t="shared" si="0"/>
        <v>GbpLiborYC1Y</v>
      </c>
      <c r="E12" s="7" t="str">
        <f>_xll.qlRelinkableHandleYieldTermStructure(D12,,Permanent,Trigger,ObjectOverwrite)</f>
        <v>GbpLiborYC1Y#0000</v>
      </c>
      <c r="F12" s="56" t="str">
        <f>_xll.ohRangeRetrieveError(E12)</f>
        <v/>
      </c>
      <c r="G12" s="6"/>
    </row>
    <row r="13" spans="1:7" x14ac:dyDescent="0.2">
      <c r="B13" s="52"/>
      <c r="C13" s="57" t="str">
        <f>C8&amp;"-Mx"</f>
        <v>LiborYCON-Mx</v>
      </c>
      <c r="D13" s="57" t="str">
        <f t="shared" si="0"/>
        <v>GbpLiborYCON-Mx</v>
      </c>
      <c r="E13" s="7" t="str">
        <f>_xll.qlRelinkableHandleYieldTermStructure(D13,,Permanent,Trigger,ObjectOverwrite)</f>
        <v>GbpLiborYCON-Mx#0000</v>
      </c>
      <c r="F13" s="56" t="str">
        <f>_xll.ohRangeRetrieveError(E13)</f>
        <v/>
      </c>
      <c r="G13" s="6"/>
    </row>
    <row r="14" spans="1:7" x14ac:dyDescent="0.2">
      <c r="B14" s="52"/>
      <c r="C14" s="57" t="str">
        <f>C9&amp;"-Mx"</f>
        <v>LiborYC1M-Mx</v>
      </c>
      <c r="D14" s="57" t="str">
        <f t="shared" si="0"/>
        <v>GbpLiborYC1M-Mx</v>
      </c>
      <c r="E14" s="7" t="str">
        <f>_xll.qlRelinkableHandleYieldTermStructure(D14,,Permanent,Trigger,ObjectOverwrite)</f>
        <v>GbpLiborYC1M-Mx#0000</v>
      </c>
      <c r="F14" s="56" t="str">
        <f>_xll.ohRangeRetrieveError(E14)</f>
        <v/>
      </c>
      <c r="G14" s="6"/>
    </row>
    <row r="15" spans="1:7" x14ac:dyDescent="0.2">
      <c r="B15" s="52"/>
      <c r="C15" s="57" t="str">
        <f>C10&amp;"-Mx"</f>
        <v>LiborYC3M-Mx</v>
      </c>
      <c r="D15" s="57" t="str">
        <f t="shared" si="0"/>
        <v>GbpLiborYC3M-Mx</v>
      </c>
      <c r="E15" s="7" t="str">
        <f>_xll.qlRelinkableHandleYieldTermStructure(D15,,Permanent,Trigger,ObjectOverwrite)</f>
        <v>GbpLiborYC3M-Mx#0000</v>
      </c>
      <c r="F15" s="56" t="str">
        <f>_xll.ohRangeRetrieveError(E15)</f>
        <v/>
      </c>
      <c r="G15" s="6"/>
    </row>
    <row r="16" spans="1:7" x14ac:dyDescent="0.2">
      <c r="B16" s="52"/>
      <c r="C16" s="57" t="str">
        <f>C11&amp;"-Mx"</f>
        <v>LiborYC6M-Mx</v>
      </c>
      <c r="D16" s="57" t="str">
        <f t="shared" si="0"/>
        <v>GbpLiborYC6M-Mx</v>
      </c>
      <c r="E16" s="7" t="str">
        <f>_xll.qlRelinkableHandleYieldTermStructure(D16,,Permanent,Trigger,ObjectOverwrite)</f>
        <v>GbpLiborYC6M-Mx#0000</v>
      </c>
      <c r="F16" s="56" t="str">
        <f>_xll.ohRangeRetrieveError(E16)</f>
        <v/>
      </c>
      <c r="G16" s="6"/>
    </row>
    <row r="17" spans="2:7" x14ac:dyDescent="0.2">
      <c r="B17" s="52"/>
      <c r="C17" s="57" t="str">
        <f>C12&amp;"-Mx"</f>
        <v>LiborYC1Y-Mx</v>
      </c>
      <c r="D17" s="57" t="str">
        <f t="shared" si="0"/>
        <v>GbpLiborYC1Y-Mx</v>
      </c>
      <c r="E17" s="7" t="str">
        <f>_xll.qlRelinkableHandleYieldTermStructure(D17,,Permanent,Trigger,ObjectOverwrite)</f>
        <v>GbpLiborYC1Y-Mx#0000</v>
      </c>
      <c r="F17" s="56" t="str">
        <f>_xll.ohRangeRetrieveError(E17)</f>
        <v/>
      </c>
      <c r="G17" s="6"/>
    </row>
    <row r="18" spans="2:7" x14ac:dyDescent="0.2">
      <c r="B18" s="52"/>
      <c r="C18" s="59"/>
      <c r="D18" s="55"/>
      <c r="E18" s="55"/>
      <c r="F18" s="55"/>
      <c r="G18" s="6"/>
    </row>
    <row r="19" spans="2:7" x14ac:dyDescent="0.2">
      <c r="B19" s="52"/>
      <c r="C19" s="59"/>
      <c r="D19" s="58" t="str">
        <f>UPPER(Currency)&amp;"_RH_SwaptionVolatilityStructure.xml"</f>
        <v>GBP_RH_SwaptionVolatilityStructure.xml</v>
      </c>
      <c r="E19" s="16">
        <f ca="1">IF(Serialize,_xll.ohObjectSave(E20:E21,SerializationPath&amp;D19,FileOverwrite,Serialize),"---")</f>
        <v>2</v>
      </c>
      <c r="F19" s="56" t="str">
        <f ca="1">_xll.ohRangeRetrieveError(E19)</f>
        <v/>
      </c>
      <c r="G19" s="6"/>
    </row>
    <row r="20" spans="2:7" x14ac:dyDescent="0.2">
      <c r="B20" s="52"/>
      <c r="C20" s="57" t="s">
        <v>110</v>
      </c>
      <c r="D20" s="57" t="str">
        <f>Currency&amp;C20</f>
        <v>GbpSwaptionATMVol</v>
      </c>
      <c r="E20" s="7" t="str">
        <f>_xll.qlRelinkableHandleSwaptionVolatilityStructure(D20,,Permanent,Trigger,ObjectOverwrite)</f>
        <v>GbpSwaptionATMVol#0000</v>
      </c>
      <c r="F20" s="56" t="str">
        <f>_xll.ohRangeRetrieveError(E20)</f>
        <v/>
      </c>
      <c r="G20" s="6"/>
    </row>
    <row r="21" spans="2:7" x14ac:dyDescent="0.2">
      <c r="B21" s="52"/>
      <c r="C21" s="57" t="s">
        <v>109</v>
      </c>
      <c r="D21" s="57" t="str">
        <f>Currency&amp;C21</f>
        <v>GbpSwaptionVol</v>
      </c>
      <c r="E21" s="7" t="str">
        <f>_xll.qlRelinkableHandleSwaptionVolatilityStructure(D21,,Permanent,Trigger,ObjectOverwrite)</f>
        <v>GbpSwaptionVol#0000</v>
      </c>
      <c r="F21" s="56" t="str">
        <f>_xll.ohRangeRetrieveError(E21)</f>
        <v/>
      </c>
      <c r="G21" s="6"/>
    </row>
    <row r="22" spans="2:7" x14ac:dyDescent="0.2">
      <c r="B22" s="52"/>
      <c r="C22" s="59"/>
      <c r="D22" s="55"/>
      <c r="E22" s="55"/>
      <c r="F22" s="55"/>
      <c r="G22" s="6"/>
    </row>
    <row r="23" spans="2:7" x14ac:dyDescent="0.2">
      <c r="B23" s="52"/>
      <c r="C23" s="59"/>
      <c r="D23" s="58" t="str">
        <f>UPPER(Currency)&amp;"_RH_OptionletVolatilityStructure.xml"</f>
        <v>GBP_RH_OptionletVolatilityStructure.xml</v>
      </c>
      <c r="E23" s="16">
        <f ca="1">IF(Serialize,_xll.ohObjectSave(E24:E33,SerializationPath&amp;D23,FileOverwrite,Serialize),"---")</f>
        <v>10</v>
      </c>
      <c r="F23" s="56" t="str">
        <f ca="1">_xll.ohRangeRetrieveError(E23)</f>
        <v/>
      </c>
      <c r="G23" s="6"/>
    </row>
    <row r="24" spans="2:7" x14ac:dyDescent="0.2">
      <c r="B24" s="52"/>
      <c r="C24" s="57" t="s">
        <v>108</v>
      </c>
      <c r="D24" s="57" t="str">
        <f t="shared" ref="D24:D33" si="1">Currency&amp;C24</f>
        <v>Gbp3MFutOptionVol</v>
      </c>
      <c r="E24" s="7" t="str">
        <f>_xll.qlRelinkableHandleOptionletVolatilityStructure(D24,,Permanent,Trigger,ObjectOverwrite)</f>
        <v>Gbp3MFutOptionVol#0000</v>
      </c>
      <c r="F24" s="56" t="str">
        <f>_xll.ohRangeRetrieveError(E24)</f>
        <v/>
      </c>
      <c r="G24" s="6"/>
    </row>
    <row r="25" spans="2:7" x14ac:dyDescent="0.2">
      <c r="B25" s="52"/>
      <c r="C25" s="57" t="s">
        <v>107</v>
      </c>
      <c r="D25" s="57" t="str">
        <f t="shared" si="1"/>
        <v>Gbp1MCapletVol</v>
      </c>
      <c r="E25" s="7" t="str">
        <f>_xll.qlRelinkableHandleOptionletVolatilityStructure(D25,,Permanent,Trigger,ObjectOverwrite)</f>
        <v>Gbp1MCapletVol#0000</v>
      </c>
      <c r="F25" s="56" t="str">
        <f>_xll.ohRangeRetrieveError(E25)</f>
        <v/>
      </c>
      <c r="G25" s="6"/>
    </row>
    <row r="26" spans="2:7" x14ac:dyDescent="0.2">
      <c r="B26" s="52"/>
      <c r="C26" s="57" t="s">
        <v>106</v>
      </c>
      <c r="D26" s="57" t="str">
        <f t="shared" si="1"/>
        <v>Gbp3MCapletVol</v>
      </c>
      <c r="E26" s="7" t="str">
        <f>_xll.qlRelinkableHandleOptionletVolatilityStructure(D26,,Permanent,Trigger,ObjectOverwrite)</f>
        <v>Gbp3MCapletVol#0000</v>
      </c>
      <c r="F26" s="56" t="str">
        <f>_xll.ohRangeRetrieveError(E26)</f>
        <v/>
      </c>
      <c r="G26" s="6"/>
    </row>
    <row r="27" spans="2:7" x14ac:dyDescent="0.2">
      <c r="B27" s="52"/>
      <c r="C27" s="57" t="s">
        <v>105</v>
      </c>
      <c r="D27" s="57" t="str">
        <f t="shared" si="1"/>
        <v>Gbp6MCapletVol</v>
      </c>
      <c r="E27" s="7" t="str">
        <f>_xll.qlRelinkableHandleOptionletVolatilityStructure(D27,,Permanent,Trigger,ObjectOverwrite)</f>
        <v>Gbp6MCapletVol#0000</v>
      </c>
      <c r="F27" s="56" t="str">
        <f>_xll.ohRangeRetrieveError(E27)</f>
        <v/>
      </c>
      <c r="G27" s="6"/>
    </row>
    <row r="28" spans="2:7" x14ac:dyDescent="0.2">
      <c r="B28" s="52"/>
      <c r="C28" s="57" t="s">
        <v>104</v>
      </c>
      <c r="D28" s="57" t="str">
        <f t="shared" si="1"/>
        <v>Gbp1YCapletVol</v>
      </c>
      <c r="E28" s="7" t="str">
        <f>_xll.qlRelinkableHandleOptionletVolatilityStructure(D28,,Permanent,Trigger,ObjectOverwrite)</f>
        <v>Gbp1YCapletVol#0000</v>
      </c>
      <c r="F28" s="56" t="str">
        <f>_xll.ohRangeRetrieveError(E28)</f>
        <v/>
      </c>
      <c r="G28" s="6"/>
    </row>
    <row r="29" spans="2:7" x14ac:dyDescent="0.2">
      <c r="B29" s="52"/>
      <c r="C29" s="57" t="s">
        <v>103</v>
      </c>
      <c r="D29" s="57" t="str">
        <f t="shared" si="1"/>
        <v>Gbp3MFutOptionVolEx</v>
      </c>
      <c r="E29" s="7" t="str">
        <f>_xll.qlRelinkableHandleOptionletVolatilityStructure(D29,,Permanent,Trigger,ObjectOverwrite)</f>
        <v>Gbp3MFutOptionVolEx#0000</v>
      </c>
      <c r="F29" s="56" t="str">
        <f>_xll.ohRangeRetrieveError(E29)</f>
        <v/>
      </c>
      <c r="G29" s="6"/>
    </row>
    <row r="30" spans="2:7" x14ac:dyDescent="0.2">
      <c r="B30" s="52"/>
      <c r="C30" s="57" t="s">
        <v>102</v>
      </c>
      <c r="D30" s="57" t="str">
        <f t="shared" si="1"/>
        <v>Gbp1MCapletVolEx</v>
      </c>
      <c r="E30" s="7" t="str">
        <f>_xll.qlRelinkableHandleOptionletVolatilityStructure(D30,,Permanent,Trigger,ObjectOverwrite)</f>
        <v>Gbp1MCapletVolEx#0000</v>
      </c>
      <c r="F30" s="56" t="str">
        <f>_xll.ohRangeRetrieveError(E30)</f>
        <v/>
      </c>
      <c r="G30" s="6"/>
    </row>
    <row r="31" spans="2:7" x14ac:dyDescent="0.2">
      <c r="B31" s="52"/>
      <c r="C31" s="57" t="s">
        <v>101</v>
      </c>
      <c r="D31" s="57" t="str">
        <f t="shared" si="1"/>
        <v>Gbp3MCapletVolEx</v>
      </c>
      <c r="E31" s="7" t="str">
        <f>_xll.qlRelinkableHandleOptionletVolatilityStructure(D31,,Permanent,Trigger,ObjectOverwrite)</f>
        <v>Gbp3MCapletVolEx#0000</v>
      </c>
      <c r="F31" s="56" t="str">
        <f>_xll.ohRangeRetrieveError(E31)</f>
        <v/>
      </c>
      <c r="G31" s="6"/>
    </row>
    <row r="32" spans="2:7" x14ac:dyDescent="0.2">
      <c r="B32" s="52"/>
      <c r="C32" s="57" t="s">
        <v>100</v>
      </c>
      <c r="D32" s="57" t="str">
        <f t="shared" si="1"/>
        <v>Gbp6MCapletVolEx</v>
      </c>
      <c r="E32" s="7" t="str">
        <f>_xll.qlRelinkableHandleOptionletVolatilityStructure(D32,,Permanent,Trigger,ObjectOverwrite)</f>
        <v>Gbp6MCapletVolEx#0000</v>
      </c>
      <c r="F32" s="56" t="str">
        <f>_xll.ohRangeRetrieveError(E32)</f>
        <v/>
      </c>
      <c r="G32" s="6"/>
    </row>
    <row r="33" spans="2:7" x14ac:dyDescent="0.2">
      <c r="B33" s="52"/>
      <c r="C33" s="57" t="s">
        <v>99</v>
      </c>
      <c r="D33" s="57" t="str">
        <f t="shared" si="1"/>
        <v>Gbp1YCapletVolEx</v>
      </c>
      <c r="E33" s="7" t="str">
        <f>_xll.qlRelinkableHandleOptionletVolatilityStructure(D33,,Permanent,Trigger,ObjectOverwrite)</f>
        <v>Gbp1YCapletVolEx#0000</v>
      </c>
      <c r="F33" s="56" t="str">
        <f>_xll.ohRangeRetrieveError(E33)</f>
        <v/>
      </c>
      <c r="G33" s="6"/>
    </row>
    <row r="34" spans="2:7" ht="13.5" thickBot="1" x14ac:dyDescent="0.25">
      <c r="B34" s="5"/>
      <c r="C34" s="4"/>
      <c r="D34" s="4"/>
      <c r="E34" s="4"/>
      <c r="F34" s="4"/>
      <c r="G34" s="3"/>
    </row>
  </sheetData>
  <dataValidations count="1">
    <dataValidation type="list" allowBlank="1" showInputMessage="1" showErrorMessage="1" sqref="E3">
      <formula1>"Eur,Usd,Gbp,Jpy,Chf,Hkd,Cad"</formula1>
    </dataValidation>
  </dataValidations>
  <pageMargins left="0.75" right="0.75" top="1" bottom="1" header="0.5" footer="0.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31"/>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0.28515625" style="1" bestFit="1" customWidth="1"/>
    <col min="6" max="6" width="14.7109375" style="1" bestFit="1" customWidth="1"/>
    <col min="7" max="7" width="26.140625" style="1" bestFit="1" customWidth="1"/>
    <col min="8" max="8" width="31.42578125" style="1" customWidth="1"/>
    <col min="9" max="9" width="28" style="1" customWidth="1"/>
    <col min="10" max="15" width="2.7109375" style="1" customWidth="1"/>
    <col min="16" max="16" width="9.140625" style="1"/>
    <col min="17" max="17" width="10.5703125" style="1" bestFit="1" customWidth="1"/>
    <col min="18" max="18" width="22.28515625" style="1" bestFit="1" customWidth="1"/>
    <col min="19" max="21" width="9.140625" style="1"/>
    <col min="22" max="22" width="2.7109375" style="1" customWidth="1"/>
    <col min="23" max="23" width="14.5703125" style="1" bestFit="1" customWidth="1"/>
    <col min="24" max="24" width="10.85546875" style="1" customWidth="1"/>
    <col min="25" max="28" width="9.140625" style="1"/>
    <col min="29" max="29" width="2.7109375" style="1" customWidth="1"/>
    <col min="30" max="16384" width="9.140625" style="1"/>
  </cols>
  <sheetData>
    <row r="1" spans="1:29" s="2" customFormat="1" ht="13.5" thickBot="1" x14ac:dyDescent="0.25">
      <c r="A1" s="2" t="s">
        <v>352</v>
      </c>
      <c r="N1" s="1"/>
      <c r="O1" s="1"/>
      <c r="P1" s="1"/>
      <c r="Q1" s="1"/>
      <c r="R1" s="1"/>
      <c r="S1" s="1"/>
      <c r="T1" s="1"/>
      <c r="U1" s="1"/>
      <c r="V1" s="1"/>
      <c r="W1" s="1"/>
      <c r="X1" s="1"/>
      <c r="Y1" s="1"/>
      <c r="Z1" s="1"/>
      <c r="AA1" s="1"/>
      <c r="AB1" s="1"/>
      <c r="AC1" s="1"/>
    </row>
    <row r="2" spans="1:29" s="2" customFormat="1" ht="13.5" thickBot="1" x14ac:dyDescent="0.25">
      <c r="B2" s="27"/>
      <c r="C2" s="26"/>
      <c r="D2" s="26"/>
      <c r="E2" s="25"/>
      <c r="F2" s="24"/>
      <c r="G2" s="24"/>
      <c r="H2" s="24"/>
      <c r="I2" s="24"/>
      <c r="J2" s="23"/>
      <c r="N2" s="256" t="s">
        <v>354</v>
      </c>
      <c r="O2" s="256"/>
      <c r="P2" s="256"/>
      <c r="Q2" s="261"/>
      <c r="R2" s="269"/>
      <c r="S2" s="319"/>
      <c r="T2" s="319"/>
      <c r="U2" s="256"/>
      <c r="V2" s="261"/>
      <c r="W2" s="256"/>
      <c r="X2" s="256"/>
      <c r="Y2" s="256"/>
      <c r="Z2" s="256"/>
      <c r="AA2" s="256"/>
      <c r="AB2" s="256"/>
      <c r="AC2" s="256"/>
    </row>
    <row r="3" spans="1:29" s="2" customFormat="1" ht="19.5" x14ac:dyDescent="0.4">
      <c r="B3" s="12"/>
      <c r="C3" s="21"/>
      <c r="D3" s="21"/>
      <c r="E3" s="22" t="s">
        <v>26</v>
      </c>
      <c r="F3" s="15" t="s">
        <v>25</v>
      </c>
      <c r="G3" s="20"/>
      <c r="H3" s="20"/>
      <c r="I3" s="20"/>
      <c r="J3" s="14"/>
      <c r="N3" s="256"/>
      <c r="O3" s="318"/>
      <c r="P3" s="312"/>
      <c r="Q3" s="317" t="str">
        <f>VLOOKUP(Currency,Traits,2,FALSE)</f>
        <v>FSR</v>
      </c>
      <c r="R3" s="316"/>
      <c r="S3" s="315"/>
      <c r="T3" s="315"/>
      <c r="U3" s="312"/>
      <c r="V3" s="312"/>
      <c r="W3" s="314" t="str">
        <f>VLOOKUP(Currency,Traits,3,FALSE)</f>
        <v>Libor</v>
      </c>
      <c r="X3" s="312"/>
      <c r="Y3" s="312"/>
      <c r="Z3" s="313">
        <f>MAX(AB5:AB22)</f>
        <v>0</v>
      </c>
      <c r="AA3" s="312"/>
      <c r="AB3" s="312"/>
      <c r="AC3" s="311"/>
    </row>
    <row r="4" spans="1:29" s="2" customFormat="1" ht="33.75" x14ac:dyDescent="0.2">
      <c r="B4" s="12"/>
      <c r="C4" s="21"/>
      <c r="D4" s="21"/>
      <c r="E4" s="20"/>
      <c r="F4" s="20"/>
      <c r="G4" s="20"/>
      <c r="H4" s="20"/>
      <c r="I4" s="20"/>
      <c r="J4" s="14"/>
      <c r="N4" s="256"/>
      <c r="O4" s="287"/>
      <c r="P4" s="309" t="s">
        <v>24</v>
      </c>
      <c r="Q4" s="308" t="e">
        <f ca="1">_xll.RData(Q5:Q22,R4:S4,"RTFEED:IDN",,,R5)</f>
        <v>#NAME?</v>
      </c>
      <c r="R4" s="308" t="s">
        <v>245</v>
      </c>
      <c r="S4" s="308" t="s">
        <v>244</v>
      </c>
      <c r="T4" s="308" t="s">
        <v>243</v>
      </c>
      <c r="U4" s="307" t="s">
        <v>242</v>
      </c>
      <c r="V4" s="310"/>
      <c r="W4" s="309" t="s">
        <v>241</v>
      </c>
      <c r="X4" s="308" t="s">
        <v>240</v>
      </c>
      <c r="Y4" s="308" t="s">
        <v>239</v>
      </c>
      <c r="Z4" s="308" t="s">
        <v>238</v>
      </c>
      <c r="AA4" s="307" t="s">
        <v>237</v>
      </c>
      <c r="AB4" s="306"/>
      <c r="AC4" s="277"/>
    </row>
    <row r="5" spans="1:29" s="2" customFormat="1" x14ac:dyDescent="0.2">
      <c r="B5" s="12"/>
      <c r="C5" s="19" t="s">
        <v>24</v>
      </c>
      <c r="D5" s="18" t="s">
        <v>23</v>
      </c>
      <c r="E5" s="17" t="str">
        <f>PROPER(Currency)&amp;FamilyName&amp;".xml"</f>
        <v>GbpLibor.xml</v>
      </c>
      <c r="F5" s="16">
        <f ca="1">IF(Serialize,_xll.ohObjectSave(F7:G22,SerializationPath&amp;FileName,FileOverwrite,Serialize),"---")</f>
        <v>32</v>
      </c>
      <c r="G5" s="15"/>
      <c r="H5" s="7" t="str">
        <f ca="1">_xll.ohRangeRetrieveError(F5)</f>
        <v/>
      </c>
      <c r="I5" s="7" t="str">
        <f>_xll.ohRangeRetrieveError(G5)</f>
        <v/>
      </c>
      <c r="J5" s="14"/>
      <c r="N5" s="256"/>
      <c r="O5" s="287"/>
      <c r="P5" s="305" t="s">
        <v>236</v>
      </c>
      <c r="Q5" s="299" t="str">
        <f t="shared" ref="Q5:Q22" si="0">Currency&amp;$P5&amp;$Q$3&amp;"="</f>
        <v>GBPONFSR=</v>
      </c>
      <c r="R5" s="304">
        <v>41464</v>
      </c>
      <c r="S5" s="328">
        <v>0.47813</v>
      </c>
      <c r="T5" s="302" t="b">
        <f t="shared" ref="T5:T22" si="1">IF(AND(ISNUMBER($S5),$S5&lt;&gt;0%),TRUE,FALSE)</f>
        <v>1</v>
      </c>
      <c r="U5" s="301" t="e">
        <f>IF($T5,_xll.qlIndexAddFixings($W5,$R5,$S5/100,TRUE,ISERROR($X5)),NA())</f>
        <v>#NUM!</v>
      </c>
      <c r="V5" s="282"/>
      <c r="W5" s="647" t="str">
        <f t="shared" ref="W5:W7" si="2">PROPER(Currency)&amp;$W$3&amp;$P5</f>
        <v>GbpLiborON</v>
      </c>
      <c r="X5" s="327" t="e">
        <f>_xll.qlIndexFixing($W5,$R5,TRUE,$T5)</f>
        <v>#NUM!</v>
      </c>
      <c r="Y5" s="327" t="e">
        <f>IF($U5,_xll.qlIndexFixing($W5,$R5,FALSE,$T5),"-")</f>
        <v>#NUM!</v>
      </c>
      <c r="Z5" s="327" t="e">
        <f t="shared" ref="Z5:Z22" si="3">X5-Y5</f>
        <v>#NUM!</v>
      </c>
      <c r="AA5" s="326" t="e">
        <f>_xll.qlIndexFixing($W5,$R5,TRUE,$Y5)</f>
        <v>#NUM!</v>
      </c>
      <c r="AB5" s="297">
        <f>IF(ISERROR(Z5),0,ABS(Z5))</f>
        <v>0</v>
      </c>
      <c r="AC5" s="277"/>
    </row>
    <row r="6" spans="1:29" s="2" customFormat="1" x14ac:dyDescent="0.2">
      <c r="B6" s="12"/>
      <c r="C6" s="11" t="s">
        <v>21</v>
      </c>
      <c r="D6" s="10" t="s">
        <v>22</v>
      </c>
      <c r="E6" s="13" t="s">
        <v>21</v>
      </c>
      <c r="F6" s="8" t="str">
        <f>_xll.qlSonia($E6,Currency&amp;$D6,Permanent,Trigger,ObjectOverwrite)</f>
        <v>Sonia2#0000</v>
      </c>
      <c r="G6" s="8" t="str">
        <f>_xll.qlLastFixingQuote(E6&amp;"LastFixing_Quote",F6,Permanent,Trigger,ObjectOverwrite)</f>
        <v>Sonia2LastFixing_Quote#0000</v>
      </c>
      <c r="H6" s="7" t="str">
        <f>_xll.ohRangeRetrieveError(F6)</f>
        <v/>
      </c>
      <c r="I6" s="7" t="str">
        <f>_xll.ohRangeRetrieveError(G6)</f>
        <v/>
      </c>
      <c r="J6" s="14"/>
      <c r="L6" s="2">
        <f>_xll.qlInterestRateIndexFixingDays(F6)</f>
        <v>0</v>
      </c>
      <c r="N6" s="256"/>
      <c r="O6" s="287"/>
      <c r="P6" s="295" t="s">
        <v>235</v>
      </c>
      <c r="Q6" s="290" t="str">
        <f t="shared" si="0"/>
        <v>GBPTNFSR=</v>
      </c>
      <c r="R6" s="294" t="s">
        <v>233</v>
      </c>
      <c r="S6" s="325" t="s">
        <v>233</v>
      </c>
      <c r="T6" s="293" t="b">
        <f t="shared" si="1"/>
        <v>0</v>
      </c>
      <c r="U6" s="292" t="e">
        <f>IF($T6,_xll.qlIndexAddFixings($W6,$R6,$S6/100,TRUE,ISERROR($X6)),NA())</f>
        <v>#N/A</v>
      </c>
      <c r="V6" s="282"/>
      <c r="W6" s="648" t="str">
        <f t="shared" si="2"/>
        <v>GbpLiborTN</v>
      </c>
      <c r="X6" s="324" t="e">
        <f>_xll.qlIndexFixing($W6,$R6,TRUE,$T6)</f>
        <v>#NUM!</v>
      </c>
      <c r="Y6" s="324" t="e">
        <f>IF($U6,_xll.qlIndexFixing($W6,$R6,FALSE,$T6),"-")</f>
        <v>#N/A</v>
      </c>
      <c r="Z6" s="324" t="e">
        <f t="shared" si="3"/>
        <v>#NUM!</v>
      </c>
      <c r="AA6" s="323" t="e">
        <f>_xll.qlIndexFixing($W6,$R6,TRUE,$Y6)</f>
        <v>#NUM!</v>
      </c>
      <c r="AB6" s="288"/>
      <c r="AC6" s="277"/>
    </row>
    <row r="7" spans="1:29" s="2" customFormat="1" x14ac:dyDescent="0.2">
      <c r="B7" s="12"/>
      <c r="C7" s="11" t="s">
        <v>20</v>
      </c>
      <c r="D7" s="10" t="s">
        <v>17</v>
      </c>
      <c r="E7" s="13" t="s">
        <v>20</v>
      </c>
      <c r="F7" s="8" t="str">
        <f>_xll.qlSonia($E7,Currency&amp;$D7,Permanent,Trigger,ObjectOverwrite)</f>
        <v>Sonia#0000</v>
      </c>
      <c r="G7" s="8" t="str">
        <f>_xll.qlLastFixingQuote(E7&amp;"LastFixing_Quote",F7,Permanent,Trigger,ObjectOverwrite)</f>
        <v>SoniaLastFixing_Quote#0000</v>
      </c>
      <c r="H7" s="7" t="str">
        <f>_xll.ohRangeRetrieveError(F7)</f>
        <v/>
      </c>
      <c r="I7" s="7" t="str">
        <f>_xll.ohRangeRetrieveError(G7)</f>
        <v/>
      </c>
      <c r="J7" s="6"/>
      <c r="L7" s="2">
        <f>_xll.qlInterestRateIndexFixingDays(F7)</f>
        <v>0</v>
      </c>
      <c r="N7" s="256"/>
      <c r="O7" s="287"/>
      <c r="P7" s="295" t="s">
        <v>234</v>
      </c>
      <c r="Q7" s="290" t="str">
        <f t="shared" si="0"/>
        <v>GBPSNFSR=</v>
      </c>
      <c r="R7" s="294" t="s">
        <v>233</v>
      </c>
      <c r="S7" s="325" t="s">
        <v>233</v>
      </c>
      <c r="T7" s="293" t="b">
        <f t="shared" si="1"/>
        <v>0</v>
      </c>
      <c r="U7" s="292" t="e">
        <f>IF($T7,_xll.qlIndexAddFixings($W7,$R7,$S7/100,TRUE,ISERROR($X7)),NA())</f>
        <v>#N/A</v>
      </c>
      <c r="V7" s="282"/>
      <c r="W7" s="648" t="str">
        <f t="shared" si="2"/>
        <v>GbpLiborSN</v>
      </c>
      <c r="X7" s="324" t="e">
        <f>_xll.qlIndexFixing($W7,$R7,TRUE,$T7)</f>
        <v>#NUM!</v>
      </c>
      <c r="Y7" s="324" t="e">
        <f>IF($U7,_xll.qlIndexFixing($W7,$R7,FALSE,$T7),"-")</f>
        <v>#N/A</v>
      </c>
      <c r="Z7" s="324" t="e">
        <f t="shared" si="3"/>
        <v>#NUM!</v>
      </c>
      <c r="AA7" s="323" t="e">
        <f>_xll.qlIndexFixing($W7,$R7,TRUE,$Y7)</f>
        <v>#NUM!</v>
      </c>
      <c r="AB7" s="288"/>
      <c r="AC7" s="277"/>
    </row>
    <row r="8" spans="1:29" s="2" customFormat="1" x14ac:dyDescent="0.2">
      <c r="B8" s="12"/>
      <c r="C8" s="11" t="s">
        <v>19</v>
      </c>
      <c r="D8" s="10" t="s">
        <v>17</v>
      </c>
      <c r="E8" s="9" t="str">
        <f t="shared" ref="E8:E22" si="4">PROPER(Currency)&amp;FamilyName&amp;$C8</f>
        <v>GbpLiborSW</v>
      </c>
      <c r="F8" s="8" t="str">
        <f>_xll.qlLibor($E8,Currency,$C8,Currency&amp;$D8,Permanent,Trigger,ObjectOverwrite)</f>
        <v>GbpLiborSW#0000</v>
      </c>
      <c r="G8" s="8" t="str">
        <f>_xll.qlLastFixingQuote(E8&amp;"LastFixing_Quote",F8,Permanent,Trigger,ObjectOverwrite)</f>
        <v>GbpLiborSWLastFixing_Quote#0000</v>
      </c>
      <c r="H8" s="7" t="str">
        <f>_xll.ohRangeRetrieveError(F8)</f>
        <v/>
      </c>
      <c r="I8" s="7" t="str">
        <f>_xll.ohRangeRetrieveError(G8)</f>
        <v/>
      </c>
      <c r="J8" s="6"/>
      <c r="L8" s="2">
        <f>_xll.qlInterestRateIndexFixingDays(F8)</f>
        <v>0</v>
      </c>
      <c r="N8" s="256"/>
      <c r="O8" s="287"/>
      <c r="P8" s="295" t="s">
        <v>19</v>
      </c>
      <c r="Q8" s="290" t="str">
        <f t="shared" si="0"/>
        <v>GBPSWFSR=</v>
      </c>
      <c r="R8" s="294">
        <v>41464</v>
      </c>
      <c r="S8" s="325">
        <v>0.48687999999999998</v>
      </c>
      <c r="T8" s="293" t="b">
        <f t="shared" si="1"/>
        <v>1</v>
      </c>
      <c r="U8" s="292" t="b">
        <f>IF($T8,_xll.qlIndexAddFixings($W8,$R8,$S8/100,TRUE,ISERROR($X8)),NA())</f>
        <v>1</v>
      </c>
      <c r="V8" s="282"/>
      <c r="W8" s="291" t="str">
        <f>F8</f>
        <v>GbpLiborSW#0000</v>
      </c>
      <c r="X8" s="324" t="e">
        <f>_xll.qlIndexFixing($W8,$R8,TRUE,$T8)</f>
        <v>#NUM!</v>
      </c>
      <c r="Y8" s="324">
        <f>IF($U8,_xll.qlIndexFixing($W8,$R8,FALSE,$T8),"-")</f>
        <v>4.8687999999999995E-3</v>
      </c>
      <c r="Z8" s="324" t="e">
        <f t="shared" si="3"/>
        <v>#NUM!</v>
      </c>
      <c r="AA8" s="323">
        <f>_xll.qlIndexFixing($W8,$R8,TRUE,$Y8)</f>
        <v>4.8687999999999995E-3</v>
      </c>
      <c r="AB8" s="288">
        <f t="shared" ref="AB8:AB22" si="5">IF(ISERROR(Z8),0,ABS(Z8))</f>
        <v>0</v>
      </c>
      <c r="AC8" s="277"/>
    </row>
    <row r="9" spans="1:29" s="2" customFormat="1" x14ac:dyDescent="0.2">
      <c r="B9" s="12"/>
      <c r="C9" s="11" t="s">
        <v>18</v>
      </c>
      <c r="D9" s="10" t="s">
        <v>17</v>
      </c>
      <c r="E9" s="9" t="str">
        <f t="shared" si="4"/>
        <v>GbpLibor2W</v>
      </c>
      <c r="F9" s="8" t="str">
        <f>_xll.qlLibor($E9,Currency,$C9,Currency&amp;$D9,Permanent,Trigger,ObjectOverwrite)</f>
        <v>GbpLibor2W#0000</v>
      </c>
      <c r="G9" s="8" t="str">
        <f>_xll.qlLastFixingQuote(E9&amp;"LastFixing_Quote",F9,Permanent,Trigger,ObjectOverwrite)</f>
        <v>GbpLibor2WLastFixing_Quote#0000</v>
      </c>
      <c r="H9" s="7" t="str">
        <f>_xll.ohRangeRetrieveError(F9)</f>
        <v/>
      </c>
      <c r="I9" s="7" t="str">
        <f>_xll.ohRangeRetrieveError(G9)</f>
        <v/>
      </c>
      <c r="J9" s="6"/>
      <c r="L9" s="2">
        <f>_xll.qlInterestRateIndexFixingDays(F9)</f>
        <v>0</v>
      </c>
      <c r="N9" s="256"/>
      <c r="O9" s="287"/>
      <c r="P9" s="295" t="s">
        <v>18</v>
      </c>
      <c r="Q9" s="290" t="str">
        <f t="shared" si="0"/>
        <v>GBP2WFSR=</v>
      </c>
      <c r="R9" s="294">
        <v>41428</v>
      </c>
      <c r="S9" s="325">
        <v>0</v>
      </c>
      <c r="T9" s="293" t="b">
        <f t="shared" si="1"/>
        <v>0</v>
      </c>
      <c r="U9" s="292" t="e">
        <f>IF($T9,_xll.qlIndexAddFixings($W9,$R9,$S9/100,TRUE,ISERROR($X9)),NA())</f>
        <v>#N/A</v>
      </c>
      <c r="V9" s="282"/>
      <c r="W9" s="291" t="str">
        <f t="shared" ref="W9:W22" si="6">F9</f>
        <v>GbpLibor2W#0000</v>
      </c>
      <c r="X9" s="324" t="e">
        <f>_xll.qlIndexFixing($W9,$R9,TRUE,$T9)</f>
        <v>#NUM!</v>
      </c>
      <c r="Y9" s="324" t="e">
        <f>IF($U9,_xll.qlIndexFixing($W9,$R9,FALSE,$T9),"-")</f>
        <v>#N/A</v>
      </c>
      <c r="Z9" s="324" t="e">
        <f t="shared" si="3"/>
        <v>#NUM!</v>
      </c>
      <c r="AA9" s="323" t="e">
        <f>_xll.qlIndexFixing($W9,$R9,TRUE,$Y9)</f>
        <v>#NUM!</v>
      </c>
      <c r="AB9" s="288">
        <f t="shared" si="5"/>
        <v>0</v>
      </c>
      <c r="AC9" s="277"/>
    </row>
    <row r="10" spans="1:29" s="2" customFormat="1" x14ac:dyDescent="0.2">
      <c r="B10" s="12"/>
      <c r="C10" s="11" t="s">
        <v>16</v>
      </c>
      <c r="D10" s="10" t="s">
        <v>14</v>
      </c>
      <c r="E10" s="9" t="str">
        <f t="shared" si="4"/>
        <v>GbpLibor3W</v>
      </c>
      <c r="F10" s="8" t="str">
        <f>_xll.qlLibor($E10,Currency,$C10,Currency&amp;$D10,Permanent,Trigger,ObjectOverwrite)</f>
        <v>GbpLibor3W#0000</v>
      </c>
      <c r="G10" s="8" t="str">
        <f>_xll.qlLastFixingQuote(E10&amp;"LastFixing_Quote",F10,Permanent,Trigger,ObjectOverwrite)</f>
        <v>GbpLibor3WLastFixing_Quote#0000</v>
      </c>
      <c r="H10" s="7" t="str">
        <f>_xll.ohRangeRetrieveError(F10)</f>
        <v/>
      </c>
      <c r="I10" s="7" t="str">
        <f>_xll.ohRangeRetrieveError(G10)</f>
        <v/>
      </c>
      <c r="J10" s="6"/>
      <c r="L10" s="2">
        <f>_xll.qlInterestRateIndexFixingDays(F10)</f>
        <v>0</v>
      </c>
      <c r="N10" s="256"/>
      <c r="O10" s="287"/>
      <c r="P10" s="295" t="s">
        <v>16</v>
      </c>
      <c r="Q10" s="290" t="str">
        <f t="shared" si="0"/>
        <v>GBP3WFSR=</v>
      </c>
      <c r="R10" s="294" t="s">
        <v>233</v>
      </c>
      <c r="S10" s="325" t="s">
        <v>233</v>
      </c>
      <c r="T10" s="293" t="b">
        <f t="shared" si="1"/>
        <v>0</v>
      </c>
      <c r="U10" s="292" t="e">
        <f>IF($T10,_xll.qlIndexAddFixings($W10,$R10,$S10/100,TRUE,ISERROR($X10)),NA())</f>
        <v>#N/A</v>
      </c>
      <c r="V10" s="282"/>
      <c r="W10" s="291" t="str">
        <f t="shared" si="6"/>
        <v>GbpLibor3W#0000</v>
      </c>
      <c r="X10" s="324" t="e">
        <f>_xll.qlIndexFixing($W10,$R10,TRUE,$T10)</f>
        <v>#NUM!</v>
      </c>
      <c r="Y10" s="324" t="e">
        <f>IF($U10,_xll.qlIndexFixing($W10,$R10,FALSE,$T10),"-")</f>
        <v>#N/A</v>
      </c>
      <c r="Z10" s="324" t="e">
        <f t="shared" si="3"/>
        <v>#NUM!</v>
      </c>
      <c r="AA10" s="323" t="e">
        <f>_xll.qlIndexFixing($W10,$R10,TRUE,$Y10)</f>
        <v>#NUM!</v>
      </c>
      <c r="AB10" s="288">
        <f t="shared" si="5"/>
        <v>0</v>
      </c>
      <c r="AC10" s="277"/>
    </row>
    <row r="11" spans="1:29" s="2" customFormat="1" x14ac:dyDescent="0.2">
      <c r="B11" s="12"/>
      <c r="C11" s="11" t="s">
        <v>15</v>
      </c>
      <c r="D11" s="10" t="s">
        <v>14</v>
      </c>
      <c r="E11" s="9" t="str">
        <f t="shared" si="4"/>
        <v>GbpLibor1M</v>
      </c>
      <c r="F11" s="8" t="str">
        <f>_xll.qlLibor($E11,Currency,$C11,Currency&amp;$D11,Permanent,Trigger,ObjectOverwrite)</f>
        <v>GbpLibor1M#0000</v>
      </c>
      <c r="G11" s="8" t="str">
        <f>_xll.qlLastFixingQuote(E11&amp;"LastFixing_Quote",F11,Permanent,Trigger,ObjectOverwrite)</f>
        <v>GbpLibor1MLastFixing_Quote#0000</v>
      </c>
      <c r="H11" s="7" t="str">
        <f>_xll.ohRangeRetrieveError(F11)</f>
        <v/>
      </c>
      <c r="I11" s="7" t="str">
        <f>_xll.ohRangeRetrieveError(G11)</f>
        <v/>
      </c>
      <c r="J11" s="6"/>
      <c r="L11" s="2">
        <f>_xll.qlInterestRateIndexFixingDays(F11)</f>
        <v>0</v>
      </c>
      <c r="N11" s="256"/>
      <c r="O11" s="287"/>
      <c r="P11" s="295" t="s">
        <v>15</v>
      </c>
      <c r="Q11" s="290" t="str">
        <f t="shared" si="0"/>
        <v>GBP1MFSR=</v>
      </c>
      <c r="R11" s="294">
        <v>41464</v>
      </c>
      <c r="S11" s="325">
        <v>0.49249999999999999</v>
      </c>
      <c r="T11" s="293" t="b">
        <f t="shared" si="1"/>
        <v>1</v>
      </c>
      <c r="U11" s="292" t="b">
        <f>IF($T11,_xll.qlIndexAddFixings($W11,$R11,$S11/100,TRUE,ISERROR($X11)),NA())</f>
        <v>1</v>
      </c>
      <c r="V11" s="282"/>
      <c r="W11" s="291" t="str">
        <f t="shared" si="6"/>
        <v>GbpLibor1M#0000</v>
      </c>
      <c r="X11" s="324" t="e">
        <f>_xll.qlIndexFixing($W11,$R11,TRUE,$T11)</f>
        <v>#NUM!</v>
      </c>
      <c r="Y11" s="324">
        <f>IF($U11,_xll.qlIndexFixing($W11,$R11,FALSE,$T11),"-")</f>
        <v>4.9249999999999997E-3</v>
      </c>
      <c r="Z11" s="324" t="e">
        <f t="shared" si="3"/>
        <v>#NUM!</v>
      </c>
      <c r="AA11" s="323">
        <f>_xll.qlIndexFixing($W11,$R11,TRUE,$Y11)</f>
        <v>4.9249999999999997E-3</v>
      </c>
      <c r="AB11" s="288">
        <f t="shared" si="5"/>
        <v>0</v>
      </c>
      <c r="AC11" s="277"/>
    </row>
    <row r="12" spans="1:29" s="2" customFormat="1" x14ac:dyDescent="0.2">
      <c r="B12" s="12"/>
      <c r="C12" s="11" t="s">
        <v>13</v>
      </c>
      <c r="D12" s="10" t="s">
        <v>10</v>
      </c>
      <c r="E12" s="9" t="str">
        <f t="shared" si="4"/>
        <v>GbpLibor2M</v>
      </c>
      <c r="F12" s="8" t="str">
        <f>_xll.qlLibor($E12,Currency,$C12,Currency&amp;$D12,Permanent,Trigger,ObjectOverwrite)</f>
        <v>GbpLibor2M#0000</v>
      </c>
      <c r="G12" s="8" t="str">
        <f>_xll.qlLastFixingQuote(E12&amp;"LastFixing_Quote",F12,Permanent,Trigger,ObjectOverwrite)</f>
        <v>GbpLibor2MLastFixing_Quote#0000</v>
      </c>
      <c r="H12" s="7" t="str">
        <f>_xll.ohRangeRetrieveError(F12)</f>
        <v/>
      </c>
      <c r="I12" s="7" t="str">
        <f>_xll.ohRangeRetrieveError(G12)</f>
        <v/>
      </c>
      <c r="J12" s="6"/>
      <c r="L12" s="2">
        <f>_xll.qlInterestRateIndexFixingDays(F12)</f>
        <v>0</v>
      </c>
      <c r="N12" s="256"/>
      <c r="O12" s="287"/>
      <c r="P12" s="295" t="s">
        <v>13</v>
      </c>
      <c r="Q12" s="290" t="str">
        <f t="shared" si="0"/>
        <v>GBP2MFSR=</v>
      </c>
      <c r="R12" s="294">
        <v>41464</v>
      </c>
      <c r="S12" s="325">
        <v>0.49837999999999999</v>
      </c>
      <c r="T12" s="293" t="b">
        <f t="shared" si="1"/>
        <v>1</v>
      </c>
      <c r="U12" s="292" t="b">
        <f>IF($T12,_xll.qlIndexAddFixings($W12,$R12,$S12/100,TRUE,ISERROR($X12)),NA())</f>
        <v>1</v>
      </c>
      <c r="V12" s="282"/>
      <c r="W12" s="291" t="str">
        <f t="shared" si="6"/>
        <v>GbpLibor2M#0000</v>
      </c>
      <c r="X12" s="324" t="e">
        <f>_xll.qlIndexFixing($W12,$R12,TRUE,$T12)</f>
        <v>#NUM!</v>
      </c>
      <c r="Y12" s="324">
        <f>IF($U12,_xll.qlIndexFixing($W12,$R12,FALSE,$T12),"-")</f>
        <v>4.9838E-3</v>
      </c>
      <c r="Z12" s="324" t="e">
        <f t="shared" si="3"/>
        <v>#NUM!</v>
      </c>
      <c r="AA12" s="323">
        <f>_xll.qlIndexFixing($W12,$R12,TRUE,$Y12)</f>
        <v>4.9838E-3</v>
      </c>
      <c r="AB12" s="288">
        <f t="shared" si="5"/>
        <v>0</v>
      </c>
      <c r="AC12" s="277"/>
    </row>
    <row r="13" spans="1:29" s="2" customFormat="1" x14ac:dyDescent="0.2">
      <c r="B13" s="12"/>
      <c r="C13" s="11" t="s">
        <v>12</v>
      </c>
      <c r="D13" s="10" t="s">
        <v>10</v>
      </c>
      <c r="E13" s="9" t="str">
        <f t="shared" si="4"/>
        <v>GbpLibor3M</v>
      </c>
      <c r="F13" s="8" t="str">
        <f>_xll.qlLibor($E13,Currency,$C13,Currency&amp;$D13,Permanent,Trigger,ObjectOverwrite)</f>
        <v>GbpLibor3M#0000</v>
      </c>
      <c r="G13" s="8" t="str">
        <f>_xll.qlLastFixingQuote(E13&amp;"LastFixing_Quote",F13,Permanent,Trigger,ObjectOverwrite)</f>
        <v>GbpLibor3MLastFixing_Quote#0000</v>
      </c>
      <c r="H13" s="7" t="str">
        <f>_xll.ohRangeRetrieveError(F13)</f>
        <v/>
      </c>
      <c r="I13" s="7" t="str">
        <f>_xll.ohRangeRetrieveError(G13)</f>
        <v/>
      </c>
      <c r="J13" s="6"/>
      <c r="L13" s="2">
        <f>_xll.qlInterestRateIndexFixingDays(F13)</f>
        <v>0</v>
      </c>
      <c r="N13" s="256"/>
      <c r="O13" s="287"/>
      <c r="P13" s="295" t="s">
        <v>12</v>
      </c>
      <c r="Q13" s="290" t="str">
        <f t="shared" si="0"/>
        <v>GBP3MFSR=</v>
      </c>
      <c r="R13" s="294">
        <v>41464</v>
      </c>
      <c r="S13" s="325">
        <v>0.50812999999999997</v>
      </c>
      <c r="T13" s="293" t="b">
        <f t="shared" si="1"/>
        <v>1</v>
      </c>
      <c r="U13" s="292" t="b">
        <f>IF($T13,_xll.qlIndexAddFixings($W13,$R13,$S13/100,TRUE,ISERROR($X13)),NA())</f>
        <v>1</v>
      </c>
      <c r="V13" s="282"/>
      <c r="W13" s="291" t="str">
        <f t="shared" si="6"/>
        <v>GbpLibor3M#0000</v>
      </c>
      <c r="X13" s="324" t="e">
        <f>_xll.qlIndexFixing($W13,$R13,TRUE,$T13)</f>
        <v>#NUM!</v>
      </c>
      <c r="Y13" s="324">
        <f>IF($U13,_xll.qlIndexFixing($W13,$R13,FALSE,$T13),"-")</f>
        <v>5.0812999999999995E-3</v>
      </c>
      <c r="Z13" s="324" t="e">
        <f t="shared" si="3"/>
        <v>#NUM!</v>
      </c>
      <c r="AA13" s="323">
        <f>_xll.qlIndexFixing($W13,$R13,TRUE,$Y13)</f>
        <v>5.0812999999999995E-3</v>
      </c>
      <c r="AB13" s="288">
        <f t="shared" si="5"/>
        <v>0</v>
      </c>
      <c r="AC13" s="277"/>
    </row>
    <row r="14" spans="1:29" s="2" customFormat="1" x14ac:dyDescent="0.2">
      <c r="B14" s="12"/>
      <c r="C14" s="11" t="s">
        <v>11</v>
      </c>
      <c r="D14" s="10" t="s">
        <v>10</v>
      </c>
      <c r="E14" s="9" t="str">
        <f t="shared" si="4"/>
        <v>GbpLibor4M</v>
      </c>
      <c r="F14" s="8" t="str">
        <f>_xll.qlLibor($E14,Currency,$C14,Currency&amp;$D14,Permanent,Trigger,ObjectOverwrite)</f>
        <v>GbpLibor4M#0000</v>
      </c>
      <c r="G14" s="8" t="str">
        <f>_xll.qlLastFixingQuote(E14&amp;"LastFixing_Quote",F14,Permanent,Trigger,ObjectOverwrite)</f>
        <v>GbpLibor4MLastFixing_Quote#0000</v>
      </c>
      <c r="H14" s="7" t="str">
        <f>_xll.ohRangeRetrieveError(F14)</f>
        <v/>
      </c>
      <c r="I14" s="7" t="str">
        <f>_xll.ohRangeRetrieveError(G14)</f>
        <v/>
      </c>
      <c r="J14" s="6"/>
      <c r="L14" s="2">
        <f>_xll.qlInterestRateIndexFixingDays(F14)</f>
        <v>0</v>
      </c>
      <c r="N14" s="256"/>
      <c r="O14" s="287"/>
      <c r="P14" s="295" t="s">
        <v>11</v>
      </c>
      <c r="Q14" s="290" t="str">
        <f t="shared" si="0"/>
        <v>GBP4MFSR=</v>
      </c>
      <c r="R14" s="294">
        <v>41428</v>
      </c>
      <c r="S14" s="325">
        <v>0</v>
      </c>
      <c r="T14" s="293" t="b">
        <f t="shared" si="1"/>
        <v>0</v>
      </c>
      <c r="U14" s="292" t="e">
        <f>IF($T14,_xll.qlIndexAddFixings($W14,$R14,$S14/100,TRUE,ISERROR($X14)),NA())</f>
        <v>#N/A</v>
      </c>
      <c r="V14" s="282"/>
      <c r="W14" s="291" t="str">
        <f t="shared" si="6"/>
        <v>GbpLibor4M#0000</v>
      </c>
      <c r="X14" s="324" t="e">
        <f>_xll.qlIndexFixing($W14,$R14,TRUE,$T14)</f>
        <v>#NUM!</v>
      </c>
      <c r="Y14" s="324" t="e">
        <f>IF($U14,_xll.qlIndexFixing($W14,$R14,FALSE,$T14),"-")</f>
        <v>#N/A</v>
      </c>
      <c r="Z14" s="324" t="e">
        <f t="shared" si="3"/>
        <v>#NUM!</v>
      </c>
      <c r="AA14" s="323" t="e">
        <f>_xll.qlIndexFixing($W14,$R14,TRUE,$Y14)</f>
        <v>#NUM!</v>
      </c>
      <c r="AB14" s="288">
        <f t="shared" si="5"/>
        <v>0</v>
      </c>
      <c r="AC14" s="277"/>
    </row>
    <row r="15" spans="1:29" s="2" customFormat="1" x14ac:dyDescent="0.2">
      <c r="B15" s="12"/>
      <c r="C15" s="11" t="s">
        <v>9</v>
      </c>
      <c r="D15" s="10" t="s">
        <v>5</v>
      </c>
      <c r="E15" s="9" t="str">
        <f t="shared" si="4"/>
        <v>GbpLibor5M</v>
      </c>
      <c r="F15" s="8" t="str">
        <f>_xll.qlLibor($E15,Currency,$C15,Currency&amp;$D15,Permanent,Trigger,ObjectOverwrite)</f>
        <v>GbpLibor5M#0000</v>
      </c>
      <c r="G15" s="8" t="str">
        <f>_xll.qlLastFixingQuote(E15&amp;"LastFixing_Quote",F15,Permanent,Trigger,ObjectOverwrite)</f>
        <v>GbpLibor5MLastFixing_Quote#0000</v>
      </c>
      <c r="H15" s="7" t="str">
        <f>_xll.ohRangeRetrieveError(F15)</f>
        <v/>
      </c>
      <c r="I15" s="7" t="str">
        <f>_xll.ohRangeRetrieveError(G15)</f>
        <v/>
      </c>
      <c r="J15" s="6"/>
      <c r="L15" s="2">
        <f>_xll.qlInterestRateIndexFixingDays(F15)</f>
        <v>0</v>
      </c>
      <c r="N15" s="256"/>
      <c r="O15" s="287"/>
      <c r="P15" s="295" t="s">
        <v>9</v>
      </c>
      <c r="Q15" s="290" t="str">
        <f t="shared" si="0"/>
        <v>GBP5MFSR=</v>
      </c>
      <c r="R15" s="294">
        <v>41428</v>
      </c>
      <c r="S15" s="325">
        <v>0</v>
      </c>
      <c r="T15" s="293" t="b">
        <f t="shared" si="1"/>
        <v>0</v>
      </c>
      <c r="U15" s="292" t="e">
        <f>IF($T15,_xll.qlIndexAddFixings($W15,$R15,$S15/100,TRUE,ISERROR($X15)),NA())</f>
        <v>#N/A</v>
      </c>
      <c r="V15" s="282"/>
      <c r="W15" s="291" t="str">
        <f t="shared" si="6"/>
        <v>GbpLibor5M#0000</v>
      </c>
      <c r="X15" s="324" t="e">
        <f>_xll.qlIndexFixing($W15,$R15,TRUE,$T15)</f>
        <v>#NUM!</v>
      </c>
      <c r="Y15" s="324" t="e">
        <f>IF($U15,_xll.qlIndexFixing($W15,$R15,FALSE,$T15),"-")</f>
        <v>#N/A</v>
      </c>
      <c r="Z15" s="324" t="e">
        <f t="shared" si="3"/>
        <v>#NUM!</v>
      </c>
      <c r="AA15" s="323" t="e">
        <f>_xll.qlIndexFixing($W15,$R15,TRUE,$Y15)</f>
        <v>#NUM!</v>
      </c>
      <c r="AB15" s="288">
        <f t="shared" si="5"/>
        <v>0</v>
      </c>
      <c r="AC15" s="277"/>
    </row>
    <row r="16" spans="1:29" s="2" customFormat="1" x14ac:dyDescent="0.2">
      <c r="B16" s="12"/>
      <c r="C16" s="11" t="s">
        <v>8</v>
      </c>
      <c r="D16" s="10" t="s">
        <v>5</v>
      </c>
      <c r="E16" s="9" t="str">
        <f t="shared" si="4"/>
        <v>GbpLibor6M</v>
      </c>
      <c r="F16" s="8" t="str">
        <f>_xll.qlLibor($E16,Currency,$C16,Currency&amp;$D16,Permanent,Trigger,ObjectOverwrite)</f>
        <v>GbpLibor6M#0000</v>
      </c>
      <c r="G16" s="8" t="str">
        <f>_xll.qlLastFixingQuote(E16&amp;"LastFixing_Quote",F16,Permanent,Trigger,ObjectOverwrite)</f>
        <v>GbpLibor6MLastFixing_Quote#0000</v>
      </c>
      <c r="H16" s="7" t="str">
        <f>_xll.ohRangeRetrieveError(F16)</f>
        <v/>
      </c>
      <c r="I16" s="7" t="str">
        <f>_xll.ohRangeRetrieveError(G16)</f>
        <v/>
      </c>
      <c r="J16" s="6"/>
      <c r="L16" s="2">
        <f>_xll.qlInterestRateIndexFixingDays(F16)</f>
        <v>0</v>
      </c>
      <c r="N16" s="256"/>
      <c r="O16" s="287"/>
      <c r="P16" s="295" t="s">
        <v>8</v>
      </c>
      <c r="Q16" s="290" t="str">
        <f t="shared" si="0"/>
        <v>GBP6MFSR=</v>
      </c>
      <c r="R16" s="294">
        <v>41464</v>
      </c>
      <c r="S16" s="325">
        <v>0.59175</v>
      </c>
      <c r="T16" s="293" t="b">
        <f t="shared" si="1"/>
        <v>1</v>
      </c>
      <c r="U16" s="292" t="b">
        <f>IF($T16,_xll.qlIndexAddFixings($W16,$R16,$S16/100,TRUE,ISERROR($X16)),NA())</f>
        <v>1</v>
      </c>
      <c r="V16" s="282"/>
      <c r="W16" s="291" t="str">
        <f t="shared" si="6"/>
        <v>GbpLibor6M#0000</v>
      </c>
      <c r="X16" s="324" t="e">
        <f>_xll.qlIndexFixing($W16,$R16,TRUE,$T16)</f>
        <v>#NUM!</v>
      </c>
      <c r="Y16" s="324">
        <f>IF($U16,_xll.qlIndexFixing($W16,$R16,FALSE,$T16),"-")</f>
        <v>5.9175E-3</v>
      </c>
      <c r="Z16" s="324" t="e">
        <f t="shared" si="3"/>
        <v>#NUM!</v>
      </c>
      <c r="AA16" s="323">
        <f>_xll.qlIndexFixing($W16,$R16,TRUE,$Y16)</f>
        <v>5.9175E-3</v>
      </c>
      <c r="AB16" s="288">
        <f t="shared" si="5"/>
        <v>0</v>
      </c>
      <c r="AC16" s="277"/>
    </row>
    <row r="17" spans="2:29" s="2" customFormat="1" x14ac:dyDescent="0.2">
      <c r="B17" s="12"/>
      <c r="C17" s="11" t="s">
        <v>7</v>
      </c>
      <c r="D17" s="10" t="s">
        <v>5</v>
      </c>
      <c r="E17" s="9" t="str">
        <f t="shared" si="4"/>
        <v>GbpLibor7M</v>
      </c>
      <c r="F17" s="8" t="str">
        <f>_xll.qlLibor($E17,Currency,$C17,Currency&amp;$D17,Permanent,Trigger,ObjectOverwrite)</f>
        <v>GbpLibor7M#0000</v>
      </c>
      <c r="G17" s="8" t="str">
        <f>_xll.qlLastFixingQuote(E17&amp;"LastFixing_Quote",F17,Permanent,Trigger,ObjectOverwrite)</f>
        <v>GbpLibor7MLastFixing_Quote#0000</v>
      </c>
      <c r="H17" s="7" t="str">
        <f>_xll.ohRangeRetrieveError(F17)</f>
        <v/>
      </c>
      <c r="I17" s="7" t="str">
        <f>_xll.ohRangeRetrieveError(G17)</f>
        <v/>
      </c>
      <c r="J17" s="6"/>
      <c r="L17" s="2">
        <f>_xll.qlInterestRateIndexFixingDays(F17)</f>
        <v>0</v>
      </c>
      <c r="N17" s="256"/>
      <c r="O17" s="287"/>
      <c r="P17" s="295" t="s">
        <v>7</v>
      </c>
      <c r="Q17" s="290" t="str">
        <f t="shared" si="0"/>
        <v>GBP7MFSR=</v>
      </c>
      <c r="R17" s="294">
        <v>41428</v>
      </c>
      <c r="S17" s="325">
        <v>0</v>
      </c>
      <c r="T17" s="293" t="b">
        <f t="shared" si="1"/>
        <v>0</v>
      </c>
      <c r="U17" s="292" t="e">
        <f>IF($T17,_xll.qlIndexAddFixings($W17,$R17,$S17/100,TRUE,ISERROR($X17)),NA())</f>
        <v>#N/A</v>
      </c>
      <c r="V17" s="282"/>
      <c r="W17" s="291" t="str">
        <f t="shared" si="6"/>
        <v>GbpLibor7M#0000</v>
      </c>
      <c r="X17" s="324" t="e">
        <f>_xll.qlIndexFixing($W17,$R17,TRUE,$T17)</f>
        <v>#NUM!</v>
      </c>
      <c r="Y17" s="324" t="e">
        <f>IF($U17,_xll.qlIndexFixing($W17,$R17,FALSE,$T17),"-")</f>
        <v>#N/A</v>
      </c>
      <c r="Z17" s="324" t="e">
        <f t="shared" si="3"/>
        <v>#NUM!</v>
      </c>
      <c r="AA17" s="323" t="e">
        <f>_xll.qlIndexFixing($W17,$R17,TRUE,$Y17)</f>
        <v>#NUM!</v>
      </c>
      <c r="AB17" s="288">
        <f t="shared" si="5"/>
        <v>0</v>
      </c>
      <c r="AC17" s="277"/>
    </row>
    <row r="18" spans="2:29" s="2" customFormat="1" x14ac:dyDescent="0.2">
      <c r="B18" s="12"/>
      <c r="C18" s="11" t="s">
        <v>6</v>
      </c>
      <c r="D18" s="10" t="s">
        <v>5</v>
      </c>
      <c r="E18" s="9" t="str">
        <f t="shared" si="4"/>
        <v>GbpLibor8M</v>
      </c>
      <c r="F18" s="8" t="str">
        <f>_xll.qlLibor($E18,Currency,$C18,Currency&amp;$D18,Permanent,Trigger,ObjectOverwrite)</f>
        <v>GbpLibor8M#0000</v>
      </c>
      <c r="G18" s="8" t="str">
        <f>_xll.qlLastFixingQuote(E18&amp;"LastFixing_Quote",F18,Permanent,Trigger,ObjectOverwrite)</f>
        <v>GbpLibor8MLastFixing_Quote#0000</v>
      </c>
      <c r="H18" s="7" t="str">
        <f>_xll.ohRangeRetrieveError(F18)</f>
        <v/>
      </c>
      <c r="I18" s="7" t="str">
        <f>_xll.ohRangeRetrieveError(G18)</f>
        <v/>
      </c>
      <c r="J18" s="6"/>
      <c r="L18" s="2">
        <f>_xll.qlInterestRateIndexFixingDays(F18)</f>
        <v>0</v>
      </c>
      <c r="N18" s="256"/>
      <c r="O18" s="287"/>
      <c r="P18" s="295" t="s">
        <v>6</v>
      </c>
      <c r="Q18" s="290" t="str">
        <f t="shared" si="0"/>
        <v>GBP8MFSR=</v>
      </c>
      <c r="R18" s="294">
        <v>41428</v>
      </c>
      <c r="S18" s="325">
        <v>0</v>
      </c>
      <c r="T18" s="293" t="b">
        <f t="shared" si="1"/>
        <v>0</v>
      </c>
      <c r="U18" s="292" t="e">
        <f>IF($T18,_xll.qlIndexAddFixings($W18,$R18,$S18/100,TRUE,ISERROR($X18)),NA())</f>
        <v>#N/A</v>
      </c>
      <c r="V18" s="282"/>
      <c r="W18" s="291" t="str">
        <f t="shared" si="6"/>
        <v>GbpLibor8M#0000</v>
      </c>
      <c r="X18" s="324" t="e">
        <f>_xll.qlIndexFixing($W18,$R18,TRUE,$T18)</f>
        <v>#NUM!</v>
      </c>
      <c r="Y18" s="324" t="e">
        <f>IF($U18,_xll.qlIndexFixing($W18,$R18,FALSE,$T18),"-")</f>
        <v>#N/A</v>
      </c>
      <c r="Z18" s="324" t="e">
        <f t="shared" si="3"/>
        <v>#NUM!</v>
      </c>
      <c r="AA18" s="323" t="e">
        <f>_xll.qlIndexFixing($W18,$R18,TRUE,$Y18)</f>
        <v>#NUM!</v>
      </c>
      <c r="AB18" s="288">
        <f t="shared" si="5"/>
        <v>0</v>
      </c>
      <c r="AC18" s="277"/>
    </row>
    <row r="19" spans="2:29" s="2" customFormat="1" x14ac:dyDescent="0.2">
      <c r="B19" s="12"/>
      <c r="C19" s="11" t="s">
        <v>4</v>
      </c>
      <c r="D19" s="10" t="s">
        <v>0</v>
      </c>
      <c r="E19" s="9" t="str">
        <f t="shared" si="4"/>
        <v>GbpLibor9M</v>
      </c>
      <c r="F19" s="8" t="str">
        <f>_xll.qlLibor($E19,Currency,$C19,Currency&amp;$D19,Permanent,Trigger,ObjectOverwrite)</f>
        <v>GbpLibor9M#0000</v>
      </c>
      <c r="G19" s="8" t="str">
        <f>_xll.qlLastFixingQuote(E19&amp;"LastFixing_Quote",F19,Permanent,Trigger,ObjectOverwrite)</f>
        <v>GbpLibor9MLastFixing_Quote#0000</v>
      </c>
      <c r="H19" s="7" t="str">
        <f>_xll.ohRangeRetrieveError(F19)</f>
        <v/>
      </c>
      <c r="I19" s="7" t="str">
        <f>_xll.ohRangeRetrieveError(G19)</f>
        <v/>
      </c>
      <c r="J19" s="6"/>
      <c r="L19" s="2">
        <f>_xll.qlInterestRateIndexFixingDays(F19)</f>
        <v>0</v>
      </c>
      <c r="N19" s="256"/>
      <c r="O19" s="287"/>
      <c r="P19" s="295" t="s">
        <v>4</v>
      </c>
      <c r="Q19" s="290" t="str">
        <f t="shared" si="0"/>
        <v>GBP9MFSR=</v>
      </c>
      <c r="R19" s="294">
        <v>41428</v>
      </c>
      <c r="S19" s="325">
        <v>0</v>
      </c>
      <c r="T19" s="293" t="b">
        <f t="shared" si="1"/>
        <v>0</v>
      </c>
      <c r="U19" s="292" t="e">
        <f>IF($T19,_xll.qlIndexAddFixings($W19,$R19,$S19/100,TRUE,ISERROR($X19)),NA())</f>
        <v>#N/A</v>
      </c>
      <c r="V19" s="282"/>
      <c r="W19" s="291" t="str">
        <f t="shared" si="6"/>
        <v>GbpLibor9M#0000</v>
      </c>
      <c r="X19" s="324" t="e">
        <f>_xll.qlIndexFixing($W19,$R19,TRUE,$T19)</f>
        <v>#NUM!</v>
      </c>
      <c r="Y19" s="324" t="e">
        <f>IF($U19,_xll.qlIndexFixing($W19,$R19,FALSE,$T19),"-")</f>
        <v>#N/A</v>
      </c>
      <c r="Z19" s="324" t="e">
        <f t="shared" si="3"/>
        <v>#NUM!</v>
      </c>
      <c r="AA19" s="323" t="e">
        <f>_xll.qlIndexFixing($W19,$R19,TRUE,$Y19)</f>
        <v>#NUM!</v>
      </c>
      <c r="AB19" s="288">
        <f t="shared" si="5"/>
        <v>0</v>
      </c>
      <c r="AC19" s="277"/>
    </row>
    <row r="20" spans="2:29" s="2" customFormat="1" x14ac:dyDescent="0.2">
      <c r="B20" s="12"/>
      <c r="C20" s="11" t="s">
        <v>3</v>
      </c>
      <c r="D20" s="10" t="s">
        <v>0</v>
      </c>
      <c r="E20" s="9" t="str">
        <f t="shared" si="4"/>
        <v>GbpLibor10M</v>
      </c>
      <c r="F20" s="8" t="str">
        <f>_xll.qlLibor($E20,Currency,$C20,Currency&amp;$D20,Permanent,Trigger,ObjectOverwrite)</f>
        <v>GbpLibor10M#0000</v>
      </c>
      <c r="G20" s="8" t="str">
        <f>_xll.qlLastFixingQuote(E20&amp;"LastFixing_Quote",F20,Permanent,Trigger,ObjectOverwrite)</f>
        <v>GbpLibor10MLastFixing_Quote#0000</v>
      </c>
      <c r="H20" s="7" t="str">
        <f>_xll.ohRangeRetrieveError(F20)</f>
        <v/>
      </c>
      <c r="I20" s="7" t="str">
        <f>_xll.ohRangeRetrieveError(G20)</f>
        <v/>
      </c>
      <c r="J20" s="6"/>
      <c r="L20" s="2">
        <f>_xll.qlInterestRateIndexFixingDays(F20)</f>
        <v>0</v>
      </c>
      <c r="N20" s="256"/>
      <c r="O20" s="287"/>
      <c r="P20" s="295" t="s">
        <v>3</v>
      </c>
      <c r="Q20" s="290" t="str">
        <f t="shared" si="0"/>
        <v>GBP10MFSR=</v>
      </c>
      <c r="R20" s="294">
        <v>41428</v>
      </c>
      <c r="S20" s="325">
        <v>0</v>
      </c>
      <c r="T20" s="293" t="b">
        <f t="shared" si="1"/>
        <v>0</v>
      </c>
      <c r="U20" s="292" t="e">
        <f>IF($T20,_xll.qlIndexAddFixings($W20,$R20,$S20/100,TRUE,ISERROR($X20)),NA())</f>
        <v>#N/A</v>
      </c>
      <c r="V20" s="282"/>
      <c r="W20" s="291" t="str">
        <f t="shared" si="6"/>
        <v>GbpLibor10M#0000</v>
      </c>
      <c r="X20" s="324" t="e">
        <f>_xll.qlIndexFixing($W20,$R20,TRUE,$T20)</f>
        <v>#NUM!</v>
      </c>
      <c r="Y20" s="324" t="e">
        <f>IF($U20,_xll.qlIndexFixing($W20,$R20,FALSE,$T20),"-")</f>
        <v>#N/A</v>
      </c>
      <c r="Z20" s="324" t="e">
        <f t="shared" si="3"/>
        <v>#NUM!</v>
      </c>
      <c r="AA20" s="323" t="e">
        <f>_xll.qlIndexFixing($W20,$R20,TRUE,$Y20)</f>
        <v>#NUM!</v>
      </c>
      <c r="AB20" s="288">
        <f t="shared" si="5"/>
        <v>0</v>
      </c>
      <c r="AC20" s="277"/>
    </row>
    <row r="21" spans="2:29" s="2" customFormat="1" x14ac:dyDescent="0.2">
      <c r="B21" s="12"/>
      <c r="C21" s="11" t="s">
        <v>2</v>
      </c>
      <c r="D21" s="10" t="s">
        <v>0</v>
      </c>
      <c r="E21" s="9" t="str">
        <f t="shared" si="4"/>
        <v>GbpLibor11M</v>
      </c>
      <c r="F21" s="8" t="str">
        <f>_xll.qlLibor($E21,Currency,$C21,Currency&amp;$D21,Permanent,Trigger,ObjectOverwrite)</f>
        <v>GbpLibor11M#0000</v>
      </c>
      <c r="G21" s="8" t="str">
        <f>_xll.qlLastFixingQuote(E21&amp;"LastFixing_Quote",F21,Permanent,Trigger,ObjectOverwrite)</f>
        <v>GbpLibor11MLastFixing_Quote#0000</v>
      </c>
      <c r="H21" s="7" t="str">
        <f>_xll.ohRangeRetrieveError(F21)</f>
        <v/>
      </c>
      <c r="I21" s="7" t="str">
        <f>_xll.ohRangeRetrieveError(G21)</f>
        <v/>
      </c>
      <c r="J21" s="6"/>
      <c r="L21" s="2">
        <f>_xll.qlInterestRateIndexFixingDays(F21)</f>
        <v>0</v>
      </c>
      <c r="N21" s="256"/>
      <c r="O21" s="287"/>
      <c r="P21" s="295" t="s">
        <v>2</v>
      </c>
      <c r="Q21" s="290" t="str">
        <f t="shared" si="0"/>
        <v>GBP11MFSR=</v>
      </c>
      <c r="R21" s="294">
        <v>41428</v>
      </c>
      <c r="S21" s="325">
        <v>0</v>
      </c>
      <c r="T21" s="293" t="b">
        <f t="shared" si="1"/>
        <v>0</v>
      </c>
      <c r="U21" s="292" t="e">
        <f>IF($T21,_xll.qlIndexAddFixings($W21,$R21,$S21/100,TRUE,ISERROR($X21)),NA())</f>
        <v>#N/A</v>
      </c>
      <c r="V21" s="282"/>
      <c r="W21" s="291" t="str">
        <f t="shared" si="6"/>
        <v>GbpLibor11M#0000</v>
      </c>
      <c r="X21" s="324" t="e">
        <f>_xll.qlIndexFixing($W21,$R21,TRUE,$T21)</f>
        <v>#NUM!</v>
      </c>
      <c r="Y21" s="324" t="e">
        <f>IF($U21,_xll.qlIndexFixing($W21,$R21,FALSE,$T21),"-")</f>
        <v>#N/A</v>
      </c>
      <c r="Z21" s="324" t="e">
        <f t="shared" si="3"/>
        <v>#NUM!</v>
      </c>
      <c r="AA21" s="323" t="e">
        <f>_xll.qlIndexFixing($W21,$R21,TRUE,$Y21)</f>
        <v>#NUM!</v>
      </c>
      <c r="AB21" s="288">
        <f t="shared" si="5"/>
        <v>0</v>
      </c>
      <c r="AC21" s="277"/>
    </row>
    <row r="22" spans="2:29" s="2" customFormat="1" x14ac:dyDescent="0.2">
      <c r="B22" s="12"/>
      <c r="C22" s="11" t="s">
        <v>1</v>
      </c>
      <c r="D22" s="10" t="s">
        <v>0</v>
      </c>
      <c r="E22" s="9" t="str">
        <f t="shared" si="4"/>
        <v>GbpLibor1Y</v>
      </c>
      <c r="F22" s="8" t="str">
        <f>_xll.qlLibor($E22,Currency,$C22,Currency&amp;$D22,Permanent,Trigger,ObjectOverwrite)</f>
        <v>GbpLibor1Y#0000</v>
      </c>
      <c r="G22" s="8" t="str">
        <f>_xll.qlLastFixingQuote(E22&amp;"LastFixing_Quote",F22,Permanent,Trigger,ObjectOverwrite)</f>
        <v>GbpLibor1YLastFixing_Quote#0000</v>
      </c>
      <c r="H22" s="7" t="str">
        <f>_xll.ohRangeRetrieveError(F22)</f>
        <v/>
      </c>
      <c r="I22" s="7" t="str">
        <f>_xll.ohRangeRetrieveError(G22)</f>
        <v/>
      </c>
      <c r="J22" s="6"/>
      <c r="L22" s="2">
        <f>_xll.qlInterestRateIndexFixingDays(F22)</f>
        <v>0</v>
      </c>
      <c r="N22" s="256"/>
      <c r="O22" s="287"/>
      <c r="P22" s="286" t="s">
        <v>1</v>
      </c>
      <c r="Q22" s="280" t="str">
        <f t="shared" si="0"/>
        <v>GBP1YFSR=</v>
      </c>
      <c r="R22" s="285">
        <v>41464</v>
      </c>
      <c r="S22" s="322">
        <v>0.87938000000000005</v>
      </c>
      <c r="T22" s="284" t="b">
        <f t="shared" si="1"/>
        <v>1</v>
      </c>
      <c r="U22" s="283" t="b">
        <f>IF($T22,_xll.qlIndexAddFixings($W22,$R22,$S22/100,TRUE,ISERROR($X22)),NA())</f>
        <v>1</v>
      </c>
      <c r="V22" s="282"/>
      <c r="W22" s="281" t="str">
        <f t="shared" si="6"/>
        <v>GbpLibor1Y#0000</v>
      </c>
      <c r="X22" s="321" t="e">
        <f>_xll.qlIndexFixing($W22,$R22,TRUE,$T22)</f>
        <v>#NUM!</v>
      </c>
      <c r="Y22" s="321">
        <f>IF($U22,_xll.qlIndexFixing($W22,$R22,FALSE,$T22),"-")</f>
        <v>8.7938000000000009E-3</v>
      </c>
      <c r="Z22" s="321" t="e">
        <f t="shared" si="3"/>
        <v>#NUM!</v>
      </c>
      <c r="AA22" s="320">
        <f>_xll.qlIndexFixing($W22,$R22,TRUE,$Y22)</f>
        <v>8.7938000000000009E-3</v>
      </c>
      <c r="AB22" s="278">
        <f t="shared" si="5"/>
        <v>0</v>
      </c>
      <c r="AC22" s="277"/>
    </row>
    <row r="23" spans="2:29" s="2" customFormat="1" ht="12" thickBot="1" x14ac:dyDescent="0.25">
      <c r="B23" s="5"/>
      <c r="C23" s="4"/>
      <c r="D23" s="4"/>
      <c r="E23" s="4"/>
      <c r="F23" s="4"/>
      <c r="G23" s="4"/>
      <c r="H23" s="4"/>
      <c r="I23" s="4"/>
      <c r="J23" s="3"/>
      <c r="N23" s="256"/>
      <c r="O23" s="274"/>
      <c r="P23" s="271"/>
      <c r="Q23" s="271"/>
      <c r="R23" s="273"/>
      <c r="S23" s="272"/>
      <c r="T23" s="272"/>
      <c r="U23" s="271"/>
      <c r="V23" s="271"/>
      <c r="W23" s="271"/>
      <c r="X23" s="271"/>
      <c r="Y23" s="271"/>
      <c r="Z23" s="271"/>
      <c r="AA23" s="271"/>
      <c r="AB23" s="271"/>
      <c r="AC23" s="270"/>
    </row>
    <row r="24" spans="2:29" s="2" customFormat="1" ht="12" thickBot="1" x14ac:dyDescent="0.25">
      <c r="N24" s="256"/>
      <c r="O24" s="256"/>
      <c r="P24" s="256"/>
      <c r="Q24" s="256"/>
      <c r="R24" s="269"/>
      <c r="S24" s="268"/>
      <c r="T24" s="268"/>
      <c r="U24" s="256"/>
      <c r="V24" s="256"/>
      <c r="W24" s="256"/>
      <c r="X24" s="256"/>
      <c r="Y24" s="256"/>
      <c r="Z24" s="256"/>
      <c r="AA24" s="256"/>
      <c r="AB24" s="256"/>
      <c r="AC24" s="256"/>
    </row>
    <row r="25" spans="2:29" x14ac:dyDescent="0.2">
      <c r="N25" s="256"/>
      <c r="O25" s="256"/>
      <c r="P25" s="267" t="s">
        <v>121</v>
      </c>
      <c r="Q25" s="266" t="s">
        <v>248</v>
      </c>
      <c r="R25" s="265" t="s">
        <v>25</v>
      </c>
      <c r="S25" s="264"/>
      <c r="T25" s="256"/>
      <c r="U25" s="256"/>
      <c r="V25" s="256"/>
      <c r="W25" s="256"/>
      <c r="X25" s="256"/>
      <c r="Y25" s="256"/>
      <c r="Z25" s="256"/>
      <c r="AA25" s="256"/>
      <c r="AB25" s="256"/>
      <c r="AC25" s="256"/>
    </row>
    <row r="26" spans="2:29" x14ac:dyDescent="0.2">
      <c r="N26" s="256"/>
      <c r="O26" s="256"/>
      <c r="P26" s="262" t="s">
        <v>120</v>
      </c>
      <c r="Q26" s="261" t="s">
        <v>248</v>
      </c>
      <c r="R26" s="260" t="s">
        <v>25</v>
      </c>
      <c r="S26" s="256"/>
      <c r="T26" s="256"/>
      <c r="U26" s="256"/>
      <c r="V26" s="256"/>
      <c r="W26" s="263"/>
      <c r="X26" s="256"/>
      <c r="Y26" s="256"/>
      <c r="Z26" s="256"/>
      <c r="AA26" s="256"/>
      <c r="AB26" s="256"/>
      <c r="AC26" s="256"/>
    </row>
    <row r="27" spans="2:29" x14ac:dyDescent="0.2">
      <c r="N27" s="256"/>
      <c r="O27" s="256"/>
      <c r="P27" s="262" t="s">
        <v>230</v>
      </c>
      <c r="Q27" s="261" t="s">
        <v>248</v>
      </c>
      <c r="R27" s="260" t="s">
        <v>25</v>
      </c>
      <c r="S27" s="256"/>
      <c r="T27" s="256"/>
      <c r="U27" s="256"/>
      <c r="V27" s="256"/>
      <c r="W27" s="263"/>
      <c r="X27" s="256"/>
      <c r="Y27" s="256"/>
      <c r="Z27" s="256"/>
      <c r="AA27" s="256"/>
      <c r="AB27" s="256"/>
      <c r="AC27" s="256"/>
    </row>
    <row r="28" spans="2:29" x14ac:dyDescent="0.2">
      <c r="N28" s="256"/>
      <c r="O28" s="256"/>
      <c r="P28" s="262" t="s">
        <v>229</v>
      </c>
      <c r="Q28" s="261" t="s">
        <v>248</v>
      </c>
      <c r="R28" s="260" t="s">
        <v>25</v>
      </c>
      <c r="S28" s="256"/>
      <c r="T28" s="256"/>
      <c r="U28" s="256"/>
      <c r="V28" s="256"/>
      <c r="W28" s="263"/>
      <c r="X28" s="256"/>
      <c r="Y28" s="256"/>
      <c r="Z28" s="256"/>
      <c r="AA28" s="256"/>
      <c r="AB28" s="256"/>
      <c r="AC28" s="256"/>
    </row>
    <row r="29" spans="2:29" x14ac:dyDescent="0.2">
      <c r="N29" s="256"/>
      <c r="O29" s="256"/>
      <c r="P29" s="262" t="s">
        <v>96</v>
      </c>
      <c r="Q29" s="261" t="s">
        <v>248</v>
      </c>
      <c r="R29" s="260" t="s">
        <v>25</v>
      </c>
      <c r="S29" s="256"/>
      <c r="T29" s="256"/>
      <c r="U29" s="256"/>
      <c r="V29" s="256"/>
      <c r="W29" s="256"/>
      <c r="X29" s="256"/>
      <c r="Y29" s="256"/>
      <c r="Z29" s="256"/>
      <c r="AA29" s="256"/>
      <c r="AB29" s="256"/>
      <c r="AC29" s="256"/>
    </row>
    <row r="30" spans="2:29" x14ac:dyDescent="0.2">
      <c r="N30" s="256"/>
      <c r="O30" s="256"/>
      <c r="P30" s="262" t="s">
        <v>117</v>
      </c>
      <c r="Q30" s="261" t="s">
        <v>248</v>
      </c>
      <c r="R30" s="260" t="s">
        <v>25</v>
      </c>
      <c r="S30" s="256"/>
      <c r="T30" s="256"/>
      <c r="U30" s="256"/>
      <c r="V30" s="256"/>
      <c r="W30" s="256"/>
      <c r="X30" s="256"/>
      <c r="Y30" s="256"/>
      <c r="Z30" s="256"/>
      <c r="AA30" s="256"/>
      <c r="AB30" s="256"/>
      <c r="AC30" s="256"/>
    </row>
    <row r="31" spans="2:29" ht="13.5" thickBot="1" x14ac:dyDescent="0.25">
      <c r="N31" s="256"/>
      <c r="O31" s="256"/>
      <c r="P31" s="259" t="s">
        <v>115</v>
      </c>
      <c r="Q31" s="258" t="s">
        <v>248</v>
      </c>
      <c r="R31" s="257" t="s">
        <v>25</v>
      </c>
      <c r="S31" s="256"/>
      <c r="T31" s="256"/>
      <c r="U31" s="256"/>
      <c r="V31" s="256"/>
      <c r="W31" s="256"/>
      <c r="X31" s="256"/>
      <c r="Y31" s="256"/>
      <c r="Z31" s="256"/>
      <c r="AA31" s="256"/>
      <c r="AB31" s="256"/>
      <c r="AC31" s="256"/>
    </row>
  </sheetData>
  <conditionalFormatting sqref="Z5:Z22">
    <cfRule type="cellIs" dxfId="43" priority="1" stopIfTrue="1" operator="greaterThan">
      <formula>0</formula>
    </cfRule>
    <cfRule type="cellIs" dxfId="42" priority="2" stopIfTrue="1" operator="lessThan">
      <formula>0</formula>
    </cfRule>
  </conditionalFormatting>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70"/>
  <sheetViews>
    <sheetView workbookViewId="0"/>
  </sheetViews>
  <sheetFormatPr defaultRowHeight="11.25" x14ac:dyDescent="0.2"/>
  <cols>
    <col min="1" max="2" width="2.7109375" style="28" customWidth="1"/>
    <col min="3" max="3" width="3.85546875" style="28" bestFit="1" customWidth="1"/>
    <col min="4" max="4" width="8.5703125" style="28" bestFit="1" customWidth="1"/>
    <col min="5" max="5" width="18.42578125" style="28" bestFit="1" customWidth="1"/>
    <col min="6" max="6" width="24.42578125" style="28" bestFit="1" customWidth="1"/>
    <col min="7" max="7" width="55" style="28" customWidth="1"/>
    <col min="8" max="10" width="2.7109375" style="28" customWidth="1"/>
    <col min="11" max="14" width="9.140625" style="28"/>
    <col min="15" max="15" width="10.85546875" style="28" bestFit="1" customWidth="1"/>
    <col min="16" max="16" width="15.85546875" style="28" bestFit="1" customWidth="1"/>
    <col min="17" max="20" width="9.140625" style="28"/>
    <col min="21" max="21" width="20.42578125" style="28" bestFit="1" customWidth="1"/>
    <col min="22" max="16384" width="9.140625" style="28"/>
  </cols>
  <sheetData>
    <row r="1" spans="1:28" s="29" customFormat="1" ht="12" thickBot="1" x14ac:dyDescent="0.25">
      <c r="A1" s="2" t="s">
        <v>352</v>
      </c>
      <c r="L1" s="28"/>
      <c r="M1" s="28"/>
      <c r="N1" s="28"/>
      <c r="O1" s="28"/>
      <c r="P1" s="28"/>
      <c r="Q1" s="28"/>
      <c r="R1" s="28"/>
      <c r="S1" s="28"/>
      <c r="T1" s="28"/>
      <c r="U1" s="28"/>
      <c r="V1" s="28"/>
      <c r="W1" s="28"/>
      <c r="X1" s="28"/>
      <c r="Y1" s="28"/>
      <c r="Z1" s="28"/>
      <c r="AA1" s="28"/>
      <c r="AB1" s="28"/>
    </row>
    <row r="2" spans="1:28" s="29" customFormat="1" x14ac:dyDescent="0.2">
      <c r="B2" s="49"/>
      <c r="C2" s="47"/>
      <c r="D2" s="47"/>
      <c r="E2" s="48"/>
      <c r="F2" s="47"/>
      <c r="G2" s="47"/>
      <c r="H2" s="46"/>
      <c r="L2" s="28"/>
      <c r="M2" s="28"/>
      <c r="N2" s="28"/>
      <c r="O2" s="28"/>
      <c r="P2" s="28"/>
      <c r="Q2" s="28"/>
      <c r="R2" s="28"/>
      <c r="S2" s="28"/>
      <c r="T2" s="28"/>
      <c r="U2" s="28"/>
      <c r="V2" s="28"/>
      <c r="W2" s="28"/>
      <c r="X2" s="28"/>
      <c r="Y2" s="28"/>
      <c r="Z2" s="28"/>
      <c r="AA2" s="28"/>
      <c r="AB2" s="28"/>
    </row>
    <row r="3" spans="1:28" s="29" customFormat="1" x14ac:dyDescent="0.2">
      <c r="B3" s="39"/>
      <c r="C3" s="44"/>
      <c r="D3" s="44"/>
      <c r="E3" s="45" t="s">
        <v>26</v>
      </c>
      <c r="F3" s="42" t="s">
        <v>88</v>
      </c>
      <c r="G3" s="44"/>
      <c r="H3" s="41"/>
    </row>
    <row r="4" spans="1:28" s="29" customFormat="1" ht="12" thickBot="1" x14ac:dyDescent="0.25">
      <c r="B4" s="39"/>
      <c r="C4" s="44"/>
      <c r="D4" s="44"/>
      <c r="E4" s="45" t="s">
        <v>87</v>
      </c>
      <c r="F4" s="42" t="s">
        <v>86</v>
      </c>
      <c r="G4" s="44"/>
      <c r="H4" s="41"/>
      <c r="L4" s="256" t="s">
        <v>354</v>
      </c>
      <c r="M4" s="256"/>
      <c r="N4" s="256"/>
      <c r="O4" s="261"/>
      <c r="P4" s="269"/>
      <c r="Q4" s="319"/>
      <c r="R4" s="319"/>
      <c r="S4" s="256"/>
      <c r="T4" s="261"/>
      <c r="U4" s="256"/>
      <c r="V4" s="256"/>
      <c r="W4" s="256"/>
      <c r="X4" s="256"/>
      <c r="Y4" s="256"/>
      <c r="Z4" s="256"/>
      <c r="AA4" s="256"/>
      <c r="AB4" s="256"/>
    </row>
    <row r="5" spans="1:28" s="29" customFormat="1" ht="19.5" x14ac:dyDescent="0.4">
      <c r="B5" s="39"/>
      <c r="C5" s="44"/>
      <c r="D5" s="44"/>
      <c r="E5" s="44"/>
      <c r="F5" s="44"/>
      <c r="G5" s="44"/>
      <c r="H5" s="41"/>
      <c r="L5" s="256"/>
      <c r="M5" s="318"/>
      <c r="N5" s="312"/>
      <c r="O5" s="317" t="str">
        <f>VLOOKUP(Currency,Traits,2,FALSE)</f>
        <v>SFIX</v>
      </c>
      <c r="P5" s="316"/>
      <c r="Q5" s="315"/>
      <c r="R5" s="315"/>
      <c r="S5" s="312"/>
      <c r="T5" s="312"/>
      <c r="U5" s="314" t="str">
        <f>VLOOKUP(Currency,Traits,3,FALSE)</f>
        <v>LiborSwapIsda</v>
      </c>
      <c r="V5" s="312"/>
      <c r="W5" s="312"/>
      <c r="X5" s="313">
        <f>MAX(Z7:Z22)</f>
        <v>0</v>
      </c>
      <c r="Y5" s="312"/>
      <c r="Z5" s="312"/>
      <c r="AA5" s="311"/>
      <c r="AB5" s="256"/>
    </row>
    <row r="6" spans="1:28" s="29" customFormat="1" ht="33.75" x14ac:dyDescent="0.2">
      <c r="B6" s="39"/>
      <c r="C6" s="44"/>
      <c r="D6" s="44"/>
      <c r="E6" s="43" t="str">
        <f>PROPER(Currency)&amp;FamilyName&amp;FixingType&amp;".xml"</f>
        <v>GbpLiborSwapIsda.xml</v>
      </c>
      <c r="F6" s="42">
        <f ca="1">IF(Serialize,_xll.ohObjectSave(F7:F66,SerializationPath&amp;FileName,FileOverwrite,Serialize),"---")</f>
        <v>60</v>
      </c>
      <c r="G6" s="34" t="str">
        <f ca="1">_xll.ohRangeRetrieveError(F6)</f>
        <v/>
      </c>
      <c r="H6" s="41"/>
      <c r="J6" s="2"/>
      <c r="L6" s="256"/>
      <c r="M6" s="287"/>
      <c r="N6" s="309" t="s">
        <v>24</v>
      </c>
      <c r="O6" s="308" t="e">
        <f ca="1">_xll.RData(O7:O21,P6:Q6,"RTFEED:IDN",,,P7)</f>
        <v>#NAME?</v>
      </c>
      <c r="P6" s="308" t="s">
        <v>245</v>
      </c>
      <c r="Q6" s="308" t="s">
        <v>254</v>
      </c>
      <c r="R6" s="308" t="s">
        <v>243</v>
      </c>
      <c r="S6" s="307" t="s">
        <v>242</v>
      </c>
      <c r="T6" s="310"/>
      <c r="U6" s="309" t="s">
        <v>241</v>
      </c>
      <c r="V6" s="308" t="s">
        <v>240</v>
      </c>
      <c r="W6" s="308" t="s">
        <v>239</v>
      </c>
      <c r="X6" s="308" t="s">
        <v>238</v>
      </c>
      <c r="Y6" s="307" t="s">
        <v>237</v>
      </c>
      <c r="Z6" s="306"/>
      <c r="AA6" s="277"/>
      <c r="AB6" s="256"/>
    </row>
    <row r="7" spans="1:28" s="29" customFormat="1" x14ac:dyDescent="0.2">
      <c r="B7" s="39"/>
      <c r="C7" s="38" t="s">
        <v>1</v>
      </c>
      <c r="D7" s="40" t="s">
        <v>10</v>
      </c>
      <c r="E7" s="36" t="str">
        <f t="shared" ref="E7:E38" si="0">PROPER(Currency)&amp;FamilyName&amp;FixingType&amp;$C7</f>
        <v>GbpLiborSwapIsda1Y</v>
      </c>
      <c r="F7" s="35" t="str">
        <f>_xll.qlLiborSwap($E7,Currency,FixingType,$C7,Currency&amp;$D7,Discounting,Permanent,Trigger,ObjectOverwrite)</f>
        <v>GbpLiborSwapIsda1Y#0000</v>
      </c>
      <c r="G7" s="34" t="str">
        <f>_xll.ohRangeRetrieveError(F7)</f>
        <v/>
      </c>
      <c r="H7" s="33"/>
      <c r="J7" s="2">
        <f>_xll.qlInterestRateIndexFixingDays(F7)</f>
        <v>0</v>
      </c>
      <c r="L7" s="256"/>
      <c r="M7" s="287"/>
      <c r="N7" s="305" t="s">
        <v>1</v>
      </c>
      <c r="O7" s="299" t="str">
        <f t="shared" ref="O7:O21" si="1">Currency&amp;$O$5&amp;$N7&amp;"="</f>
        <v>GBPSFIX1Y=</v>
      </c>
      <c r="P7" s="304">
        <v>41464</v>
      </c>
      <c r="Q7" s="302">
        <v>0.54600000000000004</v>
      </c>
      <c r="R7" s="302" t="b">
        <f t="shared" ref="R7:R21" si="2">IF(AND(ISNUMBER($Q7),$Q7&lt;&gt;0%),TRUE,FALSE)</f>
        <v>1</v>
      </c>
      <c r="S7" s="301" t="b">
        <f>IF($R7,_xll.qlIndexAddFixings($U7,$P7,$Q7/100,TRUE,ISERROR($V7)),NA())</f>
        <v>1</v>
      </c>
      <c r="T7" s="282"/>
      <c r="U7" s="300" t="str">
        <f t="shared" ref="U7:U21" si="3">PROPER(Currency)&amp;$U$5&amp;$N7</f>
        <v>GbpLiborSwapIsda1Y</v>
      </c>
      <c r="V7" s="299" t="e">
        <f>_xll.qlIndexFixing($U7,$P7,TRUE,$R7)</f>
        <v>#NUM!</v>
      </c>
      <c r="W7" s="299">
        <f>IF($S7,_xll.qlIndexFixing($U7,$P7,FALSE,$R7),"-")</f>
        <v>5.4600000000000004E-3</v>
      </c>
      <c r="X7" s="299" t="e">
        <f t="shared" ref="X7:X21" si="4">V7-W7</f>
        <v>#NUM!</v>
      </c>
      <c r="Y7" s="298">
        <f>_xll.qlIndexFixing($U7,$P7,TRUE,$W7)</f>
        <v>5.4600000000000004E-3</v>
      </c>
      <c r="Z7" s="332">
        <f t="shared" ref="Z7:Z21" si="5">IF(ISERROR(X7),0,ABS(X7))</f>
        <v>0</v>
      </c>
      <c r="AA7" s="277"/>
      <c r="AB7" s="256"/>
    </row>
    <row r="8" spans="1:28" s="29" customFormat="1" x14ac:dyDescent="0.2">
      <c r="B8" s="39"/>
      <c r="C8" s="38" t="s">
        <v>85</v>
      </c>
      <c r="D8" s="37" t="s">
        <v>5</v>
      </c>
      <c r="E8" s="36" t="str">
        <f t="shared" si="0"/>
        <v>GbpLiborSwapIsda2Y</v>
      </c>
      <c r="F8" s="35" t="str">
        <f>_xll.qlLiborSwap($E8,Currency,FixingType,$C8,Currency&amp;$D8,Discounting,Permanent,Trigger,ObjectOverwrite)</f>
        <v>GbpLiborSwapIsda2Y#0000</v>
      </c>
      <c r="G8" s="34" t="str">
        <f>_xll.ohRangeRetrieveError(F8)</f>
        <v/>
      </c>
      <c r="H8" s="33"/>
      <c r="J8" s="2">
        <f>_xll.qlInterestRateIndexFixingDays(F8)</f>
        <v>0</v>
      </c>
      <c r="L8" s="256"/>
      <c r="M8" s="287"/>
      <c r="N8" s="295" t="s">
        <v>85</v>
      </c>
      <c r="O8" s="290" t="str">
        <f t="shared" si="1"/>
        <v>GBPSFIX2Y=</v>
      </c>
      <c r="P8" s="294">
        <v>41464</v>
      </c>
      <c r="Q8" s="293">
        <v>0.71699999999999997</v>
      </c>
      <c r="R8" s="293" t="b">
        <f t="shared" si="2"/>
        <v>1</v>
      </c>
      <c r="S8" s="292" t="b">
        <f>IF($R8,_xll.qlIndexAddFixings($U8,$P8,$Q8/100,TRUE,ISERROR($V8)),NA())</f>
        <v>1</v>
      </c>
      <c r="T8" s="282"/>
      <c r="U8" s="291" t="str">
        <f t="shared" si="3"/>
        <v>GbpLiborSwapIsda2Y</v>
      </c>
      <c r="V8" s="290" t="e">
        <f>_xll.qlIndexFixing($U8,$P8,TRUE,$R8)</f>
        <v>#NUM!</v>
      </c>
      <c r="W8" s="290">
        <f>IF($S8,_xll.qlIndexFixing($U8,$P8,FALSE,$R8),"-")</f>
        <v>7.1699999999999993E-3</v>
      </c>
      <c r="X8" s="290" t="e">
        <f t="shared" si="4"/>
        <v>#NUM!</v>
      </c>
      <c r="Y8" s="289">
        <f>_xll.qlIndexFixing($U8,$P8,TRUE,$W8)</f>
        <v>7.1699999999999993E-3</v>
      </c>
      <c r="Z8" s="332">
        <f t="shared" si="5"/>
        <v>0</v>
      </c>
      <c r="AA8" s="277"/>
      <c r="AB8" s="256"/>
    </row>
    <row r="9" spans="1:28" s="29" customFormat="1" x14ac:dyDescent="0.2">
      <c r="B9" s="39"/>
      <c r="C9" s="38" t="s">
        <v>84</v>
      </c>
      <c r="D9" s="37" t="s">
        <v>5</v>
      </c>
      <c r="E9" s="36" t="str">
        <f t="shared" si="0"/>
        <v>GbpLiborSwapIsda3Y</v>
      </c>
      <c r="F9" s="35" t="str">
        <f>_xll.qlLiborSwap($E9,Currency,FixingType,$C9,Currency&amp;$D9,Discounting,Permanent,Trigger,ObjectOverwrite)</f>
        <v>GbpLiborSwapIsda3Y#0000</v>
      </c>
      <c r="G9" s="34" t="str">
        <f>_xll.ohRangeRetrieveError(F9)</f>
        <v/>
      </c>
      <c r="H9" s="33"/>
      <c r="J9" s="2">
        <f>_xll.qlInterestRateIndexFixingDays(F9)</f>
        <v>0</v>
      </c>
      <c r="L9" s="256"/>
      <c r="M9" s="287"/>
      <c r="N9" s="295" t="s">
        <v>84</v>
      </c>
      <c r="O9" s="290" t="str">
        <f t="shared" si="1"/>
        <v>GBPSFIX3Y=</v>
      </c>
      <c r="P9" s="294">
        <v>41464</v>
      </c>
      <c r="Q9" s="293">
        <v>0.92300000000000004</v>
      </c>
      <c r="R9" s="293" t="b">
        <f t="shared" si="2"/>
        <v>1</v>
      </c>
      <c r="S9" s="292" t="b">
        <f>IF($R9,_xll.qlIndexAddFixings($U9,$P9,$Q9/100,TRUE,ISERROR($V9)),NA())</f>
        <v>1</v>
      </c>
      <c r="T9" s="282"/>
      <c r="U9" s="291" t="str">
        <f t="shared" si="3"/>
        <v>GbpLiborSwapIsda3Y</v>
      </c>
      <c r="V9" s="290" t="e">
        <f>_xll.qlIndexFixing($U9,$P9,TRUE,$R9)</f>
        <v>#NUM!</v>
      </c>
      <c r="W9" s="290">
        <f>IF($S9,_xll.qlIndexFixing($U9,$P9,FALSE,$R9),"-")</f>
        <v>9.2300000000000004E-3</v>
      </c>
      <c r="X9" s="290" t="e">
        <f t="shared" si="4"/>
        <v>#NUM!</v>
      </c>
      <c r="Y9" s="289">
        <f>_xll.qlIndexFixing($U9,$P9,TRUE,$W9)</f>
        <v>9.2300000000000004E-3</v>
      </c>
      <c r="Z9" s="332">
        <f t="shared" si="5"/>
        <v>0</v>
      </c>
      <c r="AA9" s="277"/>
      <c r="AB9" s="256"/>
    </row>
    <row r="10" spans="1:28" s="29" customFormat="1" x14ac:dyDescent="0.2">
      <c r="B10" s="39"/>
      <c r="C10" s="38" t="s">
        <v>83</v>
      </c>
      <c r="D10" s="37" t="s">
        <v>5</v>
      </c>
      <c r="E10" s="36" t="str">
        <f t="shared" si="0"/>
        <v>GbpLiborSwapIsda4Y</v>
      </c>
      <c r="F10" s="35" t="str">
        <f>_xll.qlLiborSwap($E10,Currency,FixingType,$C10,Currency&amp;$D10,Discounting,Permanent,Trigger,ObjectOverwrite)</f>
        <v>GbpLiborSwapIsda4Y#0000</v>
      </c>
      <c r="G10" s="34" t="str">
        <f>_xll.ohRangeRetrieveError(F10)</f>
        <v/>
      </c>
      <c r="H10" s="33"/>
      <c r="J10" s="2">
        <f>_xll.qlInterestRateIndexFixingDays(F10)</f>
        <v>0</v>
      </c>
      <c r="L10" s="256"/>
      <c r="M10" s="287"/>
      <c r="N10" s="295" t="s">
        <v>83</v>
      </c>
      <c r="O10" s="290" t="str">
        <f t="shared" si="1"/>
        <v>GBPSFIX4Y=</v>
      </c>
      <c r="P10" s="294">
        <v>41464</v>
      </c>
      <c r="Q10" s="293">
        <v>1.22</v>
      </c>
      <c r="R10" s="293" t="b">
        <f t="shared" si="2"/>
        <v>1</v>
      </c>
      <c r="S10" s="292" t="b">
        <f>IF($R10,_xll.qlIndexAddFixings($U10,$P10,$Q10/100,TRUE,ISERROR($V10)),NA())</f>
        <v>1</v>
      </c>
      <c r="T10" s="282"/>
      <c r="U10" s="291" t="str">
        <f t="shared" si="3"/>
        <v>GbpLiborSwapIsda4Y</v>
      </c>
      <c r="V10" s="290" t="e">
        <f>_xll.qlIndexFixing($U10,$P10,TRUE,$R10)</f>
        <v>#NUM!</v>
      </c>
      <c r="W10" s="290">
        <f>IF($S10,_xll.qlIndexFixing($U10,$P10,FALSE,$R10),"-")</f>
        <v>1.2199999999999999E-2</v>
      </c>
      <c r="X10" s="290" t="e">
        <f t="shared" si="4"/>
        <v>#NUM!</v>
      </c>
      <c r="Y10" s="289">
        <f>_xll.qlIndexFixing($U10,$P10,TRUE,$W10)</f>
        <v>1.2199999999999999E-2</v>
      </c>
      <c r="Z10" s="332">
        <f t="shared" si="5"/>
        <v>0</v>
      </c>
      <c r="AA10" s="277"/>
      <c r="AB10" s="256"/>
    </row>
    <row r="11" spans="1:28" s="29" customFormat="1" x14ac:dyDescent="0.2">
      <c r="B11" s="39"/>
      <c r="C11" s="38" t="s">
        <v>82</v>
      </c>
      <c r="D11" s="37" t="s">
        <v>5</v>
      </c>
      <c r="E11" s="36" t="str">
        <f t="shared" si="0"/>
        <v>GbpLiborSwapIsda5Y</v>
      </c>
      <c r="F11" s="35" t="str">
        <f>_xll.qlLiborSwap($E11,Currency,FixingType,$C11,Currency&amp;$D11,Discounting,Permanent,Trigger,ObjectOverwrite)</f>
        <v>GbpLiborSwapIsda5Y#0000</v>
      </c>
      <c r="G11" s="34" t="str">
        <f>_xll.ohRangeRetrieveError(F11)</f>
        <v/>
      </c>
      <c r="H11" s="33"/>
      <c r="J11" s="2">
        <f>_xll.qlInterestRateIndexFixingDays(F11)</f>
        <v>0</v>
      </c>
      <c r="L11" s="256"/>
      <c r="M11" s="287"/>
      <c r="N11" s="295" t="s">
        <v>82</v>
      </c>
      <c r="O11" s="290" t="str">
        <f t="shared" si="1"/>
        <v>GBPSFIX5Y=</v>
      </c>
      <c r="P11" s="294">
        <v>41464</v>
      </c>
      <c r="Q11" s="293">
        <v>1.5209999999999999</v>
      </c>
      <c r="R11" s="293" t="b">
        <f t="shared" si="2"/>
        <v>1</v>
      </c>
      <c r="S11" s="292" t="b">
        <f>IF($R11,_xll.qlIndexAddFixings($U11,$P11,$Q11/100,TRUE,ISERROR($V11)),NA())</f>
        <v>1</v>
      </c>
      <c r="T11" s="282"/>
      <c r="U11" s="291" t="str">
        <f t="shared" si="3"/>
        <v>GbpLiborSwapIsda5Y</v>
      </c>
      <c r="V11" s="290" t="e">
        <f>_xll.qlIndexFixing($U11,$P11,TRUE,$R11)</f>
        <v>#NUM!</v>
      </c>
      <c r="W11" s="290">
        <f>IF($S11,_xll.qlIndexFixing($U11,$P11,FALSE,$R11),"-")</f>
        <v>1.521E-2</v>
      </c>
      <c r="X11" s="290" t="e">
        <f t="shared" si="4"/>
        <v>#NUM!</v>
      </c>
      <c r="Y11" s="289">
        <f>_xll.qlIndexFixing($U11,$P11,TRUE,$W11)</f>
        <v>1.521E-2</v>
      </c>
      <c r="Z11" s="332">
        <f t="shared" si="5"/>
        <v>0</v>
      </c>
      <c r="AA11" s="277"/>
      <c r="AB11" s="256"/>
    </row>
    <row r="12" spans="1:28" s="29" customFormat="1" x14ac:dyDescent="0.2">
      <c r="B12" s="39"/>
      <c r="C12" s="38" t="s">
        <v>81</v>
      </c>
      <c r="D12" s="37" t="s">
        <v>5</v>
      </c>
      <c r="E12" s="36" t="str">
        <f t="shared" si="0"/>
        <v>GbpLiborSwapIsda6Y</v>
      </c>
      <c r="F12" s="35" t="str">
        <f>_xll.qlLiborSwap($E12,Currency,FixingType,$C12,Currency&amp;$D12,Discounting,Permanent,Trigger,ObjectOverwrite)</f>
        <v>GbpLiborSwapIsda6Y#0000</v>
      </c>
      <c r="G12" s="34" t="str">
        <f>_xll.ohRangeRetrieveError(F12)</f>
        <v/>
      </c>
      <c r="H12" s="33"/>
      <c r="J12" s="2">
        <f>_xll.qlInterestRateIndexFixingDays(F12)</f>
        <v>0</v>
      </c>
      <c r="L12" s="256"/>
      <c r="M12" s="287"/>
      <c r="N12" s="295" t="s">
        <v>81</v>
      </c>
      <c r="O12" s="290" t="str">
        <f t="shared" si="1"/>
        <v>GBPSFIX6Y=</v>
      </c>
      <c r="P12" s="294">
        <v>41464</v>
      </c>
      <c r="Q12" s="293">
        <v>1.7869999999999999</v>
      </c>
      <c r="R12" s="293" t="b">
        <f t="shared" si="2"/>
        <v>1</v>
      </c>
      <c r="S12" s="292" t="b">
        <f>IF($R12,_xll.qlIndexAddFixings($U12,$P12,$Q12/100,TRUE,ISERROR($V12)),NA())</f>
        <v>1</v>
      </c>
      <c r="T12" s="282"/>
      <c r="U12" s="291" t="str">
        <f t="shared" si="3"/>
        <v>GbpLiborSwapIsda6Y</v>
      </c>
      <c r="V12" s="290" t="e">
        <f>_xll.qlIndexFixing($U12,$P12,TRUE,$R12)</f>
        <v>#NUM!</v>
      </c>
      <c r="W12" s="290">
        <f>IF($S12,_xll.qlIndexFixing($U12,$P12,FALSE,$R12),"-")</f>
        <v>1.787E-2</v>
      </c>
      <c r="X12" s="290" t="e">
        <f t="shared" si="4"/>
        <v>#NUM!</v>
      </c>
      <c r="Y12" s="289">
        <f>_xll.qlIndexFixing($U12,$P12,TRUE,$W12)</f>
        <v>1.787E-2</v>
      </c>
      <c r="Z12" s="332">
        <f t="shared" si="5"/>
        <v>0</v>
      </c>
      <c r="AA12" s="277"/>
      <c r="AB12" s="256"/>
    </row>
    <row r="13" spans="1:28" s="29" customFormat="1" x14ac:dyDescent="0.2">
      <c r="B13" s="39"/>
      <c r="C13" s="38" t="s">
        <v>80</v>
      </c>
      <c r="D13" s="37" t="s">
        <v>5</v>
      </c>
      <c r="E13" s="36" t="str">
        <f t="shared" si="0"/>
        <v>GbpLiborSwapIsda7Y</v>
      </c>
      <c r="F13" s="35" t="str">
        <f>_xll.qlLiborSwap($E13,Currency,FixingType,$C13,Currency&amp;$D13,Discounting,Permanent,Trigger,ObjectOverwrite)</f>
        <v>GbpLiborSwapIsda7Y#0000</v>
      </c>
      <c r="G13" s="34" t="str">
        <f>_xll.ohRangeRetrieveError(F13)</f>
        <v/>
      </c>
      <c r="H13" s="33"/>
      <c r="J13" s="2">
        <f>_xll.qlInterestRateIndexFixingDays(F13)</f>
        <v>0</v>
      </c>
      <c r="L13" s="256"/>
      <c r="M13" s="287"/>
      <c r="N13" s="295" t="s">
        <v>80</v>
      </c>
      <c r="O13" s="290" t="str">
        <f t="shared" si="1"/>
        <v>GBPSFIX7Y=</v>
      </c>
      <c r="P13" s="294">
        <v>41464</v>
      </c>
      <c r="Q13" s="293">
        <v>2.028</v>
      </c>
      <c r="R13" s="293" t="b">
        <f t="shared" si="2"/>
        <v>1</v>
      </c>
      <c r="S13" s="292" t="b">
        <f>IF($R13,_xll.qlIndexAddFixings($U13,$P13,$Q13/100,TRUE,ISERROR($V13)),NA())</f>
        <v>1</v>
      </c>
      <c r="T13" s="282"/>
      <c r="U13" s="291" t="str">
        <f t="shared" si="3"/>
        <v>GbpLiborSwapIsda7Y</v>
      </c>
      <c r="V13" s="290" t="e">
        <f>_xll.qlIndexFixing($U13,$P13,TRUE,$R13)</f>
        <v>#NUM!</v>
      </c>
      <c r="W13" s="290">
        <f>IF($S13,_xll.qlIndexFixing($U13,$P13,FALSE,$R13),"-")</f>
        <v>2.0279999999999999E-2</v>
      </c>
      <c r="X13" s="290" t="e">
        <f t="shared" si="4"/>
        <v>#NUM!</v>
      </c>
      <c r="Y13" s="289">
        <f>_xll.qlIndexFixing($U13,$P13,TRUE,$W13)</f>
        <v>2.0279999999999999E-2</v>
      </c>
      <c r="Z13" s="332">
        <f t="shared" si="5"/>
        <v>0</v>
      </c>
      <c r="AA13" s="277"/>
      <c r="AB13" s="256"/>
    </row>
    <row r="14" spans="1:28" s="29" customFormat="1" x14ac:dyDescent="0.2">
      <c r="B14" s="39"/>
      <c r="C14" s="38" t="s">
        <v>79</v>
      </c>
      <c r="D14" s="37" t="s">
        <v>5</v>
      </c>
      <c r="E14" s="36" t="str">
        <f t="shared" si="0"/>
        <v>GbpLiborSwapIsda8Y</v>
      </c>
      <c r="F14" s="35" t="str">
        <f>_xll.qlLiborSwap($E14,Currency,FixingType,$C14,Currency&amp;$D14,Discounting,Permanent,Trigger,ObjectOverwrite)</f>
        <v>GbpLiborSwapIsda8Y#0000</v>
      </c>
      <c r="G14" s="34" t="str">
        <f>_xll.ohRangeRetrieveError(F14)</f>
        <v/>
      </c>
      <c r="H14" s="33"/>
      <c r="J14" s="2">
        <f>_xll.qlInterestRateIndexFixingDays(F14)</f>
        <v>0</v>
      </c>
      <c r="L14" s="256"/>
      <c r="M14" s="287"/>
      <c r="N14" s="295" t="s">
        <v>79</v>
      </c>
      <c r="O14" s="290" t="str">
        <f t="shared" si="1"/>
        <v>GBPSFIX8Y=</v>
      </c>
      <c r="P14" s="294">
        <v>41464</v>
      </c>
      <c r="Q14" s="293">
        <v>2.238</v>
      </c>
      <c r="R14" s="293" t="b">
        <f t="shared" si="2"/>
        <v>1</v>
      </c>
      <c r="S14" s="292" t="b">
        <f>IF($R14,_xll.qlIndexAddFixings($U14,$P14,$Q14/100,TRUE,ISERROR($V14)),NA())</f>
        <v>1</v>
      </c>
      <c r="T14" s="282"/>
      <c r="U14" s="291" t="str">
        <f t="shared" si="3"/>
        <v>GbpLiborSwapIsda8Y</v>
      </c>
      <c r="V14" s="290" t="e">
        <f>_xll.qlIndexFixing($U14,$P14,TRUE,$R14)</f>
        <v>#NUM!</v>
      </c>
      <c r="W14" s="290">
        <f>IF($S14,_xll.qlIndexFixing($U14,$P14,FALSE,$R14),"-")</f>
        <v>2.2380000000000001E-2</v>
      </c>
      <c r="X14" s="290" t="e">
        <f t="shared" si="4"/>
        <v>#NUM!</v>
      </c>
      <c r="Y14" s="289">
        <f>_xll.qlIndexFixing($U14,$P14,TRUE,$W14)</f>
        <v>2.2380000000000001E-2</v>
      </c>
      <c r="Z14" s="332">
        <f t="shared" si="5"/>
        <v>0</v>
      </c>
      <c r="AA14" s="277"/>
      <c r="AB14" s="256"/>
    </row>
    <row r="15" spans="1:28" s="29" customFormat="1" x14ac:dyDescent="0.2">
      <c r="B15" s="39"/>
      <c r="C15" s="38" t="s">
        <v>78</v>
      </c>
      <c r="D15" s="37" t="s">
        <v>5</v>
      </c>
      <c r="E15" s="36" t="str">
        <f t="shared" si="0"/>
        <v>GbpLiborSwapIsda9Y</v>
      </c>
      <c r="F15" s="35" t="str">
        <f>_xll.qlLiborSwap($E15,Currency,FixingType,$C15,Currency&amp;$D15,Discounting,Permanent,Trigger,ObjectOverwrite)</f>
        <v>GbpLiborSwapIsda9Y#0000</v>
      </c>
      <c r="G15" s="34" t="str">
        <f>_xll.ohRangeRetrieveError(F15)</f>
        <v/>
      </c>
      <c r="H15" s="33"/>
      <c r="J15" s="2">
        <f>_xll.qlInterestRateIndexFixingDays(F15)</f>
        <v>0</v>
      </c>
      <c r="L15" s="256"/>
      <c r="M15" s="287"/>
      <c r="N15" s="295" t="s">
        <v>78</v>
      </c>
      <c r="O15" s="290" t="str">
        <f t="shared" si="1"/>
        <v>GBPSFIX9Y=</v>
      </c>
      <c r="P15" s="294">
        <v>41464</v>
      </c>
      <c r="Q15" s="293">
        <v>2.4180000000000001</v>
      </c>
      <c r="R15" s="293" t="b">
        <f t="shared" si="2"/>
        <v>1</v>
      </c>
      <c r="S15" s="292" t="b">
        <f>IF($R15,_xll.qlIndexAddFixings($U15,$P15,$Q15/100,TRUE,ISERROR($V15)),NA())</f>
        <v>1</v>
      </c>
      <c r="T15" s="282"/>
      <c r="U15" s="291" t="str">
        <f t="shared" si="3"/>
        <v>GbpLiborSwapIsda9Y</v>
      </c>
      <c r="V15" s="290" t="e">
        <f>_xll.qlIndexFixing($U15,$P15,TRUE,$R15)</f>
        <v>#NUM!</v>
      </c>
      <c r="W15" s="290">
        <f>IF($S15,_xll.qlIndexFixing($U15,$P15,FALSE,$R15),"-")</f>
        <v>2.418E-2</v>
      </c>
      <c r="X15" s="290" t="e">
        <f t="shared" si="4"/>
        <v>#NUM!</v>
      </c>
      <c r="Y15" s="289">
        <f>_xll.qlIndexFixing($U15,$P15,TRUE,$W15)</f>
        <v>2.418E-2</v>
      </c>
      <c r="Z15" s="332">
        <f t="shared" si="5"/>
        <v>0</v>
      </c>
      <c r="AA15" s="277"/>
      <c r="AB15" s="256"/>
    </row>
    <row r="16" spans="1:28" s="29" customFormat="1" x14ac:dyDescent="0.2">
      <c r="B16" s="39"/>
      <c r="C16" s="38" t="s">
        <v>77</v>
      </c>
      <c r="D16" s="37" t="s">
        <v>5</v>
      </c>
      <c r="E16" s="36" t="str">
        <f t="shared" si="0"/>
        <v>GbpLiborSwapIsda10Y</v>
      </c>
      <c r="F16" s="35" t="str">
        <f>_xll.qlLiborSwap($E16,Currency,FixingType,$C16,Currency&amp;$D16,Discounting,Permanent,Trigger,ObjectOverwrite)</f>
        <v>GbpLiborSwapIsda10Y#0000</v>
      </c>
      <c r="G16" s="34" t="str">
        <f>_xll.ohRangeRetrieveError(F16)</f>
        <v/>
      </c>
      <c r="H16" s="33"/>
      <c r="J16" s="2">
        <f>_xll.qlInterestRateIndexFixingDays(F16)</f>
        <v>0</v>
      </c>
      <c r="L16" s="256"/>
      <c r="M16" s="287"/>
      <c r="N16" s="295" t="s">
        <v>77</v>
      </c>
      <c r="O16" s="290" t="str">
        <f t="shared" si="1"/>
        <v>GBPSFIX10Y=</v>
      </c>
      <c r="P16" s="294">
        <v>41464</v>
      </c>
      <c r="Q16" s="293">
        <v>2.5670000000000002</v>
      </c>
      <c r="R16" s="293" t="b">
        <f t="shared" si="2"/>
        <v>1</v>
      </c>
      <c r="S16" s="292" t="b">
        <f>IF($R16,_xll.qlIndexAddFixings($U16,$P16,$Q16/100,TRUE,ISERROR($V16)),NA())</f>
        <v>1</v>
      </c>
      <c r="T16" s="282"/>
      <c r="U16" s="291" t="str">
        <f t="shared" si="3"/>
        <v>GbpLiborSwapIsda10Y</v>
      </c>
      <c r="V16" s="290" t="e">
        <f>_xll.qlIndexFixing($U16,$P16,TRUE,$R16)</f>
        <v>#NUM!</v>
      </c>
      <c r="W16" s="290">
        <f>IF($S16,_xll.qlIndexFixing($U16,$P16,FALSE,$R16),"-")</f>
        <v>2.5670000000000002E-2</v>
      </c>
      <c r="X16" s="290" t="e">
        <f t="shared" si="4"/>
        <v>#NUM!</v>
      </c>
      <c r="Y16" s="289">
        <f>_xll.qlIndexFixing($U16,$P16,TRUE,$W16)</f>
        <v>2.5670000000000002E-2</v>
      </c>
      <c r="Z16" s="332">
        <f t="shared" si="5"/>
        <v>0</v>
      </c>
      <c r="AA16" s="277"/>
      <c r="AB16" s="256"/>
    </row>
    <row r="17" spans="2:28" s="29" customFormat="1" x14ac:dyDescent="0.2">
      <c r="B17" s="39"/>
      <c r="C17" s="38" t="s">
        <v>76</v>
      </c>
      <c r="D17" s="37" t="s">
        <v>5</v>
      </c>
      <c r="E17" s="36" t="str">
        <f t="shared" si="0"/>
        <v>GbpLiborSwapIsda11Y</v>
      </c>
      <c r="F17" s="35" t="str">
        <f>_xll.qlLiborSwap($E17,Currency,FixingType,$C17,Currency&amp;$D17,Discounting,Permanent,Trigger,ObjectOverwrite)</f>
        <v>GbpLiborSwapIsda11Y#0000</v>
      </c>
      <c r="G17" s="34" t="str">
        <f>_xll.ohRangeRetrieveError(F17)</f>
        <v/>
      </c>
      <c r="H17" s="33"/>
      <c r="J17" s="2">
        <f>_xll.qlInterestRateIndexFixingDays(F17)</f>
        <v>0</v>
      </c>
      <c r="L17" s="256"/>
      <c r="M17" s="287"/>
      <c r="N17" s="295" t="s">
        <v>75</v>
      </c>
      <c r="O17" s="290" t="str">
        <f t="shared" si="1"/>
        <v>GBPSFIX12Y=</v>
      </c>
      <c r="P17" s="294">
        <v>41464</v>
      </c>
      <c r="Q17" s="293">
        <v>2.7909999999999999</v>
      </c>
      <c r="R17" s="293" t="b">
        <f t="shared" si="2"/>
        <v>1</v>
      </c>
      <c r="S17" s="292" t="b">
        <f>IF($R17,_xll.qlIndexAddFixings($U17,$P17,$Q17/100,TRUE,ISERROR($V17)),NA())</f>
        <v>1</v>
      </c>
      <c r="T17" s="282"/>
      <c r="U17" s="291" t="str">
        <f t="shared" si="3"/>
        <v>GbpLiborSwapIsda12Y</v>
      </c>
      <c r="V17" s="290" t="e">
        <f>_xll.qlIndexFixing($U17,$P17,TRUE,$R17)</f>
        <v>#NUM!</v>
      </c>
      <c r="W17" s="290">
        <f>IF($S17,_xll.qlIndexFixing($U17,$P17,FALSE,$R17),"-")</f>
        <v>2.7910000000000001E-2</v>
      </c>
      <c r="X17" s="290" t="e">
        <f t="shared" si="4"/>
        <v>#NUM!</v>
      </c>
      <c r="Y17" s="289">
        <f>_xll.qlIndexFixing($U17,$P17,TRUE,$W17)</f>
        <v>2.7910000000000001E-2</v>
      </c>
      <c r="Z17" s="332">
        <f t="shared" si="5"/>
        <v>0</v>
      </c>
      <c r="AA17" s="277"/>
      <c r="AB17" s="256"/>
    </row>
    <row r="18" spans="2:28" s="29" customFormat="1" x14ac:dyDescent="0.2">
      <c r="B18" s="39"/>
      <c r="C18" s="38" t="s">
        <v>75</v>
      </c>
      <c r="D18" s="37" t="s">
        <v>5</v>
      </c>
      <c r="E18" s="36" t="str">
        <f t="shared" si="0"/>
        <v>GbpLiborSwapIsda12Y</v>
      </c>
      <c r="F18" s="35" t="str">
        <f>_xll.qlLiborSwap($E18,Currency,FixingType,$C18,Currency&amp;$D18,Discounting,Permanent,Trigger,ObjectOverwrite)</f>
        <v>GbpLiborSwapIsda12Y#0000</v>
      </c>
      <c r="G18" s="34" t="str">
        <f>_xll.ohRangeRetrieveError(F18)</f>
        <v/>
      </c>
      <c r="H18" s="33"/>
      <c r="J18" s="2">
        <f>_xll.qlInterestRateIndexFixingDays(F18)</f>
        <v>0</v>
      </c>
      <c r="L18" s="256"/>
      <c r="M18" s="287"/>
      <c r="N18" s="295" t="s">
        <v>72</v>
      </c>
      <c r="O18" s="290" t="str">
        <f t="shared" si="1"/>
        <v>GBPSFIX15Y=</v>
      </c>
      <c r="P18" s="294">
        <v>41464</v>
      </c>
      <c r="Q18" s="293">
        <v>3.0190000000000001</v>
      </c>
      <c r="R18" s="293" t="b">
        <f t="shared" si="2"/>
        <v>1</v>
      </c>
      <c r="S18" s="292" t="b">
        <f>IF($R18,_xll.qlIndexAddFixings($U18,$P18,$Q18/100,TRUE,ISERROR($V18)),NA())</f>
        <v>1</v>
      </c>
      <c r="T18" s="282"/>
      <c r="U18" s="291" t="str">
        <f t="shared" si="3"/>
        <v>GbpLiborSwapIsda15Y</v>
      </c>
      <c r="V18" s="290" t="e">
        <f>_xll.qlIndexFixing($U18,$P18,TRUE,$R18)</f>
        <v>#NUM!</v>
      </c>
      <c r="W18" s="290">
        <f>IF($S18,_xll.qlIndexFixing($U18,$P18,FALSE,$R18),"-")</f>
        <v>3.0190000000000002E-2</v>
      </c>
      <c r="X18" s="290" t="e">
        <f t="shared" si="4"/>
        <v>#NUM!</v>
      </c>
      <c r="Y18" s="289">
        <f>_xll.qlIndexFixing($U18,$P18,TRUE,$W18)</f>
        <v>3.0190000000000002E-2</v>
      </c>
      <c r="Z18" s="332">
        <f t="shared" si="5"/>
        <v>0</v>
      </c>
      <c r="AA18" s="277"/>
      <c r="AB18" s="256"/>
    </row>
    <row r="19" spans="2:28" s="29" customFormat="1" x14ac:dyDescent="0.2">
      <c r="B19" s="39"/>
      <c r="C19" s="38" t="s">
        <v>74</v>
      </c>
      <c r="D19" s="37" t="s">
        <v>5</v>
      </c>
      <c r="E19" s="36" t="str">
        <f t="shared" si="0"/>
        <v>GbpLiborSwapIsda13Y</v>
      </c>
      <c r="F19" s="35" t="str">
        <f>_xll.qlLiborSwap($E19,Currency,FixingType,$C19,Currency&amp;$D19,Discounting,Permanent,Trigger,ObjectOverwrite)</f>
        <v>GbpLiborSwapIsda13Y#0000</v>
      </c>
      <c r="G19" s="34" t="str">
        <f>_xll.ohRangeRetrieveError(F19)</f>
        <v/>
      </c>
      <c r="H19" s="33"/>
      <c r="J19" s="2">
        <f>_xll.qlInterestRateIndexFixingDays(F19)</f>
        <v>0</v>
      </c>
      <c r="L19" s="256"/>
      <c r="M19" s="287"/>
      <c r="N19" s="295" t="s">
        <v>67</v>
      </c>
      <c r="O19" s="290" t="str">
        <f t="shared" si="1"/>
        <v>GBPSFIX20Y=</v>
      </c>
      <c r="P19" s="294">
        <v>41464</v>
      </c>
      <c r="Q19" s="293">
        <v>3.2389999999999999</v>
      </c>
      <c r="R19" s="293" t="b">
        <f t="shared" si="2"/>
        <v>1</v>
      </c>
      <c r="S19" s="292" t="b">
        <f>IF($R19,_xll.qlIndexAddFixings($U19,$P19,$Q19/100,TRUE,ISERROR($V19)),NA())</f>
        <v>1</v>
      </c>
      <c r="T19" s="282"/>
      <c r="U19" s="291" t="str">
        <f t="shared" si="3"/>
        <v>GbpLiborSwapIsda20Y</v>
      </c>
      <c r="V19" s="290" t="e">
        <f>_xll.qlIndexFixing($U19,$P19,TRUE,$R19)</f>
        <v>#NUM!</v>
      </c>
      <c r="W19" s="290">
        <f>IF($S19,_xll.qlIndexFixing($U19,$P19,FALSE,$R19),"-")</f>
        <v>3.2390000000000002E-2</v>
      </c>
      <c r="X19" s="290" t="e">
        <f t="shared" si="4"/>
        <v>#NUM!</v>
      </c>
      <c r="Y19" s="289">
        <f>_xll.qlIndexFixing($U19,$P19,TRUE,$W19)</f>
        <v>3.2390000000000002E-2</v>
      </c>
      <c r="Z19" s="332">
        <f t="shared" si="5"/>
        <v>0</v>
      </c>
      <c r="AA19" s="277"/>
      <c r="AB19" s="256"/>
    </row>
    <row r="20" spans="2:28" s="29" customFormat="1" x14ac:dyDescent="0.2">
      <c r="B20" s="39"/>
      <c r="C20" s="38" t="s">
        <v>73</v>
      </c>
      <c r="D20" s="37" t="s">
        <v>5</v>
      </c>
      <c r="E20" s="36" t="str">
        <f t="shared" si="0"/>
        <v>GbpLiborSwapIsda14Y</v>
      </c>
      <c r="F20" s="35" t="str">
        <f>_xll.qlLiborSwap($E20,Currency,FixingType,$C20,Currency&amp;$D20,Discounting,Permanent,Trigger,ObjectOverwrite)</f>
        <v>GbpLiborSwapIsda14Y#0000</v>
      </c>
      <c r="G20" s="34" t="str">
        <f>_xll.ohRangeRetrieveError(F20)</f>
        <v/>
      </c>
      <c r="H20" s="33"/>
      <c r="J20" s="2">
        <f>_xll.qlInterestRateIndexFixingDays(F20)</f>
        <v>0</v>
      </c>
      <c r="L20" s="256"/>
      <c r="M20" s="287"/>
      <c r="N20" s="295" t="s">
        <v>62</v>
      </c>
      <c r="O20" s="290" t="str">
        <f t="shared" si="1"/>
        <v>GBPSFIX25Y=</v>
      </c>
      <c r="P20" s="294">
        <v>41464</v>
      </c>
      <c r="Q20" s="293">
        <v>3.3420000000000001</v>
      </c>
      <c r="R20" s="293" t="b">
        <f t="shared" si="2"/>
        <v>1</v>
      </c>
      <c r="S20" s="292" t="b">
        <f>IF($R20,_xll.qlIndexAddFixings($U20,$P20,$Q20/100,TRUE,ISERROR($V20)),NA())</f>
        <v>1</v>
      </c>
      <c r="T20" s="282"/>
      <c r="U20" s="291" t="str">
        <f t="shared" si="3"/>
        <v>GbpLiborSwapIsda25Y</v>
      </c>
      <c r="V20" s="290" t="e">
        <f>_xll.qlIndexFixing($U20,$P20,TRUE,$R20)</f>
        <v>#NUM!</v>
      </c>
      <c r="W20" s="290">
        <f>IF($S20,_xll.qlIndexFixing($U20,$P20,FALSE,$R20),"-")</f>
        <v>3.3419999999999998E-2</v>
      </c>
      <c r="X20" s="290" t="e">
        <f t="shared" si="4"/>
        <v>#NUM!</v>
      </c>
      <c r="Y20" s="289">
        <f>_xll.qlIndexFixing($U20,$P20,TRUE,$W20)</f>
        <v>3.3419999999999998E-2</v>
      </c>
      <c r="Z20" s="332">
        <f t="shared" si="5"/>
        <v>0</v>
      </c>
      <c r="AA20" s="277"/>
      <c r="AB20" s="256"/>
    </row>
    <row r="21" spans="2:28" s="29" customFormat="1" x14ac:dyDescent="0.2">
      <c r="B21" s="39"/>
      <c r="C21" s="38" t="s">
        <v>72</v>
      </c>
      <c r="D21" s="37" t="s">
        <v>5</v>
      </c>
      <c r="E21" s="36" t="str">
        <f t="shared" si="0"/>
        <v>GbpLiborSwapIsda15Y</v>
      </c>
      <c r="F21" s="35" t="str">
        <f>_xll.qlLiborSwap($E21,Currency,FixingType,$C21,Currency&amp;$D21,Discounting,Permanent,Trigger,ObjectOverwrite)</f>
        <v>GbpLiborSwapIsda15Y#0000</v>
      </c>
      <c r="G21" s="34" t="str">
        <f>_xll.ohRangeRetrieveError(F21)</f>
        <v/>
      </c>
      <c r="H21" s="33"/>
      <c r="J21" s="2">
        <f>_xll.qlInterestRateIndexFixingDays(F21)</f>
        <v>0</v>
      </c>
      <c r="L21" s="256"/>
      <c r="M21" s="287"/>
      <c r="N21" s="286" t="s">
        <v>57</v>
      </c>
      <c r="O21" s="280" t="str">
        <f t="shared" si="1"/>
        <v>GBPSFIX30Y=</v>
      </c>
      <c r="P21" s="285">
        <v>41464</v>
      </c>
      <c r="Q21" s="284">
        <v>3.3820000000000001</v>
      </c>
      <c r="R21" s="284" t="b">
        <f t="shared" si="2"/>
        <v>1</v>
      </c>
      <c r="S21" s="283" t="b">
        <f>IF($R21,_xll.qlIndexAddFixings($U21,$P21,$Q21/100,TRUE,ISERROR($V21)),NA())</f>
        <v>1</v>
      </c>
      <c r="T21" s="282"/>
      <c r="U21" s="281" t="str">
        <f t="shared" si="3"/>
        <v>GbpLiborSwapIsda30Y</v>
      </c>
      <c r="V21" s="280" t="e">
        <f>_xll.qlIndexFixing($U21,$P21,TRUE,$R21)</f>
        <v>#NUM!</v>
      </c>
      <c r="W21" s="280">
        <f>IF($S21,_xll.qlIndexFixing($U21,$P21,FALSE,$R21),"-")</f>
        <v>3.3820000000000003E-2</v>
      </c>
      <c r="X21" s="280" t="e">
        <f t="shared" si="4"/>
        <v>#NUM!</v>
      </c>
      <c r="Y21" s="279">
        <f>_xll.qlIndexFixing($U21,$P21,TRUE,$W21)</f>
        <v>3.3820000000000003E-2</v>
      </c>
      <c r="Z21" s="331">
        <f t="shared" si="5"/>
        <v>0</v>
      </c>
      <c r="AA21" s="277"/>
      <c r="AB21" s="256"/>
    </row>
    <row r="22" spans="2:28" s="29" customFormat="1" ht="12" thickBot="1" x14ac:dyDescent="0.25">
      <c r="B22" s="39"/>
      <c r="C22" s="38" t="s">
        <v>71</v>
      </c>
      <c r="D22" s="37" t="s">
        <v>5</v>
      </c>
      <c r="E22" s="36" t="str">
        <f t="shared" si="0"/>
        <v>GbpLiborSwapIsda16Y</v>
      </c>
      <c r="F22" s="35" t="str">
        <f>_xll.qlLiborSwap($E22,Currency,FixingType,$C22,Currency&amp;$D22,Discounting,Permanent,Trigger,ObjectOverwrite)</f>
        <v>GbpLiborSwapIsda16Y#0000</v>
      </c>
      <c r="G22" s="34" t="str">
        <f>_xll.ohRangeRetrieveError(F22)</f>
        <v/>
      </c>
      <c r="H22" s="33"/>
      <c r="J22" s="2">
        <f>_xll.qlInterestRateIndexFixingDays(F22)</f>
        <v>0</v>
      </c>
      <c r="L22" s="256"/>
      <c r="M22" s="274"/>
      <c r="N22" s="272"/>
      <c r="O22" s="272"/>
      <c r="P22" s="272"/>
      <c r="Q22" s="272"/>
      <c r="R22" s="272"/>
      <c r="S22" s="272"/>
      <c r="T22" s="271"/>
      <c r="U22" s="271"/>
      <c r="V22" s="271"/>
      <c r="W22" s="271"/>
      <c r="X22" s="271"/>
      <c r="Y22" s="271"/>
      <c r="Z22" s="271"/>
      <c r="AA22" s="270"/>
      <c r="AB22" s="256"/>
    </row>
    <row r="23" spans="2:28" s="29" customFormat="1" ht="12" thickBot="1" x14ac:dyDescent="0.25">
      <c r="B23" s="39"/>
      <c r="C23" s="38" t="s">
        <v>70</v>
      </c>
      <c r="D23" s="37" t="s">
        <v>5</v>
      </c>
      <c r="E23" s="36" t="str">
        <f t="shared" si="0"/>
        <v>GbpLiborSwapIsda17Y</v>
      </c>
      <c r="F23" s="35" t="str">
        <f>_xll.qlLiborSwap($E23,Currency,FixingType,$C23,Currency&amp;$D23,Discounting,Permanent,Trigger,ObjectOverwrite)</f>
        <v>GbpLiborSwapIsda17Y#0000</v>
      </c>
      <c r="G23" s="34" t="str">
        <f>_xll.ohRangeRetrieveError(F23)</f>
        <v/>
      </c>
      <c r="H23" s="33"/>
      <c r="J23" s="2">
        <f>_xll.qlInterestRateIndexFixingDays(F23)</f>
        <v>0</v>
      </c>
      <c r="L23" s="256"/>
      <c r="M23" s="256"/>
      <c r="N23" s="256"/>
      <c r="O23" s="256"/>
      <c r="P23" s="269"/>
      <c r="Q23" s="268"/>
      <c r="R23" s="268"/>
      <c r="S23" s="256"/>
      <c r="T23" s="256"/>
      <c r="U23" s="256"/>
      <c r="V23" s="256"/>
      <c r="W23" s="256"/>
      <c r="X23" s="256"/>
      <c r="Y23" s="256"/>
      <c r="Z23" s="256"/>
      <c r="AA23" s="256"/>
      <c r="AB23" s="256"/>
    </row>
    <row r="24" spans="2:28" s="29" customFormat="1" x14ac:dyDescent="0.2">
      <c r="B24" s="39"/>
      <c r="C24" s="38" t="s">
        <v>69</v>
      </c>
      <c r="D24" s="37" t="s">
        <v>5</v>
      </c>
      <c r="E24" s="36" t="str">
        <f t="shared" si="0"/>
        <v>GbpLiborSwapIsda18Y</v>
      </c>
      <c r="F24" s="35" t="str">
        <f>_xll.qlLiborSwap($E24,Currency,FixingType,$C24,Currency&amp;$D24,Discounting,Permanent,Trigger,ObjectOverwrite)</f>
        <v>GbpLiborSwapIsda18Y#0000</v>
      </c>
      <c r="G24" s="34" t="str">
        <f>_xll.ohRangeRetrieveError(F24)</f>
        <v/>
      </c>
      <c r="H24" s="33"/>
      <c r="J24" s="2">
        <f>_xll.qlInterestRateIndexFixingDays(F24)</f>
        <v>0</v>
      </c>
      <c r="L24" s="256"/>
      <c r="M24" s="256"/>
      <c r="N24" s="267" t="s">
        <v>121</v>
      </c>
      <c r="O24" s="266" t="s">
        <v>250</v>
      </c>
      <c r="P24" s="265" t="s">
        <v>251</v>
      </c>
      <c r="Q24" s="256"/>
      <c r="R24" s="256"/>
      <c r="S24" s="256"/>
      <c r="T24" s="256"/>
      <c r="U24" s="256"/>
      <c r="V24" s="256"/>
      <c r="W24" s="256"/>
      <c r="X24" s="256"/>
      <c r="Y24" s="256"/>
      <c r="Z24" s="256"/>
      <c r="AA24" s="256"/>
      <c r="AB24" s="256"/>
    </row>
    <row r="25" spans="2:28" s="29" customFormat="1" x14ac:dyDescent="0.2">
      <c r="B25" s="39"/>
      <c r="C25" s="38" t="s">
        <v>68</v>
      </c>
      <c r="D25" s="37" t="s">
        <v>5</v>
      </c>
      <c r="E25" s="36" t="str">
        <f t="shared" si="0"/>
        <v>GbpLiborSwapIsda19Y</v>
      </c>
      <c r="F25" s="35" t="str">
        <f>_xll.qlLiborSwap($E25,Currency,FixingType,$C25,Currency&amp;$D25,Discounting,Permanent,Trigger,ObjectOverwrite)</f>
        <v>GbpLiborSwapIsda19Y#0000</v>
      </c>
      <c r="G25" s="34" t="str">
        <f>_xll.ohRangeRetrieveError(F25)</f>
        <v/>
      </c>
      <c r="H25" s="33"/>
      <c r="J25" s="2">
        <f>_xll.qlInterestRateIndexFixingDays(F25)</f>
        <v>0</v>
      </c>
      <c r="L25" s="256"/>
      <c r="M25" s="256"/>
      <c r="N25" s="262" t="s">
        <v>120</v>
      </c>
      <c r="O25" s="261" t="s">
        <v>253</v>
      </c>
      <c r="P25" s="260" t="s">
        <v>252</v>
      </c>
      <c r="Q25" s="256"/>
      <c r="R25" s="256"/>
      <c r="S25" s="256"/>
      <c r="T25" s="256"/>
      <c r="U25" s="256"/>
      <c r="V25" s="256"/>
      <c r="W25" s="256"/>
      <c r="X25" s="256"/>
      <c r="Y25" s="256"/>
      <c r="Z25" s="256"/>
      <c r="AA25" s="256"/>
      <c r="AB25" s="256"/>
    </row>
    <row r="26" spans="2:28" s="29" customFormat="1" x14ac:dyDescent="0.2">
      <c r="B26" s="39"/>
      <c r="C26" s="38" t="s">
        <v>67</v>
      </c>
      <c r="D26" s="37" t="s">
        <v>5</v>
      </c>
      <c r="E26" s="36" t="str">
        <f t="shared" si="0"/>
        <v>GbpLiborSwapIsda20Y</v>
      </c>
      <c r="F26" s="35" t="str">
        <f>_xll.qlLiborSwap($E26,Currency,FixingType,$C26,Currency&amp;$D26,Discounting,Permanent,Trigger,ObjectOverwrite)</f>
        <v>GbpLiborSwapIsda20Y#0000</v>
      </c>
      <c r="G26" s="34" t="str">
        <f>_xll.ohRangeRetrieveError(F26)</f>
        <v/>
      </c>
      <c r="H26" s="33"/>
      <c r="J26" s="2">
        <f>_xll.qlInterestRateIndexFixingDays(F26)</f>
        <v>0</v>
      </c>
      <c r="L26" s="256"/>
      <c r="M26" s="256"/>
      <c r="N26" s="262" t="s">
        <v>230</v>
      </c>
      <c r="O26" s="261" t="s">
        <v>250</v>
      </c>
      <c r="P26" s="260" t="s">
        <v>249</v>
      </c>
      <c r="Q26" s="256"/>
      <c r="R26" s="256"/>
      <c r="S26" s="256"/>
      <c r="T26" s="256"/>
      <c r="U26" s="256"/>
      <c r="V26" s="256"/>
      <c r="W26" s="256"/>
      <c r="X26" s="256"/>
      <c r="Y26" s="256"/>
      <c r="Z26" s="256"/>
      <c r="AA26" s="256"/>
      <c r="AB26" s="256"/>
    </row>
    <row r="27" spans="2:28" s="29" customFormat="1" x14ac:dyDescent="0.2">
      <c r="B27" s="39"/>
      <c r="C27" s="38" t="s">
        <v>66</v>
      </c>
      <c r="D27" s="37" t="s">
        <v>5</v>
      </c>
      <c r="E27" s="36" t="str">
        <f t="shared" si="0"/>
        <v>GbpLiborSwapIsda21Y</v>
      </c>
      <c r="F27" s="35" t="str">
        <f>_xll.qlLiborSwap($E27,Currency,FixingType,$C27,Currency&amp;$D27,Discounting,Permanent,Trigger,ObjectOverwrite)</f>
        <v>GbpLiborSwapIsda21Y#0000</v>
      </c>
      <c r="G27" s="34" t="str">
        <f>_xll.ohRangeRetrieveError(F27)</f>
        <v/>
      </c>
      <c r="H27" s="33"/>
      <c r="J27" s="2">
        <f>_xll.qlInterestRateIndexFixingDays(F27)</f>
        <v>0</v>
      </c>
      <c r="L27" s="256"/>
      <c r="M27" s="256"/>
      <c r="N27" s="262" t="s">
        <v>229</v>
      </c>
      <c r="O27" s="261" t="s">
        <v>250</v>
      </c>
      <c r="P27" s="260" t="s">
        <v>251</v>
      </c>
      <c r="Q27" s="256"/>
      <c r="R27" s="256"/>
      <c r="S27" s="256"/>
      <c r="T27" s="256"/>
      <c r="U27" s="256"/>
      <c r="V27" s="256"/>
      <c r="W27" s="256"/>
      <c r="X27" s="256"/>
      <c r="Y27" s="256"/>
      <c r="Z27" s="256"/>
      <c r="AA27" s="256"/>
      <c r="AB27" s="256"/>
    </row>
    <row r="28" spans="2:28" s="29" customFormat="1" x14ac:dyDescent="0.2">
      <c r="B28" s="39"/>
      <c r="C28" s="38" t="s">
        <v>65</v>
      </c>
      <c r="D28" s="37" t="s">
        <v>5</v>
      </c>
      <c r="E28" s="36" t="str">
        <f t="shared" si="0"/>
        <v>GbpLiborSwapIsda22Y</v>
      </c>
      <c r="F28" s="35" t="str">
        <f>_xll.qlLiborSwap($E28,Currency,FixingType,$C28,Currency&amp;$D28,Discounting,Permanent,Trigger,ObjectOverwrite)</f>
        <v>GbpLiborSwapIsda22Y#0000</v>
      </c>
      <c r="G28" s="34" t="str">
        <f>_xll.ohRangeRetrieveError(F28)</f>
        <v/>
      </c>
      <c r="H28" s="33"/>
      <c r="J28" s="2">
        <f>_xll.qlInterestRateIndexFixingDays(F28)</f>
        <v>0</v>
      </c>
      <c r="L28" s="256"/>
      <c r="M28" s="256"/>
      <c r="N28" s="262" t="s">
        <v>96</v>
      </c>
      <c r="O28" s="261" t="s">
        <v>250</v>
      </c>
      <c r="P28" s="260" t="s">
        <v>251</v>
      </c>
      <c r="Q28" s="256"/>
      <c r="R28" s="256"/>
      <c r="S28" s="256"/>
      <c r="T28" s="256"/>
      <c r="U28" s="256"/>
      <c r="V28" s="256"/>
      <c r="W28" s="256"/>
      <c r="X28" s="256"/>
      <c r="Y28" s="256"/>
      <c r="Z28" s="256"/>
      <c r="AA28" s="256"/>
      <c r="AB28" s="256"/>
    </row>
    <row r="29" spans="2:28" s="29" customFormat="1" x14ac:dyDescent="0.2">
      <c r="B29" s="39"/>
      <c r="C29" s="38" t="s">
        <v>64</v>
      </c>
      <c r="D29" s="37" t="s">
        <v>5</v>
      </c>
      <c r="E29" s="36" t="str">
        <f t="shared" si="0"/>
        <v>GbpLiborSwapIsda23Y</v>
      </c>
      <c r="F29" s="35" t="str">
        <f>_xll.qlLiborSwap($E29,Currency,FixingType,$C29,Currency&amp;$D29,Discounting,Permanent,Trigger,ObjectOverwrite)</f>
        <v>GbpLiborSwapIsda23Y#0000</v>
      </c>
      <c r="G29" s="34" t="str">
        <f>_xll.ohRangeRetrieveError(F29)</f>
        <v/>
      </c>
      <c r="H29" s="33"/>
      <c r="J29" s="2">
        <f>_xll.qlInterestRateIndexFixingDays(F29)</f>
        <v>0</v>
      </c>
      <c r="L29" s="256"/>
      <c r="M29" s="256"/>
      <c r="N29" s="262" t="s">
        <v>117</v>
      </c>
      <c r="O29" s="261" t="s">
        <v>250</v>
      </c>
      <c r="P29" s="260" t="s">
        <v>249</v>
      </c>
      <c r="Q29" s="256"/>
      <c r="R29" s="256"/>
      <c r="S29" s="256"/>
      <c r="T29" s="256"/>
      <c r="U29" s="256"/>
      <c r="V29" s="256"/>
      <c r="W29" s="256"/>
      <c r="X29" s="256"/>
      <c r="Y29" s="256"/>
      <c r="Z29" s="256"/>
      <c r="AA29" s="256"/>
      <c r="AB29" s="256"/>
    </row>
    <row r="30" spans="2:28" s="29" customFormat="1" ht="12" thickBot="1" x14ac:dyDescent="0.25">
      <c r="B30" s="39"/>
      <c r="C30" s="38" t="s">
        <v>63</v>
      </c>
      <c r="D30" s="37" t="s">
        <v>5</v>
      </c>
      <c r="E30" s="36" t="str">
        <f t="shared" si="0"/>
        <v>GbpLiborSwapIsda24Y</v>
      </c>
      <c r="F30" s="35" t="str">
        <f>_xll.qlLiborSwap($E30,Currency,FixingType,$C30,Currency&amp;$D30,Discounting,Permanent,Trigger,ObjectOverwrite)</f>
        <v>GbpLiborSwapIsda24Y#0000</v>
      </c>
      <c r="G30" s="34" t="str">
        <f>_xll.ohRangeRetrieveError(F30)</f>
        <v/>
      </c>
      <c r="H30" s="33"/>
      <c r="J30" s="2">
        <f>_xll.qlInterestRateIndexFixingDays(F30)</f>
        <v>0</v>
      </c>
      <c r="L30" s="256"/>
      <c r="M30" s="256"/>
      <c r="N30" s="259" t="s">
        <v>115</v>
      </c>
      <c r="O30" s="330" t="s">
        <v>250</v>
      </c>
      <c r="P30" s="329" t="s">
        <v>249</v>
      </c>
      <c r="Q30" s="256"/>
      <c r="R30" s="256"/>
      <c r="S30" s="256"/>
      <c r="T30" s="256"/>
      <c r="U30" s="256"/>
      <c r="V30" s="256"/>
      <c r="W30" s="256"/>
      <c r="X30" s="256"/>
      <c r="Y30" s="256"/>
      <c r="Z30" s="256"/>
      <c r="AA30" s="256"/>
      <c r="AB30" s="256"/>
    </row>
    <row r="31" spans="2:28" s="29" customFormat="1" x14ac:dyDescent="0.2">
      <c r="B31" s="39"/>
      <c r="C31" s="38" t="s">
        <v>62</v>
      </c>
      <c r="D31" s="37" t="s">
        <v>5</v>
      </c>
      <c r="E31" s="36" t="str">
        <f t="shared" si="0"/>
        <v>GbpLiborSwapIsda25Y</v>
      </c>
      <c r="F31" s="35" t="str">
        <f>_xll.qlLiborSwap($E31,Currency,FixingType,$C31,Currency&amp;$D31,Discounting,Permanent,Trigger,ObjectOverwrite)</f>
        <v>GbpLiborSwapIsda25Y#0000</v>
      </c>
      <c r="G31" s="34" t="str">
        <f>_xll.ohRangeRetrieveError(F31)</f>
        <v/>
      </c>
      <c r="H31" s="33"/>
      <c r="J31" s="2">
        <f>_xll.qlInterestRateIndexFixingDays(F31)</f>
        <v>0</v>
      </c>
      <c r="L31" s="256"/>
      <c r="M31" s="256"/>
      <c r="N31" s="256"/>
      <c r="O31" s="256"/>
      <c r="P31" s="256"/>
      <c r="Q31" s="256"/>
      <c r="R31" s="256"/>
      <c r="S31" s="256"/>
      <c r="T31" s="256"/>
      <c r="U31" s="256"/>
      <c r="V31" s="256"/>
      <c r="W31" s="256"/>
      <c r="X31" s="256"/>
      <c r="Y31" s="256"/>
      <c r="Z31" s="256"/>
      <c r="AA31" s="256"/>
      <c r="AB31" s="256"/>
    </row>
    <row r="32" spans="2:28" s="29" customFormat="1" x14ac:dyDescent="0.2">
      <c r="B32" s="39"/>
      <c r="C32" s="38" t="s">
        <v>61</v>
      </c>
      <c r="D32" s="37" t="s">
        <v>5</v>
      </c>
      <c r="E32" s="36" t="str">
        <f t="shared" si="0"/>
        <v>GbpLiborSwapIsda26Y</v>
      </c>
      <c r="F32" s="35" t="str">
        <f>_xll.qlLiborSwap($E32,Currency,FixingType,$C32,Currency&amp;$D32,Discounting,Permanent,Trigger,ObjectOverwrite)</f>
        <v>GbpLiborSwapIsda26Y#0000</v>
      </c>
      <c r="G32" s="34" t="str">
        <f>_xll.ohRangeRetrieveError(F32)</f>
        <v/>
      </c>
      <c r="H32" s="33"/>
      <c r="J32" s="2">
        <f>_xll.qlInterestRateIndexFixingDays(F32)</f>
        <v>0</v>
      </c>
    </row>
    <row r="33" spans="2:10" s="29" customFormat="1" x14ac:dyDescent="0.2">
      <c r="B33" s="39"/>
      <c r="C33" s="38" t="s">
        <v>60</v>
      </c>
      <c r="D33" s="37" t="s">
        <v>5</v>
      </c>
      <c r="E33" s="36" t="str">
        <f t="shared" si="0"/>
        <v>GbpLiborSwapIsda27Y</v>
      </c>
      <c r="F33" s="35" t="str">
        <f>_xll.qlLiborSwap($E33,Currency,FixingType,$C33,Currency&amp;$D33,Discounting,Permanent,Trigger,ObjectOverwrite)</f>
        <v>GbpLiborSwapIsda27Y#0000</v>
      </c>
      <c r="G33" s="34" t="str">
        <f>_xll.ohRangeRetrieveError(F33)</f>
        <v/>
      </c>
      <c r="H33" s="33"/>
      <c r="J33" s="2">
        <f>_xll.qlInterestRateIndexFixingDays(F33)</f>
        <v>0</v>
      </c>
    </row>
    <row r="34" spans="2:10" s="29" customFormat="1" x14ac:dyDescent="0.2">
      <c r="B34" s="39"/>
      <c r="C34" s="38" t="s">
        <v>59</v>
      </c>
      <c r="D34" s="37" t="s">
        <v>5</v>
      </c>
      <c r="E34" s="36" t="str">
        <f t="shared" si="0"/>
        <v>GbpLiborSwapIsda28Y</v>
      </c>
      <c r="F34" s="35" t="str">
        <f>_xll.qlLiborSwap($E34,Currency,FixingType,$C34,Currency&amp;$D34,Discounting,Permanent,Trigger,ObjectOverwrite)</f>
        <v>GbpLiborSwapIsda28Y#0000</v>
      </c>
      <c r="G34" s="34" t="str">
        <f>_xll.ohRangeRetrieveError(F34)</f>
        <v/>
      </c>
      <c r="H34" s="33"/>
      <c r="J34" s="2">
        <f>_xll.qlInterestRateIndexFixingDays(F34)</f>
        <v>0</v>
      </c>
    </row>
    <row r="35" spans="2:10" s="29" customFormat="1" x14ac:dyDescent="0.2">
      <c r="B35" s="39"/>
      <c r="C35" s="38" t="s">
        <v>58</v>
      </c>
      <c r="D35" s="37" t="s">
        <v>5</v>
      </c>
      <c r="E35" s="36" t="str">
        <f t="shared" si="0"/>
        <v>GbpLiborSwapIsda29Y</v>
      </c>
      <c r="F35" s="35" t="str">
        <f>_xll.qlLiborSwap($E35,Currency,FixingType,$C35,Currency&amp;$D35,Discounting,Permanent,Trigger,ObjectOverwrite)</f>
        <v>GbpLiborSwapIsda29Y#0000</v>
      </c>
      <c r="G35" s="34" t="str">
        <f>_xll.ohRangeRetrieveError(F35)</f>
        <v/>
      </c>
      <c r="H35" s="33"/>
      <c r="J35" s="2">
        <f>_xll.qlInterestRateIndexFixingDays(F35)</f>
        <v>0</v>
      </c>
    </row>
    <row r="36" spans="2:10" s="29" customFormat="1" x14ac:dyDescent="0.2">
      <c r="B36" s="39"/>
      <c r="C36" s="38" t="s">
        <v>57</v>
      </c>
      <c r="D36" s="37" t="s">
        <v>5</v>
      </c>
      <c r="E36" s="36" t="str">
        <f t="shared" si="0"/>
        <v>GbpLiborSwapIsda30Y</v>
      </c>
      <c r="F36" s="35" t="str">
        <f>_xll.qlLiborSwap($E36,Currency,FixingType,$C36,Currency&amp;$D36,Discounting,Permanent,Trigger,ObjectOverwrite)</f>
        <v>GbpLiborSwapIsda30Y#0000</v>
      </c>
      <c r="G36" s="34" t="str">
        <f>_xll.ohRangeRetrieveError(F36)</f>
        <v/>
      </c>
      <c r="H36" s="33"/>
      <c r="J36" s="2">
        <f>_xll.qlInterestRateIndexFixingDays(F36)</f>
        <v>0</v>
      </c>
    </row>
    <row r="37" spans="2:10" s="29" customFormat="1" x14ac:dyDescent="0.2">
      <c r="B37" s="39"/>
      <c r="C37" s="38" t="s">
        <v>56</v>
      </c>
      <c r="D37" s="37" t="s">
        <v>5</v>
      </c>
      <c r="E37" s="36" t="str">
        <f t="shared" si="0"/>
        <v>GbpLiborSwapIsda31Y</v>
      </c>
      <c r="F37" s="35" t="str">
        <f>_xll.qlLiborSwap($E37,Currency,FixingType,$C37,Currency&amp;$D37,Discounting,Permanent,Trigger,ObjectOverwrite)</f>
        <v>GbpLiborSwapIsda31Y#0000</v>
      </c>
      <c r="G37" s="34" t="str">
        <f>_xll.ohRangeRetrieveError(F37)</f>
        <v/>
      </c>
      <c r="H37" s="33"/>
      <c r="J37" s="2">
        <f>_xll.qlInterestRateIndexFixingDays(F37)</f>
        <v>0</v>
      </c>
    </row>
    <row r="38" spans="2:10" s="29" customFormat="1" x14ac:dyDescent="0.2">
      <c r="B38" s="39"/>
      <c r="C38" s="38" t="s">
        <v>55</v>
      </c>
      <c r="D38" s="37" t="s">
        <v>5</v>
      </c>
      <c r="E38" s="36" t="str">
        <f t="shared" si="0"/>
        <v>GbpLiborSwapIsda32Y</v>
      </c>
      <c r="F38" s="35" t="str">
        <f>_xll.qlLiborSwap($E38,Currency,FixingType,$C38,Currency&amp;$D38,Discounting,Permanent,Trigger,ObjectOverwrite)</f>
        <v>GbpLiborSwapIsda32Y#0000</v>
      </c>
      <c r="G38" s="34" t="str">
        <f>_xll.ohRangeRetrieveError(F38)</f>
        <v/>
      </c>
      <c r="H38" s="33"/>
      <c r="J38" s="2">
        <f>_xll.qlInterestRateIndexFixingDays(F38)</f>
        <v>0</v>
      </c>
    </row>
    <row r="39" spans="2:10" s="29" customFormat="1" x14ac:dyDescent="0.2">
      <c r="B39" s="39"/>
      <c r="C39" s="38" t="s">
        <v>54</v>
      </c>
      <c r="D39" s="37" t="s">
        <v>5</v>
      </c>
      <c r="E39" s="36" t="str">
        <f t="shared" ref="E39:E66" si="6">PROPER(Currency)&amp;FamilyName&amp;FixingType&amp;$C39</f>
        <v>GbpLiborSwapIsda33Y</v>
      </c>
      <c r="F39" s="35" t="str">
        <f>_xll.qlLiborSwap($E39,Currency,FixingType,$C39,Currency&amp;$D39,Discounting,Permanent,Trigger,ObjectOverwrite)</f>
        <v>GbpLiborSwapIsda33Y#0000</v>
      </c>
      <c r="G39" s="34" t="str">
        <f>_xll.ohRangeRetrieveError(F39)</f>
        <v/>
      </c>
      <c r="H39" s="33"/>
      <c r="J39" s="2">
        <f>_xll.qlInterestRateIndexFixingDays(F39)</f>
        <v>0</v>
      </c>
    </row>
    <row r="40" spans="2:10" s="29" customFormat="1" x14ac:dyDescent="0.2">
      <c r="B40" s="39"/>
      <c r="C40" s="38" t="s">
        <v>53</v>
      </c>
      <c r="D40" s="37" t="s">
        <v>5</v>
      </c>
      <c r="E40" s="36" t="str">
        <f t="shared" si="6"/>
        <v>GbpLiborSwapIsda34Y</v>
      </c>
      <c r="F40" s="35" t="str">
        <f>_xll.qlLiborSwap($E40,Currency,FixingType,$C40,Currency&amp;$D40,Discounting,Permanent,Trigger,ObjectOverwrite)</f>
        <v>GbpLiborSwapIsda34Y#0000</v>
      </c>
      <c r="G40" s="34" t="str">
        <f>_xll.ohRangeRetrieveError(F40)</f>
        <v/>
      </c>
      <c r="H40" s="33"/>
      <c r="J40" s="2">
        <f>_xll.qlInterestRateIndexFixingDays(F40)</f>
        <v>0</v>
      </c>
    </row>
    <row r="41" spans="2:10" s="29" customFormat="1" x14ac:dyDescent="0.2">
      <c r="B41" s="39"/>
      <c r="C41" s="38" t="s">
        <v>52</v>
      </c>
      <c r="D41" s="37" t="s">
        <v>5</v>
      </c>
      <c r="E41" s="36" t="str">
        <f t="shared" si="6"/>
        <v>GbpLiborSwapIsda35Y</v>
      </c>
      <c r="F41" s="35" t="str">
        <f>_xll.qlLiborSwap($E41,Currency,FixingType,$C41,Currency&amp;$D41,Discounting,Permanent,Trigger,ObjectOverwrite)</f>
        <v>GbpLiborSwapIsda35Y#0000</v>
      </c>
      <c r="G41" s="34" t="str">
        <f>_xll.ohRangeRetrieveError(F41)</f>
        <v/>
      </c>
      <c r="H41" s="33"/>
      <c r="J41" s="2">
        <f>_xll.qlInterestRateIndexFixingDays(F41)</f>
        <v>0</v>
      </c>
    </row>
    <row r="42" spans="2:10" s="29" customFormat="1" x14ac:dyDescent="0.2">
      <c r="B42" s="39"/>
      <c r="C42" s="38" t="s">
        <v>51</v>
      </c>
      <c r="D42" s="37" t="s">
        <v>5</v>
      </c>
      <c r="E42" s="36" t="str">
        <f t="shared" si="6"/>
        <v>GbpLiborSwapIsda36Y</v>
      </c>
      <c r="F42" s="35" t="str">
        <f>_xll.qlLiborSwap($E42,Currency,FixingType,$C42,Currency&amp;$D42,Discounting,Permanent,Trigger,ObjectOverwrite)</f>
        <v>GbpLiborSwapIsda36Y#0000</v>
      </c>
      <c r="G42" s="34" t="str">
        <f>_xll.ohRangeRetrieveError(F42)</f>
        <v/>
      </c>
      <c r="H42" s="33"/>
      <c r="J42" s="2">
        <f>_xll.qlInterestRateIndexFixingDays(F42)</f>
        <v>0</v>
      </c>
    </row>
    <row r="43" spans="2:10" s="29" customFormat="1" x14ac:dyDescent="0.2">
      <c r="B43" s="39"/>
      <c r="C43" s="38" t="s">
        <v>50</v>
      </c>
      <c r="D43" s="37" t="s">
        <v>5</v>
      </c>
      <c r="E43" s="36" t="str">
        <f t="shared" si="6"/>
        <v>GbpLiborSwapIsda37Y</v>
      </c>
      <c r="F43" s="35" t="str">
        <f>_xll.qlLiborSwap($E43,Currency,FixingType,$C43,Currency&amp;$D43,Discounting,Permanent,Trigger,ObjectOverwrite)</f>
        <v>GbpLiborSwapIsda37Y#0000</v>
      </c>
      <c r="G43" s="34" t="str">
        <f>_xll.ohRangeRetrieveError(F43)</f>
        <v/>
      </c>
      <c r="H43" s="33"/>
      <c r="J43" s="2">
        <f>_xll.qlInterestRateIndexFixingDays(F43)</f>
        <v>0</v>
      </c>
    </row>
    <row r="44" spans="2:10" s="29" customFormat="1" x14ac:dyDescent="0.2">
      <c r="B44" s="39"/>
      <c r="C44" s="38" t="s">
        <v>49</v>
      </c>
      <c r="D44" s="37" t="s">
        <v>5</v>
      </c>
      <c r="E44" s="36" t="str">
        <f t="shared" si="6"/>
        <v>GbpLiborSwapIsda38Y</v>
      </c>
      <c r="F44" s="35" t="str">
        <f>_xll.qlLiborSwap($E44,Currency,FixingType,$C44,Currency&amp;$D44,Discounting,Permanent,Trigger,ObjectOverwrite)</f>
        <v>GbpLiborSwapIsda38Y#0000</v>
      </c>
      <c r="G44" s="34" t="str">
        <f>_xll.ohRangeRetrieveError(F44)</f>
        <v/>
      </c>
      <c r="H44" s="33"/>
      <c r="J44" s="2">
        <f>_xll.qlInterestRateIndexFixingDays(F44)</f>
        <v>0</v>
      </c>
    </row>
    <row r="45" spans="2:10" s="29" customFormat="1" x14ac:dyDescent="0.2">
      <c r="B45" s="39"/>
      <c r="C45" s="38" t="s">
        <v>48</v>
      </c>
      <c r="D45" s="37" t="s">
        <v>5</v>
      </c>
      <c r="E45" s="36" t="str">
        <f t="shared" si="6"/>
        <v>GbpLiborSwapIsda39Y</v>
      </c>
      <c r="F45" s="35" t="str">
        <f>_xll.qlLiborSwap($E45,Currency,FixingType,$C45,Currency&amp;$D45,Discounting,Permanent,Trigger,ObjectOverwrite)</f>
        <v>GbpLiborSwapIsda39Y#0000</v>
      </c>
      <c r="G45" s="34" t="str">
        <f>_xll.ohRangeRetrieveError(F45)</f>
        <v/>
      </c>
      <c r="H45" s="33"/>
      <c r="J45" s="2">
        <f>_xll.qlInterestRateIndexFixingDays(F45)</f>
        <v>0</v>
      </c>
    </row>
    <row r="46" spans="2:10" s="29" customFormat="1" x14ac:dyDescent="0.2">
      <c r="B46" s="39"/>
      <c r="C46" s="38" t="s">
        <v>47</v>
      </c>
      <c r="D46" s="37" t="s">
        <v>5</v>
      </c>
      <c r="E46" s="36" t="str">
        <f t="shared" si="6"/>
        <v>GbpLiborSwapIsda40Y</v>
      </c>
      <c r="F46" s="35" t="str">
        <f>_xll.qlLiborSwap($E46,Currency,FixingType,$C46,Currency&amp;$D46,Discounting,Permanent,Trigger,ObjectOverwrite)</f>
        <v>GbpLiborSwapIsda40Y#0000</v>
      </c>
      <c r="G46" s="34" t="str">
        <f>_xll.ohRangeRetrieveError(F46)</f>
        <v/>
      </c>
      <c r="H46" s="33"/>
      <c r="J46" s="2">
        <f>_xll.qlInterestRateIndexFixingDays(F46)</f>
        <v>0</v>
      </c>
    </row>
    <row r="47" spans="2:10" s="29" customFormat="1" x14ac:dyDescent="0.2">
      <c r="B47" s="39"/>
      <c r="C47" s="38" t="s">
        <v>46</v>
      </c>
      <c r="D47" s="37" t="s">
        <v>5</v>
      </c>
      <c r="E47" s="36" t="str">
        <f t="shared" si="6"/>
        <v>GbpLiborSwapIsda41Y</v>
      </c>
      <c r="F47" s="35" t="str">
        <f>_xll.qlLiborSwap($E47,Currency,FixingType,$C47,Currency&amp;$D47,Discounting,Permanent,Trigger,ObjectOverwrite)</f>
        <v>GbpLiborSwapIsda41Y#0000</v>
      </c>
      <c r="G47" s="34" t="str">
        <f>_xll.ohRangeRetrieveError(F47)</f>
        <v/>
      </c>
      <c r="H47" s="33"/>
      <c r="J47" s="2">
        <f>_xll.qlInterestRateIndexFixingDays(F47)</f>
        <v>0</v>
      </c>
    </row>
    <row r="48" spans="2:10" s="29" customFormat="1" x14ac:dyDescent="0.2">
      <c r="B48" s="39"/>
      <c r="C48" s="38" t="s">
        <v>45</v>
      </c>
      <c r="D48" s="37" t="s">
        <v>5</v>
      </c>
      <c r="E48" s="36" t="str">
        <f t="shared" si="6"/>
        <v>GbpLiborSwapIsda42Y</v>
      </c>
      <c r="F48" s="35" t="str">
        <f>_xll.qlLiborSwap($E48,Currency,FixingType,$C48,Currency&amp;$D48,Discounting,Permanent,Trigger,ObjectOverwrite)</f>
        <v>GbpLiborSwapIsda42Y#0000</v>
      </c>
      <c r="G48" s="34" t="str">
        <f>_xll.ohRangeRetrieveError(F48)</f>
        <v/>
      </c>
      <c r="H48" s="33"/>
      <c r="J48" s="2">
        <f>_xll.qlInterestRateIndexFixingDays(F48)</f>
        <v>0</v>
      </c>
    </row>
    <row r="49" spans="2:10" s="29" customFormat="1" x14ac:dyDescent="0.2">
      <c r="B49" s="39"/>
      <c r="C49" s="38" t="s">
        <v>44</v>
      </c>
      <c r="D49" s="37" t="s">
        <v>5</v>
      </c>
      <c r="E49" s="36" t="str">
        <f t="shared" si="6"/>
        <v>GbpLiborSwapIsda43Y</v>
      </c>
      <c r="F49" s="35" t="str">
        <f>_xll.qlLiborSwap($E49,Currency,FixingType,$C49,Currency&amp;$D49,Discounting,Permanent,Trigger,ObjectOverwrite)</f>
        <v>GbpLiborSwapIsda43Y#0000</v>
      </c>
      <c r="G49" s="34" t="str">
        <f>_xll.ohRangeRetrieveError(F49)</f>
        <v/>
      </c>
      <c r="H49" s="33"/>
      <c r="J49" s="2">
        <f>_xll.qlInterestRateIndexFixingDays(F49)</f>
        <v>0</v>
      </c>
    </row>
    <row r="50" spans="2:10" s="29" customFormat="1" x14ac:dyDescent="0.2">
      <c r="B50" s="39"/>
      <c r="C50" s="38" t="s">
        <v>43</v>
      </c>
      <c r="D50" s="37" t="s">
        <v>5</v>
      </c>
      <c r="E50" s="36" t="str">
        <f t="shared" si="6"/>
        <v>GbpLiborSwapIsda44Y</v>
      </c>
      <c r="F50" s="35" t="str">
        <f>_xll.qlLiborSwap($E50,Currency,FixingType,$C50,Currency&amp;$D50,Discounting,Permanent,Trigger,ObjectOverwrite)</f>
        <v>GbpLiborSwapIsda44Y#0000</v>
      </c>
      <c r="G50" s="34" t="str">
        <f>_xll.ohRangeRetrieveError(F50)</f>
        <v/>
      </c>
      <c r="H50" s="33"/>
      <c r="J50" s="2">
        <f>_xll.qlInterestRateIndexFixingDays(F50)</f>
        <v>0</v>
      </c>
    </row>
    <row r="51" spans="2:10" s="29" customFormat="1" x14ac:dyDescent="0.2">
      <c r="B51" s="39"/>
      <c r="C51" s="38" t="s">
        <v>42</v>
      </c>
      <c r="D51" s="37" t="s">
        <v>5</v>
      </c>
      <c r="E51" s="36" t="str">
        <f t="shared" si="6"/>
        <v>GbpLiborSwapIsda45Y</v>
      </c>
      <c r="F51" s="35" t="str">
        <f>_xll.qlLiborSwap($E51,Currency,FixingType,$C51,Currency&amp;$D51,Discounting,Permanent,Trigger,ObjectOverwrite)</f>
        <v>GbpLiborSwapIsda45Y#0000</v>
      </c>
      <c r="G51" s="34" t="str">
        <f>_xll.ohRangeRetrieveError(F51)</f>
        <v/>
      </c>
      <c r="H51" s="33"/>
      <c r="J51" s="2">
        <f>_xll.qlInterestRateIndexFixingDays(F51)</f>
        <v>0</v>
      </c>
    </row>
    <row r="52" spans="2:10" s="29" customFormat="1" x14ac:dyDescent="0.2">
      <c r="B52" s="39"/>
      <c r="C52" s="38" t="s">
        <v>41</v>
      </c>
      <c r="D52" s="37" t="s">
        <v>5</v>
      </c>
      <c r="E52" s="36" t="str">
        <f t="shared" si="6"/>
        <v>GbpLiborSwapIsda46Y</v>
      </c>
      <c r="F52" s="35" t="str">
        <f>_xll.qlLiborSwap($E52,Currency,FixingType,$C52,Currency&amp;$D52,Discounting,Permanent,Trigger,ObjectOverwrite)</f>
        <v>GbpLiborSwapIsda46Y#0000</v>
      </c>
      <c r="G52" s="34" t="str">
        <f>_xll.ohRangeRetrieveError(F52)</f>
        <v/>
      </c>
      <c r="H52" s="33"/>
      <c r="J52" s="2">
        <f>_xll.qlInterestRateIndexFixingDays(F52)</f>
        <v>0</v>
      </c>
    </row>
    <row r="53" spans="2:10" s="29" customFormat="1" x14ac:dyDescent="0.2">
      <c r="B53" s="39"/>
      <c r="C53" s="38" t="s">
        <v>40</v>
      </c>
      <c r="D53" s="37" t="s">
        <v>5</v>
      </c>
      <c r="E53" s="36" t="str">
        <f t="shared" si="6"/>
        <v>GbpLiborSwapIsda47Y</v>
      </c>
      <c r="F53" s="35" t="str">
        <f>_xll.qlLiborSwap($E53,Currency,FixingType,$C53,Currency&amp;$D53,Discounting,Permanent,Trigger,ObjectOverwrite)</f>
        <v>GbpLiborSwapIsda47Y#0000</v>
      </c>
      <c r="G53" s="34" t="str">
        <f>_xll.ohRangeRetrieveError(F53)</f>
        <v/>
      </c>
      <c r="H53" s="33"/>
      <c r="J53" s="2">
        <f>_xll.qlInterestRateIndexFixingDays(F53)</f>
        <v>0</v>
      </c>
    </row>
    <row r="54" spans="2:10" s="29" customFormat="1" x14ac:dyDescent="0.2">
      <c r="B54" s="39"/>
      <c r="C54" s="38" t="s">
        <v>39</v>
      </c>
      <c r="D54" s="37" t="s">
        <v>5</v>
      </c>
      <c r="E54" s="36" t="str">
        <f t="shared" si="6"/>
        <v>GbpLiborSwapIsda48Y</v>
      </c>
      <c r="F54" s="35" t="str">
        <f>_xll.qlLiborSwap($E54,Currency,FixingType,$C54,Currency&amp;$D54,Discounting,Permanent,Trigger,ObjectOverwrite)</f>
        <v>GbpLiborSwapIsda48Y#0000</v>
      </c>
      <c r="G54" s="34" t="str">
        <f>_xll.ohRangeRetrieveError(F54)</f>
        <v/>
      </c>
      <c r="H54" s="33"/>
      <c r="J54" s="2">
        <f>_xll.qlInterestRateIndexFixingDays(F54)</f>
        <v>0</v>
      </c>
    </row>
    <row r="55" spans="2:10" s="29" customFormat="1" x14ac:dyDescent="0.2">
      <c r="B55" s="39"/>
      <c r="C55" s="38" t="s">
        <v>38</v>
      </c>
      <c r="D55" s="37" t="s">
        <v>5</v>
      </c>
      <c r="E55" s="36" t="str">
        <f t="shared" si="6"/>
        <v>GbpLiborSwapIsda49Y</v>
      </c>
      <c r="F55" s="35" t="str">
        <f>_xll.qlLiborSwap($E55,Currency,FixingType,$C55,Currency&amp;$D55,Discounting,Permanent,Trigger,ObjectOverwrite)</f>
        <v>GbpLiborSwapIsda49Y#0000</v>
      </c>
      <c r="G55" s="34" t="str">
        <f>_xll.ohRangeRetrieveError(F55)</f>
        <v/>
      </c>
      <c r="H55" s="33"/>
      <c r="J55" s="2">
        <f>_xll.qlInterestRateIndexFixingDays(F55)</f>
        <v>0</v>
      </c>
    </row>
    <row r="56" spans="2:10" s="29" customFormat="1" x14ac:dyDescent="0.2">
      <c r="B56" s="39"/>
      <c r="C56" s="38" t="s">
        <v>37</v>
      </c>
      <c r="D56" s="37" t="s">
        <v>5</v>
      </c>
      <c r="E56" s="36" t="str">
        <f t="shared" si="6"/>
        <v>GbpLiborSwapIsda50Y</v>
      </c>
      <c r="F56" s="35" t="str">
        <f>_xll.qlLiborSwap($E56,Currency,FixingType,$C56,Currency&amp;$D56,Discounting,Permanent,Trigger,ObjectOverwrite)</f>
        <v>GbpLiborSwapIsda50Y#0000</v>
      </c>
      <c r="G56" s="34" t="str">
        <f>_xll.ohRangeRetrieveError(F56)</f>
        <v/>
      </c>
      <c r="H56" s="33"/>
      <c r="J56" s="2">
        <f>_xll.qlInterestRateIndexFixingDays(F56)</f>
        <v>0</v>
      </c>
    </row>
    <row r="57" spans="2:10" s="29" customFormat="1" x14ac:dyDescent="0.2">
      <c r="B57" s="39"/>
      <c r="C57" s="38" t="s">
        <v>36</v>
      </c>
      <c r="D57" s="37" t="s">
        <v>5</v>
      </c>
      <c r="E57" s="36" t="str">
        <f t="shared" si="6"/>
        <v>GbpLiborSwapIsda51Y</v>
      </c>
      <c r="F57" s="35" t="str">
        <f>_xll.qlLiborSwap($E57,Currency,FixingType,$C57,Currency&amp;$D57,Discounting,Permanent,Trigger,ObjectOverwrite)</f>
        <v>GbpLiborSwapIsda51Y#0000</v>
      </c>
      <c r="G57" s="34" t="str">
        <f>_xll.ohRangeRetrieveError(F57)</f>
        <v/>
      </c>
      <c r="H57" s="33"/>
      <c r="J57" s="2">
        <f>_xll.qlInterestRateIndexFixingDays(F57)</f>
        <v>0</v>
      </c>
    </row>
    <row r="58" spans="2:10" s="29" customFormat="1" x14ac:dyDescent="0.2">
      <c r="B58" s="39"/>
      <c r="C58" s="38" t="s">
        <v>35</v>
      </c>
      <c r="D58" s="37" t="s">
        <v>5</v>
      </c>
      <c r="E58" s="36" t="str">
        <f t="shared" si="6"/>
        <v>GbpLiborSwapIsda52Y</v>
      </c>
      <c r="F58" s="35" t="str">
        <f>_xll.qlLiborSwap($E58,Currency,FixingType,$C58,Currency&amp;$D58,Discounting,Permanent,Trigger,ObjectOverwrite)</f>
        <v>GbpLiborSwapIsda52Y#0000</v>
      </c>
      <c r="G58" s="34" t="str">
        <f>_xll.ohRangeRetrieveError(F58)</f>
        <v/>
      </c>
      <c r="H58" s="33"/>
      <c r="J58" s="2">
        <f>_xll.qlInterestRateIndexFixingDays(F58)</f>
        <v>0</v>
      </c>
    </row>
    <row r="59" spans="2:10" s="29" customFormat="1" x14ac:dyDescent="0.2">
      <c r="B59" s="39"/>
      <c r="C59" s="38" t="s">
        <v>34</v>
      </c>
      <c r="D59" s="37" t="s">
        <v>5</v>
      </c>
      <c r="E59" s="36" t="str">
        <f t="shared" si="6"/>
        <v>GbpLiborSwapIsda53Y</v>
      </c>
      <c r="F59" s="35" t="str">
        <f>_xll.qlLiborSwap($E59,Currency,FixingType,$C59,Currency&amp;$D59,Discounting,Permanent,Trigger,ObjectOverwrite)</f>
        <v>GbpLiborSwapIsda53Y#0000</v>
      </c>
      <c r="G59" s="34" t="str">
        <f>_xll.ohRangeRetrieveError(F59)</f>
        <v/>
      </c>
      <c r="H59" s="33"/>
      <c r="J59" s="2">
        <f>_xll.qlInterestRateIndexFixingDays(F59)</f>
        <v>0</v>
      </c>
    </row>
    <row r="60" spans="2:10" s="29" customFormat="1" x14ac:dyDescent="0.2">
      <c r="B60" s="39"/>
      <c r="C60" s="38" t="s">
        <v>33</v>
      </c>
      <c r="D60" s="37" t="s">
        <v>5</v>
      </c>
      <c r="E60" s="36" t="str">
        <f t="shared" si="6"/>
        <v>GbpLiborSwapIsda54Y</v>
      </c>
      <c r="F60" s="35" t="str">
        <f>_xll.qlLiborSwap($E60,Currency,FixingType,$C60,Currency&amp;$D60,Discounting,Permanent,Trigger,ObjectOverwrite)</f>
        <v>GbpLiborSwapIsda54Y#0000</v>
      </c>
      <c r="G60" s="34" t="str">
        <f>_xll.ohRangeRetrieveError(F60)</f>
        <v/>
      </c>
      <c r="H60" s="33"/>
      <c r="J60" s="2">
        <f>_xll.qlInterestRateIndexFixingDays(F60)</f>
        <v>0</v>
      </c>
    </row>
    <row r="61" spans="2:10" s="29" customFormat="1" x14ac:dyDescent="0.2">
      <c r="B61" s="39"/>
      <c r="C61" s="38" t="s">
        <v>32</v>
      </c>
      <c r="D61" s="37" t="s">
        <v>5</v>
      </c>
      <c r="E61" s="36" t="str">
        <f t="shared" si="6"/>
        <v>GbpLiborSwapIsda55Y</v>
      </c>
      <c r="F61" s="35" t="str">
        <f>_xll.qlLiborSwap($E61,Currency,FixingType,$C61,Currency&amp;$D61,Discounting,Permanent,Trigger,ObjectOverwrite)</f>
        <v>GbpLiborSwapIsda55Y#0000</v>
      </c>
      <c r="G61" s="34" t="str">
        <f>_xll.ohRangeRetrieveError(F61)</f>
        <v/>
      </c>
      <c r="H61" s="33"/>
      <c r="J61" s="2">
        <f>_xll.qlInterestRateIndexFixingDays(F61)</f>
        <v>0</v>
      </c>
    </row>
    <row r="62" spans="2:10" s="29" customFormat="1" x14ac:dyDescent="0.2">
      <c r="B62" s="39"/>
      <c r="C62" s="38" t="s">
        <v>31</v>
      </c>
      <c r="D62" s="37" t="s">
        <v>5</v>
      </c>
      <c r="E62" s="36" t="str">
        <f t="shared" si="6"/>
        <v>GbpLiborSwapIsda56Y</v>
      </c>
      <c r="F62" s="35" t="str">
        <f>_xll.qlLiborSwap($E62,Currency,FixingType,$C62,Currency&amp;$D62,Discounting,Permanent,Trigger,ObjectOverwrite)</f>
        <v>GbpLiborSwapIsda56Y#0000</v>
      </c>
      <c r="G62" s="34" t="str">
        <f>_xll.ohRangeRetrieveError(F62)</f>
        <v/>
      </c>
      <c r="H62" s="33"/>
      <c r="J62" s="2">
        <f>_xll.qlInterestRateIndexFixingDays(F62)</f>
        <v>0</v>
      </c>
    </row>
    <row r="63" spans="2:10" s="29" customFormat="1" x14ac:dyDescent="0.2">
      <c r="B63" s="39"/>
      <c r="C63" s="38" t="s">
        <v>30</v>
      </c>
      <c r="D63" s="37" t="s">
        <v>5</v>
      </c>
      <c r="E63" s="36" t="str">
        <f t="shared" si="6"/>
        <v>GbpLiborSwapIsda57Y</v>
      </c>
      <c r="F63" s="35" t="str">
        <f>_xll.qlLiborSwap($E63,Currency,FixingType,$C63,Currency&amp;$D63,Discounting,Permanent,Trigger,ObjectOverwrite)</f>
        <v>GbpLiborSwapIsda57Y#0000</v>
      </c>
      <c r="G63" s="34" t="str">
        <f>_xll.ohRangeRetrieveError(F63)</f>
        <v/>
      </c>
      <c r="H63" s="33"/>
      <c r="J63" s="2">
        <f>_xll.qlInterestRateIndexFixingDays(F63)</f>
        <v>0</v>
      </c>
    </row>
    <row r="64" spans="2:10" s="29" customFormat="1" x14ac:dyDescent="0.2">
      <c r="B64" s="39"/>
      <c r="C64" s="38" t="s">
        <v>29</v>
      </c>
      <c r="D64" s="37" t="s">
        <v>5</v>
      </c>
      <c r="E64" s="36" t="str">
        <f t="shared" si="6"/>
        <v>GbpLiborSwapIsda58Y</v>
      </c>
      <c r="F64" s="35" t="str">
        <f>_xll.qlLiborSwap($E64,Currency,FixingType,$C64,Currency&amp;$D64,Discounting,Permanent,Trigger,ObjectOverwrite)</f>
        <v>GbpLiborSwapIsda58Y#0000</v>
      </c>
      <c r="G64" s="34" t="str">
        <f>_xll.ohRangeRetrieveError(F64)</f>
        <v/>
      </c>
      <c r="H64" s="33"/>
      <c r="J64" s="2">
        <f>_xll.qlInterestRateIndexFixingDays(F64)</f>
        <v>0</v>
      </c>
    </row>
    <row r="65" spans="2:28" s="29" customFormat="1" x14ac:dyDescent="0.2">
      <c r="B65" s="39"/>
      <c r="C65" s="38" t="s">
        <v>28</v>
      </c>
      <c r="D65" s="37" t="s">
        <v>5</v>
      </c>
      <c r="E65" s="36" t="str">
        <f t="shared" si="6"/>
        <v>GbpLiborSwapIsda59Y</v>
      </c>
      <c r="F65" s="35" t="str">
        <f>_xll.qlLiborSwap($E65,Currency,FixingType,$C65,Currency&amp;$D65,Discounting,Permanent,Trigger,ObjectOverwrite)</f>
        <v>GbpLiborSwapIsda59Y#0000</v>
      </c>
      <c r="G65" s="34" t="str">
        <f>_xll.ohRangeRetrieveError(F65)</f>
        <v/>
      </c>
      <c r="H65" s="33"/>
      <c r="J65" s="2">
        <f>_xll.qlInterestRateIndexFixingDays(F65)</f>
        <v>0</v>
      </c>
    </row>
    <row r="66" spans="2:28" s="29" customFormat="1" x14ac:dyDescent="0.2">
      <c r="B66" s="39"/>
      <c r="C66" s="38" t="s">
        <v>27</v>
      </c>
      <c r="D66" s="37" t="s">
        <v>5</v>
      </c>
      <c r="E66" s="36" t="str">
        <f t="shared" si="6"/>
        <v>GbpLiborSwapIsda60Y</v>
      </c>
      <c r="F66" s="35" t="str">
        <f>_xll.qlLiborSwap($E66,Currency,FixingType,$C66,Currency&amp;$D66,Discounting,Permanent,Trigger,ObjectOverwrite)</f>
        <v>GbpLiborSwapIsda60Y#0000</v>
      </c>
      <c r="G66" s="34" t="str">
        <f>_xll.ohRangeRetrieveError(F66)</f>
        <v/>
      </c>
      <c r="H66" s="33"/>
      <c r="J66" s="2">
        <f>_xll.qlInterestRateIndexFixingDays(F66)</f>
        <v>0</v>
      </c>
    </row>
    <row r="67" spans="2:28" s="29" customFormat="1" ht="12" thickBot="1" x14ac:dyDescent="0.25">
      <c r="B67" s="32"/>
      <c r="C67" s="31"/>
      <c r="D67" s="31"/>
      <c r="E67" s="31"/>
      <c r="F67" s="31"/>
      <c r="G67" s="31"/>
      <c r="H67" s="30"/>
    </row>
    <row r="68" spans="2:28" s="29" customFormat="1" x14ac:dyDescent="0.2"/>
    <row r="69" spans="2:28" x14ac:dyDescent="0.2">
      <c r="L69" s="29"/>
      <c r="M69" s="29"/>
      <c r="N69" s="29"/>
      <c r="O69" s="29"/>
      <c r="P69" s="29"/>
      <c r="Q69" s="29"/>
      <c r="R69" s="29"/>
      <c r="S69" s="29"/>
      <c r="T69" s="29"/>
      <c r="U69" s="29"/>
      <c r="V69" s="29"/>
      <c r="W69" s="29"/>
      <c r="X69" s="29"/>
      <c r="Y69" s="29"/>
      <c r="Z69" s="29"/>
      <c r="AA69" s="29"/>
      <c r="AB69" s="29"/>
    </row>
    <row r="70" spans="2:28" x14ac:dyDescent="0.2">
      <c r="L70" s="29"/>
      <c r="M70" s="29"/>
      <c r="N70" s="29"/>
      <c r="O70" s="29"/>
      <c r="P70" s="29"/>
      <c r="Q70" s="29"/>
      <c r="R70" s="29"/>
      <c r="S70" s="29"/>
      <c r="T70" s="29"/>
      <c r="U70" s="29"/>
      <c r="V70" s="29"/>
      <c r="W70" s="29"/>
      <c r="X70" s="29"/>
      <c r="Y70" s="29"/>
      <c r="Z70" s="29"/>
      <c r="AA70" s="29"/>
      <c r="AB70" s="29"/>
    </row>
  </sheetData>
  <conditionalFormatting sqref="X7:X21">
    <cfRule type="cellIs" dxfId="41" priority="1" stopIfTrue="1" operator="greaterThan">
      <formula>0</formula>
    </cfRule>
    <cfRule type="cellIs" dxfId="40" priority="2" stopIfTrue="1" operator="lessThan">
      <formula>0</formula>
    </cfRule>
  </conditionalFormatting>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H43"/>
  <sheetViews>
    <sheetView workbookViewId="0"/>
  </sheetViews>
  <sheetFormatPr defaultRowHeight="11.25" x14ac:dyDescent="0.2"/>
  <cols>
    <col min="1" max="1" width="2.7109375" style="65" customWidth="1"/>
    <col min="2" max="2" width="6.5703125" style="64" bestFit="1" customWidth="1"/>
    <col min="3" max="4" width="2.7109375" style="65" bestFit="1" customWidth="1"/>
    <col min="5" max="5" width="17.85546875" style="65" bestFit="1" customWidth="1"/>
    <col min="6" max="6" width="19.7109375" style="66" bestFit="1" customWidth="1"/>
    <col min="7" max="7" width="38.28515625" style="65" customWidth="1"/>
    <col min="8" max="9" width="2.7109375" style="65" customWidth="1"/>
    <col min="10" max="12" width="3.5703125" style="65" customWidth="1"/>
    <col min="13" max="13" width="2.7109375" style="65" customWidth="1"/>
    <col min="14" max="17" width="9.140625" style="65"/>
    <col min="18" max="18" width="10.28515625" style="65" bestFit="1" customWidth="1"/>
    <col min="19" max="19" width="14.5703125" style="65" bestFit="1" customWidth="1"/>
    <col min="20" max="24" width="9.140625" style="65"/>
    <col min="25" max="25" width="2.7109375" style="65" customWidth="1"/>
    <col min="26" max="26" width="9.140625" style="65"/>
    <col min="27" max="27" width="2.7109375" style="65" customWidth="1"/>
    <col min="28" max="29" width="9.140625" style="65"/>
    <col min="30" max="31" width="2.7109375" style="65" customWidth="1"/>
    <col min="32" max="16384" width="9.140625" style="65"/>
  </cols>
  <sheetData>
    <row r="1" spans="1:34" x14ac:dyDescent="0.2">
      <c r="N1" s="411" t="s">
        <v>353</v>
      </c>
      <c r="O1" s="201"/>
      <c r="P1" s="201"/>
      <c r="Q1" s="201"/>
      <c r="R1" s="201"/>
      <c r="S1" s="201"/>
      <c r="T1" s="201"/>
      <c r="U1" s="201"/>
      <c r="V1" s="201"/>
      <c r="W1" s="201"/>
      <c r="X1" s="201"/>
      <c r="Y1" s="201"/>
      <c r="Z1" s="201"/>
      <c r="AA1" s="201"/>
      <c r="AB1" s="201"/>
      <c r="AC1" s="201"/>
      <c r="AD1" s="198"/>
      <c r="AE1" s="64"/>
      <c r="AF1" s="64"/>
      <c r="AG1" s="64"/>
      <c r="AH1" s="64"/>
    </row>
    <row r="2" spans="1:34" x14ac:dyDescent="0.2">
      <c r="N2" s="374"/>
      <c r="O2" s="342"/>
      <c r="P2" s="342"/>
      <c r="Q2" s="342"/>
      <c r="R2" s="342"/>
      <c r="S2" s="140" t="s">
        <v>275</v>
      </c>
      <c r="T2" s="342"/>
      <c r="U2" s="342"/>
      <c r="V2" s="342"/>
      <c r="W2" s="342"/>
      <c r="X2" s="133"/>
      <c r="Y2" s="342"/>
      <c r="Z2" s="342"/>
      <c r="AA2" s="342"/>
      <c r="AB2" s="133"/>
      <c r="AC2" s="133"/>
      <c r="AD2" s="33"/>
      <c r="AE2" s="64"/>
      <c r="AF2" s="64"/>
      <c r="AG2" s="64"/>
      <c r="AH2" s="64"/>
    </row>
    <row r="3" spans="1:34" x14ac:dyDescent="0.2">
      <c r="A3" s="581" t="s">
        <v>347</v>
      </c>
      <c r="B3" s="95"/>
      <c r="C3" s="95"/>
      <c r="D3" s="95"/>
      <c r="E3" s="93"/>
      <c r="F3" s="94"/>
      <c r="G3" s="93"/>
      <c r="H3" s="92"/>
      <c r="N3" s="118"/>
      <c r="O3" s="342"/>
      <c r="P3" s="133"/>
      <c r="Q3" s="133"/>
      <c r="R3" s="133"/>
      <c r="S3" s="133" t="str">
        <f>_xll.qlInterpolation(,InterpolationType,_xll.ohFilter(N5:N42,W5:W42),_xll.ohFilter(V5:V42,W5:W42))</f>
        <v>obj_00521#0000</v>
      </c>
      <c r="T3" s="133"/>
      <c r="U3" s="133"/>
      <c r="V3" s="133"/>
      <c r="W3" s="133"/>
      <c r="X3" s="133"/>
      <c r="Y3" s="342"/>
      <c r="Z3" s="342"/>
      <c r="AA3" s="342"/>
      <c r="AB3" s="133"/>
      <c r="AC3" s="371">
        <f>_xll.ohTrigger(AC5:AC42)</f>
        <v>0</v>
      </c>
      <c r="AD3" s="218"/>
      <c r="AE3" s="64"/>
      <c r="AF3" s="64"/>
      <c r="AG3" s="64"/>
      <c r="AH3" s="64"/>
    </row>
    <row r="4" spans="1:34" ht="23.25" thickBot="1" x14ac:dyDescent="0.25">
      <c r="A4" s="77"/>
      <c r="B4" s="90" t="s">
        <v>125</v>
      </c>
      <c r="C4" s="91"/>
      <c r="D4" s="90"/>
      <c r="E4" s="89" t="str">
        <f>Currency&amp;"_010_Sw"&amp;$C$6&amp;$D$6&amp;".xml"</f>
        <v>GBP_010_Sw1L6L.xml</v>
      </c>
      <c r="F4" s="88">
        <f ca="1">IF(Serialize,_xll.ohObjectSave(F5:F42,SerializationPath&amp;E4,FileOverwrite,Serialize),"---")</f>
        <v>38</v>
      </c>
      <c r="G4" s="72" t="str">
        <f ca="1">_xll.ohRangeRetrieveError(F4)</f>
        <v/>
      </c>
      <c r="H4" s="71"/>
      <c r="N4" s="118"/>
      <c r="O4" s="494"/>
      <c r="P4" s="196"/>
      <c r="Q4" s="196"/>
      <c r="R4" s="196"/>
      <c r="S4" s="370" t="e">
        <f ca="1">_xll.RData(S5:S42,T4:U4,"RTFEED:IDN",ReutersRtMode,,T5)</f>
        <v>#NAME?</v>
      </c>
      <c r="T4" s="409" t="s">
        <v>291</v>
      </c>
      <c r="U4" s="409" t="s">
        <v>264</v>
      </c>
      <c r="V4" s="409" t="s">
        <v>315</v>
      </c>
      <c r="W4" s="409"/>
      <c r="X4" s="366" t="s">
        <v>314</v>
      </c>
      <c r="Y4" s="342"/>
      <c r="Z4" s="368" t="s">
        <v>286</v>
      </c>
      <c r="AA4" s="342"/>
      <c r="AB4" s="587" t="s">
        <v>285</v>
      </c>
      <c r="AC4" s="91" t="s">
        <v>284</v>
      </c>
      <c r="AD4" s="218"/>
      <c r="AE4" s="64"/>
      <c r="AF4" s="64"/>
      <c r="AG4" s="64"/>
      <c r="AH4" s="64"/>
    </row>
    <row r="5" spans="1:34" s="63" customFormat="1" ht="12.75" x14ac:dyDescent="0.2">
      <c r="A5" s="77"/>
      <c r="B5" s="87" t="s">
        <v>8</v>
      </c>
      <c r="C5" s="75" t="str">
        <f>VLOOKUP(Currency,$J$10:$L$14,2)</f>
        <v>1L</v>
      </c>
      <c r="D5" s="74" t="str">
        <f>VLOOKUP(Currency,$J$10:$L$14,3)</f>
        <v>6L</v>
      </c>
      <c r="E5" s="73" t="str">
        <f t="shared" ref="E5:E42" si="0">IF(ISBLANK(C5),"#",Currency&amp;$C5&amp;$D5&amp;$B5&amp;QuoteSuffix)</f>
        <v>GBP1L6L6M_Quote</v>
      </c>
      <c r="F5" s="73" t="str">
        <f>_xll.qlSimpleQuote(E5,,RateTickValue,Permanent,Trigger,ObjectOverwrite)</f>
        <v>GBP1L6L6M_Quote#0000</v>
      </c>
      <c r="G5" s="72" t="str">
        <f>_xll.ohRangeRetrieveError(F5)</f>
        <v/>
      </c>
      <c r="H5" s="71"/>
      <c r="I5" s="65"/>
      <c r="J5" s="65"/>
      <c r="K5" s="65"/>
      <c r="L5" s="65"/>
      <c r="M5" s="65"/>
      <c r="N5" s="515">
        <v>0.5</v>
      </c>
      <c r="O5" s="393" t="s">
        <v>8</v>
      </c>
      <c r="P5" s="396" t="str">
        <f t="array" ref="P5:P42">VLOOKUP(Currency,Conventions,2)</f>
        <v>1L</v>
      </c>
      <c r="Q5" s="396" t="str">
        <f t="array" ref="Q5:Q42">VLOOKUP(Currency,Conventions,3)</f>
        <v>6L</v>
      </c>
      <c r="R5" s="394" t="str">
        <f t="shared" ref="R5:R42" si="1">Currency&amp;$P5&amp;$Q5&amp;$O5</f>
        <v>GBP1L6L6M</v>
      </c>
      <c r="S5" s="351" t="str">
        <f t="array" ref="S5:S42">Instruments&amp;"="&amp;VLOOKUP(Contributor,ContributorTable,2,FALSE)</f>
        <v>GBP1L6L6M=ICAP</v>
      </c>
      <c r="T5" s="513" t="s">
        <v>233</v>
      </c>
      <c r="U5" s="513" t="s">
        <v>233</v>
      </c>
      <c r="V5" s="513" t="e">
        <f>_xll.qlMidEquivalent(T5,U5)</f>
        <v>#NUM!</v>
      </c>
      <c r="W5" s="348" t="b">
        <f t="shared" ref="W5:W42" si="2">IF(ISNUMBER(V5),TRUE,FALSE)</f>
        <v>0</v>
      </c>
      <c r="X5" s="514" t="e">
        <f t="array" ref="X5:X38">_xll.qlInterpolationInterpolate(S3,N5:N42)</f>
        <v>#NUM!</v>
      </c>
      <c r="Y5" s="342"/>
      <c r="Z5" s="511" t="e">
        <v>#NUM!</v>
      </c>
      <c r="AA5" s="342"/>
      <c r="AB5" s="623" t="e">
        <f t="array" ref="AB5:AB42">QuoteStatic</f>
        <v>#NUM!</v>
      </c>
      <c r="AC5" s="347" t="e">
        <f>_xll.qlSimpleQuoteSetValue(F5,AB5/10000,Trigger)</f>
        <v>#NUM!</v>
      </c>
      <c r="AD5" s="218"/>
      <c r="AE5" s="64"/>
      <c r="AF5" s="86" t="s">
        <v>121</v>
      </c>
      <c r="AG5" s="85" t="s">
        <v>113</v>
      </c>
      <c r="AH5" s="84" t="s">
        <v>116</v>
      </c>
    </row>
    <row r="6" spans="1:34" s="63" customFormat="1" ht="12.75" x14ac:dyDescent="0.2">
      <c r="A6" s="77"/>
      <c r="B6" s="87" t="s">
        <v>1</v>
      </c>
      <c r="C6" s="75" t="str">
        <f t="shared" ref="C6:C42" si="3">C5</f>
        <v>1L</v>
      </c>
      <c r="D6" s="74" t="str">
        <f t="shared" ref="D6:D42" si="4">D5</f>
        <v>6L</v>
      </c>
      <c r="E6" s="73" t="str">
        <f t="shared" si="0"/>
        <v>GBP1L6L1Y_Quote</v>
      </c>
      <c r="F6" s="73" t="str">
        <f>_xll.qlSimpleQuote(E6,,RateTickValue,Permanent,Trigger,ObjectOverwrite)</f>
        <v>GBP1L6L1Y_Quote#0000</v>
      </c>
      <c r="G6" s="72" t="str">
        <f>_xll.ohRangeRetrieveError(F6)</f>
        <v/>
      </c>
      <c r="H6" s="71"/>
      <c r="I6" s="65"/>
      <c r="J6" s="65"/>
      <c r="K6" s="65"/>
      <c r="L6" s="65"/>
      <c r="M6" s="65"/>
      <c r="N6" s="515">
        <v>1</v>
      </c>
      <c r="O6" s="393" t="s">
        <v>1</v>
      </c>
      <c r="P6" s="396" t="str">
        <v>1L</v>
      </c>
      <c r="Q6" s="396" t="str">
        <v>6L</v>
      </c>
      <c r="R6" s="394" t="str">
        <f t="shared" si="1"/>
        <v>GBP1L6L1Y</v>
      </c>
      <c r="S6" s="351" t="str">
        <v>GBP1L6L1Y=ICAP</v>
      </c>
      <c r="T6" s="513">
        <v>15.5</v>
      </c>
      <c r="U6" s="513">
        <v>19.5</v>
      </c>
      <c r="V6" s="513">
        <f>_xll.qlMidEquivalent(T6,U6)</f>
        <v>17.5</v>
      </c>
      <c r="W6" s="348" t="b">
        <f t="shared" si="2"/>
        <v>1</v>
      </c>
      <c r="X6" s="514">
        <v>17.5</v>
      </c>
      <c r="Y6" s="342"/>
      <c r="Z6" s="511">
        <v>19.25</v>
      </c>
      <c r="AA6" s="342"/>
      <c r="AB6" s="623">
        <v>19.25</v>
      </c>
      <c r="AC6" s="347" t="e">
        <f>_xll.qlSimpleQuoteSetValue(F6,AB6/10000,Trigger)</f>
        <v>#N/A</v>
      </c>
      <c r="AD6" s="218"/>
      <c r="AE6" s="64"/>
      <c r="AF6" s="83" t="s">
        <v>120</v>
      </c>
      <c r="AG6" s="82" t="s">
        <v>119</v>
      </c>
      <c r="AH6" s="81" t="s">
        <v>118</v>
      </c>
    </row>
    <row r="7" spans="1:34" s="63" customFormat="1" ht="12.75" x14ac:dyDescent="0.2">
      <c r="A7" s="77"/>
      <c r="B7" s="87" t="s">
        <v>124</v>
      </c>
      <c r="C7" s="75" t="str">
        <f t="shared" si="3"/>
        <v>1L</v>
      </c>
      <c r="D7" s="74" t="str">
        <f t="shared" si="4"/>
        <v>6L</v>
      </c>
      <c r="E7" s="73" t="str">
        <f t="shared" si="0"/>
        <v>GBP1L6L15M_Quote</v>
      </c>
      <c r="F7" s="73" t="str">
        <f>_xll.qlSimpleQuote(E7,,RateTickValue,Permanent,Trigger,ObjectOverwrite)</f>
        <v>GBP1L6L15M_Quote#0000</v>
      </c>
      <c r="G7" s="72" t="str">
        <f>_xll.ohRangeRetrieveError(F7)</f>
        <v/>
      </c>
      <c r="H7" s="71"/>
      <c r="N7" s="515">
        <v>1.25</v>
      </c>
      <c r="O7" s="393" t="s">
        <v>124</v>
      </c>
      <c r="P7" s="396" t="str">
        <v>1L</v>
      </c>
      <c r="Q7" s="396" t="str">
        <v>6L</v>
      </c>
      <c r="R7" s="394" t="str">
        <f t="shared" si="1"/>
        <v>GBP1L6L15M</v>
      </c>
      <c r="S7" s="351" t="str">
        <v>GBP1L6L15M=ICAP</v>
      </c>
      <c r="T7" s="513" t="s">
        <v>233</v>
      </c>
      <c r="U7" s="513" t="s">
        <v>233</v>
      </c>
      <c r="V7" s="513" t="e">
        <f>_xll.qlMidEquivalent(T7,U7)</f>
        <v>#NUM!</v>
      </c>
      <c r="W7" s="348" t="b">
        <f t="shared" si="2"/>
        <v>0</v>
      </c>
      <c r="X7" s="514">
        <v>18.108387336351491</v>
      </c>
      <c r="Y7" s="342"/>
      <c r="Z7" s="511">
        <v>19.333728096048311</v>
      </c>
      <c r="AA7" s="342"/>
      <c r="AB7" s="623">
        <v>19.333728096048311</v>
      </c>
      <c r="AC7" s="347" t="e">
        <f>_xll.qlSimpleQuoteSetValue(F7,AB7/10000,Trigger)</f>
        <v>#N/A</v>
      </c>
      <c r="AD7" s="218"/>
      <c r="AE7" s="64"/>
      <c r="AF7" s="83" t="s">
        <v>96</v>
      </c>
      <c r="AG7" s="82" t="s">
        <v>113</v>
      </c>
      <c r="AH7" s="81" t="s">
        <v>116</v>
      </c>
    </row>
    <row r="8" spans="1:34" ht="12.75" x14ac:dyDescent="0.2">
      <c r="A8" s="77"/>
      <c r="B8" s="87" t="s">
        <v>123</v>
      </c>
      <c r="C8" s="75" t="str">
        <f t="shared" si="3"/>
        <v>1L</v>
      </c>
      <c r="D8" s="74" t="str">
        <f t="shared" si="4"/>
        <v>6L</v>
      </c>
      <c r="E8" s="73" t="str">
        <f t="shared" si="0"/>
        <v>GBP1L6L18M_Quote</v>
      </c>
      <c r="F8" s="73" t="str">
        <f>_xll.qlSimpleQuote(E8,,RateTickValue,Permanent,Trigger,ObjectOverwrite)</f>
        <v>GBP1L6L18M_Quote#0000</v>
      </c>
      <c r="G8" s="72" t="str">
        <f>_xll.ohRangeRetrieveError(F8)</f>
        <v/>
      </c>
      <c r="H8" s="71"/>
      <c r="I8" s="63"/>
      <c r="J8" s="63"/>
      <c r="K8" s="63"/>
      <c r="L8" s="63"/>
      <c r="M8" s="63"/>
      <c r="N8" s="515">
        <v>1.5</v>
      </c>
      <c r="O8" s="393" t="s">
        <v>123</v>
      </c>
      <c r="P8" s="396" t="str">
        <v>1L</v>
      </c>
      <c r="Q8" s="396" t="str">
        <v>6L</v>
      </c>
      <c r="R8" s="394" t="str">
        <f t="shared" si="1"/>
        <v>GBP1L6L18M</v>
      </c>
      <c r="S8" s="351" t="str">
        <v>GBP1L6L18M=ICAP</v>
      </c>
      <c r="T8" s="513" t="s">
        <v>233</v>
      </c>
      <c r="U8" s="513" t="s">
        <v>233</v>
      </c>
      <c r="V8" s="513" t="e">
        <f>_xll.qlMidEquivalent(T8,U8)</f>
        <v>#NUM!</v>
      </c>
      <c r="W8" s="348" t="b">
        <f t="shared" si="2"/>
        <v>0</v>
      </c>
      <c r="X8" s="514">
        <v>18.673419738162387</v>
      </c>
      <c r="Y8" s="342"/>
      <c r="Z8" s="511">
        <v>19.414702752042945</v>
      </c>
      <c r="AA8" s="342"/>
      <c r="AB8" s="623">
        <v>19.414702752042945</v>
      </c>
      <c r="AC8" s="347" t="e">
        <f>_xll.qlSimpleQuoteSetValue(F8,AB8/10000,Trigger)</f>
        <v>#N/A</v>
      </c>
      <c r="AD8" s="218"/>
      <c r="AE8" s="64"/>
      <c r="AF8" s="83" t="s">
        <v>117</v>
      </c>
      <c r="AG8" s="82" t="s">
        <v>113</v>
      </c>
      <c r="AH8" s="81" t="s">
        <v>116</v>
      </c>
    </row>
    <row r="9" spans="1:34" ht="13.5" thickBot="1" x14ac:dyDescent="0.25">
      <c r="A9" s="77"/>
      <c r="B9" s="87" t="s">
        <v>122</v>
      </c>
      <c r="C9" s="75" t="str">
        <f t="shared" si="3"/>
        <v>1L</v>
      </c>
      <c r="D9" s="74" t="str">
        <f t="shared" si="4"/>
        <v>6L</v>
      </c>
      <c r="E9" s="73" t="str">
        <f t="shared" si="0"/>
        <v>GBP1L6L21M_Quote</v>
      </c>
      <c r="F9" s="73" t="str">
        <f>_xll.qlSimpleQuote(E9,,RateTickValue,Permanent,Trigger,ObjectOverwrite)</f>
        <v>GBP1L6L21M_Quote#0000</v>
      </c>
      <c r="G9" s="72" t="str">
        <f>_xll.ohRangeRetrieveError(F9)</f>
        <v/>
      </c>
      <c r="H9" s="71"/>
      <c r="I9" s="63"/>
      <c r="J9" s="63"/>
      <c r="K9" s="63"/>
      <c r="L9" s="63"/>
      <c r="M9" s="63"/>
      <c r="N9" s="515">
        <v>1.75</v>
      </c>
      <c r="O9" s="393" t="s">
        <v>122</v>
      </c>
      <c r="P9" s="396" t="str">
        <v>1L</v>
      </c>
      <c r="Q9" s="396" t="str">
        <v>6L</v>
      </c>
      <c r="R9" s="394" t="str">
        <f t="shared" si="1"/>
        <v>GBP1L6L21M</v>
      </c>
      <c r="S9" s="351" t="str">
        <v>GBP1L6L21M=ICAP</v>
      </c>
      <c r="T9" s="513" t="s">
        <v>233</v>
      </c>
      <c r="U9" s="513" t="s">
        <v>233</v>
      </c>
      <c r="V9" s="513" t="e">
        <f>_xll.qlMidEquivalent(T9,U9)</f>
        <v>#NUM!</v>
      </c>
      <c r="W9" s="348" t="b">
        <f t="shared" si="2"/>
        <v>0</v>
      </c>
      <c r="X9" s="514">
        <v>19.15174227089209</v>
      </c>
      <c r="Y9" s="342"/>
      <c r="Z9" s="511">
        <v>19.475826032016105</v>
      </c>
      <c r="AA9" s="342"/>
      <c r="AB9" s="623">
        <v>19.475826032016105</v>
      </c>
      <c r="AC9" s="347" t="e">
        <f>_xll.qlSimpleQuoteSetValue(F9,AB9/10000,Trigger)</f>
        <v>#N/A</v>
      </c>
      <c r="AD9" s="218"/>
      <c r="AE9" s="64"/>
      <c r="AF9" s="80" t="s">
        <v>115</v>
      </c>
      <c r="AG9" s="79" t="s">
        <v>114</v>
      </c>
      <c r="AH9" s="78" t="s">
        <v>113</v>
      </c>
    </row>
    <row r="10" spans="1:34" x14ac:dyDescent="0.2">
      <c r="A10" s="77"/>
      <c r="B10" s="76" t="s">
        <v>85</v>
      </c>
      <c r="C10" s="75" t="str">
        <f t="shared" si="3"/>
        <v>1L</v>
      </c>
      <c r="D10" s="74" t="str">
        <f t="shared" si="4"/>
        <v>6L</v>
      </c>
      <c r="E10" s="73" t="str">
        <f t="shared" si="0"/>
        <v>GBP1L6L2Y_Quote</v>
      </c>
      <c r="F10" s="73" t="str">
        <f>_xll.qlSimpleQuote(E10,,RateTickValue,Permanent,Trigger,ObjectOverwrite)</f>
        <v>GBP1L6L2Y_Quote#0000</v>
      </c>
      <c r="G10" s="72" t="str">
        <f>_xll.ohRangeRetrieveError(F10)</f>
        <v/>
      </c>
      <c r="H10" s="71"/>
      <c r="J10" s="86" t="s">
        <v>121</v>
      </c>
      <c r="K10" s="85" t="s">
        <v>113</v>
      </c>
      <c r="L10" s="84" t="s">
        <v>116</v>
      </c>
      <c r="N10" s="118">
        <v>2</v>
      </c>
      <c r="O10" s="393" t="s">
        <v>85</v>
      </c>
      <c r="P10" s="396" t="str">
        <v>1L</v>
      </c>
      <c r="Q10" s="396" t="str">
        <v>6L</v>
      </c>
      <c r="R10" s="394" t="str">
        <f t="shared" si="1"/>
        <v>GBP1L6L2Y</v>
      </c>
      <c r="S10" s="351" t="str">
        <v>GBP1L6L2Y=ICAP</v>
      </c>
      <c r="T10" s="513">
        <v>17.5</v>
      </c>
      <c r="U10" s="513">
        <v>21.5</v>
      </c>
      <c r="V10" s="513">
        <f>_xll.qlMidEquivalent(T10,U10)</f>
        <v>19.5</v>
      </c>
      <c r="W10" s="348" t="b">
        <f t="shared" si="2"/>
        <v>1</v>
      </c>
      <c r="X10" s="514">
        <v>19.5</v>
      </c>
      <c r="Y10" s="342"/>
      <c r="Z10" s="511">
        <v>19.5</v>
      </c>
      <c r="AA10" s="342"/>
      <c r="AB10" s="623">
        <v>19.5</v>
      </c>
      <c r="AC10" s="347" t="e">
        <f>_xll.qlSimpleQuoteSetValue(F10,AB10/10000,Trigger)</f>
        <v>#N/A</v>
      </c>
      <c r="AD10" s="218"/>
      <c r="AE10" s="64"/>
      <c r="AF10" s="64"/>
      <c r="AG10" s="64"/>
      <c r="AH10" s="64"/>
    </row>
    <row r="11" spans="1:34" x14ac:dyDescent="0.2">
      <c r="A11" s="77"/>
      <c r="B11" s="76" t="s">
        <v>84</v>
      </c>
      <c r="C11" s="75" t="str">
        <f t="shared" si="3"/>
        <v>1L</v>
      </c>
      <c r="D11" s="74" t="str">
        <f t="shared" si="4"/>
        <v>6L</v>
      </c>
      <c r="E11" s="73" t="str">
        <f t="shared" si="0"/>
        <v>GBP1L6L3Y_Quote</v>
      </c>
      <c r="F11" s="73" t="str">
        <f>_xll.qlSimpleQuote(E11,,RateTickValue,Permanent,Trigger,ObjectOverwrite)</f>
        <v>GBP1L6L3Y_Quote#0000</v>
      </c>
      <c r="G11" s="72" t="str">
        <f>_xll.ohRangeRetrieveError(F11)</f>
        <v/>
      </c>
      <c r="H11" s="71"/>
      <c r="J11" s="83" t="s">
        <v>120</v>
      </c>
      <c r="K11" s="82" t="s">
        <v>119</v>
      </c>
      <c r="L11" s="81" t="s">
        <v>118</v>
      </c>
      <c r="N11" s="118">
        <v>3</v>
      </c>
      <c r="O11" s="393" t="s">
        <v>84</v>
      </c>
      <c r="P11" s="396" t="str">
        <v>1L</v>
      </c>
      <c r="Q11" s="396" t="str">
        <v>6L</v>
      </c>
      <c r="R11" s="394" t="str">
        <f t="shared" si="1"/>
        <v>GBP1L6L3Y</v>
      </c>
      <c r="S11" s="351" t="str">
        <v>GBP1L6L3Y=ICAP</v>
      </c>
      <c r="T11" s="513">
        <v>17.875</v>
      </c>
      <c r="U11" s="513">
        <v>21.875</v>
      </c>
      <c r="V11" s="513">
        <f>_xll.qlMidEquivalent(T11,U11)</f>
        <v>19.875</v>
      </c>
      <c r="W11" s="348" t="b">
        <f t="shared" si="2"/>
        <v>1</v>
      </c>
      <c r="X11" s="514">
        <v>19.875</v>
      </c>
      <c r="Y11" s="342"/>
      <c r="Z11" s="511">
        <v>19.5</v>
      </c>
      <c r="AA11" s="342"/>
      <c r="AB11" s="623">
        <v>19.5</v>
      </c>
      <c r="AC11" s="347" t="e">
        <f>_xll.qlSimpleQuoteSetValue(F11,AB11/10000,Trigger)</f>
        <v>#N/A</v>
      </c>
      <c r="AD11" s="218"/>
      <c r="AE11" s="64"/>
      <c r="AF11" s="64"/>
      <c r="AG11" s="64"/>
      <c r="AH11" s="64"/>
    </row>
    <row r="12" spans="1:34" x14ac:dyDescent="0.2">
      <c r="A12" s="77"/>
      <c r="B12" s="76" t="s">
        <v>83</v>
      </c>
      <c r="C12" s="75" t="str">
        <f t="shared" si="3"/>
        <v>1L</v>
      </c>
      <c r="D12" s="74" t="str">
        <f t="shared" si="4"/>
        <v>6L</v>
      </c>
      <c r="E12" s="73" t="str">
        <f t="shared" si="0"/>
        <v>GBP1L6L4Y_Quote</v>
      </c>
      <c r="F12" s="73" t="str">
        <f>_xll.qlSimpleQuote(E12,,RateTickValue,Permanent,Trigger,ObjectOverwrite)</f>
        <v>GBP1L6L4Y_Quote#0000</v>
      </c>
      <c r="G12" s="72" t="str">
        <f>_xll.ohRangeRetrieveError(F12)</f>
        <v/>
      </c>
      <c r="H12" s="71"/>
      <c r="J12" s="83" t="s">
        <v>96</v>
      </c>
      <c r="K12" s="82" t="s">
        <v>113</v>
      </c>
      <c r="L12" s="81" t="s">
        <v>116</v>
      </c>
      <c r="N12" s="118">
        <v>4</v>
      </c>
      <c r="O12" s="393" t="s">
        <v>83</v>
      </c>
      <c r="P12" s="396" t="str">
        <v>1L</v>
      </c>
      <c r="Q12" s="396" t="str">
        <v>6L</v>
      </c>
      <c r="R12" s="394" t="str">
        <f t="shared" si="1"/>
        <v>GBP1L6L4Y</v>
      </c>
      <c r="S12" s="351" t="str">
        <v>GBP1L6L4Y=ICAP</v>
      </c>
      <c r="T12" s="513">
        <v>18.5</v>
      </c>
      <c r="U12" s="513">
        <v>22.5</v>
      </c>
      <c r="V12" s="513">
        <f>_xll.qlMidEquivalent(T12,U12)</f>
        <v>20.5</v>
      </c>
      <c r="W12" s="348" t="b">
        <f t="shared" si="2"/>
        <v>1</v>
      </c>
      <c r="X12" s="514">
        <v>20.5</v>
      </c>
      <c r="Y12" s="342"/>
      <c r="Z12" s="511">
        <v>19.5</v>
      </c>
      <c r="AA12" s="342"/>
      <c r="AB12" s="623">
        <v>19.5</v>
      </c>
      <c r="AC12" s="347" t="e">
        <f>_xll.qlSimpleQuoteSetValue(F12,AB12/10000,Trigger)</f>
        <v>#N/A</v>
      </c>
      <c r="AD12" s="218"/>
      <c r="AE12" s="64"/>
      <c r="AF12" s="64"/>
      <c r="AG12" s="64"/>
      <c r="AH12" s="64"/>
    </row>
    <row r="13" spans="1:34" x14ac:dyDescent="0.2">
      <c r="A13" s="77"/>
      <c r="B13" s="76" t="s">
        <v>82</v>
      </c>
      <c r="C13" s="75" t="str">
        <f t="shared" si="3"/>
        <v>1L</v>
      </c>
      <c r="D13" s="74" t="str">
        <f t="shared" si="4"/>
        <v>6L</v>
      </c>
      <c r="E13" s="73" t="str">
        <f t="shared" si="0"/>
        <v>GBP1L6L5Y_Quote</v>
      </c>
      <c r="F13" s="73" t="str">
        <f>_xll.qlSimpleQuote(E13,,RateTickValue,Permanent,Trigger,ObjectOverwrite)</f>
        <v>GBP1L6L5Y_Quote#0000</v>
      </c>
      <c r="G13" s="72" t="str">
        <f>_xll.ohRangeRetrieveError(F13)</f>
        <v/>
      </c>
      <c r="H13" s="71"/>
      <c r="J13" s="83" t="s">
        <v>117</v>
      </c>
      <c r="K13" s="82" t="s">
        <v>113</v>
      </c>
      <c r="L13" s="81" t="s">
        <v>116</v>
      </c>
      <c r="N13" s="118">
        <v>5</v>
      </c>
      <c r="O13" s="393" t="s">
        <v>82</v>
      </c>
      <c r="P13" s="396" t="str">
        <v>1L</v>
      </c>
      <c r="Q13" s="396" t="str">
        <v>6L</v>
      </c>
      <c r="R13" s="394" t="str">
        <f t="shared" si="1"/>
        <v>GBP1L6L5Y</v>
      </c>
      <c r="S13" s="351" t="str">
        <v>GBP1L6L5Y=ICAP</v>
      </c>
      <c r="T13" s="513">
        <v>18.625</v>
      </c>
      <c r="U13" s="513">
        <v>22.625</v>
      </c>
      <c r="V13" s="513">
        <f>_xll.qlMidEquivalent(T13,U13)</f>
        <v>20.625</v>
      </c>
      <c r="W13" s="348" t="b">
        <f t="shared" si="2"/>
        <v>1</v>
      </c>
      <c r="X13" s="514">
        <v>20.625</v>
      </c>
      <c r="Y13" s="342"/>
      <c r="Z13" s="511">
        <v>19.5</v>
      </c>
      <c r="AA13" s="342"/>
      <c r="AB13" s="623">
        <v>19.5</v>
      </c>
      <c r="AC13" s="347" t="e">
        <f>_xll.qlSimpleQuoteSetValue(F13,AB13/10000,Trigger)</f>
        <v>#N/A</v>
      </c>
      <c r="AD13" s="218"/>
      <c r="AE13" s="64"/>
      <c r="AF13" s="64"/>
      <c r="AG13" s="64"/>
      <c r="AH13" s="64"/>
    </row>
    <row r="14" spans="1:34" ht="12" thickBot="1" x14ac:dyDescent="0.25">
      <c r="A14" s="77"/>
      <c r="B14" s="76" t="s">
        <v>81</v>
      </c>
      <c r="C14" s="75" t="str">
        <f t="shared" si="3"/>
        <v>1L</v>
      </c>
      <c r="D14" s="74" t="str">
        <f t="shared" si="4"/>
        <v>6L</v>
      </c>
      <c r="E14" s="73" t="str">
        <f t="shared" si="0"/>
        <v>GBP1L6L6Y_Quote</v>
      </c>
      <c r="F14" s="73" t="str">
        <f>_xll.qlSimpleQuote(E14,,RateTickValue,Permanent,Trigger,ObjectOverwrite)</f>
        <v>GBP1L6L6Y_Quote#0000</v>
      </c>
      <c r="G14" s="72" t="str">
        <f>_xll.ohRangeRetrieveError(F14)</f>
        <v/>
      </c>
      <c r="H14" s="71"/>
      <c r="J14" s="80" t="s">
        <v>115</v>
      </c>
      <c r="K14" s="79" t="s">
        <v>114</v>
      </c>
      <c r="L14" s="78" t="s">
        <v>113</v>
      </c>
      <c r="N14" s="118">
        <v>6</v>
      </c>
      <c r="O14" s="393" t="s">
        <v>81</v>
      </c>
      <c r="P14" s="396" t="str">
        <v>1L</v>
      </c>
      <c r="Q14" s="396" t="str">
        <v>6L</v>
      </c>
      <c r="R14" s="394" t="str">
        <f t="shared" si="1"/>
        <v>GBP1L6L6Y</v>
      </c>
      <c r="S14" s="351" t="str">
        <v>GBP1L6L6Y=ICAP</v>
      </c>
      <c r="T14" s="513">
        <v>18.625</v>
      </c>
      <c r="U14" s="513">
        <v>22.625</v>
      </c>
      <c r="V14" s="513">
        <f>_xll.qlMidEquivalent(T14,U14)</f>
        <v>20.625</v>
      </c>
      <c r="W14" s="348" t="b">
        <f t="shared" si="2"/>
        <v>1</v>
      </c>
      <c r="X14" s="514">
        <v>20.625</v>
      </c>
      <c r="Y14" s="342"/>
      <c r="Z14" s="511">
        <v>19.5</v>
      </c>
      <c r="AA14" s="342"/>
      <c r="AB14" s="623">
        <v>19.5</v>
      </c>
      <c r="AC14" s="347" t="e">
        <f>_xll.qlSimpleQuoteSetValue(F14,AB14/10000,Trigger)</f>
        <v>#N/A</v>
      </c>
      <c r="AD14" s="218"/>
      <c r="AE14" s="64"/>
      <c r="AF14" s="64"/>
      <c r="AG14" s="64"/>
      <c r="AH14" s="64"/>
    </row>
    <row r="15" spans="1:34" x14ac:dyDescent="0.2">
      <c r="A15" s="77"/>
      <c r="B15" s="76" t="s">
        <v>80</v>
      </c>
      <c r="C15" s="75" t="str">
        <f t="shared" si="3"/>
        <v>1L</v>
      </c>
      <c r="D15" s="74" t="str">
        <f t="shared" si="4"/>
        <v>6L</v>
      </c>
      <c r="E15" s="73" t="str">
        <f t="shared" si="0"/>
        <v>GBP1L6L7Y_Quote</v>
      </c>
      <c r="F15" s="73" t="str">
        <f>_xll.qlSimpleQuote(E15,,RateTickValue,Permanent,Trigger,ObjectOverwrite)</f>
        <v>GBP1L6L7Y_Quote#0000</v>
      </c>
      <c r="G15" s="72" t="str">
        <f>_xll.ohRangeRetrieveError(F15)</f>
        <v/>
      </c>
      <c r="H15" s="71"/>
      <c r="N15" s="118">
        <v>7</v>
      </c>
      <c r="O15" s="393" t="s">
        <v>80</v>
      </c>
      <c r="P15" s="396" t="str">
        <v>1L</v>
      </c>
      <c r="Q15" s="396" t="str">
        <v>6L</v>
      </c>
      <c r="R15" s="394" t="str">
        <f t="shared" si="1"/>
        <v>GBP1L6L7Y</v>
      </c>
      <c r="S15" s="351" t="str">
        <v>GBP1L6L7Y=ICAP</v>
      </c>
      <c r="T15" s="513">
        <v>18.5</v>
      </c>
      <c r="U15" s="513">
        <v>22.5</v>
      </c>
      <c r="V15" s="513">
        <f>_xll.qlMidEquivalent(T15,U15)</f>
        <v>20.5</v>
      </c>
      <c r="W15" s="348" t="b">
        <f t="shared" si="2"/>
        <v>1</v>
      </c>
      <c r="X15" s="514">
        <v>20.5</v>
      </c>
      <c r="Y15" s="342"/>
      <c r="Z15" s="511">
        <v>19</v>
      </c>
      <c r="AA15" s="342"/>
      <c r="AB15" s="623">
        <v>19</v>
      </c>
      <c r="AC15" s="347" t="e">
        <f>_xll.qlSimpleQuoteSetValue(F15,AB15/10000,Trigger)</f>
        <v>#N/A</v>
      </c>
      <c r="AD15" s="218"/>
      <c r="AE15" s="64"/>
      <c r="AF15" s="64"/>
      <c r="AG15" s="64"/>
      <c r="AH15" s="64"/>
    </row>
    <row r="16" spans="1:34" x14ac:dyDescent="0.2">
      <c r="A16" s="77"/>
      <c r="B16" s="76" t="s">
        <v>79</v>
      </c>
      <c r="C16" s="75" t="str">
        <f t="shared" si="3"/>
        <v>1L</v>
      </c>
      <c r="D16" s="74" t="str">
        <f t="shared" si="4"/>
        <v>6L</v>
      </c>
      <c r="E16" s="73" t="str">
        <f t="shared" si="0"/>
        <v>GBP1L6L8Y_Quote</v>
      </c>
      <c r="F16" s="73" t="str">
        <f>_xll.qlSimpleQuote(E16,,RateTickValue,Permanent,Trigger,ObjectOverwrite)</f>
        <v>GBP1L6L8Y_Quote#0000</v>
      </c>
      <c r="G16" s="72" t="str">
        <f>_xll.ohRangeRetrieveError(F16)</f>
        <v/>
      </c>
      <c r="H16" s="71"/>
      <c r="N16" s="118">
        <v>8</v>
      </c>
      <c r="O16" s="393" t="s">
        <v>79</v>
      </c>
      <c r="P16" s="396" t="str">
        <v>1L</v>
      </c>
      <c r="Q16" s="396" t="str">
        <v>6L</v>
      </c>
      <c r="R16" s="394" t="str">
        <f t="shared" si="1"/>
        <v>GBP1L6L8Y</v>
      </c>
      <c r="S16" s="351" t="str">
        <v>GBP1L6L8Y=ICAP</v>
      </c>
      <c r="T16" s="513">
        <v>18.25</v>
      </c>
      <c r="U16" s="513">
        <v>22.25</v>
      </c>
      <c r="V16" s="513">
        <f>_xll.qlMidEquivalent(T16,U16)</f>
        <v>20.25</v>
      </c>
      <c r="W16" s="348" t="b">
        <f t="shared" si="2"/>
        <v>1</v>
      </c>
      <c r="X16" s="514">
        <v>20.25</v>
      </c>
      <c r="Y16" s="342"/>
      <c r="Z16" s="511">
        <v>18.5</v>
      </c>
      <c r="AA16" s="342"/>
      <c r="AB16" s="623">
        <v>18.5</v>
      </c>
      <c r="AC16" s="347" t="e">
        <f>_xll.qlSimpleQuoteSetValue(F16,AB16/10000,Trigger)</f>
        <v>#N/A</v>
      </c>
      <c r="AD16" s="218"/>
      <c r="AE16" s="64"/>
      <c r="AF16" s="64"/>
      <c r="AG16" s="64"/>
      <c r="AH16" s="64"/>
    </row>
    <row r="17" spans="1:34" x14ac:dyDescent="0.2">
      <c r="A17" s="77"/>
      <c r="B17" s="76" t="s">
        <v>78</v>
      </c>
      <c r="C17" s="75" t="str">
        <f t="shared" si="3"/>
        <v>1L</v>
      </c>
      <c r="D17" s="74" t="str">
        <f t="shared" si="4"/>
        <v>6L</v>
      </c>
      <c r="E17" s="73" t="str">
        <f t="shared" si="0"/>
        <v>GBP1L6L9Y_Quote</v>
      </c>
      <c r="F17" s="73" t="str">
        <f>_xll.qlSimpleQuote(E17,,RateTickValue,Permanent,Trigger,ObjectOverwrite)</f>
        <v>GBP1L6L9Y_Quote#0000</v>
      </c>
      <c r="G17" s="72" t="str">
        <f>_xll.ohRangeRetrieveError(F17)</f>
        <v/>
      </c>
      <c r="H17" s="71"/>
      <c r="N17" s="118">
        <v>9</v>
      </c>
      <c r="O17" s="393" t="s">
        <v>78</v>
      </c>
      <c r="P17" s="396" t="str">
        <v>1L</v>
      </c>
      <c r="Q17" s="396" t="str">
        <v>6L</v>
      </c>
      <c r="R17" s="394" t="str">
        <f t="shared" si="1"/>
        <v>GBP1L6L9Y</v>
      </c>
      <c r="S17" s="351" t="str">
        <v>GBP1L6L9Y=ICAP</v>
      </c>
      <c r="T17" s="513">
        <v>18.125</v>
      </c>
      <c r="U17" s="513">
        <v>22.125</v>
      </c>
      <c r="V17" s="513">
        <f>_xll.qlMidEquivalent(T17,U17)</f>
        <v>20.125</v>
      </c>
      <c r="W17" s="348" t="b">
        <f t="shared" si="2"/>
        <v>1</v>
      </c>
      <c r="X17" s="514">
        <v>20.125</v>
      </c>
      <c r="Y17" s="342"/>
      <c r="Z17" s="511">
        <v>18.5</v>
      </c>
      <c r="AA17" s="342"/>
      <c r="AB17" s="623">
        <v>18.5</v>
      </c>
      <c r="AC17" s="347" t="e">
        <f>_xll.qlSimpleQuoteSetValue(F17,AB17/10000,Trigger)</f>
        <v>#N/A</v>
      </c>
      <c r="AD17" s="218"/>
      <c r="AE17" s="64"/>
      <c r="AF17" s="64"/>
      <c r="AG17" s="64"/>
      <c r="AH17" s="64"/>
    </row>
    <row r="18" spans="1:34" x14ac:dyDescent="0.2">
      <c r="A18" s="77"/>
      <c r="B18" s="76" t="s">
        <v>77</v>
      </c>
      <c r="C18" s="75" t="str">
        <f t="shared" si="3"/>
        <v>1L</v>
      </c>
      <c r="D18" s="74" t="str">
        <f t="shared" si="4"/>
        <v>6L</v>
      </c>
      <c r="E18" s="73" t="str">
        <f t="shared" si="0"/>
        <v>GBP1L6L10Y_Quote</v>
      </c>
      <c r="F18" s="73" t="str">
        <f>_xll.qlSimpleQuote(E18,,RateTickValue,Permanent,Trigger,ObjectOverwrite)</f>
        <v>GBP1L6L10Y_Quote#0000</v>
      </c>
      <c r="G18" s="72" t="str">
        <f>_xll.ohRangeRetrieveError(F18)</f>
        <v/>
      </c>
      <c r="H18" s="71"/>
      <c r="N18" s="118">
        <v>10</v>
      </c>
      <c r="O18" s="393" t="s">
        <v>77</v>
      </c>
      <c r="P18" s="396" t="str">
        <v>1L</v>
      </c>
      <c r="Q18" s="396" t="str">
        <v>6L</v>
      </c>
      <c r="R18" s="394" t="str">
        <f t="shared" si="1"/>
        <v>GBP1L6L10Y</v>
      </c>
      <c r="S18" s="351" t="str">
        <v>GBP1L6L10Y=ICAP</v>
      </c>
      <c r="T18" s="513">
        <v>17.875</v>
      </c>
      <c r="U18" s="513">
        <v>21.875</v>
      </c>
      <c r="V18" s="513">
        <f>_xll.qlMidEquivalent(T18,U18)</f>
        <v>19.875</v>
      </c>
      <c r="W18" s="348" t="b">
        <f t="shared" si="2"/>
        <v>1</v>
      </c>
      <c r="X18" s="514">
        <v>19.875</v>
      </c>
      <c r="Y18" s="342"/>
      <c r="Z18" s="511">
        <v>18.25</v>
      </c>
      <c r="AA18" s="342"/>
      <c r="AB18" s="623">
        <v>18.25</v>
      </c>
      <c r="AC18" s="347" t="e">
        <f>_xll.qlSimpleQuoteSetValue(F18,AB18/10000,Trigger)</f>
        <v>#N/A</v>
      </c>
      <c r="AD18" s="218"/>
      <c r="AE18" s="64"/>
      <c r="AF18" s="64"/>
      <c r="AG18" s="64"/>
      <c r="AH18" s="64"/>
    </row>
    <row r="19" spans="1:34" x14ac:dyDescent="0.2">
      <c r="A19" s="77"/>
      <c r="B19" s="76" t="s">
        <v>76</v>
      </c>
      <c r="C19" s="75" t="str">
        <f t="shared" si="3"/>
        <v>1L</v>
      </c>
      <c r="D19" s="74" t="str">
        <f t="shared" si="4"/>
        <v>6L</v>
      </c>
      <c r="E19" s="73" t="str">
        <f t="shared" si="0"/>
        <v>GBP1L6L11Y_Quote</v>
      </c>
      <c r="F19" s="73" t="str">
        <f>_xll.qlSimpleQuote(E19,,RateTickValue,Permanent,Trigger,ObjectOverwrite)</f>
        <v>GBP1L6L11Y_Quote#0000</v>
      </c>
      <c r="G19" s="72" t="str">
        <f>_xll.ohRangeRetrieveError(F19)</f>
        <v/>
      </c>
      <c r="H19" s="71"/>
      <c r="N19" s="118">
        <v>11</v>
      </c>
      <c r="O19" s="393" t="s">
        <v>76</v>
      </c>
      <c r="P19" s="396" t="str">
        <v>1L</v>
      </c>
      <c r="Q19" s="396" t="str">
        <v>6L</v>
      </c>
      <c r="R19" s="394" t="str">
        <f t="shared" si="1"/>
        <v>GBP1L6L11Y</v>
      </c>
      <c r="S19" s="351" t="str">
        <v>GBP1L6L11Y=ICAP</v>
      </c>
      <c r="T19" s="513" t="s">
        <v>233</v>
      </c>
      <c r="U19" s="513" t="s">
        <v>233</v>
      </c>
      <c r="V19" s="513" t="e">
        <f>_xll.qlMidEquivalent(T19,U19)</f>
        <v>#NUM!</v>
      </c>
      <c r="W19" s="348" t="b">
        <f t="shared" si="2"/>
        <v>0</v>
      </c>
      <c r="X19" s="514">
        <v>19.512800440333137</v>
      </c>
      <c r="Y19" s="342"/>
      <c r="Z19" s="511">
        <v>17.967731218694958</v>
      </c>
      <c r="AA19" s="342"/>
      <c r="AB19" s="623">
        <v>17.967731218694958</v>
      </c>
      <c r="AC19" s="347" t="e">
        <f>_xll.qlSimpleQuoteSetValue(F19,AB19/10000,Trigger)</f>
        <v>#N/A</v>
      </c>
      <c r="AD19" s="218"/>
      <c r="AE19" s="64"/>
      <c r="AF19" s="64"/>
      <c r="AG19" s="64"/>
      <c r="AH19" s="64"/>
    </row>
    <row r="20" spans="1:34" x14ac:dyDescent="0.2">
      <c r="A20" s="77"/>
      <c r="B20" s="76" t="s">
        <v>75</v>
      </c>
      <c r="C20" s="75" t="str">
        <f t="shared" si="3"/>
        <v>1L</v>
      </c>
      <c r="D20" s="74" t="str">
        <f t="shared" si="4"/>
        <v>6L</v>
      </c>
      <c r="E20" s="73" t="str">
        <f t="shared" si="0"/>
        <v>GBP1L6L12Y_Quote</v>
      </c>
      <c r="F20" s="73" t="str">
        <f>_xll.qlSimpleQuote(E20,,RateTickValue,Permanent,Trigger,ObjectOverwrite)</f>
        <v>GBP1L6L12Y_Quote#0000</v>
      </c>
      <c r="G20" s="72" t="str">
        <f>_xll.ohRangeRetrieveError(F20)</f>
        <v/>
      </c>
      <c r="H20" s="71"/>
      <c r="N20" s="118">
        <v>12</v>
      </c>
      <c r="O20" s="393" t="s">
        <v>75</v>
      </c>
      <c r="P20" s="396" t="str">
        <v>1L</v>
      </c>
      <c r="Q20" s="396" t="str">
        <v>6L</v>
      </c>
      <c r="R20" s="394" t="str">
        <f t="shared" si="1"/>
        <v>GBP1L6L12Y</v>
      </c>
      <c r="S20" s="351" t="str">
        <v>GBP1L6L12Y=ICAP</v>
      </c>
      <c r="T20" s="513">
        <v>17.125</v>
      </c>
      <c r="U20" s="513">
        <v>21.125</v>
      </c>
      <c r="V20" s="513">
        <f>_xll.qlMidEquivalent(T20,U20)</f>
        <v>19.125</v>
      </c>
      <c r="W20" s="348" t="b">
        <f t="shared" si="2"/>
        <v>1</v>
      </c>
      <c r="X20" s="514">
        <v>19.125</v>
      </c>
      <c r="Y20" s="342"/>
      <c r="Z20" s="511">
        <v>17.75</v>
      </c>
      <c r="AA20" s="342"/>
      <c r="AB20" s="623">
        <v>17.75</v>
      </c>
      <c r="AC20" s="347" t="e">
        <f>_xll.qlSimpleQuoteSetValue(F20,AB20/10000,Trigger)</f>
        <v>#N/A</v>
      </c>
      <c r="AD20" s="218"/>
      <c r="AE20" s="64"/>
      <c r="AF20" s="64"/>
      <c r="AG20" s="64"/>
      <c r="AH20" s="64"/>
    </row>
    <row r="21" spans="1:34" x14ac:dyDescent="0.2">
      <c r="A21" s="77"/>
      <c r="B21" s="76" t="s">
        <v>74</v>
      </c>
      <c r="C21" s="75" t="str">
        <f t="shared" si="3"/>
        <v>1L</v>
      </c>
      <c r="D21" s="74" t="str">
        <f t="shared" si="4"/>
        <v>6L</v>
      </c>
      <c r="E21" s="73" t="str">
        <f t="shared" si="0"/>
        <v>GBP1L6L13Y_Quote</v>
      </c>
      <c r="F21" s="73" t="str">
        <f>_xll.qlSimpleQuote(E21,,RateTickValue,Permanent,Trigger,ObjectOverwrite)</f>
        <v>GBP1L6L13Y_Quote#0000</v>
      </c>
      <c r="G21" s="72" t="str">
        <f>_xll.ohRangeRetrieveError(F21)</f>
        <v/>
      </c>
      <c r="H21" s="71"/>
      <c r="N21" s="118">
        <v>13</v>
      </c>
      <c r="O21" s="393" t="s">
        <v>74</v>
      </c>
      <c r="P21" s="396" t="str">
        <v>1L</v>
      </c>
      <c r="Q21" s="396" t="str">
        <v>6L</v>
      </c>
      <c r="R21" s="394" t="str">
        <f t="shared" si="1"/>
        <v>GBP1L6L13Y</v>
      </c>
      <c r="S21" s="351" t="str">
        <v>GBP1L6L13Y=ICAP</v>
      </c>
      <c r="T21" s="513" t="s">
        <v>233</v>
      </c>
      <c r="U21" s="513" t="s">
        <v>233</v>
      </c>
      <c r="V21" s="513" t="e">
        <f>_xll.qlMidEquivalent(T21,U21)</f>
        <v>#NUM!</v>
      </c>
      <c r="W21" s="348" t="b">
        <f t="shared" si="2"/>
        <v>0</v>
      </c>
      <c r="X21" s="514">
        <v>18.771783256869682</v>
      </c>
      <c r="Y21" s="342"/>
      <c r="Z21" s="511">
        <v>17.570794384566103</v>
      </c>
      <c r="AA21" s="342"/>
      <c r="AB21" s="623">
        <v>17.570794384566103</v>
      </c>
      <c r="AC21" s="347" t="e">
        <f>_xll.qlSimpleQuoteSetValue(F21,AB21/10000,Trigger)</f>
        <v>#N/A</v>
      </c>
      <c r="AD21" s="218"/>
      <c r="AE21" s="64"/>
      <c r="AF21" s="64"/>
      <c r="AG21" s="64"/>
      <c r="AH21" s="64"/>
    </row>
    <row r="22" spans="1:34" x14ac:dyDescent="0.2">
      <c r="A22" s="77"/>
      <c r="B22" s="76" t="s">
        <v>73</v>
      </c>
      <c r="C22" s="75" t="str">
        <f t="shared" si="3"/>
        <v>1L</v>
      </c>
      <c r="D22" s="74" t="str">
        <f t="shared" si="4"/>
        <v>6L</v>
      </c>
      <c r="E22" s="73" t="str">
        <f t="shared" si="0"/>
        <v>GBP1L6L14Y_Quote</v>
      </c>
      <c r="F22" s="73" t="str">
        <f>_xll.qlSimpleQuote(E22,,RateTickValue,Permanent,Trigger,ObjectOverwrite)</f>
        <v>GBP1L6L14Y_Quote#0000</v>
      </c>
      <c r="G22" s="72" t="str">
        <f>_xll.ohRangeRetrieveError(F22)</f>
        <v/>
      </c>
      <c r="H22" s="71"/>
      <c r="N22" s="118">
        <v>14</v>
      </c>
      <c r="O22" s="393" t="s">
        <v>73</v>
      </c>
      <c r="P22" s="396" t="str">
        <v>1L</v>
      </c>
      <c r="Q22" s="396" t="str">
        <v>6L</v>
      </c>
      <c r="R22" s="394" t="str">
        <f t="shared" si="1"/>
        <v>GBP1L6L14Y</v>
      </c>
      <c r="S22" s="351" t="str">
        <v>GBP1L6L14Y=ICAP</v>
      </c>
      <c r="T22" s="513" t="s">
        <v>233</v>
      </c>
      <c r="U22" s="513" t="s">
        <v>233</v>
      </c>
      <c r="V22" s="513" t="e">
        <f>_xll.qlMidEquivalent(T22,U22)</f>
        <v>#NUM!</v>
      </c>
      <c r="W22" s="348" t="b">
        <f t="shared" si="2"/>
        <v>0</v>
      </c>
      <c r="X22" s="514">
        <v>18.446313806765662</v>
      </c>
      <c r="Y22" s="342"/>
      <c r="Z22" s="511">
        <v>17.410240736318265</v>
      </c>
      <c r="AA22" s="342"/>
      <c r="AB22" s="623">
        <v>17.410240736318265</v>
      </c>
      <c r="AC22" s="347" t="e">
        <f>_xll.qlSimpleQuoteSetValue(F22,AB22/10000,Trigger)</f>
        <v>#N/A</v>
      </c>
      <c r="AD22" s="218"/>
      <c r="AE22" s="64"/>
      <c r="AF22" s="64"/>
      <c r="AG22" s="64"/>
      <c r="AH22" s="64"/>
    </row>
    <row r="23" spans="1:34" x14ac:dyDescent="0.2">
      <c r="A23" s="77"/>
      <c r="B23" s="76" t="s">
        <v>72</v>
      </c>
      <c r="C23" s="75" t="str">
        <f t="shared" si="3"/>
        <v>1L</v>
      </c>
      <c r="D23" s="74" t="str">
        <f t="shared" si="4"/>
        <v>6L</v>
      </c>
      <c r="E23" s="73" t="str">
        <f t="shared" si="0"/>
        <v>GBP1L6L15Y_Quote</v>
      </c>
      <c r="F23" s="73" t="str">
        <f>_xll.qlSimpleQuote(E23,,RateTickValue,Permanent,Trigger,ObjectOverwrite)</f>
        <v>GBP1L6L15Y_Quote#0000</v>
      </c>
      <c r="G23" s="72" t="str">
        <f>_xll.ohRangeRetrieveError(F23)</f>
        <v/>
      </c>
      <c r="H23" s="71"/>
      <c r="N23" s="118">
        <v>15</v>
      </c>
      <c r="O23" s="393" t="s">
        <v>72</v>
      </c>
      <c r="P23" s="396" t="str">
        <v>1L</v>
      </c>
      <c r="Q23" s="396" t="str">
        <v>6L</v>
      </c>
      <c r="R23" s="394" t="str">
        <f t="shared" si="1"/>
        <v>GBP1L6L15Y</v>
      </c>
      <c r="S23" s="351" t="str">
        <v>GBP1L6L15Y=ICAP</v>
      </c>
      <c r="T23" s="513">
        <v>16.125</v>
      </c>
      <c r="U23" s="513">
        <v>20.125</v>
      </c>
      <c r="V23" s="513">
        <f>_xll.qlMidEquivalent(T23,U23)</f>
        <v>18.125</v>
      </c>
      <c r="W23" s="348" t="b">
        <f t="shared" si="2"/>
        <v>1</v>
      </c>
      <c r="X23" s="514">
        <v>18.125</v>
      </c>
      <c r="Y23" s="342"/>
      <c r="Z23" s="511">
        <v>17.25</v>
      </c>
      <c r="AA23" s="342"/>
      <c r="AB23" s="623">
        <v>17.25</v>
      </c>
      <c r="AC23" s="347" t="e">
        <f>_xll.qlSimpleQuoteSetValue(F23,AB23/10000,Trigger)</f>
        <v>#N/A</v>
      </c>
      <c r="AD23" s="218"/>
      <c r="AE23" s="64"/>
      <c r="AF23" s="64"/>
      <c r="AG23" s="64"/>
      <c r="AH23" s="64"/>
    </row>
    <row r="24" spans="1:34" x14ac:dyDescent="0.2">
      <c r="A24" s="77"/>
      <c r="B24" s="76" t="s">
        <v>71</v>
      </c>
      <c r="C24" s="75" t="str">
        <f t="shared" si="3"/>
        <v>1L</v>
      </c>
      <c r="D24" s="74" t="str">
        <f t="shared" si="4"/>
        <v>6L</v>
      </c>
      <c r="E24" s="73" t="str">
        <f t="shared" si="0"/>
        <v>GBP1L6L16Y_Quote</v>
      </c>
      <c r="F24" s="73" t="str">
        <f>_xll.qlSimpleQuote(E24,,RateTickValue,Permanent,Trigger,ObjectOverwrite)</f>
        <v>GBP1L6L16Y_Quote#0000</v>
      </c>
      <c r="G24" s="72" t="str">
        <f>_xll.ohRangeRetrieveError(F24)</f>
        <v/>
      </c>
      <c r="H24" s="71"/>
      <c r="N24" s="118">
        <v>16</v>
      </c>
      <c r="O24" s="393" t="s">
        <v>71</v>
      </c>
      <c r="P24" s="396" t="str">
        <v>1L</v>
      </c>
      <c r="Q24" s="396" t="str">
        <v>6L</v>
      </c>
      <c r="R24" s="394" t="str">
        <f t="shared" si="1"/>
        <v>GBP1L6L16Y</v>
      </c>
      <c r="S24" s="351" t="str">
        <v>GBP1L6L16Y=ICAP</v>
      </c>
      <c r="T24" s="513" t="s">
        <v>233</v>
      </c>
      <c r="U24" s="513" t="s">
        <v>233</v>
      </c>
      <c r="V24" s="513" t="e">
        <f>_xll.qlMidEquivalent(T24,U24)</f>
        <v>#NUM!</v>
      </c>
      <c r="W24" s="348" t="b">
        <f t="shared" si="2"/>
        <v>0</v>
      </c>
      <c r="X24" s="514">
        <v>17.789209723867408</v>
      </c>
      <c r="Y24" s="342"/>
      <c r="Z24" s="511">
        <v>17.07524013584781</v>
      </c>
      <c r="AA24" s="342"/>
      <c r="AB24" s="623">
        <v>17.07524013584781</v>
      </c>
      <c r="AC24" s="347" t="e">
        <f>_xll.qlSimpleQuoteSetValue(F24,AB24/10000,Trigger)</f>
        <v>#N/A</v>
      </c>
      <c r="AD24" s="218"/>
      <c r="AE24" s="64"/>
      <c r="AF24" s="64"/>
      <c r="AG24" s="64"/>
      <c r="AH24" s="64"/>
    </row>
    <row r="25" spans="1:34" x14ac:dyDescent="0.2">
      <c r="A25" s="77"/>
      <c r="B25" s="76" t="s">
        <v>70</v>
      </c>
      <c r="C25" s="75" t="str">
        <f t="shared" si="3"/>
        <v>1L</v>
      </c>
      <c r="D25" s="74" t="str">
        <f t="shared" si="4"/>
        <v>6L</v>
      </c>
      <c r="E25" s="73" t="str">
        <f t="shared" si="0"/>
        <v>GBP1L6L17Y_Quote</v>
      </c>
      <c r="F25" s="73" t="str">
        <f>_xll.qlSimpleQuote(E25,,RateTickValue,Permanent,Trigger,ObjectOverwrite)</f>
        <v>GBP1L6L17Y_Quote#0000</v>
      </c>
      <c r="G25" s="72" t="str">
        <f>_xll.ohRangeRetrieveError(F25)</f>
        <v/>
      </c>
      <c r="H25" s="71"/>
      <c r="N25" s="118">
        <v>17</v>
      </c>
      <c r="O25" s="393" t="s">
        <v>70</v>
      </c>
      <c r="P25" s="396" t="str">
        <v>1L</v>
      </c>
      <c r="Q25" s="396" t="str">
        <v>6L</v>
      </c>
      <c r="R25" s="394" t="str">
        <f t="shared" si="1"/>
        <v>GBP1L6L17Y</v>
      </c>
      <c r="S25" s="351" t="str">
        <v>GBP1L6L17Y=ICAP</v>
      </c>
      <c r="T25" s="513" t="s">
        <v>233</v>
      </c>
      <c r="U25" s="513" t="s">
        <v>233</v>
      </c>
      <c r="V25" s="513" t="e">
        <f>_xll.qlMidEquivalent(T25,U25)</f>
        <v>#NUM!</v>
      </c>
      <c r="W25" s="348" t="b">
        <f t="shared" si="2"/>
        <v>0</v>
      </c>
      <c r="X25" s="514">
        <v>17.440149013593178</v>
      </c>
      <c r="Y25" s="342"/>
      <c r="Z25" s="511">
        <v>16.885157166070208</v>
      </c>
      <c r="AA25" s="342"/>
      <c r="AB25" s="623">
        <v>16.885157166070208</v>
      </c>
      <c r="AC25" s="347" t="e">
        <f>_xll.qlSimpleQuoteSetValue(F25,AB25/10000,Trigger)</f>
        <v>#N/A</v>
      </c>
      <c r="AD25" s="218"/>
      <c r="AE25" s="64"/>
      <c r="AF25" s="64"/>
      <c r="AG25" s="64"/>
      <c r="AH25" s="64"/>
    </row>
    <row r="26" spans="1:34" x14ac:dyDescent="0.2">
      <c r="A26" s="77"/>
      <c r="B26" s="76" t="s">
        <v>69</v>
      </c>
      <c r="C26" s="75" t="str">
        <f t="shared" si="3"/>
        <v>1L</v>
      </c>
      <c r="D26" s="74" t="str">
        <f t="shared" si="4"/>
        <v>6L</v>
      </c>
      <c r="E26" s="73" t="str">
        <f t="shared" si="0"/>
        <v>GBP1L6L18Y_Quote</v>
      </c>
      <c r="F26" s="73" t="str">
        <f>_xll.qlSimpleQuote(E26,,RateTickValue,Permanent,Trigger,ObjectOverwrite)</f>
        <v>GBP1L6L18Y_Quote#0000</v>
      </c>
      <c r="G26" s="72" t="str">
        <f>_xll.ohRangeRetrieveError(F26)</f>
        <v/>
      </c>
      <c r="H26" s="71"/>
      <c r="N26" s="118">
        <v>18</v>
      </c>
      <c r="O26" s="393" t="s">
        <v>69</v>
      </c>
      <c r="P26" s="396" t="str">
        <v>1L</v>
      </c>
      <c r="Q26" s="396" t="str">
        <v>6L</v>
      </c>
      <c r="R26" s="394" t="str">
        <f t="shared" si="1"/>
        <v>GBP1L6L18Y</v>
      </c>
      <c r="S26" s="351" t="str">
        <v>GBP1L6L18Y=ICAP</v>
      </c>
      <c r="T26" s="513" t="s">
        <v>233</v>
      </c>
      <c r="U26" s="513" t="s">
        <v>233</v>
      </c>
      <c r="V26" s="513" t="e">
        <f>_xll.qlMidEquivalent(T26,U26)</f>
        <v>#NUM!</v>
      </c>
      <c r="W26" s="348" t="b">
        <f t="shared" si="2"/>
        <v>0</v>
      </c>
      <c r="X26" s="514">
        <v>17.083983441385243</v>
      </c>
      <c r="Y26" s="342"/>
      <c r="Z26" s="511">
        <v>16.682454128368697</v>
      </c>
      <c r="AA26" s="342"/>
      <c r="AB26" s="623">
        <v>16.682454128368697</v>
      </c>
      <c r="AC26" s="347" t="e">
        <f>_xll.qlSimpleQuoteSetValue(F26,AB26/10000,Trigger)</f>
        <v>#N/A</v>
      </c>
      <c r="AD26" s="218"/>
      <c r="AE26" s="64"/>
      <c r="AF26" s="64"/>
      <c r="AG26" s="64"/>
      <c r="AH26" s="64"/>
    </row>
    <row r="27" spans="1:34" x14ac:dyDescent="0.2">
      <c r="A27" s="77"/>
      <c r="B27" s="76" t="s">
        <v>68</v>
      </c>
      <c r="C27" s="75" t="str">
        <f t="shared" si="3"/>
        <v>1L</v>
      </c>
      <c r="D27" s="74" t="str">
        <f t="shared" si="4"/>
        <v>6L</v>
      </c>
      <c r="E27" s="73" t="str">
        <f t="shared" si="0"/>
        <v>GBP1L6L19Y_Quote</v>
      </c>
      <c r="F27" s="73" t="str">
        <f>_xll.qlSimpleQuote(E27,,RateTickValue,Permanent,Trigger,ObjectOverwrite)</f>
        <v>GBP1L6L19Y_Quote#0000</v>
      </c>
      <c r="G27" s="72" t="str">
        <f>_xll.ohRangeRetrieveError(F27)</f>
        <v/>
      </c>
      <c r="H27" s="71"/>
      <c r="N27" s="118">
        <v>19</v>
      </c>
      <c r="O27" s="393" t="s">
        <v>68</v>
      </c>
      <c r="P27" s="396" t="str">
        <v>1L</v>
      </c>
      <c r="Q27" s="396" t="str">
        <v>6L</v>
      </c>
      <c r="R27" s="394" t="str">
        <f t="shared" si="1"/>
        <v>GBP1L6L19Y</v>
      </c>
      <c r="S27" s="351" t="str">
        <v>GBP1L6L19Y=ICAP</v>
      </c>
      <c r="T27" s="513" t="s">
        <v>233</v>
      </c>
      <c r="U27" s="513" t="s">
        <v>233</v>
      </c>
      <c r="V27" s="513" t="e">
        <f>_xll.qlMidEquivalent(T27,U27)</f>
        <v>#NUM!</v>
      </c>
      <c r="W27" s="348" t="b">
        <f t="shared" si="2"/>
        <v>0</v>
      </c>
      <c r="X27" s="514">
        <v>16.72687857945154</v>
      </c>
      <c r="Y27" s="342"/>
      <c r="Z27" s="511">
        <v>16.469834060444793</v>
      </c>
      <c r="AA27" s="342"/>
      <c r="AB27" s="623">
        <v>16.469834060444793</v>
      </c>
      <c r="AC27" s="347" t="e">
        <f>_xll.qlSimpleQuoteSetValue(F27,AB27/10000,Trigger)</f>
        <v>#N/A</v>
      </c>
      <c r="AD27" s="218"/>
      <c r="AE27" s="64"/>
      <c r="AF27" s="64"/>
      <c r="AG27" s="64"/>
      <c r="AH27" s="64"/>
    </row>
    <row r="28" spans="1:34" x14ac:dyDescent="0.2">
      <c r="A28" s="77"/>
      <c r="B28" s="76" t="s">
        <v>67</v>
      </c>
      <c r="C28" s="75" t="str">
        <f t="shared" si="3"/>
        <v>1L</v>
      </c>
      <c r="D28" s="74" t="str">
        <f t="shared" si="4"/>
        <v>6L</v>
      </c>
      <c r="E28" s="73" t="str">
        <f t="shared" si="0"/>
        <v>GBP1L6L20Y_Quote</v>
      </c>
      <c r="F28" s="73" t="str">
        <f>_xll.qlSimpleQuote(E28,,RateTickValue,Permanent,Trigger,ObjectOverwrite)</f>
        <v>GBP1L6L20Y_Quote#0000</v>
      </c>
      <c r="G28" s="72" t="str">
        <f>_xll.ohRangeRetrieveError(F28)</f>
        <v/>
      </c>
      <c r="H28" s="71"/>
      <c r="N28" s="118">
        <v>20</v>
      </c>
      <c r="O28" s="393" t="s">
        <v>67</v>
      </c>
      <c r="P28" s="396" t="str">
        <v>1L</v>
      </c>
      <c r="Q28" s="396" t="str">
        <v>6L</v>
      </c>
      <c r="R28" s="394" t="str">
        <f t="shared" si="1"/>
        <v>GBP1L6L20Y</v>
      </c>
      <c r="S28" s="351" t="str">
        <v>GBP1L6L20Y=ICAP</v>
      </c>
      <c r="T28" s="513">
        <v>14.375</v>
      </c>
      <c r="U28" s="513">
        <v>18.375</v>
      </c>
      <c r="V28" s="513">
        <f>_xll.qlMidEquivalent(T28,U28)</f>
        <v>16.375</v>
      </c>
      <c r="W28" s="348" t="b">
        <f t="shared" si="2"/>
        <v>1</v>
      </c>
      <c r="X28" s="514">
        <v>16.375</v>
      </c>
      <c r="Y28" s="342"/>
      <c r="Z28" s="511">
        <v>16.25</v>
      </c>
      <c r="AA28" s="342"/>
      <c r="AB28" s="623">
        <v>16.25</v>
      </c>
      <c r="AC28" s="347" t="e">
        <f>_xll.qlSimpleQuoteSetValue(F28,AB28/10000,Trigger)</f>
        <v>#N/A</v>
      </c>
      <c r="AD28" s="218"/>
      <c r="AE28" s="64"/>
      <c r="AF28" s="64"/>
      <c r="AG28" s="64"/>
      <c r="AH28" s="64"/>
    </row>
    <row r="29" spans="1:34" x14ac:dyDescent="0.2">
      <c r="A29" s="77"/>
      <c r="B29" s="76" t="s">
        <v>66</v>
      </c>
      <c r="C29" s="75" t="str">
        <f t="shared" si="3"/>
        <v>1L</v>
      </c>
      <c r="D29" s="74" t="str">
        <f t="shared" si="4"/>
        <v>6L</v>
      </c>
      <c r="E29" s="73" t="str">
        <f t="shared" si="0"/>
        <v>GBP1L6L21Y_Quote</v>
      </c>
      <c r="F29" s="73" t="str">
        <f>_xll.qlSimpleQuote(E29,,RateTickValue,Permanent,Trigger,ObjectOverwrite)</f>
        <v>GBP1L6L21Y_Quote#0000</v>
      </c>
      <c r="G29" s="72" t="str">
        <f>_xll.ohRangeRetrieveError(F29)</f>
        <v/>
      </c>
      <c r="H29" s="71"/>
      <c r="N29" s="118">
        <v>21</v>
      </c>
      <c r="O29" s="393" t="s">
        <v>66</v>
      </c>
      <c r="P29" s="396" t="str">
        <v>1L</v>
      </c>
      <c r="Q29" s="396" t="str">
        <v>6L</v>
      </c>
      <c r="R29" s="394" t="str">
        <f t="shared" si="1"/>
        <v>GBP1L6L21Y</v>
      </c>
      <c r="S29" s="351" t="str">
        <v>GBP1L6L21Y=ICAP</v>
      </c>
      <c r="T29" s="513" t="s">
        <v>233</v>
      </c>
      <c r="U29" s="513" t="s">
        <v>233</v>
      </c>
      <c r="V29" s="513" t="e">
        <f>_xll.qlMidEquivalent(T29,U29)</f>
        <v>#NUM!</v>
      </c>
      <c r="W29" s="348" t="b">
        <f t="shared" si="2"/>
        <v>0</v>
      </c>
      <c r="X29" s="514">
        <v>16.03423490430054</v>
      </c>
      <c r="Y29" s="342"/>
      <c r="Z29" s="511">
        <v>16.026557175699704</v>
      </c>
      <c r="AA29" s="342"/>
      <c r="AB29" s="623">
        <v>16.026557175699704</v>
      </c>
      <c r="AC29" s="347" t="e">
        <f>_xll.qlSimpleQuoteSetValue(F29,AB29/10000,Trigger)</f>
        <v>#N/A</v>
      </c>
      <c r="AD29" s="218"/>
      <c r="AE29" s="64"/>
      <c r="AF29" s="64"/>
      <c r="AG29" s="64"/>
      <c r="AH29" s="64"/>
    </row>
    <row r="30" spans="1:34" x14ac:dyDescent="0.2">
      <c r="A30" s="77"/>
      <c r="B30" s="76" t="s">
        <v>65</v>
      </c>
      <c r="C30" s="75" t="str">
        <f t="shared" si="3"/>
        <v>1L</v>
      </c>
      <c r="D30" s="74" t="str">
        <f t="shared" si="4"/>
        <v>6L</v>
      </c>
      <c r="E30" s="73" t="str">
        <f t="shared" si="0"/>
        <v>GBP1L6L22Y_Quote</v>
      </c>
      <c r="F30" s="73" t="str">
        <f>_xll.qlSimpleQuote(E30,,RateTickValue,Permanent,Trigger,ObjectOverwrite)</f>
        <v>GBP1L6L22Y_Quote#0000</v>
      </c>
      <c r="G30" s="72" t="str">
        <f>_xll.ohRangeRetrieveError(F30)</f>
        <v/>
      </c>
      <c r="H30" s="71"/>
      <c r="N30" s="118">
        <v>22</v>
      </c>
      <c r="O30" s="393" t="s">
        <v>65</v>
      </c>
      <c r="P30" s="396" t="str">
        <v>1L</v>
      </c>
      <c r="Q30" s="396" t="str">
        <v>6L</v>
      </c>
      <c r="R30" s="394" t="str">
        <f t="shared" si="1"/>
        <v>GBP1L6L22Y</v>
      </c>
      <c r="S30" s="351" t="str">
        <v>GBP1L6L22Y=ICAP</v>
      </c>
      <c r="T30" s="513" t="s">
        <v>233</v>
      </c>
      <c r="U30" s="513" t="s">
        <v>233</v>
      </c>
      <c r="V30" s="513" t="e">
        <f>_xll.qlMidEquivalent(T30,U30)</f>
        <v>#NUM!</v>
      </c>
      <c r="W30" s="348" t="b">
        <f t="shared" si="2"/>
        <v>0</v>
      </c>
      <c r="X30" s="514">
        <v>15.709357009870995</v>
      </c>
      <c r="Y30" s="342"/>
      <c r="Z30" s="511">
        <v>15.806719580064794</v>
      </c>
      <c r="AA30" s="342"/>
      <c r="AB30" s="623">
        <v>15.806719580064794</v>
      </c>
      <c r="AC30" s="347" t="e">
        <f>_xll.qlSimpleQuoteSetValue(F30,AB30/10000,Trigger)</f>
        <v>#N/A</v>
      </c>
      <c r="AD30" s="218"/>
      <c r="AE30" s="64"/>
      <c r="AF30" s="64"/>
      <c r="AG30" s="64"/>
      <c r="AH30" s="64"/>
    </row>
    <row r="31" spans="1:34" x14ac:dyDescent="0.2">
      <c r="A31" s="77"/>
      <c r="B31" s="76" t="s">
        <v>64</v>
      </c>
      <c r="C31" s="75" t="str">
        <f t="shared" si="3"/>
        <v>1L</v>
      </c>
      <c r="D31" s="74" t="str">
        <f t="shared" si="4"/>
        <v>6L</v>
      </c>
      <c r="E31" s="73" t="str">
        <f t="shared" si="0"/>
        <v>GBP1L6L23Y_Quote</v>
      </c>
      <c r="F31" s="73" t="str">
        <f>_xll.qlSimpleQuote(E31,,RateTickValue,Permanent,Trigger,ObjectOverwrite)</f>
        <v>GBP1L6L23Y_Quote#0000</v>
      </c>
      <c r="G31" s="72" t="str">
        <f>_xll.ohRangeRetrieveError(F31)</f>
        <v/>
      </c>
      <c r="H31" s="71"/>
      <c r="N31" s="118">
        <v>23</v>
      </c>
      <c r="O31" s="393" t="s">
        <v>64</v>
      </c>
      <c r="P31" s="396" t="str">
        <v>1L</v>
      </c>
      <c r="Q31" s="396" t="str">
        <v>6L</v>
      </c>
      <c r="R31" s="394" t="str">
        <f t="shared" si="1"/>
        <v>GBP1L6L23Y</v>
      </c>
      <c r="S31" s="351" t="str">
        <v>GBP1L6L23Y=ICAP</v>
      </c>
      <c r="T31" s="513" t="s">
        <v>233</v>
      </c>
      <c r="U31" s="513" t="s">
        <v>233</v>
      </c>
      <c r="V31" s="513" t="e">
        <f>_xll.qlMidEquivalent(T31,U31)</f>
        <v>#NUM!</v>
      </c>
      <c r="W31" s="348" t="b">
        <f t="shared" si="2"/>
        <v>0</v>
      </c>
      <c r="X31" s="514">
        <v>15.404861663291181</v>
      </c>
      <c r="Y31" s="342"/>
      <c r="Z31" s="511">
        <v>15.59860339658003</v>
      </c>
      <c r="AA31" s="342"/>
      <c r="AB31" s="623">
        <v>15.59860339658003</v>
      </c>
      <c r="AC31" s="347" t="e">
        <f>_xll.qlSimpleQuoteSetValue(F31,AB31/10000,Trigger)</f>
        <v>#N/A</v>
      </c>
      <c r="AD31" s="218"/>
      <c r="AE31" s="64"/>
      <c r="AF31" s="64"/>
      <c r="AG31" s="64"/>
      <c r="AH31" s="64"/>
    </row>
    <row r="32" spans="1:34" x14ac:dyDescent="0.2">
      <c r="A32" s="77"/>
      <c r="B32" s="76" t="s">
        <v>63</v>
      </c>
      <c r="C32" s="75" t="str">
        <f t="shared" si="3"/>
        <v>1L</v>
      </c>
      <c r="D32" s="74" t="str">
        <f t="shared" si="4"/>
        <v>6L</v>
      </c>
      <c r="E32" s="73" t="str">
        <f t="shared" si="0"/>
        <v>GBP1L6L24Y_Quote</v>
      </c>
      <c r="F32" s="73" t="str">
        <f>_xll.qlSimpleQuote(E32,,RateTickValue,Permanent,Trigger,ObjectOverwrite)</f>
        <v>GBP1L6L24Y_Quote#0000</v>
      </c>
      <c r="G32" s="72" t="str">
        <f>_xll.ohRangeRetrieveError(F32)</f>
        <v/>
      </c>
      <c r="H32" s="71"/>
      <c r="N32" s="118">
        <v>24</v>
      </c>
      <c r="O32" s="393" t="s">
        <v>63</v>
      </c>
      <c r="P32" s="396" t="str">
        <v>1L</v>
      </c>
      <c r="Q32" s="396" t="str">
        <v>6L</v>
      </c>
      <c r="R32" s="394" t="str">
        <f t="shared" si="1"/>
        <v>GBP1L6L24Y</v>
      </c>
      <c r="S32" s="351" t="str">
        <v>GBP1L6L24Y=ICAP</v>
      </c>
      <c r="T32" s="513" t="s">
        <v>233</v>
      </c>
      <c r="U32" s="513" t="s">
        <v>233</v>
      </c>
      <c r="V32" s="513" t="e">
        <f>_xll.qlMidEquivalent(T32,U32)</f>
        <v>#NUM!</v>
      </c>
      <c r="W32" s="348" t="b">
        <f t="shared" si="2"/>
        <v>0</v>
      </c>
      <c r="X32" s="514">
        <v>15.12524421114091</v>
      </c>
      <c r="Y32" s="342"/>
      <c r="Z32" s="511">
        <v>15.410324808730177</v>
      </c>
      <c r="AA32" s="342"/>
      <c r="AB32" s="623">
        <v>15.410324808730177</v>
      </c>
      <c r="AC32" s="347" t="e">
        <f>_xll.qlSimpleQuoteSetValue(F32,AB32/10000,Trigger)</f>
        <v>#N/A</v>
      </c>
      <c r="AD32" s="218"/>
      <c r="AE32" s="64"/>
      <c r="AF32" s="64"/>
      <c r="AG32" s="64"/>
      <c r="AH32" s="64"/>
    </row>
    <row r="33" spans="1:34" x14ac:dyDescent="0.2">
      <c r="A33" s="77"/>
      <c r="B33" s="76" t="s">
        <v>62</v>
      </c>
      <c r="C33" s="75" t="str">
        <f t="shared" si="3"/>
        <v>1L</v>
      </c>
      <c r="D33" s="74" t="str">
        <f t="shared" si="4"/>
        <v>6L</v>
      </c>
      <c r="E33" s="73" t="str">
        <f t="shared" si="0"/>
        <v>GBP1L6L25Y_Quote</v>
      </c>
      <c r="F33" s="73" t="str">
        <f>_xll.qlSimpleQuote(E33,,RateTickValue,Permanent,Trigger,ObjectOverwrite)</f>
        <v>GBP1L6L25Y_Quote#0000</v>
      </c>
      <c r="G33" s="72" t="str">
        <f>_xll.ohRangeRetrieveError(F33)</f>
        <v/>
      </c>
      <c r="H33" s="71"/>
      <c r="N33" s="118">
        <v>25</v>
      </c>
      <c r="O33" s="393" t="s">
        <v>62</v>
      </c>
      <c r="P33" s="396" t="str">
        <v>1L</v>
      </c>
      <c r="Q33" s="396" t="str">
        <v>6L</v>
      </c>
      <c r="R33" s="394" t="str">
        <f t="shared" si="1"/>
        <v>GBP1L6L25Y</v>
      </c>
      <c r="S33" s="351" t="str">
        <v>GBP1L6L25Y=ICAP</v>
      </c>
      <c r="T33" s="513">
        <v>12.875</v>
      </c>
      <c r="U33" s="513">
        <v>16.875</v>
      </c>
      <c r="V33" s="513">
        <f>_xll.qlMidEquivalent(T33,U33)</f>
        <v>14.875</v>
      </c>
      <c r="W33" s="348" t="b">
        <f t="shared" si="2"/>
        <v>1</v>
      </c>
      <c r="X33" s="514">
        <v>14.875</v>
      </c>
      <c r="Y33" s="342"/>
      <c r="Z33" s="511">
        <v>15.25</v>
      </c>
      <c r="AA33" s="342"/>
      <c r="AB33" s="623">
        <v>15.25</v>
      </c>
      <c r="AC33" s="347" t="e">
        <f>_xll.qlSimpleQuoteSetValue(F33,AB33/10000,Trigger)</f>
        <v>#N/A</v>
      </c>
      <c r="AD33" s="218"/>
      <c r="AE33" s="64"/>
      <c r="AF33" s="64"/>
      <c r="AG33" s="64"/>
      <c r="AH33" s="64"/>
    </row>
    <row r="34" spans="1:34" x14ac:dyDescent="0.2">
      <c r="A34" s="77"/>
      <c r="B34" s="76" t="s">
        <v>61</v>
      </c>
      <c r="C34" s="75" t="str">
        <f t="shared" si="3"/>
        <v>1L</v>
      </c>
      <c r="D34" s="74" t="str">
        <f t="shared" si="4"/>
        <v>6L</v>
      </c>
      <c r="E34" s="73" t="str">
        <f t="shared" si="0"/>
        <v>GBP1L6L26Y_Quote</v>
      </c>
      <c r="F34" s="73" t="str">
        <f>_xll.qlSimpleQuote(E34,,RateTickValue,Permanent,Trigger,ObjectOverwrite)</f>
        <v>GBP1L6L26Y_Quote#0000</v>
      </c>
      <c r="G34" s="72" t="str">
        <f>_xll.ohRangeRetrieveError(F34)</f>
        <v/>
      </c>
      <c r="H34" s="71"/>
      <c r="N34" s="118">
        <v>26</v>
      </c>
      <c r="O34" s="393" t="s">
        <v>61</v>
      </c>
      <c r="P34" s="396" t="str">
        <v>1L</v>
      </c>
      <c r="Q34" s="396" t="str">
        <v>6L</v>
      </c>
      <c r="R34" s="394" t="str">
        <f t="shared" si="1"/>
        <v>GBP1L6L26Y</v>
      </c>
      <c r="S34" s="351" t="str">
        <v>GBP1L6L26Y=ICAP</v>
      </c>
      <c r="T34" s="513" t="s">
        <v>233</v>
      </c>
      <c r="U34" s="513" t="s">
        <v>233</v>
      </c>
      <c r="V34" s="513" t="e">
        <f>_xll.qlMidEquivalent(T34,U34)</f>
        <v>#NUM!</v>
      </c>
      <c r="W34" s="348" t="b">
        <f t="shared" si="2"/>
        <v>0</v>
      </c>
      <c r="X34" s="514">
        <v>14.656850658930431</v>
      </c>
      <c r="Y34" s="342"/>
      <c r="Z34" s="511">
        <v>15.122531161353372</v>
      </c>
      <c r="AA34" s="342"/>
      <c r="AB34" s="623">
        <v>15.122531161353372</v>
      </c>
      <c r="AC34" s="347" t="e">
        <f>_xll.qlSimpleQuoteSetValue(F34,AB34/10000,Trigger)</f>
        <v>#N/A</v>
      </c>
      <c r="AD34" s="218"/>
      <c r="AE34" s="64"/>
      <c r="AF34" s="64"/>
      <c r="AG34" s="64"/>
      <c r="AH34" s="64"/>
    </row>
    <row r="35" spans="1:34" x14ac:dyDescent="0.2">
      <c r="A35" s="77"/>
      <c r="B35" s="76" t="s">
        <v>60</v>
      </c>
      <c r="C35" s="75" t="str">
        <f t="shared" si="3"/>
        <v>1L</v>
      </c>
      <c r="D35" s="74" t="str">
        <f t="shared" si="4"/>
        <v>6L</v>
      </c>
      <c r="E35" s="73" t="str">
        <f t="shared" si="0"/>
        <v>GBP1L6L27Y_Quote</v>
      </c>
      <c r="F35" s="73" t="str">
        <f>_xll.qlSimpleQuote(E35,,RateTickValue,Permanent,Trigger,ObjectOverwrite)</f>
        <v>GBP1L6L27Y_Quote#0000</v>
      </c>
      <c r="G35" s="72" t="str">
        <f>_xll.ohRangeRetrieveError(F35)</f>
        <v/>
      </c>
      <c r="H35" s="71"/>
      <c r="N35" s="118">
        <v>27</v>
      </c>
      <c r="O35" s="393" t="s">
        <v>60</v>
      </c>
      <c r="P35" s="396" t="str">
        <v>1L</v>
      </c>
      <c r="Q35" s="396" t="str">
        <v>6L</v>
      </c>
      <c r="R35" s="394" t="str">
        <f t="shared" si="1"/>
        <v>GBP1L6L27Y</v>
      </c>
      <c r="S35" s="351" t="str">
        <v>GBP1L6L27Y=ICAP</v>
      </c>
      <c r="T35" s="513" t="s">
        <v>233</v>
      </c>
      <c r="U35" s="513" t="s">
        <v>233</v>
      </c>
      <c r="V35" s="513" t="e">
        <f>_xll.qlMidEquivalent(T35,U35)</f>
        <v>#NUM!</v>
      </c>
      <c r="W35" s="348" t="b">
        <f t="shared" si="2"/>
        <v>0</v>
      </c>
      <c r="X35" s="514">
        <v>14.46642294692284</v>
      </c>
      <c r="Y35" s="342"/>
      <c r="Z35" s="511">
        <v>15.019964513670621</v>
      </c>
      <c r="AA35" s="342"/>
      <c r="AB35" s="623">
        <v>15.019964513670621</v>
      </c>
      <c r="AC35" s="347" t="e">
        <f>_xll.qlSimpleQuoteSetValue(F35,AB35/10000,Trigger)</f>
        <v>#N/A</v>
      </c>
      <c r="AD35" s="218"/>
      <c r="AE35" s="64"/>
      <c r="AF35" s="64"/>
      <c r="AG35" s="64"/>
      <c r="AH35" s="64"/>
    </row>
    <row r="36" spans="1:34" x14ac:dyDescent="0.2">
      <c r="A36" s="77"/>
      <c r="B36" s="76" t="s">
        <v>59</v>
      </c>
      <c r="C36" s="75" t="str">
        <f t="shared" si="3"/>
        <v>1L</v>
      </c>
      <c r="D36" s="74" t="str">
        <f t="shared" si="4"/>
        <v>6L</v>
      </c>
      <c r="E36" s="73" t="str">
        <f t="shared" si="0"/>
        <v>GBP1L6L28Y_Quote</v>
      </c>
      <c r="F36" s="73" t="str">
        <f>_xll.qlSimpleQuote(E36,,RateTickValue,Permanent,Trigger,ObjectOverwrite)</f>
        <v>GBP1L6L28Y_Quote#0000</v>
      </c>
      <c r="G36" s="72" t="str">
        <f>_xll.ohRangeRetrieveError(F36)</f>
        <v/>
      </c>
      <c r="H36" s="71"/>
      <c r="N36" s="118">
        <v>28</v>
      </c>
      <c r="O36" s="393" t="s">
        <v>59</v>
      </c>
      <c r="P36" s="396" t="str">
        <v>1L</v>
      </c>
      <c r="Q36" s="396" t="str">
        <v>6L</v>
      </c>
      <c r="R36" s="394" t="str">
        <f t="shared" si="1"/>
        <v>GBP1L6L28Y</v>
      </c>
      <c r="S36" s="351" t="str">
        <v>GBP1L6L28Y=ICAP</v>
      </c>
      <c r="T36" s="513" t="s">
        <v>233</v>
      </c>
      <c r="U36" s="513" t="s">
        <v>233</v>
      </c>
      <c r="V36" s="513" t="e">
        <f>_xll.qlMidEquivalent(T36,U36)</f>
        <v>#NUM!</v>
      </c>
      <c r="W36" s="348" t="b">
        <f t="shared" si="2"/>
        <v>0</v>
      </c>
      <c r="X36" s="514">
        <v>14.297569905450036</v>
      </c>
      <c r="Y36" s="342"/>
      <c r="Z36" s="511">
        <v>14.931132285311183</v>
      </c>
      <c r="AA36" s="342"/>
      <c r="AB36" s="623">
        <v>14.931132285311183</v>
      </c>
      <c r="AC36" s="347" t="e">
        <f>_xll.qlSimpleQuoteSetValue(F36,AB36/10000,Trigger)</f>
        <v>#N/A</v>
      </c>
      <c r="AD36" s="218"/>
      <c r="AE36" s="64"/>
      <c r="AF36" s="64"/>
      <c r="AG36" s="64"/>
      <c r="AH36" s="64"/>
    </row>
    <row r="37" spans="1:34" x14ac:dyDescent="0.2">
      <c r="A37" s="77"/>
      <c r="B37" s="76" t="s">
        <v>58</v>
      </c>
      <c r="C37" s="75" t="str">
        <f t="shared" si="3"/>
        <v>1L</v>
      </c>
      <c r="D37" s="74" t="str">
        <f t="shared" si="4"/>
        <v>6L</v>
      </c>
      <c r="E37" s="73" t="str">
        <f t="shared" si="0"/>
        <v>GBP1L6L29Y_Quote</v>
      </c>
      <c r="F37" s="73" t="str">
        <f>_xll.qlSimpleQuote(E37,,RateTickValue,Permanent,Trigger,ObjectOverwrite)</f>
        <v>GBP1L6L29Y_Quote#0000</v>
      </c>
      <c r="G37" s="72" t="str">
        <f>_xll.ohRangeRetrieveError(F37)</f>
        <v/>
      </c>
      <c r="H37" s="71"/>
      <c r="N37" s="118">
        <v>29</v>
      </c>
      <c r="O37" s="393" t="s">
        <v>58</v>
      </c>
      <c r="P37" s="396" t="str">
        <v>1L</v>
      </c>
      <c r="Q37" s="396" t="str">
        <v>6L</v>
      </c>
      <c r="R37" s="394" t="str">
        <f t="shared" si="1"/>
        <v>GBP1L6L29Y</v>
      </c>
      <c r="S37" s="351" t="str">
        <v>GBP1L6L29Y=ICAP</v>
      </c>
      <c r="T37" s="513" t="s">
        <v>233</v>
      </c>
      <c r="U37" s="513" t="s">
        <v>233</v>
      </c>
      <c r="V37" s="513" t="e">
        <f>_xll.qlMidEquivalent(T37,U37)</f>
        <v>#NUM!</v>
      </c>
      <c r="W37" s="348" t="b">
        <f t="shared" si="2"/>
        <v>0</v>
      </c>
      <c r="X37" s="514">
        <v>14.14414457598482</v>
      </c>
      <c r="Y37" s="342"/>
      <c r="Z37" s="511">
        <v>14.844866704634496</v>
      </c>
      <c r="AA37" s="342"/>
      <c r="AB37" s="623">
        <v>14.844866704634496</v>
      </c>
      <c r="AC37" s="347" t="e">
        <f>_xll.qlSimpleQuoteSetValue(F37,AB37/10000,Trigger)</f>
        <v>#N/A</v>
      </c>
      <c r="AD37" s="218"/>
      <c r="AE37" s="64"/>
      <c r="AF37" s="64"/>
      <c r="AG37" s="64"/>
      <c r="AH37" s="64"/>
    </row>
    <row r="38" spans="1:34" x14ac:dyDescent="0.2">
      <c r="A38" s="77"/>
      <c r="B38" s="76" t="s">
        <v>57</v>
      </c>
      <c r="C38" s="75" t="str">
        <f t="shared" si="3"/>
        <v>1L</v>
      </c>
      <c r="D38" s="74" t="str">
        <f t="shared" si="4"/>
        <v>6L</v>
      </c>
      <c r="E38" s="73" t="str">
        <f t="shared" si="0"/>
        <v>GBP1L6L30Y_Quote</v>
      </c>
      <c r="F38" s="73" t="str">
        <f>_xll.qlSimpleQuote(E38,,RateTickValue,Permanent,Trigger,ObjectOverwrite)</f>
        <v>GBP1L6L30Y_Quote#0000</v>
      </c>
      <c r="G38" s="72" t="str">
        <f>_xll.ohRangeRetrieveError(F38)</f>
        <v/>
      </c>
      <c r="H38" s="71"/>
      <c r="N38" s="118">
        <v>30</v>
      </c>
      <c r="O38" s="393" t="s">
        <v>57</v>
      </c>
      <c r="P38" s="396" t="str">
        <v>1L</v>
      </c>
      <c r="Q38" s="396" t="str">
        <v>6L</v>
      </c>
      <c r="R38" s="394" t="str">
        <f t="shared" si="1"/>
        <v>GBP1L6L30Y</v>
      </c>
      <c r="S38" s="351" t="str">
        <v>GBP1L6L30Y=ICAP</v>
      </c>
      <c r="T38" s="513">
        <v>12</v>
      </c>
      <c r="U38" s="513">
        <v>16</v>
      </c>
      <c r="V38" s="513">
        <f>_xll.qlMidEquivalent(T38,U38)</f>
        <v>14</v>
      </c>
      <c r="W38" s="348" t="b">
        <f t="shared" si="2"/>
        <v>1</v>
      </c>
      <c r="X38" s="514">
        <v>14</v>
      </c>
      <c r="Y38" s="342"/>
      <c r="Z38" s="511">
        <v>14.75</v>
      </c>
      <c r="AA38" s="342"/>
      <c r="AB38" s="623">
        <v>14.75</v>
      </c>
      <c r="AC38" s="347" t="e">
        <f>_xll.qlSimpleQuoteSetValue(F38,AB38/10000,Trigger)</f>
        <v>#N/A</v>
      </c>
      <c r="AD38" s="218"/>
      <c r="AE38" s="64"/>
      <c r="AF38" s="64"/>
      <c r="AG38" s="64"/>
      <c r="AH38" s="64"/>
    </row>
    <row r="39" spans="1:34" x14ac:dyDescent="0.2">
      <c r="A39" s="77"/>
      <c r="B39" s="76" t="s">
        <v>52</v>
      </c>
      <c r="C39" s="75" t="str">
        <f t="shared" si="3"/>
        <v>1L</v>
      </c>
      <c r="D39" s="74" t="str">
        <f t="shared" si="4"/>
        <v>6L</v>
      </c>
      <c r="E39" s="73" t="str">
        <f t="shared" si="0"/>
        <v>GBP1L6L35Y_Quote</v>
      </c>
      <c r="F39" s="73" t="str">
        <f>_xll.qlSimpleQuote(E39,,RateTickValue,Permanent,Trigger,ObjectOverwrite)</f>
        <v>GBP1L6L35Y_Quote#0000</v>
      </c>
      <c r="G39" s="72" t="str">
        <f>_xll.ohRangeRetrieveError(F39)</f>
        <v/>
      </c>
      <c r="H39" s="71"/>
      <c r="N39" s="118">
        <v>35</v>
      </c>
      <c r="O39" s="393" t="s">
        <v>52</v>
      </c>
      <c r="P39" s="396" t="str">
        <v>1L</v>
      </c>
      <c r="Q39" s="396" t="str">
        <v>6L</v>
      </c>
      <c r="R39" s="394" t="str">
        <f t="shared" si="1"/>
        <v>GBP1L6L35Y</v>
      </c>
      <c r="S39" s="351" t="str">
        <v>GBP1L6L35Y=ICAP</v>
      </c>
      <c r="T39" s="513" t="s">
        <v>233</v>
      </c>
      <c r="U39" s="513" t="s">
        <v>233</v>
      </c>
      <c r="V39" s="513" t="e">
        <f>_xll.qlMidEquivalent(T39,U39)</f>
        <v>#NUM!</v>
      </c>
      <c r="W39" s="348" t="b">
        <f t="shared" si="2"/>
        <v>0</v>
      </c>
      <c r="X39" s="512">
        <f>X38</f>
        <v>14</v>
      </c>
      <c r="Y39" s="342"/>
      <c r="Z39" s="511">
        <v>14.75</v>
      </c>
      <c r="AA39" s="342"/>
      <c r="AB39" s="623">
        <v>14.75</v>
      </c>
      <c r="AC39" s="347" t="e">
        <f>_xll.qlSimpleQuoteSetValue(F39,AB39/10000,Trigger)</f>
        <v>#N/A</v>
      </c>
      <c r="AD39" s="218"/>
      <c r="AE39" s="64"/>
      <c r="AF39" s="64"/>
      <c r="AG39" s="64"/>
      <c r="AH39" s="64"/>
    </row>
    <row r="40" spans="1:34" x14ac:dyDescent="0.2">
      <c r="A40" s="77"/>
      <c r="B40" s="76" t="s">
        <v>47</v>
      </c>
      <c r="C40" s="75" t="str">
        <f t="shared" si="3"/>
        <v>1L</v>
      </c>
      <c r="D40" s="74" t="str">
        <f t="shared" si="4"/>
        <v>6L</v>
      </c>
      <c r="E40" s="73" t="str">
        <f t="shared" si="0"/>
        <v>GBP1L6L40Y_Quote</v>
      </c>
      <c r="F40" s="73" t="str">
        <f>_xll.qlSimpleQuote(E40,,RateTickValue,Permanent,Trigger,ObjectOverwrite)</f>
        <v>GBP1L6L40Y_Quote#0000</v>
      </c>
      <c r="G40" s="72" t="str">
        <f>_xll.ohRangeRetrieveError(F40)</f>
        <v/>
      </c>
      <c r="H40" s="71"/>
      <c r="N40" s="118">
        <v>40</v>
      </c>
      <c r="O40" s="393" t="s">
        <v>47</v>
      </c>
      <c r="P40" s="396" t="str">
        <v>1L</v>
      </c>
      <c r="Q40" s="396" t="str">
        <v>6L</v>
      </c>
      <c r="R40" s="394" t="str">
        <f t="shared" si="1"/>
        <v>GBP1L6L40Y</v>
      </c>
      <c r="S40" s="351" t="str">
        <v>GBP1L6L40Y=ICAP</v>
      </c>
      <c r="T40" s="513">
        <v>10.75</v>
      </c>
      <c r="U40" s="513">
        <v>14.75</v>
      </c>
      <c r="V40" s="513">
        <f>_xll.qlMidEquivalent(T40,U40)</f>
        <v>12.75</v>
      </c>
      <c r="W40" s="348" t="b">
        <f t="shared" si="2"/>
        <v>1</v>
      </c>
      <c r="X40" s="512">
        <f>X39</f>
        <v>14</v>
      </c>
      <c r="Y40" s="342"/>
      <c r="Z40" s="511">
        <v>14.75</v>
      </c>
      <c r="AA40" s="342"/>
      <c r="AB40" s="623">
        <v>14.75</v>
      </c>
      <c r="AC40" s="347" t="e">
        <f>_xll.qlSimpleQuoteSetValue(F40,AB40/10000,Trigger)</f>
        <v>#N/A</v>
      </c>
      <c r="AD40" s="218"/>
      <c r="AE40" s="64"/>
      <c r="AF40" s="64"/>
      <c r="AG40" s="64"/>
      <c r="AH40" s="64"/>
    </row>
    <row r="41" spans="1:34" x14ac:dyDescent="0.2">
      <c r="A41" s="77"/>
      <c r="B41" s="76" t="s">
        <v>37</v>
      </c>
      <c r="C41" s="75" t="str">
        <f t="shared" si="3"/>
        <v>1L</v>
      </c>
      <c r="D41" s="74" t="str">
        <f t="shared" si="4"/>
        <v>6L</v>
      </c>
      <c r="E41" s="73" t="str">
        <f t="shared" si="0"/>
        <v>GBP1L6L50Y_Quote</v>
      </c>
      <c r="F41" s="73" t="str">
        <f>_xll.qlSimpleQuote(E41,,RateTickValue,Permanent,Trigger,ObjectOverwrite)</f>
        <v>GBP1L6L50Y_Quote#0000</v>
      </c>
      <c r="G41" s="72" t="str">
        <f>_xll.ohRangeRetrieveError(F41)</f>
        <v/>
      </c>
      <c r="H41" s="71"/>
      <c r="N41" s="118">
        <v>50</v>
      </c>
      <c r="O41" s="393" t="s">
        <v>37</v>
      </c>
      <c r="P41" s="396" t="str">
        <v>1L</v>
      </c>
      <c r="Q41" s="396" t="str">
        <v>6L</v>
      </c>
      <c r="R41" s="394" t="str">
        <f t="shared" si="1"/>
        <v>GBP1L6L50Y</v>
      </c>
      <c r="S41" s="351" t="str">
        <v>GBP1L6L50Y=ICAP</v>
      </c>
      <c r="T41" s="513">
        <v>9.375</v>
      </c>
      <c r="U41" s="513">
        <v>14.375</v>
      </c>
      <c r="V41" s="513">
        <f>_xll.qlMidEquivalent(T41,U41)</f>
        <v>11.875</v>
      </c>
      <c r="W41" s="348" t="b">
        <f t="shared" si="2"/>
        <v>1</v>
      </c>
      <c r="X41" s="512">
        <f>X40</f>
        <v>14</v>
      </c>
      <c r="Y41" s="342"/>
      <c r="Z41" s="511">
        <v>14.75</v>
      </c>
      <c r="AA41" s="342"/>
      <c r="AB41" s="623">
        <v>14.75</v>
      </c>
      <c r="AC41" s="347" t="e">
        <f>_xll.qlSimpleQuoteSetValue(F41,AB41/10000,Trigger)</f>
        <v>#N/A</v>
      </c>
      <c r="AD41" s="218"/>
      <c r="AE41" s="64"/>
      <c r="AF41" s="64"/>
      <c r="AG41" s="64"/>
      <c r="AH41" s="64"/>
    </row>
    <row r="42" spans="1:34" x14ac:dyDescent="0.2">
      <c r="A42" s="77"/>
      <c r="B42" s="76" t="s">
        <v>27</v>
      </c>
      <c r="C42" s="75" t="str">
        <f t="shared" si="3"/>
        <v>1L</v>
      </c>
      <c r="D42" s="74" t="str">
        <f t="shared" si="4"/>
        <v>6L</v>
      </c>
      <c r="E42" s="73" t="str">
        <f t="shared" si="0"/>
        <v>GBP1L6L60Y_Quote</v>
      </c>
      <c r="F42" s="73" t="str">
        <f>_xll.qlSimpleQuote(E42,,RateTickValue,Permanent,Trigger,ObjectOverwrite)</f>
        <v>GBP1L6L60Y_Quote#0000</v>
      </c>
      <c r="G42" s="72" t="str">
        <f>_xll.ohRangeRetrieveError(F42)</f>
        <v/>
      </c>
      <c r="H42" s="71"/>
      <c r="N42" s="118">
        <v>60</v>
      </c>
      <c r="O42" s="403" t="s">
        <v>27</v>
      </c>
      <c r="P42" s="392" t="str">
        <v>1L</v>
      </c>
      <c r="Q42" s="392" t="str">
        <v>6L</v>
      </c>
      <c r="R42" s="390" t="str">
        <f t="shared" si="1"/>
        <v>GBP1L6L60Y</v>
      </c>
      <c r="S42" s="345" t="str">
        <v>GBP1L6L60Y=ICAP</v>
      </c>
      <c r="T42" s="509">
        <v>8.375</v>
      </c>
      <c r="U42" s="509">
        <v>14.375</v>
      </c>
      <c r="V42" s="509">
        <f>_xll.qlMidEquivalent(T42,U42)</f>
        <v>11.375</v>
      </c>
      <c r="W42" s="341" t="b">
        <f t="shared" si="2"/>
        <v>1</v>
      </c>
      <c r="X42" s="508">
        <f>X41</f>
        <v>14</v>
      </c>
      <c r="Y42" s="342"/>
      <c r="Z42" s="507">
        <v>14.75</v>
      </c>
      <c r="AA42" s="342"/>
      <c r="AB42" s="624">
        <v>14.75</v>
      </c>
      <c r="AC42" s="340" t="e">
        <f>_xll.qlSimpleQuoteSetValue(F42,AB42/10000,Trigger)</f>
        <v>#N/A</v>
      </c>
      <c r="AD42" s="218"/>
      <c r="AE42" s="64"/>
      <c r="AF42" s="64"/>
      <c r="AG42" s="64"/>
      <c r="AH42" s="64"/>
    </row>
    <row r="43" spans="1:34" ht="12"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78"/>
      <c r="AE43" s="64"/>
      <c r="AF43" s="64"/>
      <c r="AG43" s="64"/>
      <c r="AH43" s="64"/>
    </row>
  </sheetData>
  <conditionalFormatting sqref="AC5:AC42">
    <cfRule type="cellIs" dxfId="39" priority="1" stopIfTrue="1" operator="greaterThan">
      <formula>0</formula>
    </cfRule>
    <cfRule type="cellIs" dxfId="38" priority="2" stopIfTrue="1" operator="lessThan">
      <formula>0</formula>
    </cfRule>
  </conditionalFormatting>
  <dataValidations disablePrompts="1"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K43"/>
  <sheetViews>
    <sheetView workbookViewId="0"/>
  </sheetViews>
  <sheetFormatPr defaultRowHeight="12.75" x14ac:dyDescent="0.2"/>
  <cols>
    <col min="1" max="1" width="2.7109375" style="63" customWidth="1"/>
    <col min="2" max="2" width="6.5703125" style="63" bestFit="1" customWidth="1"/>
    <col min="3" max="4" width="2.7109375" style="63" bestFit="1" customWidth="1"/>
    <col min="5" max="5" width="17.85546875" style="63" bestFit="1" customWidth="1"/>
    <col min="6" max="6" width="19.7109375" style="63" bestFit="1" customWidth="1"/>
    <col min="7" max="7" width="36.28515625" style="63" customWidth="1"/>
    <col min="8" max="9" width="2.7109375" style="63" customWidth="1"/>
    <col min="10" max="12" width="3.5703125" style="63" customWidth="1"/>
    <col min="13" max="13" width="2.7109375" style="63" customWidth="1"/>
    <col min="14" max="17" width="9.140625" style="63"/>
    <col min="18" max="18" width="10.28515625" style="63" bestFit="1" customWidth="1"/>
    <col min="19" max="19" width="14.5703125" style="63" bestFit="1" customWidth="1"/>
    <col min="20" max="24" width="9.140625" style="63"/>
    <col min="25" max="25" width="2.7109375" style="63" customWidth="1"/>
    <col min="26" max="26" width="9.140625" style="63"/>
    <col min="27" max="27" width="2.7109375" style="63" customWidth="1"/>
    <col min="28" max="28" width="15.42578125" style="63" bestFit="1" customWidth="1"/>
    <col min="29" max="30" width="9.140625" style="63"/>
    <col min="31" max="32" width="2.7109375" style="63" customWidth="1"/>
    <col min="33" max="16384" width="9.140625" style="63"/>
  </cols>
  <sheetData>
    <row r="1" spans="1:37" x14ac:dyDescent="0.2">
      <c r="N1" s="411" t="s">
        <v>353</v>
      </c>
      <c r="O1" s="201"/>
      <c r="P1" s="201"/>
      <c r="Q1" s="201"/>
      <c r="R1" s="201"/>
      <c r="S1" s="201"/>
      <c r="T1" s="201"/>
      <c r="U1" s="201"/>
      <c r="V1" s="201"/>
      <c r="W1" s="201"/>
      <c r="X1" s="201"/>
      <c r="Y1" s="201"/>
      <c r="Z1" s="201"/>
      <c r="AA1" s="201"/>
      <c r="AB1" s="201"/>
      <c r="AC1" s="201"/>
      <c r="AD1" s="201"/>
      <c r="AE1" s="198"/>
      <c r="AF1" s="64"/>
      <c r="AG1" s="64"/>
      <c r="AH1" s="64"/>
      <c r="AI1" s="64"/>
      <c r="AJ1" s="64"/>
      <c r="AK1" s="64"/>
    </row>
    <row r="2" spans="1:37" x14ac:dyDescent="0.2">
      <c r="N2" s="374"/>
      <c r="O2" s="133"/>
      <c r="P2" s="342"/>
      <c r="Q2" s="342"/>
      <c r="R2" s="342"/>
      <c r="S2" s="140" t="s">
        <v>275</v>
      </c>
      <c r="T2" s="342"/>
      <c r="U2" s="342"/>
      <c r="V2" s="342"/>
      <c r="W2" s="342"/>
      <c r="X2" s="133"/>
      <c r="Y2" s="342"/>
      <c r="Z2" s="342"/>
      <c r="AA2" s="342"/>
      <c r="AB2" s="516" t="s">
        <v>287</v>
      </c>
      <c r="AC2" s="140" t="s">
        <v>131</v>
      </c>
      <c r="AD2" s="133"/>
      <c r="AE2" s="33"/>
      <c r="AF2" s="64"/>
      <c r="AG2" s="64"/>
      <c r="AH2" s="64"/>
      <c r="AI2" s="64"/>
      <c r="AJ2" s="64"/>
      <c r="AK2" s="64"/>
    </row>
    <row r="3" spans="1:37" x14ac:dyDescent="0.2">
      <c r="A3" s="581" t="s">
        <v>347</v>
      </c>
      <c r="B3" s="95"/>
      <c r="C3" s="95"/>
      <c r="D3" s="95"/>
      <c r="E3" s="96"/>
      <c r="F3" s="97"/>
      <c r="G3" s="96"/>
      <c r="H3" s="92"/>
      <c r="N3" s="118"/>
      <c r="O3" s="342"/>
      <c r="P3" s="133"/>
      <c r="Q3" s="133"/>
      <c r="R3" s="133"/>
      <c r="S3" s="133" t="str">
        <f>_xll.qlInterpolation(,InterpolationType,_xll.ohFilter(N5:N42,W5:W42),_xll.ohFilter(V5:V42,W5:W42))</f>
        <v>obj_00520#0000</v>
      </c>
      <c r="T3" s="133"/>
      <c r="U3" s="133"/>
      <c r="V3" s="133"/>
      <c r="W3" s="133"/>
      <c r="X3" s="133"/>
      <c r="Y3" s="342"/>
      <c r="Z3" s="342"/>
      <c r="AA3" s="342"/>
      <c r="AB3" s="133"/>
      <c r="AC3" s="133"/>
      <c r="AD3" s="371">
        <f>_xll.ohTrigger(AD5:AD42)</f>
        <v>0</v>
      </c>
      <c r="AE3" s="218"/>
      <c r="AF3" s="64"/>
      <c r="AG3" s="64"/>
      <c r="AH3" s="64"/>
      <c r="AI3" s="64"/>
      <c r="AJ3" s="64"/>
      <c r="AK3" s="64"/>
    </row>
    <row r="4" spans="1:37" ht="23.25" thickBot="1" x14ac:dyDescent="0.25">
      <c r="A4" s="77"/>
      <c r="B4" s="90" t="s">
        <v>125</v>
      </c>
      <c r="C4" s="91"/>
      <c r="D4" s="90"/>
      <c r="E4" s="89" t="str">
        <f>Currency&amp;"_010_Sw"&amp;$C$6&amp;$D$6&amp;".xml"</f>
        <v>GBP_010_Sw3L6L.xml</v>
      </c>
      <c r="F4" s="88">
        <f ca="1">IF(Serialize,_xll.ohObjectSave(F5:F42,SerializationPath&amp;E4,FileOverwrite,Serialize),"---")</f>
        <v>38</v>
      </c>
      <c r="G4" s="72" t="str">
        <f ca="1">_xll.ohRangeRetrieveError(F4)</f>
        <v/>
      </c>
      <c r="H4" s="71"/>
      <c r="N4" s="118"/>
      <c r="O4" s="494"/>
      <c r="P4" s="196"/>
      <c r="Q4" s="196"/>
      <c r="R4" s="196"/>
      <c r="S4" s="370" t="e">
        <f ca="1">_xll.RData(S5:S42,T4:U4,"RTFEED:IDN",ReutersRtMode,,T5)</f>
        <v>#NAME?</v>
      </c>
      <c r="T4" s="409" t="s">
        <v>291</v>
      </c>
      <c r="U4" s="409" t="s">
        <v>264</v>
      </c>
      <c r="V4" s="409" t="s">
        <v>315</v>
      </c>
      <c r="W4" s="409"/>
      <c r="X4" s="366" t="s">
        <v>314</v>
      </c>
      <c r="Y4" s="342"/>
      <c r="Z4" s="368" t="s">
        <v>286</v>
      </c>
      <c r="AA4" s="342"/>
      <c r="AB4" s="367" t="s">
        <v>241</v>
      </c>
      <c r="AC4" s="493" t="s">
        <v>285</v>
      </c>
      <c r="AD4" s="91" t="s">
        <v>284</v>
      </c>
      <c r="AE4" s="218"/>
      <c r="AF4" s="64"/>
      <c r="AG4" s="64"/>
      <c r="AH4" s="64"/>
      <c r="AI4" s="64"/>
      <c r="AJ4" s="64"/>
      <c r="AK4" s="406" t="s">
        <v>316</v>
      </c>
    </row>
    <row r="5" spans="1:37" x14ac:dyDescent="0.2">
      <c r="A5" s="77"/>
      <c r="B5" s="87" t="s">
        <v>8</v>
      </c>
      <c r="C5" s="75" t="str">
        <f>VLOOKUP(Currency,$J$10:$L$14,2)</f>
        <v>3L</v>
      </c>
      <c r="D5" s="74" t="str">
        <f>VLOOKUP(Currency,$J$10:$L$14,3)</f>
        <v>6L</v>
      </c>
      <c r="E5" s="73" t="str">
        <f t="shared" ref="E5:E42" si="0">IF(ISBLANK(C5),"#",Currency&amp;$C5&amp;$D5&amp;$B5&amp;QuoteSuffix)</f>
        <v>GBP3L6L6M_Quote</v>
      </c>
      <c r="F5" s="73" t="str">
        <f>_xll.qlSimpleQuote(E5,,RateTickValue,Permanent,Trigger,ObjectOverwrite)</f>
        <v>GBP3L6L6M_Quote#0000</v>
      </c>
      <c r="G5" s="72" t="str">
        <f>_xll.ohRangeRetrieveError(F5)</f>
        <v/>
      </c>
      <c r="H5" s="71"/>
      <c r="N5" s="515">
        <v>0.5</v>
      </c>
      <c r="O5" s="393" t="s">
        <v>8</v>
      </c>
      <c r="P5" s="396" t="str">
        <f t="array" ref="P5:P42">VLOOKUP(Currency,Conventions,2)</f>
        <v>3L</v>
      </c>
      <c r="Q5" s="396" t="str">
        <f t="array" ref="Q5:Q42">VLOOKUP(Currency,Conventions,3)</f>
        <v>6L</v>
      </c>
      <c r="R5" s="394" t="str">
        <f t="shared" ref="R5:R42" si="1">Currency&amp;$P5&amp;$Q5&amp;$O5</f>
        <v>GBP3L6L6M</v>
      </c>
      <c r="S5" s="351" t="str">
        <f t="array" ref="S5:S42">Instruments&amp;"="&amp;VLOOKUP(Contributor,ContributorTable,2,FALSE)</f>
        <v>GBP3L6L6M=ICAP</v>
      </c>
      <c r="T5" s="513" t="s">
        <v>233</v>
      </c>
      <c r="U5" s="513" t="s">
        <v>233</v>
      </c>
      <c r="V5" s="513" t="e">
        <f>_xll.qlMidEquivalent(T5,U5)</f>
        <v>#NUM!</v>
      </c>
      <c r="W5" s="348" t="b">
        <f t="shared" ref="W5:W42" si="2">IF(ISNUMBER(V5),TRUE,FALSE)</f>
        <v>0</v>
      </c>
      <c r="X5" s="514" t="e">
        <f t="array" ref="X5:X38">_xll.qlInterpolationInterpolate(S3,N5:N42)</f>
        <v>#NUM!</v>
      </c>
      <c r="Y5" s="342"/>
      <c r="Z5" s="511" t="e">
        <v>#NUM!</v>
      </c>
      <c r="AA5" s="342"/>
      <c r="AB5" s="388" t="str">
        <f t="shared" ref="AB5:AB42" si="3">$R5&amp;$AC$2</f>
        <v>GBP3L6L6M_Quote</v>
      </c>
      <c r="AC5" s="510" t="e">
        <f t="array" ref="AC5:AC42">QuoteLive</f>
        <v>#NUM!</v>
      </c>
      <c r="AD5" s="347" t="e">
        <f>_xll.qlSimpleQuoteSetValue($AB5,$AC5/10000,Trigger)</f>
        <v>#NUM!</v>
      </c>
      <c r="AE5" s="218"/>
      <c r="AF5" s="64"/>
      <c r="AG5" s="86" t="s">
        <v>121</v>
      </c>
      <c r="AH5" s="85" t="s">
        <v>114</v>
      </c>
      <c r="AI5" s="84" t="s">
        <v>116</v>
      </c>
      <c r="AJ5" s="64" t="str">
        <f t="shared" ref="AJ5:AJ42" si="4">O5</f>
        <v>6M</v>
      </c>
      <c r="AK5" s="505" t="e">
        <f>((Swap6M!AB5-Swap3M!AC5)*100-AC5)/10000</f>
        <v>#NUM!</v>
      </c>
    </row>
    <row r="6" spans="1:37" x14ac:dyDescent="0.2">
      <c r="A6" s="77"/>
      <c r="B6" s="87" t="s">
        <v>1</v>
      </c>
      <c r="C6" s="75" t="str">
        <f t="shared" ref="C6:C42" si="5">C5</f>
        <v>3L</v>
      </c>
      <c r="D6" s="74" t="str">
        <f t="shared" ref="D6:D42" si="6">D5</f>
        <v>6L</v>
      </c>
      <c r="E6" s="73" t="str">
        <f t="shared" si="0"/>
        <v>GBP3L6L1Y_Quote</v>
      </c>
      <c r="F6" s="73" t="str">
        <f>_xll.qlSimpleQuote(E6,,RateTickValue,Permanent,Trigger,ObjectOverwrite)</f>
        <v>GBP3L6L1Y_Quote#0000</v>
      </c>
      <c r="G6" s="72" t="str">
        <f>_xll.ohRangeRetrieveError(F6)</f>
        <v/>
      </c>
      <c r="H6" s="71"/>
      <c r="N6" s="515">
        <v>1</v>
      </c>
      <c r="O6" s="393" t="s">
        <v>1</v>
      </c>
      <c r="P6" s="396" t="str">
        <v>3L</v>
      </c>
      <c r="Q6" s="396" t="str">
        <v>6L</v>
      </c>
      <c r="R6" s="394" t="str">
        <f t="shared" si="1"/>
        <v>GBP3L6L1Y</v>
      </c>
      <c r="S6" s="351" t="str">
        <v>GBP3L6L1Y=ICAP</v>
      </c>
      <c r="T6" s="513">
        <v>10.125</v>
      </c>
      <c r="U6" s="513">
        <v>15.125</v>
      </c>
      <c r="V6" s="513">
        <f>_xll.qlMidEquivalent(T6,U6)</f>
        <v>12.625</v>
      </c>
      <c r="W6" s="348" t="b">
        <f t="shared" si="2"/>
        <v>1</v>
      </c>
      <c r="X6" s="514">
        <v>12.625</v>
      </c>
      <c r="Y6" s="342"/>
      <c r="Z6" s="511">
        <v>14.25</v>
      </c>
      <c r="AA6" s="342"/>
      <c r="AB6" s="388" t="str">
        <f t="shared" si="3"/>
        <v>GBP3L6L1Y_Quote</v>
      </c>
      <c r="AC6" s="510">
        <v>12.625</v>
      </c>
      <c r="AD6" s="347" t="e">
        <f>_xll.qlSimpleQuoteSetValue($AB6,$AC6/10000,Trigger)</f>
        <v>#N/A</v>
      </c>
      <c r="AE6" s="218"/>
      <c r="AF6" s="64"/>
      <c r="AG6" s="83" t="s">
        <v>120</v>
      </c>
      <c r="AH6" s="82" t="s">
        <v>126</v>
      </c>
      <c r="AI6" s="81" t="s">
        <v>118</v>
      </c>
      <c r="AJ6" s="64" t="str">
        <f t="shared" si="4"/>
        <v>1Y</v>
      </c>
      <c r="AK6" s="505" t="e">
        <f>((Swap6M!AB6-Swap3M!AC6)*100-AC6)/10000</f>
        <v>#NUM!</v>
      </c>
    </row>
    <row r="7" spans="1:37" x14ac:dyDescent="0.2">
      <c r="A7" s="77"/>
      <c r="B7" s="87" t="s">
        <v>124</v>
      </c>
      <c r="C7" s="75" t="str">
        <f t="shared" si="5"/>
        <v>3L</v>
      </c>
      <c r="D7" s="74" t="str">
        <f t="shared" si="6"/>
        <v>6L</v>
      </c>
      <c r="E7" s="73" t="str">
        <f t="shared" si="0"/>
        <v>GBP3L6L15M_Quote</v>
      </c>
      <c r="F7" s="73" t="str">
        <f>_xll.qlSimpleQuote(E7,,RateTickValue,Permanent,Trigger,ObjectOverwrite)</f>
        <v>GBP3L6L15M_Quote#0000</v>
      </c>
      <c r="G7" s="72" t="str">
        <f>_xll.ohRangeRetrieveError(F7)</f>
        <v/>
      </c>
      <c r="H7" s="71"/>
      <c r="N7" s="515">
        <v>1.25</v>
      </c>
      <c r="O7" s="393" t="s">
        <v>124</v>
      </c>
      <c r="P7" s="396" t="str">
        <v>3L</v>
      </c>
      <c r="Q7" s="396" t="str">
        <v>6L</v>
      </c>
      <c r="R7" s="394" t="str">
        <f t="shared" si="1"/>
        <v>GBP3L6L15M</v>
      </c>
      <c r="S7" s="351" t="str">
        <v>GBP3L6L15M=ICAP</v>
      </c>
      <c r="T7" s="513" t="s">
        <v>233</v>
      </c>
      <c r="U7" s="513" t="s">
        <v>233</v>
      </c>
      <c r="V7" s="513" t="e">
        <f>_xll.qlMidEquivalent(T7,U7)</f>
        <v>#NUM!</v>
      </c>
      <c r="W7" s="348" t="b">
        <f t="shared" si="2"/>
        <v>0</v>
      </c>
      <c r="X7" s="514">
        <v>12.594340279296567</v>
      </c>
      <c r="Y7" s="342"/>
      <c r="Z7" s="511">
        <v>13.967554953708214</v>
      </c>
      <c r="AA7" s="342"/>
      <c r="AB7" s="388" t="str">
        <f t="shared" si="3"/>
        <v>GBP3L6L15M_Quote</v>
      </c>
      <c r="AC7" s="510">
        <v>12.594340279296567</v>
      </c>
      <c r="AD7" s="347" t="e">
        <f>_xll.qlSimpleQuoteSetValue($AB7,$AC7/10000,Trigger)</f>
        <v>#N/A</v>
      </c>
      <c r="AE7" s="218"/>
      <c r="AF7" s="64"/>
      <c r="AG7" s="83" t="s">
        <v>96</v>
      </c>
      <c r="AH7" s="82" t="s">
        <v>114</v>
      </c>
      <c r="AI7" s="81" t="s">
        <v>116</v>
      </c>
      <c r="AJ7" s="64" t="str">
        <f t="shared" si="4"/>
        <v>15M</v>
      </c>
      <c r="AK7" s="505" t="e">
        <f>((Swap6M!AB7-Swap3M!AC7)*100-AC7)/10000</f>
        <v>#NUM!</v>
      </c>
    </row>
    <row r="8" spans="1:37" x14ac:dyDescent="0.2">
      <c r="A8" s="77"/>
      <c r="B8" s="87" t="s">
        <v>123</v>
      </c>
      <c r="C8" s="75" t="str">
        <f t="shared" si="5"/>
        <v>3L</v>
      </c>
      <c r="D8" s="74" t="str">
        <f t="shared" si="6"/>
        <v>6L</v>
      </c>
      <c r="E8" s="73" t="str">
        <f t="shared" si="0"/>
        <v>GBP3L6L18M_Quote</v>
      </c>
      <c r="F8" s="73" t="str">
        <f>_xll.qlSimpleQuote(E8,,RateTickValue,Permanent,Trigger,ObjectOverwrite)</f>
        <v>GBP3L6L18M_Quote#0000</v>
      </c>
      <c r="G8" s="72" t="str">
        <f>_xll.ohRangeRetrieveError(F8)</f>
        <v/>
      </c>
      <c r="H8" s="71"/>
      <c r="N8" s="515">
        <v>1.5</v>
      </c>
      <c r="O8" s="393" t="s">
        <v>123</v>
      </c>
      <c r="P8" s="396" t="str">
        <v>3L</v>
      </c>
      <c r="Q8" s="396" t="str">
        <v>6L</v>
      </c>
      <c r="R8" s="394" t="str">
        <f t="shared" si="1"/>
        <v>GBP3L6L18M</v>
      </c>
      <c r="S8" s="351" t="str">
        <v>GBP3L6L18M=ICAP</v>
      </c>
      <c r="T8" s="513" t="s">
        <v>233</v>
      </c>
      <c r="U8" s="513" t="s">
        <v>233</v>
      </c>
      <c r="V8" s="513" t="e">
        <f>_xll.qlMidEquivalent(T8,U8)</f>
        <v>#NUM!</v>
      </c>
      <c r="W8" s="348" t="b">
        <f t="shared" si="2"/>
        <v>0</v>
      </c>
      <c r="X8" s="514">
        <v>12.563444446874508</v>
      </c>
      <c r="Y8" s="342"/>
      <c r="Z8" s="511">
        <v>13.698087925933141</v>
      </c>
      <c r="AA8" s="342"/>
      <c r="AB8" s="388" t="str">
        <f t="shared" si="3"/>
        <v>GBP3L6L18M_Quote</v>
      </c>
      <c r="AC8" s="510">
        <v>12.563444446874508</v>
      </c>
      <c r="AD8" s="347" t="e">
        <f>_xll.qlSimpleQuoteSetValue($AB8,$AC8/10000,Trigger)</f>
        <v>#N/A</v>
      </c>
      <c r="AE8" s="218"/>
      <c r="AF8" s="64"/>
      <c r="AG8" s="83" t="s">
        <v>117</v>
      </c>
      <c r="AH8" s="82" t="s">
        <v>114</v>
      </c>
      <c r="AI8" s="81" t="s">
        <v>116</v>
      </c>
      <c r="AJ8" s="64" t="str">
        <f t="shared" si="4"/>
        <v>18M</v>
      </c>
      <c r="AK8" s="505">
        <f>((Swap6M!AB8-Swap3M!AC8)*100-AC8)/10000</f>
        <v>-2.4384444468745131E-4</v>
      </c>
    </row>
    <row r="9" spans="1:37" ht="13.5" thickBot="1" x14ac:dyDescent="0.25">
      <c r="A9" s="77"/>
      <c r="B9" s="87" t="s">
        <v>122</v>
      </c>
      <c r="C9" s="75" t="str">
        <f t="shared" si="5"/>
        <v>3L</v>
      </c>
      <c r="D9" s="74" t="str">
        <f t="shared" si="6"/>
        <v>6L</v>
      </c>
      <c r="E9" s="73" t="str">
        <f t="shared" si="0"/>
        <v>GBP3L6L21M_Quote</v>
      </c>
      <c r="F9" s="73" t="str">
        <f>_xll.qlSimpleQuote(E9,,RateTickValue,Permanent,Trigger,ObjectOverwrite)</f>
        <v>GBP3L6L21M_Quote#0000</v>
      </c>
      <c r="G9" s="72" t="str">
        <f>_xll.ohRangeRetrieveError(F9)</f>
        <v/>
      </c>
      <c r="H9" s="71"/>
      <c r="N9" s="515">
        <v>1.75</v>
      </c>
      <c r="O9" s="393" t="s">
        <v>122</v>
      </c>
      <c r="P9" s="396" t="str">
        <v>3L</v>
      </c>
      <c r="Q9" s="396" t="str">
        <v>6L</v>
      </c>
      <c r="R9" s="394" t="str">
        <f t="shared" si="1"/>
        <v>GBP3L6L21M</v>
      </c>
      <c r="S9" s="351" t="str">
        <v>GBP3L6L21M=ICAP</v>
      </c>
      <c r="T9" s="513" t="s">
        <v>233</v>
      </c>
      <c r="U9" s="513" t="s">
        <v>233</v>
      </c>
      <c r="V9" s="513" t="e">
        <f>_xll.qlMidEquivalent(T9,U9)</f>
        <v>#NUM!</v>
      </c>
      <c r="W9" s="348" t="b">
        <f t="shared" si="2"/>
        <v>0</v>
      </c>
      <c r="X9" s="514">
        <v>12.532076391015194</v>
      </c>
      <c r="Y9" s="342"/>
      <c r="Z9" s="511">
        <v>13.454576935191499</v>
      </c>
      <c r="AA9" s="342"/>
      <c r="AB9" s="388" t="str">
        <f t="shared" si="3"/>
        <v>GBP3L6L21M_Quote</v>
      </c>
      <c r="AC9" s="510">
        <v>12.532076391015194</v>
      </c>
      <c r="AD9" s="347" t="e">
        <f>_xll.qlSimpleQuoteSetValue($AB9,$AC9/10000,Trigger)</f>
        <v>#N/A</v>
      </c>
      <c r="AE9" s="218"/>
      <c r="AF9" s="64"/>
      <c r="AG9" s="80" t="s">
        <v>115</v>
      </c>
      <c r="AH9" s="79" t="s">
        <v>116</v>
      </c>
      <c r="AI9" s="78" t="s">
        <v>114</v>
      </c>
      <c r="AJ9" s="64" t="str">
        <f t="shared" si="4"/>
        <v>21M</v>
      </c>
      <c r="AK9" s="505" t="e">
        <f>((Swap6M!AB9-Swap3M!AC9)*100-AC9)/10000</f>
        <v>#NUM!</v>
      </c>
    </row>
    <row r="10" spans="1:37" x14ac:dyDescent="0.2">
      <c r="A10" s="77"/>
      <c r="B10" s="76" t="s">
        <v>85</v>
      </c>
      <c r="C10" s="75" t="str">
        <f t="shared" si="5"/>
        <v>3L</v>
      </c>
      <c r="D10" s="74" t="str">
        <f t="shared" si="6"/>
        <v>6L</v>
      </c>
      <c r="E10" s="73" t="str">
        <f t="shared" si="0"/>
        <v>GBP3L6L2Y_Quote</v>
      </c>
      <c r="F10" s="73" t="str">
        <f>_xll.qlSimpleQuote(E10,,RateTickValue,Permanent,Trigger,ObjectOverwrite)</f>
        <v>GBP3L6L2Y_Quote#0000</v>
      </c>
      <c r="G10" s="72" t="str">
        <f>_xll.ohRangeRetrieveError(F10)</f>
        <v/>
      </c>
      <c r="H10" s="71"/>
      <c r="J10" s="86" t="s">
        <v>121</v>
      </c>
      <c r="K10" s="85" t="s">
        <v>114</v>
      </c>
      <c r="L10" s="84" t="s">
        <v>116</v>
      </c>
      <c r="N10" s="118">
        <v>2</v>
      </c>
      <c r="O10" s="393" t="s">
        <v>85</v>
      </c>
      <c r="P10" s="396" t="str">
        <v>3L</v>
      </c>
      <c r="Q10" s="396" t="str">
        <v>6L</v>
      </c>
      <c r="R10" s="394" t="str">
        <f t="shared" si="1"/>
        <v>GBP3L6L2Y</v>
      </c>
      <c r="S10" s="351" t="str">
        <v>GBP3L6L2Y=ICAP</v>
      </c>
      <c r="T10" s="513">
        <v>10.5</v>
      </c>
      <c r="U10" s="513">
        <v>14.5</v>
      </c>
      <c r="V10" s="513">
        <f>_xll.qlMidEquivalent(T10,U10)</f>
        <v>12.5</v>
      </c>
      <c r="W10" s="348" t="b">
        <f t="shared" si="2"/>
        <v>1</v>
      </c>
      <c r="X10" s="514">
        <v>12.5</v>
      </c>
      <c r="Y10" s="342"/>
      <c r="Z10" s="511">
        <v>13.25</v>
      </c>
      <c r="AA10" s="342"/>
      <c r="AB10" s="388" t="str">
        <f t="shared" si="3"/>
        <v>GBP3L6L2Y_Quote</v>
      </c>
      <c r="AC10" s="510">
        <v>12.5</v>
      </c>
      <c r="AD10" s="347" t="e">
        <f>_xll.qlSimpleQuoteSetValue($AB10,$AC10/10000,Trigger)</f>
        <v>#N/A</v>
      </c>
      <c r="AE10" s="218"/>
      <c r="AF10" s="64"/>
      <c r="AG10" s="64"/>
      <c r="AH10" s="64"/>
      <c r="AI10" s="64"/>
      <c r="AJ10" s="64" t="str">
        <f t="shared" si="4"/>
        <v>2Y</v>
      </c>
      <c r="AK10" s="505" t="e">
        <f>((Swap6M!AB10-Swap3M!AC10)*100-AC10)/10000</f>
        <v>#NUM!</v>
      </c>
    </row>
    <row r="11" spans="1:37" x14ac:dyDescent="0.2">
      <c r="A11" s="77"/>
      <c r="B11" s="76" t="s">
        <v>84</v>
      </c>
      <c r="C11" s="75" t="str">
        <f t="shared" si="5"/>
        <v>3L</v>
      </c>
      <c r="D11" s="74" t="str">
        <f t="shared" si="6"/>
        <v>6L</v>
      </c>
      <c r="E11" s="73" t="str">
        <f t="shared" si="0"/>
        <v>GBP3L6L3Y_Quote</v>
      </c>
      <c r="F11" s="73" t="str">
        <f>_xll.qlSimpleQuote(E11,,RateTickValue,Permanent,Trigger,ObjectOverwrite)</f>
        <v>GBP3L6L3Y_Quote#0000</v>
      </c>
      <c r="G11" s="72" t="str">
        <f>_xll.ohRangeRetrieveError(F11)</f>
        <v/>
      </c>
      <c r="H11" s="71"/>
      <c r="J11" s="83" t="s">
        <v>120</v>
      </c>
      <c r="K11" s="82" t="s">
        <v>126</v>
      </c>
      <c r="L11" s="81" t="s">
        <v>118</v>
      </c>
      <c r="N11" s="118">
        <v>3</v>
      </c>
      <c r="O11" s="393" t="s">
        <v>84</v>
      </c>
      <c r="P11" s="396" t="str">
        <v>3L</v>
      </c>
      <c r="Q11" s="396" t="str">
        <v>6L</v>
      </c>
      <c r="R11" s="394" t="str">
        <f t="shared" si="1"/>
        <v>GBP3L6L3Y</v>
      </c>
      <c r="S11" s="351" t="str">
        <v>GBP3L6L3Y=ICAP</v>
      </c>
      <c r="T11" s="513">
        <v>10.375</v>
      </c>
      <c r="U11" s="513">
        <v>14.375</v>
      </c>
      <c r="V11" s="513">
        <f>_xll.qlMidEquivalent(T11,U11)</f>
        <v>12.375</v>
      </c>
      <c r="W11" s="348" t="b">
        <f t="shared" si="2"/>
        <v>1</v>
      </c>
      <c r="X11" s="514">
        <v>12.375</v>
      </c>
      <c r="Y11" s="342"/>
      <c r="Z11" s="511">
        <v>12.75</v>
      </c>
      <c r="AA11" s="342"/>
      <c r="AB11" s="388" t="str">
        <f t="shared" si="3"/>
        <v>GBP3L6L3Y_Quote</v>
      </c>
      <c r="AC11" s="510">
        <v>12.375</v>
      </c>
      <c r="AD11" s="347" t="e">
        <f>_xll.qlSimpleQuoteSetValue($AB11,$AC11/10000,Trigger)</f>
        <v>#N/A</v>
      </c>
      <c r="AE11" s="218"/>
      <c r="AF11" s="64"/>
      <c r="AG11" s="64"/>
      <c r="AH11" s="64"/>
      <c r="AI11" s="64"/>
      <c r="AJ11" s="64" t="str">
        <f t="shared" si="4"/>
        <v>3Y</v>
      </c>
      <c r="AK11" s="505" t="e">
        <f>((Swap6M!AB11-Swap3M!AC11)*100-AC11)/10000</f>
        <v>#NUM!</v>
      </c>
    </row>
    <row r="12" spans="1:37" x14ac:dyDescent="0.2">
      <c r="A12" s="77"/>
      <c r="B12" s="76" t="s">
        <v>83</v>
      </c>
      <c r="C12" s="75" t="str">
        <f t="shared" si="5"/>
        <v>3L</v>
      </c>
      <c r="D12" s="74" t="str">
        <f t="shared" si="6"/>
        <v>6L</v>
      </c>
      <c r="E12" s="73" t="str">
        <f t="shared" si="0"/>
        <v>GBP3L6L4Y_Quote</v>
      </c>
      <c r="F12" s="73" t="str">
        <f>_xll.qlSimpleQuote(E12,,RateTickValue,Permanent,Trigger,ObjectOverwrite)</f>
        <v>GBP3L6L4Y_Quote#0000</v>
      </c>
      <c r="G12" s="72" t="str">
        <f>_xll.ohRangeRetrieveError(F12)</f>
        <v/>
      </c>
      <c r="H12" s="71"/>
      <c r="J12" s="83" t="s">
        <v>96</v>
      </c>
      <c r="K12" s="82" t="s">
        <v>114</v>
      </c>
      <c r="L12" s="81" t="s">
        <v>116</v>
      </c>
      <c r="N12" s="118">
        <v>4</v>
      </c>
      <c r="O12" s="393" t="s">
        <v>83</v>
      </c>
      <c r="P12" s="396" t="str">
        <v>3L</v>
      </c>
      <c r="Q12" s="396" t="str">
        <v>6L</v>
      </c>
      <c r="R12" s="394" t="str">
        <f t="shared" si="1"/>
        <v>GBP3L6L4Y</v>
      </c>
      <c r="S12" s="351" t="str">
        <v>GBP3L6L4Y=ICAP</v>
      </c>
      <c r="T12" s="513">
        <v>10.25</v>
      </c>
      <c r="U12" s="513">
        <v>14.25</v>
      </c>
      <c r="V12" s="513">
        <f>_xll.qlMidEquivalent(T12,U12)</f>
        <v>12.25</v>
      </c>
      <c r="W12" s="348" t="b">
        <f t="shared" si="2"/>
        <v>1</v>
      </c>
      <c r="X12" s="514">
        <v>12.25</v>
      </c>
      <c r="Y12" s="342"/>
      <c r="Z12" s="511">
        <v>12.25</v>
      </c>
      <c r="AA12" s="342"/>
      <c r="AB12" s="388" t="str">
        <f t="shared" si="3"/>
        <v>GBP3L6L4Y_Quote</v>
      </c>
      <c r="AC12" s="510">
        <v>12.25</v>
      </c>
      <c r="AD12" s="347" t="e">
        <f>_xll.qlSimpleQuoteSetValue($AB12,$AC12/10000,Trigger)</f>
        <v>#N/A</v>
      </c>
      <c r="AE12" s="218"/>
      <c r="AF12" s="64"/>
      <c r="AG12" s="64"/>
      <c r="AH12" s="64"/>
      <c r="AI12" s="64"/>
      <c r="AJ12" s="64" t="str">
        <f t="shared" si="4"/>
        <v>4Y</v>
      </c>
      <c r="AK12" s="505" t="e">
        <f>((Swap6M!AB12-Swap3M!AC12)*100-AC12)/10000</f>
        <v>#NUM!</v>
      </c>
    </row>
    <row r="13" spans="1:37" x14ac:dyDescent="0.2">
      <c r="A13" s="77"/>
      <c r="B13" s="76" t="s">
        <v>82</v>
      </c>
      <c r="C13" s="75" t="str">
        <f t="shared" si="5"/>
        <v>3L</v>
      </c>
      <c r="D13" s="74" t="str">
        <f t="shared" si="6"/>
        <v>6L</v>
      </c>
      <c r="E13" s="73" t="str">
        <f t="shared" si="0"/>
        <v>GBP3L6L5Y_Quote</v>
      </c>
      <c r="F13" s="73" t="str">
        <f>_xll.qlSimpleQuote(E13,,RateTickValue,Permanent,Trigger,ObjectOverwrite)</f>
        <v>GBP3L6L5Y_Quote#0000</v>
      </c>
      <c r="G13" s="72" t="str">
        <f>_xll.ohRangeRetrieveError(F13)</f>
        <v/>
      </c>
      <c r="H13" s="71"/>
      <c r="J13" s="83" t="s">
        <v>117</v>
      </c>
      <c r="K13" s="82" t="s">
        <v>114</v>
      </c>
      <c r="L13" s="81" t="s">
        <v>116</v>
      </c>
      <c r="N13" s="118">
        <v>5</v>
      </c>
      <c r="O13" s="393" t="s">
        <v>82</v>
      </c>
      <c r="P13" s="396" t="str">
        <v>3L</v>
      </c>
      <c r="Q13" s="396" t="str">
        <v>6L</v>
      </c>
      <c r="R13" s="394" t="str">
        <f t="shared" si="1"/>
        <v>GBP3L6L5Y</v>
      </c>
      <c r="S13" s="351" t="str">
        <v>GBP3L6L5Y=ICAP</v>
      </c>
      <c r="T13" s="513">
        <v>10</v>
      </c>
      <c r="U13" s="513">
        <v>14</v>
      </c>
      <c r="V13" s="513">
        <f>_xll.qlMidEquivalent(T13,U13)</f>
        <v>12</v>
      </c>
      <c r="W13" s="348" t="b">
        <f t="shared" si="2"/>
        <v>1</v>
      </c>
      <c r="X13" s="514">
        <v>12</v>
      </c>
      <c r="Y13" s="342"/>
      <c r="Z13" s="511">
        <v>12</v>
      </c>
      <c r="AA13" s="342"/>
      <c r="AB13" s="388" t="str">
        <f t="shared" si="3"/>
        <v>GBP3L6L5Y_Quote</v>
      </c>
      <c r="AC13" s="510">
        <v>12</v>
      </c>
      <c r="AD13" s="347" t="e">
        <f>_xll.qlSimpleQuoteSetValue($AB13,$AC13/10000,Trigger)</f>
        <v>#N/A</v>
      </c>
      <c r="AE13" s="218"/>
      <c r="AF13" s="64"/>
      <c r="AG13" s="64"/>
      <c r="AH13" s="64"/>
      <c r="AI13" s="64"/>
      <c r="AJ13" s="64" t="str">
        <f t="shared" si="4"/>
        <v>5Y</v>
      </c>
      <c r="AK13" s="505" t="e">
        <f>((Swap6M!AB13-Swap3M!AC13)*100-AC13)/10000</f>
        <v>#NUM!</v>
      </c>
    </row>
    <row r="14" spans="1:37" ht="13.5" thickBot="1" x14ac:dyDescent="0.25">
      <c r="A14" s="77"/>
      <c r="B14" s="76" t="s">
        <v>81</v>
      </c>
      <c r="C14" s="75" t="str">
        <f t="shared" si="5"/>
        <v>3L</v>
      </c>
      <c r="D14" s="74" t="str">
        <f t="shared" si="6"/>
        <v>6L</v>
      </c>
      <c r="E14" s="73" t="str">
        <f t="shared" si="0"/>
        <v>GBP3L6L6Y_Quote</v>
      </c>
      <c r="F14" s="73" t="str">
        <f>_xll.qlSimpleQuote(E14,,RateTickValue,Permanent,Trigger,ObjectOverwrite)</f>
        <v>GBP3L6L6Y_Quote#0000</v>
      </c>
      <c r="G14" s="72" t="str">
        <f>_xll.ohRangeRetrieveError(F14)</f>
        <v/>
      </c>
      <c r="H14" s="71"/>
      <c r="J14" s="80" t="s">
        <v>115</v>
      </c>
      <c r="K14" s="79" t="s">
        <v>116</v>
      </c>
      <c r="L14" s="78" t="s">
        <v>114</v>
      </c>
      <c r="N14" s="118">
        <v>6</v>
      </c>
      <c r="O14" s="393" t="s">
        <v>81</v>
      </c>
      <c r="P14" s="396" t="str">
        <v>3L</v>
      </c>
      <c r="Q14" s="396" t="str">
        <v>6L</v>
      </c>
      <c r="R14" s="394" t="str">
        <f t="shared" si="1"/>
        <v>GBP3L6L6Y</v>
      </c>
      <c r="S14" s="351" t="str">
        <v>GBP3L6L6Y=ICAP</v>
      </c>
      <c r="T14" s="513">
        <v>10.25</v>
      </c>
      <c r="U14" s="513">
        <v>13.25</v>
      </c>
      <c r="V14" s="513">
        <f>_xll.qlMidEquivalent(T14,U14)</f>
        <v>11.75</v>
      </c>
      <c r="W14" s="348" t="b">
        <f t="shared" si="2"/>
        <v>1</v>
      </c>
      <c r="X14" s="514">
        <v>11.75</v>
      </c>
      <c r="Y14" s="342"/>
      <c r="Z14" s="511">
        <v>11.75</v>
      </c>
      <c r="AA14" s="342"/>
      <c r="AB14" s="388" t="str">
        <f t="shared" si="3"/>
        <v>GBP3L6L6Y_Quote</v>
      </c>
      <c r="AC14" s="510">
        <v>11.75</v>
      </c>
      <c r="AD14" s="347" t="e">
        <f>_xll.qlSimpleQuoteSetValue($AB14,$AC14/10000,Trigger)</f>
        <v>#N/A</v>
      </c>
      <c r="AE14" s="218"/>
      <c r="AF14" s="64"/>
      <c r="AG14" s="64"/>
      <c r="AH14" s="64"/>
      <c r="AI14" s="64"/>
      <c r="AJ14" s="64" t="str">
        <f t="shared" si="4"/>
        <v>6Y</v>
      </c>
      <c r="AK14" s="505" t="e">
        <f>((Swap6M!AB14-Swap3M!AC14)*100-AC14)/10000</f>
        <v>#NUM!</v>
      </c>
    </row>
    <row r="15" spans="1:37" x14ac:dyDescent="0.2">
      <c r="A15" s="77"/>
      <c r="B15" s="76" t="s">
        <v>80</v>
      </c>
      <c r="C15" s="75" t="str">
        <f t="shared" si="5"/>
        <v>3L</v>
      </c>
      <c r="D15" s="74" t="str">
        <f t="shared" si="6"/>
        <v>6L</v>
      </c>
      <c r="E15" s="73" t="str">
        <f t="shared" si="0"/>
        <v>GBP3L6L7Y_Quote</v>
      </c>
      <c r="F15" s="73" t="str">
        <f>_xll.qlSimpleQuote(E15,,RateTickValue,Permanent,Trigger,ObjectOverwrite)</f>
        <v>GBP3L6L7Y_Quote#0000</v>
      </c>
      <c r="G15" s="72" t="str">
        <f>_xll.ohRangeRetrieveError(F15)</f>
        <v/>
      </c>
      <c r="H15" s="71"/>
      <c r="N15" s="118">
        <v>7</v>
      </c>
      <c r="O15" s="393" t="s">
        <v>80</v>
      </c>
      <c r="P15" s="396" t="str">
        <v>3L</v>
      </c>
      <c r="Q15" s="396" t="str">
        <v>6L</v>
      </c>
      <c r="R15" s="394" t="str">
        <f t="shared" si="1"/>
        <v>GBP3L6L7Y</v>
      </c>
      <c r="S15" s="351" t="str">
        <v>GBP3L6L7Y=ICAP</v>
      </c>
      <c r="T15" s="513">
        <v>9.875</v>
      </c>
      <c r="U15" s="513">
        <v>12.875</v>
      </c>
      <c r="V15" s="513">
        <f>_xll.qlMidEquivalent(T15,U15)</f>
        <v>11.375</v>
      </c>
      <c r="W15" s="348" t="b">
        <f t="shared" si="2"/>
        <v>1</v>
      </c>
      <c r="X15" s="514">
        <v>11.375</v>
      </c>
      <c r="Y15" s="342"/>
      <c r="Z15" s="511">
        <v>11.25</v>
      </c>
      <c r="AA15" s="342"/>
      <c r="AB15" s="388" t="str">
        <f t="shared" si="3"/>
        <v>GBP3L6L7Y_Quote</v>
      </c>
      <c r="AC15" s="510">
        <v>11.375</v>
      </c>
      <c r="AD15" s="347" t="e">
        <f>_xll.qlSimpleQuoteSetValue($AB15,$AC15/10000,Trigger)</f>
        <v>#N/A</v>
      </c>
      <c r="AE15" s="218"/>
      <c r="AF15" s="64"/>
      <c r="AG15" s="64"/>
      <c r="AH15" s="64"/>
      <c r="AI15" s="64"/>
      <c r="AJ15" s="64" t="str">
        <f t="shared" si="4"/>
        <v>7Y</v>
      </c>
      <c r="AK15" s="505" t="e">
        <f>((Swap6M!AB15-Swap3M!AC15)*100-AC15)/10000</f>
        <v>#NUM!</v>
      </c>
    </row>
    <row r="16" spans="1:37" x14ac:dyDescent="0.2">
      <c r="A16" s="77"/>
      <c r="B16" s="76" t="s">
        <v>79</v>
      </c>
      <c r="C16" s="75" t="str">
        <f t="shared" si="5"/>
        <v>3L</v>
      </c>
      <c r="D16" s="74" t="str">
        <f t="shared" si="6"/>
        <v>6L</v>
      </c>
      <c r="E16" s="73" t="str">
        <f t="shared" si="0"/>
        <v>GBP3L6L8Y_Quote</v>
      </c>
      <c r="F16" s="73" t="str">
        <f>_xll.qlSimpleQuote(E16,,RateTickValue,Permanent,Trigger,ObjectOverwrite)</f>
        <v>GBP3L6L8Y_Quote#0000</v>
      </c>
      <c r="G16" s="72" t="str">
        <f>_xll.ohRangeRetrieveError(F16)</f>
        <v/>
      </c>
      <c r="H16" s="71"/>
      <c r="N16" s="118">
        <v>8</v>
      </c>
      <c r="O16" s="393" t="s">
        <v>79</v>
      </c>
      <c r="P16" s="396" t="str">
        <v>3L</v>
      </c>
      <c r="Q16" s="396" t="str">
        <v>6L</v>
      </c>
      <c r="R16" s="394" t="str">
        <f t="shared" si="1"/>
        <v>GBP3L6L8Y</v>
      </c>
      <c r="S16" s="351" t="str">
        <v>GBP3L6L8Y=ICAP</v>
      </c>
      <c r="T16" s="513">
        <v>9.375</v>
      </c>
      <c r="U16" s="513">
        <v>12.375</v>
      </c>
      <c r="V16" s="513">
        <f>_xll.qlMidEquivalent(T16,U16)</f>
        <v>10.875</v>
      </c>
      <c r="W16" s="348" t="b">
        <f t="shared" si="2"/>
        <v>1</v>
      </c>
      <c r="X16" s="514">
        <v>10.875</v>
      </c>
      <c r="Y16" s="342"/>
      <c r="Z16" s="511">
        <v>10.75</v>
      </c>
      <c r="AA16" s="342"/>
      <c r="AB16" s="388" t="str">
        <f t="shared" si="3"/>
        <v>GBP3L6L8Y_Quote</v>
      </c>
      <c r="AC16" s="510">
        <v>10.875</v>
      </c>
      <c r="AD16" s="347" t="e">
        <f>_xll.qlSimpleQuoteSetValue($AB16,$AC16/10000,Trigger)</f>
        <v>#N/A</v>
      </c>
      <c r="AE16" s="218"/>
      <c r="AF16" s="64"/>
      <c r="AG16" s="64"/>
      <c r="AH16" s="64"/>
      <c r="AI16" s="64"/>
      <c r="AJ16" s="64" t="str">
        <f t="shared" si="4"/>
        <v>8Y</v>
      </c>
      <c r="AK16" s="505" t="e">
        <f>((Swap6M!AB16-Swap3M!AC16)*100-AC16)/10000</f>
        <v>#NUM!</v>
      </c>
    </row>
    <row r="17" spans="1:37" x14ac:dyDescent="0.2">
      <c r="A17" s="77"/>
      <c r="B17" s="76" t="s">
        <v>78</v>
      </c>
      <c r="C17" s="75" t="str">
        <f t="shared" si="5"/>
        <v>3L</v>
      </c>
      <c r="D17" s="74" t="str">
        <f t="shared" si="6"/>
        <v>6L</v>
      </c>
      <c r="E17" s="73" t="str">
        <f t="shared" si="0"/>
        <v>GBP3L6L9Y_Quote</v>
      </c>
      <c r="F17" s="73" t="str">
        <f>_xll.qlSimpleQuote(E17,,RateTickValue,Permanent,Trigger,ObjectOverwrite)</f>
        <v>GBP3L6L9Y_Quote#0000</v>
      </c>
      <c r="G17" s="72" t="str">
        <f>_xll.ohRangeRetrieveError(F17)</f>
        <v/>
      </c>
      <c r="H17" s="71"/>
      <c r="N17" s="118">
        <v>9</v>
      </c>
      <c r="O17" s="393" t="s">
        <v>78</v>
      </c>
      <c r="P17" s="396" t="str">
        <v>3L</v>
      </c>
      <c r="Q17" s="396" t="str">
        <v>6L</v>
      </c>
      <c r="R17" s="394" t="str">
        <f t="shared" si="1"/>
        <v>GBP3L6L9Y</v>
      </c>
      <c r="S17" s="351" t="str">
        <v>GBP3L6L9Y=ICAP</v>
      </c>
      <c r="T17" s="513">
        <v>9</v>
      </c>
      <c r="U17" s="513">
        <v>12</v>
      </c>
      <c r="V17" s="513">
        <f>_xll.qlMidEquivalent(T17,U17)</f>
        <v>10.5</v>
      </c>
      <c r="W17" s="348" t="b">
        <f t="shared" si="2"/>
        <v>1</v>
      </c>
      <c r="X17" s="514">
        <v>10.5</v>
      </c>
      <c r="Y17" s="342"/>
      <c r="Z17" s="511">
        <v>10.25</v>
      </c>
      <c r="AA17" s="342"/>
      <c r="AB17" s="388" t="str">
        <f t="shared" si="3"/>
        <v>GBP3L6L9Y_Quote</v>
      </c>
      <c r="AC17" s="510">
        <v>10.5</v>
      </c>
      <c r="AD17" s="347" t="e">
        <f>_xll.qlSimpleQuoteSetValue($AB17,$AC17/10000,Trigger)</f>
        <v>#N/A</v>
      </c>
      <c r="AE17" s="218"/>
      <c r="AF17" s="64"/>
      <c r="AG17" s="64"/>
      <c r="AH17" s="64"/>
      <c r="AI17" s="64"/>
      <c r="AJ17" s="64" t="str">
        <f t="shared" si="4"/>
        <v>9Y</v>
      </c>
      <c r="AK17" s="505" t="e">
        <f>((Swap6M!AB17-Swap3M!AC17)*100-AC17)/10000</f>
        <v>#NUM!</v>
      </c>
    </row>
    <row r="18" spans="1:37" x14ac:dyDescent="0.2">
      <c r="A18" s="77"/>
      <c r="B18" s="76" t="s">
        <v>77</v>
      </c>
      <c r="C18" s="75" t="str">
        <f t="shared" si="5"/>
        <v>3L</v>
      </c>
      <c r="D18" s="74" t="str">
        <f t="shared" si="6"/>
        <v>6L</v>
      </c>
      <c r="E18" s="73" t="str">
        <f t="shared" si="0"/>
        <v>GBP3L6L10Y_Quote</v>
      </c>
      <c r="F18" s="73" t="str">
        <f>_xll.qlSimpleQuote(E18,,RateTickValue,Permanent,Trigger,ObjectOverwrite)</f>
        <v>GBP3L6L10Y_Quote#0000</v>
      </c>
      <c r="G18" s="72" t="str">
        <f>_xll.ohRangeRetrieveError(F18)</f>
        <v/>
      </c>
      <c r="H18" s="71"/>
      <c r="N18" s="118">
        <v>10</v>
      </c>
      <c r="O18" s="393" t="s">
        <v>77</v>
      </c>
      <c r="P18" s="396" t="str">
        <v>3L</v>
      </c>
      <c r="Q18" s="396" t="str">
        <v>6L</v>
      </c>
      <c r="R18" s="394" t="str">
        <f t="shared" si="1"/>
        <v>GBP3L6L10Y</v>
      </c>
      <c r="S18" s="351" t="str">
        <v>GBP3L6L10Y=ICAP</v>
      </c>
      <c r="T18" s="513">
        <v>8.625</v>
      </c>
      <c r="U18" s="513">
        <v>11.625</v>
      </c>
      <c r="V18" s="513">
        <f>_xll.qlMidEquivalent(T18,U18)</f>
        <v>10.125</v>
      </c>
      <c r="W18" s="348" t="b">
        <f t="shared" si="2"/>
        <v>1</v>
      </c>
      <c r="X18" s="514">
        <v>10.125</v>
      </c>
      <c r="Y18" s="342"/>
      <c r="Z18" s="511">
        <v>10</v>
      </c>
      <c r="AA18" s="342"/>
      <c r="AB18" s="388" t="str">
        <f t="shared" si="3"/>
        <v>GBP3L6L10Y_Quote</v>
      </c>
      <c r="AC18" s="510">
        <v>10.125</v>
      </c>
      <c r="AD18" s="347" t="e">
        <f>_xll.qlSimpleQuoteSetValue($AB18,$AC18/10000,Trigger)</f>
        <v>#N/A</v>
      </c>
      <c r="AE18" s="218"/>
      <c r="AF18" s="64"/>
      <c r="AG18" s="64"/>
      <c r="AH18" s="64"/>
      <c r="AI18" s="64"/>
      <c r="AJ18" s="64" t="str">
        <f t="shared" si="4"/>
        <v>10Y</v>
      </c>
      <c r="AK18" s="505" t="e">
        <f>((Swap6M!AB18-Swap3M!AC18)*100-AC18)/10000</f>
        <v>#NUM!</v>
      </c>
    </row>
    <row r="19" spans="1:37" x14ac:dyDescent="0.2">
      <c r="A19" s="77"/>
      <c r="B19" s="76" t="s">
        <v>76</v>
      </c>
      <c r="C19" s="75" t="str">
        <f t="shared" si="5"/>
        <v>3L</v>
      </c>
      <c r="D19" s="74" t="str">
        <f t="shared" si="6"/>
        <v>6L</v>
      </c>
      <c r="E19" s="73" t="str">
        <f t="shared" si="0"/>
        <v>GBP3L6L11Y_Quote</v>
      </c>
      <c r="F19" s="73" t="str">
        <f>_xll.qlSimpleQuote(E19,,RateTickValue,Permanent,Trigger,ObjectOverwrite)</f>
        <v>GBP3L6L11Y_Quote#0000</v>
      </c>
      <c r="G19" s="72" t="str">
        <f>_xll.ohRangeRetrieveError(F19)</f>
        <v/>
      </c>
      <c r="H19" s="71"/>
      <c r="N19" s="118">
        <v>11</v>
      </c>
      <c r="O19" s="393" t="s">
        <v>76</v>
      </c>
      <c r="P19" s="396" t="str">
        <v>3L</v>
      </c>
      <c r="Q19" s="396" t="str">
        <v>6L</v>
      </c>
      <c r="R19" s="394" t="str">
        <f t="shared" si="1"/>
        <v>GBP3L6L11Y</v>
      </c>
      <c r="S19" s="351" t="str">
        <v>GBP3L6L11Y=ICAP</v>
      </c>
      <c r="T19" s="513" t="s">
        <v>233</v>
      </c>
      <c r="U19" s="513" t="s">
        <v>233</v>
      </c>
      <c r="V19" s="513" t="e">
        <f>_xll.qlMidEquivalent(T19,U19)</f>
        <v>#NUM!</v>
      </c>
      <c r="W19" s="348" t="b">
        <f t="shared" si="2"/>
        <v>0</v>
      </c>
      <c r="X19" s="514">
        <v>9.7895284739868771</v>
      </c>
      <c r="Y19" s="342"/>
      <c r="Z19" s="511">
        <v>9.754799001465372</v>
      </c>
      <c r="AA19" s="342"/>
      <c r="AB19" s="388" t="str">
        <f t="shared" si="3"/>
        <v>GBP3L6L11Y_Quote</v>
      </c>
      <c r="AC19" s="510">
        <v>9.7895284739868771</v>
      </c>
      <c r="AD19" s="347" t="e">
        <f>_xll.qlSimpleQuoteSetValue($AB19,$AC19/10000,Trigger)</f>
        <v>#N/A</v>
      </c>
      <c r="AE19" s="218"/>
      <c r="AF19" s="64"/>
      <c r="AG19" s="64"/>
      <c r="AH19" s="64"/>
      <c r="AI19" s="64"/>
      <c r="AJ19" s="64" t="str">
        <f t="shared" si="4"/>
        <v>11Y</v>
      </c>
      <c r="AK19" s="505" t="e">
        <f>((Swap6M!AB19-Swap3M!AC19)*100-AC19)/10000</f>
        <v>#NUM!</v>
      </c>
    </row>
    <row r="20" spans="1:37" x14ac:dyDescent="0.2">
      <c r="A20" s="77"/>
      <c r="B20" s="76" t="s">
        <v>75</v>
      </c>
      <c r="C20" s="75" t="str">
        <f t="shared" si="5"/>
        <v>3L</v>
      </c>
      <c r="D20" s="74" t="str">
        <f t="shared" si="6"/>
        <v>6L</v>
      </c>
      <c r="E20" s="73" t="str">
        <f t="shared" si="0"/>
        <v>GBP3L6L12Y_Quote</v>
      </c>
      <c r="F20" s="73" t="str">
        <f>_xll.qlSimpleQuote(E20,,RateTickValue,Permanent,Trigger,ObjectOverwrite)</f>
        <v>GBP3L6L12Y_Quote#0000</v>
      </c>
      <c r="G20" s="72" t="str">
        <f>_xll.ohRangeRetrieveError(F20)</f>
        <v/>
      </c>
      <c r="H20" s="71"/>
      <c r="N20" s="118">
        <v>12</v>
      </c>
      <c r="O20" s="393" t="s">
        <v>75</v>
      </c>
      <c r="P20" s="396" t="str">
        <v>3L</v>
      </c>
      <c r="Q20" s="396" t="str">
        <v>6L</v>
      </c>
      <c r="R20" s="394" t="str">
        <f t="shared" si="1"/>
        <v>GBP3L6L12Y</v>
      </c>
      <c r="S20" s="351" t="str">
        <v>GBP3L6L12Y=ICAP</v>
      </c>
      <c r="T20" s="513">
        <v>8</v>
      </c>
      <c r="U20" s="513">
        <v>11</v>
      </c>
      <c r="V20" s="513">
        <f>_xll.qlMidEquivalent(T20,U20)</f>
        <v>9.5</v>
      </c>
      <c r="W20" s="348" t="b">
        <f t="shared" si="2"/>
        <v>1</v>
      </c>
      <c r="X20" s="514">
        <v>9.5</v>
      </c>
      <c r="Y20" s="342"/>
      <c r="Z20" s="511">
        <v>9.5</v>
      </c>
      <c r="AA20" s="342"/>
      <c r="AB20" s="388" t="str">
        <f t="shared" si="3"/>
        <v>GBP3L6L12Y_Quote</v>
      </c>
      <c r="AC20" s="510">
        <v>9.5</v>
      </c>
      <c r="AD20" s="347" t="e">
        <f>_xll.qlSimpleQuoteSetValue($AB20,$AC20/10000,Trigger)</f>
        <v>#N/A</v>
      </c>
      <c r="AE20" s="218"/>
      <c r="AF20" s="64"/>
      <c r="AG20" s="64"/>
      <c r="AH20" s="64"/>
      <c r="AI20" s="64"/>
      <c r="AJ20" s="64" t="str">
        <f t="shared" si="4"/>
        <v>12Y</v>
      </c>
      <c r="AK20" s="505" t="e">
        <f>((Swap6M!AB20-Swap3M!AC20)*100-AC20)/10000</f>
        <v>#NUM!</v>
      </c>
    </row>
    <row r="21" spans="1:37" x14ac:dyDescent="0.2">
      <c r="A21" s="77"/>
      <c r="B21" s="76" t="s">
        <v>74</v>
      </c>
      <c r="C21" s="75" t="str">
        <f t="shared" si="5"/>
        <v>3L</v>
      </c>
      <c r="D21" s="74" t="str">
        <f t="shared" si="6"/>
        <v>6L</v>
      </c>
      <c r="E21" s="73" t="str">
        <f t="shared" si="0"/>
        <v>GBP3L6L13Y_Quote</v>
      </c>
      <c r="F21" s="73" t="str">
        <f>_xll.qlSimpleQuote(E21,,RateTickValue,Permanent,Trigger,ObjectOverwrite)</f>
        <v>GBP3L6L13Y_Quote#0000</v>
      </c>
      <c r="G21" s="72" t="str">
        <f>_xll.ohRangeRetrieveError(F21)</f>
        <v/>
      </c>
      <c r="H21" s="71"/>
      <c r="N21" s="118">
        <v>13</v>
      </c>
      <c r="O21" s="393" t="s">
        <v>74</v>
      </c>
      <c r="P21" s="396" t="str">
        <v>3L</v>
      </c>
      <c r="Q21" s="396" t="str">
        <v>6L</v>
      </c>
      <c r="R21" s="394" t="str">
        <f t="shared" si="1"/>
        <v>GBP3L6L13Y</v>
      </c>
      <c r="S21" s="351" t="str">
        <v>GBP3L6L13Y=ICAP</v>
      </c>
      <c r="T21" s="513" t="s">
        <v>233</v>
      </c>
      <c r="U21" s="513" t="s">
        <v>233</v>
      </c>
      <c r="V21" s="513" t="e">
        <f>_xll.qlMidEquivalent(T21,U21)</f>
        <v>#NUM!</v>
      </c>
      <c r="W21" s="348" t="b">
        <f t="shared" si="2"/>
        <v>0</v>
      </c>
      <c r="X21" s="514">
        <v>9.236442663780295</v>
      </c>
      <c r="Y21" s="342"/>
      <c r="Z21" s="511">
        <v>9.3040145468121018</v>
      </c>
      <c r="AA21" s="342"/>
      <c r="AB21" s="388" t="str">
        <f t="shared" si="3"/>
        <v>GBP3L6L13Y_Quote</v>
      </c>
      <c r="AC21" s="510">
        <v>9.236442663780295</v>
      </c>
      <c r="AD21" s="347" t="e">
        <f>_xll.qlSimpleQuoteSetValue($AB21,$AC21/10000,Trigger)</f>
        <v>#N/A</v>
      </c>
      <c r="AE21" s="218"/>
      <c r="AF21" s="64"/>
      <c r="AG21" s="64"/>
      <c r="AH21" s="64"/>
      <c r="AI21" s="64"/>
      <c r="AJ21" s="64" t="str">
        <f t="shared" si="4"/>
        <v>13Y</v>
      </c>
      <c r="AK21" s="505" t="e">
        <f>((Swap6M!AB21-Swap3M!AC21)*100-AC21)/10000</f>
        <v>#NUM!</v>
      </c>
    </row>
    <row r="22" spans="1:37" x14ac:dyDescent="0.2">
      <c r="A22" s="77"/>
      <c r="B22" s="76" t="s">
        <v>73</v>
      </c>
      <c r="C22" s="75" t="str">
        <f t="shared" si="5"/>
        <v>3L</v>
      </c>
      <c r="D22" s="74" t="str">
        <f t="shared" si="6"/>
        <v>6L</v>
      </c>
      <c r="E22" s="73" t="str">
        <f t="shared" si="0"/>
        <v>GBP3L6L14Y_Quote</v>
      </c>
      <c r="F22" s="73" t="str">
        <f>_xll.qlSimpleQuote(E22,,RateTickValue,Permanent,Trigger,ObjectOverwrite)</f>
        <v>GBP3L6L14Y_Quote#0000</v>
      </c>
      <c r="G22" s="72" t="str">
        <f>_xll.ohRangeRetrieveError(F22)</f>
        <v/>
      </c>
      <c r="H22" s="71"/>
      <c r="N22" s="118">
        <v>14</v>
      </c>
      <c r="O22" s="393" t="s">
        <v>73</v>
      </c>
      <c r="P22" s="396" t="str">
        <v>3L</v>
      </c>
      <c r="Q22" s="396" t="str">
        <v>6L</v>
      </c>
      <c r="R22" s="394" t="str">
        <f t="shared" si="1"/>
        <v>GBP3L6L14Y</v>
      </c>
      <c r="S22" s="351" t="str">
        <v>GBP3L6L14Y=ICAP</v>
      </c>
      <c r="T22" s="513" t="s">
        <v>233</v>
      </c>
      <c r="U22" s="513" t="s">
        <v>233</v>
      </c>
      <c r="V22" s="513" t="e">
        <f>_xll.qlMidEquivalent(T22,U22)</f>
        <v>#NUM!</v>
      </c>
      <c r="W22" s="348" t="b">
        <f t="shared" si="2"/>
        <v>0</v>
      </c>
      <c r="X22" s="514">
        <v>8.9889189633966637</v>
      </c>
      <c r="Y22" s="342"/>
      <c r="Z22" s="511">
        <v>9.1500470189683423</v>
      </c>
      <c r="AA22" s="342"/>
      <c r="AB22" s="388" t="str">
        <f t="shared" si="3"/>
        <v>GBP3L6L14Y_Quote</v>
      </c>
      <c r="AC22" s="510">
        <v>8.9889189633966637</v>
      </c>
      <c r="AD22" s="347" t="e">
        <f>_xll.qlSimpleQuoteSetValue($AB22,$AC22/10000,Trigger)</f>
        <v>#N/A</v>
      </c>
      <c r="AE22" s="218"/>
      <c r="AF22" s="64"/>
      <c r="AG22" s="64"/>
      <c r="AH22" s="64"/>
      <c r="AI22" s="64"/>
      <c r="AJ22" s="64" t="str">
        <f t="shared" si="4"/>
        <v>14Y</v>
      </c>
      <c r="AK22" s="505" t="e">
        <f>((Swap6M!AB22-Swap3M!AC22)*100-AC22)/10000</f>
        <v>#NUM!</v>
      </c>
    </row>
    <row r="23" spans="1:37" x14ac:dyDescent="0.2">
      <c r="A23" s="77"/>
      <c r="B23" s="76" t="s">
        <v>72</v>
      </c>
      <c r="C23" s="75" t="str">
        <f t="shared" si="5"/>
        <v>3L</v>
      </c>
      <c r="D23" s="74" t="str">
        <f t="shared" si="6"/>
        <v>6L</v>
      </c>
      <c r="E23" s="73" t="str">
        <f t="shared" si="0"/>
        <v>GBP3L6L15Y_Quote</v>
      </c>
      <c r="F23" s="73" t="str">
        <f>_xll.qlSimpleQuote(E23,,RateTickValue,Permanent,Trigger,ObjectOverwrite)</f>
        <v>GBP3L6L15Y_Quote#0000</v>
      </c>
      <c r="G23" s="72" t="str">
        <f>_xll.ohRangeRetrieveError(F23)</f>
        <v/>
      </c>
      <c r="H23" s="71"/>
      <c r="N23" s="118">
        <v>15</v>
      </c>
      <c r="O23" s="393" t="s">
        <v>72</v>
      </c>
      <c r="P23" s="396" t="str">
        <v>3L</v>
      </c>
      <c r="Q23" s="396" t="str">
        <v>6L</v>
      </c>
      <c r="R23" s="394" t="str">
        <f t="shared" si="1"/>
        <v>GBP3L6L15Y</v>
      </c>
      <c r="S23" s="351" t="str">
        <v>GBP3L6L15Y=ICAP</v>
      </c>
      <c r="T23" s="513">
        <v>7.25</v>
      </c>
      <c r="U23" s="513">
        <v>10.25</v>
      </c>
      <c r="V23" s="513">
        <f>_xll.qlMidEquivalent(T23,U23)</f>
        <v>8.75</v>
      </c>
      <c r="W23" s="348" t="b">
        <f t="shared" si="2"/>
        <v>1</v>
      </c>
      <c r="X23" s="514">
        <v>8.75</v>
      </c>
      <c r="Y23" s="342"/>
      <c r="Z23" s="511">
        <v>9</v>
      </c>
      <c r="AA23" s="342"/>
      <c r="AB23" s="388" t="str">
        <f t="shared" si="3"/>
        <v>GBP3L6L15Y_Quote</v>
      </c>
      <c r="AC23" s="510">
        <v>8.75</v>
      </c>
      <c r="AD23" s="347" t="e">
        <f>_xll.qlSimpleQuoteSetValue($AB23,$AC23/10000,Trigger)</f>
        <v>#N/A</v>
      </c>
      <c r="AE23" s="218"/>
      <c r="AF23" s="64"/>
      <c r="AG23" s="64"/>
      <c r="AH23" s="64"/>
      <c r="AI23" s="64"/>
      <c r="AJ23" s="64" t="str">
        <f t="shared" si="4"/>
        <v>15Y</v>
      </c>
      <c r="AK23" s="505" t="e">
        <f>((Swap6M!AB23-Swap3M!AC23)*100-AC23)/10000</f>
        <v>#NUM!</v>
      </c>
    </row>
    <row r="24" spans="1:37" x14ac:dyDescent="0.2">
      <c r="A24" s="77"/>
      <c r="B24" s="76" t="s">
        <v>71</v>
      </c>
      <c r="C24" s="75" t="str">
        <f t="shared" si="5"/>
        <v>3L</v>
      </c>
      <c r="D24" s="74" t="str">
        <f t="shared" si="6"/>
        <v>6L</v>
      </c>
      <c r="E24" s="73" t="str">
        <f t="shared" si="0"/>
        <v>GBP3L6L16Y_Quote</v>
      </c>
      <c r="F24" s="73" t="str">
        <f>_xll.qlSimpleQuote(E24,,RateTickValue,Permanent,Trigger,ObjectOverwrite)</f>
        <v>GBP3L6L16Y_Quote#0000</v>
      </c>
      <c r="G24" s="72" t="str">
        <f>_xll.ohRangeRetrieveError(F24)</f>
        <v/>
      </c>
      <c r="H24" s="71"/>
      <c r="N24" s="118">
        <v>16</v>
      </c>
      <c r="O24" s="393" t="s">
        <v>71</v>
      </c>
      <c r="P24" s="396" t="str">
        <v>3L</v>
      </c>
      <c r="Q24" s="396" t="str">
        <v>6L</v>
      </c>
      <c r="R24" s="394" t="str">
        <f t="shared" si="1"/>
        <v>GBP3L6L16Y</v>
      </c>
      <c r="S24" s="351" t="str">
        <v>GBP3L6L16Y=ICAP</v>
      </c>
      <c r="T24" s="513" t="s">
        <v>233</v>
      </c>
      <c r="U24" s="513" t="s">
        <v>233</v>
      </c>
      <c r="V24" s="513" t="e">
        <f>_xll.qlMidEquivalent(T24,U24)</f>
        <v>#NUM!</v>
      </c>
      <c r="W24" s="348" t="b">
        <f t="shared" si="2"/>
        <v>0</v>
      </c>
      <c r="X24" s="514">
        <v>8.5138611565163789</v>
      </c>
      <c r="Y24" s="342"/>
      <c r="Z24" s="511">
        <v>8.8239747697432787</v>
      </c>
      <c r="AA24" s="342"/>
      <c r="AB24" s="388" t="str">
        <f t="shared" si="3"/>
        <v>GBP3L6L16Y_Quote</v>
      </c>
      <c r="AC24" s="510">
        <v>8.5138611565163789</v>
      </c>
      <c r="AD24" s="347" t="e">
        <f>_xll.qlSimpleQuoteSetValue($AB24,$AC24/10000,Trigger)</f>
        <v>#N/A</v>
      </c>
      <c r="AE24" s="218"/>
      <c r="AF24" s="64"/>
      <c r="AG24" s="64"/>
      <c r="AH24" s="64"/>
      <c r="AI24" s="64"/>
      <c r="AJ24" s="64" t="str">
        <f t="shared" si="4"/>
        <v>16Y</v>
      </c>
      <c r="AK24" s="505" t="e">
        <f>((Swap6M!AB24-Swap3M!AC24)*100-AC24)/10000</f>
        <v>#NUM!</v>
      </c>
    </row>
    <row r="25" spans="1:37" x14ac:dyDescent="0.2">
      <c r="A25" s="77"/>
      <c r="B25" s="76" t="s">
        <v>70</v>
      </c>
      <c r="C25" s="75" t="str">
        <f t="shared" si="5"/>
        <v>3L</v>
      </c>
      <c r="D25" s="74" t="str">
        <f t="shared" si="6"/>
        <v>6L</v>
      </c>
      <c r="E25" s="73" t="str">
        <f t="shared" si="0"/>
        <v>GBP3L6L17Y_Quote</v>
      </c>
      <c r="F25" s="73" t="str">
        <f>_xll.qlSimpleQuote(E25,,RateTickValue,Permanent,Trigger,ObjectOverwrite)</f>
        <v>GBP3L6L17Y_Quote#0000</v>
      </c>
      <c r="G25" s="72" t="str">
        <f>_xll.ohRangeRetrieveError(F25)</f>
        <v/>
      </c>
      <c r="H25" s="71"/>
      <c r="N25" s="118">
        <v>17</v>
      </c>
      <c r="O25" s="393" t="s">
        <v>70</v>
      </c>
      <c r="P25" s="396" t="str">
        <v>3L</v>
      </c>
      <c r="Q25" s="396" t="str">
        <v>6L</v>
      </c>
      <c r="R25" s="394" t="str">
        <f t="shared" si="1"/>
        <v>GBP3L6L17Y</v>
      </c>
      <c r="S25" s="351" t="str">
        <v>GBP3L6L17Y=ICAP</v>
      </c>
      <c r="T25" s="513" t="s">
        <v>233</v>
      </c>
      <c r="U25" s="513" t="s">
        <v>233</v>
      </c>
      <c r="V25" s="513" t="e">
        <f>_xll.qlMidEquivalent(T25,U25)</f>
        <v>#NUM!</v>
      </c>
      <c r="W25" s="348" t="b">
        <f t="shared" si="2"/>
        <v>0</v>
      </c>
      <c r="X25" s="514">
        <v>8.2810949429725937</v>
      </c>
      <c r="Y25" s="342"/>
      <c r="Z25" s="511">
        <v>8.6248673932540854</v>
      </c>
      <c r="AA25" s="342"/>
      <c r="AB25" s="388" t="str">
        <f t="shared" si="3"/>
        <v>GBP3L6L17Y_Quote</v>
      </c>
      <c r="AC25" s="510">
        <v>8.2810949429725937</v>
      </c>
      <c r="AD25" s="347" t="e">
        <f>_xll.qlSimpleQuoteSetValue($AB25,$AC25/10000,Trigger)</f>
        <v>#N/A</v>
      </c>
      <c r="AE25" s="218"/>
      <c r="AF25" s="64"/>
      <c r="AG25" s="64"/>
      <c r="AH25" s="64"/>
      <c r="AI25" s="64"/>
      <c r="AJ25" s="64" t="str">
        <f t="shared" si="4"/>
        <v>17Y</v>
      </c>
      <c r="AK25" s="505" t="e">
        <f>((Swap6M!AB25-Swap3M!AC25)*100-AC25)/10000</f>
        <v>#NUM!</v>
      </c>
    </row>
    <row r="26" spans="1:37" x14ac:dyDescent="0.2">
      <c r="A26" s="77"/>
      <c r="B26" s="76" t="s">
        <v>69</v>
      </c>
      <c r="C26" s="75" t="str">
        <f t="shared" si="5"/>
        <v>3L</v>
      </c>
      <c r="D26" s="74" t="str">
        <f t="shared" si="6"/>
        <v>6L</v>
      </c>
      <c r="E26" s="73" t="str">
        <f t="shared" si="0"/>
        <v>GBP3L6L18Y_Quote</v>
      </c>
      <c r="F26" s="73" t="str">
        <f>_xll.qlSimpleQuote(E26,,RateTickValue,Permanent,Trigger,ObjectOverwrite)</f>
        <v>GBP3L6L18Y_Quote#0000</v>
      </c>
      <c r="G26" s="72" t="str">
        <f>_xll.ohRangeRetrieveError(F26)</f>
        <v/>
      </c>
      <c r="H26" s="71"/>
      <c r="N26" s="118">
        <v>18</v>
      </c>
      <c r="O26" s="393" t="s">
        <v>69</v>
      </c>
      <c r="P26" s="396" t="str">
        <v>3L</v>
      </c>
      <c r="Q26" s="396" t="str">
        <v>6L</v>
      </c>
      <c r="R26" s="394" t="str">
        <f t="shared" si="1"/>
        <v>GBP3L6L18Y</v>
      </c>
      <c r="S26" s="351" t="str">
        <v>GBP3L6L18Y=ICAP</v>
      </c>
      <c r="T26" s="513" t="s">
        <v>233</v>
      </c>
      <c r="U26" s="513" t="s">
        <v>233</v>
      </c>
      <c r="V26" s="513" t="e">
        <f>_xll.qlMidEquivalent(T26,U26)</f>
        <v>#NUM!</v>
      </c>
      <c r="W26" s="348" t="b">
        <f t="shared" si="2"/>
        <v>0</v>
      </c>
      <c r="X26" s="514">
        <v>8.0538981511706176</v>
      </c>
      <c r="Y26" s="342"/>
      <c r="Z26" s="511">
        <v>8.4137726318932522</v>
      </c>
      <c r="AA26" s="342"/>
      <c r="AB26" s="388" t="str">
        <f t="shared" si="3"/>
        <v>GBP3L6L18Y_Quote</v>
      </c>
      <c r="AC26" s="510">
        <v>8.0538981511706176</v>
      </c>
      <c r="AD26" s="347" t="e">
        <f>_xll.qlSimpleQuoteSetValue($AB26,$AC26/10000,Trigger)</f>
        <v>#N/A</v>
      </c>
      <c r="AE26" s="218"/>
      <c r="AF26" s="64"/>
      <c r="AG26" s="64"/>
      <c r="AH26" s="64"/>
      <c r="AI26" s="64"/>
      <c r="AJ26" s="64" t="str">
        <f t="shared" si="4"/>
        <v>18Y</v>
      </c>
      <c r="AK26" s="505" t="e">
        <f>((Swap6M!AB26-Swap3M!AC26)*100-AC26)/10000</f>
        <v>#NUM!</v>
      </c>
    </row>
    <row r="27" spans="1:37" x14ac:dyDescent="0.2">
      <c r="A27" s="77"/>
      <c r="B27" s="76" t="s">
        <v>68</v>
      </c>
      <c r="C27" s="75" t="str">
        <f t="shared" si="5"/>
        <v>3L</v>
      </c>
      <c r="D27" s="74" t="str">
        <f t="shared" si="6"/>
        <v>6L</v>
      </c>
      <c r="E27" s="73" t="str">
        <f t="shared" si="0"/>
        <v>GBP3L6L19Y_Quote</v>
      </c>
      <c r="F27" s="73" t="str">
        <f>_xll.qlSimpleQuote(E27,,RateTickValue,Permanent,Trigger,ObjectOverwrite)</f>
        <v>GBP3L6L19Y_Quote#0000</v>
      </c>
      <c r="G27" s="72" t="str">
        <f>_xll.ohRangeRetrieveError(F27)</f>
        <v/>
      </c>
      <c r="H27" s="71"/>
      <c r="N27" s="118">
        <v>19</v>
      </c>
      <c r="O27" s="393" t="s">
        <v>68</v>
      </c>
      <c r="P27" s="396" t="str">
        <v>3L</v>
      </c>
      <c r="Q27" s="396" t="str">
        <v>6L</v>
      </c>
      <c r="R27" s="394" t="str">
        <f t="shared" si="1"/>
        <v>GBP3L6L19Y</v>
      </c>
      <c r="S27" s="351" t="str">
        <v>GBP3L6L19Y=ICAP</v>
      </c>
      <c r="T27" s="513" t="s">
        <v>233</v>
      </c>
      <c r="U27" s="513" t="s">
        <v>233</v>
      </c>
      <c r="V27" s="513" t="e">
        <f>_xll.qlMidEquivalent(T27,U27)</f>
        <v>#NUM!</v>
      </c>
      <c r="W27" s="348" t="b">
        <f t="shared" si="2"/>
        <v>0</v>
      </c>
      <c r="X27" s="514">
        <v>7.8344675729124287</v>
      </c>
      <c r="Y27" s="342"/>
      <c r="Z27" s="511">
        <v>8.201785247021613</v>
      </c>
      <c r="AA27" s="342"/>
      <c r="AB27" s="388" t="str">
        <f t="shared" si="3"/>
        <v>GBP3L6L19Y_Quote</v>
      </c>
      <c r="AC27" s="510">
        <v>7.8344675729124287</v>
      </c>
      <c r="AD27" s="347" t="e">
        <f>_xll.qlSimpleQuoteSetValue($AB27,$AC27/10000,Trigger)</f>
        <v>#N/A</v>
      </c>
      <c r="AE27" s="218"/>
      <c r="AF27" s="64"/>
      <c r="AG27" s="64"/>
      <c r="AH27" s="64"/>
      <c r="AI27" s="64"/>
      <c r="AJ27" s="64" t="str">
        <f t="shared" si="4"/>
        <v>19Y</v>
      </c>
      <c r="AK27" s="505" t="e">
        <f>((Swap6M!AB27-Swap3M!AC27)*100-AC27)/10000</f>
        <v>#NUM!</v>
      </c>
    </row>
    <row r="28" spans="1:37" x14ac:dyDescent="0.2">
      <c r="A28" s="77"/>
      <c r="B28" s="76" t="s">
        <v>67</v>
      </c>
      <c r="C28" s="75" t="str">
        <f t="shared" si="5"/>
        <v>3L</v>
      </c>
      <c r="D28" s="74" t="str">
        <f t="shared" si="6"/>
        <v>6L</v>
      </c>
      <c r="E28" s="73" t="str">
        <f t="shared" si="0"/>
        <v>GBP3L6L20Y_Quote</v>
      </c>
      <c r="F28" s="73" t="str">
        <f>_xll.qlSimpleQuote(E28,,RateTickValue,Permanent,Trigger,ObjectOverwrite)</f>
        <v>GBP3L6L20Y_Quote#0000</v>
      </c>
      <c r="G28" s="72" t="str">
        <f>_xll.ohRangeRetrieveError(F28)</f>
        <v/>
      </c>
      <c r="H28" s="71"/>
      <c r="N28" s="118">
        <v>20</v>
      </c>
      <c r="O28" s="393" t="s">
        <v>67</v>
      </c>
      <c r="P28" s="396" t="str">
        <v>3L</v>
      </c>
      <c r="Q28" s="396" t="str">
        <v>6L</v>
      </c>
      <c r="R28" s="394" t="str">
        <f t="shared" si="1"/>
        <v>GBP3L6L20Y</v>
      </c>
      <c r="S28" s="351" t="str">
        <v>GBP3L6L20Y=ICAP</v>
      </c>
      <c r="T28" s="513">
        <v>6.125</v>
      </c>
      <c r="U28" s="513">
        <v>9.125</v>
      </c>
      <c r="V28" s="513">
        <f>_xll.qlMidEquivalent(T28,U28)</f>
        <v>7.625</v>
      </c>
      <c r="W28" s="348" t="b">
        <f t="shared" si="2"/>
        <v>1</v>
      </c>
      <c r="X28" s="514">
        <v>7.625</v>
      </c>
      <c r="Y28" s="342"/>
      <c r="Z28" s="511">
        <v>8</v>
      </c>
      <c r="AA28" s="342"/>
      <c r="AB28" s="388" t="str">
        <f t="shared" si="3"/>
        <v>GBP3L6L20Y_Quote</v>
      </c>
      <c r="AC28" s="510">
        <v>7.625</v>
      </c>
      <c r="AD28" s="347" t="e">
        <f>_xll.qlSimpleQuoteSetValue($AB28,$AC28/10000,Trigger)</f>
        <v>#N/A</v>
      </c>
      <c r="AE28" s="218"/>
      <c r="AF28" s="64"/>
      <c r="AG28" s="64"/>
      <c r="AH28" s="64"/>
      <c r="AI28" s="64"/>
      <c r="AJ28" s="64" t="str">
        <f t="shared" si="4"/>
        <v>20Y</v>
      </c>
      <c r="AK28" s="505" t="e">
        <f>((Swap6M!AB28-Swap3M!AC28)*100-AC28)/10000</f>
        <v>#NUM!</v>
      </c>
    </row>
    <row r="29" spans="1:37" x14ac:dyDescent="0.2">
      <c r="A29" s="77"/>
      <c r="B29" s="76" t="s">
        <v>66</v>
      </c>
      <c r="C29" s="75" t="str">
        <f t="shared" si="5"/>
        <v>3L</v>
      </c>
      <c r="D29" s="74" t="str">
        <f t="shared" si="6"/>
        <v>6L</v>
      </c>
      <c r="E29" s="73" t="str">
        <f t="shared" si="0"/>
        <v>GBP3L6L21Y_Quote</v>
      </c>
      <c r="F29" s="73" t="str">
        <f>_xll.qlSimpleQuote(E29,,RateTickValue,Permanent,Trigger,ObjectOverwrite)</f>
        <v>GBP3L6L21Y_Quote#0000</v>
      </c>
      <c r="G29" s="72" t="str">
        <f>_xll.ohRangeRetrieveError(F29)</f>
        <v/>
      </c>
      <c r="H29" s="71"/>
      <c r="N29" s="118">
        <v>21</v>
      </c>
      <c r="O29" s="393" t="s">
        <v>66</v>
      </c>
      <c r="P29" s="396" t="str">
        <v>3L</v>
      </c>
      <c r="Q29" s="396" t="str">
        <v>6L</v>
      </c>
      <c r="R29" s="394" t="str">
        <f t="shared" si="1"/>
        <v>GBP3L6L21Y</v>
      </c>
      <c r="S29" s="351" t="str">
        <v>GBP3L6L21Y=ICAP</v>
      </c>
      <c r="T29" s="513" t="s">
        <v>233</v>
      </c>
      <c r="U29" s="513" t="s">
        <v>233</v>
      </c>
      <c r="V29" s="513" t="e">
        <f>_xll.qlMidEquivalent(T29,U29)</f>
        <v>#NUM!</v>
      </c>
      <c r="W29" s="348" t="b">
        <f t="shared" si="2"/>
        <v>0</v>
      </c>
      <c r="X29" s="514">
        <v>7.4272602648057582</v>
      </c>
      <c r="Y29" s="342"/>
      <c r="Z29" s="511">
        <v>7.8172522723470728</v>
      </c>
      <c r="AA29" s="342"/>
      <c r="AB29" s="388" t="str">
        <f t="shared" si="3"/>
        <v>GBP3L6L21Y_Quote</v>
      </c>
      <c r="AC29" s="510">
        <v>7.4272602648057582</v>
      </c>
      <c r="AD29" s="347" t="e">
        <f>_xll.qlSimpleQuoteSetValue($AB29,$AC29/10000,Trigger)</f>
        <v>#N/A</v>
      </c>
      <c r="AE29" s="218"/>
      <c r="AF29" s="64"/>
      <c r="AG29" s="64"/>
      <c r="AH29" s="64"/>
      <c r="AI29" s="64"/>
      <c r="AJ29" s="64" t="str">
        <f t="shared" si="4"/>
        <v>21Y</v>
      </c>
      <c r="AK29" s="505" t="e">
        <f>((Swap6M!AB29-Swap3M!AC29)*100-AC29)/10000</f>
        <v>#NUM!</v>
      </c>
    </row>
    <row r="30" spans="1:37" x14ac:dyDescent="0.2">
      <c r="A30" s="77"/>
      <c r="B30" s="76" t="s">
        <v>65</v>
      </c>
      <c r="C30" s="75" t="str">
        <f t="shared" si="5"/>
        <v>3L</v>
      </c>
      <c r="D30" s="74" t="str">
        <f t="shared" si="6"/>
        <v>6L</v>
      </c>
      <c r="E30" s="73" t="str">
        <f t="shared" si="0"/>
        <v>GBP3L6L22Y_Quote</v>
      </c>
      <c r="F30" s="73" t="str">
        <f>_xll.qlSimpleQuote(E30,,RateTickValue,Permanent,Trigger,ObjectOverwrite)</f>
        <v>GBP3L6L22Y_Quote#0000</v>
      </c>
      <c r="G30" s="72" t="str">
        <f>_xll.ohRangeRetrieveError(F30)</f>
        <v/>
      </c>
      <c r="H30" s="71"/>
      <c r="N30" s="118">
        <v>22</v>
      </c>
      <c r="O30" s="393" t="s">
        <v>65</v>
      </c>
      <c r="P30" s="396" t="str">
        <v>3L</v>
      </c>
      <c r="Q30" s="396" t="str">
        <v>6L</v>
      </c>
      <c r="R30" s="394" t="str">
        <f t="shared" si="1"/>
        <v>GBP3L6L22Y</v>
      </c>
      <c r="S30" s="351" t="str">
        <v>GBP3L6L22Y=ICAP</v>
      </c>
      <c r="T30" s="513" t="s">
        <v>233</v>
      </c>
      <c r="U30" s="513" t="s">
        <v>233</v>
      </c>
      <c r="V30" s="513" t="e">
        <f>_xll.qlMidEquivalent(T30,U30)</f>
        <v>#NUM!</v>
      </c>
      <c r="W30" s="348" t="b">
        <f t="shared" si="2"/>
        <v>0</v>
      </c>
      <c r="X30" s="514">
        <v>7.2412853619839446</v>
      </c>
      <c r="Y30" s="342"/>
      <c r="Z30" s="511">
        <v>7.6533399262128068</v>
      </c>
      <c r="AA30" s="342"/>
      <c r="AB30" s="388" t="str">
        <f t="shared" si="3"/>
        <v>GBP3L6L22Y_Quote</v>
      </c>
      <c r="AC30" s="510">
        <v>7.2412853619839446</v>
      </c>
      <c r="AD30" s="347" t="e">
        <f>_xll.qlSimpleQuoteSetValue($AB30,$AC30/10000,Trigger)</f>
        <v>#N/A</v>
      </c>
      <c r="AE30" s="218"/>
      <c r="AF30" s="64"/>
      <c r="AG30" s="64"/>
      <c r="AH30" s="64"/>
      <c r="AI30" s="64"/>
      <c r="AJ30" s="64" t="str">
        <f t="shared" si="4"/>
        <v>22Y</v>
      </c>
      <c r="AK30" s="505" t="e">
        <f>((Swap6M!AB30-Swap3M!AC30)*100-AC30)/10000</f>
        <v>#NUM!</v>
      </c>
    </row>
    <row r="31" spans="1:37" x14ac:dyDescent="0.2">
      <c r="A31" s="77"/>
      <c r="B31" s="76" t="s">
        <v>64</v>
      </c>
      <c r="C31" s="75" t="str">
        <f t="shared" si="5"/>
        <v>3L</v>
      </c>
      <c r="D31" s="74" t="str">
        <f t="shared" si="6"/>
        <v>6L</v>
      </c>
      <c r="E31" s="73" t="str">
        <f t="shared" si="0"/>
        <v>GBP3L6L23Y_Quote</v>
      </c>
      <c r="F31" s="73" t="str">
        <f>_xll.qlSimpleQuote(E31,,RateTickValue,Permanent,Trigger,ObjectOverwrite)</f>
        <v>GBP3L6L23Y_Quote#0000</v>
      </c>
      <c r="G31" s="72" t="str">
        <f>_xll.ohRangeRetrieveError(F31)</f>
        <v/>
      </c>
      <c r="H31" s="71"/>
      <c r="N31" s="118">
        <v>23</v>
      </c>
      <c r="O31" s="393" t="s">
        <v>64</v>
      </c>
      <c r="P31" s="396" t="str">
        <v>3L</v>
      </c>
      <c r="Q31" s="396" t="str">
        <v>6L</v>
      </c>
      <c r="R31" s="394" t="str">
        <f t="shared" si="1"/>
        <v>GBP3L6L23Y</v>
      </c>
      <c r="S31" s="351" t="str">
        <v>GBP3L6L23Y=ICAP</v>
      </c>
      <c r="T31" s="513" t="s">
        <v>233</v>
      </c>
      <c r="U31" s="513" t="s">
        <v>233</v>
      </c>
      <c r="V31" s="513" t="e">
        <f>_xll.qlMidEquivalent(T31,U31)</f>
        <v>#NUM!</v>
      </c>
      <c r="W31" s="348" t="b">
        <f t="shared" si="2"/>
        <v>0</v>
      </c>
      <c r="X31" s="514">
        <v>7.0666803267592506</v>
      </c>
      <c r="Y31" s="342"/>
      <c r="Z31" s="511">
        <v>7.5058014439050051</v>
      </c>
      <c r="AA31" s="342"/>
      <c r="AB31" s="388" t="str">
        <f t="shared" si="3"/>
        <v>GBP3L6L23Y_Quote</v>
      </c>
      <c r="AC31" s="510">
        <v>7.0666803267592506</v>
      </c>
      <c r="AD31" s="347" t="e">
        <f>_xll.qlSimpleQuoteSetValue($AB31,$AC31/10000,Trigger)</f>
        <v>#N/A</v>
      </c>
      <c r="AE31" s="218"/>
      <c r="AF31" s="64"/>
      <c r="AG31" s="64"/>
      <c r="AH31" s="64"/>
      <c r="AI31" s="64"/>
      <c r="AJ31" s="64" t="str">
        <f t="shared" si="4"/>
        <v>23Y</v>
      </c>
      <c r="AK31" s="505" t="e">
        <f>((Swap6M!AB31-Swap3M!AC31)*100-AC31)/10000</f>
        <v>#NUM!</v>
      </c>
    </row>
    <row r="32" spans="1:37" x14ac:dyDescent="0.2">
      <c r="A32" s="77"/>
      <c r="B32" s="76" t="s">
        <v>63</v>
      </c>
      <c r="C32" s="75" t="str">
        <f t="shared" si="5"/>
        <v>3L</v>
      </c>
      <c r="D32" s="74" t="str">
        <f t="shared" si="6"/>
        <v>6L</v>
      </c>
      <c r="E32" s="73" t="str">
        <f t="shared" si="0"/>
        <v>GBP3L6L24Y_Quote</v>
      </c>
      <c r="F32" s="73" t="str">
        <f>_xll.qlSimpleQuote(E32,,RateTickValue,Permanent,Trigger,ObjectOverwrite)</f>
        <v>GBP3L6L24Y_Quote#0000</v>
      </c>
      <c r="G32" s="72" t="str">
        <f>_xll.ohRangeRetrieveError(F32)</f>
        <v/>
      </c>
      <c r="H32" s="71"/>
      <c r="N32" s="118">
        <v>24</v>
      </c>
      <c r="O32" s="393" t="s">
        <v>63</v>
      </c>
      <c r="P32" s="396" t="str">
        <v>3L</v>
      </c>
      <c r="Q32" s="396" t="str">
        <v>6L</v>
      </c>
      <c r="R32" s="394" t="str">
        <f t="shared" si="1"/>
        <v>GBP3L6L24Y</v>
      </c>
      <c r="S32" s="351" t="str">
        <v>GBP3L6L24Y=ICAP</v>
      </c>
      <c r="T32" s="513" t="s">
        <v>233</v>
      </c>
      <c r="U32" s="513" t="s">
        <v>233</v>
      </c>
      <c r="V32" s="513" t="e">
        <f>_xll.qlMidEquivalent(T32,U32)</f>
        <v>#NUM!</v>
      </c>
      <c r="W32" s="348" t="b">
        <f t="shared" si="2"/>
        <v>0</v>
      </c>
      <c r="X32" s="514">
        <v>6.9030501943563722</v>
      </c>
      <c r="Y32" s="342"/>
      <c r="Z32" s="511">
        <v>7.3721753077314682</v>
      </c>
      <c r="AA32" s="342"/>
      <c r="AB32" s="388" t="str">
        <f t="shared" si="3"/>
        <v>GBP3L6L24Y_Quote</v>
      </c>
      <c r="AC32" s="510">
        <v>6.9030501943563722</v>
      </c>
      <c r="AD32" s="347" t="e">
        <f>_xll.qlSimpleQuoteSetValue($AB32,$AC32/10000,Trigger)</f>
        <v>#N/A</v>
      </c>
      <c r="AE32" s="218"/>
      <c r="AF32" s="64"/>
      <c r="AG32" s="64"/>
      <c r="AH32" s="64"/>
      <c r="AI32" s="64"/>
      <c r="AJ32" s="64" t="str">
        <f t="shared" si="4"/>
        <v>24Y</v>
      </c>
      <c r="AK32" s="505" t="e">
        <f>((Swap6M!AB32-Swap3M!AC32)*100-AC32)/10000</f>
        <v>#NUM!</v>
      </c>
    </row>
    <row r="33" spans="1:37" x14ac:dyDescent="0.2">
      <c r="A33" s="77"/>
      <c r="B33" s="76" t="s">
        <v>62</v>
      </c>
      <c r="C33" s="75" t="str">
        <f t="shared" si="5"/>
        <v>3L</v>
      </c>
      <c r="D33" s="74" t="str">
        <f t="shared" si="6"/>
        <v>6L</v>
      </c>
      <c r="E33" s="73" t="str">
        <f t="shared" si="0"/>
        <v>GBP3L6L25Y_Quote</v>
      </c>
      <c r="F33" s="73" t="str">
        <f>_xll.qlSimpleQuote(E33,,RateTickValue,Permanent,Trigger,ObjectOverwrite)</f>
        <v>GBP3L6L25Y_Quote#0000</v>
      </c>
      <c r="G33" s="72" t="str">
        <f>_xll.ohRangeRetrieveError(F33)</f>
        <v/>
      </c>
      <c r="H33" s="71"/>
      <c r="N33" s="118">
        <v>25</v>
      </c>
      <c r="O33" s="393" t="s">
        <v>62</v>
      </c>
      <c r="P33" s="396" t="str">
        <v>3L</v>
      </c>
      <c r="Q33" s="396" t="str">
        <v>6L</v>
      </c>
      <c r="R33" s="394" t="str">
        <f t="shared" si="1"/>
        <v>GBP3L6L25Y</v>
      </c>
      <c r="S33" s="351" t="str">
        <v>GBP3L6L25Y=ICAP</v>
      </c>
      <c r="T33" s="513">
        <v>5.25</v>
      </c>
      <c r="U33" s="513">
        <v>8.25</v>
      </c>
      <c r="V33" s="513">
        <f>_xll.qlMidEquivalent(T33,U33)</f>
        <v>6.75</v>
      </c>
      <c r="W33" s="348" t="b">
        <f t="shared" si="2"/>
        <v>1</v>
      </c>
      <c r="X33" s="514">
        <v>6.75</v>
      </c>
      <c r="Y33" s="342"/>
      <c r="Z33" s="511">
        <v>7.25</v>
      </c>
      <c r="AA33" s="342"/>
      <c r="AB33" s="388" t="str">
        <f t="shared" si="3"/>
        <v>GBP3L6L25Y_Quote</v>
      </c>
      <c r="AC33" s="510">
        <v>6.75</v>
      </c>
      <c r="AD33" s="347" t="e">
        <f>_xll.qlSimpleQuoteSetValue($AB33,$AC33/10000,Trigger)</f>
        <v>#N/A</v>
      </c>
      <c r="AE33" s="218"/>
      <c r="AF33" s="64"/>
      <c r="AG33" s="64"/>
      <c r="AH33" s="64"/>
      <c r="AI33" s="64"/>
      <c r="AJ33" s="64" t="str">
        <f t="shared" si="4"/>
        <v>25Y</v>
      </c>
      <c r="AK33" s="505" t="e">
        <f>((Swap6M!AB33-Swap3M!AC33)*100-AC33)/10000</f>
        <v>#NUM!</v>
      </c>
    </row>
    <row r="34" spans="1:37" x14ac:dyDescent="0.2">
      <c r="A34" s="77"/>
      <c r="B34" s="76" t="s">
        <v>61</v>
      </c>
      <c r="C34" s="75" t="str">
        <f t="shared" si="5"/>
        <v>3L</v>
      </c>
      <c r="D34" s="74" t="str">
        <f t="shared" si="6"/>
        <v>6L</v>
      </c>
      <c r="E34" s="73" t="str">
        <f t="shared" si="0"/>
        <v>GBP3L6L26Y_Quote</v>
      </c>
      <c r="F34" s="73" t="str">
        <f>_xll.qlSimpleQuote(E34,,RateTickValue,Permanent,Trigger,ObjectOverwrite)</f>
        <v>GBP3L6L26Y_Quote#0000</v>
      </c>
      <c r="G34" s="72" t="str">
        <f>_xll.ohRangeRetrieveError(F34)</f>
        <v/>
      </c>
      <c r="H34" s="71"/>
      <c r="N34" s="118">
        <v>26</v>
      </c>
      <c r="O34" s="393" t="s">
        <v>61</v>
      </c>
      <c r="P34" s="396" t="str">
        <v>3L</v>
      </c>
      <c r="Q34" s="396" t="str">
        <v>6L</v>
      </c>
      <c r="R34" s="394" t="str">
        <f t="shared" si="1"/>
        <v>GBP3L6L26Y</v>
      </c>
      <c r="S34" s="351" t="str">
        <v>GBP3L6L26Y=ICAP</v>
      </c>
      <c r="T34" s="513" t="s">
        <v>233</v>
      </c>
      <c r="U34" s="513" t="s">
        <v>233</v>
      </c>
      <c r="V34" s="513" t="e">
        <f>_xll.qlMidEquivalent(T34,U34)</f>
        <v>#NUM!</v>
      </c>
      <c r="W34" s="348" t="b">
        <f t="shared" si="2"/>
        <v>0</v>
      </c>
      <c r="X34" s="514">
        <v>6.6070977842605885</v>
      </c>
      <c r="Y34" s="342"/>
      <c r="Z34" s="511">
        <v>7.1370161408684289</v>
      </c>
      <c r="AA34" s="342"/>
      <c r="AB34" s="388" t="str">
        <f t="shared" si="3"/>
        <v>GBP3L6L26Y_Quote</v>
      </c>
      <c r="AC34" s="510">
        <v>6.6070977842605885</v>
      </c>
      <c r="AD34" s="347" t="e">
        <f>_xll.qlSimpleQuoteSetValue($AB34,$AC34/10000,Trigger)</f>
        <v>#N/A</v>
      </c>
      <c r="AE34" s="218"/>
      <c r="AF34" s="64"/>
      <c r="AG34" s="64"/>
      <c r="AH34" s="64"/>
      <c r="AI34" s="64"/>
      <c r="AJ34" s="64" t="str">
        <f t="shared" si="4"/>
        <v>26Y</v>
      </c>
      <c r="AK34" s="505" t="e">
        <f>((Swap6M!AB34-Swap3M!AC34)*100-AC34)/10000</f>
        <v>#NUM!</v>
      </c>
    </row>
    <row r="35" spans="1:37" x14ac:dyDescent="0.2">
      <c r="A35" s="77"/>
      <c r="B35" s="76" t="s">
        <v>60</v>
      </c>
      <c r="C35" s="75" t="str">
        <f t="shared" si="5"/>
        <v>3L</v>
      </c>
      <c r="D35" s="74" t="str">
        <f t="shared" si="6"/>
        <v>6L</v>
      </c>
      <c r="E35" s="73" t="str">
        <f t="shared" si="0"/>
        <v>GBP3L6L27Y_Quote</v>
      </c>
      <c r="F35" s="73" t="str">
        <f>_xll.qlSimpleQuote(E35,,RateTickValue,Permanent,Trigger,ObjectOverwrite)</f>
        <v>GBP3L6L27Y_Quote#0000</v>
      </c>
      <c r="G35" s="72" t="str">
        <f>_xll.ohRangeRetrieveError(F35)</f>
        <v/>
      </c>
      <c r="H35" s="71"/>
      <c r="N35" s="118">
        <v>27</v>
      </c>
      <c r="O35" s="393" t="s">
        <v>60</v>
      </c>
      <c r="P35" s="396" t="str">
        <v>3L</v>
      </c>
      <c r="Q35" s="396" t="str">
        <v>6L</v>
      </c>
      <c r="R35" s="394" t="str">
        <f t="shared" si="1"/>
        <v>GBP3L6L27Y</v>
      </c>
      <c r="S35" s="351" t="str">
        <v>GBP3L6L27Y=ICAP</v>
      </c>
      <c r="T35" s="513" t="s">
        <v>233</v>
      </c>
      <c r="U35" s="513" t="s">
        <v>233</v>
      </c>
      <c r="V35" s="513" t="e">
        <f>_xll.qlMidEquivalent(T35,U35)</f>
        <v>#NUM!</v>
      </c>
      <c r="W35" s="348" t="b">
        <f t="shared" si="2"/>
        <v>0</v>
      </c>
      <c r="X35" s="514">
        <v>6.4737636090916304</v>
      </c>
      <c r="Y35" s="342"/>
      <c r="Z35" s="511">
        <v>7.0317729018946853</v>
      </c>
      <c r="AA35" s="342"/>
      <c r="AB35" s="388" t="str">
        <f t="shared" si="3"/>
        <v>GBP3L6L27Y_Quote</v>
      </c>
      <c r="AC35" s="510">
        <v>6.4737636090916304</v>
      </c>
      <c r="AD35" s="347" t="e">
        <f>_xll.qlSimpleQuoteSetValue($AB35,$AC35/10000,Trigger)</f>
        <v>#N/A</v>
      </c>
      <c r="AE35" s="218"/>
      <c r="AF35" s="64"/>
      <c r="AG35" s="64"/>
      <c r="AH35" s="64"/>
      <c r="AI35" s="64"/>
      <c r="AJ35" s="64" t="str">
        <f t="shared" si="4"/>
        <v>27Y</v>
      </c>
      <c r="AK35" s="505" t="e">
        <f>((Swap6M!AB35-Swap3M!AC35)*100-AC35)/10000</f>
        <v>#NUM!</v>
      </c>
    </row>
    <row r="36" spans="1:37" x14ac:dyDescent="0.2">
      <c r="A36" s="77"/>
      <c r="B36" s="76" t="s">
        <v>59</v>
      </c>
      <c r="C36" s="75" t="str">
        <f t="shared" si="5"/>
        <v>3L</v>
      </c>
      <c r="D36" s="74" t="str">
        <f t="shared" si="6"/>
        <v>6L</v>
      </c>
      <c r="E36" s="73" t="str">
        <f t="shared" si="0"/>
        <v>GBP3L6L28Y_Quote</v>
      </c>
      <c r="F36" s="73" t="str">
        <f>_xll.qlSimpleQuote(E36,,RateTickValue,Permanent,Trigger,ObjectOverwrite)</f>
        <v>GBP3L6L28Y_Quote#0000</v>
      </c>
      <c r="G36" s="72" t="str">
        <f>_xll.ohRangeRetrieveError(F36)</f>
        <v/>
      </c>
      <c r="H36" s="71"/>
      <c r="N36" s="118">
        <v>28</v>
      </c>
      <c r="O36" s="393" t="s">
        <v>59</v>
      </c>
      <c r="P36" s="396" t="str">
        <v>3L</v>
      </c>
      <c r="Q36" s="396" t="str">
        <v>6L</v>
      </c>
      <c r="R36" s="394" t="str">
        <f t="shared" si="1"/>
        <v>GBP3L6L28Y</v>
      </c>
      <c r="S36" s="351" t="str">
        <v>GBP3L6L28Y=ICAP</v>
      </c>
      <c r="T36" s="513" t="s">
        <v>233</v>
      </c>
      <c r="U36" s="513" t="s">
        <v>233</v>
      </c>
      <c r="V36" s="513" t="e">
        <f>_xll.qlMidEquivalent(T36,U36)</f>
        <v>#NUM!</v>
      </c>
      <c r="W36" s="348" t="b">
        <f t="shared" si="2"/>
        <v>0</v>
      </c>
      <c r="X36" s="514">
        <v>6.3493805417923781</v>
      </c>
      <c r="Y36" s="342"/>
      <c r="Z36" s="511">
        <v>6.9330215924867282</v>
      </c>
      <c r="AA36" s="342"/>
      <c r="AB36" s="388" t="str">
        <f t="shared" si="3"/>
        <v>GBP3L6L28Y_Quote</v>
      </c>
      <c r="AC36" s="510">
        <v>6.3493805417923781</v>
      </c>
      <c r="AD36" s="347" t="e">
        <f>_xll.qlSimpleQuoteSetValue($AB36,$AC36/10000,Trigger)</f>
        <v>#N/A</v>
      </c>
      <c r="AE36" s="218"/>
      <c r="AF36" s="64"/>
      <c r="AG36" s="64"/>
      <c r="AH36" s="64"/>
      <c r="AI36" s="64"/>
      <c r="AJ36" s="64" t="str">
        <f t="shared" si="4"/>
        <v>28Y</v>
      </c>
      <c r="AK36" s="505" t="e">
        <f>((Swap6M!AB36-Swap3M!AC36)*100-AC36)/10000</f>
        <v>#NUM!</v>
      </c>
    </row>
    <row r="37" spans="1:37" x14ac:dyDescent="0.2">
      <c r="A37" s="77"/>
      <c r="B37" s="76" t="s">
        <v>58</v>
      </c>
      <c r="C37" s="75" t="str">
        <f t="shared" si="5"/>
        <v>3L</v>
      </c>
      <c r="D37" s="74" t="str">
        <f t="shared" si="6"/>
        <v>6L</v>
      </c>
      <c r="E37" s="73" t="str">
        <f t="shared" si="0"/>
        <v>GBP3L6L29Y_Quote</v>
      </c>
      <c r="F37" s="73" t="str">
        <f>_xll.qlSimpleQuote(E37,,RateTickValue,Permanent,Trigger,ObjectOverwrite)</f>
        <v>GBP3L6L29Y_Quote#0000</v>
      </c>
      <c r="G37" s="72" t="str">
        <f>_xll.ohRangeRetrieveError(F37)</f>
        <v/>
      </c>
      <c r="H37" s="71"/>
      <c r="N37" s="118">
        <v>29</v>
      </c>
      <c r="O37" s="393" t="s">
        <v>58</v>
      </c>
      <c r="P37" s="396" t="str">
        <v>3L</v>
      </c>
      <c r="Q37" s="396" t="str">
        <v>6L</v>
      </c>
      <c r="R37" s="394" t="str">
        <f t="shared" si="1"/>
        <v>GBP3L6L29Y</v>
      </c>
      <c r="S37" s="351" t="str">
        <v>GBP3L6L29Y=ICAP</v>
      </c>
      <c r="T37" s="513" t="s">
        <v>233</v>
      </c>
      <c r="U37" s="513" t="s">
        <v>233</v>
      </c>
      <c r="V37" s="513" t="e">
        <f>_xll.qlMidEquivalent(T37,U37)</f>
        <v>#NUM!</v>
      </c>
      <c r="W37" s="348" t="b">
        <f t="shared" si="2"/>
        <v>0</v>
      </c>
      <c r="X37" s="514">
        <v>6.2333316496620839</v>
      </c>
      <c r="Y37" s="342"/>
      <c r="Z37" s="511">
        <v>6.8395135220525134</v>
      </c>
      <c r="AA37" s="342"/>
      <c r="AB37" s="388" t="str">
        <f t="shared" si="3"/>
        <v>GBP3L6L29Y_Quote</v>
      </c>
      <c r="AC37" s="510">
        <v>6.2333316496620839</v>
      </c>
      <c r="AD37" s="347" t="e">
        <f>_xll.qlSimpleQuoteSetValue($AB37,$AC37/10000,Trigger)</f>
        <v>#N/A</v>
      </c>
      <c r="AE37" s="218"/>
      <c r="AF37" s="64"/>
      <c r="AG37" s="64"/>
      <c r="AH37" s="64"/>
      <c r="AI37" s="64"/>
      <c r="AJ37" s="64" t="str">
        <f t="shared" si="4"/>
        <v>29Y</v>
      </c>
      <c r="AK37" s="505" t="e">
        <f>((Swap6M!AB37-Swap3M!AC37)*100-AC37)/10000</f>
        <v>#NUM!</v>
      </c>
    </row>
    <row r="38" spans="1:37" x14ac:dyDescent="0.2">
      <c r="A38" s="77"/>
      <c r="B38" s="76" t="s">
        <v>57</v>
      </c>
      <c r="C38" s="75" t="str">
        <f t="shared" si="5"/>
        <v>3L</v>
      </c>
      <c r="D38" s="74" t="str">
        <f t="shared" si="6"/>
        <v>6L</v>
      </c>
      <c r="E38" s="73" t="str">
        <f t="shared" si="0"/>
        <v>GBP3L6L30Y_Quote</v>
      </c>
      <c r="F38" s="73" t="str">
        <f>_xll.qlSimpleQuote(E38,,RateTickValue,Permanent,Trigger,ObjectOverwrite)</f>
        <v>GBP3L6L30Y_Quote#0000</v>
      </c>
      <c r="G38" s="72" t="str">
        <f>_xll.ohRangeRetrieveError(F38)</f>
        <v/>
      </c>
      <c r="H38" s="71"/>
      <c r="N38" s="118">
        <v>30</v>
      </c>
      <c r="O38" s="393" t="s">
        <v>57</v>
      </c>
      <c r="P38" s="396" t="str">
        <v>3L</v>
      </c>
      <c r="Q38" s="396" t="str">
        <v>6L</v>
      </c>
      <c r="R38" s="394" t="str">
        <f t="shared" si="1"/>
        <v>GBP3L6L30Y</v>
      </c>
      <c r="S38" s="351" t="str">
        <v>GBP3L6L30Y=ICAP</v>
      </c>
      <c r="T38" s="513">
        <v>4.625</v>
      </c>
      <c r="U38" s="513">
        <v>7.625</v>
      </c>
      <c r="V38" s="513">
        <f>_xll.qlMidEquivalent(T38,U38)</f>
        <v>6.125</v>
      </c>
      <c r="W38" s="348" t="b">
        <f t="shared" si="2"/>
        <v>1</v>
      </c>
      <c r="X38" s="514">
        <v>6.125</v>
      </c>
      <c r="Y38" s="342"/>
      <c r="Z38" s="511">
        <v>6.75</v>
      </c>
      <c r="AA38" s="342"/>
      <c r="AB38" s="388" t="str">
        <f t="shared" si="3"/>
        <v>GBP3L6L30Y_Quote</v>
      </c>
      <c r="AC38" s="510">
        <v>6.125</v>
      </c>
      <c r="AD38" s="347" t="e">
        <f>_xll.qlSimpleQuoteSetValue($AB38,$AC38/10000,Trigger)</f>
        <v>#N/A</v>
      </c>
      <c r="AE38" s="218"/>
      <c r="AF38" s="64"/>
      <c r="AG38" s="64"/>
      <c r="AH38" s="64"/>
      <c r="AI38" s="64"/>
      <c r="AJ38" s="64" t="str">
        <f t="shared" si="4"/>
        <v>30Y</v>
      </c>
      <c r="AK38" s="505" t="e">
        <f>((Swap6M!AB38-Swap3M!AC38)*100-AC38)/10000</f>
        <v>#NUM!</v>
      </c>
    </row>
    <row r="39" spans="1:37" x14ac:dyDescent="0.2">
      <c r="A39" s="77"/>
      <c r="B39" s="76" t="s">
        <v>52</v>
      </c>
      <c r="C39" s="75" t="str">
        <f t="shared" si="5"/>
        <v>3L</v>
      </c>
      <c r="D39" s="74" t="str">
        <f t="shared" si="6"/>
        <v>6L</v>
      </c>
      <c r="E39" s="73" t="str">
        <f t="shared" si="0"/>
        <v>GBP3L6L35Y_Quote</v>
      </c>
      <c r="F39" s="73" t="str">
        <f>_xll.qlSimpleQuote(E39,,RateTickValue,Permanent,Trigger,ObjectOverwrite)</f>
        <v>GBP3L6L35Y_Quote#0000</v>
      </c>
      <c r="G39" s="72" t="str">
        <f>_xll.ohRangeRetrieveError(F39)</f>
        <v/>
      </c>
      <c r="H39" s="71"/>
      <c r="N39" s="118">
        <v>35</v>
      </c>
      <c r="O39" s="393" t="s">
        <v>52</v>
      </c>
      <c r="P39" s="396" t="str">
        <v>3L</v>
      </c>
      <c r="Q39" s="396" t="str">
        <v>6L</v>
      </c>
      <c r="R39" s="394" t="str">
        <f t="shared" si="1"/>
        <v>GBP3L6L35Y</v>
      </c>
      <c r="S39" s="351" t="str">
        <v>GBP3L6L35Y=ICAP</v>
      </c>
      <c r="T39" s="513" t="s">
        <v>233</v>
      </c>
      <c r="U39" s="513" t="s">
        <v>233</v>
      </c>
      <c r="V39" s="513" t="e">
        <f>_xll.qlMidEquivalent(T39,U39)</f>
        <v>#NUM!</v>
      </c>
      <c r="W39" s="348" t="b">
        <f t="shared" si="2"/>
        <v>0</v>
      </c>
      <c r="X39" s="512">
        <f>X38</f>
        <v>6.125</v>
      </c>
      <c r="Y39" s="342"/>
      <c r="Z39" s="511">
        <v>6.75</v>
      </c>
      <c r="AA39" s="342"/>
      <c r="AB39" s="388" t="str">
        <f t="shared" si="3"/>
        <v>GBP3L6L35Y_Quote</v>
      </c>
      <c r="AC39" s="510">
        <v>6.125</v>
      </c>
      <c r="AD39" s="347" t="e">
        <f>_xll.qlSimpleQuoteSetValue($AB39,$AC39/10000,Trigger)</f>
        <v>#N/A</v>
      </c>
      <c r="AE39" s="218"/>
      <c r="AF39" s="64"/>
      <c r="AG39" s="64"/>
      <c r="AH39" s="64"/>
      <c r="AI39" s="64"/>
      <c r="AJ39" s="64" t="str">
        <f t="shared" si="4"/>
        <v>35Y</v>
      </c>
      <c r="AK39" s="505" t="e">
        <f>((Swap6M!AB39-Swap3M!AC39)*100-AC39)/10000</f>
        <v>#NUM!</v>
      </c>
    </row>
    <row r="40" spans="1:37" x14ac:dyDescent="0.2">
      <c r="A40" s="77"/>
      <c r="B40" s="76" t="s">
        <v>47</v>
      </c>
      <c r="C40" s="75" t="str">
        <f t="shared" si="5"/>
        <v>3L</v>
      </c>
      <c r="D40" s="74" t="str">
        <f t="shared" si="6"/>
        <v>6L</v>
      </c>
      <c r="E40" s="73" t="str">
        <f t="shared" si="0"/>
        <v>GBP3L6L40Y_Quote</v>
      </c>
      <c r="F40" s="73" t="str">
        <f>_xll.qlSimpleQuote(E40,,RateTickValue,Permanent,Trigger,ObjectOverwrite)</f>
        <v>GBP3L6L40Y_Quote#0000</v>
      </c>
      <c r="G40" s="72" t="str">
        <f>_xll.ohRangeRetrieveError(F40)</f>
        <v/>
      </c>
      <c r="H40" s="71"/>
      <c r="N40" s="118">
        <v>40</v>
      </c>
      <c r="O40" s="393" t="s">
        <v>47</v>
      </c>
      <c r="P40" s="396" t="str">
        <v>3L</v>
      </c>
      <c r="Q40" s="396" t="str">
        <v>6L</v>
      </c>
      <c r="R40" s="394" t="str">
        <f t="shared" si="1"/>
        <v>GBP3L6L40Y</v>
      </c>
      <c r="S40" s="351" t="str">
        <v>GBP3L6L40Y=ICAP</v>
      </c>
      <c r="T40" s="513">
        <v>3.875</v>
      </c>
      <c r="U40" s="513">
        <v>6.875</v>
      </c>
      <c r="V40" s="513">
        <f>_xll.qlMidEquivalent(T40,U40)</f>
        <v>5.375</v>
      </c>
      <c r="W40" s="348" t="b">
        <f t="shared" si="2"/>
        <v>1</v>
      </c>
      <c r="X40" s="512">
        <f>X39</f>
        <v>6.125</v>
      </c>
      <c r="Y40" s="342"/>
      <c r="Z40" s="511">
        <v>6.75</v>
      </c>
      <c r="AA40" s="342"/>
      <c r="AB40" s="388" t="str">
        <f t="shared" si="3"/>
        <v>GBP3L6L40Y_Quote</v>
      </c>
      <c r="AC40" s="510">
        <v>6.125</v>
      </c>
      <c r="AD40" s="347" t="e">
        <f>_xll.qlSimpleQuoteSetValue($AB40,$AC40/10000,Trigger)</f>
        <v>#N/A</v>
      </c>
      <c r="AE40" s="218"/>
      <c r="AF40" s="64"/>
      <c r="AG40" s="64"/>
      <c r="AH40" s="64"/>
      <c r="AI40" s="64"/>
      <c r="AJ40" s="64" t="str">
        <f t="shared" si="4"/>
        <v>40Y</v>
      </c>
      <c r="AK40" s="505" t="e">
        <f>((Swap6M!AB40-Swap3M!AC40)*100-AC40)/10000</f>
        <v>#NUM!</v>
      </c>
    </row>
    <row r="41" spans="1:37" x14ac:dyDescent="0.2">
      <c r="A41" s="77"/>
      <c r="B41" s="76" t="s">
        <v>37</v>
      </c>
      <c r="C41" s="75" t="str">
        <f t="shared" si="5"/>
        <v>3L</v>
      </c>
      <c r="D41" s="74" t="str">
        <f t="shared" si="6"/>
        <v>6L</v>
      </c>
      <c r="E41" s="73" t="str">
        <f t="shared" si="0"/>
        <v>GBP3L6L50Y_Quote</v>
      </c>
      <c r="F41" s="73" t="str">
        <f>_xll.qlSimpleQuote(E41,,RateTickValue,Permanent,Trigger,ObjectOverwrite)</f>
        <v>GBP3L6L50Y_Quote#0000</v>
      </c>
      <c r="G41" s="72" t="str">
        <f>_xll.ohRangeRetrieveError(F41)</f>
        <v/>
      </c>
      <c r="H41" s="71"/>
      <c r="N41" s="118">
        <v>50</v>
      </c>
      <c r="O41" s="393" t="s">
        <v>37</v>
      </c>
      <c r="P41" s="396" t="str">
        <v>3L</v>
      </c>
      <c r="Q41" s="396" t="str">
        <v>6L</v>
      </c>
      <c r="R41" s="394" t="str">
        <f t="shared" si="1"/>
        <v>GBP3L6L50Y</v>
      </c>
      <c r="S41" s="351" t="str">
        <v>GBP3L6L50Y=ICAP</v>
      </c>
      <c r="T41" s="513">
        <v>3</v>
      </c>
      <c r="U41" s="513">
        <v>7</v>
      </c>
      <c r="V41" s="513">
        <f>_xll.qlMidEquivalent(T41,U41)</f>
        <v>5</v>
      </c>
      <c r="W41" s="348" t="b">
        <f t="shared" si="2"/>
        <v>1</v>
      </c>
      <c r="X41" s="512">
        <f>X40</f>
        <v>6.125</v>
      </c>
      <c r="Y41" s="342"/>
      <c r="Z41" s="511">
        <v>6.75</v>
      </c>
      <c r="AA41" s="342"/>
      <c r="AB41" s="388" t="str">
        <f t="shared" si="3"/>
        <v>GBP3L6L50Y_Quote</v>
      </c>
      <c r="AC41" s="510">
        <v>6.125</v>
      </c>
      <c r="AD41" s="347" t="e">
        <f>_xll.qlSimpleQuoteSetValue($AB41,$AC41/10000,Trigger)</f>
        <v>#N/A</v>
      </c>
      <c r="AE41" s="218"/>
      <c r="AF41" s="64"/>
      <c r="AG41" s="64"/>
      <c r="AH41" s="64"/>
      <c r="AI41" s="64"/>
      <c r="AJ41" s="64" t="str">
        <f t="shared" si="4"/>
        <v>50Y</v>
      </c>
      <c r="AK41" s="505" t="e">
        <f>((Swap6M!AB41-Swap3M!AC41)*100-AC41)/10000</f>
        <v>#NUM!</v>
      </c>
    </row>
    <row r="42" spans="1:37" x14ac:dyDescent="0.2">
      <c r="A42" s="77"/>
      <c r="B42" s="76" t="s">
        <v>27</v>
      </c>
      <c r="C42" s="75" t="str">
        <f t="shared" si="5"/>
        <v>3L</v>
      </c>
      <c r="D42" s="74" t="str">
        <f t="shared" si="6"/>
        <v>6L</v>
      </c>
      <c r="E42" s="73" t="str">
        <f t="shared" si="0"/>
        <v>GBP3L6L60Y_Quote</v>
      </c>
      <c r="F42" s="73" t="str">
        <f>_xll.qlSimpleQuote(E42,,RateTickValue,Permanent,Trigger,ObjectOverwrite)</f>
        <v>GBP3L6L60Y_Quote#0000</v>
      </c>
      <c r="G42" s="72" t="str">
        <f>_xll.ohRangeRetrieveError(F42)</f>
        <v/>
      </c>
      <c r="H42" s="71"/>
      <c r="N42" s="118">
        <v>60</v>
      </c>
      <c r="O42" s="403" t="s">
        <v>27</v>
      </c>
      <c r="P42" s="392" t="str">
        <v>3L</v>
      </c>
      <c r="Q42" s="392" t="str">
        <v>6L</v>
      </c>
      <c r="R42" s="390" t="str">
        <f t="shared" si="1"/>
        <v>GBP3L6L60Y</v>
      </c>
      <c r="S42" s="345" t="str">
        <v>GBP3L6L60Y=ICAP</v>
      </c>
      <c r="T42" s="509">
        <v>2.25</v>
      </c>
      <c r="U42" s="509">
        <v>7.25</v>
      </c>
      <c r="V42" s="509">
        <f>_xll.qlMidEquivalent(T42,U42)</f>
        <v>4.75</v>
      </c>
      <c r="W42" s="341" t="b">
        <f t="shared" si="2"/>
        <v>1</v>
      </c>
      <c r="X42" s="508">
        <f>X41</f>
        <v>6.125</v>
      </c>
      <c r="Y42" s="342"/>
      <c r="Z42" s="507">
        <v>6.75</v>
      </c>
      <c r="AA42" s="342"/>
      <c r="AB42" s="401" t="str">
        <f t="shared" si="3"/>
        <v>GBP3L6L60Y_Quote</v>
      </c>
      <c r="AC42" s="506">
        <v>6.125</v>
      </c>
      <c r="AD42" s="340" t="e">
        <f>_xll.qlSimpleQuoteSetValue($AB42,$AC42/10000,Trigger)</f>
        <v>#N/A</v>
      </c>
      <c r="AE42" s="218"/>
      <c r="AF42" s="64"/>
      <c r="AG42" s="64"/>
      <c r="AH42" s="64"/>
      <c r="AI42" s="64"/>
      <c r="AJ42" s="64" t="str">
        <f t="shared" si="4"/>
        <v>60Y</v>
      </c>
      <c r="AK42" s="505" t="e">
        <f>((Swap6M!AB42-Swap3M!AC42)*100-AC42)/10000</f>
        <v>#NUM!</v>
      </c>
    </row>
    <row r="43" spans="1:37" ht="13.5"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1"/>
      <c r="AE43" s="378"/>
      <c r="AF43" s="64"/>
      <c r="AG43" s="64"/>
      <c r="AH43" s="64"/>
      <c r="AI43" s="64"/>
      <c r="AJ43" s="64"/>
      <c r="AK43" s="64"/>
    </row>
  </sheetData>
  <conditionalFormatting sqref="AD5:AD42">
    <cfRule type="cellIs" dxfId="37" priority="1" stopIfTrue="1" operator="greaterThan">
      <formula>0</formula>
    </cfRule>
    <cfRule type="cellIs" dxfId="36" priority="2" stopIfTrue="1" operator="lessThan">
      <formula>0</formula>
    </cfRule>
  </conditionalFormatting>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I43"/>
  <sheetViews>
    <sheetView workbookViewId="0"/>
  </sheetViews>
  <sheetFormatPr defaultRowHeight="12.75" x14ac:dyDescent="0.2"/>
  <cols>
    <col min="1" max="1" width="2.7109375" style="63" customWidth="1"/>
    <col min="2" max="2" width="6.5703125" style="63" bestFit="1" customWidth="1"/>
    <col min="3" max="3" width="2.7109375" style="63" bestFit="1" customWidth="1"/>
    <col min="4" max="4" width="3.5703125" style="63" bestFit="1" customWidth="1"/>
    <col min="5" max="5" width="18.7109375" style="63" bestFit="1" customWidth="1"/>
    <col min="6" max="6" width="20.5703125" style="63" bestFit="1" customWidth="1"/>
    <col min="7" max="7" width="34.42578125" style="63" customWidth="1"/>
    <col min="8" max="9" width="2.7109375" style="63" customWidth="1"/>
    <col min="10" max="10" width="4" style="63" bestFit="1" customWidth="1"/>
    <col min="11" max="11" width="3.5703125" style="63" customWidth="1"/>
    <col min="12" max="12" width="3.5703125" style="63" bestFit="1" customWidth="1"/>
    <col min="13" max="13" width="2.7109375" style="63" customWidth="1"/>
    <col min="14" max="17" width="9.140625" style="63"/>
    <col min="18" max="18" width="11.140625" style="63" bestFit="1" customWidth="1"/>
    <col min="19" max="19" width="15.42578125" style="63" bestFit="1" customWidth="1"/>
    <col min="20" max="24" width="9.140625" style="63"/>
    <col min="25" max="25" width="2.7109375" style="63" customWidth="1"/>
    <col min="26" max="26" width="9.140625" style="63"/>
    <col min="27" max="27" width="2.7109375" style="63" customWidth="1"/>
    <col min="28" max="28" width="16.28515625" style="63" bestFit="1" customWidth="1"/>
    <col min="29" max="30" width="9.140625" style="63"/>
    <col min="31" max="32" width="2.7109375" style="63" customWidth="1"/>
    <col min="33" max="16384" width="9.140625" style="63"/>
  </cols>
  <sheetData>
    <row r="1" spans="1:35" x14ac:dyDescent="0.2">
      <c r="N1" s="411" t="s">
        <v>353</v>
      </c>
      <c r="O1" s="201"/>
      <c r="P1" s="201"/>
      <c r="Q1" s="201"/>
      <c r="R1" s="201"/>
      <c r="S1" s="201"/>
      <c r="T1" s="201"/>
      <c r="U1" s="201"/>
      <c r="V1" s="201"/>
      <c r="W1" s="201"/>
      <c r="X1" s="201"/>
      <c r="Y1" s="201"/>
      <c r="Z1" s="201"/>
      <c r="AA1" s="201"/>
      <c r="AB1" s="201"/>
      <c r="AC1" s="201"/>
      <c r="AD1" s="201"/>
      <c r="AE1" s="198"/>
      <c r="AF1" s="64"/>
      <c r="AG1" s="64"/>
      <c r="AH1" s="64"/>
      <c r="AI1" s="64"/>
    </row>
    <row r="2" spans="1:35" x14ac:dyDescent="0.2">
      <c r="N2" s="374"/>
      <c r="O2" s="133"/>
      <c r="P2" s="342"/>
      <c r="Q2" s="342"/>
      <c r="R2" s="342"/>
      <c r="S2" s="140" t="s">
        <v>275</v>
      </c>
      <c r="T2" s="342"/>
      <c r="U2" s="342"/>
      <c r="V2" s="342"/>
      <c r="W2" s="342"/>
      <c r="X2" s="133"/>
      <c r="Y2" s="342"/>
      <c r="Z2" s="342"/>
      <c r="AA2" s="342"/>
      <c r="AB2" s="516" t="s">
        <v>287</v>
      </c>
      <c r="AC2" s="140" t="s">
        <v>131</v>
      </c>
      <c r="AD2" s="133"/>
      <c r="AE2" s="33"/>
      <c r="AF2" s="64"/>
      <c r="AG2" s="64"/>
      <c r="AH2" s="64"/>
      <c r="AI2" s="64"/>
    </row>
    <row r="3" spans="1:35" x14ac:dyDescent="0.2">
      <c r="A3" s="581" t="s">
        <v>347</v>
      </c>
      <c r="B3" s="95"/>
      <c r="C3" s="95"/>
      <c r="D3" s="95"/>
      <c r="E3" s="96"/>
      <c r="F3" s="97"/>
      <c r="G3" s="96"/>
      <c r="H3" s="92"/>
      <c r="N3" s="118"/>
      <c r="O3" s="342"/>
      <c r="P3" s="133"/>
      <c r="Q3" s="133"/>
      <c r="R3" s="133"/>
      <c r="S3" s="133" t="str">
        <f>_xll.qlInterpolation(,InterpolationType,_xll.ohFilter(N5:N42,W5:W42),_xll.ohFilter(V5:V42,W5:W42))</f>
        <v>obj_0051f#0000</v>
      </c>
      <c r="T3" s="133"/>
      <c r="U3" s="133"/>
      <c r="V3" s="133"/>
      <c r="W3" s="133"/>
      <c r="X3" s="133"/>
      <c r="Y3" s="342"/>
      <c r="Z3" s="342"/>
      <c r="AA3" s="342"/>
      <c r="AB3" s="133"/>
      <c r="AC3" s="133"/>
      <c r="AD3" s="371">
        <f>_xll.ohTrigger(AD5:AD42)</f>
        <v>0</v>
      </c>
      <c r="AE3" s="218"/>
      <c r="AF3" s="64"/>
      <c r="AG3" s="64"/>
      <c r="AH3" s="64"/>
      <c r="AI3" s="64"/>
    </row>
    <row r="4" spans="1:35" ht="23.25" thickBot="1" x14ac:dyDescent="0.25">
      <c r="A4" s="77"/>
      <c r="B4" s="90" t="s">
        <v>125</v>
      </c>
      <c r="C4" s="91"/>
      <c r="D4" s="90"/>
      <c r="E4" s="89" t="str">
        <f>Currency&amp;"_010_Sw"&amp;$C$9&amp;$D$9&amp;".xml"</f>
        <v>GBP_010_Sw6L12L.xml</v>
      </c>
      <c r="F4" s="88">
        <f ca="1">IF(Serialize,_xll.ohObjectSave(F5:F42,SerializationPath&amp;E4,FileOverwrite,Serialize),"---")</f>
        <v>38</v>
      </c>
      <c r="G4" s="72" t="str">
        <f ca="1">_xll.ohRangeRetrieveError(F4)</f>
        <v/>
      </c>
      <c r="H4" s="71"/>
      <c r="N4" s="118"/>
      <c r="O4" s="494"/>
      <c r="P4" s="196"/>
      <c r="Q4" s="196"/>
      <c r="R4" s="196"/>
      <c r="S4" s="370" t="e">
        <f ca="1">_xll.RData(S5:S42,T4:U4,"RTFEED:IDN",ReutersRtMode,,T5)</f>
        <v>#NAME?</v>
      </c>
      <c r="T4" s="409" t="s">
        <v>291</v>
      </c>
      <c r="U4" s="409" t="s">
        <v>264</v>
      </c>
      <c r="V4" s="409" t="s">
        <v>315</v>
      </c>
      <c r="W4" s="409"/>
      <c r="X4" s="366" t="s">
        <v>314</v>
      </c>
      <c r="Y4" s="342"/>
      <c r="Z4" s="368" t="s">
        <v>286</v>
      </c>
      <c r="AA4" s="342"/>
      <c r="AB4" s="367" t="s">
        <v>241</v>
      </c>
      <c r="AC4" s="493" t="s">
        <v>285</v>
      </c>
      <c r="AD4" s="91" t="s">
        <v>284</v>
      </c>
      <c r="AE4" s="218"/>
      <c r="AF4" s="64"/>
      <c r="AG4" s="64"/>
      <c r="AH4" s="64"/>
      <c r="AI4" s="64"/>
    </row>
    <row r="5" spans="1:35" x14ac:dyDescent="0.2">
      <c r="A5" s="77"/>
      <c r="B5" s="87" t="s">
        <v>8</v>
      </c>
      <c r="C5" s="75" t="str">
        <f>VLOOKUP(Currency,$J$10:$L$14,2)</f>
        <v>6L</v>
      </c>
      <c r="D5" s="74" t="str">
        <f>VLOOKUP(Currency,$J$10:$L$14,3)</f>
        <v>12L</v>
      </c>
      <c r="E5" s="73" t="str">
        <f t="shared" ref="E5:E42" si="0">IF(ISBLANK(C5),"#",Currency&amp;$C5&amp;$D5&amp;$B5&amp;QuoteSuffix)</f>
        <v>GBP6L12L6M_Quote</v>
      </c>
      <c r="F5" s="73" t="str">
        <f>_xll.qlSimpleQuote(E5,,RateTickValue,Permanent,Trigger,ObjectOverwrite)</f>
        <v>GBP6L12L6M_Quote#0000</v>
      </c>
      <c r="G5" s="72" t="str">
        <f>_xll.ohRangeRetrieveError(F5)</f>
        <v/>
      </c>
      <c r="H5" s="71"/>
      <c r="N5" s="515">
        <v>0.5</v>
      </c>
      <c r="O5" s="393" t="s">
        <v>8</v>
      </c>
      <c r="P5" s="396" t="str">
        <f t="array" ref="P5:P42">VLOOKUP(Currency,Conventions,2)</f>
        <v>6L</v>
      </c>
      <c r="Q5" s="396" t="str">
        <f t="array" ref="Q5:Q42">VLOOKUP(Currency,Conventions,3)</f>
        <v>12L</v>
      </c>
      <c r="R5" s="394" t="str">
        <f t="shared" ref="R5:R42" si="1">Currency&amp;$P5&amp;$Q5&amp;$O5</f>
        <v>GBP6L12L6M</v>
      </c>
      <c r="S5" s="351" t="str">
        <f t="array" ref="S5:S42">Instruments&amp;"="&amp;VLOOKUP(Contributor,ContributorTable,2,FALSE)</f>
        <v>GBP6L12L6M=ICAP</v>
      </c>
      <c r="T5" s="513" t="s">
        <v>233</v>
      </c>
      <c r="U5" s="513" t="s">
        <v>233</v>
      </c>
      <c r="V5" s="513" t="e">
        <f>_xll.qlMidEquivalent(T5,U5)</f>
        <v>#NUM!</v>
      </c>
      <c r="W5" s="348" t="b">
        <f t="shared" ref="W5:W42" si="2">IF(ISNUMBER(V5),TRUE,FALSE)</f>
        <v>0</v>
      </c>
      <c r="X5" s="514" t="e">
        <f t="array" ref="X5:X38">_xll.qlInterpolationInterpolate(S3,N5:N42)</f>
        <v>#NUM!</v>
      </c>
      <c r="Y5" s="342"/>
      <c r="Z5" s="511" t="e">
        <v>#NUM!</v>
      </c>
      <c r="AA5" s="342"/>
      <c r="AB5" s="388" t="str">
        <f t="shared" ref="AB5:AB42" si="3">$R5&amp;$AC$2</f>
        <v>GBP6L12L6M_Quote</v>
      </c>
      <c r="AC5" s="510" t="e">
        <f t="array" ref="AC5:AC42">QuoteLive</f>
        <v>#NUM!</v>
      </c>
      <c r="AD5" s="347" t="e">
        <f>_xll.qlSimpleQuoteSetValue($AB5,$AC5/10000,Trigger)</f>
        <v>#NUM!</v>
      </c>
      <c r="AE5" s="218"/>
      <c r="AF5" s="64"/>
      <c r="AG5" s="86" t="s">
        <v>121</v>
      </c>
      <c r="AH5" s="85" t="s">
        <v>116</v>
      </c>
      <c r="AI5" s="84" t="s">
        <v>127</v>
      </c>
    </row>
    <row r="6" spans="1:35" x14ac:dyDescent="0.2">
      <c r="A6" s="77"/>
      <c r="B6" s="87" t="s">
        <v>1</v>
      </c>
      <c r="C6" s="75" t="str">
        <f t="shared" ref="C6:C42" si="4">C5</f>
        <v>6L</v>
      </c>
      <c r="D6" s="74" t="str">
        <f t="shared" ref="D6:D42" si="5">D5</f>
        <v>12L</v>
      </c>
      <c r="E6" s="73" t="str">
        <f t="shared" si="0"/>
        <v>GBP6L12L1Y_Quote</v>
      </c>
      <c r="F6" s="73" t="str">
        <f>_xll.qlSimpleQuote(E6,,RateTickValue,Permanent,Trigger,ObjectOverwrite)</f>
        <v>GBP6L12L1Y_Quote#0000</v>
      </c>
      <c r="G6" s="72" t="str">
        <f>_xll.ohRangeRetrieveError(F6)</f>
        <v/>
      </c>
      <c r="H6" s="71"/>
      <c r="N6" s="515">
        <v>1</v>
      </c>
      <c r="O6" s="393" t="s">
        <v>1</v>
      </c>
      <c r="P6" s="396" t="str">
        <v>6L</v>
      </c>
      <c r="Q6" s="396" t="str">
        <v>12L</v>
      </c>
      <c r="R6" s="394" t="str">
        <f t="shared" si="1"/>
        <v>GBP6L12L1Y</v>
      </c>
      <c r="S6" s="351" t="str">
        <v>GBP6L12L1Y=ICAP</v>
      </c>
      <c r="T6" s="513">
        <v>25.75</v>
      </c>
      <c r="U6" s="513">
        <v>37.75</v>
      </c>
      <c r="V6" s="513">
        <f>_xll.qlMidEquivalent(T6,U6)</f>
        <v>31.75</v>
      </c>
      <c r="W6" s="348" t="b">
        <f t="shared" si="2"/>
        <v>1</v>
      </c>
      <c r="X6" s="514">
        <v>31.75</v>
      </c>
      <c r="Y6" s="342"/>
      <c r="Z6" s="511">
        <v>36</v>
      </c>
      <c r="AA6" s="342"/>
      <c r="AB6" s="388" t="str">
        <f t="shared" si="3"/>
        <v>GBP6L12L1Y_Quote</v>
      </c>
      <c r="AC6" s="510">
        <v>31.75</v>
      </c>
      <c r="AD6" s="347" t="e">
        <f>_xll.qlSimpleQuoteSetValue($AB6,$AC6/10000,Trigger)</f>
        <v>#N/A</v>
      </c>
      <c r="AE6" s="218"/>
      <c r="AF6" s="64"/>
      <c r="AG6" s="83" t="s">
        <v>120</v>
      </c>
      <c r="AH6" s="82" t="s">
        <v>118</v>
      </c>
      <c r="AI6" s="81" t="s">
        <v>128</v>
      </c>
    </row>
    <row r="7" spans="1:35" x14ac:dyDescent="0.2">
      <c r="A7" s="77"/>
      <c r="B7" s="87" t="s">
        <v>124</v>
      </c>
      <c r="C7" s="75" t="str">
        <f t="shared" si="4"/>
        <v>6L</v>
      </c>
      <c r="D7" s="74" t="str">
        <f t="shared" si="5"/>
        <v>12L</v>
      </c>
      <c r="E7" s="73" t="str">
        <f t="shared" si="0"/>
        <v>GBP6L12L15M_Quote</v>
      </c>
      <c r="F7" s="73" t="str">
        <f>_xll.qlSimpleQuote(E7,,RateTickValue,Permanent,Trigger,ObjectOverwrite)</f>
        <v>GBP6L12L15M_Quote#0000</v>
      </c>
      <c r="G7" s="72" t="str">
        <f>_xll.ohRangeRetrieveError(F7)</f>
        <v/>
      </c>
      <c r="H7" s="71"/>
      <c r="N7" s="515">
        <v>1.25</v>
      </c>
      <c r="O7" s="393" t="s">
        <v>124</v>
      </c>
      <c r="P7" s="396" t="str">
        <v>6L</v>
      </c>
      <c r="Q7" s="396" t="str">
        <v>12L</v>
      </c>
      <c r="R7" s="394" t="str">
        <f t="shared" si="1"/>
        <v>GBP6L12L15M</v>
      </c>
      <c r="S7" s="351" t="str">
        <v>GBP6L12L15M=ICAP</v>
      </c>
      <c r="T7" s="513" t="s">
        <v>233</v>
      </c>
      <c r="U7" s="513" t="s">
        <v>233</v>
      </c>
      <c r="V7" s="513" t="e">
        <f>_xll.qlMidEquivalent(T7,U7)</f>
        <v>#NUM!</v>
      </c>
      <c r="W7" s="348" t="b">
        <f t="shared" si="2"/>
        <v>0</v>
      </c>
      <c r="X7" s="514">
        <v>30.919812795686951</v>
      </c>
      <c r="Y7" s="342"/>
      <c r="Z7" s="511">
        <v>35.507718501858129</v>
      </c>
      <c r="AA7" s="342"/>
      <c r="AB7" s="388" t="str">
        <f t="shared" si="3"/>
        <v>GBP6L12L15M_Quote</v>
      </c>
      <c r="AC7" s="510">
        <v>30.919812795686951</v>
      </c>
      <c r="AD7" s="347" t="e">
        <f>_xll.qlSimpleQuoteSetValue($AB7,$AC7/10000,Trigger)</f>
        <v>#N/A</v>
      </c>
      <c r="AE7" s="218"/>
      <c r="AF7" s="64"/>
      <c r="AG7" s="83" t="s">
        <v>96</v>
      </c>
      <c r="AH7" s="82" t="s">
        <v>116</v>
      </c>
      <c r="AI7" s="81" t="s">
        <v>127</v>
      </c>
    </row>
    <row r="8" spans="1:35" x14ac:dyDescent="0.2">
      <c r="A8" s="77"/>
      <c r="B8" s="87" t="s">
        <v>123</v>
      </c>
      <c r="C8" s="75" t="str">
        <f t="shared" si="4"/>
        <v>6L</v>
      </c>
      <c r="D8" s="74" t="str">
        <f t="shared" si="5"/>
        <v>12L</v>
      </c>
      <c r="E8" s="73" t="str">
        <f t="shared" si="0"/>
        <v>GBP6L12L18M_Quote</v>
      </c>
      <c r="F8" s="73" t="str">
        <f>_xll.qlSimpleQuote(E8,,RateTickValue,Permanent,Trigger,ObjectOverwrite)</f>
        <v>GBP6L12L18M_Quote#0000</v>
      </c>
      <c r="G8" s="72" t="str">
        <f>_xll.ohRangeRetrieveError(F8)</f>
        <v/>
      </c>
      <c r="H8" s="71"/>
      <c r="N8" s="515">
        <v>1.5</v>
      </c>
      <c r="O8" s="393" t="s">
        <v>123</v>
      </c>
      <c r="P8" s="396" t="str">
        <v>6L</v>
      </c>
      <c r="Q8" s="396" t="str">
        <v>12L</v>
      </c>
      <c r="R8" s="394" t="str">
        <f t="shared" si="1"/>
        <v>GBP6L12L18M</v>
      </c>
      <c r="S8" s="351" t="str">
        <v>GBP6L12L18M=ICAP</v>
      </c>
      <c r="T8" s="513" t="s">
        <v>233</v>
      </c>
      <c r="U8" s="513" t="s">
        <v>233</v>
      </c>
      <c r="V8" s="513" t="e">
        <f>_xll.qlMidEquivalent(T8,U8)</f>
        <v>#NUM!</v>
      </c>
      <c r="W8" s="348" t="b">
        <f t="shared" si="2"/>
        <v>0</v>
      </c>
      <c r="X8" s="514">
        <v>30.134200473099121</v>
      </c>
      <c r="Y8" s="342"/>
      <c r="Z8" s="511">
        <v>35.012349602973011</v>
      </c>
      <c r="AA8" s="342"/>
      <c r="AB8" s="388" t="str">
        <f t="shared" si="3"/>
        <v>GBP6L12L18M_Quote</v>
      </c>
      <c r="AC8" s="510">
        <v>30.134200473099121</v>
      </c>
      <c r="AD8" s="347" t="e">
        <f>_xll.qlSimpleQuoteSetValue($AB8,$AC8/10000,Trigger)</f>
        <v>#N/A</v>
      </c>
      <c r="AE8" s="218"/>
      <c r="AF8" s="64"/>
      <c r="AG8" s="83" t="s">
        <v>117</v>
      </c>
      <c r="AH8" s="82" t="s">
        <v>116</v>
      </c>
      <c r="AI8" s="81" t="s">
        <v>127</v>
      </c>
    </row>
    <row r="9" spans="1:35" ht="13.5" thickBot="1" x14ac:dyDescent="0.25">
      <c r="A9" s="77"/>
      <c r="B9" s="87" t="s">
        <v>122</v>
      </c>
      <c r="C9" s="75" t="str">
        <f t="shared" si="4"/>
        <v>6L</v>
      </c>
      <c r="D9" s="74" t="str">
        <f t="shared" si="5"/>
        <v>12L</v>
      </c>
      <c r="E9" s="73" t="str">
        <f t="shared" si="0"/>
        <v>GBP6L12L21M_Quote</v>
      </c>
      <c r="F9" s="73" t="str">
        <f>_xll.qlSimpleQuote(E9,,RateTickValue,Permanent,Trigger,ObjectOverwrite)</f>
        <v>GBP6L12L21M_Quote#0000</v>
      </c>
      <c r="G9" s="72" t="str">
        <f>_xll.ohRangeRetrieveError(F9)</f>
        <v/>
      </c>
      <c r="H9" s="71"/>
      <c r="N9" s="515">
        <v>1.75</v>
      </c>
      <c r="O9" s="393" t="s">
        <v>122</v>
      </c>
      <c r="P9" s="396" t="str">
        <v>6L</v>
      </c>
      <c r="Q9" s="396" t="str">
        <v>12L</v>
      </c>
      <c r="R9" s="394" t="str">
        <f t="shared" si="1"/>
        <v>GBP6L12L21M</v>
      </c>
      <c r="S9" s="351" t="str">
        <v>GBP6L12L21M=ICAP</v>
      </c>
      <c r="T9" s="513" t="s">
        <v>233</v>
      </c>
      <c r="U9" s="513" t="s">
        <v>233</v>
      </c>
      <c r="V9" s="513" t="e">
        <f>_xll.qlMidEquivalent(T9,U9)</f>
        <v>#NUM!</v>
      </c>
      <c r="W9" s="348" t="b">
        <f t="shared" si="2"/>
        <v>0</v>
      </c>
      <c r="X9" s="514">
        <v>29.437737913961733</v>
      </c>
      <c r="Y9" s="342"/>
      <c r="Z9" s="511">
        <v>34.510805902601383</v>
      </c>
      <c r="AA9" s="342"/>
      <c r="AB9" s="388" t="str">
        <f t="shared" si="3"/>
        <v>GBP6L12L21M_Quote</v>
      </c>
      <c r="AC9" s="510">
        <v>29.437737913961733</v>
      </c>
      <c r="AD9" s="347" t="e">
        <f>_xll.qlSimpleQuoteSetValue($AB9,$AC9/10000,Trigger)</f>
        <v>#N/A</v>
      </c>
      <c r="AE9" s="218"/>
      <c r="AF9" s="64"/>
      <c r="AG9" s="80" t="s">
        <v>115</v>
      </c>
      <c r="AH9" s="79" t="s">
        <v>127</v>
      </c>
      <c r="AI9" s="78" t="s">
        <v>114</v>
      </c>
    </row>
    <row r="10" spans="1:35" x14ac:dyDescent="0.2">
      <c r="A10" s="77"/>
      <c r="B10" s="76" t="s">
        <v>85</v>
      </c>
      <c r="C10" s="75" t="str">
        <f t="shared" si="4"/>
        <v>6L</v>
      </c>
      <c r="D10" s="74" t="str">
        <f t="shared" si="5"/>
        <v>12L</v>
      </c>
      <c r="E10" s="73" t="str">
        <f t="shared" si="0"/>
        <v>GBP6L12L2Y_Quote</v>
      </c>
      <c r="F10" s="73" t="str">
        <f>_xll.qlSimpleQuote(E10,,RateTickValue,Permanent,Trigger,ObjectOverwrite)</f>
        <v>GBP6L12L2Y_Quote#0000</v>
      </c>
      <c r="G10" s="72" t="str">
        <f>_xll.ohRangeRetrieveError(F10)</f>
        <v/>
      </c>
      <c r="H10" s="71"/>
      <c r="J10" s="86" t="s">
        <v>121</v>
      </c>
      <c r="K10" s="85" t="s">
        <v>116</v>
      </c>
      <c r="L10" s="84" t="s">
        <v>127</v>
      </c>
      <c r="N10" s="118">
        <v>2</v>
      </c>
      <c r="O10" s="393" t="s">
        <v>85</v>
      </c>
      <c r="P10" s="396" t="str">
        <v>6L</v>
      </c>
      <c r="Q10" s="396" t="str">
        <v>12L</v>
      </c>
      <c r="R10" s="394" t="str">
        <f t="shared" si="1"/>
        <v>GBP6L12L2Y</v>
      </c>
      <c r="S10" s="351" t="str">
        <v>GBP6L12L2Y=ICAP</v>
      </c>
      <c r="T10" s="513">
        <v>22.875</v>
      </c>
      <c r="U10" s="513">
        <v>34.875</v>
      </c>
      <c r="V10" s="513">
        <f>_xll.qlMidEquivalent(T10,U10)</f>
        <v>28.875</v>
      </c>
      <c r="W10" s="348" t="b">
        <f t="shared" si="2"/>
        <v>1</v>
      </c>
      <c r="X10" s="514">
        <v>28.875</v>
      </c>
      <c r="Y10" s="342"/>
      <c r="Z10" s="511">
        <v>34</v>
      </c>
      <c r="AA10" s="342"/>
      <c r="AB10" s="388" t="str">
        <f t="shared" si="3"/>
        <v>GBP6L12L2Y_Quote</v>
      </c>
      <c r="AC10" s="510">
        <v>28.875</v>
      </c>
      <c r="AD10" s="347" t="e">
        <f>_xll.qlSimpleQuoteSetValue($AB10,$AC10/10000,Trigger)</f>
        <v>#N/A</v>
      </c>
      <c r="AE10" s="218"/>
      <c r="AF10" s="64"/>
      <c r="AG10" s="64"/>
      <c r="AH10" s="64"/>
      <c r="AI10" s="64"/>
    </row>
    <row r="11" spans="1:35" x14ac:dyDescent="0.2">
      <c r="A11" s="77"/>
      <c r="B11" s="76" t="s">
        <v>84</v>
      </c>
      <c r="C11" s="75" t="str">
        <f t="shared" si="4"/>
        <v>6L</v>
      </c>
      <c r="D11" s="74" t="str">
        <f t="shared" si="5"/>
        <v>12L</v>
      </c>
      <c r="E11" s="73" t="str">
        <f t="shared" si="0"/>
        <v>GBP6L12L3Y_Quote</v>
      </c>
      <c r="F11" s="73" t="str">
        <f>_xll.qlSimpleQuote(E11,,RateTickValue,Permanent,Trigger,ObjectOverwrite)</f>
        <v>GBP6L12L3Y_Quote#0000</v>
      </c>
      <c r="G11" s="72" t="str">
        <f>_xll.ohRangeRetrieveError(F11)</f>
        <v/>
      </c>
      <c r="H11" s="71"/>
      <c r="J11" s="83" t="s">
        <v>120</v>
      </c>
      <c r="K11" s="82" t="s">
        <v>118</v>
      </c>
      <c r="L11" s="81" t="s">
        <v>128</v>
      </c>
      <c r="N11" s="118">
        <v>3</v>
      </c>
      <c r="O11" s="393" t="s">
        <v>84</v>
      </c>
      <c r="P11" s="396" t="str">
        <v>6L</v>
      </c>
      <c r="Q11" s="396" t="str">
        <v>12L</v>
      </c>
      <c r="R11" s="394" t="str">
        <f t="shared" si="1"/>
        <v>GBP6L12L3Y</v>
      </c>
      <c r="S11" s="351" t="str">
        <v>GBP6L12L3Y=ICAP</v>
      </c>
      <c r="T11" s="513">
        <v>21.875</v>
      </c>
      <c r="U11" s="513">
        <v>33.875</v>
      </c>
      <c r="V11" s="513">
        <f>_xll.qlMidEquivalent(T11,U11)</f>
        <v>27.875</v>
      </c>
      <c r="W11" s="348" t="b">
        <f t="shared" si="2"/>
        <v>1</v>
      </c>
      <c r="X11" s="514">
        <v>27.875</v>
      </c>
      <c r="Y11" s="342"/>
      <c r="Z11" s="511">
        <v>32</v>
      </c>
      <c r="AA11" s="342"/>
      <c r="AB11" s="388" t="str">
        <f t="shared" si="3"/>
        <v>GBP6L12L3Y_Quote</v>
      </c>
      <c r="AC11" s="510">
        <v>27.875</v>
      </c>
      <c r="AD11" s="347" t="e">
        <f>_xll.qlSimpleQuoteSetValue($AB11,$AC11/10000,Trigger)</f>
        <v>#N/A</v>
      </c>
      <c r="AE11" s="218"/>
      <c r="AF11" s="64"/>
      <c r="AG11" s="64"/>
      <c r="AH11" s="64"/>
      <c r="AI11" s="64"/>
    </row>
    <row r="12" spans="1:35" x14ac:dyDescent="0.2">
      <c r="A12" s="77"/>
      <c r="B12" s="76" t="s">
        <v>83</v>
      </c>
      <c r="C12" s="75" t="str">
        <f t="shared" si="4"/>
        <v>6L</v>
      </c>
      <c r="D12" s="74" t="str">
        <f t="shared" si="5"/>
        <v>12L</v>
      </c>
      <c r="E12" s="73" t="str">
        <f t="shared" si="0"/>
        <v>GBP6L12L4Y_Quote</v>
      </c>
      <c r="F12" s="73" t="str">
        <f>_xll.qlSimpleQuote(E12,,RateTickValue,Permanent,Trigger,ObjectOverwrite)</f>
        <v>GBP6L12L4Y_Quote#0000</v>
      </c>
      <c r="G12" s="72" t="str">
        <f>_xll.ohRangeRetrieveError(F12)</f>
        <v/>
      </c>
      <c r="H12" s="71"/>
      <c r="J12" s="83" t="s">
        <v>96</v>
      </c>
      <c r="K12" s="82" t="s">
        <v>116</v>
      </c>
      <c r="L12" s="81" t="s">
        <v>127</v>
      </c>
      <c r="N12" s="118">
        <v>4</v>
      </c>
      <c r="O12" s="393" t="s">
        <v>83</v>
      </c>
      <c r="P12" s="396" t="str">
        <v>6L</v>
      </c>
      <c r="Q12" s="396" t="str">
        <v>12L</v>
      </c>
      <c r="R12" s="394" t="str">
        <f t="shared" si="1"/>
        <v>GBP6L12L4Y</v>
      </c>
      <c r="S12" s="351" t="str">
        <v>GBP6L12L4Y=ICAP</v>
      </c>
      <c r="T12" s="513">
        <v>21.25</v>
      </c>
      <c r="U12" s="513">
        <v>33.25</v>
      </c>
      <c r="V12" s="513">
        <f>_xll.qlMidEquivalent(T12,U12)</f>
        <v>27.25</v>
      </c>
      <c r="W12" s="348" t="b">
        <f t="shared" si="2"/>
        <v>1</v>
      </c>
      <c r="X12" s="514">
        <v>27.25</v>
      </c>
      <c r="Y12" s="342"/>
      <c r="Z12" s="511">
        <v>30.5</v>
      </c>
      <c r="AA12" s="342"/>
      <c r="AB12" s="388" t="str">
        <f t="shared" si="3"/>
        <v>GBP6L12L4Y_Quote</v>
      </c>
      <c r="AC12" s="510">
        <v>27.25</v>
      </c>
      <c r="AD12" s="347" t="e">
        <f>_xll.qlSimpleQuoteSetValue($AB12,$AC12/10000,Trigger)</f>
        <v>#N/A</v>
      </c>
      <c r="AE12" s="218"/>
      <c r="AF12" s="64"/>
      <c r="AG12" s="64"/>
      <c r="AH12" s="64"/>
      <c r="AI12" s="64"/>
    </row>
    <row r="13" spans="1:35" x14ac:dyDescent="0.2">
      <c r="A13" s="77"/>
      <c r="B13" s="76" t="s">
        <v>82</v>
      </c>
      <c r="C13" s="75" t="str">
        <f t="shared" si="4"/>
        <v>6L</v>
      </c>
      <c r="D13" s="74" t="str">
        <f t="shared" si="5"/>
        <v>12L</v>
      </c>
      <c r="E13" s="73" t="str">
        <f t="shared" si="0"/>
        <v>GBP6L12L5Y_Quote</v>
      </c>
      <c r="F13" s="73" t="str">
        <f>_xll.qlSimpleQuote(E13,,RateTickValue,Permanent,Trigger,ObjectOverwrite)</f>
        <v>GBP6L12L5Y_Quote#0000</v>
      </c>
      <c r="G13" s="72" t="str">
        <f>_xll.ohRangeRetrieveError(F13)</f>
        <v/>
      </c>
      <c r="H13" s="71"/>
      <c r="J13" s="83" t="s">
        <v>117</v>
      </c>
      <c r="K13" s="82" t="s">
        <v>116</v>
      </c>
      <c r="L13" s="81" t="s">
        <v>127</v>
      </c>
      <c r="N13" s="118">
        <v>5</v>
      </c>
      <c r="O13" s="393" t="s">
        <v>82</v>
      </c>
      <c r="P13" s="396" t="str">
        <v>6L</v>
      </c>
      <c r="Q13" s="396" t="str">
        <v>12L</v>
      </c>
      <c r="R13" s="394" t="str">
        <f t="shared" si="1"/>
        <v>GBP6L12L5Y</v>
      </c>
      <c r="S13" s="351" t="str">
        <v>GBP6L12L5Y=ICAP</v>
      </c>
      <c r="T13" s="513">
        <v>20.625</v>
      </c>
      <c r="U13" s="513">
        <v>32.625</v>
      </c>
      <c r="V13" s="513">
        <f>_xll.qlMidEquivalent(T13,U13)</f>
        <v>26.625</v>
      </c>
      <c r="W13" s="348" t="b">
        <f t="shared" si="2"/>
        <v>1</v>
      </c>
      <c r="X13" s="514">
        <v>26.625</v>
      </c>
      <c r="Y13" s="342"/>
      <c r="Z13" s="511">
        <v>29.25</v>
      </c>
      <c r="AA13" s="342"/>
      <c r="AB13" s="388" t="str">
        <f t="shared" si="3"/>
        <v>GBP6L12L5Y_Quote</v>
      </c>
      <c r="AC13" s="510">
        <v>26.625</v>
      </c>
      <c r="AD13" s="347" t="e">
        <f>_xll.qlSimpleQuoteSetValue($AB13,$AC13/10000,Trigger)</f>
        <v>#N/A</v>
      </c>
      <c r="AE13" s="218"/>
      <c r="AF13" s="64"/>
      <c r="AG13" s="64"/>
      <c r="AH13" s="64"/>
      <c r="AI13" s="64"/>
    </row>
    <row r="14" spans="1:35" ht="13.5" thickBot="1" x14ac:dyDescent="0.25">
      <c r="A14" s="77"/>
      <c r="B14" s="76" t="s">
        <v>81</v>
      </c>
      <c r="C14" s="75" t="str">
        <f t="shared" si="4"/>
        <v>6L</v>
      </c>
      <c r="D14" s="74" t="str">
        <f t="shared" si="5"/>
        <v>12L</v>
      </c>
      <c r="E14" s="73" t="str">
        <f t="shared" si="0"/>
        <v>GBP6L12L6Y_Quote</v>
      </c>
      <c r="F14" s="73" t="str">
        <f>_xll.qlSimpleQuote(E14,,RateTickValue,Permanent,Trigger,ObjectOverwrite)</f>
        <v>GBP6L12L6Y_Quote#0000</v>
      </c>
      <c r="G14" s="72" t="str">
        <f>_xll.ohRangeRetrieveError(F14)</f>
        <v/>
      </c>
      <c r="H14" s="71"/>
      <c r="J14" s="80" t="s">
        <v>115</v>
      </c>
      <c r="K14" s="79" t="s">
        <v>127</v>
      </c>
      <c r="L14" s="78" t="s">
        <v>114</v>
      </c>
      <c r="N14" s="118">
        <v>6</v>
      </c>
      <c r="O14" s="393" t="s">
        <v>81</v>
      </c>
      <c r="P14" s="396" t="str">
        <v>6L</v>
      </c>
      <c r="Q14" s="396" t="str">
        <v>12L</v>
      </c>
      <c r="R14" s="394" t="str">
        <f t="shared" si="1"/>
        <v>GBP6L12L6Y</v>
      </c>
      <c r="S14" s="351" t="str">
        <v>GBP6L12L6Y=ICAP</v>
      </c>
      <c r="T14" s="513">
        <v>20</v>
      </c>
      <c r="U14" s="513">
        <v>32</v>
      </c>
      <c r="V14" s="513">
        <f>_xll.qlMidEquivalent(T14,U14)</f>
        <v>26</v>
      </c>
      <c r="W14" s="348" t="b">
        <f t="shared" si="2"/>
        <v>1</v>
      </c>
      <c r="X14" s="514">
        <v>26</v>
      </c>
      <c r="Y14" s="342"/>
      <c r="Z14" s="511">
        <v>28.25</v>
      </c>
      <c r="AA14" s="342"/>
      <c r="AB14" s="388" t="str">
        <f t="shared" si="3"/>
        <v>GBP6L12L6Y_Quote</v>
      </c>
      <c r="AC14" s="510">
        <v>26</v>
      </c>
      <c r="AD14" s="347" t="e">
        <f>_xll.qlSimpleQuoteSetValue($AB14,$AC14/10000,Trigger)</f>
        <v>#N/A</v>
      </c>
      <c r="AE14" s="218"/>
      <c r="AF14" s="64"/>
      <c r="AG14" s="64"/>
      <c r="AH14" s="64"/>
      <c r="AI14" s="64"/>
    </row>
    <row r="15" spans="1:35" x14ac:dyDescent="0.2">
      <c r="A15" s="77"/>
      <c r="B15" s="76" t="s">
        <v>80</v>
      </c>
      <c r="C15" s="75" t="str">
        <f t="shared" si="4"/>
        <v>6L</v>
      </c>
      <c r="D15" s="74" t="str">
        <f t="shared" si="5"/>
        <v>12L</v>
      </c>
      <c r="E15" s="73" t="str">
        <f t="shared" si="0"/>
        <v>GBP6L12L7Y_Quote</v>
      </c>
      <c r="F15" s="73" t="str">
        <f>_xll.qlSimpleQuote(E15,,RateTickValue,Permanent,Trigger,ObjectOverwrite)</f>
        <v>GBP6L12L7Y_Quote#0000</v>
      </c>
      <c r="G15" s="72" t="str">
        <f>_xll.ohRangeRetrieveError(F15)</f>
        <v/>
      </c>
      <c r="H15" s="71"/>
      <c r="N15" s="118">
        <v>7</v>
      </c>
      <c r="O15" s="393" t="s">
        <v>80</v>
      </c>
      <c r="P15" s="396" t="str">
        <v>6L</v>
      </c>
      <c r="Q15" s="396" t="str">
        <v>12L</v>
      </c>
      <c r="R15" s="394" t="str">
        <f t="shared" si="1"/>
        <v>GBP6L12L7Y</v>
      </c>
      <c r="S15" s="351" t="str">
        <v>GBP6L12L7Y=ICAP</v>
      </c>
      <c r="T15" s="513">
        <v>19.375</v>
      </c>
      <c r="U15" s="513">
        <v>31.375</v>
      </c>
      <c r="V15" s="513">
        <f>_xll.qlMidEquivalent(T15,U15)</f>
        <v>25.375</v>
      </c>
      <c r="W15" s="348" t="b">
        <f t="shared" si="2"/>
        <v>1</v>
      </c>
      <c r="X15" s="514">
        <v>25.375</v>
      </c>
      <c r="Y15" s="342"/>
      <c r="Z15" s="511">
        <v>27</v>
      </c>
      <c r="AA15" s="342"/>
      <c r="AB15" s="388" t="str">
        <f t="shared" si="3"/>
        <v>GBP6L12L7Y_Quote</v>
      </c>
      <c r="AC15" s="510">
        <v>25.375</v>
      </c>
      <c r="AD15" s="347" t="e">
        <f>_xll.qlSimpleQuoteSetValue($AB15,$AC15/10000,Trigger)</f>
        <v>#N/A</v>
      </c>
      <c r="AE15" s="218"/>
      <c r="AF15" s="64"/>
      <c r="AG15" s="64"/>
      <c r="AH15" s="64"/>
      <c r="AI15" s="64"/>
    </row>
    <row r="16" spans="1:35" x14ac:dyDescent="0.2">
      <c r="A16" s="77"/>
      <c r="B16" s="76" t="s">
        <v>79</v>
      </c>
      <c r="C16" s="75" t="str">
        <f t="shared" si="4"/>
        <v>6L</v>
      </c>
      <c r="D16" s="74" t="str">
        <f t="shared" si="5"/>
        <v>12L</v>
      </c>
      <c r="E16" s="73" t="str">
        <f t="shared" si="0"/>
        <v>GBP6L12L8Y_Quote</v>
      </c>
      <c r="F16" s="73" t="str">
        <f>_xll.qlSimpleQuote(E16,,RateTickValue,Permanent,Trigger,ObjectOverwrite)</f>
        <v>GBP6L12L8Y_Quote#0000</v>
      </c>
      <c r="G16" s="72" t="str">
        <f>_xll.ohRangeRetrieveError(F16)</f>
        <v/>
      </c>
      <c r="H16" s="71"/>
      <c r="N16" s="118">
        <v>8</v>
      </c>
      <c r="O16" s="393" t="s">
        <v>79</v>
      </c>
      <c r="P16" s="396" t="str">
        <v>6L</v>
      </c>
      <c r="Q16" s="396" t="str">
        <v>12L</v>
      </c>
      <c r="R16" s="394" t="str">
        <f t="shared" si="1"/>
        <v>GBP6L12L8Y</v>
      </c>
      <c r="S16" s="351" t="str">
        <v>GBP6L12L8Y=ICAP</v>
      </c>
      <c r="T16" s="513">
        <v>18.75</v>
      </c>
      <c r="U16" s="513">
        <v>30.75</v>
      </c>
      <c r="V16" s="513">
        <f>_xll.qlMidEquivalent(T16,U16)</f>
        <v>24.75</v>
      </c>
      <c r="W16" s="348" t="b">
        <f t="shared" si="2"/>
        <v>1</v>
      </c>
      <c r="X16" s="514">
        <v>24.75</v>
      </c>
      <c r="Y16" s="342"/>
      <c r="Z16" s="511">
        <v>26.25</v>
      </c>
      <c r="AA16" s="342"/>
      <c r="AB16" s="388" t="str">
        <f t="shared" si="3"/>
        <v>GBP6L12L8Y_Quote</v>
      </c>
      <c r="AC16" s="510">
        <v>24.75</v>
      </c>
      <c r="AD16" s="347" t="e">
        <f>_xll.qlSimpleQuoteSetValue($AB16,$AC16/10000,Trigger)</f>
        <v>#N/A</v>
      </c>
      <c r="AE16" s="218"/>
      <c r="AF16" s="64"/>
      <c r="AG16" s="64"/>
      <c r="AH16" s="64"/>
      <c r="AI16" s="64"/>
    </row>
    <row r="17" spans="1:35" x14ac:dyDescent="0.2">
      <c r="A17" s="77"/>
      <c r="B17" s="76" t="s">
        <v>78</v>
      </c>
      <c r="C17" s="75" t="str">
        <f t="shared" si="4"/>
        <v>6L</v>
      </c>
      <c r="D17" s="74" t="str">
        <f t="shared" si="5"/>
        <v>12L</v>
      </c>
      <c r="E17" s="73" t="str">
        <f t="shared" si="0"/>
        <v>GBP6L12L9Y_Quote</v>
      </c>
      <c r="F17" s="73" t="str">
        <f>_xll.qlSimpleQuote(E17,,RateTickValue,Permanent,Trigger,ObjectOverwrite)</f>
        <v>GBP6L12L9Y_Quote#0000</v>
      </c>
      <c r="G17" s="72" t="str">
        <f>_xll.ohRangeRetrieveError(F17)</f>
        <v/>
      </c>
      <c r="H17" s="71"/>
      <c r="N17" s="118">
        <v>9</v>
      </c>
      <c r="O17" s="393" t="s">
        <v>78</v>
      </c>
      <c r="P17" s="396" t="str">
        <v>6L</v>
      </c>
      <c r="Q17" s="396" t="str">
        <v>12L</v>
      </c>
      <c r="R17" s="394" t="str">
        <f t="shared" si="1"/>
        <v>GBP6L12L9Y</v>
      </c>
      <c r="S17" s="351" t="str">
        <v>GBP6L12L9Y=ICAP</v>
      </c>
      <c r="T17" s="513">
        <v>18</v>
      </c>
      <c r="U17" s="513">
        <v>30</v>
      </c>
      <c r="V17" s="513">
        <f>_xll.qlMidEquivalent(T17,U17)</f>
        <v>24</v>
      </c>
      <c r="W17" s="348" t="b">
        <f t="shared" si="2"/>
        <v>1</v>
      </c>
      <c r="X17" s="514">
        <v>24</v>
      </c>
      <c r="Y17" s="342"/>
      <c r="Z17" s="511">
        <v>25.25</v>
      </c>
      <c r="AA17" s="342"/>
      <c r="AB17" s="388" t="str">
        <f t="shared" si="3"/>
        <v>GBP6L12L9Y_Quote</v>
      </c>
      <c r="AC17" s="510">
        <v>24</v>
      </c>
      <c r="AD17" s="347" t="e">
        <f>_xll.qlSimpleQuoteSetValue($AB17,$AC17/10000,Trigger)</f>
        <v>#N/A</v>
      </c>
      <c r="AE17" s="218"/>
      <c r="AF17" s="64"/>
      <c r="AG17" s="64"/>
      <c r="AH17" s="64"/>
      <c r="AI17" s="64"/>
    </row>
    <row r="18" spans="1:35" x14ac:dyDescent="0.2">
      <c r="A18" s="77"/>
      <c r="B18" s="76" t="s">
        <v>77</v>
      </c>
      <c r="C18" s="75" t="str">
        <f t="shared" si="4"/>
        <v>6L</v>
      </c>
      <c r="D18" s="74" t="str">
        <f t="shared" si="5"/>
        <v>12L</v>
      </c>
      <c r="E18" s="73" t="str">
        <f t="shared" si="0"/>
        <v>GBP6L12L10Y_Quote</v>
      </c>
      <c r="F18" s="73" t="str">
        <f>_xll.qlSimpleQuote(E18,,RateTickValue,Permanent,Trigger,ObjectOverwrite)</f>
        <v>GBP6L12L10Y_Quote#0000</v>
      </c>
      <c r="G18" s="72" t="str">
        <f>_xll.ohRangeRetrieveError(F18)</f>
        <v/>
      </c>
      <c r="H18" s="71"/>
      <c r="N18" s="118">
        <v>10</v>
      </c>
      <c r="O18" s="393" t="s">
        <v>77</v>
      </c>
      <c r="P18" s="396" t="str">
        <v>6L</v>
      </c>
      <c r="Q18" s="396" t="str">
        <v>12L</v>
      </c>
      <c r="R18" s="394" t="str">
        <f t="shared" si="1"/>
        <v>GBP6L12L10Y</v>
      </c>
      <c r="S18" s="351" t="str">
        <v>GBP6L12L10Y=ICAP</v>
      </c>
      <c r="T18" s="513">
        <v>17.375</v>
      </c>
      <c r="U18" s="513">
        <v>29.375</v>
      </c>
      <c r="V18" s="513">
        <f>_xll.qlMidEquivalent(T18,U18)</f>
        <v>23.375</v>
      </c>
      <c r="W18" s="348" t="b">
        <f t="shared" si="2"/>
        <v>1</v>
      </c>
      <c r="X18" s="514">
        <v>23.375</v>
      </c>
      <c r="Y18" s="342"/>
      <c r="Z18" s="511">
        <v>24.25</v>
      </c>
      <c r="AA18" s="342"/>
      <c r="AB18" s="388" t="str">
        <f t="shared" si="3"/>
        <v>GBP6L12L10Y_Quote</v>
      </c>
      <c r="AC18" s="510">
        <v>23.375</v>
      </c>
      <c r="AD18" s="347" t="e">
        <f>_xll.qlSimpleQuoteSetValue($AB18,$AC18/10000,Trigger)</f>
        <v>#N/A</v>
      </c>
      <c r="AE18" s="218"/>
      <c r="AF18" s="64"/>
      <c r="AG18" s="64"/>
      <c r="AH18" s="64"/>
      <c r="AI18" s="64"/>
    </row>
    <row r="19" spans="1:35" x14ac:dyDescent="0.2">
      <c r="A19" s="77"/>
      <c r="B19" s="76" t="s">
        <v>76</v>
      </c>
      <c r="C19" s="75" t="str">
        <f t="shared" si="4"/>
        <v>6L</v>
      </c>
      <c r="D19" s="74" t="str">
        <f t="shared" si="5"/>
        <v>12L</v>
      </c>
      <c r="E19" s="73" t="str">
        <f t="shared" si="0"/>
        <v>GBP6L12L11Y_Quote</v>
      </c>
      <c r="F19" s="73" t="str">
        <f>_xll.qlSimpleQuote(E19,,RateTickValue,Permanent,Trigger,ObjectOverwrite)</f>
        <v>GBP6L12L11Y_Quote#0000</v>
      </c>
      <c r="G19" s="72" t="str">
        <f>_xll.ohRangeRetrieveError(F19)</f>
        <v/>
      </c>
      <c r="H19" s="71"/>
      <c r="N19" s="118">
        <v>11</v>
      </c>
      <c r="O19" s="393" t="s">
        <v>76</v>
      </c>
      <c r="P19" s="396" t="str">
        <v>6L</v>
      </c>
      <c r="Q19" s="396" t="str">
        <v>12L</v>
      </c>
      <c r="R19" s="394" t="str">
        <f t="shared" si="1"/>
        <v>GBP6L12L11Y</v>
      </c>
      <c r="S19" s="351" t="str">
        <v>GBP6L12L11Y=ICAP</v>
      </c>
      <c r="T19" s="513" t="s">
        <v>233</v>
      </c>
      <c r="U19" s="513" t="s">
        <v>233</v>
      </c>
      <c r="V19" s="513" t="e">
        <f>_xll.qlMidEquivalent(T19,U19)</f>
        <v>#NUM!</v>
      </c>
      <c r="W19" s="348" t="b">
        <f t="shared" si="2"/>
        <v>0</v>
      </c>
      <c r="X19" s="514">
        <v>22.767425066641273</v>
      </c>
      <c r="Y19" s="342"/>
      <c r="Z19" s="511">
        <v>23.333703072317427</v>
      </c>
      <c r="AA19" s="342"/>
      <c r="AB19" s="388" t="str">
        <f t="shared" si="3"/>
        <v>GBP6L12L11Y_Quote</v>
      </c>
      <c r="AC19" s="510">
        <v>22.767425066641273</v>
      </c>
      <c r="AD19" s="347" t="e">
        <f>_xll.qlSimpleQuoteSetValue($AB19,$AC19/10000,Trigger)</f>
        <v>#N/A</v>
      </c>
      <c r="AE19" s="218"/>
      <c r="AF19" s="64"/>
      <c r="AG19" s="64"/>
      <c r="AH19" s="64"/>
      <c r="AI19" s="64"/>
    </row>
    <row r="20" spans="1:35" x14ac:dyDescent="0.2">
      <c r="A20" s="77"/>
      <c r="B20" s="76" t="s">
        <v>75</v>
      </c>
      <c r="C20" s="75" t="str">
        <f t="shared" si="4"/>
        <v>6L</v>
      </c>
      <c r="D20" s="74" t="str">
        <f t="shared" si="5"/>
        <v>12L</v>
      </c>
      <c r="E20" s="73" t="str">
        <f t="shared" si="0"/>
        <v>GBP6L12L12Y_Quote</v>
      </c>
      <c r="F20" s="73" t="str">
        <f>_xll.qlSimpleQuote(E20,,RateTickValue,Permanent,Trigger,ObjectOverwrite)</f>
        <v>GBP6L12L12Y_Quote#0000</v>
      </c>
      <c r="G20" s="72" t="str">
        <f>_xll.ohRangeRetrieveError(F20)</f>
        <v/>
      </c>
      <c r="H20" s="71"/>
      <c r="N20" s="118">
        <v>12</v>
      </c>
      <c r="O20" s="393" t="s">
        <v>75</v>
      </c>
      <c r="P20" s="396" t="str">
        <v>6L</v>
      </c>
      <c r="Q20" s="396" t="str">
        <v>12L</v>
      </c>
      <c r="R20" s="394" t="str">
        <f t="shared" si="1"/>
        <v>GBP6L12L12Y</v>
      </c>
      <c r="S20" s="351" t="str">
        <v>GBP6L12L12Y=ICAP</v>
      </c>
      <c r="T20" s="513">
        <v>14.125</v>
      </c>
      <c r="U20" s="513">
        <v>30.125</v>
      </c>
      <c r="V20" s="513">
        <f>_xll.qlMidEquivalent(T20,U20)</f>
        <v>22.125</v>
      </c>
      <c r="W20" s="348" t="b">
        <f t="shared" si="2"/>
        <v>1</v>
      </c>
      <c r="X20" s="514">
        <v>22.125</v>
      </c>
      <c r="Y20" s="342"/>
      <c r="Z20" s="511">
        <v>22.5</v>
      </c>
      <c r="AA20" s="342"/>
      <c r="AB20" s="388" t="str">
        <f t="shared" si="3"/>
        <v>GBP6L12L12Y_Quote</v>
      </c>
      <c r="AC20" s="510">
        <v>22.125</v>
      </c>
      <c r="AD20" s="347" t="e">
        <f>_xll.qlSimpleQuoteSetValue($AB20,$AC20/10000,Trigger)</f>
        <v>#N/A</v>
      </c>
      <c r="AE20" s="218"/>
      <c r="AF20" s="64"/>
      <c r="AG20" s="64"/>
      <c r="AH20" s="64"/>
      <c r="AI20" s="64"/>
    </row>
    <row r="21" spans="1:35" x14ac:dyDescent="0.2">
      <c r="A21" s="77"/>
      <c r="B21" s="76" t="s">
        <v>74</v>
      </c>
      <c r="C21" s="75" t="str">
        <f t="shared" si="4"/>
        <v>6L</v>
      </c>
      <c r="D21" s="74" t="str">
        <f t="shared" si="5"/>
        <v>12L</v>
      </c>
      <c r="E21" s="73" t="str">
        <f t="shared" si="0"/>
        <v>GBP6L12L13Y_Quote</v>
      </c>
      <c r="F21" s="73" t="str">
        <f>_xll.qlSimpleQuote(E21,,RateTickValue,Permanent,Trigger,ObjectOverwrite)</f>
        <v>GBP6L12L13Y_Quote#0000</v>
      </c>
      <c r="G21" s="72" t="str">
        <f>_xll.ohRangeRetrieveError(F21)</f>
        <v/>
      </c>
      <c r="H21" s="71"/>
      <c r="N21" s="118">
        <v>13</v>
      </c>
      <c r="O21" s="393" t="s">
        <v>74</v>
      </c>
      <c r="P21" s="396" t="str">
        <v>6L</v>
      </c>
      <c r="Q21" s="396" t="str">
        <v>12L</v>
      </c>
      <c r="R21" s="394" t="str">
        <f t="shared" si="1"/>
        <v>GBP6L12L13Y</v>
      </c>
      <c r="S21" s="351" t="str">
        <v>GBP6L12L13Y=ICAP</v>
      </c>
      <c r="T21" s="513" t="s">
        <v>233</v>
      </c>
      <c r="U21" s="513" t="s">
        <v>233</v>
      </c>
      <c r="V21" s="513" t="e">
        <f>_xll.qlMidEquivalent(T21,U21)</f>
        <v>#NUM!</v>
      </c>
      <c r="W21" s="348" t="b">
        <f t="shared" si="2"/>
        <v>0</v>
      </c>
      <c r="X21" s="514">
        <v>21.450294221938027</v>
      </c>
      <c r="Y21" s="342"/>
      <c r="Z21" s="511">
        <v>21.759821623180205</v>
      </c>
      <c r="AA21" s="342"/>
      <c r="AB21" s="388" t="str">
        <f t="shared" si="3"/>
        <v>GBP6L12L13Y_Quote</v>
      </c>
      <c r="AC21" s="510">
        <v>21.450294221938027</v>
      </c>
      <c r="AD21" s="347" t="e">
        <f>_xll.qlSimpleQuoteSetValue($AB21,$AC21/10000,Trigger)</f>
        <v>#N/A</v>
      </c>
      <c r="AE21" s="218"/>
      <c r="AF21" s="64"/>
      <c r="AG21" s="64"/>
      <c r="AH21" s="64"/>
      <c r="AI21" s="64"/>
    </row>
    <row r="22" spans="1:35" x14ac:dyDescent="0.2">
      <c r="A22" s="77"/>
      <c r="B22" s="76" t="s">
        <v>73</v>
      </c>
      <c r="C22" s="75" t="str">
        <f t="shared" si="4"/>
        <v>6L</v>
      </c>
      <c r="D22" s="74" t="str">
        <f t="shared" si="5"/>
        <v>12L</v>
      </c>
      <c r="E22" s="73" t="str">
        <f t="shared" si="0"/>
        <v>GBP6L12L14Y_Quote</v>
      </c>
      <c r="F22" s="73" t="str">
        <f>_xll.qlSimpleQuote(E22,,RateTickValue,Permanent,Trigger,ObjectOverwrite)</f>
        <v>GBP6L12L14Y_Quote#0000</v>
      </c>
      <c r="G22" s="72" t="str">
        <f>_xll.ohRangeRetrieveError(F22)</f>
        <v/>
      </c>
      <c r="H22" s="71"/>
      <c r="N22" s="118">
        <v>14</v>
      </c>
      <c r="O22" s="393" t="s">
        <v>73</v>
      </c>
      <c r="P22" s="396" t="str">
        <v>6L</v>
      </c>
      <c r="Q22" s="396" t="str">
        <v>12L</v>
      </c>
      <c r="R22" s="394" t="str">
        <f t="shared" si="1"/>
        <v>GBP6L12L14Y</v>
      </c>
      <c r="S22" s="351" t="str">
        <v>GBP6L12L14Y=ICAP</v>
      </c>
      <c r="T22" s="513" t="s">
        <v>233</v>
      </c>
      <c r="U22" s="513" t="s">
        <v>233</v>
      </c>
      <c r="V22" s="513" t="e">
        <f>_xll.qlMidEquivalent(T22,U22)</f>
        <v>#NUM!</v>
      </c>
      <c r="W22" s="348" t="b">
        <f t="shared" si="2"/>
        <v>0</v>
      </c>
      <c r="X22" s="514">
        <v>20.771919926317349</v>
      </c>
      <c r="Y22" s="342"/>
      <c r="Z22" s="511">
        <v>21.099684119269718</v>
      </c>
      <c r="AA22" s="342"/>
      <c r="AB22" s="388" t="str">
        <f t="shared" si="3"/>
        <v>GBP6L12L14Y_Quote</v>
      </c>
      <c r="AC22" s="510">
        <v>20.771919926317349</v>
      </c>
      <c r="AD22" s="347" t="e">
        <f>_xll.qlSimpleQuoteSetValue($AB22,$AC22/10000,Trigger)</f>
        <v>#N/A</v>
      </c>
      <c r="AE22" s="218"/>
      <c r="AF22" s="64"/>
      <c r="AG22" s="64"/>
      <c r="AH22" s="64"/>
      <c r="AI22" s="64"/>
    </row>
    <row r="23" spans="1:35" x14ac:dyDescent="0.2">
      <c r="A23" s="77"/>
      <c r="B23" s="76" t="s">
        <v>72</v>
      </c>
      <c r="C23" s="75" t="str">
        <f t="shared" si="4"/>
        <v>6L</v>
      </c>
      <c r="D23" s="74" t="str">
        <f t="shared" si="5"/>
        <v>12L</v>
      </c>
      <c r="E23" s="73" t="str">
        <f t="shared" si="0"/>
        <v>GBP6L12L15Y_Quote</v>
      </c>
      <c r="F23" s="73" t="str">
        <f>_xll.qlSimpleQuote(E23,,RateTickValue,Permanent,Trigger,ObjectOverwrite)</f>
        <v>GBP6L12L15Y_Quote#0000</v>
      </c>
      <c r="G23" s="72" t="str">
        <f>_xll.ohRangeRetrieveError(F23)</f>
        <v/>
      </c>
      <c r="H23" s="71"/>
      <c r="N23" s="118">
        <v>15</v>
      </c>
      <c r="O23" s="393" t="s">
        <v>72</v>
      </c>
      <c r="P23" s="396" t="str">
        <v>6L</v>
      </c>
      <c r="Q23" s="396" t="str">
        <v>12L</v>
      </c>
      <c r="R23" s="394" t="str">
        <f t="shared" si="1"/>
        <v>GBP6L12L15Y</v>
      </c>
      <c r="S23" s="351" t="str">
        <v>GBP6L12L15Y=ICAP</v>
      </c>
      <c r="T23" s="513">
        <v>12.125</v>
      </c>
      <c r="U23" s="513">
        <v>28.125</v>
      </c>
      <c r="V23" s="513">
        <f>_xll.qlMidEquivalent(T23,U23)</f>
        <v>20.125</v>
      </c>
      <c r="W23" s="348" t="b">
        <f t="shared" si="2"/>
        <v>1</v>
      </c>
      <c r="X23" s="514">
        <v>20.125</v>
      </c>
      <c r="Y23" s="342"/>
      <c r="Z23" s="511">
        <v>20.5</v>
      </c>
      <c r="AA23" s="342"/>
      <c r="AB23" s="388" t="str">
        <f t="shared" si="3"/>
        <v>GBP6L12L15Y_Quote</v>
      </c>
      <c r="AC23" s="510">
        <v>20.125</v>
      </c>
      <c r="AD23" s="347" t="e">
        <f>_xll.qlSimpleQuoteSetValue($AB23,$AC23/10000,Trigger)</f>
        <v>#N/A</v>
      </c>
      <c r="AE23" s="218"/>
      <c r="AF23" s="64"/>
      <c r="AG23" s="64"/>
      <c r="AH23" s="64"/>
      <c r="AI23" s="64"/>
    </row>
    <row r="24" spans="1:35" x14ac:dyDescent="0.2">
      <c r="A24" s="77"/>
      <c r="B24" s="76" t="s">
        <v>71</v>
      </c>
      <c r="C24" s="75" t="str">
        <f t="shared" si="4"/>
        <v>6L</v>
      </c>
      <c r="D24" s="74" t="str">
        <f t="shared" si="5"/>
        <v>12L</v>
      </c>
      <c r="E24" s="73" t="str">
        <f t="shared" si="0"/>
        <v>GBP6L12L16Y_Quote</v>
      </c>
      <c r="F24" s="73" t="str">
        <f>_xll.qlSimpleQuote(E24,,RateTickValue,Permanent,Trigger,ObjectOverwrite)</f>
        <v>GBP6L12L16Y_Quote#0000</v>
      </c>
      <c r="G24" s="72" t="str">
        <f>_xll.ohRangeRetrieveError(F24)</f>
        <v/>
      </c>
      <c r="H24" s="71"/>
      <c r="N24" s="118">
        <v>16</v>
      </c>
      <c r="O24" s="393" t="s">
        <v>71</v>
      </c>
      <c r="P24" s="396" t="str">
        <v>6L</v>
      </c>
      <c r="Q24" s="396" t="str">
        <v>12L</v>
      </c>
      <c r="R24" s="394" t="str">
        <f t="shared" si="1"/>
        <v>GBP6L12L16Y</v>
      </c>
      <c r="S24" s="351" t="str">
        <v>GBP6L12L16Y=ICAP</v>
      </c>
      <c r="T24" s="513" t="s">
        <v>233</v>
      </c>
      <c r="U24" s="513" t="s">
        <v>233</v>
      </c>
      <c r="V24" s="513" t="e">
        <f>_xll.qlMidEquivalent(T24,U24)</f>
        <v>#NUM!</v>
      </c>
      <c r="W24" s="348" t="b">
        <f t="shared" si="2"/>
        <v>0</v>
      </c>
      <c r="X24" s="514">
        <v>19.536925194262938</v>
      </c>
      <c r="Y24" s="342"/>
      <c r="Z24" s="511">
        <v>19.943399232431609</v>
      </c>
      <c r="AA24" s="342"/>
      <c r="AB24" s="388" t="str">
        <f t="shared" si="3"/>
        <v>GBP6L12L16Y_Quote</v>
      </c>
      <c r="AC24" s="510">
        <v>19.536925194262938</v>
      </c>
      <c r="AD24" s="347" t="e">
        <f>_xll.qlSimpleQuoteSetValue($AB24,$AC24/10000,Trigger)</f>
        <v>#N/A</v>
      </c>
      <c r="AE24" s="218"/>
      <c r="AF24" s="64"/>
      <c r="AG24" s="64"/>
      <c r="AH24" s="64"/>
      <c r="AI24" s="64"/>
    </row>
    <row r="25" spans="1:35" x14ac:dyDescent="0.2">
      <c r="A25" s="77"/>
      <c r="B25" s="76" t="s">
        <v>70</v>
      </c>
      <c r="C25" s="75" t="str">
        <f t="shared" si="4"/>
        <v>6L</v>
      </c>
      <c r="D25" s="74" t="str">
        <f t="shared" si="5"/>
        <v>12L</v>
      </c>
      <c r="E25" s="73" t="str">
        <f t="shared" si="0"/>
        <v>GBP6L12L17Y_Quote</v>
      </c>
      <c r="F25" s="73" t="str">
        <f>_xll.qlSimpleQuote(E25,,RateTickValue,Permanent,Trigger,ObjectOverwrite)</f>
        <v>GBP6L12L17Y_Quote#0000</v>
      </c>
      <c r="G25" s="72" t="str">
        <f>_xll.ohRangeRetrieveError(F25)</f>
        <v/>
      </c>
      <c r="H25" s="71"/>
      <c r="N25" s="118">
        <v>17</v>
      </c>
      <c r="O25" s="393" t="s">
        <v>70</v>
      </c>
      <c r="P25" s="396" t="str">
        <v>6L</v>
      </c>
      <c r="Q25" s="396" t="str">
        <v>12L</v>
      </c>
      <c r="R25" s="394" t="str">
        <f t="shared" si="1"/>
        <v>GBP6L12L17Y</v>
      </c>
      <c r="S25" s="351" t="str">
        <v>GBP6L12L17Y=ICAP</v>
      </c>
      <c r="T25" s="513" t="s">
        <v>233</v>
      </c>
      <c r="U25" s="513" t="s">
        <v>233</v>
      </c>
      <c r="V25" s="513" t="e">
        <f>_xll.qlMidEquivalent(T25,U25)</f>
        <v>#NUM!</v>
      </c>
      <c r="W25" s="348" t="b">
        <f t="shared" si="2"/>
        <v>0</v>
      </c>
      <c r="X25" s="514">
        <v>19.004157718042823</v>
      </c>
      <c r="Y25" s="342"/>
      <c r="Z25" s="511">
        <v>19.421381604941438</v>
      </c>
      <c r="AA25" s="342"/>
      <c r="AB25" s="388" t="str">
        <f t="shared" si="3"/>
        <v>GBP6L12L17Y_Quote</v>
      </c>
      <c r="AC25" s="510">
        <v>19.004157718042823</v>
      </c>
      <c r="AD25" s="347" t="e">
        <f>_xll.qlSimpleQuoteSetValue($AB25,$AC25/10000,Trigger)</f>
        <v>#N/A</v>
      </c>
      <c r="AE25" s="218"/>
      <c r="AF25" s="64"/>
      <c r="AG25" s="64"/>
      <c r="AH25" s="64"/>
      <c r="AI25" s="64"/>
    </row>
    <row r="26" spans="1:35" x14ac:dyDescent="0.2">
      <c r="A26" s="77"/>
      <c r="B26" s="76" t="s">
        <v>69</v>
      </c>
      <c r="C26" s="75" t="str">
        <f t="shared" si="4"/>
        <v>6L</v>
      </c>
      <c r="D26" s="74" t="str">
        <f t="shared" si="5"/>
        <v>12L</v>
      </c>
      <c r="E26" s="73" t="str">
        <f t="shared" si="0"/>
        <v>GBP6L12L18Y_Quote</v>
      </c>
      <c r="F26" s="73" t="str">
        <f>_xll.qlSimpleQuote(E26,,RateTickValue,Permanent,Trigger,ObjectOverwrite)</f>
        <v>GBP6L12L18Y_Quote#0000</v>
      </c>
      <c r="G26" s="72" t="str">
        <f>_xll.ohRangeRetrieveError(F26)</f>
        <v/>
      </c>
      <c r="H26" s="71"/>
      <c r="N26" s="118">
        <v>18</v>
      </c>
      <c r="O26" s="393" t="s">
        <v>69</v>
      </c>
      <c r="P26" s="396" t="str">
        <v>6L</v>
      </c>
      <c r="Q26" s="396" t="str">
        <v>12L</v>
      </c>
      <c r="R26" s="394" t="str">
        <f t="shared" si="1"/>
        <v>GBP6L12L18Y</v>
      </c>
      <c r="S26" s="351" t="str">
        <v>GBP6L12L18Y=ICAP</v>
      </c>
      <c r="T26" s="513" t="s">
        <v>233</v>
      </c>
      <c r="U26" s="513" t="s">
        <v>233</v>
      </c>
      <c r="V26" s="513" t="e">
        <f>_xll.qlMidEquivalent(T26,U26)</f>
        <v>#NUM!</v>
      </c>
      <c r="W26" s="348" t="b">
        <f t="shared" si="2"/>
        <v>0</v>
      </c>
      <c r="X26" s="514">
        <v>18.51542764469124</v>
      </c>
      <c r="Y26" s="342"/>
      <c r="Z26" s="511">
        <v>18.927664361235458</v>
      </c>
      <c r="AA26" s="342"/>
      <c r="AB26" s="388" t="str">
        <f t="shared" si="3"/>
        <v>GBP6L12L18Y_Quote</v>
      </c>
      <c r="AC26" s="510">
        <v>18.51542764469124</v>
      </c>
      <c r="AD26" s="347" t="e">
        <f>_xll.qlSimpleQuoteSetValue($AB26,$AC26/10000,Trigger)</f>
        <v>#N/A</v>
      </c>
      <c r="AE26" s="218"/>
      <c r="AF26" s="64"/>
      <c r="AG26" s="64"/>
      <c r="AH26" s="64"/>
      <c r="AI26" s="64"/>
    </row>
    <row r="27" spans="1:35" x14ac:dyDescent="0.2">
      <c r="A27" s="77"/>
      <c r="B27" s="76" t="s">
        <v>68</v>
      </c>
      <c r="C27" s="75" t="str">
        <f t="shared" si="4"/>
        <v>6L</v>
      </c>
      <c r="D27" s="74" t="str">
        <f t="shared" si="5"/>
        <v>12L</v>
      </c>
      <c r="E27" s="73" t="str">
        <f t="shared" si="0"/>
        <v>GBP6L12L19Y_Quote</v>
      </c>
      <c r="F27" s="73" t="str">
        <f>_xll.qlSimpleQuote(E27,,RateTickValue,Permanent,Trigger,ObjectOverwrite)</f>
        <v>GBP6L12L19Y_Quote#0000</v>
      </c>
      <c r="G27" s="72" t="str">
        <f>_xll.ohRangeRetrieveError(F27)</f>
        <v/>
      </c>
      <c r="H27" s="71"/>
      <c r="N27" s="118">
        <v>19</v>
      </c>
      <c r="O27" s="393" t="s">
        <v>68</v>
      </c>
      <c r="P27" s="396" t="str">
        <v>6L</v>
      </c>
      <c r="Q27" s="396" t="str">
        <v>12L</v>
      </c>
      <c r="R27" s="394" t="str">
        <f t="shared" si="1"/>
        <v>GBP6L12L19Y</v>
      </c>
      <c r="S27" s="351" t="str">
        <v>GBP6L12L19Y=ICAP</v>
      </c>
      <c r="T27" s="513" t="s">
        <v>233</v>
      </c>
      <c r="U27" s="513" t="s">
        <v>233</v>
      </c>
      <c r="V27" s="513" t="e">
        <f>_xll.qlMidEquivalent(T27,U27)</f>
        <v>#NUM!</v>
      </c>
      <c r="W27" s="348" t="b">
        <f t="shared" si="2"/>
        <v>0</v>
      </c>
      <c r="X27" s="514">
        <v>18.059465047559769</v>
      </c>
      <c r="Y27" s="342"/>
      <c r="Z27" s="511">
        <v>18.455964745019656</v>
      </c>
      <c r="AA27" s="342"/>
      <c r="AB27" s="388" t="str">
        <f t="shared" si="3"/>
        <v>GBP6L12L19Y_Quote</v>
      </c>
      <c r="AC27" s="510">
        <v>18.059465047559769</v>
      </c>
      <c r="AD27" s="347" t="e">
        <f>_xll.qlSimpleQuoteSetValue($AB27,$AC27/10000,Trigger)</f>
        <v>#N/A</v>
      </c>
      <c r="AE27" s="218"/>
      <c r="AF27" s="64"/>
      <c r="AG27" s="64"/>
      <c r="AH27" s="64"/>
      <c r="AI27" s="64"/>
    </row>
    <row r="28" spans="1:35" x14ac:dyDescent="0.2">
      <c r="A28" s="77"/>
      <c r="B28" s="76" t="s">
        <v>67</v>
      </c>
      <c r="C28" s="75" t="str">
        <f t="shared" si="4"/>
        <v>6L</v>
      </c>
      <c r="D28" s="74" t="str">
        <f t="shared" si="5"/>
        <v>12L</v>
      </c>
      <c r="E28" s="73" t="str">
        <f t="shared" si="0"/>
        <v>GBP6L12L20Y_Quote</v>
      </c>
      <c r="F28" s="73" t="str">
        <f>_xll.qlSimpleQuote(E28,,RateTickValue,Permanent,Trigger,ObjectOverwrite)</f>
        <v>GBP6L12L20Y_Quote#0000</v>
      </c>
      <c r="G28" s="72" t="str">
        <f>_xll.ohRangeRetrieveError(F28)</f>
        <v/>
      </c>
      <c r="H28" s="71"/>
      <c r="N28" s="118">
        <v>20</v>
      </c>
      <c r="O28" s="393" t="s">
        <v>67</v>
      </c>
      <c r="P28" s="396" t="str">
        <v>6L</v>
      </c>
      <c r="Q28" s="396" t="str">
        <v>12L</v>
      </c>
      <c r="R28" s="394" t="str">
        <f t="shared" si="1"/>
        <v>GBP6L12L20Y</v>
      </c>
      <c r="S28" s="351" t="str">
        <v>GBP6L12L20Y=ICAP</v>
      </c>
      <c r="T28" s="513">
        <v>9.625</v>
      </c>
      <c r="U28" s="513">
        <v>25.625</v>
      </c>
      <c r="V28" s="513">
        <f>_xll.qlMidEquivalent(T28,U28)</f>
        <v>17.625</v>
      </c>
      <c r="W28" s="348" t="b">
        <f t="shared" si="2"/>
        <v>1</v>
      </c>
      <c r="X28" s="514">
        <v>17.625</v>
      </c>
      <c r="Y28" s="342"/>
      <c r="Z28" s="511">
        <v>18</v>
      </c>
      <c r="AA28" s="342"/>
      <c r="AB28" s="388" t="str">
        <f t="shared" si="3"/>
        <v>GBP6L12L20Y_Quote</v>
      </c>
      <c r="AC28" s="510">
        <v>17.625</v>
      </c>
      <c r="AD28" s="347" t="e">
        <f>_xll.qlSimpleQuoteSetValue($AB28,$AC28/10000,Trigger)</f>
        <v>#N/A</v>
      </c>
      <c r="AE28" s="218"/>
      <c r="AF28" s="64"/>
      <c r="AG28" s="64"/>
      <c r="AH28" s="64"/>
      <c r="AI28" s="64"/>
    </row>
    <row r="29" spans="1:35" x14ac:dyDescent="0.2">
      <c r="A29" s="77"/>
      <c r="B29" s="76" t="s">
        <v>66</v>
      </c>
      <c r="C29" s="75" t="str">
        <f t="shared" si="4"/>
        <v>6L</v>
      </c>
      <c r="D29" s="74" t="str">
        <f t="shared" si="5"/>
        <v>12L</v>
      </c>
      <c r="E29" s="73" t="str">
        <f t="shared" si="0"/>
        <v>GBP6L12L21Y_Quote</v>
      </c>
      <c r="F29" s="73" t="str">
        <f>_xll.qlSimpleQuote(E29,,RateTickValue,Permanent,Trigger,ObjectOverwrite)</f>
        <v>GBP6L12L21Y_Quote#0000</v>
      </c>
      <c r="G29" s="72" t="str">
        <f>_xll.ohRangeRetrieveError(F29)</f>
        <v/>
      </c>
      <c r="H29" s="71"/>
      <c r="N29" s="118">
        <v>21</v>
      </c>
      <c r="O29" s="393" t="s">
        <v>66</v>
      </c>
      <c r="P29" s="396" t="str">
        <v>6L</v>
      </c>
      <c r="Q29" s="396" t="str">
        <v>12L</v>
      </c>
      <c r="R29" s="394" t="str">
        <f t="shared" si="1"/>
        <v>GBP6L12L21Y</v>
      </c>
      <c r="S29" s="351" t="str">
        <v>GBP6L12L21Y=ICAP</v>
      </c>
      <c r="T29" s="513" t="s">
        <v>233</v>
      </c>
      <c r="U29" s="513" t="s">
        <v>233</v>
      </c>
      <c r="V29" s="513" t="e">
        <f>_xll.qlMidEquivalent(T29,U29)</f>
        <v>#NUM!</v>
      </c>
      <c r="W29" s="348" t="b">
        <f t="shared" si="2"/>
        <v>0</v>
      </c>
      <c r="X29" s="514">
        <v>17.203717050778856</v>
      </c>
      <c r="Y29" s="342"/>
      <c r="Z29" s="511">
        <v>17.555596946902046</v>
      </c>
      <c r="AA29" s="342"/>
      <c r="AB29" s="388" t="str">
        <f t="shared" si="3"/>
        <v>GBP6L12L21Y_Quote</v>
      </c>
      <c r="AC29" s="510">
        <v>17.203717050778856</v>
      </c>
      <c r="AD29" s="347" t="e">
        <f>_xll.qlSimpleQuoteSetValue($AB29,$AC29/10000,Trigger)</f>
        <v>#N/A</v>
      </c>
      <c r="AE29" s="218"/>
      <c r="AF29" s="64"/>
      <c r="AG29" s="64"/>
      <c r="AH29" s="64"/>
      <c r="AI29" s="64"/>
    </row>
    <row r="30" spans="1:35" x14ac:dyDescent="0.2">
      <c r="A30" s="77"/>
      <c r="B30" s="76" t="s">
        <v>65</v>
      </c>
      <c r="C30" s="75" t="str">
        <f t="shared" si="4"/>
        <v>6L</v>
      </c>
      <c r="D30" s="74" t="str">
        <f t="shared" si="5"/>
        <v>12L</v>
      </c>
      <c r="E30" s="73" t="str">
        <f t="shared" si="0"/>
        <v>GBP6L12L22Y_Quote</v>
      </c>
      <c r="F30" s="73" t="str">
        <f>_xll.qlSimpleQuote(E30,,RateTickValue,Permanent,Trigger,ObjectOverwrite)</f>
        <v>GBP6L12L22Y_Quote#0000</v>
      </c>
      <c r="G30" s="72" t="str">
        <f>_xll.ohRangeRetrieveError(F30)</f>
        <v/>
      </c>
      <c r="H30" s="71"/>
      <c r="N30" s="118">
        <v>22</v>
      </c>
      <c r="O30" s="393" t="s">
        <v>65</v>
      </c>
      <c r="P30" s="396" t="str">
        <v>6L</v>
      </c>
      <c r="Q30" s="396" t="str">
        <v>12L</v>
      </c>
      <c r="R30" s="394" t="str">
        <f t="shared" si="1"/>
        <v>GBP6L12L22Y</v>
      </c>
      <c r="S30" s="351" t="str">
        <v>GBP6L12L22Y=ICAP</v>
      </c>
      <c r="T30" s="513" t="s">
        <v>233</v>
      </c>
      <c r="U30" s="513" t="s">
        <v>233</v>
      </c>
      <c r="V30" s="513" t="e">
        <f>_xll.qlMidEquivalent(T30,U30)</f>
        <v>#NUM!</v>
      </c>
      <c r="W30" s="348" t="b">
        <f t="shared" si="2"/>
        <v>0</v>
      </c>
      <c r="X30" s="514">
        <v>16.79911865032464</v>
      </c>
      <c r="Y30" s="342"/>
      <c r="Z30" s="511">
        <v>17.127020714529646</v>
      </c>
      <c r="AA30" s="342"/>
      <c r="AB30" s="388" t="str">
        <f t="shared" si="3"/>
        <v>GBP6L12L22Y_Quote</v>
      </c>
      <c r="AC30" s="510">
        <v>16.79911865032464</v>
      </c>
      <c r="AD30" s="347" t="e">
        <f>_xll.qlSimpleQuoteSetValue($AB30,$AC30/10000,Trigger)</f>
        <v>#N/A</v>
      </c>
      <c r="AE30" s="218"/>
      <c r="AF30" s="64"/>
      <c r="AG30" s="64"/>
      <c r="AH30" s="64"/>
      <c r="AI30" s="64"/>
    </row>
    <row r="31" spans="1:35" x14ac:dyDescent="0.2">
      <c r="A31" s="77"/>
      <c r="B31" s="76" t="s">
        <v>64</v>
      </c>
      <c r="C31" s="75" t="str">
        <f t="shared" si="4"/>
        <v>6L</v>
      </c>
      <c r="D31" s="74" t="str">
        <f t="shared" si="5"/>
        <v>12L</v>
      </c>
      <c r="E31" s="73" t="str">
        <f t="shared" si="0"/>
        <v>GBP6L12L23Y_Quote</v>
      </c>
      <c r="F31" s="73" t="str">
        <f>_xll.qlSimpleQuote(E31,,RateTickValue,Permanent,Trigger,ObjectOverwrite)</f>
        <v>GBP6L12L23Y_Quote#0000</v>
      </c>
      <c r="G31" s="72" t="str">
        <f>_xll.ohRangeRetrieveError(F31)</f>
        <v/>
      </c>
      <c r="H31" s="71"/>
      <c r="N31" s="118">
        <v>23</v>
      </c>
      <c r="O31" s="393" t="s">
        <v>64</v>
      </c>
      <c r="P31" s="396" t="str">
        <v>6L</v>
      </c>
      <c r="Q31" s="396" t="str">
        <v>12L</v>
      </c>
      <c r="R31" s="394" t="str">
        <f t="shared" si="1"/>
        <v>GBP6L12L23Y</v>
      </c>
      <c r="S31" s="351" t="str">
        <v>GBP6L12L23Y=ICAP</v>
      </c>
      <c r="T31" s="513" t="s">
        <v>233</v>
      </c>
      <c r="U31" s="513" t="s">
        <v>233</v>
      </c>
      <c r="V31" s="513" t="e">
        <f>_xll.qlMidEquivalent(T31,U31)</f>
        <v>#NUM!</v>
      </c>
      <c r="W31" s="348" t="b">
        <f t="shared" si="2"/>
        <v>0</v>
      </c>
      <c r="X31" s="514">
        <v>16.417661724480997</v>
      </c>
      <c r="Y31" s="342"/>
      <c r="Z31" s="511">
        <v>16.720646008706218</v>
      </c>
      <c r="AA31" s="342"/>
      <c r="AB31" s="388" t="str">
        <f t="shared" si="3"/>
        <v>GBP6L12L23Y_Quote</v>
      </c>
      <c r="AC31" s="510">
        <v>16.417661724480997</v>
      </c>
      <c r="AD31" s="347" t="e">
        <f>_xll.qlSimpleQuoteSetValue($AB31,$AC31/10000,Trigger)</f>
        <v>#N/A</v>
      </c>
      <c r="AE31" s="218"/>
      <c r="AF31" s="64"/>
      <c r="AG31" s="64"/>
      <c r="AH31" s="64"/>
      <c r="AI31" s="64"/>
    </row>
    <row r="32" spans="1:35" x14ac:dyDescent="0.2">
      <c r="A32" s="77"/>
      <c r="B32" s="76" t="s">
        <v>63</v>
      </c>
      <c r="C32" s="75" t="str">
        <f t="shared" si="4"/>
        <v>6L</v>
      </c>
      <c r="D32" s="74" t="str">
        <f t="shared" si="5"/>
        <v>12L</v>
      </c>
      <c r="E32" s="73" t="str">
        <f t="shared" si="0"/>
        <v>GBP6L12L24Y_Quote</v>
      </c>
      <c r="F32" s="73" t="str">
        <f>_xll.qlSimpleQuote(E32,,RateTickValue,Permanent,Trigger,ObjectOverwrite)</f>
        <v>GBP6L12L24Y_Quote#0000</v>
      </c>
      <c r="G32" s="72" t="str">
        <f>_xll.ohRangeRetrieveError(F32)</f>
        <v/>
      </c>
      <c r="H32" s="71"/>
      <c r="N32" s="118">
        <v>24</v>
      </c>
      <c r="O32" s="393" t="s">
        <v>63</v>
      </c>
      <c r="P32" s="396" t="str">
        <v>6L</v>
      </c>
      <c r="Q32" s="396" t="str">
        <v>12L</v>
      </c>
      <c r="R32" s="394" t="str">
        <f t="shared" si="1"/>
        <v>GBP6L12L24Y</v>
      </c>
      <c r="S32" s="351" t="str">
        <v>GBP6L12L24Y=ICAP</v>
      </c>
      <c r="T32" s="513" t="s">
        <v>233</v>
      </c>
      <c r="U32" s="513" t="s">
        <v>233</v>
      </c>
      <c r="V32" s="513" t="e">
        <f>_xll.qlMidEquivalent(T32,U32)</f>
        <v>#NUM!</v>
      </c>
      <c r="W32" s="348" t="b">
        <f t="shared" si="2"/>
        <v>0</v>
      </c>
      <c r="X32" s="514">
        <v>16.065803199091569</v>
      </c>
      <c r="Y32" s="342"/>
      <c r="Z32" s="511">
        <v>16.342847535255196</v>
      </c>
      <c r="AA32" s="342"/>
      <c r="AB32" s="388" t="str">
        <f t="shared" si="3"/>
        <v>GBP6L12L24Y_Quote</v>
      </c>
      <c r="AC32" s="510">
        <v>16.065803199091569</v>
      </c>
      <c r="AD32" s="347" t="e">
        <f>_xll.qlSimpleQuoteSetValue($AB32,$AC32/10000,Trigger)</f>
        <v>#N/A</v>
      </c>
      <c r="AE32" s="218"/>
      <c r="AF32" s="64"/>
      <c r="AG32" s="64"/>
      <c r="AH32" s="64"/>
      <c r="AI32" s="64"/>
    </row>
    <row r="33" spans="1:35" x14ac:dyDescent="0.2">
      <c r="A33" s="77"/>
      <c r="B33" s="76" t="s">
        <v>62</v>
      </c>
      <c r="C33" s="75" t="str">
        <f t="shared" si="4"/>
        <v>6L</v>
      </c>
      <c r="D33" s="74" t="str">
        <f t="shared" si="5"/>
        <v>12L</v>
      </c>
      <c r="E33" s="73" t="str">
        <f t="shared" si="0"/>
        <v>GBP6L12L25Y_Quote</v>
      </c>
      <c r="F33" s="73" t="str">
        <f>_xll.qlSimpleQuote(E33,,RateTickValue,Permanent,Trigger,ObjectOverwrite)</f>
        <v>GBP6L12L25Y_Quote#0000</v>
      </c>
      <c r="G33" s="72" t="str">
        <f>_xll.ohRangeRetrieveError(F33)</f>
        <v/>
      </c>
      <c r="H33" s="71"/>
      <c r="N33" s="118">
        <v>25</v>
      </c>
      <c r="O33" s="393" t="s">
        <v>62</v>
      </c>
      <c r="P33" s="396" t="str">
        <v>6L</v>
      </c>
      <c r="Q33" s="396" t="str">
        <v>12L</v>
      </c>
      <c r="R33" s="394" t="str">
        <f t="shared" si="1"/>
        <v>GBP6L12L25Y</v>
      </c>
      <c r="S33" s="351" t="str">
        <v>GBP6L12L25Y=ICAP</v>
      </c>
      <c r="T33" s="513">
        <v>7.75</v>
      </c>
      <c r="U33" s="513">
        <v>23.75</v>
      </c>
      <c r="V33" s="513">
        <f>_xll.qlMidEquivalent(T33,U33)</f>
        <v>15.75</v>
      </c>
      <c r="W33" s="348" t="b">
        <f t="shared" si="2"/>
        <v>1</v>
      </c>
      <c r="X33" s="514">
        <v>15.75</v>
      </c>
      <c r="Y33" s="342"/>
      <c r="Z33" s="511">
        <v>16</v>
      </c>
      <c r="AA33" s="342"/>
      <c r="AB33" s="388" t="str">
        <f t="shared" si="3"/>
        <v>GBP6L12L25Y_Quote</v>
      </c>
      <c r="AC33" s="510">
        <v>15.75</v>
      </c>
      <c r="AD33" s="347" t="e">
        <f>_xll.qlSimpleQuoteSetValue($AB33,$AC33/10000,Trigger)</f>
        <v>#N/A</v>
      </c>
      <c r="AE33" s="218"/>
      <c r="AF33" s="64"/>
      <c r="AG33" s="64"/>
      <c r="AH33" s="64"/>
      <c r="AI33" s="64"/>
    </row>
    <row r="34" spans="1:35" x14ac:dyDescent="0.2">
      <c r="A34" s="77"/>
      <c r="B34" s="76" t="s">
        <v>61</v>
      </c>
      <c r="C34" s="75" t="str">
        <f t="shared" si="4"/>
        <v>6L</v>
      </c>
      <c r="D34" s="74" t="str">
        <f t="shared" si="5"/>
        <v>12L</v>
      </c>
      <c r="E34" s="73" t="str">
        <f t="shared" si="0"/>
        <v>GBP6L12L26Y_Quote</v>
      </c>
      <c r="F34" s="73" t="str">
        <f>_xll.qlSimpleQuote(E34,,RateTickValue,Permanent,Trigger,ObjectOverwrite)</f>
        <v>GBP6L12L26Y_Quote#0000</v>
      </c>
      <c r="G34" s="72" t="str">
        <f>_xll.ohRangeRetrieveError(F34)</f>
        <v/>
      </c>
      <c r="H34" s="71"/>
      <c r="N34" s="118">
        <v>26</v>
      </c>
      <c r="O34" s="393" t="s">
        <v>61</v>
      </c>
      <c r="P34" s="396" t="str">
        <v>6L</v>
      </c>
      <c r="Q34" s="396" t="str">
        <v>12L</v>
      </c>
      <c r="R34" s="394" t="str">
        <f t="shared" si="1"/>
        <v>GBP6L12L26Y</v>
      </c>
      <c r="S34" s="351" t="str">
        <v>GBP6L12L26Y=ICAP</v>
      </c>
      <c r="T34" s="513" t="s">
        <v>233</v>
      </c>
      <c r="U34" s="513" t="s">
        <v>233</v>
      </c>
      <c r="V34" s="513" t="e">
        <f>_xll.qlMidEquivalent(T34,U34)</f>
        <v>#NUM!</v>
      </c>
      <c r="W34" s="348" t="b">
        <f t="shared" si="2"/>
        <v>0</v>
      </c>
      <c r="X34" s="514">
        <v>15.474206602621635</v>
      </c>
      <c r="Y34" s="342"/>
      <c r="Z34" s="511">
        <v>15.696212979960205</v>
      </c>
      <c r="AA34" s="342"/>
      <c r="AB34" s="388" t="str">
        <f t="shared" si="3"/>
        <v>GBP6L12L26Y_Quote</v>
      </c>
      <c r="AC34" s="510">
        <v>15.474206602621635</v>
      </c>
      <c r="AD34" s="347" t="e">
        <f>_xll.qlSimpleQuoteSetValue($AB34,$AC34/10000,Trigger)</f>
        <v>#N/A</v>
      </c>
      <c r="AE34" s="218"/>
      <c r="AF34" s="64"/>
      <c r="AG34" s="64"/>
      <c r="AH34" s="64"/>
      <c r="AI34" s="64"/>
    </row>
    <row r="35" spans="1:35" x14ac:dyDescent="0.2">
      <c r="A35" s="77"/>
      <c r="B35" s="76" t="s">
        <v>60</v>
      </c>
      <c r="C35" s="75" t="str">
        <f t="shared" si="4"/>
        <v>6L</v>
      </c>
      <c r="D35" s="74" t="str">
        <f t="shared" si="5"/>
        <v>12L</v>
      </c>
      <c r="E35" s="73" t="str">
        <f t="shared" si="0"/>
        <v>GBP6L12L27Y_Quote</v>
      </c>
      <c r="F35" s="73" t="str">
        <f>_xll.qlSimpleQuote(E35,,RateTickValue,Permanent,Trigger,ObjectOverwrite)</f>
        <v>GBP6L12L27Y_Quote#0000</v>
      </c>
      <c r="G35" s="72" t="str">
        <f>_xll.ohRangeRetrieveError(F35)</f>
        <v/>
      </c>
      <c r="H35" s="71"/>
      <c r="N35" s="118">
        <v>27</v>
      </c>
      <c r="O35" s="393" t="s">
        <v>60</v>
      </c>
      <c r="P35" s="396" t="str">
        <v>6L</v>
      </c>
      <c r="Q35" s="396" t="str">
        <v>12L</v>
      </c>
      <c r="R35" s="394" t="str">
        <f t="shared" si="1"/>
        <v>GBP6L12L27Y</v>
      </c>
      <c r="S35" s="351" t="str">
        <v>GBP6L12L27Y=ICAP</v>
      </c>
      <c r="T35" s="513" t="s">
        <v>233</v>
      </c>
      <c r="U35" s="513" t="s">
        <v>233</v>
      </c>
      <c r="V35" s="513" t="e">
        <f>_xll.qlMidEquivalent(T35,U35)</f>
        <v>#NUM!</v>
      </c>
      <c r="W35" s="348" t="b">
        <f t="shared" si="2"/>
        <v>0</v>
      </c>
      <c r="X35" s="514">
        <v>15.232367680658612</v>
      </c>
      <c r="Y35" s="342"/>
      <c r="Z35" s="511">
        <v>15.426535536939982</v>
      </c>
      <c r="AA35" s="342"/>
      <c r="AB35" s="388" t="str">
        <f t="shared" si="3"/>
        <v>GBP6L12L27Y_Quote</v>
      </c>
      <c r="AC35" s="510">
        <v>15.232367680658612</v>
      </c>
      <c r="AD35" s="347" t="e">
        <f>_xll.qlSimpleQuoteSetValue($AB35,$AC35/10000,Trigger)</f>
        <v>#N/A</v>
      </c>
      <c r="AE35" s="218"/>
      <c r="AF35" s="64"/>
      <c r="AG35" s="64"/>
      <c r="AH35" s="64"/>
      <c r="AI35" s="64"/>
    </row>
    <row r="36" spans="1:35" x14ac:dyDescent="0.2">
      <c r="A36" s="77"/>
      <c r="B36" s="76" t="s">
        <v>59</v>
      </c>
      <c r="C36" s="75" t="str">
        <f t="shared" si="4"/>
        <v>6L</v>
      </c>
      <c r="D36" s="74" t="str">
        <f t="shared" si="5"/>
        <v>12L</v>
      </c>
      <c r="E36" s="73" t="str">
        <f t="shared" si="0"/>
        <v>GBP6L12L28Y_Quote</v>
      </c>
      <c r="F36" s="73" t="str">
        <f>_xll.qlSimpleQuote(E36,,RateTickValue,Permanent,Trigger,ObjectOverwrite)</f>
        <v>GBP6L12L28Y_Quote#0000</v>
      </c>
      <c r="G36" s="72" t="str">
        <f>_xll.ohRangeRetrieveError(F36)</f>
        <v/>
      </c>
      <c r="H36" s="71"/>
      <c r="N36" s="118">
        <v>28</v>
      </c>
      <c r="O36" s="393" t="s">
        <v>59</v>
      </c>
      <c r="P36" s="396" t="str">
        <v>6L</v>
      </c>
      <c r="Q36" s="396" t="str">
        <v>12L</v>
      </c>
      <c r="R36" s="394" t="str">
        <f t="shared" si="1"/>
        <v>GBP6L12L28Y</v>
      </c>
      <c r="S36" s="351" t="str">
        <v>GBP6L12L28Y=ICAP</v>
      </c>
      <c r="T36" s="513" t="s">
        <v>233</v>
      </c>
      <c r="U36" s="513" t="s">
        <v>233</v>
      </c>
      <c r="V36" s="513" t="e">
        <f>_xll.qlMidEquivalent(T36,U36)</f>
        <v>#NUM!</v>
      </c>
      <c r="W36" s="348" t="b">
        <f t="shared" si="2"/>
        <v>0</v>
      </c>
      <c r="X36" s="514">
        <v>15.015925457384773</v>
      </c>
      <c r="Y36" s="342"/>
      <c r="Z36" s="511">
        <v>15.183751603939658</v>
      </c>
      <c r="AA36" s="342"/>
      <c r="AB36" s="388" t="str">
        <f t="shared" si="3"/>
        <v>GBP6L12L28Y_Quote</v>
      </c>
      <c r="AC36" s="510">
        <v>15.015925457384773</v>
      </c>
      <c r="AD36" s="347" t="e">
        <f>_xll.qlSimpleQuoteSetValue($AB36,$AC36/10000,Trigger)</f>
        <v>#N/A</v>
      </c>
      <c r="AE36" s="218"/>
      <c r="AF36" s="64"/>
      <c r="AG36" s="64"/>
      <c r="AH36" s="64"/>
      <c r="AI36" s="64"/>
    </row>
    <row r="37" spans="1:35" x14ac:dyDescent="0.2">
      <c r="A37" s="77"/>
      <c r="B37" s="76" t="s">
        <v>58</v>
      </c>
      <c r="C37" s="75" t="str">
        <f t="shared" si="4"/>
        <v>6L</v>
      </c>
      <c r="D37" s="74" t="str">
        <f t="shared" si="5"/>
        <v>12L</v>
      </c>
      <c r="E37" s="73" t="str">
        <f t="shared" si="0"/>
        <v>GBP6L12L29Y_Quote</v>
      </c>
      <c r="F37" s="73" t="str">
        <f>_xll.qlSimpleQuote(E37,,RateTickValue,Permanent,Trigger,ObjectOverwrite)</f>
        <v>GBP6L12L29Y_Quote#0000</v>
      </c>
      <c r="G37" s="72" t="str">
        <f>_xll.ohRangeRetrieveError(F37)</f>
        <v/>
      </c>
      <c r="H37" s="71"/>
      <c r="N37" s="118">
        <v>29</v>
      </c>
      <c r="O37" s="393" t="s">
        <v>58</v>
      </c>
      <c r="P37" s="396" t="str">
        <v>6L</v>
      </c>
      <c r="Q37" s="396" t="str">
        <v>12L</v>
      </c>
      <c r="R37" s="394" t="str">
        <f t="shared" si="1"/>
        <v>GBP6L12L29Y</v>
      </c>
      <c r="S37" s="351" t="str">
        <v>GBP6L12L29Y=ICAP</v>
      </c>
      <c r="T37" s="513" t="s">
        <v>233</v>
      </c>
      <c r="U37" s="513" t="s">
        <v>233</v>
      </c>
      <c r="V37" s="513" t="e">
        <f>_xll.qlMidEquivalent(T37,U37)</f>
        <v>#NUM!</v>
      </c>
      <c r="W37" s="348" t="b">
        <f t="shared" si="2"/>
        <v>0</v>
      </c>
      <c r="X37" s="514">
        <v>14.816322156073955</v>
      </c>
      <c r="Y37" s="342"/>
      <c r="Z37" s="511">
        <v>14.960645113959556</v>
      </c>
      <c r="AA37" s="342"/>
      <c r="AB37" s="388" t="str">
        <f t="shared" si="3"/>
        <v>GBP6L12L29Y_Quote</v>
      </c>
      <c r="AC37" s="510">
        <v>14.816322156073955</v>
      </c>
      <c r="AD37" s="347" t="e">
        <f>_xll.qlSimpleQuoteSetValue($AB37,$AC37/10000,Trigger)</f>
        <v>#N/A</v>
      </c>
      <c r="AE37" s="218"/>
      <c r="AF37" s="64"/>
      <c r="AG37" s="64"/>
      <c r="AH37" s="64"/>
      <c r="AI37" s="64"/>
    </row>
    <row r="38" spans="1:35" x14ac:dyDescent="0.2">
      <c r="A38" s="77"/>
      <c r="B38" s="76" t="s">
        <v>57</v>
      </c>
      <c r="C38" s="75" t="str">
        <f t="shared" si="4"/>
        <v>6L</v>
      </c>
      <c r="D38" s="74" t="str">
        <f t="shared" si="5"/>
        <v>12L</v>
      </c>
      <c r="E38" s="73" t="str">
        <f t="shared" si="0"/>
        <v>GBP6L12L30Y_Quote</v>
      </c>
      <c r="F38" s="73" t="str">
        <f>_xll.qlSimpleQuote(E38,,RateTickValue,Permanent,Trigger,ObjectOverwrite)</f>
        <v>GBP6L12L30Y_Quote#0000</v>
      </c>
      <c r="G38" s="72" t="str">
        <f>_xll.ohRangeRetrieveError(F38)</f>
        <v/>
      </c>
      <c r="H38" s="71"/>
      <c r="N38" s="118">
        <v>30</v>
      </c>
      <c r="O38" s="393" t="s">
        <v>57</v>
      </c>
      <c r="P38" s="396" t="str">
        <v>6L</v>
      </c>
      <c r="Q38" s="396" t="str">
        <v>12L</v>
      </c>
      <c r="R38" s="394" t="str">
        <f t="shared" si="1"/>
        <v>GBP6L12L30Y</v>
      </c>
      <c r="S38" s="351" t="str">
        <v>GBP6L12L30Y=ICAP</v>
      </c>
      <c r="T38" s="513">
        <v>6.625</v>
      </c>
      <c r="U38" s="513">
        <v>22.625</v>
      </c>
      <c r="V38" s="513">
        <f>_xll.qlMidEquivalent(T38,U38)</f>
        <v>14.625</v>
      </c>
      <c r="W38" s="348" t="b">
        <f t="shared" si="2"/>
        <v>1</v>
      </c>
      <c r="X38" s="514">
        <v>14.625</v>
      </c>
      <c r="Y38" s="342"/>
      <c r="Z38" s="511">
        <v>14.75</v>
      </c>
      <c r="AA38" s="342"/>
      <c r="AB38" s="388" t="str">
        <f t="shared" si="3"/>
        <v>GBP6L12L30Y_Quote</v>
      </c>
      <c r="AC38" s="510">
        <v>14.625</v>
      </c>
      <c r="AD38" s="347" t="e">
        <f>_xll.qlSimpleQuoteSetValue($AB38,$AC38/10000,Trigger)</f>
        <v>#N/A</v>
      </c>
      <c r="AE38" s="218"/>
      <c r="AF38" s="64"/>
      <c r="AG38" s="64"/>
      <c r="AH38" s="64"/>
      <c r="AI38" s="64"/>
    </row>
    <row r="39" spans="1:35" x14ac:dyDescent="0.2">
      <c r="A39" s="77"/>
      <c r="B39" s="76" t="s">
        <v>52</v>
      </c>
      <c r="C39" s="75" t="str">
        <f t="shared" si="4"/>
        <v>6L</v>
      </c>
      <c r="D39" s="74" t="str">
        <f t="shared" si="5"/>
        <v>12L</v>
      </c>
      <c r="E39" s="73" t="str">
        <f t="shared" si="0"/>
        <v>GBP6L12L35Y_Quote</v>
      </c>
      <c r="F39" s="73" t="str">
        <f>_xll.qlSimpleQuote(E39,,RateTickValue,Permanent,Trigger,ObjectOverwrite)</f>
        <v>GBP6L12L35Y_Quote#0000</v>
      </c>
      <c r="G39" s="72" t="str">
        <f>_xll.ohRangeRetrieveError(F39)</f>
        <v/>
      </c>
      <c r="H39" s="71"/>
      <c r="N39" s="118">
        <v>35</v>
      </c>
      <c r="O39" s="393" t="s">
        <v>52</v>
      </c>
      <c r="P39" s="396" t="str">
        <v>6L</v>
      </c>
      <c r="Q39" s="396" t="str">
        <v>12L</v>
      </c>
      <c r="R39" s="394" t="str">
        <f t="shared" si="1"/>
        <v>GBP6L12L35Y</v>
      </c>
      <c r="S39" s="351" t="str">
        <v>GBP6L12L35Y=ICAP</v>
      </c>
      <c r="T39" s="513" t="s">
        <v>233</v>
      </c>
      <c r="U39" s="513" t="s">
        <v>233</v>
      </c>
      <c r="V39" s="513" t="e">
        <f>_xll.qlMidEquivalent(T39,U39)</f>
        <v>#NUM!</v>
      </c>
      <c r="W39" s="348" t="b">
        <f t="shared" si="2"/>
        <v>0</v>
      </c>
      <c r="X39" s="512">
        <f>X38</f>
        <v>14.625</v>
      </c>
      <c r="Y39" s="342"/>
      <c r="Z39" s="511">
        <v>14.75</v>
      </c>
      <c r="AA39" s="342"/>
      <c r="AB39" s="388" t="str">
        <f t="shared" si="3"/>
        <v>GBP6L12L35Y_Quote</v>
      </c>
      <c r="AC39" s="510">
        <v>14.625</v>
      </c>
      <c r="AD39" s="347" t="e">
        <f>_xll.qlSimpleQuoteSetValue($AB39,$AC39/10000,Trigger)</f>
        <v>#N/A</v>
      </c>
      <c r="AE39" s="218"/>
      <c r="AF39" s="64"/>
      <c r="AG39" s="64"/>
      <c r="AH39" s="64"/>
      <c r="AI39" s="64"/>
    </row>
    <row r="40" spans="1:35" x14ac:dyDescent="0.2">
      <c r="A40" s="77"/>
      <c r="B40" s="76" t="s">
        <v>47</v>
      </c>
      <c r="C40" s="75" t="str">
        <f t="shared" si="4"/>
        <v>6L</v>
      </c>
      <c r="D40" s="74" t="str">
        <f t="shared" si="5"/>
        <v>12L</v>
      </c>
      <c r="E40" s="73" t="str">
        <f t="shared" si="0"/>
        <v>GBP6L12L40Y_Quote</v>
      </c>
      <c r="F40" s="73" t="str">
        <f>_xll.qlSimpleQuote(E40,,RateTickValue,Permanent,Trigger,ObjectOverwrite)</f>
        <v>GBP6L12L40Y_Quote#0000</v>
      </c>
      <c r="G40" s="72" t="str">
        <f>_xll.ohRangeRetrieveError(F40)</f>
        <v/>
      </c>
      <c r="H40" s="71"/>
      <c r="N40" s="118">
        <v>40</v>
      </c>
      <c r="O40" s="393" t="s">
        <v>47</v>
      </c>
      <c r="P40" s="396" t="str">
        <v>6L</v>
      </c>
      <c r="Q40" s="396" t="str">
        <v>12L</v>
      </c>
      <c r="R40" s="394" t="str">
        <f t="shared" si="1"/>
        <v>GBP6L12L40Y</v>
      </c>
      <c r="S40" s="351" t="str">
        <v>GBP6L12L40Y=ICAP</v>
      </c>
      <c r="T40" s="513">
        <v>2.875</v>
      </c>
      <c r="U40" s="513">
        <v>22.875</v>
      </c>
      <c r="V40" s="513">
        <f>_xll.qlMidEquivalent(T40,U40)</f>
        <v>12.875</v>
      </c>
      <c r="W40" s="348" t="b">
        <f t="shared" si="2"/>
        <v>1</v>
      </c>
      <c r="X40" s="512">
        <f>X39</f>
        <v>14.625</v>
      </c>
      <c r="Y40" s="342"/>
      <c r="Z40" s="511">
        <v>14.75</v>
      </c>
      <c r="AA40" s="342"/>
      <c r="AB40" s="388" t="str">
        <f t="shared" si="3"/>
        <v>GBP6L12L40Y_Quote</v>
      </c>
      <c r="AC40" s="510">
        <v>14.625</v>
      </c>
      <c r="AD40" s="347" t="e">
        <f>_xll.qlSimpleQuoteSetValue($AB40,$AC40/10000,Trigger)</f>
        <v>#N/A</v>
      </c>
      <c r="AE40" s="218"/>
      <c r="AF40" s="64"/>
      <c r="AG40" s="64"/>
      <c r="AH40" s="64"/>
      <c r="AI40" s="64"/>
    </row>
    <row r="41" spans="1:35" x14ac:dyDescent="0.2">
      <c r="A41" s="77"/>
      <c r="B41" s="76" t="s">
        <v>37</v>
      </c>
      <c r="C41" s="75" t="str">
        <f t="shared" si="4"/>
        <v>6L</v>
      </c>
      <c r="D41" s="74" t="str">
        <f t="shared" si="5"/>
        <v>12L</v>
      </c>
      <c r="E41" s="73" t="str">
        <f t="shared" si="0"/>
        <v>GBP6L12L50Y_Quote</v>
      </c>
      <c r="F41" s="73" t="str">
        <f>_xll.qlSimpleQuote(E41,,RateTickValue,Permanent,Trigger,ObjectOverwrite)</f>
        <v>GBP6L12L50Y_Quote#0000</v>
      </c>
      <c r="G41" s="72" t="str">
        <f>_xll.ohRangeRetrieveError(F41)</f>
        <v/>
      </c>
      <c r="H41" s="71"/>
      <c r="N41" s="118">
        <v>50</v>
      </c>
      <c r="O41" s="393" t="s">
        <v>37</v>
      </c>
      <c r="P41" s="396" t="str">
        <v>6L</v>
      </c>
      <c r="Q41" s="396" t="str">
        <v>12L</v>
      </c>
      <c r="R41" s="394" t="str">
        <f t="shared" si="1"/>
        <v>GBP6L12L50Y</v>
      </c>
      <c r="S41" s="351" t="str">
        <v>GBP6L12L50Y=ICAP</v>
      </c>
      <c r="T41" s="513">
        <v>1.875</v>
      </c>
      <c r="U41" s="513">
        <v>21.875</v>
      </c>
      <c r="V41" s="513">
        <f>_xll.qlMidEquivalent(T41,U41)</f>
        <v>11.875</v>
      </c>
      <c r="W41" s="348" t="b">
        <f t="shared" si="2"/>
        <v>1</v>
      </c>
      <c r="X41" s="512">
        <f>X40</f>
        <v>14.625</v>
      </c>
      <c r="Y41" s="342"/>
      <c r="Z41" s="511">
        <v>14.75</v>
      </c>
      <c r="AA41" s="342"/>
      <c r="AB41" s="388" t="str">
        <f t="shared" si="3"/>
        <v>GBP6L12L50Y_Quote</v>
      </c>
      <c r="AC41" s="510">
        <v>14.625</v>
      </c>
      <c r="AD41" s="347" t="e">
        <f>_xll.qlSimpleQuoteSetValue($AB41,$AC41/10000,Trigger)</f>
        <v>#N/A</v>
      </c>
      <c r="AE41" s="218"/>
      <c r="AF41" s="64"/>
      <c r="AG41" s="64"/>
      <c r="AH41" s="64"/>
      <c r="AI41" s="64"/>
    </row>
    <row r="42" spans="1:35" x14ac:dyDescent="0.2">
      <c r="A42" s="77"/>
      <c r="B42" s="76" t="s">
        <v>27</v>
      </c>
      <c r="C42" s="75" t="str">
        <f t="shared" si="4"/>
        <v>6L</v>
      </c>
      <c r="D42" s="74" t="str">
        <f t="shared" si="5"/>
        <v>12L</v>
      </c>
      <c r="E42" s="73" t="str">
        <f t="shared" si="0"/>
        <v>GBP6L12L60Y_Quote</v>
      </c>
      <c r="F42" s="73" t="str">
        <f>_xll.qlSimpleQuote(E42,,RateTickValue,Permanent,Trigger,ObjectOverwrite)</f>
        <v>GBP6L12L60Y_Quote#0000</v>
      </c>
      <c r="G42" s="72" t="str">
        <f>_xll.ohRangeRetrieveError(F42)</f>
        <v/>
      </c>
      <c r="H42" s="71"/>
      <c r="N42" s="118">
        <v>60</v>
      </c>
      <c r="O42" s="403" t="s">
        <v>27</v>
      </c>
      <c r="P42" s="392" t="str">
        <v>6L</v>
      </c>
      <c r="Q42" s="392" t="str">
        <v>12L</v>
      </c>
      <c r="R42" s="390" t="str">
        <f t="shared" si="1"/>
        <v>GBP6L12L60Y</v>
      </c>
      <c r="S42" s="345" t="str">
        <v>GBP6L12L60Y=ICAP</v>
      </c>
      <c r="T42" s="509">
        <v>1.5</v>
      </c>
      <c r="U42" s="509">
        <v>21.5</v>
      </c>
      <c r="V42" s="509">
        <f>_xll.qlMidEquivalent(T42,U42)</f>
        <v>11.5</v>
      </c>
      <c r="W42" s="341" t="b">
        <f t="shared" si="2"/>
        <v>1</v>
      </c>
      <c r="X42" s="508">
        <f>X41</f>
        <v>14.625</v>
      </c>
      <c r="Y42" s="342"/>
      <c r="Z42" s="507">
        <v>14.75</v>
      </c>
      <c r="AA42" s="342"/>
      <c r="AB42" s="401" t="str">
        <f t="shared" si="3"/>
        <v>GBP6L12L60Y_Quote</v>
      </c>
      <c r="AC42" s="506">
        <v>14.625</v>
      </c>
      <c r="AD42" s="340" t="e">
        <f>_xll.qlSimpleQuoteSetValue($AB42,$AC42/10000,Trigger)</f>
        <v>#N/A</v>
      </c>
      <c r="AE42" s="218"/>
      <c r="AF42" s="64"/>
      <c r="AG42" s="64"/>
      <c r="AH42" s="64"/>
      <c r="AI42" s="64"/>
    </row>
    <row r="43" spans="1:35" ht="13.5"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1"/>
      <c r="AE43" s="378"/>
      <c r="AF43" s="64"/>
      <c r="AG43" s="64"/>
      <c r="AH43" s="64"/>
      <c r="AI43" s="64"/>
    </row>
  </sheetData>
  <conditionalFormatting sqref="AD5:AD42">
    <cfRule type="cellIs" dxfId="35" priority="1" stopIfTrue="1" operator="greaterThan">
      <formula>0</formula>
    </cfRule>
    <cfRule type="cellIs" dxfId="34" priority="2" stopIfTrue="1" operator="lessThan">
      <formula>0</formula>
    </cfRule>
  </conditionalFormatting>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W23"/>
  <sheetViews>
    <sheetView workbookViewId="0"/>
  </sheetViews>
  <sheetFormatPr defaultRowHeight="11.25" x14ac:dyDescent="0.2"/>
  <cols>
    <col min="1" max="1" width="2.7109375" style="65" customWidth="1"/>
    <col min="2" max="2" width="5.140625" style="65" bestFit="1" customWidth="1"/>
    <col min="3" max="3" width="17.85546875" style="65" bestFit="1" customWidth="1"/>
    <col min="4" max="4" width="16.7109375" style="65" bestFit="1" customWidth="1"/>
    <col min="5" max="5" width="36.85546875" style="65" bestFit="1" customWidth="1"/>
    <col min="6" max="8" width="2.7109375" style="65" customWidth="1"/>
    <col min="9" max="11" width="9.140625" style="65"/>
    <col min="12" max="12" width="2.7109375" style="65" customWidth="1"/>
    <col min="13" max="13" width="9.140625" style="65"/>
    <col min="14" max="14" width="2.7109375" style="65" customWidth="1"/>
    <col min="15" max="16" width="9.140625" style="65"/>
    <col min="17" max="18" width="2.7109375" style="65" customWidth="1"/>
    <col min="19" max="16384" width="9.140625" style="65"/>
  </cols>
  <sheetData>
    <row r="1" spans="1:23" x14ac:dyDescent="0.2">
      <c r="H1" s="375" t="s">
        <v>353</v>
      </c>
      <c r="I1" s="201"/>
      <c r="J1" s="201"/>
      <c r="K1" s="201"/>
      <c r="L1" s="201"/>
      <c r="M1" s="201"/>
      <c r="N1" s="201"/>
      <c r="O1" s="201"/>
      <c r="P1" s="201"/>
      <c r="Q1" s="198"/>
      <c r="R1" s="64"/>
      <c r="S1" s="64"/>
      <c r="T1" s="64"/>
      <c r="U1" s="64"/>
      <c r="V1" s="64"/>
      <c r="W1" s="64"/>
    </row>
    <row r="2" spans="1:23" ht="21" customHeight="1" x14ac:dyDescent="0.2">
      <c r="H2" s="374"/>
      <c r="I2" s="373"/>
      <c r="J2" s="140" t="s">
        <v>25</v>
      </c>
      <c r="K2" s="342"/>
      <c r="L2" s="342"/>
      <c r="M2" s="342"/>
      <c r="N2" s="342"/>
      <c r="O2" s="342"/>
      <c r="P2" s="372"/>
      <c r="Q2" s="33"/>
      <c r="R2" s="64"/>
      <c r="S2" s="64"/>
      <c r="T2" s="64"/>
      <c r="U2" s="64"/>
      <c r="V2" s="64"/>
      <c r="W2" s="64"/>
    </row>
    <row r="3" spans="1:23" x14ac:dyDescent="0.2">
      <c r="A3" s="109" t="s">
        <v>346</v>
      </c>
      <c r="B3" s="108"/>
      <c r="C3" s="108"/>
      <c r="D3" s="108"/>
      <c r="E3" s="108"/>
      <c r="F3" s="107"/>
      <c r="H3" s="118"/>
      <c r="I3" s="372"/>
      <c r="J3" s="372"/>
      <c r="K3" s="372"/>
      <c r="L3" s="342"/>
      <c r="M3" s="342"/>
      <c r="N3" s="342"/>
      <c r="O3" s="372"/>
      <c r="P3" s="371">
        <f>_xll.ohTrigger(P5:P22)</f>
        <v>0</v>
      </c>
      <c r="Q3" s="218"/>
      <c r="R3" s="64"/>
      <c r="S3" s="64"/>
      <c r="T3" s="64"/>
      <c r="U3" s="64"/>
      <c r="V3" s="64"/>
      <c r="W3" s="64"/>
    </row>
    <row r="4" spans="1:23" ht="22.5" x14ac:dyDescent="0.2">
      <c r="A4" s="77"/>
      <c r="B4" s="106"/>
      <c r="C4" s="89" t="str">
        <f>Currency&amp;"_010_"&amp;"Deposits.xml"</f>
        <v>GBP_010_Deposits.xml</v>
      </c>
      <c r="D4" s="105">
        <f ca="1">IF(Serialize,_xll.ohObjectSave(D5:D22,SerializationPath&amp;C4,FileOverwrite,Serialize),"---")</f>
        <v>18</v>
      </c>
      <c r="E4" s="104" t="str">
        <f ca="1">_xll.ohRangeRetrieveError(D4)</f>
        <v/>
      </c>
      <c r="F4" s="100"/>
      <c r="H4" s="118"/>
      <c r="I4" s="367"/>
      <c r="J4" s="370" t="e">
        <f ca="1">_xll.RData(J5:J22,K4:K4,"RTFEED:IDN",ReutersRtMode,,K5)</f>
        <v>#NAME?</v>
      </c>
      <c r="K4" s="369" t="e">
        <f>VLOOKUP(Contributor,ContributorTable,5,FALSE)</f>
        <v>#N/A</v>
      </c>
      <c r="L4" s="342"/>
      <c r="M4" s="368" t="s">
        <v>286</v>
      </c>
      <c r="N4" s="342"/>
      <c r="O4" s="367" t="s">
        <v>285</v>
      </c>
      <c r="P4" s="366" t="s">
        <v>284</v>
      </c>
      <c r="Q4" s="218"/>
      <c r="R4" s="64"/>
      <c r="S4" s="365" t="s">
        <v>283</v>
      </c>
      <c r="T4" s="364" t="s">
        <v>282</v>
      </c>
      <c r="U4" s="364" t="s">
        <v>281</v>
      </c>
      <c r="V4" s="364" t="s">
        <v>280</v>
      </c>
      <c r="W4" s="363" t="s">
        <v>279</v>
      </c>
    </row>
    <row r="5" spans="1:23" x14ac:dyDescent="0.2">
      <c r="A5" s="77"/>
      <c r="B5" s="103" t="s">
        <v>151</v>
      </c>
      <c r="C5" s="102" t="str">
        <f t="shared" ref="C5:C22" si="0">Currency&amp;$B5&amp;QuoteSuffix</f>
        <v>GBPOND_Quote</v>
      </c>
      <c r="D5" s="102" t="str">
        <f>_xll.qlSimpleQuote(C5,,RateTickValue,Permanent,Trigger,ObjectOverwrite)</f>
        <v>GBPOND_Quote#0000</v>
      </c>
      <c r="E5" s="101" t="str">
        <f>_xll.ohRangeRetrieveError(D5)</f>
        <v/>
      </c>
      <c r="F5" s="100"/>
      <c r="H5" s="118"/>
      <c r="I5" s="362" t="s">
        <v>236</v>
      </c>
      <c r="J5" s="351" t="e">
        <f t="shared" ref="J5:J22" si="1">Currency&amp;VLOOKUP(Contributor,ContributorTable,2,FALSE)&amp;I5&amp;VLOOKUP(Contributor,ContributorTable,3,FALSE)&amp;"="&amp;VLOOKUP(Contributor,ContributorTable,4,FALSE)</f>
        <v>#N/A</v>
      </c>
      <c r="K5" s="361">
        <v>0.47625000000000001</v>
      </c>
      <c r="L5" s="342"/>
      <c r="M5" s="360">
        <v>0.48</v>
      </c>
      <c r="N5" s="342"/>
      <c r="O5" s="588">
        <f t="array" ref="O5:O22">QuoteStatic</f>
        <v>0.48</v>
      </c>
      <c r="P5" s="358" t="e">
        <f>_xll.qlSimpleQuoteSetValue(D5,O5/100,Trigger)</f>
        <v>#N/A</v>
      </c>
      <c r="Q5" s="218"/>
      <c r="R5" s="64"/>
      <c r="S5" s="357" t="s">
        <v>231</v>
      </c>
      <c r="T5" s="82" t="s">
        <v>232</v>
      </c>
      <c r="U5" s="82" t="s">
        <v>266</v>
      </c>
      <c r="V5" s="82" t="str">
        <f>""</f>
        <v/>
      </c>
      <c r="W5" s="356" t="s">
        <v>244</v>
      </c>
    </row>
    <row r="6" spans="1:23" x14ac:dyDescent="0.2">
      <c r="A6" s="77"/>
      <c r="B6" s="103" t="s">
        <v>150</v>
      </c>
      <c r="C6" s="102" t="str">
        <f t="shared" si="0"/>
        <v>GBPTND_Quote</v>
      </c>
      <c r="D6" s="102" t="str">
        <f>_xll.qlSimpleQuote(C6,,RateTickValue,Permanent,Trigger,ObjectOverwrite)</f>
        <v>GBPTND_Quote#0000</v>
      </c>
      <c r="E6" s="101" t="str">
        <f>_xll.ohRangeRetrieveError(D6)</f>
        <v/>
      </c>
      <c r="F6" s="100"/>
      <c r="H6" s="118"/>
      <c r="I6" s="352" t="s">
        <v>235</v>
      </c>
      <c r="J6" s="351" t="e">
        <f t="shared" si="1"/>
        <v>#N/A</v>
      </c>
      <c r="K6" s="350" t="s">
        <v>233</v>
      </c>
      <c r="L6" s="342"/>
      <c r="M6" s="349" t="s">
        <v>274</v>
      </c>
      <c r="N6" s="342"/>
      <c r="O6" s="589" t="str">
        <v>#N/A The record could not be found</v>
      </c>
      <c r="P6" s="347" t="e">
        <f>_xll.qlSimpleQuoteSetValue(D6,O6/100,Trigger)</f>
        <v>#NUM!</v>
      </c>
      <c r="Q6" s="218"/>
      <c r="R6" s="64"/>
      <c r="S6" s="357" t="s">
        <v>25</v>
      </c>
      <c r="T6" s="82"/>
      <c r="U6" s="82" t="s">
        <v>248</v>
      </c>
      <c r="V6" s="82"/>
      <c r="W6" s="356" t="s">
        <v>244</v>
      </c>
    </row>
    <row r="7" spans="1:23" x14ac:dyDescent="0.2">
      <c r="A7" s="77"/>
      <c r="B7" s="103" t="s">
        <v>149</v>
      </c>
      <c r="C7" s="102" t="str">
        <f t="shared" si="0"/>
        <v>GBPSND_Quote</v>
      </c>
      <c r="D7" s="102" t="str">
        <f>_xll.qlSimpleQuote(C7,,RateTickValue,Permanent,Trigger,ObjectOverwrite)</f>
        <v>GBPSND_Quote#0000</v>
      </c>
      <c r="E7" s="101" t="str">
        <f>_xll.ohRangeRetrieveError(D7)</f>
        <v/>
      </c>
      <c r="F7" s="100"/>
      <c r="H7" s="118"/>
      <c r="I7" s="352" t="s">
        <v>234</v>
      </c>
      <c r="J7" s="351" t="e">
        <f t="shared" si="1"/>
        <v>#N/A</v>
      </c>
      <c r="K7" s="350" t="s">
        <v>233</v>
      </c>
      <c r="L7" s="342"/>
      <c r="M7" s="349" t="s">
        <v>274</v>
      </c>
      <c r="N7" s="342"/>
      <c r="O7" s="589" t="str">
        <v>#N/A The record could not be found</v>
      </c>
      <c r="P7" s="347" t="e">
        <f>_xll.qlSimpleQuoteSetValue(D7,O7/100,Trigger)</f>
        <v>#NUM!</v>
      </c>
      <c r="Q7" s="218"/>
      <c r="R7" s="64"/>
      <c r="S7" s="357" t="s">
        <v>278</v>
      </c>
      <c r="T7" s="82"/>
      <c r="U7" s="82" t="s">
        <v>266</v>
      </c>
      <c r="V7" s="82"/>
      <c r="W7" s="356" t="s">
        <v>264</v>
      </c>
    </row>
    <row r="8" spans="1:23" x14ac:dyDescent="0.2">
      <c r="A8" s="77"/>
      <c r="B8" s="103" t="s">
        <v>148</v>
      </c>
      <c r="C8" s="102" t="str">
        <f t="shared" si="0"/>
        <v>GBPSWD_Quote</v>
      </c>
      <c r="D8" s="102" t="str">
        <f>_xll.qlSimpleQuote(C8,,RateTickValue,Permanent,Trigger,ObjectOverwrite)</f>
        <v>GBPSWD_Quote#0000</v>
      </c>
      <c r="E8" s="101" t="str">
        <f>_xll.ohRangeRetrieveError(D8)</f>
        <v/>
      </c>
      <c r="F8" s="100"/>
      <c r="H8" s="118"/>
      <c r="I8" s="352" t="s">
        <v>19</v>
      </c>
      <c r="J8" s="351" t="e">
        <f t="shared" si="1"/>
        <v>#N/A</v>
      </c>
      <c r="K8" s="350">
        <v>0.48125000000000001</v>
      </c>
      <c r="L8" s="342"/>
      <c r="M8" s="349">
        <v>0.48438000000000009</v>
      </c>
      <c r="N8" s="342"/>
      <c r="O8" s="589">
        <v>0.48438000000000009</v>
      </c>
      <c r="P8" s="347" t="e">
        <f>_xll.qlSimpleQuoteSetValue(D8,O8/100,Trigger)</f>
        <v>#N/A</v>
      </c>
      <c r="Q8" s="218"/>
      <c r="R8" s="64"/>
      <c r="S8" s="357" t="s">
        <v>277</v>
      </c>
      <c r="T8" s="82"/>
      <c r="U8" s="82" t="s">
        <v>266</v>
      </c>
      <c r="V8" s="82" t="s">
        <v>276</v>
      </c>
      <c r="W8" s="356" t="s">
        <v>264</v>
      </c>
    </row>
    <row r="9" spans="1:23" x14ac:dyDescent="0.2">
      <c r="A9" s="77"/>
      <c r="B9" s="103" t="s">
        <v>147</v>
      </c>
      <c r="C9" s="102" t="str">
        <f t="shared" si="0"/>
        <v>GBP2WD_Quote</v>
      </c>
      <c r="D9" s="102" t="str">
        <f>_xll.qlSimpleQuote(C9,,RateTickValue,Permanent,Trigger,ObjectOverwrite)</f>
        <v>GBP2WD_Quote#0000</v>
      </c>
      <c r="E9" s="101" t="str">
        <f>_xll.ohRangeRetrieveError(D9)</f>
        <v/>
      </c>
      <c r="F9" s="100"/>
      <c r="H9" s="118"/>
      <c r="I9" s="352" t="s">
        <v>18</v>
      </c>
      <c r="J9" s="351" t="e">
        <f t="shared" si="1"/>
        <v>#N/A</v>
      </c>
      <c r="K9" s="350">
        <v>0.48749999999999999</v>
      </c>
      <c r="L9" s="342"/>
      <c r="M9" s="349">
        <v>0.49249999999999999</v>
      </c>
      <c r="N9" s="342"/>
      <c r="O9" s="589">
        <v>0.49249999999999999</v>
      </c>
      <c r="P9" s="347" t="e">
        <f>_xll.qlSimpleQuoteSetValue(D9,O9/100,Trigger)</f>
        <v>#N/A</v>
      </c>
      <c r="Q9" s="218"/>
      <c r="R9" s="64"/>
      <c r="S9" s="357" t="s">
        <v>275</v>
      </c>
      <c r="T9" s="82"/>
      <c r="U9" s="82" t="s">
        <v>266</v>
      </c>
      <c r="V9" s="82" t="s">
        <v>275</v>
      </c>
      <c r="W9" s="356" t="s">
        <v>264</v>
      </c>
    </row>
    <row r="10" spans="1:23" x14ac:dyDescent="0.2">
      <c r="A10" s="77"/>
      <c r="B10" s="103" t="s">
        <v>146</v>
      </c>
      <c r="C10" s="102" t="str">
        <f t="shared" si="0"/>
        <v>GBP3WD_Quote</v>
      </c>
      <c r="D10" s="102" t="str">
        <f>_xll.qlSimpleQuote(C10,,RateTickValue,Permanent,Trigger,ObjectOverwrite)</f>
        <v>GBP3WD_Quote#0000</v>
      </c>
      <c r="E10" s="101" t="str">
        <f>_xll.ohRangeRetrieveError(D10)</f>
        <v/>
      </c>
      <c r="F10" s="100"/>
      <c r="H10" s="118"/>
      <c r="I10" s="352" t="s">
        <v>16</v>
      </c>
      <c r="J10" s="351" t="e">
        <f t="shared" si="1"/>
        <v>#N/A</v>
      </c>
      <c r="K10" s="350" t="s">
        <v>233</v>
      </c>
      <c r="L10" s="342"/>
      <c r="M10" s="349" t="s">
        <v>274</v>
      </c>
      <c r="N10" s="342"/>
      <c r="O10" s="589" t="str">
        <v>#N/A The record could not be found</v>
      </c>
      <c r="P10" s="347" t="e">
        <f>_xll.qlSimpleQuoteSetValue(D10,O10/100,Trigger)</f>
        <v>#NUM!</v>
      </c>
      <c r="Q10" s="218"/>
      <c r="R10" s="64"/>
      <c r="S10" s="357" t="s">
        <v>273</v>
      </c>
      <c r="T10" s="82"/>
      <c r="U10" s="82" t="s">
        <v>266</v>
      </c>
      <c r="V10" s="82" t="s">
        <v>272</v>
      </c>
      <c r="W10" s="356" t="s">
        <v>264</v>
      </c>
    </row>
    <row r="11" spans="1:23" x14ac:dyDescent="0.2">
      <c r="A11" s="77"/>
      <c r="B11" s="103" t="s">
        <v>145</v>
      </c>
      <c r="C11" s="102" t="str">
        <f t="shared" si="0"/>
        <v>GBP1MD_Quote</v>
      </c>
      <c r="D11" s="102" t="str">
        <f>_xll.qlSimpleQuote(C11,,RateTickValue,Permanent,Trigger,ObjectOverwrite)</f>
        <v>GBP1MD_Quote#0000</v>
      </c>
      <c r="E11" s="101" t="str">
        <f>_xll.ohRangeRetrieveError(D11)</f>
        <v/>
      </c>
      <c r="F11" s="100"/>
      <c r="H11" s="118"/>
      <c r="I11" s="352" t="s">
        <v>15</v>
      </c>
      <c r="J11" s="351" t="e">
        <f t="shared" si="1"/>
        <v>#N/A</v>
      </c>
      <c r="K11" s="350">
        <v>0.49187999999999998</v>
      </c>
      <c r="L11" s="342"/>
      <c r="M11" s="349">
        <v>0.49438000000000004</v>
      </c>
      <c r="N11" s="342"/>
      <c r="O11" s="589">
        <v>0.49438000000000004</v>
      </c>
      <c r="P11" s="347" t="e">
        <f>_xll.qlSimpleQuoteSetValue(D11,O11/100,Trigger)</f>
        <v>#N/A</v>
      </c>
      <c r="Q11" s="218"/>
      <c r="R11" s="64"/>
      <c r="S11" s="357" t="s">
        <v>271</v>
      </c>
      <c r="T11" s="82"/>
      <c r="U11" s="82" t="s">
        <v>266</v>
      </c>
      <c r="V11" s="82" t="s">
        <v>270</v>
      </c>
      <c r="W11" s="356" t="s">
        <v>264</v>
      </c>
    </row>
    <row r="12" spans="1:23" x14ac:dyDescent="0.2">
      <c r="A12" s="77"/>
      <c r="B12" s="103" t="s">
        <v>144</v>
      </c>
      <c r="C12" s="102" t="str">
        <f t="shared" si="0"/>
        <v>GBP2MD_Quote</v>
      </c>
      <c r="D12" s="102" t="str">
        <f>_xll.qlSimpleQuote(C12,,RateTickValue,Permanent,Trigger,ObjectOverwrite)</f>
        <v>GBP2MD_Quote#0000</v>
      </c>
      <c r="E12" s="101" t="str">
        <f>_xll.ohRangeRetrieveError(D12)</f>
        <v/>
      </c>
      <c r="F12" s="100"/>
      <c r="H12" s="118"/>
      <c r="I12" s="352" t="s">
        <v>13</v>
      </c>
      <c r="J12" s="351" t="e">
        <f t="shared" si="1"/>
        <v>#N/A</v>
      </c>
      <c r="K12" s="350">
        <v>0.50063000000000002</v>
      </c>
      <c r="L12" s="342"/>
      <c r="M12" s="349">
        <v>0.51</v>
      </c>
      <c r="N12" s="342"/>
      <c r="O12" s="589">
        <v>0.51</v>
      </c>
      <c r="P12" s="347" t="e">
        <f>_xll.qlSimpleQuoteSetValue(D12,O12/100,Trigger)</f>
        <v>#N/A</v>
      </c>
      <c r="Q12" s="218"/>
      <c r="R12" s="64"/>
      <c r="S12" s="357" t="s">
        <v>269</v>
      </c>
      <c r="T12" s="82"/>
      <c r="U12" s="82" t="s">
        <v>266</v>
      </c>
      <c r="V12" s="82" t="s">
        <v>268</v>
      </c>
      <c r="W12" s="356" t="s">
        <v>264</v>
      </c>
    </row>
    <row r="13" spans="1:23" x14ac:dyDescent="0.2">
      <c r="A13" s="77"/>
      <c r="B13" s="103" t="s">
        <v>143</v>
      </c>
      <c r="C13" s="102" t="str">
        <f t="shared" si="0"/>
        <v>GBP3MD_Quote</v>
      </c>
      <c r="D13" s="102" t="str">
        <f>_xll.qlSimpleQuote(C13,,RateTickValue,Permanent,Trigger,ObjectOverwrite)</f>
        <v>GBP3MD_Quote#0000</v>
      </c>
      <c r="E13" s="101" t="str">
        <f>_xll.ohRangeRetrieveError(D13)</f>
        <v/>
      </c>
      <c r="F13" s="100"/>
      <c r="H13" s="118"/>
      <c r="I13" s="352" t="s">
        <v>12</v>
      </c>
      <c r="J13" s="351" t="e">
        <f t="shared" si="1"/>
        <v>#N/A</v>
      </c>
      <c r="K13" s="350">
        <v>0.51124999999999998</v>
      </c>
      <c r="L13" s="342"/>
      <c r="M13" s="349">
        <v>0.51875000000000004</v>
      </c>
      <c r="N13" s="342"/>
      <c r="O13" s="589">
        <v>0.51875000000000004</v>
      </c>
      <c r="P13" s="347" t="e">
        <f>_xll.qlSimpleQuoteSetValue(D13,O13/100,Trigger)</f>
        <v>#N/A</v>
      </c>
      <c r="Q13" s="218"/>
      <c r="R13" s="64"/>
      <c r="S13" s="355" t="s">
        <v>267</v>
      </c>
      <c r="T13" s="354"/>
      <c r="U13" s="354" t="s">
        <v>266</v>
      </c>
      <c r="V13" s="354" t="s">
        <v>265</v>
      </c>
      <c r="W13" s="353" t="s">
        <v>264</v>
      </c>
    </row>
    <row r="14" spans="1:23" x14ac:dyDescent="0.2">
      <c r="A14" s="77"/>
      <c r="B14" s="103" t="s">
        <v>142</v>
      </c>
      <c r="C14" s="102" t="str">
        <f t="shared" si="0"/>
        <v>GBP4MD_Quote</v>
      </c>
      <c r="D14" s="102" t="str">
        <f>_xll.qlSimpleQuote(C14,,RateTickValue,Permanent,Trigger,ObjectOverwrite)</f>
        <v>GBP4MD_Quote#0000</v>
      </c>
      <c r="E14" s="101" t="str">
        <f>_xll.ohRangeRetrieveError(D14)</f>
        <v/>
      </c>
      <c r="F14" s="100"/>
      <c r="H14" s="118"/>
      <c r="I14" s="352" t="s">
        <v>11</v>
      </c>
      <c r="J14" s="351" t="e">
        <f t="shared" si="1"/>
        <v>#N/A</v>
      </c>
      <c r="K14" s="350">
        <v>0.54500000000000004</v>
      </c>
      <c r="L14" s="342"/>
      <c r="M14" s="349">
        <v>0.56000000000000005</v>
      </c>
      <c r="N14" s="342"/>
      <c r="O14" s="589">
        <v>0.56000000000000005</v>
      </c>
      <c r="P14" s="347" t="e">
        <f>_xll.qlSimpleQuoteSetValue(D14,O14/100,Trigger)</f>
        <v>#N/A</v>
      </c>
      <c r="Q14" s="218"/>
      <c r="R14" s="64"/>
      <c r="S14" s="64"/>
      <c r="T14" s="64"/>
      <c r="U14" s="64"/>
      <c r="V14" s="64"/>
      <c r="W14" s="64"/>
    </row>
    <row r="15" spans="1:23" x14ac:dyDescent="0.2">
      <c r="A15" s="77"/>
      <c r="B15" s="103" t="s">
        <v>141</v>
      </c>
      <c r="C15" s="102" t="str">
        <f t="shared" si="0"/>
        <v>GBP5MD_Quote</v>
      </c>
      <c r="D15" s="102" t="str">
        <f>_xll.qlSimpleQuote(C15,,RateTickValue,Permanent,Trigger,ObjectOverwrite)</f>
        <v>GBP5MD_Quote#0000</v>
      </c>
      <c r="E15" s="101" t="str">
        <f>_xll.ohRangeRetrieveError(D15)</f>
        <v/>
      </c>
      <c r="F15" s="100"/>
      <c r="H15" s="118"/>
      <c r="I15" s="352" t="s">
        <v>9</v>
      </c>
      <c r="J15" s="351" t="e">
        <f t="shared" si="1"/>
        <v>#N/A</v>
      </c>
      <c r="K15" s="350">
        <v>0.60687999999999998</v>
      </c>
      <c r="L15" s="342"/>
      <c r="M15" s="349">
        <v>0.62937999999999994</v>
      </c>
      <c r="N15" s="342"/>
      <c r="O15" s="589">
        <v>0.62937999999999994</v>
      </c>
      <c r="P15" s="347" t="e">
        <f>_xll.qlSimpleQuoteSetValue(D15,O15/100,Trigger)</f>
        <v>#N/A</v>
      </c>
      <c r="Q15" s="218"/>
      <c r="R15" s="64"/>
      <c r="S15" s="64"/>
      <c r="T15" s="64"/>
      <c r="U15" s="64"/>
      <c r="V15" s="64"/>
      <c r="W15" s="64"/>
    </row>
    <row r="16" spans="1:23" x14ac:dyDescent="0.2">
      <c r="A16" s="77"/>
      <c r="B16" s="103" t="s">
        <v>140</v>
      </c>
      <c r="C16" s="102" t="str">
        <f t="shared" si="0"/>
        <v>GBP6MD_Quote</v>
      </c>
      <c r="D16" s="102" t="str">
        <f>_xll.qlSimpleQuote(C16,,RateTickValue,Permanent,Trigger,ObjectOverwrite)</f>
        <v>GBP6MD_Quote#0000</v>
      </c>
      <c r="E16" s="101" t="str">
        <f>_xll.ohRangeRetrieveError(D16)</f>
        <v/>
      </c>
      <c r="F16" s="100"/>
      <c r="H16" s="118"/>
      <c r="I16" s="352" t="s">
        <v>8</v>
      </c>
      <c r="J16" s="351" t="e">
        <f t="shared" si="1"/>
        <v>#N/A</v>
      </c>
      <c r="K16" s="350">
        <v>0.64375000000000004</v>
      </c>
      <c r="L16" s="342"/>
      <c r="M16" s="349">
        <v>0.66874999999999996</v>
      </c>
      <c r="N16" s="342"/>
      <c r="O16" s="589">
        <v>0.66874999999999996</v>
      </c>
      <c r="P16" s="347" t="e">
        <f>_xll.qlSimpleQuoteSetValue(D16,O16/100,Trigger)</f>
        <v>#N/A</v>
      </c>
      <c r="Q16" s="218"/>
      <c r="R16" s="64"/>
      <c r="S16" s="64"/>
      <c r="T16" s="64"/>
      <c r="U16" s="64"/>
      <c r="V16" s="64"/>
      <c r="W16" s="64"/>
    </row>
    <row r="17" spans="1:23" x14ac:dyDescent="0.2">
      <c r="A17" s="77"/>
      <c r="B17" s="103" t="s">
        <v>139</v>
      </c>
      <c r="C17" s="102" t="str">
        <f t="shared" si="0"/>
        <v>GBP7MD_Quote</v>
      </c>
      <c r="D17" s="102" t="str">
        <f>_xll.qlSimpleQuote(C17,,RateTickValue,Permanent,Trigger,ObjectOverwrite)</f>
        <v>GBP7MD_Quote#0000</v>
      </c>
      <c r="E17" s="101" t="str">
        <f>_xll.ohRangeRetrieveError(D17)</f>
        <v/>
      </c>
      <c r="F17" s="100"/>
      <c r="H17" s="118"/>
      <c r="I17" s="352" t="s">
        <v>7</v>
      </c>
      <c r="J17" s="351" t="e">
        <f t="shared" si="1"/>
        <v>#N/A</v>
      </c>
      <c r="K17" s="350">
        <v>0.69374999999999998</v>
      </c>
      <c r="L17" s="342"/>
      <c r="M17" s="349">
        <v>0.71812999999999994</v>
      </c>
      <c r="N17" s="342"/>
      <c r="O17" s="589">
        <v>0.71812999999999994</v>
      </c>
      <c r="P17" s="347" t="e">
        <f>_xll.qlSimpleQuoteSetValue(D17,O17/100,Trigger)</f>
        <v>#N/A</v>
      </c>
      <c r="Q17" s="218"/>
      <c r="R17" s="64"/>
      <c r="S17" s="64"/>
      <c r="T17" s="64"/>
      <c r="U17" s="64"/>
      <c r="V17" s="64"/>
      <c r="W17" s="64"/>
    </row>
    <row r="18" spans="1:23" x14ac:dyDescent="0.2">
      <c r="A18" s="77"/>
      <c r="B18" s="103" t="s">
        <v>138</v>
      </c>
      <c r="C18" s="102" t="str">
        <f t="shared" si="0"/>
        <v>GBP8MD_Quote</v>
      </c>
      <c r="D18" s="102" t="str">
        <f>_xll.qlSimpleQuote(C18,,RateTickValue,Permanent,Trigger,ObjectOverwrite)</f>
        <v>GBP8MD_Quote#0000</v>
      </c>
      <c r="E18" s="101" t="str">
        <f>_xll.ohRangeRetrieveError(D18)</f>
        <v/>
      </c>
      <c r="F18" s="100"/>
      <c r="H18" s="118"/>
      <c r="I18" s="352" t="s">
        <v>6</v>
      </c>
      <c r="J18" s="351" t="e">
        <f t="shared" si="1"/>
        <v>#N/A</v>
      </c>
      <c r="K18" s="350">
        <v>0.76</v>
      </c>
      <c r="L18" s="342"/>
      <c r="M18" s="349">
        <v>0.78874999999999995</v>
      </c>
      <c r="N18" s="342"/>
      <c r="O18" s="589">
        <v>0.78874999999999995</v>
      </c>
      <c r="P18" s="347" t="e">
        <f>_xll.qlSimpleQuoteSetValue(D18,O18/100,Trigger)</f>
        <v>#N/A</v>
      </c>
      <c r="Q18" s="218"/>
      <c r="R18" s="64"/>
      <c r="S18" s="64"/>
      <c r="T18" s="64"/>
      <c r="U18" s="64"/>
      <c r="V18" s="64"/>
      <c r="W18" s="64"/>
    </row>
    <row r="19" spans="1:23" x14ac:dyDescent="0.2">
      <c r="A19" s="77"/>
      <c r="B19" s="103" t="s">
        <v>137</v>
      </c>
      <c r="C19" s="102" t="str">
        <f t="shared" si="0"/>
        <v>GBP9MD_Quote</v>
      </c>
      <c r="D19" s="102" t="str">
        <f>_xll.qlSimpleQuote(C19,,RateTickValue,Permanent,Trigger,ObjectOverwrite)</f>
        <v>GBP9MD_Quote#0000</v>
      </c>
      <c r="E19" s="101" t="str">
        <f>_xll.ohRangeRetrieveError(D19)</f>
        <v/>
      </c>
      <c r="F19" s="100"/>
      <c r="H19" s="118"/>
      <c r="I19" s="352" t="s">
        <v>4</v>
      </c>
      <c r="J19" s="351" t="e">
        <f t="shared" si="1"/>
        <v>#N/A</v>
      </c>
      <c r="K19" s="350">
        <v>0.81188000000000005</v>
      </c>
      <c r="L19" s="342"/>
      <c r="M19" s="349">
        <v>0.84125000000000005</v>
      </c>
      <c r="N19" s="342"/>
      <c r="O19" s="589">
        <v>0.84125000000000005</v>
      </c>
      <c r="P19" s="347" t="e">
        <f>_xll.qlSimpleQuoteSetValue(D19,O19/100,Trigger)</f>
        <v>#N/A</v>
      </c>
      <c r="Q19" s="218"/>
      <c r="R19" s="64"/>
      <c r="S19" s="64"/>
      <c r="T19" s="64"/>
      <c r="U19" s="64"/>
      <c r="V19" s="64"/>
      <c r="W19" s="64"/>
    </row>
    <row r="20" spans="1:23" x14ac:dyDescent="0.2">
      <c r="A20" s="77"/>
      <c r="B20" s="103" t="s">
        <v>136</v>
      </c>
      <c r="C20" s="102" t="str">
        <f t="shared" si="0"/>
        <v>GBP10MD_Quote</v>
      </c>
      <c r="D20" s="102" t="str">
        <f>_xll.qlSimpleQuote(C20,,RateTickValue,Permanent,Trigger,ObjectOverwrite)</f>
        <v>GBP10MD_Quote#0000</v>
      </c>
      <c r="E20" s="101" t="str">
        <f>_xll.ohRangeRetrieveError(D20)</f>
        <v/>
      </c>
      <c r="F20" s="100"/>
      <c r="H20" s="118"/>
      <c r="I20" s="352" t="s">
        <v>3</v>
      </c>
      <c r="J20" s="351" t="e">
        <f t="shared" si="1"/>
        <v>#N/A</v>
      </c>
      <c r="K20" s="350">
        <v>0.86312999999999995</v>
      </c>
      <c r="L20" s="342"/>
      <c r="M20" s="349">
        <v>0.89312999999999998</v>
      </c>
      <c r="N20" s="342"/>
      <c r="O20" s="589">
        <v>0.89312999999999998</v>
      </c>
      <c r="P20" s="347" t="e">
        <f>_xll.qlSimpleQuoteSetValue(D20,O20/100,Trigger)</f>
        <v>#N/A</v>
      </c>
      <c r="Q20" s="218"/>
      <c r="R20" s="64"/>
      <c r="S20" s="64"/>
      <c r="T20" s="64"/>
      <c r="U20" s="64"/>
      <c r="V20" s="64"/>
      <c r="W20" s="64"/>
    </row>
    <row r="21" spans="1:23" x14ac:dyDescent="0.2">
      <c r="A21" s="77"/>
      <c r="B21" s="103" t="s">
        <v>135</v>
      </c>
      <c r="C21" s="102" t="str">
        <f t="shared" si="0"/>
        <v>GBP11MD_Quote</v>
      </c>
      <c r="D21" s="102" t="str">
        <f>_xll.qlSimpleQuote(C21,,RateTickValue,Permanent,Trigger,ObjectOverwrite)</f>
        <v>GBP11MD_Quote#0000</v>
      </c>
      <c r="E21" s="101" t="str">
        <f>_xll.ohRangeRetrieveError(D21)</f>
        <v/>
      </c>
      <c r="F21" s="100"/>
      <c r="H21" s="118"/>
      <c r="I21" s="352" t="s">
        <v>2</v>
      </c>
      <c r="J21" s="351" t="e">
        <f t="shared" si="1"/>
        <v>#N/A</v>
      </c>
      <c r="K21" s="350">
        <v>0.92062999999999995</v>
      </c>
      <c r="L21" s="342"/>
      <c r="M21" s="349">
        <v>0.95313000000000003</v>
      </c>
      <c r="N21" s="342"/>
      <c r="O21" s="589">
        <v>0.95313000000000003</v>
      </c>
      <c r="P21" s="347" t="e">
        <f>_xll.qlSimpleQuoteSetValue(D21,O21/100,Trigger)</f>
        <v>#N/A</v>
      </c>
      <c r="Q21" s="218"/>
      <c r="R21" s="64"/>
      <c r="S21" s="64"/>
      <c r="T21" s="64"/>
      <c r="U21" s="64"/>
      <c r="V21" s="64"/>
      <c r="W21" s="64"/>
    </row>
    <row r="22" spans="1:23" x14ac:dyDescent="0.2">
      <c r="A22" s="77"/>
      <c r="B22" s="103" t="s">
        <v>134</v>
      </c>
      <c r="C22" s="102" t="str">
        <f t="shared" si="0"/>
        <v>GBP1YD_Quote</v>
      </c>
      <c r="D22" s="102" t="str">
        <f>_xll.qlSimpleQuote(C22,,RateTickValue,Permanent,Trigger,ObjectOverwrite)</f>
        <v>GBP1YD_Quote#0000</v>
      </c>
      <c r="E22" s="101" t="str">
        <f>_xll.ohRangeRetrieveError(D22)</f>
        <v/>
      </c>
      <c r="F22" s="100"/>
      <c r="H22" s="118"/>
      <c r="I22" s="346" t="s">
        <v>1</v>
      </c>
      <c r="J22" s="345" t="e">
        <f t="shared" si="1"/>
        <v>#N/A</v>
      </c>
      <c r="K22" s="344">
        <v>0.97438000000000002</v>
      </c>
      <c r="L22" s="342"/>
      <c r="M22" s="343">
        <v>1.0131299999999999</v>
      </c>
      <c r="N22" s="342"/>
      <c r="O22" s="590">
        <v>1.0131299999999999</v>
      </c>
      <c r="P22" s="340" t="e">
        <f>_xll.qlSimpleQuoteSetValue(D22,O22/100,Trigger)</f>
        <v>#N/A</v>
      </c>
      <c r="Q22" s="218"/>
      <c r="R22" s="64"/>
      <c r="S22" s="64"/>
      <c r="T22" s="64"/>
      <c r="U22" s="64"/>
      <c r="V22" s="64"/>
      <c r="W22" s="64"/>
    </row>
    <row r="23" spans="1:23" ht="12" thickBot="1" x14ac:dyDescent="0.25">
      <c r="A23" s="70"/>
      <c r="B23" s="69"/>
      <c r="C23" s="69"/>
      <c r="D23" s="69"/>
      <c r="E23" s="69"/>
      <c r="F23" s="67"/>
      <c r="H23" s="32"/>
      <c r="I23" s="31"/>
      <c r="J23" s="31"/>
      <c r="K23" s="31"/>
      <c r="L23" s="31"/>
      <c r="M23" s="31"/>
      <c r="N23" s="31"/>
      <c r="O23" s="31"/>
      <c r="P23" s="31"/>
      <c r="Q23" s="30"/>
      <c r="R23" s="64"/>
      <c r="S23" s="64"/>
      <c r="T23" s="64"/>
      <c r="U23" s="64"/>
      <c r="V23" s="64"/>
      <c r="W23" s="64"/>
    </row>
  </sheetData>
  <conditionalFormatting sqref="P5:P22">
    <cfRule type="cellIs" dxfId="33" priority="1" stopIfTrue="1" operator="greaterThan">
      <formula>0</formula>
    </cfRule>
    <cfRule type="cellIs" dxfId="32" priority="2" stopIfTrue="1" operator="lessThan">
      <formula>0</formula>
    </cfRule>
  </conditionalFormatting>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E27"/>
  <sheetViews>
    <sheetView workbookViewId="0"/>
  </sheetViews>
  <sheetFormatPr defaultRowHeight="12.75" x14ac:dyDescent="0.2"/>
  <cols>
    <col min="1" max="1" width="2.7109375" style="63" customWidth="1"/>
    <col min="2" max="2" width="5.85546875" style="63" bestFit="1" customWidth="1"/>
    <col min="3" max="3" width="4.42578125" style="63" bestFit="1" customWidth="1"/>
    <col min="4" max="4" width="15.5703125" style="111" bestFit="1" customWidth="1"/>
    <col min="5" max="5" width="20" style="63" bestFit="1" customWidth="1"/>
    <col min="6" max="6" width="57.42578125" style="110" customWidth="1"/>
    <col min="7" max="9" width="2.7109375" style="63" customWidth="1"/>
    <col min="10" max="12" width="9.140625" style="63"/>
    <col min="13" max="13" width="14" style="63" bestFit="1" customWidth="1"/>
    <col min="14" max="18" width="9.140625" style="63"/>
    <col min="19" max="19" width="2.7109375" style="63" customWidth="1"/>
    <col min="20" max="20" width="9.140625" style="63"/>
    <col min="21" max="21" width="2.7109375" style="63" customWidth="1"/>
    <col min="22" max="22" width="14.85546875" style="63" bestFit="1" customWidth="1"/>
    <col min="23" max="24" width="9.140625" style="63"/>
    <col min="25" max="25" width="2.7109375" style="63" customWidth="1"/>
    <col min="26" max="16384" width="9.140625" style="63"/>
  </cols>
  <sheetData>
    <row r="1" spans="1:31" x14ac:dyDescent="0.2">
      <c r="A1" s="109" t="s">
        <v>346</v>
      </c>
      <c r="B1" s="133"/>
      <c r="C1" s="133"/>
      <c r="D1" s="63"/>
      <c r="E1" s="110"/>
      <c r="F1" s="63"/>
      <c r="G1" s="33"/>
      <c r="I1" s="411" t="s">
        <v>353</v>
      </c>
      <c r="J1" s="201"/>
      <c r="K1" s="201"/>
      <c r="L1" s="201"/>
      <c r="M1" s="201"/>
      <c r="N1" s="201"/>
      <c r="O1" s="201"/>
      <c r="P1" s="201"/>
      <c r="Q1" s="201"/>
      <c r="R1" s="201"/>
      <c r="S1" s="201"/>
      <c r="T1" s="201"/>
      <c r="U1" s="201"/>
      <c r="V1" s="201"/>
      <c r="W1" s="201"/>
      <c r="X1" s="201"/>
      <c r="Y1" s="198"/>
      <c r="Z1" s="64"/>
      <c r="AA1" s="64"/>
      <c r="AB1" s="64"/>
      <c r="AC1" s="64"/>
      <c r="AD1" s="64"/>
      <c r="AE1" s="64"/>
    </row>
    <row r="2" spans="1:31" ht="24" customHeight="1" x14ac:dyDescent="0.2">
      <c r="A2" s="118"/>
      <c r="B2" s="132"/>
      <c r="C2" s="131"/>
      <c r="D2" s="130" t="str">
        <f>Currency&amp;"_010_"&amp;"FRA.xml"</f>
        <v>GBP_010_FRA.xml</v>
      </c>
      <c r="E2" s="129">
        <f ca="1">IF(Serialize,_xll.ohObjectSave(E3:E26,SerializationPath&amp;D2,FileOverwrite,Serialize),"---")</f>
        <v>24</v>
      </c>
      <c r="F2" s="128" t="str">
        <f ca="1">_xll.ohRangeRetrieveError(E2)</f>
        <v/>
      </c>
      <c r="G2" s="33"/>
      <c r="I2" s="374"/>
      <c r="J2" s="64"/>
      <c r="K2" s="133"/>
      <c r="L2" s="133"/>
      <c r="M2" s="140" t="s">
        <v>275</v>
      </c>
      <c r="N2" s="133"/>
      <c r="O2" s="133"/>
      <c r="P2" s="133"/>
      <c r="Q2" s="133"/>
      <c r="R2" s="342"/>
      <c r="S2" s="342"/>
      <c r="T2" s="342"/>
      <c r="U2" s="342"/>
      <c r="V2" s="410" t="s">
        <v>287</v>
      </c>
      <c r="W2" s="140" t="s">
        <v>131</v>
      </c>
      <c r="X2" s="133"/>
      <c r="Y2" s="33"/>
      <c r="Z2" s="64"/>
      <c r="AA2" s="64"/>
      <c r="AB2" s="64"/>
      <c r="AC2" s="64"/>
      <c r="AD2" s="64"/>
      <c r="AE2" s="64"/>
    </row>
    <row r="3" spans="1:31" x14ac:dyDescent="0.2">
      <c r="A3" s="118"/>
      <c r="B3" s="122" t="s">
        <v>172</v>
      </c>
      <c r="C3" s="123" t="s">
        <v>153</v>
      </c>
      <c r="D3" s="122" t="str">
        <f t="shared" ref="D3:D26" si="0">Currency&amp;$B3&amp;$C3&amp;QuoteSuffix</f>
        <v>GBPT1F1_Quote</v>
      </c>
      <c r="E3" s="121" t="str">
        <f>_xll.qlSimpleQuote(D3,,RateTickValue,Permanent,Trigger,ObjectOverwrite)</f>
        <v>GBPT1F1_Quote#0000</v>
      </c>
      <c r="F3" s="120" t="str">
        <f>_xll.ohRangeRetrieveError(E3)</f>
        <v/>
      </c>
      <c r="G3" s="33"/>
      <c r="I3" s="118"/>
      <c r="J3" s="133"/>
      <c r="K3" s="342"/>
      <c r="L3" s="133"/>
      <c r="M3" s="133"/>
      <c r="N3" s="133"/>
      <c r="O3" s="133"/>
      <c r="P3" s="133"/>
      <c r="Q3" s="133"/>
      <c r="R3" s="133"/>
      <c r="S3" s="342"/>
      <c r="T3" s="342"/>
      <c r="U3" s="342"/>
      <c r="V3" s="133"/>
      <c r="W3" s="133"/>
      <c r="X3" s="371">
        <f>_xll.ohTrigger(X5:X24)</f>
        <v>0</v>
      </c>
      <c r="Y3" s="218"/>
      <c r="Z3" s="64"/>
      <c r="AA3" s="64"/>
      <c r="AB3" s="64"/>
      <c r="AC3" s="64"/>
      <c r="AD3" s="64"/>
      <c r="AE3" s="64"/>
    </row>
    <row r="4" spans="1:31" ht="22.5" x14ac:dyDescent="0.2">
      <c r="A4" s="118"/>
      <c r="B4" s="115" t="s">
        <v>171</v>
      </c>
      <c r="C4" s="119" t="s">
        <v>153</v>
      </c>
      <c r="D4" s="115" t="str">
        <f t="shared" si="0"/>
        <v>GBPTOM1F1_Quote</v>
      </c>
      <c r="E4" s="114" t="str">
        <f>_xll.qlSimpleQuote(D4,,RateTickValue,Permanent,Trigger,ObjectOverwrite)</f>
        <v>GBPTOM1F1_Quote#0000</v>
      </c>
      <c r="F4" s="113" t="str">
        <f>_xll.ohRangeRetrieveError(E4)</f>
        <v/>
      </c>
      <c r="G4" s="33"/>
      <c r="I4" s="118"/>
      <c r="J4" s="204"/>
      <c r="K4" s="141"/>
      <c r="L4" s="196"/>
      <c r="M4" s="370" t="e">
        <f ca="1">_xll.RData(M5:M24,N4:Q4,"RTFEED:IDN",ReutersRtMode,,N5)</f>
        <v>#NAME?</v>
      </c>
      <c r="N4" s="409" t="s">
        <v>291</v>
      </c>
      <c r="O4" s="409" t="s">
        <v>264</v>
      </c>
      <c r="P4" s="409" t="s">
        <v>244</v>
      </c>
      <c r="Q4" s="409" t="s">
        <v>290</v>
      </c>
      <c r="R4" s="366" t="s">
        <v>289</v>
      </c>
      <c r="S4" s="342"/>
      <c r="T4" s="368" t="s">
        <v>286</v>
      </c>
      <c r="U4" s="342"/>
      <c r="V4" s="408" t="s">
        <v>241</v>
      </c>
      <c r="W4" s="407" t="s">
        <v>285</v>
      </c>
      <c r="X4" s="246" t="s">
        <v>284</v>
      </c>
      <c r="Y4" s="218"/>
      <c r="Z4" s="64"/>
      <c r="AA4" s="64"/>
      <c r="AB4" s="64"/>
      <c r="AC4" s="64"/>
      <c r="AD4" s="64"/>
      <c r="AE4" s="406" t="s">
        <v>288</v>
      </c>
    </row>
    <row r="5" spans="1:31" x14ac:dyDescent="0.2">
      <c r="A5" s="118"/>
      <c r="B5" s="122" t="s">
        <v>170</v>
      </c>
      <c r="C5" s="123" t="s">
        <v>153</v>
      </c>
      <c r="D5" s="122" t="str">
        <f t="shared" si="0"/>
        <v>GBPT3F1_Quote</v>
      </c>
      <c r="E5" s="121" t="str">
        <f>_xll.qlSimpleQuote(D5,,RateTickValue,Permanent,Trigger,ObjectOverwrite)</f>
        <v>GBPT3F1_Quote#0000</v>
      </c>
      <c r="F5" s="120" t="str">
        <f>_xll.ohRangeRetrieveError(E5)</f>
        <v/>
      </c>
      <c r="G5" s="33"/>
      <c r="I5" s="118"/>
      <c r="J5" s="400" t="s">
        <v>170</v>
      </c>
      <c r="K5" s="399" t="s">
        <v>153</v>
      </c>
      <c r="L5" s="397" t="str">
        <f t="shared" ref="L5:L24" si="1">Currency&amp;$J5&amp;$K5</f>
        <v>GBPT3F1</v>
      </c>
      <c r="M5" s="397" t="str">
        <f t="array" ref="M5:M24">UPPER(Instruments)&amp;"="&amp;VLOOKUP(Contributor,ContributorTable,2,FALSE)</f>
        <v>GBPT3F1=ICAP</v>
      </c>
      <c r="N5" s="398" t="s">
        <v>233</v>
      </c>
      <c r="O5" s="398" t="s">
        <v>233</v>
      </c>
      <c r="P5" s="397" t="s">
        <v>233</v>
      </c>
      <c r="Q5" s="397" t="s">
        <v>233</v>
      </c>
      <c r="R5" s="361" t="e">
        <f>_xll.qlMidSafe($N5,$O5)</f>
        <v>#NUM!</v>
      </c>
      <c r="S5" s="342"/>
      <c r="T5" s="405" t="e">
        <v>#NUM!</v>
      </c>
      <c r="U5" s="342"/>
      <c r="V5" s="404" t="str">
        <f t="shared" ref="V5:V24" si="2">$L5&amp;$W$2</f>
        <v>GBPT3F1_Quote</v>
      </c>
      <c r="W5" s="359" t="e">
        <f t="array" ref="W5:W24">QuoteLive</f>
        <v>#NUM!</v>
      </c>
      <c r="X5" s="358" t="e">
        <f>_xll.qlSimpleQuoteSetValue($V5,$W5/100,Trigger)</f>
        <v>#NUM!</v>
      </c>
      <c r="Y5" s="218"/>
      <c r="Z5" s="64"/>
      <c r="AA5" s="377"/>
      <c r="AB5" s="64"/>
      <c r="AC5" s="64"/>
      <c r="AD5" s="64"/>
      <c r="AE5" s="376" t="e">
        <f t="shared" ref="AE5:AE19" si="3">(O5-R5)/50</f>
        <v>#VALUE!</v>
      </c>
    </row>
    <row r="6" spans="1:31" x14ac:dyDescent="0.2">
      <c r="A6" s="118"/>
      <c r="B6" s="115" t="s">
        <v>169</v>
      </c>
      <c r="C6" s="119" t="s">
        <v>153</v>
      </c>
      <c r="D6" s="115" t="str">
        <f t="shared" si="0"/>
        <v>GBPTOM3F1_Quote</v>
      </c>
      <c r="E6" s="114" t="str">
        <f>_xll.qlSimpleQuote(D6,,RateTickValue,Permanent,Trigger,ObjectOverwrite)</f>
        <v>GBPTOM3F1_Quote#0000</v>
      </c>
      <c r="F6" s="113" t="str">
        <f>_xll.ohRangeRetrieveError(E6)</f>
        <v/>
      </c>
      <c r="G6" s="33"/>
      <c r="I6" s="118"/>
      <c r="J6" s="403" t="s">
        <v>169</v>
      </c>
      <c r="K6" s="392" t="s">
        <v>153</v>
      </c>
      <c r="L6" s="390" t="str">
        <f t="shared" si="1"/>
        <v>GBPTOM3F1</v>
      </c>
      <c r="M6" s="390" t="str">
        <v>GBPTOM3F1=ICAP</v>
      </c>
      <c r="N6" s="391" t="s">
        <v>233</v>
      </c>
      <c r="O6" s="391" t="s">
        <v>233</v>
      </c>
      <c r="P6" s="390" t="s">
        <v>233</v>
      </c>
      <c r="Q6" s="390" t="s">
        <v>233</v>
      </c>
      <c r="R6" s="344" t="e">
        <f>_xll.qlMidSafe($N6,$O6)</f>
        <v>#NUM!</v>
      </c>
      <c r="S6" s="342"/>
      <c r="T6" s="402" t="e">
        <v>#NUM!</v>
      </c>
      <c r="U6" s="342"/>
      <c r="V6" s="401" t="str">
        <f t="shared" si="2"/>
        <v>GBPTOM3F1_Quote</v>
      </c>
      <c r="W6" s="341" t="e">
        <v>#NUM!</v>
      </c>
      <c r="X6" s="340" t="e">
        <f>_xll.qlSimpleQuoteSetValue($V6,$W6/100,Trigger)</f>
        <v>#NUM!</v>
      </c>
      <c r="Y6" s="218"/>
      <c r="Z6" s="64"/>
      <c r="AA6" s="377"/>
      <c r="AB6" s="64"/>
      <c r="AC6" s="64"/>
      <c r="AD6" s="64"/>
      <c r="AE6" s="376" t="e">
        <f t="shared" si="3"/>
        <v>#VALUE!</v>
      </c>
    </row>
    <row r="7" spans="1:31" x14ac:dyDescent="0.2">
      <c r="A7" s="118"/>
      <c r="B7" s="122">
        <v>1</v>
      </c>
      <c r="C7" s="123" t="s">
        <v>168</v>
      </c>
      <c r="D7" s="122" t="str">
        <f t="shared" si="0"/>
        <v>GBP1x4F_Quote</v>
      </c>
      <c r="E7" s="121" t="str">
        <f>_xll.qlSimpleQuote(D7,,RateTickValue,Permanent,Trigger,ObjectOverwrite)</f>
        <v>GBP1x4F_Quote#0000</v>
      </c>
      <c r="F7" s="120" t="str">
        <f>_xll.ohRangeRetrieveError(E7)</f>
        <v/>
      </c>
      <c r="G7" s="33"/>
      <c r="I7" s="118"/>
      <c r="J7" s="400">
        <v>1</v>
      </c>
      <c r="K7" s="399" t="s">
        <v>168</v>
      </c>
      <c r="L7" s="397" t="str">
        <f t="shared" si="1"/>
        <v>GBP1x4F</v>
      </c>
      <c r="M7" s="397" t="str">
        <v>GBP1X4F=ICAP</v>
      </c>
      <c r="N7" s="398">
        <v>0.48499999999999999</v>
      </c>
      <c r="O7" s="398">
        <v>0.53500000000000003</v>
      </c>
      <c r="P7" s="397">
        <v>0</v>
      </c>
      <c r="Q7" s="397">
        <v>0</v>
      </c>
      <c r="R7" s="361">
        <f>_xll.qlMidSafe($N7,$O7)</f>
        <v>0.51</v>
      </c>
      <c r="S7" s="342"/>
      <c r="T7" s="389">
        <v>0.51500000000000001</v>
      </c>
      <c r="U7" s="342"/>
      <c r="V7" s="388" t="str">
        <f t="shared" si="2"/>
        <v>GBP1x4F_Quote</v>
      </c>
      <c r="W7" s="348">
        <v>0.51</v>
      </c>
      <c r="X7" s="347" t="e">
        <f>_xll.qlSimpleQuoteSetValue($V7,$W7/100,Trigger)</f>
        <v>#NUM!</v>
      </c>
      <c r="Y7" s="218"/>
      <c r="Z7" s="64"/>
      <c r="AA7" s="377"/>
      <c r="AB7" s="64"/>
      <c r="AC7" s="64"/>
      <c r="AD7" s="64"/>
      <c r="AE7" s="376">
        <f t="shared" si="3"/>
        <v>5.0000000000000044E-4</v>
      </c>
    </row>
    <row r="8" spans="1:31" x14ac:dyDescent="0.2">
      <c r="A8" s="118"/>
      <c r="B8" s="126">
        <v>2</v>
      </c>
      <c r="C8" s="127" t="s">
        <v>167</v>
      </c>
      <c r="D8" s="126" t="str">
        <f t="shared" si="0"/>
        <v>GBP2x5F_Quote</v>
      </c>
      <c r="E8" s="125" t="str">
        <f>_xll.qlSimpleQuote(D8,,RateTickValue,Permanent,Trigger,ObjectOverwrite)</f>
        <v>GBP2x5F_Quote#0000</v>
      </c>
      <c r="F8" s="124" t="str">
        <f>_xll.ohRangeRetrieveError(E8)</f>
        <v/>
      </c>
      <c r="G8" s="33"/>
      <c r="I8" s="118"/>
      <c r="J8" s="393">
        <v>2</v>
      </c>
      <c r="K8" s="396" t="s">
        <v>167</v>
      </c>
      <c r="L8" s="394" t="str">
        <f t="shared" si="1"/>
        <v>GBP2x5F</v>
      </c>
      <c r="M8" s="394" t="str">
        <v>GBP2X5F=ICAP</v>
      </c>
      <c r="N8" s="395">
        <v>0.49</v>
      </c>
      <c r="O8" s="395">
        <v>0.54</v>
      </c>
      <c r="P8" s="394">
        <v>0</v>
      </c>
      <c r="Q8" s="394">
        <v>0</v>
      </c>
      <c r="R8" s="350">
        <f>_xll.qlMidSafe($N8,$O8)</f>
        <v>0.51500000000000001</v>
      </c>
      <c r="S8" s="342"/>
      <c r="T8" s="389">
        <v>0.51</v>
      </c>
      <c r="U8" s="342"/>
      <c r="V8" s="388" t="str">
        <f t="shared" si="2"/>
        <v>GBP2x5F_Quote</v>
      </c>
      <c r="W8" s="348">
        <v>0.51500000000000001</v>
      </c>
      <c r="X8" s="347" t="e">
        <f>_xll.qlSimpleQuoteSetValue($V8,$W8/100,Trigger)</f>
        <v>#NUM!</v>
      </c>
      <c r="Y8" s="218"/>
      <c r="Z8" s="64"/>
      <c r="AA8" s="377"/>
      <c r="AB8" s="64"/>
      <c r="AC8" s="64"/>
      <c r="AD8" s="64"/>
      <c r="AE8" s="376">
        <f t="shared" si="3"/>
        <v>5.0000000000000044E-4</v>
      </c>
    </row>
    <row r="9" spans="1:31" x14ac:dyDescent="0.2">
      <c r="A9" s="118"/>
      <c r="B9" s="126">
        <v>3</v>
      </c>
      <c r="C9" s="127" t="s">
        <v>166</v>
      </c>
      <c r="D9" s="126" t="str">
        <f t="shared" si="0"/>
        <v>GBP3x6F_Quote</v>
      </c>
      <c r="E9" s="125" t="str">
        <f>_xll.qlSimpleQuote(D9,,RateTickValue,Permanent,Trigger,ObjectOverwrite)</f>
        <v>GBP3x6F_Quote#0000</v>
      </c>
      <c r="F9" s="124" t="str">
        <f>_xll.ohRangeRetrieveError(E9)</f>
        <v/>
      </c>
      <c r="G9" s="33"/>
      <c r="I9" s="118"/>
      <c r="J9" s="393">
        <v>3</v>
      </c>
      <c r="K9" s="396" t="s">
        <v>166</v>
      </c>
      <c r="L9" s="394" t="str">
        <f t="shared" si="1"/>
        <v>GBP3x6F</v>
      </c>
      <c r="M9" s="394" t="str">
        <v>GBP3X6F=ICAP</v>
      </c>
      <c r="N9" s="395">
        <v>0.495</v>
      </c>
      <c r="O9" s="395">
        <v>0.54500000000000004</v>
      </c>
      <c r="P9" s="394">
        <v>0</v>
      </c>
      <c r="Q9" s="394">
        <v>0</v>
      </c>
      <c r="R9" s="350">
        <f>_xll.qlMidSafe($N9,$O9)</f>
        <v>0.52</v>
      </c>
      <c r="S9" s="342"/>
      <c r="T9" s="389">
        <v>0.51</v>
      </c>
      <c r="U9" s="342"/>
      <c r="V9" s="388" t="str">
        <f t="shared" si="2"/>
        <v>GBP3x6F_Quote</v>
      </c>
      <c r="W9" s="348">
        <v>0.52</v>
      </c>
      <c r="X9" s="347" t="e">
        <f>_xll.qlSimpleQuoteSetValue($V9,$W9/100,Trigger)</f>
        <v>#NUM!</v>
      </c>
      <c r="Y9" s="218"/>
      <c r="Z9" s="64"/>
      <c r="AA9" s="377"/>
      <c r="AB9" s="64"/>
      <c r="AC9" s="64"/>
      <c r="AD9" s="64"/>
      <c r="AE9" s="376">
        <f t="shared" si="3"/>
        <v>5.0000000000000044E-4</v>
      </c>
    </row>
    <row r="10" spans="1:31" x14ac:dyDescent="0.2">
      <c r="A10" s="118"/>
      <c r="B10" s="126">
        <v>4</v>
      </c>
      <c r="C10" s="127" t="s">
        <v>163</v>
      </c>
      <c r="D10" s="126" t="str">
        <f t="shared" si="0"/>
        <v>GBP4x7F_Quote</v>
      </c>
      <c r="E10" s="125" t="str">
        <f>_xll.qlSimpleQuote(D10,,RateTickValue,Permanent,Trigger,ObjectOverwrite)</f>
        <v>GBP4x7F_Quote#0000</v>
      </c>
      <c r="F10" s="124" t="str">
        <f>_xll.ohRangeRetrieveError(E10)</f>
        <v/>
      </c>
      <c r="G10" s="33"/>
      <c r="I10" s="118"/>
      <c r="J10" s="393">
        <v>4</v>
      </c>
      <c r="K10" s="396" t="s">
        <v>163</v>
      </c>
      <c r="L10" s="394" t="str">
        <f t="shared" si="1"/>
        <v>GBP4x7F</v>
      </c>
      <c r="M10" s="394" t="str">
        <v>GBP4X7F=ICAP</v>
      </c>
      <c r="N10" s="395">
        <v>0.5</v>
      </c>
      <c r="O10" s="395">
        <v>0.55000000000000004</v>
      </c>
      <c r="P10" s="394">
        <v>0</v>
      </c>
      <c r="Q10" s="394">
        <v>0</v>
      </c>
      <c r="R10" s="350">
        <f>_xll.qlMidSafe($N10,$O10)</f>
        <v>0.52500000000000002</v>
      </c>
      <c r="S10" s="342"/>
      <c r="T10" s="389">
        <v>0.505</v>
      </c>
      <c r="U10" s="342"/>
      <c r="V10" s="388" t="str">
        <f t="shared" si="2"/>
        <v>GBP4x7F_Quote</v>
      </c>
      <c r="W10" s="348">
        <v>0.52500000000000002</v>
      </c>
      <c r="X10" s="347" t="e">
        <f>_xll.qlSimpleQuoteSetValue($V10,$W10/100,Trigger)</f>
        <v>#NUM!</v>
      </c>
      <c r="Y10" s="218"/>
      <c r="Z10" s="64"/>
      <c r="AA10" s="377"/>
      <c r="AB10" s="64"/>
      <c r="AC10" s="64"/>
      <c r="AD10" s="64"/>
      <c r="AE10" s="376">
        <f t="shared" si="3"/>
        <v>5.0000000000000044E-4</v>
      </c>
    </row>
    <row r="11" spans="1:31" x14ac:dyDescent="0.2">
      <c r="A11" s="118"/>
      <c r="B11" s="126">
        <v>5</v>
      </c>
      <c r="C11" s="127" t="s">
        <v>162</v>
      </c>
      <c r="D11" s="126" t="str">
        <f t="shared" si="0"/>
        <v>GBP5x8F_Quote</v>
      </c>
      <c r="E11" s="125" t="str">
        <f>_xll.qlSimpleQuote(D11,,RateTickValue,Permanent,Trigger,ObjectOverwrite)</f>
        <v>GBP5x8F_Quote#0000</v>
      </c>
      <c r="F11" s="124" t="str">
        <f>_xll.ohRangeRetrieveError(E11)</f>
        <v/>
      </c>
      <c r="G11" s="33"/>
      <c r="I11" s="118"/>
      <c r="J11" s="393">
        <v>5</v>
      </c>
      <c r="K11" s="396" t="s">
        <v>162</v>
      </c>
      <c r="L11" s="394" t="str">
        <f t="shared" si="1"/>
        <v>GBP5x8F</v>
      </c>
      <c r="M11" s="394" t="str">
        <v>GBP5X8F=ICAP</v>
      </c>
      <c r="N11" s="395">
        <v>0.505</v>
      </c>
      <c r="O11" s="395">
        <v>0.55500000000000005</v>
      </c>
      <c r="P11" s="394">
        <v>0</v>
      </c>
      <c r="Q11" s="394">
        <v>0</v>
      </c>
      <c r="R11" s="350">
        <f>_xll.qlMidSafe($N11,$O11)</f>
        <v>0.53</v>
      </c>
      <c r="S11" s="342"/>
      <c r="T11" s="389">
        <v>0.505</v>
      </c>
      <c r="U11" s="342"/>
      <c r="V11" s="388" t="str">
        <f t="shared" si="2"/>
        <v>GBP5x8F_Quote</v>
      </c>
      <c r="W11" s="348">
        <v>0.53</v>
      </c>
      <c r="X11" s="347" t="e">
        <f>_xll.qlSimpleQuoteSetValue($V11,$W11/100,Trigger)</f>
        <v>#NUM!</v>
      </c>
      <c r="Y11" s="218"/>
      <c r="Z11" s="64"/>
      <c r="AA11" s="377"/>
      <c r="AB11" s="64"/>
      <c r="AC11" s="64"/>
      <c r="AD11" s="64"/>
      <c r="AE11" s="376">
        <f t="shared" si="3"/>
        <v>5.0000000000000044E-4</v>
      </c>
    </row>
    <row r="12" spans="1:31" x14ac:dyDescent="0.2">
      <c r="A12" s="118"/>
      <c r="B12" s="115">
        <v>6</v>
      </c>
      <c r="C12" s="119" t="s">
        <v>161</v>
      </c>
      <c r="D12" s="115" t="str">
        <f t="shared" si="0"/>
        <v>GBP6x9F_Quote</v>
      </c>
      <c r="E12" s="114" t="str">
        <f>_xll.qlSimpleQuote(D12,,RateTickValue,Permanent,Trigger,ObjectOverwrite)</f>
        <v>GBP6x9F_Quote#0000</v>
      </c>
      <c r="F12" s="113" t="str">
        <f>_xll.ohRangeRetrieveError(E12)</f>
        <v/>
      </c>
      <c r="G12" s="33"/>
      <c r="I12" s="118"/>
      <c r="J12" s="403">
        <v>6</v>
      </c>
      <c r="K12" s="392" t="s">
        <v>161</v>
      </c>
      <c r="L12" s="390" t="str">
        <f t="shared" si="1"/>
        <v>GBP6x9F</v>
      </c>
      <c r="M12" s="390" t="str">
        <v>GBP6X9F=ICAP</v>
      </c>
      <c r="N12" s="391">
        <v>0.51</v>
      </c>
      <c r="O12" s="391">
        <v>0.56000000000000005</v>
      </c>
      <c r="P12" s="390">
        <v>0</v>
      </c>
      <c r="Q12" s="390">
        <v>0</v>
      </c>
      <c r="R12" s="344">
        <f>_xll.qlMidSafe($N12,$O12)</f>
        <v>0.53500000000000003</v>
      </c>
      <c r="S12" s="342"/>
      <c r="T12" s="402">
        <v>0.5</v>
      </c>
      <c r="U12" s="342"/>
      <c r="V12" s="388" t="str">
        <f t="shared" si="2"/>
        <v>GBP6x9F_Quote</v>
      </c>
      <c r="W12" s="348">
        <v>0.53500000000000003</v>
      </c>
      <c r="X12" s="347" t="e">
        <f>_xll.qlSimpleQuoteSetValue($V12,$W12/100,Trigger)</f>
        <v>#NUM!</v>
      </c>
      <c r="Y12" s="218"/>
      <c r="Z12" s="64"/>
      <c r="AA12" s="377"/>
      <c r="AB12" s="64"/>
      <c r="AC12" s="64"/>
      <c r="AD12" s="64"/>
      <c r="AE12" s="376">
        <f t="shared" si="3"/>
        <v>5.0000000000000044E-4</v>
      </c>
    </row>
    <row r="13" spans="1:31" x14ac:dyDescent="0.2">
      <c r="A13" s="118"/>
      <c r="B13" s="122" t="s">
        <v>165</v>
      </c>
      <c r="C13" s="123" t="s">
        <v>153</v>
      </c>
      <c r="D13" s="122" t="str">
        <f t="shared" si="0"/>
        <v>GBPT6F1_Quote</v>
      </c>
      <c r="E13" s="121" t="str">
        <f>_xll.qlSimpleQuote(D13,,RateTickValue,Permanent,Trigger,ObjectOverwrite)</f>
        <v>GBPT6F1_Quote#0000</v>
      </c>
      <c r="F13" s="120" t="str">
        <f>_xll.ohRangeRetrieveError(E13)</f>
        <v/>
      </c>
      <c r="G13" s="33"/>
      <c r="I13" s="118"/>
      <c r="J13" s="400" t="s">
        <v>165</v>
      </c>
      <c r="K13" s="399" t="s">
        <v>153</v>
      </c>
      <c r="L13" s="397" t="str">
        <f t="shared" si="1"/>
        <v>GBPT6F1</v>
      </c>
      <c r="M13" s="397" t="str">
        <v>GBPT6F1=ICAP</v>
      </c>
      <c r="N13" s="398" t="s">
        <v>233</v>
      </c>
      <c r="O13" s="398" t="s">
        <v>233</v>
      </c>
      <c r="P13" s="397" t="s">
        <v>233</v>
      </c>
      <c r="Q13" s="397" t="s">
        <v>233</v>
      </c>
      <c r="R13" s="361" t="e">
        <f>_xll.qlMidSafe($N13,$O13)</f>
        <v>#NUM!</v>
      </c>
      <c r="S13" s="342"/>
      <c r="T13" s="405" t="e">
        <v>#NUM!</v>
      </c>
      <c r="U13" s="342"/>
      <c r="V13" s="404" t="str">
        <f t="shared" si="2"/>
        <v>GBPT6F1_Quote</v>
      </c>
      <c r="W13" s="359" t="e">
        <v>#NUM!</v>
      </c>
      <c r="X13" s="358" t="e">
        <f>_xll.qlSimpleQuoteSetValue($V13,$W13/100,Trigger)</f>
        <v>#NUM!</v>
      </c>
      <c r="Y13" s="218"/>
      <c r="Z13" s="64"/>
      <c r="AA13" s="377"/>
      <c r="AB13" s="64"/>
      <c r="AC13" s="64"/>
      <c r="AD13" s="64"/>
      <c r="AE13" s="376" t="e">
        <f t="shared" si="3"/>
        <v>#VALUE!</v>
      </c>
    </row>
    <row r="14" spans="1:31" x14ac:dyDescent="0.2">
      <c r="A14" s="118"/>
      <c r="B14" s="115" t="s">
        <v>164</v>
      </c>
      <c r="C14" s="119" t="s">
        <v>153</v>
      </c>
      <c r="D14" s="115" t="str">
        <f t="shared" si="0"/>
        <v>GBPTOM6F1_Quote</v>
      </c>
      <c r="E14" s="114" t="str">
        <f>_xll.qlSimpleQuote(D14,,RateTickValue,Permanent,Trigger,ObjectOverwrite)</f>
        <v>GBPTOM6F1_Quote#0000</v>
      </c>
      <c r="F14" s="113" t="str">
        <f>_xll.ohRangeRetrieveError(E14)</f>
        <v/>
      </c>
      <c r="G14" s="33"/>
      <c r="I14" s="118"/>
      <c r="J14" s="403" t="s">
        <v>164</v>
      </c>
      <c r="K14" s="392" t="s">
        <v>153</v>
      </c>
      <c r="L14" s="390" t="str">
        <f t="shared" si="1"/>
        <v>GBPTOM6F1</v>
      </c>
      <c r="M14" s="390" t="str">
        <v>GBPTOM6F1=ICAP</v>
      </c>
      <c r="N14" s="391" t="s">
        <v>233</v>
      </c>
      <c r="O14" s="391" t="s">
        <v>233</v>
      </c>
      <c r="P14" s="390" t="s">
        <v>233</v>
      </c>
      <c r="Q14" s="390" t="s">
        <v>233</v>
      </c>
      <c r="R14" s="344" t="e">
        <f>_xll.qlMidSafe($N14,$O14)</f>
        <v>#NUM!</v>
      </c>
      <c r="S14" s="342"/>
      <c r="T14" s="402" t="e">
        <v>#NUM!</v>
      </c>
      <c r="U14" s="342"/>
      <c r="V14" s="401" t="str">
        <f t="shared" si="2"/>
        <v>GBPTOM6F1_Quote</v>
      </c>
      <c r="W14" s="341" t="e">
        <v>#NUM!</v>
      </c>
      <c r="X14" s="340" t="e">
        <f>_xll.qlSimpleQuoteSetValue($V14,$W14/100,Trigger)</f>
        <v>#NUM!</v>
      </c>
      <c r="Y14" s="218"/>
      <c r="Z14" s="64"/>
      <c r="AA14" s="377"/>
      <c r="AB14" s="64"/>
      <c r="AC14" s="64"/>
      <c r="AD14" s="64"/>
      <c r="AE14" s="376" t="e">
        <f t="shared" si="3"/>
        <v>#VALUE!</v>
      </c>
    </row>
    <row r="15" spans="1:31" x14ac:dyDescent="0.2">
      <c r="A15" s="118"/>
      <c r="B15" s="122">
        <v>1</v>
      </c>
      <c r="C15" s="123" t="s">
        <v>163</v>
      </c>
      <c r="D15" s="122" t="str">
        <f t="shared" si="0"/>
        <v>GBP1x7F_Quote</v>
      </c>
      <c r="E15" s="121" t="str">
        <f>_xll.qlSimpleQuote(D15,,RateTickValue,Permanent,Trigger,ObjectOverwrite)</f>
        <v>GBP1x7F_Quote#0000</v>
      </c>
      <c r="F15" s="120" t="str">
        <f>_xll.ohRangeRetrieveError(E15)</f>
        <v/>
      </c>
      <c r="G15" s="33"/>
      <c r="I15" s="118"/>
      <c r="J15" s="400">
        <v>1</v>
      </c>
      <c r="K15" s="399" t="str">
        <f t="shared" ref="K15:K23" si="4">"x"&amp;J15+6&amp;"F"</f>
        <v>x7F</v>
      </c>
      <c r="L15" s="397" t="str">
        <f t="shared" si="1"/>
        <v>GBP1x7F</v>
      </c>
      <c r="M15" s="397" t="str">
        <v>GBP1X7F=ICAP</v>
      </c>
      <c r="N15" s="398">
        <v>0.62</v>
      </c>
      <c r="O15" s="398">
        <v>0.67</v>
      </c>
      <c r="P15" s="397">
        <v>0</v>
      </c>
      <c r="Q15" s="397">
        <v>0</v>
      </c>
      <c r="R15" s="361">
        <f>_xll.qlMidSafe($N15,$O15)</f>
        <v>0.64500000000000002</v>
      </c>
      <c r="S15" s="342"/>
      <c r="T15" s="389">
        <v>0.65</v>
      </c>
      <c r="U15" s="342"/>
      <c r="V15" s="388" t="str">
        <f t="shared" si="2"/>
        <v>GBP1x7F_Quote</v>
      </c>
      <c r="W15" s="348">
        <v>0.64500000000000002</v>
      </c>
      <c r="X15" s="347" t="e">
        <f>_xll.qlSimpleQuoteSetValue($V15,$W15/100,Trigger)</f>
        <v>#NUM!</v>
      </c>
      <c r="Y15" s="218"/>
      <c r="Z15" s="64"/>
      <c r="AA15" s="377"/>
      <c r="AB15" s="64"/>
      <c r="AC15" s="64"/>
      <c r="AD15" s="64"/>
      <c r="AE15" s="376">
        <f t="shared" si="3"/>
        <v>5.0000000000000044E-4</v>
      </c>
    </row>
    <row r="16" spans="1:31" x14ac:dyDescent="0.2">
      <c r="A16" s="118"/>
      <c r="B16" s="126">
        <v>2</v>
      </c>
      <c r="C16" s="127" t="s">
        <v>162</v>
      </c>
      <c r="D16" s="126" t="str">
        <f t="shared" si="0"/>
        <v>GBP2x8F_Quote</v>
      </c>
      <c r="E16" s="125" t="str">
        <f>_xll.qlSimpleQuote(D16,,RateTickValue,Permanent,Trigger,ObjectOverwrite)</f>
        <v>GBP2x8F_Quote#0000</v>
      </c>
      <c r="F16" s="124" t="str">
        <f>_xll.ohRangeRetrieveError(E16)</f>
        <v/>
      </c>
      <c r="G16" s="33"/>
      <c r="I16" s="118"/>
      <c r="J16" s="393">
        <v>2</v>
      </c>
      <c r="K16" s="396" t="str">
        <f t="shared" si="4"/>
        <v>x8F</v>
      </c>
      <c r="L16" s="394" t="str">
        <f t="shared" si="1"/>
        <v>GBP2x8F</v>
      </c>
      <c r="M16" s="394" t="str">
        <v>GBP2X8F=ICAP</v>
      </c>
      <c r="N16" s="395">
        <v>0.625</v>
      </c>
      <c r="O16" s="395">
        <v>0.67500000000000004</v>
      </c>
      <c r="P16" s="394">
        <v>0</v>
      </c>
      <c r="Q16" s="394">
        <v>0</v>
      </c>
      <c r="R16" s="350">
        <f>_xll.qlMidSafe($N16,$O16)</f>
        <v>0.65</v>
      </c>
      <c r="S16" s="342"/>
      <c r="T16" s="389">
        <v>0.64500000000000002</v>
      </c>
      <c r="U16" s="342"/>
      <c r="V16" s="388" t="str">
        <f t="shared" si="2"/>
        <v>GBP2x8F_Quote</v>
      </c>
      <c r="W16" s="348">
        <v>0.65</v>
      </c>
      <c r="X16" s="347" t="e">
        <f>_xll.qlSimpleQuoteSetValue($V16,$W16/100,Trigger)</f>
        <v>#NUM!</v>
      </c>
      <c r="Y16" s="218"/>
      <c r="Z16" s="64"/>
      <c r="AA16" s="377"/>
      <c r="AB16" s="64"/>
      <c r="AC16" s="64"/>
      <c r="AD16" s="64"/>
      <c r="AE16" s="376">
        <f t="shared" si="3"/>
        <v>5.0000000000000044E-4</v>
      </c>
    </row>
    <row r="17" spans="1:31" x14ac:dyDescent="0.2">
      <c r="A17" s="118"/>
      <c r="B17" s="126">
        <v>3</v>
      </c>
      <c r="C17" s="127" t="s">
        <v>161</v>
      </c>
      <c r="D17" s="126" t="str">
        <f t="shared" si="0"/>
        <v>GBP3x9F_Quote</v>
      </c>
      <c r="E17" s="125" t="str">
        <f>_xll.qlSimpleQuote(D17,,RateTickValue,Permanent,Trigger,ObjectOverwrite)</f>
        <v>GBP3x9F_Quote#0000</v>
      </c>
      <c r="F17" s="124" t="str">
        <f>_xll.ohRangeRetrieveError(E17)</f>
        <v/>
      </c>
      <c r="G17" s="33"/>
      <c r="I17" s="118"/>
      <c r="J17" s="393">
        <v>3</v>
      </c>
      <c r="K17" s="396" t="str">
        <f t="shared" si="4"/>
        <v>x9F</v>
      </c>
      <c r="L17" s="394" t="str">
        <f t="shared" si="1"/>
        <v>GBP3x9F</v>
      </c>
      <c r="M17" s="394" t="str">
        <v>GBP3X9F=ICAP</v>
      </c>
      <c r="N17" s="395">
        <v>0.63</v>
      </c>
      <c r="O17" s="395">
        <v>0.68</v>
      </c>
      <c r="P17" s="394">
        <v>0</v>
      </c>
      <c r="Q17" s="394">
        <v>0</v>
      </c>
      <c r="R17" s="350">
        <f>_xll.qlMidSafe($N17,$O17)</f>
        <v>0.65500000000000003</v>
      </c>
      <c r="S17" s="342"/>
      <c r="T17" s="389">
        <v>0.64</v>
      </c>
      <c r="U17" s="342"/>
      <c r="V17" s="388" t="str">
        <f t="shared" si="2"/>
        <v>GBP3x9F_Quote</v>
      </c>
      <c r="W17" s="348">
        <v>0.65500000000000003</v>
      </c>
      <c r="X17" s="347" t="e">
        <f>_xll.qlSimpleQuoteSetValue($V17,$W17/100,Trigger)</f>
        <v>#NUM!</v>
      </c>
      <c r="Y17" s="218"/>
      <c r="Z17" s="64"/>
      <c r="AA17" s="377"/>
      <c r="AB17" s="64"/>
      <c r="AC17" s="64"/>
      <c r="AD17" s="64"/>
      <c r="AE17" s="376">
        <f t="shared" si="3"/>
        <v>5.0000000000000044E-4</v>
      </c>
    </row>
    <row r="18" spans="1:31" x14ac:dyDescent="0.2">
      <c r="A18" s="118"/>
      <c r="B18" s="126">
        <v>4</v>
      </c>
      <c r="C18" s="127" t="s">
        <v>160</v>
      </c>
      <c r="D18" s="126" t="str">
        <f t="shared" si="0"/>
        <v>GBP4x10F_Quote</v>
      </c>
      <c r="E18" s="125" t="str">
        <f>_xll.qlSimpleQuote(D18,,RateTickValue,Permanent,Trigger,ObjectOverwrite)</f>
        <v>GBP4x10F_Quote#0000</v>
      </c>
      <c r="F18" s="124" t="str">
        <f>_xll.ohRangeRetrieveError(E18)</f>
        <v/>
      </c>
      <c r="G18" s="33"/>
      <c r="I18" s="118"/>
      <c r="J18" s="393">
        <v>4</v>
      </c>
      <c r="K18" s="396" t="str">
        <f t="shared" si="4"/>
        <v>x10F</v>
      </c>
      <c r="L18" s="394" t="str">
        <f t="shared" si="1"/>
        <v>GBP4x10F</v>
      </c>
      <c r="M18" s="394" t="str">
        <v>GBP4X10F=ICAP</v>
      </c>
      <c r="N18" s="395">
        <v>0.63500000000000001</v>
      </c>
      <c r="O18" s="395">
        <v>0.68500000000000005</v>
      </c>
      <c r="P18" s="394">
        <v>0</v>
      </c>
      <c r="Q18" s="394">
        <v>0</v>
      </c>
      <c r="R18" s="350">
        <f>_xll.qlMidSafe($N18,$O18)</f>
        <v>0.66</v>
      </c>
      <c r="S18" s="342"/>
      <c r="T18" s="389">
        <v>0.63500000000000001</v>
      </c>
      <c r="U18" s="342"/>
      <c r="V18" s="388" t="str">
        <f t="shared" si="2"/>
        <v>GBP4x10F_Quote</v>
      </c>
      <c r="W18" s="348">
        <v>0.66</v>
      </c>
      <c r="X18" s="347" t="e">
        <f>_xll.qlSimpleQuoteSetValue($V18,$W18/100,Trigger)</f>
        <v>#NUM!</v>
      </c>
      <c r="Y18" s="218"/>
      <c r="Z18" s="64"/>
      <c r="AA18" s="377"/>
      <c r="AB18" s="64"/>
      <c r="AC18" s="64"/>
      <c r="AD18" s="64"/>
      <c r="AE18" s="376">
        <f t="shared" si="3"/>
        <v>5.0000000000000044E-4</v>
      </c>
    </row>
    <row r="19" spans="1:31" x14ac:dyDescent="0.2">
      <c r="A19" s="118"/>
      <c r="B19" s="126">
        <v>5</v>
      </c>
      <c r="C19" s="127" t="s">
        <v>159</v>
      </c>
      <c r="D19" s="126" t="str">
        <f t="shared" si="0"/>
        <v>GBP5x11F_Quote</v>
      </c>
      <c r="E19" s="125" t="str">
        <f>_xll.qlSimpleQuote(D19,,RateTickValue,Permanent,Trigger,ObjectOverwrite)</f>
        <v>GBP5x11F_Quote#0000</v>
      </c>
      <c r="F19" s="124" t="str">
        <f>_xll.ohRangeRetrieveError(E19)</f>
        <v/>
      </c>
      <c r="G19" s="33"/>
      <c r="I19" s="118"/>
      <c r="J19" s="393">
        <v>5</v>
      </c>
      <c r="K19" s="396" t="str">
        <f t="shared" si="4"/>
        <v>x11F</v>
      </c>
      <c r="L19" s="394" t="str">
        <f t="shared" si="1"/>
        <v>GBP5x11F</v>
      </c>
      <c r="M19" s="394" t="str">
        <v>GBP5X11F=ICAP</v>
      </c>
      <c r="N19" s="395">
        <v>0.64</v>
      </c>
      <c r="O19" s="395">
        <v>0.69</v>
      </c>
      <c r="P19" s="394">
        <v>0</v>
      </c>
      <c r="Q19" s="394">
        <v>0</v>
      </c>
      <c r="R19" s="350">
        <f>_xll.qlMidSafe($N19,$O19)</f>
        <v>0.66500000000000004</v>
      </c>
      <c r="S19" s="342"/>
      <c r="T19" s="389">
        <v>0.63500000000000001</v>
      </c>
      <c r="U19" s="342"/>
      <c r="V19" s="388" t="str">
        <f t="shared" si="2"/>
        <v>GBP5x11F_Quote</v>
      </c>
      <c r="W19" s="348">
        <v>0.66500000000000004</v>
      </c>
      <c r="X19" s="347" t="e">
        <f>_xll.qlSimpleQuoteSetValue($V19,$W19/100,Trigger)</f>
        <v>#NUM!</v>
      </c>
      <c r="Y19" s="218"/>
      <c r="Z19" s="64"/>
      <c r="AA19" s="377"/>
      <c r="AB19" s="64"/>
      <c r="AC19" s="64"/>
      <c r="AD19" s="64"/>
      <c r="AE19" s="376">
        <f t="shared" si="3"/>
        <v>4.9999999999999828E-4</v>
      </c>
    </row>
    <row r="20" spans="1:31" x14ac:dyDescent="0.2">
      <c r="A20" s="118"/>
      <c r="B20" s="126">
        <v>6</v>
      </c>
      <c r="C20" s="127" t="s">
        <v>158</v>
      </c>
      <c r="D20" s="126" t="str">
        <f t="shared" si="0"/>
        <v>GBP6x12F_Quote</v>
      </c>
      <c r="E20" s="125" t="str">
        <f>_xll.qlSimpleQuote(D20,,RateTickValue,Permanent,Trigger,ObjectOverwrite)</f>
        <v>GBP6x12F_Quote#0000</v>
      </c>
      <c r="F20" s="124" t="str">
        <f>_xll.ohRangeRetrieveError(E20)</f>
        <v/>
      </c>
      <c r="G20" s="33"/>
      <c r="I20" s="118"/>
      <c r="J20" s="393">
        <v>6</v>
      </c>
      <c r="K20" s="396" t="str">
        <f t="shared" si="4"/>
        <v>x12F</v>
      </c>
      <c r="L20" s="394" t="str">
        <f t="shared" si="1"/>
        <v>GBP6x12F</v>
      </c>
      <c r="M20" s="394" t="str">
        <v>GBP6X12F=ICAP</v>
      </c>
      <c r="N20" s="395">
        <v>0.64</v>
      </c>
      <c r="O20" s="395">
        <v>0.69</v>
      </c>
      <c r="P20" s="394">
        <v>0</v>
      </c>
      <c r="Q20" s="394">
        <v>0</v>
      </c>
      <c r="R20" s="350">
        <f>_xll.qlMidSafe($N20,$O20)</f>
        <v>0.66500000000000004</v>
      </c>
      <c r="S20" s="342"/>
      <c r="T20" s="389">
        <v>0.63500000000000001</v>
      </c>
      <c r="U20" s="342"/>
      <c r="V20" s="388" t="str">
        <f t="shared" si="2"/>
        <v>GBP6x12F_Quote</v>
      </c>
      <c r="W20" s="348">
        <v>0.66500000000000004</v>
      </c>
      <c r="X20" s="347" t="e">
        <f>_xll.qlSimpleQuoteSetValue($V20,$W20/100,Trigger)</f>
        <v>#NUM!</v>
      </c>
      <c r="Y20" s="218"/>
      <c r="Z20" s="64"/>
      <c r="AA20" s="377"/>
      <c r="AB20" s="64"/>
      <c r="AC20" s="64"/>
      <c r="AD20" s="64"/>
      <c r="AE20" s="376"/>
    </row>
    <row r="21" spans="1:31" x14ac:dyDescent="0.2">
      <c r="A21" s="118"/>
      <c r="B21" s="126">
        <v>9</v>
      </c>
      <c r="C21" s="127" t="s">
        <v>157</v>
      </c>
      <c r="D21" s="126" t="str">
        <f t="shared" si="0"/>
        <v>GBP9x15F_Quote</v>
      </c>
      <c r="E21" s="125" t="str">
        <f>_xll.qlSimpleQuote(D21,,RateTickValue,Permanent,Trigger,ObjectOverwrite)</f>
        <v>GBP9x15F_Quote#0000</v>
      </c>
      <c r="F21" s="124" t="str">
        <f>_xll.ohRangeRetrieveError(E21)</f>
        <v/>
      </c>
      <c r="G21" s="33"/>
      <c r="I21" s="118"/>
      <c r="J21" s="393">
        <v>9</v>
      </c>
      <c r="K21" s="396" t="str">
        <f t="shared" si="4"/>
        <v>x15F</v>
      </c>
      <c r="L21" s="394" t="str">
        <f t="shared" si="1"/>
        <v>GBP9x15F</v>
      </c>
      <c r="M21" s="394" t="str">
        <v>GBP9X15F=ICAP</v>
      </c>
      <c r="N21" s="395">
        <v>0.66</v>
      </c>
      <c r="O21" s="395">
        <v>0.71</v>
      </c>
      <c r="P21" s="394">
        <v>0</v>
      </c>
      <c r="Q21" s="394">
        <v>0</v>
      </c>
      <c r="R21" s="350">
        <f>_xll.qlMidSafe($N21,$O21)</f>
        <v>0.68500000000000005</v>
      </c>
      <c r="S21" s="342"/>
      <c r="T21" s="389">
        <v>0.64</v>
      </c>
      <c r="U21" s="342"/>
      <c r="V21" s="388" t="str">
        <f t="shared" si="2"/>
        <v>GBP9x15F_Quote</v>
      </c>
      <c r="W21" s="348">
        <v>0.68500000000000005</v>
      </c>
      <c r="X21" s="347" t="e">
        <f>_xll.qlSimpleQuoteSetValue($V21,$W21/100,Trigger)</f>
        <v>#NUM!</v>
      </c>
      <c r="Y21" s="218"/>
      <c r="Z21" s="64"/>
      <c r="AA21" s="377"/>
      <c r="AB21" s="64"/>
      <c r="AC21" s="64"/>
      <c r="AD21" s="64"/>
      <c r="AE21" s="376"/>
    </row>
    <row r="22" spans="1:31" x14ac:dyDescent="0.2">
      <c r="A22" s="118"/>
      <c r="B22" s="126">
        <v>12</v>
      </c>
      <c r="C22" s="127" t="s">
        <v>156</v>
      </c>
      <c r="D22" s="126" t="str">
        <f t="shared" si="0"/>
        <v>GBP12x18F_Quote</v>
      </c>
      <c r="E22" s="125" t="str">
        <f>_xll.qlSimpleQuote(D22,,RateTickValue,Permanent,Trigger,ObjectOverwrite)</f>
        <v>GBP12x18F_Quote#0000</v>
      </c>
      <c r="F22" s="124" t="str">
        <f>_xll.ohRangeRetrieveError(E22)</f>
        <v/>
      </c>
      <c r="G22" s="33"/>
      <c r="I22" s="118"/>
      <c r="J22" s="393">
        <v>12</v>
      </c>
      <c r="K22" s="396" t="str">
        <f t="shared" si="4"/>
        <v>x18F</v>
      </c>
      <c r="L22" s="394" t="str">
        <f t="shared" si="1"/>
        <v>GBP12x18F</v>
      </c>
      <c r="M22" s="394" t="str">
        <v>GBP12X18F=ICAP</v>
      </c>
      <c r="N22" s="395">
        <v>0.69499999999999995</v>
      </c>
      <c r="O22" s="395">
        <v>0.745</v>
      </c>
      <c r="P22" s="394">
        <v>0</v>
      </c>
      <c r="Q22" s="394">
        <v>0</v>
      </c>
      <c r="R22" s="350">
        <f>_xll.qlMidSafe($N22,$O22)</f>
        <v>0.72</v>
      </c>
      <c r="S22" s="342"/>
      <c r="T22" s="389">
        <v>0.65500000000000003</v>
      </c>
      <c r="U22" s="342"/>
      <c r="V22" s="388" t="str">
        <f t="shared" si="2"/>
        <v>GBP12x18F_Quote</v>
      </c>
      <c r="W22" s="348">
        <v>0.72</v>
      </c>
      <c r="X22" s="347" t="e">
        <f>_xll.qlSimpleQuoteSetValue($V22,$W22/100,Trigger)</f>
        <v>#NUM!</v>
      </c>
      <c r="Y22" s="218"/>
      <c r="Z22" s="64"/>
      <c r="AA22" s="377"/>
      <c r="AB22" s="64"/>
      <c r="AC22" s="64"/>
      <c r="AD22" s="64"/>
      <c r="AE22" s="376">
        <f>(O22-R22)/50</f>
        <v>5.0000000000000044E-4</v>
      </c>
    </row>
    <row r="23" spans="1:31" x14ac:dyDescent="0.2">
      <c r="A23" s="118"/>
      <c r="B23" s="115">
        <v>18</v>
      </c>
      <c r="C23" s="119" t="s">
        <v>152</v>
      </c>
      <c r="D23" s="115" t="str">
        <f t="shared" si="0"/>
        <v>GBP18x24F_Quote</v>
      </c>
      <c r="E23" s="114" t="str">
        <f>_xll.qlSimpleQuote(D23,,RateTickValue,Permanent,Trigger,ObjectOverwrite)</f>
        <v>GBP18x24F_Quote#0000</v>
      </c>
      <c r="F23" s="113" t="str">
        <f>_xll.ohRangeRetrieveError(E23)</f>
        <v/>
      </c>
      <c r="G23" s="33"/>
      <c r="I23" s="118"/>
      <c r="J23" s="393">
        <v>18</v>
      </c>
      <c r="K23" s="392" t="str">
        <f t="shared" si="4"/>
        <v>x24F</v>
      </c>
      <c r="L23" s="390" t="str">
        <f t="shared" si="1"/>
        <v>GBP18x24F</v>
      </c>
      <c r="M23" s="390" t="str">
        <v>GBP18X24F=ICAP</v>
      </c>
      <c r="N23" s="391" t="s">
        <v>233</v>
      </c>
      <c r="O23" s="391" t="s">
        <v>233</v>
      </c>
      <c r="P23" s="390" t="s">
        <v>233</v>
      </c>
      <c r="Q23" s="390" t="s">
        <v>233</v>
      </c>
      <c r="R23" s="344" t="e">
        <f>_xll.qlMidSafe($N23,$O23)</f>
        <v>#NUM!</v>
      </c>
      <c r="S23" s="342"/>
      <c r="T23" s="389" t="e">
        <v>#NUM!</v>
      </c>
      <c r="U23" s="342"/>
      <c r="V23" s="388" t="str">
        <f t="shared" si="2"/>
        <v>GBP18x24F_Quote</v>
      </c>
      <c r="W23" s="348" t="e">
        <v>#NUM!</v>
      </c>
      <c r="X23" s="347" t="e">
        <f>_xll.qlSimpleQuoteSetValue($V23,$W23/100,Trigger)</f>
        <v>#NUM!</v>
      </c>
      <c r="Y23" s="218"/>
      <c r="Z23" s="64"/>
      <c r="AA23" s="377"/>
      <c r="AB23" s="64"/>
      <c r="AC23" s="64"/>
      <c r="AD23" s="64"/>
      <c r="AE23" s="376" t="e">
        <f>(O23-R23)/50</f>
        <v>#VALUE!</v>
      </c>
    </row>
    <row r="24" spans="1:31" x14ac:dyDescent="0.2">
      <c r="A24" s="118"/>
      <c r="B24" s="122" t="s">
        <v>155</v>
      </c>
      <c r="C24" s="123" t="s">
        <v>153</v>
      </c>
      <c r="D24" s="122" t="str">
        <f t="shared" si="0"/>
        <v>GBPT12F1_Quote</v>
      </c>
      <c r="E24" s="121" t="str">
        <f>_xll.qlSimpleQuote(D24,,RateTickValue,Permanent,Trigger,ObjectOverwrite)</f>
        <v>GBPT12F1_Quote#0000</v>
      </c>
      <c r="F24" s="120" t="str">
        <f>_xll.ohRangeRetrieveError(E24)</f>
        <v/>
      </c>
      <c r="G24" s="33"/>
      <c r="I24" s="118"/>
      <c r="J24" s="387">
        <v>12</v>
      </c>
      <c r="K24" s="386" t="s">
        <v>152</v>
      </c>
      <c r="L24" s="384" t="str">
        <f t="shared" si="1"/>
        <v>GBP12x24F</v>
      </c>
      <c r="M24" s="384" t="str">
        <v>GBP12X24F=ICAP</v>
      </c>
      <c r="N24" s="385">
        <v>0.98499999999999999</v>
      </c>
      <c r="O24" s="385">
        <v>1.085</v>
      </c>
      <c r="P24" s="384">
        <v>0</v>
      </c>
      <c r="Q24" s="384">
        <v>0</v>
      </c>
      <c r="R24" s="383">
        <f>_xll.qlMidSafe($N24,$O24)</f>
        <v>1.0349999999999999</v>
      </c>
      <c r="S24" s="342"/>
      <c r="T24" s="382">
        <v>1</v>
      </c>
      <c r="U24" s="342"/>
      <c r="V24" s="381" t="str">
        <f t="shared" si="2"/>
        <v>GBP12x24F_Quote</v>
      </c>
      <c r="W24" s="380">
        <v>1.0349999999999999</v>
      </c>
      <c r="X24" s="379" t="e">
        <f>_xll.qlSimpleQuoteSetValue($V24,$W24/100,Trigger)</f>
        <v>#NUM!</v>
      </c>
      <c r="Y24" s="218"/>
      <c r="Z24" s="64"/>
      <c r="AA24" s="377"/>
      <c r="AB24" s="64"/>
      <c r="AC24" s="64"/>
      <c r="AD24" s="64"/>
      <c r="AE24" s="376">
        <f>(O24-R24)/50</f>
        <v>1.0000000000000009E-3</v>
      </c>
    </row>
    <row r="25" spans="1:31" ht="13.5" thickBot="1" x14ac:dyDescent="0.25">
      <c r="A25" s="118"/>
      <c r="B25" s="115" t="s">
        <v>154</v>
      </c>
      <c r="C25" s="119" t="s">
        <v>153</v>
      </c>
      <c r="D25" s="115" t="str">
        <f t="shared" si="0"/>
        <v>GBPTOM12F1_Quote</v>
      </c>
      <c r="E25" s="114" t="str">
        <f>_xll.qlSimpleQuote(D25,,RateTickValue,Permanent,Trigger,ObjectOverwrite)</f>
        <v>GBPTOM12F1_Quote#0000</v>
      </c>
      <c r="F25" s="113" t="str">
        <f>_xll.ohRangeRetrieveError(E25)</f>
        <v/>
      </c>
      <c r="G25" s="33"/>
      <c r="I25" s="32"/>
      <c r="J25" s="31"/>
      <c r="K25" s="31"/>
      <c r="L25" s="31"/>
      <c r="M25" s="31"/>
      <c r="N25" s="31"/>
      <c r="O25" s="31"/>
      <c r="P25" s="31"/>
      <c r="Q25" s="31"/>
      <c r="R25" s="31"/>
      <c r="S25" s="31"/>
      <c r="T25" s="31"/>
      <c r="U25" s="31"/>
      <c r="V25" s="31"/>
      <c r="W25" s="31"/>
      <c r="X25" s="31"/>
      <c r="Y25" s="378"/>
      <c r="Z25" s="64"/>
      <c r="AA25" s="377"/>
      <c r="AB25" s="64"/>
      <c r="AC25" s="64"/>
      <c r="AD25" s="64"/>
      <c r="AE25" s="376"/>
    </row>
    <row r="26" spans="1:31" x14ac:dyDescent="0.2">
      <c r="A26" s="118"/>
      <c r="B26" s="117">
        <v>12</v>
      </c>
      <c r="C26" s="116" t="s">
        <v>152</v>
      </c>
      <c r="D26" s="115" t="str">
        <f t="shared" si="0"/>
        <v>GBP12x24F_Quote</v>
      </c>
      <c r="E26" s="114" t="str">
        <f>_xll.qlSimpleQuote(D26,,RateTickValue,Permanent,Trigger,ObjectOverwrite)</f>
        <v>GBP12x24F_Quote#0000</v>
      </c>
      <c r="F26" s="113" t="str">
        <f>_xll.ohRangeRetrieveError(E26)</f>
        <v/>
      </c>
      <c r="G26" s="33"/>
    </row>
    <row r="27" spans="1:31" ht="13.5" thickBot="1" x14ac:dyDescent="0.25">
      <c r="A27" s="32"/>
      <c r="B27" s="31"/>
      <c r="C27" s="31"/>
      <c r="D27" s="31"/>
      <c r="E27" s="112"/>
      <c r="F27" s="112"/>
      <c r="G27" s="30"/>
    </row>
  </sheetData>
  <conditionalFormatting sqref="X5:X24">
    <cfRule type="cellIs" dxfId="31" priority="1" stopIfTrue="1" operator="greaterThan">
      <formula>0</formula>
    </cfRule>
    <cfRule type="cellIs" dxfId="30" priority="2" stopIfTrue="1" operator="lessThan">
      <formula>0</formula>
    </cfRule>
  </conditionalFormatting>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P127"/>
  <sheetViews>
    <sheetView workbookViewId="0"/>
  </sheetViews>
  <sheetFormatPr defaultRowHeight="11.25" x14ac:dyDescent="0.2"/>
  <cols>
    <col min="1" max="1" width="2.7109375" style="65" customWidth="1"/>
    <col min="2" max="2" width="3.5703125" style="65" bestFit="1" customWidth="1"/>
    <col min="3" max="3" width="5.7109375" style="65" bestFit="1" customWidth="1"/>
    <col min="4" max="4" width="6.140625" style="65" bestFit="1" customWidth="1"/>
    <col min="5" max="5" width="19.140625" style="65" bestFit="1" customWidth="1"/>
    <col min="6" max="6" width="20.140625" style="65" bestFit="1" customWidth="1"/>
    <col min="7" max="7" width="33.85546875" style="65" customWidth="1"/>
    <col min="8" max="10" width="2.7109375" style="65" customWidth="1"/>
    <col min="11" max="13" width="9.140625" style="65"/>
    <col min="14" max="14" width="14.28515625" style="65" bestFit="1" customWidth="1"/>
    <col min="15" max="19" width="9.140625" style="65"/>
    <col min="20" max="20" width="11.28515625" style="65" customWidth="1"/>
    <col min="21" max="21" width="9.140625" style="65"/>
    <col min="22" max="22" width="2.7109375" style="65" customWidth="1"/>
    <col min="23" max="23" width="9.140625" style="65"/>
    <col min="24" max="24" width="2.7109375" style="65" customWidth="1"/>
    <col min="25" max="25" width="15.85546875" style="65" bestFit="1" customWidth="1"/>
    <col min="26" max="27" width="9.140625" style="65"/>
    <col min="28" max="29" width="2.7109375" style="65" customWidth="1"/>
    <col min="30" max="16384" width="9.140625" style="65"/>
  </cols>
  <sheetData>
    <row r="1" spans="1:42" ht="12" thickBot="1" x14ac:dyDescent="0.25">
      <c r="AI1" s="65" t="s">
        <v>350</v>
      </c>
    </row>
    <row r="2" spans="1:42" x14ac:dyDescent="0.2">
      <c r="J2" s="154" t="s">
        <v>353</v>
      </c>
      <c r="K2" s="229"/>
      <c r="L2" s="229"/>
      <c r="M2" s="229"/>
      <c r="N2" s="229"/>
      <c r="O2" s="229"/>
      <c r="P2" s="229"/>
      <c r="Q2" s="229"/>
      <c r="R2" s="229"/>
      <c r="S2" s="229"/>
      <c r="T2" s="229"/>
      <c r="U2" s="229"/>
      <c r="V2" s="230"/>
      <c r="W2" s="230"/>
      <c r="X2" s="229"/>
      <c r="Y2" s="229"/>
      <c r="Z2" s="229"/>
      <c r="AA2" s="229"/>
      <c r="AB2" s="150"/>
      <c r="AM2" s="254" t="s">
        <v>227</v>
      </c>
      <c r="AN2" s="253" t="str">
        <f>PROPER(Currency)&amp;"HW_Volatility_Quote"</f>
        <v>GbpHW_Volatility_Quote</v>
      </c>
    </row>
    <row r="3" spans="1:42" x14ac:dyDescent="0.2">
      <c r="J3" s="149"/>
      <c r="K3" s="238"/>
      <c r="L3" s="456"/>
      <c r="M3" s="456"/>
      <c r="N3" s="238"/>
      <c r="O3" s="238"/>
      <c r="P3" s="238"/>
      <c r="Q3" s="238"/>
      <c r="R3" s="238"/>
      <c r="S3" s="238"/>
      <c r="T3" s="238"/>
      <c r="U3" s="238"/>
      <c r="V3" s="416"/>
      <c r="W3" s="416"/>
      <c r="X3" s="238"/>
      <c r="Y3" s="455" t="s">
        <v>287</v>
      </c>
      <c r="Z3" s="454" t="s">
        <v>131</v>
      </c>
      <c r="AA3" s="238"/>
      <c r="AB3" s="452"/>
      <c r="AM3" s="254" t="s">
        <v>226</v>
      </c>
      <c r="AN3" s="253" t="str">
        <f>PROPER(Currency)&amp;"HW_MeanReversion_Quote"</f>
        <v>GbpHW_MeanReversion_Quote</v>
      </c>
    </row>
    <row r="4" spans="1:42" ht="12" thickBot="1" x14ac:dyDescent="0.25">
      <c r="J4" s="149"/>
      <c r="K4" s="238"/>
      <c r="L4" s="238"/>
      <c r="M4" s="238"/>
      <c r="N4" s="238"/>
      <c r="O4" s="238"/>
      <c r="P4" s="238"/>
      <c r="Q4" s="238"/>
      <c r="R4" s="238"/>
      <c r="S4" s="238"/>
      <c r="T4" s="238"/>
      <c r="U4" s="238"/>
      <c r="V4" s="416"/>
      <c r="W4" s="416"/>
      <c r="X4" s="238"/>
      <c r="Z4" s="238"/>
      <c r="AA4" s="238"/>
      <c r="AB4" s="452"/>
      <c r="AM4" s="254" t="s">
        <v>225</v>
      </c>
      <c r="AN4" s="253" t="str">
        <f>PROPER(Currency)&amp;FamilyName&amp;$AO$4</f>
        <v>GbpLibor1M</v>
      </c>
      <c r="AO4" s="252" t="s">
        <v>15</v>
      </c>
    </row>
    <row r="5" spans="1:42" x14ac:dyDescent="0.2">
      <c r="A5" s="109" t="s">
        <v>346</v>
      </c>
      <c r="B5" s="153"/>
      <c r="C5" s="153"/>
      <c r="D5" s="152" t="s">
        <v>176</v>
      </c>
      <c r="E5" s="152" t="s">
        <v>15</v>
      </c>
      <c r="F5" s="151"/>
      <c r="G5" s="151"/>
      <c r="H5" s="150"/>
      <c r="J5" s="149"/>
      <c r="K5" s="238"/>
      <c r="L5" s="238"/>
      <c r="M5" s="238"/>
      <c r="N5" s="238"/>
      <c r="O5" s="238"/>
      <c r="P5" s="238"/>
      <c r="Q5" s="238"/>
      <c r="R5" s="238"/>
      <c r="S5" s="238"/>
      <c r="T5" s="238"/>
      <c r="U5" s="238"/>
      <c r="V5" s="416"/>
      <c r="W5" s="416"/>
      <c r="X5" s="238"/>
      <c r="Y5" s="416" t="s">
        <v>297</v>
      </c>
      <c r="Z5" s="238"/>
      <c r="AA5" s="453">
        <f>_xll.ohTrigger(AA7:AA18)</f>
        <v>0</v>
      </c>
      <c r="AB5" s="452"/>
      <c r="AD5" s="444" t="s">
        <v>294</v>
      </c>
      <c r="AE5" s="443" t="s">
        <v>293</v>
      </c>
      <c r="AG5" s="406" t="s">
        <v>288</v>
      </c>
    </row>
    <row r="6" spans="1:42" ht="22.5" x14ac:dyDescent="0.2">
      <c r="A6" s="149"/>
      <c r="B6" s="90" t="s">
        <v>175</v>
      </c>
      <c r="C6" s="91" t="s">
        <v>174</v>
      </c>
      <c r="D6" s="91" t="s">
        <v>173</v>
      </c>
      <c r="E6" s="89" t="str">
        <f>Currency&amp;"_010_"&amp;$D$5&amp;$E$5&amp;".xml"</f>
        <v>GBP_010_FUT1M.xml</v>
      </c>
      <c r="F6" s="88">
        <f ca="1">IF(Serialize,_xll.ohObjectSave(F7:F126,SerializationPath&amp;E6,FileOverwrite,Serialize),"---")</f>
        <v>120</v>
      </c>
      <c r="G6" s="104" t="str">
        <f ca="1">_xll.ohRangeRetrieveError(F6)</f>
        <v/>
      </c>
      <c r="H6" s="137"/>
      <c r="J6" s="149"/>
      <c r="K6" s="451" t="s">
        <v>175</v>
      </c>
      <c r="L6" s="446" t="s">
        <v>174</v>
      </c>
      <c r="M6" s="446" t="s">
        <v>173</v>
      </c>
      <c r="N6" s="446" t="s">
        <v>296</v>
      </c>
      <c r="O6" s="450" t="e">
        <f ca="1">_xll.RData(O7:O18,P6:T6,"RTFEED:IDN",ReutersRtMode,,P7)</f>
        <v>#NAME?</v>
      </c>
      <c r="P6" s="446" t="s">
        <v>295</v>
      </c>
      <c r="Q6" s="446" t="s">
        <v>291</v>
      </c>
      <c r="R6" s="446" t="s">
        <v>264</v>
      </c>
      <c r="S6" s="446" t="s">
        <v>244</v>
      </c>
      <c r="T6" s="446" t="s">
        <v>290</v>
      </c>
      <c r="U6" s="449" t="s">
        <v>289</v>
      </c>
      <c r="V6" s="416"/>
      <c r="W6" s="448" t="s">
        <v>286</v>
      </c>
      <c r="X6" s="416"/>
      <c r="Y6" s="447" t="s">
        <v>241</v>
      </c>
      <c r="Z6" s="446" t="s">
        <v>285</v>
      </c>
      <c r="AA6" s="445" t="s">
        <v>284</v>
      </c>
      <c r="AB6" s="137"/>
      <c r="AD6" s="433" t="s">
        <v>121</v>
      </c>
      <c r="AE6" s="432"/>
      <c r="AG6" s="412" t="e">
        <f t="shared" ref="AG6:AG17" si="0">(R7-U7)/50</f>
        <v>#VALUE!</v>
      </c>
      <c r="AI6" s="149"/>
      <c r="AJ6" s="90" t="s">
        <v>175</v>
      </c>
      <c r="AK6" s="197" t="s">
        <v>174</v>
      </c>
      <c r="AL6" s="197" t="s">
        <v>173</v>
      </c>
      <c r="AM6" s="197" t="s">
        <v>224</v>
      </c>
      <c r="AN6" s="89" t="str">
        <f>Currency&amp;"_020_Futures"&amp;AO4&amp;"ConvAdj.xml"</f>
        <v>GBP_020_Futures1MConvAdj.xml</v>
      </c>
      <c r="AO6" s="105" t="e">
        <f ca="1">IF(Serialize,_xll.ohObjectSave(AO7:AO126,SerializationPath&amp;AN6,FileOverwrite,Serialize),"---")</f>
        <v>#NUM!</v>
      </c>
      <c r="AP6" s="72" t="str">
        <f ca="1">_xll.ohRangeRetrieveError(AO6)</f>
        <v>ohObjectSave - operToVectorImpl: error converting parameter 'ObjectList' to type 'class std::basic_string&lt;char,struct std::char_traits&lt;char&gt;,class std::allocator&lt;char&gt; &gt;' : Unable to convert type 'struct ObjectHandler::empty_property_tag' to type 'class s</v>
      </c>
    </row>
    <row r="7" spans="1:42" x14ac:dyDescent="0.2">
      <c r="A7" s="143"/>
      <c r="B7" s="148">
        <v>1</v>
      </c>
      <c r="C7" s="147" t="b">
        <v>0</v>
      </c>
      <c r="D7" s="146" t="str">
        <f t="array" ref="D7:D126">_xll.qlIMMNextCodes(_xll.qlSettingsEvaluationDate(Trigger)-1,$C7:$C126)</f>
        <v>F4</v>
      </c>
      <c r="E7" s="139" t="str">
        <f t="shared" ref="E7:E38" si="1">Currency&amp;$D$5&amp;$E$5&amp;$D7&amp;QuoteSuffix</f>
        <v>GBPFUT1MF4_Quote</v>
      </c>
      <c r="F7" s="145" t="str">
        <f>_xll.qlSimpleQuote(E7,,PriceTickValue,Permanent,Trigger,ObjectOverwrite)</f>
        <v>GBPFUT1MF4_Quote#0000</v>
      </c>
      <c r="G7" s="144" t="str">
        <f>_xll.ohRangeRetrieveError(F7)</f>
        <v/>
      </c>
      <c r="H7" s="137"/>
      <c r="J7" s="143"/>
      <c r="K7" s="442">
        <v>1</v>
      </c>
      <c r="L7" s="441" t="b">
        <v>0</v>
      </c>
      <c r="M7" s="436" t="str">
        <f t="array" ref="M7:M18">_xll.qlIMMcode(FuturesDates)</f>
        <v>F4</v>
      </c>
      <c r="N7" s="440">
        <f t="array" ref="N7:N18">_xll.qlIMMNextDates(_xll.qlSettingsEvaluationDate(Trigger)-1,$L7:$L18)</f>
        <v>41654</v>
      </c>
      <c r="O7" s="436" t="str">
        <f t="array" ref="O7:O18">VLOOKUP(Currency,LiffeCodes,2)&amp;FuturesCodes</f>
        <v>F4</v>
      </c>
      <c r="P7" s="439" t="s">
        <v>233</v>
      </c>
      <c r="Q7" s="436" t="s">
        <v>233</v>
      </c>
      <c r="R7" s="436" t="s">
        <v>233</v>
      </c>
      <c r="S7" s="436" t="s">
        <v>233</v>
      </c>
      <c r="T7" s="436" t="s">
        <v>233</v>
      </c>
      <c r="U7" s="435" t="e">
        <f>_xll.qlMidSafe($Q7,$R7)</f>
        <v>#NUM!</v>
      </c>
      <c r="V7" s="416"/>
      <c r="W7" s="438" t="e">
        <v>#NUM!</v>
      </c>
      <c r="X7" s="416"/>
      <c r="Y7" s="437" t="str">
        <f t="array" ref="Y7:Y18">Currency&amp;$Y$5&amp;FuturesCodes&amp;$Z$3</f>
        <v>GBPFUT1MF4_Quote</v>
      </c>
      <c r="Z7" s="436" t="e">
        <f t="array" ref="Z7:Z18">QuoteLive</f>
        <v>#NUM!</v>
      </c>
      <c r="AA7" s="435" t="e">
        <f>_xll.qlSimpleQuoteSetValue($Y7,$Z7,Trigger)</f>
        <v>#NUM!</v>
      </c>
      <c r="AB7" s="137"/>
      <c r="AD7" s="433" t="s">
        <v>120</v>
      </c>
      <c r="AE7" s="432"/>
      <c r="AG7" s="412" t="e">
        <f t="shared" si="0"/>
        <v>#VALUE!</v>
      </c>
      <c r="AI7" s="143"/>
      <c r="AJ7" s="148">
        <v>1</v>
      </c>
      <c r="AK7" s="146" t="b">
        <v>0</v>
      </c>
      <c r="AL7" s="146" t="str">
        <f t="array" ref="AL7:AL126">_xll.qlIMMNextCodes(_xll.qlSettingsEvaluationDate(Trigger)-1,$AK7:$AK126)</f>
        <v>F4</v>
      </c>
      <c r="AM7" s="250" t="str">
        <f t="shared" ref="AM7:AM38" si="2">Currency&amp;"FUT"&amp;$AO$4&amp;$AL7&amp;QuoteSuffix</f>
        <v>GBPFUT1MF4_Quote</v>
      </c>
      <c r="AN7" s="251" t="str">
        <f t="shared" ref="AN7:AN38" si="3">Currency&amp;"FUT"&amp;$AO$4&amp;$AL7&amp;"ConvAdj"&amp;QuoteSuffix</f>
        <v>GBPFUT1MF4ConvAdj_Quote</v>
      </c>
      <c r="AO7" s="250" t="e">
        <f>_xll.qlFuturesConvAdjustmentQuote($AN7,IborIndex,$AL7,$AM7,Volatility,MeanReversion,Permanent,Trigger,ObjectOverwrite)</f>
        <v>#NUM!</v>
      </c>
      <c r="AP7" s="72" t="str">
        <f ca="1">_xll.ohRangeRetrieveError(AO7)</f>
        <v>qlFuturesConvAdjustmentQuote - ObjectHandler error: attempt to retrieve object with unknown ID 'GbpLibor1M'</v>
      </c>
    </row>
    <row r="8" spans="1:42" x14ac:dyDescent="0.2">
      <c r="A8" s="143"/>
      <c r="B8" s="142">
        <v>2</v>
      </c>
      <c r="C8" s="141" t="b">
        <v>0</v>
      </c>
      <c r="D8" s="140" t="str">
        <v>G4</v>
      </c>
      <c r="E8" s="139" t="str">
        <f t="shared" si="1"/>
        <v>GBPFUT1MG4_Quote</v>
      </c>
      <c r="F8" s="138" t="str">
        <f>_xll.qlSimpleQuote(E8,,PriceTickValue,Permanent,Trigger,ObjectOverwrite)</f>
        <v>GBPFUT1MG4_Quote#0000</v>
      </c>
      <c r="G8" s="101" t="str">
        <f>_xll.ohRangeRetrieveError(F8)</f>
        <v/>
      </c>
      <c r="H8" s="137"/>
      <c r="J8" s="143"/>
      <c r="K8" s="429">
        <v>2</v>
      </c>
      <c r="L8" s="428" t="b">
        <v>0</v>
      </c>
      <c r="M8" s="423" t="str">
        <v>G4</v>
      </c>
      <c r="N8" s="427">
        <v>41689</v>
      </c>
      <c r="O8" s="423" t="str">
        <v>G4</v>
      </c>
      <c r="P8" s="426" t="s">
        <v>233</v>
      </c>
      <c r="Q8" s="423" t="s">
        <v>233</v>
      </c>
      <c r="R8" s="423" t="s">
        <v>233</v>
      </c>
      <c r="S8" s="423" t="s">
        <v>233</v>
      </c>
      <c r="T8" s="423" t="s">
        <v>233</v>
      </c>
      <c r="U8" s="422" t="e">
        <f>_xll.qlMidSafe($Q8,$R8)</f>
        <v>#NUM!</v>
      </c>
      <c r="V8" s="416"/>
      <c r="W8" s="434" t="e">
        <v>#NUM!</v>
      </c>
      <c r="X8" s="416"/>
      <c r="Y8" s="424" t="str">
        <v>GBPFUT1MG4_Quote</v>
      </c>
      <c r="Z8" s="423" t="e">
        <v>#NUM!</v>
      </c>
      <c r="AA8" s="422" t="e">
        <f>_xll.qlSimpleQuoteSetValue($Y8,$Z8,Trigger)</f>
        <v>#NUM!</v>
      </c>
      <c r="AB8" s="137"/>
      <c r="AD8" s="433" t="s">
        <v>96</v>
      </c>
      <c r="AE8" s="432"/>
      <c r="AG8" s="412" t="e">
        <f t="shared" si="0"/>
        <v>#VALUE!</v>
      </c>
      <c r="AI8" s="143"/>
      <c r="AJ8" s="142">
        <v>2</v>
      </c>
      <c r="AK8" s="140" t="b">
        <v>0</v>
      </c>
      <c r="AL8" s="140" t="str">
        <v>G4</v>
      </c>
      <c r="AM8" s="250" t="str">
        <f t="shared" si="2"/>
        <v>GBPFUT1MG4_Quote</v>
      </c>
      <c r="AN8" s="251" t="str">
        <f t="shared" si="3"/>
        <v>GBPFUT1MG4ConvAdj_Quote</v>
      </c>
      <c r="AO8" s="250" t="e">
        <f>_xll.qlFuturesConvAdjustmentQuote($AN8,IborIndex,$AL8,$AM8,Volatility,MeanReversion,Permanent,Trigger,ObjectOverwrite)</f>
        <v>#NUM!</v>
      </c>
      <c r="AP8" s="72" t="str">
        <f ca="1">_xll.ohRangeRetrieveError(AO8)</f>
        <v>qlFuturesConvAdjustmentQuote - ObjectHandler error: attempt to retrieve object with unknown ID 'GbpLibor1M'</v>
      </c>
    </row>
    <row r="9" spans="1:42" x14ac:dyDescent="0.2">
      <c r="A9" s="143"/>
      <c r="B9" s="142">
        <v>3</v>
      </c>
      <c r="C9" s="141" t="b">
        <v>0</v>
      </c>
      <c r="D9" s="140" t="str">
        <v>H4</v>
      </c>
      <c r="E9" s="139" t="str">
        <f t="shared" si="1"/>
        <v>GBPFUT1MH4_Quote</v>
      </c>
      <c r="F9" s="138" t="str">
        <f>_xll.qlSimpleQuote(E9,,PriceTickValue,Permanent,Trigger,ObjectOverwrite)</f>
        <v>GBPFUT1MH4_Quote#0000</v>
      </c>
      <c r="G9" s="101" t="str">
        <f>_xll.ohRangeRetrieveError(F9)</f>
        <v/>
      </c>
      <c r="H9" s="137"/>
      <c r="J9" s="143"/>
      <c r="K9" s="429">
        <v>3</v>
      </c>
      <c r="L9" s="428" t="b">
        <v>0</v>
      </c>
      <c r="M9" s="423" t="str">
        <v>H4</v>
      </c>
      <c r="N9" s="427">
        <v>41717</v>
      </c>
      <c r="O9" s="423" t="str">
        <v>H4</v>
      </c>
      <c r="P9" s="426" t="s">
        <v>233</v>
      </c>
      <c r="Q9" s="423" t="s">
        <v>233</v>
      </c>
      <c r="R9" s="423" t="s">
        <v>233</v>
      </c>
      <c r="S9" s="423" t="s">
        <v>233</v>
      </c>
      <c r="T9" s="423" t="s">
        <v>233</v>
      </c>
      <c r="U9" s="422" t="e">
        <f>_xll.qlMidSafe($Q9,$R9)</f>
        <v>#NUM!</v>
      </c>
      <c r="V9" s="416"/>
      <c r="W9" s="434" t="e">
        <v>#NUM!</v>
      </c>
      <c r="X9" s="416"/>
      <c r="Y9" s="424" t="str">
        <v>GBPFUT1MH4_Quote</v>
      </c>
      <c r="Z9" s="423" t="e">
        <v>#NUM!</v>
      </c>
      <c r="AA9" s="422" t="e">
        <f>_xll.qlSimpleQuoteSetValue($Y9,$Z9,Trigger)</f>
        <v>#NUM!</v>
      </c>
      <c r="AB9" s="137"/>
      <c r="AD9" s="433" t="s">
        <v>117</v>
      </c>
      <c r="AE9" s="432"/>
      <c r="AG9" s="412" t="e">
        <f t="shared" si="0"/>
        <v>#VALUE!</v>
      </c>
      <c r="AI9" s="143"/>
      <c r="AJ9" s="142">
        <v>3</v>
      </c>
      <c r="AK9" s="140" t="b">
        <v>0</v>
      </c>
      <c r="AL9" s="140" t="str">
        <v>H4</v>
      </c>
      <c r="AM9" s="250" t="str">
        <f t="shared" si="2"/>
        <v>GBPFUT1MH4_Quote</v>
      </c>
      <c r="AN9" s="251" t="str">
        <f t="shared" si="3"/>
        <v>GBPFUT1MH4ConvAdj_Quote</v>
      </c>
      <c r="AO9" s="250" t="e">
        <f>_xll.qlFuturesConvAdjustmentQuote($AN9,IborIndex,$AL9,$AM9,Volatility,MeanReversion,Permanent,Trigger,ObjectOverwrite)</f>
        <v>#NUM!</v>
      </c>
      <c r="AP9" s="72" t="str">
        <f ca="1">_xll.ohRangeRetrieveError(AO9)</f>
        <v>qlFuturesConvAdjustmentQuote - ObjectHandler error: attempt to retrieve object with unknown ID 'GbpLibor1M'</v>
      </c>
    </row>
    <row r="10" spans="1:42" ht="12" thickBot="1" x14ac:dyDescent="0.25">
      <c r="A10" s="143"/>
      <c r="B10" s="142">
        <v>4</v>
      </c>
      <c r="C10" s="141" t="b">
        <v>0</v>
      </c>
      <c r="D10" s="140" t="str">
        <v>J4</v>
      </c>
      <c r="E10" s="139" t="str">
        <f t="shared" si="1"/>
        <v>GBPFUT1MJ4_Quote</v>
      </c>
      <c r="F10" s="138" t="str">
        <f>_xll.qlSimpleQuote(E10,,PriceTickValue,Permanent,Trigger,ObjectOverwrite)</f>
        <v>GBPFUT1MJ4_Quote#0000</v>
      </c>
      <c r="G10" s="101" t="str">
        <f>_xll.ohRangeRetrieveError(F10)</f>
        <v/>
      </c>
      <c r="H10" s="137"/>
      <c r="J10" s="143"/>
      <c r="K10" s="429">
        <v>4</v>
      </c>
      <c r="L10" s="428" t="b">
        <v>0</v>
      </c>
      <c r="M10" s="423" t="str">
        <v>J4</v>
      </c>
      <c r="N10" s="427">
        <v>41745</v>
      </c>
      <c r="O10" s="423" t="str">
        <v>J4</v>
      </c>
      <c r="P10" s="426" t="s">
        <v>233</v>
      </c>
      <c r="Q10" s="423" t="s">
        <v>233</v>
      </c>
      <c r="R10" s="423" t="s">
        <v>233</v>
      </c>
      <c r="S10" s="423" t="s">
        <v>233</v>
      </c>
      <c r="T10" s="423" t="s">
        <v>233</v>
      </c>
      <c r="U10" s="422" t="e">
        <f>_xll.qlMidSafe($Q10,$R10)</f>
        <v>#NUM!</v>
      </c>
      <c r="V10" s="416"/>
      <c r="W10" s="434" t="e">
        <v>#NUM!</v>
      </c>
      <c r="X10" s="416"/>
      <c r="Y10" s="424" t="str">
        <v>GBPFUT1MJ4_Quote</v>
      </c>
      <c r="Z10" s="423" t="e">
        <v>#NUM!</v>
      </c>
      <c r="AA10" s="422" t="e">
        <f>_xll.qlSimpleQuoteSetValue($Y10,$Z10,Trigger)</f>
        <v>#NUM!</v>
      </c>
      <c r="AB10" s="137"/>
      <c r="AD10" s="431" t="s">
        <v>115</v>
      </c>
      <c r="AE10" s="430" t="s">
        <v>292</v>
      </c>
      <c r="AG10" s="412" t="e">
        <f t="shared" si="0"/>
        <v>#VALUE!</v>
      </c>
      <c r="AI10" s="143"/>
      <c r="AJ10" s="142">
        <v>4</v>
      </c>
      <c r="AK10" s="140" t="b">
        <v>0</v>
      </c>
      <c r="AL10" s="140" t="str">
        <v>J4</v>
      </c>
      <c r="AM10" s="250" t="str">
        <f t="shared" si="2"/>
        <v>GBPFUT1MJ4_Quote</v>
      </c>
      <c r="AN10" s="251" t="str">
        <f t="shared" si="3"/>
        <v>GBPFUT1MJ4ConvAdj_Quote</v>
      </c>
      <c r="AO10" s="250" t="e">
        <f>_xll.qlFuturesConvAdjustmentQuote($AN10,IborIndex,$AL10,$AM10,Volatility,MeanReversion,Permanent,Trigger,ObjectOverwrite)</f>
        <v>#NUM!</v>
      </c>
      <c r="AP10" s="72" t="str">
        <f ca="1">_xll.ohRangeRetrieveError(AO10)</f>
        <v>qlFuturesConvAdjustmentQuote - ObjectHandler error: attempt to retrieve object with unknown ID 'GbpLibor1M'</v>
      </c>
    </row>
    <row r="11" spans="1:42" x14ac:dyDescent="0.2">
      <c r="A11" s="143"/>
      <c r="B11" s="142">
        <v>5</v>
      </c>
      <c r="C11" s="141" t="b">
        <v>0</v>
      </c>
      <c r="D11" s="140" t="str">
        <v>K4</v>
      </c>
      <c r="E11" s="139" t="str">
        <f t="shared" si="1"/>
        <v>GBPFUT1MK4_Quote</v>
      </c>
      <c r="F11" s="138" t="str">
        <f>_xll.qlSimpleQuote(E11,,PriceTickValue,Permanent,Trigger,ObjectOverwrite)</f>
        <v>GBPFUT1MK4_Quote#0000</v>
      </c>
      <c r="G11" s="101" t="str">
        <f>_xll.ohRangeRetrieveError(F11)</f>
        <v/>
      </c>
      <c r="H11" s="137"/>
      <c r="J11" s="143"/>
      <c r="K11" s="429">
        <v>5</v>
      </c>
      <c r="L11" s="428" t="b">
        <v>0</v>
      </c>
      <c r="M11" s="423" t="str">
        <v>K4</v>
      </c>
      <c r="N11" s="427">
        <v>41780</v>
      </c>
      <c r="O11" s="423" t="str">
        <v>K4</v>
      </c>
      <c r="P11" s="426" t="s">
        <v>233</v>
      </c>
      <c r="Q11" s="423" t="s">
        <v>233</v>
      </c>
      <c r="R11" s="423" t="s">
        <v>233</v>
      </c>
      <c r="S11" s="423" t="s">
        <v>233</v>
      </c>
      <c r="T11" s="423" t="s">
        <v>233</v>
      </c>
      <c r="U11" s="422" t="e">
        <f>_xll.qlMidSafe($Q11,$R11)</f>
        <v>#NUM!</v>
      </c>
      <c r="V11" s="416"/>
      <c r="W11" s="425" t="e">
        <v>#NUM!</v>
      </c>
      <c r="X11" s="416"/>
      <c r="Y11" s="424" t="str">
        <v>GBPFUT1MK4_Quote</v>
      </c>
      <c r="Z11" s="423" t="e">
        <v>#NUM!</v>
      </c>
      <c r="AA11" s="422" t="e">
        <f>_xll.qlSimpleQuoteSetValue($Y11,$Z11,Trigger)</f>
        <v>#NUM!</v>
      </c>
      <c r="AB11" s="137"/>
      <c r="AG11" s="412" t="e">
        <f t="shared" si="0"/>
        <v>#VALUE!</v>
      </c>
      <c r="AI11" s="143"/>
      <c r="AJ11" s="142">
        <v>5</v>
      </c>
      <c r="AK11" s="140" t="b">
        <v>0</v>
      </c>
      <c r="AL11" s="140" t="str">
        <v>K4</v>
      </c>
      <c r="AM11" s="250" t="str">
        <f t="shared" si="2"/>
        <v>GBPFUT1MK4_Quote</v>
      </c>
      <c r="AN11" s="251" t="str">
        <f t="shared" si="3"/>
        <v>GBPFUT1MK4ConvAdj_Quote</v>
      </c>
      <c r="AO11" s="250" t="e">
        <f>_xll.qlFuturesConvAdjustmentQuote($AN11,IborIndex,$AL11,$AM11,Volatility,MeanReversion,Permanent,Trigger,ObjectOverwrite)</f>
        <v>#NUM!</v>
      </c>
      <c r="AP11" s="72" t="str">
        <f ca="1">_xll.ohRangeRetrieveError(AO11)</f>
        <v>qlFuturesConvAdjustmentQuote - ObjectHandler error: attempt to retrieve object with unknown ID 'GbpLibor1M'</v>
      </c>
    </row>
    <row r="12" spans="1:42" x14ac:dyDescent="0.2">
      <c r="A12" s="143"/>
      <c r="B12" s="142">
        <v>6</v>
      </c>
      <c r="C12" s="141" t="b">
        <v>0</v>
      </c>
      <c r="D12" s="140" t="str">
        <v>M4</v>
      </c>
      <c r="E12" s="139" t="str">
        <f t="shared" si="1"/>
        <v>GBPFUT1MM4_Quote</v>
      </c>
      <c r="F12" s="138" t="str">
        <f>_xll.qlSimpleQuote(E12,,PriceTickValue,Permanent,Trigger,ObjectOverwrite)</f>
        <v>GBPFUT1MM4_Quote#0000</v>
      </c>
      <c r="G12" s="101" t="str">
        <f>_xll.ohRangeRetrieveError(F12)</f>
        <v/>
      </c>
      <c r="H12" s="137"/>
      <c r="J12" s="143"/>
      <c r="K12" s="429">
        <v>6</v>
      </c>
      <c r="L12" s="428" t="b">
        <v>0</v>
      </c>
      <c r="M12" s="423" t="str">
        <v>M4</v>
      </c>
      <c r="N12" s="427">
        <v>41808</v>
      </c>
      <c r="O12" s="423" t="str">
        <v>M4</v>
      </c>
      <c r="P12" s="426" t="s">
        <v>233</v>
      </c>
      <c r="Q12" s="423" t="s">
        <v>233</v>
      </c>
      <c r="R12" s="423" t="s">
        <v>233</v>
      </c>
      <c r="S12" s="423" t="s">
        <v>233</v>
      </c>
      <c r="T12" s="423" t="s">
        <v>233</v>
      </c>
      <c r="U12" s="422" t="e">
        <f>_xll.qlMidSafe($Q12,$R12)</f>
        <v>#NUM!</v>
      </c>
      <c r="V12" s="416"/>
      <c r="W12" s="425" t="e">
        <v>#NUM!</v>
      </c>
      <c r="X12" s="416"/>
      <c r="Y12" s="424" t="str">
        <v>GBPFUT1MM4_Quote</v>
      </c>
      <c r="Z12" s="423" t="e">
        <v>#NUM!</v>
      </c>
      <c r="AA12" s="422" t="e">
        <f>_xll.qlSimpleQuoteSetValue($Y12,$Z12,Trigger)</f>
        <v>#NUM!</v>
      </c>
      <c r="AB12" s="137"/>
      <c r="AG12" s="412" t="e">
        <f t="shared" si="0"/>
        <v>#VALUE!</v>
      </c>
      <c r="AI12" s="143"/>
      <c r="AJ12" s="142">
        <v>6</v>
      </c>
      <c r="AK12" s="140" t="b">
        <v>0</v>
      </c>
      <c r="AL12" s="140" t="str">
        <v>M4</v>
      </c>
      <c r="AM12" s="250" t="str">
        <f t="shared" si="2"/>
        <v>GBPFUT1MM4_Quote</v>
      </c>
      <c r="AN12" s="251" t="str">
        <f t="shared" si="3"/>
        <v>GBPFUT1MM4ConvAdj_Quote</v>
      </c>
      <c r="AO12" s="250" t="e">
        <f>_xll.qlFuturesConvAdjustmentQuote($AN12,IborIndex,$AL12,$AM12,Volatility,MeanReversion,Permanent,Trigger,ObjectOverwrite)</f>
        <v>#NUM!</v>
      </c>
      <c r="AP12" s="72" t="str">
        <f ca="1">_xll.ohRangeRetrieveError(AO12)</f>
        <v>qlFuturesConvAdjustmentQuote - ObjectHandler error: attempt to retrieve object with unknown ID 'GbpLibor1M'</v>
      </c>
    </row>
    <row r="13" spans="1:42" x14ac:dyDescent="0.2">
      <c r="A13" s="143"/>
      <c r="B13" s="142">
        <v>7</v>
      </c>
      <c r="C13" s="141" t="b">
        <v>0</v>
      </c>
      <c r="D13" s="140" t="str">
        <v>N4</v>
      </c>
      <c r="E13" s="139" t="str">
        <f t="shared" si="1"/>
        <v>GBPFUT1MN4_Quote</v>
      </c>
      <c r="F13" s="138" t="str">
        <f>_xll.qlSimpleQuote(E13,,PriceTickValue,Permanent,Trigger,ObjectOverwrite)</f>
        <v>GBPFUT1MN4_Quote#0000</v>
      </c>
      <c r="G13" s="101" t="str">
        <f>_xll.ohRangeRetrieveError(F13)</f>
        <v/>
      </c>
      <c r="H13" s="137"/>
      <c r="J13" s="143"/>
      <c r="K13" s="429">
        <v>7</v>
      </c>
      <c r="L13" s="428" t="b">
        <v>0</v>
      </c>
      <c r="M13" s="423" t="str">
        <v>N4</v>
      </c>
      <c r="N13" s="427">
        <v>41836</v>
      </c>
      <c r="O13" s="423" t="str">
        <v>N4</v>
      </c>
      <c r="P13" s="426" t="s">
        <v>233</v>
      </c>
      <c r="Q13" s="423" t="s">
        <v>233</v>
      </c>
      <c r="R13" s="423" t="s">
        <v>233</v>
      </c>
      <c r="S13" s="423" t="s">
        <v>233</v>
      </c>
      <c r="T13" s="423" t="s">
        <v>233</v>
      </c>
      <c r="U13" s="422" t="e">
        <f>_xll.qlMidSafe($Q13,$R13)</f>
        <v>#NUM!</v>
      </c>
      <c r="V13" s="416"/>
      <c r="W13" s="425" t="e">
        <v>#NUM!</v>
      </c>
      <c r="X13" s="416"/>
      <c r="Y13" s="424" t="str">
        <v>GBPFUT1MN4_Quote</v>
      </c>
      <c r="Z13" s="423" t="e">
        <v>#NUM!</v>
      </c>
      <c r="AA13" s="422" t="e">
        <f>_xll.qlSimpleQuoteSetValue($Y13,$Z13,Trigger)</f>
        <v>#NUM!</v>
      </c>
      <c r="AB13" s="137"/>
      <c r="AG13" s="412" t="e">
        <f t="shared" si="0"/>
        <v>#VALUE!</v>
      </c>
      <c r="AI13" s="143"/>
      <c r="AJ13" s="142">
        <v>7</v>
      </c>
      <c r="AK13" s="140" t="b">
        <v>0</v>
      </c>
      <c r="AL13" s="140" t="str">
        <v>N4</v>
      </c>
      <c r="AM13" s="250" t="str">
        <f t="shared" si="2"/>
        <v>GBPFUT1MN4_Quote</v>
      </c>
      <c r="AN13" s="251" t="str">
        <f t="shared" si="3"/>
        <v>GBPFUT1MN4ConvAdj_Quote</v>
      </c>
      <c r="AO13" s="250" t="e">
        <f>_xll.qlFuturesConvAdjustmentQuote($AN13,IborIndex,$AL13,$AM13,Volatility,MeanReversion,Permanent,Trigger,ObjectOverwrite)</f>
        <v>#NUM!</v>
      </c>
      <c r="AP13" s="72" t="str">
        <f ca="1">_xll.ohRangeRetrieveError(AO13)</f>
        <v>qlFuturesConvAdjustmentQuote - ObjectHandler error: attempt to retrieve object with unknown ID 'GbpLibor1M'</v>
      </c>
    </row>
    <row r="14" spans="1:42" x14ac:dyDescent="0.2">
      <c r="A14" s="143"/>
      <c r="B14" s="142">
        <v>8</v>
      </c>
      <c r="C14" s="141" t="b">
        <v>0</v>
      </c>
      <c r="D14" s="140" t="str">
        <v>Q4</v>
      </c>
      <c r="E14" s="139" t="str">
        <f t="shared" si="1"/>
        <v>GBPFUT1MQ4_Quote</v>
      </c>
      <c r="F14" s="138" t="str">
        <f>_xll.qlSimpleQuote(E14,,PriceTickValue,Permanent,Trigger,ObjectOverwrite)</f>
        <v>GBPFUT1MQ4_Quote#0000</v>
      </c>
      <c r="G14" s="101" t="str">
        <f>_xll.ohRangeRetrieveError(F14)</f>
        <v/>
      </c>
      <c r="H14" s="137"/>
      <c r="J14" s="143"/>
      <c r="K14" s="429">
        <v>8</v>
      </c>
      <c r="L14" s="428" t="b">
        <v>0</v>
      </c>
      <c r="M14" s="423" t="str">
        <v>Q4</v>
      </c>
      <c r="N14" s="427">
        <v>41871</v>
      </c>
      <c r="O14" s="423" t="str">
        <v>Q4</v>
      </c>
      <c r="P14" s="426" t="s">
        <v>233</v>
      </c>
      <c r="Q14" s="423" t="s">
        <v>233</v>
      </c>
      <c r="R14" s="423" t="s">
        <v>233</v>
      </c>
      <c r="S14" s="423" t="s">
        <v>233</v>
      </c>
      <c r="T14" s="423" t="s">
        <v>233</v>
      </c>
      <c r="U14" s="422" t="e">
        <f>_xll.qlMidSafe($Q14,$R14)</f>
        <v>#NUM!</v>
      </c>
      <c r="V14" s="416"/>
      <c r="W14" s="425" t="e">
        <v>#NUM!</v>
      </c>
      <c r="X14" s="416"/>
      <c r="Y14" s="424" t="str">
        <v>GBPFUT1MQ4_Quote</v>
      </c>
      <c r="Z14" s="423" t="e">
        <v>#NUM!</v>
      </c>
      <c r="AA14" s="422" t="e">
        <f>_xll.qlSimpleQuoteSetValue($Y14,$Z14,Trigger)</f>
        <v>#NUM!</v>
      </c>
      <c r="AB14" s="137"/>
      <c r="AG14" s="412" t="e">
        <f t="shared" si="0"/>
        <v>#VALUE!</v>
      </c>
      <c r="AI14" s="143"/>
      <c r="AJ14" s="142">
        <v>8</v>
      </c>
      <c r="AK14" s="140" t="b">
        <v>0</v>
      </c>
      <c r="AL14" s="140" t="str">
        <v>Q4</v>
      </c>
      <c r="AM14" s="250" t="str">
        <f t="shared" si="2"/>
        <v>GBPFUT1MQ4_Quote</v>
      </c>
      <c r="AN14" s="251" t="str">
        <f t="shared" si="3"/>
        <v>GBPFUT1MQ4ConvAdj_Quote</v>
      </c>
      <c r="AO14" s="250" t="e">
        <f>_xll.qlFuturesConvAdjustmentQuote($AN14,IborIndex,$AL14,$AM14,Volatility,MeanReversion,Permanent,Trigger,ObjectOverwrite)</f>
        <v>#NUM!</v>
      </c>
      <c r="AP14" s="72" t="str">
        <f ca="1">_xll.ohRangeRetrieveError(AO14)</f>
        <v>qlFuturesConvAdjustmentQuote - ObjectHandler error: attempt to retrieve object with unknown ID 'GbpLibor1M'</v>
      </c>
    </row>
    <row r="15" spans="1:42" x14ac:dyDescent="0.2">
      <c r="A15" s="143"/>
      <c r="B15" s="142">
        <v>9</v>
      </c>
      <c r="C15" s="141" t="b">
        <v>0</v>
      </c>
      <c r="D15" s="140" t="str">
        <v>U4</v>
      </c>
      <c r="E15" s="139" t="str">
        <f t="shared" si="1"/>
        <v>GBPFUT1MU4_Quote</v>
      </c>
      <c r="F15" s="138" t="str">
        <f>_xll.qlSimpleQuote(E15,,PriceTickValue,Permanent,Trigger,ObjectOverwrite)</f>
        <v>GBPFUT1MU4_Quote#0000</v>
      </c>
      <c r="G15" s="101" t="str">
        <f>_xll.ohRangeRetrieveError(F15)</f>
        <v/>
      </c>
      <c r="H15" s="137"/>
      <c r="J15" s="143"/>
      <c r="K15" s="429">
        <v>9</v>
      </c>
      <c r="L15" s="428" t="b">
        <v>0</v>
      </c>
      <c r="M15" s="423" t="str">
        <v>U4</v>
      </c>
      <c r="N15" s="427">
        <v>41899</v>
      </c>
      <c r="O15" s="423" t="str">
        <v>U4</v>
      </c>
      <c r="P15" s="426" t="s">
        <v>233</v>
      </c>
      <c r="Q15" s="423" t="s">
        <v>233</v>
      </c>
      <c r="R15" s="423" t="s">
        <v>233</v>
      </c>
      <c r="S15" s="423" t="s">
        <v>233</v>
      </c>
      <c r="T15" s="423" t="s">
        <v>233</v>
      </c>
      <c r="U15" s="422" t="e">
        <f>_xll.qlMidSafe($Q15,$R15)</f>
        <v>#NUM!</v>
      </c>
      <c r="V15" s="416"/>
      <c r="W15" s="425" t="e">
        <v>#NUM!</v>
      </c>
      <c r="X15" s="416"/>
      <c r="Y15" s="424" t="str">
        <v>GBPFUT1MU4_Quote</v>
      </c>
      <c r="Z15" s="423" t="e">
        <v>#NUM!</v>
      </c>
      <c r="AA15" s="422" t="e">
        <f>_xll.qlSimpleQuoteSetValue($Y15,$Z15,Trigger)</f>
        <v>#NUM!</v>
      </c>
      <c r="AB15" s="137"/>
      <c r="AG15" s="412" t="e">
        <f t="shared" si="0"/>
        <v>#VALUE!</v>
      </c>
      <c r="AI15" s="143"/>
      <c r="AJ15" s="142">
        <v>9</v>
      </c>
      <c r="AK15" s="140" t="b">
        <v>0</v>
      </c>
      <c r="AL15" s="140" t="str">
        <v>U4</v>
      </c>
      <c r="AM15" s="250" t="str">
        <f t="shared" si="2"/>
        <v>GBPFUT1MU4_Quote</v>
      </c>
      <c r="AN15" s="251" t="str">
        <f t="shared" si="3"/>
        <v>GBPFUT1MU4ConvAdj_Quote</v>
      </c>
      <c r="AO15" s="250" t="e">
        <f>_xll.qlFuturesConvAdjustmentQuote($AN15,IborIndex,$AL15,$AM15,Volatility,MeanReversion,Permanent,Trigger,ObjectOverwrite)</f>
        <v>#NUM!</v>
      </c>
      <c r="AP15" s="72" t="str">
        <f ca="1">_xll.ohRangeRetrieveError(AO15)</f>
        <v>qlFuturesConvAdjustmentQuote - ObjectHandler error: attempt to retrieve object with unknown ID 'GbpLibor1M'</v>
      </c>
    </row>
    <row r="16" spans="1:42" x14ac:dyDescent="0.2">
      <c r="A16" s="143"/>
      <c r="B16" s="142">
        <v>10</v>
      </c>
      <c r="C16" s="141" t="b">
        <v>0</v>
      </c>
      <c r="D16" s="140" t="str">
        <v>V4</v>
      </c>
      <c r="E16" s="139" t="str">
        <f t="shared" si="1"/>
        <v>GBPFUT1MV4_Quote</v>
      </c>
      <c r="F16" s="138" t="str">
        <f>_xll.qlSimpleQuote(E16,,PriceTickValue,Permanent,Trigger,ObjectOverwrite)</f>
        <v>GBPFUT1MV4_Quote#0000</v>
      </c>
      <c r="G16" s="101" t="str">
        <f>_xll.ohRangeRetrieveError(F16)</f>
        <v/>
      </c>
      <c r="H16" s="137"/>
      <c r="J16" s="143"/>
      <c r="K16" s="429">
        <v>10</v>
      </c>
      <c r="L16" s="428" t="b">
        <v>0</v>
      </c>
      <c r="M16" s="423" t="str">
        <v>V4</v>
      </c>
      <c r="N16" s="427">
        <v>41927</v>
      </c>
      <c r="O16" s="423" t="str">
        <v>V4</v>
      </c>
      <c r="P16" s="426" t="s">
        <v>233</v>
      </c>
      <c r="Q16" s="423" t="s">
        <v>233</v>
      </c>
      <c r="R16" s="423" t="s">
        <v>233</v>
      </c>
      <c r="S16" s="423" t="s">
        <v>233</v>
      </c>
      <c r="T16" s="423" t="s">
        <v>233</v>
      </c>
      <c r="U16" s="422" t="e">
        <f>_xll.qlMidSafe($Q16,$R16)</f>
        <v>#NUM!</v>
      </c>
      <c r="V16" s="416"/>
      <c r="W16" s="425" t="e">
        <v>#NUM!</v>
      </c>
      <c r="X16" s="416"/>
      <c r="Y16" s="424" t="str">
        <v>GBPFUT1MV4_Quote</v>
      </c>
      <c r="Z16" s="423" t="e">
        <v>#NUM!</v>
      </c>
      <c r="AA16" s="422" t="e">
        <f>_xll.qlSimpleQuoteSetValue($Y16,$Z16,Trigger)</f>
        <v>#NUM!</v>
      </c>
      <c r="AB16" s="137"/>
      <c r="AG16" s="412" t="e">
        <f t="shared" si="0"/>
        <v>#VALUE!</v>
      </c>
      <c r="AI16" s="143"/>
      <c r="AJ16" s="142">
        <v>10</v>
      </c>
      <c r="AK16" s="140" t="b">
        <v>0</v>
      </c>
      <c r="AL16" s="140" t="str">
        <v>V4</v>
      </c>
      <c r="AM16" s="250" t="str">
        <f t="shared" si="2"/>
        <v>GBPFUT1MV4_Quote</v>
      </c>
      <c r="AN16" s="251" t="str">
        <f t="shared" si="3"/>
        <v>GBPFUT1MV4ConvAdj_Quote</v>
      </c>
      <c r="AO16" s="250" t="e">
        <f>_xll.qlFuturesConvAdjustmentQuote($AN16,IborIndex,$AL16,$AM16,Volatility,MeanReversion,Permanent,Trigger,ObjectOverwrite)</f>
        <v>#NUM!</v>
      </c>
      <c r="AP16" s="72" t="str">
        <f ca="1">_xll.ohRangeRetrieveError(AO16)</f>
        <v>qlFuturesConvAdjustmentQuote - ObjectHandler error: attempt to retrieve object with unknown ID 'GbpLibor1M'</v>
      </c>
    </row>
    <row r="17" spans="1:42" x14ac:dyDescent="0.2">
      <c r="A17" s="143"/>
      <c r="B17" s="142">
        <v>11</v>
      </c>
      <c r="C17" s="141" t="b">
        <v>0</v>
      </c>
      <c r="D17" s="140" t="str">
        <v>X4</v>
      </c>
      <c r="E17" s="139" t="str">
        <f t="shared" si="1"/>
        <v>GBPFUT1MX4_Quote</v>
      </c>
      <c r="F17" s="138" t="str">
        <f>_xll.qlSimpleQuote(E17,,PriceTickValue,Permanent,Trigger,ObjectOverwrite)</f>
        <v>GBPFUT1MX4_Quote#0000</v>
      </c>
      <c r="G17" s="101" t="str">
        <f>_xll.ohRangeRetrieveError(F17)</f>
        <v/>
      </c>
      <c r="H17" s="137"/>
      <c r="J17" s="143"/>
      <c r="K17" s="429">
        <v>11</v>
      </c>
      <c r="L17" s="428" t="b">
        <v>0</v>
      </c>
      <c r="M17" s="423" t="str">
        <v>X4</v>
      </c>
      <c r="N17" s="427">
        <v>41962</v>
      </c>
      <c r="O17" s="423" t="str">
        <v>X4</v>
      </c>
      <c r="P17" s="426" t="s">
        <v>233</v>
      </c>
      <c r="Q17" s="423" t="s">
        <v>233</v>
      </c>
      <c r="R17" s="423" t="s">
        <v>233</v>
      </c>
      <c r="S17" s="423" t="s">
        <v>233</v>
      </c>
      <c r="T17" s="423" t="s">
        <v>233</v>
      </c>
      <c r="U17" s="422" t="e">
        <f>_xll.qlMidSafe($Q17,$R17)</f>
        <v>#NUM!</v>
      </c>
      <c r="V17" s="416"/>
      <c r="W17" s="425" t="e">
        <v>#NUM!</v>
      </c>
      <c r="X17" s="416"/>
      <c r="Y17" s="424" t="str">
        <v>GBPFUT1MX4_Quote</v>
      </c>
      <c r="Z17" s="423" t="e">
        <v>#NUM!</v>
      </c>
      <c r="AA17" s="422" t="e">
        <f>_xll.qlSimpleQuoteSetValue($Y17,$Z17,Trigger)</f>
        <v>#NUM!</v>
      </c>
      <c r="AB17" s="137"/>
      <c r="AG17" s="412" t="e">
        <f t="shared" si="0"/>
        <v>#VALUE!</v>
      </c>
      <c r="AI17" s="143"/>
      <c r="AJ17" s="142">
        <v>11</v>
      </c>
      <c r="AK17" s="140" t="b">
        <v>0</v>
      </c>
      <c r="AL17" s="140" t="str">
        <v>X4</v>
      </c>
      <c r="AM17" s="250" t="str">
        <f t="shared" si="2"/>
        <v>GBPFUT1MX4_Quote</v>
      </c>
      <c r="AN17" s="251" t="str">
        <f t="shared" si="3"/>
        <v>GBPFUT1MX4ConvAdj_Quote</v>
      </c>
      <c r="AO17" s="250" t="e">
        <f>_xll.qlFuturesConvAdjustmentQuote($AN17,IborIndex,$AL17,$AM17,Volatility,MeanReversion,Permanent,Trigger,ObjectOverwrite)</f>
        <v>#NUM!</v>
      </c>
      <c r="AP17" s="72" t="str">
        <f ca="1">_xll.ohRangeRetrieveError(AO17)</f>
        <v>qlFuturesConvAdjustmentQuote - ObjectHandler error: attempt to retrieve object with unknown ID 'GbpLibor1M'</v>
      </c>
    </row>
    <row r="18" spans="1:42" x14ac:dyDescent="0.2">
      <c r="A18" s="143"/>
      <c r="B18" s="142">
        <v>12</v>
      </c>
      <c r="C18" s="141" t="b">
        <v>0</v>
      </c>
      <c r="D18" s="140" t="str">
        <v>Z4</v>
      </c>
      <c r="E18" s="139" t="str">
        <f t="shared" si="1"/>
        <v>GBPFUT1MZ4_Quote</v>
      </c>
      <c r="F18" s="138" t="str">
        <f>_xll.qlSimpleQuote(E18,,PriceTickValue,Permanent,Trigger,ObjectOverwrite)</f>
        <v>GBPFUT1MZ4_Quote#0000</v>
      </c>
      <c r="G18" s="101" t="str">
        <f>_xll.ohRangeRetrieveError(F18)</f>
        <v/>
      </c>
      <c r="H18" s="137"/>
      <c r="J18" s="143"/>
      <c r="K18" s="421">
        <v>12</v>
      </c>
      <c r="L18" s="420" t="b">
        <v>0</v>
      </c>
      <c r="M18" s="414" t="str">
        <v>Z4</v>
      </c>
      <c r="N18" s="419">
        <v>41990</v>
      </c>
      <c r="O18" s="414" t="str">
        <v>Z4</v>
      </c>
      <c r="P18" s="418" t="s">
        <v>233</v>
      </c>
      <c r="Q18" s="414" t="s">
        <v>233</v>
      </c>
      <c r="R18" s="414" t="s">
        <v>233</v>
      </c>
      <c r="S18" s="414" t="s">
        <v>233</v>
      </c>
      <c r="T18" s="414" t="s">
        <v>233</v>
      </c>
      <c r="U18" s="413" t="e">
        <f>_xll.qlMidSafe($Q18,$R18)</f>
        <v>#NUM!</v>
      </c>
      <c r="V18" s="416"/>
      <c r="W18" s="417" t="e">
        <v>#NUM!</v>
      </c>
      <c r="X18" s="416"/>
      <c r="Y18" s="415" t="str">
        <v>GBPFUT1MZ4_Quote</v>
      </c>
      <c r="Z18" s="414" t="e">
        <v>#NUM!</v>
      </c>
      <c r="AA18" s="413" t="e">
        <f>_xll.qlSimpleQuoteSetValue($Y18,$Z18,Trigger)</f>
        <v>#NUM!</v>
      </c>
      <c r="AB18" s="137"/>
      <c r="AI18" s="143"/>
      <c r="AJ18" s="142">
        <v>12</v>
      </c>
      <c r="AK18" s="140" t="b">
        <v>0</v>
      </c>
      <c r="AL18" s="140" t="str">
        <v>Z4</v>
      </c>
      <c r="AM18" s="250" t="str">
        <f t="shared" si="2"/>
        <v>GBPFUT1MZ4_Quote</v>
      </c>
      <c r="AN18" s="251" t="str">
        <f t="shared" si="3"/>
        <v>GBPFUT1MZ4ConvAdj_Quote</v>
      </c>
      <c r="AO18" s="250" t="e">
        <f>_xll.qlFuturesConvAdjustmentQuote($AN18,IborIndex,$AL18,$AM18,Volatility,MeanReversion,Permanent,Trigger,ObjectOverwrite)</f>
        <v>#NUM!</v>
      </c>
      <c r="AP18" s="72" t="str">
        <f ca="1">_xll.ohRangeRetrieveError(AO18)</f>
        <v>qlFuturesConvAdjustmentQuote - ObjectHandler error: attempt to retrieve object with unknown ID 'GbpLibor1M'</v>
      </c>
    </row>
    <row r="19" spans="1:42" ht="12" thickBot="1" x14ac:dyDescent="0.25">
      <c r="A19" s="143"/>
      <c r="B19" s="142">
        <v>13</v>
      </c>
      <c r="C19" s="141" t="b">
        <v>0</v>
      </c>
      <c r="D19" s="140" t="str">
        <v>F5</v>
      </c>
      <c r="E19" s="139" t="str">
        <f t="shared" si="1"/>
        <v>GBPFUT1MF5_Quote</v>
      </c>
      <c r="F19" s="138" t="str">
        <f>_xll.qlSimpleQuote(E19,,PriceTickValue,Permanent,Trigger,ObjectOverwrite)</f>
        <v>GBPFUT1MF5_Quote#0000</v>
      </c>
      <c r="G19" s="101" t="str">
        <f>_xll.ohRangeRetrieveError(F19)</f>
        <v/>
      </c>
      <c r="H19" s="137"/>
      <c r="J19" s="136"/>
      <c r="K19" s="135"/>
      <c r="L19" s="135"/>
      <c r="M19" s="135"/>
      <c r="N19" s="135"/>
      <c r="O19" s="135"/>
      <c r="P19" s="135"/>
      <c r="Q19" s="135"/>
      <c r="R19" s="135"/>
      <c r="S19" s="135"/>
      <c r="T19" s="135"/>
      <c r="U19" s="135"/>
      <c r="V19" s="135"/>
      <c r="W19" s="135"/>
      <c r="X19" s="135"/>
      <c r="Y19" s="135"/>
      <c r="Z19" s="135"/>
      <c r="AA19" s="135"/>
      <c r="AB19" s="134"/>
      <c r="AI19" s="143"/>
      <c r="AJ19" s="142">
        <v>13</v>
      </c>
      <c r="AK19" s="140" t="b">
        <v>0</v>
      </c>
      <c r="AL19" s="140" t="str">
        <v>F5</v>
      </c>
      <c r="AM19" s="250" t="str">
        <f t="shared" si="2"/>
        <v>GBPFUT1MF5_Quote</v>
      </c>
      <c r="AN19" s="251" t="str">
        <f t="shared" si="3"/>
        <v>GBPFUT1MF5ConvAdj_Quote</v>
      </c>
      <c r="AO19" s="250" t="e">
        <f>_xll.qlFuturesConvAdjustmentQuote($AN19,IborIndex,$AL19,$AM19,Volatility,MeanReversion,Permanent,Trigger,ObjectOverwrite)</f>
        <v>#NUM!</v>
      </c>
      <c r="AP19" s="72" t="str">
        <f ca="1">_xll.ohRangeRetrieveError(AO19)</f>
        <v>qlFuturesConvAdjustmentQuote - ObjectHandler error: attempt to retrieve object with unknown ID 'GbpLibor1M'</v>
      </c>
    </row>
    <row r="20" spans="1:42" x14ac:dyDescent="0.2">
      <c r="A20" s="143"/>
      <c r="B20" s="142">
        <v>14</v>
      </c>
      <c r="C20" s="141" t="b">
        <v>0</v>
      </c>
      <c r="D20" s="140" t="str">
        <v>G5</v>
      </c>
      <c r="E20" s="139" t="str">
        <f t="shared" si="1"/>
        <v>GBPFUT1MG5_Quote</v>
      </c>
      <c r="F20" s="138" t="str">
        <f>_xll.qlSimpleQuote(E20,,PriceTickValue,Permanent,Trigger,ObjectOverwrite)</f>
        <v>GBPFUT1MG5_Quote#0000</v>
      </c>
      <c r="G20" s="101" t="str">
        <f>_xll.ohRangeRetrieveError(F20)</f>
        <v/>
      </c>
      <c r="H20" s="137"/>
      <c r="AI20" s="143"/>
      <c r="AJ20" s="142">
        <v>14</v>
      </c>
      <c r="AK20" s="140" t="b">
        <v>0</v>
      </c>
      <c r="AL20" s="140" t="str">
        <v>G5</v>
      </c>
      <c r="AM20" s="250" t="str">
        <f t="shared" si="2"/>
        <v>GBPFUT1MG5_Quote</v>
      </c>
      <c r="AN20" s="251" t="str">
        <f t="shared" si="3"/>
        <v>GBPFUT1MG5ConvAdj_Quote</v>
      </c>
      <c r="AO20" s="250" t="e">
        <f>_xll.qlFuturesConvAdjustmentQuote($AN20,IborIndex,$AL20,$AM20,Volatility,MeanReversion,Permanent,Trigger,ObjectOverwrite)</f>
        <v>#NUM!</v>
      </c>
      <c r="AP20" s="72" t="str">
        <f ca="1">_xll.ohRangeRetrieveError(AO20)</f>
        <v>qlFuturesConvAdjustmentQuote - ObjectHandler error: attempt to retrieve object with unknown ID 'GbpLibor1M'</v>
      </c>
    </row>
    <row r="21" spans="1:42" x14ac:dyDescent="0.2">
      <c r="A21" s="143"/>
      <c r="B21" s="142">
        <v>15</v>
      </c>
      <c r="C21" s="141" t="b">
        <v>0</v>
      </c>
      <c r="D21" s="140" t="str">
        <v>H5</v>
      </c>
      <c r="E21" s="139" t="str">
        <f t="shared" si="1"/>
        <v>GBPFUT1MH5_Quote</v>
      </c>
      <c r="F21" s="138" t="str">
        <f>_xll.qlSimpleQuote(E21,,PriceTickValue,Permanent,Trigger,ObjectOverwrite)</f>
        <v>GBPFUT1MH5_Quote#0000</v>
      </c>
      <c r="G21" s="101" t="str">
        <f>_xll.ohRangeRetrieveError(F21)</f>
        <v/>
      </c>
      <c r="H21" s="137"/>
      <c r="AI21" s="143"/>
      <c r="AJ21" s="142">
        <v>15</v>
      </c>
      <c r="AK21" s="140" t="b">
        <v>0</v>
      </c>
      <c r="AL21" s="140" t="str">
        <v>H5</v>
      </c>
      <c r="AM21" s="250" t="str">
        <f t="shared" si="2"/>
        <v>GBPFUT1MH5_Quote</v>
      </c>
      <c r="AN21" s="251" t="str">
        <f t="shared" si="3"/>
        <v>GBPFUT1MH5ConvAdj_Quote</v>
      </c>
      <c r="AO21" s="250" t="e">
        <f>_xll.qlFuturesConvAdjustmentQuote($AN21,IborIndex,$AL21,$AM21,Volatility,MeanReversion,Permanent,Trigger,ObjectOverwrite)</f>
        <v>#NUM!</v>
      </c>
      <c r="AP21" s="72" t="str">
        <f ca="1">_xll.ohRangeRetrieveError(AO21)</f>
        <v>qlFuturesConvAdjustmentQuote - ObjectHandler error: attempt to retrieve object with unknown ID 'GbpLibor1M'</v>
      </c>
    </row>
    <row r="22" spans="1:42" x14ac:dyDescent="0.2">
      <c r="A22" s="143"/>
      <c r="B22" s="142">
        <v>16</v>
      </c>
      <c r="C22" s="141" t="b">
        <v>0</v>
      </c>
      <c r="D22" s="140" t="str">
        <v>J5</v>
      </c>
      <c r="E22" s="139" t="str">
        <f t="shared" si="1"/>
        <v>GBPFUT1MJ5_Quote</v>
      </c>
      <c r="F22" s="138" t="str">
        <f>_xll.qlSimpleQuote(E22,,PriceTickValue,Permanent,Trigger,ObjectOverwrite)</f>
        <v>GBPFUT1MJ5_Quote#0000</v>
      </c>
      <c r="G22" s="101" t="str">
        <f>_xll.ohRangeRetrieveError(F22)</f>
        <v/>
      </c>
      <c r="H22" s="137"/>
      <c r="AI22" s="143"/>
      <c r="AJ22" s="142">
        <v>16</v>
      </c>
      <c r="AK22" s="140" t="b">
        <v>0</v>
      </c>
      <c r="AL22" s="140" t="str">
        <v>J5</v>
      </c>
      <c r="AM22" s="250" t="str">
        <f t="shared" si="2"/>
        <v>GBPFUT1MJ5_Quote</v>
      </c>
      <c r="AN22" s="251" t="str">
        <f t="shared" si="3"/>
        <v>GBPFUT1MJ5ConvAdj_Quote</v>
      </c>
      <c r="AO22" s="250" t="e">
        <f>_xll.qlFuturesConvAdjustmentQuote($AN22,IborIndex,$AL22,$AM22,Volatility,MeanReversion,Permanent,Trigger,ObjectOverwrite)</f>
        <v>#NUM!</v>
      </c>
      <c r="AP22" s="72" t="str">
        <f ca="1">_xll.ohRangeRetrieveError(AO22)</f>
        <v>qlFuturesConvAdjustmentQuote - ObjectHandler error: attempt to retrieve object with unknown ID 'GbpLibor1M'</v>
      </c>
    </row>
    <row r="23" spans="1:42" x14ac:dyDescent="0.2">
      <c r="A23" s="143"/>
      <c r="B23" s="142">
        <v>17</v>
      </c>
      <c r="C23" s="141" t="b">
        <v>0</v>
      </c>
      <c r="D23" s="140" t="str">
        <v>K5</v>
      </c>
      <c r="E23" s="139" t="str">
        <f t="shared" si="1"/>
        <v>GBPFUT1MK5_Quote</v>
      </c>
      <c r="F23" s="138" t="str">
        <f>_xll.qlSimpleQuote(E23,,PriceTickValue,Permanent,Trigger,ObjectOverwrite)</f>
        <v>GBPFUT1MK5_Quote#0000</v>
      </c>
      <c r="G23" s="101" t="str">
        <f>_xll.ohRangeRetrieveError(F23)</f>
        <v/>
      </c>
      <c r="H23" s="137"/>
      <c r="AI23" s="143"/>
      <c r="AJ23" s="142">
        <v>17</v>
      </c>
      <c r="AK23" s="140" t="b">
        <v>0</v>
      </c>
      <c r="AL23" s="140" t="str">
        <v>K5</v>
      </c>
      <c r="AM23" s="250" t="str">
        <f t="shared" si="2"/>
        <v>GBPFUT1MK5_Quote</v>
      </c>
      <c r="AN23" s="251" t="str">
        <f t="shared" si="3"/>
        <v>GBPFUT1MK5ConvAdj_Quote</v>
      </c>
      <c r="AO23" s="250" t="e">
        <f>_xll.qlFuturesConvAdjustmentQuote($AN23,IborIndex,$AL23,$AM23,Volatility,MeanReversion,Permanent,Trigger,ObjectOverwrite)</f>
        <v>#NUM!</v>
      </c>
      <c r="AP23" s="72" t="str">
        <f ca="1">_xll.ohRangeRetrieveError(AO23)</f>
        <v>qlFuturesConvAdjustmentQuote - ObjectHandler error: attempt to retrieve object with unknown ID 'GbpLibor1M'</v>
      </c>
    </row>
    <row r="24" spans="1:42" x14ac:dyDescent="0.2">
      <c r="A24" s="143"/>
      <c r="B24" s="142">
        <v>18</v>
      </c>
      <c r="C24" s="141" t="b">
        <v>0</v>
      </c>
      <c r="D24" s="140" t="str">
        <v>M5</v>
      </c>
      <c r="E24" s="139" t="str">
        <f t="shared" si="1"/>
        <v>GBPFUT1MM5_Quote</v>
      </c>
      <c r="F24" s="138" t="str">
        <f>_xll.qlSimpleQuote(E24,,PriceTickValue,Permanent,Trigger,ObjectOverwrite)</f>
        <v>GBPFUT1MM5_Quote#0000</v>
      </c>
      <c r="G24" s="101" t="str">
        <f>_xll.ohRangeRetrieveError(F24)</f>
        <v/>
      </c>
      <c r="H24" s="137"/>
      <c r="AI24" s="143"/>
      <c r="AJ24" s="142">
        <v>18</v>
      </c>
      <c r="AK24" s="140" t="b">
        <v>0</v>
      </c>
      <c r="AL24" s="140" t="str">
        <v>M5</v>
      </c>
      <c r="AM24" s="250" t="str">
        <f t="shared" si="2"/>
        <v>GBPFUT1MM5_Quote</v>
      </c>
      <c r="AN24" s="251" t="str">
        <f t="shared" si="3"/>
        <v>GBPFUT1MM5ConvAdj_Quote</v>
      </c>
      <c r="AO24" s="250" t="e">
        <f>_xll.qlFuturesConvAdjustmentQuote($AN24,IborIndex,$AL24,$AM24,Volatility,MeanReversion,Permanent,Trigger,ObjectOverwrite)</f>
        <v>#NUM!</v>
      </c>
      <c r="AP24" s="72" t="str">
        <f ca="1">_xll.ohRangeRetrieveError(AO24)</f>
        <v>qlFuturesConvAdjustmentQuote - ObjectHandler error: attempt to retrieve object with unknown ID 'GbpLibor1M'</v>
      </c>
    </row>
    <row r="25" spans="1:42" x14ac:dyDescent="0.2">
      <c r="A25" s="143"/>
      <c r="B25" s="142">
        <v>19</v>
      </c>
      <c r="C25" s="141" t="b">
        <v>0</v>
      </c>
      <c r="D25" s="140" t="str">
        <v>N5</v>
      </c>
      <c r="E25" s="139" t="str">
        <f t="shared" si="1"/>
        <v>GBPFUT1MN5_Quote</v>
      </c>
      <c r="F25" s="138" t="str">
        <f>_xll.qlSimpleQuote(E25,,PriceTickValue,Permanent,Trigger,ObjectOverwrite)</f>
        <v>GBPFUT1MN5_Quote#0000</v>
      </c>
      <c r="G25" s="101" t="str">
        <f>_xll.ohRangeRetrieveError(F25)</f>
        <v/>
      </c>
      <c r="H25" s="137"/>
      <c r="AI25" s="143"/>
      <c r="AJ25" s="142">
        <v>19</v>
      </c>
      <c r="AK25" s="140" t="b">
        <v>0</v>
      </c>
      <c r="AL25" s="140" t="str">
        <v>N5</v>
      </c>
      <c r="AM25" s="250" t="str">
        <f t="shared" si="2"/>
        <v>GBPFUT1MN5_Quote</v>
      </c>
      <c r="AN25" s="251" t="str">
        <f t="shared" si="3"/>
        <v>GBPFUT1MN5ConvAdj_Quote</v>
      </c>
      <c r="AO25" s="250" t="e">
        <f>_xll.qlFuturesConvAdjustmentQuote($AN25,IborIndex,$AL25,$AM25,Volatility,MeanReversion,Permanent,Trigger,ObjectOverwrite)</f>
        <v>#NUM!</v>
      </c>
      <c r="AP25" s="72" t="str">
        <f ca="1">_xll.ohRangeRetrieveError(AO25)</f>
        <v>qlFuturesConvAdjustmentQuote - ObjectHandler error: attempt to retrieve object with unknown ID 'GbpLibor1M'</v>
      </c>
    </row>
    <row r="26" spans="1:42" x14ac:dyDescent="0.2">
      <c r="A26" s="143"/>
      <c r="B26" s="142">
        <v>20</v>
      </c>
      <c r="C26" s="141" t="b">
        <v>0</v>
      </c>
      <c r="D26" s="140" t="str">
        <v>Q5</v>
      </c>
      <c r="E26" s="139" t="str">
        <f t="shared" si="1"/>
        <v>GBPFUT1MQ5_Quote</v>
      </c>
      <c r="F26" s="138" t="str">
        <f>_xll.qlSimpleQuote(E26,,PriceTickValue,Permanent,Trigger,ObjectOverwrite)</f>
        <v>GBPFUT1MQ5_Quote#0000</v>
      </c>
      <c r="G26" s="101" t="str">
        <f>_xll.ohRangeRetrieveError(F26)</f>
        <v/>
      </c>
      <c r="H26" s="137"/>
      <c r="AI26" s="143"/>
      <c r="AJ26" s="142">
        <v>20</v>
      </c>
      <c r="AK26" s="140" t="b">
        <v>0</v>
      </c>
      <c r="AL26" s="140" t="str">
        <v>Q5</v>
      </c>
      <c r="AM26" s="250" t="str">
        <f t="shared" si="2"/>
        <v>GBPFUT1MQ5_Quote</v>
      </c>
      <c r="AN26" s="251" t="str">
        <f t="shared" si="3"/>
        <v>GBPFUT1MQ5ConvAdj_Quote</v>
      </c>
      <c r="AO26" s="250" t="e">
        <f>_xll.qlFuturesConvAdjustmentQuote($AN26,IborIndex,$AL26,$AM26,Volatility,MeanReversion,Permanent,Trigger,ObjectOverwrite)</f>
        <v>#NUM!</v>
      </c>
      <c r="AP26" s="72" t="str">
        <f ca="1">_xll.ohRangeRetrieveError(AO26)</f>
        <v>qlFuturesConvAdjustmentQuote - ObjectHandler error: attempt to retrieve object with unknown ID 'GbpLibor1M'</v>
      </c>
    </row>
    <row r="27" spans="1:42" x14ac:dyDescent="0.2">
      <c r="A27" s="143"/>
      <c r="B27" s="142">
        <v>21</v>
      </c>
      <c r="C27" s="141" t="b">
        <v>0</v>
      </c>
      <c r="D27" s="140" t="str">
        <v>U5</v>
      </c>
      <c r="E27" s="139" t="str">
        <f t="shared" si="1"/>
        <v>GBPFUT1MU5_Quote</v>
      </c>
      <c r="F27" s="138" t="str">
        <f>_xll.qlSimpleQuote(E27,,PriceTickValue,Permanent,Trigger,ObjectOverwrite)</f>
        <v>GBPFUT1MU5_Quote#0000</v>
      </c>
      <c r="G27" s="101" t="str">
        <f>_xll.ohRangeRetrieveError(F27)</f>
        <v/>
      </c>
      <c r="H27" s="137"/>
      <c r="AI27" s="143"/>
      <c r="AJ27" s="142">
        <v>21</v>
      </c>
      <c r="AK27" s="140" t="b">
        <v>0</v>
      </c>
      <c r="AL27" s="140" t="str">
        <v>U5</v>
      </c>
      <c r="AM27" s="250" t="str">
        <f t="shared" si="2"/>
        <v>GBPFUT1MU5_Quote</v>
      </c>
      <c r="AN27" s="251" t="str">
        <f t="shared" si="3"/>
        <v>GBPFUT1MU5ConvAdj_Quote</v>
      </c>
      <c r="AO27" s="250" t="e">
        <f>_xll.qlFuturesConvAdjustmentQuote($AN27,IborIndex,$AL27,$AM27,Volatility,MeanReversion,Permanent,Trigger,ObjectOverwrite)</f>
        <v>#NUM!</v>
      </c>
      <c r="AP27" s="72" t="str">
        <f ca="1">_xll.ohRangeRetrieveError(AO27)</f>
        <v>qlFuturesConvAdjustmentQuote - ObjectHandler error: attempt to retrieve object with unknown ID 'GbpLibor1M'</v>
      </c>
    </row>
    <row r="28" spans="1:42" x14ac:dyDescent="0.2">
      <c r="A28" s="143"/>
      <c r="B28" s="142">
        <v>22</v>
      </c>
      <c r="C28" s="141" t="b">
        <v>0</v>
      </c>
      <c r="D28" s="140" t="str">
        <v>V5</v>
      </c>
      <c r="E28" s="139" t="str">
        <f t="shared" si="1"/>
        <v>GBPFUT1MV5_Quote</v>
      </c>
      <c r="F28" s="138" t="str">
        <f>_xll.qlSimpleQuote(E28,,PriceTickValue,Permanent,Trigger,ObjectOverwrite)</f>
        <v>GBPFUT1MV5_Quote#0000</v>
      </c>
      <c r="G28" s="101" t="str">
        <f>_xll.ohRangeRetrieveError(F28)</f>
        <v/>
      </c>
      <c r="H28" s="137"/>
      <c r="AI28" s="143"/>
      <c r="AJ28" s="142">
        <v>22</v>
      </c>
      <c r="AK28" s="140" t="b">
        <v>0</v>
      </c>
      <c r="AL28" s="140" t="str">
        <v>V5</v>
      </c>
      <c r="AM28" s="250" t="str">
        <f t="shared" si="2"/>
        <v>GBPFUT1MV5_Quote</v>
      </c>
      <c r="AN28" s="251" t="str">
        <f t="shared" si="3"/>
        <v>GBPFUT1MV5ConvAdj_Quote</v>
      </c>
      <c r="AO28" s="250" t="e">
        <f>_xll.qlFuturesConvAdjustmentQuote($AN28,IborIndex,$AL28,$AM28,Volatility,MeanReversion,Permanent,Trigger,ObjectOverwrite)</f>
        <v>#NUM!</v>
      </c>
      <c r="AP28" s="72" t="str">
        <f ca="1">_xll.ohRangeRetrieveError(AO28)</f>
        <v>qlFuturesConvAdjustmentQuote - ObjectHandler error: attempt to retrieve object with unknown ID 'GbpLibor1M'</v>
      </c>
    </row>
    <row r="29" spans="1:42" x14ac:dyDescent="0.2">
      <c r="A29" s="143"/>
      <c r="B29" s="142">
        <v>23</v>
      </c>
      <c r="C29" s="141" t="b">
        <v>0</v>
      </c>
      <c r="D29" s="140" t="str">
        <v>X5</v>
      </c>
      <c r="E29" s="139" t="str">
        <f t="shared" si="1"/>
        <v>GBPFUT1MX5_Quote</v>
      </c>
      <c r="F29" s="138" t="str">
        <f>_xll.qlSimpleQuote(E29,,PriceTickValue,Permanent,Trigger,ObjectOverwrite)</f>
        <v>GBPFUT1MX5_Quote#0000</v>
      </c>
      <c r="G29" s="101" t="str">
        <f>_xll.ohRangeRetrieveError(F29)</f>
        <v/>
      </c>
      <c r="H29" s="137"/>
      <c r="AI29" s="143"/>
      <c r="AJ29" s="142">
        <v>23</v>
      </c>
      <c r="AK29" s="140" t="b">
        <v>0</v>
      </c>
      <c r="AL29" s="140" t="str">
        <v>X5</v>
      </c>
      <c r="AM29" s="250" t="str">
        <f t="shared" si="2"/>
        <v>GBPFUT1MX5_Quote</v>
      </c>
      <c r="AN29" s="251" t="str">
        <f t="shared" si="3"/>
        <v>GBPFUT1MX5ConvAdj_Quote</v>
      </c>
      <c r="AO29" s="250" t="e">
        <f>_xll.qlFuturesConvAdjustmentQuote($AN29,IborIndex,$AL29,$AM29,Volatility,MeanReversion,Permanent,Trigger,ObjectOverwrite)</f>
        <v>#NUM!</v>
      </c>
      <c r="AP29" s="72" t="str">
        <f ca="1">_xll.ohRangeRetrieveError(AO29)</f>
        <v>qlFuturesConvAdjustmentQuote - ObjectHandler error: attempt to retrieve object with unknown ID 'GbpLibor1M'</v>
      </c>
    </row>
    <row r="30" spans="1:42" x14ac:dyDescent="0.2">
      <c r="A30" s="143"/>
      <c r="B30" s="142">
        <v>24</v>
      </c>
      <c r="C30" s="141" t="b">
        <v>0</v>
      </c>
      <c r="D30" s="140" t="str">
        <v>Z5</v>
      </c>
      <c r="E30" s="139" t="str">
        <f t="shared" si="1"/>
        <v>GBPFUT1MZ5_Quote</v>
      </c>
      <c r="F30" s="138" t="str">
        <f>_xll.qlSimpleQuote(E30,,PriceTickValue,Permanent,Trigger,ObjectOverwrite)</f>
        <v>GBPFUT1MZ5_Quote#0000</v>
      </c>
      <c r="G30" s="101" t="str">
        <f>_xll.ohRangeRetrieveError(F30)</f>
        <v/>
      </c>
      <c r="H30" s="137"/>
      <c r="AI30" s="143"/>
      <c r="AJ30" s="142">
        <v>24</v>
      </c>
      <c r="AK30" s="140" t="b">
        <v>0</v>
      </c>
      <c r="AL30" s="140" t="str">
        <v>Z5</v>
      </c>
      <c r="AM30" s="250" t="str">
        <f t="shared" si="2"/>
        <v>GBPFUT1MZ5_Quote</v>
      </c>
      <c r="AN30" s="251" t="str">
        <f t="shared" si="3"/>
        <v>GBPFUT1MZ5ConvAdj_Quote</v>
      </c>
      <c r="AO30" s="250" t="e">
        <f>_xll.qlFuturesConvAdjustmentQuote($AN30,IborIndex,$AL30,$AM30,Volatility,MeanReversion,Permanent,Trigger,ObjectOverwrite)</f>
        <v>#NUM!</v>
      </c>
      <c r="AP30" s="72" t="str">
        <f ca="1">_xll.ohRangeRetrieveError(AO30)</f>
        <v>qlFuturesConvAdjustmentQuote - ObjectHandler error: attempt to retrieve object with unknown ID 'GbpLibor1M'</v>
      </c>
    </row>
    <row r="31" spans="1:42" x14ac:dyDescent="0.2">
      <c r="A31" s="143"/>
      <c r="B31" s="142">
        <v>25</v>
      </c>
      <c r="C31" s="141" t="b">
        <v>0</v>
      </c>
      <c r="D31" s="140" t="str">
        <v>F6</v>
      </c>
      <c r="E31" s="139" t="str">
        <f t="shared" si="1"/>
        <v>GBPFUT1MF6_Quote</v>
      </c>
      <c r="F31" s="138" t="str">
        <f>_xll.qlSimpleQuote(E31,,PriceTickValue,Permanent,Trigger,ObjectOverwrite)</f>
        <v>GBPFUT1MF6_Quote#0000</v>
      </c>
      <c r="G31" s="101" t="str">
        <f>_xll.ohRangeRetrieveError(F31)</f>
        <v/>
      </c>
      <c r="H31" s="137"/>
      <c r="AI31" s="143"/>
      <c r="AJ31" s="142">
        <v>25</v>
      </c>
      <c r="AK31" s="140" t="b">
        <v>0</v>
      </c>
      <c r="AL31" s="140" t="str">
        <v>F6</v>
      </c>
      <c r="AM31" s="250" t="str">
        <f t="shared" si="2"/>
        <v>GBPFUT1MF6_Quote</v>
      </c>
      <c r="AN31" s="251" t="str">
        <f t="shared" si="3"/>
        <v>GBPFUT1MF6ConvAdj_Quote</v>
      </c>
      <c r="AO31" s="250" t="e">
        <f>_xll.qlFuturesConvAdjustmentQuote($AN31,IborIndex,$AL31,$AM31,Volatility,MeanReversion,Permanent,Trigger,ObjectOverwrite)</f>
        <v>#NUM!</v>
      </c>
      <c r="AP31" s="72" t="str">
        <f ca="1">_xll.ohRangeRetrieveError(AO31)</f>
        <v>qlFuturesConvAdjustmentQuote - ObjectHandler error: attempt to retrieve object with unknown ID 'GbpLibor1M'</v>
      </c>
    </row>
    <row r="32" spans="1:42" x14ac:dyDescent="0.2">
      <c r="A32" s="143"/>
      <c r="B32" s="142">
        <v>26</v>
      </c>
      <c r="C32" s="141" t="b">
        <v>0</v>
      </c>
      <c r="D32" s="140" t="str">
        <v>G6</v>
      </c>
      <c r="E32" s="139" t="str">
        <f t="shared" si="1"/>
        <v>GBPFUT1MG6_Quote</v>
      </c>
      <c r="F32" s="138" t="str">
        <f>_xll.qlSimpleQuote(E32,,PriceTickValue,Permanent,Trigger,ObjectOverwrite)</f>
        <v>GBPFUT1MG6_Quote#0000</v>
      </c>
      <c r="G32" s="101" t="str">
        <f>_xll.ohRangeRetrieveError(F32)</f>
        <v/>
      </c>
      <c r="H32" s="137"/>
      <c r="AI32" s="143"/>
      <c r="AJ32" s="142">
        <v>26</v>
      </c>
      <c r="AK32" s="140" t="b">
        <v>0</v>
      </c>
      <c r="AL32" s="140" t="str">
        <v>G6</v>
      </c>
      <c r="AM32" s="250" t="str">
        <f t="shared" si="2"/>
        <v>GBPFUT1MG6_Quote</v>
      </c>
      <c r="AN32" s="251" t="str">
        <f t="shared" si="3"/>
        <v>GBPFUT1MG6ConvAdj_Quote</v>
      </c>
      <c r="AO32" s="250" t="e">
        <f>_xll.qlFuturesConvAdjustmentQuote($AN32,IborIndex,$AL32,$AM32,Volatility,MeanReversion,Permanent,Trigger,ObjectOverwrite)</f>
        <v>#NUM!</v>
      </c>
      <c r="AP32" s="72" t="str">
        <f ca="1">_xll.ohRangeRetrieveError(AO32)</f>
        <v>qlFuturesConvAdjustmentQuote - ObjectHandler error: attempt to retrieve object with unknown ID 'GbpLibor1M'</v>
      </c>
    </row>
    <row r="33" spans="1:42" x14ac:dyDescent="0.2">
      <c r="A33" s="143"/>
      <c r="B33" s="142">
        <v>27</v>
      </c>
      <c r="C33" s="141" t="b">
        <v>0</v>
      </c>
      <c r="D33" s="140" t="str">
        <v>H6</v>
      </c>
      <c r="E33" s="139" t="str">
        <f t="shared" si="1"/>
        <v>GBPFUT1MH6_Quote</v>
      </c>
      <c r="F33" s="138" t="str">
        <f>_xll.qlSimpleQuote(E33,,PriceTickValue,Permanent,Trigger,ObjectOverwrite)</f>
        <v>GBPFUT1MH6_Quote#0000</v>
      </c>
      <c r="G33" s="101" t="str">
        <f>_xll.ohRangeRetrieveError(F33)</f>
        <v/>
      </c>
      <c r="H33" s="137"/>
      <c r="AI33" s="143"/>
      <c r="AJ33" s="142">
        <v>27</v>
      </c>
      <c r="AK33" s="140" t="b">
        <v>0</v>
      </c>
      <c r="AL33" s="140" t="str">
        <v>H6</v>
      </c>
      <c r="AM33" s="250" t="str">
        <f t="shared" si="2"/>
        <v>GBPFUT1MH6_Quote</v>
      </c>
      <c r="AN33" s="251" t="str">
        <f t="shared" si="3"/>
        <v>GBPFUT1MH6ConvAdj_Quote</v>
      </c>
      <c r="AO33" s="250" t="e">
        <f>_xll.qlFuturesConvAdjustmentQuote($AN33,IborIndex,$AL33,$AM33,Volatility,MeanReversion,Permanent,Trigger,ObjectOverwrite)</f>
        <v>#NUM!</v>
      </c>
      <c r="AP33" s="72" t="str">
        <f ca="1">_xll.ohRangeRetrieveError(AO33)</f>
        <v>qlFuturesConvAdjustmentQuote - ObjectHandler error: attempt to retrieve object with unknown ID 'GbpLibor1M'</v>
      </c>
    </row>
    <row r="34" spans="1:42" x14ac:dyDescent="0.2">
      <c r="A34" s="143"/>
      <c r="B34" s="142">
        <v>28</v>
      </c>
      <c r="C34" s="141" t="b">
        <v>0</v>
      </c>
      <c r="D34" s="140" t="str">
        <v>J6</v>
      </c>
      <c r="E34" s="139" t="str">
        <f t="shared" si="1"/>
        <v>GBPFUT1MJ6_Quote</v>
      </c>
      <c r="F34" s="138" t="str">
        <f>_xll.qlSimpleQuote(E34,,PriceTickValue,Permanent,Trigger,ObjectOverwrite)</f>
        <v>GBPFUT1MJ6_Quote#0000</v>
      </c>
      <c r="G34" s="101" t="str">
        <f>_xll.ohRangeRetrieveError(F34)</f>
        <v/>
      </c>
      <c r="H34" s="137"/>
      <c r="AI34" s="143"/>
      <c r="AJ34" s="142">
        <v>28</v>
      </c>
      <c r="AK34" s="140" t="b">
        <v>0</v>
      </c>
      <c r="AL34" s="140" t="str">
        <v>J6</v>
      </c>
      <c r="AM34" s="250" t="str">
        <f t="shared" si="2"/>
        <v>GBPFUT1MJ6_Quote</v>
      </c>
      <c r="AN34" s="251" t="str">
        <f t="shared" si="3"/>
        <v>GBPFUT1MJ6ConvAdj_Quote</v>
      </c>
      <c r="AO34" s="250" t="e">
        <f>_xll.qlFuturesConvAdjustmentQuote($AN34,IborIndex,$AL34,$AM34,Volatility,MeanReversion,Permanent,Trigger,ObjectOverwrite)</f>
        <v>#NUM!</v>
      </c>
      <c r="AP34" s="72" t="str">
        <f ca="1">_xll.ohRangeRetrieveError(AO34)</f>
        <v>qlFuturesConvAdjustmentQuote - ObjectHandler error: attempt to retrieve object with unknown ID 'GbpLibor1M'</v>
      </c>
    </row>
    <row r="35" spans="1:42" x14ac:dyDescent="0.2">
      <c r="A35" s="143"/>
      <c r="B35" s="142">
        <v>29</v>
      </c>
      <c r="C35" s="141" t="b">
        <v>0</v>
      </c>
      <c r="D35" s="140" t="str">
        <v>K6</v>
      </c>
      <c r="E35" s="139" t="str">
        <f t="shared" si="1"/>
        <v>GBPFUT1MK6_Quote</v>
      </c>
      <c r="F35" s="138" t="str">
        <f>_xll.qlSimpleQuote(E35,,PriceTickValue,Permanent,Trigger,ObjectOverwrite)</f>
        <v>GBPFUT1MK6_Quote#0000</v>
      </c>
      <c r="G35" s="101" t="str">
        <f>_xll.ohRangeRetrieveError(F35)</f>
        <v/>
      </c>
      <c r="H35" s="137"/>
      <c r="AI35" s="143"/>
      <c r="AJ35" s="142">
        <v>29</v>
      </c>
      <c r="AK35" s="140" t="b">
        <v>0</v>
      </c>
      <c r="AL35" s="140" t="str">
        <v>K6</v>
      </c>
      <c r="AM35" s="250" t="str">
        <f t="shared" si="2"/>
        <v>GBPFUT1MK6_Quote</v>
      </c>
      <c r="AN35" s="251" t="str">
        <f t="shared" si="3"/>
        <v>GBPFUT1MK6ConvAdj_Quote</v>
      </c>
      <c r="AO35" s="250" t="e">
        <f>_xll.qlFuturesConvAdjustmentQuote($AN35,IborIndex,$AL35,$AM35,Volatility,MeanReversion,Permanent,Trigger,ObjectOverwrite)</f>
        <v>#NUM!</v>
      </c>
      <c r="AP35" s="72" t="str">
        <f ca="1">_xll.ohRangeRetrieveError(AO35)</f>
        <v>qlFuturesConvAdjustmentQuote - ObjectHandler error: attempt to retrieve object with unknown ID 'GbpLibor1M'</v>
      </c>
    </row>
    <row r="36" spans="1:42" x14ac:dyDescent="0.2">
      <c r="A36" s="143"/>
      <c r="B36" s="142">
        <v>30</v>
      </c>
      <c r="C36" s="141" t="b">
        <v>0</v>
      </c>
      <c r="D36" s="140" t="str">
        <v>M6</v>
      </c>
      <c r="E36" s="139" t="str">
        <f t="shared" si="1"/>
        <v>GBPFUT1MM6_Quote</v>
      </c>
      <c r="F36" s="138" t="str">
        <f>_xll.qlSimpleQuote(E36,,PriceTickValue,Permanent,Trigger,ObjectOverwrite)</f>
        <v>GBPFUT1MM6_Quote#0000</v>
      </c>
      <c r="G36" s="101" t="str">
        <f>_xll.ohRangeRetrieveError(F36)</f>
        <v/>
      </c>
      <c r="H36" s="137"/>
      <c r="AI36" s="143"/>
      <c r="AJ36" s="142">
        <v>30</v>
      </c>
      <c r="AK36" s="140" t="b">
        <v>0</v>
      </c>
      <c r="AL36" s="140" t="str">
        <v>M6</v>
      </c>
      <c r="AM36" s="250" t="str">
        <f t="shared" si="2"/>
        <v>GBPFUT1MM6_Quote</v>
      </c>
      <c r="AN36" s="251" t="str">
        <f t="shared" si="3"/>
        <v>GBPFUT1MM6ConvAdj_Quote</v>
      </c>
      <c r="AO36" s="250" t="e">
        <f>_xll.qlFuturesConvAdjustmentQuote($AN36,IborIndex,$AL36,$AM36,Volatility,MeanReversion,Permanent,Trigger,ObjectOverwrite)</f>
        <v>#NUM!</v>
      </c>
      <c r="AP36" s="72" t="str">
        <f ca="1">_xll.ohRangeRetrieveError(AO36)</f>
        <v>qlFuturesConvAdjustmentQuote - ObjectHandler error: attempt to retrieve object with unknown ID 'GbpLibor1M'</v>
      </c>
    </row>
    <row r="37" spans="1:42" x14ac:dyDescent="0.2">
      <c r="A37" s="143"/>
      <c r="B37" s="142">
        <v>31</v>
      </c>
      <c r="C37" s="141" t="b">
        <v>0</v>
      </c>
      <c r="D37" s="140" t="str">
        <v>N6</v>
      </c>
      <c r="E37" s="139" t="str">
        <f t="shared" si="1"/>
        <v>GBPFUT1MN6_Quote</v>
      </c>
      <c r="F37" s="138" t="str">
        <f>_xll.qlSimpleQuote(E37,,PriceTickValue,Permanent,Trigger,ObjectOverwrite)</f>
        <v>GBPFUT1MN6_Quote#0000</v>
      </c>
      <c r="G37" s="101" t="str">
        <f>_xll.ohRangeRetrieveError(F37)</f>
        <v/>
      </c>
      <c r="H37" s="137"/>
      <c r="AI37" s="143"/>
      <c r="AJ37" s="142">
        <v>31</v>
      </c>
      <c r="AK37" s="140" t="b">
        <v>0</v>
      </c>
      <c r="AL37" s="140" t="str">
        <v>N6</v>
      </c>
      <c r="AM37" s="250" t="str">
        <f t="shared" si="2"/>
        <v>GBPFUT1MN6_Quote</v>
      </c>
      <c r="AN37" s="251" t="str">
        <f t="shared" si="3"/>
        <v>GBPFUT1MN6ConvAdj_Quote</v>
      </c>
      <c r="AO37" s="250" t="e">
        <f>_xll.qlFuturesConvAdjustmentQuote($AN37,IborIndex,$AL37,$AM37,Volatility,MeanReversion,Permanent,Trigger,ObjectOverwrite)</f>
        <v>#NUM!</v>
      </c>
      <c r="AP37" s="72" t="str">
        <f ca="1">_xll.ohRangeRetrieveError(AO37)</f>
        <v>qlFuturesConvAdjustmentQuote - ObjectHandler error: attempt to retrieve object with unknown ID 'GbpLibor1M'</v>
      </c>
    </row>
    <row r="38" spans="1:42" x14ac:dyDescent="0.2">
      <c r="A38" s="143"/>
      <c r="B38" s="142">
        <v>32</v>
      </c>
      <c r="C38" s="141" t="b">
        <v>0</v>
      </c>
      <c r="D38" s="140" t="str">
        <v>Q6</v>
      </c>
      <c r="E38" s="139" t="str">
        <f t="shared" si="1"/>
        <v>GBPFUT1MQ6_Quote</v>
      </c>
      <c r="F38" s="138" t="str">
        <f>_xll.qlSimpleQuote(E38,,PriceTickValue,Permanent,Trigger,ObjectOverwrite)</f>
        <v>GBPFUT1MQ6_Quote#0000</v>
      </c>
      <c r="G38" s="101" t="str">
        <f>_xll.ohRangeRetrieveError(F38)</f>
        <v/>
      </c>
      <c r="H38" s="137"/>
      <c r="AI38" s="143"/>
      <c r="AJ38" s="142">
        <v>32</v>
      </c>
      <c r="AK38" s="140" t="b">
        <v>0</v>
      </c>
      <c r="AL38" s="140" t="str">
        <v>Q6</v>
      </c>
      <c r="AM38" s="250" t="str">
        <f t="shared" si="2"/>
        <v>GBPFUT1MQ6_Quote</v>
      </c>
      <c r="AN38" s="251" t="str">
        <f t="shared" si="3"/>
        <v>GBPFUT1MQ6ConvAdj_Quote</v>
      </c>
      <c r="AO38" s="250" t="e">
        <f>_xll.qlFuturesConvAdjustmentQuote($AN38,IborIndex,$AL38,$AM38,Volatility,MeanReversion,Permanent,Trigger,ObjectOverwrite)</f>
        <v>#NUM!</v>
      </c>
      <c r="AP38" s="72" t="str">
        <f ca="1">_xll.ohRangeRetrieveError(AO38)</f>
        <v>qlFuturesConvAdjustmentQuote - ObjectHandler error: attempt to retrieve object with unknown ID 'GbpLibor1M'</v>
      </c>
    </row>
    <row r="39" spans="1:42" x14ac:dyDescent="0.2">
      <c r="A39" s="143"/>
      <c r="B39" s="142">
        <v>33</v>
      </c>
      <c r="C39" s="141" t="b">
        <v>0</v>
      </c>
      <c r="D39" s="140" t="str">
        <v>U6</v>
      </c>
      <c r="E39" s="139" t="str">
        <f t="shared" ref="E39:E70" si="4">Currency&amp;$D$5&amp;$E$5&amp;$D39&amp;QuoteSuffix</f>
        <v>GBPFUT1MU6_Quote</v>
      </c>
      <c r="F39" s="138" t="str">
        <f>_xll.qlSimpleQuote(E39,,PriceTickValue,Permanent,Trigger,ObjectOverwrite)</f>
        <v>GBPFUT1MU6_Quote#0000</v>
      </c>
      <c r="G39" s="101" t="str">
        <f>_xll.ohRangeRetrieveError(F39)</f>
        <v/>
      </c>
      <c r="H39" s="137"/>
      <c r="AI39" s="143"/>
      <c r="AJ39" s="142">
        <v>33</v>
      </c>
      <c r="AK39" s="140" t="b">
        <v>0</v>
      </c>
      <c r="AL39" s="140" t="str">
        <v>U6</v>
      </c>
      <c r="AM39" s="250" t="str">
        <f t="shared" ref="AM39:AM70" si="5">Currency&amp;"FUT"&amp;$AO$4&amp;$AL39&amp;QuoteSuffix</f>
        <v>GBPFUT1MU6_Quote</v>
      </c>
      <c r="AN39" s="251" t="str">
        <f t="shared" ref="AN39:AN70" si="6">Currency&amp;"FUT"&amp;$AO$4&amp;$AL39&amp;"ConvAdj"&amp;QuoteSuffix</f>
        <v>GBPFUT1MU6ConvAdj_Quote</v>
      </c>
      <c r="AO39" s="250" t="e">
        <f>_xll.qlFuturesConvAdjustmentQuote($AN39,IborIndex,$AL39,$AM39,Volatility,MeanReversion,Permanent,Trigger,ObjectOverwrite)</f>
        <v>#NUM!</v>
      </c>
      <c r="AP39" s="72" t="str">
        <f ca="1">_xll.ohRangeRetrieveError(AO39)</f>
        <v>qlFuturesConvAdjustmentQuote - ObjectHandler error: attempt to retrieve object with unknown ID 'GbpLibor1M'</v>
      </c>
    </row>
    <row r="40" spans="1:42" x14ac:dyDescent="0.2">
      <c r="A40" s="143"/>
      <c r="B40" s="142">
        <v>34</v>
      </c>
      <c r="C40" s="141" t="b">
        <v>0</v>
      </c>
      <c r="D40" s="140" t="str">
        <v>V6</v>
      </c>
      <c r="E40" s="139" t="str">
        <f t="shared" si="4"/>
        <v>GBPFUT1MV6_Quote</v>
      </c>
      <c r="F40" s="138" t="str">
        <f>_xll.qlSimpleQuote(E40,,PriceTickValue,Permanent,Trigger,ObjectOverwrite)</f>
        <v>GBPFUT1MV6_Quote#0000</v>
      </c>
      <c r="G40" s="101" t="str">
        <f>_xll.ohRangeRetrieveError(F40)</f>
        <v/>
      </c>
      <c r="H40" s="137"/>
      <c r="AI40" s="143"/>
      <c r="AJ40" s="142">
        <v>34</v>
      </c>
      <c r="AK40" s="140" t="b">
        <v>0</v>
      </c>
      <c r="AL40" s="140" t="str">
        <v>V6</v>
      </c>
      <c r="AM40" s="250" t="str">
        <f t="shared" si="5"/>
        <v>GBPFUT1MV6_Quote</v>
      </c>
      <c r="AN40" s="251" t="str">
        <f t="shared" si="6"/>
        <v>GBPFUT1MV6ConvAdj_Quote</v>
      </c>
      <c r="AO40" s="250" t="e">
        <f>_xll.qlFuturesConvAdjustmentQuote($AN40,IborIndex,$AL40,$AM40,Volatility,MeanReversion,Permanent,Trigger,ObjectOverwrite)</f>
        <v>#NUM!</v>
      </c>
      <c r="AP40" s="72" t="str">
        <f ca="1">_xll.ohRangeRetrieveError(AO40)</f>
        <v>qlFuturesConvAdjustmentQuote - ObjectHandler error: attempt to retrieve object with unknown ID 'GbpLibor1M'</v>
      </c>
    </row>
    <row r="41" spans="1:42" x14ac:dyDescent="0.2">
      <c r="A41" s="143"/>
      <c r="B41" s="142">
        <v>35</v>
      </c>
      <c r="C41" s="141" t="b">
        <v>0</v>
      </c>
      <c r="D41" s="140" t="str">
        <v>X6</v>
      </c>
      <c r="E41" s="139" t="str">
        <f t="shared" si="4"/>
        <v>GBPFUT1MX6_Quote</v>
      </c>
      <c r="F41" s="138" t="str">
        <f>_xll.qlSimpleQuote(E41,,PriceTickValue,Permanent,Trigger,ObjectOverwrite)</f>
        <v>GBPFUT1MX6_Quote#0000</v>
      </c>
      <c r="G41" s="101" t="str">
        <f>_xll.ohRangeRetrieveError(F41)</f>
        <v/>
      </c>
      <c r="H41" s="137"/>
      <c r="AI41" s="143"/>
      <c r="AJ41" s="142">
        <v>35</v>
      </c>
      <c r="AK41" s="140" t="b">
        <v>0</v>
      </c>
      <c r="AL41" s="140" t="str">
        <v>X6</v>
      </c>
      <c r="AM41" s="250" t="str">
        <f t="shared" si="5"/>
        <v>GBPFUT1MX6_Quote</v>
      </c>
      <c r="AN41" s="251" t="str">
        <f t="shared" si="6"/>
        <v>GBPFUT1MX6ConvAdj_Quote</v>
      </c>
      <c r="AO41" s="250" t="e">
        <f>_xll.qlFuturesConvAdjustmentQuote($AN41,IborIndex,$AL41,$AM41,Volatility,MeanReversion,Permanent,Trigger,ObjectOverwrite)</f>
        <v>#NUM!</v>
      </c>
      <c r="AP41" s="72" t="str">
        <f ca="1">_xll.ohRangeRetrieveError(AO41)</f>
        <v>qlFuturesConvAdjustmentQuote - ObjectHandler error: attempt to retrieve object with unknown ID 'GbpLibor1M'</v>
      </c>
    </row>
    <row r="42" spans="1:42" x14ac:dyDescent="0.2">
      <c r="A42" s="143"/>
      <c r="B42" s="142">
        <v>36</v>
      </c>
      <c r="C42" s="141" t="b">
        <v>0</v>
      </c>
      <c r="D42" s="140" t="str">
        <v>Z6</v>
      </c>
      <c r="E42" s="139" t="str">
        <f t="shared" si="4"/>
        <v>GBPFUT1MZ6_Quote</v>
      </c>
      <c r="F42" s="138" t="str">
        <f>_xll.qlSimpleQuote(E42,,PriceTickValue,Permanent,Trigger,ObjectOverwrite)</f>
        <v>GBPFUT1MZ6_Quote#0000</v>
      </c>
      <c r="G42" s="101" t="str">
        <f>_xll.ohRangeRetrieveError(F42)</f>
        <v/>
      </c>
      <c r="H42" s="137"/>
      <c r="AI42" s="143"/>
      <c r="AJ42" s="142">
        <v>36</v>
      </c>
      <c r="AK42" s="140" t="b">
        <v>0</v>
      </c>
      <c r="AL42" s="140" t="str">
        <v>Z6</v>
      </c>
      <c r="AM42" s="250" t="str">
        <f t="shared" si="5"/>
        <v>GBPFUT1MZ6_Quote</v>
      </c>
      <c r="AN42" s="251" t="str">
        <f t="shared" si="6"/>
        <v>GBPFUT1MZ6ConvAdj_Quote</v>
      </c>
      <c r="AO42" s="250" t="e">
        <f>_xll.qlFuturesConvAdjustmentQuote($AN42,IborIndex,$AL42,$AM42,Volatility,MeanReversion,Permanent,Trigger,ObjectOverwrite)</f>
        <v>#NUM!</v>
      </c>
      <c r="AP42" s="72" t="str">
        <f ca="1">_xll.ohRangeRetrieveError(AO42)</f>
        <v>qlFuturesConvAdjustmentQuote - ObjectHandler error: attempt to retrieve object with unknown ID 'GbpLibor1M'</v>
      </c>
    </row>
    <row r="43" spans="1:42" x14ac:dyDescent="0.2">
      <c r="A43" s="143"/>
      <c r="B43" s="142">
        <v>37</v>
      </c>
      <c r="C43" s="141" t="b">
        <v>0</v>
      </c>
      <c r="D43" s="140" t="str">
        <v>F7</v>
      </c>
      <c r="E43" s="139" t="str">
        <f t="shared" si="4"/>
        <v>GBPFUT1MF7_Quote</v>
      </c>
      <c r="F43" s="138" t="str">
        <f>_xll.qlSimpleQuote(E43,,PriceTickValue,Permanent,Trigger,ObjectOverwrite)</f>
        <v>GBPFUT1MF7_Quote#0000</v>
      </c>
      <c r="G43" s="101" t="str">
        <f>_xll.ohRangeRetrieveError(F43)</f>
        <v/>
      </c>
      <c r="H43" s="137"/>
      <c r="AI43" s="143"/>
      <c r="AJ43" s="142">
        <v>37</v>
      </c>
      <c r="AK43" s="140" t="b">
        <v>0</v>
      </c>
      <c r="AL43" s="140" t="str">
        <v>F7</v>
      </c>
      <c r="AM43" s="250" t="str">
        <f t="shared" si="5"/>
        <v>GBPFUT1MF7_Quote</v>
      </c>
      <c r="AN43" s="251" t="str">
        <f t="shared" si="6"/>
        <v>GBPFUT1MF7ConvAdj_Quote</v>
      </c>
      <c r="AO43" s="250" t="e">
        <f>_xll.qlFuturesConvAdjustmentQuote($AN43,IborIndex,$AL43,$AM43,Volatility,MeanReversion,Permanent,Trigger,ObjectOverwrite)</f>
        <v>#NUM!</v>
      </c>
      <c r="AP43" s="72" t="str">
        <f ca="1">_xll.ohRangeRetrieveError(AO43)</f>
        <v>qlFuturesConvAdjustmentQuote - ObjectHandler error: attempt to retrieve object with unknown ID 'GbpLibor1M'</v>
      </c>
    </row>
    <row r="44" spans="1:42" x14ac:dyDescent="0.2">
      <c r="A44" s="143"/>
      <c r="B44" s="142">
        <v>38</v>
      </c>
      <c r="C44" s="141" t="b">
        <v>0</v>
      </c>
      <c r="D44" s="140" t="str">
        <v>G7</v>
      </c>
      <c r="E44" s="139" t="str">
        <f t="shared" si="4"/>
        <v>GBPFUT1MG7_Quote</v>
      </c>
      <c r="F44" s="138" t="str">
        <f>_xll.qlSimpleQuote(E44,,PriceTickValue,Permanent,Trigger,ObjectOverwrite)</f>
        <v>GBPFUT1MG7_Quote#0000</v>
      </c>
      <c r="G44" s="101" t="str">
        <f>_xll.ohRangeRetrieveError(F44)</f>
        <v/>
      </c>
      <c r="H44" s="137"/>
      <c r="AI44" s="143"/>
      <c r="AJ44" s="142">
        <v>38</v>
      </c>
      <c r="AK44" s="140" t="b">
        <v>0</v>
      </c>
      <c r="AL44" s="140" t="str">
        <v>G7</v>
      </c>
      <c r="AM44" s="250" t="str">
        <f t="shared" si="5"/>
        <v>GBPFUT1MG7_Quote</v>
      </c>
      <c r="AN44" s="251" t="str">
        <f t="shared" si="6"/>
        <v>GBPFUT1MG7ConvAdj_Quote</v>
      </c>
      <c r="AO44" s="250" t="e">
        <f>_xll.qlFuturesConvAdjustmentQuote($AN44,IborIndex,$AL44,$AM44,Volatility,MeanReversion,Permanent,Trigger,ObjectOverwrite)</f>
        <v>#NUM!</v>
      </c>
      <c r="AP44" s="72" t="str">
        <f ca="1">_xll.ohRangeRetrieveError(AO44)</f>
        <v>qlFuturesConvAdjustmentQuote - ObjectHandler error: attempt to retrieve object with unknown ID 'GbpLibor1M'</v>
      </c>
    </row>
    <row r="45" spans="1:42" x14ac:dyDescent="0.2">
      <c r="A45" s="143"/>
      <c r="B45" s="142">
        <v>39</v>
      </c>
      <c r="C45" s="141" t="b">
        <v>0</v>
      </c>
      <c r="D45" s="140" t="str">
        <v>H7</v>
      </c>
      <c r="E45" s="139" t="str">
        <f t="shared" si="4"/>
        <v>GBPFUT1MH7_Quote</v>
      </c>
      <c r="F45" s="138" t="str">
        <f>_xll.qlSimpleQuote(E45,,PriceTickValue,Permanent,Trigger,ObjectOverwrite)</f>
        <v>GBPFUT1MH7_Quote#0000</v>
      </c>
      <c r="G45" s="101" t="str">
        <f>_xll.ohRangeRetrieveError(F45)</f>
        <v/>
      </c>
      <c r="H45" s="137"/>
      <c r="AI45" s="143"/>
      <c r="AJ45" s="142">
        <v>39</v>
      </c>
      <c r="AK45" s="140" t="b">
        <v>0</v>
      </c>
      <c r="AL45" s="140" t="str">
        <v>H7</v>
      </c>
      <c r="AM45" s="250" t="str">
        <f t="shared" si="5"/>
        <v>GBPFUT1MH7_Quote</v>
      </c>
      <c r="AN45" s="251" t="str">
        <f t="shared" si="6"/>
        <v>GBPFUT1MH7ConvAdj_Quote</v>
      </c>
      <c r="AO45" s="250" t="e">
        <f>_xll.qlFuturesConvAdjustmentQuote($AN45,IborIndex,$AL45,$AM45,Volatility,MeanReversion,Permanent,Trigger,ObjectOverwrite)</f>
        <v>#NUM!</v>
      </c>
      <c r="AP45" s="72" t="str">
        <f ca="1">_xll.ohRangeRetrieveError(AO45)</f>
        <v>qlFuturesConvAdjustmentQuote - ObjectHandler error: attempt to retrieve object with unknown ID 'GbpLibor1M'</v>
      </c>
    </row>
    <row r="46" spans="1:42" x14ac:dyDescent="0.2">
      <c r="A46" s="143"/>
      <c r="B46" s="142">
        <v>40</v>
      </c>
      <c r="C46" s="141" t="b">
        <v>0</v>
      </c>
      <c r="D46" s="140" t="str">
        <v>J7</v>
      </c>
      <c r="E46" s="139" t="str">
        <f t="shared" si="4"/>
        <v>GBPFUT1MJ7_Quote</v>
      </c>
      <c r="F46" s="138" t="str">
        <f>_xll.qlSimpleQuote(E46,,PriceTickValue,Permanent,Trigger,ObjectOverwrite)</f>
        <v>GBPFUT1MJ7_Quote#0000</v>
      </c>
      <c r="G46" s="101" t="str">
        <f>_xll.ohRangeRetrieveError(F46)</f>
        <v/>
      </c>
      <c r="H46" s="137"/>
      <c r="AI46" s="143"/>
      <c r="AJ46" s="142">
        <v>40</v>
      </c>
      <c r="AK46" s="140" t="b">
        <v>0</v>
      </c>
      <c r="AL46" s="140" t="str">
        <v>J7</v>
      </c>
      <c r="AM46" s="250" t="str">
        <f t="shared" si="5"/>
        <v>GBPFUT1MJ7_Quote</v>
      </c>
      <c r="AN46" s="251" t="str">
        <f t="shared" si="6"/>
        <v>GBPFUT1MJ7ConvAdj_Quote</v>
      </c>
      <c r="AO46" s="250" t="e">
        <f>_xll.qlFuturesConvAdjustmentQuote($AN46,IborIndex,$AL46,$AM46,Volatility,MeanReversion,Permanent,Trigger,ObjectOverwrite)</f>
        <v>#NUM!</v>
      </c>
      <c r="AP46" s="72" t="str">
        <f ca="1">_xll.ohRangeRetrieveError(AO46)</f>
        <v>qlFuturesConvAdjustmentQuote - ObjectHandler error: attempt to retrieve object with unknown ID 'GbpLibor1M'</v>
      </c>
    </row>
    <row r="47" spans="1:42" x14ac:dyDescent="0.2">
      <c r="A47" s="143"/>
      <c r="B47" s="142">
        <v>41</v>
      </c>
      <c r="C47" s="141" t="b">
        <v>0</v>
      </c>
      <c r="D47" s="140" t="str">
        <v>K7</v>
      </c>
      <c r="E47" s="139" t="str">
        <f t="shared" si="4"/>
        <v>GBPFUT1MK7_Quote</v>
      </c>
      <c r="F47" s="138" t="str">
        <f>_xll.qlSimpleQuote(E47,,PriceTickValue,Permanent,Trigger,ObjectOverwrite)</f>
        <v>GBPFUT1MK7_Quote#0000</v>
      </c>
      <c r="G47" s="101" t="str">
        <f>_xll.ohRangeRetrieveError(F47)</f>
        <v/>
      </c>
      <c r="H47" s="137"/>
      <c r="AI47" s="143"/>
      <c r="AJ47" s="142">
        <v>41</v>
      </c>
      <c r="AK47" s="140" t="b">
        <v>0</v>
      </c>
      <c r="AL47" s="140" t="str">
        <v>K7</v>
      </c>
      <c r="AM47" s="250" t="str">
        <f t="shared" si="5"/>
        <v>GBPFUT1MK7_Quote</v>
      </c>
      <c r="AN47" s="251" t="str">
        <f t="shared" si="6"/>
        <v>GBPFUT1MK7ConvAdj_Quote</v>
      </c>
      <c r="AO47" s="250" t="e">
        <f>_xll.qlFuturesConvAdjustmentQuote($AN47,IborIndex,$AL47,$AM47,Volatility,MeanReversion,Permanent,Trigger,ObjectOverwrite)</f>
        <v>#NUM!</v>
      </c>
      <c r="AP47" s="72" t="str">
        <f ca="1">_xll.ohRangeRetrieveError(AO47)</f>
        <v>qlFuturesConvAdjustmentQuote - ObjectHandler error: attempt to retrieve object with unknown ID 'GbpLibor1M'</v>
      </c>
    </row>
    <row r="48" spans="1:42" x14ac:dyDescent="0.2">
      <c r="A48" s="143"/>
      <c r="B48" s="142">
        <v>42</v>
      </c>
      <c r="C48" s="141" t="b">
        <v>0</v>
      </c>
      <c r="D48" s="140" t="str">
        <v>M7</v>
      </c>
      <c r="E48" s="139" t="str">
        <f t="shared" si="4"/>
        <v>GBPFUT1MM7_Quote</v>
      </c>
      <c r="F48" s="138" t="str">
        <f>_xll.qlSimpleQuote(E48,,PriceTickValue,Permanent,Trigger,ObjectOverwrite)</f>
        <v>GBPFUT1MM7_Quote#0000</v>
      </c>
      <c r="G48" s="101" t="str">
        <f>_xll.ohRangeRetrieveError(F48)</f>
        <v/>
      </c>
      <c r="H48" s="137"/>
      <c r="AI48" s="143"/>
      <c r="AJ48" s="142">
        <v>42</v>
      </c>
      <c r="AK48" s="140" t="b">
        <v>0</v>
      </c>
      <c r="AL48" s="140" t="str">
        <v>M7</v>
      </c>
      <c r="AM48" s="250" t="str">
        <f t="shared" si="5"/>
        <v>GBPFUT1MM7_Quote</v>
      </c>
      <c r="AN48" s="251" t="str">
        <f t="shared" si="6"/>
        <v>GBPFUT1MM7ConvAdj_Quote</v>
      </c>
      <c r="AO48" s="250" t="e">
        <f>_xll.qlFuturesConvAdjustmentQuote($AN48,IborIndex,$AL48,$AM48,Volatility,MeanReversion,Permanent,Trigger,ObjectOverwrite)</f>
        <v>#NUM!</v>
      </c>
      <c r="AP48" s="72" t="str">
        <f ca="1">_xll.ohRangeRetrieveError(AO48)</f>
        <v>qlFuturesConvAdjustmentQuote - ObjectHandler error: attempt to retrieve object with unknown ID 'GbpLibor1M'</v>
      </c>
    </row>
    <row r="49" spans="1:42" x14ac:dyDescent="0.2">
      <c r="A49" s="143"/>
      <c r="B49" s="142">
        <v>43</v>
      </c>
      <c r="C49" s="141" t="b">
        <v>0</v>
      </c>
      <c r="D49" s="140" t="str">
        <v>N7</v>
      </c>
      <c r="E49" s="139" t="str">
        <f t="shared" si="4"/>
        <v>GBPFUT1MN7_Quote</v>
      </c>
      <c r="F49" s="138" t="str">
        <f>_xll.qlSimpleQuote(E49,,PriceTickValue,Permanent,Trigger,ObjectOverwrite)</f>
        <v>GBPFUT1MN7_Quote#0000</v>
      </c>
      <c r="G49" s="101" t="str">
        <f>_xll.ohRangeRetrieveError(F49)</f>
        <v/>
      </c>
      <c r="H49" s="137"/>
      <c r="AI49" s="143"/>
      <c r="AJ49" s="142">
        <v>43</v>
      </c>
      <c r="AK49" s="140" t="b">
        <v>0</v>
      </c>
      <c r="AL49" s="140" t="str">
        <v>N7</v>
      </c>
      <c r="AM49" s="250" t="str">
        <f t="shared" si="5"/>
        <v>GBPFUT1MN7_Quote</v>
      </c>
      <c r="AN49" s="251" t="str">
        <f t="shared" si="6"/>
        <v>GBPFUT1MN7ConvAdj_Quote</v>
      </c>
      <c r="AO49" s="250" t="e">
        <f>_xll.qlFuturesConvAdjustmentQuote($AN49,IborIndex,$AL49,$AM49,Volatility,MeanReversion,Permanent,Trigger,ObjectOverwrite)</f>
        <v>#NUM!</v>
      </c>
      <c r="AP49" s="72" t="str">
        <f ca="1">_xll.ohRangeRetrieveError(AO49)</f>
        <v>qlFuturesConvAdjustmentQuote - ObjectHandler error: attempt to retrieve object with unknown ID 'GbpLibor1M'</v>
      </c>
    </row>
    <row r="50" spans="1:42" x14ac:dyDescent="0.2">
      <c r="A50" s="143"/>
      <c r="B50" s="142">
        <v>44</v>
      </c>
      <c r="C50" s="141" t="b">
        <v>0</v>
      </c>
      <c r="D50" s="140" t="str">
        <v>Q7</v>
      </c>
      <c r="E50" s="139" t="str">
        <f t="shared" si="4"/>
        <v>GBPFUT1MQ7_Quote</v>
      </c>
      <c r="F50" s="138" t="str">
        <f>_xll.qlSimpleQuote(E50,,PriceTickValue,Permanent,Trigger,ObjectOverwrite)</f>
        <v>GBPFUT1MQ7_Quote#0000</v>
      </c>
      <c r="G50" s="101" t="str">
        <f>_xll.ohRangeRetrieveError(F50)</f>
        <v/>
      </c>
      <c r="H50" s="137"/>
      <c r="AI50" s="143"/>
      <c r="AJ50" s="142">
        <v>44</v>
      </c>
      <c r="AK50" s="140" t="b">
        <v>0</v>
      </c>
      <c r="AL50" s="140" t="str">
        <v>Q7</v>
      </c>
      <c r="AM50" s="250" t="str">
        <f t="shared" si="5"/>
        <v>GBPFUT1MQ7_Quote</v>
      </c>
      <c r="AN50" s="251" t="str">
        <f t="shared" si="6"/>
        <v>GBPFUT1MQ7ConvAdj_Quote</v>
      </c>
      <c r="AO50" s="250" t="e">
        <f>_xll.qlFuturesConvAdjustmentQuote($AN50,IborIndex,$AL50,$AM50,Volatility,MeanReversion,Permanent,Trigger,ObjectOverwrite)</f>
        <v>#NUM!</v>
      </c>
      <c r="AP50" s="72" t="str">
        <f ca="1">_xll.ohRangeRetrieveError(AO50)</f>
        <v>qlFuturesConvAdjustmentQuote - ObjectHandler error: attempt to retrieve object with unknown ID 'GbpLibor1M'</v>
      </c>
    </row>
    <row r="51" spans="1:42" x14ac:dyDescent="0.2">
      <c r="A51" s="143"/>
      <c r="B51" s="142">
        <v>45</v>
      </c>
      <c r="C51" s="141" t="b">
        <v>0</v>
      </c>
      <c r="D51" s="140" t="str">
        <v>U7</v>
      </c>
      <c r="E51" s="139" t="str">
        <f t="shared" si="4"/>
        <v>GBPFUT1MU7_Quote</v>
      </c>
      <c r="F51" s="138" t="str">
        <f>_xll.qlSimpleQuote(E51,,PriceTickValue,Permanent,Trigger,ObjectOverwrite)</f>
        <v>GBPFUT1MU7_Quote#0000</v>
      </c>
      <c r="G51" s="101" t="str">
        <f>_xll.ohRangeRetrieveError(F51)</f>
        <v/>
      </c>
      <c r="H51" s="137"/>
      <c r="AI51" s="143"/>
      <c r="AJ51" s="142">
        <v>45</v>
      </c>
      <c r="AK51" s="140" t="b">
        <v>0</v>
      </c>
      <c r="AL51" s="140" t="str">
        <v>U7</v>
      </c>
      <c r="AM51" s="250" t="str">
        <f t="shared" si="5"/>
        <v>GBPFUT1MU7_Quote</v>
      </c>
      <c r="AN51" s="251" t="str">
        <f t="shared" si="6"/>
        <v>GBPFUT1MU7ConvAdj_Quote</v>
      </c>
      <c r="AO51" s="250" t="e">
        <f>_xll.qlFuturesConvAdjustmentQuote($AN51,IborIndex,$AL51,$AM51,Volatility,MeanReversion,Permanent,Trigger,ObjectOverwrite)</f>
        <v>#NUM!</v>
      </c>
      <c r="AP51" s="72" t="str">
        <f ca="1">_xll.ohRangeRetrieveError(AO51)</f>
        <v>qlFuturesConvAdjustmentQuote - ObjectHandler error: attempt to retrieve object with unknown ID 'GbpLibor1M'</v>
      </c>
    </row>
    <row r="52" spans="1:42" x14ac:dyDescent="0.2">
      <c r="A52" s="143"/>
      <c r="B52" s="142">
        <v>46</v>
      </c>
      <c r="C52" s="141" t="b">
        <v>0</v>
      </c>
      <c r="D52" s="140" t="str">
        <v>V7</v>
      </c>
      <c r="E52" s="139" t="str">
        <f t="shared" si="4"/>
        <v>GBPFUT1MV7_Quote</v>
      </c>
      <c r="F52" s="138" t="str">
        <f>_xll.qlSimpleQuote(E52,,PriceTickValue,Permanent,Trigger,ObjectOverwrite)</f>
        <v>GBPFUT1MV7_Quote#0000</v>
      </c>
      <c r="G52" s="101" t="str">
        <f>_xll.ohRangeRetrieveError(F52)</f>
        <v/>
      </c>
      <c r="H52" s="137"/>
      <c r="AI52" s="143"/>
      <c r="AJ52" s="142">
        <v>46</v>
      </c>
      <c r="AK52" s="140" t="b">
        <v>0</v>
      </c>
      <c r="AL52" s="140" t="str">
        <v>V7</v>
      </c>
      <c r="AM52" s="250" t="str">
        <f t="shared" si="5"/>
        <v>GBPFUT1MV7_Quote</v>
      </c>
      <c r="AN52" s="251" t="str">
        <f t="shared" si="6"/>
        <v>GBPFUT1MV7ConvAdj_Quote</v>
      </c>
      <c r="AO52" s="250" t="e">
        <f>_xll.qlFuturesConvAdjustmentQuote($AN52,IborIndex,$AL52,$AM52,Volatility,MeanReversion,Permanent,Trigger,ObjectOverwrite)</f>
        <v>#NUM!</v>
      </c>
      <c r="AP52" s="72" t="str">
        <f ca="1">_xll.ohRangeRetrieveError(AO52)</f>
        <v>qlFuturesConvAdjustmentQuote - ObjectHandler error: attempt to retrieve object with unknown ID 'GbpLibor1M'</v>
      </c>
    </row>
    <row r="53" spans="1:42" x14ac:dyDescent="0.2">
      <c r="A53" s="143"/>
      <c r="B53" s="142">
        <v>47</v>
      </c>
      <c r="C53" s="141" t="b">
        <v>0</v>
      </c>
      <c r="D53" s="140" t="str">
        <v>X7</v>
      </c>
      <c r="E53" s="139" t="str">
        <f t="shared" si="4"/>
        <v>GBPFUT1MX7_Quote</v>
      </c>
      <c r="F53" s="138" t="str">
        <f>_xll.qlSimpleQuote(E53,,PriceTickValue,Permanent,Trigger,ObjectOverwrite)</f>
        <v>GBPFUT1MX7_Quote#0000</v>
      </c>
      <c r="G53" s="101" t="str">
        <f>_xll.ohRangeRetrieveError(F53)</f>
        <v/>
      </c>
      <c r="H53" s="137"/>
      <c r="AI53" s="143"/>
      <c r="AJ53" s="142">
        <v>47</v>
      </c>
      <c r="AK53" s="140" t="b">
        <v>0</v>
      </c>
      <c r="AL53" s="140" t="str">
        <v>X7</v>
      </c>
      <c r="AM53" s="250" t="str">
        <f t="shared" si="5"/>
        <v>GBPFUT1MX7_Quote</v>
      </c>
      <c r="AN53" s="251" t="str">
        <f t="shared" si="6"/>
        <v>GBPFUT1MX7ConvAdj_Quote</v>
      </c>
      <c r="AO53" s="250" t="e">
        <f>_xll.qlFuturesConvAdjustmentQuote($AN53,IborIndex,$AL53,$AM53,Volatility,MeanReversion,Permanent,Trigger,ObjectOverwrite)</f>
        <v>#NUM!</v>
      </c>
      <c r="AP53" s="72" t="str">
        <f ca="1">_xll.ohRangeRetrieveError(AO53)</f>
        <v>qlFuturesConvAdjustmentQuote - ObjectHandler error: attempt to retrieve object with unknown ID 'GbpLibor1M'</v>
      </c>
    </row>
    <row r="54" spans="1:42" x14ac:dyDescent="0.2">
      <c r="A54" s="143"/>
      <c r="B54" s="142">
        <v>48</v>
      </c>
      <c r="C54" s="141" t="b">
        <v>0</v>
      </c>
      <c r="D54" s="140" t="str">
        <v>Z7</v>
      </c>
      <c r="E54" s="139" t="str">
        <f t="shared" si="4"/>
        <v>GBPFUT1MZ7_Quote</v>
      </c>
      <c r="F54" s="138" t="str">
        <f>_xll.qlSimpleQuote(E54,,PriceTickValue,Permanent,Trigger,ObjectOverwrite)</f>
        <v>GBPFUT1MZ7_Quote#0000</v>
      </c>
      <c r="G54" s="101" t="str">
        <f>_xll.ohRangeRetrieveError(F54)</f>
        <v/>
      </c>
      <c r="H54" s="137"/>
      <c r="AI54" s="143"/>
      <c r="AJ54" s="142">
        <v>48</v>
      </c>
      <c r="AK54" s="140" t="b">
        <v>0</v>
      </c>
      <c r="AL54" s="140" t="str">
        <v>Z7</v>
      </c>
      <c r="AM54" s="250" t="str">
        <f t="shared" si="5"/>
        <v>GBPFUT1MZ7_Quote</v>
      </c>
      <c r="AN54" s="251" t="str">
        <f t="shared" si="6"/>
        <v>GBPFUT1MZ7ConvAdj_Quote</v>
      </c>
      <c r="AO54" s="250" t="e">
        <f>_xll.qlFuturesConvAdjustmentQuote($AN54,IborIndex,$AL54,$AM54,Volatility,MeanReversion,Permanent,Trigger,ObjectOverwrite)</f>
        <v>#NUM!</v>
      </c>
      <c r="AP54" s="72" t="str">
        <f ca="1">_xll.ohRangeRetrieveError(AO54)</f>
        <v>qlFuturesConvAdjustmentQuote - ObjectHandler error: attempt to retrieve object with unknown ID 'GbpLibor1M'</v>
      </c>
    </row>
    <row r="55" spans="1:42" x14ac:dyDescent="0.2">
      <c r="A55" s="143"/>
      <c r="B55" s="142">
        <v>49</v>
      </c>
      <c r="C55" s="141" t="b">
        <v>0</v>
      </c>
      <c r="D55" s="140" t="str">
        <v>F8</v>
      </c>
      <c r="E55" s="139" t="str">
        <f t="shared" si="4"/>
        <v>GBPFUT1MF8_Quote</v>
      </c>
      <c r="F55" s="138" t="str">
        <f>_xll.qlSimpleQuote(E55,,PriceTickValue,Permanent,Trigger,ObjectOverwrite)</f>
        <v>GBPFUT1MF8_Quote#0000</v>
      </c>
      <c r="G55" s="101" t="str">
        <f>_xll.ohRangeRetrieveError(F55)</f>
        <v/>
      </c>
      <c r="H55" s="137"/>
      <c r="AI55" s="143"/>
      <c r="AJ55" s="142">
        <v>49</v>
      </c>
      <c r="AK55" s="140" t="b">
        <v>0</v>
      </c>
      <c r="AL55" s="140" t="str">
        <v>F8</v>
      </c>
      <c r="AM55" s="250" t="str">
        <f t="shared" si="5"/>
        <v>GBPFUT1MF8_Quote</v>
      </c>
      <c r="AN55" s="251" t="str">
        <f t="shared" si="6"/>
        <v>GBPFUT1MF8ConvAdj_Quote</v>
      </c>
      <c r="AO55" s="250" t="e">
        <f>_xll.qlFuturesConvAdjustmentQuote($AN55,IborIndex,$AL55,$AM55,Volatility,MeanReversion,Permanent,Trigger,ObjectOverwrite)</f>
        <v>#NUM!</v>
      </c>
      <c r="AP55" s="72" t="str">
        <f ca="1">_xll.ohRangeRetrieveError(AO55)</f>
        <v>qlFuturesConvAdjustmentQuote - ObjectHandler error: attempt to retrieve object with unknown ID 'GbpLibor1M'</v>
      </c>
    </row>
    <row r="56" spans="1:42" x14ac:dyDescent="0.2">
      <c r="A56" s="143"/>
      <c r="B56" s="142">
        <v>50</v>
      </c>
      <c r="C56" s="141" t="b">
        <v>0</v>
      </c>
      <c r="D56" s="140" t="str">
        <v>G8</v>
      </c>
      <c r="E56" s="139" t="str">
        <f t="shared" si="4"/>
        <v>GBPFUT1MG8_Quote</v>
      </c>
      <c r="F56" s="138" t="str">
        <f>_xll.qlSimpleQuote(E56,,PriceTickValue,Permanent,Trigger,ObjectOverwrite)</f>
        <v>GBPFUT1MG8_Quote#0000</v>
      </c>
      <c r="G56" s="101" t="str">
        <f>_xll.ohRangeRetrieveError(F56)</f>
        <v/>
      </c>
      <c r="H56" s="137"/>
      <c r="AI56" s="143"/>
      <c r="AJ56" s="142">
        <v>50</v>
      </c>
      <c r="AK56" s="140" t="b">
        <v>0</v>
      </c>
      <c r="AL56" s="140" t="str">
        <v>G8</v>
      </c>
      <c r="AM56" s="250" t="str">
        <f t="shared" si="5"/>
        <v>GBPFUT1MG8_Quote</v>
      </c>
      <c r="AN56" s="251" t="str">
        <f t="shared" si="6"/>
        <v>GBPFUT1MG8ConvAdj_Quote</v>
      </c>
      <c r="AO56" s="250" t="e">
        <f>_xll.qlFuturesConvAdjustmentQuote($AN56,IborIndex,$AL56,$AM56,Volatility,MeanReversion,Permanent,Trigger,ObjectOverwrite)</f>
        <v>#NUM!</v>
      </c>
      <c r="AP56" s="72" t="str">
        <f ca="1">_xll.ohRangeRetrieveError(AO56)</f>
        <v>qlFuturesConvAdjustmentQuote - ObjectHandler error: attempt to retrieve object with unknown ID 'GbpLibor1M'</v>
      </c>
    </row>
    <row r="57" spans="1:42" x14ac:dyDescent="0.2">
      <c r="A57" s="143"/>
      <c r="B57" s="142">
        <v>51</v>
      </c>
      <c r="C57" s="141" t="b">
        <v>0</v>
      </c>
      <c r="D57" s="140" t="str">
        <v>H8</v>
      </c>
      <c r="E57" s="139" t="str">
        <f t="shared" si="4"/>
        <v>GBPFUT1MH8_Quote</v>
      </c>
      <c r="F57" s="138" t="str">
        <f>_xll.qlSimpleQuote(E57,,PriceTickValue,Permanent,Trigger,ObjectOverwrite)</f>
        <v>GBPFUT1MH8_Quote#0000</v>
      </c>
      <c r="G57" s="101" t="str">
        <f>_xll.ohRangeRetrieveError(F57)</f>
        <v/>
      </c>
      <c r="H57" s="137"/>
      <c r="AI57" s="143"/>
      <c r="AJ57" s="142">
        <v>51</v>
      </c>
      <c r="AK57" s="140" t="b">
        <v>0</v>
      </c>
      <c r="AL57" s="140" t="str">
        <v>H8</v>
      </c>
      <c r="AM57" s="250" t="str">
        <f t="shared" si="5"/>
        <v>GBPFUT1MH8_Quote</v>
      </c>
      <c r="AN57" s="251" t="str">
        <f t="shared" si="6"/>
        <v>GBPFUT1MH8ConvAdj_Quote</v>
      </c>
      <c r="AO57" s="250" t="e">
        <f>_xll.qlFuturesConvAdjustmentQuote($AN57,IborIndex,$AL57,$AM57,Volatility,MeanReversion,Permanent,Trigger,ObjectOverwrite)</f>
        <v>#NUM!</v>
      </c>
      <c r="AP57" s="72" t="str">
        <f ca="1">_xll.ohRangeRetrieveError(AO57)</f>
        <v>qlFuturesConvAdjustmentQuote - ObjectHandler error: attempt to retrieve object with unknown ID 'GbpLibor1M'</v>
      </c>
    </row>
    <row r="58" spans="1:42" x14ac:dyDescent="0.2">
      <c r="A58" s="143"/>
      <c r="B58" s="142">
        <v>52</v>
      </c>
      <c r="C58" s="141" t="b">
        <v>0</v>
      </c>
      <c r="D58" s="140" t="str">
        <v>J8</v>
      </c>
      <c r="E58" s="139" t="str">
        <f t="shared" si="4"/>
        <v>GBPFUT1MJ8_Quote</v>
      </c>
      <c r="F58" s="138" t="str">
        <f>_xll.qlSimpleQuote(E58,,PriceTickValue,Permanent,Trigger,ObjectOverwrite)</f>
        <v>GBPFUT1MJ8_Quote#0000</v>
      </c>
      <c r="G58" s="101" t="str">
        <f>_xll.ohRangeRetrieveError(F58)</f>
        <v/>
      </c>
      <c r="H58" s="137"/>
      <c r="AI58" s="143"/>
      <c r="AJ58" s="142">
        <v>52</v>
      </c>
      <c r="AK58" s="140" t="b">
        <v>0</v>
      </c>
      <c r="AL58" s="140" t="str">
        <v>J8</v>
      </c>
      <c r="AM58" s="250" t="str">
        <f t="shared" si="5"/>
        <v>GBPFUT1MJ8_Quote</v>
      </c>
      <c r="AN58" s="251" t="str">
        <f t="shared" si="6"/>
        <v>GBPFUT1MJ8ConvAdj_Quote</v>
      </c>
      <c r="AO58" s="250" t="e">
        <f>_xll.qlFuturesConvAdjustmentQuote($AN58,IborIndex,$AL58,$AM58,Volatility,MeanReversion,Permanent,Trigger,ObjectOverwrite)</f>
        <v>#NUM!</v>
      </c>
      <c r="AP58" s="72" t="str">
        <f ca="1">_xll.ohRangeRetrieveError(AO58)</f>
        <v>qlFuturesConvAdjustmentQuote - ObjectHandler error: attempt to retrieve object with unknown ID 'GbpLibor1M'</v>
      </c>
    </row>
    <row r="59" spans="1:42" x14ac:dyDescent="0.2">
      <c r="A59" s="143"/>
      <c r="B59" s="142">
        <v>53</v>
      </c>
      <c r="C59" s="141" t="b">
        <v>0</v>
      </c>
      <c r="D59" s="140" t="str">
        <v>K8</v>
      </c>
      <c r="E59" s="139" t="str">
        <f t="shared" si="4"/>
        <v>GBPFUT1MK8_Quote</v>
      </c>
      <c r="F59" s="138" t="str">
        <f>_xll.qlSimpleQuote(E59,,PriceTickValue,Permanent,Trigger,ObjectOverwrite)</f>
        <v>GBPFUT1MK8_Quote#0000</v>
      </c>
      <c r="G59" s="101" t="str">
        <f>_xll.ohRangeRetrieveError(F59)</f>
        <v/>
      </c>
      <c r="H59" s="137"/>
      <c r="AI59" s="143"/>
      <c r="AJ59" s="142">
        <v>53</v>
      </c>
      <c r="AK59" s="140" t="b">
        <v>0</v>
      </c>
      <c r="AL59" s="140" t="str">
        <v>K8</v>
      </c>
      <c r="AM59" s="250" t="str">
        <f t="shared" si="5"/>
        <v>GBPFUT1MK8_Quote</v>
      </c>
      <c r="AN59" s="251" t="str">
        <f t="shared" si="6"/>
        <v>GBPFUT1MK8ConvAdj_Quote</v>
      </c>
      <c r="AO59" s="250" t="e">
        <f>_xll.qlFuturesConvAdjustmentQuote($AN59,IborIndex,$AL59,$AM59,Volatility,MeanReversion,Permanent,Trigger,ObjectOverwrite)</f>
        <v>#NUM!</v>
      </c>
      <c r="AP59" s="72" t="str">
        <f ca="1">_xll.ohRangeRetrieveError(AO59)</f>
        <v>qlFuturesConvAdjustmentQuote - ObjectHandler error: attempt to retrieve object with unknown ID 'GbpLibor1M'</v>
      </c>
    </row>
    <row r="60" spans="1:42" x14ac:dyDescent="0.2">
      <c r="A60" s="143"/>
      <c r="B60" s="142">
        <v>54</v>
      </c>
      <c r="C60" s="141" t="b">
        <v>0</v>
      </c>
      <c r="D60" s="140" t="str">
        <v>M8</v>
      </c>
      <c r="E60" s="139" t="str">
        <f t="shared" si="4"/>
        <v>GBPFUT1MM8_Quote</v>
      </c>
      <c r="F60" s="138" t="str">
        <f>_xll.qlSimpleQuote(E60,,PriceTickValue,Permanent,Trigger,ObjectOverwrite)</f>
        <v>GBPFUT1MM8_Quote#0000</v>
      </c>
      <c r="G60" s="101" t="str">
        <f>_xll.ohRangeRetrieveError(F60)</f>
        <v/>
      </c>
      <c r="H60" s="137"/>
      <c r="AI60" s="143"/>
      <c r="AJ60" s="142">
        <v>54</v>
      </c>
      <c r="AK60" s="140" t="b">
        <v>0</v>
      </c>
      <c r="AL60" s="140" t="str">
        <v>M8</v>
      </c>
      <c r="AM60" s="250" t="str">
        <f t="shared" si="5"/>
        <v>GBPFUT1MM8_Quote</v>
      </c>
      <c r="AN60" s="251" t="str">
        <f t="shared" si="6"/>
        <v>GBPFUT1MM8ConvAdj_Quote</v>
      </c>
      <c r="AO60" s="250" t="e">
        <f>_xll.qlFuturesConvAdjustmentQuote($AN60,IborIndex,$AL60,$AM60,Volatility,MeanReversion,Permanent,Trigger,ObjectOverwrite)</f>
        <v>#NUM!</v>
      </c>
      <c r="AP60" s="72" t="str">
        <f ca="1">_xll.ohRangeRetrieveError(AO60)</f>
        <v>qlFuturesConvAdjustmentQuote - ObjectHandler error: attempt to retrieve object with unknown ID 'GbpLibor1M'</v>
      </c>
    </row>
    <row r="61" spans="1:42" x14ac:dyDescent="0.2">
      <c r="A61" s="143"/>
      <c r="B61" s="142">
        <v>55</v>
      </c>
      <c r="C61" s="141" t="b">
        <v>0</v>
      </c>
      <c r="D61" s="140" t="str">
        <v>N8</v>
      </c>
      <c r="E61" s="139" t="str">
        <f t="shared" si="4"/>
        <v>GBPFUT1MN8_Quote</v>
      </c>
      <c r="F61" s="138" t="str">
        <f>_xll.qlSimpleQuote(E61,,PriceTickValue,Permanent,Trigger,ObjectOverwrite)</f>
        <v>GBPFUT1MN8_Quote#0000</v>
      </c>
      <c r="G61" s="101" t="str">
        <f>_xll.ohRangeRetrieveError(F61)</f>
        <v/>
      </c>
      <c r="H61" s="137"/>
      <c r="AI61" s="143"/>
      <c r="AJ61" s="142">
        <v>55</v>
      </c>
      <c r="AK61" s="140" t="b">
        <v>0</v>
      </c>
      <c r="AL61" s="140" t="str">
        <v>N8</v>
      </c>
      <c r="AM61" s="250" t="str">
        <f t="shared" si="5"/>
        <v>GBPFUT1MN8_Quote</v>
      </c>
      <c r="AN61" s="251" t="str">
        <f t="shared" si="6"/>
        <v>GBPFUT1MN8ConvAdj_Quote</v>
      </c>
      <c r="AO61" s="250" t="e">
        <f>_xll.qlFuturesConvAdjustmentQuote($AN61,IborIndex,$AL61,$AM61,Volatility,MeanReversion,Permanent,Trigger,ObjectOverwrite)</f>
        <v>#NUM!</v>
      </c>
      <c r="AP61" s="72" t="str">
        <f ca="1">_xll.ohRangeRetrieveError(AO61)</f>
        <v>qlFuturesConvAdjustmentQuote - ObjectHandler error: attempt to retrieve object with unknown ID 'GbpLibor1M'</v>
      </c>
    </row>
    <row r="62" spans="1:42" x14ac:dyDescent="0.2">
      <c r="A62" s="143"/>
      <c r="B62" s="142">
        <v>56</v>
      </c>
      <c r="C62" s="141" t="b">
        <v>0</v>
      </c>
      <c r="D62" s="140" t="str">
        <v>Q8</v>
      </c>
      <c r="E62" s="139" t="str">
        <f t="shared" si="4"/>
        <v>GBPFUT1MQ8_Quote</v>
      </c>
      <c r="F62" s="138" t="str">
        <f>_xll.qlSimpleQuote(E62,,PriceTickValue,Permanent,Trigger,ObjectOverwrite)</f>
        <v>GBPFUT1MQ8_Quote#0000</v>
      </c>
      <c r="G62" s="101" t="str">
        <f>_xll.ohRangeRetrieveError(F62)</f>
        <v/>
      </c>
      <c r="H62" s="137"/>
      <c r="AI62" s="143"/>
      <c r="AJ62" s="142">
        <v>56</v>
      </c>
      <c r="AK62" s="140" t="b">
        <v>0</v>
      </c>
      <c r="AL62" s="140" t="str">
        <v>Q8</v>
      </c>
      <c r="AM62" s="250" t="str">
        <f t="shared" si="5"/>
        <v>GBPFUT1MQ8_Quote</v>
      </c>
      <c r="AN62" s="251" t="str">
        <f t="shared" si="6"/>
        <v>GBPFUT1MQ8ConvAdj_Quote</v>
      </c>
      <c r="AO62" s="250" t="e">
        <f>_xll.qlFuturesConvAdjustmentQuote($AN62,IborIndex,$AL62,$AM62,Volatility,MeanReversion,Permanent,Trigger,ObjectOverwrite)</f>
        <v>#NUM!</v>
      </c>
      <c r="AP62" s="72" t="str">
        <f ca="1">_xll.ohRangeRetrieveError(AO62)</f>
        <v>qlFuturesConvAdjustmentQuote - ObjectHandler error: attempt to retrieve object with unknown ID 'GbpLibor1M'</v>
      </c>
    </row>
    <row r="63" spans="1:42" x14ac:dyDescent="0.2">
      <c r="A63" s="143"/>
      <c r="B63" s="142">
        <v>57</v>
      </c>
      <c r="C63" s="141" t="b">
        <v>0</v>
      </c>
      <c r="D63" s="140" t="str">
        <v>U8</v>
      </c>
      <c r="E63" s="139" t="str">
        <f t="shared" si="4"/>
        <v>GBPFUT1MU8_Quote</v>
      </c>
      <c r="F63" s="138" t="str">
        <f>_xll.qlSimpleQuote(E63,,PriceTickValue,Permanent,Trigger,ObjectOverwrite)</f>
        <v>GBPFUT1MU8_Quote#0000</v>
      </c>
      <c r="G63" s="101" t="str">
        <f>_xll.ohRangeRetrieveError(F63)</f>
        <v/>
      </c>
      <c r="H63" s="137"/>
      <c r="AI63" s="143"/>
      <c r="AJ63" s="142">
        <v>57</v>
      </c>
      <c r="AK63" s="140" t="b">
        <v>0</v>
      </c>
      <c r="AL63" s="140" t="str">
        <v>U8</v>
      </c>
      <c r="AM63" s="250" t="str">
        <f t="shared" si="5"/>
        <v>GBPFUT1MU8_Quote</v>
      </c>
      <c r="AN63" s="251" t="str">
        <f t="shared" si="6"/>
        <v>GBPFUT1MU8ConvAdj_Quote</v>
      </c>
      <c r="AO63" s="250" t="e">
        <f>_xll.qlFuturesConvAdjustmentQuote($AN63,IborIndex,$AL63,$AM63,Volatility,MeanReversion,Permanent,Trigger,ObjectOverwrite)</f>
        <v>#NUM!</v>
      </c>
      <c r="AP63" s="72" t="str">
        <f ca="1">_xll.ohRangeRetrieveError(AO63)</f>
        <v>qlFuturesConvAdjustmentQuote - ObjectHandler error: attempt to retrieve object with unknown ID 'GbpLibor1M'</v>
      </c>
    </row>
    <row r="64" spans="1:42" x14ac:dyDescent="0.2">
      <c r="A64" s="143"/>
      <c r="B64" s="142">
        <v>58</v>
      </c>
      <c r="C64" s="141" t="b">
        <v>0</v>
      </c>
      <c r="D64" s="140" t="str">
        <v>V8</v>
      </c>
      <c r="E64" s="139" t="str">
        <f t="shared" si="4"/>
        <v>GBPFUT1MV8_Quote</v>
      </c>
      <c r="F64" s="138" t="str">
        <f>_xll.qlSimpleQuote(E64,,PriceTickValue,Permanent,Trigger,ObjectOverwrite)</f>
        <v>GBPFUT1MV8_Quote#0000</v>
      </c>
      <c r="G64" s="101" t="str">
        <f>_xll.ohRangeRetrieveError(F64)</f>
        <v/>
      </c>
      <c r="H64" s="137"/>
      <c r="AI64" s="143"/>
      <c r="AJ64" s="142">
        <v>58</v>
      </c>
      <c r="AK64" s="140" t="b">
        <v>0</v>
      </c>
      <c r="AL64" s="140" t="str">
        <v>V8</v>
      </c>
      <c r="AM64" s="250" t="str">
        <f t="shared" si="5"/>
        <v>GBPFUT1MV8_Quote</v>
      </c>
      <c r="AN64" s="251" t="str">
        <f t="shared" si="6"/>
        <v>GBPFUT1MV8ConvAdj_Quote</v>
      </c>
      <c r="AO64" s="250" t="e">
        <f>_xll.qlFuturesConvAdjustmentQuote($AN64,IborIndex,$AL64,$AM64,Volatility,MeanReversion,Permanent,Trigger,ObjectOverwrite)</f>
        <v>#NUM!</v>
      </c>
      <c r="AP64" s="72" t="str">
        <f ca="1">_xll.ohRangeRetrieveError(AO64)</f>
        <v>qlFuturesConvAdjustmentQuote - ObjectHandler error: attempt to retrieve object with unknown ID 'GbpLibor1M'</v>
      </c>
    </row>
    <row r="65" spans="1:42" x14ac:dyDescent="0.2">
      <c r="A65" s="143"/>
      <c r="B65" s="142">
        <v>59</v>
      </c>
      <c r="C65" s="141" t="b">
        <v>0</v>
      </c>
      <c r="D65" s="140" t="str">
        <v>X8</v>
      </c>
      <c r="E65" s="139" t="str">
        <f t="shared" si="4"/>
        <v>GBPFUT1MX8_Quote</v>
      </c>
      <c r="F65" s="138" t="str">
        <f>_xll.qlSimpleQuote(E65,,PriceTickValue,Permanent,Trigger,ObjectOverwrite)</f>
        <v>GBPFUT1MX8_Quote#0000</v>
      </c>
      <c r="G65" s="101" t="str">
        <f>_xll.ohRangeRetrieveError(F65)</f>
        <v/>
      </c>
      <c r="H65" s="137"/>
      <c r="AI65" s="143"/>
      <c r="AJ65" s="142">
        <v>59</v>
      </c>
      <c r="AK65" s="140" t="b">
        <v>0</v>
      </c>
      <c r="AL65" s="140" t="str">
        <v>X8</v>
      </c>
      <c r="AM65" s="250" t="str">
        <f t="shared" si="5"/>
        <v>GBPFUT1MX8_Quote</v>
      </c>
      <c r="AN65" s="251" t="str">
        <f t="shared" si="6"/>
        <v>GBPFUT1MX8ConvAdj_Quote</v>
      </c>
      <c r="AO65" s="250" t="e">
        <f>_xll.qlFuturesConvAdjustmentQuote($AN65,IborIndex,$AL65,$AM65,Volatility,MeanReversion,Permanent,Trigger,ObjectOverwrite)</f>
        <v>#NUM!</v>
      </c>
      <c r="AP65" s="72" t="str">
        <f ca="1">_xll.ohRangeRetrieveError(AO65)</f>
        <v>qlFuturesConvAdjustmentQuote - ObjectHandler error: attempt to retrieve object with unknown ID 'GbpLibor1M'</v>
      </c>
    </row>
    <row r="66" spans="1:42" x14ac:dyDescent="0.2">
      <c r="A66" s="143"/>
      <c r="B66" s="142">
        <v>60</v>
      </c>
      <c r="C66" s="141" t="b">
        <v>0</v>
      </c>
      <c r="D66" s="140" t="str">
        <v>Z8</v>
      </c>
      <c r="E66" s="139" t="str">
        <f t="shared" si="4"/>
        <v>GBPFUT1MZ8_Quote</v>
      </c>
      <c r="F66" s="138" t="str">
        <f>_xll.qlSimpleQuote(E66,,PriceTickValue,Permanent,Trigger,ObjectOverwrite)</f>
        <v>GBPFUT1MZ8_Quote#0000</v>
      </c>
      <c r="G66" s="101" t="str">
        <f>_xll.ohRangeRetrieveError(F66)</f>
        <v/>
      </c>
      <c r="H66" s="137"/>
      <c r="AI66" s="143"/>
      <c r="AJ66" s="142">
        <v>60</v>
      </c>
      <c r="AK66" s="140" t="b">
        <v>0</v>
      </c>
      <c r="AL66" s="140" t="str">
        <v>Z8</v>
      </c>
      <c r="AM66" s="250" t="str">
        <f t="shared" si="5"/>
        <v>GBPFUT1MZ8_Quote</v>
      </c>
      <c r="AN66" s="251" t="str">
        <f t="shared" si="6"/>
        <v>GBPFUT1MZ8ConvAdj_Quote</v>
      </c>
      <c r="AO66" s="250" t="e">
        <f>_xll.qlFuturesConvAdjustmentQuote($AN66,IborIndex,$AL66,$AM66,Volatility,MeanReversion,Permanent,Trigger,ObjectOverwrite)</f>
        <v>#NUM!</v>
      </c>
      <c r="AP66" s="72" t="str">
        <f ca="1">_xll.ohRangeRetrieveError(AO66)</f>
        <v>qlFuturesConvAdjustmentQuote - ObjectHandler error: attempt to retrieve object with unknown ID 'GbpLibor1M'</v>
      </c>
    </row>
    <row r="67" spans="1:42" x14ac:dyDescent="0.2">
      <c r="A67" s="143"/>
      <c r="B67" s="142">
        <v>61</v>
      </c>
      <c r="C67" s="141" t="b">
        <v>0</v>
      </c>
      <c r="D67" s="140" t="str">
        <v>F9</v>
      </c>
      <c r="E67" s="139" t="str">
        <f t="shared" si="4"/>
        <v>GBPFUT1MF9_Quote</v>
      </c>
      <c r="F67" s="138" t="str">
        <f>_xll.qlSimpleQuote(E67,,PriceTickValue,Permanent,Trigger,ObjectOverwrite)</f>
        <v>GBPFUT1MF9_Quote#0000</v>
      </c>
      <c r="G67" s="101" t="str">
        <f>_xll.ohRangeRetrieveError(F67)</f>
        <v/>
      </c>
      <c r="H67" s="137"/>
      <c r="AI67" s="143"/>
      <c r="AJ67" s="142">
        <v>61</v>
      </c>
      <c r="AK67" s="140" t="b">
        <v>0</v>
      </c>
      <c r="AL67" s="140" t="str">
        <v>F9</v>
      </c>
      <c r="AM67" s="250" t="str">
        <f t="shared" si="5"/>
        <v>GBPFUT1MF9_Quote</v>
      </c>
      <c r="AN67" s="251" t="str">
        <f t="shared" si="6"/>
        <v>GBPFUT1MF9ConvAdj_Quote</v>
      </c>
      <c r="AO67" s="250" t="e">
        <f>_xll.qlFuturesConvAdjustmentQuote($AN67,IborIndex,$AL67,$AM67,Volatility,MeanReversion,Permanent,Trigger,ObjectOverwrite)</f>
        <v>#NUM!</v>
      </c>
      <c r="AP67" s="72" t="str">
        <f ca="1">_xll.ohRangeRetrieveError(AO67)</f>
        <v>qlFuturesConvAdjustmentQuote - ObjectHandler error: attempt to retrieve object with unknown ID 'GbpLibor1M'</v>
      </c>
    </row>
    <row r="68" spans="1:42" x14ac:dyDescent="0.2">
      <c r="A68" s="143"/>
      <c r="B68" s="142">
        <v>62</v>
      </c>
      <c r="C68" s="141" t="b">
        <v>0</v>
      </c>
      <c r="D68" s="140" t="str">
        <v>G9</v>
      </c>
      <c r="E68" s="139" t="str">
        <f t="shared" si="4"/>
        <v>GBPFUT1MG9_Quote</v>
      </c>
      <c r="F68" s="138" t="str">
        <f>_xll.qlSimpleQuote(E68,,PriceTickValue,Permanent,Trigger,ObjectOverwrite)</f>
        <v>GBPFUT1MG9_Quote#0000</v>
      </c>
      <c r="G68" s="101" t="str">
        <f>_xll.ohRangeRetrieveError(F68)</f>
        <v/>
      </c>
      <c r="H68" s="137"/>
      <c r="AI68" s="143"/>
      <c r="AJ68" s="142">
        <v>62</v>
      </c>
      <c r="AK68" s="140" t="b">
        <v>0</v>
      </c>
      <c r="AL68" s="140" t="str">
        <v>G9</v>
      </c>
      <c r="AM68" s="250" t="str">
        <f t="shared" si="5"/>
        <v>GBPFUT1MG9_Quote</v>
      </c>
      <c r="AN68" s="251" t="str">
        <f t="shared" si="6"/>
        <v>GBPFUT1MG9ConvAdj_Quote</v>
      </c>
      <c r="AO68" s="250" t="e">
        <f>_xll.qlFuturesConvAdjustmentQuote($AN68,IborIndex,$AL68,$AM68,Volatility,MeanReversion,Permanent,Trigger,ObjectOverwrite)</f>
        <v>#NUM!</v>
      </c>
      <c r="AP68" s="72" t="str">
        <f ca="1">_xll.ohRangeRetrieveError(AO68)</f>
        <v>qlFuturesConvAdjustmentQuote - ObjectHandler error: attempt to retrieve object with unknown ID 'GbpLibor1M'</v>
      </c>
    </row>
    <row r="69" spans="1:42" x14ac:dyDescent="0.2">
      <c r="A69" s="143"/>
      <c r="B69" s="142">
        <v>63</v>
      </c>
      <c r="C69" s="141" t="b">
        <v>0</v>
      </c>
      <c r="D69" s="140" t="str">
        <v>H9</v>
      </c>
      <c r="E69" s="139" t="str">
        <f t="shared" si="4"/>
        <v>GBPFUT1MH9_Quote</v>
      </c>
      <c r="F69" s="138" t="str">
        <f>_xll.qlSimpleQuote(E69,,PriceTickValue,Permanent,Trigger,ObjectOverwrite)</f>
        <v>GBPFUT1MH9_Quote#0000</v>
      </c>
      <c r="G69" s="101" t="str">
        <f>_xll.ohRangeRetrieveError(F69)</f>
        <v/>
      </c>
      <c r="H69" s="137"/>
      <c r="AI69" s="143"/>
      <c r="AJ69" s="142">
        <v>63</v>
      </c>
      <c r="AK69" s="140" t="b">
        <v>0</v>
      </c>
      <c r="AL69" s="140" t="str">
        <v>H9</v>
      </c>
      <c r="AM69" s="250" t="str">
        <f t="shared" si="5"/>
        <v>GBPFUT1MH9_Quote</v>
      </c>
      <c r="AN69" s="251" t="str">
        <f t="shared" si="6"/>
        <v>GBPFUT1MH9ConvAdj_Quote</v>
      </c>
      <c r="AO69" s="250" t="e">
        <f>_xll.qlFuturesConvAdjustmentQuote($AN69,IborIndex,$AL69,$AM69,Volatility,MeanReversion,Permanent,Trigger,ObjectOverwrite)</f>
        <v>#NUM!</v>
      </c>
      <c r="AP69" s="72" t="str">
        <f ca="1">_xll.ohRangeRetrieveError(AO69)</f>
        <v>qlFuturesConvAdjustmentQuote - ObjectHandler error: attempt to retrieve object with unknown ID 'GbpLibor1M'</v>
      </c>
    </row>
    <row r="70" spans="1:42" x14ac:dyDescent="0.2">
      <c r="A70" s="143"/>
      <c r="B70" s="142">
        <v>64</v>
      </c>
      <c r="C70" s="141" t="b">
        <v>0</v>
      </c>
      <c r="D70" s="140" t="str">
        <v>J9</v>
      </c>
      <c r="E70" s="139" t="str">
        <f t="shared" si="4"/>
        <v>GBPFUT1MJ9_Quote</v>
      </c>
      <c r="F70" s="138" t="str">
        <f>_xll.qlSimpleQuote(E70,,PriceTickValue,Permanent,Trigger,ObjectOverwrite)</f>
        <v>GBPFUT1MJ9_Quote#0000</v>
      </c>
      <c r="G70" s="101" t="str">
        <f>_xll.ohRangeRetrieveError(F70)</f>
        <v/>
      </c>
      <c r="H70" s="137"/>
      <c r="AI70" s="143"/>
      <c r="AJ70" s="142">
        <v>64</v>
      </c>
      <c r="AK70" s="140" t="b">
        <v>0</v>
      </c>
      <c r="AL70" s="140" t="str">
        <v>J9</v>
      </c>
      <c r="AM70" s="250" t="str">
        <f t="shared" si="5"/>
        <v>GBPFUT1MJ9_Quote</v>
      </c>
      <c r="AN70" s="251" t="str">
        <f t="shared" si="6"/>
        <v>GBPFUT1MJ9ConvAdj_Quote</v>
      </c>
      <c r="AO70" s="250" t="e">
        <f>_xll.qlFuturesConvAdjustmentQuote($AN70,IborIndex,$AL70,$AM70,Volatility,MeanReversion,Permanent,Trigger,ObjectOverwrite)</f>
        <v>#NUM!</v>
      </c>
      <c r="AP70" s="72" t="str">
        <f ca="1">_xll.ohRangeRetrieveError(AO70)</f>
        <v>qlFuturesConvAdjustmentQuote - ObjectHandler error: attempt to retrieve object with unknown ID 'GbpLibor1M'</v>
      </c>
    </row>
    <row r="71" spans="1:42" x14ac:dyDescent="0.2">
      <c r="A71" s="143"/>
      <c r="B71" s="142">
        <v>65</v>
      </c>
      <c r="C71" s="141" t="b">
        <v>0</v>
      </c>
      <c r="D71" s="140" t="str">
        <v>K9</v>
      </c>
      <c r="E71" s="139" t="str">
        <f t="shared" ref="E71:E102" si="7">Currency&amp;$D$5&amp;$E$5&amp;$D71&amp;QuoteSuffix</f>
        <v>GBPFUT1MK9_Quote</v>
      </c>
      <c r="F71" s="138" t="str">
        <f>_xll.qlSimpleQuote(E71,,PriceTickValue,Permanent,Trigger,ObjectOverwrite)</f>
        <v>GBPFUT1MK9_Quote#0000</v>
      </c>
      <c r="G71" s="101" t="str">
        <f>_xll.ohRangeRetrieveError(F71)</f>
        <v/>
      </c>
      <c r="H71" s="137"/>
      <c r="AI71" s="143"/>
      <c r="AJ71" s="142">
        <v>65</v>
      </c>
      <c r="AK71" s="140" t="b">
        <v>0</v>
      </c>
      <c r="AL71" s="140" t="str">
        <v>K9</v>
      </c>
      <c r="AM71" s="250" t="str">
        <f t="shared" ref="AM71:AM102" si="8">Currency&amp;"FUT"&amp;$AO$4&amp;$AL71&amp;QuoteSuffix</f>
        <v>GBPFUT1MK9_Quote</v>
      </c>
      <c r="AN71" s="251" t="str">
        <f t="shared" ref="AN71:AN102" si="9">Currency&amp;"FUT"&amp;$AO$4&amp;$AL71&amp;"ConvAdj"&amp;QuoteSuffix</f>
        <v>GBPFUT1MK9ConvAdj_Quote</v>
      </c>
      <c r="AO71" s="250" t="e">
        <f>_xll.qlFuturesConvAdjustmentQuote($AN71,IborIndex,$AL71,$AM71,Volatility,MeanReversion,Permanent,Trigger,ObjectOverwrite)</f>
        <v>#NUM!</v>
      </c>
      <c r="AP71" s="72" t="str">
        <f ca="1">_xll.ohRangeRetrieveError(AO71)</f>
        <v>qlFuturesConvAdjustmentQuote - ObjectHandler error: attempt to retrieve object with unknown ID 'GbpLibor1M'</v>
      </c>
    </row>
    <row r="72" spans="1:42" x14ac:dyDescent="0.2">
      <c r="A72" s="143"/>
      <c r="B72" s="142">
        <v>66</v>
      </c>
      <c r="C72" s="141" t="b">
        <v>0</v>
      </c>
      <c r="D72" s="140" t="str">
        <v>M9</v>
      </c>
      <c r="E72" s="139" t="str">
        <f t="shared" si="7"/>
        <v>GBPFUT1MM9_Quote</v>
      </c>
      <c r="F72" s="138" t="str">
        <f>_xll.qlSimpleQuote(E72,,PriceTickValue,Permanent,Trigger,ObjectOverwrite)</f>
        <v>GBPFUT1MM9_Quote#0000</v>
      </c>
      <c r="G72" s="101" t="str">
        <f>_xll.ohRangeRetrieveError(F72)</f>
        <v/>
      </c>
      <c r="H72" s="137"/>
      <c r="AI72" s="143"/>
      <c r="AJ72" s="142">
        <v>66</v>
      </c>
      <c r="AK72" s="140" t="b">
        <v>0</v>
      </c>
      <c r="AL72" s="140" t="str">
        <v>M9</v>
      </c>
      <c r="AM72" s="250" t="str">
        <f t="shared" si="8"/>
        <v>GBPFUT1MM9_Quote</v>
      </c>
      <c r="AN72" s="251" t="str">
        <f t="shared" si="9"/>
        <v>GBPFUT1MM9ConvAdj_Quote</v>
      </c>
      <c r="AO72" s="250" t="e">
        <f>_xll.qlFuturesConvAdjustmentQuote($AN72,IborIndex,$AL72,$AM72,Volatility,MeanReversion,Permanent,Trigger,ObjectOverwrite)</f>
        <v>#NUM!</v>
      </c>
      <c r="AP72" s="72" t="str">
        <f ca="1">_xll.ohRangeRetrieveError(AO72)</f>
        <v>qlFuturesConvAdjustmentQuote - ObjectHandler error: attempt to retrieve object with unknown ID 'GbpLibor1M'</v>
      </c>
    </row>
    <row r="73" spans="1:42" x14ac:dyDescent="0.2">
      <c r="A73" s="143"/>
      <c r="B73" s="142">
        <v>67</v>
      </c>
      <c r="C73" s="141" t="b">
        <v>0</v>
      </c>
      <c r="D73" s="140" t="str">
        <v>N9</v>
      </c>
      <c r="E73" s="139" t="str">
        <f t="shared" si="7"/>
        <v>GBPFUT1MN9_Quote</v>
      </c>
      <c r="F73" s="138" t="str">
        <f>_xll.qlSimpleQuote(E73,,PriceTickValue,Permanent,Trigger,ObjectOverwrite)</f>
        <v>GBPFUT1MN9_Quote#0000</v>
      </c>
      <c r="G73" s="101" t="str">
        <f>_xll.ohRangeRetrieveError(F73)</f>
        <v/>
      </c>
      <c r="H73" s="137"/>
      <c r="AI73" s="143"/>
      <c r="AJ73" s="142">
        <v>67</v>
      </c>
      <c r="AK73" s="140" t="b">
        <v>0</v>
      </c>
      <c r="AL73" s="140" t="str">
        <v>N9</v>
      </c>
      <c r="AM73" s="250" t="str">
        <f t="shared" si="8"/>
        <v>GBPFUT1MN9_Quote</v>
      </c>
      <c r="AN73" s="251" t="str">
        <f t="shared" si="9"/>
        <v>GBPFUT1MN9ConvAdj_Quote</v>
      </c>
      <c r="AO73" s="250" t="e">
        <f>_xll.qlFuturesConvAdjustmentQuote($AN73,IborIndex,$AL73,$AM73,Volatility,MeanReversion,Permanent,Trigger,ObjectOverwrite)</f>
        <v>#NUM!</v>
      </c>
      <c r="AP73" s="72" t="str">
        <f ca="1">_xll.ohRangeRetrieveError(AO73)</f>
        <v>qlFuturesConvAdjustmentQuote - ObjectHandler error: attempt to retrieve object with unknown ID 'GbpLibor1M'</v>
      </c>
    </row>
    <row r="74" spans="1:42" x14ac:dyDescent="0.2">
      <c r="A74" s="143"/>
      <c r="B74" s="142">
        <v>68</v>
      </c>
      <c r="C74" s="141" t="b">
        <v>0</v>
      </c>
      <c r="D74" s="140" t="str">
        <v>Q9</v>
      </c>
      <c r="E74" s="139" t="str">
        <f t="shared" si="7"/>
        <v>GBPFUT1MQ9_Quote</v>
      </c>
      <c r="F74" s="138" t="str">
        <f>_xll.qlSimpleQuote(E74,,PriceTickValue,Permanent,Trigger,ObjectOverwrite)</f>
        <v>GBPFUT1MQ9_Quote#0000</v>
      </c>
      <c r="G74" s="101" t="str">
        <f>_xll.ohRangeRetrieveError(F74)</f>
        <v/>
      </c>
      <c r="H74" s="137"/>
      <c r="AI74" s="143"/>
      <c r="AJ74" s="142">
        <v>68</v>
      </c>
      <c r="AK74" s="140" t="b">
        <v>0</v>
      </c>
      <c r="AL74" s="140" t="str">
        <v>Q9</v>
      </c>
      <c r="AM74" s="250" t="str">
        <f t="shared" si="8"/>
        <v>GBPFUT1MQ9_Quote</v>
      </c>
      <c r="AN74" s="251" t="str">
        <f t="shared" si="9"/>
        <v>GBPFUT1MQ9ConvAdj_Quote</v>
      </c>
      <c r="AO74" s="250" t="e">
        <f>_xll.qlFuturesConvAdjustmentQuote($AN74,IborIndex,$AL74,$AM74,Volatility,MeanReversion,Permanent,Trigger,ObjectOverwrite)</f>
        <v>#NUM!</v>
      </c>
      <c r="AP74" s="72" t="str">
        <f ca="1">_xll.ohRangeRetrieveError(AO74)</f>
        <v>qlFuturesConvAdjustmentQuote - ObjectHandler error: attempt to retrieve object with unknown ID 'GbpLibor1M'</v>
      </c>
    </row>
    <row r="75" spans="1:42" x14ac:dyDescent="0.2">
      <c r="A75" s="143"/>
      <c r="B75" s="142">
        <v>69</v>
      </c>
      <c r="C75" s="141" t="b">
        <v>0</v>
      </c>
      <c r="D75" s="140" t="str">
        <v>U9</v>
      </c>
      <c r="E75" s="139" t="str">
        <f t="shared" si="7"/>
        <v>GBPFUT1MU9_Quote</v>
      </c>
      <c r="F75" s="138" t="str">
        <f>_xll.qlSimpleQuote(E75,,PriceTickValue,Permanent,Trigger,ObjectOverwrite)</f>
        <v>GBPFUT1MU9_Quote#0000</v>
      </c>
      <c r="G75" s="101" t="str">
        <f>_xll.ohRangeRetrieveError(F75)</f>
        <v/>
      </c>
      <c r="H75" s="137"/>
      <c r="AI75" s="143"/>
      <c r="AJ75" s="142">
        <v>69</v>
      </c>
      <c r="AK75" s="140" t="b">
        <v>0</v>
      </c>
      <c r="AL75" s="140" t="str">
        <v>U9</v>
      </c>
      <c r="AM75" s="250" t="str">
        <f t="shared" si="8"/>
        <v>GBPFUT1MU9_Quote</v>
      </c>
      <c r="AN75" s="251" t="str">
        <f t="shared" si="9"/>
        <v>GBPFUT1MU9ConvAdj_Quote</v>
      </c>
      <c r="AO75" s="250" t="e">
        <f>_xll.qlFuturesConvAdjustmentQuote($AN75,IborIndex,$AL75,$AM75,Volatility,MeanReversion,Permanent,Trigger,ObjectOverwrite)</f>
        <v>#NUM!</v>
      </c>
      <c r="AP75" s="72" t="str">
        <f ca="1">_xll.ohRangeRetrieveError(AO75)</f>
        <v>qlFuturesConvAdjustmentQuote - ObjectHandler error: attempt to retrieve object with unknown ID 'GbpLibor1M'</v>
      </c>
    </row>
    <row r="76" spans="1:42" x14ac:dyDescent="0.2">
      <c r="A76" s="143"/>
      <c r="B76" s="142">
        <v>70</v>
      </c>
      <c r="C76" s="141" t="b">
        <v>0</v>
      </c>
      <c r="D76" s="140" t="str">
        <v>V9</v>
      </c>
      <c r="E76" s="139" t="str">
        <f t="shared" si="7"/>
        <v>GBPFUT1MV9_Quote</v>
      </c>
      <c r="F76" s="138" t="str">
        <f>_xll.qlSimpleQuote(E76,,PriceTickValue,Permanent,Trigger,ObjectOverwrite)</f>
        <v>GBPFUT1MV9_Quote#0000</v>
      </c>
      <c r="G76" s="101" t="str">
        <f>_xll.ohRangeRetrieveError(F76)</f>
        <v/>
      </c>
      <c r="H76" s="137"/>
      <c r="AI76" s="143"/>
      <c r="AJ76" s="142">
        <v>70</v>
      </c>
      <c r="AK76" s="140" t="b">
        <v>0</v>
      </c>
      <c r="AL76" s="140" t="str">
        <v>V9</v>
      </c>
      <c r="AM76" s="250" t="str">
        <f t="shared" si="8"/>
        <v>GBPFUT1MV9_Quote</v>
      </c>
      <c r="AN76" s="251" t="str">
        <f t="shared" si="9"/>
        <v>GBPFUT1MV9ConvAdj_Quote</v>
      </c>
      <c r="AO76" s="250" t="e">
        <f>_xll.qlFuturesConvAdjustmentQuote($AN76,IborIndex,$AL76,$AM76,Volatility,MeanReversion,Permanent,Trigger,ObjectOverwrite)</f>
        <v>#NUM!</v>
      </c>
      <c r="AP76" s="72" t="str">
        <f ca="1">_xll.ohRangeRetrieveError(AO76)</f>
        <v>qlFuturesConvAdjustmentQuote - ObjectHandler error: attempt to retrieve object with unknown ID 'GbpLibor1M'</v>
      </c>
    </row>
    <row r="77" spans="1:42" x14ac:dyDescent="0.2">
      <c r="A77" s="143"/>
      <c r="B77" s="142">
        <v>71</v>
      </c>
      <c r="C77" s="141" t="b">
        <v>0</v>
      </c>
      <c r="D77" s="140" t="str">
        <v>X9</v>
      </c>
      <c r="E77" s="139" t="str">
        <f t="shared" si="7"/>
        <v>GBPFUT1MX9_Quote</v>
      </c>
      <c r="F77" s="138" t="str">
        <f>_xll.qlSimpleQuote(E77,,PriceTickValue,Permanent,Trigger,ObjectOverwrite)</f>
        <v>GBPFUT1MX9_Quote#0000</v>
      </c>
      <c r="G77" s="101" t="str">
        <f>_xll.ohRangeRetrieveError(F77)</f>
        <v/>
      </c>
      <c r="H77" s="137"/>
      <c r="AI77" s="143"/>
      <c r="AJ77" s="142">
        <v>71</v>
      </c>
      <c r="AK77" s="140" t="b">
        <v>0</v>
      </c>
      <c r="AL77" s="140" t="str">
        <v>X9</v>
      </c>
      <c r="AM77" s="250" t="str">
        <f t="shared" si="8"/>
        <v>GBPFUT1MX9_Quote</v>
      </c>
      <c r="AN77" s="251" t="str">
        <f t="shared" si="9"/>
        <v>GBPFUT1MX9ConvAdj_Quote</v>
      </c>
      <c r="AO77" s="250" t="e">
        <f>_xll.qlFuturesConvAdjustmentQuote($AN77,IborIndex,$AL77,$AM77,Volatility,MeanReversion,Permanent,Trigger,ObjectOverwrite)</f>
        <v>#NUM!</v>
      </c>
      <c r="AP77" s="72" t="str">
        <f ca="1">_xll.ohRangeRetrieveError(AO77)</f>
        <v>qlFuturesConvAdjustmentQuote - ObjectHandler error: attempt to retrieve object with unknown ID 'GbpLibor1M'</v>
      </c>
    </row>
    <row r="78" spans="1:42" x14ac:dyDescent="0.2">
      <c r="A78" s="143"/>
      <c r="B78" s="142">
        <v>72</v>
      </c>
      <c r="C78" s="141" t="b">
        <v>0</v>
      </c>
      <c r="D78" s="140" t="str">
        <v>Z9</v>
      </c>
      <c r="E78" s="139" t="str">
        <f t="shared" si="7"/>
        <v>GBPFUT1MZ9_Quote</v>
      </c>
      <c r="F78" s="138" t="str">
        <f>_xll.qlSimpleQuote(E78,,PriceTickValue,Permanent,Trigger,ObjectOverwrite)</f>
        <v>GBPFUT1MZ9_Quote#0000</v>
      </c>
      <c r="G78" s="101" t="str">
        <f>_xll.ohRangeRetrieveError(F78)</f>
        <v/>
      </c>
      <c r="H78" s="137"/>
      <c r="AI78" s="143"/>
      <c r="AJ78" s="142">
        <v>72</v>
      </c>
      <c r="AK78" s="140" t="b">
        <v>0</v>
      </c>
      <c r="AL78" s="140" t="str">
        <v>Z9</v>
      </c>
      <c r="AM78" s="250" t="str">
        <f t="shared" si="8"/>
        <v>GBPFUT1MZ9_Quote</v>
      </c>
      <c r="AN78" s="251" t="str">
        <f t="shared" si="9"/>
        <v>GBPFUT1MZ9ConvAdj_Quote</v>
      </c>
      <c r="AO78" s="250" t="e">
        <f>_xll.qlFuturesConvAdjustmentQuote($AN78,IborIndex,$AL78,$AM78,Volatility,MeanReversion,Permanent,Trigger,ObjectOverwrite)</f>
        <v>#NUM!</v>
      </c>
      <c r="AP78" s="72" t="str">
        <f ca="1">_xll.ohRangeRetrieveError(AO78)</f>
        <v>qlFuturesConvAdjustmentQuote - ObjectHandler error: attempt to retrieve object with unknown ID 'GbpLibor1M'</v>
      </c>
    </row>
    <row r="79" spans="1:42" x14ac:dyDescent="0.2">
      <c r="A79" s="143"/>
      <c r="B79" s="142">
        <v>73</v>
      </c>
      <c r="C79" s="141" t="b">
        <v>0</v>
      </c>
      <c r="D79" s="140" t="str">
        <v>F0</v>
      </c>
      <c r="E79" s="139" t="str">
        <f t="shared" si="7"/>
        <v>GBPFUT1MF0_Quote</v>
      </c>
      <c r="F79" s="138" t="str">
        <f>_xll.qlSimpleQuote(E79,,PriceTickValue,Permanent,Trigger,ObjectOverwrite)</f>
        <v>GBPFUT1MF0_Quote#0000</v>
      </c>
      <c r="G79" s="101" t="str">
        <f>_xll.ohRangeRetrieveError(F79)</f>
        <v/>
      </c>
      <c r="H79" s="137"/>
      <c r="AI79" s="143"/>
      <c r="AJ79" s="142">
        <v>73</v>
      </c>
      <c r="AK79" s="140" t="b">
        <v>0</v>
      </c>
      <c r="AL79" s="140" t="str">
        <v>F0</v>
      </c>
      <c r="AM79" s="250" t="str">
        <f t="shared" si="8"/>
        <v>GBPFUT1MF0_Quote</v>
      </c>
      <c r="AN79" s="251" t="str">
        <f t="shared" si="9"/>
        <v>GBPFUT1MF0ConvAdj_Quote</v>
      </c>
      <c r="AO79" s="250" t="e">
        <f>_xll.qlFuturesConvAdjustmentQuote($AN79,IborIndex,$AL79,$AM79,Volatility,MeanReversion,Permanent,Trigger,ObjectOverwrite)</f>
        <v>#NUM!</v>
      </c>
      <c r="AP79" s="72" t="str">
        <f ca="1">_xll.ohRangeRetrieveError(AO79)</f>
        <v>qlFuturesConvAdjustmentQuote - ObjectHandler error: attempt to retrieve object with unknown ID 'GbpLibor1M'</v>
      </c>
    </row>
    <row r="80" spans="1:42" x14ac:dyDescent="0.2">
      <c r="A80" s="143"/>
      <c r="B80" s="142">
        <v>74</v>
      </c>
      <c r="C80" s="141" t="b">
        <v>0</v>
      </c>
      <c r="D80" s="140" t="str">
        <v>G0</v>
      </c>
      <c r="E80" s="139" t="str">
        <f t="shared" si="7"/>
        <v>GBPFUT1MG0_Quote</v>
      </c>
      <c r="F80" s="138" t="str">
        <f>_xll.qlSimpleQuote(E80,,PriceTickValue,Permanent,Trigger,ObjectOverwrite)</f>
        <v>GBPFUT1MG0_Quote#0000</v>
      </c>
      <c r="G80" s="101" t="str">
        <f>_xll.ohRangeRetrieveError(F80)</f>
        <v/>
      </c>
      <c r="H80" s="137"/>
      <c r="AI80" s="143"/>
      <c r="AJ80" s="142">
        <v>74</v>
      </c>
      <c r="AK80" s="140" t="b">
        <v>0</v>
      </c>
      <c r="AL80" s="140" t="str">
        <v>G0</v>
      </c>
      <c r="AM80" s="250" t="str">
        <f t="shared" si="8"/>
        <v>GBPFUT1MG0_Quote</v>
      </c>
      <c r="AN80" s="251" t="str">
        <f t="shared" si="9"/>
        <v>GBPFUT1MG0ConvAdj_Quote</v>
      </c>
      <c r="AO80" s="250" t="e">
        <f>_xll.qlFuturesConvAdjustmentQuote($AN80,IborIndex,$AL80,$AM80,Volatility,MeanReversion,Permanent,Trigger,ObjectOverwrite)</f>
        <v>#NUM!</v>
      </c>
      <c r="AP80" s="72" t="str">
        <f ca="1">_xll.ohRangeRetrieveError(AO80)</f>
        <v>qlFuturesConvAdjustmentQuote - ObjectHandler error: attempt to retrieve object with unknown ID 'GbpLibor1M'</v>
      </c>
    </row>
    <row r="81" spans="1:42" x14ac:dyDescent="0.2">
      <c r="A81" s="143"/>
      <c r="B81" s="142">
        <v>75</v>
      </c>
      <c r="C81" s="141" t="b">
        <v>0</v>
      </c>
      <c r="D81" s="140" t="str">
        <v>H0</v>
      </c>
      <c r="E81" s="139" t="str">
        <f t="shared" si="7"/>
        <v>GBPFUT1MH0_Quote</v>
      </c>
      <c r="F81" s="138" t="str">
        <f>_xll.qlSimpleQuote(E81,,PriceTickValue,Permanent,Trigger,ObjectOverwrite)</f>
        <v>GBPFUT1MH0_Quote#0000</v>
      </c>
      <c r="G81" s="101" t="str">
        <f>_xll.ohRangeRetrieveError(F81)</f>
        <v/>
      </c>
      <c r="H81" s="137"/>
      <c r="AI81" s="143"/>
      <c r="AJ81" s="142">
        <v>75</v>
      </c>
      <c r="AK81" s="140" t="b">
        <v>0</v>
      </c>
      <c r="AL81" s="140" t="str">
        <v>H0</v>
      </c>
      <c r="AM81" s="250" t="str">
        <f t="shared" si="8"/>
        <v>GBPFUT1MH0_Quote</v>
      </c>
      <c r="AN81" s="251" t="str">
        <f t="shared" si="9"/>
        <v>GBPFUT1MH0ConvAdj_Quote</v>
      </c>
      <c r="AO81" s="250" t="e">
        <f>_xll.qlFuturesConvAdjustmentQuote($AN81,IborIndex,$AL81,$AM81,Volatility,MeanReversion,Permanent,Trigger,ObjectOverwrite)</f>
        <v>#NUM!</v>
      </c>
      <c r="AP81" s="72" t="str">
        <f ca="1">_xll.ohRangeRetrieveError(AO81)</f>
        <v>qlFuturesConvAdjustmentQuote - ObjectHandler error: attempt to retrieve object with unknown ID 'GbpLibor1M'</v>
      </c>
    </row>
    <row r="82" spans="1:42" x14ac:dyDescent="0.2">
      <c r="A82" s="143"/>
      <c r="B82" s="142">
        <v>76</v>
      </c>
      <c r="C82" s="141" t="b">
        <v>0</v>
      </c>
      <c r="D82" s="140" t="str">
        <v>J0</v>
      </c>
      <c r="E82" s="139" t="str">
        <f t="shared" si="7"/>
        <v>GBPFUT1MJ0_Quote</v>
      </c>
      <c r="F82" s="138" t="str">
        <f>_xll.qlSimpleQuote(E82,,PriceTickValue,Permanent,Trigger,ObjectOverwrite)</f>
        <v>GBPFUT1MJ0_Quote#0000</v>
      </c>
      <c r="G82" s="101" t="str">
        <f>_xll.ohRangeRetrieveError(F82)</f>
        <v/>
      </c>
      <c r="H82" s="137"/>
      <c r="AI82" s="143"/>
      <c r="AJ82" s="142">
        <v>76</v>
      </c>
      <c r="AK82" s="140" t="b">
        <v>0</v>
      </c>
      <c r="AL82" s="140" t="str">
        <v>J0</v>
      </c>
      <c r="AM82" s="250" t="str">
        <f t="shared" si="8"/>
        <v>GBPFUT1MJ0_Quote</v>
      </c>
      <c r="AN82" s="251" t="str">
        <f t="shared" si="9"/>
        <v>GBPFUT1MJ0ConvAdj_Quote</v>
      </c>
      <c r="AO82" s="250" t="e">
        <f>_xll.qlFuturesConvAdjustmentQuote($AN82,IborIndex,$AL82,$AM82,Volatility,MeanReversion,Permanent,Trigger,ObjectOverwrite)</f>
        <v>#NUM!</v>
      </c>
      <c r="AP82" s="72" t="str">
        <f ca="1">_xll.ohRangeRetrieveError(AO82)</f>
        <v>qlFuturesConvAdjustmentQuote - ObjectHandler error: attempt to retrieve object with unknown ID 'GbpLibor1M'</v>
      </c>
    </row>
    <row r="83" spans="1:42" x14ac:dyDescent="0.2">
      <c r="A83" s="143"/>
      <c r="B83" s="142">
        <v>77</v>
      </c>
      <c r="C83" s="141" t="b">
        <v>0</v>
      </c>
      <c r="D83" s="140" t="str">
        <v>K0</v>
      </c>
      <c r="E83" s="139" t="str">
        <f t="shared" si="7"/>
        <v>GBPFUT1MK0_Quote</v>
      </c>
      <c r="F83" s="138" t="str">
        <f>_xll.qlSimpleQuote(E83,,PriceTickValue,Permanent,Trigger,ObjectOverwrite)</f>
        <v>GBPFUT1MK0_Quote#0000</v>
      </c>
      <c r="G83" s="101" t="str">
        <f>_xll.ohRangeRetrieveError(F83)</f>
        <v/>
      </c>
      <c r="H83" s="137"/>
      <c r="AI83" s="143"/>
      <c r="AJ83" s="142">
        <v>77</v>
      </c>
      <c r="AK83" s="140" t="b">
        <v>0</v>
      </c>
      <c r="AL83" s="140" t="str">
        <v>K0</v>
      </c>
      <c r="AM83" s="250" t="str">
        <f t="shared" si="8"/>
        <v>GBPFUT1MK0_Quote</v>
      </c>
      <c r="AN83" s="251" t="str">
        <f t="shared" si="9"/>
        <v>GBPFUT1MK0ConvAdj_Quote</v>
      </c>
      <c r="AO83" s="250" t="e">
        <f>_xll.qlFuturesConvAdjustmentQuote($AN83,IborIndex,$AL83,$AM83,Volatility,MeanReversion,Permanent,Trigger,ObjectOverwrite)</f>
        <v>#NUM!</v>
      </c>
      <c r="AP83" s="72" t="str">
        <f ca="1">_xll.ohRangeRetrieveError(AO83)</f>
        <v>qlFuturesConvAdjustmentQuote - ObjectHandler error: attempt to retrieve object with unknown ID 'GbpLibor1M'</v>
      </c>
    </row>
    <row r="84" spans="1:42" x14ac:dyDescent="0.2">
      <c r="A84" s="143"/>
      <c r="B84" s="142">
        <v>78</v>
      </c>
      <c r="C84" s="141" t="b">
        <v>0</v>
      </c>
      <c r="D84" s="140" t="str">
        <v>M0</v>
      </c>
      <c r="E84" s="139" t="str">
        <f t="shared" si="7"/>
        <v>GBPFUT1MM0_Quote</v>
      </c>
      <c r="F84" s="138" t="str">
        <f>_xll.qlSimpleQuote(E84,,PriceTickValue,Permanent,Trigger,ObjectOverwrite)</f>
        <v>GBPFUT1MM0_Quote#0000</v>
      </c>
      <c r="G84" s="101" t="str">
        <f>_xll.ohRangeRetrieveError(F84)</f>
        <v/>
      </c>
      <c r="H84" s="137"/>
      <c r="AI84" s="143"/>
      <c r="AJ84" s="142">
        <v>78</v>
      </c>
      <c r="AK84" s="140" t="b">
        <v>0</v>
      </c>
      <c r="AL84" s="140" t="str">
        <v>M0</v>
      </c>
      <c r="AM84" s="250" t="str">
        <f t="shared" si="8"/>
        <v>GBPFUT1MM0_Quote</v>
      </c>
      <c r="AN84" s="251" t="str">
        <f t="shared" si="9"/>
        <v>GBPFUT1MM0ConvAdj_Quote</v>
      </c>
      <c r="AO84" s="250" t="e">
        <f>_xll.qlFuturesConvAdjustmentQuote($AN84,IborIndex,$AL84,$AM84,Volatility,MeanReversion,Permanent,Trigger,ObjectOverwrite)</f>
        <v>#NUM!</v>
      </c>
      <c r="AP84" s="72" t="str">
        <f ca="1">_xll.ohRangeRetrieveError(AO84)</f>
        <v>qlFuturesConvAdjustmentQuote - ObjectHandler error: attempt to retrieve object with unknown ID 'GbpLibor1M'</v>
      </c>
    </row>
    <row r="85" spans="1:42" x14ac:dyDescent="0.2">
      <c r="A85" s="143"/>
      <c r="B85" s="142">
        <v>79</v>
      </c>
      <c r="C85" s="141" t="b">
        <v>0</v>
      </c>
      <c r="D85" s="140" t="str">
        <v>N0</v>
      </c>
      <c r="E85" s="139" t="str">
        <f t="shared" si="7"/>
        <v>GBPFUT1MN0_Quote</v>
      </c>
      <c r="F85" s="138" t="str">
        <f>_xll.qlSimpleQuote(E85,,PriceTickValue,Permanent,Trigger,ObjectOverwrite)</f>
        <v>GBPFUT1MN0_Quote#0000</v>
      </c>
      <c r="G85" s="101" t="str">
        <f>_xll.ohRangeRetrieveError(F85)</f>
        <v/>
      </c>
      <c r="H85" s="137"/>
      <c r="AI85" s="143"/>
      <c r="AJ85" s="142">
        <v>79</v>
      </c>
      <c r="AK85" s="140" t="b">
        <v>0</v>
      </c>
      <c r="AL85" s="140" t="str">
        <v>N0</v>
      </c>
      <c r="AM85" s="250" t="str">
        <f t="shared" si="8"/>
        <v>GBPFUT1MN0_Quote</v>
      </c>
      <c r="AN85" s="251" t="str">
        <f t="shared" si="9"/>
        <v>GBPFUT1MN0ConvAdj_Quote</v>
      </c>
      <c r="AO85" s="250" t="e">
        <f>_xll.qlFuturesConvAdjustmentQuote($AN85,IborIndex,$AL85,$AM85,Volatility,MeanReversion,Permanent,Trigger,ObjectOverwrite)</f>
        <v>#NUM!</v>
      </c>
      <c r="AP85" s="72" t="str">
        <f ca="1">_xll.ohRangeRetrieveError(AO85)</f>
        <v>qlFuturesConvAdjustmentQuote - ObjectHandler error: attempt to retrieve object with unknown ID 'GbpLibor1M'</v>
      </c>
    </row>
    <row r="86" spans="1:42" x14ac:dyDescent="0.2">
      <c r="A86" s="143"/>
      <c r="B86" s="142">
        <v>80</v>
      </c>
      <c r="C86" s="141" t="b">
        <v>0</v>
      </c>
      <c r="D86" s="140" t="str">
        <v>Q0</v>
      </c>
      <c r="E86" s="139" t="str">
        <f t="shared" si="7"/>
        <v>GBPFUT1MQ0_Quote</v>
      </c>
      <c r="F86" s="138" t="str">
        <f>_xll.qlSimpleQuote(E86,,PriceTickValue,Permanent,Trigger,ObjectOverwrite)</f>
        <v>GBPFUT1MQ0_Quote#0000</v>
      </c>
      <c r="G86" s="101" t="str">
        <f>_xll.ohRangeRetrieveError(F86)</f>
        <v/>
      </c>
      <c r="H86" s="137"/>
      <c r="AI86" s="143"/>
      <c r="AJ86" s="142">
        <v>80</v>
      </c>
      <c r="AK86" s="140" t="b">
        <v>0</v>
      </c>
      <c r="AL86" s="140" t="str">
        <v>Q0</v>
      </c>
      <c r="AM86" s="250" t="str">
        <f t="shared" si="8"/>
        <v>GBPFUT1MQ0_Quote</v>
      </c>
      <c r="AN86" s="251" t="str">
        <f t="shared" si="9"/>
        <v>GBPFUT1MQ0ConvAdj_Quote</v>
      </c>
      <c r="AO86" s="250" t="e">
        <f>_xll.qlFuturesConvAdjustmentQuote($AN86,IborIndex,$AL86,$AM86,Volatility,MeanReversion,Permanent,Trigger,ObjectOverwrite)</f>
        <v>#NUM!</v>
      </c>
      <c r="AP86" s="72" t="str">
        <f ca="1">_xll.ohRangeRetrieveError(AO86)</f>
        <v>qlFuturesConvAdjustmentQuote - ObjectHandler error: attempt to retrieve object with unknown ID 'GbpLibor1M'</v>
      </c>
    </row>
    <row r="87" spans="1:42" x14ac:dyDescent="0.2">
      <c r="A87" s="143"/>
      <c r="B87" s="142">
        <v>81</v>
      </c>
      <c r="C87" s="141" t="b">
        <v>0</v>
      </c>
      <c r="D87" s="140" t="str">
        <v>U0</v>
      </c>
      <c r="E87" s="139" t="str">
        <f t="shared" si="7"/>
        <v>GBPFUT1MU0_Quote</v>
      </c>
      <c r="F87" s="138" t="str">
        <f>_xll.qlSimpleQuote(E87,,PriceTickValue,Permanent,Trigger,ObjectOverwrite)</f>
        <v>GBPFUT1MU0_Quote#0000</v>
      </c>
      <c r="G87" s="101" t="str">
        <f>_xll.ohRangeRetrieveError(F87)</f>
        <v/>
      </c>
      <c r="H87" s="137"/>
      <c r="AI87" s="143"/>
      <c r="AJ87" s="142">
        <v>81</v>
      </c>
      <c r="AK87" s="140" t="b">
        <v>0</v>
      </c>
      <c r="AL87" s="140" t="str">
        <v>U0</v>
      </c>
      <c r="AM87" s="250" t="str">
        <f t="shared" si="8"/>
        <v>GBPFUT1MU0_Quote</v>
      </c>
      <c r="AN87" s="251" t="str">
        <f t="shared" si="9"/>
        <v>GBPFUT1MU0ConvAdj_Quote</v>
      </c>
      <c r="AO87" s="250" t="e">
        <f>_xll.qlFuturesConvAdjustmentQuote($AN87,IborIndex,$AL87,$AM87,Volatility,MeanReversion,Permanent,Trigger,ObjectOverwrite)</f>
        <v>#NUM!</v>
      </c>
      <c r="AP87" s="72" t="str">
        <f ca="1">_xll.ohRangeRetrieveError(AO87)</f>
        <v>qlFuturesConvAdjustmentQuote - ObjectHandler error: attempt to retrieve object with unknown ID 'GbpLibor1M'</v>
      </c>
    </row>
    <row r="88" spans="1:42" x14ac:dyDescent="0.2">
      <c r="A88" s="143"/>
      <c r="B88" s="142">
        <v>82</v>
      </c>
      <c r="C88" s="141" t="b">
        <v>0</v>
      </c>
      <c r="D88" s="140" t="str">
        <v>V0</v>
      </c>
      <c r="E88" s="139" t="str">
        <f t="shared" si="7"/>
        <v>GBPFUT1MV0_Quote</v>
      </c>
      <c r="F88" s="138" t="str">
        <f>_xll.qlSimpleQuote(E88,,PriceTickValue,Permanent,Trigger,ObjectOverwrite)</f>
        <v>GBPFUT1MV0_Quote#0000</v>
      </c>
      <c r="G88" s="101" t="str">
        <f>_xll.ohRangeRetrieveError(F88)</f>
        <v/>
      </c>
      <c r="H88" s="137"/>
      <c r="AI88" s="143"/>
      <c r="AJ88" s="142">
        <v>82</v>
      </c>
      <c r="AK88" s="140" t="b">
        <v>0</v>
      </c>
      <c r="AL88" s="140" t="str">
        <v>V0</v>
      </c>
      <c r="AM88" s="250" t="str">
        <f t="shared" si="8"/>
        <v>GBPFUT1MV0_Quote</v>
      </c>
      <c r="AN88" s="251" t="str">
        <f t="shared" si="9"/>
        <v>GBPFUT1MV0ConvAdj_Quote</v>
      </c>
      <c r="AO88" s="250" t="e">
        <f>_xll.qlFuturesConvAdjustmentQuote($AN88,IborIndex,$AL88,$AM88,Volatility,MeanReversion,Permanent,Trigger,ObjectOverwrite)</f>
        <v>#NUM!</v>
      </c>
      <c r="AP88" s="72" t="str">
        <f ca="1">_xll.ohRangeRetrieveError(AO88)</f>
        <v>qlFuturesConvAdjustmentQuote - ObjectHandler error: attempt to retrieve object with unknown ID 'GbpLibor1M'</v>
      </c>
    </row>
    <row r="89" spans="1:42" x14ac:dyDescent="0.2">
      <c r="A89" s="143"/>
      <c r="B89" s="142">
        <v>83</v>
      </c>
      <c r="C89" s="141" t="b">
        <v>0</v>
      </c>
      <c r="D89" s="140" t="str">
        <v>X0</v>
      </c>
      <c r="E89" s="139" t="str">
        <f t="shared" si="7"/>
        <v>GBPFUT1MX0_Quote</v>
      </c>
      <c r="F89" s="138" t="str">
        <f>_xll.qlSimpleQuote(E89,,PriceTickValue,Permanent,Trigger,ObjectOverwrite)</f>
        <v>GBPFUT1MX0_Quote#0000</v>
      </c>
      <c r="G89" s="101" t="str">
        <f>_xll.ohRangeRetrieveError(F89)</f>
        <v/>
      </c>
      <c r="H89" s="137"/>
      <c r="AI89" s="143"/>
      <c r="AJ89" s="142">
        <v>83</v>
      </c>
      <c r="AK89" s="140" t="b">
        <v>0</v>
      </c>
      <c r="AL89" s="140" t="str">
        <v>X0</v>
      </c>
      <c r="AM89" s="250" t="str">
        <f t="shared" si="8"/>
        <v>GBPFUT1MX0_Quote</v>
      </c>
      <c r="AN89" s="251" t="str">
        <f t="shared" si="9"/>
        <v>GBPFUT1MX0ConvAdj_Quote</v>
      </c>
      <c r="AO89" s="250" t="e">
        <f>_xll.qlFuturesConvAdjustmentQuote($AN89,IborIndex,$AL89,$AM89,Volatility,MeanReversion,Permanent,Trigger,ObjectOverwrite)</f>
        <v>#NUM!</v>
      </c>
      <c r="AP89" s="72" t="str">
        <f ca="1">_xll.ohRangeRetrieveError(AO89)</f>
        <v>qlFuturesConvAdjustmentQuote - ObjectHandler error: attempt to retrieve object with unknown ID 'GbpLibor1M'</v>
      </c>
    </row>
    <row r="90" spans="1:42" x14ac:dyDescent="0.2">
      <c r="A90" s="143"/>
      <c r="B90" s="142">
        <v>84</v>
      </c>
      <c r="C90" s="141" t="b">
        <v>0</v>
      </c>
      <c r="D90" s="140" t="str">
        <v>Z0</v>
      </c>
      <c r="E90" s="139" t="str">
        <f t="shared" si="7"/>
        <v>GBPFUT1MZ0_Quote</v>
      </c>
      <c r="F90" s="138" t="str">
        <f>_xll.qlSimpleQuote(E90,,PriceTickValue,Permanent,Trigger,ObjectOverwrite)</f>
        <v>GBPFUT1MZ0_Quote#0000</v>
      </c>
      <c r="G90" s="101" t="str">
        <f>_xll.ohRangeRetrieveError(F90)</f>
        <v/>
      </c>
      <c r="H90" s="137"/>
      <c r="AI90" s="143"/>
      <c r="AJ90" s="142">
        <v>84</v>
      </c>
      <c r="AK90" s="140" t="b">
        <v>0</v>
      </c>
      <c r="AL90" s="140" t="str">
        <v>Z0</v>
      </c>
      <c r="AM90" s="250" t="str">
        <f t="shared" si="8"/>
        <v>GBPFUT1MZ0_Quote</v>
      </c>
      <c r="AN90" s="251" t="str">
        <f t="shared" si="9"/>
        <v>GBPFUT1MZ0ConvAdj_Quote</v>
      </c>
      <c r="AO90" s="250" t="e">
        <f>_xll.qlFuturesConvAdjustmentQuote($AN90,IborIndex,$AL90,$AM90,Volatility,MeanReversion,Permanent,Trigger,ObjectOverwrite)</f>
        <v>#NUM!</v>
      </c>
      <c r="AP90" s="72" t="str">
        <f ca="1">_xll.ohRangeRetrieveError(AO90)</f>
        <v>qlFuturesConvAdjustmentQuote - ObjectHandler error: attempt to retrieve object with unknown ID 'GbpLibor1M'</v>
      </c>
    </row>
    <row r="91" spans="1:42" x14ac:dyDescent="0.2">
      <c r="A91" s="143"/>
      <c r="B91" s="142">
        <v>85</v>
      </c>
      <c r="C91" s="141" t="b">
        <v>0</v>
      </c>
      <c r="D91" s="140" t="str">
        <v>F1</v>
      </c>
      <c r="E91" s="139" t="str">
        <f t="shared" si="7"/>
        <v>GBPFUT1MF1_Quote</v>
      </c>
      <c r="F91" s="138" t="str">
        <f>_xll.qlSimpleQuote(E91,,PriceTickValue,Permanent,Trigger,ObjectOverwrite)</f>
        <v>GBPFUT1MF1_Quote#0000</v>
      </c>
      <c r="G91" s="101" t="str">
        <f>_xll.ohRangeRetrieveError(F91)</f>
        <v/>
      </c>
      <c r="H91" s="137"/>
      <c r="AI91" s="143"/>
      <c r="AJ91" s="142">
        <v>85</v>
      </c>
      <c r="AK91" s="140" t="b">
        <v>0</v>
      </c>
      <c r="AL91" s="140" t="str">
        <v>F1</v>
      </c>
      <c r="AM91" s="250" t="str">
        <f t="shared" si="8"/>
        <v>GBPFUT1MF1_Quote</v>
      </c>
      <c r="AN91" s="251" t="str">
        <f t="shared" si="9"/>
        <v>GBPFUT1MF1ConvAdj_Quote</v>
      </c>
      <c r="AO91" s="250" t="e">
        <f>_xll.qlFuturesConvAdjustmentQuote($AN91,IborIndex,$AL91,$AM91,Volatility,MeanReversion,Permanent,Trigger,ObjectOverwrite)</f>
        <v>#NUM!</v>
      </c>
      <c r="AP91" s="72" t="str">
        <f ca="1">_xll.ohRangeRetrieveError(AO91)</f>
        <v>qlFuturesConvAdjustmentQuote - ObjectHandler error: attempt to retrieve object with unknown ID 'GbpLibor1M'</v>
      </c>
    </row>
    <row r="92" spans="1:42" x14ac:dyDescent="0.2">
      <c r="A92" s="143"/>
      <c r="B92" s="142">
        <v>86</v>
      </c>
      <c r="C92" s="141" t="b">
        <v>0</v>
      </c>
      <c r="D92" s="140" t="str">
        <v>G1</v>
      </c>
      <c r="E92" s="139" t="str">
        <f t="shared" si="7"/>
        <v>GBPFUT1MG1_Quote</v>
      </c>
      <c r="F92" s="138" t="str">
        <f>_xll.qlSimpleQuote(E92,,PriceTickValue,Permanent,Trigger,ObjectOverwrite)</f>
        <v>GBPFUT1MG1_Quote#0000</v>
      </c>
      <c r="G92" s="101" t="str">
        <f>_xll.ohRangeRetrieveError(F92)</f>
        <v/>
      </c>
      <c r="H92" s="137"/>
      <c r="AI92" s="143"/>
      <c r="AJ92" s="142">
        <v>86</v>
      </c>
      <c r="AK92" s="140" t="b">
        <v>0</v>
      </c>
      <c r="AL92" s="140" t="str">
        <v>G1</v>
      </c>
      <c r="AM92" s="250" t="str">
        <f t="shared" si="8"/>
        <v>GBPFUT1MG1_Quote</v>
      </c>
      <c r="AN92" s="251" t="str">
        <f t="shared" si="9"/>
        <v>GBPFUT1MG1ConvAdj_Quote</v>
      </c>
      <c r="AO92" s="250" t="e">
        <f>_xll.qlFuturesConvAdjustmentQuote($AN92,IborIndex,$AL92,$AM92,Volatility,MeanReversion,Permanent,Trigger,ObjectOverwrite)</f>
        <v>#NUM!</v>
      </c>
      <c r="AP92" s="72" t="str">
        <f ca="1">_xll.ohRangeRetrieveError(AO92)</f>
        <v>qlFuturesConvAdjustmentQuote - ObjectHandler error: attempt to retrieve object with unknown ID 'GbpLibor1M'</v>
      </c>
    </row>
    <row r="93" spans="1:42" x14ac:dyDescent="0.2">
      <c r="A93" s="143"/>
      <c r="B93" s="142">
        <v>87</v>
      </c>
      <c r="C93" s="141" t="b">
        <v>0</v>
      </c>
      <c r="D93" s="140" t="str">
        <v>H1</v>
      </c>
      <c r="E93" s="139" t="str">
        <f t="shared" si="7"/>
        <v>GBPFUT1MH1_Quote</v>
      </c>
      <c r="F93" s="138" t="str">
        <f>_xll.qlSimpleQuote(E93,,PriceTickValue,Permanent,Trigger,ObjectOverwrite)</f>
        <v>GBPFUT1MH1_Quote#0000</v>
      </c>
      <c r="G93" s="101" t="str">
        <f>_xll.ohRangeRetrieveError(F93)</f>
        <v/>
      </c>
      <c r="H93" s="137"/>
      <c r="AI93" s="143"/>
      <c r="AJ93" s="142">
        <v>87</v>
      </c>
      <c r="AK93" s="140" t="b">
        <v>0</v>
      </c>
      <c r="AL93" s="140" t="str">
        <v>H1</v>
      </c>
      <c r="AM93" s="250" t="str">
        <f t="shared" si="8"/>
        <v>GBPFUT1MH1_Quote</v>
      </c>
      <c r="AN93" s="251" t="str">
        <f t="shared" si="9"/>
        <v>GBPFUT1MH1ConvAdj_Quote</v>
      </c>
      <c r="AO93" s="250" t="e">
        <f>_xll.qlFuturesConvAdjustmentQuote($AN93,IborIndex,$AL93,$AM93,Volatility,MeanReversion,Permanent,Trigger,ObjectOverwrite)</f>
        <v>#NUM!</v>
      </c>
      <c r="AP93" s="72" t="str">
        <f ca="1">_xll.ohRangeRetrieveError(AO93)</f>
        <v>qlFuturesConvAdjustmentQuote - ObjectHandler error: attempt to retrieve object with unknown ID 'GbpLibor1M'</v>
      </c>
    </row>
    <row r="94" spans="1:42" x14ac:dyDescent="0.2">
      <c r="A94" s="143"/>
      <c r="B94" s="142">
        <v>88</v>
      </c>
      <c r="C94" s="141" t="b">
        <v>0</v>
      </c>
      <c r="D94" s="140" t="str">
        <v>J1</v>
      </c>
      <c r="E94" s="139" t="str">
        <f t="shared" si="7"/>
        <v>GBPFUT1MJ1_Quote</v>
      </c>
      <c r="F94" s="138" t="str">
        <f>_xll.qlSimpleQuote(E94,,PriceTickValue,Permanent,Trigger,ObjectOverwrite)</f>
        <v>GBPFUT1MJ1_Quote#0000</v>
      </c>
      <c r="G94" s="101" t="str">
        <f>_xll.ohRangeRetrieveError(F94)</f>
        <v/>
      </c>
      <c r="H94" s="137"/>
      <c r="AI94" s="143"/>
      <c r="AJ94" s="142">
        <v>88</v>
      </c>
      <c r="AK94" s="140" t="b">
        <v>0</v>
      </c>
      <c r="AL94" s="140" t="str">
        <v>J1</v>
      </c>
      <c r="AM94" s="250" t="str">
        <f t="shared" si="8"/>
        <v>GBPFUT1MJ1_Quote</v>
      </c>
      <c r="AN94" s="251" t="str">
        <f t="shared" si="9"/>
        <v>GBPFUT1MJ1ConvAdj_Quote</v>
      </c>
      <c r="AO94" s="250" t="e">
        <f>_xll.qlFuturesConvAdjustmentQuote($AN94,IborIndex,$AL94,$AM94,Volatility,MeanReversion,Permanent,Trigger,ObjectOverwrite)</f>
        <v>#NUM!</v>
      </c>
      <c r="AP94" s="72" t="str">
        <f ca="1">_xll.ohRangeRetrieveError(AO94)</f>
        <v>qlFuturesConvAdjustmentQuote - ObjectHandler error: attempt to retrieve object with unknown ID 'GbpLibor1M'</v>
      </c>
    </row>
    <row r="95" spans="1:42" x14ac:dyDescent="0.2">
      <c r="A95" s="143"/>
      <c r="B95" s="142">
        <v>89</v>
      </c>
      <c r="C95" s="141" t="b">
        <v>0</v>
      </c>
      <c r="D95" s="140" t="str">
        <v>K1</v>
      </c>
      <c r="E95" s="139" t="str">
        <f t="shared" si="7"/>
        <v>GBPFUT1MK1_Quote</v>
      </c>
      <c r="F95" s="138" t="str">
        <f>_xll.qlSimpleQuote(E95,,PriceTickValue,Permanent,Trigger,ObjectOverwrite)</f>
        <v>GBPFUT1MK1_Quote#0000</v>
      </c>
      <c r="G95" s="101" t="str">
        <f>_xll.ohRangeRetrieveError(F95)</f>
        <v/>
      </c>
      <c r="H95" s="137"/>
      <c r="AI95" s="143"/>
      <c r="AJ95" s="142">
        <v>89</v>
      </c>
      <c r="AK95" s="140" t="b">
        <v>0</v>
      </c>
      <c r="AL95" s="140" t="str">
        <v>K1</v>
      </c>
      <c r="AM95" s="250" t="str">
        <f t="shared" si="8"/>
        <v>GBPFUT1MK1_Quote</v>
      </c>
      <c r="AN95" s="251" t="str">
        <f t="shared" si="9"/>
        <v>GBPFUT1MK1ConvAdj_Quote</v>
      </c>
      <c r="AO95" s="250" t="e">
        <f>_xll.qlFuturesConvAdjustmentQuote($AN95,IborIndex,$AL95,$AM95,Volatility,MeanReversion,Permanent,Trigger,ObjectOverwrite)</f>
        <v>#NUM!</v>
      </c>
      <c r="AP95" s="72" t="str">
        <f ca="1">_xll.ohRangeRetrieveError(AO95)</f>
        <v>qlFuturesConvAdjustmentQuote - ObjectHandler error: attempt to retrieve object with unknown ID 'GbpLibor1M'</v>
      </c>
    </row>
    <row r="96" spans="1:42" x14ac:dyDescent="0.2">
      <c r="A96" s="143"/>
      <c r="B96" s="142">
        <v>90</v>
      </c>
      <c r="C96" s="141" t="b">
        <v>0</v>
      </c>
      <c r="D96" s="140" t="str">
        <v>M1</v>
      </c>
      <c r="E96" s="139" t="str">
        <f t="shared" si="7"/>
        <v>GBPFUT1MM1_Quote</v>
      </c>
      <c r="F96" s="138" t="str">
        <f>_xll.qlSimpleQuote(E96,,PriceTickValue,Permanent,Trigger,ObjectOverwrite)</f>
        <v>GBPFUT1MM1_Quote#0000</v>
      </c>
      <c r="G96" s="101" t="str">
        <f>_xll.ohRangeRetrieveError(F96)</f>
        <v/>
      </c>
      <c r="H96" s="137"/>
      <c r="AI96" s="143"/>
      <c r="AJ96" s="142">
        <v>90</v>
      </c>
      <c r="AK96" s="140" t="b">
        <v>0</v>
      </c>
      <c r="AL96" s="140" t="str">
        <v>M1</v>
      </c>
      <c r="AM96" s="250" t="str">
        <f t="shared" si="8"/>
        <v>GBPFUT1MM1_Quote</v>
      </c>
      <c r="AN96" s="251" t="str">
        <f t="shared" si="9"/>
        <v>GBPFUT1MM1ConvAdj_Quote</v>
      </c>
      <c r="AO96" s="250" t="e">
        <f>_xll.qlFuturesConvAdjustmentQuote($AN96,IborIndex,$AL96,$AM96,Volatility,MeanReversion,Permanent,Trigger,ObjectOverwrite)</f>
        <v>#NUM!</v>
      </c>
      <c r="AP96" s="72" t="str">
        <f ca="1">_xll.ohRangeRetrieveError(AO96)</f>
        <v>qlFuturesConvAdjustmentQuote - ObjectHandler error: attempt to retrieve object with unknown ID 'GbpLibor1M'</v>
      </c>
    </row>
    <row r="97" spans="1:42" x14ac:dyDescent="0.2">
      <c r="A97" s="143"/>
      <c r="B97" s="142">
        <v>91</v>
      </c>
      <c r="C97" s="141" t="b">
        <v>0</v>
      </c>
      <c r="D97" s="140" t="str">
        <v>N1</v>
      </c>
      <c r="E97" s="139" t="str">
        <f t="shared" si="7"/>
        <v>GBPFUT1MN1_Quote</v>
      </c>
      <c r="F97" s="138" t="str">
        <f>_xll.qlSimpleQuote(E97,,PriceTickValue,Permanent,Trigger,ObjectOverwrite)</f>
        <v>GBPFUT1MN1_Quote#0000</v>
      </c>
      <c r="G97" s="101" t="str">
        <f>_xll.ohRangeRetrieveError(F97)</f>
        <v/>
      </c>
      <c r="H97" s="137"/>
      <c r="AI97" s="143"/>
      <c r="AJ97" s="142">
        <v>91</v>
      </c>
      <c r="AK97" s="140" t="b">
        <v>0</v>
      </c>
      <c r="AL97" s="140" t="str">
        <v>N1</v>
      </c>
      <c r="AM97" s="250" t="str">
        <f t="shared" si="8"/>
        <v>GBPFUT1MN1_Quote</v>
      </c>
      <c r="AN97" s="251" t="str">
        <f t="shared" si="9"/>
        <v>GBPFUT1MN1ConvAdj_Quote</v>
      </c>
      <c r="AO97" s="250" t="e">
        <f>_xll.qlFuturesConvAdjustmentQuote($AN97,IborIndex,$AL97,$AM97,Volatility,MeanReversion,Permanent,Trigger,ObjectOverwrite)</f>
        <v>#NUM!</v>
      </c>
      <c r="AP97" s="72" t="str">
        <f ca="1">_xll.ohRangeRetrieveError(AO97)</f>
        <v>qlFuturesConvAdjustmentQuote - ObjectHandler error: attempt to retrieve object with unknown ID 'GbpLibor1M'</v>
      </c>
    </row>
    <row r="98" spans="1:42" x14ac:dyDescent="0.2">
      <c r="A98" s="143"/>
      <c r="B98" s="142">
        <v>92</v>
      </c>
      <c r="C98" s="141" t="b">
        <v>0</v>
      </c>
      <c r="D98" s="140" t="str">
        <v>Q1</v>
      </c>
      <c r="E98" s="139" t="str">
        <f t="shared" si="7"/>
        <v>GBPFUT1MQ1_Quote</v>
      </c>
      <c r="F98" s="138" t="str">
        <f>_xll.qlSimpleQuote(E98,,PriceTickValue,Permanent,Trigger,ObjectOverwrite)</f>
        <v>GBPFUT1MQ1_Quote#0000</v>
      </c>
      <c r="G98" s="101" t="str">
        <f>_xll.ohRangeRetrieveError(F98)</f>
        <v/>
      </c>
      <c r="H98" s="137"/>
      <c r="AI98" s="143"/>
      <c r="AJ98" s="142">
        <v>92</v>
      </c>
      <c r="AK98" s="140" t="b">
        <v>0</v>
      </c>
      <c r="AL98" s="140" t="str">
        <v>Q1</v>
      </c>
      <c r="AM98" s="250" t="str">
        <f t="shared" si="8"/>
        <v>GBPFUT1MQ1_Quote</v>
      </c>
      <c r="AN98" s="251" t="str">
        <f t="shared" si="9"/>
        <v>GBPFUT1MQ1ConvAdj_Quote</v>
      </c>
      <c r="AO98" s="250" t="e">
        <f>_xll.qlFuturesConvAdjustmentQuote($AN98,IborIndex,$AL98,$AM98,Volatility,MeanReversion,Permanent,Trigger,ObjectOverwrite)</f>
        <v>#NUM!</v>
      </c>
      <c r="AP98" s="72" t="str">
        <f ca="1">_xll.ohRangeRetrieveError(AO98)</f>
        <v>qlFuturesConvAdjustmentQuote - ObjectHandler error: attempt to retrieve object with unknown ID 'GbpLibor1M'</v>
      </c>
    </row>
    <row r="99" spans="1:42" x14ac:dyDescent="0.2">
      <c r="A99" s="143"/>
      <c r="B99" s="142">
        <v>93</v>
      </c>
      <c r="C99" s="141" t="b">
        <v>0</v>
      </c>
      <c r="D99" s="140" t="str">
        <v>U1</v>
      </c>
      <c r="E99" s="139" t="str">
        <f t="shared" si="7"/>
        <v>GBPFUT1MU1_Quote</v>
      </c>
      <c r="F99" s="138" t="str">
        <f>_xll.qlSimpleQuote(E99,,PriceTickValue,Permanent,Trigger,ObjectOverwrite)</f>
        <v>GBPFUT1MU1_Quote#0000</v>
      </c>
      <c r="G99" s="101" t="str">
        <f>_xll.ohRangeRetrieveError(F99)</f>
        <v/>
      </c>
      <c r="H99" s="137"/>
      <c r="AI99" s="143"/>
      <c r="AJ99" s="142">
        <v>93</v>
      </c>
      <c r="AK99" s="140" t="b">
        <v>0</v>
      </c>
      <c r="AL99" s="140" t="str">
        <v>U1</v>
      </c>
      <c r="AM99" s="250" t="str">
        <f t="shared" si="8"/>
        <v>GBPFUT1MU1_Quote</v>
      </c>
      <c r="AN99" s="251" t="str">
        <f t="shared" si="9"/>
        <v>GBPFUT1MU1ConvAdj_Quote</v>
      </c>
      <c r="AO99" s="250" t="e">
        <f>_xll.qlFuturesConvAdjustmentQuote($AN99,IborIndex,$AL99,$AM99,Volatility,MeanReversion,Permanent,Trigger,ObjectOverwrite)</f>
        <v>#NUM!</v>
      </c>
      <c r="AP99" s="72" t="str">
        <f ca="1">_xll.ohRangeRetrieveError(AO99)</f>
        <v>qlFuturesConvAdjustmentQuote - ObjectHandler error: attempt to retrieve object with unknown ID 'GbpLibor1M'</v>
      </c>
    </row>
    <row r="100" spans="1:42" x14ac:dyDescent="0.2">
      <c r="A100" s="143"/>
      <c r="B100" s="142">
        <v>94</v>
      </c>
      <c r="C100" s="141" t="b">
        <v>0</v>
      </c>
      <c r="D100" s="140" t="str">
        <v>V1</v>
      </c>
      <c r="E100" s="139" t="str">
        <f t="shared" si="7"/>
        <v>GBPFUT1MV1_Quote</v>
      </c>
      <c r="F100" s="138" t="str">
        <f>_xll.qlSimpleQuote(E100,,PriceTickValue,Permanent,Trigger,ObjectOverwrite)</f>
        <v>GBPFUT1MV1_Quote#0000</v>
      </c>
      <c r="G100" s="101" t="str">
        <f>_xll.ohRangeRetrieveError(F100)</f>
        <v/>
      </c>
      <c r="H100" s="137"/>
      <c r="AI100" s="143"/>
      <c r="AJ100" s="142">
        <v>94</v>
      </c>
      <c r="AK100" s="140" t="b">
        <v>0</v>
      </c>
      <c r="AL100" s="140" t="str">
        <v>V1</v>
      </c>
      <c r="AM100" s="250" t="str">
        <f t="shared" si="8"/>
        <v>GBPFUT1MV1_Quote</v>
      </c>
      <c r="AN100" s="251" t="str">
        <f t="shared" si="9"/>
        <v>GBPFUT1MV1ConvAdj_Quote</v>
      </c>
      <c r="AO100" s="250" t="e">
        <f>_xll.qlFuturesConvAdjustmentQuote($AN100,IborIndex,$AL100,$AM100,Volatility,MeanReversion,Permanent,Trigger,ObjectOverwrite)</f>
        <v>#NUM!</v>
      </c>
      <c r="AP100" s="72" t="str">
        <f ca="1">_xll.ohRangeRetrieveError(AO100)</f>
        <v>qlFuturesConvAdjustmentQuote - ObjectHandler error: attempt to retrieve object with unknown ID 'GbpLibor1M'</v>
      </c>
    </row>
    <row r="101" spans="1:42" x14ac:dyDescent="0.2">
      <c r="A101" s="143"/>
      <c r="B101" s="142">
        <v>95</v>
      </c>
      <c r="C101" s="141" t="b">
        <v>0</v>
      </c>
      <c r="D101" s="140" t="str">
        <v>X1</v>
      </c>
      <c r="E101" s="139" t="str">
        <f t="shared" si="7"/>
        <v>GBPFUT1MX1_Quote</v>
      </c>
      <c r="F101" s="138" t="str">
        <f>_xll.qlSimpleQuote(E101,,PriceTickValue,Permanent,Trigger,ObjectOverwrite)</f>
        <v>GBPFUT1MX1_Quote#0000</v>
      </c>
      <c r="G101" s="101" t="str">
        <f>_xll.ohRangeRetrieveError(F101)</f>
        <v/>
      </c>
      <c r="H101" s="137"/>
      <c r="AI101" s="143"/>
      <c r="AJ101" s="142">
        <v>95</v>
      </c>
      <c r="AK101" s="140" t="b">
        <v>0</v>
      </c>
      <c r="AL101" s="140" t="str">
        <v>X1</v>
      </c>
      <c r="AM101" s="250" t="str">
        <f t="shared" si="8"/>
        <v>GBPFUT1MX1_Quote</v>
      </c>
      <c r="AN101" s="251" t="str">
        <f t="shared" si="9"/>
        <v>GBPFUT1MX1ConvAdj_Quote</v>
      </c>
      <c r="AO101" s="250" t="e">
        <f>_xll.qlFuturesConvAdjustmentQuote($AN101,IborIndex,$AL101,$AM101,Volatility,MeanReversion,Permanent,Trigger,ObjectOverwrite)</f>
        <v>#NUM!</v>
      </c>
      <c r="AP101" s="72" t="str">
        <f ca="1">_xll.ohRangeRetrieveError(AO101)</f>
        <v>qlFuturesConvAdjustmentQuote - ObjectHandler error: attempt to retrieve object with unknown ID 'GbpLibor1M'</v>
      </c>
    </row>
    <row r="102" spans="1:42" x14ac:dyDescent="0.2">
      <c r="A102" s="143"/>
      <c r="B102" s="142">
        <v>96</v>
      </c>
      <c r="C102" s="141" t="b">
        <v>0</v>
      </c>
      <c r="D102" s="140" t="str">
        <v>Z1</v>
      </c>
      <c r="E102" s="139" t="str">
        <f t="shared" si="7"/>
        <v>GBPFUT1MZ1_Quote</v>
      </c>
      <c r="F102" s="138" t="str">
        <f>_xll.qlSimpleQuote(E102,,PriceTickValue,Permanent,Trigger,ObjectOverwrite)</f>
        <v>GBPFUT1MZ1_Quote#0000</v>
      </c>
      <c r="G102" s="101" t="str">
        <f>_xll.ohRangeRetrieveError(F102)</f>
        <v/>
      </c>
      <c r="H102" s="137"/>
      <c r="AI102" s="143"/>
      <c r="AJ102" s="142">
        <v>96</v>
      </c>
      <c r="AK102" s="140" t="b">
        <v>0</v>
      </c>
      <c r="AL102" s="140" t="str">
        <v>Z1</v>
      </c>
      <c r="AM102" s="250" t="str">
        <f t="shared" si="8"/>
        <v>GBPFUT1MZ1_Quote</v>
      </c>
      <c r="AN102" s="251" t="str">
        <f t="shared" si="9"/>
        <v>GBPFUT1MZ1ConvAdj_Quote</v>
      </c>
      <c r="AO102" s="250" t="e">
        <f>_xll.qlFuturesConvAdjustmentQuote($AN102,IborIndex,$AL102,$AM102,Volatility,MeanReversion,Permanent,Trigger,ObjectOverwrite)</f>
        <v>#NUM!</v>
      </c>
      <c r="AP102" s="72" t="str">
        <f ca="1">_xll.ohRangeRetrieveError(AO102)</f>
        <v>qlFuturesConvAdjustmentQuote - ObjectHandler error: attempt to retrieve object with unknown ID 'GbpLibor1M'</v>
      </c>
    </row>
    <row r="103" spans="1:42" x14ac:dyDescent="0.2">
      <c r="A103" s="143"/>
      <c r="B103" s="142">
        <v>97</v>
      </c>
      <c r="C103" s="141" t="b">
        <v>0</v>
      </c>
      <c r="D103" s="140" t="str">
        <v>F2</v>
      </c>
      <c r="E103" s="139" t="str">
        <f t="shared" ref="E103:E126" si="10">Currency&amp;$D$5&amp;$E$5&amp;$D103&amp;QuoteSuffix</f>
        <v>GBPFUT1MF2_Quote</v>
      </c>
      <c r="F103" s="138" t="str">
        <f>_xll.qlSimpleQuote(E103,,PriceTickValue,Permanent,Trigger,ObjectOverwrite)</f>
        <v>GBPFUT1MF2_Quote#0000</v>
      </c>
      <c r="G103" s="101" t="str">
        <f>_xll.ohRangeRetrieveError(F103)</f>
        <v/>
      </c>
      <c r="H103" s="137"/>
      <c r="AI103" s="143"/>
      <c r="AJ103" s="142">
        <v>97</v>
      </c>
      <c r="AK103" s="140" t="b">
        <v>0</v>
      </c>
      <c r="AL103" s="140" t="str">
        <v>F2</v>
      </c>
      <c r="AM103" s="250" t="str">
        <f t="shared" ref="AM103:AM126" si="11">Currency&amp;"FUT"&amp;$AO$4&amp;$AL103&amp;QuoteSuffix</f>
        <v>GBPFUT1MF2_Quote</v>
      </c>
      <c r="AN103" s="251" t="str">
        <f t="shared" ref="AN103:AN126" si="12">Currency&amp;"FUT"&amp;$AO$4&amp;$AL103&amp;"ConvAdj"&amp;QuoteSuffix</f>
        <v>GBPFUT1MF2ConvAdj_Quote</v>
      </c>
      <c r="AO103" s="250" t="e">
        <f>_xll.qlFuturesConvAdjustmentQuote($AN103,IborIndex,$AL103,$AM103,Volatility,MeanReversion,Permanent,Trigger,ObjectOverwrite)</f>
        <v>#NUM!</v>
      </c>
      <c r="AP103" s="72" t="str">
        <f ca="1">_xll.ohRangeRetrieveError(AO103)</f>
        <v>qlFuturesConvAdjustmentQuote - ObjectHandler error: attempt to retrieve object with unknown ID 'GbpLibor1M'</v>
      </c>
    </row>
    <row r="104" spans="1:42" x14ac:dyDescent="0.2">
      <c r="A104" s="143"/>
      <c r="B104" s="142">
        <v>98</v>
      </c>
      <c r="C104" s="141" t="b">
        <v>0</v>
      </c>
      <c r="D104" s="140" t="str">
        <v>G2</v>
      </c>
      <c r="E104" s="139" t="str">
        <f t="shared" si="10"/>
        <v>GBPFUT1MG2_Quote</v>
      </c>
      <c r="F104" s="138" t="str">
        <f>_xll.qlSimpleQuote(E104,,PriceTickValue,Permanent,Trigger,ObjectOverwrite)</f>
        <v>GBPFUT1MG2_Quote#0000</v>
      </c>
      <c r="G104" s="101" t="str">
        <f>_xll.ohRangeRetrieveError(F104)</f>
        <v/>
      </c>
      <c r="H104" s="137"/>
      <c r="AI104" s="143"/>
      <c r="AJ104" s="142">
        <v>98</v>
      </c>
      <c r="AK104" s="140" t="b">
        <v>0</v>
      </c>
      <c r="AL104" s="140" t="str">
        <v>G2</v>
      </c>
      <c r="AM104" s="250" t="str">
        <f t="shared" si="11"/>
        <v>GBPFUT1MG2_Quote</v>
      </c>
      <c r="AN104" s="251" t="str">
        <f t="shared" si="12"/>
        <v>GBPFUT1MG2ConvAdj_Quote</v>
      </c>
      <c r="AO104" s="250" t="e">
        <f>_xll.qlFuturesConvAdjustmentQuote($AN104,IborIndex,$AL104,$AM104,Volatility,MeanReversion,Permanent,Trigger,ObjectOverwrite)</f>
        <v>#NUM!</v>
      </c>
      <c r="AP104" s="72" t="str">
        <f ca="1">_xll.ohRangeRetrieveError(AO104)</f>
        <v>qlFuturesConvAdjustmentQuote - ObjectHandler error: attempt to retrieve object with unknown ID 'GbpLibor1M'</v>
      </c>
    </row>
    <row r="105" spans="1:42" x14ac:dyDescent="0.2">
      <c r="A105" s="143"/>
      <c r="B105" s="142">
        <v>99</v>
      </c>
      <c r="C105" s="141" t="b">
        <v>0</v>
      </c>
      <c r="D105" s="140" t="str">
        <v>H2</v>
      </c>
      <c r="E105" s="139" t="str">
        <f t="shared" si="10"/>
        <v>GBPFUT1MH2_Quote</v>
      </c>
      <c r="F105" s="138" t="str">
        <f>_xll.qlSimpleQuote(E105,,PriceTickValue,Permanent,Trigger,ObjectOverwrite)</f>
        <v>GBPFUT1MH2_Quote#0000</v>
      </c>
      <c r="G105" s="101" t="str">
        <f>_xll.ohRangeRetrieveError(F105)</f>
        <v/>
      </c>
      <c r="H105" s="137"/>
      <c r="AI105" s="143"/>
      <c r="AJ105" s="142">
        <v>99</v>
      </c>
      <c r="AK105" s="140" t="b">
        <v>0</v>
      </c>
      <c r="AL105" s="140" t="str">
        <v>H2</v>
      </c>
      <c r="AM105" s="250" t="str">
        <f t="shared" si="11"/>
        <v>GBPFUT1MH2_Quote</v>
      </c>
      <c r="AN105" s="251" t="str">
        <f t="shared" si="12"/>
        <v>GBPFUT1MH2ConvAdj_Quote</v>
      </c>
      <c r="AO105" s="250" t="e">
        <f>_xll.qlFuturesConvAdjustmentQuote($AN105,IborIndex,$AL105,$AM105,Volatility,MeanReversion,Permanent,Trigger,ObjectOverwrite)</f>
        <v>#NUM!</v>
      </c>
      <c r="AP105" s="72" t="str">
        <f ca="1">_xll.ohRangeRetrieveError(AO105)</f>
        <v>qlFuturesConvAdjustmentQuote - ObjectHandler error: attempt to retrieve object with unknown ID 'GbpLibor1M'</v>
      </c>
    </row>
    <row r="106" spans="1:42" x14ac:dyDescent="0.2">
      <c r="A106" s="143"/>
      <c r="B106" s="142">
        <v>100</v>
      </c>
      <c r="C106" s="141" t="b">
        <v>0</v>
      </c>
      <c r="D106" s="140" t="str">
        <v>J2</v>
      </c>
      <c r="E106" s="139" t="str">
        <f t="shared" si="10"/>
        <v>GBPFUT1MJ2_Quote</v>
      </c>
      <c r="F106" s="138" t="str">
        <f>_xll.qlSimpleQuote(E106,,PriceTickValue,Permanent,Trigger,ObjectOverwrite)</f>
        <v>GBPFUT1MJ2_Quote#0000</v>
      </c>
      <c r="G106" s="101" t="str">
        <f>_xll.ohRangeRetrieveError(F106)</f>
        <v/>
      </c>
      <c r="H106" s="137"/>
      <c r="AI106" s="143"/>
      <c r="AJ106" s="142">
        <v>100</v>
      </c>
      <c r="AK106" s="140" t="b">
        <v>0</v>
      </c>
      <c r="AL106" s="140" t="str">
        <v>J2</v>
      </c>
      <c r="AM106" s="250" t="str">
        <f t="shared" si="11"/>
        <v>GBPFUT1MJ2_Quote</v>
      </c>
      <c r="AN106" s="251" t="str">
        <f t="shared" si="12"/>
        <v>GBPFUT1MJ2ConvAdj_Quote</v>
      </c>
      <c r="AO106" s="250" t="e">
        <f>_xll.qlFuturesConvAdjustmentQuote($AN106,IborIndex,$AL106,$AM106,Volatility,MeanReversion,Permanent,Trigger,ObjectOverwrite)</f>
        <v>#NUM!</v>
      </c>
      <c r="AP106" s="72" t="str">
        <f ca="1">_xll.ohRangeRetrieveError(AO106)</f>
        <v>qlFuturesConvAdjustmentQuote - ObjectHandler error: attempt to retrieve object with unknown ID 'GbpLibor1M'</v>
      </c>
    </row>
    <row r="107" spans="1:42" x14ac:dyDescent="0.2">
      <c r="A107" s="143"/>
      <c r="B107" s="142">
        <v>101</v>
      </c>
      <c r="C107" s="141" t="b">
        <v>0</v>
      </c>
      <c r="D107" s="140" t="str">
        <v>K2</v>
      </c>
      <c r="E107" s="139" t="str">
        <f t="shared" si="10"/>
        <v>GBPFUT1MK2_Quote</v>
      </c>
      <c r="F107" s="138" t="str">
        <f>_xll.qlSimpleQuote(E107,,PriceTickValue,Permanent,Trigger,ObjectOverwrite)</f>
        <v>GBPFUT1MK2_Quote#0000</v>
      </c>
      <c r="G107" s="101" t="str">
        <f>_xll.ohRangeRetrieveError(F107)</f>
        <v/>
      </c>
      <c r="H107" s="137"/>
      <c r="AI107" s="143"/>
      <c r="AJ107" s="142">
        <v>101</v>
      </c>
      <c r="AK107" s="140" t="b">
        <v>0</v>
      </c>
      <c r="AL107" s="140" t="str">
        <v>K2</v>
      </c>
      <c r="AM107" s="250" t="str">
        <f t="shared" si="11"/>
        <v>GBPFUT1MK2_Quote</v>
      </c>
      <c r="AN107" s="251" t="str">
        <f t="shared" si="12"/>
        <v>GBPFUT1MK2ConvAdj_Quote</v>
      </c>
      <c r="AO107" s="250" t="e">
        <f>_xll.qlFuturesConvAdjustmentQuote($AN107,IborIndex,$AL107,$AM107,Volatility,MeanReversion,Permanent,Trigger,ObjectOverwrite)</f>
        <v>#NUM!</v>
      </c>
      <c r="AP107" s="72" t="str">
        <f ca="1">_xll.ohRangeRetrieveError(AO107)</f>
        <v>qlFuturesConvAdjustmentQuote - ObjectHandler error: attempt to retrieve object with unknown ID 'GbpLibor1M'</v>
      </c>
    </row>
    <row r="108" spans="1:42" x14ac:dyDescent="0.2">
      <c r="A108" s="143"/>
      <c r="B108" s="142">
        <v>102</v>
      </c>
      <c r="C108" s="141" t="b">
        <v>0</v>
      </c>
      <c r="D108" s="140" t="str">
        <v>M2</v>
      </c>
      <c r="E108" s="139" t="str">
        <f t="shared" si="10"/>
        <v>GBPFUT1MM2_Quote</v>
      </c>
      <c r="F108" s="138" t="str">
        <f>_xll.qlSimpleQuote(E108,,PriceTickValue,Permanent,Trigger,ObjectOverwrite)</f>
        <v>GBPFUT1MM2_Quote#0000</v>
      </c>
      <c r="G108" s="101" t="str">
        <f>_xll.ohRangeRetrieveError(F108)</f>
        <v/>
      </c>
      <c r="H108" s="137"/>
      <c r="AI108" s="143"/>
      <c r="AJ108" s="142">
        <v>102</v>
      </c>
      <c r="AK108" s="140" t="b">
        <v>0</v>
      </c>
      <c r="AL108" s="140" t="str">
        <v>M2</v>
      </c>
      <c r="AM108" s="250" t="str">
        <f t="shared" si="11"/>
        <v>GBPFUT1MM2_Quote</v>
      </c>
      <c r="AN108" s="251" t="str">
        <f t="shared" si="12"/>
        <v>GBPFUT1MM2ConvAdj_Quote</v>
      </c>
      <c r="AO108" s="250" t="e">
        <f>_xll.qlFuturesConvAdjustmentQuote($AN108,IborIndex,$AL108,$AM108,Volatility,MeanReversion,Permanent,Trigger,ObjectOverwrite)</f>
        <v>#NUM!</v>
      </c>
      <c r="AP108" s="72" t="str">
        <f ca="1">_xll.ohRangeRetrieveError(AO108)</f>
        <v>qlFuturesConvAdjustmentQuote - ObjectHandler error: attempt to retrieve object with unknown ID 'GbpLibor1M'</v>
      </c>
    </row>
    <row r="109" spans="1:42" x14ac:dyDescent="0.2">
      <c r="A109" s="143"/>
      <c r="B109" s="142">
        <v>103</v>
      </c>
      <c r="C109" s="141" t="b">
        <v>0</v>
      </c>
      <c r="D109" s="140" t="str">
        <v>N2</v>
      </c>
      <c r="E109" s="139" t="str">
        <f t="shared" si="10"/>
        <v>GBPFUT1MN2_Quote</v>
      </c>
      <c r="F109" s="138" t="str">
        <f>_xll.qlSimpleQuote(E109,,PriceTickValue,Permanent,Trigger,ObjectOverwrite)</f>
        <v>GBPFUT1MN2_Quote#0000</v>
      </c>
      <c r="G109" s="101" t="str">
        <f>_xll.ohRangeRetrieveError(F109)</f>
        <v/>
      </c>
      <c r="H109" s="137"/>
      <c r="AI109" s="143"/>
      <c r="AJ109" s="142">
        <v>103</v>
      </c>
      <c r="AK109" s="140" t="b">
        <v>0</v>
      </c>
      <c r="AL109" s="140" t="str">
        <v>N2</v>
      </c>
      <c r="AM109" s="250" t="str">
        <f t="shared" si="11"/>
        <v>GBPFUT1MN2_Quote</v>
      </c>
      <c r="AN109" s="251" t="str">
        <f t="shared" si="12"/>
        <v>GBPFUT1MN2ConvAdj_Quote</v>
      </c>
      <c r="AO109" s="250" t="e">
        <f>_xll.qlFuturesConvAdjustmentQuote($AN109,IborIndex,$AL109,$AM109,Volatility,MeanReversion,Permanent,Trigger,ObjectOverwrite)</f>
        <v>#NUM!</v>
      </c>
      <c r="AP109" s="72" t="str">
        <f ca="1">_xll.ohRangeRetrieveError(AO109)</f>
        <v>qlFuturesConvAdjustmentQuote - ObjectHandler error: attempt to retrieve object with unknown ID 'GbpLibor1M'</v>
      </c>
    </row>
    <row r="110" spans="1:42" x14ac:dyDescent="0.2">
      <c r="A110" s="143"/>
      <c r="B110" s="142">
        <v>104</v>
      </c>
      <c r="C110" s="141" t="b">
        <v>0</v>
      </c>
      <c r="D110" s="140" t="str">
        <v>Q2</v>
      </c>
      <c r="E110" s="139" t="str">
        <f t="shared" si="10"/>
        <v>GBPFUT1MQ2_Quote</v>
      </c>
      <c r="F110" s="138" t="str">
        <f>_xll.qlSimpleQuote(E110,,PriceTickValue,Permanent,Trigger,ObjectOverwrite)</f>
        <v>GBPFUT1MQ2_Quote#0000</v>
      </c>
      <c r="G110" s="101" t="str">
        <f>_xll.ohRangeRetrieveError(F110)</f>
        <v/>
      </c>
      <c r="H110" s="137"/>
      <c r="AI110" s="143"/>
      <c r="AJ110" s="142">
        <v>104</v>
      </c>
      <c r="AK110" s="140" t="b">
        <v>0</v>
      </c>
      <c r="AL110" s="140" t="str">
        <v>Q2</v>
      </c>
      <c r="AM110" s="250" t="str">
        <f t="shared" si="11"/>
        <v>GBPFUT1MQ2_Quote</v>
      </c>
      <c r="AN110" s="251" t="str">
        <f t="shared" si="12"/>
        <v>GBPFUT1MQ2ConvAdj_Quote</v>
      </c>
      <c r="AO110" s="250" t="e">
        <f>_xll.qlFuturesConvAdjustmentQuote($AN110,IborIndex,$AL110,$AM110,Volatility,MeanReversion,Permanent,Trigger,ObjectOverwrite)</f>
        <v>#NUM!</v>
      </c>
      <c r="AP110" s="72" t="str">
        <f ca="1">_xll.ohRangeRetrieveError(AO110)</f>
        <v>qlFuturesConvAdjustmentQuote - ObjectHandler error: attempt to retrieve object with unknown ID 'GbpLibor1M'</v>
      </c>
    </row>
    <row r="111" spans="1:42" x14ac:dyDescent="0.2">
      <c r="A111" s="143"/>
      <c r="B111" s="142">
        <v>105</v>
      </c>
      <c r="C111" s="141" t="b">
        <v>0</v>
      </c>
      <c r="D111" s="140" t="str">
        <v>U2</v>
      </c>
      <c r="E111" s="139" t="str">
        <f t="shared" si="10"/>
        <v>GBPFUT1MU2_Quote</v>
      </c>
      <c r="F111" s="138" t="str">
        <f>_xll.qlSimpleQuote(E111,,PriceTickValue,Permanent,Trigger,ObjectOverwrite)</f>
        <v>GBPFUT1MU2_Quote#0000</v>
      </c>
      <c r="G111" s="101" t="str">
        <f>_xll.ohRangeRetrieveError(F111)</f>
        <v/>
      </c>
      <c r="H111" s="137"/>
      <c r="AI111" s="143"/>
      <c r="AJ111" s="142">
        <v>105</v>
      </c>
      <c r="AK111" s="140" t="b">
        <v>0</v>
      </c>
      <c r="AL111" s="140" t="str">
        <v>U2</v>
      </c>
      <c r="AM111" s="250" t="str">
        <f t="shared" si="11"/>
        <v>GBPFUT1MU2_Quote</v>
      </c>
      <c r="AN111" s="251" t="str">
        <f t="shared" si="12"/>
        <v>GBPFUT1MU2ConvAdj_Quote</v>
      </c>
      <c r="AO111" s="250" t="e">
        <f>_xll.qlFuturesConvAdjustmentQuote($AN111,IborIndex,$AL111,$AM111,Volatility,MeanReversion,Permanent,Trigger,ObjectOverwrite)</f>
        <v>#NUM!</v>
      </c>
      <c r="AP111" s="72" t="str">
        <f ca="1">_xll.ohRangeRetrieveError(AO111)</f>
        <v>qlFuturesConvAdjustmentQuote - ObjectHandler error: attempt to retrieve object with unknown ID 'GbpLibor1M'</v>
      </c>
    </row>
    <row r="112" spans="1:42" x14ac:dyDescent="0.2">
      <c r="A112" s="143"/>
      <c r="B112" s="142">
        <v>106</v>
      </c>
      <c r="C112" s="141" t="b">
        <v>0</v>
      </c>
      <c r="D112" s="140" t="str">
        <v>V2</v>
      </c>
      <c r="E112" s="139" t="str">
        <f t="shared" si="10"/>
        <v>GBPFUT1MV2_Quote</v>
      </c>
      <c r="F112" s="138" t="str">
        <f>_xll.qlSimpleQuote(E112,,PriceTickValue,Permanent,Trigger,ObjectOverwrite)</f>
        <v>GBPFUT1MV2_Quote#0000</v>
      </c>
      <c r="G112" s="101" t="str">
        <f>_xll.ohRangeRetrieveError(F112)</f>
        <v/>
      </c>
      <c r="H112" s="137"/>
      <c r="AI112" s="143"/>
      <c r="AJ112" s="142">
        <v>106</v>
      </c>
      <c r="AK112" s="140" t="b">
        <v>0</v>
      </c>
      <c r="AL112" s="140" t="str">
        <v>V2</v>
      </c>
      <c r="AM112" s="250" t="str">
        <f t="shared" si="11"/>
        <v>GBPFUT1MV2_Quote</v>
      </c>
      <c r="AN112" s="251" t="str">
        <f t="shared" si="12"/>
        <v>GBPFUT1MV2ConvAdj_Quote</v>
      </c>
      <c r="AO112" s="250" t="e">
        <f>_xll.qlFuturesConvAdjustmentQuote($AN112,IborIndex,$AL112,$AM112,Volatility,MeanReversion,Permanent,Trigger,ObjectOverwrite)</f>
        <v>#NUM!</v>
      </c>
      <c r="AP112" s="72" t="str">
        <f ca="1">_xll.ohRangeRetrieveError(AO112)</f>
        <v>qlFuturesConvAdjustmentQuote - ObjectHandler error: attempt to retrieve object with unknown ID 'GbpLibor1M'</v>
      </c>
    </row>
    <row r="113" spans="1:42" x14ac:dyDescent="0.2">
      <c r="A113" s="143"/>
      <c r="B113" s="142">
        <v>107</v>
      </c>
      <c r="C113" s="141" t="b">
        <v>0</v>
      </c>
      <c r="D113" s="140" t="str">
        <v>X2</v>
      </c>
      <c r="E113" s="139" t="str">
        <f t="shared" si="10"/>
        <v>GBPFUT1MX2_Quote</v>
      </c>
      <c r="F113" s="138" t="str">
        <f>_xll.qlSimpleQuote(E113,,PriceTickValue,Permanent,Trigger,ObjectOverwrite)</f>
        <v>GBPFUT1MX2_Quote#0000</v>
      </c>
      <c r="G113" s="101" t="str">
        <f>_xll.ohRangeRetrieveError(F113)</f>
        <v/>
      </c>
      <c r="H113" s="137"/>
      <c r="AI113" s="143"/>
      <c r="AJ113" s="142">
        <v>107</v>
      </c>
      <c r="AK113" s="140" t="b">
        <v>0</v>
      </c>
      <c r="AL113" s="140" t="str">
        <v>X2</v>
      </c>
      <c r="AM113" s="250" t="str">
        <f t="shared" si="11"/>
        <v>GBPFUT1MX2_Quote</v>
      </c>
      <c r="AN113" s="251" t="str">
        <f t="shared" si="12"/>
        <v>GBPFUT1MX2ConvAdj_Quote</v>
      </c>
      <c r="AO113" s="250" t="e">
        <f>_xll.qlFuturesConvAdjustmentQuote($AN113,IborIndex,$AL113,$AM113,Volatility,MeanReversion,Permanent,Trigger,ObjectOverwrite)</f>
        <v>#NUM!</v>
      </c>
      <c r="AP113" s="72" t="str">
        <f ca="1">_xll.ohRangeRetrieveError(AO113)</f>
        <v>qlFuturesConvAdjustmentQuote - ObjectHandler error: attempt to retrieve object with unknown ID 'GbpLibor1M'</v>
      </c>
    </row>
    <row r="114" spans="1:42" x14ac:dyDescent="0.2">
      <c r="A114" s="143"/>
      <c r="B114" s="142">
        <v>108</v>
      </c>
      <c r="C114" s="141" t="b">
        <v>0</v>
      </c>
      <c r="D114" s="140" t="str">
        <v>Z2</v>
      </c>
      <c r="E114" s="139" t="str">
        <f t="shared" si="10"/>
        <v>GBPFUT1MZ2_Quote</v>
      </c>
      <c r="F114" s="138" t="str">
        <f>_xll.qlSimpleQuote(E114,,PriceTickValue,Permanent,Trigger,ObjectOverwrite)</f>
        <v>GBPFUT1MZ2_Quote#0000</v>
      </c>
      <c r="G114" s="101" t="str">
        <f>_xll.ohRangeRetrieveError(F114)</f>
        <v/>
      </c>
      <c r="H114" s="137"/>
      <c r="AI114" s="143"/>
      <c r="AJ114" s="142">
        <v>108</v>
      </c>
      <c r="AK114" s="140" t="b">
        <v>0</v>
      </c>
      <c r="AL114" s="140" t="str">
        <v>Z2</v>
      </c>
      <c r="AM114" s="250" t="str">
        <f t="shared" si="11"/>
        <v>GBPFUT1MZ2_Quote</v>
      </c>
      <c r="AN114" s="251" t="str">
        <f t="shared" si="12"/>
        <v>GBPFUT1MZ2ConvAdj_Quote</v>
      </c>
      <c r="AO114" s="250" t="e">
        <f>_xll.qlFuturesConvAdjustmentQuote($AN114,IborIndex,$AL114,$AM114,Volatility,MeanReversion,Permanent,Trigger,ObjectOverwrite)</f>
        <v>#NUM!</v>
      </c>
      <c r="AP114" s="72" t="str">
        <f ca="1">_xll.ohRangeRetrieveError(AO114)</f>
        <v>qlFuturesConvAdjustmentQuote - ObjectHandler error: attempt to retrieve object with unknown ID 'GbpLibor1M'</v>
      </c>
    </row>
    <row r="115" spans="1:42" x14ac:dyDescent="0.2">
      <c r="A115" s="143"/>
      <c r="B115" s="142">
        <v>109</v>
      </c>
      <c r="C115" s="141" t="b">
        <v>0</v>
      </c>
      <c r="D115" s="140" t="str">
        <v>F3</v>
      </c>
      <c r="E115" s="139" t="str">
        <f t="shared" si="10"/>
        <v>GBPFUT1MF3_Quote</v>
      </c>
      <c r="F115" s="138" t="str">
        <f>_xll.qlSimpleQuote(E115,,PriceTickValue,Permanent,Trigger,ObjectOverwrite)</f>
        <v>GBPFUT1MF3_Quote#0000</v>
      </c>
      <c r="G115" s="101" t="str">
        <f>_xll.ohRangeRetrieveError(F115)</f>
        <v/>
      </c>
      <c r="H115" s="137"/>
      <c r="AI115" s="143"/>
      <c r="AJ115" s="142">
        <v>109</v>
      </c>
      <c r="AK115" s="140" t="b">
        <v>0</v>
      </c>
      <c r="AL115" s="140" t="str">
        <v>F3</v>
      </c>
      <c r="AM115" s="250" t="str">
        <f t="shared" si="11"/>
        <v>GBPFUT1MF3_Quote</v>
      </c>
      <c r="AN115" s="251" t="str">
        <f t="shared" si="12"/>
        <v>GBPFUT1MF3ConvAdj_Quote</v>
      </c>
      <c r="AO115" s="250" t="e">
        <f>_xll.qlFuturesConvAdjustmentQuote($AN115,IborIndex,$AL115,$AM115,Volatility,MeanReversion,Permanent,Trigger,ObjectOverwrite)</f>
        <v>#NUM!</v>
      </c>
      <c r="AP115" s="72" t="str">
        <f ca="1">_xll.ohRangeRetrieveError(AO115)</f>
        <v>qlFuturesConvAdjustmentQuote - ObjectHandler error: attempt to retrieve object with unknown ID 'GbpLibor1M'</v>
      </c>
    </row>
    <row r="116" spans="1:42" x14ac:dyDescent="0.2">
      <c r="A116" s="143"/>
      <c r="B116" s="142">
        <v>110</v>
      </c>
      <c r="C116" s="141" t="b">
        <v>0</v>
      </c>
      <c r="D116" s="140" t="str">
        <v>G3</v>
      </c>
      <c r="E116" s="139" t="str">
        <f t="shared" si="10"/>
        <v>GBPFUT1MG3_Quote</v>
      </c>
      <c r="F116" s="138" t="str">
        <f>_xll.qlSimpleQuote(E116,,PriceTickValue,Permanent,Trigger,ObjectOverwrite)</f>
        <v>GBPFUT1MG3_Quote#0000</v>
      </c>
      <c r="G116" s="101" t="str">
        <f>_xll.ohRangeRetrieveError(F116)</f>
        <v/>
      </c>
      <c r="H116" s="137"/>
      <c r="AI116" s="143"/>
      <c r="AJ116" s="142">
        <v>110</v>
      </c>
      <c r="AK116" s="140" t="b">
        <v>0</v>
      </c>
      <c r="AL116" s="140" t="str">
        <v>G3</v>
      </c>
      <c r="AM116" s="250" t="str">
        <f t="shared" si="11"/>
        <v>GBPFUT1MG3_Quote</v>
      </c>
      <c r="AN116" s="251" t="str">
        <f t="shared" si="12"/>
        <v>GBPFUT1MG3ConvAdj_Quote</v>
      </c>
      <c r="AO116" s="250" t="e">
        <f>_xll.qlFuturesConvAdjustmentQuote($AN116,IborIndex,$AL116,$AM116,Volatility,MeanReversion,Permanent,Trigger,ObjectOverwrite)</f>
        <v>#NUM!</v>
      </c>
      <c r="AP116" s="72" t="str">
        <f ca="1">_xll.ohRangeRetrieveError(AO116)</f>
        <v>qlFuturesConvAdjustmentQuote - ObjectHandler error: attempt to retrieve object with unknown ID 'GbpLibor1M'</v>
      </c>
    </row>
    <row r="117" spans="1:42" x14ac:dyDescent="0.2">
      <c r="A117" s="143"/>
      <c r="B117" s="142">
        <v>111</v>
      </c>
      <c r="C117" s="141" t="b">
        <v>0</v>
      </c>
      <c r="D117" s="140" t="str">
        <v>H3</v>
      </c>
      <c r="E117" s="139" t="str">
        <f t="shared" si="10"/>
        <v>GBPFUT1MH3_Quote</v>
      </c>
      <c r="F117" s="138" t="str">
        <f>_xll.qlSimpleQuote(E117,,PriceTickValue,Permanent,Trigger,ObjectOverwrite)</f>
        <v>GBPFUT1MH3_Quote#0000</v>
      </c>
      <c r="G117" s="101" t="str">
        <f>_xll.ohRangeRetrieveError(F117)</f>
        <v/>
      </c>
      <c r="H117" s="137"/>
      <c r="AI117" s="143"/>
      <c r="AJ117" s="142">
        <v>111</v>
      </c>
      <c r="AK117" s="140" t="b">
        <v>0</v>
      </c>
      <c r="AL117" s="140" t="str">
        <v>H3</v>
      </c>
      <c r="AM117" s="250" t="str">
        <f t="shared" si="11"/>
        <v>GBPFUT1MH3_Quote</v>
      </c>
      <c r="AN117" s="251" t="str">
        <f t="shared" si="12"/>
        <v>GBPFUT1MH3ConvAdj_Quote</v>
      </c>
      <c r="AO117" s="250" t="e">
        <f>_xll.qlFuturesConvAdjustmentQuote($AN117,IborIndex,$AL117,$AM117,Volatility,MeanReversion,Permanent,Trigger,ObjectOverwrite)</f>
        <v>#NUM!</v>
      </c>
      <c r="AP117" s="72" t="str">
        <f ca="1">_xll.ohRangeRetrieveError(AO117)</f>
        <v>qlFuturesConvAdjustmentQuote - ObjectHandler error: attempt to retrieve object with unknown ID 'GbpLibor1M'</v>
      </c>
    </row>
    <row r="118" spans="1:42" x14ac:dyDescent="0.2">
      <c r="A118" s="143"/>
      <c r="B118" s="142">
        <v>112</v>
      </c>
      <c r="C118" s="141" t="b">
        <v>0</v>
      </c>
      <c r="D118" s="140" t="str">
        <v>J3</v>
      </c>
      <c r="E118" s="139" t="str">
        <f t="shared" si="10"/>
        <v>GBPFUT1MJ3_Quote</v>
      </c>
      <c r="F118" s="138" t="str">
        <f>_xll.qlSimpleQuote(E118,,PriceTickValue,Permanent,Trigger,ObjectOverwrite)</f>
        <v>GBPFUT1MJ3_Quote#0000</v>
      </c>
      <c r="G118" s="101" t="str">
        <f>_xll.ohRangeRetrieveError(F118)</f>
        <v/>
      </c>
      <c r="H118" s="137"/>
      <c r="AI118" s="143"/>
      <c r="AJ118" s="142">
        <v>112</v>
      </c>
      <c r="AK118" s="140" t="b">
        <v>0</v>
      </c>
      <c r="AL118" s="140" t="str">
        <v>J3</v>
      </c>
      <c r="AM118" s="250" t="str">
        <f t="shared" si="11"/>
        <v>GBPFUT1MJ3_Quote</v>
      </c>
      <c r="AN118" s="251" t="str">
        <f t="shared" si="12"/>
        <v>GBPFUT1MJ3ConvAdj_Quote</v>
      </c>
      <c r="AO118" s="250" t="e">
        <f>_xll.qlFuturesConvAdjustmentQuote($AN118,IborIndex,$AL118,$AM118,Volatility,MeanReversion,Permanent,Trigger,ObjectOverwrite)</f>
        <v>#NUM!</v>
      </c>
      <c r="AP118" s="72" t="str">
        <f ca="1">_xll.ohRangeRetrieveError(AO118)</f>
        <v>qlFuturesConvAdjustmentQuote - ObjectHandler error: attempt to retrieve object with unknown ID 'GbpLibor1M'</v>
      </c>
    </row>
    <row r="119" spans="1:42" x14ac:dyDescent="0.2">
      <c r="A119" s="143"/>
      <c r="B119" s="142">
        <v>113</v>
      </c>
      <c r="C119" s="141" t="b">
        <v>0</v>
      </c>
      <c r="D119" s="140" t="str">
        <v>K3</v>
      </c>
      <c r="E119" s="139" t="str">
        <f t="shared" si="10"/>
        <v>GBPFUT1MK3_Quote</v>
      </c>
      <c r="F119" s="138" t="str">
        <f>_xll.qlSimpleQuote(E119,,PriceTickValue,Permanent,Trigger,ObjectOverwrite)</f>
        <v>GBPFUT1MK3_Quote#0000</v>
      </c>
      <c r="G119" s="101" t="str">
        <f>_xll.ohRangeRetrieveError(F119)</f>
        <v/>
      </c>
      <c r="H119" s="137"/>
      <c r="AI119" s="143"/>
      <c r="AJ119" s="142">
        <v>113</v>
      </c>
      <c r="AK119" s="140" t="b">
        <v>0</v>
      </c>
      <c r="AL119" s="140" t="str">
        <v>K3</v>
      </c>
      <c r="AM119" s="250" t="str">
        <f t="shared" si="11"/>
        <v>GBPFUT1MK3_Quote</v>
      </c>
      <c r="AN119" s="251" t="str">
        <f t="shared" si="12"/>
        <v>GBPFUT1MK3ConvAdj_Quote</v>
      </c>
      <c r="AO119" s="250" t="e">
        <f>_xll.qlFuturesConvAdjustmentQuote($AN119,IborIndex,$AL119,$AM119,Volatility,MeanReversion,Permanent,Trigger,ObjectOverwrite)</f>
        <v>#NUM!</v>
      </c>
      <c r="AP119" s="72" t="str">
        <f ca="1">_xll.ohRangeRetrieveError(AO119)</f>
        <v>qlFuturesConvAdjustmentQuote - ObjectHandler error: attempt to retrieve object with unknown ID 'GbpLibor1M'</v>
      </c>
    </row>
    <row r="120" spans="1:42" x14ac:dyDescent="0.2">
      <c r="A120" s="143"/>
      <c r="B120" s="142">
        <v>114</v>
      </c>
      <c r="C120" s="141" t="b">
        <v>0</v>
      </c>
      <c r="D120" s="140" t="str">
        <v>M3</v>
      </c>
      <c r="E120" s="139" t="str">
        <f t="shared" si="10"/>
        <v>GBPFUT1MM3_Quote</v>
      </c>
      <c r="F120" s="138" t="str">
        <f>_xll.qlSimpleQuote(E120,,PriceTickValue,Permanent,Trigger,ObjectOverwrite)</f>
        <v>GBPFUT1MM3_Quote#0000</v>
      </c>
      <c r="G120" s="101" t="str">
        <f>_xll.ohRangeRetrieveError(F120)</f>
        <v/>
      </c>
      <c r="H120" s="137"/>
      <c r="AI120" s="143"/>
      <c r="AJ120" s="142">
        <v>114</v>
      </c>
      <c r="AK120" s="140" t="b">
        <v>0</v>
      </c>
      <c r="AL120" s="140" t="str">
        <v>M3</v>
      </c>
      <c r="AM120" s="250" t="str">
        <f t="shared" si="11"/>
        <v>GBPFUT1MM3_Quote</v>
      </c>
      <c r="AN120" s="251" t="str">
        <f t="shared" si="12"/>
        <v>GBPFUT1MM3ConvAdj_Quote</v>
      </c>
      <c r="AO120" s="250" t="e">
        <f>_xll.qlFuturesConvAdjustmentQuote($AN120,IborIndex,$AL120,$AM120,Volatility,MeanReversion,Permanent,Trigger,ObjectOverwrite)</f>
        <v>#NUM!</v>
      </c>
      <c r="AP120" s="72" t="str">
        <f ca="1">_xll.ohRangeRetrieveError(AO120)</f>
        <v>qlFuturesConvAdjustmentQuote - ObjectHandler error: attempt to retrieve object with unknown ID 'GbpLibor1M'</v>
      </c>
    </row>
    <row r="121" spans="1:42" x14ac:dyDescent="0.2">
      <c r="A121" s="143"/>
      <c r="B121" s="142">
        <v>115</v>
      </c>
      <c r="C121" s="141" t="b">
        <v>0</v>
      </c>
      <c r="D121" s="140" t="str">
        <v>N3</v>
      </c>
      <c r="E121" s="139" t="str">
        <f t="shared" si="10"/>
        <v>GBPFUT1MN3_Quote</v>
      </c>
      <c r="F121" s="138" t="str">
        <f>_xll.qlSimpleQuote(E121,,PriceTickValue,Permanent,Trigger,ObjectOverwrite)</f>
        <v>GBPFUT1MN3_Quote#0000</v>
      </c>
      <c r="G121" s="101" t="str">
        <f>_xll.ohRangeRetrieveError(F121)</f>
        <v/>
      </c>
      <c r="H121" s="137"/>
      <c r="AI121" s="143"/>
      <c r="AJ121" s="142">
        <v>115</v>
      </c>
      <c r="AK121" s="140" t="b">
        <v>0</v>
      </c>
      <c r="AL121" s="140" t="str">
        <v>N3</v>
      </c>
      <c r="AM121" s="250" t="str">
        <f t="shared" si="11"/>
        <v>GBPFUT1MN3_Quote</v>
      </c>
      <c r="AN121" s="251" t="str">
        <f t="shared" si="12"/>
        <v>GBPFUT1MN3ConvAdj_Quote</v>
      </c>
      <c r="AO121" s="250" t="e">
        <f>_xll.qlFuturesConvAdjustmentQuote($AN121,IborIndex,$AL121,$AM121,Volatility,MeanReversion,Permanent,Trigger,ObjectOverwrite)</f>
        <v>#NUM!</v>
      </c>
      <c r="AP121" s="72" t="str">
        <f ca="1">_xll.ohRangeRetrieveError(AO121)</f>
        <v>qlFuturesConvAdjustmentQuote - ObjectHandler error: attempt to retrieve object with unknown ID 'GbpLibor1M'</v>
      </c>
    </row>
    <row r="122" spans="1:42" x14ac:dyDescent="0.2">
      <c r="A122" s="143"/>
      <c r="B122" s="142">
        <v>116</v>
      </c>
      <c r="C122" s="141" t="b">
        <v>0</v>
      </c>
      <c r="D122" s="140" t="str">
        <v>Q3</v>
      </c>
      <c r="E122" s="139" t="str">
        <f t="shared" si="10"/>
        <v>GBPFUT1MQ3_Quote</v>
      </c>
      <c r="F122" s="138" t="str">
        <f>_xll.qlSimpleQuote(E122,,PriceTickValue,Permanent,Trigger,ObjectOverwrite)</f>
        <v>GBPFUT1MQ3_Quote#0000</v>
      </c>
      <c r="G122" s="101" t="str">
        <f>_xll.ohRangeRetrieveError(F122)</f>
        <v/>
      </c>
      <c r="H122" s="137"/>
      <c r="AI122" s="143"/>
      <c r="AJ122" s="142">
        <v>116</v>
      </c>
      <c r="AK122" s="140" t="b">
        <v>0</v>
      </c>
      <c r="AL122" s="140" t="str">
        <v>Q3</v>
      </c>
      <c r="AM122" s="250" t="str">
        <f t="shared" si="11"/>
        <v>GBPFUT1MQ3_Quote</v>
      </c>
      <c r="AN122" s="251" t="str">
        <f t="shared" si="12"/>
        <v>GBPFUT1MQ3ConvAdj_Quote</v>
      </c>
      <c r="AO122" s="250" t="e">
        <f>_xll.qlFuturesConvAdjustmentQuote($AN122,IborIndex,$AL122,$AM122,Volatility,MeanReversion,Permanent,Trigger,ObjectOverwrite)</f>
        <v>#NUM!</v>
      </c>
      <c r="AP122" s="72" t="str">
        <f ca="1">_xll.ohRangeRetrieveError(AO122)</f>
        <v>qlFuturesConvAdjustmentQuote - ObjectHandler error: attempt to retrieve object with unknown ID 'GbpLibor1M'</v>
      </c>
    </row>
    <row r="123" spans="1:42" x14ac:dyDescent="0.2">
      <c r="A123" s="143"/>
      <c r="B123" s="142">
        <v>117</v>
      </c>
      <c r="C123" s="141" t="b">
        <v>0</v>
      </c>
      <c r="D123" s="140" t="str">
        <v>U3</v>
      </c>
      <c r="E123" s="139" t="str">
        <f t="shared" si="10"/>
        <v>GBPFUT1MU3_Quote</v>
      </c>
      <c r="F123" s="138" t="str">
        <f>_xll.qlSimpleQuote(E123,,PriceTickValue,Permanent,Trigger,ObjectOverwrite)</f>
        <v>GBPFUT1MU3_Quote#0000</v>
      </c>
      <c r="G123" s="101" t="str">
        <f>_xll.ohRangeRetrieveError(F123)</f>
        <v/>
      </c>
      <c r="H123" s="137"/>
      <c r="AI123" s="143"/>
      <c r="AJ123" s="142">
        <v>117</v>
      </c>
      <c r="AK123" s="140" t="b">
        <v>0</v>
      </c>
      <c r="AL123" s="140" t="str">
        <v>U3</v>
      </c>
      <c r="AM123" s="250" t="str">
        <f t="shared" si="11"/>
        <v>GBPFUT1MU3_Quote</v>
      </c>
      <c r="AN123" s="251" t="str">
        <f t="shared" si="12"/>
        <v>GBPFUT1MU3ConvAdj_Quote</v>
      </c>
      <c r="AO123" s="250" t="e">
        <f>_xll.qlFuturesConvAdjustmentQuote($AN123,IborIndex,$AL123,$AM123,Volatility,MeanReversion,Permanent,Trigger,ObjectOverwrite)</f>
        <v>#NUM!</v>
      </c>
      <c r="AP123" s="72" t="str">
        <f ca="1">_xll.ohRangeRetrieveError(AO123)</f>
        <v>qlFuturesConvAdjustmentQuote - ObjectHandler error: attempt to retrieve object with unknown ID 'GbpLibor1M'</v>
      </c>
    </row>
    <row r="124" spans="1:42" x14ac:dyDescent="0.2">
      <c r="A124" s="143"/>
      <c r="B124" s="142">
        <v>118</v>
      </c>
      <c r="C124" s="141" t="b">
        <v>0</v>
      </c>
      <c r="D124" s="140" t="str">
        <v>V3</v>
      </c>
      <c r="E124" s="139" t="str">
        <f t="shared" si="10"/>
        <v>GBPFUT1MV3_Quote</v>
      </c>
      <c r="F124" s="138" t="str">
        <f>_xll.qlSimpleQuote(E124,,PriceTickValue,Permanent,Trigger,ObjectOverwrite)</f>
        <v>GBPFUT1MV3_Quote#0000</v>
      </c>
      <c r="G124" s="101" t="str">
        <f>_xll.ohRangeRetrieveError(F124)</f>
        <v/>
      </c>
      <c r="H124" s="137"/>
      <c r="AI124" s="143"/>
      <c r="AJ124" s="142">
        <v>118</v>
      </c>
      <c r="AK124" s="140" t="b">
        <v>0</v>
      </c>
      <c r="AL124" s="140" t="str">
        <v>V3</v>
      </c>
      <c r="AM124" s="250" t="str">
        <f t="shared" si="11"/>
        <v>GBPFUT1MV3_Quote</v>
      </c>
      <c r="AN124" s="251" t="str">
        <f t="shared" si="12"/>
        <v>GBPFUT1MV3ConvAdj_Quote</v>
      </c>
      <c r="AO124" s="250" t="e">
        <f>_xll.qlFuturesConvAdjustmentQuote($AN124,IborIndex,$AL124,$AM124,Volatility,MeanReversion,Permanent,Trigger,ObjectOverwrite)</f>
        <v>#NUM!</v>
      </c>
      <c r="AP124" s="72" t="str">
        <f ca="1">_xll.ohRangeRetrieveError(AO124)</f>
        <v>qlFuturesConvAdjustmentQuote - ObjectHandler error: attempt to retrieve object with unknown ID 'GbpLibor1M'</v>
      </c>
    </row>
    <row r="125" spans="1:42" x14ac:dyDescent="0.2">
      <c r="A125" s="143"/>
      <c r="B125" s="142">
        <v>119</v>
      </c>
      <c r="C125" s="141" t="b">
        <v>0</v>
      </c>
      <c r="D125" s="140" t="str">
        <v>X3</v>
      </c>
      <c r="E125" s="139" t="str">
        <f t="shared" si="10"/>
        <v>GBPFUT1MX3_Quote</v>
      </c>
      <c r="F125" s="138" t="str">
        <f>_xll.qlSimpleQuote(E125,,PriceTickValue,Permanent,Trigger,ObjectOverwrite)</f>
        <v>GBPFUT1MX3_Quote#0000</v>
      </c>
      <c r="G125" s="101" t="str">
        <f>_xll.ohRangeRetrieveError(F125)</f>
        <v/>
      </c>
      <c r="H125" s="137"/>
      <c r="AI125" s="143"/>
      <c r="AJ125" s="142">
        <v>119</v>
      </c>
      <c r="AK125" s="140" t="b">
        <v>0</v>
      </c>
      <c r="AL125" s="140" t="str">
        <v>X3</v>
      </c>
      <c r="AM125" s="250" t="str">
        <f t="shared" si="11"/>
        <v>GBPFUT1MX3_Quote</v>
      </c>
      <c r="AN125" s="251" t="str">
        <f t="shared" si="12"/>
        <v>GBPFUT1MX3ConvAdj_Quote</v>
      </c>
      <c r="AO125" s="250" t="e">
        <f>_xll.qlFuturesConvAdjustmentQuote($AN125,IborIndex,$AL125,$AM125,Volatility,MeanReversion,Permanent,Trigger,ObjectOverwrite)</f>
        <v>#NUM!</v>
      </c>
      <c r="AP125" s="72" t="str">
        <f ca="1">_xll.ohRangeRetrieveError(AO125)</f>
        <v>qlFuturesConvAdjustmentQuote - ObjectHandler error: attempt to retrieve object with unknown ID 'GbpLibor1M'</v>
      </c>
    </row>
    <row r="126" spans="1:42" ht="12" thickBot="1" x14ac:dyDescent="0.25">
      <c r="A126" s="143"/>
      <c r="B126" s="142">
        <v>120</v>
      </c>
      <c r="C126" s="141" t="b">
        <v>0</v>
      </c>
      <c r="D126" s="140" t="str">
        <v>Z3</v>
      </c>
      <c r="E126" s="139" t="str">
        <f t="shared" si="10"/>
        <v>GBPFUT1MZ3_Quote</v>
      </c>
      <c r="F126" s="138" t="str">
        <f>_xll.qlSimpleQuote(E126,,PriceTickValue,Permanent,Trigger,ObjectOverwrite)</f>
        <v>GBPFUT1MZ3_Quote#0000</v>
      </c>
      <c r="G126" s="101" t="str">
        <f>_xll.ohRangeRetrieveError(F126)</f>
        <v/>
      </c>
      <c r="H126" s="137"/>
      <c r="AI126" s="136"/>
      <c r="AJ126" s="142">
        <v>120</v>
      </c>
      <c r="AK126" s="140" t="b">
        <v>0</v>
      </c>
      <c r="AL126" s="140" t="str">
        <v>Z3</v>
      </c>
      <c r="AM126" s="250" t="str">
        <f t="shared" si="11"/>
        <v>GBPFUT1MZ3_Quote</v>
      </c>
      <c r="AN126" s="251" t="str">
        <f t="shared" si="12"/>
        <v>GBPFUT1MZ3ConvAdj_Quote</v>
      </c>
      <c r="AO126" s="250" t="e">
        <f>_xll.qlFuturesConvAdjustmentQuote($AN126,IborIndex,$AL126,$AM126,Volatility,MeanReversion,Permanent,Trigger,ObjectOverwrite)</f>
        <v>#NUM!</v>
      </c>
      <c r="AP126" s="72" t="str">
        <f ca="1">_xll.ohRangeRetrieveError(AO126)</f>
        <v>qlFuturesConvAdjustmentQuote - ObjectHandler error: attempt to retrieve object with unknown ID 'GbpLibor1M'</v>
      </c>
    </row>
    <row r="127" spans="1:42" ht="12" thickBot="1" x14ac:dyDescent="0.25">
      <c r="A127" s="136"/>
      <c r="B127" s="135"/>
      <c r="C127" s="135"/>
      <c r="D127" s="135"/>
      <c r="E127" s="135"/>
      <c r="F127" s="135"/>
      <c r="G127" s="135"/>
      <c r="H127" s="134"/>
    </row>
  </sheetData>
  <conditionalFormatting sqref="AA7:AA18">
    <cfRule type="cellIs" dxfId="29" priority="1" stopIfTrue="1" operator="greaterThan">
      <formula>0</formula>
    </cfRule>
    <cfRule type="cellIs" dxfId="28" priority="2" stopIfTrue="1" operator="lessThan">
      <formula>0</formula>
    </cfRule>
  </conditionalFormatting>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N57"/>
  <sheetViews>
    <sheetView tabSelected="1" workbookViewId="0"/>
  </sheetViews>
  <sheetFormatPr defaultRowHeight="11.25" x14ac:dyDescent="0.2"/>
  <cols>
    <col min="1" max="1" width="2.7109375" style="65" customWidth="1"/>
    <col min="2" max="2" width="3.5703125" style="65" bestFit="1" customWidth="1"/>
    <col min="3" max="3" width="5.7109375" style="65" bestFit="1" customWidth="1"/>
    <col min="4" max="4" width="6.140625" style="65" bestFit="1" customWidth="1"/>
    <col min="5" max="5" width="19.140625" style="65" bestFit="1" customWidth="1"/>
    <col min="6" max="6" width="20.140625" style="65" bestFit="1" customWidth="1"/>
    <col min="7" max="7" width="33.85546875" style="65" customWidth="1"/>
    <col min="8" max="10" width="2.7109375" style="65" customWidth="1"/>
    <col min="11" max="13" width="9.140625" style="65"/>
    <col min="14" max="14" width="14.28515625" style="65" bestFit="1" customWidth="1"/>
    <col min="15" max="19" width="9.140625" style="65"/>
    <col min="20" max="20" width="9.85546875" style="65" customWidth="1"/>
    <col min="21" max="21" width="9.140625" style="65"/>
    <col min="22" max="22" width="2.7109375" style="65" customWidth="1"/>
    <col min="23" max="23" width="9.140625" style="65"/>
    <col min="24" max="24" width="2.7109375" style="65" customWidth="1"/>
    <col min="25" max="26" width="9.140625" style="65"/>
    <col min="27" max="28" width="2.7109375" style="65" customWidth="1"/>
    <col min="29" max="30" width="9.140625" style="65"/>
    <col min="31" max="31" width="2.7109375" style="65" customWidth="1"/>
    <col min="32" max="32" width="9.140625" style="65"/>
    <col min="33" max="34" width="2.7109375" style="65" customWidth="1"/>
    <col min="35" max="37" width="9.140625" style="65"/>
    <col min="38" max="38" width="24.85546875" style="65" bestFit="1" customWidth="1"/>
    <col min="39" max="39" width="27.85546875" style="65" bestFit="1" customWidth="1"/>
    <col min="40" max="16384" width="9.140625" style="65"/>
  </cols>
  <sheetData>
    <row r="1" spans="1:40" ht="12" thickBot="1" x14ac:dyDescent="0.25">
      <c r="AH1" s="65" t="s">
        <v>350</v>
      </c>
    </row>
    <row r="2" spans="1:40" x14ac:dyDescent="0.2">
      <c r="J2" s="154" t="s">
        <v>353</v>
      </c>
      <c r="K2" s="229"/>
      <c r="L2" s="229"/>
      <c r="M2" s="229"/>
      <c r="N2" s="229"/>
      <c r="O2" s="229"/>
      <c r="P2" s="229"/>
      <c r="Q2" s="229"/>
      <c r="R2" s="229"/>
      <c r="S2" s="229"/>
      <c r="T2" s="229"/>
      <c r="U2" s="229"/>
      <c r="V2" s="230"/>
      <c r="W2" s="230"/>
      <c r="X2" s="229"/>
      <c r="Y2" s="229"/>
      <c r="Z2" s="229"/>
      <c r="AA2" s="150"/>
      <c r="AL2" s="254" t="s">
        <v>227</v>
      </c>
      <c r="AM2" s="253" t="str">
        <f>FuturesHWConvAdj!C5</f>
        <v>GBPHW_Volatility_Quote#0000</v>
      </c>
    </row>
    <row r="3" spans="1:40" x14ac:dyDescent="0.2">
      <c r="J3" s="149"/>
      <c r="K3" s="238"/>
      <c r="L3" s="456"/>
      <c r="M3" s="456"/>
      <c r="N3" s="238"/>
      <c r="O3" s="238"/>
      <c r="P3" s="238"/>
      <c r="Q3" s="238"/>
      <c r="R3" s="238"/>
      <c r="S3" s="238"/>
      <c r="T3" s="238"/>
      <c r="U3" s="238"/>
      <c r="V3" s="416"/>
      <c r="W3" s="416"/>
      <c r="X3" s="238"/>
      <c r="Y3" s="416"/>
      <c r="Z3" s="238"/>
      <c r="AA3" s="452"/>
      <c r="AL3" s="254" t="s">
        <v>226</v>
      </c>
      <c r="AM3" s="253" t="str">
        <f>FuturesHWConvAdj!C6</f>
        <v>GBPHW_MeanReversion_Quote#0000</v>
      </c>
    </row>
    <row r="4" spans="1:40" ht="12" thickBot="1" x14ac:dyDescent="0.25">
      <c r="J4" s="149"/>
      <c r="K4" s="238"/>
      <c r="L4" s="238"/>
      <c r="M4" s="238"/>
      <c r="N4" s="238"/>
      <c r="O4" s="238"/>
      <c r="P4" s="238"/>
      <c r="Q4" s="238"/>
      <c r="R4" s="238"/>
      <c r="S4" s="238"/>
      <c r="T4" s="238"/>
      <c r="U4" s="238"/>
      <c r="V4" s="416"/>
      <c r="W4" s="416"/>
      <c r="X4" s="238"/>
      <c r="Y4" s="238"/>
      <c r="Z4" s="238"/>
      <c r="AA4" s="452"/>
      <c r="AL4" s="254" t="s">
        <v>225</v>
      </c>
      <c r="AM4" s="253" t="str">
        <f>Libor!F13</f>
        <v>GbpLibor3M#0000</v>
      </c>
      <c r="AN4" s="252" t="s">
        <v>12</v>
      </c>
    </row>
    <row r="5" spans="1:40" x14ac:dyDescent="0.2">
      <c r="A5" s="109" t="s">
        <v>346</v>
      </c>
      <c r="B5" s="153"/>
      <c r="C5" s="153"/>
      <c r="D5" s="152" t="s">
        <v>176</v>
      </c>
      <c r="E5" s="152" t="s">
        <v>12</v>
      </c>
      <c r="F5" s="151"/>
      <c r="G5" s="151"/>
      <c r="H5" s="150"/>
      <c r="J5" s="149"/>
      <c r="K5" s="238"/>
      <c r="L5" s="238"/>
      <c r="M5" s="238"/>
      <c r="N5" s="238"/>
      <c r="O5" s="238"/>
      <c r="P5" s="238"/>
      <c r="Q5" s="238"/>
      <c r="R5" s="238"/>
      <c r="S5" s="238"/>
      <c r="T5" s="238"/>
      <c r="U5" s="238"/>
      <c r="V5" s="416"/>
      <c r="W5" s="416"/>
      <c r="X5" s="238"/>
      <c r="Y5" s="238"/>
      <c r="Z5" s="453">
        <f>_xll.ohTrigger(Z7:Z48)</f>
        <v>0</v>
      </c>
      <c r="AA5" s="452"/>
      <c r="AC5" s="444" t="s">
        <v>294</v>
      </c>
      <c r="AD5" s="443" t="s">
        <v>293</v>
      </c>
      <c r="AF5" s="406" t="s">
        <v>288</v>
      </c>
    </row>
    <row r="6" spans="1:40" ht="22.5" x14ac:dyDescent="0.2">
      <c r="A6" s="149"/>
      <c r="B6" s="90" t="s">
        <v>175</v>
      </c>
      <c r="C6" s="91" t="s">
        <v>174</v>
      </c>
      <c r="D6" s="91" t="s">
        <v>173</v>
      </c>
      <c r="E6" s="89" t="str">
        <f>Currency&amp;"_010_"&amp;$D$5&amp;$E$5&amp;".xml"</f>
        <v>GBP_010_FUT3M.xml</v>
      </c>
      <c r="F6" s="88">
        <f ca="1">IF(Serialize,_xll.ohObjectSave(F7:F48,SerializationPath&amp;E6,FileOverwrite,Serialize),"---")</f>
        <v>42</v>
      </c>
      <c r="G6" s="104" t="str">
        <f ca="1">_xll.ohRangeRetrieveError(F6)</f>
        <v/>
      </c>
      <c r="H6" s="137"/>
      <c r="J6" s="149"/>
      <c r="K6" s="463" t="s">
        <v>175</v>
      </c>
      <c r="L6" s="458" t="s">
        <v>174</v>
      </c>
      <c r="M6" s="458" t="s">
        <v>173</v>
      </c>
      <c r="N6" s="458" t="s">
        <v>296</v>
      </c>
      <c r="O6" s="462" t="e">
        <f ca="1">_xll.RData(O7:O48,P6:T6,"RTFEED:IDN",ReutersRtMode,,P7)</f>
        <v>#NAME?</v>
      </c>
      <c r="P6" s="458" t="s">
        <v>295</v>
      </c>
      <c r="Q6" s="458" t="s">
        <v>291</v>
      </c>
      <c r="R6" s="458" t="s">
        <v>264</v>
      </c>
      <c r="S6" s="458" t="s">
        <v>244</v>
      </c>
      <c r="T6" s="458" t="s">
        <v>290</v>
      </c>
      <c r="U6" s="461" t="s">
        <v>289</v>
      </c>
      <c r="V6" s="416"/>
      <c r="W6" s="460" t="s">
        <v>286</v>
      </c>
      <c r="X6" s="416"/>
      <c r="Y6" s="463" t="s">
        <v>285</v>
      </c>
      <c r="Z6" s="457" t="s">
        <v>284</v>
      </c>
      <c r="AA6" s="137"/>
      <c r="AC6" s="433" t="s">
        <v>121</v>
      </c>
      <c r="AD6" s="432" t="s">
        <v>301</v>
      </c>
      <c r="AF6" s="412" t="e">
        <f t="shared" ref="AF6:AF47" si="0">(R7-U7)/50</f>
        <v>#NUM!</v>
      </c>
      <c r="AH6" s="149"/>
      <c r="AI6" s="90" t="s">
        <v>175</v>
      </c>
      <c r="AJ6" s="197" t="s">
        <v>174</v>
      </c>
      <c r="AK6" s="197" t="s">
        <v>173</v>
      </c>
      <c r="AL6" s="89" t="str">
        <f>Currency&amp;"_020_Futures"&amp;AN4&amp;"ConvAdj.xml"</f>
        <v>GBP_020_Futures3MConvAdj.xml</v>
      </c>
      <c r="AM6" s="105">
        <f ca="1">IF(Serialize,_xll.ohObjectSave(AM7:AM48,SerializationPath&amp;AL6,FileOverwrite,Serialize),"---")</f>
        <v>42</v>
      </c>
      <c r="AN6" s="72" t="str">
        <f ca="1">_xll.ohRangeRetrieveError(AM6)</f>
        <v/>
      </c>
    </row>
    <row r="7" spans="1:40" x14ac:dyDescent="0.2">
      <c r="A7" s="143"/>
      <c r="B7" s="148">
        <v>1</v>
      </c>
      <c r="C7" s="147" t="b">
        <v>0</v>
      </c>
      <c r="D7" s="146" t="str">
        <f t="array" ref="D7:D48">_xll.qlIMMNextCodes(_xll.qlSettingsEvaluationDate(Trigger)-1,$C7:$C48)</f>
        <v>F4</v>
      </c>
      <c r="E7" s="139" t="str">
        <f t="shared" ref="E7:E38" si="1">Currency&amp;$D$5&amp;$E$5&amp;$D7&amp;QuoteSuffix</f>
        <v>GBPFUT3MF4_Quote</v>
      </c>
      <c r="F7" s="145" t="str">
        <f>_xll.qlSimpleQuote(E7,,PriceTickValue,Permanent,Trigger,ObjectOverwrite)</f>
        <v>GBPFUT3MF4_Quote#0000</v>
      </c>
      <c r="G7" s="144" t="str">
        <f>_xll.ohRangeRetrieveError(F7)</f>
        <v/>
      </c>
      <c r="H7" s="137"/>
      <c r="J7" s="143"/>
      <c r="K7" s="442">
        <v>1</v>
      </c>
      <c r="L7" s="441" t="b">
        <v>0</v>
      </c>
      <c r="M7" s="436" t="str">
        <f t="array" ref="M7:M48">_xll.qlIMMcode(FuturesDates)</f>
        <v>F4</v>
      </c>
      <c r="N7" s="440">
        <f t="array" ref="N7:N48">_xll.qlIMMNextDates(_xll.qlSettingsEvaluationDate(Trigger)-1,$L7:$L48)</f>
        <v>41654</v>
      </c>
      <c r="O7" s="436" t="str">
        <f t="array" ref="O7:O48">VLOOKUP(Currency,LiffeCodes,2)&amp;FuturesCodes</f>
        <v>FSSF4</v>
      </c>
      <c r="P7" s="439">
        <v>41325</v>
      </c>
      <c r="Q7" s="436">
        <v>0</v>
      </c>
      <c r="R7" s="436">
        <v>0</v>
      </c>
      <c r="S7" s="436">
        <v>0</v>
      </c>
      <c r="T7" s="436">
        <v>99.45</v>
      </c>
      <c r="U7" s="435" t="e">
        <f>_xll.qlMidSafe($Q7,$R7)</f>
        <v>#NUM!</v>
      </c>
      <c r="V7" s="416"/>
      <c r="W7" s="438">
        <v>99.484999999999999</v>
      </c>
      <c r="X7" s="416"/>
      <c r="Y7" s="437" t="e">
        <f t="array" ref="Y7:Y48">QuoteLive</f>
        <v>#NUM!</v>
      </c>
      <c r="Z7" s="435" t="e">
        <f>_xll.qlSimpleQuoteSetValue(F7,Y7,Trigger)</f>
        <v>#NUM!</v>
      </c>
      <c r="AA7" s="137"/>
      <c r="AC7" s="433" t="s">
        <v>120</v>
      </c>
      <c r="AD7" s="432" t="s">
        <v>300</v>
      </c>
      <c r="AF7" s="412">
        <f t="shared" si="0"/>
        <v>9.9999999999909054E-5</v>
      </c>
      <c r="AH7" s="143"/>
      <c r="AI7" s="148">
        <v>1</v>
      </c>
      <c r="AJ7" s="146" t="b">
        <v>0</v>
      </c>
      <c r="AK7" s="146" t="str">
        <f t="array" ref="AK7:AK48">_xll.qlIMMNextCodes(_xll.qlSettingsEvaluationDate(Trigger)-1,$AJ7:$AJ48)</f>
        <v>F4</v>
      </c>
      <c r="AL7" s="251" t="str">
        <f t="shared" ref="AL7:AL48" si="2">Currency&amp;"FUT"&amp;$AN$4&amp;$AK7&amp;"ConvAdj"&amp;QuoteSuffix</f>
        <v>GBPFUT3MF4ConvAdj_Quote</v>
      </c>
      <c r="AM7" s="250" t="str">
        <f>_xll.qlFuturesConvAdjustmentQuote(AL7,IborIndex,AK7,F7,Volatility,MeanReversion,Permanent,ISERROR(Z7),ObjectOverwrite)</f>
        <v>GBPFUT3MF4ConvAdj_Quote#0002</v>
      </c>
      <c r="AN7" s="72" t="str">
        <f>_xll.ohRangeRetrieveError(AM7)</f>
        <v/>
      </c>
    </row>
    <row r="8" spans="1:40" x14ac:dyDescent="0.2">
      <c r="A8" s="143"/>
      <c r="B8" s="142">
        <v>2</v>
      </c>
      <c r="C8" s="141" t="b">
        <v>0</v>
      </c>
      <c r="D8" s="140" t="str">
        <v>G4</v>
      </c>
      <c r="E8" s="139" t="str">
        <f t="shared" si="1"/>
        <v>GBPFUT3MG4_Quote</v>
      </c>
      <c r="F8" s="138" t="str">
        <f>_xll.qlSimpleQuote(E8,,PriceTickValue,Permanent,Trigger,ObjectOverwrite)</f>
        <v>GBPFUT3MG4_Quote#0000</v>
      </c>
      <c r="G8" s="101" t="str">
        <f>_xll.ohRangeRetrieveError(F8)</f>
        <v/>
      </c>
      <c r="H8" s="137"/>
      <c r="J8" s="143"/>
      <c r="K8" s="429">
        <v>2</v>
      </c>
      <c r="L8" s="428" t="b">
        <v>0</v>
      </c>
      <c r="M8" s="423" t="str">
        <v>G4</v>
      </c>
      <c r="N8" s="427">
        <v>41689</v>
      </c>
      <c r="O8" s="423" t="str">
        <v>FSSG4</v>
      </c>
      <c r="P8" s="426">
        <v>41353</v>
      </c>
      <c r="Q8" s="423">
        <v>99.48</v>
      </c>
      <c r="R8" s="423">
        <v>99.49</v>
      </c>
      <c r="S8" s="423">
        <v>99.48</v>
      </c>
      <c r="T8" s="423">
        <v>99.49</v>
      </c>
      <c r="U8" s="422">
        <f>_xll.qlMidSafe($Q8,$R8)</f>
        <v>99.484999999999999</v>
      </c>
      <c r="V8" s="416"/>
      <c r="W8" s="434" t="e">
        <v>#NUM!</v>
      </c>
      <c r="X8" s="416"/>
      <c r="Y8" s="424">
        <v>99.484999999999999</v>
      </c>
      <c r="Z8" s="422" t="e">
        <f>_xll.qlSimpleQuoteSetValue(F8,Y8,Trigger)</f>
        <v>#N/A</v>
      </c>
      <c r="AA8" s="137"/>
      <c r="AC8" s="433" t="s">
        <v>96</v>
      </c>
      <c r="AD8" s="432" t="s">
        <v>299</v>
      </c>
      <c r="AF8" s="412" t="e">
        <f t="shared" si="0"/>
        <v>#NUM!</v>
      </c>
      <c r="AH8" s="143"/>
      <c r="AI8" s="142">
        <v>2</v>
      </c>
      <c r="AJ8" s="140" t="b">
        <v>0</v>
      </c>
      <c r="AK8" s="140" t="str">
        <v>G4</v>
      </c>
      <c r="AL8" s="251" t="str">
        <f t="shared" si="2"/>
        <v>GBPFUT3MG4ConvAdj_Quote</v>
      </c>
      <c r="AM8" s="250" t="str">
        <f>_xll.qlFuturesConvAdjustmentQuote(AL8,IborIndex,AK8,F8,Volatility,MeanReversion,Permanent,ISERROR(Z8),ObjectOverwrite)</f>
        <v>GBPFUT3MG4ConvAdj_Quote#0002</v>
      </c>
      <c r="AN8" s="72" t="str">
        <f>_xll.ohRangeRetrieveError(AM8)</f>
        <v/>
      </c>
    </row>
    <row r="9" spans="1:40" x14ac:dyDescent="0.2">
      <c r="A9" s="143"/>
      <c r="B9" s="142">
        <v>3</v>
      </c>
      <c r="C9" s="141" t="b">
        <v>0</v>
      </c>
      <c r="D9" s="140" t="str">
        <v>H4</v>
      </c>
      <c r="E9" s="139" t="str">
        <f t="shared" si="1"/>
        <v>GBPFUT3MH4_Quote</v>
      </c>
      <c r="F9" s="138" t="str">
        <f>_xll.qlSimpleQuote(E9,,PriceTickValue,Permanent,Trigger,ObjectOverwrite)</f>
        <v>GBPFUT3MH4_Quote#0000</v>
      </c>
      <c r="G9" s="101" t="str">
        <f>_xll.ohRangeRetrieveError(F9)</f>
        <v/>
      </c>
      <c r="H9" s="137"/>
      <c r="J9" s="143"/>
      <c r="K9" s="429">
        <v>3</v>
      </c>
      <c r="L9" s="428" t="b">
        <v>0</v>
      </c>
      <c r="M9" s="423" t="str">
        <v>H4</v>
      </c>
      <c r="N9" s="427">
        <v>41717</v>
      </c>
      <c r="O9" s="423" t="str">
        <v>FSSH4</v>
      </c>
      <c r="P9" s="426">
        <v>41381</v>
      </c>
      <c r="Q9" s="423">
        <v>0</v>
      </c>
      <c r="R9" s="423">
        <v>0</v>
      </c>
      <c r="S9" s="423">
        <v>0</v>
      </c>
      <c r="T9" s="423">
        <v>99.5</v>
      </c>
      <c r="U9" s="422" t="e">
        <f>_xll.qlMidSafe($Q9,$R9)</f>
        <v>#NUM!</v>
      </c>
      <c r="V9" s="416"/>
      <c r="W9" s="434" t="e">
        <v>#NUM!</v>
      </c>
      <c r="X9" s="416"/>
      <c r="Y9" s="424" t="e">
        <v>#NUM!</v>
      </c>
      <c r="Z9" s="422" t="e">
        <f>_xll.qlSimpleQuoteSetValue(F9,Y9,Trigger)</f>
        <v>#NUM!</v>
      </c>
      <c r="AA9" s="137"/>
      <c r="AC9" s="433" t="s">
        <v>117</v>
      </c>
      <c r="AD9" s="432"/>
      <c r="AF9" s="412" t="e">
        <f t="shared" si="0"/>
        <v>#VALUE!</v>
      </c>
      <c r="AH9" s="143"/>
      <c r="AI9" s="142">
        <v>3</v>
      </c>
      <c r="AJ9" s="140" t="b">
        <v>0</v>
      </c>
      <c r="AK9" s="140" t="str">
        <v>H4</v>
      </c>
      <c r="AL9" s="251" t="str">
        <f t="shared" si="2"/>
        <v>GBPFUT3MH4ConvAdj_Quote</v>
      </c>
      <c r="AM9" s="250" t="str">
        <f>_xll.qlFuturesConvAdjustmentQuote(AL9,IborIndex,AK9,F9,Volatility,MeanReversion,Permanent,ISERROR(Z9),ObjectOverwrite)</f>
        <v>GBPFUT3MH4ConvAdj_Quote#0002</v>
      </c>
      <c r="AN9" s="72" t="str">
        <f>_xll.ohRangeRetrieveError(AM9)</f>
        <v/>
      </c>
    </row>
    <row r="10" spans="1:40" ht="12" thickBot="1" x14ac:dyDescent="0.25">
      <c r="A10" s="143"/>
      <c r="B10" s="142">
        <v>4</v>
      </c>
      <c r="C10" s="141" t="b">
        <v>0</v>
      </c>
      <c r="D10" s="140" t="str">
        <v>J4</v>
      </c>
      <c r="E10" s="139" t="str">
        <f t="shared" si="1"/>
        <v>GBPFUT3MJ4_Quote</v>
      </c>
      <c r="F10" s="138" t="str">
        <f>_xll.qlSimpleQuote(E10,,PriceTickValue,Permanent,Trigger,ObjectOverwrite)</f>
        <v>GBPFUT3MJ4_Quote#0000</v>
      </c>
      <c r="G10" s="101" t="str">
        <f>_xll.ohRangeRetrieveError(F10)</f>
        <v/>
      </c>
      <c r="H10" s="137"/>
      <c r="J10" s="143"/>
      <c r="K10" s="429">
        <v>4</v>
      </c>
      <c r="L10" s="428" t="b">
        <v>0</v>
      </c>
      <c r="M10" s="423" t="str">
        <v>J4</v>
      </c>
      <c r="N10" s="427">
        <v>41745</v>
      </c>
      <c r="O10" s="423" t="str">
        <v>FSSJ4</v>
      </c>
      <c r="P10" s="426" t="s">
        <v>233</v>
      </c>
      <c r="Q10" s="423" t="s">
        <v>233</v>
      </c>
      <c r="R10" s="423" t="s">
        <v>233</v>
      </c>
      <c r="S10" s="423" t="s">
        <v>233</v>
      </c>
      <c r="T10" s="423" t="s">
        <v>233</v>
      </c>
      <c r="U10" s="422" t="e">
        <f>_xll.qlMidSafe($Q10,$R10)</f>
        <v>#NUM!</v>
      </c>
      <c r="V10" s="416"/>
      <c r="W10" s="434">
        <v>99.495000000000005</v>
      </c>
      <c r="X10" s="416"/>
      <c r="Y10" s="424" t="e">
        <v>#NUM!</v>
      </c>
      <c r="Z10" s="422" t="e">
        <f>_xll.qlSimpleQuoteSetValue(F10,Y10,Trigger)</f>
        <v>#NUM!</v>
      </c>
      <c r="AA10" s="137"/>
      <c r="AC10" s="431" t="s">
        <v>115</v>
      </c>
      <c r="AD10" s="430" t="s">
        <v>298</v>
      </c>
      <c r="AF10" s="412">
        <f t="shared" si="0"/>
        <v>9.9999999999909054E-5</v>
      </c>
      <c r="AH10" s="143"/>
      <c r="AI10" s="142">
        <v>4</v>
      </c>
      <c r="AJ10" s="140" t="b">
        <v>0</v>
      </c>
      <c r="AK10" s="140" t="str">
        <v>J4</v>
      </c>
      <c r="AL10" s="251" t="str">
        <f t="shared" si="2"/>
        <v>GBPFUT3MJ4ConvAdj_Quote</v>
      </c>
      <c r="AM10" s="250" t="str">
        <f>_xll.qlFuturesConvAdjustmentQuote(AL10,IborIndex,AK10,F10,Volatility,MeanReversion,Permanent,ISERROR(Z10),ObjectOverwrite)</f>
        <v>GBPFUT3MJ4ConvAdj_Quote#0002</v>
      </c>
      <c r="AN10" s="72" t="str">
        <f>_xll.ohRangeRetrieveError(AM10)</f>
        <v/>
      </c>
    </row>
    <row r="11" spans="1:40" x14ac:dyDescent="0.2">
      <c r="A11" s="143"/>
      <c r="B11" s="142">
        <v>5</v>
      </c>
      <c r="C11" s="141" t="b">
        <v>0</v>
      </c>
      <c r="D11" s="140" t="str">
        <v>K4</v>
      </c>
      <c r="E11" s="139" t="str">
        <f t="shared" si="1"/>
        <v>GBPFUT3MK4_Quote</v>
      </c>
      <c r="F11" s="138" t="str">
        <f>_xll.qlSimpleQuote(E11,,PriceTickValue,Permanent,Trigger,ObjectOverwrite)</f>
        <v>GBPFUT3MK4_Quote#0000</v>
      </c>
      <c r="G11" s="101" t="str">
        <f>_xll.ohRangeRetrieveError(F11)</f>
        <v/>
      </c>
      <c r="H11" s="137"/>
      <c r="J11" s="143"/>
      <c r="K11" s="429">
        <v>5</v>
      </c>
      <c r="L11" s="428" t="b">
        <v>0</v>
      </c>
      <c r="M11" s="423" t="str">
        <v>K4</v>
      </c>
      <c r="N11" s="427">
        <v>41780</v>
      </c>
      <c r="O11" s="423" t="str">
        <v>FSSK4</v>
      </c>
      <c r="P11" s="426">
        <v>41444</v>
      </c>
      <c r="Q11" s="423">
        <v>99.46</v>
      </c>
      <c r="R11" s="423">
        <v>99.47</v>
      </c>
      <c r="S11" s="423">
        <v>99.47</v>
      </c>
      <c r="T11" s="423">
        <v>99.48</v>
      </c>
      <c r="U11" s="422">
        <f>_xll.qlMidSafe($Q11,$R11)</f>
        <v>99.465000000000003</v>
      </c>
      <c r="V11" s="416"/>
      <c r="W11" s="425" t="e">
        <v>#NUM!</v>
      </c>
      <c r="X11" s="416"/>
      <c r="Y11" s="424">
        <v>99.465000000000003</v>
      </c>
      <c r="Z11" s="422" t="e">
        <f>_xll.qlSimpleQuoteSetValue(F11,Y11,Trigger)</f>
        <v>#N/A</v>
      </c>
      <c r="AA11" s="137"/>
      <c r="AF11" s="412" t="e">
        <f t="shared" si="0"/>
        <v>#VALUE!</v>
      </c>
      <c r="AH11" s="143"/>
      <c r="AI11" s="142">
        <v>5</v>
      </c>
      <c r="AJ11" s="140" t="b">
        <v>0</v>
      </c>
      <c r="AK11" s="140" t="str">
        <v>K4</v>
      </c>
      <c r="AL11" s="251" t="str">
        <f t="shared" si="2"/>
        <v>GBPFUT3MK4ConvAdj_Quote</v>
      </c>
      <c r="AM11" s="250" t="str">
        <f>_xll.qlFuturesConvAdjustmentQuote(AL11,IborIndex,AK11,F11,Volatility,MeanReversion,Permanent,ISERROR(Z11),ObjectOverwrite)</f>
        <v>GBPFUT3MK4ConvAdj_Quote#0002</v>
      </c>
      <c r="AN11" s="72" t="str">
        <f>_xll.ohRangeRetrieveError(AM11)</f>
        <v/>
      </c>
    </row>
    <row r="12" spans="1:40" x14ac:dyDescent="0.2">
      <c r="A12" s="143"/>
      <c r="B12" s="142">
        <v>6</v>
      </c>
      <c r="C12" s="141" t="b">
        <v>0</v>
      </c>
      <c r="D12" s="140" t="str">
        <v>M4</v>
      </c>
      <c r="E12" s="139" t="str">
        <f t="shared" si="1"/>
        <v>GBPFUT3MM4_Quote</v>
      </c>
      <c r="F12" s="138" t="str">
        <f>_xll.qlSimpleQuote(E12,,PriceTickValue,Permanent,Trigger,ObjectOverwrite)</f>
        <v>GBPFUT3MM4_Quote#0000</v>
      </c>
      <c r="G12" s="101" t="str">
        <f>_xll.ohRangeRetrieveError(F12)</f>
        <v/>
      </c>
      <c r="H12" s="137"/>
      <c r="J12" s="143"/>
      <c r="K12" s="429">
        <v>6</v>
      </c>
      <c r="L12" s="428" t="b">
        <v>0</v>
      </c>
      <c r="M12" s="423" t="str">
        <v>M4</v>
      </c>
      <c r="N12" s="427">
        <v>41808</v>
      </c>
      <c r="O12" s="423" t="str">
        <v>FSSM4</v>
      </c>
      <c r="P12" s="426" t="s">
        <v>233</v>
      </c>
      <c r="Q12" s="423" t="s">
        <v>233</v>
      </c>
      <c r="R12" s="423" t="s">
        <v>233</v>
      </c>
      <c r="S12" s="423" t="s">
        <v>233</v>
      </c>
      <c r="T12" s="423" t="s">
        <v>233</v>
      </c>
      <c r="U12" s="422" t="e">
        <f>_xll.qlMidSafe($Q12,$R12)</f>
        <v>#NUM!</v>
      </c>
      <c r="V12" s="416"/>
      <c r="W12" s="425" t="e">
        <v>#NUM!</v>
      </c>
      <c r="X12" s="416"/>
      <c r="Y12" s="424" t="e">
        <v>#NUM!</v>
      </c>
      <c r="Z12" s="422" t="e">
        <f>_xll.qlSimpleQuoteSetValue(F12,Y12,Trigger)</f>
        <v>#NUM!</v>
      </c>
      <c r="AA12" s="137"/>
      <c r="AF12" s="412" t="e">
        <f t="shared" si="0"/>
        <v>#VALUE!</v>
      </c>
      <c r="AH12" s="143"/>
      <c r="AI12" s="142">
        <v>6</v>
      </c>
      <c r="AJ12" s="140" t="b">
        <v>0</v>
      </c>
      <c r="AK12" s="140" t="str">
        <v>M4</v>
      </c>
      <c r="AL12" s="251" t="str">
        <f t="shared" si="2"/>
        <v>GBPFUT3MM4ConvAdj_Quote</v>
      </c>
      <c r="AM12" s="250" t="str">
        <f>_xll.qlFuturesConvAdjustmentQuote(AL12,IborIndex,AK12,F12,Volatility,MeanReversion,Permanent,ISERROR(Z12),ObjectOverwrite)</f>
        <v>GBPFUT3MM4ConvAdj_Quote#0002</v>
      </c>
      <c r="AN12" s="72" t="str">
        <f>_xll.ohRangeRetrieveError(AM12)</f>
        <v/>
      </c>
    </row>
    <row r="13" spans="1:40" x14ac:dyDescent="0.2">
      <c r="A13" s="143"/>
      <c r="B13" s="142">
        <v>7</v>
      </c>
      <c r="C13" s="141" t="b">
        <v>0</v>
      </c>
      <c r="D13" s="140" t="str">
        <v>N4</v>
      </c>
      <c r="E13" s="139" t="str">
        <f t="shared" si="1"/>
        <v>GBPFUT3MN4_Quote</v>
      </c>
      <c r="F13" s="138" t="str">
        <f>_xll.qlSimpleQuote(E13,,PriceTickValue,Permanent,Trigger,ObjectOverwrite)</f>
        <v>GBPFUT3MN4_Quote#0000</v>
      </c>
      <c r="G13" s="101" t="str">
        <f>_xll.ohRangeRetrieveError(F13)</f>
        <v/>
      </c>
      <c r="H13" s="137"/>
      <c r="J13" s="143"/>
      <c r="K13" s="429">
        <v>7</v>
      </c>
      <c r="L13" s="428" t="b">
        <v>0</v>
      </c>
      <c r="M13" s="423" t="str">
        <v>N4</v>
      </c>
      <c r="N13" s="427">
        <v>41836</v>
      </c>
      <c r="O13" s="423" t="str">
        <v>FSSN4</v>
      </c>
      <c r="P13" s="426" t="s">
        <v>233</v>
      </c>
      <c r="Q13" s="423" t="s">
        <v>233</v>
      </c>
      <c r="R13" s="423" t="s">
        <v>233</v>
      </c>
      <c r="S13" s="423" t="s">
        <v>233</v>
      </c>
      <c r="T13" s="423" t="s">
        <v>233</v>
      </c>
      <c r="U13" s="422" t="e">
        <f>_xll.qlMidSafe($Q13,$R13)</f>
        <v>#NUM!</v>
      </c>
      <c r="V13" s="416"/>
      <c r="W13" s="425">
        <v>99.495000000000005</v>
      </c>
      <c r="X13" s="416"/>
      <c r="Y13" s="424" t="e">
        <v>#NUM!</v>
      </c>
      <c r="Z13" s="422" t="e">
        <f>_xll.qlSimpleQuoteSetValue(F13,Y13,Trigger)</f>
        <v>#NUM!</v>
      </c>
      <c r="AA13" s="137"/>
      <c r="AF13" s="412">
        <f t="shared" si="0"/>
        <v>1.9999999999981811E-4</v>
      </c>
      <c r="AH13" s="143"/>
      <c r="AI13" s="142">
        <v>7</v>
      </c>
      <c r="AJ13" s="140" t="b">
        <v>0</v>
      </c>
      <c r="AK13" s="140" t="str">
        <v>N4</v>
      </c>
      <c r="AL13" s="251" t="str">
        <f t="shared" si="2"/>
        <v>GBPFUT3MN4ConvAdj_Quote</v>
      </c>
      <c r="AM13" s="250" t="str">
        <f>_xll.qlFuturesConvAdjustmentQuote(AL13,IborIndex,AK13,F13,Volatility,MeanReversion,Permanent,ISERROR(Z13),ObjectOverwrite)</f>
        <v>GBPFUT3MN4ConvAdj_Quote#0002</v>
      </c>
      <c r="AN13" s="72" t="str">
        <f>_xll.ohRangeRetrieveError(AM13)</f>
        <v/>
      </c>
    </row>
    <row r="14" spans="1:40" x14ac:dyDescent="0.2">
      <c r="A14" s="143"/>
      <c r="B14" s="142">
        <v>8</v>
      </c>
      <c r="C14" s="141" t="b">
        <v>0</v>
      </c>
      <c r="D14" s="140" t="str">
        <v>Q4</v>
      </c>
      <c r="E14" s="139" t="str">
        <f t="shared" si="1"/>
        <v>GBPFUT3MQ4_Quote</v>
      </c>
      <c r="F14" s="138" t="str">
        <f>_xll.qlSimpleQuote(E14,,PriceTickValue,Permanent,Trigger,ObjectOverwrite)</f>
        <v>GBPFUT3MQ4_Quote#0000</v>
      </c>
      <c r="G14" s="101" t="str">
        <f>_xll.ohRangeRetrieveError(F14)</f>
        <v/>
      </c>
      <c r="H14" s="137"/>
      <c r="J14" s="143"/>
      <c r="K14" s="429">
        <v>8</v>
      </c>
      <c r="L14" s="428" t="b">
        <v>0</v>
      </c>
      <c r="M14" s="423" t="str">
        <v>Q4</v>
      </c>
      <c r="N14" s="427">
        <v>41871</v>
      </c>
      <c r="O14" s="423" t="str">
        <v>FSSQ4</v>
      </c>
      <c r="P14" s="426">
        <v>41535</v>
      </c>
      <c r="Q14" s="423">
        <v>99.45</v>
      </c>
      <c r="R14" s="423">
        <v>99.47</v>
      </c>
      <c r="S14" s="423">
        <v>99.46</v>
      </c>
      <c r="T14" s="423">
        <v>99.47</v>
      </c>
      <c r="U14" s="422">
        <f>_xll.qlMidSafe($Q14,$R14)</f>
        <v>99.460000000000008</v>
      </c>
      <c r="V14" s="416"/>
      <c r="W14" s="425" t="e">
        <v>#NUM!</v>
      </c>
      <c r="X14" s="416"/>
      <c r="Y14" s="424">
        <v>99.460000000000008</v>
      </c>
      <c r="Z14" s="422" t="e">
        <f>_xll.qlSimpleQuoteSetValue(F14,Y14,Trigger)</f>
        <v>#N/A</v>
      </c>
      <c r="AA14" s="137"/>
      <c r="AF14" s="412" t="e">
        <f t="shared" si="0"/>
        <v>#VALUE!</v>
      </c>
      <c r="AH14" s="143"/>
      <c r="AI14" s="142">
        <v>8</v>
      </c>
      <c r="AJ14" s="140" t="b">
        <v>0</v>
      </c>
      <c r="AK14" s="140" t="str">
        <v>Q4</v>
      </c>
      <c r="AL14" s="251" t="str">
        <f t="shared" si="2"/>
        <v>GBPFUT3MQ4ConvAdj_Quote</v>
      </c>
      <c r="AM14" s="250" t="str">
        <f>_xll.qlFuturesConvAdjustmentQuote(AL14,IborIndex,AK14,F14,Volatility,MeanReversion,Permanent,ISERROR(Z14),ObjectOverwrite)</f>
        <v>GBPFUT3MQ4ConvAdj_Quote#0002</v>
      </c>
      <c r="AN14" s="72" t="str">
        <f>_xll.ohRangeRetrieveError(AM14)</f>
        <v/>
      </c>
    </row>
    <row r="15" spans="1:40" x14ac:dyDescent="0.2">
      <c r="A15" s="143"/>
      <c r="B15" s="142">
        <v>9</v>
      </c>
      <c r="C15" s="141" t="b">
        <v>0</v>
      </c>
      <c r="D15" s="140" t="str">
        <v>U4</v>
      </c>
      <c r="E15" s="139" t="str">
        <f t="shared" si="1"/>
        <v>GBPFUT3MU4_Quote</v>
      </c>
      <c r="F15" s="138" t="str">
        <f>_xll.qlSimpleQuote(E15,,PriceTickValue,Permanent,Trigger,ObjectOverwrite)</f>
        <v>GBPFUT3MU4_Quote#0000</v>
      </c>
      <c r="G15" s="101" t="str">
        <f>_xll.ohRangeRetrieveError(F15)</f>
        <v/>
      </c>
      <c r="H15" s="137"/>
      <c r="J15" s="143"/>
      <c r="K15" s="429">
        <v>9</v>
      </c>
      <c r="L15" s="428" t="b">
        <v>0</v>
      </c>
      <c r="M15" s="423" t="str">
        <v>U4</v>
      </c>
      <c r="N15" s="427">
        <v>41899</v>
      </c>
      <c r="O15" s="423" t="str">
        <v>FSSU4</v>
      </c>
      <c r="P15" s="426" t="s">
        <v>233</v>
      </c>
      <c r="Q15" s="423" t="s">
        <v>233</v>
      </c>
      <c r="R15" s="423" t="s">
        <v>233</v>
      </c>
      <c r="S15" s="423" t="s">
        <v>233</v>
      </c>
      <c r="T15" s="423" t="s">
        <v>233</v>
      </c>
      <c r="U15" s="422" t="e">
        <f>_xll.qlMidSafe($Q15,$R15)</f>
        <v>#NUM!</v>
      </c>
      <c r="V15" s="416"/>
      <c r="W15" s="425" t="e">
        <v>#NUM!</v>
      </c>
      <c r="X15" s="416"/>
      <c r="Y15" s="424" t="e">
        <v>#NUM!</v>
      </c>
      <c r="Z15" s="422" t="e">
        <f>_xll.qlSimpleQuoteSetValue(F15,Y15,Trigger)</f>
        <v>#NUM!</v>
      </c>
      <c r="AA15" s="137"/>
      <c r="AF15" s="412" t="e">
        <f t="shared" si="0"/>
        <v>#VALUE!</v>
      </c>
      <c r="AH15" s="143"/>
      <c r="AI15" s="142">
        <v>9</v>
      </c>
      <c r="AJ15" s="140" t="b">
        <v>0</v>
      </c>
      <c r="AK15" s="140" t="str">
        <v>U4</v>
      </c>
      <c r="AL15" s="251" t="str">
        <f t="shared" si="2"/>
        <v>GBPFUT3MU4ConvAdj_Quote</v>
      </c>
      <c r="AM15" s="250" t="str">
        <f>_xll.qlFuturesConvAdjustmentQuote(AL15,IborIndex,AK15,F15,Volatility,MeanReversion,Permanent,ISERROR(Z15),ObjectOverwrite)</f>
        <v>GBPFUT3MU4ConvAdj_Quote#0002</v>
      </c>
      <c r="AN15" s="72" t="str">
        <f>_xll.ohRangeRetrieveError(AM15)</f>
        <v/>
      </c>
    </row>
    <row r="16" spans="1:40" x14ac:dyDescent="0.2">
      <c r="A16" s="143"/>
      <c r="B16" s="142">
        <v>10</v>
      </c>
      <c r="C16" s="141" t="b">
        <v>0</v>
      </c>
      <c r="D16" s="140" t="str">
        <v>V4</v>
      </c>
      <c r="E16" s="139" t="str">
        <f t="shared" si="1"/>
        <v>GBPFUT3MV4_Quote</v>
      </c>
      <c r="F16" s="138" t="str">
        <f>_xll.qlSimpleQuote(E16,,PriceTickValue,Permanent,Trigger,ObjectOverwrite)</f>
        <v>GBPFUT3MV4_Quote#0000</v>
      </c>
      <c r="G16" s="101" t="str">
        <f>_xll.ohRangeRetrieveError(F16)</f>
        <v/>
      </c>
      <c r="H16" s="137"/>
      <c r="J16" s="143"/>
      <c r="K16" s="429">
        <v>10</v>
      </c>
      <c r="L16" s="428" t="b">
        <v>0</v>
      </c>
      <c r="M16" s="423" t="str">
        <v>V4</v>
      </c>
      <c r="N16" s="427">
        <v>41927</v>
      </c>
      <c r="O16" s="423" t="str">
        <v>FSSV4</v>
      </c>
      <c r="P16" s="426" t="s">
        <v>233</v>
      </c>
      <c r="Q16" s="423" t="s">
        <v>233</v>
      </c>
      <c r="R16" s="423" t="s">
        <v>233</v>
      </c>
      <c r="S16" s="423" t="s">
        <v>233</v>
      </c>
      <c r="T16" s="423" t="s">
        <v>233</v>
      </c>
      <c r="U16" s="422" t="e">
        <f>_xll.qlMidSafe($Q16,$R16)</f>
        <v>#NUM!</v>
      </c>
      <c r="V16" s="416"/>
      <c r="W16" s="425">
        <v>99.484999999999999</v>
      </c>
      <c r="X16" s="416"/>
      <c r="Y16" s="424" t="e">
        <v>#NUM!</v>
      </c>
      <c r="Z16" s="422" t="e">
        <f>_xll.qlSimpleQuoteSetValue(F16,Y16,Trigger)</f>
        <v>#NUM!</v>
      </c>
      <c r="AA16" s="137"/>
      <c r="AF16" s="412">
        <f t="shared" si="0"/>
        <v>9.9999999999909054E-5</v>
      </c>
      <c r="AH16" s="143"/>
      <c r="AI16" s="142">
        <v>10</v>
      </c>
      <c r="AJ16" s="140" t="b">
        <v>0</v>
      </c>
      <c r="AK16" s="140" t="str">
        <v>V4</v>
      </c>
      <c r="AL16" s="251" t="str">
        <f t="shared" si="2"/>
        <v>GBPFUT3MV4ConvAdj_Quote</v>
      </c>
      <c r="AM16" s="250" t="str">
        <f>_xll.qlFuturesConvAdjustmentQuote(AL16,IborIndex,AK16,F16,Volatility,MeanReversion,Permanent,ISERROR(Z16),ObjectOverwrite)</f>
        <v>GBPFUT3MV4ConvAdj_Quote#0002</v>
      </c>
      <c r="AN16" s="72" t="str">
        <f>_xll.ohRangeRetrieveError(AM16)</f>
        <v/>
      </c>
    </row>
    <row r="17" spans="1:40" x14ac:dyDescent="0.2">
      <c r="A17" s="143"/>
      <c r="B17" s="142">
        <v>11</v>
      </c>
      <c r="C17" s="141" t="b">
        <v>0</v>
      </c>
      <c r="D17" s="140" t="str">
        <v>X4</v>
      </c>
      <c r="E17" s="139" t="str">
        <f t="shared" si="1"/>
        <v>GBPFUT3MX4_Quote</v>
      </c>
      <c r="F17" s="138" t="str">
        <f>_xll.qlSimpleQuote(E17,,PriceTickValue,Permanent,Trigger,ObjectOverwrite)</f>
        <v>GBPFUT3MX4_Quote#0000</v>
      </c>
      <c r="G17" s="101" t="str">
        <f>_xll.ohRangeRetrieveError(F17)</f>
        <v/>
      </c>
      <c r="H17" s="137"/>
      <c r="J17" s="143"/>
      <c r="K17" s="429">
        <v>11</v>
      </c>
      <c r="L17" s="428" t="b">
        <v>0</v>
      </c>
      <c r="M17" s="423" t="str">
        <v>X4</v>
      </c>
      <c r="N17" s="427">
        <v>41962</v>
      </c>
      <c r="O17" s="423" t="str">
        <v>FSSX4</v>
      </c>
      <c r="P17" s="426">
        <v>41626</v>
      </c>
      <c r="Q17" s="423">
        <v>99.43</v>
      </c>
      <c r="R17" s="423">
        <v>99.44</v>
      </c>
      <c r="S17" s="423">
        <v>99.43</v>
      </c>
      <c r="T17" s="423">
        <v>99.444999999999993</v>
      </c>
      <c r="U17" s="422">
        <f>_xll.qlMidSafe($Q17,$R17)</f>
        <v>99.435000000000002</v>
      </c>
      <c r="V17" s="416"/>
      <c r="W17" s="425" t="e">
        <v>#NUM!</v>
      </c>
      <c r="X17" s="416"/>
      <c r="Y17" s="424">
        <v>99.435000000000002</v>
      </c>
      <c r="Z17" s="422" t="e">
        <f>_xll.qlSimpleQuoteSetValue(F17,Y17,Trigger)</f>
        <v>#N/A</v>
      </c>
      <c r="AA17" s="137"/>
      <c r="AF17" s="412" t="e">
        <f t="shared" si="0"/>
        <v>#VALUE!</v>
      </c>
      <c r="AH17" s="143"/>
      <c r="AI17" s="142">
        <v>11</v>
      </c>
      <c r="AJ17" s="140" t="b">
        <v>0</v>
      </c>
      <c r="AK17" s="140" t="str">
        <v>X4</v>
      </c>
      <c r="AL17" s="251" t="str">
        <f t="shared" si="2"/>
        <v>GBPFUT3MX4ConvAdj_Quote</v>
      </c>
      <c r="AM17" s="250" t="str">
        <f>_xll.qlFuturesConvAdjustmentQuote(AL17,IborIndex,AK17,F17,Volatility,MeanReversion,Permanent,ISERROR(Z17),ObjectOverwrite)</f>
        <v>GBPFUT3MX4ConvAdj_Quote#0002</v>
      </c>
      <c r="AN17" s="72" t="str">
        <f>_xll.ohRangeRetrieveError(AM17)</f>
        <v/>
      </c>
    </row>
    <row r="18" spans="1:40" x14ac:dyDescent="0.2">
      <c r="A18" s="143"/>
      <c r="B18" s="142">
        <v>12</v>
      </c>
      <c r="C18" s="141" t="b">
        <v>0</v>
      </c>
      <c r="D18" s="140" t="str">
        <v>Z4</v>
      </c>
      <c r="E18" s="139" t="str">
        <f t="shared" si="1"/>
        <v>GBPFUT3MZ4_Quote</v>
      </c>
      <c r="F18" s="138" t="str">
        <f>_xll.qlSimpleQuote(E18,,PriceTickValue,Permanent,Trigger,ObjectOverwrite)</f>
        <v>GBPFUT3MZ4_Quote#0000</v>
      </c>
      <c r="G18" s="101" t="str">
        <f>_xll.ohRangeRetrieveError(F18)</f>
        <v/>
      </c>
      <c r="H18" s="137"/>
      <c r="J18" s="143"/>
      <c r="K18" s="429">
        <v>12</v>
      </c>
      <c r="L18" s="428" t="b">
        <v>0</v>
      </c>
      <c r="M18" s="423" t="str">
        <v>Z4</v>
      </c>
      <c r="N18" s="427">
        <v>41990</v>
      </c>
      <c r="O18" s="423" t="str">
        <v>FSSZ4</v>
      </c>
      <c r="P18" s="426" t="s">
        <v>233</v>
      </c>
      <c r="Q18" s="423" t="s">
        <v>233</v>
      </c>
      <c r="R18" s="423" t="s">
        <v>233</v>
      </c>
      <c r="S18" s="423" t="s">
        <v>233</v>
      </c>
      <c r="T18" s="423" t="s">
        <v>233</v>
      </c>
      <c r="U18" s="422" t="e">
        <f>_xll.qlMidSafe($Q18,$R18)</f>
        <v>#NUM!</v>
      </c>
      <c r="V18" s="416"/>
      <c r="W18" s="425" t="e">
        <v>#NUM!</v>
      </c>
      <c r="X18" s="416"/>
      <c r="Y18" s="424" t="e">
        <v>#NUM!</v>
      </c>
      <c r="Z18" s="422" t="e">
        <f>_xll.qlSimpleQuoteSetValue(F18,Y18,Trigger)</f>
        <v>#NUM!</v>
      </c>
      <c r="AA18" s="137"/>
      <c r="AF18" s="412">
        <f t="shared" si="0"/>
        <v>9.9999999999909054E-5</v>
      </c>
      <c r="AH18" s="143"/>
      <c r="AI18" s="142">
        <v>12</v>
      </c>
      <c r="AJ18" s="140" t="b">
        <v>0</v>
      </c>
      <c r="AK18" s="140" t="str">
        <v>Z4</v>
      </c>
      <c r="AL18" s="251" t="str">
        <f t="shared" si="2"/>
        <v>GBPFUT3MZ4ConvAdj_Quote</v>
      </c>
      <c r="AM18" s="250" t="str">
        <f>_xll.qlFuturesConvAdjustmentQuote(AL18,IborIndex,AK18,F18,Volatility,MeanReversion,Permanent,ISERROR(Z18),ObjectOverwrite)</f>
        <v>GBPFUT3MZ4ConvAdj_Quote#0002</v>
      </c>
      <c r="AN18" s="72" t="str">
        <f>_xll.ohRangeRetrieveError(AM18)</f>
        <v/>
      </c>
    </row>
    <row r="19" spans="1:40" x14ac:dyDescent="0.2">
      <c r="A19" s="143"/>
      <c r="B19" s="142">
        <v>13</v>
      </c>
      <c r="C19" s="141" t="b">
        <v>1</v>
      </c>
      <c r="D19" s="140" t="str">
        <v>H5</v>
      </c>
      <c r="E19" s="139" t="str">
        <f t="shared" si="1"/>
        <v>GBPFUT3MH5_Quote</v>
      </c>
      <c r="F19" s="138" t="str">
        <f>_xll.qlSimpleQuote(E19,,PriceTickValue,Permanent,Trigger,ObjectOverwrite)</f>
        <v>GBPFUT3MH5_Quote#0000</v>
      </c>
      <c r="G19" s="101" t="str">
        <f>_xll.ohRangeRetrieveError(F19)</f>
        <v/>
      </c>
      <c r="H19" s="137"/>
      <c r="J19" s="143"/>
      <c r="K19" s="429">
        <v>13</v>
      </c>
      <c r="L19" s="428" t="b">
        <v>1</v>
      </c>
      <c r="M19" s="423" t="str">
        <v>H5</v>
      </c>
      <c r="N19" s="427">
        <v>42081</v>
      </c>
      <c r="O19" s="423" t="str">
        <v>FSSH5</v>
      </c>
      <c r="P19" s="426">
        <v>41717</v>
      </c>
      <c r="Q19" s="423">
        <v>99.4</v>
      </c>
      <c r="R19" s="423">
        <v>99.41</v>
      </c>
      <c r="S19" s="423">
        <v>99.41</v>
      </c>
      <c r="T19" s="423">
        <v>99.415000000000006</v>
      </c>
      <c r="U19" s="422">
        <f>_xll.qlMidSafe($Q19,$R19)</f>
        <v>99.405000000000001</v>
      </c>
      <c r="V19" s="416"/>
      <c r="W19" s="425">
        <v>99.474999999999994</v>
      </c>
      <c r="X19" s="416"/>
      <c r="Y19" s="424">
        <v>99.405000000000001</v>
      </c>
      <c r="Z19" s="422" t="e">
        <f>_xll.qlSimpleQuoteSetValue(F19,Y19,Trigger)</f>
        <v>#N/A</v>
      </c>
      <c r="AA19" s="137"/>
      <c r="AF19" s="412">
        <f t="shared" si="0"/>
        <v>1.0000000000019326E-4</v>
      </c>
      <c r="AH19" s="143"/>
      <c r="AI19" s="142">
        <v>13</v>
      </c>
      <c r="AJ19" s="140" t="b">
        <v>1</v>
      </c>
      <c r="AK19" s="140" t="str">
        <v>H5</v>
      </c>
      <c r="AL19" s="251" t="str">
        <f t="shared" si="2"/>
        <v>GBPFUT3MH5ConvAdj_Quote</v>
      </c>
      <c r="AM19" s="250" t="str">
        <f>_xll.qlFuturesConvAdjustmentQuote(AL19,IborIndex,AK19,F19,Volatility,MeanReversion,Permanent,ISERROR(Z19),ObjectOverwrite)</f>
        <v>GBPFUT3MH5ConvAdj_Quote#0002</v>
      </c>
      <c r="AN19" s="72" t="str">
        <f>_xll.ohRangeRetrieveError(AM19)</f>
        <v/>
      </c>
    </row>
    <row r="20" spans="1:40" x14ac:dyDescent="0.2">
      <c r="A20" s="143"/>
      <c r="B20" s="142">
        <v>14</v>
      </c>
      <c r="C20" s="141" t="b">
        <v>1</v>
      </c>
      <c r="D20" s="140" t="str">
        <v>M5</v>
      </c>
      <c r="E20" s="139" t="str">
        <f t="shared" si="1"/>
        <v>GBPFUT3MM5_Quote</v>
      </c>
      <c r="F20" s="138" t="str">
        <f>_xll.qlSimpleQuote(E20,,PriceTickValue,Permanent,Trigger,ObjectOverwrite)</f>
        <v>GBPFUT3MM5_Quote#0000</v>
      </c>
      <c r="G20" s="101" t="str">
        <f>_xll.ohRangeRetrieveError(F20)</f>
        <v/>
      </c>
      <c r="H20" s="137"/>
      <c r="J20" s="143"/>
      <c r="K20" s="429">
        <v>14</v>
      </c>
      <c r="L20" s="428" t="b">
        <v>1</v>
      </c>
      <c r="M20" s="423" t="str">
        <v>M5</v>
      </c>
      <c r="N20" s="427">
        <v>42172</v>
      </c>
      <c r="O20" s="423" t="str">
        <v>FSSM5</v>
      </c>
      <c r="P20" s="426">
        <v>41808</v>
      </c>
      <c r="Q20" s="423">
        <v>99.35</v>
      </c>
      <c r="R20" s="423">
        <v>99.36</v>
      </c>
      <c r="S20" s="423">
        <v>99.36</v>
      </c>
      <c r="T20" s="423">
        <v>99.364999999999995</v>
      </c>
      <c r="U20" s="422">
        <f>_xll.qlMidSafe($Q20,$R20)</f>
        <v>99.35499999999999</v>
      </c>
      <c r="V20" s="416"/>
      <c r="W20" s="425">
        <v>99.454999999999998</v>
      </c>
      <c r="X20" s="416"/>
      <c r="Y20" s="424">
        <v>99.35499999999999</v>
      </c>
      <c r="Z20" s="422" t="e">
        <f>_xll.qlSimpleQuoteSetValue(F20,Y20,Trigger)</f>
        <v>#N/A</v>
      </c>
      <c r="AA20" s="137"/>
      <c r="AF20" s="412">
        <f t="shared" si="0"/>
        <v>9.9999999999909054E-5</v>
      </c>
      <c r="AH20" s="143"/>
      <c r="AI20" s="142">
        <v>14</v>
      </c>
      <c r="AJ20" s="140" t="b">
        <v>1</v>
      </c>
      <c r="AK20" s="140" t="str">
        <v>M5</v>
      </c>
      <c r="AL20" s="251" t="str">
        <f t="shared" si="2"/>
        <v>GBPFUT3MM5ConvAdj_Quote</v>
      </c>
      <c r="AM20" s="250" t="str">
        <f>_xll.qlFuturesConvAdjustmentQuote(AL20,IborIndex,AK20,F20,Volatility,MeanReversion,Permanent,ISERROR(Z20),ObjectOverwrite)</f>
        <v>GBPFUT3MM5ConvAdj_Quote#0002</v>
      </c>
      <c r="AN20" s="72" t="str">
        <f>_xll.ohRangeRetrieveError(AM20)</f>
        <v/>
      </c>
    </row>
    <row r="21" spans="1:40" x14ac:dyDescent="0.2">
      <c r="A21" s="143"/>
      <c r="B21" s="142">
        <v>15</v>
      </c>
      <c r="C21" s="141" t="b">
        <v>1</v>
      </c>
      <c r="D21" s="140" t="str">
        <v>U5</v>
      </c>
      <c r="E21" s="139" t="str">
        <f t="shared" si="1"/>
        <v>GBPFUT3MU5_Quote</v>
      </c>
      <c r="F21" s="138" t="str">
        <f>_xll.qlSimpleQuote(E21,,PriceTickValue,Permanent,Trigger,ObjectOverwrite)</f>
        <v>GBPFUT3MU5_Quote#0000</v>
      </c>
      <c r="G21" s="101" t="str">
        <f>_xll.ohRangeRetrieveError(F21)</f>
        <v/>
      </c>
      <c r="H21" s="137"/>
      <c r="J21" s="143"/>
      <c r="K21" s="429">
        <v>15</v>
      </c>
      <c r="L21" s="428" t="b">
        <v>1</v>
      </c>
      <c r="M21" s="423" t="str">
        <v>U5</v>
      </c>
      <c r="N21" s="427">
        <v>42263</v>
      </c>
      <c r="O21" s="423" t="str">
        <v>FSSU5</v>
      </c>
      <c r="P21" s="426">
        <v>41899</v>
      </c>
      <c r="Q21" s="423">
        <v>99.3</v>
      </c>
      <c r="R21" s="423">
        <v>99.31</v>
      </c>
      <c r="S21" s="423">
        <v>99.3</v>
      </c>
      <c r="T21" s="423">
        <v>99.31</v>
      </c>
      <c r="U21" s="422">
        <f>_xll.qlMidSafe($Q21,$R21)</f>
        <v>99.305000000000007</v>
      </c>
      <c r="V21" s="416"/>
      <c r="W21" s="425">
        <v>99.415000000000006</v>
      </c>
      <c r="X21" s="416"/>
      <c r="Y21" s="424">
        <v>99.305000000000007</v>
      </c>
      <c r="Z21" s="422" t="e">
        <f>_xll.qlSimpleQuoteSetValue(F21,Y21,Trigger)</f>
        <v>#N/A</v>
      </c>
      <c r="AA21" s="137"/>
      <c r="AF21" s="412">
        <f t="shared" si="0"/>
        <v>9.9999999999909054E-5</v>
      </c>
      <c r="AH21" s="143"/>
      <c r="AI21" s="142">
        <v>15</v>
      </c>
      <c r="AJ21" s="140" t="b">
        <v>1</v>
      </c>
      <c r="AK21" s="140" t="str">
        <v>U5</v>
      </c>
      <c r="AL21" s="251" t="str">
        <f t="shared" si="2"/>
        <v>GBPFUT3MU5ConvAdj_Quote</v>
      </c>
      <c r="AM21" s="250" t="str">
        <f>_xll.qlFuturesConvAdjustmentQuote(AL21,IborIndex,AK21,F21,Volatility,MeanReversion,Permanent,ISERROR(Z21),ObjectOverwrite)</f>
        <v>GBPFUT3MU5ConvAdj_Quote#0002</v>
      </c>
      <c r="AN21" s="72" t="str">
        <f>_xll.ohRangeRetrieveError(AM21)</f>
        <v/>
      </c>
    </row>
    <row r="22" spans="1:40" x14ac:dyDescent="0.2">
      <c r="A22" s="143"/>
      <c r="B22" s="142">
        <v>16</v>
      </c>
      <c r="C22" s="141" t="b">
        <v>1</v>
      </c>
      <c r="D22" s="140" t="str">
        <v>Z5</v>
      </c>
      <c r="E22" s="139" t="str">
        <f t="shared" si="1"/>
        <v>GBPFUT3MZ5_Quote</v>
      </c>
      <c r="F22" s="138" t="str">
        <f>_xll.qlSimpleQuote(E22,,PriceTickValue,Permanent,Trigger,ObjectOverwrite)</f>
        <v>GBPFUT3MZ5_Quote#0000</v>
      </c>
      <c r="G22" s="101" t="str">
        <f>_xll.ohRangeRetrieveError(F22)</f>
        <v/>
      </c>
      <c r="H22" s="137"/>
      <c r="J22" s="143"/>
      <c r="K22" s="429">
        <v>16</v>
      </c>
      <c r="L22" s="428" t="b">
        <v>1</v>
      </c>
      <c r="M22" s="423" t="str">
        <v>Z5</v>
      </c>
      <c r="N22" s="427">
        <v>42354</v>
      </c>
      <c r="O22" s="423" t="str">
        <v>FSSZ5</v>
      </c>
      <c r="P22" s="426">
        <v>41990</v>
      </c>
      <c r="Q22" s="423">
        <v>99.23</v>
      </c>
      <c r="R22" s="423">
        <v>99.24</v>
      </c>
      <c r="S22" s="423">
        <v>99.23</v>
      </c>
      <c r="T22" s="423">
        <v>99.245000000000005</v>
      </c>
      <c r="U22" s="422">
        <f>_xll.qlMidSafe($Q22,$R22)</f>
        <v>99.234999999999999</v>
      </c>
      <c r="V22" s="416"/>
      <c r="W22" s="425">
        <v>99.375</v>
      </c>
      <c r="X22" s="416"/>
      <c r="Y22" s="424">
        <v>99.234999999999999</v>
      </c>
      <c r="Z22" s="422" t="e">
        <f>_xll.qlSimpleQuoteSetValue(F22,Y22,Trigger)</f>
        <v>#N/A</v>
      </c>
      <c r="AA22" s="137"/>
      <c r="AF22" s="412">
        <f t="shared" si="0"/>
        <v>1.0000000000019326E-4</v>
      </c>
      <c r="AH22" s="143"/>
      <c r="AI22" s="142">
        <v>16</v>
      </c>
      <c r="AJ22" s="140" t="b">
        <v>1</v>
      </c>
      <c r="AK22" s="140" t="str">
        <v>Z5</v>
      </c>
      <c r="AL22" s="251" t="str">
        <f t="shared" si="2"/>
        <v>GBPFUT3MZ5ConvAdj_Quote</v>
      </c>
      <c r="AM22" s="250" t="str">
        <f>_xll.qlFuturesConvAdjustmentQuote(AL22,IborIndex,AK22,F22,Volatility,MeanReversion,Permanent,ISERROR(Z22),ObjectOverwrite)</f>
        <v>GBPFUT3MZ5ConvAdj_Quote#0002</v>
      </c>
      <c r="AN22" s="72" t="str">
        <f>_xll.ohRangeRetrieveError(AM22)</f>
        <v/>
      </c>
    </row>
    <row r="23" spans="1:40" x14ac:dyDescent="0.2">
      <c r="A23" s="143"/>
      <c r="B23" s="142">
        <v>17</v>
      </c>
      <c r="C23" s="141" t="b">
        <v>1</v>
      </c>
      <c r="D23" s="140" t="str">
        <v>H6</v>
      </c>
      <c r="E23" s="139" t="str">
        <f t="shared" si="1"/>
        <v>GBPFUT3MH6_Quote</v>
      </c>
      <c r="F23" s="138" t="str">
        <f>_xll.qlSimpleQuote(E23,,PriceTickValue,Permanent,Trigger,ObjectOverwrite)</f>
        <v>GBPFUT3MH6_Quote#0000</v>
      </c>
      <c r="G23" s="101" t="str">
        <f>_xll.ohRangeRetrieveError(F23)</f>
        <v/>
      </c>
      <c r="H23" s="137"/>
      <c r="J23" s="143"/>
      <c r="K23" s="429">
        <v>17</v>
      </c>
      <c r="L23" s="428" t="b">
        <v>1</v>
      </c>
      <c r="M23" s="423" t="str">
        <v>H6</v>
      </c>
      <c r="N23" s="427">
        <v>42445</v>
      </c>
      <c r="O23" s="423" t="str">
        <v>FSSH6</v>
      </c>
      <c r="P23" s="426">
        <v>42081</v>
      </c>
      <c r="Q23" s="423">
        <v>99.16</v>
      </c>
      <c r="R23" s="423">
        <v>99.17</v>
      </c>
      <c r="S23" s="423">
        <v>99.16</v>
      </c>
      <c r="T23" s="423">
        <v>99.17</v>
      </c>
      <c r="U23" s="422">
        <f>_xll.qlMidSafe($Q23,$R23)</f>
        <v>99.164999999999992</v>
      </c>
      <c r="V23" s="416"/>
      <c r="W23" s="425">
        <v>99.325000000000003</v>
      </c>
      <c r="X23" s="416"/>
      <c r="Y23" s="424">
        <v>99.164999999999992</v>
      </c>
      <c r="Z23" s="422" t="e">
        <f>_xll.qlSimpleQuoteSetValue(F23,Y23,Trigger)</f>
        <v>#N/A</v>
      </c>
      <c r="AA23" s="137"/>
      <c r="AF23" s="412">
        <f t="shared" si="0"/>
        <v>1.0000000000019326E-4</v>
      </c>
      <c r="AH23" s="143"/>
      <c r="AI23" s="142">
        <v>17</v>
      </c>
      <c r="AJ23" s="140" t="b">
        <v>1</v>
      </c>
      <c r="AK23" s="140" t="str">
        <v>H6</v>
      </c>
      <c r="AL23" s="251" t="str">
        <f t="shared" si="2"/>
        <v>GBPFUT3MH6ConvAdj_Quote</v>
      </c>
      <c r="AM23" s="250" t="str">
        <f>_xll.qlFuturesConvAdjustmentQuote(AL23,IborIndex,AK23,F23,Volatility,MeanReversion,Permanent,ISERROR(Z23),ObjectOverwrite)</f>
        <v>GBPFUT3MH6ConvAdj_Quote#0002</v>
      </c>
      <c r="AN23" s="72" t="str">
        <f>_xll.ohRangeRetrieveError(AM23)</f>
        <v/>
      </c>
    </row>
    <row r="24" spans="1:40" x14ac:dyDescent="0.2">
      <c r="A24" s="143"/>
      <c r="B24" s="142">
        <v>18</v>
      </c>
      <c r="C24" s="141" t="b">
        <v>1</v>
      </c>
      <c r="D24" s="140" t="str">
        <v>M6</v>
      </c>
      <c r="E24" s="139" t="str">
        <f t="shared" si="1"/>
        <v>GBPFUT3MM6_Quote</v>
      </c>
      <c r="F24" s="138" t="str">
        <f>_xll.qlSimpleQuote(E24,,PriceTickValue,Permanent,Trigger,ObjectOverwrite)</f>
        <v>GBPFUT3MM6_Quote#0000</v>
      </c>
      <c r="G24" s="101" t="str">
        <f>_xll.ohRangeRetrieveError(F24)</f>
        <v/>
      </c>
      <c r="H24" s="137"/>
      <c r="J24" s="143"/>
      <c r="K24" s="429">
        <v>18</v>
      </c>
      <c r="L24" s="428" t="b">
        <v>1</v>
      </c>
      <c r="M24" s="423" t="str">
        <v>M6</v>
      </c>
      <c r="N24" s="427">
        <v>42536</v>
      </c>
      <c r="O24" s="423" t="str">
        <v>FSSM6</v>
      </c>
      <c r="P24" s="426">
        <v>42172</v>
      </c>
      <c r="Q24" s="423">
        <v>99.07</v>
      </c>
      <c r="R24" s="423">
        <v>99.08</v>
      </c>
      <c r="S24" s="423">
        <v>99.08</v>
      </c>
      <c r="T24" s="423">
        <v>99.084999999999994</v>
      </c>
      <c r="U24" s="422">
        <f>_xll.qlMidSafe($Q24,$R24)</f>
        <v>99.074999999999989</v>
      </c>
      <c r="V24" s="416"/>
      <c r="W24" s="425">
        <v>99.275000000000006</v>
      </c>
      <c r="X24" s="416"/>
      <c r="Y24" s="424">
        <v>99.074999999999989</v>
      </c>
      <c r="Z24" s="422" t="e">
        <f>_xll.qlSimpleQuoteSetValue(F24,Y24,Trigger)</f>
        <v>#N/A</v>
      </c>
      <c r="AA24" s="137"/>
      <c r="AF24" s="412">
        <f t="shared" si="0"/>
        <v>1.0000000000019326E-4</v>
      </c>
      <c r="AH24" s="143"/>
      <c r="AI24" s="142">
        <v>18</v>
      </c>
      <c r="AJ24" s="140" t="b">
        <v>1</v>
      </c>
      <c r="AK24" s="140" t="str">
        <v>M6</v>
      </c>
      <c r="AL24" s="251" t="str">
        <f t="shared" si="2"/>
        <v>GBPFUT3MM6ConvAdj_Quote</v>
      </c>
      <c r="AM24" s="250" t="str">
        <f>_xll.qlFuturesConvAdjustmentQuote(AL24,IborIndex,AK24,F24,Volatility,MeanReversion,Permanent,ISERROR(Z24),ObjectOverwrite)</f>
        <v>GBPFUT3MM6ConvAdj_Quote#0002</v>
      </c>
      <c r="AN24" s="72" t="str">
        <f>_xll.ohRangeRetrieveError(AM24)</f>
        <v/>
      </c>
    </row>
    <row r="25" spans="1:40" x14ac:dyDescent="0.2">
      <c r="A25" s="143"/>
      <c r="B25" s="142">
        <v>19</v>
      </c>
      <c r="C25" s="141" t="b">
        <v>1</v>
      </c>
      <c r="D25" s="140" t="str">
        <v>U6</v>
      </c>
      <c r="E25" s="139" t="str">
        <f t="shared" si="1"/>
        <v>GBPFUT3MU6_Quote</v>
      </c>
      <c r="F25" s="138" t="str">
        <f>_xll.qlSimpleQuote(E25,,PriceTickValue,Permanent,Trigger,ObjectOverwrite)</f>
        <v>GBPFUT3MU6_Quote#0000</v>
      </c>
      <c r="G25" s="101" t="str">
        <f>_xll.ohRangeRetrieveError(F25)</f>
        <v/>
      </c>
      <c r="H25" s="137"/>
      <c r="J25" s="143"/>
      <c r="K25" s="429">
        <v>19</v>
      </c>
      <c r="L25" s="428" t="b">
        <v>1</v>
      </c>
      <c r="M25" s="423" t="str">
        <v>U6</v>
      </c>
      <c r="N25" s="427">
        <v>42634</v>
      </c>
      <c r="O25" s="423" t="str">
        <v>FSSU6</v>
      </c>
      <c r="P25" s="426">
        <v>42263</v>
      </c>
      <c r="Q25" s="423">
        <v>98.97</v>
      </c>
      <c r="R25" s="423">
        <v>98.98</v>
      </c>
      <c r="S25" s="423">
        <v>98.98</v>
      </c>
      <c r="T25" s="423">
        <v>98.99</v>
      </c>
      <c r="U25" s="422">
        <f>_xll.qlMidSafe($Q25,$R25)</f>
        <v>98.974999999999994</v>
      </c>
      <c r="V25" s="416"/>
      <c r="W25" s="425">
        <v>99.204999999999998</v>
      </c>
      <c r="X25" s="416"/>
      <c r="Y25" s="424">
        <v>98.974999999999994</v>
      </c>
      <c r="Z25" s="422" t="e">
        <f>_xll.qlSimpleQuoteSetValue(F25,Y25,Trigger)</f>
        <v>#N/A</v>
      </c>
      <c r="AA25" s="137"/>
      <c r="AF25" s="412">
        <f t="shared" si="0"/>
        <v>9.9999999999909054E-5</v>
      </c>
      <c r="AH25" s="143"/>
      <c r="AI25" s="142">
        <v>19</v>
      </c>
      <c r="AJ25" s="140" t="b">
        <v>1</v>
      </c>
      <c r="AK25" s="140" t="str">
        <v>U6</v>
      </c>
      <c r="AL25" s="251" t="str">
        <f t="shared" si="2"/>
        <v>GBPFUT3MU6ConvAdj_Quote</v>
      </c>
      <c r="AM25" s="250" t="str">
        <f>_xll.qlFuturesConvAdjustmentQuote(AL25,IborIndex,AK25,F25,Volatility,MeanReversion,Permanent,ISERROR(Z25),ObjectOverwrite)</f>
        <v>GBPFUT3MU6ConvAdj_Quote#0002</v>
      </c>
      <c r="AN25" s="72" t="str">
        <f>_xll.ohRangeRetrieveError(AM25)</f>
        <v/>
      </c>
    </row>
    <row r="26" spans="1:40" x14ac:dyDescent="0.2">
      <c r="A26" s="143"/>
      <c r="B26" s="142">
        <v>20</v>
      </c>
      <c r="C26" s="141" t="b">
        <v>1</v>
      </c>
      <c r="D26" s="140" t="str">
        <v>Z6</v>
      </c>
      <c r="E26" s="139" t="str">
        <f t="shared" si="1"/>
        <v>GBPFUT3MZ6_Quote</v>
      </c>
      <c r="F26" s="138" t="str">
        <f>_xll.qlSimpleQuote(E26,,PriceTickValue,Permanent,Trigger,ObjectOverwrite)</f>
        <v>GBPFUT3MZ6_Quote#0000</v>
      </c>
      <c r="G26" s="101" t="str">
        <f>_xll.ohRangeRetrieveError(F26)</f>
        <v/>
      </c>
      <c r="H26" s="137"/>
      <c r="J26" s="143"/>
      <c r="K26" s="429">
        <v>20</v>
      </c>
      <c r="L26" s="428" t="b">
        <v>1</v>
      </c>
      <c r="M26" s="423" t="str">
        <v>Z6</v>
      </c>
      <c r="N26" s="427">
        <v>42725</v>
      </c>
      <c r="O26" s="423" t="str">
        <v>FSSZ6</v>
      </c>
      <c r="P26" s="426">
        <v>42354</v>
      </c>
      <c r="Q26" s="423">
        <v>98.86</v>
      </c>
      <c r="R26" s="423">
        <v>98.87</v>
      </c>
      <c r="S26" s="423">
        <v>98.87</v>
      </c>
      <c r="T26" s="423">
        <v>98.875</v>
      </c>
      <c r="U26" s="422">
        <f>_xll.qlMidSafe($Q26,$R26)</f>
        <v>98.865000000000009</v>
      </c>
      <c r="V26" s="416"/>
      <c r="W26" s="425">
        <v>99.135000000000005</v>
      </c>
      <c r="X26" s="416"/>
      <c r="Y26" s="424">
        <v>98.865000000000009</v>
      </c>
      <c r="Z26" s="422" t="e">
        <f>_xll.qlSimpleQuoteSetValue(F26,Y26,Trigger)</f>
        <v>#N/A</v>
      </c>
      <c r="AA26" s="137"/>
      <c r="AF26" s="412">
        <f t="shared" si="0"/>
        <v>1.0000000000019326E-4</v>
      </c>
      <c r="AH26" s="143"/>
      <c r="AI26" s="142">
        <v>20</v>
      </c>
      <c r="AJ26" s="140" t="b">
        <v>1</v>
      </c>
      <c r="AK26" s="140" t="str">
        <v>Z6</v>
      </c>
      <c r="AL26" s="251" t="str">
        <f t="shared" si="2"/>
        <v>GBPFUT3MZ6ConvAdj_Quote</v>
      </c>
      <c r="AM26" s="250" t="str">
        <f>_xll.qlFuturesConvAdjustmentQuote(AL26,IborIndex,AK26,F26,Volatility,MeanReversion,Permanent,ISERROR(Z26),ObjectOverwrite)</f>
        <v>GBPFUT3MZ6ConvAdj_Quote#0002</v>
      </c>
      <c r="AN26" s="72" t="str">
        <f>_xll.ohRangeRetrieveError(AM26)</f>
        <v/>
      </c>
    </row>
    <row r="27" spans="1:40" x14ac:dyDescent="0.2">
      <c r="A27" s="143"/>
      <c r="B27" s="142">
        <v>21</v>
      </c>
      <c r="C27" s="141" t="b">
        <v>1</v>
      </c>
      <c r="D27" s="140" t="str">
        <v>H7</v>
      </c>
      <c r="E27" s="139" t="str">
        <f t="shared" si="1"/>
        <v>GBPFUT3MH7_Quote</v>
      </c>
      <c r="F27" s="138" t="str">
        <f>_xll.qlSimpleQuote(E27,,PriceTickValue,Permanent,Trigger,ObjectOverwrite)</f>
        <v>GBPFUT3MH7_Quote#0000</v>
      </c>
      <c r="G27" s="101" t="str">
        <f>_xll.ohRangeRetrieveError(F27)</f>
        <v/>
      </c>
      <c r="H27" s="137"/>
      <c r="J27" s="143"/>
      <c r="K27" s="429">
        <v>21</v>
      </c>
      <c r="L27" s="428" t="b">
        <v>1</v>
      </c>
      <c r="M27" s="423" t="str">
        <v>H7</v>
      </c>
      <c r="N27" s="427">
        <v>42809</v>
      </c>
      <c r="O27" s="423" t="str">
        <v>FSSH7</v>
      </c>
      <c r="P27" s="426">
        <v>42445</v>
      </c>
      <c r="Q27" s="423">
        <v>98.75</v>
      </c>
      <c r="R27" s="423">
        <v>98.76</v>
      </c>
      <c r="S27" s="423">
        <v>98.76</v>
      </c>
      <c r="T27" s="423">
        <v>98.77</v>
      </c>
      <c r="U27" s="422">
        <f>_xll.qlMidSafe($Q27,$R27)</f>
        <v>98.754999999999995</v>
      </c>
      <c r="V27" s="416"/>
      <c r="W27" s="425">
        <v>99.04</v>
      </c>
      <c r="X27" s="416"/>
      <c r="Y27" s="424">
        <v>98.754999999999995</v>
      </c>
      <c r="Z27" s="422" t="e">
        <f>_xll.qlSimpleQuoteSetValue(F27,Y27,Trigger)</f>
        <v>#N/A</v>
      </c>
      <c r="AA27" s="137"/>
      <c r="AF27" s="412">
        <f t="shared" si="0"/>
        <v>1.0000000000019326E-4</v>
      </c>
      <c r="AH27" s="143"/>
      <c r="AI27" s="142">
        <v>21</v>
      </c>
      <c r="AJ27" s="140" t="b">
        <v>1</v>
      </c>
      <c r="AK27" s="140" t="str">
        <v>H7</v>
      </c>
      <c r="AL27" s="251" t="str">
        <f t="shared" si="2"/>
        <v>GBPFUT3MH7ConvAdj_Quote</v>
      </c>
      <c r="AM27" s="250" t="str">
        <f>_xll.qlFuturesConvAdjustmentQuote(AL27,IborIndex,AK27,F27,Volatility,MeanReversion,Permanent,ISERROR(Z27),ObjectOverwrite)</f>
        <v>GBPFUT3MH7ConvAdj_Quote#0002</v>
      </c>
      <c r="AN27" s="72" t="str">
        <f>_xll.ohRangeRetrieveError(AM27)</f>
        <v/>
      </c>
    </row>
    <row r="28" spans="1:40" x14ac:dyDescent="0.2">
      <c r="A28" s="143"/>
      <c r="B28" s="142">
        <v>22</v>
      </c>
      <c r="C28" s="141" t="b">
        <v>1</v>
      </c>
      <c r="D28" s="140" t="str">
        <v>M7</v>
      </c>
      <c r="E28" s="139" t="str">
        <f t="shared" si="1"/>
        <v>GBPFUT3MM7_Quote</v>
      </c>
      <c r="F28" s="138" t="str">
        <f>_xll.qlSimpleQuote(E28,,PriceTickValue,Permanent,Trigger,ObjectOverwrite)</f>
        <v>GBPFUT3MM7_Quote#0000</v>
      </c>
      <c r="G28" s="101" t="str">
        <f>_xll.ohRangeRetrieveError(F28)</f>
        <v/>
      </c>
      <c r="H28" s="137"/>
      <c r="J28" s="143"/>
      <c r="K28" s="429">
        <v>22</v>
      </c>
      <c r="L28" s="428" t="b">
        <v>1</v>
      </c>
      <c r="M28" s="423" t="str">
        <v>M7</v>
      </c>
      <c r="N28" s="427">
        <v>42907</v>
      </c>
      <c r="O28" s="423" t="str">
        <v>FSSM7</v>
      </c>
      <c r="P28" s="426">
        <v>42536</v>
      </c>
      <c r="Q28" s="423">
        <v>98.63</v>
      </c>
      <c r="R28" s="423">
        <v>98.64</v>
      </c>
      <c r="S28" s="423">
        <v>98.64</v>
      </c>
      <c r="T28" s="423">
        <v>98.65</v>
      </c>
      <c r="U28" s="422">
        <f>_xll.qlMidSafe($Q28,$R28)</f>
        <v>98.634999999999991</v>
      </c>
      <c r="V28" s="416"/>
      <c r="W28" s="425">
        <v>98.95</v>
      </c>
      <c r="X28" s="416"/>
      <c r="Y28" s="424">
        <v>98.634999999999991</v>
      </c>
      <c r="Z28" s="422" t="e">
        <f>_xll.qlSimpleQuoteSetValue(F28,Y28,Trigger)</f>
        <v>#N/A</v>
      </c>
      <c r="AA28" s="137"/>
      <c r="AF28" s="412">
        <f t="shared" si="0"/>
        <v>1.9999999999981811E-4</v>
      </c>
      <c r="AH28" s="143"/>
      <c r="AI28" s="142">
        <v>22</v>
      </c>
      <c r="AJ28" s="140" t="b">
        <v>1</v>
      </c>
      <c r="AK28" s="140" t="str">
        <v>M7</v>
      </c>
      <c r="AL28" s="251" t="str">
        <f t="shared" si="2"/>
        <v>GBPFUT3MM7ConvAdj_Quote</v>
      </c>
      <c r="AM28" s="250" t="str">
        <f>_xll.qlFuturesConvAdjustmentQuote(AL28,IborIndex,AK28,F28,Volatility,MeanReversion,Permanent,ISERROR(Z28),ObjectOverwrite)</f>
        <v>GBPFUT3MM7ConvAdj_Quote#0002</v>
      </c>
      <c r="AN28" s="72" t="str">
        <f>_xll.ohRangeRetrieveError(AM28)</f>
        <v/>
      </c>
    </row>
    <row r="29" spans="1:40" x14ac:dyDescent="0.2">
      <c r="A29" s="143"/>
      <c r="B29" s="142">
        <v>23</v>
      </c>
      <c r="C29" s="141" t="b">
        <v>1</v>
      </c>
      <c r="D29" s="140" t="str">
        <v>U7</v>
      </c>
      <c r="E29" s="139" t="str">
        <f t="shared" si="1"/>
        <v>GBPFUT3MU7_Quote</v>
      </c>
      <c r="F29" s="138" t="str">
        <f>_xll.qlSimpleQuote(E29,,PriceTickValue,Permanent,Trigger,ObjectOverwrite)</f>
        <v>GBPFUT3MU7_Quote#0000</v>
      </c>
      <c r="G29" s="101" t="str">
        <f>_xll.ohRangeRetrieveError(F29)</f>
        <v/>
      </c>
      <c r="H29" s="137"/>
      <c r="J29" s="143"/>
      <c r="K29" s="429">
        <v>23</v>
      </c>
      <c r="L29" s="428" t="b">
        <v>1</v>
      </c>
      <c r="M29" s="423" t="str">
        <v>U7</v>
      </c>
      <c r="N29" s="427">
        <v>42998</v>
      </c>
      <c r="O29" s="423" t="str">
        <v>FSSU7</v>
      </c>
      <c r="P29" s="426">
        <v>42634</v>
      </c>
      <c r="Q29" s="423">
        <v>98.51</v>
      </c>
      <c r="R29" s="423">
        <v>98.53</v>
      </c>
      <c r="S29" s="423">
        <v>98.53</v>
      </c>
      <c r="T29" s="423">
        <v>98.525000000000006</v>
      </c>
      <c r="U29" s="422">
        <f>_xll.qlMidSafe($Q29,$R29)</f>
        <v>98.52000000000001</v>
      </c>
      <c r="V29" s="416"/>
      <c r="W29" s="425">
        <v>98.84</v>
      </c>
      <c r="X29" s="416"/>
      <c r="Y29" s="424">
        <v>98.52000000000001</v>
      </c>
      <c r="Z29" s="422" t="e">
        <f>_xll.qlSimpleQuoteSetValue(F29,Y29,Trigger)</f>
        <v>#N/A</v>
      </c>
      <c r="AA29" s="137"/>
      <c r="AF29" s="412">
        <f t="shared" si="0"/>
        <v>2.0000000000010233E-4</v>
      </c>
      <c r="AH29" s="143"/>
      <c r="AI29" s="142">
        <v>23</v>
      </c>
      <c r="AJ29" s="140" t="b">
        <v>1</v>
      </c>
      <c r="AK29" s="140" t="str">
        <v>U7</v>
      </c>
      <c r="AL29" s="251" t="str">
        <f t="shared" si="2"/>
        <v>GBPFUT3MU7ConvAdj_Quote</v>
      </c>
      <c r="AM29" s="250" t="str">
        <f>_xll.qlFuturesConvAdjustmentQuote(AL29,IborIndex,AK29,F29,Volatility,MeanReversion,Permanent,ISERROR(Z29),ObjectOverwrite)</f>
        <v>GBPFUT3MU7ConvAdj_Quote#0002</v>
      </c>
      <c r="AN29" s="72" t="str">
        <f>_xll.ohRangeRetrieveError(AM29)</f>
        <v/>
      </c>
    </row>
    <row r="30" spans="1:40" x14ac:dyDescent="0.2">
      <c r="A30" s="143"/>
      <c r="B30" s="142">
        <v>24</v>
      </c>
      <c r="C30" s="141" t="b">
        <v>1</v>
      </c>
      <c r="D30" s="140" t="str">
        <v>Z7</v>
      </c>
      <c r="E30" s="139" t="str">
        <f t="shared" si="1"/>
        <v>GBPFUT3MZ7_Quote</v>
      </c>
      <c r="F30" s="138" t="str">
        <f>_xll.qlSimpleQuote(E30,,PriceTickValue,Permanent,Trigger,ObjectOverwrite)</f>
        <v>GBPFUT3MZ7_Quote#0000</v>
      </c>
      <c r="G30" s="101" t="str">
        <f>_xll.ohRangeRetrieveError(F30)</f>
        <v/>
      </c>
      <c r="H30" s="137"/>
      <c r="J30" s="143"/>
      <c r="K30" s="429">
        <v>24</v>
      </c>
      <c r="L30" s="428" t="b">
        <v>1</v>
      </c>
      <c r="M30" s="423" t="str">
        <v>Z7</v>
      </c>
      <c r="N30" s="427">
        <v>43089</v>
      </c>
      <c r="O30" s="423" t="str">
        <v>FSSZ7</v>
      </c>
      <c r="P30" s="426">
        <v>42725</v>
      </c>
      <c r="Q30" s="423">
        <v>98.37</v>
      </c>
      <c r="R30" s="423">
        <v>98.39</v>
      </c>
      <c r="S30" s="423">
        <v>98.36</v>
      </c>
      <c r="T30" s="423">
        <v>98.385000000000005</v>
      </c>
      <c r="U30" s="422">
        <f>_xll.qlMidSafe($Q30,$R30)</f>
        <v>98.38</v>
      </c>
      <c r="V30" s="416"/>
      <c r="W30" s="425">
        <v>98.724999999999994</v>
      </c>
      <c r="X30" s="416"/>
      <c r="Y30" s="424">
        <v>98.38</v>
      </c>
      <c r="Z30" s="422" t="e">
        <f>_xll.qlSimpleQuoteSetValue(F30,Y30,Trigger)</f>
        <v>#N/A</v>
      </c>
      <c r="AA30" s="137"/>
      <c r="AF30" s="412">
        <f t="shared" si="0"/>
        <v>4.0000000000020466E-4</v>
      </c>
      <c r="AH30" s="143"/>
      <c r="AI30" s="142">
        <v>24</v>
      </c>
      <c r="AJ30" s="140" t="b">
        <v>1</v>
      </c>
      <c r="AK30" s="140" t="str">
        <v>Z7</v>
      </c>
      <c r="AL30" s="251" t="str">
        <f t="shared" si="2"/>
        <v>GBPFUT3MZ7ConvAdj_Quote</v>
      </c>
      <c r="AM30" s="250" t="str">
        <f>_xll.qlFuturesConvAdjustmentQuote(AL30,IborIndex,AK30,F30,Volatility,MeanReversion,Permanent,ISERROR(Z30),ObjectOverwrite)</f>
        <v>GBPFUT3MZ7ConvAdj_Quote#0002</v>
      </c>
      <c r="AN30" s="72" t="str">
        <f>_xll.ohRangeRetrieveError(AM30)</f>
        <v/>
      </c>
    </row>
    <row r="31" spans="1:40" x14ac:dyDescent="0.2">
      <c r="A31" s="143"/>
      <c r="B31" s="142">
        <v>25</v>
      </c>
      <c r="C31" s="141" t="b">
        <v>1</v>
      </c>
      <c r="D31" s="140" t="str">
        <v>H8</v>
      </c>
      <c r="E31" s="139" t="str">
        <f t="shared" si="1"/>
        <v>GBPFUT3MH8_Quote</v>
      </c>
      <c r="F31" s="138" t="str">
        <f>_xll.qlSimpleQuote(E31,,PriceTickValue,Permanent,Trigger,ObjectOverwrite)</f>
        <v>GBPFUT3MH8_Quote#0000</v>
      </c>
      <c r="G31" s="101" t="str">
        <f>_xll.ohRangeRetrieveError(F31)</f>
        <v/>
      </c>
      <c r="H31" s="137"/>
      <c r="J31" s="143"/>
      <c r="K31" s="429">
        <v>25</v>
      </c>
      <c r="L31" s="428" t="b">
        <v>1</v>
      </c>
      <c r="M31" s="423" t="str">
        <v>H8</v>
      </c>
      <c r="N31" s="427">
        <v>43180</v>
      </c>
      <c r="O31" s="423" t="str">
        <v>FSSH8</v>
      </c>
      <c r="P31" s="426">
        <v>42809</v>
      </c>
      <c r="Q31" s="423">
        <v>98.24</v>
      </c>
      <c r="R31" s="423">
        <v>98.28</v>
      </c>
      <c r="S31" s="423">
        <v>98.26</v>
      </c>
      <c r="T31" s="423">
        <v>98.265000000000001</v>
      </c>
      <c r="U31" s="422">
        <f>_xll.qlMidSafe($Q31,$R31)</f>
        <v>98.259999999999991</v>
      </c>
      <c r="V31" s="416"/>
      <c r="W31" s="425">
        <v>98.59</v>
      </c>
      <c r="X31" s="416"/>
      <c r="Y31" s="424">
        <v>98.259999999999991</v>
      </c>
      <c r="Z31" s="422" t="e">
        <f>_xll.qlSimpleQuoteSetValue(F31,Y31,Trigger)</f>
        <v>#N/A</v>
      </c>
      <c r="AA31" s="137"/>
      <c r="AF31" s="412">
        <f t="shared" si="0"/>
        <v>6.0000000000002272E-4</v>
      </c>
      <c r="AH31" s="143"/>
      <c r="AI31" s="142">
        <v>25</v>
      </c>
      <c r="AJ31" s="140" t="b">
        <v>1</v>
      </c>
      <c r="AK31" s="140" t="str">
        <v>H8</v>
      </c>
      <c r="AL31" s="251" t="str">
        <f t="shared" si="2"/>
        <v>GBPFUT3MH8ConvAdj_Quote</v>
      </c>
      <c r="AM31" s="250" t="str">
        <f>_xll.qlFuturesConvAdjustmentQuote(AL31,IborIndex,AK31,F31,Volatility,MeanReversion,Permanent,ISERROR(Z31),ObjectOverwrite)</f>
        <v>GBPFUT3MH8ConvAdj_Quote#0002</v>
      </c>
      <c r="AN31" s="72" t="str">
        <f>_xll.ohRangeRetrieveError(AM31)</f>
        <v/>
      </c>
    </row>
    <row r="32" spans="1:40" x14ac:dyDescent="0.2">
      <c r="A32" s="143"/>
      <c r="B32" s="142">
        <v>26</v>
      </c>
      <c r="C32" s="141" t="b">
        <v>1</v>
      </c>
      <c r="D32" s="140" t="str">
        <v>M8</v>
      </c>
      <c r="E32" s="139" t="str">
        <f t="shared" si="1"/>
        <v>GBPFUT3MM8_Quote</v>
      </c>
      <c r="F32" s="138" t="str">
        <f>_xll.qlSimpleQuote(E32,,PriceTickValue,Permanent,Trigger,ObjectOverwrite)</f>
        <v>GBPFUT3MM8_Quote#0000</v>
      </c>
      <c r="G32" s="101" t="str">
        <f>_xll.ohRangeRetrieveError(F32)</f>
        <v/>
      </c>
      <c r="H32" s="137"/>
      <c r="J32" s="143"/>
      <c r="K32" s="429">
        <v>26</v>
      </c>
      <c r="L32" s="428" t="b">
        <v>1</v>
      </c>
      <c r="M32" s="423" t="str">
        <v>M8</v>
      </c>
      <c r="N32" s="427">
        <v>43271</v>
      </c>
      <c r="O32" s="423" t="str">
        <v>FSSM8</v>
      </c>
      <c r="P32" s="426">
        <v>42907</v>
      </c>
      <c r="Q32" s="423">
        <v>98.11</v>
      </c>
      <c r="R32" s="423">
        <v>98.17</v>
      </c>
      <c r="S32" s="423">
        <v>0</v>
      </c>
      <c r="T32" s="423">
        <v>98.125</v>
      </c>
      <c r="U32" s="422">
        <f>_xll.qlMidSafe($Q32,$R32)</f>
        <v>98.14</v>
      </c>
      <c r="V32" s="416"/>
      <c r="W32" s="425">
        <v>98.474999999999994</v>
      </c>
      <c r="X32" s="416"/>
      <c r="Y32" s="424">
        <v>98.14</v>
      </c>
      <c r="Z32" s="422" t="e">
        <f>_xll.qlSimpleQuoteSetValue(F32,Y32,Trigger)</f>
        <v>#N/A</v>
      </c>
      <c r="AA32" s="137"/>
      <c r="AF32" s="412" t="e">
        <f t="shared" si="0"/>
        <v>#NUM!</v>
      </c>
      <c r="AH32" s="143"/>
      <c r="AI32" s="142">
        <v>26</v>
      </c>
      <c r="AJ32" s="140" t="b">
        <v>1</v>
      </c>
      <c r="AK32" s="140" t="str">
        <v>M8</v>
      </c>
      <c r="AL32" s="251" t="str">
        <f t="shared" si="2"/>
        <v>GBPFUT3MM8ConvAdj_Quote</v>
      </c>
      <c r="AM32" s="250" t="str">
        <f>_xll.qlFuturesConvAdjustmentQuote(AL32,IborIndex,AK32,F32,Volatility,MeanReversion,Permanent,ISERROR(Z32),ObjectOverwrite)</f>
        <v>GBPFUT3MM8ConvAdj_Quote#0002</v>
      </c>
      <c r="AN32" s="72" t="str">
        <f>_xll.ohRangeRetrieveError(AM32)</f>
        <v/>
      </c>
    </row>
    <row r="33" spans="1:40" x14ac:dyDescent="0.2">
      <c r="A33" s="143"/>
      <c r="B33" s="142">
        <v>27</v>
      </c>
      <c r="C33" s="141" t="b">
        <v>1</v>
      </c>
      <c r="D33" s="140" t="str">
        <v>U8</v>
      </c>
      <c r="E33" s="139" t="str">
        <f t="shared" si="1"/>
        <v>GBPFUT3MU8_Quote</v>
      </c>
      <c r="F33" s="138" t="str">
        <f>_xll.qlSimpleQuote(E33,,PriceTickValue,Permanent,Trigger,ObjectOverwrite)</f>
        <v>GBPFUT3MU8_Quote#0000</v>
      </c>
      <c r="G33" s="101" t="str">
        <f>_xll.ohRangeRetrieveError(F33)</f>
        <v/>
      </c>
      <c r="H33" s="137"/>
      <c r="J33" s="143"/>
      <c r="K33" s="429">
        <v>27</v>
      </c>
      <c r="L33" s="428" t="b">
        <v>1</v>
      </c>
      <c r="M33" s="423" t="str">
        <v>U8</v>
      </c>
      <c r="N33" s="427">
        <v>43362</v>
      </c>
      <c r="O33" s="423" t="str">
        <v>FSSU8</v>
      </c>
      <c r="P33" s="426">
        <v>42998</v>
      </c>
      <c r="Q33" s="423">
        <v>0</v>
      </c>
      <c r="R33" s="423">
        <v>0</v>
      </c>
      <c r="S33" s="423">
        <v>0</v>
      </c>
      <c r="T33" s="423">
        <v>97.99</v>
      </c>
      <c r="U33" s="422" t="e">
        <f>_xll.qlMidSafe($Q33,$R33)</f>
        <v>#NUM!</v>
      </c>
      <c r="V33" s="416"/>
      <c r="W33" s="425" t="e">
        <v>#NUM!</v>
      </c>
      <c r="X33" s="416"/>
      <c r="Y33" s="424" t="e">
        <v>#NUM!</v>
      </c>
      <c r="Z33" s="422" t="e">
        <f>_xll.qlSimpleQuoteSetValue(F33,Y33,Trigger)</f>
        <v>#NUM!</v>
      </c>
      <c r="AA33" s="137"/>
      <c r="AF33" s="412" t="e">
        <f t="shared" si="0"/>
        <v>#NUM!</v>
      </c>
      <c r="AH33" s="143"/>
      <c r="AI33" s="142">
        <v>27</v>
      </c>
      <c r="AJ33" s="140" t="b">
        <v>1</v>
      </c>
      <c r="AK33" s="140" t="str">
        <v>U8</v>
      </c>
      <c r="AL33" s="251" t="str">
        <f t="shared" si="2"/>
        <v>GBPFUT3MU8ConvAdj_Quote</v>
      </c>
      <c r="AM33" s="250" t="str">
        <f>_xll.qlFuturesConvAdjustmentQuote(AL33,IborIndex,AK33,F33,Volatility,MeanReversion,Permanent,ISERROR(Z33),ObjectOverwrite)</f>
        <v>GBPFUT3MU8ConvAdj_Quote#0002</v>
      </c>
      <c r="AN33" s="72" t="str">
        <f>_xll.ohRangeRetrieveError(AM33)</f>
        <v/>
      </c>
    </row>
    <row r="34" spans="1:40" x14ac:dyDescent="0.2">
      <c r="A34" s="143"/>
      <c r="B34" s="142">
        <v>28</v>
      </c>
      <c r="C34" s="141" t="b">
        <v>1</v>
      </c>
      <c r="D34" s="140" t="str">
        <v>Z8</v>
      </c>
      <c r="E34" s="139" t="str">
        <f t="shared" si="1"/>
        <v>GBPFUT3MZ8_Quote</v>
      </c>
      <c r="F34" s="138" t="str">
        <f>_xll.qlSimpleQuote(E34,,PriceTickValue,Permanent,Trigger,ObjectOverwrite)</f>
        <v>GBPFUT3MZ8_Quote#0000</v>
      </c>
      <c r="G34" s="101" t="str">
        <f>_xll.ohRangeRetrieveError(F34)</f>
        <v/>
      </c>
      <c r="H34" s="137"/>
      <c r="J34" s="143"/>
      <c r="K34" s="429">
        <v>28</v>
      </c>
      <c r="L34" s="428" t="b">
        <v>1</v>
      </c>
      <c r="M34" s="423" t="str">
        <v>Z8</v>
      </c>
      <c r="N34" s="427">
        <v>43453</v>
      </c>
      <c r="O34" s="423" t="str">
        <v>FSSZ8</v>
      </c>
      <c r="P34" s="426">
        <v>43089</v>
      </c>
      <c r="Q34" s="423">
        <v>0</v>
      </c>
      <c r="R34" s="423">
        <v>0</v>
      </c>
      <c r="S34" s="423">
        <v>0</v>
      </c>
      <c r="T34" s="423">
        <v>97.85</v>
      </c>
      <c r="U34" s="422" t="e">
        <f>_xll.qlMidSafe($Q34,$R34)</f>
        <v>#NUM!</v>
      </c>
      <c r="V34" s="416"/>
      <c r="W34" s="425" t="e">
        <v>#NUM!</v>
      </c>
      <c r="X34" s="416"/>
      <c r="Y34" s="424" t="e">
        <v>#NUM!</v>
      </c>
      <c r="Z34" s="422" t="e">
        <f>_xll.qlSimpleQuoteSetValue(F34,Y34,Trigger)</f>
        <v>#NUM!</v>
      </c>
      <c r="AA34" s="137"/>
      <c r="AF34" s="412" t="e">
        <f t="shared" si="0"/>
        <v>#NUM!</v>
      </c>
      <c r="AH34" s="143"/>
      <c r="AI34" s="142">
        <v>28</v>
      </c>
      <c r="AJ34" s="140" t="b">
        <v>1</v>
      </c>
      <c r="AK34" s="140" t="str">
        <v>Z8</v>
      </c>
      <c r="AL34" s="251" t="str">
        <f t="shared" si="2"/>
        <v>GBPFUT3MZ8ConvAdj_Quote</v>
      </c>
      <c r="AM34" s="250" t="str">
        <f>_xll.qlFuturesConvAdjustmentQuote(AL34,IborIndex,AK34,F34,Volatility,MeanReversion,Permanent,ISERROR(Z34),ObjectOverwrite)</f>
        <v>GBPFUT3MZ8ConvAdj_Quote#0002</v>
      </c>
      <c r="AN34" s="72" t="str">
        <f>_xll.ohRangeRetrieveError(AM34)</f>
        <v/>
      </c>
    </row>
    <row r="35" spans="1:40" x14ac:dyDescent="0.2">
      <c r="A35" s="143"/>
      <c r="B35" s="142">
        <v>29</v>
      </c>
      <c r="C35" s="141" t="b">
        <v>1</v>
      </c>
      <c r="D35" s="140" t="str">
        <v>H9</v>
      </c>
      <c r="E35" s="139" t="str">
        <f t="shared" si="1"/>
        <v>GBPFUT3MH9_Quote</v>
      </c>
      <c r="F35" s="138" t="str">
        <f>_xll.qlSimpleQuote(E35,,PriceTickValue,Permanent,Trigger,ObjectOverwrite)</f>
        <v>GBPFUT3MH9_Quote#0000</v>
      </c>
      <c r="G35" s="101" t="str">
        <f>_xll.ohRangeRetrieveError(F35)</f>
        <v/>
      </c>
      <c r="H35" s="137"/>
      <c r="J35" s="143"/>
      <c r="K35" s="429">
        <v>29</v>
      </c>
      <c r="L35" s="428" t="b">
        <v>1</v>
      </c>
      <c r="M35" s="423" t="str">
        <v>H9</v>
      </c>
      <c r="N35" s="427">
        <v>43544</v>
      </c>
      <c r="O35" s="423" t="str">
        <v>FSSH9</v>
      </c>
      <c r="P35" s="426">
        <v>43180</v>
      </c>
      <c r="Q35" s="423">
        <v>0</v>
      </c>
      <c r="R35" s="423">
        <v>0</v>
      </c>
      <c r="S35" s="423">
        <v>0</v>
      </c>
      <c r="T35" s="423">
        <v>97.71</v>
      </c>
      <c r="U35" s="422" t="e">
        <f>_xll.qlMidSafe($Q35,$R35)</f>
        <v>#NUM!</v>
      </c>
      <c r="V35" s="416"/>
      <c r="W35" s="425" t="e">
        <v>#NUM!</v>
      </c>
      <c r="X35" s="416"/>
      <c r="Y35" s="424" t="e">
        <v>#NUM!</v>
      </c>
      <c r="Z35" s="422" t="e">
        <f>_xll.qlSimpleQuoteSetValue(F35,Y35,Trigger)</f>
        <v>#NUM!</v>
      </c>
      <c r="AA35" s="137"/>
      <c r="AF35" s="412" t="e">
        <f t="shared" si="0"/>
        <v>#NUM!</v>
      </c>
      <c r="AH35" s="143"/>
      <c r="AI35" s="142">
        <v>29</v>
      </c>
      <c r="AJ35" s="140" t="b">
        <v>1</v>
      </c>
      <c r="AK35" s="140" t="str">
        <v>H9</v>
      </c>
      <c r="AL35" s="251" t="str">
        <f t="shared" si="2"/>
        <v>GBPFUT3MH9ConvAdj_Quote</v>
      </c>
      <c r="AM35" s="250" t="str">
        <f>_xll.qlFuturesConvAdjustmentQuote(AL35,IborIndex,AK35,F35,Volatility,MeanReversion,Permanent,ISERROR(Z35),ObjectOverwrite)</f>
        <v>GBPFUT3MH9ConvAdj_Quote#0002</v>
      </c>
      <c r="AN35" s="72" t="str">
        <f>_xll.ohRangeRetrieveError(AM35)</f>
        <v/>
      </c>
    </row>
    <row r="36" spans="1:40" x14ac:dyDescent="0.2">
      <c r="A36" s="143"/>
      <c r="B36" s="142">
        <v>30</v>
      </c>
      <c r="C36" s="141" t="b">
        <v>1</v>
      </c>
      <c r="D36" s="140" t="str">
        <v>M9</v>
      </c>
      <c r="E36" s="139" t="str">
        <f t="shared" si="1"/>
        <v>GBPFUT3MM9_Quote</v>
      </c>
      <c r="F36" s="138" t="str">
        <f>_xll.qlSimpleQuote(E36,,PriceTickValue,Permanent,Trigger,ObjectOverwrite)</f>
        <v>GBPFUT3MM9_Quote#0000</v>
      </c>
      <c r="G36" s="101" t="str">
        <f>_xll.ohRangeRetrieveError(F36)</f>
        <v/>
      </c>
      <c r="H36" s="137"/>
      <c r="J36" s="143"/>
      <c r="K36" s="429">
        <v>30</v>
      </c>
      <c r="L36" s="428" t="b">
        <v>1</v>
      </c>
      <c r="M36" s="423" t="str">
        <v>M9</v>
      </c>
      <c r="N36" s="427">
        <v>43635</v>
      </c>
      <c r="O36" s="423" t="str">
        <v>FSSM9</v>
      </c>
      <c r="P36" s="426">
        <v>43271</v>
      </c>
      <c r="Q36" s="423">
        <v>0</v>
      </c>
      <c r="R36" s="423">
        <v>0</v>
      </c>
      <c r="S36" s="423">
        <v>0</v>
      </c>
      <c r="T36" s="423">
        <v>97.57</v>
      </c>
      <c r="U36" s="422" t="e">
        <f>_xll.qlMidSafe($Q36,$R36)</f>
        <v>#NUM!</v>
      </c>
      <c r="V36" s="416"/>
      <c r="W36" s="425" t="e">
        <v>#NUM!</v>
      </c>
      <c r="X36" s="416"/>
      <c r="Y36" s="424" t="e">
        <v>#NUM!</v>
      </c>
      <c r="Z36" s="422" t="e">
        <f>_xll.qlSimpleQuoteSetValue(F36,Y36,Trigger)</f>
        <v>#NUM!</v>
      </c>
      <c r="AA36" s="137"/>
      <c r="AF36" s="412" t="e">
        <f t="shared" si="0"/>
        <v>#NUM!</v>
      </c>
      <c r="AH36" s="143"/>
      <c r="AI36" s="142">
        <v>30</v>
      </c>
      <c r="AJ36" s="140" t="b">
        <v>1</v>
      </c>
      <c r="AK36" s="140" t="str">
        <v>M9</v>
      </c>
      <c r="AL36" s="251" t="str">
        <f t="shared" si="2"/>
        <v>GBPFUT3MM9ConvAdj_Quote</v>
      </c>
      <c r="AM36" s="250" t="str">
        <f>_xll.qlFuturesConvAdjustmentQuote(AL36,IborIndex,AK36,F36,Volatility,MeanReversion,Permanent,ISERROR(Z36),ObjectOverwrite)</f>
        <v>GBPFUT3MM9ConvAdj_Quote#0002</v>
      </c>
      <c r="AN36" s="72" t="str">
        <f>_xll.ohRangeRetrieveError(AM36)</f>
        <v/>
      </c>
    </row>
    <row r="37" spans="1:40" x14ac:dyDescent="0.2">
      <c r="A37" s="143"/>
      <c r="B37" s="142">
        <v>31</v>
      </c>
      <c r="C37" s="141" t="b">
        <v>1</v>
      </c>
      <c r="D37" s="140" t="str">
        <v>U9</v>
      </c>
      <c r="E37" s="139" t="str">
        <f t="shared" si="1"/>
        <v>GBPFUT3MU9_Quote</v>
      </c>
      <c r="F37" s="138" t="str">
        <f>_xll.qlSimpleQuote(E37,,PriceTickValue,Permanent,Trigger,ObjectOverwrite)</f>
        <v>GBPFUT3MU9_Quote#0000</v>
      </c>
      <c r="G37" s="101" t="str">
        <f>_xll.ohRangeRetrieveError(F37)</f>
        <v/>
      </c>
      <c r="H37" s="137"/>
      <c r="J37" s="143"/>
      <c r="K37" s="429">
        <v>31</v>
      </c>
      <c r="L37" s="428" t="b">
        <v>1</v>
      </c>
      <c r="M37" s="423" t="str">
        <v>U9</v>
      </c>
      <c r="N37" s="427">
        <v>43726</v>
      </c>
      <c r="O37" s="423" t="str">
        <v>FSSU9</v>
      </c>
      <c r="P37" s="426">
        <v>43362</v>
      </c>
      <c r="Q37" s="423">
        <v>0</v>
      </c>
      <c r="R37" s="423">
        <v>0</v>
      </c>
      <c r="S37" s="423">
        <v>0</v>
      </c>
      <c r="T37" s="423">
        <v>97.44</v>
      </c>
      <c r="U37" s="422" t="e">
        <f>_xll.qlMidSafe($Q37,$R37)</f>
        <v>#NUM!</v>
      </c>
      <c r="V37" s="416"/>
      <c r="W37" s="425" t="e">
        <v>#NUM!</v>
      </c>
      <c r="X37" s="416"/>
      <c r="Y37" s="424" t="e">
        <v>#NUM!</v>
      </c>
      <c r="Z37" s="422" t="e">
        <f>_xll.qlSimpleQuoteSetValue(F37,Y37,Trigger)</f>
        <v>#NUM!</v>
      </c>
      <c r="AA37" s="137"/>
      <c r="AF37" s="412" t="e">
        <f t="shared" si="0"/>
        <v>#NUM!</v>
      </c>
      <c r="AH37" s="143"/>
      <c r="AI37" s="142">
        <v>31</v>
      </c>
      <c r="AJ37" s="140" t="b">
        <v>1</v>
      </c>
      <c r="AK37" s="140" t="str">
        <v>U9</v>
      </c>
      <c r="AL37" s="251" t="str">
        <f t="shared" si="2"/>
        <v>GBPFUT3MU9ConvAdj_Quote</v>
      </c>
      <c r="AM37" s="250" t="str">
        <f>_xll.qlFuturesConvAdjustmentQuote(AL37,IborIndex,AK37,F37,Volatility,MeanReversion,Permanent,ISERROR(Z37),ObjectOverwrite)</f>
        <v>GBPFUT3MU9ConvAdj_Quote#0002</v>
      </c>
      <c r="AN37" s="72" t="str">
        <f>_xll.ohRangeRetrieveError(AM37)</f>
        <v/>
      </c>
    </row>
    <row r="38" spans="1:40" x14ac:dyDescent="0.2">
      <c r="A38" s="143"/>
      <c r="B38" s="142">
        <v>32</v>
      </c>
      <c r="C38" s="141" t="b">
        <v>1</v>
      </c>
      <c r="D38" s="140" t="str">
        <v>Z9</v>
      </c>
      <c r="E38" s="139" t="str">
        <f t="shared" si="1"/>
        <v>GBPFUT3MZ9_Quote</v>
      </c>
      <c r="F38" s="138" t="str">
        <f>_xll.qlSimpleQuote(E38,,PriceTickValue,Permanent,Trigger,ObjectOverwrite)</f>
        <v>GBPFUT3MZ9_Quote#0000</v>
      </c>
      <c r="G38" s="101" t="str">
        <f>_xll.ohRangeRetrieveError(F38)</f>
        <v/>
      </c>
      <c r="H38" s="137"/>
      <c r="J38" s="143"/>
      <c r="K38" s="429">
        <v>32</v>
      </c>
      <c r="L38" s="428" t="b">
        <v>1</v>
      </c>
      <c r="M38" s="423" t="str">
        <v>Z9</v>
      </c>
      <c r="N38" s="427">
        <v>43817</v>
      </c>
      <c r="O38" s="423" t="str">
        <v>FSSZ9</v>
      </c>
      <c r="P38" s="426">
        <v>43453</v>
      </c>
      <c r="Q38" s="423">
        <v>0</v>
      </c>
      <c r="R38" s="423">
        <v>0</v>
      </c>
      <c r="S38" s="423">
        <v>0</v>
      </c>
      <c r="T38" s="423">
        <v>97.44</v>
      </c>
      <c r="U38" s="422" t="e">
        <f>_xll.qlMidSafe($Q38,$R38)</f>
        <v>#NUM!</v>
      </c>
      <c r="V38" s="416"/>
      <c r="W38" s="425" t="e">
        <v>#NUM!</v>
      </c>
      <c r="X38" s="416"/>
      <c r="Y38" s="424" t="e">
        <v>#NUM!</v>
      </c>
      <c r="Z38" s="422" t="e">
        <f>_xll.qlSimpleQuoteSetValue(F38,Y38,Trigger)</f>
        <v>#NUM!</v>
      </c>
      <c r="AA38" s="137"/>
      <c r="AF38" s="412" t="e">
        <f t="shared" si="0"/>
        <v>#VALUE!</v>
      </c>
      <c r="AH38" s="143"/>
      <c r="AI38" s="142">
        <v>32</v>
      </c>
      <c r="AJ38" s="140" t="b">
        <v>1</v>
      </c>
      <c r="AK38" s="140" t="str">
        <v>Z9</v>
      </c>
      <c r="AL38" s="251" t="str">
        <f t="shared" si="2"/>
        <v>GBPFUT3MZ9ConvAdj_Quote</v>
      </c>
      <c r="AM38" s="250" t="str">
        <f>_xll.qlFuturesConvAdjustmentQuote(AL38,IborIndex,AK38,F38,Volatility,MeanReversion,Permanent,ISERROR(Z38),ObjectOverwrite)</f>
        <v>GBPFUT3MZ9ConvAdj_Quote#0002</v>
      </c>
      <c r="AN38" s="72" t="str">
        <f>_xll.ohRangeRetrieveError(AM38)</f>
        <v/>
      </c>
    </row>
    <row r="39" spans="1:40" x14ac:dyDescent="0.2">
      <c r="A39" s="143"/>
      <c r="B39" s="142">
        <v>33</v>
      </c>
      <c r="C39" s="141" t="b">
        <v>1</v>
      </c>
      <c r="D39" s="140" t="str">
        <v>H0</v>
      </c>
      <c r="E39" s="139" t="str">
        <f t="shared" ref="E39:E48" si="3">Currency&amp;$D$5&amp;$E$5&amp;$D39&amp;QuoteSuffix</f>
        <v>GBPFUT3MH0_Quote</v>
      </c>
      <c r="F39" s="138" t="str">
        <f>_xll.qlSimpleQuote(E39,,PriceTickValue,Permanent,Trigger,ObjectOverwrite)</f>
        <v>GBPFUT3MH0_Quote#0000</v>
      </c>
      <c r="G39" s="101" t="str">
        <f>_xll.ohRangeRetrieveError(F39)</f>
        <v/>
      </c>
      <c r="H39" s="137"/>
      <c r="J39" s="143"/>
      <c r="K39" s="429">
        <v>33</v>
      </c>
      <c r="L39" s="428" t="b">
        <v>1</v>
      </c>
      <c r="M39" s="423" t="str">
        <v>H0</v>
      </c>
      <c r="N39" s="427">
        <v>43908</v>
      </c>
      <c r="O39" s="423" t="str">
        <v>FSSH0</v>
      </c>
      <c r="P39" s="426" t="s">
        <v>233</v>
      </c>
      <c r="Q39" s="423" t="s">
        <v>233</v>
      </c>
      <c r="R39" s="423" t="s">
        <v>233</v>
      </c>
      <c r="S39" s="423" t="s">
        <v>233</v>
      </c>
      <c r="T39" s="423" t="s">
        <v>233</v>
      </c>
      <c r="U39" s="422" t="e">
        <f>_xll.qlMidSafe($Q39,$R39)</f>
        <v>#NUM!</v>
      </c>
      <c r="V39" s="416"/>
      <c r="W39" s="425" t="e">
        <v>#NUM!</v>
      </c>
      <c r="X39" s="416"/>
      <c r="Y39" s="424" t="e">
        <v>#NUM!</v>
      </c>
      <c r="Z39" s="422" t="e">
        <f>_xll.qlSimpleQuoteSetValue(F39,Y39,Trigger)</f>
        <v>#NUM!</v>
      </c>
      <c r="AA39" s="137"/>
      <c r="AF39" s="412" t="e">
        <f t="shared" si="0"/>
        <v>#VALUE!</v>
      </c>
      <c r="AH39" s="143"/>
      <c r="AI39" s="142">
        <v>33</v>
      </c>
      <c r="AJ39" s="140" t="b">
        <v>1</v>
      </c>
      <c r="AK39" s="140" t="str">
        <v>H0</v>
      </c>
      <c r="AL39" s="251" t="str">
        <f t="shared" si="2"/>
        <v>GBPFUT3MH0ConvAdj_Quote</v>
      </c>
      <c r="AM39" s="250" t="str">
        <f>_xll.qlFuturesConvAdjustmentQuote(AL39,IborIndex,AK39,F39,Volatility,MeanReversion,Permanent,ISERROR(Z39),ObjectOverwrite)</f>
        <v>GBPFUT3MH0ConvAdj_Quote#0002</v>
      </c>
      <c r="AN39" s="72" t="str">
        <f>_xll.ohRangeRetrieveError(AM39)</f>
        <v/>
      </c>
    </row>
    <row r="40" spans="1:40" x14ac:dyDescent="0.2">
      <c r="A40" s="143"/>
      <c r="B40" s="142">
        <v>34</v>
      </c>
      <c r="C40" s="141" t="b">
        <v>1</v>
      </c>
      <c r="D40" s="140" t="str">
        <v>M0</v>
      </c>
      <c r="E40" s="139" t="str">
        <f t="shared" si="3"/>
        <v>GBPFUT3MM0_Quote</v>
      </c>
      <c r="F40" s="138" t="str">
        <f>_xll.qlSimpleQuote(E40,,PriceTickValue,Permanent,Trigger,ObjectOverwrite)</f>
        <v>GBPFUT3MM0_Quote#0000</v>
      </c>
      <c r="G40" s="101" t="str">
        <f>_xll.ohRangeRetrieveError(F40)</f>
        <v/>
      </c>
      <c r="H40" s="137"/>
      <c r="J40" s="143"/>
      <c r="K40" s="429">
        <v>34</v>
      </c>
      <c r="L40" s="428" t="b">
        <v>1</v>
      </c>
      <c r="M40" s="423" t="str">
        <v>M0</v>
      </c>
      <c r="N40" s="427">
        <v>43999</v>
      </c>
      <c r="O40" s="423" t="str">
        <v>FSSM0</v>
      </c>
      <c r="P40" s="426" t="s">
        <v>233</v>
      </c>
      <c r="Q40" s="423" t="s">
        <v>233</v>
      </c>
      <c r="R40" s="423" t="s">
        <v>233</v>
      </c>
      <c r="S40" s="423" t="s">
        <v>233</v>
      </c>
      <c r="T40" s="423" t="s">
        <v>233</v>
      </c>
      <c r="U40" s="422" t="e">
        <f>_xll.qlMidSafe($Q40,$R40)</f>
        <v>#NUM!</v>
      </c>
      <c r="V40" s="416"/>
      <c r="W40" s="425" t="e">
        <v>#NUM!</v>
      </c>
      <c r="X40" s="416"/>
      <c r="Y40" s="424" t="e">
        <v>#NUM!</v>
      </c>
      <c r="Z40" s="422" t="e">
        <f>_xll.qlSimpleQuoteSetValue(F40,Y40,Trigger)</f>
        <v>#NUM!</v>
      </c>
      <c r="AA40" s="137"/>
      <c r="AF40" s="412" t="e">
        <f t="shared" si="0"/>
        <v>#VALUE!</v>
      </c>
      <c r="AH40" s="143"/>
      <c r="AI40" s="142">
        <v>34</v>
      </c>
      <c r="AJ40" s="140" t="b">
        <v>1</v>
      </c>
      <c r="AK40" s="140" t="str">
        <v>M0</v>
      </c>
      <c r="AL40" s="251" t="str">
        <f t="shared" si="2"/>
        <v>GBPFUT3MM0ConvAdj_Quote</v>
      </c>
      <c r="AM40" s="250" t="str">
        <f>_xll.qlFuturesConvAdjustmentQuote(AL40,IborIndex,AK40,F40,Volatility,MeanReversion,Permanent,ISERROR(Z40),ObjectOverwrite)</f>
        <v>GBPFUT3MM0ConvAdj_Quote#0002</v>
      </c>
      <c r="AN40" s="72" t="str">
        <f>_xll.ohRangeRetrieveError(AM40)</f>
        <v/>
      </c>
    </row>
    <row r="41" spans="1:40" x14ac:dyDescent="0.2">
      <c r="A41" s="143"/>
      <c r="B41" s="142">
        <v>35</v>
      </c>
      <c r="C41" s="141" t="b">
        <v>1</v>
      </c>
      <c r="D41" s="140" t="str">
        <v>U0</v>
      </c>
      <c r="E41" s="139" t="str">
        <f t="shared" si="3"/>
        <v>GBPFUT3MU0_Quote</v>
      </c>
      <c r="F41" s="138" t="str">
        <f>_xll.qlSimpleQuote(E41,,PriceTickValue,Permanent,Trigger,ObjectOverwrite)</f>
        <v>GBPFUT3MU0_Quote#0000</v>
      </c>
      <c r="G41" s="101" t="str">
        <f>_xll.ohRangeRetrieveError(F41)</f>
        <v/>
      </c>
      <c r="H41" s="137"/>
      <c r="J41" s="143"/>
      <c r="K41" s="429">
        <v>35</v>
      </c>
      <c r="L41" s="428" t="b">
        <v>1</v>
      </c>
      <c r="M41" s="423" t="str">
        <v>U0</v>
      </c>
      <c r="N41" s="427">
        <v>44090</v>
      </c>
      <c r="O41" s="423" t="str">
        <v>FSSU0</v>
      </c>
      <c r="P41" s="426" t="s">
        <v>233</v>
      </c>
      <c r="Q41" s="423" t="s">
        <v>233</v>
      </c>
      <c r="R41" s="423" t="s">
        <v>233</v>
      </c>
      <c r="S41" s="423" t="s">
        <v>233</v>
      </c>
      <c r="T41" s="423" t="s">
        <v>233</v>
      </c>
      <c r="U41" s="422" t="e">
        <f>_xll.qlMidSafe($Q41,$R41)</f>
        <v>#NUM!</v>
      </c>
      <c r="V41" s="416"/>
      <c r="W41" s="425" t="e">
        <v>#NUM!</v>
      </c>
      <c r="X41" s="416"/>
      <c r="Y41" s="424" t="e">
        <v>#NUM!</v>
      </c>
      <c r="Z41" s="422" t="e">
        <f>_xll.qlSimpleQuoteSetValue(F41,Y41,Trigger)</f>
        <v>#NUM!</v>
      </c>
      <c r="AA41" s="137"/>
      <c r="AF41" s="412" t="e">
        <f t="shared" si="0"/>
        <v>#VALUE!</v>
      </c>
      <c r="AH41" s="143"/>
      <c r="AI41" s="142">
        <v>35</v>
      </c>
      <c r="AJ41" s="140" t="b">
        <v>1</v>
      </c>
      <c r="AK41" s="140" t="str">
        <v>U0</v>
      </c>
      <c r="AL41" s="251" t="str">
        <f t="shared" si="2"/>
        <v>GBPFUT3MU0ConvAdj_Quote</v>
      </c>
      <c r="AM41" s="250" t="str">
        <f>_xll.qlFuturesConvAdjustmentQuote(AL41,IborIndex,AK41,F41,Volatility,MeanReversion,Permanent,ISERROR(Z41),ObjectOverwrite)</f>
        <v>GBPFUT3MU0ConvAdj_Quote#0002</v>
      </c>
      <c r="AN41" s="72" t="str">
        <f>_xll.ohRangeRetrieveError(AM41)</f>
        <v/>
      </c>
    </row>
    <row r="42" spans="1:40" x14ac:dyDescent="0.2">
      <c r="A42" s="143"/>
      <c r="B42" s="142">
        <v>36</v>
      </c>
      <c r="C42" s="141" t="b">
        <v>1</v>
      </c>
      <c r="D42" s="140" t="str">
        <v>Z0</v>
      </c>
      <c r="E42" s="139" t="str">
        <f t="shared" si="3"/>
        <v>GBPFUT3MZ0_Quote</v>
      </c>
      <c r="F42" s="138" t="str">
        <f>_xll.qlSimpleQuote(E42,,PriceTickValue,Permanent,Trigger,ObjectOverwrite)</f>
        <v>GBPFUT3MZ0_Quote#0000</v>
      </c>
      <c r="G42" s="101" t="str">
        <f>_xll.ohRangeRetrieveError(F42)</f>
        <v/>
      </c>
      <c r="H42" s="137"/>
      <c r="J42" s="143"/>
      <c r="K42" s="429">
        <v>36</v>
      </c>
      <c r="L42" s="428" t="b">
        <v>1</v>
      </c>
      <c r="M42" s="423" t="str">
        <v>Z0</v>
      </c>
      <c r="N42" s="427">
        <v>44181</v>
      </c>
      <c r="O42" s="423" t="str">
        <v>FSSZ0</v>
      </c>
      <c r="P42" s="426" t="s">
        <v>233</v>
      </c>
      <c r="Q42" s="423" t="s">
        <v>233</v>
      </c>
      <c r="R42" s="423" t="s">
        <v>233</v>
      </c>
      <c r="S42" s="423" t="s">
        <v>233</v>
      </c>
      <c r="T42" s="423" t="s">
        <v>233</v>
      </c>
      <c r="U42" s="422" t="e">
        <f>_xll.qlMidSafe($Q42,$R42)</f>
        <v>#NUM!</v>
      </c>
      <c r="V42" s="416"/>
      <c r="W42" s="425" t="e">
        <v>#NUM!</v>
      </c>
      <c r="X42" s="416"/>
      <c r="Y42" s="424" t="e">
        <v>#NUM!</v>
      </c>
      <c r="Z42" s="422" t="e">
        <f>_xll.qlSimpleQuoteSetValue(F42,Y42,Trigger)</f>
        <v>#NUM!</v>
      </c>
      <c r="AA42" s="137"/>
      <c r="AF42" s="412" t="e">
        <f t="shared" si="0"/>
        <v>#VALUE!</v>
      </c>
      <c r="AH42" s="143"/>
      <c r="AI42" s="142">
        <v>36</v>
      </c>
      <c r="AJ42" s="140" t="b">
        <v>1</v>
      </c>
      <c r="AK42" s="140" t="str">
        <v>Z0</v>
      </c>
      <c r="AL42" s="251" t="str">
        <f t="shared" si="2"/>
        <v>GBPFUT3MZ0ConvAdj_Quote</v>
      </c>
      <c r="AM42" s="250" t="str">
        <f>_xll.qlFuturesConvAdjustmentQuote(AL42,IborIndex,AK42,F42,Volatility,MeanReversion,Permanent,ISERROR(Z42),ObjectOverwrite)</f>
        <v>GBPFUT3MZ0ConvAdj_Quote#0002</v>
      </c>
      <c r="AN42" s="72" t="str">
        <f>_xll.ohRangeRetrieveError(AM42)</f>
        <v/>
      </c>
    </row>
    <row r="43" spans="1:40" x14ac:dyDescent="0.2">
      <c r="A43" s="143"/>
      <c r="B43" s="142">
        <v>37</v>
      </c>
      <c r="C43" s="141" t="b">
        <v>1</v>
      </c>
      <c r="D43" s="140" t="str">
        <v>H1</v>
      </c>
      <c r="E43" s="139" t="str">
        <f t="shared" si="3"/>
        <v>GBPFUT3MH1_Quote</v>
      </c>
      <c r="F43" s="138" t="str">
        <f>_xll.qlSimpleQuote(E43,,PriceTickValue,Permanent,Trigger,ObjectOverwrite)</f>
        <v>GBPFUT3MH1_Quote#0000</v>
      </c>
      <c r="G43" s="101" t="str">
        <f>_xll.ohRangeRetrieveError(F43)</f>
        <v/>
      </c>
      <c r="H43" s="137"/>
      <c r="J43" s="143"/>
      <c r="K43" s="429">
        <v>37</v>
      </c>
      <c r="L43" s="428" t="b">
        <v>1</v>
      </c>
      <c r="M43" s="423" t="str">
        <v>H1</v>
      </c>
      <c r="N43" s="427">
        <v>44272</v>
      </c>
      <c r="O43" s="423" t="str">
        <v>FSSH1</v>
      </c>
      <c r="P43" s="426" t="s">
        <v>233</v>
      </c>
      <c r="Q43" s="423" t="s">
        <v>233</v>
      </c>
      <c r="R43" s="423" t="s">
        <v>233</v>
      </c>
      <c r="S43" s="423" t="s">
        <v>233</v>
      </c>
      <c r="T43" s="423" t="s">
        <v>233</v>
      </c>
      <c r="U43" s="422" t="e">
        <f>_xll.qlMidSafe($Q43,$R43)</f>
        <v>#NUM!</v>
      </c>
      <c r="V43" s="416"/>
      <c r="W43" s="425" t="e">
        <v>#NUM!</v>
      </c>
      <c r="X43" s="416"/>
      <c r="Y43" s="424" t="e">
        <v>#NUM!</v>
      </c>
      <c r="Z43" s="422" t="e">
        <f>_xll.qlSimpleQuoteSetValue(F43,Y43,Trigger)</f>
        <v>#NUM!</v>
      </c>
      <c r="AA43" s="137"/>
      <c r="AF43" s="412" t="e">
        <f t="shared" si="0"/>
        <v>#VALUE!</v>
      </c>
      <c r="AH43" s="143"/>
      <c r="AI43" s="142">
        <v>37</v>
      </c>
      <c r="AJ43" s="140" t="b">
        <v>1</v>
      </c>
      <c r="AK43" s="140" t="str">
        <v>H1</v>
      </c>
      <c r="AL43" s="251" t="str">
        <f t="shared" si="2"/>
        <v>GBPFUT3MH1ConvAdj_Quote</v>
      </c>
      <c r="AM43" s="250" t="str">
        <f>_xll.qlFuturesConvAdjustmentQuote(AL43,IborIndex,AK43,F43,Volatility,MeanReversion,Permanent,ISERROR(Z43),ObjectOverwrite)</f>
        <v>GBPFUT3MH1ConvAdj_Quote#0002</v>
      </c>
      <c r="AN43" s="72" t="str">
        <f>_xll.ohRangeRetrieveError(AM43)</f>
        <v/>
      </c>
    </row>
    <row r="44" spans="1:40" x14ac:dyDescent="0.2">
      <c r="A44" s="143"/>
      <c r="B44" s="142">
        <v>38</v>
      </c>
      <c r="C44" s="141" t="b">
        <v>1</v>
      </c>
      <c r="D44" s="140" t="str">
        <v>M1</v>
      </c>
      <c r="E44" s="139" t="str">
        <f t="shared" si="3"/>
        <v>GBPFUT3MM1_Quote</v>
      </c>
      <c r="F44" s="138" t="str">
        <f>_xll.qlSimpleQuote(E44,,PriceTickValue,Permanent,Trigger,ObjectOverwrite)</f>
        <v>GBPFUT3MM1_Quote#0000</v>
      </c>
      <c r="G44" s="101" t="str">
        <f>_xll.ohRangeRetrieveError(F44)</f>
        <v/>
      </c>
      <c r="H44" s="137"/>
      <c r="J44" s="143"/>
      <c r="K44" s="429">
        <v>38</v>
      </c>
      <c r="L44" s="428" t="b">
        <v>1</v>
      </c>
      <c r="M44" s="423" t="str">
        <v>M1</v>
      </c>
      <c r="N44" s="427">
        <v>44363</v>
      </c>
      <c r="O44" s="423" t="str">
        <v>FSSM1</v>
      </c>
      <c r="P44" s="426" t="s">
        <v>233</v>
      </c>
      <c r="Q44" s="423" t="s">
        <v>233</v>
      </c>
      <c r="R44" s="423" t="s">
        <v>233</v>
      </c>
      <c r="S44" s="423" t="s">
        <v>233</v>
      </c>
      <c r="T44" s="423" t="s">
        <v>233</v>
      </c>
      <c r="U44" s="422" t="e">
        <f>_xll.qlMidSafe($Q44,$R44)</f>
        <v>#NUM!</v>
      </c>
      <c r="V44" s="416"/>
      <c r="W44" s="425" t="e">
        <v>#NUM!</v>
      </c>
      <c r="X44" s="416"/>
      <c r="Y44" s="424" t="e">
        <v>#NUM!</v>
      </c>
      <c r="Z44" s="422" t="e">
        <f>_xll.qlSimpleQuoteSetValue(F44,Y44,Trigger)</f>
        <v>#NUM!</v>
      </c>
      <c r="AA44" s="137"/>
      <c r="AF44" s="412" t="e">
        <f t="shared" si="0"/>
        <v>#VALUE!</v>
      </c>
      <c r="AH44" s="143"/>
      <c r="AI44" s="142">
        <v>38</v>
      </c>
      <c r="AJ44" s="140" t="b">
        <v>1</v>
      </c>
      <c r="AK44" s="140" t="str">
        <v>M1</v>
      </c>
      <c r="AL44" s="251" t="str">
        <f t="shared" si="2"/>
        <v>GBPFUT3MM1ConvAdj_Quote</v>
      </c>
      <c r="AM44" s="250" t="str">
        <f>_xll.qlFuturesConvAdjustmentQuote(AL44,IborIndex,AK44,F44,Volatility,MeanReversion,Permanent,ISERROR(Z44),ObjectOverwrite)</f>
        <v>GBPFUT3MM1ConvAdj_Quote#0002</v>
      </c>
      <c r="AN44" s="72" t="str">
        <f>_xll.ohRangeRetrieveError(AM44)</f>
        <v/>
      </c>
    </row>
    <row r="45" spans="1:40" x14ac:dyDescent="0.2">
      <c r="A45" s="143"/>
      <c r="B45" s="142">
        <v>39</v>
      </c>
      <c r="C45" s="141" t="b">
        <v>1</v>
      </c>
      <c r="D45" s="140" t="str">
        <v>U1</v>
      </c>
      <c r="E45" s="139" t="str">
        <f t="shared" si="3"/>
        <v>GBPFUT3MU1_Quote</v>
      </c>
      <c r="F45" s="138" t="str">
        <f>_xll.qlSimpleQuote(E45,,PriceTickValue,Permanent,Trigger,ObjectOverwrite)</f>
        <v>GBPFUT3MU1_Quote#0000</v>
      </c>
      <c r="G45" s="101" t="str">
        <f>_xll.ohRangeRetrieveError(F45)</f>
        <v/>
      </c>
      <c r="H45" s="137"/>
      <c r="J45" s="143"/>
      <c r="K45" s="429">
        <v>39</v>
      </c>
      <c r="L45" s="428" t="b">
        <v>1</v>
      </c>
      <c r="M45" s="423" t="str">
        <v>U1</v>
      </c>
      <c r="N45" s="427">
        <v>44454</v>
      </c>
      <c r="O45" s="423" t="str">
        <v>FSSU1</v>
      </c>
      <c r="P45" s="426" t="s">
        <v>233</v>
      </c>
      <c r="Q45" s="423" t="s">
        <v>233</v>
      </c>
      <c r="R45" s="423" t="s">
        <v>233</v>
      </c>
      <c r="S45" s="423" t="s">
        <v>233</v>
      </c>
      <c r="T45" s="423" t="s">
        <v>233</v>
      </c>
      <c r="U45" s="422" t="e">
        <f>_xll.qlMidSafe($Q45,$R45)</f>
        <v>#NUM!</v>
      </c>
      <c r="V45" s="416"/>
      <c r="W45" s="425" t="e">
        <v>#NUM!</v>
      </c>
      <c r="X45" s="416"/>
      <c r="Y45" s="424" t="e">
        <v>#NUM!</v>
      </c>
      <c r="Z45" s="422" t="e">
        <f>_xll.qlSimpleQuoteSetValue(F45,Y45,Trigger)</f>
        <v>#NUM!</v>
      </c>
      <c r="AA45" s="137"/>
      <c r="AF45" s="412" t="e">
        <f t="shared" si="0"/>
        <v>#VALUE!</v>
      </c>
      <c r="AH45" s="143"/>
      <c r="AI45" s="142">
        <v>39</v>
      </c>
      <c r="AJ45" s="140" t="b">
        <v>1</v>
      </c>
      <c r="AK45" s="140" t="str">
        <v>U1</v>
      </c>
      <c r="AL45" s="251" t="str">
        <f t="shared" si="2"/>
        <v>GBPFUT3MU1ConvAdj_Quote</v>
      </c>
      <c r="AM45" s="250" t="str">
        <f>_xll.qlFuturesConvAdjustmentQuote(AL45,IborIndex,AK45,F45,Volatility,MeanReversion,Permanent,ISERROR(Z45),ObjectOverwrite)</f>
        <v>GBPFUT3MU1ConvAdj_Quote#0002</v>
      </c>
      <c r="AN45" s="72" t="str">
        <f>_xll.ohRangeRetrieveError(AM45)</f>
        <v/>
      </c>
    </row>
    <row r="46" spans="1:40" x14ac:dyDescent="0.2">
      <c r="A46" s="143"/>
      <c r="B46" s="142">
        <v>40</v>
      </c>
      <c r="C46" s="141" t="b">
        <v>1</v>
      </c>
      <c r="D46" s="140" t="str">
        <v>Z1</v>
      </c>
      <c r="E46" s="139" t="str">
        <f t="shared" si="3"/>
        <v>GBPFUT3MZ1_Quote</v>
      </c>
      <c r="F46" s="138" t="str">
        <f>_xll.qlSimpleQuote(E46,,PriceTickValue,Permanent,Trigger,ObjectOverwrite)</f>
        <v>GBPFUT3MZ1_Quote#0000</v>
      </c>
      <c r="G46" s="101" t="str">
        <f>_xll.ohRangeRetrieveError(F46)</f>
        <v/>
      </c>
      <c r="H46" s="137"/>
      <c r="J46" s="143"/>
      <c r="K46" s="429">
        <v>40</v>
      </c>
      <c r="L46" s="428" t="b">
        <v>1</v>
      </c>
      <c r="M46" s="423" t="str">
        <v>Z1</v>
      </c>
      <c r="N46" s="427">
        <v>44545</v>
      </c>
      <c r="O46" s="423" t="str">
        <v>FSSZ1</v>
      </c>
      <c r="P46" s="426" t="s">
        <v>233</v>
      </c>
      <c r="Q46" s="423" t="s">
        <v>233</v>
      </c>
      <c r="R46" s="423" t="s">
        <v>233</v>
      </c>
      <c r="S46" s="423" t="s">
        <v>233</v>
      </c>
      <c r="T46" s="423" t="s">
        <v>233</v>
      </c>
      <c r="U46" s="422" t="e">
        <f>_xll.qlMidSafe($Q46,$R46)</f>
        <v>#NUM!</v>
      </c>
      <c r="V46" s="416"/>
      <c r="W46" s="425" t="e">
        <v>#NUM!</v>
      </c>
      <c r="X46" s="416"/>
      <c r="Y46" s="424" t="e">
        <v>#NUM!</v>
      </c>
      <c r="Z46" s="422" t="e">
        <f>_xll.qlSimpleQuoteSetValue(F46,Y46,Trigger)</f>
        <v>#NUM!</v>
      </c>
      <c r="AA46" s="137"/>
      <c r="AF46" s="412" t="e">
        <f t="shared" si="0"/>
        <v>#VALUE!</v>
      </c>
      <c r="AH46" s="143"/>
      <c r="AI46" s="142">
        <v>40</v>
      </c>
      <c r="AJ46" s="140" t="b">
        <v>1</v>
      </c>
      <c r="AK46" s="140" t="str">
        <v>Z1</v>
      </c>
      <c r="AL46" s="251" t="str">
        <f t="shared" si="2"/>
        <v>GBPFUT3MZ1ConvAdj_Quote</v>
      </c>
      <c r="AM46" s="250" t="str">
        <f>_xll.qlFuturesConvAdjustmentQuote(AL46,IborIndex,AK46,F46,Volatility,MeanReversion,Permanent,ISERROR(Z46),ObjectOverwrite)</f>
        <v>GBPFUT3MZ1ConvAdj_Quote#0002</v>
      </c>
      <c r="AN46" s="72" t="str">
        <f>_xll.ohRangeRetrieveError(AM46)</f>
        <v/>
      </c>
    </row>
    <row r="47" spans="1:40" x14ac:dyDescent="0.2">
      <c r="A47" s="143"/>
      <c r="B47" s="142">
        <v>41</v>
      </c>
      <c r="C47" s="141" t="b">
        <v>1</v>
      </c>
      <c r="D47" s="140" t="str">
        <v>H2</v>
      </c>
      <c r="E47" s="139" t="str">
        <f t="shared" si="3"/>
        <v>GBPFUT3MH2_Quote</v>
      </c>
      <c r="F47" s="138" t="str">
        <f>_xll.qlSimpleQuote(E47,,PriceTickValue,Permanent,Trigger,ObjectOverwrite)</f>
        <v>GBPFUT3MH2_Quote#0000</v>
      </c>
      <c r="G47" s="101" t="str">
        <f>_xll.ohRangeRetrieveError(F47)</f>
        <v/>
      </c>
      <c r="H47" s="137"/>
      <c r="J47" s="143"/>
      <c r="K47" s="429">
        <v>41</v>
      </c>
      <c r="L47" s="428" t="b">
        <v>1</v>
      </c>
      <c r="M47" s="423" t="str">
        <v>H2</v>
      </c>
      <c r="N47" s="427">
        <v>44636</v>
      </c>
      <c r="O47" s="423" t="str">
        <v>FSSH2</v>
      </c>
      <c r="P47" s="426" t="s">
        <v>233</v>
      </c>
      <c r="Q47" s="423" t="s">
        <v>233</v>
      </c>
      <c r="R47" s="423" t="s">
        <v>233</v>
      </c>
      <c r="S47" s="423" t="s">
        <v>233</v>
      </c>
      <c r="T47" s="423" t="s">
        <v>233</v>
      </c>
      <c r="U47" s="422" t="e">
        <f>_xll.qlMidSafe($Q47,$R47)</f>
        <v>#NUM!</v>
      </c>
      <c r="V47" s="416"/>
      <c r="W47" s="425" t="e">
        <v>#NUM!</v>
      </c>
      <c r="X47" s="416"/>
      <c r="Y47" s="424" t="e">
        <v>#NUM!</v>
      </c>
      <c r="Z47" s="422" t="e">
        <f>_xll.qlSimpleQuoteSetValue(F47,Y47,Trigger)</f>
        <v>#NUM!</v>
      </c>
      <c r="AA47" s="137"/>
      <c r="AF47" s="412" t="e">
        <f t="shared" si="0"/>
        <v>#VALUE!</v>
      </c>
      <c r="AH47" s="143"/>
      <c r="AI47" s="142">
        <v>41</v>
      </c>
      <c r="AJ47" s="140" t="b">
        <v>1</v>
      </c>
      <c r="AK47" s="140" t="str">
        <v>H2</v>
      </c>
      <c r="AL47" s="251" t="str">
        <f t="shared" si="2"/>
        <v>GBPFUT3MH2ConvAdj_Quote</v>
      </c>
      <c r="AM47" s="250" t="str">
        <f>_xll.qlFuturesConvAdjustmentQuote(AL47,IborIndex,AK47,F47,Volatility,MeanReversion,Permanent,ISERROR(Z47),ObjectOverwrite)</f>
        <v>GBPFUT3MH2ConvAdj_Quote#0002</v>
      </c>
      <c r="AN47" s="72" t="str">
        <f>_xll.ohRangeRetrieveError(AM47)</f>
        <v/>
      </c>
    </row>
    <row r="48" spans="1:40" x14ac:dyDescent="0.2">
      <c r="A48" s="143"/>
      <c r="B48" s="142">
        <v>42</v>
      </c>
      <c r="C48" s="141" t="b">
        <v>1</v>
      </c>
      <c r="D48" s="140" t="str">
        <v>M2</v>
      </c>
      <c r="E48" s="139" t="str">
        <f t="shared" si="3"/>
        <v>GBPFUT3MM2_Quote</v>
      </c>
      <c r="F48" s="138" t="str">
        <f>_xll.qlSimpleQuote(E48,,PriceTickValue,Permanent,Trigger,ObjectOverwrite)</f>
        <v>GBPFUT3MM2_Quote#0000</v>
      </c>
      <c r="G48" s="101" t="str">
        <f>_xll.ohRangeRetrieveError(F48)</f>
        <v/>
      </c>
      <c r="H48" s="137"/>
      <c r="J48" s="143"/>
      <c r="K48" s="421">
        <v>42</v>
      </c>
      <c r="L48" s="420" t="b">
        <v>1</v>
      </c>
      <c r="M48" s="414" t="str">
        <v>M2</v>
      </c>
      <c r="N48" s="419">
        <v>44727</v>
      </c>
      <c r="O48" s="414" t="str">
        <v>FSSM2</v>
      </c>
      <c r="P48" s="418" t="s">
        <v>233</v>
      </c>
      <c r="Q48" s="414" t="s">
        <v>233</v>
      </c>
      <c r="R48" s="414" t="s">
        <v>233</v>
      </c>
      <c r="S48" s="414" t="s">
        <v>233</v>
      </c>
      <c r="T48" s="414" t="s">
        <v>233</v>
      </c>
      <c r="U48" s="413" t="e">
        <f>_xll.qlMidSafe($Q48,$R48)</f>
        <v>#NUM!</v>
      </c>
      <c r="V48" s="416"/>
      <c r="W48" s="417" t="e">
        <v>#NUM!</v>
      </c>
      <c r="X48" s="416"/>
      <c r="Y48" s="415" t="e">
        <v>#NUM!</v>
      </c>
      <c r="Z48" s="413" t="e">
        <f>_xll.qlSimpleQuoteSetValue(F48,Y48,Trigger)</f>
        <v>#NUM!</v>
      </c>
      <c r="AA48" s="137"/>
      <c r="AH48" s="143"/>
      <c r="AI48" s="142">
        <v>42</v>
      </c>
      <c r="AJ48" s="140" t="b">
        <v>1</v>
      </c>
      <c r="AK48" s="140" t="str">
        <v>M2</v>
      </c>
      <c r="AL48" s="251" t="str">
        <f t="shared" si="2"/>
        <v>GBPFUT3MM2ConvAdj_Quote</v>
      </c>
      <c r="AM48" s="250" t="str">
        <f>_xll.qlFuturesConvAdjustmentQuote(AL48,IborIndex,AK48,F48,Volatility,MeanReversion,Permanent,ISERROR(Z48),ObjectOverwrite)</f>
        <v>GBPFUT3MM2ConvAdj_Quote#0002</v>
      </c>
      <c r="AN48" s="72" t="str">
        <f>_xll.ohRangeRetrieveError(AM48)</f>
        <v/>
      </c>
    </row>
    <row r="49" spans="1:27" ht="12" thickBot="1" x14ac:dyDescent="0.25">
      <c r="A49" s="136"/>
      <c r="B49" s="135"/>
      <c r="C49" s="135"/>
      <c r="D49" s="135"/>
      <c r="E49" s="135"/>
      <c r="F49" s="135"/>
      <c r="G49" s="135"/>
      <c r="H49" s="134"/>
      <c r="J49" s="136"/>
      <c r="K49" s="135"/>
      <c r="L49" s="135"/>
      <c r="M49" s="135"/>
      <c r="N49" s="135"/>
      <c r="O49" s="135"/>
      <c r="P49" s="135"/>
      <c r="Q49" s="135"/>
      <c r="R49" s="135"/>
      <c r="S49" s="135"/>
      <c r="T49" s="135"/>
      <c r="U49" s="135"/>
      <c r="V49" s="135"/>
      <c r="W49" s="135"/>
      <c r="X49" s="135"/>
      <c r="Y49" s="135"/>
      <c r="Z49" s="135"/>
      <c r="AA49" s="134"/>
    </row>
    <row r="57" spans="1:27" x14ac:dyDescent="0.2">
      <c r="U57" s="649" t="s">
        <v>365</v>
      </c>
    </row>
  </sheetData>
  <conditionalFormatting sqref="Z7:Z48">
    <cfRule type="cellIs" dxfId="27" priority="1" stopIfTrue="1" operator="greaterThan">
      <formula>0</formula>
    </cfRule>
    <cfRule type="cellIs" dxfId="26" priority="2" stopIfTrue="1" operator="lessThan">
      <formula>0</formula>
    </cfRule>
  </conditionalFormatting>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G125"/>
  <sheetViews>
    <sheetView workbookViewId="0"/>
  </sheetViews>
  <sheetFormatPr defaultRowHeight="11.25" x14ac:dyDescent="0.2"/>
  <cols>
    <col min="1" max="1" width="2.7109375" style="65" customWidth="1"/>
    <col min="2" max="2" width="3.5703125" style="65" bestFit="1" customWidth="1"/>
    <col min="3" max="3" width="5.7109375" style="65" bestFit="1" customWidth="1"/>
    <col min="4" max="4" width="6.5703125" style="65" bestFit="1" customWidth="1"/>
    <col min="5" max="5" width="20.140625" style="65" bestFit="1" customWidth="1"/>
    <col min="6" max="6" width="23.140625" style="65" bestFit="1" customWidth="1"/>
    <col min="7" max="7" width="33.85546875" style="65" customWidth="1"/>
    <col min="8" max="10" width="2.7109375" style="65" customWidth="1"/>
    <col min="11" max="13" width="9.140625" style="65"/>
    <col min="14" max="14" width="14" style="65" bestFit="1" customWidth="1"/>
    <col min="15" max="21" width="9.140625" style="65"/>
    <col min="22" max="22" width="2.7109375" style="65" customWidth="1"/>
    <col min="23" max="23" width="9.140625" style="65"/>
    <col min="24" max="24" width="2.7109375" style="65" customWidth="1"/>
    <col min="25" max="25" width="18.85546875" style="65" bestFit="1" customWidth="1"/>
    <col min="26" max="27" width="9.140625" style="65"/>
    <col min="28" max="28" width="2.7109375" style="65" customWidth="1"/>
    <col min="29" max="16384" width="9.140625" style="65"/>
  </cols>
  <sheetData>
    <row r="1" spans="1:33" x14ac:dyDescent="0.2">
      <c r="J1" s="154" t="s">
        <v>353</v>
      </c>
      <c r="K1" s="229"/>
      <c r="L1" s="229"/>
      <c r="M1" s="229"/>
      <c r="N1" s="229"/>
      <c r="O1" s="229"/>
      <c r="P1" s="229"/>
      <c r="Q1" s="229"/>
      <c r="R1" s="229"/>
      <c r="S1" s="229"/>
      <c r="T1" s="229"/>
      <c r="U1" s="229"/>
      <c r="V1" s="230"/>
      <c r="W1" s="230"/>
      <c r="X1" s="229"/>
      <c r="Y1" s="229"/>
      <c r="Z1" s="229"/>
      <c r="AA1" s="229"/>
      <c r="AB1" s="150"/>
    </row>
    <row r="2" spans="1:33" ht="23.25" thickBot="1" x14ac:dyDescent="0.25">
      <c r="J2" s="149"/>
      <c r="K2" s="238"/>
      <c r="L2" s="456"/>
      <c r="M2" s="456"/>
      <c r="O2" s="140" t="s">
        <v>275</v>
      </c>
      <c r="P2" s="238"/>
      <c r="Q2" s="238"/>
      <c r="R2" s="238"/>
      <c r="S2" s="238"/>
      <c r="T2" s="238"/>
      <c r="U2" s="238"/>
      <c r="V2" s="416"/>
      <c r="W2" s="416"/>
      <c r="X2" s="238"/>
      <c r="Y2" s="455" t="s">
        <v>287</v>
      </c>
      <c r="Z2" s="454" t="s">
        <v>131</v>
      </c>
      <c r="AA2" s="238"/>
      <c r="AB2" s="452"/>
    </row>
    <row r="3" spans="1:33" x14ac:dyDescent="0.2">
      <c r="A3" s="109" t="s">
        <v>346</v>
      </c>
      <c r="B3" s="153"/>
      <c r="C3" s="153"/>
      <c r="D3" s="152" t="s">
        <v>177</v>
      </c>
      <c r="E3" s="152" t="s">
        <v>8</v>
      </c>
      <c r="F3" s="151"/>
      <c r="G3" s="151"/>
      <c r="H3" s="150"/>
      <c r="J3" s="149"/>
      <c r="K3" s="238"/>
      <c r="L3" s="238"/>
      <c r="M3" s="238"/>
      <c r="N3" s="238"/>
      <c r="O3" s="238"/>
      <c r="P3" s="238"/>
      <c r="Q3" s="238"/>
      <c r="R3" s="238"/>
      <c r="S3" s="238"/>
      <c r="T3" s="238"/>
      <c r="U3" s="238"/>
      <c r="V3" s="416"/>
      <c r="W3" s="416"/>
      <c r="X3" s="238"/>
      <c r="Z3" s="238"/>
      <c r="AA3" s="238"/>
      <c r="AB3" s="452"/>
    </row>
    <row r="4" spans="1:33" ht="22.5" x14ac:dyDescent="0.2">
      <c r="A4" s="149"/>
      <c r="B4" s="90" t="s">
        <v>175</v>
      </c>
      <c r="C4" s="91" t="s">
        <v>174</v>
      </c>
      <c r="D4" s="91" t="s">
        <v>173</v>
      </c>
      <c r="E4" s="89" t="str">
        <f>Currency&amp;"_010_"&amp;$D$3&amp;$E$3&amp;".xml"</f>
        <v>GBP_010_IMMFRA6M.xml</v>
      </c>
      <c r="F4" s="88">
        <f ca="1">IF(Serialize,_xll.ohObjectSave(F5:F124,SerializationPath&amp;E4,FileOverwrite,Serialize),"---")</f>
        <v>120</v>
      </c>
      <c r="G4" s="104" t="str">
        <f ca="1">_xll.ohRangeRetrieveError(F4)</f>
        <v/>
      </c>
      <c r="H4" s="137"/>
      <c r="J4" s="149"/>
      <c r="K4" s="238"/>
      <c r="L4" s="238"/>
      <c r="M4" s="238"/>
      <c r="N4" s="465">
        <f>_xll.qlCalendarEndOfMonth("TARGET",_xll.qlCalendarAdvance("TARGET",_xll.qlSettingsEvaluationDate(Trigger),"2d"))</f>
        <v>41670</v>
      </c>
      <c r="O4" s="238"/>
      <c r="P4" s="238"/>
      <c r="Q4" s="238"/>
      <c r="R4" s="238"/>
      <c r="S4" s="238"/>
      <c r="T4" s="238"/>
      <c r="U4" s="238"/>
      <c r="V4" s="416"/>
      <c r="W4" s="416"/>
      <c r="X4" s="238"/>
      <c r="Y4" s="416" t="s">
        <v>303</v>
      </c>
      <c r="Z4" s="238"/>
      <c r="AA4" s="453">
        <f>_xll.ohTrigger(AA6:AA9)</f>
        <v>0</v>
      </c>
      <c r="AB4" s="452"/>
    </row>
    <row r="5" spans="1:33" ht="22.5" x14ac:dyDescent="0.2">
      <c r="A5" s="143"/>
      <c r="B5" s="148">
        <v>1</v>
      </c>
      <c r="C5" s="147" t="b">
        <v>0</v>
      </c>
      <c r="D5" s="146" t="str">
        <f t="array" ref="D5:D124">_xll.qlIMMNextCodes(_xll.qlSettingsEvaluationDate(Trigger)-1,$C5:$C124)</f>
        <v>F4</v>
      </c>
      <c r="E5" s="139" t="str">
        <f t="shared" ref="E5:E36" si="0">Currency&amp;$D$3&amp;$E$3&amp;$D5&amp;QuoteSuffix</f>
        <v>GBPIMMFRA6MF4_Quote</v>
      </c>
      <c r="F5" s="145" t="str">
        <f>_xll.qlSimpleQuote(E5,,PriceTickValue,Permanent,Trigger,ObjectOverwrite)</f>
        <v>GBPIMMFRA6MF4_Quote#0000</v>
      </c>
      <c r="G5" s="144" t="str">
        <f>_xll.ohRangeRetrieveError(F5)</f>
        <v/>
      </c>
      <c r="H5" s="137"/>
      <c r="J5" s="149"/>
      <c r="K5" s="463" t="s">
        <v>175</v>
      </c>
      <c r="L5" s="458" t="s">
        <v>174</v>
      </c>
      <c r="M5" s="458" t="s">
        <v>173</v>
      </c>
      <c r="N5" s="458" t="s">
        <v>296</v>
      </c>
      <c r="O5" s="462" t="e">
        <f ca="1">_xll.RData(O6:O9,P5:T5,"RTFEED:IDN",ReutersRtMode,,P6)</f>
        <v>#NAME?</v>
      </c>
      <c r="P5" s="458" t="s">
        <v>295</v>
      </c>
      <c r="Q5" s="458" t="s">
        <v>291</v>
      </c>
      <c r="R5" s="458" t="s">
        <v>264</v>
      </c>
      <c r="S5" s="458" t="s">
        <v>244</v>
      </c>
      <c r="T5" s="458" t="s">
        <v>290</v>
      </c>
      <c r="U5" s="461" t="s">
        <v>289</v>
      </c>
      <c r="V5" s="416"/>
      <c r="W5" s="460" t="s">
        <v>286</v>
      </c>
      <c r="X5" s="416"/>
      <c r="Y5" s="459" t="s">
        <v>241</v>
      </c>
      <c r="Z5" s="458" t="s">
        <v>285</v>
      </c>
      <c r="AA5" s="457" t="s">
        <v>284</v>
      </c>
      <c r="AB5" s="137"/>
      <c r="AG5" s="406" t="s">
        <v>288</v>
      </c>
    </row>
    <row r="6" spans="1:33" x14ac:dyDescent="0.2">
      <c r="A6" s="143"/>
      <c r="B6" s="142">
        <v>2</v>
      </c>
      <c r="C6" s="141" t="b">
        <v>0</v>
      </c>
      <c r="D6" s="140" t="str">
        <v>G4</v>
      </c>
      <c r="E6" s="139" t="str">
        <f t="shared" si="0"/>
        <v>GBPIMMFRA6MG4_Quote</v>
      </c>
      <c r="F6" s="138" t="str">
        <f>_xll.qlSimpleQuote(E6,,PriceTickValue,Permanent,Trigger,ObjectOverwrite)</f>
        <v>GBPIMMFRA6MG4_Quote#0000</v>
      </c>
      <c r="G6" s="101" t="str">
        <f>_xll.ohRangeRetrieveError(F6)</f>
        <v/>
      </c>
      <c r="H6" s="137"/>
      <c r="J6" s="143"/>
      <c r="K6" s="442">
        <v>1</v>
      </c>
      <c r="L6" s="441" t="b">
        <v>0</v>
      </c>
      <c r="M6" s="436" t="str">
        <f t="array" ref="M6:M9">_xll.qlIMMcode(FuturesDates)</f>
        <v>G4</v>
      </c>
      <c r="N6" s="440">
        <f t="array" ref="N6:N9">_xll.qlIMMNextDates(N4,$L6:$L9)</f>
        <v>41689</v>
      </c>
      <c r="O6" s="436" t="str">
        <f t="array" ref="O6:O9">Currency&amp;"6F"&amp;K6:K9&amp;"="&amp;VLOOKUP(Contributor,ContributorTable,2,FALSE)</f>
        <v>GBP6F1=ICAP</v>
      </c>
      <c r="P6" s="439" t="s">
        <v>302</v>
      </c>
      <c r="Q6" s="436">
        <v>0.61499999999999999</v>
      </c>
      <c r="R6" s="436">
        <v>0.67500000000000004</v>
      </c>
      <c r="S6" s="436">
        <v>0</v>
      </c>
      <c r="T6" s="436">
        <v>0</v>
      </c>
      <c r="U6" s="435">
        <f>100-_xll.qlMidSafe($Q6,$R6)</f>
        <v>99.355000000000004</v>
      </c>
      <c r="V6" s="416"/>
      <c r="W6" s="438">
        <v>99.344999999999999</v>
      </c>
      <c r="X6" s="416"/>
      <c r="Y6" s="437" t="str">
        <f t="array" ref="Y6:Y9">Currency&amp;Y4&amp;FuturesCodes&amp;$Z$2</f>
        <v>GBPIMMFRA6MG4_Quote</v>
      </c>
      <c r="Z6" s="436">
        <f t="array" ref="Z6:Z9">QuoteLive</f>
        <v>99.355000000000004</v>
      </c>
      <c r="AA6" s="435" t="e">
        <f>_xll.qlSimpleQuoteSetValue($Y6,$Z6,Trigger)</f>
        <v>#N/A</v>
      </c>
      <c r="AB6" s="137"/>
      <c r="AG6" s="412">
        <f>(R6-Q6)/100</f>
        <v>6.0000000000000049E-4</v>
      </c>
    </row>
    <row r="7" spans="1:33" x14ac:dyDescent="0.2">
      <c r="A7" s="143"/>
      <c r="B7" s="142">
        <v>3</v>
      </c>
      <c r="C7" s="141" t="b">
        <v>0</v>
      </c>
      <c r="D7" s="140" t="str">
        <v>H4</v>
      </c>
      <c r="E7" s="139" t="str">
        <f t="shared" si="0"/>
        <v>GBPIMMFRA6MH4_Quote</v>
      </c>
      <c r="F7" s="138" t="str">
        <f>_xll.qlSimpleQuote(E7,,PriceTickValue,Permanent,Trigger,ObjectOverwrite)</f>
        <v>GBPIMMFRA6MH4_Quote#0000</v>
      </c>
      <c r="G7" s="101" t="str">
        <f>_xll.ohRangeRetrieveError(F7)</f>
        <v/>
      </c>
      <c r="H7" s="137"/>
      <c r="J7" s="143"/>
      <c r="K7" s="429">
        <v>2</v>
      </c>
      <c r="L7" s="428" t="b">
        <v>0</v>
      </c>
      <c r="M7" s="423" t="str">
        <v>H4</v>
      </c>
      <c r="N7" s="427">
        <v>41717</v>
      </c>
      <c r="O7" s="423" t="str">
        <v>GBP6F2=ICAP</v>
      </c>
      <c r="P7" s="426" t="s">
        <v>302</v>
      </c>
      <c r="Q7" s="423">
        <v>0.63</v>
      </c>
      <c r="R7" s="423">
        <v>0.69</v>
      </c>
      <c r="S7" s="423">
        <v>0</v>
      </c>
      <c r="T7" s="423">
        <v>0</v>
      </c>
      <c r="U7" s="422">
        <f>100-_xll.qlMidSafe($Q7,$R7)</f>
        <v>99.34</v>
      </c>
      <c r="V7" s="416"/>
      <c r="W7" s="434">
        <v>99.36</v>
      </c>
      <c r="X7" s="416"/>
      <c r="Y7" s="424" t="str">
        <v>GBPIMMFRA6MH4_Quote</v>
      </c>
      <c r="Z7" s="423">
        <v>99.34</v>
      </c>
      <c r="AA7" s="422" t="e">
        <f>_xll.qlSimpleQuoteSetValue($Y7,$Z7,Trigger)</f>
        <v>#N/A</v>
      </c>
      <c r="AB7" s="137"/>
      <c r="AG7" s="412">
        <f>(R7-Q7)/100</f>
        <v>5.9999999999999941E-4</v>
      </c>
    </row>
    <row r="8" spans="1:33" x14ac:dyDescent="0.2">
      <c r="A8" s="143"/>
      <c r="B8" s="142">
        <v>4</v>
      </c>
      <c r="C8" s="141" t="b">
        <v>0</v>
      </c>
      <c r="D8" s="140" t="str">
        <v>J4</v>
      </c>
      <c r="E8" s="139" t="str">
        <f t="shared" si="0"/>
        <v>GBPIMMFRA6MJ4_Quote</v>
      </c>
      <c r="F8" s="138" t="str">
        <f>_xll.qlSimpleQuote(E8,,PriceTickValue,Permanent,Trigger,ObjectOverwrite)</f>
        <v>GBPIMMFRA6MJ4_Quote#0000</v>
      </c>
      <c r="G8" s="101" t="str">
        <f>_xll.ohRangeRetrieveError(F8)</f>
        <v/>
      </c>
      <c r="H8" s="137"/>
      <c r="J8" s="143"/>
      <c r="K8" s="429">
        <v>3</v>
      </c>
      <c r="L8" s="428" t="b">
        <v>0</v>
      </c>
      <c r="M8" s="423" t="str">
        <v>J4</v>
      </c>
      <c r="N8" s="427">
        <v>41745</v>
      </c>
      <c r="O8" s="423" t="str">
        <v>GBP6F3=ICAP</v>
      </c>
      <c r="P8" s="426" t="s">
        <v>302</v>
      </c>
      <c r="Q8" s="423">
        <v>0.64</v>
      </c>
      <c r="R8" s="423">
        <v>0.7</v>
      </c>
      <c r="S8" s="423">
        <v>0</v>
      </c>
      <c r="T8" s="423">
        <v>0</v>
      </c>
      <c r="U8" s="422">
        <f>100-_xll.qlMidSafe($Q8,$R8)</f>
        <v>99.33</v>
      </c>
      <c r="V8" s="416"/>
      <c r="W8" s="434">
        <v>99.364999999999995</v>
      </c>
      <c r="X8" s="416"/>
      <c r="Y8" s="424" t="str">
        <v>GBPIMMFRA6MJ4_Quote</v>
      </c>
      <c r="Z8" s="423">
        <v>99.33</v>
      </c>
      <c r="AA8" s="422" t="e">
        <f>_xll.qlSimpleQuoteSetValue($Y8,$Z8,Trigger)</f>
        <v>#N/A</v>
      </c>
      <c r="AB8" s="137"/>
      <c r="AG8" s="412">
        <f>(R8-Q8)/100</f>
        <v>5.9999999999999941E-4</v>
      </c>
    </row>
    <row r="9" spans="1:33" x14ac:dyDescent="0.2">
      <c r="A9" s="143"/>
      <c r="B9" s="142">
        <v>5</v>
      </c>
      <c r="C9" s="141" t="b">
        <v>0</v>
      </c>
      <c r="D9" s="140" t="str">
        <v>K4</v>
      </c>
      <c r="E9" s="139" t="str">
        <f t="shared" si="0"/>
        <v>GBPIMMFRA6MK4_Quote</v>
      </c>
      <c r="F9" s="138" t="str">
        <f>_xll.qlSimpleQuote(E9,,PriceTickValue,Permanent,Trigger,ObjectOverwrite)</f>
        <v>GBPIMMFRA6MK4_Quote#0000</v>
      </c>
      <c r="G9" s="101" t="str">
        <f>_xll.ohRangeRetrieveError(F9)</f>
        <v/>
      </c>
      <c r="H9" s="137"/>
      <c r="J9" s="143"/>
      <c r="K9" s="421">
        <v>4</v>
      </c>
      <c r="L9" s="420" t="b">
        <v>0</v>
      </c>
      <c r="M9" s="414" t="str">
        <v>K4</v>
      </c>
      <c r="N9" s="419">
        <v>41780</v>
      </c>
      <c r="O9" s="414" t="str">
        <v>GBP6F4=ICAP</v>
      </c>
      <c r="P9" s="418" t="s">
        <v>302</v>
      </c>
      <c r="Q9" s="414">
        <v>0.67</v>
      </c>
      <c r="R9" s="414">
        <v>0.73</v>
      </c>
      <c r="S9" s="414">
        <v>0</v>
      </c>
      <c r="T9" s="414">
        <v>0</v>
      </c>
      <c r="U9" s="413">
        <f>100-_xll.qlMidSafe($Q9,$R9)</f>
        <v>99.3</v>
      </c>
      <c r="V9" s="416"/>
      <c r="W9" s="464">
        <v>99.36</v>
      </c>
      <c r="X9" s="416"/>
      <c r="Y9" s="415" t="str">
        <v>GBPIMMFRA6MK4_Quote</v>
      </c>
      <c r="Z9" s="414">
        <v>99.3</v>
      </c>
      <c r="AA9" s="413" t="e">
        <f>_xll.qlSimpleQuoteSetValue($Y9,$Z9,Trigger)</f>
        <v>#N/A</v>
      </c>
      <c r="AB9" s="137"/>
      <c r="AG9" s="412">
        <f>(R9-Q9)/100</f>
        <v>5.9999999999999941E-4</v>
      </c>
    </row>
    <row r="10" spans="1:33" ht="12" thickBot="1" x14ac:dyDescent="0.25">
      <c r="A10" s="143"/>
      <c r="B10" s="142">
        <v>6</v>
      </c>
      <c r="C10" s="141" t="b">
        <v>0</v>
      </c>
      <c r="D10" s="140" t="str">
        <v>M4</v>
      </c>
      <c r="E10" s="139" t="str">
        <f t="shared" si="0"/>
        <v>GBPIMMFRA6MM4_Quote</v>
      </c>
      <c r="F10" s="138" t="str">
        <f>_xll.qlSimpleQuote(E10,,PriceTickValue,Permanent,Trigger,ObjectOverwrite)</f>
        <v>GBPIMMFRA6MM4_Quote#0000</v>
      </c>
      <c r="G10" s="101" t="str">
        <f>_xll.ohRangeRetrieveError(F10)</f>
        <v/>
      </c>
      <c r="H10" s="137"/>
      <c r="J10" s="136"/>
      <c r="K10" s="135"/>
      <c r="L10" s="135"/>
      <c r="M10" s="135"/>
      <c r="N10" s="135"/>
      <c r="O10" s="135"/>
      <c r="P10" s="135"/>
      <c r="Q10" s="135"/>
      <c r="R10" s="135"/>
      <c r="S10" s="135"/>
      <c r="T10" s="135"/>
      <c r="U10" s="135"/>
      <c r="V10" s="135"/>
      <c r="W10" s="135"/>
      <c r="X10" s="135"/>
      <c r="Y10" s="135"/>
      <c r="Z10" s="135"/>
      <c r="AA10" s="135"/>
      <c r="AB10" s="134"/>
    </row>
    <row r="11" spans="1:33" x14ac:dyDescent="0.2">
      <c r="A11" s="143"/>
      <c r="B11" s="142">
        <v>7</v>
      </c>
      <c r="C11" s="141" t="b">
        <v>0</v>
      </c>
      <c r="D11" s="140" t="str">
        <v>N4</v>
      </c>
      <c r="E11" s="139" t="str">
        <f t="shared" si="0"/>
        <v>GBPIMMFRA6MN4_Quote</v>
      </c>
      <c r="F11" s="138" t="str">
        <f>_xll.qlSimpleQuote(E11,,PriceTickValue,Permanent,Trigger,ObjectOverwrite)</f>
        <v>GBPIMMFRA6MN4_Quote#0000</v>
      </c>
      <c r="G11" s="101" t="str">
        <f>_xll.ohRangeRetrieveError(F11)</f>
        <v/>
      </c>
      <c r="H11" s="137"/>
    </row>
    <row r="12" spans="1:33" x14ac:dyDescent="0.2">
      <c r="A12" s="143"/>
      <c r="B12" s="142">
        <v>8</v>
      </c>
      <c r="C12" s="141" t="b">
        <v>0</v>
      </c>
      <c r="D12" s="140" t="str">
        <v>Q4</v>
      </c>
      <c r="E12" s="139" t="str">
        <f t="shared" si="0"/>
        <v>GBPIMMFRA6MQ4_Quote</v>
      </c>
      <c r="F12" s="138" t="str">
        <f>_xll.qlSimpleQuote(E12,,PriceTickValue,Permanent,Trigger,ObjectOverwrite)</f>
        <v>GBPIMMFRA6MQ4_Quote#0000</v>
      </c>
      <c r="G12" s="101" t="str">
        <f>_xll.ohRangeRetrieveError(F12)</f>
        <v/>
      </c>
      <c r="H12" s="137"/>
    </row>
    <row r="13" spans="1:33" x14ac:dyDescent="0.2">
      <c r="A13" s="143"/>
      <c r="B13" s="142">
        <v>9</v>
      </c>
      <c r="C13" s="141" t="b">
        <v>0</v>
      </c>
      <c r="D13" s="140" t="str">
        <v>U4</v>
      </c>
      <c r="E13" s="139" t="str">
        <f t="shared" si="0"/>
        <v>GBPIMMFRA6MU4_Quote</v>
      </c>
      <c r="F13" s="138" t="str">
        <f>_xll.qlSimpleQuote(E13,,PriceTickValue,Permanent,Trigger,ObjectOverwrite)</f>
        <v>GBPIMMFRA6MU4_Quote#0000</v>
      </c>
      <c r="G13" s="101" t="str">
        <f>_xll.ohRangeRetrieveError(F13)</f>
        <v/>
      </c>
      <c r="H13" s="137"/>
    </row>
    <row r="14" spans="1:33" x14ac:dyDescent="0.2">
      <c r="A14" s="143"/>
      <c r="B14" s="142">
        <v>10</v>
      </c>
      <c r="C14" s="141" t="b">
        <v>0</v>
      </c>
      <c r="D14" s="140" t="str">
        <v>V4</v>
      </c>
      <c r="E14" s="139" t="str">
        <f t="shared" si="0"/>
        <v>GBPIMMFRA6MV4_Quote</v>
      </c>
      <c r="F14" s="138" t="str">
        <f>_xll.qlSimpleQuote(E14,,PriceTickValue,Permanent,Trigger,ObjectOverwrite)</f>
        <v>GBPIMMFRA6MV4_Quote#0000</v>
      </c>
      <c r="G14" s="101" t="str">
        <f>_xll.ohRangeRetrieveError(F14)</f>
        <v/>
      </c>
      <c r="H14" s="137"/>
    </row>
    <row r="15" spans="1:33" x14ac:dyDescent="0.2">
      <c r="A15" s="143"/>
      <c r="B15" s="142">
        <v>11</v>
      </c>
      <c r="C15" s="141" t="b">
        <v>0</v>
      </c>
      <c r="D15" s="140" t="str">
        <v>X4</v>
      </c>
      <c r="E15" s="139" t="str">
        <f t="shared" si="0"/>
        <v>GBPIMMFRA6MX4_Quote</v>
      </c>
      <c r="F15" s="138" t="str">
        <f>_xll.qlSimpleQuote(E15,,PriceTickValue,Permanent,Trigger,ObjectOverwrite)</f>
        <v>GBPIMMFRA6MX4_Quote#0000</v>
      </c>
      <c r="G15" s="101" t="str">
        <f>_xll.ohRangeRetrieveError(F15)</f>
        <v/>
      </c>
      <c r="H15" s="137"/>
    </row>
    <row r="16" spans="1:33" x14ac:dyDescent="0.2">
      <c r="A16" s="143"/>
      <c r="B16" s="142">
        <v>12</v>
      </c>
      <c r="C16" s="141" t="b">
        <v>0</v>
      </c>
      <c r="D16" s="140" t="str">
        <v>Z4</v>
      </c>
      <c r="E16" s="139" t="str">
        <f t="shared" si="0"/>
        <v>GBPIMMFRA6MZ4_Quote</v>
      </c>
      <c r="F16" s="138" t="str">
        <f>_xll.qlSimpleQuote(E16,,PriceTickValue,Permanent,Trigger,ObjectOverwrite)</f>
        <v>GBPIMMFRA6MZ4_Quote#0000</v>
      </c>
      <c r="G16" s="101" t="str">
        <f>_xll.ohRangeRetrieveError(F16)</f>
        <v/>
      </c>
      <c r="H16" s="137"/>
    </row>
    <row r="17" spans="1:8" x14ac:dyDescent="0.2">
      <c r="A17" s="143"/>
      <c r="B17" s="142">
        <v>13</v>
      </c>
      <c r="C17" s="141" t="b">
        <v>0</v>
      </c>
      <c r="D17" s="140" t="str">
        <v>F5</v>
      </c>
      <c r="E17" s="139" t="str">
        <f t="shared" si="0"/>
        <v>GBPIMMFRA6MF5_Quote</v>
      </c>
      <c r="F17" s="138" t="str">
        <f>_xll.qlSimpleQuote(E17,,PriceTickValue,Permanent,Trigger,ObjectOverwrite)</f>
        <v>GBPIMMFRA6MF5_Quote#0000</v>
      </c>
      <c r="G17" s="101" t="str">
        <f>_xll.ohRangeRetrieveError(F17)</f>
        <v/>
      </c>
      <c r="H17" s="137"/>
    </row>
    <row r="18" spans="1:8" x14ac:dyDescent="0.2">
      <c r="A18" s="143"/>
      <c r="B18" s="142">
        <v>14</v>
      </c>
      <c r="C18" s="141" t="b">
        <v>0</v>
      </c>
      <c r="D18" s="140" t="str">
        <v>G5</v>
      </c>
      <c r="E18" s="139" t="str">
        <f t="shared" si="0"/>
        <v>GBPIMMFRA6MG5_Quote</v>
      </c>
      <c r="F18" s="138" t="str">
        <f>_xll.qlSimpleQuote(E18,,PriceTickValue,Permanent,Trigger,ObjectOverwrite)</f>
        <v>GBPIMMFRA6MG5_Quote#0000</v>
      </c>
      <c r="G18" s="101" t="str">
        <f>_xll.ohRangeRetrieveError(F18)</f>
        <v/>
      </c>
      <c r="H18" s="137"/>
    </row>
    <row r="19" spans="1:8" x14ac:dyDescent="0.2">
      <c r="A19" s="143"/>
      <c r="B19" s="142">
        <v>15</v>
      </c>
      <c r="C19" s="141" t="b">
        <v>0</v>
      </c>
      <c r="D19" s="140" t="str">
        <v>H5</v>
      </c>
      <c r="E19" s="139" t="str">
        <f t="shared" si="0"/>
        <v>GBPIMMFRA6MH5_Quote</v>
      </c>
      <c r="F19" s="138" t="str">
        <f>_xll.qlSimpleQuote(E19,,PriceTickValue,Permanent,Trigger,ObjectOverwrite)</f>
        <v>GBPIMMFRA6MH5_Quote#0000</v>
      </c>
      <c r="G19" s="101" t="str">
        <f>_xll.ohRangeRetrieveError(F19)</f>
        <v/>
      </c>
      <c r="H19" s="137"/>
    </row>
    <row r="20" spans="1:8" x14ac:dyDescent="0.2">
      <c r="A20" s="143"/>
      <c r="B20" s="142">
        <v>16</v>
      </c>
      <c r="C20" s="141" t="b">
        <v>0</v>
      </c>
      <c r="D20" s="140" t="str">
        <v>J5</v>
      </c>
      <c r="E20" s="139" t="str">
        <f t="shared" si="0"/>
        <v>GBPIMMFRA6MJ5_Quote</v>
      </c>
      <c r="F20" s="138" t="str">
        <f>_xll.qlSimpleQuote(E20,,PriceTickValue,Permanent,Trigger,ObjectOverwrite)</f>
        <v>GBPIMMFRA6MJ5_Quote#0000</v>
      </c>
      <c r="G20" s="101" t="str">
        <f>_xll.ohRangeRetrieveError(F20)</f>
        <v/>
      </c>
      <c r="H20" s="137"/>
    </row>
    <row r="21" spans="1:8" x14ac:dyDescent="0.2">
      <c r="A21" s="143"/>
      <c r="B21" s="142">
        <v>17</v>
      </c>
      <c r="C21" s="141" t="b">
        <v>0</v>
      </c>
      <c r="D21" s="140" t="str">
        <v>K5</v>
      </c>
      <c r="E21" s="139" t="str">
        <f t="shared" si="0"/>
        <v>GBPIMMFRA6MK5_Quote</v>
      </c>
      <c r="F21" s="138" t="str">
        <f>_xll.qlSimpleQuote(E21,,PriceTickValue,Permanent,Trigger,ObjectOverwrite)</f>
        <v>GBPIMMFRA6MK5_Quote#0000</v>
      </c>
      <c r="G21" s="101" t="str">
        <f>_xll.ohRangeRetrieveError(F21)</f>
        <v/>
      </c>
      <c r="H21" s="137"/>
    </row>
    <row r="22" spans="1:8" x14ac:dyDescent="0.2">
      <c r="A22" s="143"/>
      <c r="B22" s="142">
        <v>18</v>
      </c>
      <c r="C22" s="141" t="b">
        <v>0</v>
      </c>
      <c r="D22" s="140" t="str">
        <v>M5</v>
      </c>
      <c r="E22" s="139" t="str">
        <f t="shared" si="0"/>
        <v>GBPIMMFRA6MM5_Quote</v>
      </c>
      <c r="F22" s="138" t="str">
        <f>_xll.qlSimpleQuote(E22,,PriceTickValue,Permanent,Trigger,ObjectOverwrite)</f>
        <v>GBPIMMFRA6MM5_Quote#0000</v>
      </c>
      <c r="G22" s="101" t="str">
        <f>_xll.ohRangeRetrieveError(F22)</f>
        <v/>
      </c>
      <c r="H22" s="137"/>
    </row>
    <row r="23" spans="1:8" x14ac:dyDescent="0.2">
      <c r="A23" s="143"/>
      <c r="B23" s="142">
        <v>19</v>
      </c>
      <c r="C23" s="141" t="b">
        <v>0</v>
      </c>
      <c r="D23" s="140" t="str">
        <v>N5</v>
      </c>
      <c r="E23" s="139" t="str">
        <f t="shared" si="0"/>
        <v>GBPIMMFRA6MN5_Quote</v>
      </c>
      <c r="F23" s="138" t="str">
        <f>_xll.qlSimpleQuote(E23,,PriceTickValue,Permanent,Trigger,ObjectOverwrite)</f>
        <v>GBPIMMFRA6MN5_Quote#0000</v>
      </c>
      <c r="G23" s="101" t="str">
        <f>_xll.ohRangeRetrieveError(F23)</f>
        <v/>
      </c>
      <c r="H23" s="137"/>
    </row>
    <row r="24" spans="1:8" x14ac:dyDescent="0.2">
      <c r="A24" s="143"/>
      <c r="B24" s="142">
        <v>20</v>
      </c>
      <c r="C24" s="141" t="b">
        <v>0</v>
      </c>
      <c r="D24" s="140" t="str">
        <v>Q5</v>
      </c>
      <c r="E24" s="139" t="str">
        <f t="shared" si="0"/>
        <v>GBPIMMFRA6MQ5_Quote</v>
      </c>
      <c r="F24" s="138" t="str">
        <f>_xll.qlSimpleQuote(E24,,PriceTickValue,Permanent,Trigger,ObjectOverwrite)</f>
        <v>GBPIMMFRA6MQ5_Quote#0000</v>
      </c>
      <c r="G24" s="101" t="str">
        <f>_xll.ohRangeRetrieveError(F24)</f>
        <v/>
      </c>
      <c r="H24" s="137"/>
    </row>
    <row r="25" spans="1:8" x14ac:dyDescent="0.2">
      <c r="A25" s="143"/>
      <c r="B25" s="142">
        <v>21</v>
      </c>
      <c r="C25" s="141" t="b">
        <v>0</v>
      </c>
      <c r="D25" s="140" t="str">
        <v>U5</v>
      </c>
      <c r="E25" s="139" t="str">
        <f t="shared" si="0"/>
        <v>GBPIMMFRA6MU5_Quote</v>
      </c>
      <c r="F25" s="138" t="str">
        <f>_xll.qlSimpleQuote(E25,,PriceTickValue,Permanent,Trigger,ObjectOverwrite)</f>
        <v>GBPIMMFRA6MU5_Quote#0000</v>
      </c>
      <c r="G25" s="101" t="str">
        <f>_xll.ohRangeRetrieveError(F25)</f>
        <v/>
      </c>
      <c r="H25" s="137"/>
    </row>
    <row r="26" spans="1:8" x14ac:dyDescent="0.2">
      <c r="A26" s="143"/>
      <c r="B26" s="142">
        <v>22</v>
      </c>
      <c r="C26" s="141" t="b">
        <v>0</v>
      </c>
      <c r="D26" s="140" t="str">
        <v>V5</v>
      </c>
      <c r="E26" s="139" t="str">
        <f t="shared" si="0"/>
        <v>GBPIMMFRA6MV5_Quote</v>
      </c>
      <c r="F26" s="138" t="str">
        <f>_xll.qlSimpleQuote(E26,,PriceTickValue,Permanent,Trigger,ObjectOverwrite)</f>
        <v>GBPIMMFRA6MV5_Quote#0000</v>
      </c>
      <c r="G26" s="101" t="str">
        <f>_xll.ohRangeRetrieveError(F26)</f>
        <v/>
      </c>
      <c r="H26" s="137"/>
    </row>
    <row r="27" spans="1:8" x14ac:dyDescent="0.2">
      <c r="A27" s="143"/>
      <c r="B27" s="142">
        <v>23</v>
      </c>
      <c r="C27" s="141" t="b">
        <v>0</v>
      </c>
      <c r="D27" s="140" t="str">
        <v>X5</v>
      </c>
      <c r="E27" s="139" t="str">
        <f t="shared" si="0"/>
        <v>GBPIMMFRA6MX5_Quote</v>
      </c>
      <c r="F27" s="138" t="str">
        <f>_xll.qlSimpleQuote(E27,,PriceTickValue,Permanent,Trigger,ObjectOverwrite)</f>
        <v>GBPIMMFRA6MX5_Quote#0000</v>
      </c>
      <c r="G27" s="101" t="str">
        <f>_xll.ohRangeRetrieveError(F27)</f>
        <v/>
      </c>
      <c r="H27" s="137"/>
    </row>
    <row r="28" spans="1:8" x14ac:dyDescent="0.2">
      <c r="A28" s="143"/>
      <c r="B28" s="142">
        <v>24</v>
      </c>
      <c r="C28" s="141" t="b">
        <v>0</v>
      </c>
      <c r="D28" s="140" t="str">
        <v>Z5</v>
      </c>
      <c r="E28" s="139" t="str">
        <f t="shared" si="0"/>
        <v>GBPIMMFRA6MZ5_Quote</v>
      </c>
      <c r="F28" s="138" t="str">
        <f>_xll.qlSimpleQuote(E28,,PriceTickValue,Permanent,Trigger,ObjectOverwrite)</f>
        <v>GBPIMMFRA6MZ5_Quote#0000</v>
      </c>
      <c r="G28" s="101" t="str">
        <f>_xll.ohRangeRetrieveError(F28)</f>
        <v/>
      </c>
      <c r="H28" s="137"/>
    </row>
    <row r="29" spans="1:8" x14ac:dyDescent="0.2">
      <c r="A29" s="143"/>
      <c r="B29" s="142">
        <v>25</v>
      </c>
      <c r="C29" s="141" t="b">
        <v>0</v>
      </c>
      <c r="D29" s="140" t="str">
        <v>F6</v>
      </c>
      <c r="E29" s="139" t="str">
        <f t="shared" si="0"/>
        <v>GBPIMMFRA6MF6_Quote</v>
      </c>
      <c r="F29" s="138" t="str">
        <f>_xll.qlSimpleQuote(E29,,PriceTickValue,Permanent,Trigger,ObjectOverwrite)</f>
        <v>GBPIMMFRA6MF6_Quote#0000</v>
      </c>
      <c r="G29" s="101" t="str">
        <f>_xll.ohRangeRetrieveError(F29)</f>
        <v/>
      </c>
      <c r="H29" s="137"/>
    </row>
    <row r="30" spans="1:8" x14ac:dyDescent="0.2">
      <c r="A30" s="143"/>
      <c r="B30" s="142">
        <v>26</v>
      </c>
      <c r="C30" s="141" t="b">
        <v>0</v>
      </c>
      <c r="D30" s="140" t="str">
        <v>G6</v>
      </c>
      <c r="E30" s="139" t="str">
        <f t="shared" si="0"/>
        <v>GBPIMMFRA6MG6_Quote</v>
      </c>
      <c r="F30" s="138" t="str">
        <f>_xll.qlSimpleQuote(E30,,PriceTickValue,Permanent,Trigger,ObjectOverwrite)</f>
        <v>GBPIMMFRA6MG6_Quote#0000</v>
      </c>
      <c r="G30" s="101" t="str">
        <f>_xll.ohRangeRetrieveError(F30)</f>
        <v/>
      </c>
      <c r="H30" s="137"/>
    </row>
    <row r="31" spans="1:8" x14ac:dyDescent="0.2">
      <c r="A31" s="143"/>
      <c r="B31" s="142">
        <v>27</v>
      </c>
      <c r="C31" s="141" t="b">
        <v>0</v>
      </c>
      <c r="D31" s="140" t="str">
        <v>H6</v>
      </c>
      <c r="E31" s="139" t="str">
        <f t="shared" si="0"/>
        <v>GBPIMMFRA6MH6_Quote</v>
      </c>
      <c r="F31" s="138" t="str">
        <f>_xll.qlSimpleQuote(E31,,PriceTickValue,Permanent,Trigger,ObjectOverwrite)</f>
        <v>GBPIMMFRA6MH6_Quote#0000</v>
      </c>
      <c r="G31" s="101" t="str">
        <f>_xll.ohRangeRetrieveError(F31)</f>
        <v/>
      </c>
      <c r="H31" s="137"/>
    </row>
    <row r="32" spans="1:8" x14ac:dyDescent="0.2">
      <c r="A32" s="143"/>
      <c r="B32" s="142">
        <v>28</v>
      </c>
      <c r="C32" s="141" t="b">
        <v>0</v>
      </c>
      <c r="D32" s="140" t="str">
        <v>J6</v>
      </c>
      <c r="E32" s="139" t="str">
        <f t="shared" si="0"/>
        <v>GBPIMMFRA6MJ6_Quote</v>
      </c>
      <c r="F32" s="138" t="str">
        <f>_xll.qlSimpleQuote(E32,,PriceTickValue,Permanent,Trigger,ObjectOverwrite)</f>
        <v>GBPIMMFRA6MJ6_Quote#0000</v>
      </c>
      <c r="G32" s="101" t="str">
        <f>_xll.ohRangeRetrieveError(F32)</f>
        <v/>
      </c>
      <c r="H32" s="137"/>
    </row>
    <row r="33" spans="1:8" x14ac:dyDescent="0.2">
      <c r="A33" s="143"/>
      <c r="B33" s="142">
        <v>29</v>
      </c>
      <c r="C33" s="141" t="b">
        <v>0</v>
      </c>
      <c r="D33" s="140" t="str">
        <v>K6</v>
      </c>
      <c r="E33" s="139" t="str">
        <f t="shared" si="0"/>
        <v>GBPIMMFRA6MK6_Quote</v>
      </c>
      <c r="F33" s="138" t="str">
        <f>_xll.qlSimpleQuote(E33,,PriceTickValue,Permanent,Trigger,ObjectOverwrite)</f>
        <v>GBPIMMFRA6MK6_Quote#0000</v>
      </c>
      <c r="G33" s="101" t="str">
        <f>_xll.ohRangeRetrieveError(F33)</f>
        <v/>
      </c>
      <c r="H33" s="137"/>
    </row>
    <row r="34" spans="1:8" x14ac:dyDescent="0.2">
      <c r="A34" s="143"/>
      <c r="B34" s="142">
        <v>30</v>
      </c>
      <c r="C34" s="141" t="b">
        <v>0</v>
      </c>
      <c r="D34" s="140" t="str">
        <v>M6</v>
      </c>
      <c r="E34" s="139" t="str">
        <f t="shared" si="0"/>
        <v>GBPIMMFRA6MM6_Quote</v>
      </c>
      <c r="F34" s="138" t="str">
        <f>_xll.qlSimpleQuote(E34,,PriceTickValue,Permanent,Trigger,ObjectOverwrite)</f>
        <v>GBPIMMFRA6MM6_Quote#0000</v>
      </c>
      <c r="G34" s="101" t="str">
        <f>_xll.ohRangeRetrieveError(F34)</f>
        <v/>
      </c>
      <c r="H34" s="137"/>
    </row>
    <row r="35" spans="1:8" x14ac:dyDescent="0.2">
      <c r="A35" s="143"/>
      <c r="B35" s="142">
        <v>31</v>
      </c>
      <c r="C35" s="141" t="b">
        <v>0</v>
      </c>
      <c r="D35" s="140" t="str">
        <v>N6</v>
      </c>
      <c r="E35" s="139" t="str">
        <f t="shared" si="0"/>
        <v>GBPIMMFRA6MN6_Quote</v>
      </c>
      <c r="F35" s="138" t="str">
        <f>_xll.qlSimpleQuote(E35,,PriceTickValue,Permanent,Trigger,ObjectOverwrite)</f>
        <v>GBPIMMFRA6MN6_Quote#0000</v>
      </c>
      <c r="G35" s="101" t="str">
        <f>_xll.ohRangeRetrieveError(F35)</f>
        <v/>
      </c>
      <c r="H35" s="137"/>
    </row>
    <row r="36" spans="1:8" x14ac:dyDescent="0.2">
      <c r="A36" s="143"/>
      <c r="B36" s="142">
        <v>32</v>
      </c>
      <c r="C36" s="141" t="b">
        <v>0</v>
      </c>
      <c r="D36" s="140" t="str">
        <v>Q6</v>
      </c>
      <c r="E36" s="139" t="str">
        <f t="shared" si="0"/>
        <v>GBPIMMFRA6MQ6_Quote</v>
      </c>
      <c r="F36" s="138" t="str">
        <f>_xll.qlSimpleQuote(E36,,PriceTickValue,Permanent,Trigger,ObjectOverwrite)</f>
        <v>GBPIMMFRA6MQ6_Quote#0000</v>
      </c>
      <c r="G36" s="101" t="str">
        <f>_xll.ohRangeRetrieveError(F36)</f>
        <v/>
      </c>
      <c r="H36" s="137"/>
    </row>
    <row r="37" spans="1:8" x14ac:dyDescent="0.2">
      <c r="A37" s="143"/>
      <c r="B37" s="142">
        <v>33</v>
      </c>
      <c r="C37" s="141" t="b">
        <v>0</v>
      </c>
      <c r="D37" s="140" t="str">
        <v>U6</v>
      </c>
      <c r="E37" s="139" t="str">
        <f t="shared" ref="E37:E68" si="1">Currency&amp;$D$3&amp;$E$3&amp;$D37&amp;QuoteSuffix</f>
        <v>GBPIMMFRA6MU6_Quote</v>
      </c>
      <c r="F37" s="138" t="str">
        <f>_xll.qlSimpleQuote(E37,,PriceTickValue,Permanent,Trigger,ObjectOverwrite)</f>
        <v>GBPIMMFRA6MU6_Quote#0000</v>
      </c>
      <c r="G37" s="101" t="str">
        <f>_xll.ohRangeRetrieveError(F37)</f>
        <v/>
      </c>
      <c r="H37" s="137"/>
    </row>
    <row r="38" spans="1:8" x14ac:dyDescent="0.2">
      <c r="A38" s="143"/>
      <c r="B38" s="142">
        <v>34</v>
      </c>
      <c r="C38" s="141" t="b">
        <v>0</v>
      </c>
      <c r="D38" s="140" t="str">
        <v>V6</v>
      </c>
      <c r="E38" s="139" t="str">
        <f t="shared" si="1"/>
        <v>GBPIMMFRA6MV6_Quote</v>
      </c>
      <c r="F38" s="138" t="str">
        <f>_xll.qlSimpleQuote(E38,,PriceTickValue,Permanent,Trigger,ObjectOverwrite)</f>
        <v>GBPIMMFRA6MV6_Quote#0000</v>
      </c>
      <c r="G38" s="101" t="str">
        <f>_xll.ohRangeRetrieveError(F38)</f>
        <v/>
      </c>
      <c r="H38" s="137"/>
    </row>
    <row r="39" spans="1:8" x14ac:dyDescent="0.2">
      <c r="A39" s="143"/>
      <c r="B39" s="142">
        <v>35</v>
      </c>
      <c r="C39" s="141" t="b">
        <v>0</v>
      </c>
      <c r="D39" s="140" t="str">
        <v>X6</v>
      </c>
      <c r="E39" s="139" t="str">
        <f t="shared" si="1"/>
        <v>GBPIMMFRA6MX6_Quote</v>
      </c>
      <c r="F39" s="138" t="str">
        <f>_xll.qlSimpleQuote(E39,,PriceTickValue,Permanent,Trigger,ObjectOverwrite)</f>
        <v>GBPIMMFRA6MX6_Quote#0000</v>
      </c>
      <c r="G39" s="101" t="str">
        <f>_xll.ohRangeRetrieveError(F39)</f>
        <v/>
      </c>
      <c r="H39" s="137"/>
    </row>
    <row r="40" spans="1:8" x14ac:dyDescent="0.2">
      <c r="A40" s="143"/>
      <c r="B40" s="142">
        <v>36</v>
      </c>
      <c r="C40" s="141" t="b">
        <v>0</v>
      </c>
      <c r="D40" s="140" t="str">
        <v>Z6</v>
      </c>
      <c r="E40" s="139" t="str">
        <f t="shared" si="1"/>
        <v>GBPIMMFRA6MZ6_Quote</v>
      </c>
      <c r="F40" s="138" t="str">
        <f>_xll.qlSimpleQuote(E40,,PriceTickValue,Permanent,Trigger,ObjectOverwrite)</f>
        <v>GBPIMMFRA6MZ6_Quote#0000</v>
      </c>
      <c r="G40" s="101" t="str">
        <f>_xll.ohRangeRetrieveError(F40)</f>
        <v/>
      </c>
      <c r="H40" s="137"/>
    </row>
    <row r="41" spans="1:8" x14ac:dyDescent="0.2">
      <c r="A41" s="143"/>
      <c r="B41" s="142">
        <v>37</v>
      </c>
      <c r="C41" s="141" t="b">
        <v>0</v>
      </c>
      <c r="D41" s="140" t="str">
        <v>F7</v>
      </c>
      <c r="E41" s="139" t="str">
        <f t="shared" si="1"/>
        <v>GBPIMMFRA6MF7_Quote</v>
      </c>
      <c r="F41" s="138" t="str">
        <f>_xll.qlSimpleQuote(E41,,PriceTickValue,Permanent,Trigger,ObjectOverwrite)</f>
        <v>GBPIMMFRA6MF7_Quote#0000</v>
      </c>
      <c r="G41" s="101" t="str">
        <f>_xll.ohRangeRetrieveError(F41)</f>
        <v/>
      </c>
      <c r="H41" s="137"/>
    </row>
    <row r="42" spans="1:8" x14ac:dyDescent="0.2">
      <c r="A42" s="143"/>
      <c r="B42" s="142">
        <v>38</v>
      </c>
      <c r="C42" s="141" t="b">
        <v>0</v>
      </c>
      <c r="D42" s="140" t="str">
        <v>G7</v>
      </c>
      <c r="E42" s="139" t="str">
        <f t="shared" si="1"/>
        <v>GBPIMMFRA6MG7_Quote</v>
      </c>
      <c r="F42" s="138" t="str">
        <f>_xll.qlSimpleQuote(E42,,PriceTickValue,Permanent,Trigger,ObjectOverwrite)</f>
        <v>GBPIMMFRA6MG7_Quote#0000</v>
      </c>
      <c r="G42" s="101" t="str">
        <f>_xll.ohRangeRetrieveError(F42)</f>
        <v/>
      </c>
      <c r="H42" s="137"/>
    </row>
    <row r="43" spans="1:8" x14ac:dyDescent="0.2">
      <c r="A43" s="143"/>
      <c r="B43" s="142">
        <v>39</v>
      </c>
      <c r="C43" s="141" t="b">
        <v>0</v>
      </c>
      <c r="D43" s="140" t="str">
        <v>H7</v>
      </c>
      <c r="E43" s="139" t="str">
        <f t="shared" si="1"/>
        <v>GBPIMMFRA6MH7_Quote</v>
      </c>
      <c r="F43" s="138" t="str">
        <f>_xll.qlSimpleQuote(E43,,PriceTickValue,Permanent,Trigger,ObjectOverwrite)</f>
        <v>GBPIMMFRA6MH7_Quote#0000</v>
      </c>
      <c r="G43" s="101" t="str">
        <f>_xll.ohRangeRetrieveError(F43)</f>
        <v/>
      </c>
      <c r="H43" s="137"/>
    </row>
    <row r="44" spans="1:8" x14ac:dyDescent="0.2">
      <c r="A44" s="143"/>
      <c r="B44" s="142">
        <v>40</v>
      </c>
      <c r="C44" s="141" t="b">
        <v>0</v>
      </c>
      <c r="D44" s="140" t="str">
        <v>J7</v>
      </c>
      <c r="E44" s="139" t="str">
        <f t="shared" si="1"/>
        <v>GBPIMMFRA6MJ7_Quote</v>
      </c>
      <c r="F44" s="138" t="str">
        <f>_xll.qlSimpleQuote(E44,,PriceTickValue,Permanent,Trigger,ObjectOverwrite)</f>
        <v>GBPIMMFRA6MJ7_Quote#0000</v>
      </c>
      <c r="G44" s="101" t="str">
        <f>_xll.ohRangeRetrieveError(F44)</f>
        <v/>
      </c>
      <c r="H44" s="137"/>
    </row>
    <row r="45" spans="1:8" x14ac:dyDescent="0.2">
      <c r="A45" s="143"/>
      <c r="B45" s="142">
        <v>41</v>
      </c>
      <c r="C45" s="141" t="b">
        <v>0</v>
      </c>
      <c r="D45" s="140" t="str">
        <v>K7</v>
      </c>
      <c r="E45" s="139" t="str">
        <f t="shared" si="1"/>
        <v>GBPIMMFRA6MK7_Quote</v>
      </c>
      <c r="F45" s="138" t="str">
        <f>_xll.qlSimpleQuote(E45,,PriceTickValue,Permanent,Trigger,ObjectOverwrite)</f>
        <v>GBPIMMFRA6MK7_Quote#0000</v>
      </c>
      <c r="G45" s="101" t="str">
        <f>_xll.ohRangeRetrieveError(F45)</f>
        <v/>
      </c>
      <c r="H45" s="137"/>
    </row>
    <row r="46" spans="1:8" x14ac:dyDescent="0.2">
      <c r="A46" s="143"/>
      <c r="B46" s="142">
        <v>42</v>
      </c>
      <c r="C46" s="141" t="b">
        <v>0</v>
      </c>
      <c r="D46" s="140" t="str">
        <v>M7</v>
      </c>
      <c r="E46" s="139" t="str">
        <f t="shared" si="1"/>
        <v>GBPIMMFRA6MM7_Quote</v>
      </c>
      <c r="F46" s="138" t="str">
        <f>_xll.qlSimpleQuote(E46,,PriceTickValue,Permanent,Trigger,ObjectOverwrite)</f>
        <v>GBPIMMFRA6MM7_Quote#0000</v>
      </c>
      <c r="G46" s="101" t="str">
        <f>_xll.ohRangeRetrieveError(F46)</f>
        <v/>
      </c>
      <c r="H46" s="137"/>
    </row>
    <row r="47" spans="1:8" x14ac:dyDescent="0.2">
      <c r="A47" s="143"/>
      <c r="B47" s="142">
        <v>43</v>
      </c>
      <c r="C47" s="141" t="b">
        <v>0</v>
      </c>
      <c r="D47" s="140" t="str">
        <v>N7</v>
      </c>
      <c r="E47" s="139" t="str">
        <f t="shared" si="1"/>
        <v>GBPIMMFRA6MN7_Quote</v>
      </c>
      <c r="F47" s="138" t="str">
        <f>_xll.qlSimpleQuote(E47,,PriceTickValue,Permanent,Trigger,ObjectOverwrite)</f>
        <v>GBPIMMFRA6MN7_Quote#0000</v>
      </c>
      <c r="G47" s="101" t="str">
        <f>_xll.ohRangeRetrieveError(F47)</f>
        <v/>
      </c>
      <c r="H47" s="137"/>
    </row>
    <row r="48" spans="1:8" x14ac:dyDescent="0.2">
      <c r="A48" s="143"/>
      <c r="B48" s="142">
        <v>44</v>
      </c>
      <c r="C48" s="141" t="b">
        <v>0</v>
      </c>
      <c r="D48" s="140" t="str">
        <v>Q7</v>
      </c>
      <c r="E48" s="139" t="str">
        <f t="shared" si="1"/>
        <v>GBPIMMFRA6MQ7_Quote</v>
      </c>
      <c r="F48" s="138" t="str">
        <f>_xll.qlSimpleQuote(E48,,PriceTickValue,Permanent,Trigger,ObjectOverwrite)</f>
        <v>GBPIMMFRA6MQ7_Quote#0000</v>
      </c>
      <c r="G48" s="101" t="str">
        <f>_xll.ohRangeRetrieveError(F48)</f>
        <v/>
      </c>
      <c r="H48" s="137"/>
    </row>
    <row r="49" spans="1:8" x14ac:dyDescent="0.2">
      <c r="A49" s="143"/>
      <c r="B49" s="142">
        <v>45</v>
      </c>
      <c r="C49" s="141" t="b">
        <v>0</v>
      </c>
      <c r="D49" s="140" t="str">
        <v>U7</v>
      </c>
      <c r="E49" s="139" t="str">
        <f t="shared" si="1"/>
        <v>GBPIMMFRA6MU7_Quote</v>
      </c>
      <c r="F49" s="138" t="str">
        <f>_xll.qlSimpleQuote(E49,,PriceTickValue,Permanent,Trigger,ObjectOverwrite)</f>
        <v>GBPIMMFRA6MU7_Quote#0000</v>
      </c>
      <c r="G49" s="101" t="str">
        <f>_xll.ohRangeRetrieveError(F49)</f>
        <v/>
      </c>
      <c r="H49" s="137"/>
    </row>
    <row r="50" spans="1:8" x14ac:dyDescent="0.2">
      <c r="A50" s="143"/>
      <c r="B50" s="142">
        <v>46</v>
      </c>
      <c r="C50" s="141" t="b">
        <v>0</v>
      </c>
      <c r="D50" s="140" t="str">
        <v>V7</v>
      </c>
      <c r="E50" s="139" t="str">
        <f t="shared" si="1"/>
        <v>GBPIMMFRA6MV7_Quote</v>
      </c>
      <c r="F50" s="138" t="str">
        <f>_xll.qlSimpleQuote(E50,,PriceTickValue,Permanent,Trigger,ObjectOverwrite)</f>
        <v>GBPIMMFRA6MV7_Quote#0000</v>
      </c>
      <c r="G50" s="101" t="str">
        <f>_xll.ohRangeRetrieveError(F50)</f>
        <v/>
      </c>
      <c r="H50" s="137"/>
    </row>
    <row r="51" spans="1:8" x14ac:dyDescent="0.2">
      <c r="A51" s="143"/>
      <c r="B51" s="142">
        <v>47</v>
      </c>
      <c r="C51" s="141" t="b">
        <v>0</v>
      </c>
      <c r="D51" s="140" t="str">
        <v>X7</v>
      </c>
      <c r="E51" s="139" t="str">
        <f t="shared" si="1"/>
        <v>GBPIMMFRA6MX7_Quote</v>
      </c>
      <c r="F51" s="138" t="str">
        <f>_xll.qlSimpleQuote(E51,,PriceTickValue,Permanent,Trigger,ObjectOverwrite)</f>
        <v>GBPIMMFRA6MX7_Quote#0000</v>
      </c>
      <c r="G51" s="101" t="str">
        <f>_xll.ohRangeRetrieveError(F51)</f>
        <v/>
      </c>
      <c r="H51" s="137"/>
    </row>
    <row r="52" spans="1:8" x14ac:dyDescent="0.2">
      <c r="A52" s="143"/>
      <c r="B52" s="142">
        <v>48</v>
      </c>
      <c r="C52" s="141" t="b">
        <v>0</v>
      </c>
      <c r="D52" s="140" t="str">
        <v>Z7</v>
      </c>
      <c r="E52" s="139" t="str">
        <f t="shared" si="1"/>
        <v>GBPIMMFRA6MZ7_Quote</v>
      </c>
      <c r="F52" s="138" t="str">
        <f>_xll.qlSimpleQuote(E52,,PriceTickValue,Permanent,Trigger,ObjectOverwrite)</f>
        <v>GBPIMMFRA6MZ7_Quote#0000</v>
      </c>
      <c r="G52" s="101" t="str">
        <f>_xll.ohRangeRetrieveError(F52)</f>
        <v/>
      </c>
      <c r="H52" s="137"/>
    </row>
    <row r="53" spans="1:8" x14ac:dyDescent="0.2">
      <c r="A53" s="143"/>
      <c r="B53" s="142">
        <v>49</v>
      </c>
      <c r="C53" s="141" t="b">
        <v>0</v>
      </c>
      <c r="D53" s="140" t="str">
        <v>F8</v>
      </c>
      <c r="E53" s="139" t="str">
        <f t="shared" si="1"/>
        <v>GBPIMMFRA6MF8_Quote</v>
      </c>
      <c r="F53" s="138" t="str">
        <f>_xll.qlSimpleQuote(E53,,PriceTickValue,Permanent,Trigger,ObjectOverwrite)</f>
        <v>GBPIMMFRA6MF8_Quote#0000</v>
      </c>
      <c r="G53" s="101" t="str">
        <f>_xll.ohRangeRetrieveError(F53)</f>
        <v/>
      </c>
      <c r="H53" s="137"/>
    </row>
    <row r="54" spans="1:8" x14ac:dyDescent="0.2">
      <c r="A54" s="143"/>
      <c r="B54" s="142">
        <v>50</v>
      </c>
      <c r="C54" s="141" t="b">
        <v>0</v>
      </c>
      <c r="D54" s="140" t="str">
        <v>G8</v>
      </c>
      <c r="E54" s="139" t="str">
        <f t="shared" si="1"/>
        <v>GBPIMMFRA6MG8_Quote</v>
      </c>
      <c r="F54" s="138" t="str">
        <f>_xll.qlSimpleQuote(E54,,PriceTickValue,Permanent,Trigger,ObjectOverwrite)</f>
        <v>GBPIMMFRA6MG8_Quote#0000</v>
      </c>
      <c r="G54" s="101" t="str">
        <f>_xll.ohRangeRetrieveError(F54)</f>
        <v/>
      </c>
      <c r="H54" s="137"/>
    </row>
    <row r="55" spans="1:8" x14ac:dyDescent="0.2">
      <c r="A55" s="143"/>
      <c r="B55" s="142">
        <v>51</v>
      </c>
      <c r="C55" s="141" t="b">
        <v>0</v>
      </c>
      <c r="D55" s="140" t="str">
        <v>H8</v>
      </c>
      <c r="E55" s="139" t="str">
        <f t="shared" si="1"/>
        <v>GBPIMMFRA6MH8_Quote</v>
      </c>
      <c r="F55" s="138" t="str">
        <f>_xll.qlSimpleQuote(E55,,PriceTickValue,Permanent,Trigger,ObjectOverwrite)</f>
        <v>GBPIMMFRA6MH8_Quote#0000</v>
      </c>
      <c r="G55" s="101" t="str">
        <f>_xll.ohRangeRetrieveError(F55)</f>
        <v/>
      </c>
      <c r="H55" s="137"/>
    </row>
    <row r="56" spans="1:8" x14ac:dyDescent="0.2">
      <c r="A56" s="143"/>
      <c r="B56" s="142">
        <v>52</v>
      </c>
      <c r="C56" s="141" t="b">
        <v>0</v>
      </c>
      <c r="D56" s="140" t="str">
        <v>J8</v>
      </c>
      <c r="E56" s="139" t="str">
        <f t="shared" si="1"/>
        <v>GBPIMMFRA6MJ8_Quote</v>
      </c>
      <c r="F56" s="138" t="str">
        <f>_xll.qlSimpleQuote(E56,,PriceTickValue,Permanent,Trigger,ObjectOverwrite)</f>
        <v>GBPIMMFRA6MJ8_Quote#0000</v>
      </c>
      <c r="G56" s="101" t="str">
        <f>_xll.ohRangeRetrieveError(F56)</f>
        <v/>
      </c>
      <c r="H56" s="137"/>
    </row>
    <row r="57" spans="1:8" x14ac:dyDescent="0.2">
      <c r="A57" s="143"/>
      <c r="B57" s="142">
        <v>53</v>
      </c>
      <c r="C57" s="141" t="b">
        <v>0</v>
      </c>
      <c r="D57" s="140" t="str">
        <v>K8</v>
      </c>
      <c r="E57" s="139" t="str">
        <f t="shared" si="1"/>
        <v>GBPIMMFRA6MK8_Quote</v>
      </c>
      <c r="F57" s="138" t="str">
        <f>_xll.qlSimpleQuote(E57,,PriceTickValue,Permanent,Trigger,ObjectOverwrite)</f>
        <v>GBPIMMFRA6MK8_Quote#0000</v>
      </c>
      <c r="G57" s="101" t="str">
        <f>_xll.ohRangeRetrieveError(F57)</f>
        <v/>
      </c>
      <c r="H57" s="137"/>
    </row>
    <row r="58" spans="1:8" x14ac:dyDescent="0.2">
      <c r="A58" s="143"/>
      <c r="B58" s="142">
        <v>54</v>
      </c>
      <c r="C58" s="141" t="b">
        <v>0</v>
      </c>
      <c r="D58" s="140" t="str">
        <v>M8</v>
      </c>
      <c r="E58" s="139" t="str">
        <f t="shared" si="1"/>
        <v>GBPIMMFRA6MM8_Quote</v>
      </c>
      <c r="F58" s="138" t="str">
        <f>_xll.qlSimpleQuote(E58,,PriceTickValue,Permanent,Trigger,ObjectOverwrite)</f>
        <v>GBPIMMFRA6MM8_Quote#0000</v>
      </c>
      <c r="G58" s="101" t="str">
        <f>_xll.ohRangeRetrieveError(F58)</f>
        <v/>
      </c>
      <c r="H58" s="137"/>
    </row>
    <row r="59" spans="1:8" x14ac:dyDescent="0.2">
      <c r="A59" s="143"/>
      <c r="B59" s="142">
        <v>55</v>
      </c>
      <c r="C59" s="141" t="b">
        <v>0</v>
      </c>
      <c r="D59" s="140" t="str">
        <v>N8</v>
      </c>
      <c r="E59" s="139" t="str">
        <f t="shared" si="1"/>
        <v>GBPIMMFRA6MN8_Quote</v>
      </c>
      <c r="F59" s="138" t="str">
        <f>_xll.qlSimpleQuote(E59,,PriceTickValue,Permanent,Trigger,ObjectOverwrite)</f>
        <v>GBPIMMFRA6MN8_Quote#0000</v>
      </c>
      <c r="G59" s="101" t="str">
        <f>_xll.ohRangeRetrieveError(F59)</f>
        <v/>
      </c>
      <c r="H59" s="137"/>
    </row>
    <row r="60" spans="1:8" x14ac:dyDescent="0.2">
      <c r="A60" s="143"/>
      <c r="B60" s="142">
        <v>56</v>
      </c>
      <c r="C60" s="141" t="b">
        <v>0</v>
      </c>
      <c r="D60" s="140" t="str">
        <v>Q8</v>
      </c>
      <c r="E60" s="139" t="str">
        <f t="shared" si="1"/>
        <v>GBPIMMFRA6MQ8_Quote</v>
      </c>
      <c r="F60" s="138" t="str">
        <f>_xll.qlSimpleQuote(E60,,PriceTickValue,Permanent,Trigger,ObjectOverwrite)</f>
        <v>GBPIMMFRA6MQ8_Quote#0000</v>
      </c>
      <c r="G60" s="101" t="str">
        <f>_xll.ohRangeRetrieveError(F60)</f>
        <v/>
      </c>
      <c r="H60" s="137"/>
    </row>
    <row r="61" spans="1:8" x14ac:dyDescent="0.2">
      <c r="A61" s="143"/>
      <c r="B61" s="142">
        <v>57</v>
      </c>
      <c r="C61" s="141" t="b">
        <v>0</v>
      </c>
      <c r="D61" s="140" t="str">
        <v>U8</v>
      </c>
      <c r="E61" s="139" t="str">
        <f t="shared" si="1"/>
        <v>GBPIMMFRA6MU8_Quote</v>
      </c>
      <c r="F61" s="138" t="str">
        <f>_xll.qlSimpleQuote(E61,,PriceTickValue,Permanent,Trigger,ObjectOverwrite)</f>
        <v>GBPIMMFRA6MU8_Quote#0000</v>
      </c>
      <c r="G61" s="101" t="str">
        <f>_xll.ohRangeRetrieveError(F61)</f>
        <v/>
      </c>
      <c r="H61" s="137"/>
    </row>
    <row r="62" spans="1:8" x14ac:dyDescent="0.2">
      <c r="A62" s="143"/>
      <c r="B62" s="142">
        <v>58</v>
      </c>
      <c r="C62" s="141" t="b">
        <v>0</v>
      </c>
      <c r="D62" s="140" t="str">
        <v>V8</v>
      </c>
      <c r="E62" s="139" t="str">
        <f t="shared" si="1"/>
        <v>GBPIMMFRA6MV8_Quote</v>
      </c>
      <c r="F62" s="138" t="str">
        <f>_xll.qlSimpleQuote(E62,,PriceTickValue,Permanent,Trigger,ObjectOverwrite)</f>
        <v>GBPIMMFRA6MV8_Quote#0000</v>
      </c>
      <c r="G62" s="101" t="str">
        <f>_xll.ohRangeRetrieveError(F62)</f>
        <v/>
      </c>
      <c r="H62" s="137"/>
    </row>
    <row r="63" spans="1:8" x14ac:dyDescent="0.2">
      <c r="A63" s="143"/>
      <c r="B63" s="142">
        <v>59</v>
      </c>
      <c r="C63" s="141" t="b">
        <v>0</v>
      </c>
      <c r="D63" s="140" t="str">
        <v>X8</v>
      </c>
      <c r="E63" s="139" t="str">
        <f t="shared" si="1"/>
        <v>GBPIMMFRA6MX8_Quote</v>
      </c>
      <c r="F63" s="138" t="str">
        <f>_xll.qlSimpleQuote(E63,,PriceTickValue,Permanent,Trigger,ObjectOverwrite)</f>
        <v>GBPIMMFRA6MX8_Quote#0000</v>
      </c>
      <c r="G63" s="101" t="str">
        <f>_xll.ohRangeRetrieveError(F63)</f>
        <v/>
      </c>
      <c r="H63" s="137"/>
    </row>
    <row r="64" spans="1:8" x14ac:dyDescent="0.2">
      <c r="A64" s="143"/>
      <c r="B64" s="142">
        <v>60</v>
      </c>
      <c r="C64" s="141" t="b">
        <v>0</v>
      </c>
      <c r="D64" s="140" t="str">
        <v>Z8</v>
      </c>
      <c r="E64" s="139" t="str">
        <f t="shared" si="1"/>
        <v>GBPIMMFRA6MZ8_Quote</v>
      </c>
      <c r="F64" s="138" t="str">
        <f>_xll.qlSimpleQuote(E64,,PriceTickValue,Permanent,Trigger,ObjectOverwrite)</f>
        <v>GBPIMMFRA6MZ8_Quote#0000</v>
      </c>
      <c r="G64" s="101" t="str">
        <f>_xll.ohRangeRetrieveError(F64)</f>
        <v/>
      </c>
      <c r="H64" s="137"/>
    </row>
    <row r="65" spans="1:8" x14ac:dyDescent="0.2">
      <c r="A65" s="143"/>
      <c r="B65" s="142">
        <v>61</v>
      </c>
      <c r="C65" s="141" t="b">
        <v>0</v>
      </c>
      <c r="D65" s="140" t="str">
        <v>F9</v>
      </c>
      <c r="E65" s="139" t="str">
        <f t="shared" si="1"/>
        <v>GBPIMMFRA6MF9_Quote</v>
      </c>
      <c r="F65" s="138" t="str">
        <f>_xll.qlSimpleQuote(E65,,PriceTickValue,Permanent,Trigger,ObjectOverwrite)</f>
        <v>GBPIMMFRA6MF9_Quote#0000</v>
      </c>
      <c r="G65" s="101" t="str">
        <f>_xll.ohRangeRetrieveError(F65)</f>
        <v/>
      </c>
      <c r="H65" s="137"/>
    </row>
    <row r="66" spans="1:8" x14ac:dyDescent="0.2">
      <c r="A66" s="143"/>
      <c r="B66" s="142">
        <v>62</v>
      </c>
      <c r="C66" s="141" t="b">
        <v>0</v>
      </c>
      <c r="D66" s="140" t="str">
        <v>G9</v>
      </c>
      <c r="E66" s="139" t="str">
        <f t="shared" si="1"/>
        <v>GBPIMMFRA6MG9_Quote</v>
      </c>
      <c r="F66" s="138" t="str">
        <f>_xll.qlSimpleQuote(E66,,PriceTickValue,Permanent,Trigger,ObjectOverwrite)</f>
        <v>GBPIMMFRA6MG9_Quote#0000</v>
      </c>
      <c r="G66" s="101" t="str">
        <f>_xll.ohRangeRetrieveError(F66)</f>
        <v/>
      </c>
      <c r="H66" s="137"/>
    </row>
    <row r="67" spans="1:8" x14ac:dyDescent="0.2">
      <c r="A67" s="143"/>
      <c r="B67" s="142">
        <v>63</v>
      </c>
      <c r="C67" s="141" t="b">
        <v>0</v>
      </c>
      <c r="D67" s="140" t="str">
        <v>H9</v>
      </c>
      <c r="E67" s="139" t="str">
        <f t="shared" si="1"/>
        <v>GBPIMMFRA6MH9_Quote</v>
      </c>
      <c r="F67" s="138" t="str">
        <f>_xll.qlSimpleQuote(E67,,PriceTickValue,Permanent,Trigger,ObjectOverwrite)</f>
        <v>GBPIMMFRA6MH9_Quote#0000</v>
      </c>
      <c r="G67" s="101" t="str">
        <f>_xll.ohRangeRetrieveError(F67)</f>
        <v/>
      </c>
      <c r="H67" s="137"/>
    </row>
    <row r="68" spans="1:8" x14ac:dyDescent="0.2">
      <c r="A68" s="143"/>
      <c r="B68" s="142">
        <v>64</v>
      </c>
      <c r="C68" s="141" t="b">
        <v>0</v>
      </c>
      <c r="D68" s="140" t="str">
        <v>J9</v>
      </c>
      <c r="E68" s="139" t="str">
        <f t="shared" si="1"/>
        <v>GBPIMMFRA6MJ9_Quote</v>
      </c>
      <c r="F68" s="138" t="str">
        <f>_xll.qlSimpleQuote(E68,,PriceTickValue,Permanent,Trigger,ObjectOverwrite)</f>
        <v>GBPIMMFRA6MJ9_Quote#0000</v>
      </c>
      <c r="G68" s="101" t="str">
        <f>_xll.ohRangeRetrieveError(F68)</f>
        <v/>
      </c>
      <c r="H68" s="137"/>
    </row>
    <row r="69" spans="1:8" x14ac:dyDescent="0.2">
      <c r="A69" s="143"/>
      <c r="B69" s="142">
        <v>65</v>
      </c>
      <c r="C69" s="141" t="b">
        <v>0</v>
      </c>
      <c r="D69" s="140" t="str">
        <v>K9</v>
      </c>
      <c r="E69" s="139" t="str">
        <f t="shared" ref="E69:E100" si="2">Currency&amp;$D$3&amp;$E$3&amp;$D69&amp;QuoteSuffix</f>
        <v>GBPIMMFRA6MK9_Quote</v>
      </c>
      <c r="F69" s="138" t="str">
        <f>_xll.qlSimpleQuote(E69,,PriceTickValue,Permanent,Trigger,ObjectOverwrite)</f>
        <v>GBPIMMFRA6MK9_Quote#0000</v>
      </c>
      <c r="G69" s="101" t="str">
        <f>_xll.ohRangeRetrieveError(F69)</f>
        <v/>
      </c>
      <c r="H69" s="137"/>
    </row>
    <row r="70" spans="1:8" x14ac:dyDescent="0.2">
      <c r="A70" s="143"/>
      <c r="B70" s="142">
        <v>66</v>
      </c>
      <c r="C70" s="141" t="b">
        <v>0</v>
      </c>
      <c r="D70" s="140" t="str">
        <v>M9</v>
      </c>
      <c r="E70" s="139" t="str">
        <f t="shared" si="2"/>
        <v>GBPIMMFRA6MM9_Quote</v>
      </c>
      <c r="F70" s="138" t="str">
        <f>_xll.qlSimpleQuote(E70,,PriceTickValue,Permanent,Trigger,ObjectOverwrite)</f>
        <v>GBPIMMFRA6MM9_Quote#0000</v>
      </c>
      <c r="G70" s="101" t="str">
        <f>_xll.ohRangeRetrieveError(F70)</f>
        <v/>
      </c>
      <c r="H70" s="137"/>
    </row>
    <row r="71" spans="1:8" x14ac:dyDescent="0.2">
      <c r="A71" s="143"/>
      <c r="B71" s="142">
        <v>67</v>
      </c>
      <c r="C71" s="141" t="b">
        <v>0</v>
      </c>
      <c r="D71" s="140" t="str">
        <v>N9</v>
      </c>
      <c r="E71" s="139" t="str">
        <f t="shared" si="2"/>
        <v>GBPIMMFRA6MN9_Quote</v>
      </c>
      <c r="F71" s="138" t="str">
        <f>_xll.qlSimpleQuote(E71,,PriceTickValue,Permanent,Trigger,ObjectOverwrite)</f>
        <v>GBPIMMFRA6MN9_Quote#0000</v>
      </c>
      <c r="G71" s="101" t="str">
        <f>_xll.ohRangeRetrieveError(F71)</f>
        <v/>
      </c>
      <c r="H71" s="137"/>
    </row>
    <row r="72" spans="1:8" x14ac:dyDescent="0.2">
      <c r="A72" s="143"/>
      <c r="B72" s="142">
        <v>68</v>
      </c>
      <c r="C72" s="141" t="b">
        <v>0</v>
      </c>
      <c r="D72" s="140" t="str">
        <v>Q9</v>
      </c>
      <c r="E72" s="139" t="str">
        <f t="shared" si="2"/>
        <v>GBPIMMFRA6MQ9_Quote</v>
      </c>
      <c r="F72" s="138" t="str">
        <f>_xll.qlSimpleQuote(E72,,PriceTickValue,Permanent,Trigger,ObjectOverwrite)</f>
        <v>GBPIMMFRA6MQ9_Quote#0000</v>
      </c>
      <c r="G72" s="101" t="str">
        <f>_xll.ohRangeRetrieveError(F72)</f>
        <v/>
      </c>
      <c r="H72" s="137"/>
    </row>
    <row r="73" spans="1:8" x14ac:dyDescent="0.2">
      <c r="A73" s="143"/>
      <c r="B73" s="142">
        <v>69</v>
      </c>
      <c r="C73" s="141" t="b">
        <v>0</v>
      </c>
      <c r="D73" s="140" t="str">
        <v>U9</v>
      </c>
      <c r="E73" s="139" t="str">
        <f t="shared" si="2"/>
        <v>GBPIMMFRA6MU9_Quote</v>
      </c>
      <c r="F73" s="138" t="str">
        <f>_xll.qlSimpleQuote(E73,,PriceTickValue,Permanent,Trigger,ObjectOverwrite)</f>
        <v>GBPIMMFRA6MU9_Quote#0000</v>
      </c>
      <c r="G73" s="101" t="str">
        <f>_xll.ohRangeRetrieveError(F73)</f>
        <v/>
      </c>
      <c r="H73" s="137"/>
    </row>
    <row r="74" spans="1:8" x14ac:dyDescent="0.2">
      <c r="A74" s="143"/>
      <c r="B74" s="142">
        <v>70</v>
      </c>
      <c r="C74" s="141" t="b">
        <v>0</v>
      </c>
      <c r="D74" s="140" t="str">
        <v>V9</v>
      </c>
      <c r="E74" s="139" t="str">
        <f t="shared" si="2"/>
        <v>GBPIMMFRA6MV9_Quote</v>
      </c>
      <c r="F74" s="138" t="str">
        <f>_xll.qlSimpleQuote(E74,,PriceTickValue,Permanent,Trigger,ObjectOverwrite)</f>
        <v>GBPIMMFRA6MV9_Quote#0000</v>
      </c>
      <c r="G74" s="101" t="str">
        <f>_xll.ohRangeRetrieveError(F74)</f>
        <v/>
      </c>
      <c r="H74" s="137"/>
    </row>
    <row r="75" spans="1:8" x14ac:dyDescent="0.2">
      <c r="A75" s="143"/>
      <c r="B75" s="142">
        <v>71</v>
      </c>
      <c r="C75" s="141" t="b">
        <v>0</v>
      </c>
      <c r="D75" s="140" t="str">
        <v>X9</v>
      </c>
      <c r="E75" s="139" t="str">
        <f t="shared" si="2"/>
        <v>GBPIMMFRA6MX9_Quote</v>
      </c>
      <c r="F75" s="138" t="str">
        <f>_xll.qlSimpleQuote(E75,,PriceTickValue,Permanent,Trigger,ObjectOverwrite)</f>
        <v>GBPIMMFRA6MX9_Quote#0000</v>
      </c>
      <c r="G75" s="101" t="str">
        <f>_xll.ohRangeRetrieveError(F75)</f>
        <v/>
      </c>
      <c r="H75" s="137"/>
    </row>
    <row r="76" spans="1:8" x14ac:dyDescent="0.2">
      <c r="A76" s="143"/>
      <c r="B76" s="142">
        <v>72</v>
      </c>
      <c r="C76" s="141" t="b">
        <v>0</v>
      </c>
      <c r="D76" s="140" t="str">
        <v>Z9</v>
      </c>
      <c r="E76" s="139" t="str">
        <f t="shared" si="2"/>
        <v>GBPIMMFRA6MZ9_Quote</v>
      </c>
      <c r="F76" s="138" t="str">
        <f>_xll.qlSimpleQuote(E76,,PriceTickValue,Permanent,Trigger,ObjectOverwrite)</f>
        <v>GBPIMMFRA6MZ9_Quote#0000</v>
      </c>
      <c r="G76" s="101" t="str">
        <f>_xll.ohRangeRetrieveError(F76)</f>
        <v/>
      </c>
      <c r="H76" s="137"/>
    </row>
    <row r="77" spans="1:8" x14ac:dyDescent="0.2">
      <c r="A77" s="143"/>
      <c r="B77" s="142">
        <v>73</v>
      </c>
      <c r="C77" s="141" t="b">
        <v>0</v>
      </c>
      <c r="D77" s="140" t="str">
        <v>F0</v>
      </c>
      <c r="E77" s="139" t="str">
        <f t="shared" si="2"/>
        <v>GBPIMMFRA6MF0_Quote</v>
      </c>
      <c r="F77" s="138" t="str">
        <f>_xll.qlSimpleQuote(E77,,PriceTickValue,Permanent,Trigger,ObjectOverwrite)</f>
        <v>GBPIMMFRA6MF0_Quote#0000</v>
      </c>
      <c r="G77" s="101" t="str">
        <f>_xll.ohRangeRetrieveError(F77)</f>
        <v/>
      </c>
      <c r="H77" s="137"/>
    </row>
    <row r="78" spans="1:8" x14ac:dyDescent="0.2">
      <c r="A78" s="143"/>
      <c r="B78" s="142">
        <v>74</v>
      </c>
      <c r="C78" s="141" t="b">
        <v>0</v>
      </c>
      <c r="D78" s="140" t="str">
        <v>G0</v>
      </c>
      <c r="E78" s="139" t="str">
        <f t="shared" si="2"/>
        <v>GBPIMMFRA6MG0_Quote</v>
      </c>
      <c r="F78" s="138" t="str">
        <f>_xll.qlSimpleQuote(E78,,PriceTickValue,Permanent,Trigger,ObjectOverwrite)</f>
        <v>GBPIMMFRA6MG0_Quote#0000</v>
      </c>
      <c r="G78" s="101" t="str">
        <f>_xll.ohRangeRetrieveError(F78)</f>
        <v/>
      </c>
      <c r="H78" s="137"/>
    </row>
    <row r="79" spans="1:8" x14ac:dyDescent="0.2">
      <c r="A79" s="143"/>
      <c r="B79" s="142">
        <v>75</v>
      </c>
      <c r="C79" s="141" t="b">
        <v>0</v>
      </c>
      <c r="D79" s="140" t="str">
        <v>H0</v>
      </c>
      <c r="E79" s="139" t="str">
        <f t="shared" si="2"/>
        <v>GBPIMMFRA6MH0_Quote</v>
      </c>
      <c r="F79" s="138" t="str">
        <f>_xll.qlSimpleQuote(E79,,PriceTickValue,Permanent,Trigger,ObjectOverwrite)</f>
        <v>GBPIMMFRA6MH0_Quote#0000</v>
      </c>
      <c r="G79" s="101" t="str">
        <f>_xll.ohRangeRetrieveError(F79)</f>
        <v/>
      </c>
      <c r="H79" s="137"/>
    </row>
    <row r="80" spans="1:8" x14ac:dyDescent="0.2">
      <c r="A80" s="143"/>
      <c r="B80" s="142">
        <v>76</v>
      </c>
      <c r="C80" s="141" t="b">
        <v>0</v>
      </c>
      <c r="D80" s="140" t="str">
        <v>J0</v>
      </c>
      <c r="E80" s="139" t="str">
        <f t="shared" si="2"/>
        <v>GBPIMMFRA6MJ0_Quote</v>
      </c>
      <c r="F80" s="138" t="str">
        <f>_xll.qlSimpleQuote(E80,,PriceTickValue,Permanent,Trigger,ObjectOverwrite)</f>
        <v>GBPIMMFRA6MJ0_Quote#0000</v>
      </c>
      <c r="G80" s="101" t="str">
        <f>_xll.ohRangeRetrieveError(F80)</f>
        <v/>
      </c>
      <c r="H80" s="137"/>
    </row>
    <row r="81" spans="1:8" x14ac:dyDescent="0.2">
      <c r="A81" s="143"/>
      <c r="B81" s="142">
        <v>77</v>
      </c>
      <c r="C81" s="141" t="b">
        <v>0</v>
      </c>
      <c r="D81" s="140" t="str">
        <v>K0</v>
      </c>
      <c r="E81" s="139" t="str">
        <f t="shared" si="2"/>
        <v>GBPIMMFRA6MK0_Quote</v>
      </c>
      <c r="F81" s="138" t="str">
        <f>_xll.qlSimpleQuote(E81,,PriceTickValue,Permanent,Trigger,ObjectOverwrite)</f>
        <v>GBPIMMFRA6MK0_Quote#0000</v>
      </c>
      <c r="G81" s="101" t="str">
        <f>_xll.ohRangeRetrieveError(F81)</f>
        <v/>
      </c>
      <c r="H81" s="137"/>
    </row>
    <row r="82" spans="1:8" x14ac:dyDescent="0.2">
      <c r="A82" s="143"/>
      <c r="B82" s="142">
        <v>78</v>
      </c>
      <c r="C82" s="141" t="b">
        <v>0</v>
      </c>
      <c r="D82" s="140" t="str">
        <v>M0</v>
      </c>
      <c r="E82" s="139" t="str">
        <f t="shared" si="2"/>
        <v>GBPIMMFRA6MM0_Quote</v>
      </c>
      <c r="F82" s="138" t="str">
        <f>_xll.qlSimpleQuote(E82,,PriceTickValue,Permanent,Trigger,ObjectOverwrite)</f>
        <v>GBPIMMFRA6MM0_Quote#0000</v>
      </c>
      <c r="G82" s="101" t="str">
        <f>_xll.ohRangeRetrieveError(F82)</f>
        <v/>
      </c>
      <c r="H82" s="137"/>
    </row>
    <row r="83" spans="1:8" x14ac:dyDescent="0.2">
      <c r="A83" s="143"/>
      <c r="B83" s="142">
        <v>79</v>
      </c>
      <c r="C83" s="141" t="b">
        <v>0</v>
      </c>
      <c r="D83" s="140" t="str">
        <v>N0</v>
      </c>
      <c r="E83" s="139" t="str">
        <f t="shared" si="2"/>
        <v>GBPIMMFRA6MN0_Quote</v>
      </c>
      <c r="F83" s="138" t="str">
        <f>_xll.qlSimpleQuote(E83,,PriceTickValue,Permanent,Trigger,ObjectOverwrite)</f>
        <v>GBPIMMFRA6MN0_Quote#0000</v>
      </c>
      <c r="G83" s="101" t="str">
        <f>_xll.ohRangeRetrieveError(F83)</f>
        <v/>
      </c>
      <c r="H83" s="137"/>
    </row>
    <row r="84" spans="1:8" x14ac:dyDescent="0.2">
      <c r="A84" s="143"/>
      <c r="B84" s="142">
        <v>80</v>
      </c>
      <c r="C84" s="141" t="b">
        <v>0</v>
      </c>
      <c r="D84" s="140" t="str">
        <v>Q0</v>
      </c>
      <c r="E84" s="139" t="str">
        <f t="shared" si="2"/>
        <v>GBPIMMFRA6MQ0_Quote</v>
      </c>
      <c r="F84" s="138" t="str">
        <f>_xll.qlSimpleQuote(E84,,PriceTickValue,Permanent,Trigger,ObjectOverwrite)</f>
        <v>GBPIMMFRA6MQ0_Quote#0000</v>
      </c>
      <c r="G84" s="101" t="str">
        <f>_xll.ohRangeRetrieveError(F84)</f>
        <v/>
      </c>
      <c r="H84" s="137"/>
    </row>
    <row r="85" spans="1:8" x14ac:dyDescent="0.2">
      <c r="A85" s="143"/>
      <c r="B85" s="142">
        <v>81</v>
      </c>
      <c r="C85" s="141" t="b">
        <v>0</v>
      </c>
      <c r="D85" s="140" t="str">
        <v>U0</v>
      </c>
      <c r="E85" s="139" t="str">
        <f t="shared" si="2"/>
        <v>GBPIMMFRA6MU0_Quote</v>
      </c>
      <c r="F85" s="138" t="str">
        <f>_xll.qlSimpleQuote(E85,,PriceTickValue,Permanent,Trigger,ObjectOverwrite)</f>
        <v>GBPIMMFRA6MU0_Quote#0000</v>
      </c>
      <c r="G85" s="101" t="str">
        <f>_xll.ohRangeRetrieveError(F85)</f>
        <v/>
      </c>
      <c r="H85" s="137"/>
    </row>
    <row r="86" spans="1:8" x14ac:dyDescent="0.2">
      <c r="A86" s="143"/>
      <c r="B86" s="142">
        <v>82</v>
      </c>
      <c r="C86" s="141" t="b">
        <v>0</v>
      </c>
      <c r="D86" s="140" t="str">
        <v>V0</v>
      </c>
      <c r="E86" s="139" t="str">
        <f t="shared" si="2"/>
        <v>GBPIMMFRA6MV0_Quote</v>
      </c>
      <c r="F86" s="138" t="str">
        <f>_xll.qlSimpleQuote(E86,,PriceTickValue,Permanent,Trigger,ObjectOverwrite)</f>
        <v>GBPIMMFRA6MV0_Quote#0000</v>
      </c>
      <c r="G86" s="101" t="str">
        <f>_xll.ohRangeRetrieveError(F86)</f>
        <v/>
      </c>
      <c r="H86" s="137"/>
    </row>
    <row r="87" spans="1:8" x14ac:dyDescent="0.2">
      <c r="A87" s="143"/>
      <c r="B87" s="142">
        <v>83</v>
      </c>
      <c r="C87" s="141" t="b">
        <v>0</v>
      </c>
      <c r="D87" s="140" t="str">
        <v>X0</v>
      </c>
      <c r="E87" s="139" t="str">
        <f t="shared" si="2"/>
        <v>GBPIMMFRA6MX0_Quote</v>
      </c>
      <c r="F87" s="138" t="str">
        <f>_xll.qlSimpleQuote(E87,,PriceTickValue,Permanent,Trigger,ObjectOverwrite)</f>
        <v>GBPIMMFRA6MX0_Quote#0000</v>
      </c>
      <c r="G87" s="101" t="str">
        <f>_xll.ohRangeRetrieveError(F87)</f>
        <v/>
      </c>
      <c r="H87" s="137"/>
    </row>
    <row r="88" spans="1:8" x14ac:dyDescent="0.2">
      <c r="A88" s="143"/>
      <c r="B88" s="142">
        <v>84</v>
      </c>
      <c r="C88" s="141" t="b">
        <v>0</v>
      </c>
      <c r="D88" s="140" t="str">
        <v>Z0</v>
      </c>
      <c r="E88" s="139" t="str">
        <f t="shared" si="2"/>
        <v>GBPIMMFRA6MZ0_Quote</v>
      </c>
      <c r="F88" s="138" t="str">
        <f>_xll.qlSimpleQuote(E88,,PriceTickValue,Permanent,Trigger,ObjectOverwrite)</f>
        <v>GBPIMMFRA6MZ0_Quote#0000</v>
      </c>
      <c r="G88" s="101" t="str">
        <f>_xll.ohRangeRetrieveError(F88)</f>
        <v/>
      </c>
      <c r="H88" s="137"/>
    </row>
    <row r="89" spans="1:8" x14ac:dyDescent="0.2">
      <c r="A89" s="143"/>
      <c r="B89" s="142">
        <v>85</v>
      </c>
      <c r="C89" s="141" t="b">
        <v>0</v>
      </c>
      <c r="D89" s="140" t="str">
        <v>F1</v>
      </c>
      <c r="E89" s="139" t="str">
        <f t="shared" si="2"/>
        <v>GBPIMMFRA6MF1_Quote</v>
      </c>
      <c r="F89" s="138" t="str">
        <f>_xll.qlSimpleQuote(E89,,PriceTickValue,Permanent,Trigger,ObjectOverwrite)</f>
        <v>GBPIMMFRA6MF1_Quote#0000</v>
      </c>
      <c r="G89" s="101" t="str">
        <f>_xll.ohRangeRetrieveError(F89)</f>
        <v/>
      </c>
      <c r="H89" s="137"/>
    </row>
    <row r="90" spans="1:8" x14ac:dyDescent="0.2">
      <c r="A90" s="143"/>
      <c r="B90" s="142">
        <v>86</v>
      </c>
      <c r="C90" s="141" t="b">
        <v>0</v>
      </c>
      <c r="D90" s="140" t="str">
        <v>G1</v>
      </c>
      <c r="E90" s="139" t="str">
        <f t="shared" si="2"/>
        <v>GBPIMMFRA6MG1_Quote</v>
      </c>
      <c r="F90" s="138" t="str">
        <f>_xll.qlSimpleQuote(E90,,PriceTickValue,Permanent,Trigger,ObjectOverwrite)</f>
        <v>GBPIMMFRA6MG1_Quote#0000</v>
      </c>
      <c r="G90" s="101" t="str">
        <f>_xll.ohRangeRetrieveError(F90)</f>
        <v/>
      </c>
      <c r="H90" s="137"/>
    </row>
    <row r="91" spans="1:8" x14ac:dyDescent="0.2">
      <c r="A91" s="143"/>
      <c r="B91" s="142">
        <v>87</v>
      </c>
      <c r="C91" s="141" t="b">
        <v>0</v>
      </c>
      <c r="D91" s="140" t="str">
        <v>H1</v>
      </c>
      <c r="E91" s="139" t="str">
        <f t="shared" si="2"/>
        <v>GBPIMMFRA6MH1_Quote</v>
      </c>
      <c r="F91" s="138" t="str">
        <f>_xll.qlSimpleQuote(E91,,PriceTickValue,Permanent,Trigger,ObjectOverwrite)</f>
        <v>GBPIMMFRA6MH1_Quote#0000</v>
      </c>
      <c r="G91" s="101" t="str">
        <f>_xll.ohRangeRetrieveError(F91)</f>
        <v/>
      </c>
      <c r="H91" s="137"/>
    </row>
    <row r="92" spans="1:8" x14ac:dyDescent="0.2">
      <c r="A92" s="143"/>
      <c r="B92" s="142">
        <v>88</v>
      </c>
      <c r="C92" s="141" t="b">
        <v>0</v>
      </c>
      <c r="D92" s="140" t="str">
        <v>J1</v>
      </c>
      <c r="E92" s="139" t="str">
        <f t="shared" si="2"/>
        <v>GBPIMMFRA6MJ1_Quote</v>
      </c>
      <c r="F92" s="138" t="str">
        <f>_xll.qlSimpleQuote(E92,,PriceTickValue,Permanent,Trigger,ObjectOverwrite)</f>
        <v>GBPIMMFRA6MJ1_Quote#0000</v>
      </c>
      <c r="G92" s="101" t="str">
        <f>_xll.ohRangeRetrieveError(F92)</f>
        <v/>
      </c>
      <c r="H92" s="137"/>
    </row>
    <row r="93" spans="1:8" x14ac:dyDescent="0.2">
      <c r="A93" s="143"/>
      <c r="B93" s="142">
        <v>89</v>
      </c>
      <c r="C93" s="141" t="b">
        <v>0</v>
      </c>
      <c r="D93" s="140" t="str">
        <v>K1</v>
      </c>
      <c r="E93" s="139" t="str">
        <f t="shared" si="2"/>
        <v>GBPIMMFRA6MK1_Quote</v>
      </c>
      <c r="F93" s="138" t="str">
        <f>_xll.qlSimpleQuote(E93,,PriceTickValue,Permanent,Trigger,ObjectOverwrite)</f>
        <v>GBPIMMFRA6MK1_Quote#0000</v>
      </c>
      <c r="G93" s="101" t="str">
        <f>_xll.ohRangeRetrieveError(F93)</f>
        <v/>
      </c>
      <c r="H93" s="137"/>
    </row>
    <row r="94" spans="1:8" x14ac:dyDescent="0.2">
      <c r="A94" s="143"/>
      <c r="B94" s="142">
        <v>90</v>
      </c>
      <c r="C94" s="141" t="b">
        <v>0</v>
      </c>
      <c r="D94" s="140" t="str">
        <v>M1</v>
      </c>
      <c r="E94" s="139" t="str">
        <f t="shared" si="2"/>
        <v>GBPIMMFRA6MM1_Quote</v>
      </c>
      <c r="F94" s="138" t="str">
        <f>_xll.qlSimpleQuote(E94,,PriceTickValue,Permanent,Trigger,ObjectOverwrite)</f>
        <v>GBPIMMFRA6MM1_Quote#0000</v>
      </c>
      <c r="G94" s="101" t="str">
        <f>_xll.ohRangeRetrieveError(F94)</f>
        <v/>
      </c>
      <c r="H94" s="137"/>
    </row>
    <row r="95" spans="1:8" x14ac:dyDescent="0.2">
      <c r="A95" s="143"/>
      <c r="B95" s="142">
        <v>91</v>
      </c>
      <c r="C95" s="141" t="b">
        <v>0</v>
      </c>
      <c r="D95" s="140" t="str">
        <v>N1</v>
      </c>
      <c r="E95" s="139" t="str">
        <f t="shared" si="2"/>
        <v>GBPIMMFRA6MN1_Quote</v>
      </c>
      <c r="F95" s="138" t="str">
        <f>_xll.qlSimpleQuote(E95,,PriceTickValue,Permanent,Trigger,ObjectOverwrite)</f>
        <v>GBPIMMFRA6MN1_Quote#0000</v>
      </c>
      <c r="G95" s="101" t="str">
        <f>_xll.ohRangeRetrieveError(F95)</f>
        <v/>
      </c>
      <c r="H95" s="137"/>
    </row>
    <row r="96" spans="1:8" x14ac:dyDescent="0.2">
      <c r="A96" s="143"/>
      <c r="B96" s="142">
        <v>92</v>
      </c>
      <c r="C96" s="141" t="b">
        <v>0</v>
      </c>
      <c r="D96" s="140" t="str">
        <v>Q1</v>
      </c>
      <c r="E96" s="139" t="str">
        <f t="shared" si="2"/>
        <v>GBPIMMFRA6MQ1_Quote</v>
      </c>
      <c r="F96" s="138" t="str">
        <f>_xll.qlSimpleQuote(E96,,PriceTickValue,Permanent,Trigger,ObjectOverwrite)</f>
        <v>GBPIMMFRA6MQ1_Quote#0000</v>
      </c>
      <c r="G96" s="101" t="str">
        <f>_xll.ohRangeRetrieveError(F96)</f>
        <v/>
      </c>
      <c r="H96" s="137"/>
    </row>
    <row r="97" spans="1:8" x14ac:dyDescent="0.2">
      <c r="A97" s="143"/>
      <c r="B97" s="142">
        <v>93</v>
      </c>
      <c r="C97" s="141" t="b">
        <v>0</v>
      </c>
      <c r="D97" s="140" t="str">
        <v>U1</v>
      </c>
      <c r="E97" s="139" t="str">
        <f t="shared" si="2"/>
        <v>GBPIMMFRA6MU1_Quote</v>
      </c>
      <c r="F97" s="138" t="str">
        <f>_xll.qlSimpleQuote(E97,,PriceTickValue,Permanent,Trigger,ObjectOverwrite)</f>
        <v>GBPIMMFRA6MU1_Quote#0000</v>
      </c>
      <c r="G97" s="101" t="str">
        <f>_xll.ohRangeRetrieveError(F97)</f>
        <v/>
      </c>
      <c r="H97" s="137"/>
    </row>
    <row r="98" spans="1:8" x14ac:dyDescent="0.2">
      <c r="A98" s="143"/>
      <c r="B98" s="142">
        <v>94</v>
      </c>
      <c r="C98" s="141" t="b">
        <v>0</v>
      </c>
      <c r="D98" s="140" t="str">
        <v>V1</v>
      </c>
      <c r="E98" s="139" t="str">
        <f t="shared" si="2"/>
        <v>GBPIMMFRA6MV1_Quote</v>
      </c>
      <c r="F98" s="138" t="str">
        <f>_xll.qlSimpleQuote(E98,,PriceTickValue,Permanent,Trigger,ObjectOverwrite)</f>
        <v>GBPIMMFRA6MV1_Quote#0000</v>
      </c>
      <c r="G98" s="101" t="str">
        <f>_xll.ohRangeRetrieveError(F98)</f>
        <v/>
      </c>
      <c r="H98" s="137"/>
    </row>
    <row r="99" spans="1:8" x14ac:dyDescent="0.2">
      <c r="A99" s="143"/>
      <c r="B99" s="142">
        <v>95</v>
      </c>
      <c r="C99" s="141" t="b">
        <v>0</v>
      </c>
      <c r="D99" s="140" t="str">
        <v>X1</v>
      </c>
      <c r="E99" s="139" t="str">
        <f t="shared" si="2"/>
        <v>GBPIMMFRA6MX1_Quote</v>
      </c>
      <c r="F99" s="138" t="str">
        <f>_xll.qlSimpleQuote(E99,,PriceTickValue,Permanent,Trigger,ObjectOverwrite)</f>
        <v>GBPIMMFRA6MX1_Quote#0000</v>
      </c>
      <c r="G99" s="101" t="str">
        <f>_xll.ohRangeRetrieveError(F99)</f>
        <v/>
      </c>
      <c r="H99" s="137"/>
    </row>
    <row r="100" spans="1:8" x14ac:dyDescent="0.2">
      <c r="A100" s="143"/>
      <c r="B100" s="142">
        <v>96</v>
      </c>
      <c r="C100" s="141" t="b">
        <v>0</v>
      </c>
      <c r="D100" s="140" t="str">
        <v>Z1</v>
      </c>
      <c r="E100" s="139" t="str">
        <f t="shared" si="2"/>
        <v>GBPIMMFRA6MZ1_Quote</v>
      </c>
      <c r="F100" s="138" t="str">
        <f>_xll.qlSimpleQuote(E100,,PriceTickValue,Permanent,Trigger,ObjectOverwrite)</f>
        <v>GBPIMMFRA6MZ1_Quote#0000</v>
      </c>
      <c r="G100" s="101" t="str">
        <f>_xll.ohRangeRetrieveError(F100)</f>
        <v/>
      </c>
      <c r="H100" s="137"/>
    </row>
    <row r="101" spans="1:8" x14ac:dyDescent="0.2">
      <c r="A101" s="143"/>
      <c r="B101" s="142">
        <v>97</v>
      </c>
      <c r="C101" s="141" t="b">
        <v>0</v>
      </c>
      <c r="D101" s="140" t="str">
        <v>F2</v>
      </c>
      <c r="E101" s="139" t="str">
        <f t="shared" ref="E101:E124" si="3">Currency&amp;$D$3&amp;$E$3&amp;$D101&amp;QuoteSuffix</f>
        <v>GBPIMMFRA6MF2_Quote</v>
      </c>
      <c r="F101" s="138" t="str">
        <f>_xll.qlSimpleQuote(E101,,PriceTickValue,Permanent,Trigger,ObjectOverwrite)</f>
        <v>GBPIMMFRA6MF2_Quote#0000</v>
      </c>
      <c r="G101" s="101" t="str">
        <f>_xll.ohRangeRetrieveError(F101)</f>
        <v/>
      </c>
      <c r="H101" s="137"/>
    </row>
    <row r="102" spans="1:8" x14ac:dyDescent="0.2">
      <c r="A102" s="143"/>
      <c r="B102" s="142">
        <v>98</v>
      </c>
      <c r="C102" s="141" t="b">
        <v>0</v>
      </c>
      <c r="D102" s="140" t="str">
        <v>G2</v>
      </c>
      <c r="E102" s="139" t="str">
        <f t="shared" si="3"/>
        <v>GBPIMMFRA6MG2_Quote</v>
      </c>
      <c r="F102" s="138" t="str">
        <f>_xll.qlSimpleQuote(E102,,PriceTickValue,Permanent,Trigger,ObjectOverwrite)</f>
        <v>GBPIMMFRA6MG2_Quote#0000</v>
      </c>
      <c r="G102" s="101" t="str">
        <f>_xll.ohRangeRetrieveError(F102)</f>
        <v/>
      </c>
      <c r="H102" s="137"/>
    </row>
    <row r="103" spans="1:8" x14ac:dyDescent="0.2">
      <c r="A103" s="143"/>
      <c r="B103" s="142">
        <v>99</v>
      </c>
      <c r="C103" s="141" t="b">
        <v>0</v>
      </c>
      <c r="D103" s="140" t="str">
        <v>H2</v>
      </c>
      <c r="E103" s="139" t="str">
        <f t="shared" si="3"/>
        <v>GBPIMMFRA6MH2_Quote</v>
      </c>
      <c r="F103" s="138" t="str">
        <f>_xll.qlSimpleQuote(E103,,PriceTickValue,Permanent,Trigger,ObjectOverwrite)</f>
        <v>GBPIMMFRA6MH2_Quote#0000</v>
      </c>
      <c r="G103" s="101" t="str">
        <f>_xll.ohRangeRetrieveError(F103)</f>
        <v/>
      </c>
      <c r="H103" s="137"/>
    </row>
    <row r="104" spans="1:8" x14ac:dyDescent="0.2">
      <c r="A104" s="143"/>
      <c r="B104" s="142">
        <v>100</v>
      </c>
      <c r="C104" s="141" t="b">
        <v>0</v>
      </c>
      <c r="D104" s="140" t="str">
        <v>J2</v>
      </c>
      <c r="E104" s="139" t="str">
        <f t="shared" si="3"/>
        <v>GBPIMMFRA6MJ2_Quote</v>
      </c>
      <c r="F104" s="138" t="str">
        <f>_xll.qlSimpleQuote(E104,,PriceTickValue,Permanent,Trigger,ObjectOverwrite)</f>
        <v>GBPIMMFRA6MJ2_Quote#0000</v>
      </c>
      <c r="G104" s="101" t="str">
        <f>_xll.ohRangeRetrieveError(F104)</f>
        <v/>
      </c>
      <c r="H104" s="137"/>
    </row>
    <row r="105" spans="1:8" x14ac:dyDescent="0.2">
      <c r="A105" s="143"/>
      <c r="B105" s="142">
        <v>101</v>
      </c>
      <c r="C105" s="141" t="b">
        <v>0</v>
      </c>
      <c r="D105" s="140" t="str">
        <v>K2</v>
      </c>
      <c r="E105" s="139" t="str">
        <f t="shared" si="3"/>
        <v>GBPIMMFRA6MK2_Quote</v>
      </c>
      <c r="F105" s="138" t="str">
        <f>_xll.qlSimpleQuote(E105,,PriceTickValue,Permanent,Trigger,ObjectOverwrite)</f>
        <v>GBPIMMFRA6MK2_Quote#0000</v>
      </c>
      <c r="G105" s="101" t="str">
        <f>_xll.ohRangeRetrieveError(F105)</f>
        <v/>
      </c>
      <c r="H105" s="137"/>
    </row>
    <row r="106" spans="1:8" x14ac:dyDescent="0.2">
      <c r="A106" s="143"/>
      <c r="B106" s="142">
        <v>102</v>
      </c>
      <c r="C106" s="141" t="b">
        <v>0</v>
      </c>
      <c r="D106" s="140" t="str">
        <v>M2</v>
      </c>
      <c r="E106" s="139" t="str">
        <f t="shared" si="3"/>
        <v>GBPIMMFRA6MM2_Quote</v>
      </c>
      <c r="F106" s="138" t="str">
        <f>_xll.qlSimpleQuote(E106,,PriceTickValue,Permanent,Trigger,ObjectOverwrite)</f>
        <v>GBPIMMFRA6MM2_Quote#0000</v>
      </c>
      <c r="G106" s="101" t="str">
        <f>_xll.ohRangeRetrieveError(F106)</f>
        <v/>
      </c>
      <c r="H106" s="137"/>
    </row>
    <row r="107" spans="1:8" x14ac:dyDescent="0.2">
      <c r="A107" s="143"/>
      <c r="B107" s="142">
        <v>103</v>
      </c>
      <c r="C107" s="141" t="b">
        <v>0</v>
      </c>
      <c r="D107" s="140" t="str">
        <v>N2</v>
      </c>
      <c r="E107" s="139" t="str">
        <f t="shared" si="3"/>
        <v>GBPIMMFRA6MN2_Quote</v>
      </c>
      <c r="F107" s="138" t="str">
        <f>_xll.qlSimpleQuote(E107,,PriceTickValue,Permanent,Trigger,ObjectOverwrite)</f>
        <v>GBPIMMFRA6MN2_Quote#0000</v>
      </c>
      <c r="G107" s="101" t="str">
        <f>_xll.ohRangeRetrieveError(F107)</f>
        <v/>
      </c>
      <c r="H107" s="137"/>
    </row>
    <row r="108" spans="1:8" x14ac:dyDescent="0.2">
      <c r="A108" s="143"/>
      <c r="B108" s="142">
        <v>104</v>
      </c>
      <c r="C108" s="141" t="b">
        <v>0</v>
      </c>
      <c r="D108" s="140" t="str">
        <v>Q2</v>
      </c>
      <c r="E108" s="139" t="str">
        <f t="shared" si="3"/>
        <v>GBPIMMFRA6MQ2_Quote</v>
      </c>
      <c r="F108" s="138" t="str">
        <f>_xll.qlSimpleQuote(E108,,PriceTickValue,Permanent,Trigger,ObjectOverwrite)</f>
        <v>GBPIMMFRA6MQ2_Quote#0000</v>
      </c>
      <c r="G108" s="101" t="str">
        <f>_xll.ohRangeRetrieveError(F108)</f>
        <v/>
      </c>
      <c r="H108" s="137"/>
    </row>
    <row r="109" spans="1:8" x14ac:dyDescent="0.2">
      <c r="A109" s="143"/>
      <c r="B109" s="142">
        <v>105</v>
      </c>
      <c r="C109" s="141" t="b">
        <v>0</v>
      </c>
      <c r="D109" s="140" t="str">
        <v>U2</v>
      </c>
      <c r="E109" s="139" t="str">
        <f t="shared" si="3"/>
        <v>GBPIMMFRA6MU2_Quote</v>
      </c>
      <c r="F109" s="138" t="str">
        <f>_xll.qlSimpleQuote(E109,,PriceTickValue,Permanent,Trigger,ObjectOverwrite)</f>
        <v>GBPIMMFRA6MU2_Quote#0000</v>
      </c>
      <c r="G109" s="101" t="str">
        <f>_xll.ohRangeRetrieveError(F109)</f>
        <v/>
      </c>
      <c r="H109" s="137"/>
    </row>
    <row r="110" spans="1:8" x14ac:dyDescent="0.2">
      <c r="A110" s="143"/>
      <c r="B110" s="142">
        <v>106</v>
      </c>
      <c r="C110" s="141" t="b">
        <v>0</v>
      </c>
      <c r="D110" s="140" t="str">
        <v>V2</v>
      </c>
      <c r="E110" s="139" t="str">
        <f t="shared" si="3"/>
        <v>GBPIMMFRA6MV2_Quote</v>
      </c>
      <c r="F110" s="138" t="str">
        <f>_xll.qlSimpleQuote(E110,,PriceTickValue,Permanent,Trigger,ObjectOverwrite)</f>
        <v>GBPIMMFRA6MV2_Quote#0000</v>
      </c>
      <c r="G110" s="101" t="str">
        <f>_xll.ohRangeRetrieveError(F110)</f>
        <v/>
      </c>
      <c r="H110" s="137"/>
    </row>
    <row r="111" spans="1:8" x14ac:dyDescent="0.2">
      <c r="A111" s="143"/>
      <c r="B111" s="142">
        <v>107</v>
      </c>
      <c r="C111" s="141" t="b">
        <v>0</v>
      </c>
      <c r="D111" s="140" t="str">
        <v>X2</v>
      </c>
      <c r="E111" s="139" t="str">
        <f t="shared" si="3"/>
        <v>GBPIMMFRA6MX2_Quote</v>
      </c>
      <c r="F111" s="138" t="str">
        <f>_xll.qlSimpleQuote(E111,,PriceTickValue,Permanent,Trigger,ObjectOverwrite)</f>
        <v>GBPIMMFRA6MX2_Quote#0000</v>
      </c>
      <c r="G111" s="101" t="str">
        <f>_xll.ohRangeRetrieveError(F111)</f>
        <v/>
      </c>
      <c r="H111" s="137"/>
    </row>
    <row r="112" spans="1:8" x14ac:dyDescent="0.2">
      <c r="A112" s="143"/>
      <c r="B112" s="142">
        <v>108</v>
      </c>
      <c r="C112" s="141" t="b">
        <v>0</v>
      </c>
      <c r="D112" s="140" t="str">
        <v>Z2</v>
      </c>
      <c r="E112" s="139" t="str">
        <f t="shared" si="3"/>
        <v>GBPIMMFRA6MZ2_Quote</v>
      </c>
      <c r="F112" s="138" t="str">
        <f>_xll.qlSimpleQuote(E112,,PriceTickValue,Permanent,Trigger,ObjectOverwrite)</f>
        <v>GBPIMMFRA6MZ2_Quote#0000</v>
      </c>
      <c r="G112" s="101" t="str">
        <f>_xll.ohRangeRetrieveError(F112)</f>
        <v/>
      </c>
      <c r="H112" s="137"/>
    </row>
    <row r="113" spans="1:8" x14ac:dyDescent="0.2">
      <c r="A113" s="143"/>
      <c r="B113" s="142">
        <v>109</v>
      </c>
      <c r="C113" s="141" t="b">
        <v>0</v>
      </c>
      <c r="D113" s="140" t="str">
        <v>F3</v>
      </c>
      <c r="E113" s="139" t="str">
        <f t="shared" si="3"/>
        <v>GBPIMMFRA6MF3_Quote</v>
      </c>
      <c r="F113" s="138" t="str">
        <f>_xll.qlSimpleQuote(E113,,PriceTickValue,Permanent,Trigger,ObjectOverwrite)</f>
        <v>GBPIMMFRA6MF3_Quote#0000</v>
      </c>
      <c r="G113" s="101" t="str">
        <f>_xll.ohRangeRetrieveError(F113)</f>
        <v/>
      </c>
      <c r="H113" s="137"/>
    </row>
    <row r="114" spans="1:8" x14ac:dyDescent="0.2">
      <c r="A114" s="143"/>
      <c r="B114" s="142">
        <v>110</v>
      </c>
      <c r="C114" s="141" t="b">
        <v>0</v>
      </c>
      <c r="D114" s="140" t="str">
        <v>G3</v>
      </c>
      <c r="E114" s="139" t="str">
        <f t="shared" si="3"/>
        <v>GBPIMMFRA6MG3_Quote</v>
      </c>
      <c r="F114" s="138" t="str">
        <f>_xll.qlSimpleQuote(E114,,PriceTickValue,Permanent,Trigger,ObjectOverwrite)</f>
        <v>GBPIMMFRA6MG3_Quote#0000</v>
      </c>
      <c r="G114" s="101" t="str">
        <f>_xll.ohRangeRetrieveError(F114)</f>
        <v/>
      </c>
      <c r="H114" s="137"/>
    </row>
    <row r="115" spans="1:8" x14ac:dyDescent="0.2">
      <c r="A115" s="143"/>
      <c r="B115" s="142">
        <v>111</v>
      </c>
      <c r="C115" s="141" t="b">
        <v>0</v>
      </c>
      <c r="D115" s="140" t="str">
        <v>H3</v>
      </c>
      <c r="E115" s="139" t="str">
        <f t="shared" si="3"/>
        <v>GBPIMMFRA6MH3_Quote</v>
      </c>
      <c r="F115" s="138" t="str">
        <f>_xll.qlSimpleQuote(E115,,PriceTickValue,Permanent,Trigger,ObjectOverwrite)</f>
        <v>GBPIMMFRA6MH3_Quote#0000</v>
      </c>
      <c r="G115" s="101" t="str">
        <f>_xll.ohRangeRetrieveError(F115)</f>
        <v/>
      </c>
      <c r="H115" s="137"/>
    </row>
    <row r="116" spans="1:8" x14ac:dyDescent="0.2">
      <c r="A116" s="143"/>
      <c r="B116" s="142">
        <v>112</v>
      </c>
      <c r="C116" s="141" t="b">
        <v>0</v>
      </c>
      <c r="D116" s="140" t="str">
        <v>J3</v>
      </c>
      <c r="E116" s="139" t="str">
        <f t="shared" si="3"/>
        <v>GBPIMMFRA6MJ3_Quote</v>
      </c>
      <c r="F116" s="138" t="str">
        <f>_xll.qlSimpleQuote(E116,,PriceTickValue,Permanent,Trigger,ObjectOverwrite)</f>
        <v>GBPIMMFRA6MJ3_Quote#0000</v>
      </c>
      <c r="G116" s="101" t="str">
        <f>_xll.ohRangeRetrieveError(F116)</f>
        <v/>
      </c>
      <c r="H116" s="137"/>
    </row>
    <row r="117" spans="1:8" x14ac:dyDescent="0.2">
      <c r="A117" s="143"/>
      <c r="B117" s="142">
        <v>113</v>
      </c>
      <c r="C117" s="141" t="b">
        <v>0</v>
      </c>
      <c r="D117" s="140" t="str">
        <v>K3</v>
      </c>
      <c r="E117" s="139" t="str">
        <f t="shared" si="3"/>
        <v>GBPIMMFRA6MK3_Quote</v>
      </c>
      <c r="F117" s="138" t="str">
        <f>_xll.qlSimpleQuote(E117,,PriceTickValue,Permanent,Trigger,ObjectOverwrite)</f>
        <v>GBPIMMFRA6MK3_Quote#0000</v>
      </c>
      <c r="G117" s="101" t="str">
        <f>_xll.ohRangeRetrieveError(F117)</f>
        <v/>
      </c>
      <c r="H117" s="137"/>
    </row>
    <row r="118" spans="1:8" x14ac:dyDescent="0.2">
      <c r="A118" s="143"/>
      <c r="B118" s="142">
        <v>114</v>
      </c>
      <c r="C118" s="141" t="b">
        <v>0</v>
      </c>
      <c r="D118" s="140" t="str">
        <v>M3</v>
      </c>
      <c r="E118" s="139" t="str">
        <f t="shared" si="3"/>
        <v>GBPIMMFRA6MM3_Quote</v>
      </c>
      <c r="F118" s="138" t="str">
        <f>_xll.qlSimpleQuote(E118,,PriceTickValue,Permanent,Trigger,ObjectOverwrite)</f>
        <v>GBPIMMFRA6MM3_Quote#0000</v>
      </c>
      <c r="G118" s="101" t="str">
        <f>_xll.ohRangeRetrieveError(F118)</f>
        <v/>
      </c>
      <c r="H118" s="137"/>
    </row>
    <row r="119" spans="1:8" x14ac:dyDescent="0.2">
      <c r="A119" s="143"/>
      <c r="B119" s="142">
        <v>115</v>
      </c>
      <c r="C119" s="141" t="b">
        <v>0</v>
      </c>
      <c r="D119" s="140" t="str">
        <v>N3</v>
      </c>
      <c r="E119" s="139" t="str">
        <f t="shared" si="3"/>
        <v>GBPIMMFRA6MN3_Quote</v>
      </c>
      <c r="F119" s="138" t="str">
        <f>_xll.qlSimpleQuote(E119,,PriceTickValue,Permanent,Trigger,ObjectOverwrite)</f>
        <v>GBPIMMFRA6MN3_Quote#0000</v>
      </c>
      <c r="G119" s="101" t="str">
        <f>_xll.ohRangeRetrieveError(F119)</f>
        <v/>
      </c>
      <c r="H119" s="137"/>
    </row>
    <row r="120" spans="1:8" x14ac:dyDescent="0.2">
      <c r="A120" s="143"/>
      <c r="B120" s="142">
        <v>116</v>
      </c>
      <c r="C120" s="141" t="b">
        <v>0</v>
      </c>
      <c r="D120" s="140" t="str">
        <v>Q3</v>
      </c>
      <c r="E120" s="139" t="str">
        <f t="shared" si="3"/>
        <v>GBPIMMFRA6MQ3_Quote</v>
      </c>
      <c r="F120" s="138" t="str">
        <f>_xll.qlSimpleQuote(E120,,PriceTickValue,Permanent,Trigger,ObjectOverwrite)</f>
        <v>GBPIMMFRA6MQ3_Quote#0000</v>
      </c>
      <c r="G120" s="101" t="str">
        <f>_xll.ohRangeRetrieveError(F120)</f>
        <v/>
      </c>
      <c r="H120" s="137"/>
    </row>
    <row r="121" spans="1:8" x14ac:dyDescent="0.2">
      <c r="A121" s="143"/>
      <c r="B121" s="142">
        <v>117</v>
      </c>
      <c r="C121" s="141" t="b">
        <v>0</v>
      </c>
      <c r="D121" s="140" t="str">
        <v>U3</v>
      </c>
      <c r="E121" s="139" t="str">
        <f t="shared" si="3"/>
        <v>GBPIMMFRA6MU3_Quote</v>
      </c>
      <c r="F121" s="138" t="str">
        <f>_xll.qlSimpleQuote(E121,,PriceTickValue,Permanent,Trigger,ObjectOverwrite)</f>
        <v>GBPIMMFRA6MU3_Quote#0000</v>
      </c>
      <c r="G121" s="101" t="str">
        <f>_xll.ohRangeRetrieveError(F121)</f>
        <v/>
      </c>
      <c r="H121" s="137"/>
    </row>
    <row r="122" spans="1:8" x14ac:dyDescent="0.2">
      <c r="A122" s="143"/>
      <c r="B122" s="142">
        <v>118</v>
      </c>
      <c r="C122" s="141" t="b">
        <v>0</v>
      </c>
      <c r="D122" s="140" t="str">
        <v>V3</v>
      </c>
      <c r="E122" s="139" t="str">
        <f t="shared" si="3"/>
        <v>GBPIMMFRA6MV3_Quote</v>
      </c>
      <c r="F122" s="138" t="str">
        <f>_xll.qlSimpleQuote(E122,,PriceTickValue,Permanent,Trigger,ObjectOverwrite)</f>
        <v>GBPIMMFRA6MV3_Quote#0000</v>
      </c>
      <c r="G122" s="101" t="str">
        <f>_xll.ohRangeRetrieveError(F122)</f>
        <v/>
      </c>
      <c r="H122" s="137"/>
    </row>
    <row r="123" spans="1:8" x14ac:dyDescent="0.2">
      <c r="A123" s="143"/>
      <c r="B123" s="142">
        <v>119</v>
      </c>
      <c r="C123" s="141" t="b">
        <v>0</v>
      </c>
      <c r="D123" s="140" t="str">
        <v>X3</v>
      </c>
      <c r="E123" s="139" t="str">
        <f t="shared" si="3"/>
        <v>GBPIMMFRA6MX3_Quote</v>
      </c>
      <c r="F123" s="138" t="str">
        <f>_xll.qlSimpleQuote(E123,,PriceTickValue,Permanent,Trigger,ObjectOverwrite)</f>
        <v>GBPIMMFRA6MX3_Quote#0000</v>
      </c>
      <c r="G123" s="101" t="str">
        <f>_xll.ohRangeRetrieveError(F123)</f>
        <v/>
      </c>
      <c r="H123" s="137"/>
    </row>
    <row r="124" spans="1:8" x14ac:dyDescent="0.2">
      <c r="A124" s="143"/>
      <c r="B124" s="142">
        <v>120</v>
      </c>
      <c r="C124" s="141" t="b">
        <v>0</v>
      </c>
      <c r="D124" s="140" t="str">
        <v>Z3</v>
      </c>
      <c r="E124" s="139" t="str">
        <f t="shared" si="3"/>
        <v>GBPIMMFRA6MZ3_Quote</v>
      </c>
      <c r="F124" s="138" t="str">
        <f>_xll.qlSimpleQuote(E124,,PriceTickValue,Permanent,Trigger,ObjectOverwrite)</f>
        <v>GBPIMMFRA6MZ3_Quote#0000</v>
      </c>
      <c r="G124" s="101" t="str">
        <f>_xll.ohRangeRetrieveError(F124)</f>
        <v/>
      </c>
      <c r="H124" s="137"/>
    </row>
    <row r="125" spans="1:8" ht="12" thickBot="1" x14ac:dyDescent="0.25">
      <c r="A125" s="136"/>
      <c r="B125" s="135"/>
      <c r="C125" s="135"/>
      <c r="D125" s="135"/>
      <c r="E125" s="135"/>
      <c r="F125" s="135"/>
      <c r="G125" s="135"/>
      <c r="H125" s="134"/>
    </row>
  </sheetData>
  <conditionalFormatting sqref="AA6:AA9">
    <cfRule type="cellIs" dxfId="25" priority="1" stopIfTrue="1" operator="greaterThan">
      <formula>0</formula>
    </cfRule>
    <cfRule type="cellIs" dxfId="24"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W9"/>
  <sheetViews>
    <sheetView workbookViewId="0"/>
  </sheetViews>
  <sheetFormatPr defaultRowHeight="11.25" x14ac:dyDescent="0.2"/>
  <cols>
    <col min="1" max="1" width="2.7109375" style="65" customWidth="1"/>
    <col min="2" max="2" width="25.5703125" style="65" bestFit="1" customWidth="1"/>
    <col min="3" max="3" width="27.7109375" style="65" bestFit="1" customWidth="1"/>
    <col min="4" max="4" width="23.28515625" style="65" customWidth="1"/>
    <col min="5" max="7" width="2.7109375" style="65" customWidth="1"/>
    <col min="8" max="9" width="9.140625" style="65"/>
    <col min="10" max="10" width="2.7109375" style="65" customWidth="1"/>
    <col min="11" max="12" width="9.140625" style="65"/>
    <col min="13" max="13" width="2.7109375" style="65" customWidth="1"/>
    <col min="14" max="14" width="9.140625" style="65"/>
    <col min="15" max="15" width="2.7109375" style="65" customWidth="1"/>
    <col min="16" max="18" width="9.140625" style="65"/>
    <col min="19" max="20" width="2.7109375" style="65" customWidth="1"/>
    <col min="21" max="16384" width="9.140625" style="65"/>
  </cols>
  <sheetData>
    <row r="1" spans="1:23" x14ac:dyDescent="0.2">
      <c r="G1" s="154" t="s">
        <v>353</v>
      </c>
      <c r="H1" s="229"/>
      <c r="I1" s="229"/>
      <c r="J1" s="229"/>
      <c r="K1" s="229"/>
      <c r="L1" s="229"/>
      <c r="M1" s="229"/>
      <c r="N1" s="229"/>
      <c r="O1" s="229"/>
      <c r="P1" s="229"/>
      <c r="Q1" s="229"/>
      <c r="R1" s="229"/>
      <c r="S1" s="228"/>
    </row>
    <row r="2" spans="1:23" x14ac:dyDescent="0.2">
      <c r="G2" s="149"/>
      <c r="H2" s="140" t="s">
        <v>275</v>
      </c>
      <c r="I2" s="238"/>
      <c r="J2" s="238"/>
      <c r="K2" s="238"/>
      <c r="L2" s="238"/>
      <c r="M2" s="238"/>
      <c r="N2" s="238"/>
      <c r="O2" s="238"/>
      <c r="P2" s="238"/>
      <c r="Q2" s="238"/>
      <c r="R2" s="238"/>
      <c r="S2" s="137"/>
    </row>
    <row r="3" spans="1:23" x14ac:dyDescent="0.2">
      <c r="A3" s="109" t="s">
        <v>346</v>
      </c>
      <c r="B3" s="108"/>
      <c r="C3" s="108"/>
      <c r="D3" s="108"/>
      <c r="E3" s="107"/>
      <c r="G3" s="149"/>
      <c r="H3" s="238"/>
      <c r="I3" s="238"/>
      <c r="J3" s="238"/>
      <c r="K3" s="238"/>
      <c r="L3" s="238"/>
      <c r="M3" s="238"/>
      <c r="N3" s="238"/>
      <c r="O3" s="238"/>
      <c r="P3" s="238"/>
      <c r="Q3" s="238"/>
      <c r="R3" s="453">
        <f>_xll.ohTrigger(R5:R9)</f>
        <v>0</v>
      </c>
      <c r="S3" s="137"/>
      <c r="V3" s="65" t="s">
        <v>83</v>
      </c>
    </row>
    <row r="4" spans="1:23" ht="13.5" thickBot="1" x14ac:dyDescent="0.25">
      <c r="A4" s="160"/>
      <c r="B4" s="18" t="str">
        <f>Currency&amp;"_010_"&amp;"FuturesHWConvAdj.xml"</f>
        <v>GBP_010_FuturesHWConvAdj.xml</v>
      </c>
      <c r="C4" s="16">
        <f ca="1">IF(Serialize,_xll.ohObjectSave(C5:C6,SerializationPath&amp;B4,FileOverwrite,Serialize),"---")</f>
        <v>2</v>
      </c>
      <c r="D4" s="101" t="str">
        <f ca="1">_xll.ohRangeRetrieveError(C4)</f>
        <v/>
      </c>
      <c r="E4" s="158"/>
      <c r="G4" s="149"/>
      <c r="H4" s="486" t="e">
        <f ca="1">_xll.RData(H5,I4,"RTFEED:IDN",ReutersRtMode,,I5)</f>
        <v>#NAME?</v>
      </c>
      <c r="I4" s="487" t="s">
        <v>291</v>
      </c>
      <c r="J4" s="475"/>
      <c r="K4" s="653" t="s">
        <v>311</v>
      </c>
      <c r="L4" s="654"/>
      <c r="M4" s="475"/>
      <c r="N4" s="368" t="s">
        <v>286</v>
      </c>
      <c r="O4" s="473"/>
      <c r="P4" s="486" t="s">
        <v>241</v>
      </c>
      <c r="Q4" s="409" t="s">
        <v>285</v>
      </c>
      <c r="R4" s="369" t="s">
        <v>284</v>
      </c>
      <c r="S4" s="137"/>
    </row>
    <row r="5" spans="1:23" x14ac:dyDescent="0.2">
      <c r="A5" s="160"/>
      <c r="B5" s="159" t="str">
        <f>Currency&amp;"HW_Volatility"&amp;QuoteSuffix</f>
        <v>GBPHW_Volatility_Quote</v>
      </c>
      <c r="C5" s="159" t="str">
        <f>_xll.qlSimpleQuote(B5,,,Permanent,Trigger,ObjectOverwrite)</f>
        <v>GBPHW_Volatility_Quote#0000</v>
      </c>
      <c r="D5" s="101" t="str">
        <f>_xll.ohRangeRetrieveError(C5)</f>
        <v/>
      </c>
      <c r="E5" s="158"/>
      <c r="G5" s="149"/>
      <c r="H5" s="485" t="str">
        <f>VLOOKUP(Currency,$U$5:$W$9,2)&amp;V3&amp;VLOOKUP(Currency,$U$5:$W$9,3)&amp;"ATM="&amp;VLOOKUP(Contributor,ContributorTable,2,FALSE)</f>
        <v>GB4Y3LATM=ICAP</v>
      </c>
      <c r="I5" s="484">
        <v>66.069999999999993</v>
      </c>
      <c r="J5" s="475"/>
      <c r="K5" s="362" t="s">
        <v>310</v>
      </c>
      <c r="L5" s="480">
        <f>I5/100*IF(ISNUMBER(Swap3M4Y),Swap3M4Y/100,Swap6M4Y/100)</f>
        <v>5.5829149999999991E-3</v>
      </c>
      <c r="M5" s="475"/>
      <c r="N5" s="483">
        <v>5.7561399999999999E-3</v>
      </c>
      <c r="O5" s="473"/>
      <c r="P5" s="482" t="str">
        <f>Currency&amp;"HW_Volatility_Quote"</f>
        <v>GBPHW_Volatility_Quote</v>
      </c>
      <c r="Q5" s="481">
        <f t="array" ref="Q5:Q6">QuoteLive</f>
        <v>5.5829149999999991E-3</v>
      </c>
      <c r="R5" s="480" t="e">
        <f>_xll.qlSimpleQuoteSetValue(P5,Q5,Trigger)</f>
        <v>#NUM!</v>
      </c>
      <c r="S5" s="137"/>
      <c r="U5" s="479" t="s">
        <v>121</v>
      </c>
      <c r="V5" s="151" t="s">
        <v>309</v>
      </c>
      <c r="W5" s="478" t="s">
        <v>116</v>
      </c>
    </row>
    <row r="6" spans="1:23" x14ac:dyDescent="0.2">
      <c r="A6" s="160"/>
      <c r="B6" s="159" t="str">
        <f>Currency&amp;"HW_MeanReversion"&amp;QuoteSuffix</f>
        <v>GBPHW_MeanReversion_Quote</v>
      </c>
      <c r="C6" s="159" t="str">
        <f>_xll.qlSimpleQuote(B6,,,Permanent,Trigger,ObjectOverwrite)</f>
        <v>GBPHW_MeanReversion_Quote#0000</v>
      </c>
      <c r="D6" s="101" t="str">
        <f>_xll.ohRangeRetrieveError(C6)</f>
        <v/>
      </c>
      <c r="E6" s="158"/>
      <c r="G6" s="149"/>
      <c r="H6" s="472"/>
      <c r="I6" s="477"/>
      <c r="J6" s="475"/>
      <c r="K6" s="476" t="s">
        <v>308</v>
      </c>
      <c r="L6" s="470">
        <v>0.03</v>
      </c>
      <c r="M6" s="475"/>
      <c r="N6" s="474">
        <v>0.03</v>
      </c>
      <c r="O6" s="473"/>
      <c r="P6" s="472" t="str">
        <f>Currency&amp;"HW_MeanReversion_Quote"</f>
        <v>GBPHW_MeanReversion_Quote</v>
      </c>
      <c r="Q6" s="471">
        <v>0.03</v>
      </c>
      <c r="R6" s="470" t="e">
        <f>_xll.qlSimpleQuoteSetValue(P6,Q6,Trigger)</f>
        <v>#NUM!</v>
      </c>
      <c r="S6" s="137"/>
      <c r="U6" s="433" t="s">
        <v>120</v>
      </c>
      <c r="V6" s="469" t="s">
        <v>307</v>
      </c>
      <c r="W6" s="468" t="s">
        <v>116</v>
      </c>
    </row>
    <row r="7" spans="1:23" ht="12" thickBot="1" x14ac:dyDescent="0.25">
      <c r="A7" s="157"/>
      <c r="B7" s="156"/>
      <c r="C7" s="156"/>
      <c r="D7" s="156"/>
      <c r="E7" s="155"/>
      <c r="G7" s="237"/>
      <c r="H7" s="135"/>
      <c r="I7" s="135"/>
      <c r="J7" s="135"/>
      <c r="K7" s="135"/>
      <c r="L7" s="135"/>
      <c r="M7" s="135"/>
      <c r="N7" s="135"/>
      <c r="O7" s="135"/>
      <c r="P7" s="135"/>
      <c r="Q7" s="135"/>
      <c r="R7" s="135"/>
      <c r="S7" s="134"/>
      <c r="U7" s="433" t="s">
        <v>96</v>
      </c>
      <c r="V7" s="469" t="s">
        <v>306</v>
      </c>
      <c r="W7" s="468" t="s">
        <v>114</v>
      </c>
    </row>
    <row r="8" spans="1:23" x14ac:dyDescent="0.2">
      <c r="U8" s="433" t="s">
        <v>117</v>
      </c>
      <c r="V8" s="469" t="s">
        <v>305</v>
      </c>
      <c r="W8" s="468" t="s">
        <v>116</v>
      </c>
    </row>
    <row r="9" spans="1:23" ht="12" thickBot="1" x14ac:dyDescent="0.25">
      <c r="U9" s="431" t="s">
        <v>115</v>
      </c>
      <c r="V9" s="467" t="s">
        <v>304</v>
      </c>
      <c r="W9" s="466" t="s">
        <v>114</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Z75"/>
  <sheetViews>
    <sheetView workbookViewId="0"/>
  </sheetViews>
  <sheetFormatPr defaultRowHeight="13.5" x14ac:dyDescent="0.25"/>
  <cols>
    <col min="1" max="1" width="3.7109375" style="161" customWidth="1"/>
    <col min="2" max="2" width="6.140625" style="161" bestFit="1" customWidth="1"/>
    <col min="3" max="3" width="6" style="161" bestFit="1" customWidth="1"/>
    <col min="4" max="4" width="4" style="161" bestFit="1" customWidth="1"/>
    <col min="5" max="5" width="21.42578125" style="161" bestFit="1" customWidth="1"/>
    <col min="6" max="6" width="26.5703125" style="162" bestFit="1" customWidth="1"/>
    <col min="7" max="7" width="38.28515625" style="161" customWidth="1"/>
    <col min="8" max="8" width="4.42578125" style="161" customWidth="1"/>
    <col min="9" max="16384" width="9.140625" style="161"/>
  </cols>
  <sheetData>
    <row r="1" spans="1:26" x14ac:dyDescent="0.25">
      <c r="A1" s="582" t="s">
        <v>348</v>
      </c>
      <c r="B1" s="190"/>
      <c r="C1" s="190"/>
      <c r="D1" s="190"/>
      <c r="E1" s="188"/>
      <c r="F1" s="189"/>
      <c r="G1" s="188"/>
      <c r="H1" s="187"/>
      <c r="J1" s="411" t="s">
        <v>353</v>
      </c>
      <c r="K1" s="201"/>
      <c r="L1" s="201"/>
      <c r="M1" s="201"/>
      <c r="N1" s="201"/>
      <c r="O1" s="201"/>
      <c r="P1" s="201"/>
      <c r="Q1" s="201"/>
      <c r="R1" s="201"/>
      <c r="S1" s="201"/>
      <c r="T1" s="201"/>
      <c r="U1" s="201"/>
      <c r="V1" s="201"/>
      <c r="W1" s="201"/>
      <c r="X1" s="201"/>
      <c r="Y1" s="201"/>
      <c r="Z1" s="198"/>
    </row>
    <row r="2" spans="1:26" x14ac:dyDescent="0.25">
      <c r="A2" s="584"/>
      <c r="B2" s="549"/>
      <c r="C2" s="549"/>
      <c r="D2" s="549"/>
      <c r="E2" s="585"/>
      <c r="F2" s="586"/>
      <c r="G2" s="585"/>
      <c r="H2" s="167"/>
      <c r="J2" s="374"/>
      <c r="K2" s="133"/>
      <c r="L2" s="133"/>
      <c r="M2" s="133"/>
      <c r="N2" s="133"/>
      <c r="O2" s="140" t="s">
        <v>275</v>
      </c>
      <c r="P2" s="133"/>
      <c r="Q2" s="133"/>
      <c r="R2" s="133"/>
      <c r="S2" s="133"/>
      <c r="T2" s="133"/>
      <c r="U2" s="342"/>
      <c r="V2" s="342"/>
      <c r="W2" s="342"/>
      <c r="X2" s="342"/>
      <c r="Y2" s="133"/>
      <c r="Z2" s="33"/>
    </row>
    <row r="3" spans="1:26" x14ac:dyDescent="0.25">
      <c r="A3" s="584"/>
      <c r="B3" s="549"/>
      <c r="C3" s="549"/>
      <c r="D3" s="549"/>
      <c r="E3" s="585"/>
      <c r="F3" s="586"/>
      <c r="G3" s="585"/>
      <c r="H3" s="167"/>
      <c r="J3" s="118"/>
      <c r="K3" s="342"/>
      <c r="L3" s="133"/>
      <c r="M3" s="133"/>
      <c r="N3" s="133"/>
      <c r="O3" s="133"/>
      <c r="P3" s="133"/>
      <c r="Q3" s="133"/>
      <c r="R3" s="133"/>
      <c r="S3" s="133"/>
      <c r="T3" s="133"/>
      <c r="U3" s="342"/>
      <c r="V3" s="342"/>
      <c r="W3" s="342"/>
      <c r="X3" s="133"/>
      <c r="Y3" s="453">
        <f>_xll.ohTrigger(Y5:Y24)</f>
        <v>0</v>
      </c>
      <c r="Z3" s="218"/>
    </row>
    <row r="4" spans="1:26" ht="22.5" x14ac:dyDescent="0.25">
      <c r="A4" s="172"/>
      <c r="B4" s="186"/>
      <c r="C4" s="185"/>
      <c r="D4" s="184"/>
      <c r="E4" s="183" t="str">
        <f>Currency&amp;"_010_"&amp;"OIS.xml"</f>
        <v>GBP_010_OIS.xml</v>
      </c>
      <c r="F4" s="182">
        <f ca="1">IF(Serialize,_xll.ohObjectSave(_xll.ohPack(F5:F74),SerializationPath&amp;E4,FileOverwrite,Serialize),"---")</f>
        <v>57</v>
      </c>
      <c r="G4" s="181" t="str">
        <f ca="1">_xll.ohRangeRetrieveError(F4)</f>
        <v/>
      </c>
      <c r="H4" s="167"/>
      <c r="J4" s="118"/>
      <c r="K4" s="494"/>
      <c r="L4" s="196"/>
      <c r="M4" s="196"/>
      <c r="N4" s="196"/>
      <c r="O4" s="370" t="e">
        <f ca="1">_xll.RData(O5:O37,P4:S4,"RTFEED:IDN",ReutersRtMode,,P5)</f>
        <v>#NAME?</v>
      </c>
      <c r="P4" s="409" t="s">
        <v>291</v>
      </c>
      <c r="Q4" s="409" t="s">
        <v>264</v>
      </c>
      <c r="R4" s="409" t="s">
        <v>244</v>
      </c>
      <c r="S4" s="409" t="s">
        <v>290</v>
      </c>
      <c r="T4" s="366" t="s">
        <v>315</v>
      </c>
      <c r="U4" s="342"/>
      <c r="V4" s="368" t="s">
        <v>286</v>
      </c>
      <c r="W4" s="342"/>
      <c r="X4" s="587" t="s">
        <v>285</v>
      </c>
      <c r="Y4" s="91" t="s">
        <v>284</v>
      </c>
      <c r="Z4" s="218"/>
    </row>
    <row r="5" spans="1:26" x14ac:dyDescent="0.25">
      <c r="A5" s="172"/>
      <c r="B5" s="178"/>
      <c r="C5" s="179" t="s">
        <v>19</v>
      </c>
      <c r="D5" s="178" t="s">
        <v>179</v>
      </c>
      <c r="E5" s="169" t="str">
        <f t="shared" ref="E5:E37" si="0">Currency&amp;$B5&amp;$C5&amp;$D5&amp;QuoteSuffix</f>
        <v>GBPSWOIS_Quote</v>
      </c>
      <c r="F5" s="169" t="str">
        <f>_xll.qlSimpleQuote(E5,,RateTickValue,Permanent,Trigger,ObjectOverwrite)</f>
        <v>GBPSWOIS_Quote#0000</v>
      </c>
      <c r="G5" s="180" t="str">
        <f>_xll.ohRangeRetrieveError(F5)</f>
        <v/>
      </c>
      <c r="H5" s="167"/>
      <c r="J5" s="118"/>
      <c r="K5" s="400" t="s">
        <v>19</v>
      </c>
      <c r="L5" s="399"/>
      <c r="M5" s="399" t="s">
        <v>179</v>
      </c>
      <c r="N5" s="397" t="str">
        <f t="shared" ref="N5:N37" si="1">Currency&amp;$L5&amp;$K5&amp;$M5</f>
        <v>GBPSWOIS</v>
      </c>
      <c r="O5" s="397" t="str">
        <f t="array" ref="O5:O37">Instruments&amp;"="&amp;VLOOKUP(Contributor,ContributorTable,2,FALSE)</f>
        <v>GBPSWOIS=ICAP</v>
      </c>
      <c r="P5" s="359">
        <v>0.38500000000000001</v>
      </c>
      <c r="Q5" s="359">
        <v>0.44500000000000001</v>
      </c>
      <c r="R5" s="359">
        <v>0</v>
      </c>
      <c r="S5" s="359">
        <v>0</v>
      </c>
      <c r="T5" s="361">
        <f>_xll.qlMidEquivalent($P5,$Q5,$R5,$S5)</f>
        <v>0.41500000000000004</v>
      </c>
      <c r="U5" s="342"/>
      <c r="V5" s="518">
        <v>0.41749999999999998</v>
      </c>
      <c r="W5" s="342"/>
      <c r="X5" s="588">
        <f t="array" ref="X5:X37">QuoteLive</f>
        <v>0.41500000000000004</v>
      </c>
      <c r="Y5" s="358" t="e">
        <f>_xll.qlSimpleQuoteSetValue(E5,X5/100,ISERROR(F5))</f>
        <v>#N/A</v>
      </c>
      <c r="Z5" s="218"/>
    </row>
    <row r="6" spans="1:26" x14ac:dyDescent="0.25">
      <c r="A6" s="172"/>
      <c r="B6" s="178"/>
      <c r="C6" s="179" t="s">
        <v>18</v>
      </c>
      <c r="D6" s="178" t="s">
        <v>179</v>
      </c>
      <c r="E6" s="169" t="str">
        <f t="shared" si="0"/>
        <v>GBP2WOIS_Quote</v>
      </c>
      <c r="F6" s="169" t="str">
        <f>_xll.qlSimpleQuote(E6,,RateTickValue,Permanent,Trigger,ObjectOverwrite)</f>
        <v>GBP2WOIS_Quote#0000</v>
      </c>
      <c r="G6" s="168" t="str">
        <f>_xll.ohRangeRetrieveError(F6)</f>
        <v/>
      </c>
      <c r="H6" s="167"/>
      <c r="J6" s="118"/>
      <c r="K6" s="393" t="s">
        <v>18</v>
      </c>
      <c r="L6" s="396"/>
      <c r="M6" s="396" t="s">
        <v>179</v>
      </c>
      <c r="N6" s="394" t="str">
        <f t="shared" si="1"/>
        <v>GBP2WOIS</v>
      </c>
      <c r="O6" s="394" t="str">
        <v>GBP2WOIS=ICAP</v>
      </c>
      <c r="P6" s="348">
        <v>0.39624999999999999</v>
      </c>
      <c r="Q6" s="348">
        <v>0.43625000000000003</v>
      </c>
      <c r="R6" s="348">
        <v>0</v>
      </c>
      <c r="S6" s="348">
        <v>0</v>
      </c>
      <c r="T6" s="350">
        <f>_xll.qlMidEquivalent($P6,$Q6,$R6,$S6)</f>
        <v>0.41625000000000001</v>
      </c>
      <c r="U6" s="342"/>
      <c r="V6" s="491">
        <v>0.41749999999999998</v>
      </c>
      <c r="W6" s="342"/>
      <c r="X6" s="589">
        <v>0.41625000000000001</v>
      </c>
      <c r="Y6" s="347" t="e">
        <f>_xll.qlSimpleQuoteSetValue(E6,X6/100,ISERROR(F6))</f>
        <v>#N/A</v>
      </c>
      <c r="Z6" s="218"/>
    </row>
    <row r="7" spans="1:26" x14ac:dyDescent="0.25">
      <c r="A7" s="172"/>
      <c r="B7" s="178"/>
      <c r="C7" s="179" t="s">
        <v>16</v>
      </c>
      <c r="D7" s="178" t="s">
        <v>179</v>
      </c>
      <c r="E7" s="169" t="str">
        <f t="shared" si="0"/>
        <v>GBP3WOIS_Quote</v>
      </c>
      <c r="F7" s="169" t="str">
        <f>_xll.qlSimpleQuote(E7,,RateTickValue,Permanent,Trigger,ObjectOverwrite)</f>
        <v>GBP3WOIS_Quote#0000</v>
      </c>
      <c r="G7" s="168" t="str">
        <f>_xll.ohRangeRetrieveError(F7)</f>
        <v/>
      </c>
      <c r="H7" s="167"/>
      <c r="J7" s="118"/>
      <c r="K7" s="393" t="s">
        <v>16</v>
      </c>
      <c r="L7" s="396"/>
      <c r="M7" s="396" t="s">
        <v>179</v>
      </c>
      <c r="N7" s="394" t="str">
        <f t="shared" si="1"/>
        <v>GBP3WOIS</v>
      </c>
      <c r="O7" s="394" t="str">
        <v>GBP3WOIS=ICAP</v>
      </c>
      <c r="P7" s="348" t="s">
        <v>233</v>
      </c>
      <c r="Q7" s="348" t="s">
        <v>233</v>
      </c>
      <c r="R7" s="348" t="s">
        <v>233</v>
      </c>
      <c r="S7" s="348" t="s">
        <v>233</v>
      </c>
      <c r="T7" s="350" t="e">
        <f>_xll.qlMidEquivalent($P7,$Q7,$R7,$S7)</f>
        <v>#NUM!</v>
      </c>
      <c r="U7" s="342"/>
      <c r="V7" s="491" t="e">
        <v>#NUM!</v>
      </c>
      <c r="W7" s="342"/>
      <c r="X7" s="589" t="e">
        <v>#NUM!</v>
      </c>
      <c r="Y7" s="347" t="e">
        <f>_xll.qlSimpleQuoteSetValue(E7,X7/100,ISERROR(F7))</f>
        <v>#NUM!</v>
      </c>
      <c r="Z7" s="218"/>
    </row>
    <row r="8" spans="1:26" x14ac:dyDescent="0.25">
      <c r="A8" s="172"/>
      <c r="B8" s="178"/>
      <c r="C8" s="179" t="s">
        <v>15</v>
      </c>
      <c r="D8" s="178" t="s">
        <v>179</v>
      </c>
      <c r="E8" s="169" t="str">
        <f t="shared" si="0"/>
        <v>GBP1MOIS_Quote</v>
      </c>
      <c r="F8" s="169" t="str">
        <f>_xll.qlSimpleQuote(E8,,RateTickValue,Permanent,Trigger,ObjectOverwrite)</f>
        <v>GBP1MOIS_Quote#0000</v>
      </c>
      <c r="G8" s="168" t="str">
        <f>_xll.ohRangeRetrieveError(F8)</f>
        <v/>
      </c>
      <c r="H8" s="167"/>
      <c r="J8" s="118"/>
      <c r="K8" s="393" t="s">
        <v>15</v>
      </c>
      <c r="L8" s="396"/>
      <c r="M8" s="396" t="s">
        <v>179</v>
      </c>
      <c r="N8" s="394" t="str">
        <f t="shared" si="1"/>
        <v>GBP1MOIS</v>
      </c>
      <c r="O8" s="394" t="str">
        <v>GBP1MOIS=ICAP</v>
      </c>
      <c r="P8" s="348">
        <v>0.39624999999999999</v>
      </c>
      <c r="Q8" s="348">
        <v>0.43625000000000003</v>
      </c>
      <c r="R8" s="348">
        <v>0</v>
      </c>
      <c r="S8" s="348">
        <v>0</v>
      </c>
      <c r="T8" s="350">
        <f>_xll.qlMidEquivalent($P8,$Q8,$R8,$S8)</f>
        <v>0.41625000000000001</v>
      </c>
      <c r="U8" s="342"/>
      <c r="V8" s="491">
        <v>0.41749999999999998</v>
      </c>
      <c r="W8" s="342"/>
      <c r="X8" s="589">
        <v>0.41625000000000001</v>
      </c>
      <c r="Y8" s="347" t="e">
        <f>_xll.qlSimpleQuoteSetValue(E8,X8/100,ISERROR(F8))</f>
        <v>#N/A</v>
      </c>
      <c r="Z8" s="218"/>
    </row>
    <row r="9" spans="1:26" x14ac:dyDescent="0.25">
      <c r="A9" s="172"/>
      <c r="B9" s="178"/>
      <c r="C9" s="179" t="s">
        <v>13</v>
      </c>
      <c r="D9" s="178" t="s">
        <v>179</v>
      </c>
      <c r="E9" s="169" t="str">
        <f t="shared" si="0"/>
        <v>GBP2MOIS_Quote</v>
      </c>
      <c r="F9" s="169" t="str">
        <f>_xll.qlSimpleQuote(E9,,RateTickValue,Permanent,Trigger,ObjectOverwrite)</f>
        <v>GBP2MOIS_Quote#0000</v>
      </c>
      <c r="G9" s="168" t="str">
        <f>_xll.ohRangeRetrieveError(F9)</f>
        <v/>
      </c>
      <c r="H9" s="167"/>
      <c r="J9" s="118"/>
      <c r="K9" s="393" t="s">
        <v>13</v>
      </c>
      <c r="L9" s="396"/>
      <c r="M9" s="396" t="s">
        <v>179</v>
      </c>
      <c r="N9" s="394" t="str">
        <f t="shared" si="1"/>
        <v>GBP2MOIS</v>
      </c>
      <c r="O9" s="394" t="str">
        <v>GBP2MOIS=ICAP</v>
      </c>
      <c r="P9" s="348">
        <v>0.39250000000000002</v>
      </c>
      <c r="Q9" s="348">
        <v>0.4325</v>
      </c>
      <c r="R9" s="348">
        <v>0</v>
      </c>
      <c r="S9" s="348">
        <v>0</v>
      </c>
      <c r="T9" s="350">
        <f>_xll.qlMidEquivalent($P9,$Q9,$R9,$S9)</f>
        <v>0.41249999999999998</v>
      </c>
      <c r="U9" s="342"/>
      <c r="V9" s="491">
        <v>0.41249999999999998</v>
      </c>
      <c r="W9" s="342"/>
      <c r="X9" s="589">
        <v>0.41249999999999998</v>
      </c>
      <c r="Y9" s="347" t="e">
        <f>_xll.qlSimpleQuoteSetValue(E9,X9/100,ISERROR(F9))</f>
        <v>#N/A</v>
      </c>
      <c r="Z9" s="218"/>
    </row>
    <row r="10" spans="1:26" x14ac:dyDescent="0.25">
      <c r="A10" s="172"/>
      <c r="B10" s="178"/>
      <c r="C10" s="179" t="s">
        <v>12</v>
      </c>
      <c r="D10" s="178" t="s">
        <v>179</v>
      </c>
      <c r="E10" s="169" t="str">
        <f t="shared" si="0"/>
        <v>GBP3MOIS_Quote</v>
      </c>
      <c r="F10" s="169" t="str">
        <f>_xll.qlSimpleQuote(E10,,RateTickValue,Permanent,Trigger,ObjectOverwrite)</f>
        <v>GBP3MOIS_Quote#0000</v>
      </c>
      <c r="G10" s="168" t="str">
        <f>_xll.ohRangeRetrieveError(F10)</f>
        <v/>
      </c>
      <c r="H10" s="167"/>
      <c r="J10" s="118"/>
      <c r="K10" s="393" t="s">
        <v>12</v>
      </c>
      <c r="L10" s="396"/>
      <c r="M10" s="396" t="s">
        <v>179</v>
      </c>
      <c r="N10" s="394" t="str">
        <f t="shared" si="1"/>
        <v>GBP3MOIS</v>
      </c>
      <c r="O10" s="394" t="str">
        <v>GBP3MOIS=ICAP</v>
      </c>
      <c r="P10" s="348">
        <v>0.38874999999999998</v>
      </c>
      <c r="Q10" s="348">
        <v>0.42875000000000002</v>
      </c>
      <c r="R10" s="348">
        <v>0</v>
      </c>
      <c r="S10" s="348">
        <v>0</v>
      </c>
      <c r="T10" s="350">
        <f>_xll.qlMidEquivalent($P10,$Q10,$R10,$S10)</f>
        <v>0.40875</v>
      </c>
      <c r="U10" s="342"/>
      <c r="V10" s="491">
        <v>0.40749999999999997</v>
      </c>
      <c r="W10" s="342"/>
      <c r="X10" s="589">
        <v>0.40875</v>
      </c>
      <c r="Y10" s="347" t="e">
        <f>_xll.qlSimpleQuoteSetValue(E10,X10/100,ISERROR(F10))</f>
        <v>#N/A</v>
      </c>
      <c r="Z10" s="218"/>
    </row>
    <row r="11" spans="1:26" x14ac:dyDescent="0.25">
      <c r="A11" s="172"/>
      <c r="B11" s="178"/>
      <c r="C11" s="179" t="s">
        <v>11</v>
      </c>
      <c r="D11" s="178" t="s">
        <v>179</v>
      </c>
      <c r="E11" s="169" t="str">
        <f t="shared" si="0"/>
        <v>GBP4MOIS_Quote</v>
      </c>
      <c r="F11" s="169" t="str">
        <f>_xll.qlSimpleQuote(E11,,RateTickValue,Permanent,Trigger,ObjectOverwrite)</f>
        <v>GBP4MOIS_Quote#0000</v>
      </c>
      <c r="G11" s="168" t="str">
        <f>_xll.ohRangeRetrieveError(F11)</f>
        <v/>
      </c>
      <c r="H11" s="167"/>
      <c r="J11" s="118"/>
      <c r="K11" s="393" t="s">
        <v>11</v>
      </c>
      <c r="L11" s="396"/>
      <c r="M11" s="396" t="s">
        <v>179</v>
      </c>
      <c r="N11" s="394" t="str">
        <f t="shared" si="1"/>
        <v>GBP4MOIS</v>
      </c>
      <c r="O11" s="394" t="str">
        <v>GBP4MOIS=ICAP</v>
      </c>
      <c r="P11" s="348">
        <v>0.38374999999999998</v>
      </c>
      <c r="Q11" s="348">
        <v>0.42375000000000002</v>
      </c>
      <c r="R11" s="348">
        <v>0</v>
      </c>
      <c r="S11" s="348">
        <v>0</v>
      </c>
      <c r="T11" s="350">
        <f>_xll.qlMidEquivalent($P11,$Q11,$R11,$S11)</f>
        <v>0.40375</v>
      </c>
      <c r="U11" s="342"/>
      <c r="V11" s="491">
        <v>0.4</v>
      </c>
      <c r="W11" s="342"/>
      <c r="X11" s="589">
        <v>0.40375</v>
      </c>
      <c r="Y11" s="347" t="e">
        <f>_xll.qlSimpleQuoteSetValue(E11,X11/100,ISERROR(F11))</f>
        <v>#N/A</v>
      </c>
      <c r="Z11" s="218"/>
    </row>
    <row r="12" spans="1:26" x14ac:dyDescent="0.25">
      <c r="A12" s="172"/>
      <c r="B12" s="178"/>
      <c r="C12" s="179" t="s">
        <v>9</v>
      </c>
      <c r="D12" s="178" t="s">
        <v>179</v>
      </c>
      <c r="E12" s="169" t="str">
        <f t="shared" si="0"/>
        <v>GBP5MOIS_Quote</v>
      </c>
      <c r="F12" s="169" t="str">
        <f>_xll.qlSimpleQuote(E12,,RateTickValue,Permanent,Trigger,ObjectOverwrite)</f>
        <v>GBP5MOIS_Quote#0000</v>
      </c>
      <c r="G12" s="168" t="str">
        <f>_xll.ohRangeRetrieveError(F12)</f>
        <v/>
      </c>
      <c r="H12" s="167"/>
      <c r="J12" s="118"/>
      <c r="K12" s="393" t="s">
        <v>9</v>
      </c>
      <c r="L12" s="396"/>
      <c r="M12" s="396" t="s">
        <v>179</v>
      </c>
      <c r="N12" s="394" t="str">
        <f t="shared" si="1"/>
        <v>GBP5MOIS</v>
      </c>
      <c r="O12" s="394" t="str">
        <v>GBP5MOIS=ICAP</v>
      </c>
      <c r="P12" s="348">
        <v>0.38</v>
      </c>
      <c r="Q12" s="348">
        <v>0.42</v>
      </c>
      <c r="R12" s="348">
        <v>0</v>
      </c>
      <c r="S12" s="348">
        <v>0</v>
      </c>
      <c r="T12" s="350">
        <f>_xll.qlMidEquivalent($P12,$Q12,$R12,$S12)</f>
        <v>0.4</v>
      </c>
      <c r="U12" s="342"/>
      <c r="V12" s="491">
        <v>0.39500000000000002</v>
      </c>
      <c r="W12" s="342"/>
      <c r="X12" s="589">
        <v>0.4</v>
      </c>
      <c r="Y12" s="347" t="e">
        <f>_xll.qlSimpleQuoteSetValue(E12,X12/100,ISERROR(F12))</f>
        <v>#N/A</v>
      </c>
      <c r="Z12" s="218"/>
    </row>
    <row r="13" spans="1:26" x14ac:dyDescent="0.25">
      <c r="A13" s="172"/>
      <c r="B13" s="178"/>
      <c r="C13" s="179" t="s">
        <v>8</v>
      </c>
      <c r="D13" s="178" t="s">
        <v>179</v>
      </c>
      <c r="E13" s="169" t="str">
        <f t="shared" si="0"/>
        <v>GBP6MOIS_Quote</v>
      </c>
      <c r="F13" s="169" t="str">
        <f>_xll.qlSimpleQuote(E13,,RateTickValue,Permanent,Trigger,ObjectOverwrite)</f>
        <v>GBP6MOIS_Quote#0000</v>
      </c>
      <c r="G13" s="168" t="str">
        <f>_xll.ohRangeRetrieveError(F13)</f>
        <v/>
      </c>
      <c r="H13" s="167"/>
      <c r="J13" s="118"/>
      <c r="K13" s="393" t="s">
        <v>8</v>
      </c>
      <c r="L13" s="396"/>
      <c r="M13" s="396" t="s">
        <v>179</v>
      </c>
      <c r="N13" s="394" t="str">
        <f t="shared" si="1"/>
        <v>GBP6MOIS</v>
      </c>
      <c r="O13" s="394" t="str">
        <v>GBP6MOIS=ICAP</v>
      </c>
      <c r="P13" s="348">
        <v>0.37624999999999997</v>
      </c>
      <c r="Q13" s="348">
        <v>0.41625000000000001</v>
      </c>
      <c r="R13" s="348">
        <v>0</v>
      </c>
      <c r="S13" s="348">
        <v>0</v>
      </c>
      <c r="T13" s="350">
        <f>_xll.qlMidEquivalent($P13,$Q13,$R13,$S13)</f>
        <v>0.39624999999999999</v>
      </c>
      <c r="U13" s="342"/>
      <c r="V13" s="491">
        <v>0.39</v>
      </c>
      <c r="W13" s="342"/>
      <c r="X13" s="589">
        <v>0.39624999999999999</v>
      </c>
      <c r="Y13" s="347" t="e">
        <f>_xll.qlSimpleQuoteSetValue(E13,X13/100,ISERROR(F13))</f>
        <v>#N/A</v>
      </c>
      <c r="Z13" s="218"/>
    </row>
    <row r="14" spans="1:26" x14ac:dyDescent="0.25">
      <c r="A14" s="172"/>
      <c r="B14" s="178"/>
      <c r="C14" s="179" t="s">
        <v>7</v>
      </c>
      <c r="D14" s="178" t="s">
        <v>179</v>
      </c>
      <c r="E14" s="169" t="str">
        <f t="shared" si="0"/>
        <v>GBP7MOIS_Quote</v>
      </c>
      <c r="F14" s="169" t="str">
        <f>_xll.qlSimpleQuote(E14,,RateTickValue,Permanent,Trigger,ObjectOverwrite)</f>
        <v>GBP7MOIS_Quote#0000</v>
      </c>
      <c r="G14" s="168" t="str">
        <f>_xll.ohRangeRetrieveError(F14)</f>
        <v/>
      </c>
      <c r="H14" s="167"/>
      <c r="J14" s="118"/>
      <c r="K14" s="393" t="s">
        <v>7</v>
      </c>
      <c r="L14" s="396"/>
      <c r="M14" s="396" t="s">
        <v>179</v>
      </c>
      <c r="N14" s="394" t="str">
        <f t="shared" si="1"/>
        <v>GBP7MOIS</v>
      </c>
      <c r="O14" s="394" t="str">
        <v>GBP7MOIS=ICAP</v>
      </c>
      <c r="P14" s="348">
        <v>0.3725</v>
      </c>
      <c r="Q14" s="348">
        <v>0.41249999999999998</v>
      </c>
      <c r="R14" s="348">
        <v>0</v>
      </c>
      <c r="S14" s="348">
        <v>0</v>
      </c>
      <c r="T14" s="350">
        <f>_xll.qlMidEquivalent($P14,$Q14,$R14,$S14)</f>
        <v>0.39249999999999996</v>
      </c>
      <c r="U14" s="342"/>
      <c r="V14" s="491">
        <v>0.38250000000000001</v>
      </c>
      <c r="W14" s="342"/>
      <c r="X14" s="589">
        <v>0.39249999999999996</v>
      </c>
      <c r="Y14" s="347" t="e">
        <f>_xll.qlSimpleQuoteSetValue(E14,X14/100,ISERROR(F14))</f>
        <v>#N/A</v>
      </c>
      <c r="Z14" s="218"/>
    </row>
    <row r="15" spans="1:26" x14ac:dyDescent="0.25">
      <c r="A15" s="172"/>
      <c r="B15" s="178"/>
      <c r="C15" s="179" t="s">
        <v>6</v>
      </c>
      <c r="D15" s="178" t="s">
        <v>179</v>
      </c>
      <c r="E15" s="169" t="str">
        <f t="shared" si="0"/>
        <v>GBP8MOIS_Quote</v>
      </c>
      <c r="F15" s="169" t="str">
        <f>_xll.qlSimpleQuote(E15,,RateTickValue,Permanent,Trigger,ObjectOverwrite)</f>
        <v>GBP8MOIS_Quote#0000</v>
      </c>
      <c r="G15" s="168" t="str">
        <f>_xll.ohRangeRetrieveError(F15)</f>
        <v/>
      </c>
      <c r="H15" s="167"/>
      <c r="J15" s="118"/>
      <c r="K15" s="393" t="s">
        <v>6</v>
      </c>
      <c r="L15" s="396"/>
      <c r="M15" s="396" t="s">
        <v>179</v>
      </c>
      <c r="N15" s="394" t="str">
        <f t="shared" si="1"/>
        <v>GBP8MOIS</v>
      </c>
      <c r="O15" s="394" t="str">
        <v>GBP8MOIS=ICAP</v>
      </c>
      <c r="P15" s="348">
        <v>0.37</v>
      </c>
      <c r="Q15" s="348">
        <v>0.41</v>
      </c>
      <c r="R15" s="348">
        <v>0</v>
      </c>
      <c r="S15" s="348">
        <v>0</v>
      </c>
      <c r="T15" s="350">
        <f>_xll.qlMidEquivalent($P15,$Q15,$R15,$S15)</f>
        <v>0.39</v>
      </c>
      <c r="U15" s="342"/>
      <c r="V15" s="491">
        <v>0.375</v>
      </c>
      <c r="W15" s="342"/>
      <c r="X15" s="589">
        <v>0.39</v>
      </c>
      <c r="Y15" s="347" t="e">
        <f>_xll.qlSimpleQuoteSetValue(E15,X15/100,ISERROR(F15))</f>
        <v>#N/A</v>
      </c>
      <c r="Z15" s="218"/>
    </row>
    <row r="16" spans="1:26" x14ac:dyDescent="0.25">
      <c r="A16" s="172"/>
      <c r="B16" s="178"/>
      <c r="C16" s="179" t="s">
        <v>4</v>
      </c>
      <c r="D16" s="178" t="s">
        <v>179</v>
      </c>
      <c r="E16" s="169" t="str">
        <f t="shared" si="0"/>
        <v>GBP9MOIS_Quote</v>
      </c>
      <c r="F16" s="169" t="str">
        <f>_xll.qlSimpleQuote(E16,,RateTickValue,Permanent,Trigger,ObjectOverwrite)</f>
        <v>GBP9MOIS_Quote#0000</v>
      </c>
      <c r="G16" s="168" t="str">
        <f>_xll.ohRangeRetrieveError(F16)</f>
        <v/>
      </c>
      <c r="H16" s="167"/>
      <c r="J16" s="118"/>
      <c r="K16" s="393" t="s">
        <v>4</v>
      </c>
      <c r="L16" s="396"/>
      <c r="M16" s="396" t="s">
        <v>179</v>
      </c>
      <c r="N16" s="394" t="str">
        <f t="shared" si="1"/>
        <v>GBP9MOIS</v>
      </c>
      <c r="O16" s="394" t="str">
        <v>GBP9MOIS=ICAP</v>
      </c>
      <c r="P16" s="348">
        <v>0.36625000000000002</v>
      </c>
      <c r="Q16" s="348">
        <v>0.40625</v>
      </c>
      <c r="R16" s="348">
        <v>0</v>
      </c>
      <c r="S16" s="348">
        <v>0</v>
      </c>
      <c r="T16" s="350">
        <f>_xll.qlMidEquivalent($P16,$Q16,$R16,$S16)</f>
        <v>0.38624999999999998</v>
      </c>
      <c r="U16" s="342"/>
      <c r="V16" s="491">
        <v>0.37</v>
      </c>
      <c r="W16" s="342"/>
      <c r="X16" s="589">
        <v>0.38624999999999998</v>
      </c>
      <c r="Y16" s="347" t="e">
        <f>_xll.qlSimpleQuoteSetValue(E16,X16/100,ISERROR(F16))</f>
        <v>#N/A</v>
      </c>
      <c r="Z16" s="218"/>
    </row>
    <row r="17" spans="1:26" x14ac:dyDescent="0.25">
      <c r="A17" s="172"/>
      <c r="B17" s="178"/>
      <c r="C17" s="179" t="s">
        <v>3</v>
      </c>
      <c r="D17" s="178" t="s">
        <v>179</v>
      </c>
      <c r="E17" s="169" t="str">
        <f t="shared" si="0"/>
        <v>GBP10MOIS_Quote</v>
      </c>
      <c r="F17" s="169" t="str">
        <f>_xll.qlSimpleQuote(E17,,RateTickValue,Permanent,Trigger,ObjectOverwrite)</f>
        <v>GBP10MOIS_Quote#0000</v>
      </c>
      <c r="G17" s="168" t="str">
        <f>_xll.ohRangeRetrieveError(F17)</f>
        <v/>
      </c>
      <c r="H17" s="167"/>
      <c r="J17" s="118"/>
      <c r="K17" s="393" t="s">
        <v>3</v>
      </c>
      <c r="L17" s="396"/>
      <c r="M17" s="396" t="s">
        <v>179</v>
      </c>
      <c r="N17" s="394" t="str">
        <f t="shared" si="1"/>
        <v>GBP10MOIS</v>
      </c>
      <c r="O17" s="394" t="str">
        <v>GBP10MOIS=ICAP</v>
      </c>
      <c r="P17" s="348">
        <v>0.36249999999999999</v>
      </c>
      <c r="Q17" s="348">
        <v>0.40250000000000002</v>
      </c>
      <c r="R17" s="348">
        <v>0</v>
      </c>
      <c r="S17" s="348">
        <v>0</v>
      </c>
      <c r="T17" s="350">
        <f>_xll.qlMidEquivalent($P17,$Q17,$R17,$S17)</f>
        <v>0.38250000000000001</v>
      </c>
      <c r="U17" s="342"/>
      <c r="V17" s="491">
        <v>0.36499999999999999</v>
      </c>
      <c r="W17" s="342"/>
      <c r="X17" s="589">
        <v>0.38250000000000001</v>
      </c>
      <c r="Y17" s="347" t="e">
        <f>_xll.qlSimpleQuoteSetValue(E17,X17/100,ISERROR(F17))</f>
        <v>#N/A</v>
      </c>
      <c r="Z17" s="218"/>
    </row>
    <row r="18" spans="1:26" x14ac:dyDescent="0.25">
      <c r="A18" s="172"/>
      <c r="B18" s="178"/>
      <c r="C18" s="179" t="s">
        <v>2</v>
      </c>
      <c r="D18" s="178" t="s">
        <v>179</v>
      </c>
      <c r="E18" s="169" t="str">
        <f t="shared" si="0"/>
        <v>GBP11MOIS_Quote</v>
      </c>
      <c r="F18" s="169" t="str">
        <f>_xll.qlSimpleQuote(E18,,RateTickValue,Permanent,Trigger,ObjectOverwrite)</f>
        <v>GBP11MOIS_Quote#0000</v>
      </c>
      <c r="G18" s="168" t="str">
        <f>_xll.ohRangeRetrieveError(F18)</f>
        <v/>
      </c>
      <c r="H18" s="167"/>
      <c r="J18" s="118"/>
      <c r="K18" s="393" t="s">
        <v>2</v>
      </c>
      <c r="L18" s="396"/>
      <c r="M18" s="396" t="s">
        <v>179</v>
      </c>
      <c r="N18" s="394" t="str">
        <f t="shared" si="1"/>
        <v>GBP11MOIS</v>
      </c>
      <c r="O18" s="394" t="str">
        <v>GBP11MOIS=ICAP</v>
      </c>
      <c r="P18" s="348">
        <v>0.36</v>
      </c>
      <c r="Q18" s="348">
        <v>0.4</v>
      </c>
      <c r="R18" s="348">
        <v>0</v>
      </c>
      <c r="S18" s="348">
        <v>0</v>
      </c>
      <c r="T18" s="350">
        <f>_xll.qlMidEquivalent($P18,$Q18,$R18,$S18)</f>
        <v>0.38</v>
      </c>
      <c r="U18" s="342"/>
      <c r="V18" s="491">
        <v>0.36</v>
      </c>
      <c r="W18" s="342"/>
      <c r="X18" s="589">
        <v>0.38</v>
      </c>
      <c r="Y18" s="347" t="e">
        <f>_xll.qlSimpleQuoteSetValue(E18,X18/100,ISERROR(F18))</f>
        <v>#N/A</v>
      </c>
      <c r="Z18" s="218"/>
    </row>
    <row r="19" spans="1:26" x14ac:dyDescent="0.25">
      <c r="A19" s="172"/>
      <c r="B19" s="178"/>
      <c r="C19" s="179" t="s">
        <v>1</v>
      </c>
      <c r="D19" s="178" t="s">
        <v>179</v>
      </c>
      <c r="E19" s="169" t="str">
        <f t="shared" si="0"/>
        <v>GBP1YOIS_Quote</v>
      </c>
      <c r="F19" s="169" t="str">
        <f>_xll.qlSimpleQuote(E19,,RateTickValue,Permanent,Trigger,ObjectOverwrite)</f>
        <v>GBP1YOIS_Quote#0000</v>
      </c>
      <c r="G19" s="168" t="str">
        <f>_xll.ohRangeRetrieveError(F19)</f>
        <v/>
      </c>
      <c r="H19" s="167"/>
      <c r="J19" s="118"/>
      <c r="K19" s="393" t="s">
        <v>1</v>
      </c>
      <c r="L19" s="396"/>
      <c r="M19" s="396" t="s">
        <v>179</v>
      </c>
      <c r="N19" s="394" t="str">
        <f t="shared" si="1"/>
        <v>GBP1YOIS</v>
      </c>
      <c r="O19" s="394" t="str">
        <v>GBP1YOIS=ICAP</v>
      </c>
      <c r="P19" s="348">
        <v>0.35749999999999998</v>
      </c>
      <c r="Q19" s="348">
        <v>0.39750000000000002</v>
      </c>
      <c r="R19" s="348">
        <v>0</v>
      </c>
      <c r="S19" s="348">
        <v>0</v>
      </c>
      <c r="T19" s="350">
        <f>_xll.qlMidEquivalent($P19,$Q19,$R19,$S19)</f>
        <v>0.3775</v>
      </c>
      <c r="U19" s="342"/>
      <c r="V19" s="491">
        <v>0.35749999999999998</v>
      </c>
      <c r="W19" s="342"/>
      <c r="X19" s="589">
        <v>0.3775</v>
      </c>
      <c r="Y19" s="347" t="e">
        <f>_xll.qlSimpleQuoteSetValue(E19,X19/100,ISERROR(F19))</f>
        <v>#N/A</v>
      </c>
      <c r="Z19" s="218"/>
    </row>
    <row r="20" spans="1:26" x14ac:dyDescent="0.25">
      <c r="A20" s="172"/>
      <c r="B20" s="178"/>
      <c r="C20" s="179" t="s">
        <v>124</v>
      </c>
      <c r="D20" s="178" t="s">
        <v>179</v>
      </c>
      <c r="E20" s="169" t="str">
        <f t="shared" si="0"/>
        <v>GBP15MOIS_Quote</v>
      </c>
      <c r="F20" s="169" t="str">
        <f>_xll.qlSimpleQuote(E20,,RateTickValue,Permanent,Trigger,ObjectOverwrite)</f>
        <v>GBP15MOIS_Quote#0000</v>
      </c>
      <c r="G20" s="168" t="str">
        <f>_xll.ohRangeRetrieveError(F20)</f>
        <v/>
      </c>
      <c r="H20" s="167"/>
      <c r="J20" s="118"/>
      <c r="K20" s="393" t="s">
        <v>124</v>
      </c>
      <c r="L20" s="396"/>
      <c r="M20" s="396" t="s">
        <v>179</v>
      </c>
      <c r="N20" s="394" t="str">
        <f t="shared" si="1"/>
        <v>GBP15MOIS</v>
      </c>
      <c r="O20" s="394" t="str">
        <v>GBP15MOIS=ICAP</v>
      </c>
      <c r="P20" s="348">
        <v>0.35375000000000001</v>
      </c>
      <c r="Q20" s="348">
        <v>0.39374999999999999</v>
      </c>
      <c r="R20" s="348">
        <v>0</v>
      </c>
      <c r="S20" s="348">
        <v>0</v>
      </c>
      <c r="T20" s="350">
        <f>_xll.qlMidEquivalent($P20,$Q20,$R20,$S20)</f>
        <v>0.37375000000000003</v>
      </c>
      <c r="U20" s="342"/>
      <c r="V20" s="491">
        <v>0.34749999999999998</v>
      </c>
      <c r="W20" s="342"/>
      <c r="X20" s="589">
        <v>0.37375000000000003</v>
      </c>
      <c r="Y20" s="347" t="e">
        <f>_xll.qlSimpleQuoteSetValue(E20,X20/100,ISERROR(F20))</f>
        <v>#N/A</v>
      </c>
      <c r="Z20" s="218"/>
    </row>
    <row r="21" spans="1:26" x14ac:dyDescent="0.25">
      <c r="A21" s="172"/>
      <c r="B21" s="178"/>
      <c r="C21" s="179" t="s">
        <v>123</v>
      </c>
      <c r="D21" s="178" t="s">
        <v>179</v>
      </c>
      <c r="E21" s="169" t="str">
        <f t="shared" si="0"/>
        <v>GBP18MOIS_Quote</v>
      </c>
      <c r="F21" s="169" t="str">
        <f>_xll.qlSimpleQuote(E21,,RateTickValue,Permanent,Trigger,ObjectOverwrite)</f>
        <v>GBP18MOIS_Quote#0000</v>
      </c>
      <c r="G21" s="168" t="str">
        <f>_xll.ohRangeRetrieveError(F21)</f>
        <v/>
      </c>
      <c r="H21" s="167"/>
      <c r="J21" s="118"/>
      <c r="K21" s="393" t="s">
        <v>123</v>
      </c>
      <c r="L21" s="396"/>
      <c r="M21" s="396" t="s">
        <v>179</v>
      </c>
      <c r="N21" s="394" t="str">
        <f t="shared" si="1"/>
        <v>GBP18MOIS</v>
      </c>
      <c r="O21" s="394" t="str">
        <v>GBP18MOIS=ICAP</v>
      </c>
      <c r="P21" s="348">
        <v>0.36</v>
      </c>
      <c r="Q21" s="348">
        <v>0.39</v>
      </c>
      <c r="R21" s="348">
        <v>0</v>
      </c>
      <c r="S21" s="348">
        <v>0</v>
      </c>
      <c r="T21" s="350">
        <f>_xll.qlMidEquivalent($P21,$Q21,$R21,$S21)</f>
        <v>0.375</v>
      </c>
      <c r="U21" s="342"/>
      <c r="V21" s="491">
        <v>0.34499999999999997</v>
      </c>
      <c r="W21" s="342"/>
      <c r="X21" s="589">
        <v>0.375</v>
      </c>
      <c r="Y21" s="347" t="e">
        <f>_xll.qlSimpleQuoteSetValue(E21,X21/100,ISERROR(F21))</f>
        <v>#N/A</v>
      </c>
      <c r="Z21" s="218"/>
    </row>
    <row r="22" spans="1:26" x14ac:dyDescent="0.25">
      <c r="A22" s="172"/>
      <c r="B22" s="178"/>
      <c r="C22" s="179" t="s">
        <v>122</v>
      </c>
      <c r="D22" s="178" t="s">
        <v>179</v>
      </c>
      <c r="E22" s="169" t="str">
        <f t="shared" si="0"/>
        <v>GBP21MOIS_Quote</v>
      </c>
      <c r="F22" s="169" t="str">
        <f>_xll.qlSimpleQuote(E22,,RateTickValue,Permanent,Trigger,ObjectOverwrite)</f>
        <v>GBP21MOIS_Quote#0000</v>
      </c>
      <c r="G22" s="168" t="str">
        <f>_xll.ohRangeRetrieveError(F22)</f>
        <v/>
      </c>
      <c r="H22" s="167"/>
      <c r="J22" s="118"/>
      <c r="K22" s="393" t="s">
        <v>122</v>
      </c>
      <c r="L22" s="396"/>
      <c r="M22" s="396" t="s">
        <v>179</v>
      </c>
      <c r="N22" s="394" t="str">
        <f t="shared" si="1"/>
        <v>GBP21MOIS</v>
      </c>
      <c r="O22" s="394" t="str">
        <v>GBP21MOIS=ICAP</v>
      </c>
      <c r="P22" s="348" t="s">
        <v>233</v>
      </c>
      <c r="Q22" s="348" t="s">
        <v>233</v>
      </c>
      <c r="R22" s="348" t="s">
        <v>233</v>
      </c>
      <c r="S22" s="348" t="s">
        <v>233</v>
      </c>
      <c r="T22" s="350" t="e">
        <f>_xll.qlMidEquivalent($P22,$Q22,$R22,$S22)</f>
        <v>#NUM!</v>
      </c>
      <c r="U22" s="342"/>
      <c r="V22" s="491" t="e">
        <v>#NUM!</v>
      </c>
      <c r="W22" s="342"/>
      <c r="X22" s="589" t="e">
        <v>#NUM!</v>
      </c>
      <c r="Y22" s="347" t="e">
        <f>_xll.qlSimpleQuoteSetValue(E22,X22/100,ISERROR(F22))</f>
        <v>#NUM!</v>
      </c>
      <c r="Z22" s="218"/>
    </row>
    <row r="23" spans="1:26" x14ac:dyDescent="0.25">
      <c r="A23" s="172"/>
      <c r="B23" s="178"/>
      <c r="C23" s="179" t="s">
        <v>85</v>
      </c>
      <c r="D23" s="178" t="s">
        <v>179</v>
      </c>
      <c r="E23" s="169" t="str">
        <f t="shared" si="0"/>
        <v>GBP2YOIS_Quote</v>
      </c>
      <c r="F23" s="169" t="str">
        <f>_xll.qlSimpleQuote(E23,,RateTickValue,Permanent,Trigger,ObjectOverwrite)</f>
        <v>GBP2YOIS_Quote#0000</v>
      </c>
      <c r="G23" s="168" t="str">
        <f>_xll.ohRangeRetrieveError(F23)</f>
        <v/>
      </c>
      <c r="H23" s="167"/>
      <c r="J23" s="118"/>
      <c r="K23" s="393" t="s">
        <v>85</v>
      </c>
      <c r="L23" s="396"/>
      <c r="M23" s="396" t="s">
        <v>179</v>
      </c>
      <c r="N23" s="394" t="str">
        <f t="shared" si="1"/>
        <v>GBP2YOIS</v>
      </c>
      <c r="O23" s="394" t="str">
        <v>GBP2YOIS=ICAP</v>
      </c>
      <c r="P23" s="348">
        <v>0.3775</v>
      </c>
      <c r="Q23" s="348">
        <v>0.40749999999999997</v>
      </c>
      <c r="R23" s="348">
        <v>0</v>
      </c>
      <c r="S23" s="348">
        <v>0</v>
      </c>
      <c r="T23" s="350">
        <f>_xll.qlMidEquivalent($P23,$Q23,$R23,$S23)</f>
        <v>0.39249999999999996</v>
      </c>
      <c r="U23" s="342"/>
      <c r="V23" s="491">
        <v>0.34749999999999998</v>
      </c>
      <c r="W23" s="342"/>
      <c r="X23" s="589">
        <v>0.39249999999999996</v>
      </c>
      <c r="Y23" s="347" t="e">
        <f>_xll.qlSimpleQuoteSetValue(E23,X23/100,ISERROR(F23))</f>
        <v>#N/A</v>
      </c>
      <c r="Z23" s="218"/>
    </row>
    <row r="24" spans="1:26" x14ac:dyDescent="0.25">
      <c r="A24" s="172"/>
      <c r="B24" s="178"/>
      <c r="C24" s="179" t="s">
        <v>84</v>
      </c>
      <c r="D24" s="178" t="s">
        <v>179</v>
      </c>
      <c r="E24" s="169" t="str">
        <f t="shared" si="0"/>
        <v>GBP3YOIS_Quote</v>
      </c>
      <c r="F24" s="169" t="str">
        <f>_xll.qlSimpleQuote(E24,,RateTickValue,Permanent,Trigger,ObjectOverwrite)</f>
        <v>GBP3YOIS_Quote#0000</v>
      </c>
      <c r="G24" s="168" t="str">
        <f>_xll.ohRangeRetrieveError(F24)</f>
        <v/>
      </c>
      <c r="H24" s="167"/>
      <c r="J24" s="118"/>
      <c r="K24" s="393" t="s">
        <v>84</v>
      </c>
      <c r="L24" s="396"/>
      <c r="M24" s="396" t="s">
        <v>179</v>
      </c>
      <c r="N24" s="394" t="str">
        <f t="shared" si="1"/>
        <v>GBP3YOIS</v>
      </c>
      <c r="O24" s="394" t="str">
        <v>GBP3YOIS=ICAP</v>
      </c>
      <c r="P24" s="348">
        <v>0.46875</v>
      </c>
      <c r="Q24" s="348">
        <v>0.49875000000000003</v>
      </c>
      <c r="R24" s="348">
        <v>0</v>
      </c>
      <c r="S24" s="348">
        <v>0</v>
      </c>
      <c r="T24" s="350">
        <f>_xll.qlMidEquivalent($P24,$Q24,$R24,$S24)</f>
        <v>0.48375000000000001</v>
      </c>
      <c r="U24" s="342"/>
      <c r="V24" s="491">
        <v>0.40500000000000003</v>
      </c>
      <c r="W24" s="342"/>
      <c r="X24" s="589">
        <v>0.48375000000000001</v>
      </c>
      <c r="Y24" s="347" t="e">
        <f>_xll.qlSimpleQuoteSetValue(E24,X24/100,ISERROR(F24))</f>
        <v>#N/A</v>
      </c>
      <c r="Z24" s="218"/>
    </row>
    <row r="25" spans="1:26" x14ac:dyDescent="0.25">
      <c r="A25" s="172"/>
      <c r="B25" s="178"/>
      <c r="C25" s="179" t="s">
        <v>83</v>
      </c>
      <c r="D25" s="178" t="s">
        <v>179</v>
      </c>
      <c r="E25" s="169" t="str">
        <f t="shared" si="0"/>
        <v>GBP4YOIS_Quote</v>
      </c>
      <c r="F25" s="169" t="str">
        <f>_xll.qlSimpleQuote(E25,,RateTickValue,Permanent,Trigger,ObjectOverwrite)</f>
        <v>GBP4YOIS_Quote#0000</v>
      </c>
      <c r="G25" s="168" t="str">
        <f>_xll.ohRangeRetrieveError(F25)</f>
        <v/>
      </c>
      <c r="H25" s="167"/>
      <c r="J25" s="118"/>
      <c r="K25" s="393" t="s">
        <v>83</v>
      </c>
      <c r="L25" s="396"/>
      <c r="M25" s="396" t="s">
        <v>179</v>
      </c>
      <c r="N25" s="394" t="str">
        <f t="shared" si="1"/>
        <v>GBP4YOIS</v>
      </c>
      <c r="O25" s="394" t="str">
        <v>GBP4YOIS=ICAP</v>
      </c>
      <c r="P25" s="348">
        <v>0.61624999999999996</v>
      </c>
      <c r="Q25" s="348">
        <v>0.66625000000000001</v>
      </c>
      <c r="R25" s="348">
        <v>0</v>
      </c>
      <c r="S25" s="348">
        <v>0</v>
      </c>
      <c r="T25" s="350">
        <f>_xll.qlMidEquivalent($P25,$Q25,$R25,$S25)</f>
        <v>0.64124999999999999</v>
      </c>
      <c r="U25" s="342"/>
      <c r="V25" s="491">
        <v>0.51749999999999996</v>
      </c>
      <c r="W25" s="342"/>
      <c r="X25" s="589">
        <v>0.64124999999999999</v>
      </c>
      <c r="Y25" s="347" t="e">
        <f>_xll.qlSimpleQuoteSetValue(E25,X25/100,ISERROR(F25))</f>
        <v>#N/A</v>
      </c>
      <c r="Z25" s="218"/>
    </row>
    <row r="26" spans="1:26" x14ac:dyDescent="0.25">
      <c r="A26" s="172"/>
      <c r="B26" s="178"/>
      <c r="C26" s="179" t="s">
        <v>82</v>
      </c>
      <c r="D26" s="178" t="s">
        <v>179</v>
      </c>
      <c r="E26" s="169" t="str">
        <f t="shared" si="0"/>
        <v>GBP5YOIS_Quote</v>
      </c>
      <c r="F26" s="169" t="str">
        <f>_xll.qlSimpleQuote(E26,,RateTickValue,Permanent,Trigger,ObjectOverwrite)</f>
        <v>GBP5YOIS_Quote#0000</v>
      </c>
      <c r="G26" s="168" t="str">
        <f>_xll.ohRangeRetrieveError(F26)</f>
        <v/>
      </c>
      <c r="H26" s="167"/>
      <c r="J26" s="118"/>
      <c r="K26" s="393" t="s">
        <v>82</v>
      </c>
      <c r="L26" s="396"/>
      <c r="M26" s="396" t="s">
        <v>179</v>
      </c>
      <c r="N26" s="394" t="str">
        <f t="shared" si="1"/>
        <v>GBP5YOIS</v>
      </c>
      <c r="O26" s="394" t="str">
        <v>GBP5YOIS=ICAP</v>
      </c>
      <c r="P26" s="348">
        <v>0.81</v>
      </c>
      <c r="Q26" s="348">
        <v>0.86</v>
      </c>
      <c r="R26" s="348">
        <v>0</v>
      </c>
      <c r="S26" s="348">
        <v>0</v>
      </c>
      <c r="T26" s="350">
        <f>_xll.qlMidEquivalent($P26,$Q26,$R26,$S26)</f>
        <v>0.83499999999999996</v>
      </c>
      <c r="U26" s="342"/>
      <c r="V26" s="491">
        <v>0.67</v>
      </c>
      <c r="W26" s="342"/>
      <c r="X26" s="589">
        <v>0.83499999999999996</v>
      </c>
      <c r="Y26" s="347" t="e">
        <f>_xll.qlSimpleQuoteSetValue(E26,X26/100,ISERROR(F26))</f>
        <v>#N/A</v>
      </c>
      <c r="Z26" s="218"/>
    </row>
    <row r="27" spans="1:26" x14ac:dyDescent="0.25">
      <c r="A27" s="172"/>
      <c r="B27" s="178"/>
      <c r="C27" s="179" t="s">
        <v>81</v>
      </c>
      <c r="D27" s="178" t="s">
        <v>179</v>
      </c>
      <c r="E27" s="169" t="str">
        <f t="shared" si="0"/>
        <v>GBP6YOIS_Quote</v>
      </c>
      <c r="F27" s="169" t="str">
        <f>_xll.qlSimpleQuote(E27,,RateTickValue,Permanent,Trigger,ObjectOverwrite)</f>
        <v>GBP6YOIS_Quote#0000</v>
      </c>
      <c r="G27" s="168" t="str">
        <f>_xll.ohRangeRetrieveError(F27)</f>
        <v/>
      </c>
      <c r="H27" s="167"/>
      <c r="J27" s="118"/>
      <c r="K27" s="393" t="s">
        <v>81</v>
      </c>
      <c r="L27" s="396"/>
      <c r="M27" s="396" t="s">
        <v>179</v>
      </c>
      <c r="N27" s="394" t="str">
        <f t="shared" si="1"/>
        <v>GBP6YOIS</v>
      </c>
      <c r="O27" s="394" t="str">
        <v>GBP6YOIS=ICAP</v>
      </c>
      <c r="P27" s="348">
        <v>1.0137499999999999</v>
      </c>
      <c r="Q27" s="348">
        <v>1.06375</v>
      </c>
      <c r="R27" s="348">
        <v>0</v>
      </c>
      <c r="S27" s="348">
        <v>0</v>
      </c>
      <c r="T27" s="350">
        <f>_xll.qlMidEquivalent($P27,$Q27,$R27,$S27)</f>
        <v>1.0387499999999998</v>
      </c>
      <c r="U27" s="342"/>
      <c r="V27" s="491">
        <v>0.84250000000000003</v>
      </c>
      <c r="W27" s="342"/>
      <c r="X27" s="589">
        <v>1.0387499999999998</v>
      </c>
      <c r="Y27" s="347" t="e">
        <f>_xll.qlSimpleQuoteSetValue(E27,X27/100,ISERROR(F27))</f>
        <v>#N/A</v>
      </c>
      <c r="Z27" s="218"/>
    </row>
    <row r="28" spans="1:26" x14ac:dyDescent="0.25">
      <c r="A28" s="172"/>
      <c r="B28" s="178"/>
      <c r="C28" s="179" t="s">
        <v>80</v>
      </c>
      <c r="D28" s="178" t="s">
        <v>179</v>
      </c>
      <c r="E28" s="169" t="str">
        <f t="shared" si="0"/>
        <v>GBP7YOIS_Quote</v>
      </c>
      <c r="F28" s="169" t="str">
        <f>_xll.qlSimpleQuote(E28,,RateTickValue,Permanent,Trigger,ObjectOverwrite)</f>
        <v>GBP7YOIS_Quote#0000</v>
      </c>
      <c r="G28" s="168" t="str">
        <f>_xll.ohRangeRetrieveError(F28)</f>
        <v/>
      </c>
      <c r="H28" s="167"/>
      <c r="J28" s="118"/>
      <c r="K28" s="393" t="s">
        <v>80</v>
      </c>
      <c r="L28" s="396"/>
      <c r="M28" s="396" t="s">
        <v>179</v>
      </c>
      <c r="N28" s="394" t="str">
        <f t="shared" si="1"/>
        <v>GBP7YOIS</v>
      </c>
      <c r="O28" s="394" t="str">
        <v>GBP7YOIS=ICAP</v>
      </c>
      <c r="P28" s="348">
        <v>1.2250000000000001</v>
      </c>
      <c r="Q28" s="348">
        <v>1.2749999999999999</v>
      </c>
      <c r="R28" s="348">
        <v>0</v>
      </c>
      <c r="S28" s="348">
        <v>0</v>
      </c>
      <c r="T28" s="350">
        <f>_xll.qlMidEquivalent($P28,$Q28,$R28,$S28)</f>
        <v>1.25</v>
      </c>
      <c r="U28" s="342"/>
      <c r="V28" s="491">
        <v>1.03</v>
      </c>
      <c r="W28" s="342"/>
      <c r="X28" s="589">
        <v>1.25</v>
      </c>
      <c r="Y28" s="347" t="e">
        <f>_xll.qlSimpleQuoteSetValue(E28,X28/100,ISERROR(F28))</f>
        <v>#N/A</v>
      </c>
      <c r="Z28" s="218"/>
    </row>
    <row r="29" spans="1:26" x14ac:dyDescent="0.25">
      <c r="A29" s="172"/>
      <c r="B29" s="178"/>
      <c r="C29" s="179" t="s">
        <v>79</v>
      </c>
      <c r="D29" s="178" t="s">
        <v>179</v>
      </c>
      <c r="E29" s="169" t="str">
        <f t="shared" si="0"/>
        <v>GBP8YOIS_Quote</v>
      </c>
      <c r="F29" s="169" t="str">
        <f>_xll.qlSimpleQuote(E29,,RateTickValue,Permanent,Trigger,ObjectOverwrite)</f>
        <v>GBP8YOIS_Quote#0000</v>
      </c>
      <c r="G29" s="168" t="str">
        <f>_xll.ohRangeRetrieveError(F29)</f>
        <v/>
      </c>
      <c r="H29" s="167"/>
      <c r="J29" s="118"/>
      <c r="K29" s="393" t="s">
        <v>79</v>
      </c>
      <c r="L29" s="396"/>
      <c r="M29" s="396" t="s">
        <v>179</v>
      </c>
      <c r="N29" s="394" t="str">
        <f t="shared" si="1"/>
        <v>GBP8YOIS</v>
      </c>
      <c r="O29" s="394" t="str">
        <v>GBP8YOIS=ICAP</v>
      </c>
      <c r="P29" s="348">
        <v>1.4312499999999999</v>
      </c>
      <c r="Q29" s="348">
        <v>1.48125</v>
      </c>
      <c r="R29" s="348">
        <v>0</v>
      </c>
      <c r="S29" s="348">
        <v>0</v>
      </c>
      <c r="T29" s="350">
        <f>_xll.qlMidEquivalent($P29,$Q29,$R29,$S29)</f>
        <v>1.4562499999999998</v>
      </c>
      <c r="U29" s="342"/>
      <c r="V29" s="491">
        <v>1.22</v>
      </c>
      <c r="W29" s="342"/>
      <c r="X29" s="589">
        <v>1.4562499999999998</v>
      </c>
      <c r="Y29" s="347" t="e">
        <f>_xll.qlSimpleQuoteSetValue(E29,X29/100,ISERROR(F29))</f>
        <v>#N/A</v>
      </c>
      <c r="Z29" s="218"/>
    </row>
    <row r="30" spans="1:26" x14ac:dyDescent="0.25">
      <c r="A30" s="172"/>
      <c r="B30" s="178"/>
      <c r="C30" s="179" t="s">
        <v>78</v>
      </c>
      <c r="D30" s="178" t="s">
        <v>179</v>
      </c>
      <c r="E30" s="169" t="str">
        <f t="shared" si="0"/>
        <v>GBP9YOIS_Quote</v>
      </c>
      <c r="F30" s="169" t="str">
        <f>_xll.qlSimpleQuote(E30,,RateTickValue,Permanent,Trigger,ObjectOverwrite)</f>
        <v>GBP9YOIS_Quote#0000</v>
      </c>
      <c r="G30" s="168" t="str">
        <f>_xll.ohRangeRetrieveError(F30)</f>
        <v/>
      </c>
      <c r="H30" s="167"/>
      <c r="J30" s="118"/>
      <c r="K30" s="393" t="s">
        <v>78</v>
      </c>
      <c r="L30" s="396"/>
      <c r="M30" s="396" t="s">
        <v>179</v>
      </c>
      <c r="N30" s="394" t="str">
        <f t="shared" si="1"/>
        <v>GBP9YOIS</v>
      </c>
      <c r="O30" s="394" t="str">
        <v>GBP9YOIS=ICAP</v>
      </c>
      <c r="P30" s="348">
        <v>1.62375</v>
      </c>
      <c r="Q30" s="348">
        <v>1.6737500000000001</v>
      </c>
      <c r="R30" s="348">
        <v>0</v>
      </c>
      <c r="S30" s="348">
        <v>0</v>
      </c>
      <c r="T30" s="350">
        <f>_xll.qlMidEquivalent($P30,$Q30,$R30,$S30)</f>
        <v>1.6487500000000002</v>
      </c>
      <c r="U30" s="342"/>
      <c r="V30" s="491">
        <v>1.405</v>
      </c>
      <c r="W30" s="342"/>
      <c r="X30" s="589">
        <v>1.6487500000000002</v>
      </c>
      <c r="Y30" s="347" t="e">
        <f>_xll.qlSimpleQuoteSetValue(E30,X30/100,ISERROR(F30))</f>
        <v>#N/A</v>
      </c>
      <c r="Z30" s="218"/>
    </row>
    <row r="31" spans="1:26" x14ac:dyDescent="0.25">
      <c r="A31" s="172"/>
      <c r="B31" s="178"/>
      <c r="C31" s="179" t="s">
        <v>77</v>
      </c>
      <c r="D31" s="178" t="s">
        <v>179</v>
      </c>
      <c r="E31" s="169" t="str">
        <f t="shared" si="0"/>
        <v>GBP10YOIS_Quote</v>
      </c>
      <c r="F31" s="169" t="str">
        <f>_xll.qlSimpleQuote(E31,,RateTickValue,Permanent,Trigger,ObjectOverwrite)</f>
        <v>GBP10YOIS_Quote#0000</v>
      </c>
      <c r="G31" s="168" t="str">
        <f>_xll.ohRangeRetrieveError(F31)</f>
        <v/>
      </c>
      <c r="H31" s="167"/>
      <c r="J31" s="118"/>
      <c r="K31" s="393" t="s">
        <v>77</v>
      </c>
      <c r="L31" s="396"/>
      <c r="M31" s="396" t="s">
        <v>179</v>
      </c>
      <c r="N31" s="394" t="str">
        <f t="shared" si="1"/>
        <v>GBP10YOIS</v>
      </c>
      <c r="O31" s="394" t="str">
        <v>GBP10YOIS=ICAP</v>
      </c>
      <c r="P31" s="348">
        <v>1.7962499999999999</v>
      </c>
      <c r="Q31" s="348">
        <v>1.8462499999999999</v>
      </c>
      <c r="R31" s="348">
        <v>0</v>
      </c>
      <c r="S31" s="348">
        <v>0</v>
      </c>
      <c r="T31" s="350">
        <f>_xll.qlMidEquivalent($P31,$Q31,$R31,$S31)</f>
        <v>1.82125</v>
      </c>
      <c r="U31" s="342"/>
      <c r="V31" s="491">
        <v>1.575</v>
      </c>
      <c r="W31" s="342"/>
      <c r="X31" s="589">
        <v>1.82125</v>
      </c>
      <c r="Y31" s="347" t="e">
        <f>_xll.qlSimpleQuoteSetValue(E31,X31/100,ISERROR(F31))</f>
        <v>#N/A</v>
      </c>
      <c r="Z31" s="218"/>
    </row>
    <row r="32" spans="1:26" x14ac:dyDescent="0.25">
      <c r="A32" s="172"/>
      <c r="B32" s="178"/>
      <c r="C32" s="179" t="s">
        <v>76</v>
      </c>
      <c r="D32" s="178" t="s">
        <v>179</v>
      </c>
      <c r="E32" s="169" t="str">
        <f t="shared" si="0"/>
        <v>GBP11YOIS_Quote</v>
      </c>
      <c r="F32" s="169" t="str">
        <f>_xll.qlSimpleQuote(E32,,RateTickValue,Permanent,Trigger,ObjectOverwrite)</f>
        <v>GBP11YOIS_Quote#0000</v>
      </c>
      <c r="G32" s="168" t="str">
        <f>_xll.ohRangeRetrieveError(F32)</f>
        <v/>
      </c>
      <c r="H32" s="167"/>
      <c r="J32" s="118"/>
      <c r="K32" s="393" t="s">
        <v>76</v>
      </c>
      <c r="L32" s="396"/>
      <c r="M32" s="396" t="s">
        <v>179</v>
      </c>
      <c r="N32" s="394" t="str">
        <f t="shared" si="1"/>
        <v>GBP11YOIS</v>
      </c>
      <c r="O32" s="394" t="str">
        <v>GBP11YOIS=ICAP</v>
      </c>
      <c r="P32" s="348" t="s">
        <v>233</v>
      </c>
      <c r="Q32" s="348" t="s">
        <v>233</v>
      </c>
      <c r="R32" s="348" t="s">
        <v>233</v>
      </c>
      <c r="S32" s="348" t="s">
        <v>233</v>
      </c>
      <c r="T32" s="350" t="e">
        <f>_xll.qlMidEquivalent($P32,$Q32,$R32,$S32)</f>
        <v>#NUM!</v>
      </c>
      <c r="U32" s="342"/>
      <c r="V32" s="491" t="e">
        <v>#NUM!</v>
      </c>
      <c r="W32" s="342"/>
      <c r="X32" s="589" t="e">
        <v>#NUM!</v>
      </c>
      <c r="Y32" s="347" t="e">
        <f>_xll.qlSimpleQuoteSetValue(E32,X32/100,ISERROR(F32))</f>
        <v>#NUM!</v>
      </c>
      <c r="Z32" s="218"/>
    </row>
    <row r="33" spans="1:26" x14ac:dyDescent="0.25">
      <c r="A33" s="172"/>
      <c r="B33" s="178"/>
      <c r="C33" s="179" t="s">
        <v>75</v>
      </c>
      <c r="D33" s="178" t="s">
        <v>179</v>
      </c>
      <c r="E33" s="169" t="str">
        <f t="shared" si="0"/>
        <v>GBP12YOIS_Quote</v>
      </c>
      <c r="F33" s="169" t="str">
        <f>_xll.qlSimpleQuote(E33,,RateTickValue,Permanent,Trigger,ObjectOverwrite)</f>
        <v>GBP12YOIS_Quote#0000</v>
      </c>
      <c r="G33" s="168" t="str">
        <f>_xll.ohRangeRetrieveError(F33)</f>
        <v/>
      </c>
      <c r="H33" s="167"/>
      <c r="J33" s="118"/>
      <c r="K33" s="393" t="s">
        <v>75</v>
      </c>
      <c r="L33" s="396"/>
      <c r="M33" s="396" t="s">
        <v>179</v>
      </c>
      <c r="N33" s="394" t="str">
        <f t="shared" si="1"/>
        <v>GBP12YOIS</v>
      </c>
      <c r="O33" s="394" t="str">
        <v>GBP12YOIS=ICAP</v>
      </c>
      <c r="P33" s="348">
        <v>2.0750000000000002</v>
      </c>
      <c r="Q33" s="348">
        <v>2.125</v>
      </c>
      <c r="R33" s="348">
        <v>0</v>
      </c>
      <c r="S33" s="348">
        <v>0</v>
      </c>
      <c r="T33" s="350">
        <f>_xll.qlMidEquivalent($P33,$Q33,$R33,$S33)</f>
        <v>2.1</v>
      </c>
      <c r="U33" s="342"/>
      <c r="V33" s="491">
        <v>1.8574999999999999</v>
      </c>
      <c r="W33" s="342"/>
      <c r="X33" s="589">
        <v>2.1</v>
      </c>
      <c r="Y33" s="347" t="e">
        <f>_xll.qlSimpleQuoteSetValue(E33,X33/100,ISERROR(F33))</f>
        <v>#N/A</v>
      </c>
      <c r="Z33" s="218"/>
    </row>
    <row r="34" spans="1:26" x14ac:dyDescent="0.25">
      <c r="A34" s="172"/>
      <c r="B34" s="178"/>
      <c r="C34" s="179" t="s">
        <v>72</v>
      </c>
      <c r="D34" s="178" t="s">
        <v>179</v>
      </c>
      <c r="E34" s="169" t="str">
        <f t="shared" si="0"/>
        <v>GBP15YOIS_Quote</v>
      </c>
      <c r="F34" s="169" t="str">
        <f>_xll.qlSimpleQuote(E34,,RateTickValue,Permanent,Trigger,ObjectOverwrite)</f>
        <v>GBP15YOIS_Quote#0000</v>
      </c>
      <c r="G34" s="168" t="str">
        <f>_xll.ohRangeRetrieveError(F34)</f>
        <v/>
      </c>
      <c r="H34" s="167"/>
      <c r="J34" s="118"/>
      <c r="K34" s="393" t="s">
        <v>72</v>
      </c>
      <c r="L34" s="396"/>
      <c r="M34" s="396" t="s">
        <v>179</v>
      </c>
      <c r="N34" s="394" t="str">
        <f t="shared" si="1"/>
        <v>GBP15YOIS</v>
      </c>
      <c r="O34" s="394" t="str">
        <v>GBP15YOIS=ICAP</v>
      </c>
      <c r="P34" s="348">
        <v>2.37</v>
      </c>
      <c r="Q34" s="348">
        <v>2.42</v>
      </c>
      <c r="R34" s="348">
        <v>0</v>
      </c>
      <c r="S34" s="348">
        <v>0</v>
      </c>
      <c r="T34" s="350">
        <f>_xll.qlMidEquivalent($P34,$Q34,$R34,$S34)</f>
        <v>2.395</v>
      </c>
      <c r="U34" s="342"/>
      <c r="V34" s="491">
        <v>2.1625000000000001</v>
      </c>
      <c r="W34" s="342"/>
      <c r="X34" s="589">
        <v>2.395</v>
      </c>
      <c r="Y34" s="347" t="e">
        <f>_xll.qlSimpleQuoteSetValue(E34,X34/100,ISERROR(F34))</f>
        <v>#N/A</v>
      </c>
      <c r="Z34" s="218"/>
    </row>
    <row r="35" spans="1:26" x14ac:dyDescent="0.25">
      <c r="A35" s="172"/>
      <c r="B35" s="178"/>
      <c r="C35" s="179" t="s">
        <v>67</v>
      </c>
      <c r="D35" s="178" t="s">
        <v>179</v>
      </c>
      <c r="E35" s="169" t="str">
        <f t="shared" si="0"/>
        <v>GBP20YOIS_Quote</v>
      </c>
      <c r="F35" s="169" t="str">
        <f>_xll.qlSimpleQuote(E35,,RateTickValue,Permanent,Trigger,ObjectOverwrite)</f>
        <v>GBP20YOIS_Quote#0000</v>
      </c>
      <c r="G35" s="168" t="str">
        <f>_xll.ohRangeRetrieveError(F35)</f>
        <v/>
      </c>
      <c r="H35" s="167"/>
      <c r="J35" s="118"/>
      <c r="K35" s="393" t="s">
        <v>67</v>
      </c>
      <c r="L35" s="396"/>
      <c r="M35" s="396" t="s">
        <v>179</v>
      </c>
      <c r="N35" s="394" t="str">
        <f t="shared" si="1"/>
        <v>GBP20YOIS</v>
      </c>
      <c r="O35" s="394" t="str">
        <v>GBP20YOIS=ICAP</v>
      </c>
      <c r="P35" s="348">
        <v>2.6850000000000001</v>
      </c>
      <c r="Q35" s="348">
        <v>2.7349999999999999</v>
      </c>
      <c r="R35" s="348">
        <v>0</v>
      </c>
      <c r="S35" s="348">
        <v>0</v>
      </c>
      <c r="T35" s="350">
        <f>_xll.qlMidEquivalent($P35,$Q35,$R35,$S35)</f>
        <v>2.71</v>
      </c>
      <c r="U35" s="342"/>
      <c r="V35" s="491">
        <v>2.4874999999999998</v>
      </c>
      <c r="W35" s="342"/>
      <c r="X35" s="589">
        <v>2.71</v>
      </c>
      <c r="Y35" s="347" t="e">
        <f>_xll.qlSimpleQuoteSetValue(E35,X35/100,ISERROR(F35))</f>
        <v>#N/A</v>
      </c>
      <c r="Z35" s="218"/>
    </row>
    <row r="36" spans="1:26" x14ac:dyDescent="0.25">
      <c r="A36" s="172"/>
      <c r="B36" s="178"/>
      <c r="C36" s="179" t="s">
        <v>62</v>
      </c>
      <c r="D36" s="178" t="s">
        <v>179</v>
      </c>
      <c r="E36" s="169" t="str">
        <f t="shared" si="0"/>
        <v>GBP25YOIS_Quote</v>
      </c>
      <c r="F36" s="169" t="str">
        <f>_xll.qlSimpleQuote(E36,,RateTickValue,Permanent,Trigger,ObjectOverwrite)</f>
        <v>GBP25YOIS_Quote#0000</v>
      </c>
      <c r="G36" s="168" t="str">
        <f>_xll.ohRangeRetrieveError(F36)</f>
        <v/>
      </c>
      <c r="H36" s="167"/>
      <c r="J36" s="118"/>
      <c r="K36" s="393" t="s">
        <v>62</v>
      </c>
      <c r="L36" s="396"/>
      <c r="M36" s="396" t="s">
        <v>179</v>
      </c>
      <c r="N36" s="394" t="str">
        <f t="shared" si="1"/>
        <v>GBP25YOIS</v>
      </c>
      <c r="O36" s="394" t="str">
        <v>GBP25YOIS=ICAP</v>
      </c>
      <c r="P36" s="348">
        <v>2.855</v>
      </c>
      <c r="Q36" s="348">
        <v>2.9049999999999998</v>
      </c>
      <c r="R36" s="348">
        <v>0</v>
      </c>
      <c r="S36" s="348">
        <v>0</v>
      </c>
      <c r="T36" s="350">
        <f>_xll.qlMidEquivalent($P36,$Q36,$R36,$S36)</f>
        <v>2.88</v>
      </c>
      <c r="U36" s="342"/>
      <c r="V36" s="491">
        <v>2.665</v>
      </c>
      <c r="W36" s="342"/>
      <c r="X36" s="589">
        <v>2.88</v>
      </c>
      <c r="Y36" s="347" t="e">
        <f>_xll.qlSimpleQuoteSetValue(E36,X36/100,ISERROR(F36))</f>
        <v>#N/A</v>
      </c>
      <c r="Z36" s="218"/>
    </row>
    <row r="37" spans="1:26" x14ac:dyDescent="0.25">
      <c r="A37" s="172"/>
      <c r="B37" s="178"/>
      <c r="C37" s="179" t="s">
        <v>57</v>
      </c>
      <c r="D37" s="178" t="s">
        <v>179</v>
      </c>
      <c r="E37" s="169" t="str">
        <f t="shared" si="0"/>
        <v>GBP30YOIS_Quote</v>
      </c>
      <c r="F37" s="169" t="str">
        <f>_xll.qlSimpleQuote(E37,,RateTickValue,Permanent,Trigger,ObjectOverwrite)</f>
        <v>GBP30YOIS_Quote#0000</v>
      </c>
      <c r="G37" s="168" t="str">
        <f>_xll.ohRangeRetrieveError(F37)</f>
        <v/>
      </c>
      <c r="H37" s="167"/>
      <c r="J37" s="118"/>
      <c r="K37" s="393" t="s">
        <v>57</v>
      </c>
      <c r="L37" s="396"/>
      <c r="M37" s="396" t="s">
        <v>179</v>
      </c>
      <c r="N37" s="394" t="str">
        <f t="shared" si="1"/>
        <v>GBP30YOIS</v>
      </c>
      <c r="O37" s="394" t="str">
        <v>GBP30YOIS=ICAP</v>
      </c>
      <c r="P37" s="348">
        <v>2.9049999999999998</v>
      </c>
      <c r="Q37" s="348">
        <v>3.0350000000000001</v>
      </c>
      <c r="R37" s="348">
        <v>0</v>
      </c>
      <c r="S37" s="348">
        <v>0</v>
      </c>
      <c r="T37" s="350">
        <f>_xll.qlMidEquivalent($P37,$Q37,$R37,$S37)</f>
        <v>2.9699999999999998</v>
      </c>
      <c r="U37" s="342"/>
      <c r="V37" s="491">
        <v>2.7524999999999999</v>
      </c>
      <c r="W37" s="342"/>
      <c r="X37" s="590">
        <v>2.9699999999999998</v>
      </c>
      <c r="Y37" s="340" t="e">
        <f>_xll.qlSimpleQuoteSetValue(E37,X37/100,ISERROR(F37))</f>
        <v>#N/A</v>
      </c>
      <c r="Z37" s="218"/>
    </row>
    <row r="38" spans="1:26" ht="14.25" thickBot="1" x14ac:dyDescent="0.3">
      <c r="A38" s="172"/>
      <c r="B38" s="176"/>
      <c r="C38" s="177"/>
      <c r="D38" s="176"/>
      <c r="E38" s="175"/>
      <c r="F38" s="175"/>
      <c r="G38" s="174"/>
      <c r="H38" s="167"/>
      <c r="J38" s="32"/>
      <c r="K38" s="517"/>
      <c r="L38" s="517"/>
      <c r="M38" s="517"/>
      <c r="N38" s="517"/>
      <c r="O38" s="517"/>
      <c r="P38" s="517"/>
      <c r="Q38" s="517"/>
      <c r="R38" s="517"/>
      <c r="S38" s="517"/>
      <c r="T38" s="517"/>
      <c r="U38" s="31"/>
      <c r="V38" s="517"/>
      <c r="W38" s="31"/>
      <c r="X38" s="517"/>
      <c r="Y38" s="517"/>
      <c r="Z38" s="378"/>
    </row>
    <row r="39" spans="1:26" x14ac:dyDescent="0.25">
      <c r="A39" s="172"/>
      <c r="B39" s="170" t="s">
        <v>180</v>
      </c>
      <c r="C39" s="171" t="s">
        <v>204</v>
      </c>
      <c r="D39" s="170" t="s">
        <v>179</v>
      </c>
      <c r="E39" s="173" t="str">
        <f t="shared" ref="E39:E74" si="2">Currency&amp;$B39&amp;$C39&amp;$D39&amp;QuoteSuffix</f>
        <v>GBPMPCJAN11OIS_Quote</v>
      </c>
      <c r="F39" s="173" t="str">
        <f>_xll.qlSimpleQuote(E39,,RateTickValue,Permanent,Trigger,ObjectOverwrite)</f>
        <v>GBPMPCJAN11OIS_Quote#0000</v>
      </c>
      <c r="G39" s="168" t="s">
        <v>178</v>
      </c>
      <c r="H39" s="167"/>
    </row>
    <row r="40" spans="1:26" x14ac:dyDescent="0.25">
      <c r="A40" s="172"/>
      <c r="B40" s="170" t="s">
        <v>180</v>
      </c>
      <c r="C40" s="171" t="s">
        <v>203</v>
      </c>
      <c r="D40" s="170" t="s">
        <v>179</v>
      </c>
      <c r="E40" s="169" t="str">
        <f t="shared" si="2"/>
        <v>GBPMPCFEB11OIS_Quote</v>
      </c>
      <c r="F40" s="169" t="str">
        <f>_xll.qlSimpleQuote(E40,,RateTickValue,Permanent,Trigger,ObjectOverwrite)</f>
        <v>GBPMPCFEB11OIS_Quote#0000</v>
      </c>
      <c r="G40" s="168" t="s">
        <v>178</v>
      </c>
      <c r="H40" s="167"/>
    </row>
    <row r="41" spans="1:26" x14ac:dyDescent="0.25">
      <c r="A41" s="172"/>
      <c r="B41" s="170" t="s">
        <v>180</v>
      </c>
      <c r="C41" s="171" t="s">
        <v>202</v>
      </c>
      <c r="D41" s="170" t="s">
        <v>179</v>
      </c>
      <c r="E41" s="169" t="str">
        <f t="shared" si="2"/>
        <v>GBPMPCMAR11OIS_Quote</v>
      </c>
      <c r="F41" s="169" t="str">
        <f>_xll.qlSimpleQuote(E41,,RateTickValue,Permanent,Trigger,ObjectOverwrite)</f>
        <v>GBPMPCMAR11OIS_Quote#0000</v>
      </c>
      <c r="G41" s="168" t="s">
        <v>178</v>
      </c>
      <c r="H41" s="167"/>
    </row>
    <row r="42" spans="1:26" x14ac:dyDescent="0.25">
      <c r="A42" s="172"/>
      <c r="B42" s="170" t="s">
        <v>180</v>
      </c>
      <c r="C42" s="171" t="s">
        <v>201</v>
      </c>
      <c r="D42" s="170" t="s">
        <v>179</v>
      </c>
      <c r="E42" s="169" t="str">
        <f t="shared" si="2"/>
        <v>GBPMPCAPR11OIS_Quote</v>
      </c>
      <c r="F42" s="169" t="str">
        <f>_xll.qlSimpleQuote(E42,,RateTickValue,Permanent,Trigger,ObjectOverwrite)</f>
        <v>GBPMPCAPR11OIS_Quote#0000</v>
      </c>
      <c r="G42" s="168" t="s">
        <v>178</v>
      </c>
      <c r="H42" s="167"/>
    </row>
    <row r="43" spans="1:26" x14ac:dyDescent="0.25">
      <c r="A43" s="172"/>
      <c r="B43" s="170" t="s">
        <v>180</v>
      </c>
      <c r="C43" s="171" t="s">
        <v>200</v>
      </c>
      <c r="D43" s="170" t="s">
        <v>179</v>
      </c>
      <c r="E43" s="169" t="str">
        <f t="shared" si="2"/>
        <v>GBPMPCMAY11OIS_Quote</v>
      </c>
      <c r="F43" s="169" t="str">
        <f>_xll.qlSimpleQuote(E43,,RateTickValue,Permanent,Trigger,ObjectOverwrite)</f>
        <v>GBPMPCMAY11OIS_Quote#0000</v>
      </c>
      <c r="G43" s="168" t="s">
        <v>178</v>
      </c>
      <c r="H43" s="167"/>
    </row>
    <row r="44" spans="1:26" x14ac:dyDescent="0.25">
      <c r="A44" s="172"/>
      <c r="B44" s="170" t="s">
        <v>180</v>
      </c>
      <c r="C44" s="171" t="s">
        <v>199</v>
      </c>
      <c r="D44" s="170" t="s">
        <v>179</v>
      </c>
      <c r="E44" s="169" t="str">
        <f t="shared" si="2"/>
        <v>GBPMPCJUN11OIS_Quote</v>
      </c>
      <c r="F44" s="169" t="str">
        <f>_xll.qlSimpleQuote(E44,,RateTickValue,Permanent,Trigger,ObjectOverwrite)</f>
        <v>GBPMPCJUN11OIS_Quote#0000</v>
      </c>
      <c r="G44" s="168" t="s">
        <v>178</v>
      </c>
      <c r="H44" s="167"/>
    </row>
    <row r="45" spans="1:26" x14ac:dyDescent="0.25">
      <c r="A45" s="172"/>
      <c r="B45" s="170" t="s">
        <v>180</v>
      </c>
      <c r="C45" s="171" t="s">
        <v>198</v>
      </c>
      <c r="D45" s="170" t="s">
        <v>179</v>
      </c>
      <c r="E45" s="169" t="str">
        <f t="shared" si="2"/>
        <v>GBPMPCJUL11OIS_Quote</v>
      </c>
      <c r="F45" s="169" t="str">
        <f>_xll.qlSimpleQuote(E45,,RateTickValue,Permanent,Trigger,ObjectOverwrite)</f>
        <v>GBPMPCJUL11OIS_Quote#0000</v>
      </c>
      <c r="G45" s="168" t="s">
        <v>178</v>
      </c>
      <c r="H45" s="167"/>
    </row>
    <row r="46" spans="1:26" x14ac:dyDescent="0.25">
      <c r="A46" s="172"/>
      <c r="B46" s="170" t="s">
        <v>180</v>
      </c>
      <c r="C46" s="171" t="s">
        <v>197</v>
      </c>
      <c r="D46" s="170" t="s">
        <v>179</v>
      </c>
      <c r="E46" s="169" t="str">
        <f t="shared" si="2"/>
        <v>GBPMPCAUG11OIS_Quote</v>
      </c>
      <c r="F46" s="169" t="str">
        <f>_xll.qlSimpleQuote(E46,,RateTickValue,Permanent,Trigger,ObjectOverwrite)</f>
        <v>GBPMPCAUG11OIS_Quote#0000</v>
      </c>
      <c r="G46" s="168" t="s">
        <v>178</v>
      </c>
      <c r="H46" s="167"/>
    </row>
    <row r="47" spans="1:26" x14ac:dyDescent="0.25">
      <c r="A47" s="172"/>
      <c r="B47" s="170" t="s">
        <v>180</v>
      </c>
      <c r="C47" s="171" t="s">
        <v>196</v>
      </c>
      <c r="D47" s="170" t="s">
        <v>179</v>
      </c>
      <c r="E47" s="169" t="str">
        <f t="shared" si="2"/>
        <v>GBPMPCSEP11OIS_Quote</v>
      </c>
      <c r="F47" s="169" t="str">
        <f>_xll.qlSimpleQuote(E47,,RateTickValue,Permanent,Trigger,ObjectOverwrite)</f>
        <v>GBPMPCSEP11OIS_Quote#0000</v>
      </c>
      <c r="G47" s="168" t="s">
        <v>178</v>
      </c>
      <c r="H47" s="167"/>
    </row>
    <row r="48" spans="1:26" x14ac:dyDescent="0.25">
      <c r="A48" s="172"/>
      <c r="B48" s="170" t="s">
        <v>180</v>
      </c>
      <c r="C48" s="171" t="s">
        <v>195</v>
      </c>
      <c r="D48" s="170" t="s">
        <v>179</v>
      </c>
      <c r="E48" s="169" t="str">
        <f t="shared" si="2"/>
        <v>GBPMPCOCT11OIS_Quote</v>
      </c>
      <c r="F48" s="169" t="str">
        <f>_xll.qlSimpleQuote(E48,,RateTickValue,Permanent,Trigger,ObjectOverwrite)</f>
        <v>GBPMPCOCT11OIS_Quote#0000</v>
      </c>
      <c r="G48" s="168" t="s">
        <v>178</v>
      </c>
      <c r="H48" s="167"/>
    </row>
    <row r="49" spans="1:8" x14ac:dyDescent="0.25">
      <c r="A49" s="172"/>
      <c r="B49" s="170" t="s">
        <v>180</v>
      </c>
      <c r="C49" s="171" t="s">
        <v>194</v>
      </c>
      <c r="D49" s="170" t="s">
        <v>179</v>
      </c>
      <c r="E49" s="169" t="str">
        <f t="shared" si="2"/>
        <v>GBPMPCNOV11OIS_Quote</v>
      </c>
      <c r="F49" s="169" t="str">
        <f>_xll.qlSimpleQuote(E49,,RateTickValue,Permanent,Trigger,ObjectOverwrite)</f>
        <v>GBPMPCNOV11OIS_Quote#0000</v>
      </c>
      <c r="G49" s="168" t="s">
        <v>178</v>
      </c>
      <c r="H49" s="167"/>
    </row>
    <row r="50" spans="1:8" x14ac:dyDescent="0.25">
      <c r="A50" s="172"/>
      <c r="B50" s="170" t="s">
        <v>180</v>
      </c>
      <c r="C50" s="171" t="s">
        <v>193</v>
      </c>
      <c r="D50" s="170" t="s">
        <v>179</v>
      </c>
      <c r="E50" s="169" t="str">
        <f t="shared" si="2"/>
        <v>GBPMPCDEC11OIS_Quote</v>
      </c>
      <c r="F50" s="169" t="str">
        <f>_xll.qlSimpleQuote(E50,,RateTickValue,Permanent,Trigger,ObjectOverwrite)</f>
        <v>GBPMPCDEC11OIS_Quote#0000</v>
      </c>
      <c r="G50" s="168" t="s">
        <v>178</v>
      </c>
      <c r="H50" s="167"/>
    </row>
    <row r="51" spans="1:8" x14ac:dyDescent="0.25">
      <c r="A51" s="172"/>
      <c r="B51" s="170" t="s">
        <v>180</v>
      </c>
      <c r="C51" s="171" t="s">
        <v>192</v>
      </c>
      <c r="D51" s="170" t="s">
        <v>179</v>
      </c>
      <c r="E51" s="169" t="str">
        <f t="shared" si="2"/>
        <v>GBPMPCJAN12OIS_Quote</v>
      </c>
      <c r="F51" s="169" t="str">
        <f>_xll.qlSimpleQuote(E51,,RateTickValue,Permanent,Trigger,ObjectOverwrite)</f>
        <v>GBPMPCJAN12OIS_Quote#0000</v>
      </c>
      <c r="G51" s="168" t="s">
        <v>178</v>
      </c>
      <c r="H51" s="167"/>
    </row>
    <row r="52" spans="1:8" x14ac:dyDescent="0.25">
      <c r="A52" s="172"/>
      <c r="B52" s="170" t="s">
        <v>180</v>
      </c>
      <c r="C52" s="171" t="s">
        <v>191</v>
      </c>
      <c r="D52" s="170" t="s">
        <v>179</v>
      </c>
      <c r="E52" s="169" t="str">
        <f t="shared" si="2"/>
        <v>GBPMPCFEB12OIS_Quote</v>
      </c>
      <c r="F52" s="169" t="str">
        <f>_xll.qlSimpleQuote(E52,,RateTickValue,Permanent,Trigger,ObjectOverwrite)</f>
        <v>GBPMPCFEB12OIS_Quote#0000</v>
      </c>
      <c r="G52" s="168" t="s">
        <v>178</v>
      </c>
      <c r="H52" s="167"/>
    </row>
    <row r="53" spans="1:8" x14ac:dyDescent="0.25">
      <c r="A53" s="172"/>
      <c r="B53" s="170" t="s">
        <v>180</v>
      </c>
      <c r="C53" s="171" t="s">
        <v>190</v>
      </c>
      <c r="D53" s="170" t="s">
        <v>179</v>
      </c>
      <c r="E53" s="169" t="str">
        <f t="shared" si="2"/>
        <v>GBPMPCMAR12OIS_Quote</v>
      </c>
      <c r="F53" s="169" t="str">
        <f>_xll.qlSimpleQuote(E53,,RateTickValue,Permanent,Trigger,ObjectOverwrite)</f>
        <v>GBPMPCMAR12OIS_Quote#0000</v>
      </c>
      <c r="G53" s="168" t="s">
        <v>178</v>
      </c>
      <c r="H53" s="167"/>
    </row>
    <row r="54" spans="1:8" x14ac:dyDescent="0.25">
      <c r="A54" s="172"/>
      <c r="B54" s="170" t="s">
        <v>180</v>
      </c>
      <c r="C54" s="171" t="s">
        <v>189</v>
      </c>
      <c r="D54" s="170" t="s">
        <v>179</v>
      </c>
      <c r="E54" s="169" t="str">
        <f t="shared" si="2"/>
        <v>GBPMPCAPR12OIS_Quote</v>
      </c>
      <c r="F54" s="169" t="str">
        <f>_xll.qlSimpleQuote(E54,,RateTickValue,Permanent,Trigger,ObjectOverwrite)</f>
        <v>GBPMPCAPR12OIS_Quote#0000</v>
      </c>
      <c r="G54" s="168" t="s">
        <v>178</v>
      </c>
      <c r="H54" s="167"/>
    </row>
    <row r="55" spans="1:8" x14ac:dyDescent="0.25">
      <c r="A55" s="172"/>
      <c r="B55" s="170" t="s">
        <v>180</v>
      </c>
      <c r="C55" s="171" t="s">
        <v>188</v>
      </c>
      <c r="D55" s="170" t="s">
        <v>179</v>
      </c>
      <c r="E55" s="169" t="str">
        <f t="shared" si="2"/>
        <v>GBPMPCMAY12OIS_Quote</v>
      </c>
      <c r="F55" s="169" t="str">
        <f>_xll.qlSimpleQuote(E55,,RateTickValue,Permanent,Trigger,ObjectOverwrite)</f>
        <v>GBPMPCMAY12OIS_Quote#0000</v>
      </c>
      <c r="G55" s="168" t="s">
        <v>178</v>
      </c>
      <c r="H55" s="167"/>
    </row>
    <row r="56" spans="1:8" x14ac:dyDescent="0.25">
      <c r="A56" s="172"/>
      <c r="B56" s="170" t="s">
        <v>180</v>
      </c>
      <c r="C56" s="171" t="s">
        <v>187</v>
      </c>
      <c r="D56" s="170" t="s">
        <v>179</v>
      </c>
      <c r="E56" s="169" t="str">
        <f t="shared" si="2"/>
        <v>GBPMPCJUN12OIS_Quote</v>
      </c>
      <c r="F56" s="169" t="str">
        <f>_xll.qlSimpleQuote(E56,,RateTickValue,Permanent,Trigger,ObjectOverwrite)</f>
        <v>GBPMPCJUN12OIS_Quote#0000</v>
      </c>
      <c r="G56" s="168" t="s">
        <v>178</v>
      </c>
      <c r="H56" s="167"/>
    </row>
    <row r="57" spans="1:8" x14ac:dyDescent="0.25">
      <c r="A57" s="172"/>
      <c r="B57" s="170" t="s">
        <v>180</v>
      </c>
      <c r="C57" s="171" t="s">
        <v>186</v>
      </c>
      <c r="D57" s="170" t="s">
        <v>179</v>
      </c>
      <c r="E57" s="169" t="str">
        <f t="shared" si="2"/>
        <v>GBPMPCJUL12OIS_Quote</v>
      </c>
      <c r="F57" s="169" t="str">
        <f>_xll.qlSimpleQuote(E57,,RateTickValue,Permanent,Trigger,ObjectOverwrite)</f>
        <v>GBPMPCJUL12OIS_Quote#0000</v>
      </c>
      <c r="G57" s="168" t="s">
        <v>178</v>
      </c>
      <c r="H57" s="167"/>
    </row>
    <row r="58" spans="1:8" x14ac:dyDescent="0.25">
      <c r="A58" s="172"/>
      <c r="B58" s="170" t="s">
        <v>180</v>
      </c>
      <c r="C58" s="171" t="s">
        <v>185</v>
      </c>
      <c r="D58" s="170" t="s">
        <v>179</v>
      </c>
      <c r="E58" s="169" t="str">
        <f t="shared" si="2"/>
        <v>GBPMPCAUG12OIS_Quote</v>
      </c>
      <c r="F58" s="169" t="str">
        <f>_xll.qlSimpleQuote(E58,,RateTickValue,Permanent,Trigger,ObjectOverwrite)</f>
        <v>GBPMPCAUG12OIS_Quote#0000</v>
      </c>
      <c r="G58" s="168" t="s">
        <v>178</v>
      </c>
      <c r="H58" s="167"/>
    </row>
    <row r="59" spans="1:8" x14ac:dyDescent="0.25">
      <c r="A59" s="172"/>
      <c r="B59" s="170" t="s">
        <v>180</v>
      </c>
      <c r="C59" s="171" t="s">
        <v>184</v>
      </c>
      <c r="D59" s="170" t="s">
        <v>179</v>
      </c>
      <c r="E59" s="169" t="str">
        <f t="shared" si="2"/>
        <v>GBPMPCSEP12OIS_Quote</v>
      </c>
      <c r="F59" s="169" t="str">
        <f>_xll.qlSimpleQuote(E59,,RateTickValue,Permanent,Trigger,ObjectOverwrite)</f>
        <v>GBPMPCSEP12OIS_Quote#0000</v>
      </c>
      <c r="G59" s="168" t="s">
        <v>178</v>
      </c>
      <c r="H59" s="167"/>
    </row>
    <row r="60" spans="1:8" x14ac:dyDescent="0.25">
      <c r="A60" s="172"/>
      <c r="B60" s="170" t="s">
        <v>180</v>
      </c>
      <c r="C60" s="171" t="s">
        <v>183</v>
      </c>
      <c r="D60" s="170" t="s">
        <v>179</v>
      </c>
      <c r="E60" s="169" t="str">
        <f t="shared" si="2"/>
        <v>GBPMPCOCT12OIS_Quote</v>
      </c>
      <c r="F60" s="169" t="str">
        <f>_xll.qlSimpleQuote(E60,,RateTickValue,Permanent,Trigger,ObjectOverwrite)</f>
        <v>GBPMPCOCT12OIS_Quote#0000</v>
      </c>
      <c r="G60" s="168" t="s">
        <v>178</v>
      </c>
      <c r="H60" s="167"/>
    </row>
    <row r="61" spans="1:8" x14ac:dyDescent="0.25">
      <c r="A61" s="172"/>
      <c r="B61" s="170" t="s">
        <v>180</v>
      </c>
      <c r="C61" s="171" t="s">
        <v>182</v>
      </c>
      <c r="D61" s="170" t="s">
        <v>179</v>
      </c>
      <c r="E61" s="169" t="str">
        <f t="shared" si="2"/>
        <v>GBPMPCNOV12OIS_Quote</v>
      </c>
      <c r="F61" s="169" t="str">
        <f>_xll.qlSimpleQuote(E61,,RateTickValue,Permanent,Trigger,ObjectOverwrite)</f>
        <v>GBPMPCNOV12OIS_Quote#0000</v>
      </c>
      <c r="G61" s="168" t="s">
        <v>178</v>
      </c>
      <c r="H61" s="167"/>
    </row>
    <row r="62" spans="1:8" x14ac:dyDescent="0.25">
      <c r="A62" s="172"/>
      <c r="B62" s="170" t="s">
        <v>180</v>
      </c>
      <c r="C62" s="171" t="s">
        <v>181</v>
      </c>
      <c r="D62" s="170" t="s">
        <v>179</v>
      </c>
      <c r="E62" s="169" t="str">
        <f t="shared" si="2"/>
        <v>GBPMPCDEC12OIS_Quote</v>
      </c>
      <c r="F62" s="169" t="str">
        <f>_xll.qlSimpleQuote(E62,,RateTickValue,Permanent,Trigger,ObjectOverwrite)</f>
        <v>GBPMPCDEC12OIS_Quote#0000</v>
      </c>
      <c r="G62" s="168" t="s">
        <v>178</v>
      </c>
      <c r="H62" s="167"/>
    </row>
    <row r="63" spans="1:8" x14ac:dyDescent="0.25">
      <c r="A63" s="172"/>
      <c r="B63" s="170" t="s">
        <v>180</v>
      </c>
      <c r="C63" s="171" t="e">
        <v>#NUM!</v>
      </c>
      <c r="D63" s="170" t="s">
        <v>179</v>
      </c>
      <c r="E63" s="169" t="e">
        <f t="shared" si="2"/>
        <v>#NUM!</v>
      </c>
      <c r="F63" s="169" t="e">
        <f>_xll.qlSimpleQuote(E63,,RateTickValue,Permanent,Trigger,ObjectOverwrite)</f>
        <v>#VALUE!</v>
      </c>
      <c r="G63" s="168" t="s">
        <v>178</v>
      </c>
      <c r="H63" s="167"/>
    </row>
    <row r="64" spans="1:8" x14ac:dyDescent="0.25">
      <c r="A64" s="172"/>
      <c r="B64" s="170" t="s">
        <v>180</v>
      </c>
      <c r="C64" s="171" t="e">
        <v>#NUM!</v>
      </c>
      <c r="D64" s="170" t="s">
        <v>179</v>
      </c>
      <c r="E64" s="169" t="e">
        <f t="shared" si="2"/>
        <v>#NUM!</v>
      </c>
      <c r="F64" s="169" t="e">
        <f>_xll.qlSimpleQuote(E64,,RateTickValue,Permanent,Trigger,ObjectOverwrite)</f>
        <v>#VALUE!</v>
      </c>
      <c r="G64" s="168" t="s">
        <v>178</v>
      </c>
      <c r="H64" s="167"/>
    </row>
    <row r="65" spans="1:8" x14ac:dyDescent="0.25">
      <c r="A65" s="172"/>
      <c r="B65" s="170" t="s">
        <v>180</v>
      </c>
      <c r="C65" s="171" t="e">
        <v>#NUM!</v>
      </c>
      <c r="D65" s="170" t="s">
        <v>179</v>
      </c>
      <c r="E65" s="169" t="e">
        <f t="shared" si="2"/>
        <v>#NUM!</v>
      </c>
      <c r="F65" s="169" t="e">
        <f>_xll.qlSimpleQuote(E65,,RateTickValue,Permanent,Trigger,ObjectOverwrite)</f>
        <v>#VALUE!</v>
      </c>
      <c r="G65" s="168" t="s">
        <v>178</v>
      </c>
      <c r="H65" s="167"/>
    </row>
    <row r="66" spans="1:8" x14ac:dyDescent="0.25">
      <c r="A66" s="172"/>
      <c r="B66" s="170" t="s">
        <v>180</v>
      </c>
      <c r="C66" s="171" t="e">
        <v>#NUM!</v>
      </c>
      <c r="D66" s="170" t="s">
        <v>179</v>
      </c>
      <c r="E66" s="169" t="e">
        <f t="shared" si="2"/>
        <v>#NUM!</v>
      </c>
      <c r="F66" s="169" t="e">
        <f>_xll.qlSimpleQuote(E66,,RateTickValue,Permanent,Trigger,ObjectOverwrite)</f>
        <v>#VALUE!</v>
      </c>
      <c r="G66" s="168" t="s">
        <v>178</v>
      </c>
      <c r="H66" s="167"/>
    </row>
    <row r="67" spans="1:8" x14ac:dyDescent="0.25">
      <c r="A67" s="172"/>
      <c r="B67" s="170" t="s">
        <v>180</v>
      </c>
      <c r="C67" s="171" t="e">
        <v>#NUM!</v>
      </c>
      <c r="D67" s="170" t="s">
        <v>179</v>
      </c>
      <c r="E67" s="169" t="e">
        <f t="shared" si="2"/>
        <v>#NUM!</v>
      </c>
      <c r="F67" s="169" t="e">
        <f>_xll.qlSimpleQuote(E67,,RateTickValue,Permanent,Trigger,ObjectOverwrite)</f>
        <v>#VALUE!</v>
      </c>
      <c r="G67" s="168" t="s">
        <v>178</v>
      </c>
      <c r="H67" s="167"/>
    </row>
    <row r="68" spans="1:8" x14ac:dyDescent="0.25">
      <c r="A68" s="172"/>
      <c r="B68" s="170" t="s">
        <v>180</v>
      </c>
      <c r="C68" s="171" t="e">
        <v>#NUM!</v>
      </c>
      <c r="D68" s="170" t="s">
        <v>179</v>
      </c>
      <c r="E68" s="169" t="e">
        <f t="shared" si="2"/>
        <v>#NUM!</v>
      </c>
      <c r="F68" s="169" t="e">
        <f>_xll.qlSimpleQuote(E68,,RateTickValue,Permanent,Trigger,ObjectOverwrite)</f>
        <v>#VALUE!</v>
      </c>
      <c r="G68" s="168" t="s">
        <v>178</v>
      </c>
      <c r="H68" s="167"/>
    </row>
    <row r="69" spans="1:8" x14ac:dyDescent="0.25">
      <c r="A69" s="172"/>
      <c r="B69" s="170" t="s">
        <v>180</v>
      </c>
      <c r="C69" s="171" t="e">
        <v>#NUM!</v>
      </c>
      <c r="D69" s="170" t="s">
        <v>179</v>
      </c>
      <c r="E69" s="169" t="e">
        <f t="shared" si="2"/>
        <v>#NUM!</v>
      </c>
      <c r="F69" s="169" t="e">
        <f>_xll.qlSimpleQuote(E69,,RateTickValue,Permanent,Trigger,ObjectOverwrite)</f>
        <v>#VALUE!</v>
      </c>
      <c r="G69" s="168" t="s">
        <v>178</v>
      </c>
      <c r="H69" s="167"/>
    </row>
    <row r="70" spans="1:8" x14ac:dyDescent="0.25">
      <c r="A70" s="172"/>
      <c r="B70" s="170" t="s">
        <v>180</v>
      </c>
      <c r="C70" s="171" t="e">
        <v>#NUM!</v>
      </c>
      <c r="D70" s="170" t="s">
        <v>179</v>
      </c>
      <c r="E70" s="169" t="e">
        <f t="shared" si="2"/>
        <v>#NUM!</v>
      </c>
      <c r="F70" s="169" t="e">
        <f>_xll.qlSimpleQuote(E70,,RateTickValue,Permanent,Trigger,ObjectOverwrite)</f>
        <v>#VALUE!</v>
      </c>
      <c r="G70" s="168" t="s">
        <v>178</v>
      </c>
      <c r="H70" s="167"/>
    </row>
    <row r="71" spans="1:8" x14ac:dyDescent="0.25">
      <c r="A71" s="172"/>
      <c r="B71" s="170" t="s">
        <v>180</v>
      </c>
      <c r="C71" s="171" t="e">
        <v>#NUM!</v>
      </c>
      <c r="D71" s="170" t="s">
        <v>179</v>
      </c>
      <c r="E71" s="169" t="e">
        <f t="shared" si="2"/>
        <v>#NUM!</v>
      </c>
      <c r="F71" s="169" t="e">
        <f>_xll.qlSimpleQuote(E71,,RateTickValue,Permanent,Trigger,ObjectOverwrite)</f>
        <v>#VALUE!</v>
      </c>
      <c r="G71" s="168" t="s">
        <v>178</v>
      </c>
      <c r="H71" s="167"/>
    </row>
    <row r="72" spans="1:8" x14ac:dyDescent="0.25">
      <c r="A72" s="172"/>
      <c r="B72" s="170" t="s">
        <v>180</v>
      </c>
      <c r="C72" s="171" t="e">
        <v>#NUM!</v>
      </c>
      <c r="D72" s="170" t="s">
        <v>179</v>
      </c>
      <c r="E72" s="169" t="e">
        <f t="shared" si="2"/>
        <v>#NUM!</v>
      </c>
      <c r="F72" s="169" t="e">
        <f>_xll.qlSimpleQuote(E72,,RateTickValue,Permanent,Trigger,ObjectOverwrite)</f>
        <v>#VALUE!</v>
      </c>
      <c r="G72" s="168" t="s">
        <v>178</v>
      </c>
      <c r="H72" s="167"/>
    </row>
    <row r="73" spans="1:8" x14ac:dyDescent="0.25">
      <c r="A73" s="172"/>
      <c r="B73" s="170" t="s">
        <v>180</v>
      </c>
      <c r="C73" s="171" t="e">
        <v>#NUM!</v>
      </c>
      <c r="D73" s="170" t="s">
        <v>179</v>
      </c>
      <c r="E73" s="169" t="e">
        <f t="shared" si="2"/>
        <v>#NUM!</v>
      </c>
      <c r="F73" s="169" t="e">
        <f>_xll.qlSimpleQuote(E73,,RateTickValue,Permanent,Trigger,ObjectOverwrite)</f>
        <v>#VALUE!</v>
      </c>
      <c r="G73" s="168" t="s">
        <v>178</v>
      </c>
      <c r="H73" s="167"/>
    </row>
    <row r="74" spans="1:8" x14ac:dyDescent="0.25">
      <c r="A74" s="172"/>
      <c r="B74" s="170" t="s">
        <v>180</v>
      </c>
      <c r="C74" s="171" t="e">
        <v>#NUM!</v>
      </c>
      <c r="D74" s="170" t="s">
        <v>179</v>
      </c>
      <c r="E74" s="169" t="e">
        <f t="shared" si="2"/>
        <v>#NUM!</v>
      </c>
      <c r="F74" s="169" t="e">
        <f>_xll.qlSimpleQuote(E74,,RateTickValue,Permanent,Trigger,ObjectOverwrite)</f>
        <v>#VALUE!</v>
      </c>
      <c r="G74" s="168" t="s">
        <v>178</v>
      </c>
      <c r="H74" s="167"/>
    </row>
    <row r="75" spans="1:8" ht="14.25" thickBot="1" x14ac:dyDescent="0.3">
      <c r="A75" s="166"/>
      <c r="B75" s="165"/>
      <c r="C75" s="165"/>
      <c r="D75" s="165"/>
      <c r="E75" s="165"/>
      <c r="F75" s="164"/>
      <c r="G75" s="164"/>
      <c r="H75" s="163"/>
    </row>
  </sheetData>
  <conditionalFormatting sqref="Y5:Y37">
    <cfRule type="cellIs" dxfId="23" priority="1" stopIfTrue="1" operator="greaterThan">
      <formula>0</formula>
    </cfRule>
    <cfRule type="cellIs" dxfId="22" priority="2" stopIfTrue="1" operator="lessThan">
      <formula>0</formula>
    </cfRule>
  </conditionalFormatting>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16"/>
  <sheetViews>
    <sheetView workbookViewId="0"/>
  </sheetViews>
  <sheetFormatPr defaultRowHeight="12.75" x14ac:dyDescent="0.2"/>
  <cols>
    <col min="1" max="1" width="2.7109375" style="63" customWidth="1"/>
    <col min="2" max="2" width="4.85546875" style="111" bestFit="1" customWidth="1"/>
    <col min="3" max="3" width="2.7109375" style="63" bestFit="1" customWidth="1"/>
    <col min="4" max="4" width="3.85546875" style="63" bestFit="1" customWidth="1"/>
    <col min="5" max="5" width="16.140625" style="63" bestFit="1" customWidth="1"/>
    <col min="6" max="6" width="18" style="110" bestFit="1" customWidth="1"/>
    <col min="7" max="7" width="38.28515625" style="63" customWidth="1"/>
    <col min="8" max="10" width="2.7109375" style="63" customWidth="1"/>
    <col min="11" max="14" width="9.140625" style="63"/>
    <col min="15" max="15" width="12.7109375" style="63" bestFit="1" customWidth="1"/>
    <col min="16" max="18" width="9.140625" style="63"/>
    <col min="19" max="19" width="10.42578125" style="63" customWidth="1"/>
    <col min="20" max="20" width="9.140625" style="63"/>
    <col min="21" max="21" width="2.7109375" style="63" customWidth="1"/>
    <col min="22" max="22" width="9.140625" style="63"/>
    <col min="23" max="23" width="2.7109375" style="63" customWidth="1"/>
    <col min="24" max="25" width="9.140625" style="63"/>
    <col min="26" max="26" width="2.7109375" style="63" customWidth="1"/>
    <col min="27" max="16384" width="9.140625" style="63"/>
  </cols>
  <sheetData>
    <row r="1" spans="1:32" x14ac:dyDescent="0.2">
      <c r="J1" s="411" t="s">
        <v>353</v>
      </c>
      <c r="K1" s="201"/>
      <c r="L1" s="201"/>
      <c r="M1" s="201"/>
      <c r="N1" s="201"/>
      <c r="O1" s="201"/>
      <c r="P1" s="201"/>
      <c r="Q1" s="201"/>
      <c r="R1" s="201"/>
      <c r="S1" s="201"/>
      <c r="T1" s="201"/>
      <c r="U1" s="201"/>
      <c r="V1" s="201"/>
      <c r="W1" s="201"/>
      <c r="X1" s="201"/>
      <c r="Y1" s="201"/>
      <c r="Z1" s="198"/>
    </row>
    <row r="2" spans="1:32" ht="13.5" thickBot="1" x14ac:dyDescent="0.25">
      <c r="J2" s="374"/>
      <c r="K2" s="342"/>
      <c r="L2" s="342"/>
      <c r="M2" s="342"/>
      <c r="N2" s="342"/>
      <c r="O2" s="140" t="s">
        <v>275</v>
      </c>
      <c r="P2" s="342"/>
      <c r="Q2" s="342"/>
      <c r="R2" s="342"/>
      <c r="S2" s="342"/>
      <c r="T2" s="133"/>
      <c r="U2" s="342"/>
      <c r="V2" s="342"/>
      <c r="W2" s="342"/>
      <c r="X2" s="133"/>
      <c r="Y2" s="133"/>
      <c r="Z2" s="33"/>
    </row>
    <row r="3" spans="1:32" x14ac:dyDescent="0.2">
      <c r="A3" s="582" t="s">
        <v>348</v>
      </c>
      <c r="B3" s="201"/>
      <c r="C3" s="201"/>
      <c r="D3" s="201"/>
      <c r="E3" s="199"/>
      <c r="F3" s="200"/>
      <c r="G3" s="199"/>
      <c r="H3" s="198"/>
      <c r="J3" s="118"/>
      <c r="K3" s="342"/>
      <c r="L3" s="133"/>
      <c r="M3" s="133"/>
      <c r="N3" s="133"/>
      <c r="O3" s="133"/>
      <c r="P3" s="133"/>
      <c r="Q3" s="133"/>
      <c r="R3" s="133"/>
      <c r="S3" s="133"/>
      <c r="T3" s="133"/>
      <c r="U3" s="342"/>
      <c r="V3" s="342"/>
      <c r="W3" s="342"/>
      <c r="X3" s="133"/>
      <c r="Y3" s="453">
        <f>_xll.ohTrigger(Y5:Y15)</f>
        <v>0</v>
      </c>
      <c r="Z3" s="218"/>
    </row>
    <row r="4" spans="1:32" x14ac:dyDescent="0.2">
      <c r="A4" s="118"/>
      <c r="B4" s="197"/>
      <c r="C4" s="196"/>
      <c r="D4" s="90"/>
      <c r="E4" s="89" t="str">
        <f>Currency&amp;"_010_Sw"&amp;"1M.xml"</f>
        <v>GBP_010_Sw1M.xml</v>
      </c>
      <c r="F4" s="88">
        <f ca="1">IF(Serialize,_xll.ohObjectSave(F5:F15,SerializationPath&amp;E4,FileOverwrite,Serialize),"---")</f>
        <v>11</v>
      </c>
      <c r="G4" s="72" t="str">
        <f ca="1">_xll.ohRangeRetrieveError(F4)</f>
        <v/>
      </c>
      <c r="H4" s="33"/>
      <c r="J4" s="118"/>
      <c r="K4" s="494"/>
      <c r="L4" s="196"/>
      <c r="M4" s="196"/>
      <c r="N4" s="196"/>
      <c r="O4" s="370" t="e">
        <f ca="1">_xll.RData(O5:O15,P4:S4,"RTFEED:IDN",ReutersRtMode,,P5)</f>
        <v>#NAME?</v>
      </c>
      <c r="P4" s="409" t="s">
        <v>291</v>
      </c>
      <c r="Q4" s="409" t="s">
        <v>264</v>
      </c>
      <c r="R4" s="409" t="s">
        <v>244</v>
      </c>
      <c r="S4" s="409" t="s">
        <v>290</v>
      </c>
      <c r="T4" s="366" t="s">
        <v>289</v>
      </c>
      <c r="U4" s="342"/>
      <c r="V4" s="368" t="s">
        <v>286</v>
      </c>
      <c r="W4" s="342"/>
      <c r="X4" s="587" t="s">
        <v>285</v>
      </c>
      <c r="Y4" s="91" t="s">
        <v>284</v>
      </c>
      <c r="Z4" s="218"/>
      <c r="AF4" s="406" t="s">
        <v>288</v>
      </c>
    </row>
    <row r="5" spans="1:32" x14ac:dyDescent="0.2">
      <c r="A5" s="118"/>
      <c r="B5" s="195"/>
      <c r="C5" s="75">
        <v>2</v>
      </c>
      <c r="D5" s="74" t="s">
        <v>205</v>
      </c>
      <c r="E5" s="73" t="str">
        <f t="shared" ref="E5:E15" si="0">Currency&amp;$C5&amp;$D5&amp;$B5&amp;QuoteSuffix</f>
        <v>GBP2X1S_Quote</v>
      </c>
      <c r="F5" s="73" t="str">
        <f>_xll.qlSimpleQuote(Currency&amp;$C5&amp;$D5&amp;$B5&amp;QuoteSuffix,,RateTickValue,Permanent,Trigger,ObjectOverwrite)</f>
        <v>GBP2X1S_Quote#0000</v>
      </c>
      <c r="G5" s="8" t="str">
        <f>_xll.ohRangeRetrieveError(F5)</f>
        <v/>
      </c>
      <c r="H5" s="33"/>
      <c r="J5" s="118"/>
      <c r="K5" s="388"/>
      <c r="L5" s="394">
        <v>2</v>
      </c>
      <c r="M5" s="394" t="s">
        <v>205</v>
      </c>
      <c r="N5" s="351" t="str">
        <f t="shared" ref="N5:N15" si="1">Currency&amp;$L5&amp;$M5&amp;$K5</f>
        <v>GBP2X1S</v>
      </c>
      <c r="O5" s="351" t="str">
        <f t="array" ref="O5:O15">Instruments&amp;"="&amp;VLOOKUP(Contributor,ContributorTable,2,FALSE)</f>
        <v>GBP2X1S=ICAP</v>
      </c>
      <c r="P5" s="395">
        <v>0.43874999999999997</v>
      </c>
      <c r="Q5" s="395">
        <v>0.53874999999999995</v>
      </c>
      <c r="R5" s="395">
        <v>0</v>
      </c>
      <c r="S5" s="395">
        <v>0</v>
      </c>
      <c r="T5" s="492">
        <f>_xll.qlMidSafe($P5,$Q5)</f>
        <v>0.48874999999999996</v>
      </c>
      <c r="U5" s="342"/>
      <c r="V5" s="491">
        <v>0.49</v>
      </c>
      <c r="W5" s="342"/>
      <c r="X5" s="589">
        <f t="array" ref="X5:X15">QuoteStatic</f>
        <v>0.49</v>
      </c>
      <c r="Y5" s="347" t="e">
        <f>_xll.qlSimpleQuoteSetValue(F5,X5/100,Trigger)</f>
        <v>#N/A</v>
      </c>
      <c r="Z5" s="218"/>
      <c r="AB5" s="488"/>
      <c r="AF5" s="376">
        <f t="shared" ref="AF5:AF15" si="2">(Q5-T5)/50</f>
        <v>9.999999999999998E-4</v>
      </c>
    </row>
    <row r="6" spans="1:32" x14ac:dyDescent="0.2">
      <c r="A6" s="118"/>
      <c r="B6" s="194"/>
      <c r="C6" s="193">
        <v>3</v>
      </c>
      <c r="D6" s="192" t="s">
        <v>205</v>
      </c>
      <c r="E6" s="73" t="str">
        <f t="shared" si="0"/>
        <v>GBP3X1S_Quote</v>
      </c>
      <c r="F6" s="73" t="str">
        <f>_xll.qlSimpleQuote(Currency&amp;$C6&amp;$D6&amp;$B6&amp;QuoteSuffix,,RateTickValue,Permanent,Trigger,ObjectOverwrite)</f>
        <v>GBP3X1S_Quote#0000</v>
      </c>
      <c r="G6" s="191" t="str">
        <f>_xll.ohRangeRetrieveError(F6)</f>
        <v/>
      </c>
      <c r="H6" s="33"/>
      <c r="J6" s="118"/>
      <c r="K6" s="388"/>
      <c r="L6" s="394">
        <v>3</v>
      </c>
      <c r="M6" s="394" t="s">
        <v>205</v>
      </c>
      <c r="N6" s="351" t="str">
        <f t="shared" si="1"/>
        <v>GBP3X1S</v>
      </c>
      <c r="O6" s="351" t="str">
        <v>GBP3X1S=ICAP</v>
      </c>
      <c r="P6" s="395">
        <v>0.4375</v>
      </c>
      <c r="Q6" s="395">
        <v>0.53749999999999998</v>
      </c>
      <c r="R6" s="395">
        <v>0</v>
      </c>
      <c r="S6" s="395">
        <v>0</v>
      </c>
      <c r="T6" s="492">
        <f>_xll.qlMidSafe($P6,$Q6)</f>
        <v>0.48749999999999999</v>
      </c>
      <c r="U6" s="342"/>
      <c r="V6" s="491">
        <v>0.48499999999999999</v>
      </c>
      <c r="W6" s="342"/>
      <c r="X6" s="589">
        <v>0.48499999999999999</v>
      </c>
      <c r="Y6" s="347" t="e">
        <f>_xll.qlSimpleQuoteSetValue(F6,X6/100,Trigger)</f>
        <v>#N/A</v>
      </c>
      <c r="Z6" s="218"/>
      <c r="AB6" s="488"/>
      <c r="AF6" s="376">
        <f t="shared" si="2"/>
        <v>9.999999999999998E-4</v>
      </c>
    </row>
    <row r="7" spans="1:32" x14ac:dyDescent="0.2">
      <c r="A7" s="118"/>
      <c r="B7" s="194"/>
      <c r="C7" s="193">
        <v>4</v>
      </c>
      <c r="D7" s="192" t="s">
        <v>205</v>
      </c>
      <c r="E7" s="73" t="str">
        <f t="shared" si="0"/>
        <v>GBP4X1S_Quote</v>
      </c>
      <c r="F7" s="73" t="str">
        <f>_xll.qlSimpleQuote(Currency&amp;$C7&amp;$D7&amp;$B7&amp;QuoteSuffix,,RateTickValue,Permanent,Trigger,ObjectOverwrite)</f>
        <v>GBP4X1S_Quote#0000</v>
      </c>
      <c r="G7" s="191" t="str">
        <f>_xll.ohRangeRetrieveError(F7)</f>
        <v/>
      </c>
      <c r="H7" s="33"/>
      <c r="J7" s="118"/>
      <c r="K7" s="388"/>
      <c r="L7" s="394">
        <v>4</v>
      </c>
      <c r="M7" s="394" t="s">
        <v>205</v>
      </c>
      <c r="N7" s="351" t="str">
        <f t="shared" si="1"/>
        <v>GBP4X1S</v>
      </c>
      <c r="O7" s="351" t="str">
        <v>GBP4X1S=ICAP</v>
      </c>
      <c r="P7" s="395">
        <v>0.43625000000000003</v>
      </c>
      <c r="Q7" s="395">
        <v>0.53625</v>
      </c>
      <c r="R7" s="395">
        <v>0</v>
      </c>
      <c r="S7" s="395">
        <v>0</v>
      </c>
      <c r="T7" s="492">
        <f>_xll.qlMidSafe($P7,$Q7)</f>
        <v>0.48625000000000002</v>
      </c>
      <c r="U7" s="342"/>
      <c r="V7" s="491">
        <v>0.48</v>
      </c>
      <c r="W7" s="342"/>
      <c r="X7" s="589">
        <v>0.48</v>
      </c>
      <c r="Y7" s="347" t="e">
        <f>_xll.qlSimpleQuoteSetValue(F7,X7/100,Trigger)</f>
        <v>#N/A</v>
      </c>
      <c r="Z7" s="218"/>
      <c r="AB7" s="488"/>
      <c r="AF7" s="376">
        <f t="shared" si="2"/>
        <v>9.999999999999998E-4</v>
      </c>
    </row>
    <row r="8" spans="1:32" x14ac:dyDescent="0.2">
      <c r="A8" s="118"/>
      <c r="B8" s="194"/>
      <c r="C8" s="193">
        <v>5</v>
      </c>
      <c r="D8" s="192" t="s">
        <v>205</v>
      </c>
      <c r="E8" s="73" t="str">
        <f t="shared" si="0"/>
        <v>GBP5X1S_Quote</v>
      </c>
      <c r="F8" s="73" t="str">
        <f>_xll.qlSimpleQuote(Currency&amp;$C8&amp;$D8&amp;$B8&amp;QuoteSuffix,,RateTickValue,Permanent,Trigger,ObjectOverwrite)</f>
        <v>GBP5X1S_Quote#0000</v>
      </c>
      <c r="G8" s="191" t="str">
        <f>_xll.ohRangeRetrieveError(F8)</f>
        <v/>
      </c>
      <c r="H8" s="33"/>
      <c r="J8" s="118"/>
      <c r="K8" s="388"/>
      <c r="L8" s="394">
        <v>5</v>
      </c>
      <c r="M8" s="394" t="s">
        <v>205</v>
      </c>
      <c r="N8" s="351" t="str">
        <f t="shared" si="1"/>
        <v>GBP5X1S</v>
      </c>
      <c r="O8" s="351" t="str">
        <v>GBP5X1S=ICAP</v>
      </c>
      <c r="P8" s="395">
        <v>0.435</v>
      </c>
      <c r="Q8" s="395">
        <v>0.53500000000000003</v>
      </c>
      <c r="R8" s="395">
        <v>0</v>
      </c>
      <c r="S8" s="395">
        <v>0</v>
      </c>
      <c r="T8" s="492">
        <f>_xll.qlMidSafe($P8,$Q8)</f>
        <v>0.48499999999999999</v>
      </c>
      <c r="U8" s="342"/>
      <c r="V8" s="491">
        <v>0.47499999999999998</v>
      </c>
      <c r="W8" s="342"/>
      <c r="X8" s="589">
        <v>0.47499999999999998</v>
      </c>
      <c r="Y8" s="347" t="e">
        <f>_xll.qlSimpleQuoteSetValue(F8,X8/100,Trigger)</f>
        <v>#N/A</v>
      </c>
      <c r="Z8" s="218"/>
      <c r="AB8" s="488"/>
      <c r="AF8" s="376">
        <f t="shared" si="2"/>
        <v>1.0000000000000009E-3</v>
      </c>
    </row>
    <row r="9" spans="1:32" x14ac:dyDescent="0.2">
      <c r="A9" s="118"/>
      <c r="B9" s="194"/>
      <c r="C9" s="193">
        <v>6</v>
      </c>
      <c r="D9" s="192" t="s">
        <v>205</v>
      </c>
      <c r="E9" s="73" t="str">
        <f t="shared" si="0"/>
        <v>GBP6X1S_Quote</v>
      </c>
      <c r="F9" s="73" t="str">
        <f>_xll.qlSimpleQuote(Currency&amp;$C9&amp;$D9&amp;$B9&amp;QuoteSuffix,,RateTickValue,Permanent,Trigger,ObjectOverwrite)</f>
        <v>GBP6X1S_Quote#0000</v>
      </c>
      <c r="G9" s="191" t="str">
        <f>_xll.ohRangeRetrieveError(F9)</f>
        <v/>
      </c>
      <c r="H9" s="33"/>
      <c r="J9" s="118"/>
      <c r="K9" s="388"/>
      <c r="L9" s="394">
        <v>6</v>
      </c>
      <c r="M9" s="394" t="s">
        <v>205</v>
      </c>
      <c r="N9" s="351" t="str">
        <f t="shared" si="1"/>
        <v>GBP6X1S</v>
      </c>
      <c r="O9" s="351" t="str">
        <v>GBP6X1S=ICAP</v>
      </c>
      <c r="P9" s="395">
        <v>0.43375000000000002</v>
      </c>
      <c r="Q9" s="395">
        <v>0.53374999999999995</v>
      </c>
      <c r="R9" s="395">
        <v>0</v>
      </c>
      <c r="S9" s="395">
        <v>0</v>
      </c>
      <c r="T9" s="492">
        <f>_xll.qlMidSafe($P9,$Q9)</f>
        <v>0.48375000000000001</v>
      </c>
      <c r="U9" s="342"/>
      <c r="V9" s="491">
        <v>0.47</v>
      </c>
      <c r="W9" s="342"/>
      <c r="X9" s="589">
        <v>0.47</v>
      </c>
      <c r="Y9" s="347" t="e">
        <f>_xll.qlSimpleQuoteSetValue(F9,X9/100,Trigger)</f>
        <v>#N/A</v>
      </c>
      <c r="Z9" s="218"/>
      <c r="AB9" s="488"/>
      <c r="AF9" s="376">
        <f t="shared" si="2"/>
        <v>9.9999999999999872E-4</v>
      </c>
    </row>
    <row r="10" spans="1:32" x14ac:dyDescent="0.2">
      <c r="A10" s="118"/>
      <c r="B10" s="194"/>
      <c r="C10" s="193">
        <v>7</v>
      </c>
      <c r="D10" s="192" t="s">
        <v>205</v>
      </c>
      <c r="E10" s="73" t="str">
        <f t="shared" si="0"/>
        <v>GBP7X1S_Quote</v>
      </c>
      <c r="F10" s="73" t="str">
        <f>_xll.qlSimpleQuote(Currency&amp;$C10&amp;$D10&amp;$B10&amp;QuoteSuffix,,RateTickValue,Permanent,Trigger,ObjectOverwrite)</f>
        <v>GBP7X1S_Quote#0000</v>
      </c>
      <c r="G10" s="191" t="str">
        <f>_xll.ohRangeRetrieveError(F10)</f>
        <v/>
      </c>
      <c r="H10" s="33"/>
      <c r="J10" s="118"/>
      <c r="K10" s="388"/>
      <c r="L10" s="394">
        <v>7</v>
      </c>
      <c r="M10" s="394" t="s">
        <v>205</v>
      </c>
      <c r="N10" s="351" t="str">
        <f t="shared" si="1"/>
        <v>GBP7X1S</v>
      </c>
      <c r="O10" s="351" t="str">
        <v>GBP7X1S=ICAP</v>
      </c>
      <c r="P10" s="395">
        <v>0.4325</v>
      </c>
      <c r="Q10" s="395">
        <v>0.53249999999999997</v>
      </c>
      <c r="R10" s="395">
        <v>0</v>
      </c>
      <c r="S10" s="395">
        <v>0</v>
      </c>
      <c r="T10" s="492">
        <f>_xll.qlMidSafe($P10,$Q10)</f>
        <v>0.48249999999999998</v>
      </c>
      <c r="U10" s="342"/>
      <c r="V10" s="491">
        <v>0.46500000000000002</v>
      </c>
      <c r="W10" s="342"/>
      <c r="X10" s="589">
        <v>0.46500000000000002</v>
      </c>
      <c r="Y10" s="347" t="e">
        <f>_xll.qlSimpleQuoteSetValue(F10,X10/100,Trigger)</f>
        <v>#N/A</v>
      </c>
      <c r="Z10" s="218"/>
      <c r="AB10" s="488"/>
      <c r="AF10" s="376">
        <f t="shared" si="2"/>
        <v>9.999999999999998E-4</v>
      </c>
    </row>
    <row r="11" spans="1:32" x14ac:dyDescent="0.2">
      <c r="A11" s="118"/>
      <c r="B11" s="194"/>
      <c r="C11" s="193">
        <v>8</v>
      </c>
      <c r="D11" s="192" t="s">
        <v>205</v>
      </c>
      <c r="E11" s="73" t="str">
        <f t="shared" si="0"/>
        <v>GBP8X1S_Quote</v>
      </c>
      <c r="F11" s="73" t="str">
        <f>_xll.qlSimpleQuote(Currency&amp;$C11&amp;$D11&amp;$B11&amp;QuoteSuffix,,RateTickValue,Permanent,Trigger,ObjectOverwrite)</f>
        <v>GBP8X1S_Quote#0000</v>
      </c>
      <c r="G11" s="191" t="str">
        <f>_xll.ohRangeRetrieveError(F11)</f>
        <v/>
      </c>
      <c r="H11" s="33"/>
      <c r="J11" s="118"/>
      <c r="K11" s="388"/>
      <c r="L11" s="394">
        <v>8</v>
      </c>
      <c r="M11" s="394" t="s">
        <v>205</v>
      </c>
      <c r="N11" s="351" t="str">
        <f t="shared" si="1"/>
        <v>GBP8X1S</v>
      </c>
      <c r="O11" s="351" t="str">
        <v>GBP8X1S=ICAP</v>
      </c>
      <c r="P11" s="395">
        <v>0.43125000000000002</v>
      </c>
      <c r="Q11" s="395">
        <v>0.53125</v>
      </c>
      <c r="R11" s="395">
        <v>0</v>
      </c>
      <c r="S11" s="395">
        <v>0</v>
      </c>
      <c r="T11" s="492">
        <f>_xll.qlMidSafe($P11,$Q11)</f>
        <v>0.48125000000000001</v>
      </c>
      <c r="U11" s="342"/>
      <c r="V11" s="491">
        <v>0.46500000000000002</v>
      </c>
      <c r="W11" s="342"/>
      <c r="X11" s="589">
        <v>0.46500000000000002</v>
      </c>
      <c r="Y11" s="347" t="e">
        <f>_xll.qlSimpleQuoteSetValue(F11,X11/100,Trigger)</f>
        <v>#N/A</v>
      </c>
      <c r="Z11" s="218"/>
      <c r="AB11" s="488"/>
      <c r="AF11" s="376">
        <f t="shared" si="2"/>
        <v>9.999999999999998E-4</v>
      </c>
    </row>
    <row r="12" spans="1:32" x14ac:dyDescent="0.2">
      <c r="A12" s="118"/>
      <c r="B12" s="194"/>
      <c r="C12" s="193">
        <v>9</v>
      </c>
      <c r="D12" s="192" t="s">
        <v>205</v>
      </c>
      <c r="E12" s="73" t="str">
        <f t="shared" si="0"/>
        <v>GBP9X1S_Quote</v>
      </c>
      <c r="F12" s="73" t="str">
        <f>_xll.qlSimpleQuote(Currency&amp;$C12&amp;$D12&amp;$B12&amp;QuoteSuffix,,RateTickValue,Permanent,Trigger,ObjectOverwrite)</f>
        <v>GBP9X1S_Quote#0000</v>
      </c>
      <c r="G12" s="191" t="str">
        <f>_xll.ohRangeRetrieveError(F12)</f>
        <v/>
      </c>
      <c r="H12" s="33"/>
      <c r="J12" s="118"/>
      <c r="K12" s="388"/>
      <c r="L12" s="394">
        <v>9</v>
      </c>
      <c r="M12" s="394" t="s">
        <v>205</v>
      </c>
      <c r="N12" s="351" t="str">
        <f t="shared" si="1"/>
        <v>GBP9X1S</v>
      </c>
      <c r="O12" s="351" t="str">
        <v>GBP9X1S=ICAP</v>
      </c>
      <c r="P12" s="395">
        <v>0.43125000000000002</v>
      </c>
      <c r="Q12" s="395">
        <v>0.53125</v>
      </c>
      <c r="R12" s="395">
        <v>0</v>
      </c>
      <c r="S12" s="395">
        <v>0</v>
      </c>
      <c r="T12" s="492">
        <f>_xll.qlMidSafe($P12,$Q12)</f>
        <v>0.48125000000000001</v>
      </c>
      <c r="U12" s="342"/>
      <c r="V12" s="491">
        <v>0.46</v>
      </c>
      <c r="W12" s="342"/>
      <c r="X12" s="589">
        <v>0.46</v>
      </c>
      <c r="Y12" s="347" t="e">
        <f>_xll.qlSimpleQuoteSetValue(F12,X12/100,Trigger)</f>
        <v>#N/A</v>
      </c>
      <c r="Z12" s="218"/>
      <c r="AB12" s="488"/>
      <c r="AF12" s="376">
        <f t="shared" si="2"/>
        <v>9.999999999999998E-4</v>
      </c>
    </row>
    <row r="13" spans="1:32" x14ac:dyDescent="0.2">
      <c r="A13" s="118"/>
      <c r="B13" s="194"/>
      <c r="C13" s="193">
        <v>10</v>
      </c>
      <c r="D13" s="192" t="s">
        <v>205</v>
      </c>
      <c r="E13" s="73" t="str">
        <f t="shared" si="0"/>
        <v>GBP10X1S_Quote</v>
      </c>
      <c r="F13" s="73" t="str">
        <f>_xll.qlSimpleQuote(Currency&amp;$C13&amp;$D13&amp;$B13&amp;QuoteSuffix,,RateTickValue,Permanent,Trigger,ObjectOverwrite)</f>
        <v>GBP10X1S_Quote#0000</v>
      </c>
      <c r="G13" s="191" t="str">
        <f>_xll.ohRangeRetrieveError(F13)</f>
        <v/>
      </c>
      <c r="H13" s="33"/>
      <c r="J13" s="118"/>
      <c r="K13" s="388"/>
      <c r="L13" s="394">
        <v>10</v>
      </c>
      <c r="M13" s="394" t="s">
        <v>205</v>
      </c>
      <c r="N13" s="351" t="str">
        <f t="shared" si="1"/>
        <v>GBP10X1S</v>
      </c>
      <c r="O13" s="351" t="str">
        <v>GBP10X1S=ICAP</v>
      </c>
      <c r="P13" s="395">
        <v>0.43</v>
      </c>
      <c r="Q13" s="395">
        <v>0.53</v>
      </c>
      <c r="R13" s="395">
        <v>0</v>
      </c>
      <c r="S13" s="395">
        <v>0</v>
      </c>
      <c r="T13" s="492">
        <f>_xll.qlMidSafe($P13,$Q13)</f>
        <v>0.48</v>
      </c>
      <c r="U13" s="342"/>
      <c r="V13" s="491">
        <v>0.46</v>
      </c>
      <c r="W13" s="342"/>
      <c r="X13" s="589">
        <v>0.46</v>
      </c>
      <c r="Y13" s="347" t="e">
        <f>_xll.qlSimpleQuoteSetValue(F13,X13/100,Trigger)</f>
        <v>#N/A</v>
      </c>
      <c r="Z13" s="218"/>
      <c r="AB13" s="488"/>
      <c r="AF13" s="376">
        <f t="shared" si="2"/>
        <v>1.0000000000000009E-3</v>
      </c>
    </row>
    <row r="14" spans="1:32" x14ac:dyDescent="0.2">
      <c r="A14" s="118"/>
      <c r="B14" s="194"/>
      <c r="C14" s="193">
        <v>11</v>
      </c>
      <c r="D14" s="192" t="s">
        <v>205</v>
      </c>
      <c r="E14" s="73" t="str">
        <f t="shared" si="0"/>
        <v>GBP11X1S_Quote</v>
      </c>
      <c r="F14" s="73" t="str">
        <f>_xll.qlSimpleQuote(Currency&amp;$C14&amp;$D14&amp;$B14&amp;QuoteSuffix,,RateTickValue,Permanent,Trigger,ObjectOverwrite)</f>
        <v>GBP11X1S_Quote#0000</v>
      </c>
      <c r="G14" s="191" t="str">
        <f>_xll.ohRangeRetrieveError(F14)</f>
        <v/>
      </c>
      <c r="H14" s="33"/>
      <c r="J14" s="118"/>
      <c r="K14" s="388"/>
      <c r="L14" s="394">
        <v>11</v>
      </c>
      <c r="M14" s="394" t="s">
        <v>205</v>
      </c>
      <c r="N14" s="351" t="str">
        <f t="shared" si="1"/>
        <v>GBP11X1S</v>
      </c>
      <c r="O14" s="351" t="str">
        <v>GBP11X1S=ICAP</v>
      </c>
      <c r="P14" s="395">
        <v>0.43</v>
      </c>
      <c r="Q14" s="395">
        <v>0.53</v>
      </c>
      <c r="R14" s="395">
        <v>0</v>
      </c>
      <c r="S14" s="395">
        <v>0</v>
      </c>
      <c r="T14" s="492">
        <f>_xll.qlMidSafe($P14,$Q14)</f>
        <v>0.48</v>
      </c>
      <c r="U14" s="342"/>
      <c r="V14" s="491">
        <v>0.46</v>
      </c>
      <c r="W14" s="342"/>
      <c r="X14" s="589">
        <v>0.46</v>
      </c>
      <c r="Y14" s="347" t="e">
        <f>_xll.qlSimpleQuoteSetValue(F14,X14/100,Trigger)</f>
        <v>#N/A</v>
      </c>
      <c r="Z14" s="218"/>
      <c r="AB14" s="488"/>
      <c r="AF14" s="376">
        <f t="shared" si="2"/>
        <v>1.0000000000000009E-3</v>
      </c>
    </row>
    <row r="15" spans="1:32" x14ac:dyDescent="0.2">
      <c r="A15" s="118"/>
      <c r="B15" s="194"/>
      <c r="C15" s="193">
        <v>12</v>
      </c>
      <c r="D15" s="192" t="s">
        <v>205</v>
      </c>
      <c r="E15" s="73" t="str">
        <f t="shared" si="0"/>
        <v>GBP12X1S_Quote</v>
      </c>
      <c r="F15" s="73" t="str">
        <f>_xll.qlSimpleQuote(Currency&amp;$C15&amp;$D15&amp;$B15&amp;QuoteSuffix,,RateTickValue,Permanent,Trigger,ObjectOverwrite)</f>
        <v>GBP12X1S_Quote#0000</v>
      </c>
      <c r="G15" s="191" t="str">
        <f>_xll.ohRangeRetrieveError(F15)</f>
        <v/>
      </c>
      <c r="H15" s="33"/>
      <c r="J15" s="118"/>
      <c r="K15" s="401"/>
      <c r="L15" s="390">
        <v>12</v>
      </c>
      <c r="M15" s="390" t="s">
        <v>205</v>
      </c>
      <c r="N15" s="345" t="str">
        <f t="shared" si="1"/>
        <v>GBP12X1S</v>
      </c>
      <c r="O15" s="345" t="str">
        <v>GBP12X1S=ICAP</v>
      </c>
      <c r="P15" s="391">
        <v>0.43125000000000002</v>
      </c>
      <c r="Q15" s="391">
        <v>0.53125</v>
      </c>
      <c r="R15" s="391">
        <v>0</v>
      </c>
      <c r="S15" s="391">
        <v>0</v>
      </c>
      <c r="T15" s="490">
        <f>_xll.qlMidSafe($P15,$Q15)</f>
        <v>0.48125000000000001</v>
      </c>
      <c r="U15" s="342"/>
      <c r="V15" s="489">
        <v>0.46</v>
      </c>
      <c r="W15" s="342"/>
      <c r="X15" s="590">
        <v>0.46</v>
      </c>
      <c r="Y15" s="340" t="e">
        <f>_xll.qlSimpleQuoteSetValue(F15,X15/100,Trigger)</f>
        <v>#N/A</v>
      </c>
      <c r="Z15" s="218"/>
      <c r="AB15" s="488"/>
      <c r="AF15" s="376">
        <f t="shared" si="2"/>
        <v>9.999999999999998E-4</v>
      </c>
    </row>
    <row r="16" spans="1:32" ht="13.5" thickBot="1" x14ac:dyDescent="0.25">
      <c r="A16" s="32"/>
      <c r="B16" s="31"/>
      <c r="C16" s="31"/>
      <c r="D16" s="31"/>
      <c r="E16" s="31"/>
      <c r="F16" s="112"/>
      <c r="G16" s="112"/>
      <c r="H16" s="30"/>
      <c r="J16" s="32"/>
      <c r="K16" s="31"/>
      <c r="L16" s="31"/>
      <c r="M16" s="31"/>
      <c r="N16" s="31"/>
      <c r="O16" s="31"/>
      <c r="P16" s="31"/>
      <c r="Q16" s="31"/>
      <c r="R16" s="31"/>
      <c r="S16" s="31"/>
      <c r="T16" s="31"/>
      <c r="U16" s="31"/>
      <c r="V16" s="31"/>
      <c r="W16" s="31"/>
      <c r="X16" s="31"/>
      <c r="Y16" s="31"/>
      <c r="Z16" s="378"/>
    </row>
  </sheetData>
  <conditionalFormatting sqref="Y5:Y15">
    <cfRule type="cellIs" dxfId="21" priority="1" stopIfTrue="1" operator="greaterThan">
      <formula>0</formula>
    </cfRule>
    <cfRule type="cellIs" dxfId="20"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G12"/>
  <sheetViews>
    <sheetView workbookViewId="0"/>
  </sheetViews>
  <sheetFormatPr defaultRowHeight="12.75" x14ac:dyDescent="0.2"/>
  <cols>
    <col min="1" max="1" width="2.7109375" style="63" customWidth="1"/>
    <col min="2" max="2" width="4.85546875" style="111" bestFit="1" customWidth="1"/>
    <col min="3" max="3" width="2.85546875" style="63" bestFit="1" customWidth="1"/>
    <col min="4" max="4" width="2.7109375" style="63" bestFit="1" customWidth="1"/>
    <col min="5" max="5" width="17" style="63" bestFit="1" customWidth="1"/>
    <col min="6" max="6" width="16.85546875" style="110" bestFit="1" customWidth="1"/>
    <col min="7" max="7" width="38.28515625" style="63" customWidth="1"/>
    <col min="8" max="10" width="2.7109375" style="63" customWidth="1"/>
    <col min="11" max="20" width="9.140625" style="63"/>
    <col min="21" max="21" width="2.7109375" style="63" customWidth="1"/>
    <col min="22" max="22" width="9.140625" style="63"/>
    <col min="23" max="23" width="2.7109375" style="63" customWidth="1"/>
    <col min="24" max="26" width="9.140625" style="63"/>
    <col min="27" max="27" width="2.7109375" style="63" customWidth="1"/>
    <col min="28" max="16384" width="9.140625" style="63"/>
  </cols>
  <sheetData>
    <row r="1" spans="1:33" ht="13.5" thickBot="1" x14ac:dyDescent="0.25">
      <c r="J1" s="411" t="s">
        <v>353</v>
      </c>
      <c r="K1" s="201"/>
      <c r="L1" s="201"/>
      <c r="M1" s="201"/>
      <c r="N1" s="201"/>
      <c r="O1" s="201"/>
      <c r="P1" s="201"/>
      <c r="Q1" s="201"/>
      <c r="R1" s="201"/>
      <c r="S1" s="201"/>
      <c r="T1" s="201"/>
      <c r="U1" s="201"/>
      <c r="V1" s="201"/>
      <c r="W1" s="201"/>
      <c r="X1" s="201"/>
      <c r="Y1" s="201"/>
      <c r="Z1" s="201"/>
      <c r="AA1" s="198"/>
    </row>
    <row r="2" spans="1:33" ht="13.5" thickBot="1" x14ac:dyDescent="0.25">
      <c r="J2" s="374"/>
      <c r="K2" s="133"/>
      <c r="L2" s="342"/>
      <c r="M2" s="342"/>
      <c r="N2" s="342"/>
      <c r="O2" s="140" t="s">
        <v>275</v>
      </c>
      <c r="P2" s="342"/>
      <c r="Q2" s="342"/>
      <c r="R2" s="342"/>
      <c r="S2" s="342"/>
      <c r="T2" s="133"/>
      <c r="U2" s="342"/>
      <c r="V2" s="342"/>
      <c r="W2" s="342"/>
      <c r="X2" s="496" t="s">
        <v>287</v>
      </c>
      <c r="Y2" s="495" t="s">
        <v>131</v>
      </c>
      <c r="Z2" s="133"/>
      <c r="AA2" s="33"/>
    </row>
    <row r="3" spans="1:33" x14ac:dyDescent="0.2">
      <c r="A3" s="582" t="s">
        <v>348</v>
      </c>
      <c r="B3" s="201"/>
      <c r="C3" s="201"/>
      <c r="D3" s="201"/>
      <c r="E3" s="199"/>
      <c r="F3" s="200"/>
      <c r="G3" s="199"/>
      <c r="H3" s="198"/>
      <c r="J3" s="118"/>
      <c r="K3" s="342"/>
      <c r="L3" s="133"/>
      <c r="M3" s="133"/>
      <c r="N3" s="133"/>
      <c r="O3" s="133"/>
      <c r="P3" s="133"/>
      <c r="Q3" s="133"/>
      <c r="R3" s="133"/>
      <c r="S3" s="133"/>
      <c r="T3" s="133"/>
      <c r="U3" s="342"/>
      <c r="V3" s="342"/>
      <c r="W3" s="342"/>
      <c r="X3" s="133"/>
      <c r="Y3" s="133"/>
      <c r="Z3" s="453">
        <f>_xll.ohTrigger(Z5:Z11)</f>
        <v>0</v>
      </c>
      <c r="AA3" s="218"/>
    </row>
    <row r="4" spans="1:33" ht="22.5" x14ac:dyDescent="0.2">
      <c r="A4" s="118"/>
      <c r="B4" s="205"/>
      <c r="C4" s="204"/>
      <c r="D4" s="90"/>
      <c r="E4" s="89" t="str">
        <f>Currency&amp;"_010_Sw"&amp;"IMM.xml"</f>
        <v>GBP_010_SwIMM.xml</v>
      </c>
      <c r="F4" s="88">
        <f ca="1">IF(Serialize,_xll.ohObjectSave(F5:F11,SerializationPath&amp;E4,FileOverwrite,Serialize),"---")</f>
        <v>7</v>
      </c>
      <c r="G4" s="72" t="str">
        <f ca="1">_xll.ohRangeRetrieveError(F4)</f>
        <v/>
      </c>
      <c r="H4" s="33"/>
      <c r="J4" s="118"/>
      <c r="K4" s="494"/>
      <c r="L4" s="196"/>
      <c r="M4" s="196"/>
      <c r="N4" s="196"/>
      <c r="O4" s="370" t="e">
        <f ca="1">_xll.RData(O5:O11,P4:S4,"RTFEED:IDN",ReutersRtMode,,P5)</f>
        <v>#NAME?</v>
      </c>
      <c r="P4" s="409" t="s">
        <v>291</v>
      </c>
      <c r="Q4" s="409" t="s">
        <v>264</v>
      </c>
      <c r="R4" s="409" t="s">
        <v>244</v>
      </c>
      <c r="S4" s="409" t="s">
        <v>290</v>
      </c>
      <c r="T4" s="366" t="s">
        <v>289</v>
      </c>
      <c r="U4" s="342"/>
      <c r="V4" s="368" t="s">
        <v>286</v>
      </c>
      <c r="W4" s="342"/>
      <c r="X4" s="367" t="s">
        <v>241</v>
      </c>
      <c r="Y4" s="493" t="s">
        <v>285</v>
      </c>
      <c r="Z4" s="91" t="s">
        <v>284</v>
      </c>
      <c r="AA4" s="218"/>
      <c r="AG4" s="406" t="s">
        <v>288</v>
      </c>
    </row>
    <row r="5" spans="1:33" x14ac:dyDescent="0.2">
      <c r="A5" s="118"/>
      <c r="B5" s="203"/>
      <c r="C5" s="74" t="s">
        <v>206</v>
      </c>
      <c r="D5" s="74">
        <v>12</v>
      </c>
      <c r="E5" s="73" t="str">
        <f t="shared" ref="E5:E11" si="0">Currency&amp;$C5&amp;$D5&amp;$B5&amp;QuoteSuffix</f>
        <v>GBP1S12_Quote</v>
      </c>
      <c r="F5" s="73" t="str">
        <f>_xll.qlSimpleQuote(Currency&amp;$C5&amp;$D5&amp;$B5&amp;QuoteSuffix,,RateTickValue,Permanent,Trigger,ObjectOverwrite)</f>
        <v>GBP1S12_Quote#0000</v>
      </c>
      <c r="G5" s="8" t="str">
        <f>_xll.ohRangeRetrieveError(F5)</f>
        <v/>
      </c>
      <c r="H5" s="33"/>
      <c r="J5" s="118"/>
      <c r="K5" s="388"/>
      <c r="L5" s="394" t="s">
        <v>206</v>
      </c>
      <c r="M5" s="394">
        <v>12</v>
      </c>
      <c r="N5" s="351" t="str">
        <f t="shared" ref="N5:N11" si="1">Currency&amp;$L5&amp;$M5&amp;$K5</f>
        <v>GBP1S12</v>
      </c>
      <c r="O5" s="351" t="str">
        <f t="array" ref="O5:O11">Instruments&amp;"="&amp;VLOOKUP(Contributor,ContributorTable,2,FALSE)</f>
        <v>GBP1S12=ICAP</v>
      </c>
      <c r="P5" s="395">
        <v>0.52500000000000002</v>
      </c>
      <c r="Q5" s="395">
        <v>0.54500000000000004</v>
      </c>
      <c r="R5" s="395">
        <v>0</v>
      </c>
      <c r="S5" s="395">
        <v>0</v>
      </c>
      <c r="T5" s="492">
        <f>_xll.qlMidSafe($P5,$Q5)</f>
        <v>0.53500000000000003</v>
      </c>
      <c r="U5" s="342"/>
      <c r="V5" s="491">
        <v>0.51</v>
      </c>
      <c r="W5" s="342"/>
      <c r="X5" s="388" t="str">
        <f t="shared" ref="X5:X11" si="2">$N5&amp;$Y$2</f>
        <v>GBP1S12_Quote</v>
      </c>
      <c r="Y5" s="348">
        <f t="array" ref="Y5:Y11">QuoteLive</f>
        <v>0.53500000000000003</v>
      </c>
      <c r="Z5" s="347" t="e">
        <f>_xll.qlSimpleQuoteSetValue($X5,$Y5/100,Trigger)</f>
        <v>#NUM!</v>
      </c>
      <c r="AA5" s="218"/>
      <c r="AG5" s="376">
        <f t="shared" ref="AG5:AG11" si="3">(Q5-T5)/50</f>
        <v>2.0000000000000017E-4</v>
      </c>
    </row>
    <row r="6" spans="1:33" x14ac:dyDescent="0.2">
      <c r="A6" s="118"/>
      <c r="B6" s="202"/>
      <c r="C6" s="192" t="s">
        <v>207</v>
      </c>
      <c r="D6" s="192">
        <v>12</v>
      </c>
      <c r="E6" s="73" t="str">
        <f t="shared" si="0"/>
        <v>GBP2S12_Quote</v>
      </c>
      <c r="F6" s="73" t="str">
        <f>_xll.qlSimpleQuote(Currency&amp;$C6&amp;$D6&amp;$B6&amp;QuoteSuffix,,RateTickValue,Permanent,Trigger,ObjectOverwrite)</f>
        <v>GBP2S12_Quote#0000</v>
      </c>
      <c r="G6" s="191" t="str">
        <f>_xll.ohRangeRetrieveError(F6)</f>
        <v/>
      </c>
      <c r="H6" s="33"/>
      <c r="J6" s="118"/>
      <c r="K6" s="388"/>
      <c r="L6" s="394" t="s">
        <v>207</v>
      </c>
      <c r="M6" s="394">
        <v>12</v>
      </c>
      <c r="N6" s="351" t="str">
        <f t="shared" si="1"/>
        <v>GBP2S12</v>
      </c>
      <c r="O6" s="351" t="str">
        <v>GBP2S12=ICAP</v>
      </c>
      <c r="P6" s="395">
        <v>0.54500000000000004</v>
      </c>
      <c r="Q6" s="395">
        <v>0.56499999999999995</v>
      </c>
      <c r="R6" s="395">
        <v>0</v>
      </c>
      <c r="S6" s="395">
        <v>0</v>
      </c>
      <c r="T6" s="492">
        <f>_xll.qlMidSafe($P6,$Q6)</f>
        <v>0.55499999999999994</v>
      </c>
      <c r="U6" s="342"/>
      <c r="V6" s="491">
        <v>0.51</v>
      </c>
      <c r="W6" s="342"/>
      <c r="X6" s="388" t="str">
        <f t="shared" si="2"/>
        <v>GBP2S12_Quote</v>
      </c>
      <c r="Y6" s="348">
        <v>0.55499999999999994</v>
      </c>
      <c r="Z6" s="347" t="e">
        <f>_xll.qlSimpleQuoteSetValue($X6,$Y6/100,Trigger)</f>
        <v>#NUM!</v>
      </c>
      <c r="AA6" s="218"/>
      <c r="AG6" s="376">
        <f t="shared" si="3"/>
        <v>2.0000000000000017E-4</v>
      </c>
    </row>
    <row r="7" spans="1:33" x14ac:dyDescent="0.2">
      <c r="A7" s="118"/>
      <c r="B7" s="202"/>
      <c r="C7" s="192" t="s">
        <v>209</v>
      </c>
      <c r="D7" s="192">
        <v>12</v>
      </c>
      <c r="E7" s="73" t="str">
        <f t="shared" si="0"/>
        <v>GBP3S12_Quote</v>
      </c>
      <c r="F7" s="73" t="str">
        <f>_xll.qlSimpleQuote(Currency&amp;$C7&amp;$D7&amp;$B7&amp;QuoteSuffix,,RateTickValue,Permanent,Trigger,ObjectOverwrite)</f>
        <v>GBP3S12_Quote#0000</v>
      </c>
      <c r="G7" s="191" t="str">
        <f>_xll.ohRangeRetrieveError(F7)</f>
        <v/>
      </c>
      <c r="H7" s="33"/>
      <c r="J7" s="118"/>
      <c r="K7" s="388"/>
      <c r="L7" s="394" t="s">
        <v>209</v>
      </c>
      <c r="M7" s="394">
        <v>12</v>
      </c>
      <c r="N7" s="351" t="str">
        <f t="shared" si="1"/>
        <v>GBP3S12</v>
      </c>
      <c r="O7" s="351" t="str">
        <v>GBP3S12=ICAP</v>
      </c>
      <c r="P7" s="395">
        <v>0.56999999999999995</v>
      </c>
      <c r="Q7" s="395">
        <v>0.59</v>
      </c>
      <c r="R7" s="395">
        <v>0</v>
      </c>
      <c r="S7" s="395">
        <v>0</v>
      </c>
      <c r="T7" s="492">
        <f>_xll.qlMidSafe($P7,$Q7)</f>
        <v>0.57999999999999996</v>
      </c>
      <c r="U7" s="342"/>
      <c r="V7" s="491">
        <v>0.52</v>
      </c>
      <c r="W7" s="342"/>
      <c r="X7" s="388" t="str">
        <f t="shared" si="2"/>
        <v>GBP3S12_Quote</v>
      </c>
      <c r="Y7" s="348">
        <v>0.57999999999999996</v>
      </c>
      <c r="Z7" s="347" t="e">
        <f>_xll.qlSimpleQuoteSetValue($X7,$Y7/100,Trigger)</f>
        <v>#NUM!</v>
      </c>
      <c r="AA7" s="218"/>
      <c r="AG7" s="376">
        <f t="shared" si="3"/>
        <v>2.0000000000000017E-4</v>
      </c>
    </row>
    <row r="8" spans="1:33" x14ac:dyDescent="0.2">
      <c r="A8" s="118"/>
      <c r="B8" s="202"/>
      <c r="C8" s="192" t="s">
        <v>208</v>
      </c>
      <c r="D8" s="192">
        <v>12</v>
      </c>
      <c r="E8" s="73" t="str">
        <f t="shared" si="0"/>
        <v>GBP4S12_Quote</v>
      </c>
      <c r="F8" s="73" t="str">
        <f>_xll.qlSimpleQuote(Currency&amp;$C8&amp;$D8&amp;$B8&amp;QuoteSuffix,,RateTickValue,Permanent,Trigger,ObjectOverwrite)</f>
        <v>GBP4S12_Quote#0000</v>
      </c>
      <c r="G8" s="191" t="str">
        <f>_xll.ohRangeRetrieveError(F8)</f>
        <v/>
      </c>
      <c r="H8" s="33"/>
      <c r="J8" s="118"/>
      <c r="K8" s="388"/>
      <c r="L8" s="394" t="s">
        <v>208</v>
      </c>
      <c r="M8" s="394">
        <v>12</v>
      </c>
      <c r="N8" s="351" t="str">
        <f t="shared" si="1"/>
        <v>GBP4S12</v>
      </c>
      <c r="O8" s="351" t="str">
        <v>GBP4S12=ICAP</v>
      </c>
      <c r="P8" s="395">
        <v>0.61</v>
      </c>
      <c r="Q8" s="395">
        <v>0.63</v>
      </c>
      <c r="R8" s="395">
        <v>0</v>
      </c>
      <c r="S8" s="395">
        <v>0</v>
      </c>
      <c r="T8" s="492">
        <f>_xll.qlMidSafe($P8,$Q8)</f>
        <v>0.62</v>
      </c>
      <c r="U8" s="342"/>
      <c r="V8" s="491">
        <v>0.54</v>
      </c>
      <c r="W8" s="342"/>
      <c r="X8" s="388" t="str">
        <f t="shared" si="2"/>
        <v>GBP4S12_Quote</v>
      </c>
      <c r="Y8" s="348">
        <v>0.62</v>
      </c>
      <c r="Z8" s="347" t="e">
        <f>_xll.qlSimpleQuoteSetValue($X8,$Y8/100,Trigger)</f>
        <v>#NUM!</v>
      </c>
      <c r="AA8" s="218"/>
      <c r="AG8" s="376">
        <f t="shared" si="3"/>
        <v>2.0000000000000017E-4</v>
      </c>
    </row>
    <row r="9" spans="1:33" x14ac:dyDescent="0.2">
      <c r="A9" s="118"/>
      <c r="B9" s="202"/>
      <c r="C9" s="192" t="s">
        <v>206</v>
      </c>
      <c r="D9" s="192">
        <v>24</v>
      </c>
      <c r="E9" s="73" t="str">
        <f t="shared" si="0"/>
        <v>GBP1S24_Quote</v>
      </c>
      <c r="F9" s="73" t="str">
        <f>_xll.qlSimpleQuote(Currency&amp;$C9&amp;$D9&amp;$B9&amp;QuoteSuffix,,RateTickValue,Permanent,Trigger,ObjectOverwrite)</f>
        <v>GBP1S24_Quote#0000</v>
      </c>
      <c r="G9" s="191" t="str">
        <f>_xll.ohRangeRetrieveError(F9)</f>
        <v/>
      </c>
      <c r="H9" s="33"/>
      <c r="J9" s="118"/>
      <c r="K9" s="388"/>
      <c r="L9" s="394" t="s">
        <v>206</v>
      </c>
      <c r="M9" s="394">
        <v>24</v>
      </c>
      <c r="N9" s="351" t="str">
        <f t="shared" si="1"/>
        <v>GBP1S24</v>
      </c>
      <c r="O9" s="351" t="str">
        <v>GBP1S24=ICAP</v>
      </c>
      <c r="P9" s="395">
        <v>0.59</v>
      </c>
      <c r="Q9" s="395">
        <v>0.61</v>
      </c>
      <c r="R9" s="395">
        <v>0</v>
      </c>
      <c r="S9" s="395">
        <v>0</v>
      </c>
      <c r="T9" s="492">
        <f>_xll.qlMidSafe($P9,$Q9)</f>
        <v>0.6</v>
      </c>
      <c r="U9" s="342"/>
      <c r="V9" s="491">
        <v>0.53500000000000003</v>
      </c>
      <c r="W9" s="342"/>
      <c r="X9" s="388" t="str">
        <f t="shared" si="2"/>
        <v>GBP1S24_Quote</v>
      </c>
      <c r="Y9" s="348">
        <v>0.6</v>
      </c>
      <c r="Z9" s="347" t="e">
        <f>_xll.qlSimpleQuoteSetValue($X9,$Y9/100,Trigger)</f>
        <v>#NUM!</v>
      </c>
      <c r="AA9" s="218"/>
      <c r="AG9" s="376">
        <f t="shared" si="3"/>
        <v>2.0000000000000017E-4</v>
      </c>
    </row>
    <row r="10" spans="1:33" x14ac:dyDescent="0.2">
      <c r="A10" s="118"/>
      <c r="B10" s="202"/>
      <c r="C10" s="192" t="s">
        <v>207</v>
      </c>
      <c r="D10" s="192">
        <v>24</v>
      </c>
      <c r="E10" s="73" t="str">
        <f t="shared" si="0"/>
        <v>GBP2S24_Quote</v>
      </c>
      <c r="F10" s="73" t="str">
        <f>_xll.qlSimpleQuote(Currency&amp;$C10&amp;$D10&amp;$B10&amp;QuoteSuffix,,RateTickValue,Permanent,Trigger,ObjectOverwrite)</f>
        <v>GBP2S24_Quote#0000</v>
      </c>
      <c r="G10" s="191" t="str">
        <f>_xll.ohRangeRetrieveError(F10)</f>
        <v/>
      </c>
      <c r="H10" s="33"/>
      <c r="J10" s="118"/>
      <c r="K10" s="388"/>
      <c r="L10" s="394" t="s">
        <v>207</v>
      </c>
      <c r="M10" s="394">
        <v>24</v>
      </c>
      <c r="N10" s="351" t="str">
        <f t="shared" si="1"/>
        <v>GBP2S24</v>
      </c>
      <c r="O10" s="351" t="str">
        <v>GBP2S24=ICAP</v>
      </c>
      <c r="P10" s="395">
        <v>0.63</v>
      </c>
      <c r="Q10" s="395">
        <v>0.65</v>
      </c>
      <c r="R10" s="395">
        <v>0</v>
      </c>
      <c r="S10" s="395">
        <v>0</v>
      </c>
      <c r="T10" s="492">
        <f>_xll.qlMidSafe($P10,$Q10)</f>
        <v>0.64</v>
      </c>
      <c r="U10" s="342"/>
      <c r="V10" s="491">
        <v>0.55500000000000005</v>
      </c>
      <c r="W10" s="342"/>
      <c r="X10" s="388" t="str">
        <f t="shared" si="2"/>
        <v>GBP2S24_Quote</v>
      </c>
      <c r="Y10" s="348">
        <v>0.64</v>
      </c>
      <c r="Z10" s="347" t="e">
        <f>_xll.qlSimpleQuoteSetValue($X10,$Y10/100,Trigger)</f>
        <v>#NUM!</v>
      </c>
      <c r="AA10" s="218"/>
      <c r="AG10" s="376">
        <f t="shared" si="3"/>
        <v>2.0000000000000017E-4</v>
      </c>
    </row>
    <row r="11" spans="1:33" x14ac:dyDescent="0.2">
      <c r="A11" s="118"/>
      <c r="B11" s="202"/>
      <c r="C11" s="192" t="s">
        <v>206</v>
      </c>
      <c r="D11" s="192">
        <v>36</v>
      </c>
      <c r="E11" s="73" t="str">
        <f t="shared" si="0"/>
        <v>GBP1S36_Quote</v>
      </c>
      <c r="F11" s="73" t="str">
        <f>_xll.qlSimpleQuote(Currency&amp;$C11&amp;$D11&amp;$B11&amp;QuoteSuffix,,RateTickValue,Permanent,Trigger,ObjectOverwrite)</f>
        <v>GBP1S36_Quote#0000</v>
      </c>
      <c r="G11" s="191" t="str">
        <f>_xll.ohRangeRetrieveError(F11)</f>
        <v/>
      </c>
      <c r="H11" s="33"/>
      <c r="J11" s="118"/>
      <c r="K11" s="401"/>
      <c r="L11" s="390" t="s">
        <v>206</v>
      </c>
      <c r="M11" s="390">
        <v>36</v>
      </c>
      <c r="N11" s="345" t="str">
        <f t="shared" si="1"/>
        <v>GBP1S36</v>
      </c>
      <c r="O11" s="345" t="str">
        <v>GBP1S36=ICAP</v>
      </c>
      <c r="P11" s="391" t="s">
        <v>233</v>
      </c>
      <c r="Q11" s="391" t="s">
        <v>233</v>
      </c>
      <c r="R11" s="391" t="s">
        <v>233</v>
      </c>
      <c r="S11" s="391" t="s">
        <v>233</v>
      </c>
      <c r="T11" s="490" t="e">
        <f>_xll.qlMidSafe($P11,$Q11)</f>
        <v>#NUM!</v>
      </c>
      <c r="U11" s="342"/>
      <c r="V11" s="489" t="e">
        <v>#NUM!</v>
      </c>
      <c r="W11" s="342"/>
      <c r="X11" s="401" t="str">
        <f t="shared" si="2"/>
        <v>GBP1S36_Quote</v>
      </c>
      <c r="Y11" s="341" t="e">
        <v>#NUM!</v>
      </c>
      <c r="Z11" s="340" t="e">
        <f>_xll.qlSimpleQuoteSetValue($X11,$Y11/100,Trigger)</f>
        <v>#NUM!</v>
      </c>
      <c r="AA11" s="218"/>
      <c r="AG11" s="376" t="e">
        <f t="shared" si="3"/>
        <v>#VALUE!</v>
      </c>
    </row>
    <row r="12" spans="1:33" ht="13.5" thickBot="1" x14ac:dyDescent="0.25">
      <c r="A12" s="32"/>
      <c r="B12" s="31"/>
      <c r="C12" s="31"/>
      <c r="D12" s="31"/>
      <c r="E12" s="31"/>
      <c r="F12" s="112"/>
      <c r="G12" s="112"/>
      <c r="H12" s="30"/>
      <c r="J12" s="32"/>
      <c r="K12" s="31"/>
      <c r="L12" s="31"/>
      <c r="M12" s="31"/>
      <c r="N12" s="31"/>
      <c r="O12" s="31"/>
      <c r="P12" s="31"/>
      <c r="Q12" s="31"/>
      <c r="R12" s="31"/>
      <c r="S12" s="31"/>
      <c r="T12" s="31"/>
      <c r="U12" s="31"/>
      <c r="V12" s="31"/>
      <c r="W12" s="31"/>
      <c r="X12" s="31"/>
      <c r="Y12" s="31"/>
      <c r="Z12" s="31"/>
      <c r="AA12" s="378"/>
    </row>
  </sheetData>
  <conditionalFormatting sqref="Z5:Z11">
    <cfRule type="cellIs" dxfId="19" priority="1" stopIfTrue="1" operator="greaterThan">
      <formula>0</formula>
    </cfRule>
    <cfRule type="cellIs" dxfId="18"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K43"/>
  <sheetViews>
    <sheetView workbookViewId="0">
      <selection activeCell="AC11" sqref="AC11"/>
    </sheetView>
  </sheetViews>
  <sheetFormatPr defaultRowHeight="12.75" x14ac:dyDescent="0.2"/>
  <cols>
    <col min="1" max="1" width="2.7109375" style="63" customWidth="1"/>
    <col min="2" max="2" width="6.5703125" style="111" bestFit="1" customWidth="1"/>
    <col min="3" max="3" width="3.140625" style="63" bestFit="1" customWidth="1"/>
    <col min="4" max="4" width="2.7109375" style="63" bestFit="1" customWidth="1"/>
    <col min="5" max="5" width="18" style="63" bestFit="1" customWidth="1"/>
    <col min="6" max="6" width="20.140625" style="110" bestFit="1" customWidth="1"/>
    <col min="7" max="7" width="38.28515625" style="63" customWidth="1"/>
    <col min="8" max="9" width="2.7109375" style="63" customWidth="1"/>
    <col min="10" max="10" width="4.140625" style="63" bestFit="1" customWidth="1"/>
    <col min="11" max="11" width="3.28515625" style="63" bestFit="1" customWidth="1"/>
    <col min="12" max="12" width="9.5703125" style="63" bestFit="1" customWidth="1"/>
    <col min="13" max="14" width="2.7109375" style="63" customWidth="1"/>
    <col min="15" max="17" width="9.140625" style="63"/>
    <col min="18" max="18" width="10.85546875" style="63" bestFit="1" customWidth="1"/>
    <col min="19" max="19" width="15.140625" style="63" bestFit="1" customWidth="1"/>
    <col min="20" max="24" width="9.140625" style="63"/>
    <col min="25" max="25" width="2.7109375" style="63" customWidth="1"/>
    <col min="26" max="26" width="9.140625" style="63"/>
    <col min="27" max="27" width="2.7109375" style="63" customWidth="1"/>
    <col min="28" max="28" width="16" style="63" bestFit="1" customWidth="1"/>
    <col min="29" max="30" width="9.140625" style="63"/>
    <col min="31" max="32" width="2.7109375" style="63" customWidth="1"/>
    <col min="33" max="16384" width="9.140625" style="63"/>
  </cols>
  <sheetData>
    <row r="1" spans="1:37" ht="13.5" thickBot="1" x14ac:dyDescent="0.25">
      <c r="N1" s="411" t="s">
        <v>353</v>
      </c>
      <c r="O1" s="201"/>
      <c r="P1" s="201"/>
      <c r="Q1" s="201"/>
      <c r="R1" s="201"/>
      <c r="S1" s="201"/>
      <c r="T1" s="201"/>
      <c r="U1" s="201"/>
      <c r="V1" s="201"/>
      <c r="W1" s="201"/>
      <c r="X1" s="201"/>
      <c r="Y1" s="201"/>
      <c r="Z1" s="201"/>
      <c r="AA1" s="201"/>
      <c r="AB1" s="201"/>
      <c r="AC1" s="201"/>
      <c r="AD1" s="201"/>
      <c r="AE1" s="198"/>
      <c r="AF1" s="64"/>
      <c r="AG1" s="64"/>
      <c r="AH1" s="64"/>
      <c r="AI1" s="64"/>
      <c r="AJ1" s="64"/>
      <c r="AK1" s="64"/>
    </row>
    <row r="2" spans="1:37" ht="13.5" thickBot="1" x14ac:dyDescent="0.25">
      <c r="N2" s="374"/>
      <c r="O2" s="133"/>
      <c r="P2" s="342"/>
      <c r="Q2" s="342"/>
      <c r="R2" s="342"/>
      <c r="S2" s="140" t="s">
        <v>275</v>
      </c>
      <c r="T2" s="342"/>
      <c r="U2" s="342"/>
      <c r="V2" s="342"/>
      <c r="W2" s="342"/>
      <c r="X2" s="133"/>
      <c r="Y2" s="342"/>
      <c r="Z2" s="342"/>
      <c r="AA2" s="342"/>
      <c r="AB2" s="502" t="s">
        <v>287</v>
      </c>
      <c r="AC2" s="501" t="s">
        <v>131</v>
      </c>
      <c r="AD2" s="133"/>
      <c r="AE2" s="33"/>
      <c r="AF2" s="64"/>
      <c r="AG2" s="64"/>
      <c r="AH2" s="64"/>
      <c r="AI2" s="64"/>
      <c r="AJ2" s="64"/>
      <c r="AK2" s="64"/>
    </row>
    <row r="3" spans="1:37" ht="13.5" thickBot="1" x14ac:dyDescent="0.25">
      <c r="N3" s="118"/>
      <c r="O3" s="342"/>
      <c r="P3" s="133"/>
      <c r="Q3" s="133"/>
      <c r="R3" s="133"/>
      <c r="S3" s="133"/>
      <c r="T3" s="133"/>
      <c r="U3" s="133"/>
      <c r="V3" s="133"/>
      <c r="W3" s="133"/>
      <c r="X3" s="133"/>
      <c r="Y3" s="342"/>
      <c r="Z3" s="342"/>
      <c r="AA3" s="342"/>
      <c r="AB3" s="133"/>
      <c r="AC3" s="133"/>
      <c r="AD3" s="371">
        <f>_xll.ohTrigger(AD5:AD42)</f>
        <v>0</v>
      </c>
      <c r="AE3" s="218"/>
      <c r="AF3" s="64"/>
      <c r="AG3" s="64"/>
      <c r="AH3" s="64"/>
      <c r="AI3" s="64"/>
      <c r="AJ3" s="64"/>
      <c r="AK3" s="64"/>
    </row>
    <row r="4" spans="1:37" ht="23.25" thickBot="1" x14ac:dyDescent="0.25">
      <c r="A4" s="582" t="s">
        <v>348</v>
      </c>
      <c r="B4" s="201"/>
      <c r="C4" s="201"/>
      <c r="D4" s="201"/>
      <c r="E4" s="199"/>
      <c r="F4" s="200"/>
      <c r="G4" s="199"/>
      <c r="H4" s="198"/>
      <c r="N4" s="118"/>
      <c r="O4" s="494"/>
      <c r="P4" s="196"/>
      <c r="Q4" s="196"/>
      <c r="R4" s="196"/>
      <c r="S4" s="370" t="e">
        <f ca="1">_xll.RData(S5:S42,T4:W4,"RTFEED:IDN",ReutersRtMode,,T5)</f>
        <v>#NAME?</v>
      </c>
      <c r="T4" s="409" t="s">
        <v>291</v>
      </c>
      <c r="U4" s="409" t="s">
        <v>264</v>
      </c>
      <c r="V4" s="409" t="s">
        <v>244</v>
      </c>
      <c r="W4" s="409" t="s">
        <v>290</v>
      </c>
      <c r="X4" s="366" t="s">
        <v>289</v>
      </c>
      <c r="Y4" s="342"/>
      <c r="Z4" s="368" t="s">
        <v>286</v>
      </c>
      <c r="AA4" s="342"/>
      <c r="AB4" s="367" t="s">
        <v>241</v>
      </c>
      <c r="AC4" s="493" t="s">
        <v>285</v>
      </c>
      <c r="AD4" s="91" t="s">
        <v>284</v>
      </c>
      <c r="AE4" s="218"/>
      <c r="AF4" s="64"/>
      <c r="AG4" s="64"/>
      <c r="AH4" s="64"/>
      <c r="AI4" s="64"/>
      <c r="AJ4" s="64"/>
      <c r="AK4" s="406" t="s">
        <v>288</v>
      </c>
    </row>
    <row r="5" spans="1:37" x14ac:dyDescent="0.2">
      <c r="A5" s="118"/>
      <c r="B5" s="90" t="s">
        <v>125</v>
      </c>
      <c r="C5" s="90"/>
      <c r="D5" s="90"/>
      <c r="E5" s="89" t="str">
        <f>Currency&amp;"_010_Sw"&amp;$C$6&amp;$D$6&amp;".xml"</f>
        <v>GBP_010_SwAM3L.xml</v>
      </c>
      <c r="F5" s="88">
        <f ca="1">IF(Serialize,_xll.ohObjectSave(F6:F42,SerializationPath&amp;E5,FileOverwrite,Serialize),"---")</f>
        <v>37</v>
      </c>
      <c r="G5" s="72" t="str">
        <f ca="1">_xll.ohRangeRetrieveError(F5)</f>
        <v/>
      </c>
      <c r="H5" s="33"/>
      <c r="J5" s="210" t="s">
        <v>215</v>
      </c>
      <c r="K5" s="209" t="s">
        <v>214</v>
      </c>
      <c r="L5" s="208" t="s">
        <v>213</v>
      </c>
      <c r="N5" s="118"/>
      <c r="O5" s="352" t="s">
        <v>8</v>
      </c>
      <c r="P5" s="394" t="str">
        <f t="array" ref="P5:P42">VLOOKUP(Currency,Conventions,2)</f>
        <v>AM</v>
      </c>
      <c r="Q5" s="394" t="str">
        <f t="array" ref="Q5:Q42">VLOOKUP(Currency,Conventions,3)</f>
        <v>3L</v>
      </c>
      <c r="R5" s="394" t="str">
        <f t="shared" ref="R5:R42" si="0">Currency&amp;$P5&amp;$Q5&amp;$O5</f>
        <v>GBPAM3L6M</v>
      </c>
      <c r="S5" s="394" t="str">
        <f t="array" ref="S5:S42">Instruments&amp;"="&amp;VLOOKUP(Contributor,ContributorTable,2,FALSE)</f>
        <v>GBPAM3L6M=ICAP</v>
      </c>
      <c r="T5" s="395">
        <v>0.50124999999999997</v>
      </c>
      <c r="U5" s="395">
        <v>0.53125</v>
      </c>
      <c r="V5" s="395">
        <v>0</v>
      </c>
      <c r="W5" s="395">
        <v>0</v>
      </c>
      <c r="X5" s="350">
        <f>_xll.qlMidSafe($T5,$U5)</f>
        <v>0.51624999999999999</v>
      </c>
      <c r="Y5" s="342"/>
      <c r="Z5" s="349">
        <v>0.51500000000000001</v>
      </c>
      <c r="AA5" s="342"/>
      <c r="AB5" s="388" t="str">
        <f t="shared" ref="AB5:AB42" si="1">$R5&amp;$AC$2</f>
        <v>GBPAM3L6M_Quote</v>
      </c>
      <c r="AC5" s="348">
        <f t="array" ref="AC5:AC42">QuoteLive</f>
        <v>0.51624999999999999</v>
      </c>
      <c r="AD5" s="347" t="e">
        <f>_xll.qlSimpleQuoteSetValue($AB5,$AC5/100,Trigger)</f>
        <v>#NUM!</v>
      </c>
      <c r="AE5" s="218"/>
      <c r="AF5" s="64"/>
      <c r="AG5" s="500" t="s">
        <v>121</v>
      </c>
      <c r="AH5" s="85" t="s">
        <v>212</v>
      </c>
      <c r="AI5" s="84" t="s">
        <v>114</v>
      </c>
      <c r="AJ5" s="64"/>
      <c r="AK5" s="376">
        <f t="shared" ref="AK5:AK42" si="2">(U5-X5)/50</f>
        <v>3.0000000000000024E-4</v>
      </c>
    </row>
    <row r="6" spans="1:37" x14ac:dyDescent="0.2">
      <c r="A6" s="118"/>
      <c r="B6" s="195" t="s">
        <v>1</v>
      </c>
      <c r="C6" s="75" t="str">
        <f t="array" ref="C6:C42">VLOOKUP(Currency,SwapMainSetConventions,2)</f>
        <v>AM</v>
      </c>
      <c r="D6" s="75" t="str">
        <f t="array" ref="D6:D42">VLOOKUP(Currency,SwapMainSetConventions,3)</f>
        <v>3L</v>
      </c>
      <c r="E6" s="73" t="str">
        <f t="shared" ref="E6:E42" si="3">Currency&amp;$C6&amp;$D6&amp;$B6&amp;QuoteSuffix</f>
        <v>GBPAM3L1Y_Quote</v>
      </c>
      <c r="F6" s="73" t="str">
        <f>_xll.qlSimpleQuote(Currency&amp;$C6&amp;$D6&amp;$B6&amp;QuoteSuffix,,RateTickValue,Permanent,Trigger,ObjectOverwrite)</f>
        <v>GBPAM3L1Y_Quote#0000</v>
      </c>
      <c r="G6" s="8" t="str">
        <f>_xll.ohRangeRetrieveError(F6)</f>
        <v/>
      </c>
      <c r="H6" s="33"/>
      <c r="J6" s="207" t="s">
        <v>121</v>
      </c>
      <c r="K6" s="82" t="s">
        <v>212</v>
      </c>
      <c r="L6" s="81" t="s">
        <v>114</v>
      </c>
      <c r="N6" s="118"/>
      <c r="O6" s="352" t="s">
        <v>1</v>
      </c>
      <c r="P6" s="394" t="str">
        <v>AM</v>
      </c>
      <c r="Q6" s="394" t="str">
        <v>3L</v>
      </c>
      <c r="R6" s="394" t="str">
        <f t="shared" si="0"/>
        <v>GBPAM3L1Y</v>
      </c>
      <c r="S6" s="394" t="str">
        <v>GBPAM3L1Y=ICAP</v>
      </c>
      <c r="T6" s="395">
        <v>0.51500000000000001</v>
      </c>
      <c r="U6" s="395">
        <v>0.54500000000000004</v>
      </c>
      <c r="V6" s="395">
        <v>0</v>
      </c>
      <c r="W6" s="395">
        <v>0</v>
      </c>
      <c r="X6" s="350">
        <f>_xll.qlMidSafe($T6,$U6)</f>
        <v>0.53</v>
      </c>
      <c r="Y6" s="342"/>
      <c r="Z6" s="349">
        <v>0.51</v>
      </c>
      <c r="AA6" s="342"/>
      <c r="AB6" s="388" t="str">
        <f t="shared" si="1"/>
        <v>GBPAM3L1Y_Quote</v>
      </c>
      <c r="AC6" s="348">
        <v>0.53</v>
      </c>
      <c r="AD6" s="347" t="e">
        <f>_xll.qlSimpleQuoteSetValue($AB6,$AC6/100,Trigger)</f>
        <v>#NUM!</v>
      </c>
      <c r="AE6" s="218"/>
      <c r="AF6" s="64"/>
      <c r="AG6" s="207" t="s">
        <v>120</v>
      </c>
      <c r="AH6" s="82" t="s">
        <v>212</v>
      </c>
      <c r="AI6" s="81" t="s">
        <v>126</v>
      </c>
      <c r="AJ6" s="64"/>
      <c r="AK6" s="376">
        <f t="shared" si="2"/>
        <v>3.0000000000000024E-4</v>
      </c>
    </row>
    <row r="7" spans="1:37" x14ac:dyDescent="0.2">
      <c r="A7" s="118"/>
      <c r="B7" s="194" t="s">
        <v>124</v>
      </c>
      <c r="C7" s="75" t="str">
        <v>AM</v>
      </c>
      <c r="D7" s="75" t="str">
        <v>3L</v>
      </c>
      <c r="E7" s="73" t="str">
        <f t="shared" si="3"/>
        <v>GBPAM3L15M_Quote</v>
      </c>
      <c r="F7" s="73" t="str">
        <f>_xll.qlSimpleQuote(Currency&amp;$C7&amp;$D7&amp;$B7&amp;QuoteSuffix,,RateTickValue,Permanent,Trigger,ObjectOverwrite)</f>
        <v>GBPAM3L15M_Quote#0000</v>
      </c>
      <c r="G7" s="191" t="str">
        <f>_xll.ohRangeRetrieveError(F7)</f>
        <v/>
      </c>
      <c r="H7" s="33"/>
      <c r="J7" s="207" t="s">
        <v>120</v>
      </c>
      <c r="K7" s="82" t="s">
        <v>212</v>
      </c>
      <c r="L7" s="81" t="s">
        <v>126</v>
      </c>
      <c r="N7" s="118"/>
      <c r="O7" s="352" t="s">
        <v>124</v>
      </c>
      <c r="P7" s="394" t="str">
        <v>AM</v>
      </c>
      <c r="Q7" s="394" t="str">
        <v>3L</v>
      </c>
      <c r="R7" s="394" t="str">
        <f t="shared" si="0"/>
        <v>GBPAM3L15M</v>
      </c>
      <c r="S7" s="394" t="str">
        <v>GBPAM3L15M=ICAP</v>
      </c>
      <c r="T7" s="395">
        <v>0.52375000000000005</v>
      </c>
      <c r="U7" s="395">
        <v>0.55374999999999996</v>
      </c>
      <c r="V7" s="395">
        <v>0</v>
      </c>
      <c r="W7" s="395">
        <v>0</v>
      </c>
      <c r="X7" s="350">
        <f>_xll.qlMidSafe($T7,$U7)</f>
        <v>0.53875000000000006</v>
      </c>
      <c r="Y7" s="342"/>
      <c r="Z7" s="349">
        <v>0.51249999999999996</v>
      </c>
      <c r="AA7" s="342"/>
      <c r="AB7" s="388" t="str">
        <f t="shared" si="1"/>
        <v>GBPAM3L15M_Quote</v>
      </c>
      <c r="AC7" s="348">
        <v>0.53875000000000006</v>
      </c>
      <c r="AD7" s="347" t="e">
        <f>_xll.qlSimpleQuoteSetValue($AB7,$AC7/100,Trigger)</f>
        <v>#NUM!</v>
      </c>
      <c r="AE7" s="218"/>
      <c r="AF7" s="64"/>
      <c r="AG7" s="207" t="s">
        <v>96</v>
      </c>
      <c r="AH7" s="82" t="s">
        <v>210</v>
      </c>
      <c r="AI7" s="81" t="s">
        <v>114</v>
      </c>
      <c r="AJ7" s="64"/>
      <c r="AK7" s="376">
        <f t="shared" si="2"/>
        <v>2.9999999999999802E-4</v>
      </c>
    </row>
    <row r="8" spans="1:37" x14ac:dyDescent="0.2">
      <c r="A8" s="118"/>
      <c r="B8" s="194" t="s">
        <v>123</v>
      </c>
      <c r="C8" s="75" t="str">
        <v>AM</v>
      </c>
      <c r="D8" s="75" t="str">
        <v>3L</v>
      </c>
      <c r="E8" s="73" t="str">
        <f t="shared" si="3"/>
        <v>GBPAM3L18M_Quote</v>
      </c>
      <c r="F8" s="73" t="str">
        <f>_xll.qlSimpleQuote(Currency&amp;$C8&amp;$D8&amp;$B8&amp;QuoteSuffix,,RateTickValue,Permanent,Trigger,ObjectOverwrite)</f>
        <v>GBPAM3L18M_Quote#0000</v>
      </c>
      <c r="G8" s="191" t="str">
        <f>_xll.ohRangeRetrieveError(F8)</f>
        <v/>
      </c>
      <c r="H8" s="33"/>
      <c r="J8" s="207" t="s">
        <v>96</v>
      </c>
      <c r="K8" s="82" t="s">
        <v>210</v>
      </c>
      <c r="L8" s="81" t="s">
        <v>114</v>
      </c>
      <c r="N8" s="118"/>
      <c r="O8" s="352" t="s">
        <v>123</v>
      </c>
      <c r="P8" s="394" t="str">
        <v>AM</v>
      </c>
      <c r="Q8" s="394" t="str">
        <v>3L</v>
      </c>
      <c r="R8" s="394" t="str">
        <f t="shared" si="0"/>
        <v>GBPAM3L18M</v>
      </c>
      <c r="S8" s="394" t="str">
        <v>GBPAM3L18M=ICAP</v>
      </c>
      <c r="T8" s="395">
        <v>0.53625</v>
      </c>
      <c r="U8" s="395">
        <v>0.56625000000000003</v>
      </c>
      <c r="V8" s="395">
        <v>0</v>
      </c>
      <c r="W8" s="395">
        <v>0</v>
      </c>
      <c r="X8" s="350">
        <f>_xll.qlMidSafe($T8,$U8)</f>
        <v>0.55125000000000002</v>
      </c>
      <c r="Y8" s="342"/>
      <c r="Z8" s="349">
        <v>0.51749999999999996</v>
      </c>
      <c r="AA8" s="342"/>
      <c r="AB8" s="388" t="str">
        <f t="shared" si="1"/>
        <v>GBPAM3L18M_Quote</v>
      </c>
      <c r="AC8" s="348">
        <v>0.55125000000000002</v>
      </c>
      <c r="AD8" s="347" t="e">
        <f>_xll.qlSimpleQuoteSetValue($AB8,$AC8/100,Trigger)</f>
        <v>#NUM!</v>
      </c>
      <c r="AE8" s="218"/>
      <c r="AF8" s="64"/>
      <c r="AG8" s="207" t="s">
        <v>230</v>
      </c>
      <c r="AH8" s="82" t="s">
        <v>313</v>
      </c>
      <c r="AI8" s="81" t="s">
        <v>312</v>
      </c>
      <c r="AJ8" s="64"/>
      <c r="AK8" s="376">
        <f t="shared" si="2"/>
        <v>3.0000000000000024E-4</v>
      </c>
    </row>
    <row r="9" spans="1:37" x14ac:dyDescent="0.2">
      <c r="A9" s="118"/>
      <c r="B9" s="194" t="s">
        <v>122</v>
      </c>
      <c r="C9" s="75" t="str">
        <v>AM</v>
      </c>
      <c r="D9" s="75" t="str">
        <v>3L</v>
      </c>
      <c r="E9" s="73" t="str">
        <f t="shared" si="3"/>
        <v>GBPAM3L21M_Quote</v>
      </c>
      <c r="F9" s="73" t="str">
        <f>_xll.qlSimpleQuote(Currency&amp;$C9&amp;$D9&amp;$B9&amp;QuoteSuffix,,RateTickValue,Permanent,Trigger,ObjectOverwrite)</f>
        <v>GBPAM3L21M_Quote#0000</v>
      </c>
      <c r="G9" s="191" t="str">
        <f>_xll.ohRangeRetrieveError(F9)</f>
        <v/>
      </c>
      <c r="H9" s="33"/>
      <c r="J9" s="207" t="s">
        <v>117</v>
      </c>
      <c r="K9" s="82" t="s">
        <v>211</v>
      </c>
      <c r="L9" s="81" t="s">
        <v>114</v>
      </c>
      <c r="N9" s="118"/>
      <c r="O9" s="352" t="s">
        <v>122</v>
      </c>
      <c r="P9" s="394" t="str">
        <v>AM</v>
      </c>
      <c r="Q9" s="394" t="str">
        <v>3L</v>
      </c>
      <c r="R9" s="394" t="str">
        <f t="shared" si="0"/>
        <v>GBPAM3L21M</v>
      </c>
      <c r="S9" s="394" t="str">
        <v>GBPAM3L21M=ICAP</v>
      </c>
      <c r="T9" s="395" t="s">
        <v>233</v>
      </c>
      <c r="U9" s="395" t="s">
        <v>233</v>
      </c>
      <c r="V9" s="395" t="s">
        <v>233</v>
      </c>
      <c r="W9" s="395" t="s">
        <v>233</v>
      </c>
      <c r="X9" s="350" t="e">
        <f>_xll.qlMidSafe($T9,$U9)</f>
        <v>#NUM!</v>
      </c>
      <c r="Y9" s="342"/>
      <c r="Z9" s="349" t="e">
        <v>#NUM!</v>
      </c>
      <c r="AA9" s="342"/>
      <c r="AB9" s="388" t="str">
        <f t="shared" si="1"/>
        <v>GBPAM3L21M_Quote</v>
      </c>
      <c r="AC9" s="348" t="e">
        <v>#NUM!</v>
      </c>
      <c r="AD9" s="347" t="e">
        <f>_xll.qlSimpleQuoteSetValue($AB9,$AC9/100,Trigger)</f>
        <v>#NUM!</v>
      </c>
      <c r="AE9" s="218"/>
      <c r="AF9" s="64"/>
      <c r="AG9" s="207" t="s">
        <v>117</v>
      </c>
      <c r="AH9" s="82" t="s">
        <v>211</v>
      </c>
      <c r="AI9" s="81" t="s">
        <v>114</v>
      </c>
      <c r="AJ9" s="64"/>
      <c r="AK9" s="376" t="e">
        <f t="shared" si="2"/>
        <v>#VALUE!</v>
      </c>
    </row>
    <row r="10" spans="1:37" ht="13.5" thickBot="1" x14ac:dyDescent="0.25">
      <c r="A10" s="118"/>
      <c r="B10" s="194" t="s">
        <v>85</v>
      </c>
      <c r="C10" s="75" t="str">
        <v>AM</v>
      </c>
      <c r="D10" s="75" t="str">
        <v>3L</v>
      </c>
      <c r="E10" s="73" t="str">
        <f t="shared" si="3"/>
        <v>GBPAM3L2Y_Quote</v>
      </c>
      <c r="F10" s="73" t="str">
        <f>_xll.qlSimpleQuote(Currency&amp;$C10&amp;$D10&amp;$B10&amp;QuoteSuffix,,RateTickValue,Permanent,Trigger,ObjectOverwrite)</f>
        <v>GBPAM3L2Y_Quote#0000</v>
      </c>
      <c r="G10" s="191" t="str">
        <f>_xll.ohRangeRetrieveError(F10)</f>
        <v/>
      </c>
      <c r="H10" s="33"/>
      <c r="J10" s="206" t="s">
        <v>115</v>
      </c>
      <c r="K10" s="79" t="s">
        <v>210</v>
      </c>
      <c r="L10" s="78" t="s">
        <v>114</v>
      </c>
      <c r="N10" s="118"/>
      <c r="O10" s="352" t="s">
        <v>85</v>
      </c>
      <c r="P10" s="394" t="str">
        <v>AM</v>
      </c>
      <c r="Q10" s="394" t="str">
        <v>3L</v>
      </c>
      <c r="R10" s="394" t="str">
        <f t="shared" si="0"/>
        <v>GBPAM3L2Y</v>
      </c>
      <c r="S10" s="394" t="str">
        <v>GBPAM3L2Y=ICAP</v>
      </c>
      <c r="T10" s="395" t="s">
        <v>233</v>
      </c>
      <c r="U10" s="395" t="s">
        <v>233</v>
      </c>
      <c r="V10" s="395" t="s">
        <v>233</v>
      </c>
      <c r="W10" s="395" t="s">
        <v>233</v>
      </c>
      <c r="X10" s="350" t="e">
        <f>_xll.qlMidSafe($T10,$U10)</f>
        <v>#NUM!</v>
      </c>
      <c r="Y10" s="342"/>
      <c r="Z10" s="349" t="e">
        <v>#NUM!</v>
      </c>
      <c r="AA10" s="342"/>
      <c r="AB10" s="388" t="str">
        <f t="shared" si="1"/>
        <v>GBPAM3L2Y_Quote</v>
      </c>
      <c r="AC10" s="348" t="e">
        <v>#NUM!</v>
      </c>
      <c r="AD10" s="347" t="e">
        <f>_xll.qlSimpleQuoteSetValue($AB10,$AC10/100,Trigger)</f>
        <v>#NUM!</v>
      </c>
      <c r="AE10" s="218"/>
      <c r="AF10" s="64"/>
      <c r="AG10" s="206" t="s">
        <v>115</v>
      </c>
      <c r="AH10" s="79" t="s">
        <v>210</v>
      </c>
      <c r="AI10" s="78" t="s">
        <v>114</v>
      </c>
      <c r="AJ10" s="64"/>
      <c r="AK10" s="376" t="e">
        <f t="shared" si="2"/>
        <v>#VALUE!</v>
      </c>
    </row>
    <row r="11" spans="1:37" x14ac:dyDescent="0.2">
      <c r="A11" s="118"/>
      <c r="B11" s="194" t="s">
        <v>84</v>
      </c>
      <c r="C11" s="75" t="str">
        <v>AM</v>
      </c>
      <c r="D11" s="75" t="str">
        <v>3L</v>
      </c>
      <c r="E11" s="73" t="str">
        <f t="shared" si="3"/>
        <v>GBPAM3L3Y_Quote</v>
      </c>
      <c r="F11" s="73" t="str">
        <f>_xll.qlSimpleQuote(Currency&amp;$C11&amp;$D11&amp;$B11&amp;QuoteSuffix,,RateTickValue,Permanent,Trigger,ObjectOverwrite)</f>
        <v>GBPAM3L3Y_Quote#0000</v>
      </c>
      <c r="G11" s="191" t="str">
        <f>_xll.ohRangeRetrieveError(F11)</f>
        <v/>
      </c>
      <c r="H11" s="33"/>
      <c r="N11" s="118"/>
      <c r="O11" s="352" t="s">
        <v>84</v>
      </c>
      <c r="P11" s="498" t="str">
        <v>AM</v>
      </c>
      <c r="Q11" s="498" t="str">
        <v>3L</v>
      </c>
      <c r="R11" s="394" t="str">
        <f t="shared" si="0"/>
        <v>GBPAM3L3Y</v>
      </c>
      <c r="S11" s="394" t="str">
        <v>GBPAM3L3Y=ICAP</v>
      </c>
      <c r="T11" s="395" t="s">
        <v>233</v>
      </c>
      <c r="U11" s="395" t="s">
        <v>233</v>
      </c>
      <c r="V11" s="395" t="s">
        <v>233</v>
      </c>
      <c r="W11" s="395" t="s">
        <v>233</v>
      </c>
      <c r="X11" s="350" t="e">
        <f>_xll.qlMidSafe($T11,$U11)</f>
        <v>#NUM!</v>
      </c>
      <c r="Y11" s="342"/>
      <c r="Z11" s="349" t="e">
        <v>#NUM!</v>
      </c>
      <c r="AA11" s="342"/>
      <c r="AB11" s="388" t="str">
        <f t="shared" si="1"/>
        <v>GBPAM3L3Y_Quote</v>
      </c>
      <c r="AC11" s="348" t="e">
        <v>#NUM!</v>
      </c>
      <c r="AD11" s="347" t="e">
        <f>_xll.qlSimpleQuoteSetValue($AB11,$AC11/100,Trigger)</f>
        <v>#NUM!</v>
      </c>
      <c r="AE11" s="218"/>
      <c r="AF11" s="64"/>
      <c r="AG11" s="64"/>
      <c r="AH11" s="64"/>
      <c r="AI11" s="64"/>
      <c r="AJ11" s="64"/>
      <c r="AK11" s="376" t="e">
        <f t="shared" si="2"/>
        <v>#VALUE!</v>
      </c>
    </row>
    <row r="12" spans="1:37" x14ac:dyDescent="0.2">
      <c r="A12" s="118"/>
      <c r="B12" s="194" t="s">
        <v>83</v>
      </c>
      <c r="C12" s="75" t="str">
        <v>AM</v>
      </c>
      <c r="D12" s="75" t="str">
        <v>3L</v>
      </c>
      <c r="E12" s="73" t="str">
        <f t="shared" si="3"/>
        <v>GBPAM3L4Y_Quote</v>
      </c>
      <c r="F12" s="73" t="str">
        <f>_xll.qlSimpleQuote(Currency&amp;$C12&amp;$D12&amp;$B12&amp;QuoteSuffix,,RateTickValue,Permanent,Trigger,ObjectOverwrite)</f>
        <v>GBPAM3L4Y_Quote#0000</v>
      </c>
      <c r="G12" s="191" t="str">
        <f>_xll.ohRangeRetrieveError(F12)</f>
        <v/>
      </c>
      <c r="H12" s="33"/>
      <c r="N12" s="118"/>
      <c r="O12" s="352" t="s">
        <v>83</v>
      </c>
      <c r="P12" s="498" t="str">
        <v>AM</v>
      </c>
      <c r="Q12" s="498" t="str">
        <v>3L</v>
      </c>
      <c r="R12" s="394" t="str">
        <f t="shared" si="0"/>
        <v>GBPAM3L4Y</v>
      </c>
      <c r="S12" s="394" t="str">
        <v>GBPAM3L4Y=ICAP</v>
      </c>
      <c r="T12" s="395" t="s">
        <v>233</v>
      </c>
      <c r="U12" s="395" t="s">
        <v>233</v>
      </c>
      <c r="V12" s="395" t="s">
        <v>233</v>
      </c>
      <c r="W12" s="395" t="s">
        <v>233</v>
      </c>
      <c r="X12" s="350" t="e">
        <f>_xll.qlMidSafe($T12,$U12)</f>
        <v>#NUM!</v>
      </c>
      <c r="Y12" s="342"/>
      <c r="Z12" s="349" t="e">
        <v>#NUM!</v>
      </c>
      <c r="AA12" s="342"/>
      <c r="AB12" s="388" t="str">
        <f t="shared" si="1"/>
        <v>GBPAM3L4Y_Quote</v>
      </c>
      <c r="AC12" s="348" t="e">
        <v>#NUM!</v>
      </c>
      <c r="AD12" s="347" t="e">
        <f>_xll.qlSimpleQuoteSetValue($AB12,$AC12/100,Trigger)</f>
        <v>#NUM!</v>
      </c>
      <c r="AE12" s="218"/>
      <c r="AF12" s="64"/>
      <c r="AG12" s="64"/>
      <c r="AH12" s="64"/>
      <c r="AI12" s="64"/>
      <c r="AJ12" s="64"/>
      <c r="AK12" s="376" t="e">
        <f t="shared" si="2"/>
        <v>#VALUE!</v>
      </c>
    </row>
    <row r="13" spans="1:37" x14ac:dyDescent="0.2">
      <c r="A13" s="118"/>
      <c r="B13" s="194" t="s">
        <v>82</v>
      </c>
      <c r="C13" s="75" t="str">
        <v>AM</v>
      </c>
      <c r="D13" s="75" t="str">
        <v>3L</v>
      </c>
      <c r="E13" s="73" t="str">
        <f t="shared" si="3"/>
        <v>GBPAM3L5Y_Quote</v>
      </c>
      <c r="F13" s="73" t="str">
        <f>_xll.qlSimpleQuote(Currency&amp;$C13&amp;$D13&amp;$B13&amp;QuoteSuffix,,RateTickValue,Permanent,Trigger,ObjectOverwrite)</f>
        <v>GBPAM3L5Y_Quote#0000</v>
      </c>
      <c r="G13" s="191" t="str">
        <f>_xll.ohRangeRetrieveError(F13)</f>
        <v/>
      </c>
      <c r="H13" s="33"/>
      <c r="N13" s="118"/>
      <c r="O13" s="352" t="s">
        <v>82</v>
      </c>
      <c r="P13" s="498" t="str">
        <v>AM</v>
      </c>
      <c r="Q13" s="498" t="str">
        <v>3L</v>
      </c>
      <c r="R13" s="394" t="str">
        <f t="shared" si="0"/>
        <v>GBPAM3L5Y</v>
      </c>
      <c r="S13" s="394" t="str">
        <v>GBPAM3L5Y=ICAP</v>
      </c>
      <c r="T13" s="395" t="s">
        <v>233</v>
      </c>
      <c r="U13" s="395" t="s">
        <v>233</v>
      </c>
      <c r="V13" s="395" t="s">
        <v>233</v>
      </c>
      <c r="W13" s="395" t="s">
        <v>233</v>
      </c>
      <c r="X13" s="350" t="e">
        <f>_xll.qlMidSafe($T13,$U13)</f>
        <v>#NUM!</v>
      </c>
      <c r="Y13" s="342"/>
      <c r="Z13" s="349" t="e">
        <v>#NUM!</v>
      </c>
      <c r="AA13" s="342"/>
      <c r="AB13" s="388" t="str">
        <f t="shared" si="1"/>
        <v>GBPAM3L5Y_Quote</v>
      </c>
      <c r="AC13" s="348" t="e">
        <v>#NUM!</v>
      </c>
      <c r="AD13" s="347" t="e">
        <f>_xll.qlSimpleQuoteSetValue($AB13,$AC13/100,Trigger)</f>
        <v>#NUM!</v>
      </c>
      <c r="AE13" s="218"/>
      <c r="AF13" s="64"/>
      <c r="AG13" s="64"/>
      <c r="AH13" s="64"/>
      <c r="AI13" s="64"/>
      <c r="AJ13" s="64"/>
      <c r="AK13" s="376" t="e">
        <f t="shared" si="2"/>
        <v>#VALUE!</v>
      </c>
    </row>
    <row r="14" spans="1:37" x14ac:dyDescent="0.2">
      <c r="A14" s="118"/>
      <c r="B14" s="194" t="s">
        <v>81</v>
      </c>
      <c r="C14" s="75" t="str">
        <v>AM</v>
      </c>
      <c r="D14" s="75" t="str">
        <v>3L</v>
      </c>
      <c r="E14" s="73" t="str">
        <f t="shared" si="3"/>
        <v>GBPAM3L6Y_Quote</v>
      </c>
      <c r="F14" s="73" t="str">
        <f>_xll.qlSimpleQuote(Currency&amp;$C14&amp;$D14&amp;$B14&amp;QuoteSuffix,,RateTickValue,Permanent,Trigger,ObjectOverwrite)</f>
        <v>GBPAM3L6Y_Quote#0000</v>
      </c>
      <c r="G14" s="191" t="str">
        <f>_xll.ohRangeRetrieveError(F14)</f>
        <v/>
      </c>
      <c r="H14" s="33"/>
      <c r="N14" s="118"/>
      <c r="O14" s="352" t="s">
        <v>81</v>
      </c>
      <c r="P14" s="498" t="str">
        <v>AM</v>
      </c>
      <c r="Q14" s="498" t="str">
        <v>3L</v>
      </c>
      <c r="R14" s="394" t="str">
        <f t="shared" si="0"/>
        <v>GBPAM3L6Y</v>
      </c>
      <c r="S14" s="394" t="str">
        <v>GBPAM3L6Y=ICAP</v>
      </c>
      <c r="T14" s="395" t="s">
        <v>233</v>
      </c>
      <c r="U14" s="395" t="s">
        <v>233</v>
      </c>
      <c r="V14" s="395" t="s">
        <v>233</v>
      </c>
      <c r="W14" s="395" t="s">
        <v>233</v>
      </c>
      <c r="X14" s="350" t="e">
        <f>_xll.qlMidSafe($T14,$U14)</f>
        <v>#NUM!</v>
      </c>
      <c r="Y14" s="342"/>
      <c r="Z14" s="349" t="e">
        <v>#NUM!</v>
      </c>
      <c r="AA14" s="342"/>
      <c r="AB14" s="388" t="str">
        <f t="shared" si="1"/>
        <v>GBPAM3L6Y_Quote</v>
      </c>
      <c r="AC14" s="348" t="e">
        <v>#NUM!</v>
      </c>
      <c r="AD14" s="347" t="e">
        <f>_xll.qlSimpleQuoteSetValue($AB14,$AC14/100,Trigger)</f>
        <v>#NUM!</v>
      </c>
      <c r="AE14" s="218"/>
      <c r="AF14" s="64"/>
      <c r="AG14" s="64"/>
      <c r="AH14" s="64"/>
      <c r="AI14" s="64"/>
      <c r="AJ14" s="64"/>
      <c r="AK14" s="376" t="e">
        <f t="shared" si="2"/>
        <v>#VALUE!</v>
      </c>
    </row>
    <row r="15" spans="1:37" x14ac:dyDescent="0.2">
      <c r="A15" s="118"/>
      <c r="B15" s="194" t="s">
        <v>80</v>
      </c>
      <c r="C15" s="75" t="str">
        <v>AM</v>
      </c>
      <c r="D15" s="75" t="str">
        <v>3L</v>
      </c>
      <c r="E15" s="73" t="str">
        <f t="shared" si="3"/>
        <v>GBPAM3L7Y_Quote</v>
      </c>
      <c r="F15" s="73" t="str">
        <f>_xll.qlSimpleQuote(Currency&amp;$C15&amp;$D15&amp;$B15&amp;QuoteSuffix,,RateTickValue,Permanent,Trigger,ObjectOverwrite)</f>
        <v>GBPAM3L7Y_Quote#0000</v>
      </c>
      <c r="G15" s="191" t="str">
        <f>_xll.ohRangeRetrieveError(F15)</f>
        <v/>
      </c>
      <c r="H15" s="33"/>
      <c r="N15" s="118"/>
      <c r="O15" s="352" t="s">
        <v>80</v>
      </c>
      <c r="P15" s="498" t="str">
        <v>AM</v>
      </c>
      <c r="Q15" s="498" t="str">
        <v>3L</v>
      </c>
      <c r="R15" s="394" t="str">
        <f t="shared" si="0"/>
        <v>GBPAM3L7Y</v>
      </c>
      <c r="S15" s="394" t="str">
        <v>GBPAM3L7Y=ICAP</v>
      </c>
      <c r="T15" s="395" t="s">
        <v>233</v>
      </c>
      <c r="U15" s="395" t="s">
        <v>233</v>
      </c>
      <c r="V15" s="395" t="s">
        <v>233</v>
      </c>
      <c r="W15" s="395" t="s">
        <v>233</v>
      </c>
      <c r="X15" s="350" t="e">
        <f>_xll.qlMidSafe($T15,$U15)</f>
        <v>#NUM!</v>
      </c>
      <c r="Y15" s="342"/>
      <c r="Z15" s="349" t="e">
        <v>#NUM!</v>
      </c>
      <c r="AA15" s="342"/>
      <c r="AB15" s="388" t="str">
        <f t="shared" si="1"/>
        <v>GBPAM3L7Y_Quote</v>
      </c>
      <c r="AC15" s="348" t="e">
        <v>#NUM!</v>
      </c>
      <c r="AD15" s="347" t="e">
        <f>_xll.qlSimpleQuoteSetValue($AB15,$AC15/100,Trigger)</f>
        <v>#NUM!</v>
      </c>
      <c r="AE15" s="218"/>
      <c r="AF15" s="64"/>
      <c r="AG15" s="64"/>
      <c r="AH15" s="64"/>
      <c r="AI15" s="64"/>
      <c r="AJ15" s="64"/>
      <c r="AK15" s="376" t="e">
        <f t="shared" si="2"/>
        <v>#VALUE!</v>
      </c>
    </row>
    <row r="16" spans="1:37" x14ac:dyDescent="0.2">
      <c r="A16" s="118"/>
      <c r="B16" s="194" t="s">
        <v>79</v>
      </c>
      <c r="C16" s="75" t="str">
        <v>AM</v>
      </c>
      <c r="D16" s="75" t="str">
        <v>3L</v>
      </c>
      <c r="E16" s="73" t="str">
        <f t="shared" si="3"/>
        <v>GBPAM3L8Y_Quote</v>
      </c>
      <c r="F16" s="73" t="str">
        <f>_xll.qlSimpleQuote(Currency&amp;$C16&amp;$D16&amp;$B16&amp;QuoteSuffix,,RateTickValue,Permanent,Trigger,ObjectOverwrite)</f>
        <v>GBPAM3L8Y_Quote#0000</v>
      </c>
      <c r="G16" s="191" t="str">
        <f>_xll.ohRangeRetrieveError(F16)</f>
        <v/>
      </c>
      <c r="H16" s="33"/>
      <c r="N16" s="118"/>
      <c r="O16" s="352" t="s">
        <v>79</v>
      </c>
      <c r="P16" s="498" t="str">
        <v>AM</v>
      </c>
      <c r="Q16" s="498" t="str">
        <v>3L</v>
      </c>
      <c r="R16" s="394" t="str">
        <f t="shared" si="0"/>
        <v>GBPAM3L8Y</v>
      </c>
      <c r="S16" s="394" t="str">
        <v>GBPAM3L8Y=ICAP</v>
      </c>
      <c r="T16" s="395" t="s">
        <v>233</v>
      </c>
      <c r="U16" s="395" t="s">
        <v>233</v>
      </c>
      <c r="V16" s="395" t="s">
        <v>233</v>
      </c>
      <c r="W16" s="395" t="s">
        <v>233</v>
      </c>
      <c r="X16" s="350" t="e">
        <f>_xll.qlMidSafe($T16,$U16)</f>
        <v>#NUM!</v>
      </c>
      <c r="Y16" s="342"/>
      <c r="Z16" s="349" t="e">
        <v>#NUM!</v>
      </c>
      <c r="AA16" s="342"/>
      <c r="AB16" s="388" t="str">
        <f t="shared" si="1"/>
        <v>GBPAM3L8Y_Quote</v>
      </c>
      <c r="AC16" s="348" t="e">
        <v>#NUM!</v>
      </c>
      <c r="AD16" s="347" t="e">
        <f>_xll.qlSimpleQuoteSetValue($AB16,$AC16/100,Trigger)</f>
        <v>#NUM!</v>
      </c>
      <c r="AE16" s="218"/>
      <c r="AF16" s="64"/>
      <c r="AG16" s="64"/>
      <c r="AH16" s="64"/>
      <c r="AI16" s="64"/>
      <c r="AJ16" s="64"/>
      <c r="AK16" s="376" t="e">
        <f t="shared" si="2"/>
        <v>#VALUE!</v>
      </c>
    </row>
    <row r="17" spans="1:37" x14ac:dyDescent="0.2">
      <c r="A17" s="118"/>
      <c r="B17" s="194" t="s">
        <v>78</v>
      </c>
      <c r="C17" s="75" t="str">
        <v>AM</v>
      </c>
      <c r="D17" s="75" t="str">
        <v>3L</v>
      </c>
      <c r="E17" s="73" t="str">
        <f t="shared" si="3"/>
        <v>GBPAM3L9Y_Quote</v>
      </c>
      <c r="F17" s="73" t="str">
        <f>_xll.qlSimpleQuote(Currency&amp;$C17&amp;$D17&amp;$B17&amp;QuoteSuffix,,RateTickValue,Permanent,Trigger,ObjectOverwrite)</f>
        <v>GBPAM3L9Y_Quote#0000</v>
      </c>
      <c r="G17" s="191" t="str">
        <f>_xll.ohRangeRetrieveError(F17)</f>
        <v/>
      </c>
      <c r="H17" s="33"/>
      <c r="N17" s="118"/>
      <c r="O17" s="352" t="s">
        <v>78</v>
      </c>
      <c r="P17" s="498" t="str">
        <v>AM</v>
      </c>
      <c r="Q17" s="498" t="str">
        <v>3L</v>
      </c>
      <c r="R17" s="394" t="str">
        <f t="shared" si="0"/>
        <v>GBPAM3L9Y</v>
      </c>
      <c r="S17" s="394" t="str">
        <v>GBPAM3L9Y=ICAP</v>
      </c>
      <c r="T17" s="395" t="s">
        <v>233</v>
      </c>
      <c r="U17" s="395" t="s">
        <v>233</v>
      </c>
      <c r="V17" s="395" t="s">
        <v>233</v>
      </c>
      <c r="W17" s="395" t="s">
        <v>233</v>
      </c>
      <c r="X17" s="350" t="e">
        <f>_xll.qlMidSafe($T17,$U17)</f>
        <v>#NUM!</v>
      </c>
      <c r="Y17" s="342"/>
      <c r="Z17" s="349" t="e">
        <v>#NUM!</v>
      </c>
      <c r="AA17" s="342"/>
      <c r="AB17" s="388" t="str">
        <f t="shared" si="1"/>
        <v>GBPAM3L9Y_Quote</v>
      </c>
      <c r="AC17" s="348" t="e">
        <v>#NUM!</v>
      </c>
      <c r="AD17" s="347" t="e">
        <f>_xll.qlSimpleQuoteSetValue($AB17,$AC17/100,Trigger)</f>
        <v>#NUM!</v>
      </c>
      <c r="AE17" s="218"/>
      <c r="AF17" s="64"/>
      <c r="AG17" s="64"/>
      <c r="AH17" s="64"/>
      <c r="AI17" s="64"/>
      <c r="AJ17" s="64"/>
      <c r="AK17" s="376" t="e">
        <f t="shared" si="2"/>
        <v>#VALUE!</v>
      </c>
    </row>
    <row r="18" spans="1:37" x14ac:dyDescent="0.2">
      <c r="A18" s="118"/>
      <c r="B18" s="194" t="s">
        <v>77</v>
      </c>
      <c r="C18" s="75" t="str">
        <v>AM</v>
      </c>
      <c r="D18" s="75" t="str">
        <v>3L</v>
      </c>
      <c r="E18" s="73" t="str">
        <f t="shared" si="3"/>
        <v>GBPAM3L10Y_Quote</v>
      </c>
      <c r="F18" s="73" t="str">
        <f>_xll.qlSimpleQuote(Currency&amp;$C18&amp;$D18&amp;$B18&amp;QuoteSuffix,,RateTickValue,Permanent,Trigger,ObjectOverwrite)</f>
        <v>GBPAM3L10Y_Quote#0000</v>
      </c>
      <c r="G18" s="191" t="str">
        <f>_xll.ohRangeRetrieveError(F18)</f>
        <v/>
      </c>
      <c r="H18" s="33"/>
      <c r="N18" s="118"/>
      <c r="O18" s="352" t="s">
        <v>77</v>
      </c>
      <c r="P18" s="498" t="str">
        <v>AM</v>
      </c>
      <c r="Q18" s="498" t="str">
        <v>3L</v>
      </c>
      <c r="R18" s="394" t="str">
        <f t="shared" si="0"/>
        <v>GBPAM3L10Y</v>
      </c>
      <c r="S18" s="394" t="str">
        <v>GBPAM3L10Y=ICAP</v>
      </c>
      <c r="T18" s="395" t="s">
        <v>233</v>
      </c>
      <c r="U18" s="395" t="s">
        <v>233</v>
      </c>
      <c r="V18" s="395" t="s">
        <v>233</v>
      </c>
      <c r="W18" s="395" t="s">
        <v>233</v>
      </c>
      <c r="X18" s="350" t="e">
        <f>_xll.qlMidSafe($T18,$U18)</f>
        <v>#NUM!</v>
      </c>
      <c r="Y18" s="342"/>
      <c r="Z18" s="349" t="e">
        <v>#NUM!</v>
      </c>
      <c r="AA18" s="342"/>
      <c r="AB18" s="388" t="str">
        <f t="shared" si="1"/>
        <v>GBPAM3L10Y_Quote</v>
      </c>
      <c r="AC18" s="348" t="e">
        <v>#NUM!</v>
      </c>
      <c r="AD18" s="347" t="e">
        <f>_xll.qlSimpleQuoteSetValue($AB18,$AC18/100,Trigger)</f>
        <v>#NUM!</v>
      </c>
      <c r="AE18" s="218"/>
      <c r="AF18" s="64"/>
      <c r="AG18" s="64"/>
      <c r="AH18" s="64"/>
      <c r="AI18" s="64"/>
      <c r="AJ18" s="64"/>
      <c r="AK18" s="376" t="e">
        <f t="shared" si="2"/>
        <v>#VALUE!</v>
      </c>
    </row>
    <row r="19" spans="1:37" x14ac:dyDescent="0.2">
      <c r="A19" s="118"/>
      <c r="B19" s="194" t="s">
        <v>76</v>
      </c>
      <c r="C19" s="75" t="str">
        <v>AM</v>
      </c>
      <c r="D19" s="75" t="str">
        <v>3L</v>
      </c>
      <c r="E19" s="73" t="str">
        <f t="shared" si="3"/>
        <v>GBPAM3L11Y_Quote</v>
      </c>
      <c r="F19" s="73" t="str">
        <f>_xll.qlSimpleQuote(Currency&amp;$C19&amp;$D19&amp;$B19&amp;QuoteSuffix,,RateTickValue,Permanent,Trigger,ObjectOverwrite)</f>
        <v>GBPAM3L11Y_Quote#0000</v>
      </c>
      <c r="G19" s="191" t="str">
        <f>_xll.ohRangeRetrieveError(F19)</f>
        <v/>
      </c>
      <c r="H19" s="33"/>
      <c r="N19" s="118"/>
      <c r="O19" s="352" t="s">
        <v>76</v>
      </c>
      <c r="P19" s="498" t="str">
        <v>AM</v>
      </c>
      <c r="Q19" s="498" t="str">
        <v>3L</v>
      </c>
      <c r="R19" s="394" t="str">
        <f t="shared" si="0"/>
        <v>GBPAM3L11Y</v>
      </c>
      <c r="S19" s="394" t="str">
        <v>GBPAM3L11Y=ICAP</v>
      </c>
      <c r="T19" s="395" t="s">
        <v>233</v>
      </c>
      <c r="U19" s="395" t="s">
        <v>233</v>
      </c>
      <c r="V19" s="395" t="s">
        <v>233</v>
      </c>
      <c r="W19" s="395" t="s">
        <v>233</v>
      </c>
      <c r="X19" s="350" t="e">
        <f>_xll.qlMidSafe($T19,$U19)</f>
        <v>#NUM!</v>
      </c>
      <c r="Y19" s="342"/>
      <c r="Z19" s="349" t="e">
        <v>#NUM!</v>
      </c>
      <c r="AA19" s="342"/>
      <c r="AB19" s="388" t="str">
        <f t="shared" si="1"/>
        <v>GBPAM3L11Y_Quote</v>
      </c>
      <c r="AC19" s="348" t="e">
        <v>#NUM!</v>
      </c>
      <c r="AD19" s="347" t="e">
        <f>_xll.qlSimpleQuoteSetValue($AB19,$AC19/100,Trigger)</f>
        <v>#NUM!</v>
      </c>
      <c r="AE19" s="218"/>
      <c r="AF19" s="64"/>
      <c r="AG19" s="64"/>
      <c r="AH19" s="64"/>
      <c r="AI19" s="64"/>
      <c r="AJ19" s="64"/>
      <c r="AK19" s="376" t="e">
        <f t="shared" si="2"/>
        <v>#VALUE!</v>
      </c>
    </row>
    <row r="20" spans="1:37" x14ac:dyDescent="0.2">
      <c r="A20" s="118"/>
      <c r="B20" s="194" t="s">
        <v>75</v>
      </c>
      <c r="C20" s="75" t="str">
        <v>AM</v>
      </c>
      <c r="D20" s="75" t="str">
        <v>3L</v>
      </c>
      <c r="E20" s="73" t="str">
        <f t="shared" si="3"/>
        <v>GBPAM3L12Y_Quote</v>
      </c>
      <c r="F20" s="73" t="str">
        <f>_xll.qlSimpleQuote(Currency&amp;$C20&amp;$D20&amp;$B20&amp;QuoteSuffix,,RateTickValue,Permanent,Trigger,ObjectOverwrite)</f>
        <v>GBPAM3L12Y_Quote#0000</v>
      </c>
      <c r="G20" s="191" t="str">
        <f>_xll.ohRangeRetrieveError(F20)</f>
        <v/>
      </c>
      <c r="H20" s="33"/>
      <c r="N20" s="118"/>
      <c r="O20" s="352" t="s">
        <v>75</v>
      </c>
      <c r="P20" s="498" t="str">
        <v>AM</v>
      </c>
      <c r="Q20" s="498" t="str">
        <v>3L</v>
      </c>
      <c r="R20" s="394" t="str">
        <f t="shared" si="0"/>
        <v>GBPAM3L12Y</v>
      </c>
      <c r="S20" s="394" t="str">
        <v>GBPAM3L12Y=ICAP</v>
      </c>
      <c r="T20" s="395" t="s">
        <v>233</v>
      </c>
      <c r="U20" s="395" t="s">
        <v>233</v>
      </c>
      <c r="V20" s="395" t="s">
        <v>233</v>
      </c>
      <c r="W20" s="395" t="s">
        <v>233</v>
      </c>
      <c r="X20" s="350" t="e">
        <f>_xll.qlMidSafe($T20,$U20)</f>
        <v>#NUM!</v>
      </c>
      <c r="Y20" s="342"/>
      <c r="Z20" s="349" t="e">
        <v>#NUM!</v>
      </c>
      <c r="AA20" s="342"/>
      <c r="AB20" s="388" t="str">
        <f t="shared" si="1"/>
        <v>GBPAM3L12Y_Quote</v>
      </c>
      <c r="AC20" s="348" t="e">
        <v>#NUM!</v>
      </c>
      <c r="AD20" s="347" t="e">
        <f>_xll.qlSimpleQuoteSetValue($AB20,$AC20/100,Trigger)</f>
        <v>#NUM!</v>
      </c>
      <c r="AE20" s="218"/>
      <c r="AF20" s="64"/>
      <c r="AG20" s="64"/>
      <c r="AH20" s="64"/>
      <c r="AI20" s="64"/>
      <c r="AJ20" s="64"/>
      <c r="AK20" s="376" t="e">
        <f t="shared" si="2"/>
        <v>#VALUE!</v>
      </c>
    </row>
    <row r="21" spans="1:37" x14ac:dyDescent="0.2">
      <c r="A21" s="118"/>
      <c r="B21" s="194" t="s">
        <v>74</v>
      </c>
      <c r="C21" s="75" t="str">
        <v>AM</v>
      </c>
      <c r="D21" s="75" t="str">
        <v>3L</v>
      </c>
      <c r="E21" s="73" t="str">
        <f t="shared" si="3"/>
        <v>GBPAM3L13Y_Quote</v>
      </c>
      <c r="F21" s="73" t="str">
        <f>_xll.qlSimpleQuote(Currency&amp;$C21&amp;$D21&amp;$B21&amp;QuoteSuffix,,RateTickValue,Permanent,Trigger,ObjectOverwrite)</f>
        <v>GBPAM3L13Y_Quote#0000</v>
      </c>
      <c r="G21" s="191" t="str">
        <f>_xll.ohRangeRetrieveError(F21)</f>
        <v/>
      </c>
      <c r="H21" s="33"/>
      <c r="N21" s="118"/>
      <c r="O21" s="352" t="s">
        <v>74</v>
      </c>
      <c r="P21" s="498" t="str">
        <v>AM</v>
      </c>
      <c r="Q21" s="498" t="str">
        <v>3L</v>
      </c>
      <c r="R21" s="394" t="str">
        <f t="shared" si="0"/>
        <v>GBPAM3L13Y</v>
      </c>
      <c r="S21" s="394" t="str">
        <v>GBPAM3L13Y=ICAP</v>
      </c>
      <c r="T21" s="395" t="s">
        <v>233</v>
      </c>
      <c r="U21" s="395" t="s">
        <v>233</v>
      </c>
      <c r="V21" s="395" t="s">
        <v>233</v>
      </c>
      <c r="W21" s="395" t="s">
        <v>233</v>
      </c>
      <c r="X21" s="350" t="e">
        <f>_xll.qlMidSafe($T21,$U21)</f>
        <v>#NUM!</v>
      </c>
      <c r="Y21" s="342"/>
      <c r="Z21" s="349" t="e">
        <v>#NUM!</v>
      </c>
      <c r="AA21" s="342"/>
      <c r="AB21" s="388" t="str">
        <f t="shared" si="1"/>
        <v>GBPAM3L13Y_Quote</v>
      </c>
      <c r="AC21" s="348" t="e">
        <v>#NUM!</v>
      </c>
      <c r="AD21" s="347" t="e">
        <f>_xll.qlSimpleQuoteSetValue($AB21,$AC21/100,Trigger)</f>
        <v>#NUM!</v>
      </c>
      <c r="AE21" s="218"/>
      <c r="AF21" s="64"/>
      <c r="AG21" s="64"/>
      <c r="AH21" s="64"/>
      <c r="AI21" s="64"/>
      <c r="AJ21" s="64"/>
      <c r="AK21" s="376" t="e">
        <f t="shared" si="2"/>
        <v>#VALUE!</v>
      </c>
    </row>
    <row r="22" spans="1:37" x14ac:dyDescent="0.2">
      <c r="A22" s="118"/>
      <c r="B22" s="194" t="s">
        <v>73</v>
      </c>
      <c r="C22" s="75" t="str">
        <v>AM</v>
      </c>
      <c r="D22" s="75" t="str">
        <v>3L</v>
      </c>
      <c r="E22" s="73" t="str">
        <f t="shared" si="3"/>
        <v>GBPAM3L14Y_Quote</v>
      </c>
      <c r="F22" s="73" t="str">
        <f>_xll.qlSimpleQuote(Currency&amp;$C22&amp;$D22&amp;$B22&amp;QuoteSuffix,,RateTickValue,Permanent,Trigger,ObjectOverwrite)</f>
        <v>GBPAM3L14Y_Quote#0000</v>
      </c>
      <c r="G22" s="191" t="str">
        <f>_xll.ohRangeRetrieveError(F22)</f>
        <v/>
      </c>
      <c r="H22" s="33"/>
      <c r="N22" s="118"/>
      <c r="O22" s="352" t="s">
        <v>73</v>
      </c>
      <c r="P22" s="498" t="str">
        <v>AM</v>
      </c>
      <c r="Q22" s="498" t="str">
        <v>3L</v>
      </c>
      <c r="R22" s="394" t="str">
        <f t="shared" si="0"/>
        <v>GBPAM3L14Y</v>
      </c>
      <c r="S22" s="394" t="str">
        <v>GBPAM3L14Y=ICAP</v>
      </c>
      <c r="T22" s="395" t="s">
        <v>233</v>
      </c>
      <c r="U22" s="395" t="s">
        <v>233</v>
      </c>
      <c r="V22" s="395" t="s">
        <v>233</v>
      </c>
      <c r="W22" s="395" t="s">
        <v>233</v>
      </c>
      <c r="X22" s="350" t="e">
        <f>_xll.qlMidSafe($T22,$U22)</f>
        <v>#NUM!</v>
      </c>
      <c r="Y22" s="342"/>
      <c r="Z22" s="349" t="e">
        <v>#NUM!</v>
      </c>
      <c r="AA22" s="342"/>
      <c r="AB22" s="388" t="str">
        <f t="shared" si="1"/>
        <v>GBPAM3L14Y_Quote</v>
      </c>
      <c r="AC22" s="348" t="e">
        <v>#NUM!</v>
      </c>
      <c r="AD22" s="347" t="e">
        <f>_xll.qlSimpleQuoteSetValue($AB22,$AC22/100,Trigger)</f>
        <v>#NUM!</v>
      </c>
      <c r="AE22" s="218"/>
      <c r="AF22" s="64"/>
      <c r="AG22" s="64"/>
      <c r="AH22" s="64"/>
      <c r="AI22" s="64"/>
      <c r="AJ22" s="64"/>
      <c r="AK22" s="376" t="e">
        <f t="shared" si="2"/>
        <v>#VALUE!</v>
      </c>
    </row>
    <row r="23" spans="1:37" x14ac:dyDescent="0.2">
      <c r="A23" s="118"/>
      <c r="B23" s="194" t="s">
        <v>72</v>
      </c>
      <c r="C23" s="75" t="str">
        <v>AM</v>
      </c>
      <c r="D23" s="75" t="str">
        <v>3L</v>
      </c>
      <c r="E23" s="73" t="str">
        <f t="shared" si="3"/>
        <v>GBPAM3L15Y_Quote</v>
      </c>
      <c r="F23" s="73" t="str">
        <f>_xll.qlSimpleQuote(Currency&amp;$C23&amp;$D23&amp;$B23&amp;QuoteSuffix,,RateTickValue,Permanent,Trigger,ObjectOverwrite)</f>
        <v>GBPAM3L15Y_Quote#0000</v>
      </c>
      <c r="G23" s="191" t="str">
        <f>_xll.ohRangeRetrieveError(F23)</f>
        <v/>
      </c>
      <c r="H23" s="33"/>
      <c r="N23" s="118"/>
      <c r="O23" s="352" t="s">
        <v>72</v>
      </c>
      <c r="P23" s="498" t="str">
        <v>AM</v>
      </c>
      <c r="Q23" s="498" t="str">
        <v>3L</v>
      </c>
      <c r="R23" s="394" t="str">
        <f t="shared" si="0"/>
        <v>GBPAM3L15Y</v>
      </c>
      <c r="S23" s="394" t="str">
        <v>GBPAM3L15Y=ICAP</v>
      </c>
      <c r="T23" s="395" t="s">
        <v>233</v>
      </c>
      <c r="U23" s="395" t="s">
        <v>233</v>
      </c>
      <c r="V23" s="395" t="s">
        <v>233</v>
      </c>
      <c r="W23" s="395" t="s">
        <v>233</v>
      </c>
      <c r="X23" s="350" t="e">
        <f>_xll.qlMidSafe($T23,$U23)</f>
        <v>#NUM!</v>
      </c>
      <c r="Y23" s="342"/>
      <c r="Z23" s="349" t="e">
        <v>#NUM!</v>
      </c>
      <c r="AA23" s="342"/>
      <c r="AB23" s="388" t="str">
        <f t="shared" si="1"/>
        <v>GBPAM3L15Y_Quote</v>
      </c>
      <c r="AC23" s="348" t="e">
        <v>#NUM!</v>
      </c>
      <c r="AD23" s="347" t="e">
        <f>_xll.qlSimpleQuoteSetValue($AB23,$AC23/100,Trigger)</f>
        <v>#NUM!</v>
      </c>
      <c r="AE23" s="218"/>
      <c r="AF23" s="64"/>
      <c r="AG23" s="64"/>
      <c r="AH23" s="64"/>
      <c r="AI23" s="64"/>
      <c r="AJ23" s="64"/>
      <c r="AK23" s="376" t="e">
        <f t="shared" si="2"/>
        <v>#VALUE!</v>
      </c>
    </row>
    <row r="24" spans="1:37" x14ac:dyDescent="0.2">
      <c r="A24" s="118"/>
      <c r="B24" s="194" t="s">
        <v>71</v>
      </c>
      <c r="C24" s="75" t="str">
        <v>AM</v>
      </c>
      <c r="D24" s="75" t="str">
        <v>3L</v>
      </c>
      <c r="E24" s="73" t="str">
        <f t="shared" si="3"/>
        <v>GBPAM3L16Y_Quote</v>
      </c>
      <c r="F24" s="73" t="str">
        <f>_xll.qlSimpleQuote(Currency&amp;$C24&amp;$D24&amp;$B24&amp;QuoteSuffix,,RateTickValue,Permanent,Trigger,ObjectOverwrite)</f>
        <v>GBPAM3L16Y_Quote#0000</v>
      </c>
      <c r="G24" s="191" t="str">
        <f>_xll.ohRangeRetrieveError(F24)</f>
        <v/>
      </c>
      <c r="H24" s="33"/>
      <c r="N24" s="118"/>
      <c r="O24" s="352" t="s">
        <v>71</v>
      </c>
      <c r="P24" s="498" t="str">
        <v>AM</v>
      </c>
      <c r="Q24" s="498" t="str">
        <v>3L</v>
      </c>
      <c r="R24" s="394" t="str">
        <f t="shared" si="0"/>
        <v>GBPAM3L16Y</v>
      </c>
      <c r="S24" s="394" t="str">
        <v>GBPAM3L16Y=ICAP</v>
      </c>
      <c r="T24" s="395" t="s">
        <v>233</v>
      </c>
      <c r="U24" s="395" t="s">
        <v>233</v>
      </c>
      <c r="V24" s="395" t="s">
        <v>233</v>
      </c>
      <c r="W24" s="395" t="s">
        <v>233</v>
      </c>
      <c r="X24" s="350" t="e">
        <f>_xll.qlMidSafe($T24,$U24)</f>
        <v>#NUM!</v>
      </c>
      <c r="Y24" s="342"/>
      <c r="Z24" s="349" t="e">
        <v>#NUM!</v>
      </c>
      <c r="AA24" s="342"/>
      <c r="AB24" s="388" t="str">
        <f t="shared" si="1"/>
        <v>GBPAM3L16Y_Quote</v>
      </c>
      <c r="AC24" s="348" t="e">
        <v>#NUM!</v>
      </c>
      <c r="AD24" s="347" t="e">
        <f>_xll.qlSimpleQuoteSetValue($AB24,$AC24/100,Trigger)</f>
        <v>#NUM!</v>
      </c>
      <c r="AE24" s="218"/>
      <c r="AF24" s="64"/>
      <c r="AG24" s="64"/>
      <c r="AH24" s="64"/>
      <c r="AI24" s="64"/>
      <c r="AJ24" s="64"/>
      <c r="AK24" s="376" t="e">
        <f t="shared" si="2"/>
        <v>#VALUE!</v>
      </c>
    </row>
    <row r="25" spans="1:37" x14ac:dyDescent="0.2">
      <c r="A25" s="118"/>
      <c r="B25" s="194" t="s">
        <v>70</v>
      </c>
      <c r="C25" s="75" t="str">
        <v>AM</v>
      </c>
      <c r="D25" s="75" t="str">
        <v>3L</v>
      </c>
      <c r="E25" s="73" t="str">
        <f t="shared" si="3"/>
        <v>GBPAM3L17Y_Quote</v>
      </c>
      <c r="F25" s="73" t="str">
        <f>_xll.qlSimpleQuote(Currency&amp;$C25&amp;$D25&amp;$B25&amp;QuoteSuffix,,RateTickValue,Permanent,Trigger,ObjectOverwrite)</f>
        <v>GBPAM3L17Y_Quote#0000</v>
      </c>
      <c r="G25" s="191" t="str">
        <f>_xll.ohRangeRetrieveError(F25)</f>
        <v/>
      </c>
      <c r="H25" s="33"/>
      <c r="N25" s="118"/>
      <c r="O25" s="352" t="s">
        <v>70</v>
      </c>
      <c r="P25" s="498" t="str">
        <v>AM</v>
      </c>
      <c r="Q25" s="498" t="str">
        <v>3L</v>
      </c>
      <c r="R25" s="394" t="str">
        <f t="shared" si="0"/>
        <v>GBPAM3L17Y</v>
      </c>
      <c r="S25" s="394" t="str">
        <v>GBPAM3L17Y=ICAP</v>
      </c>
      <c r="T25" s="395" t="s">
        <v>233</v>
      </c>
      <c r="U25" s="395" t="s">
        <v>233</v>
      </c>
      <c r="V25" s="395" t="s">
        <v>233</v>
      </c>
      <c r="W25" s="395" t="s">
        <v>233</v>
      </c>
      <c r="X25" s="350" t="e">
        <f>_xll.qlMidSafe($T25,$U25)</f>
        <v>#NUM!</v>
      </c>
      <c r="Y25" s="342"/>
      <c r="Z25" s="349" t="e">
        <v>#NUM!</v>
      </c>
      <c r="AA25" s="342"/>
      <c r="AB25" s="388" t="str">
        <f t="shared" si="1"/>
        <v>GBPAM3L17Y_Quote</v>
      </c>
      <c r="AC25" s="348" t="e">
        <v>#NUM!</v>
      </c>
      <c r="AD25" s="347" t="e">
        <f>_xll.qlSimpleQuoteSetValue($AB25,$AC25/100,Trigger)</f>
        <v>#NUM!</v>
      </c>
      <c r="AE25" s="218"/>
      <c r="AF25" s="64"/>
      <c r="AG25" s="64"/>
      <c r="AH25" s="64"/>
      <c r="AI25" s="64"/>
      <c r="AJ25" s="64"/>
      <c r="AK25" s="376" t="e">
        <f t="shared" si="2"/>
        <v>#VALUE!</v>
      </c>
    </row>
    <row r="26" spans="1:37" x14ac:dyDescent="0.2">
      <c r="A26" s="118"/>
      <c r="B26" s="194" t="s">
        <v>69</v>
      </c>
      <c r="C26" s="75" t="str">
        <v>AM</v>
      </c>
      <c r="D26" s="75" t="str">
        <v>3L</v>
      </c>
      <c r="E26" s="73" t="str">
        <f t="shared" si="3"/>
        <v>GBPAM3L18Y_Quote</v>
      </c>
      <c r="F26" s="73" t="str">
        <f>_xll.qlSimpleQuote(Currency&amp;$C26&amp;$D26&amp;$B26&amp;QuoteSuffix,,RateTickValue,Permanent,Trigger,ObjectOverwrite)</f>
        <v>GBPAM3L18Y_Quote#0000</v>
      </c>
      <c r="G26" s="191" t="str">
        <f>_xll.ohRangeRetrieveError(F26)</f>
        <v/>
      </c>
      <c r="H26" s="33"/>
      <c r="N26" s="118"/>
      <c r="O26" s="352" t="s">
        <v>69</v>
      </c>
      <c r="P26" s="498" t="str">
        <v>AM</v>
      </c>
      <c r="Q26" s="498" t="str">
        <v>3L</v>
      </c>
      <c r="R26" s="394" t="str">
        <f t="shared" si="0"/>
        <v>GBPAM3L18Y</v>
      </c>
      <c r="S26" s="394" t="str">
        <v>GBPAM3L18Y=ICAP</v>
      </c>
      <c r="T26" s="395" t="s">
        <v>233</v>
      </c>
      <c r="U26" s="395" t="s">
        <v>233</v>
      </c>
      <c r="V26" s="395" t="s">
        <v>233</v>
      </c>
      <c r="W26" s="395" t="s">
        <v>233</v>
      </c>
      <c r="X26" s="350" t="e">
        <f>_xll.qlMidSafe($T26,$U26)</f>
        <v>#NUM!</v>
      </c>
      <c r="Y26" s="342"/>
      <c r="Z26" s="349" t="e">
        <v>#NUM!</v>
      </c>
      <c r="AA26" s="342"/>
      <c r="AB26" s="388" t="str">
        <f t="shared" si="1"/>
        <v>GBPAM3L18Y_Quote</v>
      </c>
      <c r="AC26" s="348" t="e">
        <v>#NUM!</v>
      </c>
      <c r="AD26" s="347" t="e">
        <f>_xll.qlSimpleQuoteSetValue($AB26,$AC26/100,Trigger)</f>
        <v>#NUM!</v>
      </c>
      <c r="AE26" s="218"/>
      <c r="AF26" s="64"/>
      <c r="AG26" s="64"/>
      <c r="AH26" s="64"/>
      <c r="AI26" s="64"/>
      <c r="AJ26" s="64"/>
      <c r="AK26" s="376" t="e">
        <f t="shared" si="2"/>
        <v>#VALUE!</v>
      </c>
    </row>
    <row r="27" spans="1:37" x14ac:dyDescent="0.2">
      <c r="A27" s="118"/>
      <c r="B27" s="194" t="s">
        <v>68</v>
      </c>
      <c r="C27" s="75" t="str">
        <v>AM</v>
      </c>
      <c r="D27" s="75" t="str">
        <v>3L</v>
      </c>
      <c r="E27" s="73" t="str">
        <f t="shared" si="3"/>
        <v>GBPAM3L19Y_Quote</v>
      </c>
      <c r="F27" s="73" t="str">
        <f>_xll.qlSimpleQuote(Currency&amp;$C27&amp;$D27&amp;$B27&amp;QuoteSuffix,,RateTickValue,Permanent,Trigger,ObjectOverwrite)</f>
        <v>GBPAM3L19Y_Quote#0000</v>
      </c>
      <c r="G27" s="191" t="str">
        <f>_xll.ohRangeRetrieveError(F27)</f>
        <v/>
      </c>
      <c r="H27" s="33"/>
      <c r="N27" s="118"/>
      <c r="O27" s="352" t="s">
        <v>68</v>
      </c>
      <c r="P27" s="498" t="str">
        <v>AM</v>
      </c>
      <c r="Q27" s="498" t="str">
        <v>3L</v>
      </c>
      <c r="R27" s="394" t="str">
        <f t="shared" si="0"/>
        <v>GBPAM3L19Y</v>
      </c>
      <c r="S27" s="394" t="str">
        <v>GBPAM3L19Y=ICAP</v>
      </c>
      <c r="T27" s="395" t="s">
        <v>233</v>
      </c>
      <c r="U27" s="395" t="s">
        <v>233</v>
      </c>
      <c r="V27" s="395" t="s">
        <v>233</v>
      </c>
      <c r="W27" s="395" t="s">
        <v>233</v>
      </c>
      <c r="X27" s="350" t="e">
        <f>_xll.qlMidSafe($T27,$U27)</f>
        <v>#NUM!</v>
      </c>
      <c r="Y27" s="342"/>
      <c r="Z27" s="349" t="e">
        <v>#NUM!</v>
      </c>
      <c r="AA27" s="342"/>
      <c r="AB27" s="388" t="str">
        <f t="shared" si="1"/>
        <v>GBPAM3L19Y_Quote</v>
      </c>
      <c r="AC27" s="348" t="e">
        <v>#NUM!</v>
      </c>
      <c r="AD27" s="347" t="e">
        <f>_xll.qlSimpleQuoteSetValue($AB27,$AC27/100,Trigger)</f>
        <v>#NUM!</v>
      </c>
      <c r="AE27" s="218"/>
      <c r="AF27" s="64"/>
      <c r="AG27" s="64"/>
      <c r="AH27" s="64"/>
      <c r="AI27" s="64"/>
      <c r="AJ27" s="64"/>
      <c r="AK27" s="376" t="e">
        <f t="shared" si="2"/>
        <v>#VALUE!</v>
      </c>
    </row>
    <row r="28" spans="1:37" x14ac:dyDescent="0.2">
      <c r="A28" s="118"/>
      <c r="B28" s="194" t="s">
        <v>67</v>
      </c>
      <c r="C28" s="75" t="str">
        <v>AM</v>
      </c>
      <c r="D28" s="75" t="str">
        <v>3L</v>
      </c>
      <c r="E28" s="73" t="str">
        <f t="shared" si="3"/>
        <v>GBPAM3L20Y_Quote</v>
      </c>
      <c r="F28" s="73" t="str">
        <f>_xll.qlSimpleQuote(Currency&amp;$C28&amp;$D28&amp;$B28&amp;QuoteSuffix,,RateTickValue,Permanent,Trigger,ObjectOverwrite)</f>
        <v>GBPAM3L20Y_Quote#0000</v>
      </c>
      <c r="G28" s="191" t="str">
        <f>_xll.ohRangeRetrieveError(F28)</f>
        <v/>
      </c>
      <c r="H28" s="33"/>
      <c r="N28" s="118"/>
      <c r="O28" s="352" t="s">
        <v>67</v>
      </c>
      <c r="P28" s="498" t="str">
        <v>AM</v>
      </c>
      <c r="Q28" s="498" t="str">
        <v>3L</v>
      </c>
      <c r="R28" s="394" t="str">
        <f t="shared" si="0"/>
        <v>GBPAM3L20Y</v>
      </c>
      <c r="S28" s="394" t="str">
        <v>GBPAM3L20Y=ICAP</v>
      </c>
      <c r="T28" s="395" t="s">
        <v>233</v>
      </c>
      <c r="U28" s="395" t="s">
        <v>233</v>
      </c>
      <c r="V28" s="395" t="s">
        <v>233</v>
      </c>
      <c r="W28" s="395" t="s">
        <v>233</v>
      </c>
      <c r="X28" s="350" t="e">
        <f>_xll.qlMidSafe($T28,$U28)</f>
        <v>#NUM!</v>
      </c>
      <c r="Y28" s="342"/>
      <c r="Z28" s="349" t="e">
        <v>#NUM!</v>
      </c>
      <c r="AA28" s="342"/>
      <c r="AB28" s="388" t="str">
        <f t="shared" si="1"/>
        <v>GBPAM3L20Y_Quote</v>
      </c>
      <c r="AC28" s="348" t="e">
        <v>#NUM!</v>
      </c>
      <c r="AD28" s="347" t="e">
        <f>_xll.qlSimpleQuoteSetValue($AB28,$AC28/100,Trigger)</f>
        <v>#NUM!</v>
      </c>
      <c r="AE28" s="218"/>
      <c r="AF28" s="64"/>
      <c r="AG28" s="64"/>
      <c r="AH28" s="64"/>
      <c r="AI28" s="64"/>
      <c r="AJ28" s="64"/>
      <c r="AK28" s="376" t="e">
        <f t="shared" si="2"/>
        <v>#VALUE!</v>
      </c>
    </row>
    <row r="29" spans="1:37" x14ac:dyDescent="0.2">
      <c r="A29" s="118"/>
      <c r="B29" s="194" t="s">
        <v>66</v>
      </c>
      <c r="C29" s="75" t="str">
        <v>AM</v>
      </c>
      <c r="D29" s="75" t="str">
        <v>3L</v>
      </c>
      <c r="E29" s="73" t="str">
        <f t="shared" si="3"/>
        <v>GBPAM3L21Y_Quote</v>
      </c>
      <c r="F29" s="73" t="str">
        <f>_xll.qlSimpleQuote(Currency&amp;$C29&amp;$D29&amp;$B29&amp;QuoteSuffix,,RateTickValue,Permanent,Trigger,ObjectOverwrite)</f>
        <v>GBPAM3L21Y_Quote#0000</v>
      </c>
      <c r="G29" s="191" t="str">
        <f>_xll.ohRangeRetrieveError(F29)</f>
        <v/>
      </c>
      <c r="H29" s="33"/>
      <c r="N29" s="118"/>
      <c r="O29" s="352" t="s">
        <v>66</v>
      </c>
      <c r="P29" s="499" t="str">
        <v>AM</v>
      </c>
      <c r="Q29" s="499" t="str">
        <v>3L</v>
      </c>
      <c r="R29" s="394" t="str">
        <f t="shared" si="0"/>
        <v>GBPAM3L21Y</v>
      </c>
      <c r="S29" s="394" t="str">
        <v>GBPAM3L21Y=ICAP</v>
      </c>
      <c r="T29" s="395" t="s">
        <v>233</v>
      </c>
      <c r="U29" s="395" t="s">
        <v>233</v>
      </c>
      <c r="V29" s="395" t="s">
        <v>233</v>
      </c>
      <c r="W29" s="395" t="s">
        <v>233</v>
      </c>
      <c r="X29" s="350" t="e">
        <f>_xll.qlMidSafe($T29,$U29)</f>
        <v>#NUM!</v>
      </c>
      <c r="Y29" s="342"/>
      <c r="Z29" s="349" t="e">
        <v>#NUM!</v>
      </c>
      <c r="AA29" s="342"/>
      <c r="AB29" s="388" t="str">
        <f t="shared" si="1"/>
        <v>GBPAM3L21Y_Quote</v>
      </c>
      <c r="AC29" s="348" t="e">
        <v>#NUM!</v>
      </c>
      <c r="AD29" s="347" t="e">
        <f>_xll.qlSimpleQuoteSetValue($AB29,$AC29/100,Trigger)</f>
        <v>#NUM!</v>
      </c>
      <c r="AE29" s="218"/>
      <c r="AF29" s="64"/>
      <c r="AG29" s="64"/>
      <c r="AH29" s="64"/>
      <c r="AI29" s="64"/>
      <c r="AJ29" s="64"/>
      <c r="AK29" s="376" t="e">
        <f t="shared" si="2"/>
        <v>#VALUE!</v>
      </c>
    </row>
    <row r="30" spans="1:37" x14ac:dyDescent="0.2">
      <c r="A30" s="118"/>
      <c r="B30" s="194" t="s">
        <v>65</v>
      </c>
      <c r="C30" s="75" t="str">
        <v>AM</v>
      </c>
      <c r="D30" s="75" t="str">
        <v>3L</v>
      </c>
      <c r="E30" s="73" t="str">
        <f t="shared" si="3"/>
        <v>GBPAM3L22Y_Quote</v>
      </c>
      <c r="F30" s="73" t="str">
        <f>_xll.qlSimpleQuote(Currency&amp;$C30&amp;$D30&amp;$B30&amp;QuoteSuffix,,RateTickValue,Permanent,Trigger,ObjectOverwrite)</f>
        <v>GBPAM3L22Y_Quote#0000</v>
      </c>
      <c r="G30" s="191" t="str">
        <f>_xll.ohRangeRetrieveError(F30)</f>
        <v/>
      </c>
      <c r="H30" s="33"/>
      <c r="N30" s="118"/>
      <c r="O30" s="352" t="s">
        <v>65</v>
      </c>
      <c r="P30" s="498" t="str">
        <v>AM</v>
      </c>
      <c r="Q30" s="498" t="str">
        <v>3L</v>
      </c>
      <c r="R30" s="394" t="str">
        <f t="shared" si="0"/>
        <v>GBPAM3L22Y</v>
      </c>
      <c r="S30" s="394" t="str">
        <v>GBPAM3L22Y=ICAP</v>
      </c>
      <c r="T30" s="395" t="s">
        <v>233</v>
      </c>
      <c r="U30" s="395" t="s">
        <v>233</v>
      </c>
      <c r="V30" s="395" t="s">
        <v>233</v>
      </c>
      <c r="W30" s="395" t="s">
        <v>233</v>
      </c>
      <c r="X30" s="350" t="e">
        <f>_xll.qlMidSafe($T30,$U30)</f>
        <v>#NUM!</v>
      </c>
      <c r="Y30" s="342"/>
      <c r="Z30" s="349" t="e">
        <v>#NUM!</v>
      </c>
      <c r="AA30" s="342"/>
      <c r="AB30" s="388" t="str">
        <f t="shared" si="1"/>
        <v>GBPAM3L22Y_Quote</v>
      </c>
      <c r="AC30" s="348" t="e">
        <v>#NUM!</v>
      </c>
      <c r="AD30" s="347" t="e">
        <f>_xll.qlSimpleQuoteSetValue($AB30,$AC30/100,Trigger)</f>
        <v>#NUM!</v>
      </c>
      <c r="AE30" s="218"/>
      <c r="AF30" s="64"/>
      <c r="AG30" s="64"/>
      <c r="AH30" s="64"/>
      <c r="AI30" s="64"/>
      <c r="AJ30" s="64"/>
      <c r="AK30" s="376" t="e">
        <f t="shared" si="2"/>
        <v>#VALUE!</v>
      </c>
    </row>
    <row r="31" spans="1:37" x14ac:dyDescent="0.2">
      <c r="A31" s="118"/>
      <c r="B31" s="194" t="s">
        <v>64</v>
      </c>
      <c r="C31" s="75" t="str">
        <v>AM</v>
      </c>
      <c r="D31" s="75" t="str">
        <v>3L</v>
      </c>
      <c r="E31" s="73" t="str">
        <f t="shared" si="3"/>
        <v>GBPAM3L23Y_Quote</v>
      </c>
      <c r="F31" s="73" t="str">
        <f>_xll.qlSimpleQuote(Currency&amp;$C31&amp;$D31&amp;$B31&amp;QuoteSuffix,,RateTickValue,Permanent,Trigger,ObjectOverwrite)</f>
        <v>GBPAM3L23Y_Quote#0000</v>
      </c>
      <c r="G31" s="191" t="str">
        <f>_xll.ohRangeRetrieveError(F31)</f>
        <v/>
      </c>
      <c r="H31" s="33"/>
      <c r="N31" s="118"/>
      <c r="O31" s="352" t="s">
        <v>64</v>
      </c>
      <c r="P31" s="498" t="str">
        <v>AM</v>
      </c>
      <c r="Q31" s="498" t="str">
        <v>3L</v>
      </c>
      <c r="R31" s="394" t="str">
        <f t="shared" si="0"/>
        <v>GBPAM3L23Y</v>
      </c>
      <c r="S31" s="394" t="str">
        <v>GBPAM3L23Y=ICAP</v>
      </c>
      <c r="T31" s="395" t="s">
        <v>233</v>
      </c>
      <c r="U31" s="395" t="s">
        <v>233</v>
      </c>
      <c r="V31" s="395" t="s">
        <v>233</v>
      </c>
      <c r="W31" s="395" t="s">
        <v>233</v>
      </c>
      <c r="X31" s="350" t="e">
        <f>_xll.qlMidSafe($T31,$U31)</f>
        <v>#NUM!</v>
      </c>
      <c r="Y31" s="342"/>
      <c r="Z31" s="349" t="e">
        <v>#NUM!</v>
      </c>
      <c r="AA31" s="342"/>
      <c r="AB31" s="388" t="str">
        <f t="shared" si="1"/>
        <v>GBPAM3L23Y_Quote</v>
      </c>
      <c r="AC31" s="348" t="e">
        <v>#NUM!</v>
      </c>
      <c r="AD31" s="347" t="e">
        <f>_xll.qlSimpleQuoteSetValue($AB31,$AC31/100,Trigger)</f>
        <v>#NUM!</v>
      </c>
      <c r="AE31" s="218"/>
      <c r="AF31" s="64"/>
      <c r="AG31" s="64"/>
      <c r="AH31" s="64"/>
      <c r="AI31" s="64"/>
      <c r="AJ31" s="64"/>
      <c r="AK31" s="376" t="e">
        <f t="shared" si="2"/>
        <v>#VALUE!</v>
      </c>
    </row>
    <row r="32" spans="1:37" x14ac:dyDescent="0.2">
      <c r="A32" s="118"/>
      <c r="B32" s="194" t="s">
        <v>63</v>
      </c>
      <c r="C32" s="75" t="str">
        <v>AM</v>
      </c>
      <c r="D32" s="75" t="str">
        <v>3L</v>
      </c>
      <c r="E32" s="73" t="str">
        <f t="shared" si="3"/>
        <v>GBPAM3L24Y_Quote</v>
      </c>
      <c r="F32" s="73" t="str">
        <f>_xll.qlSimpleQuote(Currency&amp;$C32&amp;$D32&amp;$B32&amp;QuoteSuffix,,RateTickValue,Permanent,Trigger,ObjectOverwrite)</f>
        <v>GBPAM3L24Y_Quote#0000</v>
      </c>
      <c r="G32" s="191" t="str">
        <f>_xll.ohRangeRetrieveError(F32)</f>
        <v/>
      </c>
      <c r="H32" s="33"/>
      <c r="N32" s="118"/>
      <c r="O32" s="352" t="s">
        <v>63</v>
      </c>
      <c r="P32" s="498" t="str">
        <v>AM</v>
      </c>
      <c r="Q32" s="498" t="str">
        <v>3L</v>
      </c>
      <c r="R32" s="394" t="str">
        <f t="shared" si="0"/>
        <v>GBPAM3L24Y</v>
      </c>
      <c r="S32" s="394" t="str">
        <v>GBPAM3L24Y=ICAP</v>
      </c>
      <c r="T32" s="395" t="s">
        <v>233</v>
      </c>
      <c r="U32" s="395" t="s">
        <v>233</v>
      </c>
      <c r="V32" s="395" t="s">
        <v>233</v>
      </c>
      <c r="W32" s="395" t="s">
        <v>233</v>
      </c>
      <c r="X32" s="350" t="e">
        <f>_xll.qlMidSafe($T32,$U32)</f>
        <v>#NUM!</v>
      </c>
      <c r="Y32" s="342"/>
      <c r="Z32" s="349" t="e">
        <v>#NUM!</v>
      </c>
      <c r="AA32" s="342"/>
      <c r="AB32" s="388" t="str">
        <f t="shared" si="1"/>
        <v>GBPAM3L24Y_Quote</v>
      </c>
      <c r="AC32" s="348" t="e">
        <v>#NUM!</v>
      </c>
      <c r="AD32" s="347" t="e">
        <f>_xll.qlSimpleQuoteSetValue($AB32,$AC32/100,Trigger)</f>
        <v>#NUM!</v>
      </c>
      <c r="AE32" s="218"/>
      <c r="AF32" s="64"/>
      <c r="AG32" s="64"/>
      <c r="AH32" s="64"/>
      <c r="AI32" s="64"/>
      <c r="AJ32" s="64"/>
      <c r="AK32" s="376" t="e">
        <f t="shared" si="2"/>
        <v>#VALUE!</v>
      </c>
    </row>
    <row r="33" spans="1:37" x14ac:dyDescent="0.2">
      <c r="A33" s="118"/>
      <c r="B33" s="194" t="s">
        <v>62</v>
      </c>
      <c r="C33" s="75" t="str">
        <v>AM</v>
      </c>
      <c r="D33" s="75" t="str">
        <v>3L</v>
      </c>
      <c r="E33" s="73" t="str">
        <f t="shared" si="3"/>
        <v>GBPAM3L25Y_Quote</v>
      </c>
      <c r="F33" s="73" t="str">
        <f>_xll.qlSimpleQuote(Currency&amp;$C33&amp;$D33&amp;$B33&amp;QuoteSuffix,,RateTickValue,Permanent,Trigger,ObjectOverwrite)</f>
        <v>GBPAM3L25Y_Quote#0000</v>
      </c>
      <c r="G33" s="191" t="str">
        <f>_xll.ohRangeRetrieveError(F33)</f>
        <v/>
      </c>
      <c r="H33" s="33"/>
      <c r="N33" s="118"/>
      <c r="O33" s="352" t="s">
        <v>62</v>
      </c>
      <c r="P33" s="498" t="str">
        <v>AM</v>
      </c>
      <c r="Q33" s="498" t="str">
        <v>3L</v>
      </c>
      <c r="R33" s="394" t="str">
        <f t="shared" si="0"/>
        <v>GBPAM3L25Y</v>
      </c>
      <c r="S33" s="394" t="str">
        <v>GBPAM3L25Y=ICAP</v>
      </c>
      <c r="T33" s="395" t="s">
        <v>233</v>
      </c>
      <c r="U33" s="395" t="s">
        <v>233</v>
      </c>
      <c r="V33" s="395" t="s">
        <v>233</v>
      </c>
      <c r="W33" s="395" t="s">
        <v>233</v>
      </c>
      <c r="X33" s="350" t="e">
        <f>_xll.qlMidSafe($T33,$U33)</f>
        <v>#NUM!</v>
      </c>
      <c r="Y33" s="342"/>
      <c r="Z33" s="349" t="e">
        <v>#NUM!</v>
      </c>
      <c r="AA33" s="342"/>
      <c r="AB33" s="388" t="str">
        <f t="shared" si="1"/>
        <v>GBPAM3L25Y_Quote</v>
      </c>
      <c r="AC33" s="348" t="e">
        <v>#NUM!</v>
      </c>
      <c r="AD33" s="347" t="e">
        <f>_xll.qlSimpleQuoteSetValue($AB33,$AC33/100,Trigger)</f>
        <v>#NUM!</v>
      </c>
      <c r="AE33" s="218"/>
      <c r="AF33" s="64"/>
      <c r="AG33" s="64"/>
      <c r="AH33" s="64"/>
      <c r="AI33" s="64"/>
      <c r="AJ33" s="64"/>
      <c r="AK33" s="376" t="e">
        <f t="shared" si="2"/>
        <v>#VALUE!</v>
      </c>
    </row>
    <row r="34" spans="1:37" x14ac:dyDescent="0.2">
      <c r="A34" s="118"/>
      <c r="B34" s="194" t="s">
        <v>61</v>
      </c>
      <c r="C34" s="75" t="str">
        <v>AM</v>
      </c>
      <c r="D34" s="75" t="str">
        <v>3L</v>
      </c>
      <c r="E34" s="73" t="str">
        <f t="shared" si="3"/>
        <v>GBPAM3L26Y_Quote</v>
      </c>
      <c r="F34" s="73" t="str">
        <f>_xll.qlSimpleQuote(Currency&amp;$C34&amp;$D34&amp;$B34&amp;QuoteSuffix,,RateTickValue,Permanent,Trigger,ObjectOverwrite)</f>
        <v>GBPAM3L26Y_Quote#0000</v>
      </c>
      <c r="G34" s="191" t="str">
        <f>_xll.ohRangeRetrieveError(F34)</f>
        <v/>
      </c>
      <c r="H34" s="33"/>
      <c r="N34" s="118"/>
      <c r="O34" s="352" t="s">
        <v>61</v>
      </c>
      <c r="P34" s="498" t="str">
        <v>AM</v>
      </c>
      <c r="Q34" s="498" t="str">
        <v>3L</v>
      </c>
      <c r="R34" s="394" t="str">
        <f t="shared" si="0"/>
        <v>GBPAM3L26Y</v>
      </c>
      <c r="S34" s="394" t="str">
        <v>GBPAM3L26Y=ICAP</v>
      </c>
      <c r="T34" s="395" t="s">
        <v>233</v>
      </c>
      <c r="U34" s="395" t="s">
        <v>233</v>
      </c>
      <c r="V34" s="395" t="s">
        <v>233</v>
      </c>
      <c r="W34" s="395" t="s">
        <v>233</v>
      </c>
      <c r="X34" s="350" t="e">
        <f>_xll.qlMidSafe($T34,$U34)</f>
        <v>#NUM!</v>
      </c>
      <c r="Y34" s="342"/>
      <c r="Z34" s="349" t="e">
        <v>#NUM!</v>
      </c>
      <c r="AA34" s="342"/>
      <c r="AB34" s="388" t="str">
        <f t="shared" si="1"/>
        <v>GBPAM3L26Y_Quote</v>
      </c>
      <c r="AC34" s="348" t="e">
        <v>#NUM!</v>
      </c>
      <c r="AD34" s="347" t="e">
        <f>_xll.qlSimpleQuoteSetValue($AB34,$AC34/100,Trigger)</f>
        <v>#NUM!</v>
      </c>
      <c r="AE34" s="218"/>
      <c r="AF34" s="64"/>
      <c r="AG34" s="64"/>
      <c r="AH34" s="64"/>
      <c r="AI34" s="64"/>
      <c r="AJ34" s="64"/>
      <c r="AK34" s="376" t="e">
        <f t="shared" si="2"/>
        <v>#VALUE!</v>
      </c>
    </row>
    <row r="35" spans="1:37" x14ac:dyDescent="0.2">
      <c r="A35" s="118"/>
      <c r="B35" s="194" t="s">
        <v>60</v>
      </c>
      <c r="C35" s="75" t="str">
        <v>AM</v>
      </c>
      <c r="D35" s="75" t="str">
        <v>3L</v>
      </c>
      <c r="E35" s="73" t="str">
        <f t="shared" si="3"/>
        <v>GBPAM3L27Y_Quote</v>
      </c>
      <c r="F35" s="73" t="str">
        <f>_xll.qlSimpleQuote(Currency&amp;$C35&amp;$D35&amp;$B35&amp;QuoteSuffix,,RateTickValue,Permanent,Trigger,ObjectOverwrite)</f>
        <v>GBPAM3L27Y_Quote#0000</v>
      </c>
      <c r="G35" s="191" t="str">
        <f>_xll.ohRangeRetrieveError(F35)</f>
        <v/>
      </c>
      <c r="H35" s="33"/>
      <c r="N35" s="118"/>
      <c r="O35" s="352" t="s">
        <v>60</v>
      </c>
      <c r="P35" s="498" t="str">
        <v>AM</v>
      </c>
      <c r="Q35" s="498" t="str">
        <v>3L</v>
      </c>
      <c r="R35" s="394" t="str">
        <f t="shared" si="0"/>
        <v>GBPAM3L27Y</v>
      </c>
      <c r="S35" s="394" t="str">
        <v>GBPAM3L27Y=ICAP</v>
      </c>
      <c r="T35" s="395" t="s">
        <v>233</v>
      </c>
      <c r="U35" s="395" t="s">
        <v>233</v>
      </c>
      <c r="V35" s="395" t="s">
        <v>233</v>
      </c>
      <c r="W35" s="395" t="s">
        <v>233</v>
      </c>
      <c r="X35" s="350" t="e">
        <f>_xll.qlMidSafe($T35,$U35)</f>
        <v>#NUM!</v>
      </c>
      <c r="Y35" s="342"/>
      <c r="Z35" s="349" t="e">
        <v>#NUM!</v>
      </c>
      <c r="AA35" s="342"/>
      <c r="AB35" s="388" t="str">
        <f t="shared" si="1"/>
        <v>GBPAM3L27Y_Quote</v>
      </c>
      <c r="AC35" s="348" t="e">
        <v>#NUM!</v>
      </c>
      <c r="AD35" s="347" t="e">
        <f>_xll.qlSimpleQuoteSetValue($AB35,$AC35/100,Trigger)</f>
        <v>#NUM!</v>
      </c>
      <c r="AE35" s="218"/>
      <c r="AF35" s="64"/>
      <c r="AG35" s="64"/>
      <c r="AH35" s="64"/>
      <c r="AI35" s="64"/>
      <c r="AJ35" s="64"/>
      <c r="AK35" s="376" t="e">
        <f t="shared" si="2"/>
        <v>#VALUE!</v>
      </c>
    </row>
    <row r="36" spans="1:37" x14ac:dyDescent="0.2">
      <c r="A36" s="118"/>
      <c r="B36" s="194" t="s">
        <v>59</v>
      </c>
      <c r="C36" s="75" t="str">
        <v>AM</v>
      </c>
      <c r="D36" s="75" t="str">
        <v>3L</v>
      </c>
      <c r="E36" s="73" t="str">
        <f t="shared" si="3"/>
        <v>GBPAM3L28Y_Quote</v>
      </c>
      <c r="F36" s="73" t="str">
        <f>_xll.qlSimpleQuote(Currency&amp;$C36&amp;$D36&amp;$B36&amp;QuoteSuffix,,RateTickValue,Permanent,Trigger,ObjectOverwrite)</f>
        <v>GBPAM3L28Y_Quote#0000</v>
      </c>
      <c r="G36" s="191" t="str">
        <f>_xll.ohRangeRetrieveError(F36)</f>
        <v/>
      </c>
      <c r="H36" s="33"/>
      <c r="N36" s="118"/>
      <c r="O36" s="352" t="s">
        <v>59</v>
      </c>
      <c r="P36" s="498" t="str">
        <v>AM</v>
      </c>
      <c r="Q36" s="498" t="str">
        <v>3L</v>
      </c>
      <c r="R36" s="394" t="str">
        <f t="shared" si="0"/>
        <v>GBPAM3L28Y</v>
      </c>
      <c r="S36" s="394" t="str">
        <v>GBPAM3L28Y=ICAP</v>
      </c>
      <c r="T36" s="395" t="s">
        <v>233</v>
      </c>
      <c r="U36" s="395" t="s">
        <v>233</v>
      </c>
      <c r="V36" s="395" t="s">
        <v>233</v>
      </c>
      <c r="W36" s="395" t="s">
        <v>233</v>
      </c>
      <c r="X36" s="350" t="e">
        <f>_xll.qlMidSafe($T36,$U36)</f>
        <v>#NUM!</v>
      </c>
      <c r="Y36" s="342"/>
      <c r="Z36" s="349" t="e">
        <v>#NUM!</v>
      </c>
      <c r="AA36" s="342"/>
      <c r="AB36" s="388" t="str">
        <f t="shared" si="1"/>
        <v>GBPAM3L28Y_Quote</v>
      </c>
      <c r="AC36" s="348" t="e">
        <v>#NUM!</v>
      </c>
      <c r="AD36" s="347" t="e">
        <f>_xll.qlSimpleQuoteSetValue($AB36,$AC36/100,Trigger)</f>
        <v>#NUM!</v>
      </c>
      <c r="AE36" s="218"/>
      <c r="AF36" s="64"/>
      <c r="AG36" s="64"/>
      <c r="AH36" s="64"/>
      <c r="AI36" s="64"/>
      <c r="AJ36" s="64"/>
      <c r="AK36" s="376" t="e">
        <f t="shared" si="2"/>
        <v>#VALUE!</v>
      </c>
    </row>
    <row r="37" spans="1:37" x14ac:dyDescent="0.2">
      <c r="A37" s="118"/>
      <c r="B37" s="194" t="s">
        <v>58</v>
      </c>
      <c r="C37" s="75" t="str">
        <v>AM</v>
      </c>
      <c r="D37" s="75" t="str">
        <v>3L</v>
      </c>
      <c r="E37" s="73" t="str">
        <f t="shared" si="3"/>
        <v>GBPAM3L29Y_Quote</v>
      </c>
      <c r="F37" s="73" t="str">
        <f>_xll.qlSimpleQuote(Currency&amp;$C37&amp;$D37&amp;$B37&amp;QuoteSuffix,,RateTickValue,Permanent,Trigger,ObjectOverwrite)</f>
        <v>GBPAM3L29Y_Quote#0000</v>
      </c>
      <c r="G37" s="191" t="str">
        <f>_xll.ohRangeRetrieveError(F37)</f>
        <v/>
      </c>
      <c r="H37" s="33"/>
      <c r="N37" s="118"/>
      <c r="O37" s="352" t="s">
        <v>58</v>
      </c>
      <c r="P37" s="498" t="str">
        <v>AM</v>
      </c>
      <c r="Q37" s="498" t="str">
        <v>3L</v>
      </c>
      <c r="R37" s="394" t="str">
        <f t="shared" si="0"/>
        <v>GBPAM3L29Y</v>
      </c>
      <c r="S37" s="394" t="str">
        <v>GBPAM3L29Y=ICAP</v>
      </c>
      <c r="T37" s="395" t="s">
        <v>233</v>
      </c>
      <c r="U37" s="395" t="s">
        <v>233</v>
      </c>
      <c r="V37" s="395" t="s">
        <v>233</v>
      </c>
      <c r="W37" s="395" t="s">
        <v>233</v>
      </c>
      <c r="X37" s="350" t="e">
        <f>_xll.qlMidSafe($T37,$U37)</f>
        <v>#NUM!</v>
      </c>
      <c r="Y37" s="342"/>
      <c r="Z37" s="349" t="e">
        <v>#NUM!</v>
      </c>
      <c r="AA37" s="342"/>
      <c r="AB37" s="388" t="str">
        <f t="shared" si="1"/>
        <v>GBPAM3L29Y_Quote</v>
      </c>
      <c r="AC37" s="348" t="e">
        <v>#NUM!</v>
      </c>
      <c r="AD37" s="347" t="e">
        <f>_xll.qlSimpleQuoteSetValue($AB37,$AC37/100,Trigger)</f>
        <v>#NUM!</v>
      </c>
      <c r="AE37" s="218"/>
      <c r="AF37" s="64"/>
      <c r="AG37" s="64"/>
      <c r="AH37" s="64"/>
      <c r="AI37" s="64"/>
      <c r="AJ37" s="64"/>
      <c r="AK37" s="376" t="e">
        <f t="shared" si="2"/>
        <v>#VALUE!</v>
      </c>
    </row>
    <row r="38" spans="1:37" x14ac:dyDescent="0.2">
      <c r="A38" s="118"/>
      <c r="B38" s="194" t="s">
        <v>57</v>
      </c>
      <c r="C38" s="75" t="str">
        <v>AM</v>
      </c>
      <c r="D38" s="75" t="str">
        <v>3L</v>
      </c>
      <c r="E38" s="73" t="str">
        <f t="shared" si="3"/>
        <v>GBPAM3L30Y_Quote</v>
      </c>
      <c r="F38" s="73" t="str">
        <f>_xll.qlSimpleQuote(Currency&amp;$C38&amp;$D38&amp;$B38&amp;QuoteSuffix,,RateTickValue,Permanent,Trigger,ObjectOverwrite)</f>
        <v>GBPAM3L30Y_Quote#0000</v>
      </c>
      <c r="G38" s="191" t="str">
        <f>_xll.ohRangeRetrieveError(F38)</f>
        <v/>
      </c>
      <c r="H38" s="33"/>
      <c r="N38" s="118"/>
      <c r="O38" s="352" t="s">
        <v>57</v>
      </c>
      <c r="P38" s="498" t="str">
        <v>AM</v>
      </c>
      <c r="Q38" s="498" t="str">
        <v>3L</v>
      </c>
      <c r="R38" s="394" t="str">
        <f t="shared" si="0"/>
        <v>GBPAM3L30Y</v>
      </c>
      <c r="S38" s="394" t="str">
        <v>GBPAM3L30Y=ICAP</v>
      </c>
      <c r="T38" s="395" t="s">
        <v>233</v>
      </c>
      <c r="U38" s="395" t="s">
        <v>233</v>
      </c>
      <c r="V38" s="395" t="s">
        <v>233</v>
      </c>
      <c r="W38" s="395" t="s">
        <v>233</v>
      </c>
      <c r="X38" s="350" t="e">
        <f>_xll.qlMidSafe($T38,$U38)</f>
        <v>#NUM!</v>
      </c>
      <c r="Y38" s="342"/>
      <c r="Z38" s="349" t="e">
        <v>#NUM!</v>
      </c>
      <c r="AA38" s="342"/>
      <c r="AB38" s="388" t="str">
        <f t="shared" si="1"/>
        <v>GBPAM3L30Y_Quote</v>
      </c>
      <c r="AC38" s="348" t="e">
        <v>#NUM!</v>
      </c>
      <c r="AD38" s="347" t="e">
        <f>_xll.qlSimpleQuoteSetValue($AB38,$AC38/100,Trigger)</f>
        <v>#NUM!</v>
      </c>
      <c r="AE38" s="218"/>
      <c r="AF38" s="64"/>
      <c r="AG38" s="64"/>
      <c r="AH38" s="64"/>
      <c r="AI38" s="64"/>
      <c r="AJ38" s="64"/>
      <c r="AK38" s="376" t="e">
        <f t="shared" si="2"/>
        <v>#VALUE!</v>
      </c>
    </row>
    <row r="39" spans="1:37" x14ac:dyDescent="0.2">
      <c r="A39" s="118"/>
      <c r="B39" s="194" t="s">
        <v>52</v>
      </c>
      <c r="C39" s="75" t="str">
        <v>AM</v>
      </c>
      <c r="D39" s="75" t="str">
        <v>3L</v>
      </c>
      <c r="E39" s="73" t="str">
        <f t="shared" si="3"/>
        <v>GBPAM3L35Y_Quote</v>
      </c>
      <c r="F39" s="73" t="str">
        <f>_xll.qlSimpleQuote(Currency&amp;$C39&amp;$D39&amp;$B39&amp;QuoteSuffix,,RateTickValue,Permanent,Trigger,ObjectOverwrite)</f>
        <v>GBPAM3L35Y_Quote#0000</v>
      </c>
      <c r="G39" s="191" t="str">
        <f>_xll.ohRangeRetrieveError(F39)</f>
        <v/>
      </c>
      <c r="H39" s="33"/>
      <c r="N39" s="118"/>
      <c r="O39" s="352" t="s">
        <v>52</v>
      </c>
      <c r="P39" s="498" t="str">
        <v>AM</v>
      </c>
      <c r="Q39" s="498" t="str">
        <v>3L</v>
      </c>
      <c r="R39" s="394" t="str">
        <f t="shared" si="0"/>
        <v>GBPAM3L35Y</v>
      </c>
      <c r="S39" s="394" t="str">
        <v>GBPAM3L35Y=ICAP</v>
      </c>
      <c r="T39" s="395" t="s">
        <v>233</v>
      </c>
      <c r="U39" s="395" t="s">
        <v>233</v>
      </c>
      <c r="V39" s="395" t="s">
        <v>233</v>
      </c>
      <c r="W39" s="395" t="s">
        <v>233</v>
      </c>
      <c r="X39" s="350" t="e">
        <f>_xll.qlMidSafe($T39,$U39)</f>
        <v>#NUM!</v>
      </c>
      <c r="Y39" s="342"/>
      <c r="Z39" s="349" t="e">
        <v>#NUM!</v>
      </c>
      <c r="AA39" s="342"/>
      <c r="AB39" s="388" t="str">
        <f t="shared" si="1"/>
        <v>GBPAM3L35Y_Quote</v>
      </c>
      <c r="AC39" s="348" t="e">
        <v>#NUM!</v>
      </c>
      <c r="AD39" s="347" t="e">
        <f>_xll.qlSimpleQuoteSetValue($AB39,$AC39/100,Trigger)</f>
        <v>#NUM!</v>
      </c>
      <c r="AE39" s="218"/>
      <c r="AF39" s="64"/>
      <c r="AG39" s="64"/>
      <c r="AH39" s="64"/>
      <c r="AI39" s="64"/>
      <c r="AJ39" s="64"/>
      <c r="AK39" s="376" t="e">
        <f t="shared" si="2"/>
        <v>#VALUE!</v>
      </c>
    </row>
    <row r="40" spans="1:37" x14ac:dyDescent="0.2">
      <c r="A40" s="118"/>
      <c r="B40" s="194" t="s">
        <v>47</v>
      </c>
      <c r="C40" s="75" t="str">
        <v>AM</v>
      </c>
      <c r="D40" s="75" t="str">
        <v>3L</v>
      </c>
      <c r="E40" s="73" t="str">
        <f t="shared" si="3"/>
        <v>GBPAM3L40Y_Quote</v>
      </c>
      <c r="F40" s="73" t="str">
        <f>_xll.qlSimpleQuote(Currency&amp;$C40&amp;$D40&amp;$B40&amp;QuoteSuffix,,RateTickValue,Permanent,Trigger,ObjectOverwrite)</f>
        <v>GBPAM3L40Y_Quote#0000</v>
      </c>
      <c r="G40" s="191" t="str">
        <f>_xll.ohRangeRetrieveError(F40)</f>
        <v/>
      </c>
      <c r="H40" s="33"/>
      <c r="N40" s="118"/>
      <c r="O40" s="352" t="s">
        <v>47</v>
      </c>
      <c r="P40" s="498" t="str">
        <v>AM</v>
      </c>
      <c r="Q40" s="498" t="str">
        <v>3L</v>
      </c>
      <c r="R40" s="394" t="str">
        <f t="shared" si="0"/>
        <v>GBPAM3L40Y</v>
      </c>
      <c r="S40" s="394" t="str">
        <v>GBPAM3L40Y=ICAP</v>
      </c>
      <c r="T40" s="395" t="s">
        <v>233</v>
      </c>
      <c r="U40" s="395" t="s">
        <v>233</v>
      </c>
      <c r="V40" s="395" t="s">
        <v>233</v>
      </c>
      <c r="W40" s="395" t="s">
        <v>233</v>
      </c>
      <c r="X40" s="350" t="e">
        <f>_xll.qlMidSafe($T40,$U40)</f>
        <v>#NUM!</v>
      </c>
      <c r="Y40" s="342"/>
      <c r="Z40" s="349" t="e">
        <v>#NUM!</v>
      </c>
      <c r="AA40" s="342"/>
      <c r="AB40" s="388" t="str">
        <f t="shared" si="1"/>
        <v>GBPAM3L40Y_Quote</v>
      </c>
      <c r="AC40" s="348" t="e">
        <v>#NUM!</v>
      </c>
      <c r="AD40" s="347" t="e">
        <f>_xll.qlSimpleQuoteSetValue($AB40,$AC40/100,Trigger)</f>
        <v>#NUM!</v>
      </c>
      <c r="AE40" s="218"/>
      <c r="AF40" s="64"/>
      <c r="AG40" s="64"/>
      <c r="AH40" s="64"/>
      <c r="AI40" s="64"/>
      <c r="AJ40" s="64"/>
      <c r="AK40" s="376" t="e">
        <f t="shared" si="2"/>
        <v>#VALUE!</v>
      </c>
    </row>
    <row r="41" spans="1:37" x14ac:dyDescent="0.2">
      <c r="A41" s="118"/>
      <c r="B41" s="194" t="s">
        <v>37</v>
      </c>
      <c r="C41" s="75" t="str">
        <v>AM</v>
      </c>
      <c r="D41" s="75" t="str">
        <v>3L</v>
      </c>
      <c r="E41" s="73" t="str">
        <f t="shared" si="3"/>
        <v>GBPAM3L50Y_Quote</v>
      </c>
      <c r="F41" s="73" t="str">
        <f>_xll.qlSimpleQuote(Currency&amp;$C41&amp;$D41&amp;$B41&amp;QuoteSuffix,,RateTickValue,Permanent,Trigger,ObjectOverwrite)</f>
        <v>GBPAM3L50Y_Quote#0000</v>
      </c>
      <c r="G41" s="191" t="str">
        <f>_xll.ohRangeRetrieveError(F41)</f>
        <v/>
      </c>
      <c r="H41" s="33"/>
      <c r="N41" s="118"/>
      <c r="O41" s="352" t="s">
        <v>37</v>
      </c>
      <c r="P41" s="498" t="str">
        <v>AM</v>
      </c>
      <c r="Q41" s="498" t="str">
        <v>3L</v>
      </c>
      <c r="R41" s="394" t="str">
        <f t="shared" si="0"/>
        <v>GBPAM3L50Y</v>
      </c>
      <c r="S41" s="394" t="str">
        <v>GBPAM3L50Y=ICAP</v>
      </c>
      <c r="T41" s="395" t="s">
        <v>233</v>
      </c>
      <c r="U41" s="395" t="s">
        <v>233</v>
      </c>
      <c r="V41" s="395" t="s">
        <v>233</v>
      </c>
      <c r="W41" s="395" t="s">
        <v>233</v>
      </c>
      <c r="X41" s="350" t="e">
        <f>_xll.qlMidSafe($T41,$U41)</f>
        <v>#NUM!</v>
      </c>
      <c r="Y41" s="342"/>
      <c r="Z41" s="349" t="e">
        <v>#NUM!</v>
      </c>
      <c r="AA41" s="342"/>
      <c r="AB41" s="388" t="str">
        <f t="shared" si="1"/>
        <v>GBPAM3L50Y_Quote</v>
      </c>
      <c r="AC41" s="348" t="e">
        <v>#NUM!</v>
      </c>
      <c r="AD41" s="347" t="e">
        <f>_xll.qlSimpleQuoteSetValue($AB41,$AC41/100,Trigger)</f>
        <v>#NUM!</v>
      </c>
      <c r="AE41" s="218"/>
      <c r="AF41" s="64"/>
      <c r="AG41" s="64"/>
      <c r="AH41" s="64"/>
      <c r="AI41" s="64"/>
      <c r="AJ41" s="64"/>
      <c r="AK41" s="376" t="e">
        <f t="shared" si="2"/>
        <v>#VALUE!</v>
      </c>
    </row>
    <row r="42" spans="1:37" x14ac:dyDescent="0.2">
      <c r="A42" s="118"/>
      <c r="B42" s="194" t="s">
        <v>27</v>
      </c>
      <c r="C42" s="75" t="str">
        <v>AM</v>
      </c>
      <c r="D42" s="75" t="str">
        <v>3L</v>
      </c>
      <c r="E42" s="73" t="str">
        <f t="shared" si="3"/>
        <v>GBPAM3L60Y_Quote</v>
      </c>
      <c r="F42" s="73" t="str">
        <f>_xll.qlSimpleQuote(Currency&amp;$C42&amp;$D42&amp;$B42&amp;QuoteSuffix,,RateTickValue,Permanent,Trigger,ObjectOverwrite)</f>
        <v>GBPAM3L60Y_Quote#0000</v>
      </c>
      <c r="G42" s="191" t="str">
        <f>_xll.ohRangeRetrieveError(F42)</f>
        <v/>
      </c>
      <c r="H42" s="33"/>
      <c r="N42" s="118"/>
      <c r="O42" s="346" t="s">
        <v>27</v>
      </c>
      <c r="P42" s="497" t="str">
        <v>AM</v>
      </c>
      <c r="Q42" s="497" t="str">
        <v>3L</v>
      </c>
      <c r="R42" s="390" t="str">
        <f t="shared" si="0"/>
        <v>GBPAM3L60Y</v>
      </c>
      <c r="S42" s="390" t="str">
        <v>GBPAM3L60Y=ICAP</v>
      </c>
      <c r="T42" s="391" t="s">
        <v>233</v>
      </c>
      <c r="U42" s="391" t="s">
        <v>233</v>
      </c>
      <c r="V42" s="391" t="s">
        <v>233</v>
      </c>
      <c r="W42" s="391" t="s">
        <v>233</v>
      </c>
      <c r="X42" s="344" t="e">
        <f>_xll.qlMidSafe($T42,$U42)</f>
        <v>#NUM!</v>
      </c>
      <c r="Y42" s="342"/>
      <c r="Z42" s="343" t="e">
        <v>#NUM!</v>
      </c>
      <c r="AA42" s="342"/>
      <c r="AB42" s="401" t="str">
        <f t="shared" si="1"/>
        <v>GBPAM3L60Y_Quote</v>
      </c>
      <c r="AC42" s="341" t="e">
        <v>#NUM!</v>
      </c>
      <c r="AD42" s="340" t="e">
        <f>_xll.qlSimpleQuoteSetValue($AB42,$AC42/100,Trigger)</f>
        <v>#NUM!</v>
      </c>
      <c r="AE42" s="218"/>
      <c r="AF42" s="64"/>
      <c r="AG42" s="64"/>
      <c r="AH42" s="64"/>
      <c r="AI42" s="64"/>
      <c r="AJ42" s="64"/>
      <c r="AK42" s="376" t="e">
        <f t="shared" si="2"/>
        <v>#VALUE!</v>
      </c>
    </row>
    <row r="43" spans="1:37" ht="13.5" thickBot="1" x14ac:dyDescent="0.25">
      <c r="A43" s="32"/>
      <c r="B43" s="31"/>
      <c r="C43" s="31"/>
      <c r="D43" s="31"/>
      <c r="E43" s="31"/>
      <c r="F43" s="112"/>
      <c r="G43" s="112"/>
      <c r="H43" s="30"/>
      <c r="N43" s="212"/>
      <c r="O43" s="211"/>
      <c r="P43" s="31"/>
      <c r="Q43" s="31"/>
      <c r="R43" s="31"/>
      <c r="S43" s="31"/>
      <c r="T43" s="31"/>
      <c r="U43" s="31"/>
      <c r="V43" s="31"/>
      <c r="W43" s="31"/>
      <c r="X43" s="31"/>
      <c r="Y43" s="211"/>
      <c r="Z43" s="211"/>
      <c r="AA43" s="211"/>
      <c r="AB43" s="211"/>
      <c r="AC43" s="211"/>
      <c r="AD43" s="211"/>
      <c r="AE43" s="378"/>
      <c r="AF43" s="64"/>
      <c r="AG43" s="64"/>
      <c r="AH43" s="64"/>
      <c r="AI43" s="64"/>
      <c r="AJ43" s="64"/>
      <c r="AK43" s="64"/>
    </row>
  </sheetData>
  <conditionalFormatting sqref="AD5:AD42">
    <cfRule type="cellIs" dxfId="17" priority="1" stopIfTrue="1" operator="greaterThan">
      <formula>0</formula>
    </cfRule>
    <cfRule type="cellIs" dxfId="16" priority="2" stopIfTrue="1" operator="lessThan">
      <formula>0</formula>
    </cfRule>
  </conditionalFormatting>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J43"/>
  <sheetViews>
    <sheetView workbookViewId="0"/>
  </sheetViews>
  <sheetFormatPr defaultRowHeight="11.25" x14ac:dyDescent="0.2"/>
  <cols>
    <col min="1" max="1" width="2.7109375" style="65" customWidth="1"/>
    <col min="2" max="2" width="6.5703125" style="64" bestFit="1" customWidth="1"/>
    <col min="3" max="3" width="3.140625" style="65" bestFit="1" customWidth="1"/>
    <col min="4" max="4" width="2.7109375" style="65" bestFit="1" customWidth="1"/>
    <col min="5" max="5" width="18" style="65" bestFit="1" customWidth="1"/>
    <col min="6" max="6" width="20.140625" style="66" bestFit="1" customWidth="1"/>
    <col min="7" max="7" width="38.28515625" style="65" customWidth="1"/>
    <col min="8" max="9" width="2.7109375" style="65" customWidth="1"/>
    <col min="10" max="10" width="8.5703125" style="65" bestFit="1" customWidth="1"/>
    <col min="11" max="11" width="3.28515625" style="65" bestFit="1" customWidth="1"/>
    <col min="12" max="12" width="9.5703125" style="65" bestFit="1" customWidth="1"/>
    <col min="13" max="14" width="2.7109375" style="65" customWidth="1"/>
    <col min="15" max="24" width="9.140625" style="65"/>
    <col min="25" max="25" width="2.7109375" style="65" customWidth="1"/>
    <col min="26" max="26" width="9.140625" style="65"/>
    <col min="27" max="27" width="2.7109375" style="65" customWidth="1"/>
    <col min="28" max="29" width="9.140625" style="65"/>
    <col min="30" max="31" width="2.7109375" style="65" customWidth="1"/>
    <col min="32" max="16384" width="9.140625" style="65"/>
  </cols>
  <sheetData>
    <row r="1" spans="1:36" x14ac:dyDescent="0.2">
      <c r="N1" s="411" t="s">
        <v>353</v>
      </c>
      <c r="O1" s="201"/>
      <c r="P1" s="201"/>
      <c r="Q1" s="201"/>
      <c r="R1" s="201"/>
      <c r="S1" s="201"/>
      <c r="T1" s="201"/>
      <c r="U1" s="201"/>
      <c r="V1" s="201"/>
      <c r="W1" s="201"/>
      <c r="X1" s="201"/>
      <c r="Y1" s="201"/>
      <c r="Z1" s="201"/>
      <c r="AA1" s="201"/>
      <c r="AB1" s="201"/>
      <c r="AC1" s="201"/>
      <c r="AD1" s="198"/>
      <c r="AE1" s="64"/>
      <c r="AF1" s="64"/>
      <c r="AG1" s="64"/>
      <c r="AH1" s="64"/>
      <c r="AI1" s="64"/>
      <c r="AJ1" s="64"/>
    </row>
    <row r="2" spans="1:36" x14ac:dyDescent="0.2">
      <c r="N2" s="374"/>
      <c r="O2" s="133"/>
      <c r="P2" s="373"/>
      <c r="Q2" s="373"/>
      <c r="R2" s="373"/>
      <c r="S2" s="140" t="s">
        <v>275</v>
      </c>
      <c r="T2" s="342"/>
      <c r="U2" s="342"/>
      <c r="V2" s="342"/>
      <c r="W2" s="342"/>
      <c r="X2" s="133"/>
      <c r="Y2" s="342"/>
      <c r="Z2" s="342"/>
      <c r="AA2" s="342"/>
      <c r="AB2" s="342"/>
      <c r="AC2" s="133"/>
      <c r="AD2" s="33"/>
      <c r="AE2" s="64"/>
      <c r="AF2" s="64"/>
      <c r="AG2" s="64"/>
      <c r="AH2" s="64"/>
      <c r="AI2" s="64"/>
      <c r="AJ2" s="64"/>
    </row>
    <row r="3" spans="1:36" ht="12" thickBot="1" x14ac:dyDescent="0.25">
      <c r="N3" s="118"/>
      <c r="O3" s="342"/>
      <c r="P3" s="133"/>
      <c r="Q3" s="133"/>
      <c r="R3" s="133"/>
      <c r="S3" s="133"/>
      <c r="T3" s="133"/>
      <c r="U3" s="133"/>
      <c r="V3" s="133"/>
      <c r="W3" s="133"/>
      <c r="X3" s="133"/>
      <c r="Y3" s="342"/>
      <c r="Z3" s="342"/>
      <c r="AA3" s="342"/>
      <c r="AB3" s="133"/>
      <c r="AC3" s="453">
        <f ca="1">_xll.ohTrigger(AC5:AC42)</f>
        <v>24</v>
      </c>
      <c r="AD3" s="218"/>
      <c r="AE3" s="64"/>
      <c r="AF3" s="64"/>
      <c r="AG3" s="64"/>
      <c r="AH3" s="64"/>
      <c r="AI3" s="64"/>
      <c r="AJ3" s="64"/>
    </row>
    <row r="4" spans="1:36" ht="23.25" thickBot="1" x14ac:dyDescent="0.25">
      <c r="A4" s="582" t="s">
        <v>348</v>
      </c>
      <c r="B4" s="201"/>
      <c r="C4" s="201"/>
      <c r="D4" s="201"/>
      <c r="E4" s="151"/>
      <c r="F4" s="217"/>
      <c r="G4" s="151"/>
      <c r="H4" s="198"/>
      <c r="N4" s="118"/>
      <c r="O4" s="504"/>
      <c r="P4" s="196"/>
      <c r="Q4" s="196"/>
      <c r="R4" s="196"/>
      <c r="S4" s="370" t="e">
        <f ca="1">_xll.RData(S5:S42,T4:W4,"RTFEED:IDN",ReutersRtMode,,T5)</f>
        <v>#NAME?</v>
      </c>
      <c r="T4" s="409" t="s">
        <v>291</v>
      </c>
      <c r="U4" s="409" t="s">
        <v>264</v>
      </c>
      <c r="V4" s="409" t="s">
        <v>244</v>
      </c>
      <c r="W4" s="409" t="s">
        <v>290</v>
      </c>
      <c r="X4" s="366" t="s">
        <v>289</v>
      </c>
      <c r="Y4" s="342"/>
      <c r="Z4" s="368" t="s">
        <v>286</v>
      </c>
      <c r="AA4" s="342"/>
      <c r="AB4" s="587" t="s">
        <v>285</v>
      </c>
      <c r="AC4" s="91" t="s">
        <v>284</v>
      </c>
      <c r="AD4" s="218"/>
      <c r="AE4" s="64"/>
      <c r="AF4" s="64"/>
      <c r="AG4" s="64"/>
      <c r="AH4" s="64"/>
      <c r="AI4" s="64"/>
      <c r="AJ4" s="406" t="s">
        <v>288</v>
      </c>
    </row>
    <row r="5" spans="1:36" x14ac:dyDescent="0.2">
      <c r="A5" s="118"/>
      <c r="B5" s="90" t="s">
        <v>125</v>
      </c>
      <c r="C5" s="90"/>
      <c r="D5" s="90"/>
      <c r="E5" s="89" t="str">
        <f>Currency&amp;"_010_Sw"&amp;$C$6&amp;$D$6&amp;".xml"</f>
        <v>GBP_010_SwSB6L.xml</v>
      </c>
      <c r="F5" s="88">
        <f ca="1">IF(Serialize,_xll.ohObjectSave(F6:F42,SerializationPath&amp;E5,FileOverwrite,Serialize),"---")</f>
        <v>37</v>
      </c>
      <c r="G5" s="72" t="str">
        <f ca="1">_xll.ohRangeRetrieveError(F5)</f>
        <v/>
      </c>
      <c r="H5" s="33"/>
      <c r="J5" s="210" t="s">
        <v>216</v>
      </c>
      <c r="K5" s="209" t="s">
        <v>214</v>
      </c>
      <c r="L5" s="208" t="s">
        <v>213</v>
      </c>
      <c r="N5" s="118"/>
      <c r="O5" s="352" t="s">
        <v>8</v>
      </c>
      <c r="P5" s="394" t="str">
        <f t="array" ref="P5:P42">VLOOKUP(Currency,Conventions,2)</f>
        <v>SB</v>
      </c>
      <c r="Q5" s="394" t="str">
        <f t="array" ref="Q5:Q42">VLOOKUP(Currency,Conventions,3)</f>
        <v>6L</v>
      </c>
      <c r="R5" s="351" t="str">
        <f t="shared" ref="R5:R42" si="0">Currency&amp;$P5&amp;$Q5&amp;$O5</f>
        <v>GBPSB6L6M</v>
      </c>
      <c r="S5" s="351" t="str">
        <f t="array" ref="S5:S42">Instruments&amp;"="&amp;VLOOKUP(Contributor,ContributorTable,2,FALSE)</f>
        <v>GBPSB6L6M=ICAP</v>
      </c>
      <c r="T5" s="395" t="s">
        <v>233</v>
      </c>
      <c r="U5" s="395" t="s">
        <v>233</v>
      </c>
      <c r="V5" s="395" t="s">
        <v>233</v>
      </c>
      <c r="W5" s="395" t="s">
        <v>233</v>
      </c>
      <c r="X5" s="492" t="e">
        <f>_xll.qlMidSafe($T5,$U5)</f>
        <v>#NUM!</v>
      </c>
      <c r="Y5" s="342"/>
      <c r="Z5" s="349" t="e">
        <v>#NUM!</v>
      </c>
      <c r="AA5" s="342"/>
      <c r="AB5" s="589" t="e">
        <f t="array" ref="AB5:AB42">QuoteStatic</f>
        <v>#NUM!</v>
      </c>
      <c r="AC5" s="622" t="e">
        <f ca="1">_xll.qlSimpleQuoteSetValue(F5,AB5/100,Trigger)</f>
        <v>#NUM!</v>
      </c>
      <c r="AD5" s="218"/>
      <c r="AE5" s="64"/>
      <c r="AF5" s="500" t="s">
        <v>121</v>
      </c>
      <c r="AG5" s="85" t="s">
        <v>212</v>
      </c>
      <c r="AH5" s="84" t="s">
        <v>116</v>
      </c>
      <c r="AI5" s="64"/>
      <c r="AJ5" s="376" t="e">
        <f t="shared" ref="AJ5:AJ42" si="1">(U5-X5)/50</f>
        <v>#VALUE!</v>
      </c>
    </row>
    <row r="6" spans="1:36" x14ac:dyDescent="0.2">
      <c r="A6" s="118"/>
      <c r="B6" s="213" t="s">
        <v>1</v>
      </c>
      <c r="C6" s="75" t="str">
        <f t="array" ref="C6:C42">VLOOKUP(Currency,SwapSecondarySetConventions,2)</f>
        <v>SB</v>
      </c>
      <c r="D6" s="75" t="str">
        <f t="array" ref="D6:D42">VLOOKUP(Currency,SwapSecondarySetConventions,3)</f>
        <v>6L</v>
      </c>
      <c r="E6" s="73" t="str">
        <f t="shared" ref="E6:E42" si="2">Currency&amp;$C6&amp;$D6&amp;$B6&amp;QuoteSuffix</f>
        <v>GBPSB6L1Y_Quote</v>
      </c>
      <c r="F6" s="73" t="str">
        <f>_xll.qlSimpleQuote(Currency&amp;$C6&amp;$D6&amp;$B6&amp;QuoteSuffix,,RateTickValue,Permanent,Trigger,ObjectOverwrite)</f>
        <v>GBPSB6L1Y_Quote#0000</v>
      </c>
      <c r="G6" s="72" t="str">
        <f>_xll.ohRangeRetrieveError(F6)</f>
        <v/>
      </c>
      <c r="H6" s="33"/>
      <c r="J6" s="207" t="s">
        <v>121</v>
      </c>
      <c r="K6" s="215" t="s">
        <v>212</v>
      </c>
      <c r="L6" s="214" t="s">
        <v>116</v>
      </c>
      <c r="N6" s="118"/>
      <c r="O6" s="352" t="s">
        <v>1</v>
      </c>
      <c r="P6" s="394" t="str">
        <v>SB</v>
      </c>
      <c r="Q6" s="394" t="str">
        <v>6L</v>
      </c>
      <c r="R6" s="351" t="str">
        <f t="shared" si="0"/>
        <v>GBPSB6L1Y</v>
      </c>
      <c r="S6" s="351" t="str">
        <v>GBPSB6L1Y=ICAP</v>
      </c>
      <c r="T6" s="395" t="s">
        <v>233</v>
      </c>
      <c r="U6" s="395" t="s">
        <v>233</v>
      </c>
      <c r="V6" s="395" t="s">
        <v>233</v>
      </c>
      <c r="W6" s="395" t="s">
        <v>233</v>
      </c>
      <c r="X6" s="492" t="e">
        <f>_xll.qlMidSafe($T6,$U6)</f>
        <v>#NUM!</v>
      </c>
      <c r="Y6" s="342"/>
      <c r="Z6" s="349" t="e">
        <v>#NUM!</v>
      </c>
      <c r="AA6" s="342"/>
      <c r="AB6" s="589" t="e">
        <v>#NUM!</v>
      </c>
      <c r="AC6" s="347" t="e">
        <f>_xll.qlSimpleQuoteSetValue(F6,AB6/100,Trigger)</f>
        <v>#NUM!</v>
      </c>
      <c r="AD6" s="218"/>
      <c r="AE6" s="64"/>
      <c r="AF6" s="207" t="s">
        <v>120</v>
      </c>
      <c r="AG6" s="82" t="s">
        <v>212</v>
      </c>
      <c r="AH6" s="81" t="s">
        <v>118</v>
      </c>
      <c r="AI6" s="64"/>
      <c r="AJ6" s="376" t="e">
        <f t="shared" si="1"/>
        <v>#VALUE!</v>
      </c>
    </row>
    <row r="7" spans="1:36" x14ac:dyDescent="0.2">
      <c r="A7" s="118"/>
      <c r="B7" s="216" t="s">
        <v>124</v>
      </c>
      <c r="C7" s="75" t="str">
        <v>SB</v>
      </c>
      <c r="D7" s="75" t="str">
        <v>6L</v>
      </c>
      <c r="E7" s="73" t="str">
        <f t="shared" si="2"/>
        <v>GBPSB6L15M_Quote</v>
      </c>
      <c r="F7" s="73" t="str">
        <f>_xll.qlSimpleQuote(Currency&amp;$C7&amp;$D7&amp;$B7&amp;QuoteSuffix,,RateTickValue,Permanent,Trigger,ObjectOverwrite)</f>
        <v>GBPSB6L15M_Quote#0000</v>
      </c>
      <c r="G7" s="72" t="str">
        <f>_xll.ohRangeRetrieveError(F7)</f>
        <v/>
      </c>
      <c r="H7" s="33"/>
      <c r="J7" s="207" t="s">
        <v>120</v>
      </c>
      <c r="K7" s="82" t="s">
        <v>212</v>
      </c>
      <c r="L7" s="81" t="s">
        <v>118</v>
      </c>
      <c r="N7" s="118"/>
      <c r="O7" s="352" t="s">
        <v>124</v>
      </c>
      <c r="P7" s="394" t="str">
        <v>SB</v>
      </c>
      <c r="Q7" s="394" t="str">
        <v>6L</v>
      </c>
      <c r="R7" s="351" t="str">
        <f t="shared" si="0"/>
        <v>GBPSB6L15M</v>
      </c>
      <c r="S7" s="351" t="str">
        <v>GBPSB6L15M=ICAP</v>
      </c>
      <c r="T7" s="395" t="s">
        <v>233</v>
      </c>
      <c r="U7" s="395" t="s">
        <v>233</v>
      </c>
      <c r="V7" s="395" t="s">
        <v>233</v>
      </c>
      <c r="W7" s="395" t="s">
        <v>233</v>
      </c>
      <c r="X7" s="492" t="e">
        <f>_xll.qlMidEquivalent($T7,$U7,$V7,$W7)</f>
        <v>#NUM!</v>
      </c>
      <c r="Y7" s="342"/>
      <c r="Z7" s="349" t="e">
        <v>#NUM!</v>
      </c>
      <c r="AA7" s="342"/>
      <c r="AB7" s="589" t="e">
        <v>#NUM!</v>
      </c>
      <c r="AC7" s="347" t="e">
        <f>_xll.qlSimpleQuoteSetValue(F7,AB7/100,Trigger)</f>
        <v>#NUM!</v>
      </c>
      <c r="AD7" s="218"/>
      <c r="AE7" s="64"/>
      <c r="AF7" s="207" t="s">
        <v>96</v>
      </c>
      <c r="AG7" s="82" t="s">
        <v>211</v>
      </c>
      <c r="AH7" s="81" t="s">
        <v>116</v>
      </c>
      <c r="AI7" s="503"/>
      <c r="AJ7" s="376" t="e">
        <f t="shared" si="1"/>
        <v>#VALUE!</v>
      </c>
    </row>
    <row r="8" spans="1:36" x14ac:dyDescent="0.2">
      <c r="A8" s="118"/>
      <c r="B8" s="216" t="s">
        <v>123</v>
      </c>
      <c r="C8" s="75" t="str">
        <v>SB</v>
      </c>
      <c r="D8" s="75" t="str">
        <v>6L</v>
      </c>
      <c r="E8" s="73" t="str">
        <f t="shared" si="2"/>
        <v>GBPSB6L18M_Quote</v>
      </c>
      <c r="F8" s="73" t="str">
        <f>_xll.qlSimpleQuote(Currency&amp;$C8&amp;$D8&amp;$B8&amp;QuoteSuffix,,RateTickValue,Permanent,Trigger,ObjectOverwrite)</f>
        <v>GBPSB6L18M_Quote#0000</v>
      </c>
      <c r="G8" s="72" t="str">
        <f>_xll.ohRangeRetrieveError(F8)</f>
        <v/>
      </c>
      <c r="H8" s="33"/>
      <c r="J8" s="207" t="s">
        <v>96</v>
      </c>
      <c r="K8" s="82" t="s">
        <v>211</v>
      </c>
      <c r="L8" s="81" t="s">
        <v>116</v>
      </c>
      <c r="N8" s="118"/>
      <c r="O8" s="352" t="s">
        <v>123</v>
      </c>
      <c r="P8" s="394" t="str">
        <v>SB</v>
      </c>
      <c r="Q8" s="394" t="str">
        <v>6L</v>
      </c>
      <c r="R8" s="351" t="str">
        <f t="shared" si="0"/>
        <v>GBPSB6L18M</v>
      </c>
      <c r="S8" s="351" t="str">
        <v>GBPSB6L18M=ICAP</v>
      </c>
      <c r="T8" s="395">
        <v>0.65625</v>
      </c>
      <c r="U8" s="395">
        <v>0.69625000000000004</v>
      </c>
      <c r="V8" s="395">
        <v>0</v>
      </c>
      <c r="W8" s="395">
        <v>0</v>
      </c>
      <c r="X8" s="492">
        <f>_xll.qlMidEquivalent($T8,$U8,$V8,$W8)</f>
        <v>0.67625000000000002</v>
      </c>
      <c r="Y8" s="342"/>
      <c r="Z8" s="349">
        <v>0.65249999999999997</v>
      </c>
      <c r="AA8" s="342"/>
      <c r="AB8" s="589">
        <v>0.65249999999999997</v>
      </c>
      <c r="AC8" s="347" t="e">
        <f>_xll.qlSimpleQuoteSetValue(F8,AB8/100,Trigger)</f>
        <v>#N/A</v>
      </c>
      <c r="AD8" s="218"/>
      <c r="AE8" s="64"/>
      <c r="AF8" s="207" t="s">
        <v>117</v>
      </c>
      <c r="AG8" s="82" t="s">
        <v>211</v>
      </c>
      <c r="AH8" s="81" t="s">
        <v>116</v>
      </c>
      <c r="AI8" s="503"/>
      <c r="AJ8" s="376">
        <f t="shared" si="1"/>
        <v>4.0000000000000034E-4</v>
      </c>
    </row>
    <row r="9" spans="1:36" ht="12" thickBot="1" x14ac:dyDescent="0.25">
      <c r="A9" s="118"/>
      <c r="B9" s="216" t="s">
        <v>122</v>
      </c>
      <c r="C9" s="75" t="str">
        <v>SB</v>
      </c>
      <c r="D9" s="75" t="str">
        <v>6L</v>
      </c>
      <c r="E9" s="73" t="str">
        <f t="shared" si="2"/>
        <v>GBPSB6L21M_Quote</v>
      </c>
      <c r="F9" s="73" t="str">
        <f>_xll.qlSimpleQuote(Currency&amp;$C9&amp;$D9&amp;$B9&amp;QuoteSuffix,,RateTickValue,Permanent,Trigger,ObjectOverwrite)</f>
        <v>GBPSB6L21M_Quote#0000</v>
      </c>
      <c r="G9" s="72" t="str">
        <f>_xll.ohRangeRetrieveError(F9)</f>
        <v/>
      </c>
      <c r="H9" s="33"/>
      <c r="J9" s="207" t="s">
        <v>117</v>
      </c>
      <c r="K9" s="215" t="s">
        <v>211</v>
      </c>
      <c r="L9" s="214" t="s">
        <v>116</v>
      </c>
      <c r="N9" s="118"/>
      <c r="O9" s="352" t="s">
        <v>122</v>
      </c>
      <c r="P9" s="394" t="str">
        <v>SB</v>
      </c>
      <c r="Q9" s="394" t="str">
        <v>6L</v>
      </c>
      <c r="R9" s="351" t="str">
        <f t="shared" si="0"/>
        <v>GBPSB6L21M</v>
      </c>
      <c r="S9" s="351" t="str">
        <v>GBPSB6L21M=ICAP</v>
      </c>
      <c r="T9" s="395" t="s">
        <v>233</v>
      </c>
      <c r="U9" s="395" t="s">
        <v>233</v>
      </c>
      <c r="V9" s="395" t="s">
        <v>233</v>
      </c>
      <c r="W9" s="395" t="s">
        <v>233</v>
      </c>
      <c r="X9" s="492" t="e">
        <f>_xll.qlMidEquivalent($T9,$U9,$V9,$W9)</f>
        <v>#NUM!</v>
      </c>
      <c r="Y9" s="342"/>
      <c r="Z9" s="349" t="e">
        <v>#NUM!</v>
      </c>
      <c r="AA9" s="342"/>
      <c r="AB9" s="589" t="e">
        <v>#NUM!</v>
      </c>
      <c r="AC9" s="347" t="e">
        <f>_xll.qlSimpleQuoteSetValue(F9,AB9/100,Trigger)</f>
        <v>#NUM!</v>
      </c>
      <c r="AD9" s="218"/>
      <c r="AE9" s="64"/>
      <c r="AF9" s="206" t="s">
        <v>115</v>
      </c>
      <c r="AG9" s="79" t="s">
        <v>210</v>
      </c>
      <c r="AH9" s="78" t="s">
        <v>116</v>
      </c>
      <c r="AI9" s="64"/>
      <c r="AJ9" s="376" t="e">
        <f t="shared" si="1"/>
        <v>#VALUE!</v>
      </c>
    </row>
    <row r="10" spans="1:36" ht="12" thickBot="1" x14ac:dyDescent="0.25">
      <c r="A10" s="118"/>
      <c r="B10" s="213" t="s">
        <v>85</v>
      </c>
      <c r="C10" s="75" t="str">
        <v>SB</v>
      </c>
      <c r="D10" s="75" t="str">
        <v>6L</v>
      </c>
      <c r="E10" s="73" t="str">
        <f t="shared" si="2"/>
        <v>GBPSB6L2Y_Quote</v>
      </c>
      <c r="F10" s="73" t="str">
        <f>_xll.qlSimpleQuote(Currency&amp;$C10&amp;$D10&amp;$B10&amp;QuoteSuffix,,RateTickValue,Permanent,Trigger,ObjectOverwrite)</f>
        <v>GBPSB6L2Y_Quote#0000</v>
      </c>
      <c r="G10" s="72" t="str">
        <f>_xll.ohRangeRetrieveError(F10)</f>
        <v/>
      </c>
      <c r="H10" s="33"/>
      <c r="J10" s="206" t="s">
        <v>115</v>
      </c>
      <c r="K10" s="79" t="s">
        <v>210</v>
      </c>
      <c r="L10" s="78" t="s">
        <v>116</v>
      </c>
      <c r="N10" s="118"/>
      <c r="O10" s="352" t="s">
        <v>85</v>
      </c>
      <c r="P10" s="394" t="str">
        <v>SB</v>
      </c>
      <c r="Q10" s="394" t="str">
        <v>6L</v>
      </c>
      <c r="R10" s="351" t="str">
        <f t="shared" si="0"/>
        <v>GBPSB6L2Y</v>
      </c>
      <c r="S10" s="351" t="str">
        <v>GBPSB6L2Y=ICAP</v>
      </c>
      <c r="T10" s="395">
        <v>0.6925</v>
      </c>
      <c r="U10" s="395">
        <v>0.73250000000000004</v>
      </c>
      <c r="V10" s="395">
        <v>0</v>
      </c>
      <c r="W10" s="395">
        <v>0</v>
      </c>
      <c r="X10" s="492">
        <f>_xll.qlMidEquivalent($T10,$U10,$V10,$W10)</f>
        <v>0.71250000000000002</v>
      </c>
      <c r="Y10" s="342"/>
      <c r="Z10" s="349">
        <v>0.66749999999999998</v>
      </c>
      <c r="AA10" s="342"/>
      <c r="AB10" s="589">
        <v>0.66749999999999998</v>
      </c>
      <c r="AC10" s="347" t="e">
        <f>_xll.qlSimpleQuoteSetValue(F10,AB10/100,Trigger)</f>
        <v>#N/A</v>
      </c>
      <c r="AD10" s="218"/>
      <c r="AE10" s="64"/>
      <c r="AF10" s="64"/>
      <c r="AG10" s="64"/>
      <c r="AH10" s="64"/>
      <c r="AI10" s="64"/>
      <c r="AJ10" s="376">
        <f t="shared" si="1"/>
        <v>4.0000000000000034E-4</v>
      </c>
    </row>
    <row r="11" spans="1:36" x14ac:dyDescent="0.2">
      <c r="A11" s="118"/>
      <c r="B11" s="213" t="s">
        <v>84</v>
      </c>
      <c r="C11" s="75" t="str">
        <v>SB</v>
      </c>
      <c r="D11" s="75" t="str">
        <v>6L</v>
      </c>
      <c r="E11" s="73" t="str">
        <f t="shared" si="2"/>
        <v>GBPSB6L3Y_Quote</v>
      </c>
      <c r="F11" s="73" t="str">
        <f>_xll.qlSimpleQuote(Currency&amp;$C11&amp;$D11&amp;$B11&amp;QuoteSuffix,,RateTickValue,Permanent,Trigger,ObjectOverwrite)</f>
        <v>GBPSB6L3Y_Quote#0000</v>
      </c>
      <c r="G11" s="72" t="str">
        <f>_xll.ohRangeRetrieveError(F11)</f>
        <v/>
      </c>
      <c r="H11" s="33"/>
      <c r="N11" s="118"/>
      <c r="O11" s="352" t="s">
        <v>84</v>
      </c>
      <c r="P11" s="394" t="str">
        <v>SB</v>
      </c>
      <c r="Q11" s="394" t="str">
        <v>6L</v>
      </c>
      <c r="R11" s="351" t="str">
        <f t="shared" si="0"/>
        <v>GBPSB6L3Y</v>
      </c>
      <c r="S11" s="351" t="str">
        <v>GBPSB6L3Y=ICAP</v>
      </c>
      <c r="T11" s="395">
        <v>0.80125000000000002</v>
      </c>
      <c r="U11" s="395">
        <v>0.84125000000000005</v>
      </c>
      <c r="V11" s="395">
        <v>0</v>
      </c>
      <c r="W11" s="395">
        <v>0</v>
      </c>
      <c r="X11" s="492">
        <f>_xll.qlMidEquivalent($T11,$U11,$V11,$W11)</f>
        <v>0.82125000000000004</v>
      </c>
      <c r="Y11" s="342"/>
      <c r="Z11" s="349">
        <v>0.73250000000000004</v>
      </c>
      <c r="AA11" s="342"/>
      <c r="AB11" s="589">
        <v>0.73250000000000004</v>
      </c>
      <c r="AC11" s="347" t="e">
        <f>_xll.qlSimpleQuoteSetValue(F11,AB11/100,Trigger)</f>
        <v>#N/A</v>
      </c>
      <c r="AD11" s="218"/>
      <c r="AE11" s="64"/>
      <c r="AF11" s="64"/>
      <c r="AG11" s="64"/>
      <c r="AH11" s="64"/>
      <c r="AI11" s="64"/>
      <c r="AJ11" s="376">
        <f t="shared" si="1"/>
        <v>4.0000000000000034E-4</v>
      </c>
    </row>
    <row r="12" spans="1:36" x14ac:dyDescent="0.2">
      <c r="A12" s="118"/>
      <c r="B12" s="213" t="s">
        <v>83</v>
      </c>
      <c r="C12" s="75" t="str">
        <v>SB</v>
      </c>
      <c r="D12" s="75" t="str">
        <v>6L</v>
      </c>
      <c r="E12" s="73" t="str">
        <f t="shared" si="2"/>
        <v>GBPSB6L4Y_Quote</v>
      </c>
      <c r="F12" s="73" t="str">
        <f>_xll.qlSimpleQuote(Currency&amp;$C12&amp;$D12&amp;$B12&amp;QuoteSuffix,,RateTickValue,Permanent,Trigger,ObjectOverwrite)</f>
        <v>GBPSB6L4Y_Quote#0000</v>
      </c>
      <c r="G12" s="72" t="str">
        <f>_xll.ohRangeRetrieveError(F12)</f>
        <v/>
      </c>
      <c r="H12" s="33"/>
      <c r="N12" s="118"/>
      <c r="O12" s="352" t="s">
        <v>83</v>
      </c>
      <c r="P12" s="394" t="str">
        <v>SB</v>
      </c>
      <c r="Q12" s="394" t="str">
        <v>6L</v>
      </c>
      <c r="R12" s="351" t="str">
        <f t="shared" si="0"/>
        <v>GBPSB6L4Y</v>
      </c>
      <c r="S12" s="351" t="str">
        <v>GBPSB6L4Y=ICAP</v>
      </c>
      <c r="T12" s="395">
        <v>0.95874999999999999</v>
      </c>
      <c r="U12" s="395">
        <v>1.00875</v>
      </c>
      <c r="V12" s="395">
        <v>0</v>
      </c>
      <c r="W12" s="395">
        <v>0</v>
      </c>
      <c r="X12" s="492">
        <f>_xll.qlMidEquivalent($T12,$U12,$V12,$W12)</f>
        <v>0.98375000000000001</v>
      </c>
      <c r="Y12" s="342"/>
      <c r="Z12" s="349">
        <v>0.84499999999999997</v>
      </c>
      <c r="AA12" s="342"/>
      <c r="AB12" s="589">
        <v>0.84499999999999997</v>
      </c>
      <c r="AC12" s="347" t="e">
        <f>_xll.qlSimpleQuoteSetValue(F12,AB12/100,Trigger)</f>
        <v>#N/A</v>
      </c>
      <c r="AD12" s="218"/>
      <c r="AE12" s="64"/>
      <c r="AF12" s="64"/>
      <c r="AG12" s="64"/>
      <c r="AH12" s="64"/>
      <c r="AI12" s="64"/>
      <c r="AJ12" s="376">
        <f t="shared" si="1"/>
        <v>5.0000000000000044E-4</v>
      </c>
    </row>
    <row r="13" spans="1:36" x14ac:dyDescent="0.2">
      <c r="A13" s="118"/>
      <c r="B13" s="213" t="s">
        <v>82</v>
      </c>
      <c r="C13" s="75" t="str">
        <v>SB</v>
      </c>
      <c r="D13" s="75" t="str">
        <v>6L</v>
      </c>
      <c r="E13" s="73" t="str">
        <f t="shared" si="2"/>
        <v>GBPSB6L5Y_Quote</v>
      </c>
      <c r="F13" s="73" t="str">
        <f>_xll.qlSimpleQuote(Currency&amp;$C13&amp;$D13&amp;$B13&amp;QuoteSuffix,,RateTickValue,Permanent,Trigger,ObjectOverwrite)</f>
        <v>GBPSB6L5Y_Quote#0000</v>
      </c>
      <c r="G13" s="72" t="str">
        <f>_xll.ohRangeRetrieveError(F13)</f>
        <v/>
      </c>
      <c r="H13" s="33"/>
      <c r="N13" s="118"/>
      <c r="O13" s="352" t="s">
        <v>82</v>
      </c>
      <c r="P13" s="394" t="str">
        <v>SB</v>
      </c>
      <c r="Q13" s="394" t="str">
        <v>6L</v>
      </c>
      <c r="R13" s="351" t="str">
        <f t="shared" si="0"/>
        <v>GBPSB6L5Y</v>
      </c>
      <c r="S13" s="351" t="str">
        <v>GBPSB6L5Y=ICAP</v>
      </c>
      <c r="T13" s="395">
        <v>1.1525000000000001</v>
      </c>
      <c r="U13" s="395">
        <v>1.2024999999999999</v>
      </c>
      <c r="V13" s="395">
        <v>0</v>
      </c>
      <c r="W13" s="395">
        <v>0</v>
      </c>
      <c r="X13" s="492">
        <f>_xll.qlMidEquivalent($T13,$U13,$V13,$W13)</f>
        <v>1.1775</v>
      </c>
      <c r="Y13" s="342"/>
      <c r="Z13" s="349">
        <v>0.995</v>
      </c>
      <c r="AA13" s="342"/>
      <c r="AB13" s="589">
        <v>0.995</v>
      </c>
      <c r="AC13" s="347" t="e">
        <f>_xll.qlSimpleQuoteSetValue(F13,AB13/100,Trigger)</f>
        <v>#N/A</v>
      </c>
      <c r="AD13" s="218"/>
      <c r="AE13" s="64"/>
      <c r="AF13" s="64"/>
      <c r="AG13" s="64"/>
      <c r="AH13" s="64"/>
      <c r="AI13" s="64"/>
      <c r="AJ13" s="376">
        <f t="shared" si="1"/>
        <v>4.9999999999999828E-4</v>
      </c>
    </row>
    <row r="14" spans="1:36" x14ac:dyDescent="0.2">
      <c r="A14" s="118"/>
      <c r="B14" s="213" t="s">
        <v>81</v>
      </c>
      <c r="C14" s="75" t="str">
        <v>SB</v>
      </c>
      <c r="D14" s="75" t="str">
        <v>6L</v>
      </c>
      <c r="E14" s="73" t="str">
        <f t="shared" si="2"/>
        <v>GBPSB6L6Y_Quote</v>
      </c>
      <c r="F14" s="73" t="str">
        <f>_xll.qlSimpleQuote(Currency&amp;$C14&amp;$D14&amp;$B14&amp;QuoteSuffix,,RateTickValue,Permanent,Trigger,ObjectOverwrite)</f>
        <v>GBPSB6L6Y_Quote#0000</v>
      </c>
      <c r="G14" s="72" t="str">
        <f>_xll.ohRangeRetrieveError(F14)</f>
        <v/>
      </c>
      <c r="H14" s="33"/>
      <c r="N14" s="118"/>
      <c r="O14" s="352" t="s">
        <v>81</v>
      </c>
      <c r="P14" s="394" t="str">
        <v>SB</v>
      </c>
      <c r="Q14" s="394" t="str">
        <v>6L</v>
      </c>
      <c r="R14" s="351" t="str">
        <f t="shared" si="0"/>
        <v>GBPSB6L6Y</v>
      </c>
      <c r="S14" s="351" t="str">
        <v>GBPSB6L6Y=ICAP</v>
      </c>
      <c r="T14" s="395">
        <v>1.35375</v>
      </c>
      <c r="U14" s="395">
        <v>1.4037500000000001</v>
      </c>
      <c r="V14" s="395">
        <v>0</v>
      </c>
      <c r="W14" s="395">
        <v>0</v>
      </c>
      <c r="X14" s="492">
        <f>_xll.qlMidEquivalent($T14,$U14,$V14,$W14)</f>
        <v>1.3787500000000001</v>
      </c>
      <c r="Y14" s="342"/>
      <c r="Z14" s="349">
        <v>1.165</v>
      </c>
      <c r="AA14" s="342"/>
      <c r="AB14" s="589">
        <v>1.165</v>
      </c>
      <c r="AC14" s="347" t="e">
        <f>_xll.qlSimpleQuoteSetValue(F14,AB14/100,Trigger)</f>
        <v>#N/A</v>
      </c>
      <c r="AD14" s="218"/>
      <c r="AE14" s="64"/>
      <c r="AF14" s="64"/>
      <c r="AG14" s="64"/>
      <c r="AH14" s="64"/>
      <c r="AI14" s="64"/>
      <c r="AJ14" s="376">
        <f t="shared" si="1"/>
        <v>4.9999999999999828E-4</v>
      </c>
    </row>
    <row r="15" spans="1:36" x14ac:dyDescent="0.2">
      <c r="A15" s="118"/>
      <c r="B15" s="213" t="s">
        <v>80</v>
      </c>
      <c r="C15" s="75" t="str">
        <v>SB</v>
      </c>
      <c r="D15" s="75" t="str">
        <v>6L</v>
      </c>
      <c r="E15" s="73" t="str">
        <f t="shared" si="2"/>
        <v>GBPSB6L7Y_Quote</v>
      </c>
      <c r="F15" s="73" t="str">
        <f>_xll.qlSimpleQuote(Currency&amp;$C15&amp;$D15&amp;$B15&amp;QuoteSuffix,,RateTickValue,Permanent,Trigger,ObjectOverwrite)</f>
        <v>GBPSB6L7Y_Quote#0000</v>
      </c>
      <c r="G15" s="72" t="str">
        <f>_xll.ohRangeRetrieveError(F15)</f>
        <v/>
      </c>
      <c r="H15" s="33"/>
      <c r="N15" s="118"/>
      <c r="O15" s="352" t="s">
        <v>80</v>
      </c>
      <c r="P15" s="394" t="str">
        <v>SB</v>
      </c>
      <c r="Q15" s="394" t="str">
        <v>6L</v>
      </c>
      <c r="R15" s="351" t="str">
        <f t="shared" si="0"/>
        <v>GBPSB6L7Y</v>
      </c>
      <c r="S15" s="351" t="str">
        <v>GBPSB6L7Y=ICAP</v>
      </c>
      <c r="T15" s="395">
        <v>1.5587500000000001</v>
      </c>
      <c r="U15" s="395">
        <v>1.6087499999999999</v>
      </c>
      <c r="V15" s="395">
        <v>0</v>
      </c>
      <c r="W15" s="395">
        <v>0</v>
      </c>
      <c r="X15" s="492">
        <f>_xll.qlMidEquivalent($T15,$U15,$V15,$W15)</f>
        <v>1.58375</v>
      </c>
      <c r="Y15" s="342"/>
      <c r="Z15" s="349">
        <v>1.3474999999999999</v>
      </c>
      <c r="AA15" s="342"/>
      <c r="AB15" s="589">
        <v>1.3474999999999999</v>
      </c>
      <c r="AC15" s="347" t="e">
        <f>_xll.qlSimpleQuoteSetValue(F15,AB15/100,Trigger)</f>
        <v>#N/A</v>
      </c>
      <c r="AD15" s="218"/>
      <c r="AE15" s="64"/>
      <c r="AF15" s="64"/>
      <c r="AG15" s="64"/>
      <c r="AH15" s="64"/>
      <c r="AI15" s="64"/>
      <c r="AJ15" s="376">
        <f t="shared" si="1"/>
        <v>4.9999999999999828E-4</v>
      </c>
    </row>
    <row r="16" spans="1:36" x14ac:dyDescent="0.2">
      <c r="A16" s="118"/>
      <c r="B16" s="213" t="s">
        <v>79</v>
      </c>
      <c r="C16" s="75" t="str">
        <v>SB</v>
      </c>
      <c r="D16" s="75" t="str">
        <v>6L</v>
      </c>
      <c r="E16" s="73" t="str">
        <f t="shared" si="2"/>
        <v>GBPSB6L8Y_Quote</v>
      </c>
      <c r="F16" s="73" t="str">
        <f>_xll.qlSimpleQuote(Currency&amp;$C16&amp;$D16&amp;$B16&amp;QuoteSuffix,,RateTickValue,Permanent,Trigger,ObjectOverwrite)</f>
        <v>GBPSB6L8Y_Quote#0000</v>
      </c>
      <c r="G16" s="72" t="str">
        <f>_xll.ohRangeRetrieveError(F16)</f>
        <v/>
      </c>
      <c r="H16" s="33"/>
      <c r="N16" s="118"/>
      <c r="O16" s="352" t="s">
        <v>79</v>
      </c>
      <c r="P16" s="394" t="str">
        <v>SB</v>
      </c>
      <c r="Q16" s="394" t="str">
        <v>6L</v>
      </c>
      <c r="R16" s="351" t="str">
        <f t="shared" si="0"/>
        <v>GBPSB6L8Y</v>
      </c>
      <c r="S16" s="351" t="str">
        <v>GBPSB6L8Y=ICAP</v>
      </c>
      <c r="T16" s="395">
        <v>1.7575000000000001</v>
      </c>
      <c r="U16" s="395">
        <v>1.8075000000000001</v>
      </c>
      <c r="V16" s="395">
        <v>0</v>
      </c>
      <c r="W16" s="395">
        <v>0</v>
      </c>
      <c r="X16" s="492">
        <f>_xll.qlMidEquivalent($T16,$U16,$V16,$W16)</f>
        <v>1.7825000000000002</v>
      </c>
      <c r="Y16" s="342"/>
      <c r="Z16" s="349">
        <v>1.53</v>
      </c>
      <c r="AA16" s="342"/>
      <c r="AB16" s="589">
        <v>1.53</v>
      </c>
      <c r="AC16" s="347" t="e">
        <f>_xll.qlSimpleQuoteSetValue(F16,AB16/100,Trigger)</f>
        <v>#N/A</v>
      </c>
      <c r="AD16" s="218"/>
      <c r="AE16" s="64"/>
      <c r="AF16" s="64"/>
      <c r="AG16" s="64"/>
      <c r="AH16" s="64"/>
      <c r="AI16" s="64"/>
      <c r="AJ16" s="376">
        <f t="shared" si="1"/>
        <v>4.9999999999999828E-4</v>
      </c>
    </row>
    <row r="17" spans="1:36" x14ac:dyDescent="0.2">
      <c r="A17" s="118"/>
      <c r="B17" s="213" t="s">
        <v>78</v>
      </c>
      <c r="C17" s="75" t="str">
        <v>SB</v>
      </c>
      <c r="D17" s="75" t="str">
        <v>6L</v>
      </c>
      <c r="E17" s="73" t="str">
        <f t="shared" si="2"/>
        <v>GBPSB6L9Y_Quote</v>
      </c>
      <c r="F17" s="73" t="str">
        <f>_xll.qlSimpleQuote(Currency&amp;$C17&amp;$D17&amp;$B17&amp;QuoteSuffix,,RateTickValue,Permanent,Trigger,ObjectOverwrite)</f>
        <v>GBPSB6L9Y_Quote#0000</v>
      </c>
      <c r="G17" s="72" t="str">
        <f>_xll.ohRangeRetrieveError(F17)</f>
        <v/>
      </c>
      <c r="H17" s="33"/>
      <c r="N17" s="118"/>
      <c r="O17" s="352" t="s">
        <v>78</v>
      </c>
      <c r="P17" s="394" t="str">
        <v>SB</v>
      </c>
      <c r="Q17" s="394" t="str">
        <v>6L</v>
      </c>
      <c r="R17" s="351" t="str">
        <f t="shared" si="0"/>
        <v>GBPSB6L9Y</v>
      </c>
      <c r="S17" s="351" t="str">
        <v>GBPSB6L9Y=ICAP</v>
      </c>
      <c r="T17" s="395">
        <v>1.9424999999999999</v>
      </c>
      <c r="U17" s="395">
        <v>1.9924999999999999</v>
      </c>
      <c r="V17" s="395">
        <v>0</v>
      </c>
      <c r="W17" s="395">
        <v>0</v>
      </c>
      <c r="X17" s="492">
        <f>_xll.qlMidEquivalent($T17,$U17,$V17,$W17)</f>
        <v>1.9674999999999998</v>
      </c>
      <c r="Y17" s="342"/>
      <c r="Z17" s="349">
        <v>1.7075</v>
      </c>
      <c r="AA17" s="342"/>
      <c r="AB17" s="589">
        <v>1.7075</v>
      </c>
      <c r="AC17" s="347" t="e">
        <f>_xll.qlSimpleQuoteSetValue(F17,AB17/100,Trigger)</f>
        <v>#N/A</v>
      </c>
      <c r="AD17" s="218"/>
      <c r="AE17" s="64"/>
      <c r="AF17" s="64"/>
      <c r="AG17" s="64"/>
      <c r="AH17" s="64"/>
      <c r="AI17" s="64"/>
      <c r="AJ17" s="376">
        <f t="shared" si="1"/>
        <v>5.0000000000000261E-4</v>
      </c>
    </row>
    <row r="18" spans="1:36" x14ac:dyDescent="0.2">
      <c r="A18" s="118"/>
      <c r="B18" s="213" t="s">
        <v>77</v>
      </c>
      <c r="C18" s="75" t="str">
        <v>SB</v>
      </c>
      <c r="D18" s="75" t="str">
        <v>6L</v>
      </c>
      <c r="E18" s="73" t="str">
        <f t="shared" si="2"/>
        <v>GBPSB6L10Y_Quote</v>
      </c>
      <c r="F18" s="73" t="str">
        <f>_xll.qlSimpleQuote(Currency&amp;$C18&amp;$D18&amp;$B18&amp;QuoteSuffix,,RateTickValue,Permanent,Trigger,ObjectOverwrite)</f>
        <v>GBPSB6L10Y_Quote#0000</v>
      </c>
      <c r="G18" s="72" t="str">
        <f>_xll.ohRangeRetrieveError(F18)</f>
        <v/>
      </c>
      <c r="H18" s="33"/>
      <c r="N18" s="118"/>
      <c r="O18" s="352" t="s">
        <v>77</v>
      </c>
      <c r="P18" s="394" t="str">
        <v>SB</v>
      </c>
      <c r="Q18" s="394" t="str">
        <v>6L</v>
      </c>
      <c r="R18" s="351" t="str">
        <f t="shared" si="0"/>
        <v>GBPSB6L10Y</v>
      </c>
      <c r="S18" s="351" t="str">
        <v>GBPSB6L10Y=ICAP</v>
      </c>
      <c r="T18" s="395">
        <v>2.1074999999999999</v>
      </c>
      <c r="U18" s="395">
        <v>2.1575000000000002</v>
      </c>
      <c r="V18" s="395">
        <v>0</v>
      </c>
      <c r="W18" s="395">
        <v>0</v>
      </c>
      <c r="X18" s="492">
        <f>_xll.qlMidEquivalent($T18,$U18,$V18,$W18)</f>
        <v>2.1325000000000003</v>
      </c>
      <c r="Y18" s="342"/>
      <c r="Z18" s="349">
        <v>1.8725000000000001</v>
      </c>
      <c r="AA18" s="342"/>
      <c r="AB18" s="589">
        <v>1.8725000000000001</v>
      </c>
      <c r="AC18" s="347" t="e">
        <f>_xll.qlSimpleQuoteSetValue(F18,AB18/100,Trigger)</f>
        <v>#N/A</v>
      </c>
      <c r="AD18" s="218"/>
      <c r="AE18" s="64"/>
      <c r="AF18" s="64"/>
      <c r="AG18" s="64"/>
      <c r="AH18" s="64"/>
      <c r="AI18" s="64"/>
      <c r="AJ18" s="376">
        <f t="shared" si="1"/>
        <v>4.9999999999999828E-4</v>
      </c>
    </row>
    <row r="19" spans="1:36" x14ac:dyDescent="0.2">
      <c r="A19" s="118"/>
      <c r="B19" s="213" t="s">
        <v>76</v>
      </c>
      <c r="C19" s="75" t="str">
        <v>SB</v>
      </c>
      <c r="D19" s="75" t="str">
        <v>6L</v>
      </c>
      <c r="E19" s="73" t="str">
        <f t="shared" si="2"/>
        <v>GBPSB6L11Y_Quote</v>
      </c>
      <c r="F19" s="73" t="str">
        <f>_xll.qlSimpleQuote(Currency&amp;$C19&amp;$D19&amp;$B19&amp;QuoteSuffix,,RateTickValue,Permanent,Trigger,ObjectOverwrite)</f>
        <v>GBPSB6L11Y_Quote#0000</v>
      </c>
      <c r="G19" s="72" t="str">
        <f>_xll.ohRangeRetrieveError(F19)</f>
        <v/>
      </c>
      <c r="H19" s="33"/>
      <c r="N19" s="118"/>
      <c r="O19" s="352" t="s">
        <v>76</v>
      </c>
      <c r="P19" s="394" t="str">
        <v>SB</v>
      </c>
      <c r="Q19" s="394" t="str">
        <v>6L</v>
      </c>
      <c r="R19" s="351" t="str">
        <f t="shared" si="0"/>
        <v>GBPSB6L11Y</v>
      </c>
      <c r="S19" s="351" t="str">
        <v>GBPSB6L11Y=ICAP</v>
      </c>
      <c r="T19" s="395">
        <v>2.2400000000000002</v>
      </c>
      <c r="U19" s="395">
        <v>2.31</v>
      </c>
      <c r="V19" s="395">
        <v>0</v>
      </c>
      <c r="W19" s="395">
        <v>0</v>
      </c>
      <c r="X19" s="492">
        <f>_xll.qlMidEquivalent($T19,$U19,$V19,$W19)</f>
        <v>2.2750000000000004</v>
      </c>
      <c r="Y19" s="342"/>
      <c r="Z19" s="349" t="e">
        <v>#NUM!</v>
      </c>
      <c r="AA19" s="342"/>
      <c r="AB19" s="589" t="e">
        <v>#NUM!</v>
      </c>
      <c r="AC19" s="347" t="e">
        <f>_xll.qlSimpleQuoteSetValue(F19,AB19/100,Trigger)</f>
        <v>#NUM!</v>
      </c>
      <c r="AD19" s="218"/>
      <c r="AE19" s="64"/>
      <c r="AF19" s="64"/>
      <c r="AG19" s="64"/>
      <c r="AH19" s="64"/>
      <c r="AI19" s="64"/>
      <c r="AJ19" s="376">
        <f t="shared" si="1"/>
        <v>6.9999999999999392E-4</v>
      </c>
    </row>
    <row r="20" spans="1:36" x14ac:dyDescent="0.2">
      <c r="A20" s="118"/>
      <c r="B20" s="213" t="s">
        <v>75</v>
      </c>
      <c r="C20" s="75" t="str">
        <v>SB</v>
      </c>
      <c r="D20" s="75" t="str">
        <v>6L</v>
      </c>
      <c r="E20" s="73" t="str">
        <f t="shared" si="2"/>
        <v>GBPSB6L12Y_Quote</v>
      </c>
      <c r="F20" s="73" t="str">
        <f>_xll.qlSimpleQuote(Currency&amp;$C20&amp;$D20&amp;$B20&amp;QuoteSuffix,,RateTickValue,Permanent,Trigger,ObjectOverwrite)</f>
        <v>GBPSB6L12Y_Quote#0000</v>
      </c>
      <c r="G20" s="72" t="str">
        <f>_xll.ohRangeRetrieveError(F20)</f>
        <v/>
      </c>
      <c r="H20" s="33"/>
      <c r="N20" s="118"/>
      <c r="O20" s="352" t="s">
        <v>75</v>
      </c>
      <c r="P20" s="394" t="str">
        <v>SB</v>
      </c>
      <c r="Q20" s="394" t="str">
        <v>6L</v>
      </c>
      <c r="R20" s="351" t="str">
        <f t="shared" si="0"/>
        <v>GBPSB6L12Y</v>
      </c>
      <c r="S20" s="351" t="str">
        <v>GBPSB6L12Y=ICAP</v>
      </c>
      <c r="T20" s="395">
        <v>2.36375</v>
      </c>
      <c r="U20" s="395">
        <v>2.4337499999999999</v>
      </c>
      <c r="V20" s="395">
        <v>0</v>
      </c>
      <c r="W20" s="395">
        <v>0</v>
      </c>
      <c r="X20" s="492">
        <f>_xll.qlMidEquivalent($T20,$U20,$V20,$W20)</f>
        <v>2.3987499999999997</v>
      </c>
      <c r="Y20" s="342"/>
      <c r="Z20" s="349">
        <v>2.1425000000000001</v>
      </c>
      <c r="AA20" s="342"/>
      <c r="AB20" s="589">
        <v>2.1425000000000001</v>
      </c>
      <c r="AC20" s="347" t="e">
        <f>_xll.qlSimpleQuoteSetValue(F20,AB20/100,Trigger)</f>
        <v>#N/A</v>
      </c>
      <c r="AD20" s="218"/>
      <c r="AE20" s="64"/>
      <c r="AF20" s="64"/>
      <c r="AG20" s="64"/>
      <c r="AH20" s="64"/>
      <c r="AI20" s="64"/>
      <c r="AJ20" s="376">
        <f t="shared" si="1"/>
        <v>7.0000000000000281E-4</v>
      </c>
    </row>
    <row r="21" spans="1:36" x14ac:dyDescent="0.2">
      <c r="A21" s="118"/>
      <c r="B21" s="213" t="s">
        <v>74</v>
      </c>
      <c r="C21" s="75" t="str">
        <v>SB</v>
      </c>
      <c r="D21" s="75" t="str">
        <v>6L</v>
      </c>
      <c r="E21" s="73" t="str">
        <f t="shared" si="2"/>
        <v>GBPSB6L13Y_Quote</v>
      </c>
      <c r="F21" s="73" t="str">
        <f>_xll.qlSimpleQuote(Currency&amp;$C21&amp;$D21&amp;$B21&amp;QuoteSuffix,,RateTickValue,Permanent,Trigger,ObjectOverwrite)</f>
        <v>GBPSB6L13Y_Quote#0000</v>
      </c>
      <c r="G21" s="72" t="str">
        <f>_xll.ohRangeRetrieveError(F21)</f>
        <v/>
      </c>
      <c r="H21" s="33"/>
      <c r="N21" s="118"/>
      <c r="O21" s="352" t="s">
        <v>74</v>
      </c>
      <c r="P21" s="394" t="str">
        <v>SB</v>
      </c>
      <c r="Q21" s="394" t="str">
        <v>6L</v>
      </c>
      <c r="R21" s="351" t="str">
        <f t="shared" si="0"/>
        <v>GBPSB6L13Y</v>
      </c>
      <c r="S21" s="351" t="str">
        <v>GBPSB6L13Y=ICAP</v>
      </c>
      <c r="T21" s="395" t="s">
        <v>233</v>
      </c>
      <c r="U21" s="395" t="s">
        <v>233</v>
      </c>
      <c r="V21" s="395" t="s">
        <v>233</v>
      </c>
      <c r="W21" s="395" t="s">
        <v>233</v>
      </c>
      <c r="X21" s="492" t="e">
        <f>_xll.qlMidEquivalent($T21,$U21,$V21,$W21)</f>
        <v>#NUM!</v>
      </c>
      <c r="Y21" s="342"/>
      <c r="Z21" s="349" t="e">
        <v>#NUM!</v>
      </c>
      <c r="AA21" s="342"/>
      <c r="AB21" s="589" t="e">
        <v>#NUM!</v>
      </c>
      <c r="AC21" s="347" t="e">
        <f>_xll.qlSimpleQuoteSetValue(F21,AB21/100,Trigger)</f>
        <v>#NUM!</v>
      </c>
      <c r="AD21" s="218"/>
      <c r="AE21" s="64"/>
      <c r="AF21" s="64"/>
      <c r="AG21" s="64"/>
      <c r="AH21" s="64"/>
      <c r="AI21" s="64"/>
      <c r="AJ21" s="376" t="e">
        <f t="shared" si="1"/>
        <v>#VALUE!</v>
      </c>
    </row>
    <row r="22" spans="1:36" x14ac:dyDescent="0.2">
      <c r="A22" s="118"/>
      <c r="B22" s="213" t="s">
        <v>73</v>
      </c>
      <c r="C22" s="75" t="str">
        <v>SB</v>
      </c>
      <c r="D22" s="75" t="str">
        <v>6L</v>
      </c>
      <c r="E22" s="73" t="str">
        <f t="shared" si="2"/>
        <v>GBPSB6L14Y_Quote</v>
      </c>
      <c r="F22" s="73" t="str">
        <f>_xll.qlSimpleQuote(Currency&amp;$C22&amp;$D22&amp;$B22&amp;QuoteSuffix,,RateTickValue,Permanent,Trigger,ObjectOverwrite)</f>
        <v>GBPSB6L14Y_Quote#0000</v>
      </c>
      <c r="G22" s="72" t="str">
        <f>_xll.ohRangeRetrieveError(F22)</f>
        <v/>
      </c>
      <c r="H22" s="33"/>
      <c r="N22" s="118"/>
      <c r="O22" s="352" t="s">
        <v>73</v>
      </c>
      <c r="P22" s="394" t="str">
        <v>SB</v>
      </c>
      <c r="Q22" s="394" t="str">
        <v>6L</v>
      </c>
      <c r="R22" s="351" t="str">
        <f t="shared" si="0"/>
        <v>GBPSB6L14Y</v>
      </c>
      <c r="S22" s="351" t="str">
        <v>GBPSB6L14Y=ICAP</v>
      </c>
      <c r="T22" s="395" t="s">
        <v>233</v>
      </c>
      <c r="U22" s="395" t="s">
        <v>233</v>
      </c>
      <c r="V22" s="395" t="s">
        <v>233</v>
      </c>
      <c r="W22" s="395" t="s">
        <v>233</v>
      </c>
      <c r="X22" s="492" t="e">
        <f>_xll.qlMidEquivalent($T22,$U22,$V22,$W22)</f>
        <v>#NUM!</v>
      </c>
      <c r="Y22" s="342"/>
      <c r="Z22" s="349" t="e">
        <v>#NUM!</v>
      </c>
      <c r="AA22" s="342"/>
      <c r="AB22" s="589" t="e">
        <v>#NUM!</v>
      </c>
      <c r="AC22" s="347" t="e">
        <f>_xll.qlSimpleQuoteSetValue(F22,AB22/100,Trigger)</f>
        <v>#NUM!</v>
      </c>
      <c r="AD22" s="218"/>
      <c r="AE22" s="64"/>
      <c r="AF22" s="64"/>
      <c r="AG22" s="64"/>
      <c r="AH22" s="64"/>
      <c r="AI22" s="64"/>
      <c r="AJ22" s="376" t="e">
        <f t="shared" si="1"/>
        <v>#VALUE!</v>
      </c>
    </row>
    <row r="23" spans="1:36" x14ac:dyDescent="0.2">
      <c r="A23" s="118"/>
      <c r="B23" s="213" t="s">
        <v>72</v>
      </c>
      <c r="C23" s="75" t="str">
        <v>SB</v>
      </c>
      <c r="D23" s="75" t="str">
        <v>6L</v>
      </c>
      <c r="E23" s="73" t="str">
        <f t="shared" si="2"/>
        <v>GBPSB6L15Y_Quote</v>
      </c>
      <c r="F23" s="73" t="str">
        <f>_xll.qlSimpleQuote(Currency&amp;$C23&amp;$D23&amp;$B23&amp;QuoteSuffix,,RateTickValue,Permanent,Trigger,ObjectOverwrite)</f>
        <v>GBPSB6L15Y_Quote#0000</v>
      </c>
      <c r="G23" s="72" t="str">
        <f>_xll.ohRangeRetrieveError(F23)</f>
        <v/>
      </c>
      <c r="H23" s="33"/>
      <c r="N23" s="118"/>
      <c r="O23" s="352" t="s">
        <v>72</v>
      </c>
      <c r="P23" s="394" t="str">
        <v>SB</v>
      </c>
      <c r="Q23" s="394" t="str">
        <v>6L</v>
      </c>
      <c r="R23" s="351" t="str">
        <f t="shared" si="0"/>
        <v>GBPSB6L15Y</v>
      </c>
      <c r="S23" s="351" t="str">
        <v>GBPSB6L15Y=ICAP</v>
      </c>
      <c r="T23" s="395">
        <v>2.63375</v>
      </c>
      <c r="U23" s="395">
        <v>2.7237499999999999</v>
      </c>
      <c r="V23" s="395">
        <v>0</v>
      </c>
      <c r="W23" s="395">
        <v>0</v>
      </c>
      <c r="X23" s="492">
        <f>_xll.qlMidEquivalent($T23,$U23,$V23,$W23)</f>
        <v>2.67875</v>
      </c>
      <c r="Y23" s="342"/>
      <c r="Z23" s="349">
        <v>2.4325000000000001</v>
      </c>
      <c r="AA23" s="342"/>
      <c r="AB23" s="589">
        <v>2.4325000000000001</v>
      </c>
      <c r="AC23" s="347" t="e">
        <f>_xll.qlSimpleQuoteSetValue(F23,AB23/100,Trigger)</f>
        <v>#N/A</v>
      </c>
      <c r="AD23" s="218"/>
      <c r="AE23" s="64"/>
      <c r="AF23" s="64"/>
      <c r="AG23" s="64"/>
      <c r="AH23" s="64"/>
      <c r="AI23" s="64"/>
      <c r="AJ23" s="376">
        <f t="shared" si="1"/>
        <v>8.9999999999999857E-4</v>
      </c>
    </row>
    <row r="24" spans="1:36" x14ac:dyDescent="0.2">
      <c r="A24" s="118"/>
      <c r="B24" s="213" t="s">
        <v>71</v>
      </c>
      <c r="C24" s="75" t="str">
        <v>SB</v>
      </c>
      <c r="D24" s="75" t="str">
        <v>6L</v>
      </c>
      <c r="E24" s="73" t="str">
        <f t="shared" si="2"/>
        <v>GBPSB6L16Y_Quote</v>
      </c>
      <c r="F24" s="73" t="str">
        <f>_xll.qlSimpleQuote(Currency&amp;$C24&amp;$D24&amp;$B24&amp;QuoteSuffix,,RateTickValue,Permanent,Trigger,ObjectOverwrite)</f>
        <v>GBPSB6L16Y_Quote#0000</v>
      </c>
      <c r="G24" s="72" t="str">
        <f>_xll.ohRangeRetrieveError(F24)</f>
        <v/>
      </c>
      <c r="H24" s="33"/>
      <c r="N24" s="118"/>
      <c r="O24" s="352" t="s">
        <v>71</v>
      </c>
      <c r="P24" s="394" t="str">
        <v>SB</v>
      </c>
      <c r="Q24" s="394" t="str">
        <v>6L</v>
      </c>
      <c r="R24" s="351" t="str">
        <f t="shared" si="0"/>
        <v>GBPSB6L16Y</v>
      </c>
      <c r="S24" s="351" t="str">
        <v>GBPSB6L16Y=ICAP</v>
      </c>
      <c r="T24" s="395" t="s">
        <v>233</v>
      </c>
      <c r="U24" s="395" t="s">
        <v>233</v>
      </c>
      <c r="V24" s="395" t="s">
        <v>233</v>
      </c>
      <c r="W24" s="395" t="s">
        <v>233</v>
      </c>
      <c r="X24" s="492" t="e">
        <f>_xll.qlMidEquivalent($T24,$U24,$V24,$W24)</f>
        <v>#NUM!</v>
      </c>
      <c r="Y24" s="342"/>
      <c r="Z24" s="349" t="e">
        <v>#NUM!</v>
      </c>
      <c r="AA24" s="342"/>
      <c r="AB24" s="589" t="e">
        <v>#NUM!</v>
      </c>
      <c r="AC24" s="347" t="e">
        <f>_xll.qlSimpleQuoteSetValue(F24,AB24/100,Trigger)</f>
        <v>#NUM!</v>
      </c>
      <c r="AD24" s="218"/>
      <c r="AE24" s="64"/>
      <c r="AF24" s="64"/>
      <c r="AG24" s="64"/>
      <c r="AH24" s="64"/>
      <c r="AI24" s="64"/>
      <c r="AJ24" s="376" t="e">
        <f t="shared" si="1"/>
        <v>#VALUE!</v>
      </c>
    </row>
    <row r="25" spans="1:36" x14ac:dyDescent="0.2">
      <c r="A25" s="118"/>
      <c r="B25" s="213" t="s">
        <v>70</v>
      </c>
      <c r="C25" s="75" t="str">
        <v>SB</v>
      </c>
      <c r="D25" s="75" t="str">
        <v>6L</v>
      </c>
      <c r="E25" s="73" t="str">
        <f t="shared" si="2"/>
        <v>GBPSB6L17Y_Quote</v>
      </c>
      <c r="F25" s="73" t="str">
        <f>_xll.qlSimpleQuote(Currency&amp;$C25&amp;$D25&amp;$B25&amp;QuoteSuffix,,RateTickValue,Permanent,Trigger,ObjectOverwrite)</f>
        <v>GBPSB6L17Y_Quote#0000</v>
      </c>
      <c r="G25" s="72" t="str">
        <f>_xll.ohRangeRetrieveError(F25)</f>
        <v/>
      </c>
      <c r="H25" s="33"/>
      <c r="N25" s="118"/>
      <c r="O25" s="352" t="s">
        <v>70</v>
      </c>
      <c r="P25" s="394" t="str">
        <v>SB</v>
      </c>
      <c r="Q25" s="394" t="str">
        <v>6L</v>
      </c>
      <c r="R25" s="351" t="str">
        <f t="shared" si="0"/>
        <v>GBPSB6L17Y</v>
      </c>
      <c r="S25" s="351" t="str">
        <v>GBPSB6L17Y=ICAP</v>
      </c>
      <c r="T25" s="395" t="s">
        <v>233</v>
      </c>
      <c r="U25" s="395" t="s">
        <v>233</v>
      </c>
      <c r="V25" s="395" t="s">
        <v>233</v>
      </c>
      <c r="W25" s="395" t="s">
        <v>233</v>
      </c>
      <c r="X25" s="492" t="e">
        <f>_xll.qlMidEquivalent($T25,$U25,$V25,$W25)</f>
        <v>#NUM!</v>
      </c>
      <c r="Y25" s="342"/>
      <c r="Z25" s="349" t="e">
        <v>#NUM!</v>
      </c>
      <c r="AA25" s="342"/>
      <c r="AB25" s="589" t="e">
        <v>#NUM!</v>
      </c>
      <c r="AC25" s="347" t="e">
        <f>_xll.qlSimpleQuoteSetValue(F25,AB25/100,Trigger)</f>
        <v>#NUM!</v>
      </c>
      <c r="AD25" s="218"/>
      <c r="AE25" s="64"/>
      <c r="AF25" s="64"/>
      <c r="AG25" s="64"/>
      <c r="AH25" s="64"/>
      <c r="AI25" s="64"/>
      <c r="AJ25" s="376" t="e">
        <f t="shared" si="1"/>
        <v>#VALUE!</v>
      </c>
    </row>
    <row r="26" spans="1:36" x14ac:dyDescent="0.2">
      <c r="A26" s="118"/>
      <c r="B26" s="213" t="s">
        <v>69</v>
      </c>
      <c r="C26" s="75" t="str">
        <v>SB</v>
      </c>
      <c r="D26" s="75" t="str">
        <v>6L</v>
      </c>
      <c r="E26" s="73" t="str">
        <f t="shared" si="2"/>
        <v>GBPSB6L18Y_Quote</v>
      </c>
      <c r="F26" s="73" t="str">
        <f>_xll.qlSimpleQuote(Currency&amp;$C26&amp;$D26&amp;$B26&amp;QuoteSuffix,,RateTickValue,Permanent,Trigger,ObjectOverwrite)</f>
        <v>GBPSB6L18Y_Quote#0000</v>
      </c>
      <c r="G26" s="72" t="str">
        <f>_xll.ohRangeRetrieveError(F26)</f>
        <v/>
      </c>
      <c r="H26" s="33"/>
      <c r="N26" s="118"/>
      <c r="O26" s="352" t="s">
        <v>69</v>
      </c>
      <c r="P26" s="394" t="str">
        <v>SB</v>
      </c>
      <c r="Q26" s="394" t="str">
        <v>6L</v>
      </c>
      <c r="R26" s="351" t="str">
        <f t="shared" si="0"/>
        <v>GBPSB6L18Y</v>
      </c>
      <c r="S26" s="351" t="str">
        <v>GBPSB6L18Y=ICAP</v>
      </c>
      <c r="T26" s="395" t="s">
        <v>233</v>
      </c>
      <c r="U26" s="395" t="s">
        <v>233</v>
      </c>
      <c r="V26" s="395" t="s">
        <v>233</v>
      </c>
      <c r="W26" s="395" t="s">
        <v>233</v>
      </c>
      <c r="X26" s="492" t="e">
        <f>_xll.qlMidEquivalent($T26,$U26,$V26,$W26)</f>
        <v>#NUM!</v>
      </c>
      <c r="Y26" s="342"/>
      <c r="Z26" s="349" t="e">
        <v>#NUM!</v>
      </c>
      <c r="AA26" s="342"/>
      <c r="AB26" s="589" t="e">
        <v>#NUM!</v>
      </c>
      <c r="AC26" s="347" t="e">
        <f>_xll.qlSimpleQuoteSetValue(F26,AB26/100,Trigger)</f>
        <v>#NUM!</v>
      </c>
      <c r="AD26" s="218"/>
      <c r="AE26" s="64"/>
      <c r="AF26" s="64"/>
      <c r="AG26" s="64"/>
      <c r="AH26" s="64"/>
      <c r="AI26" s="64"/>
      <c r="AJ26" s="376" t="e">
        <f t="shared" si="1"/>
        <v>#VALUE!</v>
      </c>
    </row>
    <row r="27" spans="1:36" x14ac:dyDescent="0.2">
      <c r="A27" s="118"/>
      <c r="B27" s="213" t="s">
        <v>68</v>
      </c>
      <c r="C27" s="75" t="str">
        <v>SB</v>
      </c>
      <c r="D27" s="75" t="str">
        <v>6L</v>
      </c>
      <c r="E27" s="73" t="str">
        <f t="shared" si="2"/>
        <v>GBPSB6L19Y_Quote</v>
      </c>
      <c r="F27" s="73" t="str">
        <f>_xll.qlSimpleQuote(Currency&amp;$C27&amp;$D27&amp;$B27&amp;QuoteSuffix,,RateTickValue,Permanent,Trigger,ObjectOverwrite)</f>
        <v>GBPSB6L19Y_Quote#0000</v>
      </c>
      <c r="G27" s="72" t="str">
        <f>_xll.ohRangeRetrieveError(F27)</f>
        <v/>
      </c>
      <c r="H27" s="33"/>
      <c r="N27" s="118"/>
      <c r="O27" s="352" t="s">
        <v>68</v>
      </c>
      <c r="P27" s="394" t="str">
        <v>SB</v>
      </c>
      <c r="Q27" s="394" t="str">
        <v>6L</v>
      </c>
      <c r="R27" s="351" t="str">
        <f t="shared" si="0"/>
        <v>GBPSB6L19Y</v>
      </c>
      <c r="S27" s="351" t="str">
        <v>GBPSB6L19Y=ICAP</v>
      </c>
      <c r="T27" s="395" t="s">
        <v>233</v>
      </c>
      <c r="U27" s="395" t="s">
        <v>233</v>
      </c>
      <c r="V27" s="395" t="s">
        <v>233</v>
      </c>
      <c r="W27" s="395" t="s">
        <v>233</v>
      </c>
      <c r="X27" s="492" t="e">
        <f>_xll.qlMidEquivalent($T27,$U27,$V27,$W27)</f>
        <v>#NUM!</v>
      </c>
      <c r="Y27" s="342"/>
      <c r="Z27" s="349" t="e">
        <v>#NUM!</v>
      </c>
      <c r="AA27" s="342"/>
      <c r="AB27" s="589" t="e">
        <v>#NUM!</v>
      </c>
      <c r="AC27" s="347" t="e">
        <f>_xll.qlSimpleQuoteSetValue(F27,AB27/100,Trigger)</f>
        <v>#NUM!</v>
      </c>
      <c r="AD27" s="218"/>
      <c r="AE27" s="64"/>
      <c r="AF27" s="64"/>
      <c r="AG27" s="64"/>
      <c r="AH27" s="64"/>
      <c r="AI27" s="64"/>
      <c r="AJ27" s="376" t="e">
        <f t="shared" si="1"/>
        <v>#VALUE!</v>
      </c>
    </row>
    <row r="28" spans="1:36" x14ac:dyDescent="0.2">
      <c r="A28" s="118"/>
      <c r="B28" s="213" t="s">
        <v>67</v>
      </c>
      <c r="C28" s="75" t="str">
        <v>SB</v>
      </c>
      <c r="D28" s="75" t="str">
        <v>6L</v>
      </c>
      <c r="E28" s="73" t="str">
        <f t="shared" si="2"/>
        <v>GBPSB6L20Y_Quote</v>
      </c>
      <c r="F28" s="73" t="str">
        <f>_xll.qlSimpleQuote(Currency&amp;$C28&amp;$D28&amp;$B28&amp;QuoteSuffix,,RateTickValue,Permanent,Trigger,ObjectOverwrite)</f>
        <v>GBPSB6L20Y_Quote#0000</v>
      </c>
      <c r="G28" s="72" t="str">
        <f>_xll.ohRangeRetrieveError(F28)</f>
        <v/>
      </c>
      <c r="H28" s="33"/>
      <c r="N28" s="118"/>
      <c r="O28" s="352" t="s">
        <v>67</v>
      </c>
      <c r="P28" s="394" t="str">
        <v>SB</v>
      </c>
      <c r="Q28" s="394" t="str">
        <v>6L</v>
      </c>
      <c r="R28" s="351" t="str">
        <f t="shared" si="0"/>
        <v>GBPSB6L20Y</v>
      </c>
      <c r="S28" s="351" t="str">
        <v>GBPSB6L20Y=ICAP</v>
      </c>
      <c r="T28" s="395">
        <v>2.9037500000000001</v>
      </c>
      <c r="U28" s="395">
        <v>3.0337499999999999</v>
      </c>
      <c r="V28" s="395">
        <v>0</v>
      </c>
      <c r="W28" s="395">
        <v>0</v>
      </c>
      <c r="X28" s="492">
        <f>_xll.qlMidEquivalent($T28,$U28,$V28,$W28)</f>
        <v>2.96875</v>
      </c>
      <c r="Y28" s="342"/>
      <c r="Z28" s="349">
        <v>2.73</v>
      </c>
      <c r="AA28" s="342"/>
      <c r="AB28" s="589">
        <v>2.73</v>
      </c>
      <c r="AC28" s="347" t="e">
        <f>_xll.qlSimpleQuoteSetValue(F28,AB28/100,Trigger)</f>
        <v>#N/A</v>
      </c>
      <c r="AD28" s="218"/>
      <c r="AE28" s="64"/>
      <c r="AF28" s="64"/>
      <c r="AG28" s="64"/>
      <c r="AH28" s="64"/>
      <c r="AI28" s="64"/>
      <c r="AJ28" s="376">
        <f t="shared" si="1"/>
        <v>1.2999999999999989E-3</v>
      </c>
    </row>
    <row r="29" spans="1:36" x14ac:dyDescent="0.2">
      <c r="A29" s="118"/>
      <c r="B29" s="213" t="s">
        <v>66</v>
      </c>
      <c r="C29" s="75" t="str">
        <v>SB</v>
      </c>
      <c r="D29" s="75" t="str">
        <v>6L</v>
      </c>
      <c r="E29" s="73" t="str">
        <f t="shared" si="2"/>
        <v>GBPSB6L21Y_Quote</v>
      </c>
      <c r="F29" s="73" t="str">
        <f>_xll.qlSimpleQuote(Currency&amp;$C29&amp;$D29&amp;$B29&amp;QuoteSuffix,,RateTickValue,Permanent,Trigger,ObjectOverwrite)</f>
        <v>GBPSB6L21Y_Quote#0000</v>
      </c>
      <c r="G29" s="72" t="str">
        <f>_xll.ohRangeRetrieveError(F29)</f>
        <v/>
      </c>
      <c r="H29" s="33"/>
      <c r="N29" s="118"/>
      <c r="O29" s="352" t="s">
        <v>66</v>
      </c>
      <c r="P29" s="394" t="str">
        <v>SB</v>
      </c>
      <c r="Q29" s="394" t="str">
        <v>6L</v>
      </c>
      <c r="R29" s="351" t="str">
        <f t="shared" si="0"/>
        <v>GBPSB6L21Y</v>
      </c>
      <c r="S29" s="351" t="str">
        <v>GBPSB6L21Y=ICAP</v>
      </c>
      <c r="T29" s="395" t="s">
        <v>233</v>
      </c>
      <c r="U29" s="395" t="s">
        <v>233</v>
      </c>
      <c r="V29" s="395" t="s">
        <v>233</v>
      </c>
      <c r="W29" s="395" t="s">
        <v>233</v>
      </c>
      <c r="X29" s="492" t="e">
        <f>_xll.qlMidEquivalent($T29,$U29,$V29,$W29)</f>
        <v>#NUM!</v>
      </c>
      <c r="Y29" s="342"/>
      <c r="Z29" s="349" t="e">
        <v>#NUM!</v>
      </c>
      <c r="AA29" s="342"/>
      <c r="AB29" s="589" t="e">
        <v>#NUM!</v>
      </c>
      <c r="AC29" s="347" t="e">
        <f>_xll.qlSimpleQuoteSetValue(F29,AB29/100,Trigger)</f>
        <v>#NUM!</v>
      </c>
      <c r="AD29" s="218"/>
      <c r="AE29" s="64"/>
      <c r="AF29" s="64"/>
      <c r="AG29" s="64"/>
      <c r="AH29" s="64"/>
      <c r="AI29" s="64"/>
      <c r="AJ29" s="376" t="e">
        <f t="shared" si="1"/>
        <v>#VALUE!</v>
      </c>
    </row>
    <row r="30" spans="1:36" x14ac:dyDescent="0.2">
      <c r="A30" s="118"/>
      <c r="B30" s="213" t="s">
        <v>65</v>
      </c>
      <c r="C30" s="75" t="str">
        <v>SB</v>
      </c>
      <c r="D30" s="75" t="str">
        <v>6L</v>
      </c>
      <c r="E30" s="73" t="str">
        <f t="shared" si="2"/>
        <v>GBPSB6L22Y_Quote</v>
      </c>
      <c r="F30" s="73" t="str">
        <f>_xll.qlSimpleQuote(Currency&amp;$C30&amp;$D30&amp;$B30&amp;QuoteSuffix,,RateTickValue,Permanent,Trigger,ObjectOverwrite)</f>
        <v>GBPSB6L22Y_Quote#0000</v>
      </c>
      <c r="G30" s="72" t="str">
        <f>_xll.ohRangeRetrieveError(F30)</f>
        <v/>
      </c>
      <c r="H30" s="33"/>
      <c r="N30" s="118"/>
      <c r="O30" s="352" t="s">
        <v>65</v>
      </c>
      <c r="P30" s="394" t="str">
        <v>SB</v>
      </c>
      <c r="Q30" s="394" t="str">
        <v>6L</v>
      </c>
      <c r="R30" s="351" t="str">
        <f t="shared" si="0"/>
        <v>GBPSB6L22Y</v>
      </c>
      <c r="S30" s="351" t="str">
        <v>GBPSB6L22Y=ICAP</v>
      </c>
      <c r="T30" s="395" t="s">
        <v>233</v>
      </c>
      <c r="U30" s="395" t="s">
        <v>233</v>
      </c>
      <c r="V30" s="395" t="s">
        <v>233</v>
      </c>
      <c r="W30" s="395" t="s">
        <v>233</v>
      </c>
      <c r="X30" s="492" t="e">
        <f>_xll.qlMidEquivalent($T30,$U30,$V30,$W30)</f>
        <v>#NUM!</v>
      </c>
      <c r="Y30" s="342"/>
      <c r="Z30" s="349" t="e">
        <v>#NUM!</v>
      </c>
      <c r="AA30" s="342"/>
      <c r="AB30" s="589" t="e">
        <v>#NUM!</v>
      </c>
      <c r="AC30" s="347" t="e">
        <f>_xll.qlSimpleQuoteSetValue(F30,AB30/100,Trigger)</f>
        <v>#NUM!</v>
      </c>
      <c r="AD30" s="218"/>
      <c r="AE30" s="64"/>
      <c r="AF30" s="64"/>
      <c r="AG30" s="64"/>
      <c r="AH30" s="64"/>
      <c r="AI30" s="64"/>
      <c r="AJ30" s="376" t="e">
        <f t="shared" si="1"/>
        <v>#VALUE!</v>
      </c>
    </row>
    <row r="31" spans="1:36" x14ac:dyDescent="0.2">
      <c r="A31" s="118"/>
      <c r="B31" s="213" t="s">
        <v>64</v>
      </c>
      <c r="C31" s="75" t="str">
        <v>SB</v>
      </c>
      <c r="D31" s="75" t="str">
        <v>6L</v>
      </c>
      <c r="E31" s="73" t="str">
        <f t="shared" si="2"/>
        <v>GBPSB6L23Y_Quote</v>
      </c>
      <c r="F31" s="73" t="str">
        <f>_xll.qlSimpleQuote(Currency&amp;$C31&amp;$D31&amp;$B31&amp;QuoteSuffix,,RateTickValue,Permanent,Trigger,ObjectOverwrite)</f>
        <v>GBPSB6L23Y_Quote#0000</v>
      </c>
      <c r="G31" s="72" t="str">
        <f>_xll.ohRangeRetrieveError(F31)</f>
        <v/>
      </c>
      <c r="H31" s="33"/>
      <c r="N31" s="118"/>
      <c r="O31" s="352" t="s">
        <v>64</v>
      </c>
      <c r="P31" s="394" t="str">
        <v>SB</v>
      </c>
      <c r="Q31" s="394" t="str">
        <v>6L</v>
      </c>
      <c r="R31" s="351" t="str">
        <f t="shared" si="0"/>
        <v>GBPSB6L23Y</v>
      </c>
      <c r="S31" s="351" t="str">
        <v>GBPSB6L23Y=ICAP</v>
      </c>
      <c r="T31" s="395" t="s">
        <v>233</v>
      </c>
      <c r="U31" s="395" t="s">
        <v>233</v>
      </c>
      <c r="V31" s="395" t="s">
        <v>233</v>
      </c>
      <c r="W31" s="395" t="s">
        <v>233</v>
      </c>
      <c r="X31" s="492" t="e">
        <f>_xll.qlMidEquivalent($T31,$U31,$V31,$W31)</f>
        <v>#NUM!</v>
      </c>
      <c r="Y31" s="342"/>
      <c r="Z31" s="349" t="e">
        <v>#NUM!</v>
      </c>
      <c r="AA31" s="342"/>
      <c r="AB31" s="589" t="e">
        <v>#NUM!</v>
      </c>
      <c r="AC31" s="347" t="e">
        <f>_xll.qlSimpleQuoteSetValue(F31,AB31/100,Trigger)</f>
        <v>#NUM!</v>
      </c>
      <c r="AD31" s="218"/>
      <c r="AE31" s="64"/>
      <c r="AF31" s="64"/>
      <c r="AG31" s="64"/>
      <c r="AH31" s="64"/>
      <c r="AI31" s="64"/>
      <c r="AJ31" s="376" t="e">
        <f t="shared" si="1"/>
        <v>#VALUE!</v>
      </c>
    </row>
    <row r="32" spans="1:36" x14ac:dyDescent="0.2">
      <c r="A32" s="118"/>
      <c r="B32" s="213" t="s">
        <v>63</v>
      </c>
      <c r="C32" s="75" t="str">
        <v>SB</v>
      </c>
      <c r="D32" s="75" t="str">
        <v>6L</v>
      </c>
      <c r="E32" s="73" t="str">
        <f t="shared" si="2"/>
        <v>GBPSB6L24Y_Quote</v>
      </c>
      <c r="F32" s="73" t="str">
        <f>_xll.qlSimpleQuote(Currency&amp;$C32&amp;$D32&amp;$B32&amp;QuoteSuffix,,RateTickValue,Permanent,Trigger,ObjectOverwrite)</f>
        <v>GBPSB6L24Y_Quote#0000</v>
      </c>
      <c r="G32" s="72" t="str">
        <f>_xll.ohRangeRetrieveError(F32)</f>
        <v/>
      </c>
      <c r="H32" s="33"/>
      <c r="N32" s="118"/>
      <c r="O32" s="352" t="s">
        <v>63</v>
      </c>
      <c r="P32" s="394" t="str">
        <v>SB</v>
      </c>
      <c r="Q32" s="394" t="str">
        <v>6L</v>
      </c>
      <c r="R32" s="351" t="str">
        <f t="shared" si="0"/>
        <v>GBPSB6L24Y</v>
      </c>
      <c r="S32" s="351" t="str">
        <v>GBPSB6L24Y=ICAP</v>
      </c>
      <c r="T32" s="395" t="s">
        <v>233</v>
      </c>
      <c r="U32" s="395" t="s">
        <v>233</v>
      </c>
      <c r="V32" s="395" t="s">
        <v>233</v>
      </c>
      <c r="W32" s="395" t="s">
        <v>233</v>
      </c>
      <c r="X32" s="492" t="e">
        <f>_xll.qlMidEquivalent($T32,$U32,$V32,$W32)</f>
        <v>#NUM!</v>
      </c>
      <c r="Y32" s="342"/>
      <c r="Z32" s="349" t="e">
        <v>#NUM!</v>
      </c>
      <c r="AA32" s="342"/>
      <c r="AB32" s="589" t="e">
        <v>#NUM!</v>
      </c>
      <c r="AC32" s="347" t="e">
        <f>_xll.qlSimpleQuoteSetValue(F32,AB32/100,Trigger)</f>
        <v>#NUM!</v>
      </c>
      <c r="AD32" s="218"/>
      <c r="AE32" s="64"/>
      <c r="AF32" s="64"/>
      <c r="AG32" s="64"/>
      <c r="AH32" s="64"/>
      <c r="AI32" s="64"/>
      <c r="AJ32" s="376" t="e">
        <f t="shared" si="1"/>
        <v>#VALUE!</v>
      </c>
    </row>
    <row r="33" spans="1:36" x14ac:dyDescent="0.2">
      <c r="A33" s="118"/>
      <c r="B33" s="213" t="s">
        <v>62</v>
      </c>
      <c r="C33" s="75" t="str">
        <v>SB</v>
      </c>
      <c r="D33" s="75" t="str">
        <v>6L</v>
      </c>
      <c r="E33" s="73" t="str">
        <f t="shared" si="2"/>
        <v>GBPSB6L25Y_Quote</v>
      </c>
      <c r="F33" s="73" t="str">
        <f>_xll.qlSimpleQuote(Currency&amp;$C33&amp;$D33&amp;$B33&amp;QuoteSuffix,,RateTickValue,Permanent,Trigger,ObjectOverwrite)</f>
        <v>GBPSB6L25Y_Quote#0000</v>
      </c>
      <c r="G33" s="72" t="str">
        <f>_xll.ohRangeRetrieveError(F33)</f>
        <v/>
      </c>
      <c r="H33" s="33"/>
      <c r="N33" s="118"/>
      <c r="O33" s="352" t="s">
        <v>62</v>
      </c>
      <c r="P33" s="394" t="str">
        <v>SB</v>
      </c>
      <c r="Q33" s="394" t="str">
        <v>6L</v>
      </c>
      <c r="R33" s="351" t="str">
        <f t="shared" si="0"/>
        <v>GBPSB6L25Y</v>
      </c>
      <c r="S33" s="351" t="str">
        <v>GBPSB6L25Y=ICAP</v>
      </c>
      <c r="T33" s="395">
        <v>3.0525000000000002</v>
      </c>
      <c r="U33" s="395">
        <v>3.1825000000000001</v>
      </c>
      <c r="V33" s="395">
        <v>0</v>
      </c>
      <c r="W33" s="395">
        <v>0</v>
      </c>
      <c r="X33" s="492">
        <f>_xll.qlMidEquivalent($T33,$U33,$V33,$W33)</f>
        <v>3.1175000000000002</v>
      </c>
      <c r="Y33" s="342"/>
      <c r="Z33" s="349">
        <v>2.8875000000000002</v>
      </c>
      <c r="AA33" s="342"/>
      <c r="AB33" s="589">
        <v>2.8875000000000002</v>
      </c>
      <c r="AC33" s="347" t="e">
        <f>_xll.qlSimpleQuoteSetValue(F33,AB33/100,Trigger)</f>
        <v>#N/A</v>
      </c>
      <c r="AD33" s="218"/>
      <c r="AE33" s="64"/>
      <c r="AF33" s="64"/>
      <c r="AG33" s="64"/>
      <c r="AH33" s="64"/>
      <c r="AI33" s="64"/>
      <c r="AJ33" s="376">
        <f t="shared" si="1"/>
        <v>1.2999999999999989E-3</v>
      </c>
    </row>
    <row r="34" spans="1:36" x14ac:dyDescent="0.2">
      <c r="A34" s="118"/>
      <c r="B34" s="213" t="s">
        <v>61</v>
      </c>
      <c r="C34" s="75" t="str">
        <v>SB</v>
      </c>
      <c r="D34" s="75" t="str">
        <v>6L</v>
      </c>
      <c r="E34" s="73" t="str">
        <f t="shared" si="2"/>
        <v>GBPSB6L26Y_Quote</v>
      </c>
      <c r="F34" s="73" t="str">
        <f>_xll.qlSimpleQuote(Currency&amp;$C34&amp;$D34&amp;$B34&amp;QuoteSuffix,,RateTickValue,Permanent,Trigger,ObjectOverwrite)</f>
        <v>GBPSB6L26Y_Quote#0000</v>
      </c>
      <c r="G34" s="72" t="str">
        <f>_xll.ohRangeRetrieveError(F34)</f>
        <v/>
      </c>
      <c r="H34" s="33"/>
      <c r="N34" s="118"/>
      <c r="O34" s="352" t="s">
        <v>61</v>
      </c>
      <c r="P34" s="394" t="str">
        <v>SB</v>
      </c>
      <c r="Q34" s="394" t="str">
        <v>6L</v>
      </c>
      <c r="R34" s="351" t="str">
        <f t="shared" si="0"/>
        <v>GBPSB6L26Y</v>
      </c>
      <c r="S34" s="351" t="str">
        <v>GBPSB6L26Y=ICAP</v>
      </c>
      <c r="T34" s="395" t="s">
        <v>233</v>
      </c>
      <c r="U34" s="395" t="s">
        <v>233</v>
      </c>
      <c r="V34" s="395" t="s">
        <v>233</v>
      </c>
      <c r="W34" s="395" t="s">
        <v>233</v>
      </c>
      <c r="X34" s="492" t="e">
        <f>_xll.qlMidEquivalent($T34,$U34,$V34,$W34)</f>
        <v>#NUM!</v>
      </c>
      <c r="Y34" s="342"/>
      <c r="Z34" s="349" t="e">
        <v>#NUM!</v>
      </c>
      <c r="AA34" s="342"/>
      <c r="AB34" s="589" t="e">
        <v>#NUM!</v>
      </c>
      <c r="AC34" s="347" t="e">
        <f>_xll.qlSimpleQuoteSetValue(F34,AB34/100,Trigger)</f>
        <v>#NUM!</v>
      </c>
      <c r="AD34" s="218"/>
      <c r="AE34" s="64"/>
      <c r="AF34" s="64"/>
      <c r="AG34" s="64"/>
      <c r="AH34" s="64"/>
      <c r="AI34" s="64"/>
      <c r="AJ34" s="376" t="e">
        <f t="shared" si="1"/>
        <v>#VALUE!</v>
      </c>
    </row>
    <row r="35" spans="1:36" x14ac:dyDescent="0.2">
      <c r="A35" s="118"/>
      <c r="B35" s="213" t="s">
        <v>60</v>
      </c>
      <c r="C35" s="75" t="str">
        <v>SB</v>
      </c>
      <c r="D35" s="75" t="str">
        <v>6L</v>
      </c>
      <c r="E35" s="73" t="str">
        <f t="shared" si="2"/>
        <v>GBPSB6L27Y_Quote</v>
      </c>
      <c r="F35" s="73" t="str">
        <f>_xll.qlSimpleQuote(Currency&amp;$C35&amp;$D35&amp;$B35&amp;QuoteSuffix,,RateTickValue,Permanent,Trigger,ObjectOverwrite)</f>
        <v>GBPSB6L27Y_Quote#0000</v>
      </c>
      <c r="G35" s="72" t="str">
        <f>_xll.ohRangeRetrieveError(F35)</f>
        <v/>
      </c>
      <c r="H35" s="33"/>
      <c r="N35" s="118"/>
      <c r="O35" s="352" t="s">
        <v>60</v>
      </c>
      <c r="P35" s="394" t="str">
        <v>SB</v>
      </c>
      <c r="Q35" s="394" t="str">
        <v>6L</v>
      </c>
      <c r="R35" s="351" t="str">
        <f t="shared" si="0"/>
        <v>GBPSB6L27Y</v>
      </c>
      <c r="S35" s="351" t="str">
        <v>GBPSB6L27Y=ICAP</v>
      </c>
      <c r="T35" s="395" t="s">
        <v>233</v>
      </c>
      <c r="U35" s="395" t="s">
        <v>233</v>
      </c>
      <c r="V35" s="395" t="s">
        <v>233</v>
      </c>
      <c r="W35" s="395" t="s">
        <v>233</v>
      </c>
      <c r="X35" s="492" t="e">
        <f>_xll.qlMidEquivalent($T35,$U35,$V35,$W35)</f>
        <v>#NUM!</v>
      </c>
      <c r="Y35" s="342"/>
      <c r="Z35" s="349" t="e">
        <v>#NUM!</v>
      </c>
      <c r="AA35" s="342"/>
      <c r="AB35" s="589" t="e">
        <v>#NUM!</v>
      </c>
      <c r="AC35" s="347" t="e">
        <f>_xll.qlSimpleQuoteSetValue(F35,AB35/100,Trigger)</f>
        <v>#NUM!</v>
      </c>
      <c r="AD35" s="218"/>
      <c r="AE35" s="64"/>
      <c r="AF35" s="64"/>
      <c r="AG35" s="64"/>
      <c r="AH35" s="64"/>
      <c r="AI35" s="64"/>
      <c r="AJ35" s="376" t="e">
        <f t="shared" si="1"/>
        <v>#VALUE!</v>
      </c>
    </row>
    <row r="36" spans="1:36" x14ac:dyDescent="0.2">
      <c r="A36" s="118"/>
      <c r="B36" s="213" t="s">
        <v>59</v>
      </c>
      <c r="C36" s="75" t="str">
        <v>SB</v>
      </c>
      <c r="D36" s="75" t="str">
        <v>6L</v>
      </c>
      <c r="E36" s="73" t="str">
        <f t="shared" si="2"/>
        <v>GBPSB6L28Y_Quote</v>
      </c>
      <c r="F36" s="73" t="str">
        <f>_xll.qlSimpleQuote(Currency&amp;$C36&amp;$D36&amp;$B36&amp;QuoteSuffix,,RateTickValue,Permanent,Trigger,ObjectOverwrite)</f>
        <v>GBPSB6L28Y_Quote#0000</v>
      </c>
      <c r="G36" s="72" t="str">
        <f>_xll.ohRangeRetrieveError(F36)</f>
        <v/>
      </c>
      <c r="H36" s="33"/>
      <c r="N36" s="118"/>
      <c r="O36" s="352" t="s">
        <v>59</v>
      </c>
      <c r="P36" s="394" t="str">
        <v>SB</v>
      </c>
      <c r="Q36" s="394" t="str">
        <v>6L</v>
      </c>
      <c r="R36" s="351" t="str">
        <f t="shared" si="0"/>
        <v>GBPSB6L28Y</v>
      </c>
      <c r="S36" s="351" t="str">
        <v>GBPSB6L28Y=ICAP</v>
      </c>
      <c r="T36" s="395" t="s">
        <v>233</v>
      </c>
      <c r="U36" s="395" t="s">
        <v>233</v>
      </c>
      <c r="V36" s="395" t="s">
        <v>233</v>
      </c>
      <c r="W36" s="395" t="s">
        <v>233</v>
      </c>
      <c r="X36" s="492" t="e">
        <f>_xll.qlMidEquivalent($T36,$U36,$V36,$W36)</f>
        <v>#NUM!</v>
      </c>
      <c r="Y36" s="342"/>
      <c r="Z36" s="349" t="e">
        <v>#NUM!</v>
      </c>
      <c r="AA36" s="342"/>
      <c r="AB36" s="589" t="e">
        <v>#NUM!</v>
      </c>
      <c r="AC36" s="347" t="e">
        <f>_xll.qlSimpleQuoteSetValue(F36,AB36/100,Trigger)</f>
        <v>#NUM!</v>
      </c>
      <c r="AD36" s="218"/>
      <c r="AE36" s="64"/>
      <c r="AF36" s="64"/>
      <c r="AG36" s="64"/>
      <c r="AH36" s="64"/>
      <c r="AI36" s="64"/>
      <c r="AJ36" s="376" t="e">
        <f t="shared" si="1"/>
        <v>#VALUE!</v>
      </c>
    </row>
    <row r="37" spans="1:36" x14ac:dyDescent="0.2">
      <c r="A37" s="118"/>
      <c r="B37" s="213" t="s">
        <v>58</v>
      </c>
      <c r="C37" s="75" t="str">
        <v>SB</v>
      </c>
      <c r="D37" s="75" t="str">
        <v>6L</v>
      </c>
      <c r="E37" s="73" t="str">
        <f t="shared" si="2"/>
        <v>GBPSB6L29Y_Quote</v>
      </c>
      <c r="F37" s="73" t="str">
        <f>_xll.qlSimpleQuote(Currency&amp;$C37&amp;$D37&amp;$B37&amp;QuoteSuffix,,RateTickValue,Permanent,Trigger,ObjectOverwrite)</f>
        <v>GBPSB6L29Y_Quote#0000</v>
      </c>
      <c r="G37" s="72" t="str">
        <f>_xll.ohRangeRetrieveError(F37)</f>
        <v/>
      </c>
      <c r="H37" s="33"/>
      <c r="N37" s="118"/>
      <c r="O37" s="352" t="s">
        <v>58</v>
      </c>
      <c r="P37" s="394" t="str">
        <v>SB</v>
      </c>
      <c r="Q37" s="394" t="str">
        <v>6L</v>
      </c>
      <c r="R37" s="351" t="str">
        <f t="shared" si="0"/>
        <v>GBPSB6L29Y</v>
      </c>
      <c r="S37" s="351" t="str">
        <v>GBPSB6L29Y=ICAP</v>
      </c>
      <c r="T37" s="395" t="s">
        <v>233</v>
      </c>
      <c r="U37" s="395" t="s">
        <v>233</v>
      </c>
      <c r="V37" s="395" t="s">
        <v>233</v>
      </c>
      <c r="W37" s="395" t="s">
        <v>233</v>
      </c>
      <c r="X37" s="492" t="e">
        <f>_xll.qlMidEquivalent($T37,$U37,$V37,$W37)</f>
        <v>#NUM!</v>
      </c>
      <c r="Y37" s="342"/>
      <c r="Z37" s="349" t="e">
        <v>#NUM!</v>
      </c>
      <c r="AA37" s="342"/>
      <c r="AB37" s="589" t="e">
        <v>#NUM!</v>
      </c>
      <c r="AC37" s="347" t="e">
        <f>_xll.qlSimpleQuoteSetValue(F37,AB37/100,Trigger)</f>
        <v>#NUM!</v>
      </c>
      <c r="AD37" s="218"/>
      <c r="AE37" s="64"/>
      <c r="AF37" s="64"/>
      <c r="AG37" s="64"/>
      <c r="AH37" s="64"/>
      <c r="AI37" s="64"/>
      <c r="AJ37" s="376" t="e">
        <f t="shared" si="1"/>
        <v>#VALUE!</v>
      </c>
    </row>
    <row r="38" spans="1:36" x14ac:dyDescent="0.2">
      <c r="A38" s="118"/>
      <c r="B38" s="213" t="s">
        <v>57</v>
      </c>
      <c r="C38" s="75" t="str">
        <v>SB</v>
      </c>
      <c r="D38" s="75" t="str">
        <v>6L</v>
      </c>
      <c r="E38" s="73" t="str">
        <f t="shared" si="2"/>
        <v>GBPSB6L30Y_Quote</v>
      </c>
      <c r="F38" s="73" t="str">
        <f>_xll.qlSimpleQuote(Currency&amp;$C38&amp;$D38&amp;$B38&amp;QuoteSuffix,,RateTickValue,Permanent,Trigger,ObjectOverwrite)</f>
        <v>GBPSB6L30Y_Quote#0000</v>
      </c>
      <c r="G38" s="72" t="str">
        <f>_xll.ohRangeRetrieveError(F38)</f>
        <v/>
      </c>
      <c r="H38" s="33"/>
      <c r="N38" s="118"/>
      <c r="O38" s="352" t="s">
        <v>57</v>
      </c>
      <c r="P38" s="394" t="str">
        <v>SB</v>
      </c>
      <c r="Q38" s="394" t="str">
        <v>6L</v>
      </c>
      <c r="R38" s="351" t="str">
        <f t="shared" si="0"/>
        <v>GBPSB6L30Y</v>
      </c>
      <c r="S38" s="351" t="str">
        <v>GBPSB6L30Y=ICAP</v>
      </c>
      <c r="T38" s="395">
        <v>3.125</v>
      </c>
      <c r="U38" s="395">
        <v>3.2549999999999999</v>
      </c>
      <c r="V38" s="395">
        <v>0</v>
      </c>
      <c r="W38" s="395">
        <v>0</v>
      </c>
      <c r="X38" s="492">
        <f>_xll.qlMidEquivalent($T38,$U38,$V38,$W38)</f>
        <v>3.19</v>
      </c>
      <c r="Y38" s="342"/>
      <c r="Z38" s="349">
        <v>2.9575</v>
      </c>
      <c r="AA38" s="342"/>
      <c r="AB38" s="589">
        <v>2.9575</v>
      </c>
      <c r="AC38" s="347" t="e">
        <f>_xll.qlSimpleQuoteSetValue(F38,AB38/100,Trigger)</f>
        <v>#N/A</v>
      </c>
      <c r="AD38" s="218"/>
      <c r="AE38" s="64"/>
      <c r="AF38" s="64"/>
      <c r="AG38" s="64"/>
      <c r="AH38" s="64"/>
      <c r="AI38" s="64"/>
      <c r="AJ38" s="376">
        <f t="shared" si="1"/>
        <v>1.2999999999999989E-3</v>
      </c>
    </row>
    <row r="39" spans="1:36" x14ac:dyDescent="0.2">
      <c r="A39" s="118"/>
      <c r="B39" s="213" t="s">
        <v>52</v>
      </c>
      <c r="C39" s="75" t="str">
        <v>SB</v>
      </c>
      <c r="D39" s="75" t="str">
        <v>6L</v>
      </c>
      <c r="E39" s="73" t="str">
        <f t="shared" si="2"/>
        <v>GBPSB6L35Y_Quote</v>
      </c>
      <c r="F39" s="73" t="str">
        <f>_xll.qlSimpleQuote(Currency&amp;$C39&amp;$D39&amp;$B39&amp;QuoteSuffix,,RateTickValue,Permanent,Trigger,ObjectOverwrite)</f>
        <v>GBPSB6L35Y_Quote#0000</v>
      </c>
      <c r="G39" s="72" t="str">
        <f>_xll.ohRangeRetrieveError(F39)</f>
        <v/>
      </c>
      <c r="H39" s="33"/>
      <c r="N39" s="118"/>
      <c r="O39" s="352" t="s">
        <v>52</v>
      </c>
      <c r="P39" s="394" t="str">
        <v>SB</v>
      </c>
      <c r="Q39" s="394" t="str">
        <v>6L</v>
      </c>
      <c r="R39" s="351" t="str">
        <f t="shared" si="0"/>
        <v>GBPSB6L35Y</v>
      </c>
      <c r="S39" s="351" t="str">
        <v>GBPSB6L35Y=ICAP</v>
      </c>
      <c r="T39" s="395" t="s">
        <v>233</v>
      </c>
      <c r="U39" s="395" t="s">
        <v>233</v>
      </c>
      <c r="V39" s="395" t="s">
        <v>233</v>
      </c>
      <c r="W39" s="395" t="s">
        <v>233</v>
      </c>
      <c r="X39" s="492" t="e">
        <f>_xll.qlMidEquivalent($T39,$U39,$V39,$W39)</f>
        <v>#NUM!</v>
      </c>
      <c r="Y39" s="342"/>
      <c r="Z39" s="349" t="e">
        <v>#NUM!</v>
      </c>
      <c r="AA39" s="342"/>
      <c r="AB39" s="589" t="e">
        <v>#NUM!</v>
      </c>
      <c r="AC39" s="347" t="e">
        <f>_xll.qlSimpleQuoteSetValue(F39,AB39/100,Trigger)</f>
        <v>#NUM!</v>
      </c>
      <c r="AD39" s="218"/>
      <c r="AE39" s="64"/>
      <c r="AF39" s="64"/>
      <c r="AG39" s="64"/>
      <c r="AH39" s="64"/>
      <c r="AI39" s="64"/>
      <c r="AJ39" s="376" t="e">
        <f t="shared" si="1"/>
        <v>#VALUE!</v>
      </c>
    </row>
    <row r="40" spans="1:36" x14ac:dyDescent="0.2">
      <c r="A40" s="118"/>
      <c r="B40" s="213" t="s">
        <v>47</v>
      </c>
      <c r="C40" s="75" t="str">
        <v>SB</v>
      </c>
      <c r="D40" s="75" t="str">
        <v>6L</v>
      </c>
      <c r="E40" s="73" t="str">
        <f t="shared" si="2"/>
        <v>GBPSB6L40Y_Quote</v>
      </c>
      <c r="F40" s="73" t="str">
        <f>_xll.qlSimpleQuote(Currency&amp;$C40&amp;$D40&amp;$B40&amp;QuoteSuffix,,RateTickValue,Permanent,Trigger,ObjectOverwrite)</f>
        <v>GBPSB6L40Y_Quote#0000</v>
      </c>
      <c r="G40" s="72" t="str">
        <f>_xll.ohRangeRetrieveError(F40)</f>
        <v/>
      </c>
      <c r="H40" s="33"/>
      <c r="N40" s="118"/>
      <c r="O40" s="352" t="s">
        <v>47</v>
      </c>
      <c r="P40" s="394" t="str">
        <v>SB</v>
      </c>
      <c r="Q40" s="394" t="str">
        <v>6L</v>
      </c>
      <c r="R40" s="351" t="str">
        <f t="shared" si="0"/>
        <v>GBPSB6L40Y</v>
      </c>
      <c r="S40" s="351" t="str">
        <v>GBPSB6L40Y=ICAP</v>
      </c>
      <c r="T40" s="395">
        <v>3.1812499999999999</v>
      </c>
      <c r="U40" s="395">
        <v>3.3512499999999998</v>
      </c>
      <c r="V40" s="395">
        <v>0</v>
      </c>
      <c r="W40" s="395">
        <v>0</v>
      </c>
      <c r="X40" s="492">
        <f>_xll.qlMidEquivalent($T40,$U40,$V40,$W40)</f>
        <v>3.2662499999999999</v>
      </c>
      <c r="Y40" s="342"/>
      <c r="Z40" s="349">
        <v>3.0375000000000001</v>
      </c>
      <c r="AA40" s="342"/>
      <c r="AB40" s="589">
        <v>3.0375000000000001</v>
      </c>
      <c r="AC40" s="347" t="e">
        <f>_xll.qlSimpleQuoteSetValue(F40,AB40/100,Trigger)</f>
        <v>#N/A</v>
      </c>
      <c r="AD40" s="218"/>
      <c r="AE40" s="64"/>
      <c r="AF40" s="64"/>
      <c r="AG40" s="64"/>
      <c r="AH40" s="64"/>
      <c r="AI40" s="64"/>
      <c r="AJ40" s="376">
        <f t="shared" si="1"/>
        <v>1.6999999999999993E-3</v>
      </c>
    </row>
    <row r="41" spans="1:36" x14ac:dyDescent="0.2">
      <c r="A41" s="118"/>
      <c r="B41" s="213" t="s">
        <v>37</v>
      </c>
      <c r="C41" s="75" t="str">
        <v>SB</v>
      </c>
      <c r="D41" s="75" t="str">
        <v>6L</v>
      </c>
      <c r="E41" s="73" t="str">
        <f t="shared" si="2"/>
        <v>GBPSB6L50Y_Quote</v>
      </c>
      <c r="F41" s="73" t="str">
        <f>_xll.qlSimpleQuote(Currency&amp;$C41&amp;$D41&amp;$B41&amp;QuoteSuffix,,RateTickValue,Permanent,Trigger,ObjectOverwrite)</f>
        <v>GBPSB6L50Y_Quote#0000</v>
      </c>
      <c r="G41" s="72" t="str">
        <f>_xll.ohRangeRetrieveError(F41)</f>
        <v/>
      </c>
      <c r="H41" s="33"/>
      <c r="N41" s="118"/>
      <c r="O41" s="352" t="s">
        <v>37</v>
      </c>
      <c r="P41" s="394" t="str">
        <v>SB</v>
      </c>
      <c r="Q41" s="394" t="str">
        <v>6L</v>
      </c>
      <c r="R41" s="351" t="str">
        <f t="shared" si="0"/>
        <v>GBPSB6L50Y</v>
      </c>
      <c r="S41" s="351" t="str">
        <v>GBPSB6L50Y=ICAP</v>
      </c>
      <c r="T41" s="395">
        <v>3.19625</v>
      </c>
      <c r="U41" s="395">
        <v>3.36625</v>
      </c>
      <c r="V41" s="395">
        <v>0</v>
      </c>
      <c r="W41" s="395">
        <v>0</v>
      </c>
      <c r="X41" s="492">
        <f>_xll.qlMidEquivalent($T41,$U41,$V41,$W41)</f>
        <v>3.28125</v>
      </c>
      <c r="Y41" s="342"/>
      <c r="Z41" s="349">
        <v>3.0550000000000002</v>
      </c>
      <c r="AA41" s="342"/>
      <c r="AB41" s="589">
        <v>3.0550000000000002</v>
      </c>
      <c r="AC41" s="347" t="e">
        <f>_xll.qlSimpleQuoteSetValue(F41,AB41/100,Trigger)</f>
        <v>#N/A</v>
      </c>
      <c r="AD41" s="218"/>
      <c r="AE41" s="64"/>
      <c r="AF41" s="64"/>
      <c r="AG41" s="64"/>
      <c r="AH41" s="64"/>
      <c r="AI41" s="64"/>
      <c r="AJ41" s="376">
        <f t="shared" si="1"/>
        <v>1.6999999999999993E-3</v>
      </c>
    </row>
    <row r="42" spans="1:36" x14ac:dyDescent="0.2">
      <c r="A42" s="118"/>
      <c r="B42" s="213" t="s">
        <v>27</v>
      </c>
      <c r="C42" s="75" t="str">
        <v>SB</v>
      </c>
      <c r="D42" s="75" t="str">
        <v>6L</v>
      </c>
      <c r="E42" s="73" t="str">
        <f t="shared" si="2"/>
        <v>GBPSB6L60Y_Quote</v>
      </c>
      <c r="F42" s="73" t="str">
        <f>_xll.qlSimpleQuote(Currency&amp;$C42&amp;$D42&amp;$B42&amp;QuoteSuffix,,RateTickValue,Permanent,Trigger,ObjectOverwrite)</f>
        <v>GBPSB6L60Y_Quote#0000</v>
      </c>
      <c r="G42" s="72" t="str">
        <f>_xll.ohRangeRetrieveError(F42)</f>
        <v/>
      </c>
      <c r="H42" s="33"/>
      <c r="N42" s="118"/>
      <c r="O42" s="346" t="s">
        <v>27</v>
      </c>
      <c r="P42" s="390" t="str">
        <v>SB</v>
      </c>
      <c r="Q42" s="390" t="str">
        <v>6L</v>
      </c>
      <c r="R42" s="345" t="str">
        <f t="shared" si="0"/>
        <v>GBPSB6L60Y</v>
      </c>
      <c r="S42" s="345" t="str">
        <v>GBPSB6L60Y=ICAP</v>
      </c>
      <c r="T42" s="391">
        <v>3.2162500000000001</v>
      </c>
      <c r="U42" s="391">
        <v>3.38625</v>
      </c>
      <c r="V42" s="391">
        <v>0</v>
      </c>
      <c r="W42" s="391">
        <v>0</v>
      </c>
      <c r="X42" s="490">
        <f>_xll.qlMidEquivalent($T42,$U42,$V42,$W42)</f>
        <v>3.30125</v>
      </c>
      <c r="Y42" s="342"/>
      <c r="Z42" s="343">
        <v>3.08</v>
      </c>
      <c r="AA42" s="342"/>
      <c r="AB42" s="590">
        <v>3.08</v>
      </c>
      <c r="AC42" s="340" t="e">
        <f>_xll.qlSimpleQuoteSetValue(F42,AB42/100,Trigger)</f>
        <v>#N/A</v>
      </c>
      <c r="AD42" s="218"/>
      <c r="AE42" s="64"/>
      <c r="AF42" s="64"/>
      <c r="AG42" s="64"/>
      <c r="AH42" s="64"/>
      <c r="AI42" s="64"/>
      <c r="AJ42" s="376">
        <f t="shared" si="1"/>
        <v>1.6999999999999993E-3</v>
      </c>
    </row>
    <row r="43" spans="1:36" ht="12" thickBot="1" x14ac:dyDescent="0.25">
      <c r="A43" s="212"/>
      <c r="B43" s="211"/>
      <c r="C43" s="211"/>
      <c r="D43" s="211"/>
      <c r="E43" s="211"/>
      <c r="F43" s="211"/>
      <c r="G43" s="211"/>
      <c r="H43" s="30"/>
      <c r="N43" s="32"/>
      <c r="O43" s="31"/>
      <c r="P43" s="31"/>
      <c r="Q43" s="31"/>
      <c r="R43" s="31"/>
      <c r="S43" s="31"/>
      <c r="T43" s="31"/>
      <c r="U43" s="31"/>
      <c r="V43" s="31"/>
      <c r="W43" s="31"/>
      <c r="X43" s="31"/>
      <c r="Y43" s="31"/>
      <c r="Z43" s="31"/>
      <c r="AA43" s="31"/>
      <c r="AB43" s="31"/>
      <c r="AC43" s="31"/>
      <c r="AD43" s="378"/>
      <c r="AE43" s="64"/>
      <c r="AF43" s="64"/>
      <c r="AG43" s="64"/>
      <c r="AH43" s="64"/>
      <c r="AI43" s="64"/>
      <c r="AJ43" s="64"/>
    </row>
  </sheetData>
  <conditionalFormatting sqref="AC5:AC42">
    <cfRule type="cellIs" dxfId="15" priority="1" stopIfTrue="1" operator="greaterThan">
      <formula>0</formula>
    </cfRule>
    <cfRule type="cellIs" dxfId="14" priority="2" stopIfTrue="1" operator="lessThan">
      <formula>0</formula>
    </cfRule>
  </conditionalFormatting>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Z13"/>
  <sheetViews>
    <sheetView workbookViewId="0"/>
  </sheetViews>
  <sheetFormatPr defaultRowHeight="11.25" x14ac:dyDescent="0.2"/>
  <cols>
    <col min="1" max="1" width="2.7109375" style="65" customWidth="1"/>
    <col min="2" max="2" width="6.140625" style="65" bestFit="1" customWidth="1"/>
    <col min="3" max="3" width="25.42578125" style="65" bestFit="1" customWidth="1"/>
    <col min="4" max="4" width="26.7109375" style="65" bestFit="1" customWidth="1"/>
    <col min="5" max="5" width="36.85546875" style="65" bestFit="1" customWidth="1"/>
    <col min="6" max="8" width="2.7109375" style="65" customWidth="1"/>
    <col min="9" max="10" width="9.140625" style="65"/>
    <col min="11" max="11" width="2.7109375" style="65" customWidth="1"/>
    <col min="12" max="12" width="9.140625" style="65"/>
    <col min="13" max="13" width="2.7109375" style="65" customWidth="1"/>
    <col min="14" max="14" width="11.140625" style="65" customWidth="1"/>
    <col min="15" max="15" width="9.140625" style="65"/>
    <col min="16" max="18" width="2.7109375" style="65" customWidth="1"/>
    <col min="19" max="20" width="9.140625" style="65"/>
    <col min="21" max="21" width="2.7109375" style="65" customWidth="1"/>
    <col min="22" max="22" width="9.140625" style="65"/>
    <col min="23" max="23" width="2.7109375" style="65" customWidth="1"/>
    <col min="24" max="25" width="9.140625" style="65"/>
    <col min="26" max="26" width="2.7109375" style="65" customWidth="1"/>
    <col min="27" max="16384" width="9.140625" style="65"/>
  </cols>
  <sheetData>
    <row r="1" spans="1:26" ht="12" thickBot="1" x14ac:dyDescent="0.25">
      <c r="A1" s="618" t="s">
        <v>349</v>
      </c>
      <c r="B1" s="469"/>
      <c r="C1" s="469"/>
      <c r="D1" s="229"/>
      <c r="E1" s="229"/>
      <c r="F1" s="228"/>
    </row>
    <row r="2" spans="1:26" x14ac:dyDescent="0.2">
      <c r="A2" s="617"/>
      <c r="B2" s="238">
        <v>1</v>
      </c>
      <c r="C2" s="416" t="str">
        <f>_xll.qlPeriodEquivalent(Months&amp;"M")</f>
        <v>1M</v>
      </c>
      <c r="D2" s="238"/>
      <c r="E2" s="238"/>
      <c r="F2" s="137"/>
      <c r="H2" s="616" t="s">
        <v>356</v>
      </c>
      <c r="I2" s="615"/>
      <c r="J2" s="615"/>
      <c r="K2" s="615"/>
      <c r="L2" s="615"/>
      <c r="M2" s="615"/>
      <c r="N2" s="615"/>
      <c r="O2" s="615"/>
      <c r="P2" s="614"/>
    </row>
    <row r="3" spans="1:26" ht="13.5" x14ac:dyDescent="0.25">
      <c r="A3" s="118"/>
      <c r="B3" s="227"/>
      <c r="C3" s="226" t="str">
        <f>Currency&amp;"_015_SyntheticQuotes"&amp;Tenor&amp;".xml"</f>
        <v>GBP_015_SyntheticQuotes1M.xml</v>
      </c>
      <c r="D3" s="16">
        <f ca="1">IF(Serialize,_xll.ohObjectSave(D4:D12,SerializationPath&amp;C3,FileOverwrite,Serialize),"---")</f>
        <v>9</v>
      </c>
      <c r="E3" s="7" t="str">
        <f ca="1">_xll.ohRangeRetrieveError(D3)</f>
        <v/>
      </c>
      <c r="F3" s="218"/>
      <c r="H3" s="613"/>
      <c r="I3" s="612"/>
      <c r="J3" s="597"/>
      <c r="K3" s="611"/>
      <c r="L3" s="597"/>
      <c r="M3" s="597"/>
      <c r="N3" s="597"/>
      <c r="O3" s="610"/>
      <c r="P3" s="594"/>
    </row>
    <row r="4" spans="1:26" x14ac:dyDescent="0.2">
      <c r="A4" s="118"/>
      <c r="B4" s="225" t="s">
        <v>151</v>
      </c>
      <c r="C4" s="125" t="str">
        <f t="shared" ref="C4:C12" si="0">Currency&amp;$B4&amp;"_SYNTH"&amp;Tenor&amp;QuoteSuffix</f>
        <v>GBPOND_SYNTH1M_Quote</v>
      </c>
      <c r="D4" s="127" t="str">
        <f>_xll.qlSimpleQuote(C4,,RateTickValue,Permanent,Trigger,ObjectOverwrite)</f>
        <v>GBPOND_SYNTH1M_Quote#0000</v>
      </c>
      <c r="E4" s="223" t="str">
        <f>_xll.ohRangeRetrieveError(D4)</f>
        <v/>
      </c>
      <c r="F4" s="218"/>
      <c r="H4" s="600"/>
      <c r="I4" s="610"/>
      <c r="J4" s="610"/>
      <c r="K4" s="597"/>
      <c r="L4" s="597"/>
      <c r="M4" s="597"/>
      <c r="N4" s="610"/>
      <c r="O4" s="609">
        <f>_xll.ohTrigger(O6:O9)</f>
        <v>0</v>
      </c>
      <c r="P4" s="594"/>
    </row>
    <row r="5" spans="1:26" x14ac:dyDescent="0.2">
      <c r="A5" s="118"/>
      <c r="B5" s="225" t="s">
        <v>150</v>
      </c>
      <c r="C5" s="125" t="str">
        <f t="shared" si="0"/>
        <v>GBPTND_SYNTH1M_Quote</v>
      </c>
      <c r="D5" s="127" t="str">
        <f>_xll.qlSimpleQuote(C5,,RateTickValue,Permanent,Trigger,ObjectOverwrite)</f>
        <v>GBPTND_SYNTH1M_Quote#0000</v>
      </c>
      <c r="E5" s="223" t="str">
        <f>_xll.ohRangeRetrieveError(D5)</f>
        <v/>
      </c>
      <c r="F5" s="218"/>
      <c r="H5" s="600"/>
      <c r="I5" s="606"/>
      <c r="J5" s="608" t="s">
        <v>355</v>
      </c>
      <c r="K5" s="597"/>
      <c r="L5" s="607" t="s">
        <v>286</v>
      </c>
      <c r="M5" s="597"/>
      <c r="N5" s="606" t="s">
        <v>285</v>
      </c>
      <c r="O5" s="605" t="s">
        <v>284</v>
      </c>
      <c r="P5" s="594"/>
    </row>
    <row r="6" spans="1:26" ht="12" thickBot="1" x14ac:dyDescent="0.25">
      <c r="A6" s="118"/>
      <c r="B6" s="225" t="s">
        <v>149</v>
      </c>
      <c r="C6" s="125" t="str">
        <f t="shared" si="0"/>
        <v>GBPSND_SYNTH1M_Quote</v>
      </c>
      <c r="D6" s="127" t="str">
        <f>_xll.qlSimpleQuote(C6,,RateTickValue,Permanent,Trigger,ObjectOverwrite)</f>
        <v>GBPSND_SYNTH1M_Quote#0000</v>
      </c>
      <c r="E6" s="223" t="str">
        <f>_xll.ohRangeRetrieveError(D6)</f>
        <v/>
      </c>
      <c r="F6" s="218"/>
      <c r="H6" s="600"/>
      <c r="I6" s="604" t="s">
        <v>149</v>
      </c>
      <c r="J6" s="620" t="s">
        <v>357</v>
      </c>
      <c r="K6" s="619" t="s">
        <v>178</v>
      </c>
      <c r="L6" s="603">
        <v>4.9130976385395788E-3</v>
      </c>
      <c r="M6" s="597"/>
      <c r="N6" s="602">
        <f t="array" ref="N6:N10">QuoteStatic</f>
        <v>4.9130976385395788E-3</v>
      </c>
      <c r="O6" s="601" t="e">
        <f>_xll.qlSimpleQuoteSetValue(D6,ROUND(N6,6),EvaluationDate)</f>
        <v>#N/A</v>
      </c>
      <c r="P6" s="594"/>
    </row>
    <row r="7" spans="1:26" x14ac:dyDescent="0.2">
      <c r="A7" s="118"/>
      <c r="B7" s="225" t="s">
        <v>148</v>
      </c>
      <c r="C7" s="125" t="str">
        <f t="shared" si="0"/>
        <v>GBPSWD_SYNTH1M_Quote</v>
      </c>
      <c r="D7" s="127" t="str">
        <f>_xll.qlSimpleQuote(C7,,RateTickValue,Permanent,Trigger,ObjectOverwrite)</f>
        <v>GBPSWD_SYNTH1M_Quote#0000</v>
      </c>
      <c r="E7" s="223" t="str">
        <f>_xll.ohRangeRetrieveError(D7)</f>
        <v/>
      </c>
      <c r="F7" s="218"/>
      <c r="H7" s="600"/>
      <c r="I7" s="604" t="s">
        <v>148</v>
      </c>
      <c r="J7" s="620" t="s">
        <v>358</v>
      </c>
      <c r="K7" s="619" t="s">
        <v>178</v>
      </c>
      <c r="L7" s="603">
        <v>4.9233981743148506E-3</v>
      </c>
      <c r="M7" s="597"/>
      <c r="N7" s="602">
        <v>4.9233981743148506E-3</v>
      </c>
      <c r="O7" s="601" t="e">
        <f>_xll.qlSimpleQuoteSetValue(D7,ROUND(N7,6),EvaluationDate)</f>
        <v>#N/A</v>
      </c>
      <c r="P7" s="594"/>
      <c r="R7" s="644" t="s">
        <v>362</v>
      </c>
      <c r="S7" s="643"/>
      <c r="T7" s="643"/>
      <c r="U7" s="643"/>
      <c r="V7" s="643"/>
      <c r="W7" s="643"/>
      <c r="X7" s="643"/>
      <c r="Y7" s="643"/>
      <c r="Z7" s="642"/>
    </row>
    <row r="8" spans="1:26" x14ac:dyDescent="0.2">
      <c r="A8" s="118"/>
      <c r="B8" s="225" t="s">
        <v>147</v>
      </c>
      <c r="C8" s="125" t="str">
        <f t="shared" si="0"/>
        <v>GBP2WD_SYNTH1M_Quote</v>
      </c>
      <c r="D8" s="127" t="str">
        <f>_xll.qlSimpleQuote(C8,,RateTickValue,Permanent,Trigger,ObjectOverwrite)</f>
        <v>GBP2WD_SYNTH1M_Quote#0000</v>
      </c>
      <c r="E8" s="223" t="str">
        <f>_xll.ohRangeRetrieveError(D8)</f>
        <v/>
      </c>
      <c r="F8" s="218"/>
      <c r="H8" s="600"/>
      <c r="I8" s="604" t="s">
        <v>147</v>
      </c>
      <c r="J8" s="620" t="s">
        <v>359</v>
      </c>
      <c r="K8" s="619" t="s">
        <v>178</v>
      </c>
      <c r="L8" s="603">
        <v>4.9289783450644714E-3</v>
      </c>
      <c r="M8" s="597"/>
      <c r="N8" s="602">
        <v>4.9289783450644714E-3</v>
      </c>
      <c r="O8" s="601" t="e">
        <f>_xll.qlSimpleQuoteSetValue(D8,ROUND(N8,6),EvaluationDate)</f>
        <v>#N/A</v>
      </c>
      <c r="P8" s="594"/>
      <c r="R8" s="641"/>
      <c r="S8" s="640"/>
      <c r="T8" s="629"/>
      <c r="U8" s="629"/>
      <c r="V8" s="629"/>
      <c r="W8" s="629"/>
      <c r="X8" s="629"/>
      <c r="Y8" s="638"/>
      <c r="Z8" s="639"/>
    </row>
    <row r="9" spans="1:26" x14ac:dyDescent="0.2">
      <c r="A9" s="118"/>
      <c r="B9" s="225" t="s">
        <v>146</v>
      </c>
      <c r="C9" s="125" t="str">
        <f t="shared" si="0"/>
        <v>GBP3WD_SYNTH1M_Quote</v>
      </c>
      <c r="D9" s="127" t="str">
        <f>_xll.qlSimpleQuote(C9,,RateTickValue,Permanent,Trigger,ObjectOverwrite)</f>
        <v>GBP3WD_SYNTH1M_Quote#0000</v>
      </c>
      <c r="E9" s="223" t="str">
        <f>_xll.ohRangeRetrieveError(D9)</f>
        <v/>
      </c>
      <c r="F9" s="218"/>
      <c r="H9" s="600"/>
      <c r="I9" s="599" t="s">
        <v>146</v>
      </c>
      <c r="J9" s="621" t="s">
        <v>360</v>
      </c>
      <c r="K9" s="619" t="s">
        <v>178</v>
      </c>
      <c r="L9" s="598">
        <v>4.9221427692346768E-3</v>
      </c>
      <c r="M9" s="597"/>
      <c r="N9" s="596">
        <v>4.9221427692346768E-3</v>
      </c>
      <c r="O9" s="595" t="e">
        <f>_xll.qlSimpleQuoteSetValue(D9,ROUND(N9,6),EvaluationDate)</f>
        <v>#N/A</v>
      </c>
      <c r="P9" s="594"/>
      <c r="R9" s="632"/>
      <c r="S9" s="638"/>
      <c r="T9" s="638"/>
      <c r="U9" s="629"/>
      <c r="V9" s="629"/>
      <c r="W9" s="629"/>
      <c r="X9" s="638"/>
      <c r="Y9" s="637">
        <f>_xll.ohTrigger(Y11:Y12)</f>
        <v>0</v>
      </c>
      <c r="Z9" s="635"/>
    </row>
    <row r="10" spans="1:26" x14ac:dyDescent="0.2">
      <c r="A10" s="118"/>
      <c r="B10" s="224" t="s">
        <v>145</v>
      </c>
      <c r="C10" s="125" t="str">
        <f t="shared" si="0"/>
        <v>GBP1MD_SYNTH1M_Quote</v>
      </c>
      <c r="D10" s="125" t="str">
        <f>_xll.qlSimpleQuote(C10,,RateTickValue,Permanent,Trigger,ObjectOverwrite)</f>
        <v>GBP1MD_SYNTH1M_Quote#0000</v>
      </c>
      <c r="E10" s="223" t="str">
        <f>_xll.ohRangeRetrieveError(D10)</f>
        <v/>
      </c>
      <c r="F10" s="218"/>
      <c r="H10" s="600"/>
      <c r="I10" s="599" t="s">
        <v>145</v>
      </c>
      <c r="J10" s="621" t="s">
        <v>361</v>
      </c>
      <c r="K10" s="619" t="s">
        <v>178</v>
      </c>
      <c r="L10" s="598">
        <v>4.931984807440502E-3</v>
      </c>
      <c r="M10" s="597"/>
      <c r="N10" s="596">
        <v>4.931984807440502E-3</v>
      </c>
      <c r="O10" s="595" t="e">
        <f>_xll.qlSimpleQuoteSetValue(D10,ROUND(N10,6),EvaluationDate)</f>
        <v>#N/A</v>
      </c>
      <c r="P10" s="594"/>
      <c r="R10" s="632"/>
      <c r="S10" s="309"/>
      <c r="T10" s="636" t="s">
        <v>355</v>
      </c>
      <c r="U10" s="629"/>
      <c r="V10" s="306" t="s">
        <v>286</v>
      </c>
      <c r="W10" s="629"/>
      <c r="X10" s="309" t="s">
        <v>285</v>
      </c>
      <c r="Y10" s="307" t="s">
        <v>284</v>
      </c>
      <c r="Z10" s="635"/>
    </row>
    <row r="11" spans="1:26" ht="12" thickBot="1" x14ac:dyDescent="0.25">
      <c r="A11" s="118"/>
      <c r="B11" s="222" t="s">
        <v>218</v>
      </c>
      <c r="C11" s="121" t="str">
        <f t="shared" si="0"/>
        <v>GBPTOY_SYNTH1M_Quote</v>
      </c>
      <c r="D11" s="123" t="str">
        <f>_xll.qlSimpleQuote(C11,1,RateTickValue,Permanent,Trigger,ObjectOverwrite)</f>
        <v>GBPTOY_SYNTH1M_Quote#0000</v>
      </c>
      <c r="E11" s="221" t="str">
        <f>_xll.ohRangeRetrieveError(D11)</f>
        <v/>
      </c>
      <c r="F11" s="218"/>
      <c r="H11" s="593"/>
      <c r="I11" s="592"/>
      <c r="J11" s="592"/>
      <c r="K11" s="592"/>
      <c r="L11" s="592"/>
      <c r="M11" s="592"/>
      <c r="N11" s="592"/>
      <c r="O11" s="592"/>
      <c r="P11" s="591"/>
      <c r="R11" s="632"/>
      <c r="S11" s="634" t="s">
        <v>218</v>
      </c>
      <c r="T11" s="645" t="s">
        <v>363</v>
      </c>
      <c r="U11" s="629"/>
      <c r="V11" s="633">
        <v>1</v>
      </c>
      <c r="W11" s="629"/>
      <c r="X11" s="300">
        <f t="array" ref="X11:X12">QuoteStatic2</f>
        <v>1</v>
      </c>
      <c r="Y11" s="298">
        <f>_xll.qlSimpleQuoteSetValue(D11,X11,EvaluationDate)</f>
        <v>0</v>
      </c>
      <c r="Z11" s="628"/>
    </row>
    <row r="12" spans="1:26" x14ac:dyDescent="0.2">
      <c r="A12" s="118"/>
      <c r="B12" s="220" t="s">
        <v>217</v>
      </c>
      <c r="C12" s="114" t="str">
        <f t="shared" si="0"/>
        <v>GBPTOY2_SYNTH1M_Quote</v>
      </c>
      <c r="D12" s="119" t="str">
        <f>_xll.qlSimpleQuote(C12,1,RateTickValue,Permanent,Trigger,ObjectOverwrite)</f>
        <v>GBPTOY2_SYNTH1M_Quote#0000</v>
      </c>
      <c r="E12" s="219" t="str">
        <f>_xll.ohRangeRetrieveError(D12)</f>
        <v/>
      </c>
      <c r="F12" s="218"/>
      <c r="R12" s="632"/>
      <c r="S12" s="631" t="s">
        <v>217</v>
      </c>
      <c r="T12" s="646" t="s">
        <v>364</v>
      </c>
      <c r="U12" s="629"/>
      <c r="V12" s="630">
        <v>0.99999284330093308</v>
      </c>
      <c r="W12" s="629"/>
      <c r="X12" s="281">
        <v>0.99999284330093308</v>
      </c>
      <c r="Y12" s="279">
        <f>_xll.qlSimpleQuoteSetValue(D12,X12,EvaluationDate)</f>
        <v>-7.1566990669236219E-6</v>
      </c>
      <c r="Z12" s="628"/>
    </row>
    <row r="13" spans="1:26" ht="12" thickBot="1" x14ac:dyDescent="0.25">
      <c r="A13" s="32"/>
      <c r="B13" s="31"/>
      <c r="C13" s="31"/>
      <c r="D13" s="31"/>
      <c r="E13" s="31"/>
      <c r="F13" s="30"/>
      <c r="R13" s="627"/>
      <c r="S13" s="626"/>
      <c r="T13" s="626"/>
      <c r="U13" s="626"/>
      <c r="V13" s="626"/>
      <c r="W13" s="626"/>
      <c r="X13" s="626"/>
      <c r="Y13" s="626"/>
      <c r="Z13" s="625"/>
    </row>
  </sheetData>
  <conditionalFormatting sqref="Y11:Y12">
    <cfRule type="cellIs" dxfId="13" priority="1" stopIfTrue="1" operator="greaterThan">
      <formula>0</formula>
    </cfRule>
    <cfRule type="cellIs" dxfId="12" priority="2" stopIfTrue="1" operator="lessThan">
      <formula>0</formula>
    </cfRule>
  </conditionalFormatting>
  <pageMargins left="0.75" right="0.75" top="1" bottom="1" header="0.5" footer="0.5"/>
  <pageSetup orientation="portrait"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F14"/>
  <sheetViews>
    <sheetView workbookViewId="0"/>
  </sheetViews>
  <sheetFormatPr defaultRowHeight="11.25" x14ac:dyDescent="0.2"/>
  <cols>
    <col min="1" max="1" width="5" style="65" customWidth="1"/>
    <col min="2" max="2" width="6.140625" style="65" bestFit="1" customWidth="1"/>
    <col min="3" max="3" width="25.425781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583" t="s">
        <v>349</v>
      </c>
      <c r="B1" s="229">
        <v>3</v>
      </c>
      <c r="C1" s="230" t="str">
        <f>_xll.qlPeriodEquivalent(Months&amp;"M")</f>
        <v>3M</v>
      </c>
      <c r="D1" s="229"/>
      <c r="E1" s="229"/>
      <c r="F1" s="228"/>
    </row>
    <row r="2" spans="1:6" x14ac:dyDescent="0.2">
      <c r="A2" s="118"/>
      <c r="B2" s="236"/>
      <c r="C2" s="226" t="str">
        <f>Currency&amp;"_015_SyntheticQuotes"&amp;Tenor&amp;".xml"</f>
        <v>GBP_015_SyntheticQuotes3M.xml</v>
      </c>
      <c r="D2" s="16">
        <f ca="1">IF(Serialize,_xll.ohObjectSave(D3:D13,SerializationPath&amp;C2,FileOverwrite,Serialize),"---")</f>
        <v>11</v>
      </c>
      <c r="E2" s="7" t="str">
        <f ca="1">_xll.ohRangeRetrieveError(D2)</f>
        <v/>
      </c>
      <c r="F2" s="218"/>
    </row>
    <row r="3" spans="1:6" x14ac:dyDescent="0.2">
      <c r="A3" s="118"/>
      <c r="B3" s="225" t="s">
        <v>151</v>
      </c>
      <c r="C3" s="125" t="str">
        <f t="shared" ref="C3:C13" si="0">Currency&amp;$B3&amp;"_SYNTH"&amp;Tenor&amp;QuoteSuffix</f>
        <v>GBPOND_SYNTH3M_Quote</v>
      </c>
      <c r="D3" s="125" t="str">
        <f>_xll.qlSimpleQuote(C3,,RateTickValue,Permanent,Trigger,ObjectOverwrite)</f>
        <v>GBPOND_SYNTH3M_Quote#0000</v>
      </c>
      <c r="E3" s="235" t="str">
        <f>_xll.ohRangeRetrieveError(D3)</f>
        <v/>
      </c>
      <c r="F3" s="218"/>
    </row>
    <row r="4" spans="1:6" x14ac:dyDescent="0.2">
      <c r="A4" s="118"/>
      <c r="B4" s="225" t="s">
        <v>150</v>
      </c>
      <c r="C4" s="125" t="str">
        <f t="shared" si="0"/>
        <v>GBPTND_SYNTH3M_Quote</v>
      </c>
      <c r="D4" s="125" t="str">
        <f>_xll.qlSimpleQuote(C4,,RateTickValue,Permanent,Trigger,ObjectOverwrite)</f>
        <v>GBPTND_SYNTH3M_Quote#0000</v>
      </c>
      <c r="E4" s="235" t="str">
        <f>_xll.ohRangeRetrieveError(D4)</f>
        <v/>
      </c>
      <c r="F4" s="218"/>
    </row>
    <row r="5" spans="1:6" x14ac:dyDescent="0.2">
      <c r="A5" s="118"/>
      <c r="B5" s="224" t="s">
        <v>149</v>
      </c>
      <c r="C5" s="125" t="str">
        <f t="shared" si="0"/>
        <v>GBPSND_SYNTH3M_Quote</v>
      </c>
      <c r="D5" s="125" t="str">
        <f>_xll.qlSimpleQuote(C5,,RateTickValue,Permanent,Trigger,ObjectOverwrite)</f>
        <v>GBPSND_SYNTH3M_Quote#0000</v>
      </c>
      <c r="E5" s="235" t="str">
        <f>_xll.ohRangeRetrieveError(D5)</f>
        <v/>
      </c>
      <c r="F5" s="218"/>
    </row>
    <row r="6" spans="1:6" x14ac:dyDescent="0.2">
      <c r="A6" s="118"/>
      <c r="B6" s="224" t="s">
        <v>148</v>
      </c>
      <c r="C6" s="125" t="str">
        <f t="shared" si="0"/>
        <v>GBPSWD_SYNTH3M_Quote</v>
      </c>
      <c r="D6" s="125" t="str">
        <f>_xll.qlSimpleQuote(C6,,RateTickValue,Permanent,Trigger,ObjectOverwrite)</f>
        <v>GBPSWD_SYNTH3M_Quote#0000</v>
      </c>
      <c r="E6" s="235" t="str">
        <f>_xll.ohRangeRetrieveError(D6)</f>
        <v/>
      </c>
      <c r="F6" s="218"/>
    </row>
    <row r="7" spans="1:6" x14ac:dyDescent="0.2">
      <c r="A7" s="118"/>
      <c r="B7" s="224" t="s">
        <v>147</v>
      </c>
      <c r="C7" s="125" t="str">
        <f t="shared" si="0"/>
        <v>GBP2WD_SYNTH3M_Quote</v>
      </c>
      <c r="D7" s="125" t="str">
        <f>_xll.qlSimpleQuote(C7,,RateTickValue,Permanent,Trigger,ObjectOverwrite)</f>
        <v>GBP2WD_SYNTH3M_Quote#0000</v>
      </c>
      <c r="E7" s="235" t="str">
        <f>_xll.ohRangeRetrieveError(D7)</f>
        <v/>
      </c>
      <c r="F7" s="218"/>
    </row>
    <row r="8" spans="1:6" x14ac:dyDescent="0.2">
      <c r="A8" s="118"/>
      <c r="B8" s="224" t="s">
        <v>146</v>
      </c>
      <c r="C8" s="125" t="str">
        <f t="shared" si="0"/>
        <v>GBP3WD_SYNTH3M_Quote</v>
      </c>
      <c r="D8" s="125" t="str">
        <f>_xll.qlSimpleQuote(C8,,RateTickValue,Permanent,Trigger,ObjectOverwrite)</f>
        <v>GBP3WD_SYNTH3M_Quote#0000</v>
      </c>
      <c r="E8" s="235" t="str">
        <f>_xll.ohRangeRetrieveError(D8)</f>
        <v/>
      </c>
      <c r="F8" s="218"/>
    </row>
    <row r="9" spans="1:6" x14ac:dyDescent="0.2">
      <c r="A9" s="118"/>
      <c r="B9" s="224" t="s">
        <v>145</v>
      </c>
      <c r="C9" s="125" t="str">
        <f t="shared" si="0"/>
        <v>GBP1MD_SYNTH3M_Quote</v>
      </c>
      <c r="D9" s="125" t="str">
        <f>_xll.qlSimpleQuote(C9,,RateTickValue,Permanent,Trigger,ObjectOverwrite)</f>
        <v>GBP1MD_SYNTH3M_Quote#0000</v>
      </c>
      <c r="E9" s="235" t="str">
        <f>_xll.ohRangeRetrieveError(D9)</f>
        <v/>
      </c>
      <c r="F9" s="218"/>
    </row>
    <row r="10" spans="1:6" x14ac:dyDescent="0.2">
      <c r="A10" s="118"/>
      <c r="B10" s="224" t="s">
        <v>144</v>
      </c>
      <c r="C10" s="125" t="str">
        <f t="shared" si="0"/>
        <v>GBP2MD_SYNTH3M_Quote</v>
      </c>
      <c r="D10" s="125" t="str">
        <f>_xll.qlSimpleQuote(C10,,RateTickValue,Permanent,Trigger,ObjectOverwrite)</f>
        <v>GBP2MD_SYNTH3M_Quote#0000</v>
      </c>
      <c r="E10" s="235" t="str">
        <f>_xll.ohRangeRetrieveError(D10)</f>
        <v/>
      </c>
      <c r="F10" s="218"/>
    </row>
    <row r="11" spans="1:6" x14ac:dyDescent="0.2">
      <c r="A11" s="118"/>
      <c r="B11" s="224" t="s">
        <v>143</v>
      </c>
      <c r="C11" s="125" t="str">
        <f t="shared" si="0"/>
        <v>GBP3MD_SYNTH3M_Quote</v>
      </c>
      <c r="D11" s="125" t="str">
        <f>_xll.qlSimpleQuote(C11,,RateTickValue,Permanent,Trigger,ObjectOverwrite)</f>
        <v>GBP3MD_SYNTH3M_Quote#0000</v>
      </c>
      <c r="E11" s="235" t="str">
        <f>_xll.ohRangeRetrieveError(D11)</f>
        <v/>
      </c>
      <c r="F11" s="218"/>
    </row>
    <row r="12" spans="1:6" x14ac:dyDescent="0.2">
      <c r="A12" s="118"/>
      <c r="B12" s="234" t="s">
        <v>218</v>
      </c>
      <c r="C12" s="121" t="str">
        <f t="shared" si="0"/>
        <v>GBPTOY_SYNTH3M_Quote</v>
      </c>
      <c r="D12" s="121" t="str">
        <f>_xll.qlSimpleQuote(C12,1,RateTickValue,Permanent,Trigger,ObjectOverwrite)</f>
        <v>GBPTOY_SYNTH3M_Quote#0000</v>
      </c>
      <c r="E12" s="233" t="str">
        <f>_xll.ohRangeRetrieveError(D12)</f>
        <v/>
      </c>
      <c r="F12" s="218"/>
    </row>
    <row r="13" spans="1:6" x14ac:dyDescent="0.2">
      <c r="A13" s="118"/>
      <c r="B13" s="232" t="s">
        <v>217</v>
      </c>
      <c r="C13" s="114" t="str">
        <f t="shared" si="0"/>
        <v>GBPTOY2_SYNTH3M_Quote</v>
      </c>
      <c r="D13" s="114" t="str">
        <f>_xll.qlSimpleQuote(C13,1,RateTickValue,Permanent,Trigger,ObjectOverwrite)</f>
        <v>GBPTOY2_SYNTH3M_Quote#0000</v>
      </c>
      <c r="E13" s="231" t="str">
        <f>_xll.ohRangeRetrieveError(D13)</f>
        <v/>
      </c>
      <c r="F13" s="218"/>
    </row>
    <row r="14" spans="1:6" ht="12" thickBot="1" x14ac:dyDescent="0.25">
      <c r="A14" s="32"/>
      <c r="B14" s="31"/>
      <c r="C14" s="31"/>
      <c r="D14" s="31"/>
      <c r="E14" s="31"/>
      <c r="F14" s="30"/>
    </row>
  </sheetData>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F30"/>
  <sheetViews>
    <sheetView workbookViewId="0"/>
  </sheetViews>
  <sheetFormatPr defaultRowHeight="11.25" x14ac:dyDescent="0.2"/>
  <cols>
    <col min="1" max="1" width="5" style="65" customWidth="1"/>
    <col min="2" max="2" width="7.28515625" style="65" bestFit="1" customWidth="1"/>
    <col min="3" max="3" width="25.425781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583" t="s">
        <v>349</v>
      </c>
      <c r="B1" s="229">
        <v>6</v>
      </c>
      <c r="C1" s="230" t="str">
        <f>_xll.qlPeriodEquivalent(Months&amp;"M")</f>
        <v>6M</v>
      </c>
      <c r="D1" s="229"/>
      <c r="E1" s="229"/>
      <c r="F1" s="228"/>
    </row>
    <row r="2" spans="1:6" x14ac:dyDescent="0.2">
      <c r="A2" s="118"/>
      <c r="B2" s="227"/>
      <c r="C2" s="226" t="str">
        <f>Currency&amp;"_015_SyntheticQuotes"&amp;Tenor&amp;".xml"</f>
        <v>GBP_015_SyntheticQuotes6M.xml</v>
      </c>
      <c r="D2" s="16">
        <f ca="1">IF(Serialize,_xll.ohObjectSave(D3:D29,SerializationPath&amp;C2,FileOverwrite,Serialize),"---")</f>
        <v>27</v>
      </c>
      <c r="E2" s="7" t="str">
        <f ca="1">_xll.ohRangeRetrieveError(D2)</f>
        <v/>
      </c>
      <c r="F2" s="218"/>
    </row>
    <row r="3" spans="1:6" x14ac:dyDescent="0.2">
      <c r="A3" s="118"/>
      <c r="B3" s="222" t="s">
        <v>151</v>
      </c>
      <c r="C3" s="121" t="str">
        <f t="shared" ref="C3:C29" si="0">Currency&amp;$B3&amp;"_SYNTH"&amp;Tenor&amp;QuoteSuffix</f>
        <v>GBPOND_SYNTH6M_Quote</v>
      </c>
      <c r="D3" s="121" t="str">
        <f>_xll.qlSimpleQuote(C3,,RateTickValue,Permanent,Trigger,ObjectOverwrite)</f>
        <v>GBPOND_SYNTH6M_Quote#0000</v>
      </c>
      <c r="E3" s="233" t="str">
        <f>_xll.ohRangeRetrieveError(D3)</f>
        <v/>
      </c>
      <c r="F3" s="218"/>
    </row>
    <row r="4" spans="1:6" x14ac:dyDescent="0.2">
      <c r="A4" s="118"/>
      <c r="B4" s="225" t="s">
        <v>150</v>
      </c>
      <c r="C4" s="125" t="str">
        <f t="shared" si="0"/>
        <v>GBPTND_SYNTH6M_Quote</v>
      </c>
      <c r="D4" s="125" t="str">
        <f>_xll.qlSimpleQuote(C4,,RateTickValue,Permanent,Trigger,ObjectOverwrite)</f>
        <v>GBPTND_SYNTH6M_Quote#0000</v>
      </c>
      <c r="E4" s="235" t="str">
        <f>_xll.ohRangeRetrieveError(D4)</f>
        <v/>
      </c>
      <c r="F4" s="218"/>
    </row>
    <row r="5" spans="1:6" x14ac:dyDescent="0.2">
      <c r="A5" s="118"/>
      <c r="B5" s="224" t="s">
        <v>149</v>
      </c>
      <c r="C5" s="125" t="str">
        <f t="shared" si="0"/>
        <v>GBPSND_SYNTH6M_Quote</v>
      </c>
      <c r="D5" s="125" t="str">
        <f>_xll.qlSimpleQuote(C5,,RateTickValue,Permanent,Trigger,ObjectOverwrite)</f>
        <v>GBPSND_SYNTH6M_Quote#0000</v>
      </c>
      <c r="E5" s="235" t="str">
        <f>_xll.ohRangeRetrieveError(D5)</f>
        <v/>
      </c>
      <c r="F5" s="218"/>
    </row>
    <row r="6" spans="1:6" x14ac:dyDescent="0.2">
      <c r="A6" s="118"/>
      <c r="B6" s="224" t="s">
        <v>148</v>
      </c>
      <c r="C6" s="125" t="str">
        <f t="shared" si="0"/>
        <v>GBPSWD_SYNTH6M_Quote</v>
      </c>
      <c r="D6" s="125" t="str">
        <f>_xll.qlSimpleQuote(C6,,RateTickValue,Permanent,Trigger,ObjectOverwrite)</f>
        <v>GBPSWD_SYNTH6M_Quote#0000</v>
      </c>
      <c r="E6" s="235" t="str">
        <f>_xll.ohRangeRetrieveError(D6)</f>
        <v/>
      </c>
      <c r="F6" s="218"/>
    </row>
    <row r="7" spans="1:6" x14ac:dyDescent="0.2">
      <c r="A7" s="118"/>
      <c r="B7" s="224" t="s">
        <v>147</v>
      </c>
      <c r="C7" s="125" t="str">
        <f t="shared" si="0"/>
        <v>GBP2WD_SYNTH6M_Quote</v>
      </c>
      <c r="D7" s="125" t="str">
        <f>_xll.qlSimpleQuote(C7,,RateTickValue,Permanent,Trigger,ObjectOverwrite)</f>
        <v>GBP2WD_SYNTH6M_Quote#0000</v>
      </c>
      <c r="E7" s="235" t="str">
        <f>_xll.ohRangeRetrieveError(D7)</f>
        <v/>
      </c>
      <c r="F7" s="218"/>
    </row>
    <row r="8" spans="1:6" x14ac:dyDescent="0.2">
      <c r="A8" s="118"/>
      <c r="B8" s="224" t="s">
        <v>146</v>
      </c>
      <c r="C8" s="125" t="str">
        <f t="shared" si="0"/>
        <v>GBP3WD_SYNTH6M_Quote</v>
      </c>
      <c r="D8" s="125" t="str">
        <f>_xll.qlSimpleQuote(C8,,RateTickValue,Permanent,Trigger,ObjectOverwrite)</f>
        <v>GBP3WD_SYNTH6M_Quote#0000</v>
      </c>
      <c r="E8" s="235" t="str">
        <f>_xll.ohRangeRetrieveError(D8)</f>
        <v/>
      </c>
      <c r="F8" s="218"/>
    </row>
    <row r="9" spans="1:6" x14ac:dyDescent="0.2">
      <c r="A9" s="118"/>
      <c r="B9" s="224" t="s">
        <v>145</v>
      </c>
      <c r="C9" s="125" t="str">
        <f t="shared" si="0"/>
        <v>GBP1MD_SYNTH6M_Quote</v>
      </c>
      <c r="D9" s="125" t="str">
        <f>_xll.qlSimpleQuote(C9,,RateTickValue,Permanent,Trigger,ObjectOverwrite)</f>
        <v>GBP1MD_SYNTH6M_Quote#0000</v>
      </c>
      <c r="E9" s="235" t="str">
        <f>_xll.ohRangeRetrieveError(D9)</f>
        <v/>
      </c>
      <c r="F9" s="218"/>
    </row>
    <row r="10" spans="1:6" x14ac:dyDescent="0.2">
      <c r="A10" s="118"/>
      <c r="B10" s="224" t="s">
        <v>144</v>
      </c>
      <c r="C10" s="125" t="str">
        <f t="shared" si="0"/>
        <v>GBP2MD_SYNTH6M_Quote</v>
      </c>
      <c r="D10" s="125" t="str">
        <f>_xll.qlSimpleQuote(C10,,RateTickValue,Permanent,Trigger,ObjectOverwrite)</f>
        <v>GBP2MD_SYNTH6M_Quote#0000</v>
      </c>
      <c r="E10" s="235" t="str">
        <f>_xll.ohRangeRetrieveError(D10)</f>
        <v/>
      </c>
      <c r="F10" s="218"/>
    </row>
    <row r="11" spans="1:6" x14ac:dyDescent="0.2">
      <c r="A11" s="118"/>
      <c r="B11" s="224" t="s">
        <v>143</v>
      </c>
      <c r="C11" s="125" t="str">
        <f t="shared" si="0"/>
        <v>GBP3MD_SYNTH6M_Quote</v>
      </c>
      <c r="D11" s="125" t="str">
        <f>_xll.qlSimpleQuote(C11,,RateTickValue,Permanent,Trigger,ObjectOverwrite)</f>
        <v>GBP3MD_SYNTH6M_Quote#0000</v>
      </c>
      <c r="E11" s="235" t="str">
        <f>_xll.ohRangeRetrieveError(D11)</f>
        <v/>
      </c>
      <c r="F11" s="218"/>
    </row>
    <row r="12" spans="1:6" x14ac:dyDescent="0.2">
      <c r="A12" s="118"/>
      <c r="B12" s="224" t="s">
        <v>142</v>
      </c>
      <c r="C12" s="125" t="str">
        <f t="shared" si="0"/>
        <v>GBP4MD_SYNTH6M_Quote</v>
      </c>
      <c r="D12" s="125" t="str">
        <f>_xll.qlSimpleQuote(C12,,RateTickValue,Permanent,Trigger,ObjectOverwrite)</f>
        <v>GBP4MD_SYNTH6M_Quote#0000</v>
      </c>
      <c r="E12" s="235" t="str">
        <f>_xll.ohRangeRetrieveError(D12)</f>
        <v/>
      </c>
      <c r="F12" s="218"/>
    </row>
    <row r="13" spans="1:6" x14ac:dyDescent="0.2">
      <c r="A13" s="118"/>
      <c r="B13" s="224" t="s">
        <v>141</v>
      </c>
      <c r="C13" s="125" t="str">
        <f t="shared" si="0"/>
        <v>GBP5MD_SYNTH6M_Quote</v>
      </c>
      <c r="D13" s="125" t="str">
        <f>_xll.qlSimpleQuote(C13,,RateTickValue,Permanent,Trigger,ObjectOverwrite)</f>
        <v>GBP5MD_SYNTH6M_Quote#0000</v>
      </c>
      <c r="E13" s="235" t="str">
        <f>_xll.ohRangeRetrieveError(D13)</f>
        <v/>
      </c>
      <c r="F13" s="218"/>
    </row>
    <row r="14" spans="1:6" x14ac:dyDescent="0.2">
      <c r="A14" s="118"/>
      <c r="B14" s="232" t="s">
        <v>140</v>
      </c>
      <c r="C14" s="114" t="str">
        <f t="shared" si="0"/>
        <v>GBP6MD_SYNTH6M_Quote</v>
      </c>
      <c r="D14" s="114" t="str">
        <f>_xll.qlSimpleQuote(C14,,RateTickValue,Permanent,Trigger,ObjectOverwrite)</f>
        <v>GBP6MD_SYNTH6M_Quote#0000</v>
      </c>
      <c r="E14" s="231" t="str">
        <f>_xll.ohRangeRetrieveError(D14)</f>
        <v/>
      </c>
      <c r="F14" s="218"/>
    </row>
    <row r="15" spans="1:6" x14ac:dyDescent="0.2">
      <c r="A15" s="118">
        <v>2</v>
      </c>
      <c r="B15" s="234" t="str">
        <f t="shared" ref="B15:B27" si="1">A15&amp;"x"&amp;A15+Months&amp;"F"</f>
        <v>2x8F</v>
      </c>
      <c r="C15" s="121" t="str">
        <f t="shared" si="0"/>
        <v>GBP2x8F_SYNTH6M_Quote</v>
      </c>
      <c r="D15" s="121" t="str">
        <f>_xll.qlSimpleQuote(C15,,RateTickValue,Permanent,Trigger,ObjectOverwrite)</f>
        <v>GBP2x8F_SYNTH6M_Quote#0000</v>
      </c>
      <c r="E15" s="233" t="str">
        <f>_xll.ohRangeRetrieveError(D15)</f>
        <v/>
      </c>
      <c r="F15" s="218"/>
    </row>
    <row r="16" spans="1:6" x14ac:dyDescent="0.2">
      <c r="A16" s="118">
        <v>4</v>
      </c>
      <c r="B16" s="224" t="str">
        <f t="shared" si="1"/>
        <v>4x10F</v>
      </c>
      <c r="C16" s="125" t="str">
        <f t="shared" si="0"/>
        <v>GBP4x10F_SYNTH6M_Quote</v>
      </c>
      <c r="D16" s="125" t="str">
        <f>_xll.qlSimpleQuote(C16,,RateTickValue,Permanent,Trigger,ObjectOverwrite)</f>
        <v>GBP4x10F_SYNTH6M_Quote#0000</v>
      </c>
      <c r="E16" s="235" t="str">
        <f>_xll.ohRangeRetrieveError(D16)</f>
        <v/>
      </c>
      <c r="F16" s="218"/>
    </row>
    <row r="17" spans="1:6" x14ac:dyDescent="0.2">
      <c r="A17" s="118">
        <v>5</v>
      </c>
      <c r="B17" s="224" t="str">
        <f t="shared" si="1"/>
        <v>5x11F</v>
      </c>
      <c r="C17" s="125" t="str">
        <f t="shared" si="0"/>
        <v>GBP5x11F_SYNTH6M_Quote</v>
      </c>
      <c r="D17" s="125" t="str">
        <f>_xll.qlSimpleQuote(C17,,RateTickValue,Permanent,Trigger,ObjectOverwrite)</f>
        <v>GBP5x11F_SYNTH6M_Quote#0000</v>
      </c>
      <c r="E17" s="235" t="str">
        <f>_xll.ohRangeRetrieveError(D17)</f>
        <v/>
      </c>
      <c r="F17" s="218"/>
    </row>
    <row r="18" spans="1:6" x14ac:dyDescent="0.2">
      <c r="A18" s="118">
        <v>7</v>
      </c>
      <c r="B18" s="224" t="str">
        <f t="shared" si="1"/>
        <v>7x13F</v>
      </c>
      <c r="C18" s="125" t="str">
        <f t="shared" si="0"/>
        <v>GBP7x13F_SYNTH6M_Quote</v>
      </c>
      <c r="D18" s="125" t="str">
        <f>_xll.qlSimpleQuote(C18,,RateTickValue,Permanent,Trigger,ObjectOverwrite)</f>
        <v>GBP7x13F_SYNTH6M_Quote#0000</v>
      </c>
      <c r="E18" s="235" t="str">
        <f>_xll.ohRangeRetrieveError(D18)</f>
        <v/>
      </c>
      <c r="F18" s="218"/>
    </row>
    <row r="19" spans="1:6" x14ac:dyDescent="0.2">
      <c r="A19" s="118">
        <v>8</v>
      </c>
      <c r="B19" s="224" t="str">
        <f t="shared" si="1"/>
        <v>8x14F</v>
      </c>
      <c r="C19" s="125" t="str">
        <f t="shared" si="0"/>
        <v>GBP8x14F_SYNTH6M_Quote</v>
      </c>
      <c r="D19" s="125" t="str">
        <f>_xll.qlSimpleQuote(C19,,RateTickValue,Permanent,Trigger,ObjectOverwrite)</f>
        <v>GBP8x14F_SYNTH6M_Quote#0000</v>
      </c>
      <c r="E19" s="235" t="str">
        <f>_xll.ohRangeRetrieveError(D19)</f>
        <v/>
      </c>
      <c r="F19" s="218"/>
    </row>
    <row r="20" spans="1:6" x14ac:dyDescent="0.2">
      <c r="A20" s="118">
        <v>9</v>
      </c>
      <c r="B20" s="224" t="str">
        <f t="shared" si="1"/>
        <v>9x15F</v>
      </c>
      <c r="C20" s="125" t="str">
        <f t="shared" si="0"/>
        <v>GBP9x15F_SYNTH6M_Quote</v>
      </c>
      <c r="D20" s="125" t="str">
        <f>_xll.qlSimpleQuote(C20,,RateTickValue,Permanent,Trigger,ObjectOverwrite)</f>
        <v>GBP9x15F_SYNTH6M_Quote#0000</v>
      </c>
      <c r="E20" s="235" t="str">
        <f>_xll.ohRangeRetrieveError(D20)</f>
        <v/>
      </c>
      <c r="F20" s="218"/>
    </row>
    <row r="21" spans="1:6" x14ac:dyDescent="0.2">
      <c r="A21" s="118">
        <v>10</v>
      </c>
      <c r="B21" s="224" t="str">
        <f t="shared" si="1"/>
        <v>10x16F</v>
      </c>
      <c r="C21" s="125" t="str">
        <f t="shared" si="0"/>
        <v>GBP10x16F_SYNTH6M_Quote</v>
      </c>
      <c r="D21" s="125" t="str">
        <f>_xll.qlSimpleQuote(C21,,RateTickValue,Permanent,Trigger,ObjectOverwrite)</f>
        <v>GBP10x16F_SYNTH6M_Quote#0000</v>
      </c>
      <c r="E21" s="235" t="str">
        <f>_xll.ohRangeRetrieveError(D21)</f>
        <v/>
      </c>
      <c r="F21" s="218"/>
    </row>
    <row r="22" spans="1:6" x14ac:dyDescent="0.2">
      <c r="A22" s="118">
        <v>11</v>
      </c>
      <c r="B22" s="224" t="str">
        <f t="shared" si="1"/>
        <v>11x17F</v>
      </c>
      <c r="C22" s="125" t="str">
        <f t="shared" si="0"/>
        <v>GBP11x17F_SYNTH6M_Quote</v>
      </c>
      <c r="D22" s="125" t="str">
        <f>_xll.qlSimpleQuote(C22,,RateTickValue,Permanent,Trigger,ObjectOverwrite)</f>
        <v>GBP11x17F_SYNTH6M_Quote#0000</v>
      </c>
      <c r="E22" s="235" t="str">
        <f>_xll.ohRangeRetrieveError(D22)</f>
        <v/>
      </c>
      <c r="F22" s="218"/>
    </row>
    <row r="23" spans="1:6" x14ac:dyDescent="0.2">
      <c r="A23" s="118">
        <v>13</v>
      </c>
      <c r="B23" s="224" t="str">
        <f t="shared" si="1"/>
        <v>13x19F</v>
      </c>
      <c r="C23" s="125" t="str">
        <f t="shared" si="0"/>
        <v>GBP13x19F_SYNTH6M_Quote</v>
      </c>
      <c r="D23" s="125" t="str">
        <f>_xll.qlSimpleQuote(C23,,RateTickValue,Permanent,Trigger,ObjectOverwrite)</f>
        <v>GBP13x19F_SYNTH6M_Quote#0000</v>
      </c>
      <c r="E23" s="235" t="str">
        <f>_xll.ohRangeRetrieveError(D23)</f>
        <v/>
      </c>
      <c r="F23" s="218"/>
    </row>
    <row r="24" spans="1:6" x14ac:dyDescent="0.2">
      <c r="A24" s="118">
        <v>14</v>
      </c>
      <c r="B24" s="224" t="str">
        <f t="shared" si="1"/>
        <v>14x20F</v>
      </c>
      <c r="C24" s="125" t="str">
        <f t="shared" si="0"/>
        <v>GBP14x20F_SYNTH6M_Quote</v>
      </c>
      <c r="D24" s="125" t="str">
        <f>_xll.qlSimpleQuote(C24,,RateTickValue,Permanent,Trigger,ObjectOverwrite)</f>
        <v>GBP14x20F_SYNTH6M_Quote#0000</v>
      </c>
      <c r="E24" s="235" t="str">
        <f>_xll.ohRangeRetrieveError(D24)</f>
        <v/>
      </c>
      <c r="F24" s="218"/>
    </row>
    <row r="25" spans="1:6" x14ac:dyDescent="0.2">
      <c r="A25" s="118">
        <v>15</v>
      </c>
      <c r="B25" s="224" t="str">
        <f t="shared" si="1"/>
        <v>15x21F</v>
      </c>
      <c r="C25" s="125" t="str">
        <f t="shared" si="0"/>
        <v>GBP15x21F_SYNTH6M_Quote</v>
      </c>
      <c r="D25" s="125" t="str">
        <f>_xll.qlSimpleQuote(C25,,RateTickValue,Permanent,Trigger,ObjectOverwrite)</f>
        <v>GBP15x21F_SYNTH6M_Quote#0000</v>
      </c>
      <c r="E25" s="235" t="str">
        <f>_xll.ohRangeRetrieveError(D25)</f>
        <v/>
      </c>
      <c r="F25" s="218"/>
    </row>
    <row r="26" spans="1:6" x14ac:dyDescent="0.2">
      <c r="A26" s="118">
        <v>16</v>
      </c>
      <c r="B26" s="224" t="str">
        <f t="shared" si="1"/>
        <v>16x22F</v>
      </c>
      <c r="C26" s="125" t="str">
        <f t="shared" si="0"/>
        <v>GBP16x22F_SYNTH6M_Quote</v>
      </c>
      <c r="D26" s="125" t="str">
        <f>_xll.qlSimpleQuote(C26,,RateTickValue,Permanent,Trigger,ObjectOverwrite)</f>
        <v>GBP16x22F_SYNTH6M_Quote#0000</v>
      </c>
      <c r="E26" s="235" t="str">
        <f>_xll.ohRangeRetrieveError(D26)</f>
        <v/>
      </c>
      <c r="F26" s="218"/>
    </row>
    <row r="27" spans="1:6" x14ac:dyDescent="0.2">
      <c r="A27" s="118">
        <v>17</v>
      </c>
      <c r="B27" s="232" t="str">
        <f t="shared" si="1"/>
        <v>17x23F</v>
      </c>
      <c r="C27" s="114" t="str">
        <f t="shared" si="0"/>
        <v>GBP17x23F_SYNTH6M_Quote</v>
      </c>
      <c r="D27" s="114" t="str">
        <f>_xll.qlSimpleQuote(C27,,RateTickValue,Permanent,Trigger,ObjectOverwrite)</f>
        <v>GBP17x23F_SYNTH6M_Quote#0000</v>
      </c>
      <c r="E27" s="231" t="str">
        <f>_xll.ohRangeRetrieveError(D27)</f>
        <v/>
      </c>
      <c r="F27" s="218"/>
    </row>
    <row r="28" spans="1:6" x14ac:dyDescent="0.2">
      <c r="A28" s="118"/>
      <c r="B28" s="224" t="s">
        <v>218</v>
      </c>
      <c r="C28" s="125" t="str">
        <f t="shared" si="0"/>
        <v>GBPTOY_SYNTH6M_Quote</v>
      </c>
      <c r="D28" s="125" t="str">
        <f>_xll.qlSimpleQuote(C28,1,RateTickValue,Permanent,Trigger,ObjectOverwrite)</f>
        <v>GBPTOY_SYNTH6M_Quote#0000</v>
      </c>
      <c r="E28" s="235" t="str">
        <f>_xll.ohRangeRetrieveError(D28)</f>
        <v/>
      </c>
      <c r="F28" s="218"/>
    </row>
    <row r="29" spans="1:6" x14ac:dyDescent="0.2">
      <c r="A29" s="118"/>
      <c r="B29" s="232" t="s">
        <v>217</v>
      </c>
      <c r="C29" s="114" t="str">
        <f t="shared" si="0"/>
        <v>GBPTOY2_SYNTH6M_Quote</v>
      </c>
      <c r="D29" s="114" t="str">
        <f>_xll.qlSimpleQuote(C29,1,RateTickValue,Permanent,Trigger,ObjectOverwrite)</f>
        <v>GBPTOY2_SYNTH6M_Quote#0000</v>
      </c>
      <c r="E29" s="231" t="str">
        <f>_xll.ohRangeRetrieveError(D29)</f>
        <v/>
      </c>
      <c r="F29" s="218"/>
    </row>
    <row r="30" spans="1:6" ht="12" thickBot="1" x14ac:dyDescent="0.25">
      <c r="A30" s="32"/>
      <c r="B30" s="31"/>
      <c r="C30" s="31"/>
      <c r="D30" s="31"/>
      <c r="E30" s="31"/>
      <c r="F30" s="30"/>
    </row>
  </sheetData>
  <pageMargins left="0.75" right="0.75" top="1" bottom="1" header="0.5" footer="0.5"/>
  <pageSetup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F65"/>
  <sheetViews>
    <sheetView workbookViewId="0"/>
  </sheetViews>
  <sheetFormatPr defaultRowHeight="11.25" x14ac:dyDescent="0.2"/>
  <cols>
    <col min="1" max="1" width="5" style="65" customWidth="1"/>
    <col min="2" max="2" width="6.140625" style="65" bestFit="1" customWidth="1"/>
    <col min="3" max="3" width="25.1406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583" t="s">
        <v>349</v>
      </c>
      <c r="B1" s="229">
        <v>12</v>
      </c>
      <c r="C1" s="230" t="str">
        <f>_xll.qlPeriodEquivalent(Months&amp;"M")</f>
        <v>1Y</v>
      </c>
      <c r="D1" s="229"/>
      <c r="E1" s="229"/>
      <c r="F1" s="228"/>
    </row>
    <row r="2" spans="1:6" x14ac:dyDescent="0.2">
      <c r="A2" s="118"/>
      <c r="B2" s="236"/>
      <c r="C2" s="226" t="str">
        <f>Currency&amp;"_015_SyntheticQuotes"&amp;Tenor&amp;".xml"</f>
        <v>GBP_015_SyntheticQuotes1Y.xml</v>
      </c>
      <c r="D2" s="16">
        <f ca="1">IF(Serialize,_xll.ohObjectSave(D3:D64,SerializationPath&amp;C2,FileOverwrite,Serialize),"---")</f>
        <v>62</v>
      </c>
      <c r="E2" s="7" t="str">
        <f ca="1">_xll.ohRangeRetrieveError(D2)</f>
        <v/>
      </c>
      <c r="F2" s="218"/>
    </row>
    <row r="3" spans="1:6" x14ac:dyDescent="0.2">
      <c r="A3" s="118"/>
      <c r="B3" s="225" t="s">
        <v>151</v>
      </c>
      <c r="C3" s="125" t="str">
        <f t="shared" ref="C3:C34" si="0">Currency&amp;$B3&amp;"_SYNTH"&amp;Tenor&amp;QuoteSuffix</f>
        <v>GBPOND_SYNTH1Y_Quote</v>
      </c>
      <c r="D3" s="125" t="str">
        <f>_xll.qlSimpleQuote(C3,,RateTickValue,Permanent,Trigger,ObjectOverwrite)</f>
        <v>GBPOND_SYNTH1Y_Quote#0000</v>
      </c>
      <c r="E3" s="235" t="str">
        <f>_xll.ohRangeRetrieveError(D3)</f>
        <v/>
      </c>
      <c r="F3" s="218"/>
    </row>
    <row r="4" spans="1:6" x14ac:dyDescent="0.2">
      <c r="A4" s="118"/>
      <c r="B4" s="225" t="s">
        <v>150</v>
      </c>
      <c r="C4" s="125" t="str">
        <f t="shared" si="0"/>
        <v>GBPTND_SYNTH1Y_Quote</v>
      </c>
      <c r="D4" s="125" t="str">
        <f>_xll.qlSimpleQuote(C4,,RateTickValue,Permanent,Trigger,ObjectOverwrite)</f>
        <v>GBPTND_SYNTH1Y_Quote#0000</v>
      </c>
      <c r="E4" s="235" t="str">
        <f>_xll.ohRangeRetrieveError(D4)</f>
        <v/>
      </c>
      <c r="F4" s="218"/>
    </row>
    <row r="5" spans="1:6" x14ac:dyDescent="0.2">
      <c r="A5" s="118"/>
      <c r="B5" s="224" t="s">
        <v>149</v>
      </c>
      <c r="C5" s="125" t="str">
        <f t="shared" si="0"/>
        <v>GBPSND_SYNTH1Y_Quote</v>
      </c>
      <c r="D5" s="125" t="str">
        <f>_xll.qlSimpleQuote(C5,,RateTickValue,Permanent,Trigger,ObjectOverwrite)</f>
        <v>GBPSND_SYNTH1Y_Quote#0000</v>
      </c>
      <c r="E5" s="235" t="str">
        <f>_xll.ohRangeRetrieveError(D5)</f>
        <v/>
      </c>
      <c r="F5" s="218"/>
    </row>
    <row r="6" spans="1:6" x14ac:dyDescent="0.2">
      <c r="A6" s="118"/>
      <c r="B6" s="224" t="s">
        <v>148</v>
      </c>
      <c r="C6" s="125" t="str">
        <f t="shared" si="0"/>
        <v>GBPSWD_SYNTH1Y_Quote</v>
      </c>
      <c r="D6" s="125" t="str">
        <f>_xll.qlSimpleQuote(C6,,RateTickValue,Permanent,Trigger,ObjectOverwrite)</f>
        <v>GBPSWD_SYNTH1Y_Quote#0000</v>
      </c>
      <c r="E6" s="235" t="str">
        <f>_xll.ohRangeRetrieveError(D6)</f>
        <v/>
      </c>
      <c r="F6" s="218"/>
    </row>
    <row r="7" spans="1:6" x14ac:dyDescent="0.2">
      <c r="A7" s="118"/>
      <c r="B7" s="224" t="s">
        <v>147</v>
      </c>
      <c r="C7" s="125" t="str">
        <f t="shared" si="0"/>
        <v>GBP2WD_SYNTH1Y_Quote</v>
      </c>
      <c r="D7" s="125" t="str">
        <f>_xll.qlSimpleQuote(C7,,RateTickValue,Permanent,Trigger,ObjectOverwrite)</f>
        <v>GBP2WD_SYNTH1Y_Quote#0000</v>
      </c>
      <c r="E7" s="235" t="str">
        <f>_xll.ohRangeRetrieveError(D7)</f>
        <v/>
      </c>
      <c r="F7" s="218"/>
    </row>
    <row r="8" spans="1:6" x14ac:dyDescent="0.2">
      <c r="A8" s="118"/>
      <c r="B8" s="224" t="s">
        <v>146</v>
      </c>
      <c r="C8" s="125" t="str">
        <f t="shared" si="0"/>
        <v>GBP3WD_SYNTH1Y_Quote</v>
      </c>
      <c r="D8" s="125" t="str">
        <f>_xll.qlSimpleQuote(C8,,RateTickValue,Permanent,Trigger,ObjectOverwrite)</f>
        <v>GBP3WD_SYNTH1Y_Quote#0000</v>
      </c>
      <c r="E8" s="235" t="str">
        <f>_xll.ohRangeRetrieveError(D8)</f>
        <v/>
      </c>
      <c r="F8" s="218"/>
    </row>
    <row r="9" spans="1:6" x14ac:dyDescent="0.2">
      <c r="A9" s="118"/>
      <c r="B9" s="224" t="s">
        <v>145</v>
      </c>
      <c r="C9" s="125" t="str">
        <f t="shared" si="0"/>
        <v>GBP1MD_SYNTH1Y_Quote</v>
      </c>
      <c r="D9" s="125" t="str">
        <f>_xll.qlSimpleQuote(C9,,RateTickValue,Permanent,Trigger,ObjectOverwrite)</f>
        <v>GBP1MD_SYNTH1Y_Quote#0000</v>
      </c>
      <c r="E9" s="235" t="str">
        <f>_xll.ohRangeRetrieveError(D9)</f>
        <v/>
      </c>
      <c r="F9" s="218"/>
    </row>
    <row r="10" spans="1:6" x14ac:dyDescent="0.2">
      <c r="A10" s="118"/>
      <c r="B10" s="224" t="s">
        <v>144</v>
      </c>
      <c r="C10" s="125" t="str">
        <f t="shared" si="0"/>
        <v>GBP2MD_SYNTH1Y_Quote</v>
      </c>
      <c r="D10" s="125" t="str">
        <f>_xll.qlSimpleQuote(C10,,RateTickValue,Permanent,Trigger,ObjectOverwrite)</f>
        <v>GBP2MD_SYNTH1Y_Quote#0000</v>
      </c>
      <c r="E10" s="235" t="str">
        <f>_xll.ohRangeRetrieveError(D10)</f>
        <v/>
      </c>
      <c r="F10" s="218"/>
    </row>
    <row r="11" spans="1:6" x14ac:dyDescent="0.2">
      <c r="A11" s="118"/>
      <c r="B11" s="224" t="s">
        <v>143</v>
      </c>
      <c r="C11" s="125" t="str">
        <f t="shared" si="0"/>
        <v>GBP3MD_SYNTH1Y_Quote</v>
      </c>
      <c r="D11" s="125" t="str">
        <f>_xll.qlSimpleQuote(C11,,RateTickValue,Permanent,Trigger,ObjectOverwrite)</f>
        <v>GBP3MD_SYNTH1Y_Quote#0000</v>
      </c>
      <c r="E11" s="235" t="str">
        <f>_xll.ohRangeRetrieveError(D11)</f>
        <v/>
      </c>
      <c r="F11" s="218"/>
    </row>
    <row r="12" spans="1:6" x14ac:dyDescent="0.2">
      <c r="A12" s="118"/>
      <c r="B12" s="224" t="s">
        <v>142</v>
      </c>
      <c r="C12" s="125" t="str">
        <f t="shared" si="0"/>
        <v>GBP4MD_SYNTH1Y_Quote</v>
      </c>
      <c r="D12" s="125" t="str">
        <f>_xll.qlSimpleQuote(C12,,RateTickValue,Permanent,Trigger,ObjectOverwrite)</f>
        <v>GBP4MD_SYNTH1Y_Quote#0000</v>
      </c>
      <c r="E12" s="235" t="str">
        <f>_xll.ohRangeRetrieveError(D12)</f>
        <v/>
      </c>
      <c r="F12" s="218"/>
    </row>
    <row r="13" spans="1:6" x14ac:dyDescent="0.2">
      <c r="A13" s="118"/>
      <c r="B13" s="224" t="s">
        <v>141</v>
      </c>
      <c r="C13" s="125" t="str">
        <f t="shared" si="0"/>
        <v>GBP5MD_SYNTH1Y_Quote</v>
      </c>
      <c r="D13" s="125" t="str">
        <f>_xll.qlSimpleQuote(C13,,RateTickValue,Permanent,Trigger,ObjectOverwrite)</f>
        <v>GBP5MD_SYNTH1Y_Quote#0000</v>
      </c>
      <c r="E13" s="235" t="str">
        <f>_xll.ohRangeRetrieveError(D13)</f>
        <v/>
      </c>
      <c r="F13" s="218"/>
    </row>
    <row r="14" spans="1:6" x14ac:dyDescent="0.2">
      <c r="A14" s="118"/>
      <c r="B14" s="224" t="s">
        <v>140</v>
      </c>
      <c r="C14" s="125" t="str">
        <f t="shared" si="0"/>
        <v>GBP6MD_SYNTH1Y_Quote</v>
      </c>
      <c r="D14" s="125" t="str">
        <f>_xll.qlSimpleQuote(C14,,RateTickValue,Permanent,Trigger,ObjectOverwrite)</f>
        <v>GBP6MD_SYNTH1Y_Quote#0000</v>
      </c>
      <c r="E14" s="235" t="str">
        <f>_xll.ohRangeRetrieveError(D14)</f>
        <v/>
      </c>
      <c r="F14" s="218"/>
    </row>
    <row r="15" spans="1:6" x14ac:dyDescent="0.2">
      <c r="A15" s="118"/>
      <c r="B15" s="224" t="s">
        <v>139</v>
      </c>
      <c r="C15" s="125" t="str">
        <f t="shared" si="0"/>
        <v>GBP7MD_SYNTH1Y_Quote</v>
      </c>
      <c r="D15" s="125" t="str">
        <f>_xll.qlSimpleQuote(C15,,RateTickValue,Permanent,Trigger,ObjectOverwrite)</f>
        <v>GBP7MD_SYNTH1Y_Quote#0000</v>
      </c>
      <c r="E15" s="235" t="str">
        <f>_xll.ohRangeRetrieveError(D15)</f>
        <v/>
      </c>
      <c r="F15" s="218"/>
    </row>
    <row r="16" spans="1:6" x14ac:dyDescent="0.2">
      <c r="A16" s="118"/>
      <c r="B16" s="224" t="s">
        <v>138</v>
      </c>
      <c r="C16" s="125" t="str">
        <f t="shared" si="0"/>
        <v>GBP8MD_SYNTH1Y_Quote</v>
      </c>
      <c r="D16" s="125" t="str">
        <f>_xll.qlSimpleQuote(C16,,RateTickValue,Permanent,Trigger,ObjectOverwrite)</f>
        <v>GBP8MD_SYNTH1Y_Quote#0000</v>
      </c>
      <c r="E16" s="235" t="str">
        <f>_xll.ohRangeRetrieveError(D16)</f>
        <v/>
      </c>
      <c r="F16" s="218"/>
    </row>
    <row r="17" spans="1:6" x14ac:dyDescent="0.2">
      <c r="A17" s="118"/>
      <c r="B17" s="224" t="s">
        <v>137</v>
      </c>
      <c r="C17" s="125" t="str">
        <f t="shared" si="0"/>
        <v>GBP9MD_SYNTH1Y_Quote</v>
      </c>
      <c r="D17" s="125" t="str">
        <f>_xll.qlSimpleQuote(C17,,RateTickValue,Permanent,Trigger,ObjectOverwrite)</f>
        <v>GBP9MD_SYNTH1Y_Quote#0000</v>
      </c>
      <c r="E17" s="235" t="str">
        <f>_xll.ohRangeRetrieveError(D17)</f>
        <v/>
      </c>
      <c r="F17" s="218"/>
    </row>
    <row r="18" spans="1:6" x14ac:dyDescent="0.2">
      <c r="A18" s="118"/>
      <c r="B18" s="224" t="s">
        <v>136</v>
      </c>
      <c r="C18" s="125" t="str">
        <f t="shared" si="0"/>
        <v>GBP10MD_SYNTH1Y_Quote</v>
      </c>
      <c r="D18" s="125" t="str">
        <f>_xll.qlSimpleQuote(C18,,RateTickValue,Permanent,Trigger,ObjectOverwrite)</f>
        <v>GBP10MD_SYNTH1Y_Quote#0000</v>
      </c>
      <c r="E18" s="235" t="str">
        <f>_xll.ohRangeRetrieveError(D18)</f>
        <v/>
      </c>
      <c r="F18" s="218"/>
    </row>
    <row r="19" spans="1:6" x14ac:dyDescent="0.2">
      <c r="A19" s="118"/>
      <c r="B19" s="224" t="s">
        <v>135</v>
      </c>
      <c r="C19" s="125" t="str">
        <f t="shared" si="0"/>
        <v>GBP11MD_SYNTH1Y_Quote</v>
      </c>
      <c r="D19" s="125" t="str">
        <f>_xll.qlSimpleQuote(C19,,RateTickValue,Permanent,Trigger,ObjectOverwrite)</f>
        <v>GBP11MD_SYNTH1Y_Quote#0000</v>
      </c>
      <c r="E19" s="235" t="str">
        <f>_xll.ohRangeRetrieveError(D19)</f>
        <v/>
      </c>
      <c r="F19" s="218"/>
    </row>
    <row r="20" spans="1:6" x14ac:dyDescent="0.2">
      <c r="A20" s="118"/>
      <c r="B20" s="232" t="s">
        <v>134</v>
      </c>
      <c r="C20" s="114" t="str">
        <f t="shared" si="0"/>
        <v>GBP1YD_SYNTH1Y_Quote</v>
      </c>
      <c r="D20" s="114" t="str">
        <f>_xll.qlSimpleQuote(C20,,RateTickValue,Permanent,Trigger,ObjectOverwrite)</f>
        <v>GBP1YD_SYNTH1Y_Quote#0000</v>
      </c>
      <c r="E20" s="231" t="str">
        <f>_xll.ohRangeRetrieveError(D20)</f>
        <v/>
      </c>
      <c r="F20" s="218"/>
    </row>
    <row r="21" spans="1:6" x14ac:dyDescent="0.2">
      <c r="A21" s="118">
        <v>1</v>
      </c>
      <c r="B21" s="234" t="str">
        <f t="shared" ref="B21:B64" si="1">A21&amp;"x"&amp;A21+Months&amp;"F"</f>
        <v>1x13F</v>
      </c>
      <c r="C21" s="121" t="str">
        <f t="shared" si="0"/>
        <v>GBP1x13F_SYNTH1Y_Quote</v>
      </c>
      <c r="D21" s="121" t="str">
        <f>_xll.qlSimpleQuote(C21,,RateTickValue,Permanent,Trigger,ObjectOverwrite)</f>
        <v>GBP1x13F_SYNTH1Y_Quote#0000</v>
      </c>
      <c r="E21" s="233" t="str">
        <f>_xll.ohRangeRetrieveError(D21)</f>
        <v/>
      </c>
      <c r="F21" s="218"/>
    </row>
    <row r="22" spans="1:6" x14ac:dyDescent="0.2">
      <c r="A22" s="118">
        <v>2</v>
      </c>
      <c r="B22" s="224" t="str">
        <f t="shared" si="1"/>
        <v>2x14F</v>
      </c>
      <c r="C22" s="125" t="str">
        <f t="shared" si="0"/>
        <v>GBP2x14F_SYNTH1Y_Quote</v>
      </c>
      <c r="D22" s="125" t="str">
        <f>_xll.qlSimpleQuote(C22,,RateTickValue,Permanent,Trigger,ObjectOverwrite)</f>
        <v>GBP2x14F_SYNTH1Y_Quote#0000</v>
      </c>
      <c r="E22" s="235" t="str">
        <f>_xll.ohRangeRetrieveError(D22)</f>
        <v/>
      </c>
      <c r="F22" s="218"/>
    </row>
    <row r="23" spans="1:6" x14ac:dyDescent="0.2">
      <c r="A23" s="118">
        <v>3</v>
      </c>
      <c r="B23" s="224" t="str">
        <f t="shared" si="1"/>
        <v>3x15F</v>
      </c>
      <c r="C23" s="125" t="str">
        <f t="shared" si="0"/>
        <v>GBP3x15F_SYNTH1Y_Quote</v>
      </c>
      <c r="D23" s="125" t="str">
        <f>_xll.qlSimpleQuote(C23,,RateTickValue,Permanent,Trigger,ObjectOverwrite)</f>
        <v>GBP3x15F_SYNTH1Y_Quote#0000</v>
      </c>
      <c r="E23" s="235" t="str">
        <f>_xll.ohRangeRetrieveError(D23)</f>
        <v/>
      </c>
      <c r="F23" s="218"/>
    </row>
    <row r="24" spans="1:6" x14ac:dyDescent="0.2">
      <c r="A24" s="118">
        <v>4</v>
      </c>
      <c r="B24" s="224" t="str">
        <f t="shared" si="1"/>
        <v>4x16F</v>
      </c>
      <c r="C24" s="125" t="str">
        <f t="shared" si="0"/>
        <v>GBP4x16F_SYNTH1Y_Quote</v>
      </c>
      <c r="D24" s="125" t="str">
        <f>_xll.qlSimpleQuote(C24,,RateTickValue,Permanent,Trigger,ObjectOverwrite)</f>
        <v>GBP4x16F_SYNTH1Y_Quote#0000</v>
      </c>
      <c r="E24" s="235" t="str">
        <f>_xll.ohRangeRetrieveError(D24)</f>
        <v/>
      </c>
      <c r="F24" s="218"/>
    </row>
    <row r="25" spans="1:6" x14ac:dyDescent="0.2">
      <c r="A25" s="118">
        <v>5</v>
      </c>
      <c r="B25" s="224" t="str">
        <f t="shared" si="1"/>
        <v>5x17F</v>
      </c>
      <c r="C25" s="125" t="str">
        <f t="shared" si="0"/>
        <v>GBP5x17F_SYNTH1Y_Quote</v>
      </c>
      <c r="D25" s="125" t="str">
        <f>_xll.qlSimpleQuote(C25,,RateTickValue,Permanent,Trigger,ObjectOverwrite)</f>
        <v>GBP5x17F_SYNTH1Y_Quote#0000</v>
      </c>
      <c r="E25" s="235" t="str">
        <f>_xll.ohRangeRetrieveError(D25)</f>
        <v/>
      </c>
      <c r="F25" s="218"/>
    </row>
    <row r="26" spans="1:6" x14ac:dyDescent="0.2">
      <c r="A26" s="118">
        <v>6</v>
      </c>
      <c r="B26" s="224" t="str">
        <f t="shared" si="1"/>
        <v>6x18F</v>
      </c>
      <c r="C26" s="125" t="str">
        <f t="shared" si="0"/>
        <v>GBP6x18F_SYNTH1Y_Quote</v>
      </c>
      <c r="D26" s="125" t="str">
        <f>_xll.qlSimpleQuote(C26,,RateTickValue,Permanent,Trigger,ObjectOverwrite)</f>
        <v>GBP6x18F_SYNTH1Y_Quote#0000</v>
      </c>
      <c r="E26" s="235" t="str">
        <f>_xll.ohRangeRetrieveError(D26)</f>
        <v/>
      </c>
      <c r="F26" s="218"/>
    </row>
    <row r="27" spans="1:6" x14ac:dyDescent="0.2">
      <c r="A27" s="118">
        <v>7</v>
      </c>
      <c r="B27" s="224" t="str">
        <f t="shared" si="1"/>
        <v>7x19F</v>
      </c>
      <c r="C27" s="125" t="str">
        <f t="shared" si="0"/>
        <v>GBP7x19F_SYNTH1Y_Quote</v>
      </c>
      <c r="D27" s="125" t="str">
        <f>_xll.qlSimpleQuote(C27,,RateTickValue,Permanent,Trigger,ObjectOverwrite)</f>
        <v>GBP7x19F_SYNTH1Y_Quote#0000</v>
      </c>
      <c r="E27" s="235" t="str">
        <f>_xll.ohRangeRetrieveError(D27)</f>
        <v/>
      </c>
      <c r="F27" s="218"/>
    </row>
    <row r="28" spans="1:6" x14ac:dyDescent="0.2">
      <c r="A28" s="118">
        <v>8</v>
      </c>
      <c r="B28" s="224" t="str">
        <f t="shared" si="1"/>
        <v>8x20F</v>
      </c>
      <c r="C28" s="125" t="str">
        <f t="shared" si="0"/>
        <v>GBP8x20F_SYNTH1Y_Quote</v>
      </c>
      <c r="D28" s="125" t="str">
        <f>_xll.qlSimpleQuote(C28,,RateTickValue,Permanent,Trigger,ObjectOverwrite)</f>
        <v>GBP8x20F_SYNTH1Y_Quote#0000</v>
      </c>
      <c r="E28" s="235" t="str">
        <f>_xll.ohRangeRetrieveError(D28)</f>
        <v/>
      </c>
      <c r="F28" s="218"/>
    </row>
    <row r="29" spans="1:6" x14ac:dyDescent="0.2">
      <c r="A29" s="118">
        <v>9</v>
      </c>
      <c r="B29" s="224" t="str">
        <f t="shared" si="1"/>
        <v>9x21F</v>
      </c>
      <c r="C29" s="125" t="str">
        <f t="shared" si="0"/>
        <v>GBP9x21F_SYNTH1Y_Quote</v>
      </c>
      <c r="D29" s="125" t="str">
        <f>_xll.qlSimpleQuote(C29,,RateTickValue,Permanent,Trigger,ObjectOverwrite)</f>
        <v>GBP9x21F_SYNTH1Y_Quote#0000</v>
      </c>
      <c r="E29" s="235" t="str">
        <f>_xll.ohRangeRetrieveError(D29)</f>
        <v/>
      </c>
      <c r="F29" s="218"/>
    </row>
    <row r="30" spans="1:6" x14ac:dyDescent="0.2">
      <c r="A30" s="118">
        <v>10</v>
      </c>
      <c r="B30" s="224" t="str">
        <f t="shared" si="1"/>
        <v>10x22F</v>
      </c>
      <c r="C30" s="125" t="str">
        <f t="shared" si="0"/>
        <v>GBP10x22F_SYNTH1Y_Quote</v>
      </c>
      <c r="D30" s="125" t="str">
        <f>_xll.qlSimpleQuote(C30,,RateTickValue,Permanent,Trigger,ObjectOverwrite)</f>
        <v>GBP10x22F_SYNTH1Y_Quote#0000</v>
      </c>
      <c r="E30" s="235" t="str">
        <f>_xll.ohRangeRetrieveError(D30)</f>
        <v/>
      </c>
      <c r="F30" s="218"/>
    </row>
    <row r="31" spans="1:6" x14ac:dyDescent="0.2">
      <c r="A31" s="118">
        <v>11</v>
      </c>
      <c r="B31" s="224" t="str">
        <f t="shared" si="1"/>
        <v>11x23F</v>
      </c>
      <c r="C31" s="125" t="str">
        <f t="shared" si="0"/>
        <v>GBP11x23F_SYNTH1Y_Quote</v>
      </c>
      <c r="D31" s="125" t="str">
        <f>_xll.qlSimpleQuote(C31,,RateTickValue,Permanent,Trigger,ObjectOverwrite)</f>
        <v>GBP11x23F_SYNTH1Y_Quote#0000</v>
      </c>
      <c r="E31" s="235" t="str">
        <f>_xll.ohRangeRetrieveError(D31)</f>
        <v/>
      </c>
      <c r="F31" s="218"/>
    </row>
    <row r="32" spans="1:6" x14ac:dyDescent="0.2">
      <c r="A32" s="118">
        <v>13</v>
      </c>
      <c r="B32" s="224" t="str">
        <f t="shared" si="1"/>
        <v>13x25F</v>
      </c>
      <c r="C32" s="125" t="str">
        <f t="shared" si="0"/>
        <v>GBP13x25F_SYNTH1Y_Quote</v>
      </c>
      <c r="D32" s="125" t="str">
        <f>_xll.qlSimpleQuote(C32,,RateTickValue,Permanent,Trigger,ObjectOverwrite)</f>
        <v>GBP13x25F_SYNTH1Y_Quote#0000</v>
      </c>
      <c r="E32" s="235" t="str">
        <f>_xll.ohRangeRetrieveError(D32)</f>
        <v/>
      </c>
      <c r="F32" s="218"/>
    </row>
    <row r="33" spans="1:6" x14ac:dyDescent="0.2">
      <c r="A33" s="118">
        <v>14</v>
      </c>
      <c r="B33" s="224" t="str">
        <f t="shared" si="1"/>
        <v>14x26F</v>
      </c>
      <c r="C33" s="125" t="str">
        <f t="shared" si="0"/>
        <v>GBP14x26F_SYNTH1Y_Quote</v>
      </c>
      <c r="D33" s="125" t="str">
        <f>_xll.qlSimpleQuote(C33,,RateTickValue,Permanent,Trigger,ObjectOverwrite)</f>
        <v>GBP14x26F_SYNTH1Y_Quote#0000</v>
      </c>
      <c r="E33" s="235" t="str">
        <f>_xll.ohRangeRetrieveError(D33)</f>
        <v/>
      </c>
      <c r="F33" s="218"/>
    </row>
    <row r="34" spans="1:6" x14ac:dyDescent="0.2">
      <c r="A34" s="118">
        <v>15</v>
      </c>
      <c r="B34" s="224" t="str">
        <f t="shared" si="1"/>
        <v>15x27F</v>
      </c>
      <c r="C34" s="125" t="str">
        <f t="shared" si="0"/>
        <v>GBP15x27F_SYNTH1Y_Quote</v>
      </c>
      <c r="D34" s="125" t="str">
        <f>_xll.qlSimpleQuote(C34,,RateTickValue,Permanent,Trigger,ObjectOverwrite)</f>
        <v>GBP15x27F_SYNTH1Y_Quote#0000</v>
      </c>
      <c r="E34" s="235" t="str">
        <f>_xll.ohRangeRetrieveError(D34)</f>
        <v/>
      </c>
      <c r="F34" s="218"/>
    </row>
    <row r="35" spans="1:6" x14ac:dyDescent="0.2">
      <c r="A35" s="118">
        <v>16</v>
      </c>
      <c r="B35" s="224" t="str">
        <f t="shared" si="1"/>
        <v>16x28F</v>
      </c>
      <c r="C35" s="125" t="str">
        <f t="shared" ref="C35:C64" si="2">Currency&amp;$B35&amp;"_SYNTH"&amp;Tenor&amp;QuoteSuffix</f>
        <v>GBP16x28F_SYNTH1Y_Quote</v>
      </c>
      <c r="D35" s="125" t="str">
        <f>_xll.qlSimpleQuote(C35,,RateTickValue,Permanent,Trigger,ObjectOverwrite)</f>
        <v>GBP16x28F_SYNTH1Y_Quote#0000</v>
      </c>
      <c r="E35" s="235" t="str">
        <f>_xll.ohRangeRetrieveError(D35)</f>
        <v/>
      </c>
      <c r="F35" s="218"/>
    </row>
    <row r="36" spans="1:6" x14ac:dyDescent="0.2">
      <c r="A36" s="118">
        <v>17</v>
      </c>
      <c r="B36" s="224" t="str">
        <f t="shared" si="1"/>
        <v>17x29F</v>
      </c>
      <c r="C36" s="125" t="str">
        <f t="shared" si="2"/>
        <v>GBP17x29F_SYNTH1Y_Quote</v>
      </c>
      <c r="D36" s="125" t="str">
        <f>_xll.qlSimpleQuote(C36,,RateTickValue,Permanent,Trigger,ObjectOverwrite)</f>
        <v>GBP17x29F_SYNTH1Y_Quote#0000</v>
      </c>
      <c r="E36" s="235" t="str">
        <f>_xll.ohRangeRetrieveError(D36)</f>
        <v/>
      </c>
      <c r="F36" s="218"/>
    </row>
    <row r="37" spans="1:6" x14ac:dyDescent="0.2">
      <c r="A37" s="118">
        <v>18</v>
      </c>
      <c r="B37" s="224" t="str">
        <f t="shared" si="1"/>
        <v>18x30F</v>
      </c>
      <c r="C37" s="125" t="str">
        <f t="shared" si="2"/>
        <v>GBP18x30F_SYNTH1Y_Quote</v>
      </c>
      <c r="D37" s="125" t="str">
        <f>_xll.qlSimpleQuote(C37,,RateTickValue,Permanent,Trigger,ObjectOverwrite)</f>
        <v>GBP18x30F_SYNTH1Y_Quote#0000</v>
      </c>
      <c r="E37" s="235" t="str">
        <f>_xll.ohRangeRetrieveError(D37)</f>
        <v/>
      </c>
      <c r="F37" s="218"/>
    </row>
    <row r="38" spans="1:6" x14ac:dyDescent="0.2">
      <c r="A38" s="118">
        <v>19</v>
      </c>
      <c r="B38" s="224" t="str">
        <f t="shared" si="1"/>
        <v>19x31F</v>
      </c>
      <c r="C38" s="125" t="str">
        <f t="shared" si="2"/>
        <v>GBP19x31F_SYNTH1Y_Quote</v>
      </c>
      <c r="D38" s="125" t="str">
        <f>_xll.qlSimpleQuote(C38,,RateTickValue,Permanent,Trigger,ObjectOverwrite)</f>
        <v>GBP19x31F_SYNTH1Y_Quote#0000</v>
      </c>
      <c r="E38" s="235" t="str">
        <f>_xll.ohRangeRetrieveError(D38)</f>
        <v/>
      </c>
      <c r="F38" s="218"/>
    </row>
    <row r="39" spans="1:6" x14ac:dyDescent="0.2">
      <c r="A39" s="118">
        <v>20</v>
      </c>
      <c r="B39" s="224" t="str">
        <f t="shared" si="1"/>
        <v>20x32F</v>
      </c>
      <c r="C39" s="125" t="str">
        <f t="shared" si="2"/>
        <v>GBP20x32F_SYNTH1Y_Quote</v>
      </c>
      <c r="D39" s="125" t="str">
        <f>_xll.qlSimpleQuote(C39,,RateTickValue,Permanent,Trigger,ObjectOverwrite)</f>
        <v>GBP20x32F_SYNTH1Y_Quote#0000</v>
      </c>
      <c r="E39" s="235" t="str">
        <f>_xll.ohRangeRetrieveError(D39)</f>
        <v/>
      </c>
      <c r="F39" s="218"/>
    </row>
    <row r="40" spans="1:6" x14ac:dyDescent="0.2">
      <c r="A40" s="118">
        <v>21</v>
      </c>
      <c r="B40" s="224" t="str">
        <f t="shared" si="1"/>
        <v>21x33F</v>
      </c>
      <c r="C40" s="125" t="str">
        <f t="shared" si="2"/>
        <v>GBP21x33F_SYNTH1Y_Quote</v>
      </c>
      <c r="D40" s="125" t="str">
        <f>_xll.qlSimpleQuote(C40,,RateTickValue,Permanent,Trigger,ObjectOverwrite)</f>
        <v>GBP21x33F_SYNTH1Y_Quote#0000</v>
      </c>
      <c r="E40" s="235" t="str">
        <f>_xll.ohRangeRetrieveError(D40)</f>
        <v/>
      </c>
      <c r="F40" s="218"/>
    </row>
    <row r="41" spans="1:6" x14ac:dyDescent="0.2">
      <c r="A41" s="118">
        <v>22</v>
      </c>
      <c r="B41" s="224" t="str">
        <f t="shared" si="1"/>
        <v>22x34F</v>
      </c>
      <c r="C41" s="125" t="str">
        <f t="shared" si="2"/>
        <v>GBP22x34F_SYNTH1Y_Quote</v>
      </c>
      <c r="D41" s="125" t="str">
        <f>_xll.qlSimpleQuote(C41,,RateTickValue,Permanent,Trigger,ObjectOverwrite)</f>
        <v>GBP22x34F_SYNTH1Y_Quote#0000</v>
      </c>
      <c r="E41" s="235" t="str">
        <f>_xll.ohRangeRetrieveError(D41)</f>
        <v/>
      </c>
      <c r="F41" s="218"/>
    </row>
    <row r="42" spans="1:6" x14ac:dyDescent="0.2">
      <c r="A42" s="118">
        <v>23</v>
      </c>
      <c r="B42" s="224" t="str">
        <f t="shared" si="1"/>
        <v>23x35F</v>
      </c>
      <c r="C42" s="125" t="str">
        <f t="shared" si="2"/>
        <v>GBP23x35F_SYNTH1Y_Quote</v>
      </c>
      <c r="D42" s="125" t="str">
        <f>_xll.qlSimpleQuote(C42,,RateTickValue,Permanent,Trigger,ObjectOverwrite)</f>
        <v>GBP23x35F_SYNTH1Y_Quote#0000</v>
      </c>
      <c r="E42" s="235" t="str">
        <f>_xll.ohRangeRetrieveError(D42)</f>
        <v/>
      </c>
      <c r="F42" s="218"/>
    </row>
    <row r="43" spans="1:6" x14ac:dyDescent="0.2">
      <c r="A43" s="118">
        <v>25</v>
      </c>
      <c r="B43" s="224" t="str">
        <f t="shared" si="1"/>
        <v>25x37F</v>
      </c>
      <c r="C43" s="125" t="str">
        <f t="shared" si="2"/>
        <v>GBP25x37F_SYNTH1Y_Quote</v>
      </c>
      <c r="D43" s="125" t="str">
        <f>_xll.qlSimpleQuote(C43,,RateTickValue,Permanent,Trigger,ObjectOverwrite)</f>
        <v>GBP25x37F_SYNTH1Y_Quote#0000</v>
      </c>
      <c r="E43" s="235" t="str">
        <f>_xll.ohRangeRetrieveError(D43)</f>
        <v/>
      </c>
      <c r="F43" s="218"/>
    </row>
    <row r="44" spans="1:6" x14ac:dyDescent="0.2">
      <c r="A44" s="118">
        <v>26</v>
      </c>
      <c r="B44" s="224" t="str">
        <f t="shared" si="1"/>
        <v>26x38F</v>
      </c>
      <c r="C44" s="125" t="str">
        <f t="shared" si="2"/>
        <v>GBP26x38F_SYNTH1Y_Quote</v>
      </c>
      <c r="D44" s="125" t="str">
        <f>_xll.qlSimpleQuote(C44,,RateTickValue,Permanent,Trigger,ObjectOverwrite)</f>
        <v>GBP26x38F_SYNTH1Y_Quote#0000</v>
      </c>
      <c r="E44" s="235" t="str">
        <f>_xll.ohRangeRetrieveError(D44)</f>
        <v/>
      </c>
      <c r="F44" s="218"/>
    </row>
    <row r="45" spans="1:6" x14ac:dyDescent="0.2">
      <c r="A45" s="118">
        <v>27</v>
      </c>
      <c r="B45" s="224" t="str">
        <f t="shared" si="1"/>
        <v>27x39F</v>
      </c>
      <c r="C45" s="125" t="str">
        <f t="shared" si="2"/>
        <v>GBP27x39F_SYNTH1Y_Quote</v>
      </c>
      <c r="D45" s="125" t="str">
        <f>_xll.qlSimpleQuote(C45,,RateTickValue,Permanent,Trigger,ObjectOverwrite)</f>
        <v>GBP27x39F_SYNTH1Y_Quote#0000</v>
      </c>
      <c r="E45" s="235" t="str">
        <f>_xll.ohRangeRetrieveError(D45)</f>
        <v/>
      </c>
      <c r="F45" s="218"/>
    </row>
    <row r="46" spans="1:6" x14ac:dyDescent="0.2">
      <c r="A46" s="118">
        <v>28</v>
      </c>
      <c r="B46" s="224" t="str">
        <f t="shared" si="1"/>
        <v>28x40F</v>
      </c>
      <c r="C46" s="125" t="str">
        <f t="shared" si="2"/>
        <v>GBP28x40F_SYNTH1Y_Quote</v>
      </c>
      <c r="D46" s="125" t="str">
        <f>_xll.qlSimpleQuote(C46,,RateTickValue,Permanent,Trigger,ObjectOverwrite)</f>
        <v>GBP28x40F_SYNTH1Y_Quote#0000</v>
      </c>
      <c r="E46" s="235" t="str">
        <f>_xll.ohRangeRetrieveError(D46)</f>
        <v/>
      </c>
      <c r="F46" s="218"/>
    </row>
    <row r="47" spans="1:6" x14ac:dyDescent="0.2">
      <c r="A47" s="118">
        <v>29</v>
      </c>
      <c r="B47" s="224" t="str">
        <f t="shared" si="1"/>
        <v>29x41F</v>
      </c>
      <c r="C47" s="125" t="str">
        <f t="shared" si="2"/>
        <v>GBP29x41F_SYNTH1Y_Quote</v>
      </c>
      <c r="D47" s="125" t="str">
        <f>_xll.qlSimpleQuote(C47,,RateTickValue,Permanent,Trigger,ObjectOverwrite)</f>
        <v>GBP29x41F_SYNTH1Y_Quote#0000</v>
      </c>
      <c r="E47" s="235" t="str">
        <f>_xll.ohRangeRetrieveError(D47)</f>
        <v/>
      </c>
      <c r="F47" s="218"/>
    </row>
    <row r="48" spans="1:6" x14ac:dyDescent="0.2">
      <c r="A48" s="118">
        <v>30</v>
      </c>
      <c r="B48" s="224" t="str">
        <f t="shared" si="1"/>
        <v>30x42F</v>
      </c>
      <c r="C48" s="125" t="str">
        <f t="shared" si="2"/>
        <v>GBP30x42F_SYNTH1Y_Quote</v>
      </c>
      <c r="D48" s="125" t="str">
        <f>_xll.qlSimpleQuote(C48,,RateTickValue,Permanent,Trigger,ObjectOverwrite)</f>
        <v>GBP30x42F_SYNTH1Y_Quote#0000</v>
      </c>
      <c r="E48" s="235" t="str">
        <f>_xll.ohRangeRetrieveError(D48)</f>
        <v/>
      </c>
      <c r="F48" s="218"/>
    </row>
    <row r="49" spans="1:6" x14ac:dyDescent="0.2">
      <c r="A49" s="118">
        <v>31</v>
      </c>
      <c r="B49" s="224" t="str">
        <f t="shared" si="1"/>
        <v>31x43F</v>
      </c>
      <c r="C49" s="125" t="str">
        <f t="shared" si="2"/>
        <v>GBP31x43F_SYNTH1Y_Quote</v>
      </c>
      <c r="D49" s="125" t="str">
        <f>_xll.qlSimpleQuote(C49,,RateTickValue,Permanent,Trigger,ObjectOverwrite)</f>
        <v>GBP31x43F_SYNTH1Y_Quote#0000</v>
      </c>
      <c r="E49" s="235" t="str">
        <f>_xll.ohRangeRetrieveError(D49)</f>
        <v/>
      </c>
      <c r="F49" s="218"/>
    </row>
    <row r="50" spans="1:6" x14ac:dyDescent="0.2">
      <c r="A50" s="118">
        <v>32</v>
      </c>
      <c r="B50" s="224" t="str">
        <f t="shared" si="1"/>
        <v>32x44F</v>
      </c>
      <c r="C50" s="125" t="str">
        <f t="shared" si="2"/>
        <v>GBP32x44F_SYNTH1Y_Quote</v>
      </c>
      <c r="D50" s="125" t="str">
        <f>_xll.qlSimpleQuote(C50,,RateTickValue,Permanent,Trigger,ObjectOverwrite)</f>
        <v>GBP32x44F_SYNTH1Y_Quote#0000</v>
      </c>
      <c r="E50" s="235" t="str">
        <f>_xll.ohRangeRetrieveError(D50)</f>
        <v/>
      </c>
      <c r="F50" s="218"/>
    </row>
    <row r="51" spans="1:6" x14ac:dyDescent="0.2">
      <c r="A51" s="118">
        <v>33</v>
      </c>
      <c r="B51" s="224" t="str">
        <f t="shared" si="1"/>
        <v>33x45F</v>
      </c>
      <c r="C51" s="125" t="str">
        <f t="shared" si="2"/>
        <v>GBP33x45F_SYNTH1Y_Quote</v>
      </c>
      <c r="D51" s="125" t="str">
        <f>_xll.qlSimpleQuote(C51,,RateTickValue,Permanent,Trigger,ObjectOverwrite)</f>
        <v>GBP33x45F_SYNTH1Y_Quote#0000</v>
      </c>
      <c r="E51" s="235" t="str">
        <f>_xll.ohRangeRetrieveError(D51)</f>
        <v/>
      </c>
      <c r="F51" s="218"/>
    </row>
    <row r="52" spans="1:6" x14ac:dyDescent="0.2">
      <c r="A52" s="118">
        <v>34</v>
      </c>
      <c r="B52" s="224" t="str">
        <f t="shared" si="1"/>
        <v>34x46F</v>
      </c>
      <c r="C52" s="125" t="str">
        <f t="shared" si="2"/>
        <v>GBP34x46F_SYNTH1Y_Quote</v>
      </c>
      <c r="D52" s="125" t="str">
        <f>_xll.qlSimpleQuote(C52,,RateTickValue,Permanent,Trigger,ObjectOverwrite)</f>
        <v>GBP34x46F_SYNTH1Y_Quote#0000</v>
      </c>
      <c r="E52" s="235" t="str">
        <f>_xll.ohRangeRetrieveError(D52)</f>
        <v/>
      </c>
      <c r="F52" s="218"/>
    </row>
    <row r="53" spans="1:6" x14ac:dyDescent="0.2">
      <c r="A53" s="118">
        <v>35</v>
      </c>
      <c r="B53" s="224" t="str">
        <f t="shared" si="1"/>
        <v>35x47F</v>
      </c>
      <c r="C53" s="125" t="str">
        <f t="shared" si="2"/>
        <v>GBP35x47F_SYNTH1Y_Quote</v>
      </c>
      <c r="D53" s="125" t="str">
        <f>_xll.qlSimpleQuote(C53,,RateTickValue,Permanent,Trigger,ObjectOverwrite)</f>
        <v>GBP35x47F_SYNTH1Y_Quote#0000</v>
      </c>
      <c r="E53" s="235" t="str">
        <f>_xll.ohRangeRetrieveError(D53)</f>
        <v/>
      </c>
      <c r="F53" s="218"/>
    </row>
    <row r="54" spans="1:6" x14ac:dyDescent="0.2">
      <c r="A54" s="118">
        <v>37</v>
      </c>
      <c r="B54" s="224" t="str">
        <f t="shared" si="1"/>
        <v>37x49F</v>
      </c>
      <c r="C54" s="125" t="str">
        <f t="shared" si="2"/>
        <v>GBP37x49F_SYNTH1Y_Quote</v>
      </c>
      <c r="D54" s="125" t="str">
        <f>_xll.qlSimpleQuote(C54,,RateTickValue,Permanent,Trigger,ObjectOverwrite)</f>
        <v>GBP37x49F_SYNTH1Y_Quote#0000</v>
      </c>
      <c r="E54" s="235" t="str">
        <f>_xll.ohRangeRetrieveError(D54)</f>
        <v/>
      </c>
      <c r="F54" s="218"/>
    </row>
    <row r="55" spans="1:6" x14ac:dyDescent="0.2">
      <c r="A55" s="118">
        <v>38</v>
      </c>
      <c r="B55" s="224" t="str">
        <f t="shared" si="1"/>
        <v>38x50F</v>
      </c>
      <c r="C55" s="125" t="str">
        <f t="shared" si="2"/>
        <v>GBP38x50F_SYNTH1Y_Quote</v>
      </c>
      <c r="D55" s="125" t="str">
        <f>_xll.qlSimpleQuote(C55,,RateTickValue,Permanent,Trigger,ObjectOverwrite)</f>
        <v>GBP38x50F_SYNTH1Y_Quote#0000</v>
      </c>
      <c r="E55" s="235" t="str">
        <f>_xll.ohRangeRetrieveError(D55)</f>
        <v/>
      </c>
      <c r="F55" s="218"/>
    </row>
    <row r="56" spans="1:6" x14ac:dyDescent="0.2">
      <c r="A56" s="118">
        <v>39</v>
      </c>
      <c r="B56" s="224" t="str">
        <f t="shared" si="1"/>
        <v>39x51F</v>
      </c>
      <c r="C56" s="125" t="str">
        <f t="shared" si="2"/>
        <v>GBP39x51F_SYNTH1Y_Quote</v>
      </c>
      <c r="D56" s="125" t="str">
        <f>_xll.qlSimpleQuote(C56,,RateTickValue,Permanent,Trigger,ObjectOverwrite)</f>
        <v>GBP39x51F_SYNTH1Y_Quote#0000</v>
      </c>
      <c r="E56" s="235" t="str">
        <f>_xll.ohRangeRetrieveError(D56)</f>
        <v/>
      </c>
      <c r="F56" s="218"/>
    </row>
    <row r="57" spans="1:6" x14ac:dyDescent="0.2">
      <c r="A57" s="118">
        <v>40</v>
      </c>
      <c r="B57" s="224" t="str">
        <f t="shared" si="1"/>
        <v>40x52F</v>
      </c>
      <c r="C57" s="125" t="str">
        <f t="shared" si="2"/>
        <v>GBP40x52F_SYNTH1Y_Quote</v>
      </c>
      <c r="D57" s="125" t="str">
        <f>_xll.qlSimpleQuote(C57,,RateTickValue,Permanent,Trigger,ObjectOverwrite)</f>
        <v>GBP40x52F_SYNTH1Y_Quote#0000</v>
      </c>
      <c r="E57" s="235" t="str">
        <f>_xll.ohRangeRetrieveError(D57)</f>
        <v/>
      </c>
      <c r="F57" s="218"/>
    </row>
    <row r="58" spans="1:6" x14ac:dyDescent="0.2">
      <c r="A58" s="118">
        <v>41</v>
      </c>
      <c r="B58" s="224" t="str">
        <f t="shared" si="1"/>
        <v>41x53F</v>
      </c>
      <c r="C58" s="125" t="str">
        <f t="shared" si="2"/>
        <v>GBP41x53F_SYNTH1Y_Quote</v>
      </c>
      <c r="D58" s="125" t="str">
        <f>_xll.qlSimpleQuote(C58,,RateTickValue,Permanent,Trigger,ObjectOverwrite)</f>
        <v>GBP41x53F_SYNTH1Y_Quote#0000</v>
      </c>
      <c r="E58" s="235" t="str">
        <f>_xll.ohRangeRetrieveError(D58)</f>
        <v/>
      </c>
      <c r="F58" s="218"/>
    </row>
    <row r="59" spans="1:6" x14ac:dyDescent="0.2">
      <c r="A59" s="118">
        <v>42</v>
      </c>
      <c r="B59" s="224" t="str">
        <f t="shared" si="1"/>
        <v>42x54F</v>
      </c>
      <c r="C59" s="125" t="str">
        <f t="shared" si="2"/>
        <v>GBP42x54F_SYNTH1Y_Quote</v>
      </c>
      <c r="D59" s="125" t="str">
        <f>_xll.qlSimpleQuote(C59,,RateTickValue,Permanent,Trigger,ObjectOverwrite)</f>
        <v>GBP42x54F_SYNTH1Y_Quote#0000</v>
      </c>
      <c r="E59" s="235" t="str">
        <f>_xll.ohRangeRetrieveError(D59)</f>
        <v/>
      </c>
      <c r="F59" s="218"/>
    </row>
    <row r="60" spans="1:6" x14ac:dyDescent="0.2">
      <c r="A60" s="118">
        <v>43</v>
      </c>
      <c r="B60" s="224" t="str">
        <f t="shared" si="1"/>
        <v>43x55F</v>
      </c>
      <c r="C60" s="125" t="str">
        <f t="shared" si="2"/>
        <v>GBP43x55F_SYNTH1Y_Quote</v>
      </c>
      <c r="D60" s="125" t="str">
        <f>_xll.qlSimpleQuote(C60,,RateTickValue,Permanent,Trigger,ObjectOverwrite)</f>
        <v>GBP43x55F_SYNTH1Y_Quote#0000</v>
      </c>
      <c r="E60" s="235" t="str">
        <f>_xll.ohRangeRetrieveError(D60)</f>
        <v/>
      </c>
      <c r="F60" s="218"/>
    </row>
    <row r="61" spans="1:6" x14ac:dyDescent="0.2">
      <c r="A61" s="118">
        <v>44</v>
      </c>
      <c r="B61" s="224" t="str">
        <f t="shared" si="1"/>
        <v>44x56F</v>
      </c>
      <c r="C61" s="125" t="str">
        <f t="shared" si="2"/>
        <v>GBP44x56F_SYNTH1Y_Quote</v>
      </c>
      <c r="D61" s="125" t="str">
        <f>_xll.qlSimpleQuote(C61,,RateTickValue,Permanent,Trigger,ObjectOverwrite)</f>
        <v>GBP44x56F_SYNTH1Y_Quote#0000</v>
      </c>
      <c r="E61" s="235" t="str">
        <f>_xll.ohRangeRetrieveError(D61)</f>
        <v/>
      </c>
      <c r="F61" s="218"/>
    </row>
    <row r="62" spans="1:6" x14ac:dyDescent="0.2">
      <c r="A62" s="118">
        <v>45</v>
      </c>
      <c r="B62" s="224" t="str">
        <f t="shared" si="1"/>
        <v>45x57F</v>
      </c>
      <c r="C62" s="125" t="str">
        <f t="shared" si="2"/>
        <v>GBP45x57F_SYNTH1Y_Quote</v>
      </c>
      <c r="D62" s="125" t="str">
        <f>_xll.qlSimpleQuote(C62,,RateTickValue,Permanent,Trigger,ObjectOverwrite)</f>
        <v>GBP45x57F_SYNTH1Y_Quote#0000</v>
      </c>
      <c r="E62" s="235" t="str">
        <f>_xll.ohRangeRetrieveError(D62)</f>
        <v/>
      </c>
      <c r="F62" s="218"/>
    </row>
    <row r="63" spans="1:6" x14ac:dyDescent="0.2">
      <c r="A63" s="118">
        <v>46</v>
      </c>
      <c r="B63" s="224" t="str">
        <f t="shared" si="1"/>
        <v>46x58F</v>
      </c>
      <c r="C63" s="125" t="str">
        <f t="shared" si="2"/>
        <v>GBP46x58F_SYNTH1Y_Quote</v>
      </c>
      <c r="D63" s="125" t="str">
        <f>_xll.qlSimpleQuote(C63,,RateTickValue,Permanent,Trigger,ObjectOverwrite)</f>
        <v>GBP46x58F_SYNTH1Y_Quote#0000</v>
      </c>
      <c r="E63" s="235" t="str">
        <f>_xll.ohRangeRetrieveError(D63)</f>
        <v/>
      </c>
      <c r="F63" s="218"/>
    </row>
    <row r="64" spans="1:6" x14ac:dyDescent="0.2">
      <c r="A64" s="118">
        <v>47</v>
      </c>
      <c r="B64" s="232" t="str">
        <f t="shared" si="1"/>
        <v>47x59F</v>
      </c>
      <c r="C64" s="114" t="str">
        <f t="shared" si="2"/>
        <v>GBP47x59F_SYNTH1Y_Quote</v>
      </c>
      <c r="D64" s="114" t="str">
        <f>_xll.qlSimpleQuote(C64,,RateTickValue,Permanent,Trigger,ObjectOverwrite)</f>
        <v>GBP47x59F_SYNTH1Y_Quote#0000</v>
      </c>
      <c r="E64" s="231" t="str">
        <f>_xll.ohRangeRetrieveError(D64)</f>
        <v/>
      </c>
      <c r="F64" s="218"/>
    </row>
    <row r="65" spans="1:6" ht="12" thickBot="1" x14ac:dyDescent="0.25">
      <c r="A65" s="32"/>
      <c r="B65" s="31"/>
      <c r="C65" s="31"/>
      <c r="D65" s="31"/>
      <c r="E65" s="31"/>
      <c r="F65" s="30"/>
    </row>
  </sheetData>
  <pageMargins left="0.75" right="0.75" top="1" bottom="1" header="0.5" footer="0.5"/>
  <pageSetup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T37"/>
  <sheetViews>
    <sheetView workbookViewId="0"/>
  </sheetViews>
  <sheetFormatPr defaultRowHeight="11.25" x14ac:dyDescent="0.2"/>
  <cols>
    <col min="1" max="1" width="3.7109375" style="65" customWidth="1"/>
    <col min="2" max="2" width="3.85546875" style="64" bestFit="1" customWidth="1"/>
    <col min="3" max="3" width="3.140625" style="65" bestFit="1" customWidth="1"/>
    <col min="4" max="4" width="2.7109375" style="65" bestFit="1" customWidth="1"/>
    <col min="5" max="5" width="4.7109375" style="65" bestFit="1" customWidth="1"/>
    <col min="6" max="7" width="1.85546875" style="65" bestFit="1" customWidth="1"/>
    <col min="8" max="8" width="7.140625" style="65" bestFit="1" customWidth="1"/>
    <col min="9" max="9" width="19.140625" style="65" bestFit="1" customWidth="1"/>
    <col min="10" max="10" width="23.85546875" style="65" bestFit="1" customWidth="1"/>
    <col min="11" max="11" width="26.7109375" style="66" bestFit="1" customWidth="1"/>
    <col min="12" max="12" width="22" style="65" customWidth="1"/>
    <col min="13" max="13" width="4.42578125" style="65" customWidth="1"/>
    <col min="14" max="14" width="3.85546875" style="65" customWidth="1"/>
    <col min="15" max="15" width="4" style="65" bestFit="1" customWidth="1"/>
    <col min="16" max="16" width="3.28515625" style="65" bestFit="1" customWidth="1"/>
    <col min="17" max="17" width="2.7109375" style="65" customWidth="1"/>
    <col min="18" max="18" width="3.28515625" style="65" bestFit="1" customWidth="1"/>
    <col min="19" max="20" width="2.7109375" style="65" bestFit="1" customWidth="1"/>
    <col min="21" max="16384" width="9.140625" style="65"/>
  </cols>
  <sheetData>
    <row r="1" spans="1:20" ht="12" thickBot="1" x14ac:dyDescent="0.25">
      <c r="A1" s="580" t="s">
        <v>345</v>
      </c>
      <c r="B1" s="201"/>
      <c r="C1" s="201"/>
      <c r="D1" s="201"/>
      <c r="E1" s="201"/>
      <c r="F1" s="201"/>
      <c r="G1" s="201"/>
      <c r="H1" s="201"/>
      <c r="I1" s="201"/>
      <c r="J1" s="201"/>
      <c r="K1" s="201"/>
      <c r="L1" s="151"/>
      <c r="M1" s="198"/>
    </row>
    <row r="2" spans="1:20" ht="22.5" x14ac:dyDescent="0.2">
      <c r="A2" s="118"/>
      <c r="B2" s="245"/>
      <c r="C2" s="246"/>
      <c r="D2" s="245"/>
      <c r="E2" s="245" t="s">
        <v>222</v>
      </c>
      <c r="F2" s="245"/>
      <c r="G2" s="245"/>
      <c r="H2" s="245" t="s">
        <v>221</v>
      </c>
      <c r="I2" s="245" t="s">
        <v>220</v>
      </c>
      <c r="J2" s="244" t="str">
        <f>Currency&amp;"_020_Sw"&amp;$C$3&amp;$D$3&amp;"_Fwd"&amp;$E$3&amp;IF(H3=0,,"_Spr"&amp;$F3&amp;$G3)&amp;".xml"</f>
        <v>GBP_020_SwSB6L_Fwd1w.xml</v>
      </c>
      <c r="K2" s="243" t="e">
        <f ca="1">IF(Serialize,_xll.ohObjectSave(K3:K36,SerializationPath&amp;J2,FileOverwrite,Serialize),"---")</f>
        <v>#NUM!</v>
      </c>
      <c r="L2" s="241" t="e">
        <f ca="1">_xll.ohRangeRetrieveError(K2)</f>
        <v>#NUM!</v>
      </c>
      <c r="M2" s="33"/>
      <c r="O2" s="210"/>
      <c r="P2" s="209"/>
      <c r="Q2" s="209"/>
      <c r="R2" s="209"/>
      <c r="S2" s="209"/>
      <c r="T2" s="208"/>
    </row>
    <row r="3" spans="1:20" x14ac:dyDescent="0.2">
      <c r="A3" s="118"/>
      <c r="B3" s="216" t="s">
        <v>1</v>
      </c>
      <c r="C3" s="192" t="str">
        <f t="shared" ref="C3:C36" si="0">VLOOKUP(Currency,$O$3:$T$7,2)</f>
        <v>SB</v>
      </c>
      <c r="D3" s="192" t="str">
        <f t="shared" ref="D3:D36" si="1">VLOOKUP(Currency,$O$3:$T$7,3)</f>
        <v>6L</v>
      </c>
      <c r="E3" s="192" t="str">
        <f t="shared" ref="E3:E36" si="2">VLOOKUP(Currency,$O$3:$T$7,4)</f>
        <v>1w</v>
      </c>
      <c r="F3" s="192">
        <f t="shared" ref="F3:F36" si="3">VLOOKUP(Currency,$O$3:$T$7,5)</f>
        <v>0</v>
      </c>
      <c r="G3" s="192">
        <f t="shared" ref="G3:G36" si="4">VLOOKUP(Currency,$O$3:$T$7,6)</f>
        <v>0</v>
      </c>
      <c r="H3" s="240">
        <f t="shared" ref="H3:H36" si="5">IF(F3=0,0,Currency&amp;$F3&amp;$G3&amp;$B3&amp;QuoteSuffix)</f>
        <v>0</v>
      </c>
      <c r="I3" s="242" t="str">
        <f t="shared" ref="I3:I36" si="6">PROPER(Currency)&amp;FamilyName&amp;"Swap"&amp;FixingType&amp;$B3</f>
        <v>GbpLiborSwapIsda1Y</v>
      </c>
      <c r="J3" s="239" t="str">
        <f t="shared" ref="J3:J36" si="7">Currency&amp;$C3&amp;$D3&amp;$B3&amp;"_"&amp;"Fwd"&amp;E3&amp;IF(H3=0,,"_Spr"&amp;$F3&amp;$G3)&amp;QuoteSuffix</f>
        <v>GBPSB6L1Y_Fwd1w_Quote</v>
      </c>
      <c r="K3" s="239"/>
      <c r="L3" s="241" t="str">
        <f>_xll.ohRangeRetrieveError(K3)</f>
        <v/>
      </c>
      <c r="M3" s="33"/>
      <c r="O3" s="83" t="s">
        <v>121</v>
      </c>
      <c r="P3" s="82" t="s">
        <v>212</v>
      </c>
      <c r="Q3" s="82" t="s">
        <v>116</v>
      </c>
      <c r="R3" s="82" t="s">
        <v>219</v>
      </c>
      <c r="S3" s="82"/>
      <c r="T3" s="81"/>
    </row>
    <row r="4" spans="1:20" x14ac:dyDescent="0.2">
      <c r="A4" s="118"/>
      <c r="B4" s="216" t="s">
        <v>85</v>
      </c>
      <c r="C4" s="192" t="str">
        <f t="shared" si="0"/>
        <v>SB</v>
      </c>
      <c r="D4" s="192" t="str">
        <f t="shared" si="1"/>
        <v>6L</v>
      </c>
      <c r="E4" s="192" t="str">
        <f t="shared" si="2"/>
        <v>1w</v>
      </c>
      <c r="F4" s="192">
        <f t="shared" si="3"/>
        <v>0</v>
      </c>
      <c r="G4" s="192">
        <f t="shared" si="4"/>
        <v>0</v>
      </c>
      <c r="H4" s="240">
        <f t="shared" si="5"/>
        <v>0</v>
      </c>
      <c r="I4" s="102" t="str">
        <f t="shared" si="6"/>
        <v>GbpLiborSwapIsda2Y</v>
      </c>
      <c r="J4" s="239" t="str">
        <f t="shared" si="7"/>
        <v>GBPSB6L2Y_Fwd1w_Quote</v>
      </c>
      <c r="K4" s="239" t="e">
        <f>_xll.qlForwardSwapQuote(J4,I4,H4,E4,Permanent,Trigger,ObjectOverwrite)</f>
        <v>#NUM!</v>
      </c>
      <c r="L4" s="241" t="e">
        <f ca="1">_xll.ohRangeRetrieveError(K4)</f>
        <v>#NUM!</v>
      </c>
      <c r="M4" s="33"/>
      <c r="O4" s="83" t="s">
        <v>120</v>
      </c>
      <c r="P4" s="82" t="s">
        <v>212</v>
      </c>
      <c r="Q4" s="82" t="s">
        <v>118</v>
      </c>
      <c r="R4" s="82" t="s">
        <v>219</v>
      </c>
      <c r="S4" s="82"/>
      <c r="T4" s="81"/>
    </row>
    <row r="5" spans="1:20" x14ac:dyDescent="0.2">
      <c r="A5" s="118"/>
      <c r="B5" s="216" t="s">
        <v>84</v>
      </c>
      <c r="C5" s="192" t="str">
        <f t="shared" si="0"/>
        <v>SB</v>
      </c>
      <c r="D5" s="192" t="str">
        <f t="shared" si="1"/>
        <v>6L</v>
      </c>
      <c r="E5" s="192" t="str">
        <f t="shared" si="2"/>
        <v>1w</v>
      </c>
      <c r="F5" s="192">
        <f t="shared" si="3"/>
        <v>0</v>
      </c>
      <c r="G5" s="192">
        <f t="shared" si="4"/>
        <v>0</v>
      </c>
      <c r="H5" s="240">
        <f t="shared" si="5"/>
        <v>0</v>
      </c>
      <c r="I5" s="102" t="str">
        <f t="shared" si="6"/>
        <v>GbpLiborSwapIsda3Y</v>
      </c>
      <c r="J5" s="239" t="str">
        <f t="shared" si="7"/>
        <v>GBPSB6L3Y_Fwd1w_Quote</v>
      </c>
      <c r="K5" s="239" t="e">
        <f>_xll.qlForwardSwapQuote(J5,I5,H5,E5,Permanent,Trigger,ObjectOverwrite)</f>
        <v>#NUM!</v>
      </c>
      <c r="L5" s="241" t="e">
        <f ca="1">_xll.ohRangeRetrieveError(K5)</f>
        <v>#NUM!</v>
      </c>
      <c r="M5" s="33"/>
      <c r="O5" s="83" t="s">
        <v>96</v>
      </c>
      <c r="P5" s="82" t="s">
        <v>211</v>
      </c>
      <c r="Q5" s="82" t="s">
        <v>116</v>
      </c>
      <c r="R5" s="82" t="s">
        <v>219</v>
      </c>
      <c r="S5" s="82"/>
      <c r="T5" s="81"/>
    </row>
    <row r="6" spans="1:20" x14ac:dyDescent="0.2">
      <c r="A6" s="118"/>
      <c r="B6" s="216" t="s">
        <v>83</v>
      </c>
      <c r="C6" s="192" t="str">
        <f t="shared" si="0"/>
        <v>SB</v>
      </c>
      <c r="D6" s="192" t="str">
        <f t="shared" si="1"/>
        <v>6L</v>
      </c>
      <c r="E6" s="192" t="str">
        <f t="shared" si="2"/>
        <v>1w</v>
      </c>
      <c r="F6" s="192">
        <f t="shared" si="3"/>
        <v>0</v>
      </c>
      <c r="G6" s="192">
        <f t="shared" si="4"/>
        <v>0</v>
      </c>
      <c r="H6" s="240">
        <f t="shared" si="5"/>
        <v>0</v>
      </c>
      <c r="I6" s="102" t="str">
        <f t="shared" si="6"/>
        <v>GbpLiborSwapIsda4Y</v>
      </c>
      <c r="J6" s="239" t="str">
        <f t="shared" si="7"/>
        <v>GBPSB6L4Y_Fwd1w_Quote</v>
      </c>
      <c r="K6" s="239" t="e">
        <f>_xll.qlForwardSwapQuote(J6,I6,H6,E6,Permanent,Trigger,ObjectOverwrite)</f>
        <v>#NUM!</v>
      </c>
      <c r="L6" s="241" t="e">
        <f ca="1">_xll.ohRangeRetrieveError(K6)</f>
        <v>#NUM!</v>
      </c>
      <c r="M6" s="33"/>
      <c r="O6" s="83" t="s">
        <v>117</v>
      </c>
      <c r="P6" s="82" t="s">
        <v>211</v>
      </c>
      <c r="Q6" s="82" t="s">
        <v>116</v>
      </c>
      <c r="R6" s="82" t="s">
        <v>219</v>
      </c>
      <c r="S6" s="82"/>
      <c r="T6" s="81"/>
    </row>
    <row r="7" spans="1:20" ht="12" thickBot="1" x14ac:dyDescent="0.25">
      <c r="A7" s="118"/>
      <c r="B7" s="216" t="s">
        <v>82</v>
      </c>
      <c r="C7" s="192" t="str">
        <f t="shared" si="0"/>
        <v>SB</v>
      </c>
      <c r="D7" s="192" t="str">
        <f t="shared" si="1"/>
        <v>6L</v>
      </c>
      <c r="E7" s="192" t="str">
        <f t="shared" si="2"/>
        <v>1w</v>
      </c>
      <c r="F7" s="192">
        <f t="shared" si="3"/>
        <v>0</v>
      </c>
      <c r="G7" s="192">
        <f t="shared" si="4"/>
        <v>0</v>
      </c>
      <c r="H7" s="240">
        <f t="shared" si="5"/>
        <v>0</v>
      </c>
      <c r="I7" s="102" t="str">
        <f t="shared" si="6"/>
        <v>GbpLiborSwapIsda5Y</v>
      </c>
      <c r="J7" s="239" t="str">
        <f t="shared" si="7"/>
        <v>GBPSB6L5Y_Fwd1w_Quote</v>
      </c>
      <c r="K7" s="239" t="e">
        <f>_xll.qlForwardSwapQuote(J7,I7,H7,E7,Permanent,Trigger,ObjectOverwrite)</f>
        <v>#NUM!</v>
      </c>
      <c r="L7" s="241" t="e">
        <f ca="1">_xll.ohRangeRetrieveError(K7)</f>
        <v>#NUM!</v>
      </c>
      <c r="M7" s="33"/>
      <c r="O7" s="80" t="s">
        <v>115</v>
      </c>
      <c r="P7" s="79" t="s">
        <v>210</v>
      </c>
      <c r="Q7" s="79" t="s">
        <v>114</v>
      </c>
      <c r="R7" s="79" t="s">
        <v>219</v>
      </c>
      <c r="S7" s="79"/>
      <c r="T7" s="78"/>
    </row>
    <row r="8" spans="1:20" x14ac:dyDescent="0.2">
      <c r="A8" s="118"/>
      <c r="B8" s="216" t="s">
        <v>81</v>
      </c>
      <c r="C8" s="192" t="str">
        <f t="shared" si="0"/>
        <v>SB</v>
      </c>
      <c r="D8" s="192" t="str">
        <f t="shared" si="1"/>
        <v>6L</v>
      </c>
      <c r="E8" s="192" t="str">
        <f t="shared" si="2"/>
        <v>1w</v>
      </c>
      <c r="F8" s="192">
        <f t="shared" si="3"/>
        <v>0</v>
      </c>
      <c r="G8" s="192">
        <f t="shared" si="4"/>
        <v>0</v>
      </c>
      <c r="H8" s="240">
        <f t="shared" si="5"/>
        <v>0</v>
      </c>
      <c r="I8" s="102" t="str">
        <f t="shared" si="6"/>
        <v>GbpLiborSwapIsda6Y</v>
      </c>
      <c r="J8" s="239" t="str">
        <f t="shared" si="7"/>
        <v>GBPSB6L6Y_Fwd1w_Quote</v>
      </c>
      <c r="K8" s="239" t="e">
        <f>_xll.qlForwardSwapQuote(J8,I8,H8,E8,Permanent,Trigger,ObjectOverwrite)</f>
        <v>#NUM!</v>
      </c>
      <c r="L8" s="241" t="e">
        <f ca="1">_xll.ohRangeRetrieveError(K8)</f>
        <v>#NUM!</v>
      </c>
      <c r="M8" s="33"/>
    </row>
    <row r="9" spans="1:20" x14ac:dyDescent="0.2">
      <c r="A9" s="118"/>
      <c r="B9" s="216" t="s">
        <v>80</v>
      </c>
      <c r="C9" s="192" t="str">
        <f t="shared" si="0"/>
        <v>SB</v>
      </c>
      <c r="D9" s="192" t="str">
        <f t="shared" si="1"/>
        <v>6L</v>
      </c>
      <c r="E9" s="192" t="str">
        <f t="shared" si="2"/>
        <v>1w</v>
      </c>
      <c r="F9" s="192">
        <f t="shared" si="3"/>
        <v>0</v>
      </c>
      <c r="G9" s="192">
        <f t="shared" si="4"/>
        <v>0</v>
      </c>
      <c r="H9" s="240">
        <f t="shared" si="5"/>
        <v>0</v>
      </c>
      <c r="I9" s="102" t="str">
        <f t="shared" si="6"/>
        <v>GbpLiborSwapIsda7Y</v>
      </c>
      <c r="J9" s="239" t="str">
        <f t="shared" si="7"/>
        <v>GBPSB6L7Y_Fwd1w_Quote</v>
      </c>
      <c r="K9" s="239" t="e">
        <f>_xll.qlForwardSwapQuote(J9,I9,H9,E9,Permanent,Trigger,ObjectOverwrite)</f>
        <v>#NUM!</v>
      </c>
      <c r="L9" s="241" t="e">
        <f ca="1">_xll.ohRangeRetrieveError(K9)</f>
        <v>#NUM!</v>
      </c>
      <c r="M9" s="33"/>
    </row>
    <row r="10" spans="1:20" x14ac:dyDescent="0.2">
      <c r="A10" s="118"/>
      <c r="B10" s="216" t="s">
        <v>79</v>
      </c>
      <c r="C10" s="192" t="str">
        <f t="shared" si="0"/>
        <v>SB</v>
      </c>
      <c r="D10" s="192" t="str">
        <f t="shared" si="1"/>
        <v>6L</v>
      </c>
      <c r="E10" s="192" t="str">
        <f t="shared" si="2"/>
        <v>1w</v>
      </c>
      <c r="F10" s="192">
        <f t="shared" si="3"/>
        <v>0</v>
      </c>
      <c r="G10" s="192">
        <f t="shared" si="4"/>
        <v>0</v>
      </c>
      <c r="H10" s="240">
        <f t="shared" si="5"/>
        <v>0</v>
      </c>
      <c r="I10" s="102" t="str">
        <f t="shared" si="6"/>
        <v>GbpLiborSwapIsda8Y</v>
      </c>
      <c r="J10" s="239" t="str">
        <f t="shared" si="7"/>
        <v>GBPSB6L8Y_Fwd1w_Quote</v>
      </c>
      <c r="K10" s="239" t="e">
        <f>_xll.qlForwardSwapQuote(J10,I10,H10,E10,Permanent,Trigger,ObjectOverwrite)</f>
        <v>#NUM!</v>
      </c>
      <c r="L10" s="241" t="e">
        <f ca="1">_xll.ohRangeRetrieveError(K10)</f>
        <v>#NUM!</v>
      </c>
      <c r="M10" s="33"/>
    </row>
    <row r="11" spans="1:20" x14ac:dyDescent="0.2">
      <c r="A11" s="118"/>
      <c r="B11" s="216" t="s">
        <v>78</v>
      </c>
      <c r="C11" s="192" t="str">
        <f t="shared" si="0"/>
        <v>SB</v>
      </c>
      <c r="D11" s="192" t="str">
        <f t="shared" si="1"/>
        <v>6L</v>
      </c>
      <c r="E11" s="192" t="str">
        <f t="shared" si="2"/>
        <v>1w</v>
      </c>
      <c r="F11" s="192">
        <f t="shared" si="3"/>
        <v>0</v>
      </c>
      <c r="G11" s="192">
        <f t="shared" si="4"/>
        <v>0</v>
      </c>
      <c r="H11" s="240">
        <f t="shared" si="5"/>
        <v>0</v>
      </c>
      <c r="I11" s="102" t="str">
        <f t="shared" si="6"/>
        <v>GbpLiborSwapIsda9Y</v>
      </c>
      <c r="J11" s="239" t="str">
        <f t="shared" si="7"/>
        <v>GBPSB6L9Y_Fwd1w_Quote</v>
      </c>
      <c r="K11" s="239" t="e">
        <f>_xll.qlForwardSwapQuote(J11,I11,H11,E11,Permanent,Trigger,ObjectOverwrite)</f>
        <v>#NUM!</v>
      </c>
      <c r="L11" s="241" t="e">
        <f ca="1">_xll.ohRangeRetrieveError(K11)</f>
        <v>#NUM!</v>
      </c>
      <c r="M11" s="33"/>
    </row>
    <row r="12" spans="1:20" x14ac:dyDescent="0.2">
      <c r="A12" s="118"/>
      <c r="B12" s="216" t="s">
        <v>77</v>
      </c>
      <c r="C12" s="192" t="str">
        <f t="shared" si="0"/>
        <v>SB</v>
      </c>
      <c r="D12" s="192" t="str">
        <f t="shared" si="1"/>
        <v>6L</v>
      </c>
      <c r="E12" s="192" t="str">
        <f t="shared" si="2"/>
        <v>1w</v>
      </c>
      <c r="F12" s="192">
        <f t="shared" si="3"/>
        <v>0</v>
      </c>
      <c r="G12" s="192">
        <f t="shared" si="4"/>
        <v>0</v>
      </c>
      <c r="H12" s="240">
        <f t="shared" si="5"/>
        <v>0</v>
      </c>
      <c r="I12" s="102" t="str">
        <f t="shared" si="6"/>
        <v>GbpLiborSwapIsda10Y</v>
      </c>
      <c r="J12" s="239" t="str">
        <f t="shared" si="7"/>
        <v>GBPSB6L10Y_Fwd1w_Quote</v>
      </c>
      <c r="K12" s="239" t="e">
        <f>_xll.qlForwardSwapQuote(J12,I12,H12,E12,Permanent,Trigger,ObjectOverwrite)</f>
        <v>#NUM!</v>
      </c>
      <c r="L12" s="241" t="e">
        <f ca="1">_xll.ohRangeRetrieveError(K12)</f>
        <v>#NUM!</v>
      </c>
      <c r="M12" s="33"/>
    </row>
    <row r="13" spans="1:20" x14ac:dyDescent="0.2">
      <c r="A13" s="118"/>
      <c r="B13" s="216" t="s">
        <v>76</v>
      </c>
      <c r="C13" s="192" t="str">
        <f t="shared" si="0"/>
        <v>SB</v>
      </c>
      <c r="D13" s="192" t="str">
        <f t="shared" si="1"/>
        <v>6L</v>
      </c>
      <c r="E13" s="192" t="str">
        <f t="shared" si="2"/>
        <v>1w</v>
      </c>
      <c r="F13" s="192">
        <f t="shared" si="3"/>
        <v>0</v>
      </c>
      <c r="G13" s="192">
        <f t="shared" si="4"/>
        <v>0</v>
      </c>
      <c r="H13" s="240">
        <f t="shared" si="5"/>
        <v>0</v>
      </c>
      <c r="I13" s="102" t="str">
        <f t="shared" si="6"/>
        <v>GbpLiborSwapIsda11Y</v>
      </c>
      <c r="J13" s="239" t="str">
        <f t="shared" si="7"/>
        <v>GBPSB6L11Y_Fwd1w_Quote</v>
      </c>
      <c r="K13" s="239" t="e">
        <f>_xll.qlForwardSwapQuote(J13,I13,H13,E13,Permanent,Trigger,ObjectOverwrite)</f>
        <v>#NUM!</v>
      </c>
      <c r="L13" s="241" t="e">
        <f ca="1">_xll.ohRangeRetrieveError(K13)</f>
        <v>#NUM!</v>
      </c>
      <c r="M13" s="33"/>
    </row>
    <row r="14" spans="1:20" x14ac:dyDescent="0.2">
      <c r="A14" s="118"/>
      <c r="B14" s="216" t="s">
        <v>75</v>
      </c>
      <c r="C14" s="192" t="str">
        <f t="shared" si="0"/>
        <v>SB</v>
      </c>
      <c r="D14" s="192" t="str">
        <f t="shared" si="1"/>
        <v>6L</v>
      </c>
      <c r="E14" s="192" t="str">
        <f t="shared" si="2"/>
        <v>1w</v>
      </c>
      <c r="F14" s="192">
        <f t="shared" si="3"/>
        <v>0</v>
      </c>
      <c r="G14" s="192">
        <f t="shared" si="4"/>
        <v>0</v>
      </c>
      <c r="H14" s="240">
        <f t="shared" si="5"/>
        <v>0</v>
      </c>
      <c r="I14" s="102" t="str">
        <f t="shared" si="6"/>
        <v>GbpLiborSwapIsda12Y</v>
      </c>
      <c r="J14" s="239" t="str">
        <f t="shared" si="7"/>
        <v>GBPSB6L12Y_Fwd1w_Quote</v>
      </c>
      <c r="K14" s="239" t="e">
        <f>_xll.qlForwardSwapQuote(J14,I14,H14,E14,Permanent,Trigger,ObjectOverwrite)</f>
        <v>#NUM!</v>
      </c>
      <c r="L14" s="241" t="e">
        <f ca="1">_xll.ohRangeRetrieveError(K14)</f>
        <v>#NUM!</v>
      </c>
      <c r="M14" s="33"/>
    </row>
    <row r="15" spans="1:20" x14ac:dyDescent="0.2">
      <c r="A15" s="118"/>
      <c r="B15" s="216" t="s">
        <v>74</v>
      </c>
      <c r="C15" s="192" t="str">
        <f t="shared" si="0"/>
        <v>SB</v>
      </c>
      <c r="D15" s="192" t="str">
        <f t="shared" si="1"/>
        <v>6L</v>
      </c>
      <c r="E15" s="192" t="str">
        <f t="shared" si="2"/>
        <v>1w</v>
      </c>
      <c r="F15" s="192">
        <f t="shared" si="3"/>
        <v>0</v>
      </c>
      <c r="G15" s="192">
        <f t="shared" si="4"/>
        <v>0</v>
      </c>
      <c r="H15" s="240">
        <f t="shared" si="5"/>
        <v>0</v>
      </c>
      <c r="I15" s="102" t="str">
        <f t="shared" si="6"/>
        <v>GbpLiborSwapIsda13Y</v>
      </c>
      <c r="J15" s="239" t="str">
        <f t="shared" si="7"/>
        <v>GBPSB6L13Y_Fwd1w_Quote</v>
      </c>
      <c r="K15" s="239" t="e">
        <f>_xll.qlForwardSwapQuote(J15,I15,H15,E15,Permanent,Trigger,ObjectOverwrite)</f>
        <v>#NUM!</v>
      </c>
      <c r="L15" s="241" t="e">
        <f ca="1">_xll.ohRangeRetrieveError(K15)</f>
        <v>#NUM!</v>
      </c>
      <c r="M15" s="33"/>
    </row>
    <row r="16" spans="1:20" x14ac:dyDescent="0.2">
      <c r="A16" s="118"/>
      <c r="B16" s="216" t="s">
        <v>73</v>
      </c>
      <c r="C16" s="192" t="str">
        <f t="shared" si="0"/>
        <v>SB</v>
      </c>
      <c r="D16" s="192" t="str">
        <f t="shared" si="1"/>
        <v>6L</v>
      </c>
      <c r="E16" s="192" t="str">
        <f t="shared" si="2"/>
        <v>1w</v>
      </c>
      <c r="F16" s="192">
        <f t="shared" si="3"/>
        <v>0</v>
      </c>
      <c r="G16" s="192">
        <f t="shared" si="4"/>
        <v>0</v>
      </c>
      <c r="H16" s="240">
        <f t="shared" si="5"/>
        <v>0</v>
      </c>
      <c r="I16" s="102" t="str">
        <f t="shared" si="6"/>
        <v>GbpLiborSwapIsda14Y</v>
      </c>
      <c r="J16" s="239" t="str">
        <f t="shared" si="7"/>
        <v>GBPSB6L14Y_Fwd1w_Quote</v>
      </c>
      <c r="K16" s="239" t="e">
        <f>_xll.qlForwardSwapQuote(J16,I16,H16,E16,Permanent,Trigger,ObjectOverwrite)</f>
        <v>#NUM!</v>
      </c>
      <c r="L16" s="241" t="e">
        <f ca="1">_xll.ohRangeRetrieveError(K16)</f>
        <v>#NUM!</v>
      </c>
      <c r="M16" s="33"/>
    </row>
    <row r="17" spans="1:13" x14ac:dyDescent="0.2">
      <c r="A17" s="118"/>
      <c r="B17" s="216" t="s">
        <v>72</v>
      </c>
      <c r="C17" s="192" t="str">
        <f t="shared" si="0"/>
        <v>SB</v>
      </c>
      <c r="D17" s="192" t="str">
        <f t="shared" si="1"/>
        <v>6L</v>
      </c>
      <c r="E17" s="192" t="str">
        <f t="shared" si="2"/>
        <v>1w</v>
      </c>
      <c r="F17" s="192">
        <f t="shared" si="3"/>
        <v>0</v>
      </c>
      <c r="G17" s="192">
        <f t="shared" si="4"/>
        <v>0</v>
      </c>
      <c r="H17" s="240">
        <f t="shared" si="5"/>
        <v>0</v>
      </c>
      <c r="I17" s="102" t="str">
        <f t="shared" si="6"/>
        <v>GbpLiborSwapIsda15Y</v>
      </c>
      <c r="J17" s="239" t="str">
        <f t="shared" si="7"/>
        <v>GBPSB6L15Y_Fwd1w_Quote</v>
      </c>
      <c r="K17" s="239" t="e">
        <f>_xll.qlForwardSwapQuote(J17,I17,H17,E17,Permanent,Trigger,ObjectOverwrite)</f>
        <v>#NUM!</v>
      </c>
      <c r="L17" s="241" t="e">
        <f ca="1">_xll.ohRangeRetrieveError(K17)</f>
        <v>#NUM!</v>
      </c>
      <c r="M17" s="33"/>
    </row>
    <row r="18" spans="1:13" x14ac:dyDescent="0.2">
      <c r="A18" s="118"/>
      <c r="B18" s="216" t="s">
        <v>71</v>
      </c>
      <c r="C18" s="192" t="str">
        <f t="shared" si="0"/>
        <v>SB</v>
      </c>
      <c r="D18" s="192" t="str">
        <f t="shared" si="1"/>
        <v>6L</v>
      </c>
      <c r="E18" s="192" t="str">
        <f t="shared" si="2"/>
        <v>1w</v>
      </c>
      <c r="F18" s="192">
        <f t="shared" si="3"/>
        <v>0</v>
      </c>
      <c r="G18" s="192">
        <f t="shared" si="4"/>
        <v>0</v>
      </c>
      <c r="H18" s="240">
        <f t="shared" si="5"/>
        <v>0</v>
      </c>
      <c r="I18" s="102" t="str">
        <f t="shared" si="6"/>
        <v>GbpLiborSwapIsda16Y</v>
      </c>
      <c r="J18" s="239" t="str">
        <f t="shared" si="7"/>
        <v>GBPSB6L16Y_Fwd1w_Quote</v>
      </c>
      <c r="K18" s="239" t="e">
        <f>_xll.qlForwardSwapQuote(J18,I18,H18,E18,Permanent,Trigger,ObjectOverwrite)</f>
        <v>#NUM!</v>
      </c>
      <c r="L18" s="241" t="e">
        <f ca="1">_xll.ohRangeRetrieveError(K18)</f>
        <v>#NUM!</v>
      </c>
      <c r="M18" s="33"/>
    </row>
    <row r="19" spans="1:13" x14ac:dyDescent="0.2">
      <c r="A19" s="118"/>
      <c r="B19" s="216" t="s">
        <v>70</v>
      </c>
      <c r="C19" s="192" t="str">
        <f t="shared" si="0"/>
        <v>SB</v>
      </c>
      <c r="D19" s="192" t="str">
        <f t="shared" si="1"/>
        <v>6L</v>
      </c>
      <c r="E19" s="192" t="str">
        <f t="shared" si="2"/>
        <v>1w</v>
      </c>
      <c r="F19" s="192">
        <f t="shared" si="3"/>
        <v>0</v>
      </c>
      <c r="G19" s="192">
        <f t="shared" si="4"/>
        <v>0</v>
      </c>
      <c r="H19" s="240">
        <f t="shared" si="5"/>
        <v>0</v>
      </c>
      <c r="I19" s="102" t="str">
        <f t="shared" si="6"/>
        <v>GbpLiborSwapIsda17Y</v>
      </c>
      <c r="J19" s="239" t="str">
        <f t="shared" si="7"/>
        <v>GBPSB6L17Y_Fwd1w_Quote</v>
      </c>
      <c r="K19" s="239" t="e">
        <f>_xll.qlForwardSwapQuote(J19,I19,H19,E19,Permanent,Trigger,ObjectOverwrite)</f>
        <v>#NUM!</v>
      </c>
      <c r="L19" s="241" t="e">
        <f ca="1">_xll.ohRangeRetrieveError(K19)</f>
        <v>#NUM!</v>
      </c>
      <c r="M19" s="33"/>
    </row>
    <row r="20" spans="1:13" x14ac:dyDescent="0.2">
      <c r="A20" s="118"/>
      <c r="B20" s="216" t="s">
        <v>69</v>
      </c>
      <c r="C20" s="192" t="str">
        <f t="shared" si="0"/>
        <v>SB</v>
      </c>
      <c r="D20" s="192" t="str">
        <f t="shared" si="1"/>
        <v>6L</v>
      </c>
      <c r="E20" s="192" t="str">
        <f t="shared" si="2"/>
        <v>1w</v>
      </c>
      <c r="F20" s="192">
        <f t="shared" si="3"/>
        <v>0</v>
      </c>
      <c r="G20" s="192">
        <f t="shared" si="4"/>
        <v>0</v>
      </c>
      <c r="H20" s="240">
        <f t="shared" si="5"/>
        <v>0</v>
      </c>
      <c r="I20" s="102" t="str">
        <f t="shared" si="6"/>
        <v>GbpLiborSwapIsda18Y</v>
      </c>
      <c r="J20" s="239" t="str">
        <f t="shared" si="7"/>
        <v>GBPSB6L18Y_Fwd1w_Quote</v>
      </c>
      <c r="K20" s="239" t="e">
        <f>_xll.qlForwardSwapQuote(J20,I20,H20,E20,Permanent,Trigger,ObjectOverwrite)</f>
        <v>#NUM!</v>
      </c>
      <c r="L20" s="241" t="e">
        <f ca="1">_xll.ohRangeRetrieveError(K20)</f>
        <v>#NUM!</v>
      </c>
      <c r="M20" s="33"/>
    </row>
    <row r="21" spans="1:13" x14ac:dyDescent="0.2">
      <c r="A21" s="118"/>
      <c r="B21" s="216" t="s">
        <v>68</v>
      </c>
      <c r="C21" s="192" t="str">
        <f t="shared" si="0"/>
        <v>SB</v>
      </c>
      <c r="D21" s="192" t="str">
        <f t="shared" si="1"/>
        <v>6L</v>
      </c>
      <c r="E21" s="192" t="str">
        <f t="shared" si="2"/>
        <v>1w</v>
      </c>
      <c r="F21" s="192">
        <f t="shared" si="3"/>
        <v>0</v>
      </c>
      <c r="G21" s="192">
        <f t="shared" si="4"/>
        <v>0</v>
      </c>
      <c r="H21" s="240">
        <f t="shared" si="5"/>
        <v>0</v>
      </c>
      <c r="I21" s="102" t="str">
        <f t="shared" si="6"/>
        <v>GbpLiborSwapIsda19Y</v>
      </c>
      <c r="J21" s="239" t="str">
        <f t="shared" si="7"/>
        <v>GBPSB6L19Y_Fwd1w_Quote</v>
      </c>
      <c r="K21" s="239" t="e">
        <f>_xll.qlForwardSwapQuote(J21,I21,H21,E21,Permanent,Trigger,ObjectOverwrite)</f>
        <v>#NUM!</v>
      </c>
      <c r="L21" s="241" t="e">
        <f ca="1">_xll.ohRangeRetrieveError(K21)</f>
        <v>#NUM!</v>
      </c>
      <c r="M21" s="33"/>
    </row>
    <row r="22" spans="1:13" x14ac:dyDescent="0.2">
      <c r="A22" s="118"/>
      <c r="B22" s="216" t="s">
        <v>67</v>
      </c>
      <c r="C22" s="192" t="str">
        <f t="shared" si="0"/>
        <v>SB</v>
      </c>
      <c r="D22" s="192" t="str">
        <f t="shared" si="1"/>
        <v>6L</v>
      </c>
      <c r="E22" s="192" t="str">
        <f t="shared" si="2"/>
        <v>1w</v>
      </c>
      <c r="F22" s="192">
        <f t="shared" si="3"/>
        <v>0</v>
      </c>
      <c r="G22" s="192">
        <f t="shared" si="4"/>
        <v>0</v>
      </c>
      <c r="H22" s="240">
        <f t="shared" si="5"/>
        <v>0</v>
      </c>
      <c r="I22" s="102" t="str">
        <f t="shared" si="6"/>
        <v>GbpLiborSwapIsda20Y</v>
      </c>
      <c r="J22" s="239" t="str">
        <f t="shared" si="7"/>
        <v>GBPSB6L20Y_Fwd1w_Quote</v>
      </c>
      <c r="K22" s="239" t="e">
        <f>_xll.qlForwardSwapQuote(J22,I22,H22,E22,Permanent,Trigger,ObjectOverwrite)</f>
        <v>#NUM!</v>
      </c>
      <c r="L22" s="241" t="e">
        <f ca="1">_xll.ohRangeRetrieveError(K22)</f>
        <v>#NUM!</v>
      </c>
      <c r="M22" s="33"/>
    </row>
    <row r="23" spans="1:13" x14ac:dyDescent="0.2">
      <c r="A23" s="118"/>
      <c r="B23" s="216" t="s">
        <v>66</v>
      </c>
      <c r="C23" s="192" t="str">
        <f t="shared" si="0"/>
        <v>SB</v>
      </c>
      <c r="D23" s="192" t="str">
        <f t="shared" si="1"/>
        <v>6L</v>
      </c>
      <c r="E23" s="192" t="str">
        <f t="shared" si="2"/>
        <v>1w</v>
      </c>
      <c r="F23" s="192">
        <f t="shared" si="3"/>
        <v>0</v>
      </c>
      <c r="G23" s="192">
        <f t="shared" si="4"/>
        <v>0</v>
      </c>
      <c r="H23" s="240">
        <f t="shared" si="5"/>
        <v>0</v>
      </c>
      <c r="I23" s="102" t="str">
        <f t="shared" si="6"/>
        <v>GbpLiborSwapIsda21Y</v>
      </c>
      <c r="J23" s="239" t="str">
        <f t="shared" si="7"/>
        <v>GBPSB6L21Y_Fwd1w_Quote</v>
      </c>
      <c r="K23" s="239" t="e">
        <f>_xll.qlForwardSwapQuote(J23,I23,H23,E23,Permanent,Trigger,ObjectOverwrite)</f>
        <v>#NUM!</v>
      </c>
      <c r="L23" s="241" t="e">
        <f ca="1">_xll.ohRangeRetrieveError(K23)</f>
        <v>#NUM!</v>
      </c>
      <c r="M23" s="33"/>
    </row>
    <row r="24" spans="1:13" x14ac:dyDescent="0.2">
      <c r="A24" s="118"/>
      <c r="B24" s="216" t="s">
        <v>65</v>
      </c>
      <c r="C24" s="192" t="str">
        <f t="shared" si="0"/>
        <v>SB</v>
      </c>
      <c r="D24" s="192" t="str">
        <f t="shared" si="1"/>
        <v>6L</v>
      </c>
      <c r="E24" s="192" t="str">
        <f t="shared" si="2"/>
        <v>1w</v>
      </c>
      <c r="F24" s="192">
        <f t="shared" si="3"/>
        <v>0</v>
      </c>
      <c r="G24" s="192">
        <f t="shared" si="4"/>
        <v>0</v>
      </c>
      <c r="H24" s="240">
        <f t="shared" si="5"/>
        <v>0</v>
      </c>
      <c r="I24" s="102" t="str">
        <f t="shared" si="6"/>
        <v>GbpLiborSwapIsda22Y</v>
      </c>
      <c r="J24" s="239" t="str">
        <f t="shared" si="7"/>
        <v>GBPSB6L22Y_Fwd1w_Quote</v>
      </c>
      <c r="K24" s="239" t="e">
        <f>_xll.qlForwardSwapQuote(J24,I24,H24,E24,Permanent,Trigger,ObjectOverwrite)</f>
        <v>#NUM!</v>
      </c>
      <c r="L24" s="241" t="e">
        <f ca="1">_xll.ohRangeRetrieveError(K24)</f>
        <v>#NUM!</v>
      </c>
      <c r="M24" s="33"/>
    </row>
    <row r="25" spans="1:13" x14ac:dyDescent="0.2">
      <c r="A25" s="118"/>
      <c r="B25" s="216" t="s">
        <v>64</v>
      </c>
      <c r="C25" s="192" t="str">
        <f t="shared" si="0"/>
        <v>SB</v>
      </c>
      <c r="D25" s="192" t="str">
        <f t="shared" si="1"/>
        <v>6L</v>
      </c>
      <c r="E25" s="192" t="str">
        <f t="shared" si="2"/>
        <v>1w</v>
      </c>
      <c r="F25" s="192">
        <f t="shared" si="3"/>
        <v>0</v>
      </c>
      <c r="G25" s="192">
        <f t="shared" si="4"/>
        <v>0</v>
      </c>
      <c r="H25" s="240">
        <f t="shared" si="5"/>
        <v>0</v>
      </c>
      <c r="I25" s="102" t="str">
        <f t="shared" si="6"/>
        <v>GbpLiborSwapIsda23Y</v>
      </c>
      <c r="J25" s="239" t="str">
        <f t="shared" si="7"/>
        <v>GBPSB6L23Y_Fwd1w_Quote</v>
      </c>
      <c r="K25" s="239" t="e">
        <f>_xll.qlForwardSwapQuote(J25,I25,H25,E25,Permanent,Trigger,ObjectOverwrite)</f>
        <v>#NUM!</v>
      </c>
      <c r="L25" s="241" t="e">
        <f ca="1">_xll.ohRangeRetrieveError(K25)</f>
        <v>#NUM!</v>
      </c>
      <c r="M25" s="33"/>
    </row>
    <row r="26" spans="1:13" x14ac:dyDescent="0.2">
      <c r="A26" s="118"/>
      <c r="B26" s="216" t="s">
        <v>63</v>
      </c>
      <c r="C26" s="192" t="str">
        <f t="shared" si="0"/>
        <v>SB</v>
      </c>
      <c r="D26" s="192" t="str">
        <f t="shared" si="1"/>
        <v>6L</v>
      </c>
      <c r="E26" s="192" t="str">
        <f t="shared" si="2"/>
        <v>1w</v>
      </c>
      <c r="F26" s="192">
        <f t="shared" si="3"/>
        <v>0</v>
      </c>
      <c r="G26" s="192">
        <f t="shared" si="4"/>
        <v>0</v>
      </c>
      <c r="H26" s="240">
        <f t="shared" si="5"/>
        <v>0</v>
      </c>
      <c r="I26" s="102" t="str">
        <f t="shared" si="6"/>
        <v>GbpLiborSwapIsda24Y</v>
      </c>
      <c r="J26" s="239" t="str">
        <f t="shared" si="7"/>
        <v>GBPSB6L24Y_Fwd1w_Quote</v>
      </c>
      <c r="K26" s="239" t="e">
        <f>_xll.qlForwardSwapQuote(J26,I26,H26,E26,Permanent,Trigger,ObjectOverwrite)</f>
        <v>#NUM!</v>
      </c>
      <c r="L26" s="241" t="e">
        <f ca="1">_xll.ohRangeRetrieveError(K26)</f>
        <v>#NUM!</v>
      </c>
      <c r="M26" s="33"/>
    </row>
    <row r="27" spans="1:13" x14ac:dyDescent="0.2">
      <c r="A27" s="118"/>
      <c r="B27" s="216" t="s">
        <v>62</v>
      </c>
      <c r="C27" s="192" t="str">
        <f t="shared" si="0"/>
        <v>SB</v>
      </c>
      <c r="D27" s="192" t="str">
        <f t="shared" si="1"/>
        <v>6L</v>
      </c>
      <c r="E27" s="192" t="str">
        <f t="shared" si="2"/>
        <v>1w</v>
      </c>
      <c r="F27" s="192">
        <f t="shared" si="3"/>
        <v>0</v>
      </c>
      <c r="G27" s="192">
        <f t="shared" si="4"/>
        <v>0</v>
      </c>
      <c r="H27" s="240">
        <f t="shared" si="5"/>
        <v>0</v>
      </c>
      <c r="I27" s="102" t="str">
        <f t="shared" si="6"/>
        <v>GbpLiborSwapIsda25Y</v>
      </c>
      <c r="J27" s="239" t="str">
        <f t="shared" si="7"/>
        <v>GBPSB6L25Y_Fwd1w_Quote</v>
      </c>
      <c r="K27" s="239" t="e">
        <f>_xll.qlForwardSwapQuote(J27,I27,H27,E27,Permanent,Trigger,ObjectOverwrite)</f>
        <v>#NUM!</v>
      </c>
      <c r="L27" s="241" t="e">
        <f ca="1">_xll.ohRangeRetrieveError(K27)</f>
        <v>#NUM!</v>
      </c>
      <c r="M27" s="33"/>
    </row>
    <row r="28" spans="1:13" x14ac:dyDescent="0.2">
      <c r="A28" s="118"/>
      <c r="B28" s="216" t="s">
        <v>61</v>
      </c>
      <c r="C28" s="192" t="str">
        <f t="shared" si="0"/>
        <v>SB</v>
      </c>
      <c r="D28" s="192" t="str">
        <f t="shared" si="1"/>
        <v>6L</v>
      </c>
      <c r="E28" s="192" t="str">
        <f t="shared" si="2"/>
        <v>1w</v>
      </c>
      <c r="F28" s="192">
        <f t="shared" si="3"/>
        <v>0</v>
      </c>
      <c r="G28" s="192">
        <f t="shared" si="4"/>
        <v>0</v>
      </c>
      <c r="H28" s="240">
        <f t="shared" si="5"/>
        <v>0</v>
      </c>
      <c r="I28" s="102" t="str">
        <f t="shared" si="6"/>
        <v>GbpLiborSwapIsda26Y</v>
      </c>
      <c r="J28" s="239" t="str">
        <f t="shared" si="7"/>
        <v>GBPSB6L26Y_Fwd1w_Quote</v>
      </c>
      <c r="K28" s="239" t="e">
        <f>_xll.qlForwardSwapQuote(J28,I28,H28,E28,Permanent,Trigger,ObjectOverwrite)</f>
        <v>#NUM!</v>
      </c>
      <c r="L28" s="241" t="e">
        <f ca="1">_xll.ohRangeRetrieveError(K28)</f>
        <v>#NUM!</v>
      </c>
      <c r="M28" s="33"/>
    </row>
    <row r="29" spans="1:13" x14ac:dyDescent="0.2">
      <c r="A29" s="118"/>
      <c r="B29" s="216" t="s">
        <v>60</v>
      </c>
      <c r="C29" s="192" t="str">
        <f t="shared" si="0"/>
        <v>SB</v>
      </c>
      <c r="D29" s="192" t="str">
        <f t="shared" si="1"/>
        <v>6L</v>
      </c>
      <c r="E29" s="192" t="str">
        <f t="shared" si="2"/>
        <v>1w</v>
      </c>
      <c r="F29" s="192">
        <f t="shared" si="3"/>
        <v>0</v>
      </c>
      <c r="G29" s="192">
        <f t="shared" si="4"/>
        <v>0</v>
      </c>
      <c r="H29" s="240">
        <f t="shared" si="5"/>
        <v>0</v>
      </c>
      <c r="I29" s="102" t="str">
        <f t="shared" si="6"/>
        <v>GbpLiborSwapIsda27Y</v>
      </c>
      <c r="J29" s="239" t="str">
        <f t="shared" si="7"/>
        <v>GBPSB6L27Y_Fwd1w_Quote</v>
      </c>
      <c r="K29" s="239" t="e">
        <f>_xll.qlForwardSwapQuote(J29,I29,H29,E29,Permanent,Trigger,ObjectOverwrite)</f>
        <v>#NUM!</v>
      </c>
      <c r="L29" s="241" t="e">
        <f ca="1">_xll.ohRangeRetrieveError(K29)</f>
        <v>#NUM!</v>
      </c>
      <c r="M29" s="33"/>
    </row>
    <row r="30" spans="1:13" x14ac:dyDescent="0.2">
      <c r="A30" s="118"/>
      <c r="B30" s="216" t="s">
        <v>59</v>
      </c>
      <c r="C30" s="192" t="str">
        <f t="shared" si="0"/>
        <v>SB</v>
      </c>
      <c r="D30" s="192" t="str">
        <f t="shared" si="1"/>
        <v>6L</v>
      </c>
      <c r="E30" s="192" t="str">
        <f t="shared" si="2"/>
        <v>1w</v>
      </c>
      <c r="F30" s="192">
        <f t="shared" si="3"/>
        <v>0</v>
      </c>
      <c r="G30" s="192">
        <f t="shared" si="4"/>
        <v>0</v>
      </c>
      <c r="H30" s="240">
        <f t="shared" si="5"/>
        <v>0</v>
      </c>
      <c r="I30" s="102" t="str">
        <f t="shared" si="6"/>
        <v>GbpLiborSwapIsda28Y</v>
      </c>
      <c r="J30" s="239" t="str">
        <f t="shared" si="7"/>
        <v>GBPSB6L28Y_Fwd1w_Quote</v>
      </c>
      <c r="K30" s="239" t="e">
        <f>_xll.qlForwardSwapQuote(J30,I30,H30,E30,Permanent,Trigger,ObjectOverwrite)</f>
        <v>#NUM!</v>
      </c>
      <c r="L30" s="241" t="e">
        <f ca="1">_xll.ohRangeRetrieveError(K30)</f>
        <v>#NUM!</v>
      </c>
      <c r="M30" s="33"/>
    </row>
    <row r="31" spans="1:13" x14ac:dyDescent="0.2">
      <c r="A31" s="118"/>
      <c r="B31" s="216" t="s">
        <v>58</v>
      </c>
      <c r="C31" s="192" t="str">
        <f t="shared" si="0"/>
        <v>SB</v>
      </c>
      <c r="D31" s="192" t="str">
        <f t="shared" si="1"/>
        <v>6L</v>
      </c>
      <c r="E31" s="192" t="str">
        <f t="shared" si="2"/>
        <v>1w</v>
      </c>
      <c r="F31" s="192">
        <f t="shared" si="3"/>
        <v>0</v>
      </c>
      <c r="G31" s="192">
        <f t="shared" si="4"/>
        <v>0</v>
      </c>
      <c r="H31" s="240">
        <f t="shared" si="5"/>
        <v>0</v>
      </c>
      <c r="I31" s="102" t="str">
        <f t="shared" si="6"/>
        <v>GbpLiborSwapIsda29Y</v>
      </c>
      <c r="J31" s="239" t="str">
        <f t="shared" si="7"/>
        <v>GBPSB6L29Y_Fwd1w_Quote</v>
      </c>
      <c r="K31" s="239" t="e">
        <f>_xll.qlForwardSwapQuote(J31,I31,H31,E31,Permanent,Trigger,ObjectOverwrite)</f>
        <v>#NUM!</v>
      </c>
      <c r="L31" s="241" t="e">
        <f ca="1">_xll.ohRangeRetrieveError(K31)</f>
        <v>#NUM!</v>
      </c>
      <c r="M31" s="33"/>
    </row>
    <row r="32" spans="1:13" x14ac:dyDescent="0.2">
      <c r="A32" s="118"/>
      <c r="B32" s="216" t="s">
        <v>57</v>
      </c>
      <c r="C32" s="192" t="str">
        <f t="shared" si="0"/>
        <v>SB</v>
      </c>
      <c r="D32" s="192" t="str">
        <f t="shared" si="1"/>
        <v>6L</v>
      </c>
      <c r="E32" s="192" t="str">
        <f t="shared" si="2"/>
        <v>1w</v>
      </c>
      <c r="F32" s="192">
        <f t="shared" si="3"/>
        <v>0</v>
      </c>
      <c r="G32" s="192">
        <f t="shared" si="4"/>
        <v>0</v>
      </c>
      <c r="H32" s="240">
        <f t="shared" si="5"/>
        <v>0</v>
      </c>
      <c r="I32" s="102" t="str">
        <f t="shared" si="6"/>
        <v>GbpLiborSwapIsda30Y</v>
      </c>
      <c r="J32" s="239" t="str">
        <f t="shared" si="7"/>
        <v>GBPSB6L30Y_Fwd1w_Quote</v>
      </c>
      <c r="K32" s="239" t="e">
        <f>_xll.qlForwardSwapQuote(J32,I32,H32,E32,Permanent,Trigger,ObjectOverwrite)</f>
        <v>#NUM!</v>
      </c>
      <c r="L32" s="241" t="e">
        <f ca="1">_xll.ohRangeRetrieveError(K32)</f>
        <v>#NUM!</v>
      </c>
      <c r="M32" s="33"/>
    </row>
    <row r="33" spans="1:13" x14ac:dyDescent="0.2">
      <c r="A33" s="118"/>
      <c r="B33" s="216" t="s">
        <v>52</v>
      </c>
      <c r="C33" s="192" t="str">
        <f t="shared" si="0"/>
        <v>SB</v>
      </c>
      <c r="D33" s="192" t="str">
        <f t="shared" si="1"/>
        <v>6L</v>
      </c>
      <c r="E33" s="192" t="str">
        <f t="shared" si="2"/>
        <v>1w</v>
      </c>
      <c r="F33" s="192">
        <f t="shared" si="3"/>
        <v>0</v>
      </c>
      <c r="G33" s="192">
        <f t="shared" si="4"/>
        <v>0</v>
      </c>
      <c r="H33" s="240">
        <f t="shared" si="5"/>
        <v>0</v>
      </c>
      <c r="I33" s="102" t="str">
        <f t="shared" si="6"/>
        <v>GbpLiborSwapIsda35Y</v>
      </c>
      <c r="J33" s="239" t="str">
        <f t="shared" si="7"/>
        <v>GBPSB6L35Y_Fwd1w_Quote</v>
      </c>
      <c r="K33" s="239" t="e">
        <f>_xll.qlForwardSwapQuote(J33,I33,H33,E33,Permanent,Trigger,ObjectOverwrite)</f>
        <v>#NUM!</v>
      </c>
      <c r="L33" s="241" t="e">
        <f ca="1">_xll.ohRangeRetrieveError(K33)</f>
        <v>#NUM!</v>
      </c>
      <c r="M33" s="33"/>
    </row>
    <row r="34" spans="1:13" x14ac:dyDescent="0.2">
      <c r="A34" s="118"/>
      <c r="B34" s="216" t="s">
        <v>47</v>
      </c>
      <c r="C34" s="192" t="str">
        <f t="shared" si="0"/>
        <v>SB</v>
      </c>
      <c r="D34" s="192" t="str">
        <f t="shared" si="1"/>
        <v>6L</v>
      </c>
      <c r="E34" s="192" t="str">
        <f t="shared" si="2"/>
        <v>1w</v>
      </c>
      <c r="F34" s="192">
        <f t="shared" si="3"/>
        <v>0</v>
      </c>
      <c r="G34" s="192">
        <f t="shared" si="4"/>
        <v>0</v>
      </c>
      <c r="H34" s="240">
        <f t="shared" si="5"/>
        <v>0</v>
      </c>
      <c r="I34" s="102" t="str">
        <f t="shared" si="6"/>
        <v>GbpLiborSwapIsda40Y</v>
      </c>
      <c r="J34" s="239" t="str">
        <f t="shared" si="7"/>
        <v>GBPSB6L40Y_Fwd1w_Quote</v>
      </c>
      <c r="K34" s="239" t="e">
        <f>_xll.qlForwardSwapQuote(J34,I34,H34,E34,Permanent,Trigger,ObjectOverwrite)</f>
        <v>#NUM!</v>
      </c>
      <c r="L34" s="241" t="e">
        <f ca="1">_xll.ohRangeRetrieveError(K34)</f>
        <v>#NUM!</v>
      </c>
      <c r="M34" s="33"/>
    </row>
    <row r="35" spans="1:13" x14ac:dyDescent="0.2">
      <c r="A35" s="118"/>
      <c r="B35" s="216" t="s">
        <v>37</v>
      </c>
      <c r="C35" s="192" t="str">
        <f t="shared" si="0"/>
        <v>SB</v>
      </c>
      <c r="D35" s="192" t="str">
        <f t="shared" si="1"/>
        <v>6L</v>
      </c>
      <c r="E35" s="192" t="str">
        <f t="shared" si="2"/>
        <v>1w</v>
      </c>
      <c r="F35" s="192">
        <f t="shared" si="3"/>
        <v>0</v>
      </c>
      <c r="G35" s="192">
        <f t="shared" si="4"/>
        <v>0</v>
      </c>
      <c r="H35" s="240">
        <f t="shared" si="5"/>
        <v>0</v>
      </c>
      <c r="I35" s="102" t="str">
        <f t="shared" si="6"/>
        <v>GbpLiborSwapIsda50Y</v>
      </c>
      <c r="J35" s="239" t="str">
        <f t="shared" si="7"/>
        <v>GBPSB6L50Y_Fwd1w_Quote</v>
      </c>
      <c r="K35" s="239" t="e">
        <f>_xll.qlForwardSwapQuote(J35,I35,H35,E35,Permanent,Trigger,ObjectOverwrite)</f>
        <v>#NUM!</v>
      </c>
      <c r="L35" s="241" t="e">
        <f ca="1">_xll.ohRangeRetrieveError(K35)</f>
        <v>#NUM!</v>
      </c>
      <c r="M35" s="33"/>
    </row>
    <row r="36" spans="1:13" x14ac:dyDescent="0.2">
      <c r="A36" s="118"/>
      <c r="B36" s="216" t="s">
        <v>27</v>
      </c>
      <c r="C36" s="192" t="str">
        <f t="shared" si="0"/>
        <v>SB</v>
      </c>
      <c r="D36" s="192" t="str">
        <f t="shared" si="1"/>
        <v>6L</v>
      </c>
      <c r="E36" s="192" t="str">
        <f t="shared" si="2"/>
        <v>1w</v>
      </c>
      <c r="F36" s="192">
        <f t="shared" si="3"/>
        <v>0</v>
      </c>
      <c r="G36" s="192">
        <f t="shared" si="4"/>
        <v>0</v>
      </c>
      <c r="H36" s="240">
        <f t="shared" si="5"/>
        <v>0</v>
      </c>
      <c r="I36" s="102" t="str">
        <f t="shared" si="6"/>
        <v>GbpLiborSwapIsda60Y</v>
      </c>
      <c r="J36" s="239" t="str">
        <f t="shared" si="7"/>
        <v>GBPSB6L60Y_Fwd1w_Quote</v>
      </c>
      <c r="K36" s="239" t="e">
        <f>_xll.qlForwardSwapQuote(J36,I36,H36,E36,Permanent,Trigger,ObjectOverwrite)</f>
        <v>#NUM!</v>
      </c>
      <c r="L36" s="72" t="e">
        <f ca="1">_xll.ohRangeRetrieveError(K36)</f>
        <v>#NUM!</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T37"/>
  <sheetViews>
    <sheetView workbookViewId="0"/>
  </sheetViews>
  <sheetFormatPr defaultRowHeight="11.25" x14ac:dyDescent="0.2"/>
  <cols>
    <col min="1" max="1" width="3.28515625" style="65" customWidth="1"/>
    <col min="2" max="2" width="3.85546875" style="65" bestFit="1" customWidth="1"/>
    <col min="3" max="3" width="3.140625" style="65" bestFit="1" customWidth="1"/>
    <col min="4" max="4" width="2.7109375" style="65" bestFit="1" customWidth="1"/>
    <col min="5" max="5" width="4.7109375" style="65" bestFit="1" customWidth="1"/>
    <col min="6" max="7" width="1.85546875" style="65" bestFit="1" customWidth="1"/>
    <col min="8" max="8" width="7.140625" style="65" bestFit="1" customWidth="1"/>
    <col min="9" max="9" width="19.140625" style="65" bestFit="1" customWidth="1"/>
    <col min="10" max="10" width="23.85546875" style="65" bestFit="1" customWidth="1"/>
    <col min="11" max="11" width="32.42578125" style="65" bestFit="1" customWidth="1"/>
    <col min="12" max="12" width="30.5703125" style="65" customWidth="1"/>
    <col min="13" max="14" width="3.7109375" style="65" customWidth="1"/>
    <col min="15" max="15" width="4" style="65" bestFit="1" customWidth="1"/>
    <col min="16" max="16" width="3.140625" style="65" bestFit="1" customWidth="1"/>
    <col min="17" max="17" width="2.7109375" style="65" bestFit="1" customWidth="1"/>
    <col min="18" max="18" width="3.28515625" style="65" bestFit="1" customWidth="1"/>
    <col min="19" max="20" width="2.7109375" style="65" bestFit="1" customWidth="1"/>
    <col min="21" max="16384" width="9.140625" style="65"/>
  </cols>
  <sheetData>
    <row r="1" spans="1:20" ht="12" thickBot="1" x14ac:dyDescent="0.25">
      <c r="A1" s="580" t="s">
        <v>345</v>
      </c>
      <c r="B1" s="201"/>
      <c r="C1" s="201"/>
      <c r="D1" s="201"/>
      <c r="E1" s="201"/>
      <c r="F1" s="201"/>
      <c r="G1" s="201"/>
      <c r="H1" s="201"/>
      <c r="I1" s="201"/>
      <c r="J1" s="201"/>
      <c r="K1" s="201"/>
      <c r="L1" s="151"/>
      <c r="M1" s="198"/>
    </row>
    <row r="2" spans="1:20" ht="22.5" x14ac:dyDescent="0.2">
      <c r="A2" s="118"/>
      <c r="B2" s="90"/>
      <c r="C2" s="90"/>
      <c r="D2" s="90"/>
      <c r="E2" s="90" t="s">
        <v>222</v>
      </c>
      <c r="F2" s="90"/>
      <c r="G2" s="90"/>
      <c r="H2" s="90" t="s">
        <v>221</v>
      </c>
      <c r="I2" s="90" t="s">
        <v>220</v>
      </c>
      <c r="J2" s="244" t="str">
        <f>Currency&amp;"_020_Sw"&amp;$C$3&amp;$D$3&amp;"_"&amp;"Fwd"&amp;$E$3&amp;IF(H3=0,,"_Spr"&amp;$F3&amp;$G3)&amp;".xml"</f>
        <v>GBP_020_SwSB6L_Fwd1w.xml</v>
      </c>
      <c r="K2" s="105" t="e">
        <f ca="1">IF(Serialize,_xll.ohObjectSave(K3:K36,SerializationPath&amp;J2,FileOverwrite,Serialize),"---")</f>
        <v>#NUM!</v>
      </c>
      <c r="L2" s="72" t="e">
        <f ca="1">_xll.ohRangeRetrieveError(K2)</f>
        <v>#NUM!</v>
      </c>
      <c r="M2" s="33"/>
      <c r="O2" s="210"/>
      <c r="P2" s="209"/>
      <c r="Q2" s="209"/>
      <c r="R2" s="209"/>
      <c r="S2" s="209"/>
      <c r="T2" s="208"/>
    </row>
    <row r="3" spans="1:20" x14ac:dyDescent="0.2">
      <c r="A3" s="118"/>
      <c r="B3" s="76" t="s">
        <v>1</v>
      </c>
      <c r="C3" s="192" t="str">
        <f t="shared" ref="C3:C36" si="0">VLOOKUP(Currency,$O$3:$T$7,2)</f>
        <v>SB</v>
      </c>
      <c r="D3" s="192" t="str">
        <f t="shared" ref="D3:D36" si="1">VLOOKUP(Currency,$O$3:$T$7,3)</f>
        <v>6L</v>
      </c>
      <c r="E3" s="192" t="str">
        <f t="shared" ref="E3:E36" si="2">VLOOKUP(Currency,$O$3:$T$7,4)</f>
        <v>1w</v>
      </c>
      <c r="F3" s="192">
        <f t="shared" ref="F3:F36" si="3">VLOOKUP(Currency,$O$3:$T$7,5)</f>
        <v>0</v>
      </c>
      <c r="G3" s="192">
        <f t="shared" ref="G3:G36" si="4">VLOOKUP(Currency,$O$3:$T$7,6)</f>
        <v>0</v>
      </c>
      <c r="H3" s="240">
        <f t="shared" ref="H3:H36" si="5">IF(F3=0,0,Currency&amp;$F3&amp;$G3&amp;$B3&amp;QuoteSuffix)</f>
        <v>0</v>
      </c>
      <c r="I3" s="242" t="str">
        <f t="shared" ref="I3:I36" si="6">PROPER(Currency)&amp;FamilyName&amp;"Swap"&amp;FixingType&amp;$B3</f>
        <v>GbpLiborSwapIsda1Y</v>
      </c>
      <c r="J3" s="239" t="str">
        <f t="shared" ref="J3:J36" si="7">Currency&amp;$C3&amp;$D3&amp;$B3&amp;"_"&amp;"Fwd"&amp;E3&amp;IF(H3=0,,"_S"&amp;$F3&amp;$G3)&amp;QuoteSuffix</f>
        <v>GBPSB6L1Y_Fwd1w_Quote</v>
      </c>
      <c r="K3" s="239"/>
      <c r="L3" s="247" t="str">
        <f>_xll.ohRangeRetrieveError(K3)</f>
        <v/>
      </c>
      <c r="M3" s="33"/>
      <c r="O3" s="83" t="s">
        <v>121</v>
      </c>
      <c r="P3" s="82" t="s">
        <v>212</v>
      </c>
      <c r="Q3" s="82" t="s">
        <v>116</v>
      </c>
      <c r="R3" s="82" t="s">
        <v>219</v>
      </c>
      <c r="S3" s="82"/>
      <c r="T3" s="81"/>
    </row>
    <row r="4" spans="1:20" x14ac:dyDescent="0.2">
      <c r="A4" s="118"/>
      <c r="B4" s="76" t="s">
        <v>85</v>
      </c>
      <c r="C4" s="192" t="str">
        <f t="shared" si="0"/>
        <v>SB</v>
      </c>
      <c r="D4" s="192" t="str">
        <f t="shared" si="1"/>
        <v>6L</v>
      </c>
      <c r="E4" s="192" t="str">
        <f t="shared" si="2"/>
        <v>1w</v>
      </c>
      <c r="F4" s="192">
        <f t="shared" si="3"/>
        <v>0</v>
      </c>
      <c r="G4" s="192">
        <f t="shared" si="4"/>
        <v>0</v>
      </c>
      <c r="H4" s="240">
        <f t="shared" si="5"/>
        <v>0</v>
      </c>
      <c r="I4" s="102" t="str">
        <f t="shared" si="6"/>
        <v>GbpLiborSwapIsda2Y</v>
      </c>
      <c r="J4" s="239" t="str">
        <f t="shared" si="7"/>
        <v>GBPSB6L2Y_Fwd1w_Quote</v>
      </c>
      <c r="K4" s="239"/>
      <c r="L4" s="247" t="str">
        <f>_xll.ohRangeRetrieveError(K4)</f>
        <v/>
      </c>
      <c r="M4" s="33"/>
      <c r="O4" s="83" t="s">
        <v>120</v>
      </c>
      <c r="P4" s="82" t="s">
        <v>212</v>
      </c>
      <c r="Q4" s="82" t="s">
        <v>118</v>
      </c>
      <c r="R4" s="82" t="s">
        <v>219</v>
      </c>
      <c r="S4" s="82"/>
      <c r="T4" s="81"/>
    </row>
    <row r="5" spans="1:20" x14ac:dyDescent="0.2">
      <c r="A5" s="118"/>
      <c r="B5" s="76" t="s">
        <v>84</v>
      </c>
      <c r="C5" s="192" t="str">
        <f t="shared" si="0"/>
        <v>SB</v>
      </c>
      <c r="D5" s="192" t="str">
        <f t="shared" si="1"/>
        <v>6L</v>
      </c>
      <c r="E5" s="192" t="str">
        <f t="shared" si="2"/>
        <v>1w</v>
      </c>
      <c r="F5" s="192">
        <f t="shared" si="3"/>
        <v>0</v>
      </c>
      <c r="G5" s="192">
        <f t="shared" si="4"/>
        <v>0</v>
      </c>
      <c r="H5" s="240">
        <f t="shared" si="5"/>
        <v>0</v>
      </c>
      <c r="I5" s="102" t="str">
        <f t="shared" si="6"/>
        <v>GbpLiborSwapIsda3Y</v>
      </c>
      <c r="J5" s="239" t="str">
        <f t="shared" si="7"/>
        <v>GBPSB6L3Y_Fwd1w_Quote</v>
      </c>
      <c r="K5" s="239"/>
      <c r="L5" s="247" t="str">
        <f>_xll.ohRangeRetrieveError(K5)</f>
        <v/>
      </c>
      <c r="M5" s="33"/>
      <c r="O5" s="83" t="s">
        <v>96</v>
      </c>
      <c r="P5" s="82" t="s">
        <v>211</v>
      </c>
      <c r="Q5" s="82" t="s">
        <v>116</v>
      </c>
      <c r="R5" s="82" t="s">
        <v>219</v>
      </c>
      <c r="S5" s="82"/>
      <c r="T5" s="81"/>
    </row>
    <row r="6" spans="1:20" x14ac:dyDescent="0.2">
      <c r="A6" s="118"/>
      <c r="B6" s="76" t="s">
        <v>83</v>
      </c>
      <c r="C6" s="192" t="str">
        <f t="shared" si="0"/>
        <v>SB</v>
      </c>
      <c r="D6" s="192" t="str">
        <f t="shared" si="1"/>
        <v>6L</v>
      </c>
      <c r="E6" s="192" t="str">
        <f t="shared" si="2"/>
        <v>1w</v>
      </c>
      <c r="F6" s="192">
        <f t="shared" si="3"/>
        <v>0</v>
      </c>
      <c r="G6" s="192">
        <f t="shared" si="4"/>
        <v>0</v>
      </c>
      <c r="H6" s="240">
        <f t="shared" si="5"/>
        <v>0</v>
      </c>
      <c r="I6" s="102" t="str">
        <f t="shared" si="6"/>
        <v>GbpLiborSwapIsda4Y</v>
      </c>
      <c r="J6" s="239" t="str">
        <f t="shared" si="7"/>
        <v>GBPSB6L4Y_Fwd1w_Quote</v>
      </c>
      <c r="K6" s="239"/>
      <c r="L6" s="247" t="str">
        <f>_xll.ohRangeRetrieveError(K6)</f>
        <v/>
      </c>
      <c r="M6" s="33"/>
      <c r="O6" s="83" t="s">
        <v>117</v>
      </c>
      <c r="P6" s="82" t="s">
        <v>211</v>
      </c>
      <c r="Q6" s="82" t="s">
        <v>116</v>
      </c>
      <c r="R6" s="82" t="s">
        <v>219</v>
      </c>
      <c r="S6" s="82"/>
      <c r="T6" s="81"/>
    </row>
    <row r="7" spans="1:20" ht="12" thickBot="1" x14ac:dyDescent="0.25">
      <c r="A7" s="118"/>
      <c r="B7" s="76" t="s">
        <v>82</v>
      </c>
      <c r="C7" s="192" t="str">
        <f t="shared" si="0"/>
        <v>SB</v>
      </c>
      <c r="D7" s="192" t="str">
        <f t="shared" si="1"/>
        <v>6L</v>
      </c>
      <c r="E7" s="192" t="str">
        <f t="shared" si="2"/>
        <v>1w</v>
      </c>
      <c r="F7" s="192">
        <f t="shared" si="3"/>
        <v>0</v>
      </c>
      <c r="G7" s="192">
        <f t="shared" si="4"/>
        <v>0</v>
      </c>
      <c r="H7" s="240">
        <f t="shared" si="5"/>
        <v>0</v>
      </c>
      <c r="I7" s="102" t="str">
        <f t="shared" si="6"/>
        <v>GbpLiborSwapIsda5Y</v>
      </c>
      <c r="J7" s="239" t="str">
        <f t="shared" si="7"/>
        <v>GBPSB6L5Y_Fwd1w_Quote</v>
      </c>
      <c r="K7" s="239"/>
      <c r="L7" s="247" t="str">
        <f>_xll.ohRangeRetrieveError(K7)</f>
        <v/>
      </c>
      <c r="M7" s="33"/>
      <c r="O7" s="80" t="s">
        <v>115</v>
      </c>
      <c r="P7" s="79" t="s">
        <v>210</v>
      </c>
      <c r="Q7" s="248" t="s">
        <v>116</v>
      </c>
      <c r="R7" s="79" t="s">
        <v>219</v>
      </c>
      <c r="S7" s="79"/>
      <c r="T7" s="78"/>
    </row>
    <row r="8" spans="1:20" x14ac:dyDescent="0.2">
      <c r="A8" s="118"/>
      <c r="B8" s="76" t="s">
        <v>81</v>
      </c>
      <c r="C8" s="192" t="str">
        <f t="shared" si="0"/>
        <v>SB</v>
      </c>
      <c r="D8" s="192" t="str">
        <f t="shared" si="1"/>
        <v>6L</v>
      </c>
      <c r="E8" s="192" t="str">
        <f t="shared" si="2"/>
        <v>1w</v>
      </c>
      <c r="F8" s="192">
        <f t="shared" si="3"/>
        <v>0</v>
      </c>
      <c r="G8" s="192">
        <f t="shared" si="4"/>
        <v>0</v>
      </c>
      <c r="H8" s="240">
        <f t="shared" si="5"/>
        <v>0</v>
      </c>
      <c r="I8" s="102" t="str">
        <f t="shared" si="6"/>
        <v>GbpLiborSwapIsda6Y</v>
      </c>
      <c r="J8" s="239" t="str">
        <f t="shared" si="7"/>
        <v>GBPSB6L6Y_Fwd1w_Quote</v>
      </c>
      <c r="K8" s="239"/>
      <c r="L8" s="247" t="str">
        <f>_xll.ohRangeRetrieveError(K8)</f>
        <v/>
      </c>
      <c r="M8" s="33"/>
    </row>
    <row r="9" spans="1:20" x14ac:dyDescent="0.2">
      <c r="A9" s="118"/>
      <c r="B9" s="76" t="s">
        <v>80</v>
      </c>
      <c r="C9" s="192" t="str">
        <f t="shared" si="0"/>
        <v>SB</v>
      </c>
      <c r="D9" s="192" t="str">
        <f t="shared" si="1"/>
        <v>6L</v>
      </c>
      <c r="E9" s="192" t="str">
        <f t="shared" si="2"/>
        <v>1w</v>
      </c>
      <c r="F9" s="192">
        <f t="shared" si="3"/>
        <v>0</v>
      </c>
      <c r="G9" s="192">
        <f t="shared" si="4"/>
        <v>0</v>
      </c>
      <c r="H9" s="240">
        <f t="shared" si="5"/>
        <v>0</v>
      </c>
      <c r="I9" s="102" t="str">
        <f t="shared" si="6"/>
        <v>GbpLiborSwapIsda7Y</v>
      </c>
      <c r="J9" s="239" t="str">
        <f t="shared" si="7"/>
        <v>GBPSB6L7Y_Fwd1w_Quote</v>
      </c>
      <c r="K9" s="239"/>
      <c r="L9" s="247" t="str">
        <f>_xll.ohRangeRetrieveError(K9)</f>
        <v/>
      </c>
      <c r="M9" s="33"/>
    </row>
    <row r="10" spans="1:20" x14ac:dyDescent="0.2">
      <c r="A10" s="118"/>
      <c r="B10" s="76" t="s">
        <v>79</v>
      </c>
      <c r="C10" s="192" t="str">
        <f t="shared" si="0"/>
        <v>SB</v>
      </c>
      <c r="D10" s="192" t="str">
        <f t="shared" si="1"/>
        <v>6L</v>
      </c>
      <c r="E10" s="192" t="str">
        <f t="shared" si="2"/>
        <v>1w</v>
      </c>
      <c r="F10" s="192">
        <f t="shared" si="3"/>
        <v>0</v>
      </c>
      <c r="G10" s="192">
        <f t="shared" si="4"/>
        <v>0</v>
      </c>
      <c r="H10" s="240">
        <f t="shared" si="5"/>
        <v>0</v>
      </c>
      <c r="I10" s="102" t="str">
        <f t="shared" si="6"/>
        <v>GbpLiborSwapIsda8Y</v>
      </c>
      <c r="J10" s="239" t="str">
        <f t="shared" si="7"/>
        <v>GBPSB6L8Y_Fwd1w_Quote</v>
      </c>
      <c r="K10" s="239"/>
      <c r="L10" s="247" t="str">
        <f>_xll.ohRangeRetrieveError(K10)</f>
        <v/>
      </c>
      <c r="M10" s="33"/>
    </row>
    <row r="11" spans="1:20" x14ac:dyDescent="0.2">
      <c r="A11" s="118"/>
      <c r="B11" s="76" t="s">
        <v>78</v>
      </c>
      <c r="C11" s="192" t="str">
        <f t="shared" si="0"/>
        <v>SB</v>
      </c>
      <c r="D11" s="192" t="str">
        <f t="shared" si="1"/>
        <v>6L</v>
      </c>
      <c r="E11" s="192" t="str">
        <f t="shared" si="2"/>
        <v>1w</v>
      </c>
      <c r="F11" s="192">
        <f t="shared" si="3"/>
        <v>0</v>
      </c>
      <c r="G11" s="192">
        <f t="shared" si="4"/>
        <v>0</v>
      </c>
      <c r="H11" s="240">
        <f t="shared" si="5"/>
        <v>0</v>
      </c>
      <c r="I11" s="102" t="str">
        <f t="shared" si="6"/>
        <v>GbpLiborSwapIsda9Y</v>
      </c>
      <c r="J11" s="239" t="str">
        <f t="shared" si="7"/>
        <v>GBPSB6L9Y_Fwd1w_Quote</v>
      </c>
      <c r="K11" s="239"/>
      <c r="L11" s="247" t="str">
        <f>_xll.ohRangeRetrieveError(K11)</f>
        <v/>
      </c>
      <c r="M11" s="33"/>
    </row>
    <row r="12" spans="1:20" x14ac:dyDescent="0.2">
      <c r="A12" s="118"/>
      <c r="B12" s="76" t="s">
        <v>77</v>
      </c>
      <c r="C12" s="192" t="str">
        <f t="shared" si="0"/>
        <v>SB</v>
      </c>
      <c r="D12" s="192" t="str">
        <f t="shared" si="1"/>
        <v>6L</v>
      </c>
      <c r="E12" s="192" t="str">
        <f t="shared" si="2"/>
        <v>1w</v>
      </c>
      <c r="F12" s="192">
        <f t="shared" si="3"/>
        <v>0</v>
      </c>
      <c r="G12" s="192">
        <f t="shared" si="4"/>
        <v>0</v>
      </c>
      <c r="H12" s="240">
        <f t="shared" si="5"/>
        <v>0</v>
      </c>
      <c r="I12" s="102" t="str">
        <f t="shared" si="6"/>
        <v>GbpLiborSwapIsda10Y</v>
      </c>
      <c r="J12" s="239" t="str">
        <f t="shared" si="7"/>
        <v>GBPSB6L10Y_Fwd1w_Quote</v>
      </c>
      <c r="K12" s="239"/>
      <c r="L12" s="247" t="str">
        <f>_xll.ohRangeRetrieveError(K12)</f>
        <v/>
      </c>
      <c r="M12" s="33"/>
    </row>
    <row r="13" spans="1:20" x14ac:dyDescent="0.2">
      <c r="A13" s="118"/>
      <c r="B13" s="76" t="s">
        <v>76</v>
      </c>
      <c r="C13" s="192" t="str">
        <f t="shared" si="0"/>
        <v>SB</v>
      </c>
      <c r="D13" s="192" t="str">
        <f t="shared" si="1"/>
        <v>6L</v>
      </c>
      <c r="E13" s="192" t="str">
        <f t="shared" si="2"/>
        <v>1w</v>
      </c>
      <c r="F13" s="192">
        <f t="shared" si="3"/>
        <v>0</v>
      </c>
      <c r="G13" s="192">
        <f t="shared" si="4"/>
        <v>0</v>
      </c>
      <c r="H13" s="240">
        <f t="shared" si="5"/>
        <v>0</v>
      </c>
      <c r="I13" s="102" t="str">
        <f t="shared" si="6"/>
        <v>GbpLiborSwapIsda11Y</v>
      </c>
      <c r="J13" s="239" t="str">
        <f t="shared" si="7"/>
        <v>GBPSB6L11Y_Fwd1w_Quote</v>
      </c>
      <c r="K13" s="239"/>
      <c r="L13" s="247" t="str">
        <f>_xll.ohRangeRetrieveError(K13)</f>
        <v/>
      </c>
      <c r="M13" s="33"/>
    </row>
    <row r="14" spans="1:20" x14ac:dyDescent="0.2">
      <c r="A14" s="118"/>
      <c r="B14" s="76" t="s">
        <v>75</v>
      </c>
      <c r="C14" s="192" t="str">
        <f t="shared" si="0"/>
        <v>SB</v>
      </c>
      <c r="D14" s="192" t="str">
        <f t="shared" si="1"/>
        <v>6L</v>
      </c>
      <c r="E14" s="192" t="str">
        <f t="shared" si="2"/>
        <v>1w</v>
      </c>
      <c r="F14" s="192">
        <f t="shared" si="3"/>
        <v>0</v>
      </c>
      <c r="G14" s="192">
        <f t="shared" si="4"/>
        <v>0</v>
      </c>
      <c r="H14" s="240">
        <f t="shared" si="5"/>
        <v>0</v>
      </c>
      <c r="I14" s="102" t="str">
        <f t="shared" si="6"/>
        <v>GbpLiborSwapIsda12Y</v>
      </c>
      <c r="J14" s="239" t="str">
        <f t="shared" si="7"/>
        <v>GBPSB6L12Y_Fwd1w_Quote</v>
      </c>
      <c r="K14" s="239"/>
      <c r="L14" s="247" t="str">
        <f>_xll.ohRangeRetrieveError(K14)</f>
        <v/>
      </c>
      <c r="M14" s="33"/>
    </row>
    <row r="15" spans="1:20" x14ac:dyDescent="0.2">
      <c r="A15" s="118"/>
      <c r="B15" s="76" t="s">
        <v>74</v>
      </c>
      <c r="C15" s="192" t="str">
        <f t="shared" si="0"/>
        <v>SB</v>
      </c>
      <c r="D15" s="192" t="str">
        <f t="shared" si="1"/>
        <v>6L</v>
      </c>
      <c r="E15" s="192" t="str">
        <f t="shared" si="2"/>
        <v>1w</v>
      </c>
      <c r="F15" s="192">
        <f t="shared" si="3"/>
        <v>0</v>
      </c>
      <c r="G15" s="192">
        <f t="shared" si="4"/>
        <v>0</v>
      </c>
      <c r="H15" s="240">
        <f t="shared" si="5"/>
        <v>0</v>
      </c>
      <c r="I15" s="102" t="str">
        <f t="shared" si="6"/>
        <v>GbpLiborSwapIsda13Y</v>
      </c>
      <c r="J15" s="239" t="str">
        <f t="shared" si="7"/>
        <v>GBPSB6L13Y_Fwd1w_Quote</v>
      </c>
      <c r="K15" s="239"/>
      <c r="L15" s="247" t="str">
        <f>_xll.ohRangeRetrieveError(K15)</f>
        <v/>
      </c>
      <c r="M15" s="33"/>
    </row>
    <row r="16" spans="1:20" x14ac:dyDescent="0.2">
      <c r="A16" s="118"/>
      <c r="B16" s="76" t="s">
        <v>73</v>
      </c>
      <c r="C16" s="192" t="str">
        <f t="shared" si="0"/>
        <v>SB</v>
      </c>
      <c r="D16" s="192" t="str">
        <f t="shared" si="1"/>
        <v>6L</v>
      </c>
      <c r="E16" s="192" t="str">
        <f t="shared" si="2"/>
        <v>1w</v>
      </c>
      <c r="F16" s="192">
        <f t="shared" si="3"/>
        <v>0</v>
      </c>
      <c r="G16" s="192">
        <f t="shared" si="4"/>
        <v>0</v>
      </c>
      <c r="H16" s="240">
        <f t="shared" si="5"/>
        <v>0</v>
      </c>
      <c r="I16" s="102" t="str">
        <f t="shared" si="6"/>
        <v>GbpLiborSwapIsda14Y</v>
      </c>
      <c r="J16" s="239" t="str">
        <f t="shared" si="7"/>
        <v>GBPSB6L14Y_Fwd1w_Quote</v>
      </c>
      <c r="K16" s="239"/>
      <c r="L16" s="247" t="str">
        <f>_xll.ohRangeRetrieveError(K16)</f>
        <v/>
      </c>
      <c r="M16" s="33"/>
    </row>
    <row r="17" spans="1:13" x14ac:dyDescent="0.2">
      <c r="A17" s="118"/>
      <c r="B17" s="76" t="s">
        <v>72</v>
      </c>
      <c r="C17" s="192" t="str">
        <f t="shared" si="0"/>
        <v>SB</v>
      </c>
      <c r="D17" s="192" t="str">
        <f t="shared" si="1"/>
        <v>6L</v>
      </c>
      <c r="E17" s="192" t="str">
        <f t="shared" si="2"/>
        <v>1w</v>
      </c>
      <c r="F17" s="192">
        <f t="shared" si="3"/>
        <v>0</v>
      </c>
      <c r="G17" s="192">
        <f t="shared" si="4"/>
        <v>0</v>
      </c>
      <c r="H17" s="240">
        <f t="shared" si="5"/>
        <v>0</v>
      </c>
      <c r="I17" s="102" t="str">
        <f t="shared" si="6"/>
        <v>GbpLiborSwapIsda15Y</v>
      </c>
      <c r="J17" s="239" t="str">
        <f t="shared" si="7"/>
        <v>GBPSB6L15Y_Fwd1w_Quote</v>
      </c>
      <c r="K17" s="239"/>
      <c r="L17" s="247" t="str">
        <f>_xll.ohRangeRetrieveError(K17)</f>
        <v/>
      </c>
      <c r="M17" s="33"/>
    </row>
    <row r="18" spans="1:13" x14ac:dyDescent="0.2">
      <c r="A18" s="118"/>
      <c r="B18" s="76" t="s">
        <v>71</v>
      </c>
      <c r="C18" s="192" t="str">
        <f t="shared" si="0"/>
        <v>SB</v>
      </c>
      <c r="D18" s="192" t="str">
        <f t="shared" si="1"/>
        <v>6L</v>
      </c>
      <c r="E18" s="192" t="str">
        <f t="shared" si="2"/>
        <v>1w</v>
      </c>
      <c r="F18" s="192">
        <f t="shared" si="3"/>
        <v>0</v>
      </c>
      <c r="G18" s="192">
        <f t="shared" si="4"/>
        <v>0</v>
      </c>
      <c r="H18" s="240">
        <f t="shared" si="5"/>
        <v>0</v>
      </c>
      <c r="I18" s="102" t="str">
        <f t="shared" si="6"/>
        <v>GbpLiborSwapIsda16Y</v>
      </c>
      <c r="J18" s="239" t="str">
        <f t="shared" si="7"/>
        <v>GBPSB6L16Y_Fwd1w_Quote</v>
      </c>
      <c r="K18" s="239"/>
      <c r="L18" s="247" t="str">
        <f>_xll.ohRangeRetrieveError(K18)</f>
        <v/>
      </c>
      <c r="M18" s="33"/>
    </row>
    <row r="19" spans="1:13" x14ac:dyDescent="0.2">
      <c r="A19" s="118"/>
      <c r="B19" s="76" t="s">
        <v>70</v>
      </c>
      <c r="C19" s="192" t="str">
        <f t="shared" si="0"/>
        <v>SB</v>
      </c>
      <c r="D19" s="192" t="str">
        <f t="shared" si="1"/>
        <v>6L</v>
      </c>
      <c r="E19" s="192" t="str">
        <f t="shared" si="2"/>
        <v>1w</v>
      </c>
      <c r="F19" s="192">
        <f t="shared" si="3"/>
        <v>0</v>
      </c>
      <c r="G19" s="192">
        <f t="shared" si="4"/>
        <v>0</v>
      </c>
      <c r="H19" s="240">
        <f t="shared" si="5"/>
        <v>0</v>
      </c>
      <c r="I19" s="102" t="str">
        <f t="shared" si="6"/>
        <v>GbpLiborSwapIsda17Y</v>
      </c>
      <c r="J19" s="239" t="str">
        <f t="shared" si="7"/>
        <v>GBPSB6L17Y_Fwd1w_Quote</v>
      </c>
      <c r="K19" s="239"/>
      <c r="L19" s="247" t="str">
        <f>_xll.ohRangeRetrieveError(K19)</f>
        <v/>
      </c>
      <c r="M19" s="33"/>
    </row>
    <row r="20" spans="1:13" x14ac:dyDescent="0.2">
      <c r="A20" s="118"/>
      <c r="B20" s="76" t="s">
        <v>69</v>
      </c>
      <c r="C20" s="192" t="str">
        <f t="shared" si="0"/>
        <v>SB</v>
      </c>
      <c r="D20" s="192" t="str">
        <f t="shared" si="1"/>
        <v>6L</v>
      </c>
      <c r="E20" s="192" t="str">
        <f t="shared" si="2"/>
        <v>1w</v>
      </c>
      <c r="F20" s="192">
        <f t="shared" si="3"/>
        <v>0</v>
      </c>
      <c r="G20" s="192">
        <f t="shared" si="4"/>
        <v>0</v>
      </c>
      <c r="H20" s="240">
        <f t="shared" si="5"/>
        <v>0</v>
      </c>
      <c r="I20" s="102" t="str">
        <f t="shared" si="6"/>
        <v>GbpLiborSwapIsda18Y</v>
      </c>
      <c r="J20" s="239" t="str">
        <f t="shared" si="7"/>
        <v>GBPSB6L18Y_Fwd1w_Quote</v>
      </c>
      <c r="K20" s="239"/>
      <c r="L20" s="247" t="str">
        <f>_xll.ohRangeRetrieveError(K20)</f>
        <v/>
      </c>
      <c r="M20" s="33"/>
    </row>
    <row r="21" spans="1:13" x14ac:dyDescent="0.2">
      <c r="A21" s="118"/>
      <c r="B21" s="76" t="s">
        <v>68</v>
      </c>
      <c r="C21" s="192" t="str">
        <f t="shared" si="0"/>
        <v>SB</v>
      </c>
      <c r="D21" s="192" t="str">
        <f t="shared" si="1"/>
        <v>6L</v>
      </c>
      <c r="E21" s="192" t="str">
        <f t="shared" si="2"/>
        <v>1w</v>
      </c>
      <c r="F21" s="192">
        <f t="shared" si="3"/>
        <v>0</v>
      </c>
      <c r="G21" s="192">
        <f t="shared" si="4"/>
        <v>0</v>
      </c>
      <c r="H21" s="240">
        <f t="shared" si="5"/>
        <v>0</v>
      </c>
      <c r="I21" s="102" t="str">
        <f t="shared" si="6"/>
        <v>GbpLiborSwapIsda19Y</v>
      </c>
      <c r="J21" s="239" t="str">
        <f t="shared" si="7"/>
        <v>GBPSB6L19Y_Fwd1w_Quote</v>
      </c>
      <c r="K21" s="239"/>
      <c r="L21" s="247" t="str">
        <f>_xll.ohRangeRetrieveError(K21)</f>
        <v/>
      </c>
      <c r="M21" s="33"/>
    </row>
    <row r="22" spans="1:13" x14ac:dyDescent="0.2">
      <c r="A22" s="118"/>
      <c r="B22" s="76" t="s">
        <v>67</v>
      </c>
      <c r="C22" s="192" t="str">
        <f t="shared" si="0"/>
        <v>SB</v>
      </c>
      <c r="D22" s="192" t="str">
        <f t="shared" si="1"/>
        <v>6L</v>
      </c>
      <c r="E22" s="192" t="str">
        <f t="shared" si="2"/>
        <v>1w</v>
      </c>
      <c r="F22" s="192">
        <f t="shared" si="3"/>
        <v>0</v>
      </c>
      <c r="G22" s="192">
        <f t="shared" si="4"/>
        <v>0</v>
      </c>
      <c r="H22" s="240">
        <f t="shared" si="5"/>
        <v>0</v>
      </c>
      <c r="I22" s="102" t="str">
        <f t="shared" si="6"/>
        <v>GbpLiborSwapIsda20Y</v>
      </c>
      <c r="J22" s="239" t="str">
        <f t="shared" si="7"/>
        <v>GBPSB6L20Y_Fwd1w_Quote</v>
      </c>
      <c r="K22" s="239"/>
      <c r="L22" s="247" t="str">
        <f>_xll.ohRangeRetrieveError(K22)</f>
        <v/>
      </c>
      <c r="M22" s="33"/>
    </row>
    <row r="23" spans="1:13" x14ac:dyDescent="0.2">
      <c r="A23" s="118"/>
      <c r="B23" s="76" t="s">
        <v>66</v>
      </c>
      <c r="C23" s="192" t="str">
        <f t="shared" si="0"/>
        <v>SB</v>
      </c>
      <c r="D23" s="192" t="str">
        <f t="shared" si="1"/>
        <v>6L</v>
      </c>
      <c r="E23" s="192" t="str">
        <f t="shared" si="2"/>
        <v>1w</v>
      </c>
      <c r="F23" s="192">
        <f t="shared" si="3"/>
        <v>0</v>
      </c>
      <c r="G23" s="192">
        <f t="shared" si="4"/>
        <v>0</v>
      </c>
      <c r="H23" s="240">
        <f t="shared" si="5"/>
        <v>0</v>
      </c>
      <c r="I23" s="102" t="str">
        <f t="shared" si="6"/>
        <v>GbpLiborSwapIsda21Y</v>
      </c>
      <c r="J23" s="239" t="str">
        <f t="shared" si="7"/>
        <v>GBPSB6L21Y_Fwd1w_Quote</v>
      </c>
      <c r="K23" s="239"/>
      <c r="L23" s="247" t="str">
        <f>_xll.ohRangeRetrieveError(K23)</f>
        <v/>
      </c>
      <c r="M23" s="33"/>
    </row>
    <row r="24" spans="1:13" x14ac:dyDescent="0.2">
      <c r="A24" s="118"/>
      <c r="B24" s="76" t="s">
        <v>65</v>
      </c>
      <c r="C24" s="192" t="str">
        <f t="shared" si="0"/>
        <v>SB</v>
      </c>
      <c r="D24" s="192" t="str">
        <f t="shared" si="1"/>
        <v>6L</v>
      </c>
      <c r="E24" s="192" t="str">
        <f t="shared" si="2"/>
        <v>1w</v>
      </c>
      <c r="F24" s="192">
        <f t="shared" si="3"/>
        <v>0</v>
      </c>
      <c r="G24" s="192">
        <f t="shared" si="4"/>
        <v>0</v>
      </c>
      <c r="H24" s="240">
        <f t="shared" si="5"/>
        <v>0</v>
      </c>
      <c r="I24" s="102" t="str">
        <f t="shared" si="6"/>
        <v>GbpLiborSwapIsda22Y</v>
      </c>
      <c r="J24" s="239" t="str">
        <f t="shared" si="7"/>
        <v>GBPSB6L22Y_Fwd1w_Quote</v>
      </c>
      <c r="K24" s="239"/>
      <c r="L24" s="247" t="str">
        <f>_xll.ohRangeRetrieveError(K24)</f>
        <v/>
      </c>
      <c r="M24" s="33"/>
    </row>
    <row r="25" spans="1:13" x14ac:dyDescent="0.2">
      <c r="A25" s="118"/>
      <c r="B25" s="76" t="s">
        <v>64</v>
      </c>
      <c r="C25" s="192" t="str">
        <f t="shared" si="0"/>
        <v>SB</v>
      </c>
      <c r="D25" s="192" t="str">
        <f t="shared" si="1"/>
        <v>6L</v>
      </c>
      <c r="E25" s="192" t="str">
        <f t="shared" si="2"/>
        <v>1w</v>
      </c>
      <c r="F25" s="192">
        <f t="shared" si="3"/>
        <v>0</v>
      </c>
      <c r="G25" s="192">
        <f t="shared" si="4"/>
        <v>0</v>
      </c>
      <c r="H25" s="240">
        <f t="shared" si="5"/>
        <v>0</v>
      </c>
      <c r="I25" s="102" t="str">
        <f t="shared" si="6"/>
        <v>GbpLiborSwapIsda23Y</v>
      </c>
      <c r="J25" s="239" t="str">
        <f t="shared" si="7"/>
        <v>GBPSB6L23Y_Fwd1w_Quote</v>
      </c>
      <c r="K25" s="239"/>
      <c r="L25" s="247" t="str">
        <f>_xll.ohRangeRetrieveError(K25)</f>
        <v/>
      </c>
      <c r="M25" s="33"/>
    </row>
    <row r="26" spans="1:13" x14ac:dyDescent="0.2">
      <c r="A26" s="118"/>
      <c r="B26" s="76" t="s">
        <v>63</v>
      </c>
      <c r="C26" s="192" t="str">
        <f t="shared" si="0"/>
        <v>SB</v>
      </c>
      <c r="D26" s="192" t="str">
        <f t="shared" si="1"/>
        <v>6L</v>
      </c>
      <c r="E26" s="192" t="str">
        <f t="shared" si="2"/>
        <v>1w</v>
      </c>
      <c r="F26" s="192">
        <f t="shared" si="3"/>
        <v>0</v>
      </c>
      <c r="G26" s="192">
        <f t="shared" si="4"/>
        <v>0</v>
      </c>
      <c r="H26" s="240">
        <f t="shared" si="5"/>
        <v>0</v>
      </c>
      <c r="I26" s="102" t="str">
        <f t="shared" si="6"/>
        <v>GbpLiborSwapIsda24Y</v>
      </c>
      <c r="J26" s="239" t="str">
        <f t="shared" si="7"/>
        <v>GBPSB6L24Y_Fwd1w_Quote</v>
      </c>
      <c r="K26" s="239"/>
      <c r="L26" s="247" t="str">
        <f>_xll.ohRangeRetrieveError(K26)</f>
        <v/>
      </c>
      <c r="M26" s="33"/>
    </row>
    <row r="27" spans="1:13" x14ac:dyDescent="0.2">
      <c r="A27" s="118"/>
      <c r="B27" s="76" t="s">
        <v>62</v>
      </c>
      <c r="C27" s="192" t="str">
        <f t="shared" si="0"/>
        <v>SB</v>
      </c>
      <c r="D27" s="192" t="str">
        <f t="shared" si="1"/>
        <v>6L</v>
      </c>
      <c r="E27" s="192" t="str">
        <f t="shared" si="2"/>
        <v>1w</v>
      </c>
      <c r="F27" s="192">
        <f t="shared" si="3"/>
        <v>0</v>
      </c>
      <c r="G27" s="192">
        <f t="shared" si="4"/>
        <v>0</v>
      </c>
      <c r="H27" s="240">
        <f t="shared" si="5"/>
        <v>0</v>
      </c>
      <c r="I27" s="102" t="str">
        <f t="shared" si="6"/>
        <v>GbpLiborSwapIsda25Y</v>
      </c>
      <c r="J27" s="239" t="str">
        <f t="shared" si="7"/>
        <v>GBPSB6L25Y_Fwd1w_Quote</v>
      </c>
      <c r="K27" s="239"/>
      <c r="L27" s="247" t="str">
        <f>_xll.ohRangeRetrieveError(K27)</f>
        <v/>
      </c>
      <c r="M27" s="33"/>
    </row>
    <row r="28" spans="1:13" x14ac:dyDescent="0.2">
      <c r="A28" s="118"/>
      <c r="B28" s="76" t="s">
        <v>61</v>
      </c>
      <c r="C28" s="192" t="str">
        <f t="shared" si="0"/>
        <v>SB</v>
      </c>
      <c r="D28" s="192" t="str">
        <f t="shared" si="1"/>
        <v>6L</v>
      </c>
      <c r="E28" s="192" t="str">
        <f t="shared" si="2"/>
        <v>1w</v>
      </c>
      <c r="F28" s="192">
        <f t="shared" si="3"/>
        <v>0</v>
      </c>
      <c r="G28" s="192">
        <f t="shared" si="4"/>
        <v>0</v>
      </c>
      <c r="H28" s="240">
        <f t="shared" si="5"/>
        <v>0</v>
      </c>
      <c r="I28" s="102" t="str">
        <f t="shared" si="6"/>
        <v>GbpLiborSwapIsda26Y</v>
      </c>
      <c r="J28" s="239" t="str">
        <f t="shared" si="7"/>
        <v>GBPSB6L26Y_Fwd1w_Quote</v>
      </c>
      <c r="K28" s="239"/>
      <c r="L28" s="247" t="str">
        <f>_xll.ohRangeRetrieveError(K28)</f>
        <v/>
      </c>
      <c r="M28" s="33"/>
    </row>
    <row r="29" spans="1:13" x14ac:dyDescent="0.2">
      <c r="A29" s="118"/>
      <c r="B29" s="76" t="s">
        <v>60</v>
      </c>
      <c r="C29" s="192" t="str">
        <f t="shared" si="0"/>
        <v>SB</v>
      </c>
      <c r="D29" s="192" t="str">
        <f t="shared" si="1"/>
        <v>6L</v>
      </c>
      <c r="E29" s="192" t="str">
        <f t="shared" si="2"/>
        <v>1w</v>
      </c>
      <c r="F29" s="192">
        <f t="shared" si="3"/>
        <v>0</v>
      </c>
      <c r="G29" s="192">
        <f t="shared" si="4"/>
        <v>0</v>
      </c>
      <c r="H29" s="240">
        <f t="shared" si="5"/>
        <v>0</v>
      </c>
      <c r="I29" s="102" t="str">
        <f t="shared" si="6"/>
        <v>GbpLiborSwapIsda27Y</v>
      </c>
      <c r="J29" s="239" t="str">
        <f t="shared" si="7"/>
        <v>GBPSB6L27Y_Fwd1w_Quote</v>
      </c>
      <c r="K29" s="239"/>
      <c r="L29" s="247" t="str">
        <f>_xll.ohRangeRetrieveError(K29)</f>
        <v/>
      </c>
      <c r="M29" s="33"/>
    </row>
    <row r="30" spans="1:13" x14ac:dyDescent="0.2">
      <c r="A30" s="118"/>
      <c r="B30" s="76" t="s">
        <v>59</v>
      </c>
      <c r="C30" s="192" t="str">
        <f t="shared" si="0"/>
        <v>SB</v>
      </c>
      <c r="D30" s="192" t="str">
        <f t="shared" si="1"/>
        <v>6L</v>
      </c>
      <c r="E30" s="192" t="str">
        <f t="shared" si="2"/>
        <v>1w</v>
      </c>
      <c r="F30" s="192">
        <f t="shared" si="3"/>
        <v>0</v>
      </c>
      <c r="G30" s="192">
        <f t="shared" si="4"/>
        <v>0</v>
      </c>
      <c r="H30" s="240">
        <f t="shared" si="5"/>
        <v>0</v>
      </c>
      <c r="I30" s="102" t="str">
        <f t="shared" si="6"/>
        <v>GbpLiborSwapIsda28Y</v>
      </c>
      <c r="J30" s="239" t="str">
        <f t="shared" si="7"/>
        <v>GBPSB6L28Y_Fwd1w_Quote</v>
      </c>
      <c r="K30" s="239"/>
      <c r="L30" s="247" t="str">
        <f>_xll.ohRangeRetrieveError(K30)</f>
        <v/>
      </c>
      <c r="M30" s="33"/>
    </row>
    <row r="31" spans="1:13" x14ac:dyDescent="0.2">
      <c r="A31" s="118"/>
      <c r="B31" s="76" t="s">
        <v>58</v>
      </c>
      <c r="C31" s="192" t="str">
        <f t="shared" si="0"/>
        <v>SB</v>
      </c>
      <c r="D31" s="192" t="str">
        <f t="shared" si="1"/>
        <v>6L</v>
      </c>
      <c r="E31" s="192" t="str">
        <f t="shared" si="2"/>
        <v>1w</v>
      </c>
      <c r="F31" s="192">
        <f t="shared" si="3"/>
        <v>0</v>
      </c>
      <c r="G31" s="192">
        <f t="shared" si="4"/>
        <v>0</v>
      </c>
      <c r="H31" s="240">
        <f t="shared" si="5"/>
        <v>0</v>
      </c>
      <c r="I31" s="102" t="str">
        <f t="shared" si="6"/>
        <v>GbpLiborSwapIsda29Y</v>
      </c>
      <c r="J31" s="239" t="str">
        <f t="shared" si="7"/>
        <v>GBPSB6L29Y_Fwd1w_Quote</v>
      </c>
      <c r="K31" s="239"/>
      <c r="L31" s="247" t="str">
        <f>_xll.ohRangeRetrieveError(K31)</f>
        <v/>
      </c>
      <c r="M31" s="33"/>
    </row>
    <row r="32" spans="1:13" x14ac:dyDescent="0.2">
      <c r="A32" s="118"/>
      <c r="B32" s="76" t="s">
        <v>57</v>
      </c>
      <c r="C32" s="192" t="str">
        <f t="shared" si="0"/>
        <v>SB</v>
      </c>
      <c r="D32" s="192" t="str">
        <f t="shared" si="1"/>
        <v>6L</v>
      </c>
      <c r="E32" s="192" t="str">
        <f t="shared" si="2"/>
        <v>1w</v>
      </c>
      <c r="F32" s="192">
        <f t="shared" si="3"/>
        <v>0</v>
      </c>
      <c r="G32" s="192">
        <f t="shared" si="4"/>
        <v>0</v>
      </c>
      <c r="H32" s="240">
        <f t="shared" si="5"/>
        <v>0</v>
      </c>
      <c r="I32" s="102" t="str">
        <f t="shared" si="6"/>
        <v>GbpLiborSwapIsda30Y</v>
      </c>
      <c r="J32" s="239" t="str">
        <f t="shared" si="7"/>
        <v>GBPSB6L30Y_Fwd1w_Quote</v>
      </c>
      <c r="K32" s="239"/>
      <c r="L32" s="247" t="str">
        <f>_xll.ohRangeRetrieveError(K32)</f>
        <v/>
      </c>
      <c r="M32" s="33"/>
    </row>
    <row r="33" spans="1:13" x14ac:dyDescent="0.2">
      <c r="A33" s="118"/>
      <c r="B33" s="76" t="s">
        <v>52</v>
      </c>
      <c r="C33" s="192" t="str">
        <f t="shared" si="0"/>
        <v>SB</v>
      </c>
      <c r="D33" s="192" t="str">
        <f t="shared" si="1"/>
        <v>6L</v>
      </c>
      <c r="E33" s="192" t="str">
        <f t="shared" si="2"/>
        <v>1w</v>
      </c>
      <c r="F33" s="192">
        <f t="shared" si="3"/>
        <v>0</v>
      </c>
      <c r="G33" s="192">
        <f t="shared" si="4"/>
        <v>0</v>
      </c>
      <c r="H33" s="240">
        <f t="shared" si="5"/>
        <v>0</v>
      </c>
      <c r="I33" s="102" t="str">
        <f t="shared" si="6"/>
        <v>GbpLiborSwapIsda35Y</v>
      </c>
      <c r="J33" s="239" t="str">
        <f t="shared" si="7"/>
        <v>GBPSB6L35Y_Fwd1w_Quote</v>
      </c>
      <c r="K33" s="239"/>
      <c r="L33" s="247" t="str">
        <f>_xll.ohRangeRetrieveError(K33)</f>
        <v/>
      </c>
      <c r="M33" s="33"/>
    </row>
    <row r="34" spans="1:13" x14ac:dyDescent="0.2">
      <c r="A34" s="118"/>
      <c r="B34" s="76" t="s">
        <v>47</v>
      </c>
      <c r="C34" s="192" t="str">
        <f t="shared" si="0"/>
        <v>SB</v>
      </c>
      <c r="D34" s="192" t="str">
        <f t="shared" si="1"/>
        <v>6L</v>
      </c>
      <c r="E34" s="192" t="str">
        <f t="shared" si="2"/>
        <v>1w</v>
      </c>
      <c r="F34" s="192">
        <f t="shared" si="3"/>
        <v>0</v>
      </c>
      <c r="G34" s="192">
        <f t="shared" si="4"/>
        <v>0</v>
      </c>
      <c r="H34" s="240">
        <f t="shared" si="5"/>
        <v>0</v>
      </c>
      <c r="I34" s="102" t="str">
        <f t="shared" si="6"/>
        <v>GbpLiborSwapIsda40Y</v>
      </c>
      <c r="J34" s="239" t="str">
        <f t="shared" si="7"/>
        <v>GBPSB6L40Y_Fwd1w_Quote</v>
      </c>
      <c r="K34" s="239"/>
      <c r="L34" s="247" t="str">
        <f>_xll.ohRangeRetrieveError(K34)</f>
        <v/>
      </c>
      <c r="M34" s="33"/>
    </row>
    <row r="35" spans="1:13" x14ac:dyDescent="0.2">
      <c r="A35" s="118"/>
      <c r="B35" s="76" t="s">
        <v>37</v>
      </c>
      <c r="C35" s="192" t="str">
        <f t="shared" si="0"/>
        <v>SB</v>
      </c>
      <c r="D35" s="192" t="str">
        <f t="shared" si="1"/>
        <v>6L</v>
      </c>
      <c r="E35" s="192" t="str">
        <f t="shared" si="2"/>
        <v>1w</v>
      </c>
      <c r="F35" s="192">
        <f t="shared" si="3"/>
        <v>0</v>
      </c>
      <c r="G35" s="192">
        <f t="shared" si="4"/>
        <v>0</v>
      </c>
      <c r="H35" s="240">
        <f t="shared" si="5"/>
        <v>0</v>
      </c>
      <c r="I35" s="102" t="str">
        <f t="shared" si="6"/>
        <v>GbpLiborSwapIsda50Y</v>
      </c>
      <c r="J35" s="239" t="str">
        <f t="shared" si="7"/>
        <v>GBPSB6L50Y_Fwd1w_Quote</v>
      </c>
      <c r="K35" s="239"/>
      <c r="L35" s="247" t="str">
        <f>_xll.ohRangeRetrieveError(K35)</f>
        <v/>
      </c>
      <c r="M35" s="33"/>
    </row>
    <row r="36" spans="1:13" x14ac:dyDescent="0.2">
      <c r="A36" s="118"/>
      <c r="B36" s="76" t="s">
        <v>27</v>
      </c>
      <c r="C36" s="192" t="str">
        <f t="shared" si="0"/>
        <v>SB</v>
      </c>
      <c r="D36" s="192" t="str">
        <f t="shared" si="1"/>
        <v>6L</v>
      </c>
      <c r="E36" s="192" t="str">
        <f t="shared" si="2"/>
        <v>1w</v>
      </c>
      <c r="F36" s="192">
        <f t="shared" si="3"/>
        <v>0</v>
      </c>
      <c r="G36" s="192">
        <f t="shared" si="4"/>
        <v>0</v>
      </c>
      <c r="H36" s="240">
        <f t="shared" si="5"/>
        <v>0</v>
      </c>
      <c r="I36" s="102" t="str">
        <f t="shared" si="6"/>
        <v>GbpLiborSwapIsda60Y</v>
      </c>
      <c r="J36" s="239" t="str">
        <f t="shared" si="7"/>
        <v>GBPSB6L60Y_Fwd1w_Quote</v>
      </c>
      <c r="K36" s="239"/>
      <c r="L36" s="247"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T37"/>
  <sheetViews>
    <sheetView workbookViewId="0"/>
  </sheetViews>
  <sheetFormatPr defaultRowHeight="11.25" x14ac:dyDescent="0.2"/>
  <cols>
    <col min="1" max="1" width="3.28515625" style="65" customWidth="1"/>
    <col min="2" max="2" width="3.85546875" style="65" bestFit="1" customWidth="1"/>
    <col min="3" max="3" width="3.140625" style="65" bestFit="1" customWidth="1"/>
    <col min="4" max="4" width="2.7109375" style="65" bestFit="1" customWidth="1"/>
    <col min="5" max="5" width="4.7109375" style="65" bestFit="1" customWidth="1"/>
    <col min="6" max="7" width="2.7109375" style="65" bestFit="1" customWidth="1"/>
    <col min="8" max="8" width="15.28515625" style="65" bestFit="1" customWidth="1"/>
    <col min="9" max="9" width="19.140625" style="65" bestFit="1" customWidth="1"/>
    <col min="10" max="10" width="31" style="65" bestFit="1" customWidth="1"/>
    <col min="11" max="11" width="32.140625" style="65" bestFit="1" customWidth="1"/>
    <col min="12" max="12" width="30.5703125" style="65" customWidth="1"/>
    <col min="13" max="14" width="3.7109375" style="65" customWidth="1"/>
    <col min="15" max="15" width="4" style="65" bestFit="1" customWidth="1"/>
    <col min="16" max="16" width="3.140625" style="65" bestFit="1" customWidth="1"/>
    <col min="17" max="17" width="2.7109375" style="65" bestFit="1" customWidth="1"/>
    <col min="18" max="18" width="3.28515625" style="65" bestFit="1" customWidth="1"/>
    <col min="19" max="20" width="2.7109375" style="65" bestFit="1" customWidth="1"/>
    <col min="21" max="16384" width="9.140625" style="65"/>
  </cols>
  <sheetData>
    <row r="1" spans="1:20" ht="12" thickBot="1" x14ac:dyDescent="0.25">
      <c r="A1" s="580" t="s">
        <v>345</v>
      </c>
      <c r="B1" s="201"/>
      <c r="C1" s="201"/>
      <c r="D1" s="201"/>
      <c r="E1" s="201"/>
      <c r="F1" s="201"/>
      <c r="G1" s="201"/>
      <c r="H1" s="201"/>
      <c r="I1" s="201"/>
      <c r="J1" s="201"/>
      <c r="K1" s="201"/>
      <c r="L1" s="151"/>
      <c r="M1" s="198"/>
    </row>
    <row r="2" spans="1:20" ht="22.5" x14ac:dyDescent="0.2">
      <c r="A2" s="118"/>
      <c r="B2" s="90"/>
      <c r="C2" s="90"/>
      <c r="D2" s="90"/>
      <c r="E2" s="90" t="s">
        <v>222</v>
      </c>
      <c r="F2" s="90"/>
      <c r="G2" s="90"/>
      <c r="H2" s="90" t="s">
        <v>221</v>
      </c>
      <c r="I2" s="90" t="s">
        <v>220</v>
      </c>
      <c r="J2" s="244" t="str">
        <f>Currency&amp;"_020_Sw"&amp;$C$3&amp;$D$3&amp;"_"&amp;"Fwd"&amp;$E$3&amp;IF(H3=0,,"_Spr"&amp;$F3&amp;$G3)&amp;".xml"</f>
        <v>GBP_020_SwSB3L_Fwd1w.xml</v>
      </c>
      <c r="K2" s="105" t="e">
        <f ca="1">IF(Serialize,_xll.ohObjectSave(K3:K36,SerializationPath&amp;J2,FileOverwrite,Serialize),"---")</f>
        <v>#NUM!</v>
      </c>
      <c r="L2" s="72" t="e">
        <f ca="1">_xll.ohRangeRetrieveError(K2)</f>
        <v>#NUM!</v>
      </c>
      <c r="M2" s="33"/>
      <c r="O2" s="210"/>
      <c r="P2" s="209"/>
      <c r="Q2" s="209"/>
      <c r="R2" s="209"/>
      <c r="S2" s="209"/>
      <c r="T2" s="208"/>
    </row>
    <row r="3" spans="1:20" x14ac:dyDescent="0.2">
      <c r="A3" s="118"/>
      <c r="B3" s="76" t="s">
        <v>1</v>
      </c>
      <c r="C3" s="192" t="str">
        <f t="shared" ref="C3:C36" si="0">VLOOKUP(Currency,$O$3:$T$7,2)</f>
        <v>SB</v>
      </c>
      <c r="D3" s="192" t="str">
        <f t="shared" ref="D3:D36" si="1">VLOOKUP(Currency,$O$3:$T$7,3)</f>
        <v>3L</v>
      </c>
      <c r="E3" s="192" t="str">
        <f t="shared" ref="E3:E36" si="2">VLOOKUP(Currency,$O$3:$T$7,4)</f>
        <v>1w</v>
      </c>
      <c r="F3" s="192">
        <f t="shared" ref="F3:F36" si="3">VLOOKUP(Currency,$O$3:$T$7,5)</f>
        <v>0</v>
      </c>
      <c r="G3" s="192">
        <f t="shared" ref="G3:G36" si="4">VLOOKUP(Currency,$O$3:$T$7,6)</f>
        <v>0</v>
      </c>
      <c r="H3" s="240">
        <f t="shared" ref="H3:H36" si="5">IF(F3=0,0,Currency&amp;$F3&amp;$G3&amp;$B3&amp;QuoteSuffix)</f>
        <v>0</v>
      </c>
      <c r="I3" s="242"/>
      <c r="J3" s="239" t="str">
        <f t="shared" ref="J3:J36" si="6">Currency&amp;$C3&amp;$D3&amp;$B3&amp;"_"&amp;"Fwd"&amp;E3&amp;IF(H3=0,,"_S"&amp;$F3&amp;$G3)&amp;QuoteSuffix</f>
        <v>GBPSB3L1Y_Fwd1w_Quote</v>
      </c>
      <c r="K3" s="239"/>
      <c r="L3" s="247" t="str">
        <f>_xll.ohRangeRetrieveError(K3)</f>
        <v/>
      </c>
      <c r="M3" s="33"/>
      <c r="O3" s="83" t="s">
        <v>121</v>
      </c>
      <c r="P3" s="82" t="s">
        <v>212</v>
      </c>
      <c r="Q3" s="82" t="s">
        <v>114</v>
      </c>
      <c r="R3" s="82" t="s">
        <v>219</v>
      </c>
      <c r="S3" s="82"/>
      <c r="T3" s="81"/>
    </row>
    <row r="4" spans="1:20" x14ac:dyDescent="0.2">
      <c r="A4" s="118"/>
      <c r="B4" s="76" t="s">
        <v>85</v>
      </c>
      <c r="C4" s="192" t="str">
        <f t="shared" si="0"/>
        <v>SB</v>
      </c>
      <c r="D4" s="192" t="str">
        <f t="shared" si="1"/>
        <v>3L</v>
      </c>
      <c r="E4" s="192" t="str">
        <f t="shared" si="2"/>
        <v>1w</v>
      </c>
      <c r="F4" s="192">
        <f t="shared" si="3"/>
        <v>0</v>
      </c>
      <c r="G4" s="192">
        <f t="shared" si="4"/>
        <v>0</v>
      </c>
      <c r="H4" s="240">
        <f t="shared" si="5"/>
        <v>0</v>
      </c>
      <c r="I4" s="102"/>
      <c r="J4" s="239" t="str">
        <f t="shared" si="6"/>
        <v>GBPSB3L2Y_Fwd1w_Quote</v>
      </c>
      <c r="K4" s="239"/>
      <c r="L4" s="247" t="str">
        <f>_xll.ohRangeRetrieveError(K4)</f>
        <v/>
      </c>
      <c r="M4" s="33"/>
      <c r="O4" s="83" t="s">
        <v>120</v>
      </c>
      <c r="P4" s="82" t="s">
        <v>212</v>
      </c>
      <c r="Q4" s="249" t="s">
        <v>126</v>
      </c>
      <c r="R4" s="82" t="s">
        <v>219</v>
      </c>
      <c r="S4" s="82" t="s">
        <v>126</v>
      </c>
      <c r="T4" s="81" t="s">
        <v>118</v>
      </c>
    </row>
    <row r="5" spans="1:20" x14ac:dyDescent="0.2">
      <c r="A5" s="118"/>
      <c r="B5" s="76" t="s">
        <v>84</v>
      </c>
      <c r="C5" s="192" t="str">
        <f t="shared" si="0"/>
        <v>SB</v>
      </c>
      <c r="D5" s="192" t="str">
        <f t="shared" si="1"/>
        <v>3L</v>
      </c>
      <c r="E5" s="192" t="str">
        <f t="shared" si="2"/>
        <v>1w</v>
      </c>
      <c r="F5" s="192">
        <f t="shared" si="3"/>
        <v>0</v>
      </c>
      <c r="G5" s="192">
        <f t="shared" si="4"/>
        <v>0</v>
      </c>
      <c r="H5" s="240">
        <f t="shared" si="5"/>
        <v>0</v>
      </c>
      <c r="I5" s="102"/>
      <c r="J5" s="239" t="str">
        <f t="shared" si="6"/>
        <v>GBPSB3L3Y_Fwd1w_Quote</v>
      </c>
      <c r="K5" s="239"/>
      <c r="L5" s="247" t="str">
        <f>_xll.ohRangeRetrieveError(K5)</f>
        <v/>
      </c>
      <c r="M5" s="33"/>
      <c r="O5" s="83" t="s">
        <v>96</v>
      </c>
      <c r="P5" s="82" t="s">
        <v>211</v>
      </c>
      <c r="Q5" s="82" t="s">
        <v>114</v>
      </c>
      <c r="R5" s="82" t="s">
        <v>219</v>
      </c>
      <c r="S5" s="82"/>
      <c r="T5" s="81"/>
    </row>
    <row r="6" spans="1:20" x14ac:dyDescent="0.2">
      <c r="A6" s="118"/>
      <c r="B6" s="76" t="s">
        <v>83</v>
      </c>
      <c r="C6" s="192" t="str">
        <f t="shared" si="0"/>
        <v>SB</v>
      </c>
      <c r="D6" s="192" t="str">
        <f t="shared" si="1"/>
        <v>3L</v>
      </c>
      <c r="E6" s="192" t="str">
        <f t="shared" si="2"/>
        <v>1w</v>
      </c>
      <c r="F6" s="192">
        <f t="shared" si="3"/>
        <v>0</v>
      </c>
      <c r="G6" s="192">
        <f t="shared" si="4"/>
        <v>0</v>
      </c>
      <c r="H6" s="240">
        <f t="shared" si="5"/>
        <v>0</v>
      </c>
      <c r="I6" s="102"/>
      <c r="J6" s="239" t="str">
        <f t="shared" si="6"/>
        <v>GBPSB3L4Y_Fwd1w_Quote</v>
      </c>
      <c r="K6" s="239"/>
      <c r="L6" s="247" t="str">
        <f>_xll.ohRangeRetrieveError(K6)</f>
        <v/>
      </c>
      <c r="M6" s="33"/>
      <c r="O6" s="83" t="s">
        <v>117</v>
      </c>
      <c r="P6" s="82" t="s">
        <v>211</v>
      </c>
      <c r="Q6" s="82" t="s">
        <v>114</v>
      </c>
      <c r="R6" s="82" t="s">
        <v>219</v>
      </c>
      <c r="S6" s="82"/>
      <c r="T6" s="81"/>
    </row>
    <row r="7" spans="1:20" ht="12" thickBot="1" x14ac:dyDescent="0.25">
      <c r="A7" s="118"/>
      <c r="B7" s="76" t="s">
        <v>82</v>
      </c>
      <c r="C7" s="192" t="str">
        <f t="shared" si="0"/>
        <v>SB</v>
      </c>
      <c r="D7" s="192" t="str">
        <f t="shared" si="1"/>
        <v>3L</v>
      </c>
      <c r="E7" s="192" t="str">
        <f t="shared" si="2"/>
        <v>1w</v>
      </c>
      <c r="F7" s="192">
        <f t="shared" si="3"/>
        <v>0</v>
      </c>
      <c r="G7" s="192">
        <f t="shared" si="4"/>
        <v>0</v>
      </c>
      <c r="H7" s="240">
        <f t="shared" si="5"/>
        <v>0</v>
      </c>
      <c r="I7" s="102"/>
      <c r="J7" s="239" t="str">
        <f t="shared" si="6"/>
        <v>GBPSB3L5Y_Fwd1w_Quote</v>
      </c>
      <c r="K7" s="239"/>
      <c r="L7" s="247" t="str">
        <f>_xll.ohRangeRetrieveError(K7)</f>
        <v/>
      </c>
      <c r="M7" s="33"/>
      <c r="O7" s="80" t="s">
        <v>115</v>
      </c>
      <c r="P7" s="79" t="s">
        <v>210</v>
      </c>
      <c r="Q7" s="79" t="s">
        <v>114</v>
      </c>
      <c r="R7" s="79" t="s">
        <v>219</v>
      </c>
      <c r="S7" s="79" t="s">
        <v>116</v>
      </c>
      <c r="T7" s="78" t="s">
        <v>114</v>
      </c>
    </row>
    <row r="8" spans="1:20" x14ac:dyDescent="0.2">
      <c r="A8" s="118"/>
      <c r="B8" s="76" t="s">
        <v>81</v>
      </c>
      <c r="C8" s="192" t="str">
        <f t="shared" si="0"/>
        <v>SB</v>
      </c>
      <c r="D8" s="192" t="str">
        <f t="shared" si="1"/>
        <v>3L</v>
      </c>
      <c r="E8" s="192" t="str">
        <f t="shared" si="2"/>
        <v>1w</v>
      </c>
      <c r="F8" s="192">
        <f t="shared" si="3"/>
        <v>0</v>
      </c>
      <c r="G8" s="192">
        <f t="shared" si="4"/>
        <v>0</v>
      </c>
      <c r="H8" s="240">
        <f t="shared" si="5"/>
        <v>0</v>
      </c>
      <c r="I8" s="102"/>
      <c r="J8" s="239" t="str">
        <f t="shared" si="6"/>
        <v>GBPSB3L6Y_Fwd1w_Quote</v>
      </c>
      <c r="K8" s="239"/>
      <c r="L8" s="247" t="str">
        <f>_xll.ohRangeRetrieveError(K8)</f>
        <v/>
      </c>
      <c r="M8" s="33"/>
    </row>
    <row r="9" spans="1:20" x14ac:dyDescent="0.2">
      <c r="A9" s="118"/>
      <c r="B9" s="76" t="s">
        <v>80</v>
      </c>
      <c r="C9" s="192" t="str">
        <f t="shared" si="0"/>
        <v>SB</v>
      </c>
      <c r="D9" s="192" t="str">
        <f t="shared" si="1"/>
        <v>3L</v>
      </c>
      <c r="E9" s="192" t="str">
        <f t="shared" si="2"/>
        <v>1w</v>
      </c>
      <c r="F9" s="192">
        <f t="shared" si="3"/>
        <v>0</v>
      </c>
      <c r="G9" s="192">
        <f t="shared" si="4"/>
        <v>0</v>
      </c>
      <c r="H9" s="240">
        <f t="shared" si="5"/>
        <v>0</v>
      </c>
      <c r="I9" s="102"/>
      <c r="J9" s="239" t="str">
        <f t="shared" si="6"/>
        <v>GBPSB3L7Y_Fwd1w_Quote</v>
      </c>
      <c r="K9" s="239"/>
      <c r="L9" s="247" t="str">
        <f>_xll.ohRangeRetrieveError(K9)</f>
        <v/>
      </c>
      <c r="M9" s="33"/>
    </row>
    <row r="10" spans="1:20" x14ac:dyDescent="0.2">
      <c r="A10" s="118"/>
      <c r="B10" s="76" t="s">
        <v>79</v>
      </c>
      <c r="C10" s="192" t="str">
        <f t="shared" si="0"/>
        <v>SB</v>
      </c>
      <c r="D10" s="192" t="str">
        <f t="shared" si="1"/>
        <v>3L</v>
      </c>
      <c r="E10" s="192" t="str">
        <f t="shared" si="2"/>
        <v>1w</v>
      </c>
      <c r="F10" s="192">
        <f t="shared" si="3"/>
        <v>0</v>
      </c>
      <c r="G10" s="192">
        <f t="shared" si="4"/>
        <v>0</v>
      </c>
      <c r="H10" s="240">
        <f t="shared" si="5"/>
        <v>0</v>
      </c>
      <c r="I10" s="102"/>
      <c r="J10" s="239" t="str">
        <f t="shared" si="6"/>
        <v>GBPSB3L8Y_Fwd1w_Quote</v>
      </c>
      <c r="K10" s="239"/>
      <c r="L10" s="247" t="str">
        <f>_xll.ohRangeRetrieveError(K10)</f>
        <v/>
      </c>
      <c r="M10" s="33"/>
    </row>
    <row r="11" spans="1:20" x14ac:dyDescent="0.2">
      <c r="A11" s="118"/>
      <c r="B11" s="76" t="s">
        <v>78</v>
      </c>
      <c r="C11" s="192" t="str">
        <f t="shared" si="0"/>
        <v>SB</v>
      </c>
      <c r="D11" s="192" t="str">
        <f t="shared" si="1"/>
        <v>3L</v>
      </c>
      <c r="E11" s="192" t="str">
        <f t="shared" si="2"/>
        <v>1w</v>
      </c>
      <c r="F11" s="192">
        <f t="shared" si="3"/>
        <v>0</v>
      </c>
      <c r="G11" s="192">
        <f t="shared" si="4"/>
        <v>0</v>
      </c>
      <c r="H11" s="240">
        <f t="shared" si="5"/>
        <v>0</v>
      </c>
      <c r="I11" s="102"/>
      <c r="J11" s="239" t="str">
        <f t="shared" si="6"/>
        <v>GBPSB3L9Y_Fwd1w_Quote</v>
      </c>
      <c r="K11" s="239"/>
      <c r="L11" s="247" t="str">
        <f>_xll.ohRangeRetrieveError(K11)</f>
        <v/>
      </c>
      <c r="M11" s="33"/>
    </row>
    <row r="12" spans="1:20" x14ac:dyDescent="0.2">
      <c r="A12" s="118"/>
      <c r="B12" s="76" t="s">
        <v>77</v>
      </c>
      <c r="C12" s="192" t="str">
        <f t="shared" si="0"/>
        <v>SB</v>
      </c>
      <c r="D12" s="192" t="str">
        <f t="shared" si="1"/>
        <v>3L</v>
      </c>
      <c r="E12" s="192" t="str">
        <f t="shared" si="2"/>
        <v>1w</v>
      </c>
      <c r="F12" s="192">
        <f t="shared" si="3"/>
        <v>0</v>
      </c>
      <c r="G12" s="192">
        <f t="shared" si="4"/>
        <v>0</v>
      </c>
      <c r="H12" s="240">
        <f t="shared" si="5"/>
        <v>0</v>
      </c>
      <c r="I12" s="102"/>
      <c r="J12" s="239" t="str">
        <f t="shared" si="6"/>
        <v>GBPSB3L10Y_Fwd1w_Quote</v>
      </c>
      <c r="K12" s="239"/>
      <c r="L12" s="247" t="str">
        <f>_xll.ohRangeRetrieveError(K12)</f>
        <v/>
      </c>
      <c r="M12" s="33"/>
    </row>
    <row r="13" spans="1:20" x14ac:dyDescent="0.2">
      <c r="A13" s="118"/>
      <c r="B13" s="76" t="s">
        <v>76</v>
      </c>
      <c r="C13" s="192" t="str">
        <f t="shared" si="0"/>
        <v>SB</v>
      </c>
      <c r="D13" s="192" t="str">
        <f t="shared" si="1"/>
        <v>3L</v>
      </c>
      <c r="E13" s="192" t="str">
        <f t="shared" si="2"/>
        <v>1w</v>
      </c>
      <c r="F13" s="192">
        <f t="shared" si="3"/>
        <v>0</v>
      </c>
      <c r="G13" s="192">
        <f t="shared" si="4"/>
        <v>0</v>
      </c>
      <c r="H13" s="240">
        <f t="shared" si="5"/>
        <v>0</v>
      </c>
      <c r="I13" s="102"/>
      <c r="J13" s="239" t="str">
        <f t="shared" si="6"/>
        <v>GBPSB3L11Y_Fwd1w_Quote</v>
      </c>
      <c r="K13" s="239"/>
      <c r="L13" s="247" t="str">
        <f>_xll.ohRangeRetrieveError(K13)</f>
        <v/>
      </c>
      <c r="M13" s="33"/>
    </row>
    <row r="14" spans="1:20" x14ac:dyDescent="0.2">
      <c r="A14" s="118"/>
      <c r="B14" s="76" t="s">
        <v>75</v>
      </c>
      <c r="C14" s="192" t="str">
        <f t="shared" si="0"/>
        <v>SB</v>
      </c>
      <c r="D14" s="192" t="str">
        <f t="shared" si="1"/>
        <v>3L</v>
      </c>
      <c r="E14" s="192" t="str">
        <f t="shared" si="2"/>
        <v>1w</v>
      </c>
      <c r="F14" s="192">
        <f t="shared" si="3"/>
        <v>0</v>
      </c>
      <c r="G14" s="192">
        <f t="shared" si="4"/>
        <v>0</v>
      </c>
      <c r="H14" s="240">
        <f t="shared" si="5"/>
        <v>0</v>
      </c>
      <c r="I14" s="102"/>
      <c r="J14" s="239" t="str">
        <f t="shared" si="6"/>
        <v>GBPSB3L12Y_Fwd1w_Quote</v>
      </c>
      <c r="K14" s="239"/>
      <c r="L14" s="247" t="str">
        <f>_xll.ohRangeRetrieveError(K14)</f>
        <v/>
      </c>
      <c r="M14" s="33"/>
    </row>
    <row r="15" spans="1:20" x14ac:dyDescent="0.2">
      <c r="A15" s="118"/>
      <c r="B15" s="76" t="s">
        <v>74</v>
      </c>
      <c r="C15" s="192" t="str">
        <f t="shared" si="0"/>
        <v>SB</v>
      </c>
      <c r="D15" s="192" t="str">
        <f t="shared" si="1"/>
        <v>3L</v>
      </c>
      <c r="E15" s="192" t="str">
        <f t="shared" si="2"/>
        <v>1w</v>
      </c>
      <c r="F15" s="192">
        <f t="shared" si="3"/>
        <v>0</v>
      </c>
      <c r="G15" s="192">
        <f t="shared" si="4"/>
        <v>0</v>
      </c>
      <c r="H15" s="240">
        <f t="shared" si="5"/>
        <v>0</v>
      </c>
      <c r="I15" s="102"/>
      <c r="J15" s="239" t="str">
        <f t="shared" si="6"/>
        <v>GBPSB3L13Y_Fwd1w_Quote</v>
      </c>
      <c r="K15" s="239"/>
      <c r="L15" s="247" t="str">
        <f>_xll.ohRangeRetrieveError(K15)</f>
        <v/>
      </c>
      <c r="M15" s="33"/>
    </row>
    <row r="16" spans="1:20" x14ac:dyDescent="0.2">
      <c r="A16" s="118"/>
      <c r="B16" s="76" t="s">
        <v>73</v>
      </c>
      <c r="C16" s="192" t="str">
        <f t="shared" si="0"/>
        <v>SB</v>
      </c>
      <c r="D16" s="192" t="str">
        <f t="shared" si="1"/>
        <v>3L</v>
      </c>
      <c r="E16" s="192" t="str">
        <f t="shared" si="2"/>
        <v>1w</v>
      </c>
      <c r="F16" s="192">
        <f t="shared" si="3"/>
        <v>0</v>
      </c>
      <c r="G16" s="192">
        <f t="shared" si="4"/>
        <v>0</v>
      </c>
      <c r="H16" s="240">
        <f t="shared" si="5"/>
        <v>0</v>
      </c>
      <c r="I16" s="102"/>
      <c r="J16" s="239" t="str">
        <f t="shared" si="6"/>
        <v>GBPSB3L14Y_Fwd1w_Quote</v>
      </c>
      <c r="K16" s="239"/>
      <c r="L16" s="247" t="str">
        <f>_xll.ohRangeRetrieveError(K16)</f>
        <v/>
      </c>
      <c r="M16" s="33"/>
    </row>
    <row r="17" spans="1:13" x14ac:dyDescent="0.2">
      <c r="A17" s="118"/>
      <c r="B17" s="76" t="s">
        <v>72</v>
      </c>
      <c r="C17" s="192" t="str">
        <f t="shared" si="0"/>
        <v>SB</v>
      </c>
      <c r="D17" s="192" t="str">
        <f t="shared" si="1"/>
        <v>3L</v>
      </c>
      <c r="E17" s="192" t="str">
        <f t="shared" si="2"/>
        <v>1w</v>
      </c>
      <c r="F17" s="192">
        <f t="shared" si="3"/>
        <v>0</v>
      </c>
      <c r="G17" s="192">
        <f t="shared" si="4"/>
        <v>0</v>
      </c>
      <c r="H17" s="240">
        <f t="shared" si="5"/>
        <v>0</v>
      </c>
      <c r="I17" s="102"/>
      <c r="J17" s="239" t="str">
        <f t="shared" si="6"/>
        <v>GBPSB3L15Y_Fwd1w_Quote</v>
      </c>
      <c r="K17" s="239"/>
      <c r="L17" s="247" t="str">
        <f>_xll.ohRangeRetrieveError(K17)</f>
        <v/>
      </c>
      <c r="M17" s="33"/>
    </row>
    <row r="18" spans="1:13" x14ac:dyDescent="0.2">
      <c r="A18" s="118"/>
      <c r="B18" s="76" t="s">
        <v>71</v>
      </c>
      <c r="C18" s="192" t="str">
        <f t="shared" si="0"/>
        <v>SB</v>
      </c>
      <c r="D18" s="192" t="str">
        <f t="shared" si="1"/>
        <v>3L</v>
      </c>
      <c r="E18" s="192" t="str">
        <f t="shared" si="2"/>
        <v>1w</v>
      </c>
      <c r="F18" s="192">
        <f t="shared" si="3"/>
        <v>0</v>
      </c>
      <c r="G18" s="192">
        <f t="shared" si="4"/>
        <v>0</v>
      </c>
      <c r="H18" s="240">
        <f t="shared" si="5"/>
        <v>0</v>
      </c>
      <c r="I18" s="102"/>
      <c r="J18" s="239" t="str">
        <f t="shared" si="6"/>
        <v>GBPSB3L16Y_Fwd1w_Quote</v>
      </c>
      <c r="K18" s="239"/>
      <c r="L18" s="247" t="str">
        <f>_xll.ohRangeRetrieveError(K18)</f>
        <v/>
      </c>
      <c r="M18" s="33"/>
    </row>
    <row r="19" spans="1:13" x14ac:dyDescent="0.2">
      <c r="A19" s="118"/>
      <c r="B19" s="76" t="s">
        <v>70</v>
      </c>
      <c r="C19" s="192" t="str">
        <f t="shared" si="0"/>
        <v>SB</v>
      </c>
      <c r="D19" s="192" t="str">
        <f t="shared" si="1"/>
        <v>3L</v>
      </c>
      <c r="E19" s="192" t="str">
        <f t="shared" si="2"/>
        <v>1w</v>
      </c>
      <c r="F19" s="192">
        <f t="shared" si="3"/>
        <v>0</v>
      </c>
      <c r="G19" s="192">
        <f t="shared" si="4"/>
        <v>0</v>
      </c>
      <c r="H19" s="240">
        <f t="shared" si="5"/>
        <v>0</v>
      </c>
      <c r="I19" s="102"/>
      <c r="J19" s="239" t="str">
        <f t="shared" si="6"/>
        <v>GBPSB3L17Y_Fwd1w_Quote</v>
      </c>
      <c r="K19" s="239"/>
      <c r="L19" s="247" t="str">
        <f>_xll.ohRangeRetrieveError(K19)</f>
        <v/>
      </c>
      <c r="M19" s="33"/>
    </row>
    <row r="20" spans="1:13" x14ac:dyDescent="0.2">
      <c r="A20" s="118"/>
      <c r="B20" s="76" t="s">
        <v>69</v>
      </c>
      <c r="C20" s="192" t="str">
        <f t="shared" si="0"/>
        <v>SB</v>
      </c>
      <c r="D20" s="192" t="str">
        <f t="shared" si="1"/>
        <v>3L</v>
      </c>
      <c r="E20" s="192" t="str">
        <f t="shared" si="2"/>
        <v>1w</v>
      </c>
      <c r="F20" s="192">
        <f t="shared" si="3"/>
        <v>0</v>
      </c>
      <c r="G20" s="192">
        <f t="shared" si="4"/>
        <v>0</v>
      </c>
      <c r="H20" s="240">
        <f t="shared" si="5"/>
        <v>0</v>
      </c>
      <c r="I20" s="102"/>
      <c r="J20" s="239" t="str">
        <f t="shared" si="6"/>
        <v>GBPSB3L18Y_Fwd1w_Quote</v>
      </c>
      <c r="K20" s="239"/>
      <c r="L20" s="247" t="str">
        <f>_xll.ohRangeRetrieveError(K20)</f>
        <v/>
      </c>
      <c r="M20" s="33"/>
    </row>
    <row r="21" spans="1:13" x14ac:dyDescent="0.2">
      <c r="A21" s="118"/>
      <c r="B21" s="76" t="s">
        <v>68</v>
      </c>
      <c r="C21" s="192" t="str">
        <f t="shared" si="0"/>
        <v>SB</v>
      </c>
      <c r="D21" s="192" t="str">
        <f t="shared" si="1"/>
        <v>3L</v>
      </c>
      <c r="E21" s="192" t="str">
        <f t="shared" si="2"/>
        <v>1w</v>
      </c>
      <c r="F21" s="192">
        <f t="shared" si="3"/>
        <v>0</v>
      </c>
      <c r="G21" s="192">
        <f t="shared" si="4"/>
        <v>0</v>
      </c>
      <c r="H21" s="240">
        <f t="shared" si="5"/>
        <v>0</v>
      </c>
      <c r="I21" s="102"/>
      <c r="J21" s="239" t="str">
        <f t="shared" si="6"/>
        <v>GBPSB3L19Y_Fwd1w_Quote</v>
      </c>
      <c r="K21" s="239"/>
      <c r="L21" s="247" t="str">
        <f>_xll.ohRangeRetrieveError(K21)</f>
        <v/>
      </c>
      <c r="M21" s="33"/>
    </row>
    <row r="22" spans="1:13" x14ac:dyDescent="0.2">
      <c r="A22" s="118"/>
      <c r="B22" s="76" t="s">
        <v>67</v>
      </c>
      <c r="C22" s="192" t="str">
        <f t="shared" si="0"/>
        <v>SB</v>
      </c>
      <c r="D22" s="192" t="str">
        <f t="shared" si="1"/>
        <v>3L</v>
      </c>
      <c r="E22" s="192" t="str">
        <f t="shared" si="2"/>
        <v>1w</v>
      </c>
      <c r="F22" s="192">
        <f t="shared" si="3"/>
        <v>0</v>
      </c>
      <c r="G22" s="192">
        <f t="shared" si="4"/>
        <v>0</v>
      </c>
      <c r="H22" s="240">
        <f t="shared" si="5"/>
        <v>0</v>
      </c>
      <c r="I22" s="102"/>
      <c r="J22" s="239" t="str">
        <f t="shared" si="6"/>
        <v>GBPSB3L20Y_Fwd1w_Quote</v>
      </c>
      <c r="K22" s="239"/>
      <c r="L22" s="247" t="str">
        <f>_xll.ohRangeRetrieveError(K22)</f>
        <v/>
      </c>
      <c r="M22" s="33"/>
    </row>
    <row r="23" spans="1:13" x14ac:dyDescent="0.2">
      <c r="A23" s="118"/>
      <c r="B23" s="76" t="s">
        <v>66</v>
      </c>
      <c r="C23" s="192" t="str">
        <f t="shared" si="0"/>
        <v>SB</v>
      </c>
      <c r="D23" s="192" t="str">
        <f t="shared" si="1"/>
        <v>3L</v>
      </c>
      <c r="E23" s="192" t="str">
        <f t="shared" si="2"/>
        <v>1w</v>
      </c>
      <c r="F23" s="192">
        <f t="shared" si="3"/>
        <v>0</v>
      </c>
      <c r="G23" s="192">
        <f t="shared" si="4"/>
        <v>0</v>
      </c>
      <c r="H23" s="240">
        <f t="shared" si="5"/>
        <v>0</v>
      </c>
      <c r="I23" s="102"/>
      <c r="J23" s="239" t="str">
        <f t="shared" si="6"/>
        <v>GBPSB3L21Y_Fwd1w_Quote</v>
      </c>
      <c r="K23" s="239"/>
      <c r="L23" s="247" t="str">
        <f>_xll.ohRangeRetrieveError(K23)</f>
        <v/>
      </c>
      <c r="M23" s="33"/>
    </row>
    <row r="24" spans="1:13" x14ac:dyDescent="0.2">
      <c r="A24" s="118"/>
      <c r="B24" s="76" t="s">
        <v>65</v>
      </c>
      <c r="C24" s="192" t="str">
        <f t="shared" si="0"/>
        <v>SB</v>
      </c>
      <c r="D24" s="192" t="str">
        <f t="shared" si="1"/>
        <v>3L</v>
      </c>
      <c r="E24" s="192" t="str">
        <f t="shared" si="2"/>
        <v>1w</v>
      </c>
      <c r="F24" s="192">
        <f t="shared" si="3"/>
        <v>0</v>
      </c>
      <c r="G24" s="192">
        <f t="shared" si="4"/>
        <v>0</v>
      </c>
      <c r="H24" s="240">
        <f t="shared" si="5"/>
        <v>0</v>
      </c>
      <c r="I24" s="102"/>
      <c r="J24" s="239" t="str">
        <f t="shared" si="6"/>
        <v>GBPSB3L22Y_Fwd1w_Quote</v>
      </c>
      <c r="K24" s="239"/>
      <c r="L24" s="247" t="str">
        <f>_xll.ohRangeRetrieveError(K24)</f>
        <v/>
      </c>
      <c r="M24" s="33"/>
    </row>
    <row r="25" spans="1:13" x14ac:dyDescent="0.2">
      <c r="A25" s="118"/>
      <c r="B25" s="76" t="s">
        <v>64</v>
      </c>
      <c r="C25" s="192" t="str">
        <f t="shared" si="0"/>
        <v>SB</v>
      </c>
      <c r="D25" s="192" t="str">
        <f t="shared" si="1"/>
        <v>3L</v>
      </c>
      <c r="E25" s="192" t="str">
        <f t="shared" si="2"/>
        <v>1w</v>
      </c>
      <c r="F25" s="192">
        <f t="shared" si="3"/>
        <v>0</v>
      </c>
      <c r="G25" s="192">
        <f t="shared" si="4"/>
        <v>0</v>
      </c>
      <c r="H25" s="240">
        <f t="shared" si="5"/>
        <v>0</v>
      </c>
      <c r="I25" s="102"/>
      <c r="J25" s="239" t="str">
        <f t="shared" si="6"/>
        <v>GBPSB3L23Y_Fwd1w_Quote</v>
      </c>
      <c r="K25" s="239"/>
      <c r="L25" s="247" t="str">
        <f>_xll.ohRangeRetrieveError(K25)</f>
        <v/>
      </c>
      <c r="M25" s="33"/>
    </row>
    <row r="26" spans="1:13" x14ac:dyDescent="0.2">
      <c r="A26" s="118"/>
      <c r="B26" s="76" t="s">
        <v>63</v>
      </c>
      <c r="C26" s="192" t="str">
        <f t="shared" si="0"/>
        <v>SB</v>
      </c>
      <c r="D26" s="192" t="str">
        <f t="shared" si="1"/>
        <v>3L</v>
      </c>
      <c r="E26" s="192" t="str">
        <f t="shared" si="2"/>
        <v>1w</v>
      </c>
      <c r="F26" s="192">
        <f t="shared" si="3"/>
        <v>0</v>
      </c>
      <c r="G26" s="192">
        <f t="shared" si="4"/>
        <v>0</v>
      </c>
      <c r="H26" s="240">
        <f t="shared" si="5"/>
        <v>0</v>
      </c>
      <c r="I26" s="102"/>
      <c r="J26" s="239" t="str">
        <f t="shared" si="6"/>
        <v>GBPSB3L24Y_Fwd1w_Quote</v>
      </c>
      <c r="K26" s="239"/>
      <c r="L26" s="247" t="str">
        <f>_xll.ohRangeRetrieveError(K26)</f>
        <v/>
      </c>
      <c r="M26" s="33"/>
    </row>
    <row r="27" spans="1:13" x14ac:dyDescent="0.2">
      <c r="A27" s="118"/>
      <c r="B27" s="76" t="s">
        <v>62</v>
      </c>
      <c r="C27" s="192" t="str">
        <f t="shared" si="0"/>
        <v>SB</v>
      </c>
      <c r="D27" s="192" t="str">
        <f t="shared" si="1"/>
        <v>3L</v>
      </c>
      <c r="E27" s="192" t="str">
        <f t="shared" si="2"/>
        <v>1w</v>
      </c>
      <c r="F27" s="192">
        <f t="shared" si="3"/>
        <v>0</v>
      </c>
      <c r="G27" s="192">
        <f t="shared" si="4"/>
        <v>0</v>
      </c>
      <c r="H27" s="240">
        <f t="shared" si="5"/>
        <v>0</v>
      </c>
      <c r="I27" s="102"/>
      <c r="J27" s="239" t="str">
        <f t="shared" si="6"/>
        <v>GBPSB3L25Y_Fwd1w_Quote</v>
      </c>
      <c r="K27" s="239"/>
      <c r="L27" s="247" t="str">
        <f>_xll.ohRangeRetrieveError(K27)</f>
        <v/>
      </c>
      <c r="M27" s="33"/>
    </row>
    <row r="28" spans="1:13" x14ac:dyDescent="0.2">
      <c r="A28" s="118"/>
      <c r="B28" s="76" t="s">
        <v>61</v>
      </c>
      <c r="C28" s="192" t="str">
        <f t="shared" si="0"/>
        <v>SB</v>
      </c>
      <c r="D28" s="192" t="str">
        <f t="shared" si="1"/>
        <v>3L</v>
      </c>
      <c r="E28" s="192" t="str">
        <f t="shared" si="2"/>
        <v>1w</v>
      </c>
      <c r="F28" s="192">
        <f t="shared" si="3"/>
        <v>0</v>
      </c>
      <c r="G28" s="192">
        <f t="shared" si="4"/>
        <v>0</v>
      </c>
      <c r="H28" s="240">
        <f t="shared" si="5"/>
        <v>0</v>
      </c>
      <c r="I28" s="102"/>
      <c r="J28" s="239" t="str">
        <f t="shared" si="6"/>
        <v>GBPSB3L26Y_Fwd1w_Quote</v>
      </c>
      <c r="K28" s="239"/>
      <c r="L28" s="247" t="str">
        <f>_xll.ohRangeRetrieveError(K28)</f>
        <v/>
      </c>
      <c r="M28" s="33"/>
    </row>
    <row r="29" spans="1:13" x14ac:dyDescent="0.2">
      <c r="A29" s="118"/>
      <c r="B29" s="76" t="s">
        <v>60</v>
      </c>
      <c r="C29" s="192" t="str">
        <f t="shared" si="0"/>
        <v>SB</v>
      </c>
      <c r="D29" s="192" t="str">
        <f t="shared" si="1"/>
        <v>3L</v>
      </c>
      <c r="E29" s="192" t="str">
        <f t="shared" si="2"/>
        <v>1w</v>
      </c>
      <c r="F29" s="192">
        <f t="shared" si="3"/>
        <v>0</v>
      </c>
      <c r="G29" s="192">
        <f t="shared" si="4"/>
        <v>0</v>
      </c>
      <c r="H29" s="240">
        <f t="shared" si="5"/>
        <v>0</v>
      </c>
      <c r="I29" s="102"/>
      <c r="J29" s="239" t="str">
        <f t="shared" si="6"/>
        <v>GBPSB3L27Y_Fwd1w_Quote</v>
      </c>
      <c r="K29" s="239"/>
      <c r="L29" s="247" t="str">
        <f>_xll.ohRangeRetrieveError(K29)</f>
        <v/>
      </c>
      <c r="M29" s="33"/>
    </row>
    <row r="30" spans="1:13" x14ac:dyDescent="0.2">
      <c r="A30" s="118"/>
      <c r="B30" s="76" t="s">
        <v>59</v>
      </c>
      <c r="C30" s="192" t="str">
        <f t="shared" si="0"/>
        <v>SB</v>
      </c>
      <c r="D30" s="192" t="str">
        <f t="shared" si="1"/>
        <v>3L</v>
      </c>
      <c r="E30" s="192" t="str">
        <f t="shared" si="2"/>
        <v>1w</v>
      </c>
      <c r="F30" s="192">
        <f t="shared" si="3"/>
        <v>0</v>
      </c>
      <c r="G30" s="192">
        <f t="shared" si="4"/>
        <v>0</v>
      </c>
      <c r="H30" s="240">
        <f t="shared" si="5"/>
        <v>0</v>
      </c>
      <c r="I30" s="102"/>
      <c r="J30" s="239" t="str">
        <f t="shared" si="6"/>
        <v>GBPSB3L28Y_Fwd1w_Quote</v>
      </c>
      <c r="K30" s="239"/>
      <c r="L30" s="247" t="str">
        <f>_xll.ohRangeRetrieveError(K30)</f>
        <v/>
      </c>
      <c r="M30" s="33"/>
    </row>
    <row r="31" spans="1:13" x14ac:dyDescent="0.2">
      <c r="A31" s="118"/>
      <c r="B31" s="76" t="s">
        <v>58</v>
      </c>
      <c r="C31" s="192" t="str">
        <f t="shared" si="0"/>
        <v>SB</v>
      </c>
      <c r="D31" s="192" t="str">
        <f t="shared" si="1"/>
        <v>3L</v>
      </c>
      <c r="E31" s="192" t="str">
        <f t="shared" si="2"/>
        <v>1w</v>
      </c>
      <c r="F31" s="192">
        <f t="shared" si="3"/>
        <v>0</v>
      </c>
      <c r="G31" s="192">
        <f t="shared" si="4"/>
        <v>0</v>
      </c>
      <c r="H31" s="240">
        <f t="shared" si="5"/>
        <v>0</v>
      </c>
      <c r="I31" s="102"/>
      <c r="J31" s="239" t="str">
        <f t="shared" si="6"/>
        <v>GBPSB3L29Y_Fwd1w_Quote</v>
      </c>
      <c r="K31" s="239"/>
      <c r="L31" s="247" t="str">
        <f>_xll.ohRangeRetrieveError(K31)</f>
        <v/>
      </c>
      <c r="M31" s="33"/>
    </row>
    <row r="32" spans="1:13" x14ac:dyDescent="0.2">
      <c r="A32" s="118"/>
      <c r="B32" s="76" t="s">
        <v>57</v>
      </c>
      <c r="C32" s="192" t="str">
        <f t="shared" si="0"/>
        <v>SB</v>
      </c>
      <c r="D32" s="192" t="str">
        <f t="shared" si="1"/>
        <v>3L</v>
      </c>
      <c r="E32" s="192" t="str">
        <f t="shared" si="2"/>
        <v>1w</v>
      </c>
      <c r="F32" s="192">
        <f t="shared" si="3"/>
        <v>0</v>
      </c>
      <c r="G32" s="192">
        <f t="shared" si="4"/>
        <v>0</v>
      </c>
      <c r="H32" s="240">
        <f t="shared" si="5"/>
        <v>0</v>
      </c>
      <c r="I32" s="102"/>
      <c r="J32" s="239" t="str">
        <f t="shared" si="6"/>
        <v>GBPSB3L30Y_Fwd1w_Quote</v>
      </c>
      <c r="K32" s="239"/>
      <c r="L32" s="247" t="str">
        <f>_xll.ohRangeRetrieveError(K32)</f>
        <v/>
      </c>
      <c r="M32" s="33"/>
    </row>
    <row r="33" spans="1:13" x14ac:dyDescent="0.2">
      <c r="A33" s="118"/>
      <c r="B33" s="76" t="s">
        <v>52</v>
      </c>
      <c r="C33" s="192" t="str">
        <f t="shared" si="0"/>
        <v>SB</v>
      </c>
      <c r="D33" s="192" t="str">
        <f t="shared" si="1"/>
        <v>3L</v>
      </c>
      <c r="E33" s="192" t="str">
        <f t="shared" si="2"/>
        <v>1w</v>
      </c>
      <c r="F33" s="192">
        <f t="shared" si="3"/>
        <v>0</v>
      </c>
      <c r="G33" s="192">
        <f t="shared" si="4"/>
        <v>0</v>
      </c>
      <c r="H33" s="240">
        <f t="shared" si="5"/>
        <v>0</v>
      </c>
      <c r="I33" s="102"/>
      <c r="J33" s="239" t="str">
        <f t="shared" si="6"/>
        <v>GBPSB3L35Y_Fwd1w_Quote</v>
      </c>
      <c r="K33" s="239"/>
      <c r="L33" s="247" t="str">
        <f>_xll.ohRangeRetrieveError(K33)</f>
        <v/>
      </c>
      <c r="M33" s="33"/>
    </row>
    <row r="34" spans="1:13" x14ac:dyDescent="0.2">
      <c r="A34" s="118"/>
      <c r="B34" s="76" t="s">
        <v>47</v>
      </c>
      <c r="C34" s="192" t="str">
        <f t="shared" si="0"/>
        <v>SB</v>
      </c>
      <c r="D34" s="192" t="str">
        <f t="shared" si="1"/>
        <v>3L</v>
      </c>
      <c r="E34" s="192" t="str">
        <f t="shared" si="2"/>
        <v>1w</v>
      </c>
      <c r="F34" s="192">
        <f t="shared" si="3"/>
        <v>0</v>
      </c>
      <c r="G34" s="192">
        <f t="shared" si="4"/>
        <v>0</v>
      </c>
      <c r="H34" s="240">
        <f t="shared" si="5"/>
        <v>0</v>
      </c>
      <c r="I34" s="102"/>
      <c r="J34" s="239" t="str">
        <f t="shared" si="6"/>
        <v>GBPSB3L40Y_Fwd1w_Quote</v>
      </c>
      <c r="K34" s="239"/>
      <c r="L34" s="247" t="str">
        <f>_xll.ohRangeRetrieveError(K34)</f>
        <v/>
      </c>
      <c r="M34" s="33"/>
    </row>
    <row r="35" spans="1:13" x14ac:dyDescent="0.2">
      <c r="A35" s="118"/>
      <c r="B35" s="76" t="s">
        <v>37</v>
      </c>
      <c r="C35" s="192" t="str">
        <f t="shared" si="0"/>
        <v>SB</v>
      </c>
      <c r="D35" s="192" t="str">
        <f t="shared" si="1"/>
        <v>3L</v>
      </c>
      <c r="E35" s="192" t="str">
        <f t="shared" si="2"/>
        <v>1w</v>
      </c>
      <c r="F35" s="192">
        <f t="shared" si="3"/>
        <v>0</v>
      </c>
      <c r="G35" s="192">
        <f t="shared" si="4"/>
        <v>0</v>
      </c>
      <c r="H35" s="240">
        <f t="shared" si="5"/>
        <v>0</v>
      </c>
      <c r="I35" s="102"/>
      <c r="J35" s="239" t="str">
        <f t="shared" si="6"/>
        <v>GBPSB3L50Y_Fwd1w_Quote</v>
      </c>
      <c r="K35" s="239"/>
      <c r="L35" s="247" t="str">
        <f>_xll.ohRangeRetrieveError(K35)</f>
        <v/>
      </c>
      <c r="M35" s="33"/>
    </row>
    <row r="36" spans="1:13" x14ac:dyDescent="0.2">
      <c r="A36" s="118"/>
      <c r="B36" s="76" t="s">
        <v>27</v>
      </c>
      <c r="C36" s="192" t="str">
        <f t="shared" si="0"/>
        <v>SB</v>
      </c>
      <c r="D36" s="192" t="str">
        <f t="shared" si="1"/>
        <v>3L</v>
      </c>
      <c r="E36" s="192" t="str">
        <f t="shared" si="2"/>
        <v>1w</v>
      </c>
      <c r="F36" s="192">
        <f t="shared" si="3"/>
        <v>0</v>
      </c>
      <c r="G36" s="192">
        <f t="shared" si="4"/>
        <v>0</v>
      </c>
      <c r="H36" s="240">
        <f t="shared" si="5"/>
        <v>0</v>
      </c>
      <c r="I36" s="102"/>
      <c r="J36" s="239" t="str">
        <f t="shared" si="6"/>
        <v>GBPSB3L60Y_Fwd1w_Quote</v>
      </c>
      <c r="K36" s="239"/>
      <c r="L36" s="247"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T37"/>
  <sheetViews>
    <sheetView workbookViewId="0"/>
  </sheetViews>
  <sheetFormatPr defaultRowHeight="11.25" x14ac:dyDescent="0.2"/>
  <cols>
    <col min="1" max="1" width="2.85546875" style="65" customWidth="1"/>
    <col min="2" max="2" width="3.85546875" style="65" bestFit="1" customWidth="1"/>
    <col min="3" max="3" width="3.140625" style="65" bestFit="1" customWidth="1"/>
    <col min="4" max="4" width="2.7109375" style="65" bestFit="1" customWidth="1"/>
    <col min="5" max="5" width="4.7109375" style="65" bestFit="1" customWidth="1"/>
    <col min="6" max="6" width="2.7109375" style="65" bestFit="1" customWidth="1"/>
    <col min="7" max="7" width="3.5703125" style="65" bestFit="1" customWidth="1"/>
    <col min="8" max="8" width="16.140625" style="65" bestFit="1" customWidth="1"/>
    <col min="9" max="9" width="19.140625" style="65" bestFit="1" customWidth="1"/>
    <col min="10" max="10" width="31.85546875" style="65" bestFit="1" customWidth="1"/>
    <col min="11" max="11" width="33" style="65" bestFit="1" customWidth="1"/>
    <col min="12" max="12" width="21.140625" style="65" customWidth="1"/>
    <col min="13" max="14" width="2.85546875" style="65" customWidth="1"/>
    <col min="15" max="15" width="4" style="65" bestFit="1" customWidth="1"/>
    <col min="16" max="16" width="3.140625" style="65" bestFit="1" customWidth="1"/>
    <col min="17" max="17" width="2.7109375" style="65" bestFit="1" customWidth="1"/>
    <col min="18" max="18" width="3.28515625" style="65" bestFit="1" customWidth="1"/>
    <col min="19" max="20" width="3.5703125" style="65" bestFit="1" customWidth="1"/>
    <col min="21" max="16384" width="9.140625" style="65"/>
  </cols>
  <sheetData>
    <row r="1" spans="1:20" ht="12" thickBot="1" x14ac:dyDescent="0.25">
      <c r="A1" s="580" t="s">
        <v>345</v>
      </c>
      <c r="B1" s="201"/>
      <c r="C1" s="201"/>
      <c r="D1" s="201"/>
      <c r="E1" s="201"/>
      <c r="F1" s="201"/>
      <c r="G1" s="201"/>
      <c r="H1" s="201"/>
      <c r="I1" s="201"/>
      <c r="J1" s="201"/>
      <c r="K1" s="201"/>
      <c r="L1" s="151"/>
      <c r="M1" s="198"/>
    </row>
    <row r="2" spans="1:20" ht="22.5" x14ac:dyDescent="0.2">
      <c r="A2" s="118"/>
      <c r="B2" s="90"/>
      <c r="C2" s="90"/>
      <c r="D2" s="90"/>
      <c r="E2" s="90" t="s">
        <v>222</v>
      </c>
      <c r="F2" s="90"/>
      <c r="G2" s="90"/>
      <c r="H2" s="90" t="s">
        <v>221</v>
      </c>
      <c r="I2" s="90" t="s">
        <v>220</v>
      </c>
      <c r="J2" s="244" t="str">
        <f>Currency&amp;"_020_Sw"&amp;$C$3&amp;$D$3&amp;"_"&amp;"Fwd"&amp;$E$3&amp;IF(H3=0,,"_Spr"&amp;$F3&amp;$G3)&amp;".xml"</f>
        <v>GBP_020_SwSB6L_Fwd0d_Spr6L12L.xml</v>
      </c>
      <c r="K2" s="105" t="e">
        <f ca="1">IF(Serialize,_xll.ohObjectSave(K3:K36,SerializationPath&amp;J2,FileOverwrite,Serialize),"---")</f>
        <v>#NUM!</v>
      </c>
      <c r="L2" s="72" t="e">
        <f ca="1">_xll.ohRangeRetrieveError(K2)</f>
        <v>#NUM!</v>
      </c>
      <c r="M2" s="33"/>
      <c r="O2" s="210"/>
      <c r="P2" s="209"/>
      <c r="Q2" s="209"/>
      <c r="R2" s="209"/>
      <c r="S2" s="209"/>
      <c r="T2" s="208"/>
    </row>
    <row r="3" spans="1:20" x14ac:dyDescent="0.2">
      <c r="A3" s="118"/>
      <c r="B3" s="76" t="s">
        <v>1</v>
      </c>
      <c r="C3" s="192" t="str">
        <f t="shared" ref="C3:C36" si="0">VLOOKUP(Currency,$O$3:$T$7,2)</f>
        <v>SB</v>
      </c>
      <c r="D3" s="192" t="str">
        <f t="shared" ref="D3:D36" si="1">VLOOKUP(Currency,$O$3:$T$7,3)</f>
        <v>6L</v>
      </c>
      <c r="E3" s="192" t="str">
        <f t="shared" ref="E3:E36" si="2">VLOOKUP(Currency,$O$3:$T$7,4)</f>
        <v>0d</v>
      </c>
      <c r="F3" s="192" t="str">
        <f t="shared" ref="F3:F36" si="3">VLOOKUP(Currency,$O$3:$T$7,5)</f>
        <v>6L</v>
      </c>
      <c r="G3" s="192" t="str">
        <f t="shared" ref="G3:G36" si="4">VLOOKUP(Currency,$O$3:$T$7,6)</f>
        <v>12L</v>
      </c>
      <c r="H3" s="240" t="str">
        <f t="shared" ref="H3:H36" si="5">IF(F3=0,0,Currency&amp;$F3&amp;$G3&amp;$B3&amp;QuoteSuffix)</f>
        <v>GBP6L12L1Y_Quote</v>
      </c>
      <c r="I3" s="242" t="str">
        <f t="shared" ref="I3:I36" si="6">PROPER(Currency)&amp;FamilyName&amp;"Swap"&amp;FixingType&amp;$B3</f>
        <v>GbpLiborSwapIsda1Y</v>
      </c>
      <c r="J3" s="239" t="str">
        <f t="shared" ref="J3:J36" si="7">Currency&amp;$C3&amp;$D3&amp;$B3&amp;IF(UPPER(E3)="0D","","_Fwd"&amp;E3)&amp;IF(H3=0,,"_S"&amp;$F3&amp;$G3)&amp;QuoteSuffix</f>
        <v>GBPSB6L1Y_S6L12L_Quote</v>
      </c>
      <c r="K3" s="239"/>
      <c r="L3" s="247" t="str">
        <f>_xll.ohRangeRetrieveError(K3)</f>
        <v/>
      </c>
      <c r="M3" s="33"/>
      <c r="O3" s="83" t="s">
        <v>121</v>
      </c>
      <c r="P3" s="82" t="s">
        <v>212</v>
      </c>
      <c r="Q3" s="82" t="s">
        <v>116</v>
      </c>
      <c r="R3" s="82" t="s">
        <v>219</v>
      </c>
      <c r="S3" s="82" t="s">
        <v>116</v>
      </c>
      <c r="T3" s="81" t="s">
        <v>127</v>
      </c>
    </row>
    <row r="4" spans="1:20" x14ac:dyDescent="0.2">
      <c r="A4" s="118"/>
      <c r="B4" s="76" t="s">
        <v>85</v>
      </c>
      <c r="C4" s="192" t="str">
        <f t="shared" si="0"/>
        <v>SB</v>
      </c>
      <c r="D4" s="192" t="str">
        <f t="shared" si="1"/>
        <v>6L</v>
      </c>
      <c r="E4" s="192" t="str">
        <f t="shared" si="2"/>
        <v>0d</v>
      </c>
      <c r="F4" s="192" t="str">
        <f t="shared" si="3"/>
        <v>6L</v>
      </c>
      <c r="G4" s="192" t="str">
        <f t="shared" si="4"/>
        <v>12L</v>
      </c>
      <c r="H4" s="240" t="str">
        <f t="shared" si="5"/>
        <v>GBP6L12L2Y_Quote</v>
      </c>
      <c r="I4" s="102" t="str">
        <f t="shared" si="6"/>
        <v>GbpLiborSwapIsda2Y</v>
      </c>
      <c r="J4" s="239" t="str">
        <f t="shared" si="7"/>
        <v>GBPSB6L2Y_S6L12L_Quote</v>
      </c>
      <c r="K4" s="239" t="e">
        <f>_xll.qlForwardSwapQuote(J4,I4,H4,E4,Permanent,Trigger,ObjectOverwrite)</f>
        <v>#NUM!</v>
      </c>
      <c r="L4" s="247" t="e">
        <f ca="1">_xll.ohRangeRetrieveError(K4)</f>
        <v>#NUM!</v>
      </c>
      <c r="M4" s="33"/>
      <c r="O4" s="83" t="s">
        <v>120</v>
      </c>
      <c r="P4" s="82" t="s">
        <v>212</v>
      </c>
      <c r="Q4" s="82" t="s">
        <v>118</v>
      </c>
      <c r="R4" s="82" t="s">
        <v>219</v>
      </c>
      <c r="S4" s="82" t="s">
        <v>118</v>
      </c>
      <c r="T4" s="81" t="s">
        <v>128</v>
      </c>
    </row>
    <row r="5" spans="1:20" x14ac:dyDescent="0.2">
      <c r="A5" s="118"/>
      <c r="B5" s="76" t="s">
        <v>84</v>
      </c>
      <c r="C5" s="192" t="str">
        <f t="shared" si="0"/>
        <v>SB</v>
      </c>
      <c r="D5" s="192" t="str">
        <f t="shared" si="1"/>
        <v>6L</v>
      </c>
      <c r="E5" s="192" t="str">
        <f t="shared" si="2"/>
        <v>0d</v>
      </c>
      <c r="F5" s="192" t="str">
        <f t="shared" si="3"/>
        <v>6L</v>
      </c>
      <c r="G5" s="192" t="str">
        <f t="shared" si="4"/>
        <v>12L</v>
      </c>
      <c r="H5" s="240" t="str">
        <f t="shared" si="5"/>
        <v>GBP6L12L3Y_Quote</v>
      </c>
      <c r="I5" s="102" t="str">
        <f t="shared" si="6"/>
        <v>GbpLiborSwapIsda3Y</v>
      </c>
      <c r="J5" s="239" t="str">
        <f t="shared" si="7"/>
        <v>GBPSB6L3Y_S6L12L_Quote</v>
      </c>
      <c r="K5" s="239" t="e">
        <f>_xll.qlForwardSwapQuote(J5,I5,H5,E5,Permanent,Trigger,ObjectOverwrite)</f>
        <v>#NUM!</v>
      </c>
      <c r="L5" s="247" t="e">
        <f ca="1">_xll.ohRangeRetrieveError(K5)</f>
        <v>#NUM!</v>
      </c>
      <c r="M5" s="33"/>
      <c r="O5" s="83" t="s">
        <v>96</v>
      </c>
      <c r="P5" s="82" t="s">
        <v>211</v>
      </c>
      <c r="Q5" s="82" t="s">
        <v>116</v>
      </c>
      <c r="R5" s="82" t="s">
        <v>223</v>
      </c>
      <c r="S5" s="82" t="s">
        <v>116</v>
      </c>
      <c r="T5" s="81" t="s">
        <v>127</v>
      </c>
    </row>
    <row r="6" spans="1:20" x14ac:dyDescent="0.2">
      <c r="A6" s="118"/>
      <c r="B6" s="76" t="s">
        <v>83</v>
      </c>
      <c r="C6" s="192" t="str">
        <f t="shared" si="0"/>
        <v>SB</v>
      </c>
      <c r="D6" s="192" t="str">
        <f t="shared" si="1"/>
        <v>6L</v>
      </c>
      <c r="E6" s="192" t="str">
        <f t="shared" si="2"/>
        <v>0d</v>
      </c>
      <c r="F6" s="192" t="str">
        <f t="shared" si="3"/>
        <v>6L</v>
      </c>
      <c r="G6" s="192" t="str">
        <f t="shared" si="4"/>
        <v>12L</v>
      </c>
      <c r="H6" s="240" t="str">
        <f t="shared" si="5"/>
        <v>GBP6L12L4Y_Quote</v>
      </c>
      <c r="I6" s="102" t="str">
        <f t="shared" si="6"/>
        <v>GbpLiborSwapIsda4Y</v>
      </c>
      <c r="J6" s="239" t="str">
        <f t="shared" si="7"/>
        <v>GBPSB6L4Y_S6L12L_Quote</v>
      </c>
      <c r="K6" s="239" t="e">
        <f>_xll.qlForwardSwapQuote(J6,I6,H6,E6,Permanent,Trigger,ObjectOverwrite)</f>
        <v>#NUM!</v>
      </c>
      <c r="L6" s="247" t="e">
        <f ca="1">_xll.ohRangeRetrieveError(K6)</f>
        <v>#NUM!</v>
      </c>
      <c r="M6" s="33"/>
      <c r="O6" s="83" t="s">
        <v>117</v>
      </c>
      <c r="P6" s="82" t="s">
        <v>211</v>
      </c>
      <c r="Q6" s="82" t="s">
        <v>116</v>
      </c>
      <c r="R6" s="82" t="s">
        <v>219</v>
      </c>
      <c r="S6" s="82" t="s">
        <v>116</v>
      </c>
      <c r="T6" s="81" t="s">
        <v>127</v>
      </c>
    </row>
    <row r="7" spans="1:20" ht="12" thickBot="1" x14ac:dyDescent="0.25">
      <c r="A7" s="118"/>
      <c r="B7" s="76" t="s">
        <v>82</v>
      </c>
      <c r="C7" s="192" t="str">
        <f t="shared" si="0"/>
        <v>SB</v>
      </c>
      <c r="D7" s="192" t="str">
        <f t="shared" si="1"/>
        <v>6L</v>
      </c>
      <c r="E7" s="192" t="str">
        <f t="shared" si="2"/>
        <v>0d</v>
      </c>
      <c r="F7" s="192" t="str">
        <f t="shared" si="3"/>
        <v>6L</v>
      </c>
      <c r="G7" s="192" t="str">
        <f t="shared" si="4"/>
        <v>12L</v>
      </c>
      <c r="H7" s="240" t="str">
        <f t="shared" si="5"/>
        <v>GBP6L12L5Y_Quote</v>
      </c>
      <c r="I7" s="102" t="str">
        <f t="shared" si="6"/>
        <v>GbpLiborSwapIsda5Y</v>
      </c>
      <c r="J7" s="239" t="str">
        <f t="shared" si="7"/>
        <v>GBPSB6L5Y_S6L12L_Quote</v>
      </c>
      <c r="K7" s="239" t="e">
        <f>_xll.qlForwardSwapQuote(J7,I7,H7,E7,Permanent,Trigger,ObjectOverwrite)</f>
        <v>#NUM!</v>
      </c>
      <c r="L7" s="247" t="e">
        <f ca="1">_xll.ohRangeRetrieveError(K7)</f>
        <v>#NUM!</v>
      </c>
      <c r="M7" s="33"/>
      <c r="O7" s="80" t="s">
        <v>115</v>
      </c>
      <c r="P7" s="79" t="s">
        <v>210</v>
      </c>
      <c r="Q7" s="79" t="s">
        <v>114</v>
      </c>
      <c r="R7" s="79" t="s">
        <v>219</v>
      </c>
      <c r="S7" s="79" t="s">
        <v>127</v>
      </c>
      <c r="T7" s="78" t="s">
        <v>114</v>
      </c>
    </row>
    <row r="8" spans="1:20" x14ac:dyDescent="0.2">
      <c r="A8" s="118"/>
      <c r="B8" s="76" t="s">
        <v>81</v>
      </c>
      <c r="C8" s="192" t="str">
        <f t="shared" si="0"/>
        <v>SB</v>
      </c>
      <c r="D8" s="192" t="str">
        <f t="shared" si="1"/>
        <v>6L</v>
      </c>
      <c r="E8" s="192" t="str">
        <f t="shared" si="2"/>
        <v>0d</v>
      </c>
      <c r="F8" s="192" t="str">
        <f t="shared" si="3"/>
        <v>6L</v>
      </c>
      <c r="G8" s="192" t="str">
        <f t="shared" si="4"/>
        <v>12L</v>
      </c>
      <c r="H8" s="240" t="str">
        <f t="shared" si="5"/>
        <v>GBP6L12L6Y_Quote</v>
      </c>
      <c r="I8" s="102" t="str">
        <f t="shared" si="6"/>
        <v>GbpLiborSwapIsda6Y</v>
      </c>
      <c r="J8" s="239" t="str">
        <f t="shared" si="7"/>
        <v>GBPSB6L6Y_S6L12L_Quote</v>
      </c>
      <c r="K8" s="239" t="e">
        <f>_xll.qlForwardSwapQuote(J8,I8,H8,E8,Permanent,Trigger,ObjectOverwrite)</f>
        <v>#NUM!</v>
      </c>
      <c r="L8" s="247" t="e">
        <f ca="1">_xll.ohRangeRetrieveError(K8)</f>
        <v>#NUM!</v>
      </c>
      <c r="M8" s="33"/>
    </row>
    <row r="9" spans="1:20" x14ac:dyDescent="0.2">
      <c r="A9" s="118"/>
      <c r="B9" s="76" t="s">
        <v>80</v>
      </c>
      <c r="C9" s="192" t="str">
        <f t="shared" si="0"/>
        <v>SB</v>
      </c>
      <c r="D9" s="192" t="str">
        <f t="shared" si="1"/>
        <v>6L</v>
      </c>
      <c r="E9" s="192" t="str">
        <f t="shared" si="2"/>
        <v>0d</v>
      </c>
      <c r="F9" s="192" t="str">
        <f t="shared" si="3"/>
        <v>6L</v>
      </c>
      <c r="G9" s="192" t="str">
        <f t="shared" si="4"/>
        <v>12L</v>
      </c>
      <c r="H9" s="240" t="str">
        <f t="shared" si="5"/>
        <v>GBP6L12L7Y_Quote</v>
      </c>
      <c r="I9" s="102" t="str">
        <f t="shared" si="6"/>
        <v>GbpLiborSwapIsda7Y</v>
      </c>
      <c r="J9" s="239" t="str">
        <f t="shared" si="7"/>
        <v>GBPSB6L7Y_S6L12L_Quote</v>
      </c>
      <c r="K9" s="239" t="e">
        <f>_xll.qlForwardSwapQuote(J9,I9,H9,E9,Permanent,Trigger,ObjectOverwrite)</f>
        <v>#NUM!</v>
      </c>
      <c r="L9" s="247" t="e">
        <f ca="1">_xll.ohRangeRetrieveError(K9)</f>
        <v>#NUM!</v>
      </c>
      <c r="M9" s="33"/>
    </row>
    <row r="10" spans="1:20" x14ac:dyDescent="0.2">
      <c r="A10" s="118"/>
      <c r="B10" s="76" t="s">
        <v>79</v>
      </c>
      <c r="C10" s="192" t="str">
        <f t="shared" si="0"/>
        <v>SB</v>
      </c>
      <c r="D10" s="192" t="str">
        <f t="shared" si="1"/>
        <v>6L</v>
      </c>
      <c r="E10" s="192" t="str">
        <f t="shared" si="2"/>
        <v>0d</v>
      </c>
      <c r="F10" s="192" t="str">
        <f t="shared" si="3"/>
        <v>6L</v>
      </c>
      <c r="G10" s="192" t="str">
        <f t="shared" si="4"/>
        <v>12L</v>
      </c>
      <c r="H10" s="240" t="str">
        <f t="shared" si="5"/>
        <v>GBP6L12L8Y_Quote</v>
      </c>
      <c r="I10" s="102" t="str">
        <f t="shared" si="6"/>
        <v>GbpLiborSwapIsda8Y</v>
      </c>
      <c r="J10" s="239" t="str">
        <f t="shared" si="7"/>
        <v>GBPSB6L8Y_S6L12L_Quote</v>
      </c>
      <c r="K10" s="239" t="e">
        <f>_xll.qlForwardSwapQuote(J10,I10,H10,E10,Permanent,Trigger,ObjectOverwrite)</f>
        <v>#NUM!</v>
      </c>
      <c r="L10" s="247" t="e">
        <f ca="1">_xll.ohRangeRetrieveError(K10)</f>
        <v>#NUM!</v>
      </c>
      <c r="M10" s="33"/>
    </row>
    <row r="11" spans="1:20" x14ac:dyDescent="0.2">
      <c r="A11" s="118"/>
      <c r="B11" s="76" t="s">
        <v>78</v>
      </c>
      <c r="C11" s="192" t="str">
        <f t="shared" si="0"/>
        <v>SB</v>
      </c>
      <c r="D11" s="192" t="str">
        <f t="shared" si="1"/>
        <v>6L</v>
      </c>
      <c r="E11" s="192" t="str">
        <f t="shared" si="2"/>
        <v>0d</v>
      </c>
      <c r="F11" s="192" t="str">
        <f t="shared" si="3"/>
        <v>6L</v>
      </c>
      <c r="G11" s="192" t="str">
        <f t="shared" si="4"/>
        <v>12L</v>
      </c>
      <c r="H11" s="240" t="str">
        <f t="shared" si="5"/>
        <v>GBP6L12L9Y_Quote</v>
      </c>
      <c r="I11" s="102" t="str">
        <f t="shared" si="6"/>
        <v>GbpLiborSwapIsda9Y</v>
      </c>
      <c r="J11" s="239" t="str">
        <f t="shared" si="7"/>
        <v>GBPSB6L9Y_S6L12L_Quote</v>
      </c>
      <c r="K11" s="239" t="e">
        <f>_xll.qlForwardSwapQuote(J11,I11,H11,E11,Permanent,Trigger,ObjectOverwrite)</f>
        <v>#NUM!</v>
      </c>
      <c r="L11" s="247" t="e">
        <f ca="1">_xll.ohRangeRetrieveError(K11)</f>
        <v>#NUM!</v>
      </c>
      <c r="M11" s="33"/>
    </row>
    <row r="12" spans="1:20" x14ac:dyDescent="0.2">
      <c r="A12" s="118"/>
      <c r="B12" s="76" t="s">
        <v>77</v>
      </c>
      <c r="C12" s="192" t="str">
        <f t="shared" si="0"/>
        <v>SB</v>
      </c>
      <c r="D12" s="192" t="str">
        <f t="shared" si="1"/>
        <v>6L</v>
      </c>
      <c r="E12" s="192" t="str">
        <f t="shared" si="2"/>
        <v>0d</v>
      </c>
      <c r="F12" s="192" t="str">
        <f t="shared" si="3"/>
        <v>6L</v>
      </c>
      <c r="G12" s="192" t="str">
        <f t="shared" si="4"/>
        <v>12L</v>
      </c>
      <c r="H12" s="240" t="str">
        <f t="shared" si="5"/>
        <v>GBP6L12L10Y_Quote</v>
      </c>
      <c r="I12" s="102" t="str">
        <f t="shared" si="6"/>
        <v>GbpLiborSwapIsda10Y</v>
      </c>
      <c r="J12" s="239" t="str">
        <f t="shared" si="7"/>
        <v>GBPSB6L10Y_S6L12L_Quote</v>
      </c>
      <c r="K12" s="239" t="e">
        <f>_xll.qlForwardSwapQuote(J12,I12,H12,E12,Permanent,Trigger,ObjectOverwrite)</f>
        <v>#NUM!</v>
      </c>
      <c r="L12" s="247" t="e">
        <f ca="1">_xll.ohRangeRetrieveError(K12)</f>
        <v>#NUM!</v>
      </c>
      <c r="M12" s="33"/>
    </row>
    <row r="13" spans="1:20" x14ac:dyDescent="0.2">
      <c r="A13" s="118"/>
      <c r="B13" s="76" t="s">
        <v>76</v>
      </c>
      <c r="C13" s="192" t="str">
        <f t="shared" si="0"/>
        <v>SB</v>
      </c>
      <c r="D13" s="192" t="str">
        <f t="shared" si="1"/>
        <v>6L</v>
      </c>
      <c r="E13" s="192" t="str">
        <f t="shared" si="2"/>
        <v>0d</v>
      </c>
      <c r="F13" s="192" t="str">
        <f t="shared" si="3"/>
        <v>6L</v>
      </c>
      <c r="G13" s="192" t="str">
        <f t="shared" si="4"/>
        <v>12L</v>
      </c>
      <c r="H13" s="240" t="str">
        <f t="shared" si="5"/>
        <v>GBP6L12L11Y_Quote</v>
      </c>
      <c r="I13" s="102" t="str">
        <f t="shared" si="6"/>
        <v>GbpLiborSwapIsda11Y</v>
      </c>
      <c r="J13" s="239" t="str">
        <f t="shared" si="7"/>
        <v>GBPSB6L11Y_S6L12L_Quote</v>
      </c>
      <c r="K13" s="239" t="e">
        <f>_xll.qlForwardSwapQuote(J13,I13,H13,E13,Permanent,Trigger,ObjectOverwrite)</f>
        <v>#NUM!</v>
      </c>
      <c r="L13" s="247" t="e">
        <f ca="1">_xll.ohRangeRetrieveError(K13)</f>
        <v>#NUM!</v>
      </c>
      <c r="M13" s="33"/>
    </row>
    <row r="14" spans="1:20" x14ac:dyDescent="0.2">
      <c r="A14" s="118"/>
      <c r="B14" s="76" t="s">
        <v>75</v>
      </c>
      <c r="C14" s="192" t="str">
        <f t="shared" si="0"/>
        <v>SB</v>
      </c>
      <c r="D14" s="192" t="str">
        <f t="shared" si="1"/>
        <v>6L</v>
      </c>
      <c r="E14" s="192" t="str">
        <f t="shared" si="2"/>
        <v>0d</v>
      </c>
      <c r="F14" s="192" t="str">
        <f t="shared" si="3"/>
        <v>6L</v>
      </c>
      <c r="G14" s="192" t="str">
        <f t="shared" si="4"/>
        <v>12L</v>
      </c>
      <c r="H14" s="240" t="str">
        <f t="shared" si="5"/>
        <v>GBP6L12L12Y_Quote</v>
      </c>
      <c r="I14" s="102" t="str">
        <f t="shared" si="6"/>
        <v>GbpLiborSwapIsda12Y</v>
      </c>
      <c r="J14" s="239" t="str">
        <f t="shared" si="7"/>
        <v>GBPSB6L12Y_S6L12L_Quote</v>
      </c>
      <c r="K14" s="239" t="e">
        <f>_xll.qlForwardSwapQuote(J14,I14,H14,E14,Permanent,Trigger,ObjectOverwrite)</f>
        <v>#NUM!</v>
      </c>
      <c r="L14" s="247" t="e">
        <f ca="1">_xll.ohRangeRetrieveError(K14)</f>
        <v>#NUM!</v>
      </c>
      <c r="M14" s="33"/>
    </row>
    <row r="15" spans="1:20" x14ac:dyDescent="0.2">
      <c r="A15" s="118"/>
      <c r="B15" s="76" t="s">
        <v>74</v>
      </c>
      <c r="C15" s="192" t="str">
        <f t="shared" si="0"/>
        <v>SB</v>
      </c>
      <c r="D15" s="192" t="str">
        <f t="shared" si="1"/>
        <v>6L</v>
      </c>
      <c r="E15" s="192" t="str">
        <f t="shared" si="2"/>
        <v>0d</v>
      </c>
      <c r="F15" s="192" t="str">
        <f t="shared" si="3"/>
        <v>6L</v>
      </c>
      <c r="G15" s="192" t="str">
        <f t="shared" si="4"/>
        <v>12L</v>
      </c>
      <c r="H15" s="240" t="str">
        <f t="shared" si="5"/>
        <v>GBP6L12L13Y_Quote</v>
      </c>
      <c r="I15" s="102" t="str">
        <f t="shared" si="6"/>
        <v>GbpLiborSwapIsda13Y</v>
      </c>
      <c r="J15" s="239" t="str">
        <f t="shared" si="7"/>
        <v>GBPSB6L13Y_S6L12L_Quote</v>
      </c>
      <c r="K15" s="239" t="e">
        <f>_xll.qlForwardSwapQuote(J15,I15,H15,E15,Permanent,Trigger,ObjectOverwrite)</f>
        <v>#NUM!</v>
      </c>
      <c r="L15" s="247" t="e">
        <f ca="1">_xll.ohRangeRetrieveError(K15)</f>
        <v>#NUM!</v>
      </c>
      <c r="M15" s="33"/>
    </row>
    <row r="16" spans="1:20" x14ac:dyDescent="0.2">
      <c r="A16" s="118"/>
      <c r="B16" s="76" t="s">
        <v>73</v>
      </c>
      <c r="C16" s="192" t="str">
        <f t="shared" si="0"/>
        <v>SB</v>
      </c>
      <c r="D16" s="192" t="str">
        <f t="shared" si="1"/>
        <v>6L</v>
      </c>
      <c r="E16" s="192" t="str">
        <f t="shared" si="2"/>
        <v>0d</v>
      </c>
      <c r="F16" s="192" t="str">
        <f t="shared" si="3"/>
        <v>6L</v>
      </c>
      <c r="G16" s="192" t="str">
        <f t="shared" si="4"/>
        <v>12L</v>
      </c>
      <c r="H16" s="240" t="str">
        <f t="shared" si="5"/>
        <v>GBP6L12L14Y_Quote</v>
      </c>
      <c r="I16" s="102" t="str">
        <f t="shared" si="6"/>
        <v>GbpLiborSwapIsda14Y</v>
      </c>
      <c r="J16" s="239" t="str">
        <f t="shared" si="7"/>
        <v>GBPSB6L14Y_S6L12L_Quote</v>
      </c>
      <c r="K16" s="239" t="e">
        <f>_xll.qlForwardSwapQuote(J16,I16,H16,E16,Permanent,Trigger,ObjectOverwrite)</f>
        <v>#NUM!</v>
      </c>
      <c r="L16" s="247" t="e">
        <f ca="1">_xll.ohRangeRetrieveError(K16)</f>
        <v>#NUM!</v>
      </c>
      <c r="M16" s="33"/>
    </row>
    <row r="17" spans="1:13" x14ac:dyDescent="0.2">
      <c r="A17" s="118"/>
      <c r="B17" s="76" t="s">
        <v>72</v>
      </c>
      <c r="C17" s="192" t="str">
        <f t="shared" si="0"/>
        <v>SB</v>
      </c>
      <c r="D17" s="192" t="str">
        <f t="shared" si="1"/>
        <v>6L</v>
      </c>
      <c r="E17" s="192" t="str">
        <f t="shared" si="2"/>
        <v>0d</v>
      </c>
      <c r="F17" s="192" t="str">
        <f t="shared" si="3"/>
        <v>6L</v>
      </c>
      <c r="G17" s="192" t="str">
        <f t="shared" si="4"/>
        <v>12L</v>
      </c>
      <c r="H17" s="240" t="str">
        <f t="shared" si="5"/>
        <v>GBP6L12L15Y_Quote</v>
      </c>
      <c r="I17" s="102" t="str">
        <f t="shared" si="6"/>
        <v>GbpLiborSwapIsda15Y</v>
      </c>
      <c r="J17" s="239" t="str">
        <f t="shared" si="7"/>
        <v>GBPSB6L15Y_S6L12L_Quote</v>
      </c>
      <c r="K17" s="239" t="e">
        <f>_xll.qlForwardSwapQuote(J17,I17,H17,E17,Permanent,Trigger,ObjectOverwrite)</f>
        <v>#NUM!</v>
      </c>
      <c r="L17" s="247" t="e">
        <f ca="1">_xll.ohRangeRetrieveError(K17)</f>
        <v>#NUM!</v>
      </c>
      <c r="M17" s="33"/>
    </row>
    <row r="18" spans="1:13" x14ac:dyDescent="0.2">
      <c r="A18" s="118"/>
      <c r="B18" s="76" t="s">
        <v>71</v>
      </c>
      <c r="C18" s="192" t="str">
        <f t="shared" si="0"/>
        <v>SB</v>
      </c>
      <c r="D18" s="192" t="str">
        <f t="shared" si="1"/>
        <v>6L</v>
      </c>
      <c r="E18" s="192" t="str">
        <f t="shared" si="2"/>
        <v>0d</v>
      </c>
      <c r="F18" s="192" t="str">
        <f t="shared" si="3"/>
        <v>6L</v>
      </c>
      <c r="G18" s="192" t="str">
        <f t="shared" si="4"/>
        <v>12L</v>
      </c>
      <c r="H18" s="240" t="str">
        <f t="shared" si="5"/>
        <v>GBP6L12L16Y_Quote</v>
      </c>
      <c r="I18" s="102" t="str">
        <f t="shared" si="6"/>
        <v>GbpLiborSwapIsda16Y</v>
      </c>
      <c r="J18" s="239" t="str">
        <f t="shared" si="7"/>
        <v>GBPSB6L16Y_S6L12L_Quote</v>
      </c>
      <c r="K18" s="239" t="e">
        <f>_xll.qlForwardSwapQuote(J18,I18,H18,E18,Permanent,Trigger,ObjectOverwrite)</f>
        <v>#NUM!</v>
      </c>
      <c r="L18" s="247" t="e">
        <f ca="1">_xll.ohRangeRetrieveError(K18)</f>
        <v>#NUM!</v>
      </c>
      <c r="M18" s="33"/>
    </row>
    <row r="19" spans="1:13" x14ac:dyDescent="0.2">
      <c r="A19" s="118"/>
      <c r="B19" s="76" t="s">
        <v>70</v>
      </c>
      <c r="C19" s="192" t="str">
        <f t="shared" si="0"/>
        <v>SB</v>
      </c>
      <c r="D19" s="192" t="str">
        <f t="shared" si="1"/>
        <v>6L</v>
      </c>
      <c r="E19" s="192" t="str">
        <f t="shared" si="2"/>
        <v>0d</v>
      </c>
      <c r="F19" s="192" t="str">
        <f t="shared" si="3"/>
        <v>6L</v>
      </c>
      <c r="G19" s="192" t="str">
        <f t="shared" si="4"/>
        <v>12L</v>
      </c>
      <c r="H19" s="240" t="str">
        <f t="shared" si="5"/>
        <v>GBP6L12L17Y_Quote</v>
      </c>
      <c r="I19" s="102" t="str">
        <f t="shared" si="6"/>
        <v>GbpLiborSwapIsda17Y</v>
      </c>
      <c r="J19" s="239" t="str">
        <f t="shared" si="7"/>
        <v>GBPSB6L17Y_S6L12L_Quote</v>
      </c>
      <c r="K19" s="239" t="e">
        <f>_xll.qlForwardSwapQuote(J19,I19,H19,E19,Permanent,Trigger,ObjectOverwrite)</f>
        <v>#NUM!</v>
      </c>
      <c r="L19" s="247" t="e">
        <f ca="1">_xll.ohRangeRetrieveError(K19)</f>
        <v>#NUM!</v>
      </c>
      <c r="M19" s="33"/>
    </row>
    <row r="20" spans="1:13" x14ac:dyDescent="0.2">
      <c r="A20" s="118"/>
      <c r="B20" s="76" t="s">
        <v>69</v>
      </c>
      <c r="C20" s="192" t="str">
        <f t="shared" si="0"/>
        <v>SB</v>
      </c>
      <c r="D20" s="192" t="str">
        <f t="shared" si="1"/>
        <v>6L</v>
      </c>
      <c r="E20" s="192" t="str">
        <f t="shared" si="2"/>
        <v>0d</v>
      </c>
      <c r="F20" s="192" t="str">
        <f t="shared" si="3"/>
        <v>6L</v>
      </c>
      <c r="G20" s="192" t="str">
        <f t="shared" si="4"/>
        <v>12L</v>
      </c>
      <c r="H20" s="240" t="str">
        <f t="shared" si="5"/>
        <v>GBP6L12L18Y_Quote</v>
      </c>
      <c r="I20" s="102" t="str">
        <f t="shared" si="6"/>
        <v>GbpLiborSwapIsda18Y</v>
      </c>
      <c r="J20" s="239" t="str">
        <f t="shared" si="7"/>
        <v>GBPSB6L18Y_S6L12L_Quote</v>
      </c>
      <c r="K20" s="239" t="e">
        <f>_xll.qlForwardSwapQuote(J20,I20,H20,E20,Permanent,Trigger,ObjectOverwrite)</f>
        <v>#NUM!</v>
      </c>
      <c r="L20" s="247" t="e">
        <f ca="1">_xll.ohRangeRetrieveError(K20)</f>
        <v>#NUM!</v>
      </c>
      <c r="M20" s="33"/>
    </row>
    <row r="21" spans="1:13" x14ac:dyDescent="0.2">
      <c r="A21" s="118"/>
      <c r="B21" s="76" t="s">
        <v>68</v>
      </c>
      <c r="C21" s="192" t="str">
        <f t="shared" si="0"/>
        <v>SB</v>
      </c>
      <c r="D21" s="192" t="str">
        <f t="shared" si="1"/>
        <v>6L</v>
      </c>
      <c r="E21" s="192" t="str">
        <f t="shared" si="2"/>
        <v>0d</v>
      </c>
      <c r="F21" s="192" t="str">
        <f t="shared" si="3"/>
        <v>6L</v>
      </c>
      <c r="G21" s="192" t="str">
        <f t="shared" si="4"/>
        <v>12L</v>
      </c>
      <c r="H21" s="240" t="str">
        <f t="shared" si="5"/>
        <v>GBP6L12L19Y_Quote</v>
      </c>
      <c r="I21" s="102" t="str">
        <f t="shared" si="6"/>
        <v>GbpLiborSwapIsda19Y</v>
      </c>
      <c r="J21" s="239" t="str">
        <f t="shared" si="7"/>
        <v>GBPSB6L19Y_S6L12L_Quote</v>
      </c>
      <c r="K21" s="239" t="e">
        <f>_xll.qlForwardSwapQuote(J21,I21,H21,E21,Permanent,Trigger,ObjectOverwrite)</f>
        <v>#NUM!</v>
      </c>
      <c r="L21" s="247" t="e">
        <f ca="1">_xll.ohRangeRetrieveError(K21)</f>
        <v>#NUM!</v>
      </c>
      <c r="M21" s="33"/>
    </row>
    <row r="22" spans="1:13" x14ac:dyDescent="0.2">
      <c r="A22" s="118"/>
      <c r="B22" s="76" t="s">
        <v>67</v>
      </c>
      <c r="C22" s="192" t="str">
        <f t="shared" si="0"/>
        <v>SB</v>
      </c>
      <c r="D22" s="192" t="str">
        <f t="shared" si="1"/>
        <v>6L</v>
      </c>
      <c r="E22" s="192" t="str">
        <f t="shared" si="2"/>
        <v>0d</v>
      </c>
      <c r="F22" s="192" t="str">
        <f t="shared" si="3"/>
        <v>6L</v>
      </c>
      <c r="G22" s="192" t="str">
        <f t="shared" si="4"/>
        <v>12L</v>
      </c>
      <c r="H22" s="240" t="str">
        <f t="shared" si="5"/>
        <v>GBP6L12L20Y_Quote</v>
      </c>
      <c r="I22" s="102" t="str">
        <f t="shared" si="6"/>
        <v>GbpLiborSwapIsda20Y</v>
      </c>
      <c r="J22" s="239" t="str">
        <f t="shared" si="7"/>
        <v>GBPSB6L20Y_S6L12L_Quote</v>
      </c>
      <c r="K22" s="239" t="e">
        <f>_xll.qlForwardSwapQuote(J22,I22,H22,E22,Permanent,Trigger,ObjectOverwrite)</f>
        <v>#NUM!</v>
      </c>
      <c r="L22" s="247" t="e">
        <f ca="1">_xll.ohRangeRetrieveError(K22)</f>
        <v>#NUM!</v>
      </c>
      <c r="M22" s="33"/>
    </row>
    <row r="23" spans="1:13" x14ac:dyDescent="0.2">
      <c r="A23" s="118"/>
      <c r="B23" s="76" t="s">
        <v>66</v>
      </c>
      <c r="C23" s="192" t="str">
        <f t="shared" si="0"/>
        <v>SB</v>
      </c>
      <c r="D23" s="192" t="str">
        <f t="shared" si="1"/>
        <v>6L</v>
      </c>
      <c r="E23" s="192" t="str">
        <f t="shared" si="2"/>
        <v>0d</v>
      </c>
      <c r="F23" s="192" t="str">
        <f t="shared" si="3"/>
        <v>6L</v>
      </c>
      <c r="G23" s="192" t="str">
        <f t="shared" si="4"/>
        <v>12L</v>
      </c>
      <c r="H23" s="240" t="str">
        <f t="shared" si="5"/>
        <v>GBP6L12L21Y_Quote</v>
      </c>
      <c r="I23" s="102" t="str">
        <f t="shared" si="6"/>
        <v>GbpLiborSwapIsda21Y</v>
      </c>
      <c r="J23" s="239" t="str">
        <f t="shared" si="7"/>
        <v>GBPSB6L21Y_S6L12L_Quote</v>
      </c>
      <c r="K23" s="239" t="e">
        <f>_xll.qlForwardSwapQuote(J23,I23,H23,E23,Permanent,Trigger,ObjectOverwrite)</f>
        <v>#NUM!</v>
      </c>
      <c r="L23" s="247" t="e">
        <f ca="1">_xll.ohRangeRetrieveError(K23)</f>
        <v>#NUM!</v>
      </c>
      <c r="M23" s="33"/>
    </row>
    <row r="24" spans="1:13" x14ac:dyDescent="0.2">
      <c r="A24" s="118"/>
      <c r="B24" s="76" t="s">
        <v>65</v>
      </c>
      <c r="C24" s="192" t="str">
        <f t="shared" si="0"/>
        <v>SB</v>
      </c>
      <c r="D24" s="192" t="str">
        <f t="shared" si="1"/>
        <v>6L</v>
      </c>
      <c r="E24" s="192" t="str">
        <f t="shared" si="2"/>
        <v>0d</v>
      </c>
      <c r="F24" s="192" t="str">
        <f t="shared" si="3"/>
        <v>6L</v>
      </c>
      <c r="G24" s="192" t="str">
        <f t="shared" si="4"/>
        <v>12L</v>
      </c>
      <c r="H24" s="240" t="str">
        <f t="shared" si="5"/>
        <v>GBP6L12L22Y_Quote</v>
      </c>
      <c r="I24" s="102" t="str">
        <f t="shared" si="6"/>
        <v>GbpLiborSwapIsda22Y</v>
      </c>
      <c r="J24" s="239" t="str">
        <f t="shared" si="7"/>
        <v>GBPSB6L22Y_S6L12L_Quote</v>
      </c>
      <c r="K24" s="239" t="e">
        <f>_xll.qlForwardSwapQuote(J24,I24,H24,E24,Permanent,Trigger,ObjectOverwrite)</f>
        <v>#NUM!</v>
      </c>
      <c r="L24" s="247" t="e">
        <f ca="1">_xll.ohRangeRetrieveError(K24)</f>
        <v>#NUM!</v>
      </c>
      <c r="M24" s="33"/>
    </row>
    <row r="25" spans="1:13" x14ac:dyDescent="0.2">
      <c r="A25" s="118"/>
      <c r="B25" s="76" t="s">
        <v>64</v>
      </c>
      <c r="C25" s="192" t="str">
        <f t="shared" si="0"/>
        <v>SB</v>
      </c>
      <c r="D25" s="192" t="str">
        <f t="shared" si="1"/>
        <v>6L</v>
      </c>
      <c r="E25" s="192" t="str">
        <f t="shared" si="2"/>
        <v>0d</v>
      </c>
      <c r="F25" s="192" t="str">
        <f t="shared" si="3"/>
        <v>6L</v>
      </c>
      <c r="G25" s="192" t="str">
        <f t="shared" si="4"/>
        <v>12L</v>
      </c>
      <c r="H25" s="240" t="str">
        <f t="shared" si="5"/>
        <v>GBP6L12L23Y_Quote</v>
      </c>
      <c r="I25" s="102" t="str">
        <f t="shared" si="6"/>
        <v>GbpLiborSwapIsda23Y</v>
      </c>
      <c r="J25" s="239" t="str">
        <f t="shared" si="7"/>
        <v>GBPSB6L23Y_S6L12L_Quote</v>
      </c>
      <c r="K25" s="239" t="e">
        <f>_xll.qlForwardSwapQuote(J25,I25,H25,E25,Permanent,Trigger,ObjectOverwrite)</f>
        <v>#NUM!</v>
      </c>
      <c r="L25" s="247" t="e">
        <f ca="1">_xll.ohRangeRetrieveError(K25)</f>
        <v>#NUM!</v>
      </c>
      <c r="M25" s="33"/>
    </row>
    <row r="26" spans="1:13" x14ac:dyDescent="0.2">
      <c r="A26" s="118"/>
      <c r="B26" s="76" t="s">
        <v>63</v>
      </c>
      <c r="C26" s="192" t="str">
        <f t="shared" si="0"/>
        <v>SB</v>
      </c>
      <c r="D26" s="192" t="str">
        <f t="shared" si="1"/>
        <v>6L</v>
      </c>
      <c r="E26" s="192" t="str">
        <f t="shared" si="2"/>
        <v>0d</v>
      </c>
      <c r="F26" s="192" t="str">
        <f t="shared" si="3"/>
        <v>6L</v>
      </c>
      <c r="G26" s="192" t="str">
        <f t="shared" si="4"/>
        <v>12L</v>
      </c>
      <c r="H26" s="240" t="str">
        <f t="shared" si="5"/>
        <v>GBP6L12L24Y_Quote</v>
      </c>
      <c r="I26" s="102" t="str">
        <f t="shared" si="6"/>
        <v>GbpLiborSwapIsda24Y</v>
      </c>
      <c r="J26" s="239" t="str">
        <f t="shared" si="7"/>
        <v>GBPSB6L24Y_S6L12L_Quote</v>
      </c>
      <c r="K26" s="239" t="e">
        <f>_xll.qlForwardSwapQuote(J26,I26,H26,E26,Permanent,Trigger,ObjectOverwrite)</f>
        <v>#NUM!</v>
      </c>
      <c r="L26" s="247" t="e">
        <f ca="1">_xll.ohRangeRetrieveError(K26)</f>
        <v>#NUM!</v>
      </c>
      <c r="M26" s="33"/>
    </row>
    <row r="27" spans="1:13" x14ac:dyDescent="0.2">
      <c r="A27" s="118"/>
      <c r="B27" s="76" t="s">
        <v>62</v>
      </c>
      <c r="C27" s="192" t="str">
        <f t="shared" si="0"/>
        <v>SB</v>
      </c>
      <c r="D27" s="192" t="str">
        <f t="shared" si="1"/>
        <v>6L</v>
      </c>
      <c r="E27" s="192" t="str">
        <f t="shared" si="2"/>
        <v>0d</v>
      </c>
      <c r="F27" s="192" t="str">
        <f t="shared" si="3"/>
        <v>6L</v>
      </c>
      <c r="G27" s="192" t="str">
        <f t="shared" si="4"/>
        <v>12L</v>
      </c>
      <c r="H27" s="240" t="str">
        <f t="shared" si="5"/>
        <v>GBP6L12L25Y_Quote</v>
      </c>
      <c r="I27" s="102" t="str">
        <f t="shared" si="6"/>
        <v>GbpLiborSwapIsda25Y</v>
      </c>
      <c r="J27" s="239" t="str">
        <f t="shared" si="7"/>
        <v>GBPSB6L25Y_S6L12L_Quote</v>
      </c>
      <c r="K27" s="239" t="e">
        <f>_xll.qlForwardSwapQuote(J27,I27,H27,E27,Permanent,Trigger,ObjectOverwrite)</f>
        <v>#NUM!</v>
      </c>
      <c r="L27" s="247" t="e">
        <f ca="1">_xll.ohRangeRetrieveError(K27)</f>
        <v>#NUM!</v>
      </c>
      <c r="M27" s="33"/>
    </row>
    <row r="28" spans="1:13" x14ac:dyDescent="0.2">
      <c r="A28" s="118"/>
      <c r="B28" s="76" t="s">
        <v>61</v>
      </c>
      <c r="C28" s="192" t="str">
        <f t="shared" si="0"/>
        <v>SB</v>
      </c>
      <c r="D28" s="192" t="str">
        <f t="shared" si="1"/>
        <v>6L</v>
      </c>
      <c r="E28" s="192" t="str">
        <f t="shared" si="2"/>
        <v>0d</v>
      </c>
      <c r="F28" s="192" t="str">
        <f t="shared" si="3"/>
        <v>6L</v>
      </c>
      <c r="G28" s="192" t="str">
        <f t="shared" si="4"/>
        <v>12L</v>
      </c>
      <c r="H28" s="240" t="str">
        <f t="shared" si="5"/>
        <v>GBP6L12L26Y_Quote</v>
      </c>
      <c r="I28" s="102" t="str">
        <f t="shared" si="6"/>
        <v>GbpLiborSwapIsda26Y</v>
      </c>
      <c r="J28" s="239" t="str">
        <f t="shared" si="7"/>
        <v>GBPSB6L26Y_S6L12L_Quote</v>
      </c>
      <c r="K28" s="239" t="e">
        <f>_xll.qlForwardSwapQuote(J28,I28,H28,E28,Permanent,Trigger,ObjectOverwrite)</f>
        <v>#NUM!</v>
      </c>
      <c r="L28" s="247" t="e">
        <f ca="1">_xll.ohRangeRetrieveError(K28)</f>
        <v>#NUM!</v>
      </c>
      <c r="M28" s="33"/>
    </row>
    <row r="29" spans="1:13" x14ac:dyDescent="0.2">
      <c r="A29" s="118"/>
      <c r="B29" s="76" t="s">
        <v>60</v>
      </c>
      <c r="C29" s="192" t="str">
        <f t="shared" si="0"/>
        <v>SB</v>
      </c>
      <c r="D29" s="192" t="str">
        <f t="shared" si="1"/>
        <v>6L</v>
      </c>
      <c r="E29" s="192" t="str">
        <f t="shared" si="2"/>
        <v>0d</v>
      </c>
      <c r="F29" s="192" t="str">
        <f t="shared" si="3"/>
        <v>6L</v>
      </c>
      <c r="G29" s="192" t="str">
        <f t="shared" si="4"/>
        <v>12L</v>
      </c>
      <c r="H29" s="240" t="str">
        <f t="shared" si="5"/>
        <v>GBP6L12L27Y_Quote</v>
      </c>
      <c r="I29" s="102" t="str">
        <f t="shared" si="6"/>
        <v>GbpLiborSwapIsda27Y</v>
      </c>
      <c r="J29" s="239" t="str">
        <f t="shared" si="7"/>
        <v>GBPSB6L27Y_S6L12L_Quote</v>
      </c>
      <c r="K29" s="239" t="e">
        <f>_xll.qlForwardSwapQuote(J29,I29,H29,E29,Permanent,Trigger,ObjectOverwrite)</f>
        <v>#NUM!</v>
      </c>
      <c r="L29" s="247" t="e">
        <f ca="1">_xll.ohRangeRetrieveError(K29)</f>
        <v>#NUM!</v>
      </c>
      <c r="M29" s="33"/>
    </row>
    <row r="30" spans="1:13" x14ac:dyDescent="0.2">
      <c r="A30" s="118"/>
      <c r="B30" s="76" t="s">
        <v>59</v>
      </c>
      <c r="C30" s="192" t="str">
        <f t="shared" si="0"/>
        <v>SB</v>
      </c>
      <c r="D30" s="192" t="str">
        <f t="shared" si="1"/>
        <v>6L</v>
      </c>
      <c r="E30" s="192" t="str">
        <f t="shared" si="2"/>
        <v>0d</v>
      </c>
      <c r="F30" s="192" t="str">
        <f t="shared" si="3"/>
        <v>6L</v>
      </c>
      <c r="G30" s="192" t="str">
        <f t="shared" si="4"/>
        <v>12L</v>
      </c>
      <c r="H30" s="240" t="str">
        <f t="shared" si="5"/>
        <v>GBP6L12L28Y_Quote</v>
      </c>
      <c r="I30" s="102" t="str">
        <f t="shared" si="6"/>
        <v>GbpLiborSwapIsda28Y</v>
      </c>
      <c r="J30" s="239" t="str">
        <f t="shared" si="7"/>
        <v>GBPSB6L28Y_S6L12L_Quote</v>
      </c>
      <c r="K30" s="239" t="e">
        <f>_xll.qlForwardSwapQuote(J30,I30,H30,E30,Permanent,Trigger,ObjectOverwrite)</f>
        <v>#NUM!</v>
      </c>
      <c r="L30" s="247" t="e">
        <f ca="1">_xll.ohRangeRetrieveError(K30)</f>
        <v>#NUM!</v>
      </c>
      <c r="M30" s="33"/>
    </row>
    <row r="31" spans="1:13" x14ac:dyDescent="0.2">
      <c r="A31" s="118"/>
      <c r="B31" s="76" t="s">
        <v>58</v>
      </c>
      <c r="C31" s="192" t="str">
        <f t="shared" si="0"/>
        <v>SB</v>
      </c>
      <c r="D31" s="192" t="str">
        <f t="shared" si="1"/>
        <v>6L</v>
      </c>
      <c r="E31" s="192" t="str">
        <f t="shared" si="2"/>
        <v>0d</v>
      </c>
      <c r="F31" s="192" t="str">
        <f t="shared" si="3"/>
        <v>6L</v>
      </c>
      <c r="G31" s="192" t="str">
        <f t="shared" si="4"/>
        <v>12L</v>
      </c>
      <c r="H31" s="240" t="str">
        <f t="shared" si="5"/>
        <v>GBP6L12L29Y_Quote</v>
      </c>
      <c r="I31" s="102" t="str">
        <f t="shared" si="6"/>
        <v>GbpLiborSwapIsda29Y</v>
      </c>
      <c r="J31" s="239" t="str">
        <f t="shared" si="7"/>
        <v>GBPSB6L29Y_S6L12L_Quote</v>
      </c>
      <c r="K31" s="239" t="e">
        <f>_xll.qlForwardSwapQuote(J31,I31,H31,E31,Permanent,Trigger,ObjectOverwrite)</f>
        <v>#NUM!</v>
      </c>
      <c r="L31" s="247" t="e">
        <f ca="1">_xll.ohRangeRetrieveError(K31)</f>
        <v>#NUM!</v>
      </c>
      <c r="M31" s="33"/>
    </row>
    <row r="32" spans="1:13" x14ac:dyDescent="0.2">
      <c r="A32" s="118"/>
      <c r="B32" s="76" t="s">
        <v>57</v>
      </c>
      <c r="C32" s="192" t="str">
        <f t="shared" si="0"/>
        <v>SB</v>
      </c>
      <c r="D32" s="192" t="str">
        <f t="shared" si="1"/>
        <v>6L</v>
      </c>
      <c r="E32" s="192" t="str">
        <f t="shared" si="2"/>
        <v>0d</v>
      </c>
      <c r="F32" s="192" t="str">
        <f t="shared" si="3"/>
        <v>6L</v>
      </c>
      <c r="G32" s="192" t="str">
        <f t="shared" si="4"/>
        <v>12L</v>
      </c>
      <c r="H32" s="240" t="str">
        <f t="shared" si="5"/>
        <v>GBP6L12L30Y_Quote</v>
      </c>
      <c r="I32" s="102" t="str">
        <f t="shared" si="6"/>
        <v>GbpLiborSwapIsda30Y</v>
      </c>
      <c r="J32" s="239" t="str">
        <f t="shared" si="7"/>
        <v>GBPSB6L30Y_S6L12L_Quote</v>
      </c>
      <c r="K32" s="239" t="e">
        <f>_xll.qlForwardSwapQuote(J32,I32,H32,E32,Permanent,Trigger,ObjectOverwrite)</f>
        <v>#NUM!</v>
      </c>
      <c r="L32" s="247" t="e">
        <f ca="1">_xll.ohRangeRetrieveError(K32)</f>
        <v>#NUM!</v>
      </c>
      <c r="M32" s="33"/>
    </row>
    <row r="33" spans="1:13" x14ac:dyDescent="0.2">
      <c r="A33" s="118"/>
      <c r="B33" s="76" t="s">
        <v>52</v>
      </c>
      <c r="C33" s="192" t="str">
        <f t="shared" si="0"/>
        <v>SB</v>
      </c>
      <c r="D33" s="192" t="str">
        <f t="shared" si="1"/>
        <v>6L</v>
      </c>
      <c r="E33" s="192" t="str">
        <f t="shared" si="2"/>
        <v>0d</v>
      </c>
      <c r="F33" s="192" t="str">
        <f t="shared" si="3"/>
        <v>6L</v>
      </c>
      <c r="G33" s="192" t="str">
        <f t="shared" si="4"/>
        <v>12L</v>
      </c>
      <c r="H33" s="240" t="str">
        <f t="shared" si="5"/>
        <v>GBP6L12L35Y_Quote</v>
      </c>
      <c r="I33" s="102" t="str">
        <f t="shared" si="6"/>
        <v>GbpLiborSwapIsda35Y</v>
      </c>
      <c r="J33" s="239" t="str">
        <f t="shared" si="7"/>
        <v>GBPSB6L35Y_S6L12L_Quote</v>
      </c>
      <c r="K33" s="239" t="e">
        <f>_xll.qlForwardSwapQuote(J33,I33,H33,E33,Permanent,Trigger,ObjectOverwrite)</f>
        <v>#NUM!</v>
      </c>
      <c r="L33" s="247" t="e">
        <f ca="1">_xll.ohRangeRetrieveError(K33)</f>
        <v>#NUM!</v>
      </c>
      <c r="M33" s="33"/>
    </row>
    <row r="34" spans="1:13" x14ac:dyDescent="0.2">
      <c r="A34" s="118"/>
      <c r="B34" s="76" t="s">
        <v>47</v>
      </c>
      <c r="C34" s="192" t="str">
        <f t="shared" si="0"/>
        <v>SB</v>
      </c>
      <c r="D34" s="192" t="str">
        <f t="shared" si="1"/>
        <v>6L</v>
      </c>
      <c r="E34" s="192" t="str">
        <f t="shared" si="2"/>
        <v>0d</v>
      </c>
      <c r="F34" s="192" t="str">
        <f t="shared" si="3"/>
        <v>6L</v>
      </c>
      <c r="G34" s="192" t="str">
        <f t="shared" si="4"/>
        <v>12L</v>
      </c>
      <c r="H34" s="240" t="str">
        <f t="shared" si="5"/>
        <v>GBP6L12L40Y_Quote</v>
      </c>
      <c r="I34" s="102" t="str">
        <f t="shared" si="6"/>
        <v>GbpLiborSwapIsda40Y</v>
      </c>
      <c r="J34" s="239" t="str">
        <f t="shared" si="7"/>
        <v>GBPSB6L40Y_S6L12L_Quote</v>
      </c>
      <c r="K34" s="239" t="e">
        <f>_xll.qlForwardSwapQuote(J34,I34,H34,E34,Permanent,Trigger,ObjectOverwrite)</f>
        <v>#NUM!</v>
      </c>
      <c r="L34" s="247" t="e">
        <f ca="1">_xll.ohRangeRetrieveError(K34)</f>
        <v>#NUM!</v>
      </c>
      <c r="M34" s="33"/>
    </row>
    <row r="35" spans="1:13" x14ac:dyDescent="0.2">
      <c r="A35" s="118"/>
      <c r="B35" s="76" t="s">
        <v>37</v>
      </c>
      <c r="C35" s="192" t="str">
        <f t="shared" si="0"/>
        <v>SB</v>
      </c>
      <c r="D35" s="192" t="str">
        <f t="shared" si="1"/>
        <v>6L</v>
      </c>
      <c r="E35" s="192" t="str">
        <f t="shared" si="2"/>
        <v>0d</v>
      </c>
      <c r="F35" s="192" t="str">
        <f t="shared" si="3"/>
        <v>6L</v>
      </c>
      <c r="G35" s="192" t="str">
        <f t="shared" si="4"/>
        <v>12L</v>
      </c>
      <c r="H35" s="240" t="str">
        <f t="shared" si="5"/>
        <v>GBP6L12L50Y_Quote</v>
      </c>
      <c r="I35" s="102" t="str">
        <f t="shared" si="6"/>
        <v>GbpLiborSwapIsda50Y</v>
      </c>
      <c r="J35" s="239" t="str">
        <f t="shared" si="7"/>
        <v>GBPSB6L50Y_S6L12L_Quote</v>
      </c>
      <c r="K35" s="239" t="e">
        <f>_xll.qlForwardSwapQuote(J35,I35,H35,E35,Permanent,Trigger,ObjectOverwrite)</f>
        <v>#NUM!</v>
      </c>
      <c r="L35" s="247" t="e">
        <f ca="1">_xll.ohRangeRetrieveError(K35)</f>
        <v>#NUM!</v>
      </c>
      <c r="M35" s="33"/>
    </row>
    <row r="36" spans="1:13" x14ac:dyDescent="0.2">
      <c r="A36" s="118"/>
      <c r="B36" s="76" t="s">
        <v>27</v>
      </c>
      <c r="C36" s="192" t="str">
        <f t="shared" si="0"/>
        <v>SB</v>
      </c>
      <c r="D36" s="192" t="str">
        <f t="shared" si="1"/>
        <v>6L</v>
      </c>
      <c r="E36" s="192" t="str">
        <f t="shared" si="2"/>
        <v>0d</v>
      </c>
      <c r="F36" s="192" t="str">
        <f t="shared" si="3"/>
        <v>6L</v>
      </c>
      <c r="G36" s="192" t="str">
        <f t="shared" si="4"/>
        <v>12L</v>
      </c>
      <c r="H36" s="240" t="str">
        <f t="shared" si="5"/>
        <v>GBP6L12L60Y_Quote</v>
      </c>
      <c r="I36" s="102" t="str">
        <f t="shared" si="6"/>
        <v>GbpLiborSwapIsda60Y</v>
      </c>
      <c r="J36" s="239" t="str">
        <f t="shared" si="7"/>
        <v>GBPSB6L60Y_S6L12L_Quote</v>
      </c>
      <c r="K36" s="239" t="e">
        <f>_xll.qlForwardSwapQuote(J36,I36,H36,E36,Permanent,Trigger,ObjectOverwrite)</f>
        <v>#NUM!</v>
      </c>
      <c r="L36" s="247" t="e">
        <f ca="1">_xll.ohRangeRetrieveError(K36)</f>
        <v>#NUM!</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41"/>
  <sheetViews>
    <sheetView workbookViewId="0"/>
  </sheetViews>
  <sheetFormatPr defaultRowHeight="11.25" x14ac:dyDescent="0.2"/>
  <cols>
    <col min="1" max="2" width="4.28515625" style="255" customWidth="1"/>
    <col min="3" max="3" width="5.7109375" style="255" bestFit="1" customWidth="1"/>
    <col min="4" max="4" width="12.140625" style="255" bestFit="1" customWidth="1"/>
    <col min="5" max="5" width="12.85546875" style="255" customWidth="1"/>
    <col min="6" max="6" width="7.42578125" style="255" customWidth="1"/>
    <col min="7" max="7" width="6" style="255" bestFit="1" customWidth="1"/>
    <col min="8" max="8" width="5.5703125" style="255" bestFit="1" customWidth="1"/>
    <col min="9" max="9" width="4.28515625" style="255" customWidth="1"/>
    <col min="10" max="10" width="9.5703125" style="255" bestFit="1" customWidth="1"/>
    <col min="11" max="11" width="11.42578125" style="255" bestFit="1" customWidth="1"/>
    <col min="12" max="12" width="8.7109375" style="255" bestFit="1" customWidth="1"/>
    <col min="13" max="13" width="7.7109375" style="255" bestFit="1" customWidth="1"/>
    <col min="14" max="14" width="10" style="255" bestFit="1" customWidth="1"/>
    <col min="15" max="15" width="7.140625" style="255" hidden="1" customWidth="1"/>
    <col min="16" max="17" width="4.28515625" style="255" customWidth="1"/>
    <col min="18" max="18" width="12.85546875" style="255" bestFit="1" customWidth="1"/>
    <col min="19" max="19" width="8.140625" style="255" bestFit="1" customWidth="1"/>
    <col min="20" max="20" width="6" style="255" bestFit="1" customWidth="1"/>
    <col min="21" max="16384" width="9.140625" style="255"/>
  </cols>
  <sheetData>
    <row r="1" spans="1:30" ht="12" thickBot="1" x14ac:dyDescent="0.25">
      <c r="A1" s="256" t="s">
        <v>354</v>
      </c>
      <c r="B1" s="256"/>
      <c r="C1" s="256"/>
      <c r="D1" s="261"/>
      <c r="E1" s="269"/>
      <c r="F1" s="319"/>
      <c r="G1" s="319"/>
      <c r="H1" s="256"/>
      <c r="I1" s="261"/>
      <c r="J1" s="256"/>
      <c r="K1" s="256"/>
      <c r="L1" s="256"/>
      <c r="M1" s="256"/>
      <c r="N1" s="256"/>
      <c r="O1" s="256"/>
      <c r="P1" s="256"/>
      <c r="Q1" s="256"/>
      <c r="R1" s="256"/>
      <c r="S1" s="256"/>
      <c r="T1" s="256"/>
      <c r="U1" s="256"/>
      <c r="V1" s="256"/>
      <c r="W1" s="256"/>
      <c r="X1" s="256"/>
      <c r="Y1" s="256"/>
      <c r="Z1" s="256"/>
      <c r="AA1" s="256"/>
      <c r="AB1" s="256"/>
      <c r="AC1" s="256"/>
      <c r="AD1" s="256"/>
    </row>
    <row r="2" spans="1:30" ht="22.5" customHeight="1" x14ac:dyDescent="0.4">
      <c r="A2" s="256"/>
      <c r="B2" s="318"/>
      <c r="C2" s="312"/>
      <c r="D2" s="317" t="str">
        <f>VLOOKUP(Currency,Traits,2,FALSE)</f>
        <v>-</v>
      </c>
      <c r="E2" s="316"/>
      <c r="F2" s="315"/>
      <c r="G2" s="315"/>
      <c r="H2" s="312"/>
      <c r="I2" s="312"/>
      <c r="J2" s="314" t="str">
        <f>VLOOKUP(Currency,Traits,3,FALSE)</f>
        <v>-</v>
      </c>
      <c r="K2" s="312"/>
      <c r="L2" s="312"/>
      <c r="M2" s="313">
        <f>MAX(O4:O21)</f>
        <v>0</v>
      </c>
      <c r="N2" s="312"/>
      <c r="O2" s="312"/>
      <c r="P2" s="311"/>
      <c r="Q2" s="256"/>
      <c r="R2" s="256" t="s">
        <v>131</v>
      </c>
      <c r="S2" s="256"/>
      <c r="T2" s="256"/>
      <c r="U2" s="256"/>
      <c r="V2" s="256"/>
      <c r="W2" s="256"/>
      <c r="X2" s="256"/>
      <c r="Y2" s="256"/>
      <c r="Z2" s="256"/>
      <c r="AA2" s="256"/>
      <c r="AB2" s="256"/>
      <c r="AC2" s="256"/>
      <c r="AD2" s="256"/>
    </row>
    <row r="3" spans="1:30" ht="22.5" x14ac:dyDescent="0.2">
      <c r="A3" s="256"/>
      <c r="B3" s="287"/>
      <c r="C3" s="309" t="s">
        <v>24</v>
      </c>
      <c r="D3" s="308" t="e">
        <f ca="1">_xll.RData(D4:D21,E3:F3,"RTFEED:IDN",,,E4)</f>
        <v>#NAME?</v>
      </c>
      <c r="E3" s="308" t="s">
        <v>245</v>
      </c>
      <c r="F3" s="308" t="s">
        <v>244</v>
      </c>
      <c r="G3" s="308" t="s">
        <v>243</v>
      </c>
      <c r="H3" s="307" t="s">
        <v>242</v>
      </c>
      <c r="I3" s="310"/>
      <c r="J3" s="309" t="s">
        <v>241</v>
      </c>
      <c r="K3" s="308" t="s">
        <v>240</v>
      </c>
      <c r="L3" s="308" t="s">
        <v>239</v>
      </c>
      <c r="M3" s="308" t="s">
        <v>238</v>
      </c>
      <c r="N3" s="307" t="s">
        <v>237</v>
      </c>
      <c r="O3" s="306"/>
      <c r="P3" s="277"/>
      <c r="Q3" s="256"/>
      <c r="R3" s="256"/>
      <c r="S3" s="256"/>
      <c r="T3" s="256"/>
      <c r="U3" s="256"/>
      <c r="V3" s="256"/>
      <c r="W3" s="256"/>
      <c r="X3" s="256"/>
      <c r="Y3" s="256"/>
      <c r="Z3" s="256"/>
      <c r="AA3" s="256"/>
      <c r="AB3" s="256"/>
      <c r="AC3" s="256"/>
      <c r="AD3" s="256"/>
    </row>
    <row r="4" spans="1:30" ht="15" x14ac:dyDescent="0.25">
      <c r="A4" s="256"/>
      <c r="B4" s="287"/>
      <c r="C4" s="305" t="s">
        <v>236</v>
      </c>
      <c r="D4" s="299" t="str">
        <f t="shared" ref="D4:D21" si="0">Currency&amp;$D$2&amp;$C4&amp;"D="</f>
        <v>GBP-OND=</v>
      </c>
      <c r="E4" s="304" t="s">
        <v>233</v>
      </c>
      <c r="F4" s="303" t="s">
        <v>233</v>
      </c>
      <c r="G4" s="302" t="b">
        <f t="shared" ref="G4:G21" si="1">IF(AND(ISNUMBER($F4),$F4&lt;&gt;0%),TRUE,FALSE)</f>
        <v>0</v>
      </c>
      <c r="H4" s="301" t="e">
        <f>IF($G4,_xll.qlIndexAddFixings($J4,$E4,$F4/100,TRUE,ISERROR($K4)),NA())</f>
        <v>#N/A</v>
      </c>
      <c r="I4" s="282"/>
      <c r="J4" s="300" t="str">
        <f t="shared" ref="J4:J21" si="2">PROPER(Currency)&amp;$J$2&amp;$C4</f>
        <v>Gbp-ON</v>
      </c>
      <c r="K4" s="299" t="e">
        <f>_xll.qlIndexFixing($J4,$E4,TRUE,$G4)</f>
        <v>#NUM!</v>
      </c>
      <c r="L4" s="299" t="e">
        <f>IF($H4,_xll.qlIndexFixing($J4,$E4,FALSE,$G4),"-")</f>
        <v>#N/A</v>
      </c>
      <c r="M4" s="299" t="e">
        <f t="shared" ref="M4:M21" si="3">K4-L4</f>
        <v>#NUM!</v>
      </c>
      <c r="N4" s="298" t="e">
        <f>_xll.qlIndexFixing($J4,$E4,TRUE,$L4)</f>
        <v>#NUM!</v>
      </c>
      <c r="O4" s="297">
        <f>IF(ISERROR(M4),0,ABS(M4))</f>
        <v>0</v>
      </c>
      <c r="P4" s="277"/>
      <c r="Q4" s="256"/>
      <c r="R4" s="256" t="str">
        <f>Currency&amp;$C4&amp;"D"&amp;$R$2</f>
        <v>GBPOND_Quote</v>
      </c>
      <c r="S4" s="276">
        <f>_xll.qlQuoteValue(R4,ISERROR(H4))</f>
        <v>4.7999999999999996E-3</v>
      </c>
      <c r="T4" s="275" t="e">
        <f>IF(E4=EvaluationDate,S4-F4/100,NA())</f>
        <v>#N/A</v>
      </c>
      <c r="U4" s="256"/>
      <c r="V4" s="256"/>
      <c r="W4" s="256"/>
      <c r="X4" s="256"/>
      <c r="Y4" s="256"/>
      <c r="Z4" s="256"/>
      <c r="AA4" s="256"/>
      <c r="AB4" s="256"/>
      <c r="AC4" s="256"/>
      <c r="AD4" s="256"/>
    </row>
    <row r="5" spans="1:30" ht="15" x14ac:dyDescent="0.25">
      <c r="A5" s="256"/>
      <c r="B5" s="287"/>
      <c r="C5" s="295" t="s">
        <v>235</v>
      </c>
      <c r="D5" s="290" t="str">
        <f t="shared" si="0"/>
        <v>GBP-TND=</v>
      </c>
      <c r="E5" s="294" t="s">
        <v>233</v>
      </c>
      <c r="F5" s="296" t="s">
        <v>233</v>
      </c>
      <c r="G5" s="293" t="b">
        <f t="shared" si="1"/>
        <v>0</v>
      </c>
      <c r="H5" s="292" t="e">
        <f>IF($G5,_xll.qlIndexAddFixings($J5,$E5,$F5/100,TRUE,ISERROR($K5)),NA())</f>
        <v>#N/A</v>
      </c>
      <c r="I5" s="282"/>
      <c r="J5" s="291" t="str">
        <f t="shared" si="2"/>
        <v>Gbp-TN</v>
      </c>
      <c r="K5" s="290" t="e">
        <f>_xll.qlIndexFixing($J5,$E5,TRUE,$G5)</f>
        <v>#NUM!</v>
      </c>
      <c r="L5" s="290" t="e">
        <f>IF($H5,_xll.qlIndexFixing($J5,$E5,FALSE,$G5),"-")</f>
        <v>#N/A</v>
      </c>
      <c r="M5" s="290" t="e">
        <f t="shared" si="3"/>
        <v>#NUM!</v>
      </c>
      <c r="N5" s="289" t="e">
        <f>_xll.qlIndexFixing($J5,$E5,TRUE,$L5)</f>
        <v>#NUM!</v>
      </c>
      <c r="O5" s="288"/>
      <c r="P5" s="277"/>
      <c r="Q5" s="256"/>
      <c r="R5" s="256"/>
      <c r="S5" s="276"/>
      <c r="T5" s="275"/>
      <c r="U5" s="256"/>
      <c r="V5" s="256"/>
      <c r="W5" s="256"/>
      <c r="X5" s="256"/>
      <c r="Y5" s="256"/>
      <c r="Z5" s="256"/>
      <c r="AA5" s="256"/>
      <c r="AB5" s="256"/>
      <c r="AC5" s="256"/>
      <c r="AD5" s="256"/>
    </row>
    <row r="6" spans="1:30" ht="15" x14ac:dyDescent="0.25">
      <c r="A6" s="256"/>
      <c r="B6" s="287"/>
      <c r="C6" s="295" t="s">
        <v>234</v>
      </c>
      <c r="D6" s="290" t="str">
        <f t="shared" si="0"/>
        <v>GBP-SND=</v>
      </c>
      <c r="E6" s="294" t="s">
        <v>233</v>
      </c>
      <c r="F6" s="296" t="s">
        <v>233</v>
      </c>
      <c r="G6" s="293" t="b">
        <f t="shared" si="1"/>
        <v>0</v>
      </c>
      <c r="H6" s="292" t="e">
        <f>IF($G6,_xll.qlIndexAddFixings($J6,$E6,$F6/100,TRUE,ISERROR($K6)),NA())</f>
        <v>#N/A</v>
      </c>
      <c r="I6" s="282"/>
      <c r="J6" s="291" t="str">
        <f t="shared" si="2"/>
        <v>Gbp-SN</v>
      </c>
      <c r="K6" s="290" t="e">
        <f>_xll.qlIndexFixing($J6,$E6,TRUE,$G6)</f>
        <v>#NUM!</v>
      </c>
      <c r="L6" s="290" t="e">
        <f>IF($H6,_xll.qlIndexFixing($J6,$E6,FALSE,$G6),"-")</f>
        <v>#N/A</v>
      </c>
      <c r="M6" s="290" t="e">
        <f t="shared" si="3"/>
        <v>#NUM!</v>
      </c>
      <c r="N6" s="289" t="e">
        <f>_xll.qlIndexFixing($J6,$E6,TRUE,$L6)</f>
        <v>#NUM!</v>
      </c>
      <c r="O6" s="288"/>
      <c r="P6" s="277"/>
      <c r="Q6" s="256"/>
      <c r="R6" s="256"/>
      <c r="S6" s="276"/>
      <c r="T6" s="275"/>
      <c r="U6" s="256"/>
      <c r="V6" s="256"/>
      <c r="W6" s="256"/>
      <c r="X6" s="256"/>
      <c r="Y6" s="256"/>
      <c r="Z6" s="256"/>
      <c r="AA6" s="256"/>
      <c r="AB6" s="256"/>
      <c r="AC6" s="256"/>
      <c r="AD6" s="256"/>
    </row>
    <row r="7" spans="1:30" ht="15" x14ac:dyDescent="0.25">
      <c r="A7" s="256"/>
      <c r="B7" s="287"/>
      <c r="C7" s="295" t="s">
        <v>19</v>
      </c>
      <c r="D7" s="290" t="str">
        <f t="shared" si="0"/>
        <v>GBP-SWD=</v>
      </c>
      <c r="E7" s="294" t="s">
        <v>233</v>
      </c>
      <c r="F7" s="293" t="s">
        <v>233</v>
      </c>
      <c r="G7" s="293" t="b">
        <f t="shared" si="1"/>
        <v>0</v>
      </c>
      <c r="H7" s="292" t="e">
        <f>IF($G7,_xll.qlIndexAddFixings($J7,$E7,$F7/100,TRUE,ISERROR($K7)),NA())</f>
        <v>#N/A</v>
      </c>
      <c r="I7" s="282"/>
      <c r="J7" s="291" t="str">
        <f t="shared" si="2"/>
        <v>Gbp-SW</v>
      </c>
      <c r="K7" s="290" t="e">
        <f>_xll.qlIndexFixing($J7,$E7,TRUE,$G7)</f>
        <v>#NUM!</v>
      </c>
      <c r="L7" s="290" t="e">
        <f>IF($H7,_xll.qlIndexFixing($J7,$E7,FALSE,$G7),"-")</f>
        <v>#N/A</v>
      </c>
      <c r="M7" s="290" t="e">
        <f t="shared" si="3"/>
        <v>#NUM!</v>
      </c>
      <c r="N7" s="289" t="e">
        <f>_xll.qlIndexFixing($J7,$E7,TRUE,$L7)</f>
        <v>#NUM!</v>
      </c>
      <c r="O7" s="288">
        <f t="shared" ref="O7:O21" si="4">IF(ISERROR(M7),0,ABS(M7))</f>
        <v>0</v>
      </c>
      <c r="P7" s="277"/>
      <c r="Q7" s="256"/>
      <c r="R7" s="256" t="str">
        <f t="shared" ref="R7:R21" si="5">Currency&amp;$C7&amp;"D"&amp;$R$2</f>
        <v>GBPSWD_Quote</v>
      </c>
      <c r="S7" s="276">
        <f>_xll.qlQuoteValue(R7,ISERROR(H7))</f>
        <v>4.8438000000000005E-3</v>
      </c>
      <c r="T7" s="275" t="e">
        <f t="shared" ref="T7:T21" si="6">IF(E7=EvaluationDate,S7-F7/100,NA())</f>
        <v>#N/A</v>
      </c>
      <c r="U7" s="256"/>
      <c r="V7" s="256"/>
      <c r="W7" s="256"/>
      <c r="X7" s="256"/>
      <c r="Y7" s="256"/>
      <c r="Z7" s="256"/>
      <c r="AA7" s="256"/>
      <c r="AB7" s="256"/>
      <c r="AC7" s="256"/>
      <c r="AD7" s="256"/>
    </row>
    <row r="8" spans="1:30" ht="15" x14ac:dyDescent="0.25">
      <c r="A8" s="256"/>
      <c r="B8" s="287"/>
      <c r="C8" s="295" t="s">
        <v>18</v>
      </c>
      <c r="D8" s="290" t="str">
        <f t="shared" si="0"/>
        <v>GBP-2WD=</v>
      </c>
      <c r="E8" s="294" t="s">
        <v>233</v>
      </c>
      <c r="F8" s="293" t="s">
        <v>233</v>
      </c>
      <c r="G8" s="293" t="b">
        <f t="shared" si="1"/>
        <v>0</v>
      </c>
      <c r="H8" s="292" t="e">
        <f>IF($G8,_xll.qlIndexAddFixings($J8,$E8,$F8/100,TRUE,ISERROR($K8)),NA())</f>
        <v>#N/A</v>
      </c>
      <c r="I8" s="282"/>
      <c r="J8" s="291" t="str">
        <f t="shared" si="2"/>
        <v>Gbp-2W</v>
      </c>
      <c r="K8" s="290" t="e">
        <f>_xll.qlIndexFixing($J8,$E8,TRUE,$G8)</f>
        <v>#NUM!</v>
      </c>
      <c r="L8" s="290" t="e">
        <f>IF($H8,_xll.qlIndexFixing($J8,$E8,FALSE,$G8),"-")</f>
        <v>#N/A</v>
      </c>
      <c r="M8" s="290" t="e">
        <f t="shared" si="3"/>
        <v>#NUM!</v>
      </c>
      <c r="N8" s="289" t="e">
        <f>_xll.qlIndexFixing($J8,$E8,TRUE,$L8)</f>
        <v>#NUM!</v>
      </c>
      <c r="O8" s="288">
        <f t="shared" si="4"/>
        <v>0</v>
      </c>
      <c r="P8" s="277"/>
      <c r="Q8" s="256"/>
      <c r="R8" s="256" t="str">
        <f t="shared" si="5"/>
        <v>GBP2WD_Quote</v>
      </c>
      <c r="S8" s="276">
        <f>_xll.qlQuoteValue(R8,ISERROR(H8))</f>
        <v>4.9249999999999997E-3</v>
      </c>
      <c r="T8" s="275" t="e">
        <f t="shared" si="6"/>
        <v>#N/A</v>
      </c>
      <c r="U8" s="256"/>
      <c r="V8" s="256"/>
      <c r="W8" s="256"/>
      <c r="X8" s="256"/>
      <c r="Y8" s="256"/>
      <c r="Z8" s="256"/>
      <c r="AA8" s="256"/>
      <c r="AB8" s="256"/>
      <c r="AC8" s="256"/>
      <c r="AD8" s="256"/>
    </row>
    <row r="9" spans="1:30" ht="15" x14ac:dyDescent="0.25">
      <c r="A9" s="256"/>
      <c r="B9" s="287"/>
      <c r="C9" s="295" t="s">
        <v>16</v>
      </c>
      <c r="D9" s="290" t="str">
        <f t="shared" si="0"/>
        <v>GBP-3WD=</v>
      </c>
      <c r="E9" s="294" t="s">
        <v>233</v>
      </c>
      <c r="F9" s="293" t="s">
        <v>233</v>
      </c>
      <c r="G9" s="293" t="b">
        <f t="shared" si="1"/>
        <v>0</v>
      </c>
      <c r="H9" s="292" t="e">
        <f>IF($G9,_xll.qlIndexAddFixings($J9,$E9,$F9/100,TRUE,ISERROR($K9)),NA())</f>
        <v>#N/A</v>
      </c>
      <c r="I9" s="282"/>
      <c r="J9" s="291" t="str">
        <f t="shared" si="2"/>
        <v>Gbp-3W</v>
      </c>
      <c r="K9" s="290" t="e">
        <f>_xll.qlIndexFixing($J9,$E9,TRUE,$G9)</f>
        <v>#NUM!</v>
      </c>
      <c r="L9" s="290" t="e">
        <f>IF($H9,_xll.qlIndexFixing($J9,$E9,FALSE,$G9),"-")</f>
        <v>#N/A</v>
      </c>
      <c r="M9" s="290" t="e">
        <f t="shared" si="3"/>
        <v>#NUM!</v>
      </c>
      <c r="N9" s="289" t="e">
        <f>_xll.qlIndexFixing($J9,$E9,TRUE,$L9)</f>
        <v>#NUM!</v>
      </c>
      <c r="O9" s="288">
        <f t="shared" si="4"/>
        <v>0</v>
      </c>
      <c r="P9" s="277"/>
      <c r="Q9" s="256"/>
      <c r="R9" s="256" t="str">
        <f t="shared" si="5"/>
        <v>GBP3WD_Quote</v>
      </c>
      <c r="S9" s="276" t="e">
        <f>_xll.qlQuoteValue(R9,ISERROR(H9))</f>
        <v>#NUM!</v>
      </c>
      <c r="T9" s="275" t="e">
        <f t="shared" si="6"/>
        <v>#N/A</v>
      </c>
      <c r="U9" s="256"/>
      <c r="V9" s="256"/>
      <c r="W9" s="256"/>
      <c r="X9" s="256"/>
      <c r="Y9" s="256"/>
      <c r="Z9" s="256"/>
      <c r="AA9" s="256"/>
      <c r="AB9" s="256"/>
      <c r="AC9" s="256"/>
      <c r="AD9" s="256"/>
    </row>
    <row r="10" spans="1:30" ht="15" x14ac:dyDescent="0.25">
      <c r="A10" s="256"/>
      <c r="B10" s="287"/>
      <c r="C10" s="295" t="s">
        <v>15</v>
      </c>
      <c r="D10" s="290" t="str">
        <f t="shared" si="0"/>
        <v>GBP-1MD=</v>
      </c>
      <c r="E10" s="294" t="s">
        <v>233</v>
      </c>
      <c r="F10" s="293" t="s">
        <v>233</v>
      </c>
      <c r="G10" s="293" t="b">
        <f t="shared" si="1"/>
        <v>0</v>
      </c>
      <c r="H10" s="292" t="e">
        <f>IF($G10,_xll.qlIndexAddFixings($J10,$E10,$F10/100,TRUE,ISERROR($K10)),NA())</f>
        <v>#N/A</v>
      </c>
      <c r="I10" s="282"/>
      <c r="J10" s="291" t="str">
        <f t="shared" si="2"/>
        <v>Gbp-1M</v>
      </c>
      <c r="K10" s="290" t="e">
        <f>_xll.qlIndexFixing($J10,$E10,TRUE,$G10)</f>
        <v>#NUM!</v>
      </c>
      <c r="L10" s="290" t="e">
        <f>IF($H10,_xll.qlIndexFixing($J10,$E10,FALSE,$G10),"-")</f>
        <v>#N/A</v>
      </c>
      <c r="M10" s="290" t="e">
        <f t="shared" si="3"/>
        <v>#NUM!</v>
      </c>
      <c r="N10" s="289" t="e">
        <f>_xll.qlIndexFixing($J10,$E10,TRUE,$L10)</f>
        <v>#NUM!</v>
      </c>
      <c r="O10" s="288">
        <f t="shared" si="4"/>
        <v>0</v>
      </c>
      <c r="P10" s="277"/>
      <c r="Q10" s="256"/>
      <c r="R10" s="256" t="str">
        <f t="shared" si="5"/>
        <v>GBP1MD_Quote</v>
      </c>
      <c r="S10" s="276">
        <f>_xll.qlQuoteValue(R10,ISERROR(H10))</f>
        <v>4.9438000000000008E-3</v>
      </c>
      <c r="T10" s="275" t="e">
        <f t="shared" si="6"/>
        <v>#N/A</v>
      </c>
      <c r="U10" s="256"/>
      <c r="V10" s="256"/>
      <c r="W10" s="256"/>
      <c r="X10" s="256"/>
      <c r="Y10" s="256"/>
      <c r="Z10" s="256"/>
      <c r="AA10" s="256"/>
      <c r="AB10" s="256"/>
      <c r="AC10" s="256"/>
      <c r="AD10" s="256"/>
    </row>
    <row r="11" spans="1:30" ht="15" x14ac:dyDescent="0.25">
      <c r="A11" s="256"/>
      <c r="B11" s="287"/>
      <c r="C11" s="295" t="s">
        <v>13</v>
      </c>
      <c r="D11" s="290" t="str">
        <f t="shared" si="0"/>
        <v>GBP-2MD=</v>
      </c>
      <c r="E11" s="294" t="s">
        <v>233</v>
      </c>
      <c r="F11" s="293" t="s">
        <v>233</v>
      </c>
      <c r="G11" s="293" t="b">
        <f t="shared" si="1"/>
        <v>0</v>
      </c>
      <c r="H11" s="292" t="e">
        <f>IF($G11,_xll.qlIndexAddFixings($J11,$E11,$F11/100,TRUE,ISERROR($K11)),NA())</f>
        <v>#N/A</v>
      </c>
      <c r="I11" s="282"/>
      <c r="J11" s="291" t="str">
        <f t="shared" si="2"/>
        <v>Gbp-2M</v>
      </c>
      <c r="K11" s="290" t="e">
        <f>_xll.qlIndexFixing($J11,$E11,TRUE,$G11)</f>
        <v>#NUM!</v>
      </c>
      <c r="L11" s="290" t="e">
        <f>IF($H11,_xll.qlIndexFixing($J11,$E11,FALSE,$G11),"-")</f>
        <v>#N/A</v>
      </c>
      <c r="M11" s="290" t="e">
        <f t="shared" si="3"/>
        <v>#NUM!</v>
      </c>
      <c r="N11" s="289" t="e">
        <f>_xll.qlIndexFixing($J11,$E11,TRUE,$L11)</f>
        <v>#NUM!</v>
      </c>
      <c r="O11" s="288">
        <f t="shared" si="4"/>
        <v>0</v>
      </c>
      <c r="P11" s="277"/>
      <c r="Q11" s="256"/>
      <c r="R11" s="256" t="str">
        <f t="shared" si="5"/>
        <v>GBP2MD_Quote</v>
      </c>
      <c r="S11" s="276">
        <f>_xll.qlQuoteValue(R11,ISERROR(H11))</f>
        <v>5.1000000000000004E-3</v>
      </c>
      <c r="T11" s="275" t="e">
        <f t="shared" si="6"/>
        <v>#N/A</v>
      </c>
      <c r="U11" s="256"/>
      <c r="V11" s="256"/>
      <c r="W11" s="256"/>
      <c r="X11" s="256"/>
      <c r="Y11" s="256"/>
      <c r="Z11" s="256"/>
      <c r="AA11" s="256"/>
      <c r="AB11" s="256"/>
      <c r="AC11" s="256"/>
      <c r="AD11" s="256"/>
    </row>
    <row r="12" spans="1:30" ht="15" x14ac:dyDescent="0.25">
      <c r="A12" s="256"/>
      <c r="B12" s="287"/>
      <c r="C12" s="295" t="s">
        <v>12</v>
      </c>
      <c r="D12" s="290" t="str">
        <f t="shared" si="0"/>
        <v>GBP-3MD=</v>
      </c>
      <c r="E12" s="294" t="s">
        <v>233</v>
      </c>
      <c r="F12" s="293" t="s">
        <v>233</v>
      </c>
      <c r="G12" s="293" t="b">
        <f t="shared" si="1"/>
        <v>0</v>
      </c>
      <c r="H12" s="292" t="e">
        <f>IF($G12,_xll.qlIndexAddFixings($J12,$E12,$F12/100,TRUE,ISERROR($K12)),NA())</f>
        <v>#N/A</v>
      </c>
      <c r="I12" s="282"/>
      <c r="J12" s="291" t="str">
        <f t="shared" si="2"/>
        <v>Gbp-3M</v>
      </c>
      <c r="K12" s="290" t="e">
        <f>_xll.qlIndexFixing($J12,$E12,TRUE,$G12)</f>
        <v>#NUM!</v>
      </c>
      <c r="L12" s="290" t="e">
        <f>IF($H12,_xll.qlIndexFixing($J12,$E12,FALSE,$G12),"-")</f>
        <v>#N/A</v>
      </c>
      <c r="M12" s="290" t="e">
        <f t="shared" si="3"/>
        <v>#NUM!</v>
      </c>
      <c r="N12" s="289" t="e">
        <f>_xll.qlIndexFixing($J12,$E12,TRUE,$L12)</f>
        <v>#NUM!</v>
      </c>
      <c r="O12" s="288">
        <f t="shared" si="4"/>
        <v>0</v>
      </c>
      <c r="P12" s="277"/>
      <c r="Q12" s="256"/>
      <c r="R12" s="256" t="str">
        <f t="shared" si="5"/>
        <v>GBP3MD_Quote</v>
      </c>
      <c r="S12" s="276">
        <f>_xll.qlQuoteValue(R12,ISERROR(H12))</f>
        <v>5.1875000000000003E-3</v>
      </c>
      <c r="T12" s="275" t="e">
        <f t="shared" si="6"/>
        <v>#N/A</v>
      </c>
      <c r="U12" s="256"/>
      <c r="V12" s="256"/>
      <c r="W12" s="256"/>
      <c r="X12" s="256"/>
      <c r="Y12" s="256"/>
      <c r="Z12" s="256"/>
      <c r="AA12" s="256"/>
      <c r="AB12" s="256"/>
      <c r="AC12" s="256"/>
      <c r="AD12" s="256"/>
    </row>
    <row r="13" spans="1:30" ht="15" x14ac:dyDescent="0.25">
      <c r="A13" s="256"/>
      <c r="B13" s="287"/>
      <c r="C13" s="295" t="s">
        <v>11</v>
      </c>
      <c r="D13" s="290" t="str">
        <f t="shared" si="0"/>
        <v>GBP-4MD=</v>
      </c>
      <c r="E13" s="294" t="s">
        <v>233</v>
      </c>
      <c r="F13" s="293" t="s">
        <v>233</v>
      </c>
      <c r="G13" s="293" t="b">
        <f t="shared" si="1"/>
        <v>0</v>
      </c>
      <c r="H13" s="292" t="e">
        <f>IF($G13,_xll.qlIndexAddFixings($J13,$E13,$F13/100,TRUE,ISERROR($K13)),NA())</f>
        <v>#N/A</v>
      </c>
      <c r="I13" s="282"/>
      <c r="J13" s="291" t="str">
        <f t="shared" si="2"/>
        <v>Gbp-4M</v>
      </c>
      <c r="K13" s="290" t="e">
        <f>_xll.qlIndexFixing($J13,$E13,TRUE,$G13)</f>
        <v>#NUM!</v>
      </c>
      <c r="L13" s="290" t="e">
        <f>IF($H13,_xll.qlIndexFixing($J13,$E13,FALSE,$G13),"-")</f>
        <v>#N/A</v>
      </c>
      <c r="M13" s="290" t="e">
        <f t="shared" si="3"/>
        <v>#NUM!</v>
      </c>
      <c r="N13" s="289" t="e">
        <f>_xll.qlIndexFixing($J13,$E13,TRUE,$L13)</f>
        <v>#NUM!</v>
      </c>
      <c r="O13" s="288">
        <f t="shared" si="4"/>
        <v>0</v>
      </c>
      <c r="P13" s="277"/>
      <c r="Q13" s="256"/>
      <c r="R13" s="256" t="str">
        <f t="shared" si="5"/>
        <v>GBP4MD_Quote</v>
      </c>
      <c r="S13" s="276">
        <f>_xll.qlQuoteValue(R13,ISERROR(H13))</f>
        <v>5.6000000000000008E-3</v>
      </c>
      <c r="T13" s="275" t="e">
        <f t="shared" si="6"/>
        <v>#N/A</v>
      </c>
      <c r="U13" s="256"/>
      <c r="V13" s="256"/>
      <c r="W13" s="256"/>
      <c r="X13" s="256"/>
      <c r="Y13" s="256"/>
      <c r="Z13" s="256"/>
      <c r="AA13" s="256"/>
      <c r="AB13" s="256"/>
      <c r="AC13" s="256"/>
      <c r="AD13" s="256"/>
    </row>
    <row r="14" spans="1:30" ht="15" x14ac:dyDescent="0.25">
      <c r="A14" s="256"/>
      <c r="B14" s="287"/>
      <c r="C14" s="295" t="s">
        <v>9</v>
      </c>
      <c r="D14" s="290" t="str">
        <f t="shared" si="0"/>
        <v>GBP-5MD=</v>
      </c>
      <c r="E14" s="294" t="s">
        <v>233</v>
      </c>
      <c r="F14" s="293" t="s">
        <v>233</v>
      </c>
      <c r="G14" s="293" t="b">
        <f t="shared" si="1"/>
        <v>0</v>
      </c>
      <c r="H14" s="292" t="e">
        <f>IF($G14,_xll.qlIndexAddFixings($J14,$E14,$F14/100,TRUE,ISERROR($K14)),NA())</f>
        <v>#N/A</v>
      </c>
      <c r="I14" s="282"/>
      <c r="J14" s="291" t="str">
        <f t="shared" si="2"/>
        <v>Gbp-5M</v>
      </c>
      <c r="K14" s="290" t="e">
        <f>_xll.qlIndexFixing($J14,$E14,TRUE,$G14)</f>
        <v>#NUM!</v>
      </c>
      <c r="L14" s="290" t="e">
        <f>IF($H14,_xll.qlIndexFixing($J14,$E14,FALSE,$G14),"-")</f>
        <v>#N/A</v>
      </c>
      <c r="M14" s="290" t="e">
        <f t="shared" si="3"/>
        <v>#NUM!</v>
      </c>
      <c r="N14" s="289" t="e">
        <f>_xll.qlIndexFixing($J14,$E14,TRUE,$L14)</f>
        <v>#NUM!</v>
      </c>
      <c r="O14" s="288">
        <f t="shared" si="4"/>
        <v>0</v>
      </c>
      <c r="P14" s="277"/>
      <c r="Q14" s="256"/>
      <c r="R14" s="256" t="str">
        <f t="shared" si="5"/>
        <v>GBP5MD_Quote</v>
      </c>
      <c r="S14" s="276">
        <f>_xll.qlQuoteValue(R14,ISERROR(H14))</f>
        <v>6.2937999999999996E-3</v>
      </c>
      <c r="T14" s="275" t="e">
        <f t="shared" si="6"/>
        <v>#N/A</v>
      </c>
      <c r="U14" s="256"/>
      <c r="V14" s="256"/>
      <c r="W14" s="256"/>
      <c r="X14" s="256"/>
      <c r="Y14" s="256"/>
      <c r="Z14" s="256"/>
      <c r="AA14" s="256"/>
      <c r="AB14" s="256"/>
      <c r="AC14" s="256"/>
      <c r="AD14" s="256"/>
    </row>
    <row r="15" spans="1:30" ht="15" x14ac:dyDescent="0.25">
      <c r="A15" s="256"/>
      <c r="B15" s="287"/>
      <c r="C15" s="295" t="s">
        <v>8</v>
      </c>
      <c r="D15" s="290" t="str">
        <f t="shared" si="0"/>
        <v>GBP-6MD=</v>
      </c>
      <c r="E15" s="294" t="s">
        <v>233</v>
      </c>
      <c r="F15" s="293" t="s">
        <v>233</v>
      </c>
      <c r="G15" s="293" t="b">
        <f t="shared" si="1"/>
        <v>0</v>
      </c>
      <c r="H15" s="292" t="e">
        <f>IF($G15,_xll.qlIndexAddFixings($J15,$E15,$F15/100,TRUE,ISERROR($K15)),NA())</f>
        <v>#N/A</v>
      </c>
      <c r="I15" s="282"/>
      <c r="J15" s="291" t="str">
        <f t="shared" si="2"/>
        <v>Gbp-6M</v>
      </c>
      <c r="K15" s="290" t="e">
        <f>_xll.qlIndexFixing($J15,$E15,TRUE,$G15)</f>
        <v>#NUM!</v>
      </c>
      <c r="L15" s="290" t="e">
        <f>IF($H15,_xll.qlIndexFixing($J15,$E15,FALSE,$G15),"-")</f>
        <v>#N/A</v>
      </c>
      <c r="M15" s="290" t="e">
        <f t="shared" si="3"/>
        <v>#NUM!</v>
      </c>
      <c r="N15" s="289" t="e">
        <f>_xll.qlIndexFixing($J15,$E15,TRUE,$L15)</f>
        <v>#NUM!</v>
      </c>
      <c r="O15" s="288">
        <f t="shared" si="4"/>
        <v>0</v>
      </c>
      <c r="P15" s="277"/>
      <c r="Q15" s="256"/>
      <c r="R15" s="256" t="str">
        <f t="shared" si="5"/>
        <v>GBP6MD_Quote</v>
      </c>
      <c r="S15" s="276">
        <f>_xll.qlQuoteValue(R15,ISERROR(H15))</f>
        <v>6.6874999999999999E-3</v>
      </c>
      <c r="T15" s="275" t="e">
        <f t="shared" si="6"/>
        <v>#N/A</v>
      </c>
      <c r="U15" s="256"/>
      <c r="V15" s="256"/>
      <c r="W15" s="256"/>
      <c r="X15" s="256"/>
      <c r="Y15" s="256"/>
      <c r="Z15" s="256"/>
      <c r="AA15" s="256"/>
      <c r="AB15" s="256"/>
      <c r="AC15" s="256"/>
      <c r="AD15" s="256"/>
    </row>
    <row r="16" spans="1:30" ht="15" x14ac:dyDescent="0.25">
      <c r="A16" s="256"/>
      <c r="B16" s="287"/>
      <c r="C16" s="295" t="s">
        <v>7</v>
      </c>
      <c r="D16" s="290" t="str">
        <f t="shared" si="0"/>
        <v>GBP-7MD=</v>
      </c>
      <c r="E16" s="294" t="s">
        <v>233</v>
      </c>
      <c r="F16" s="293" t="s">
        <v>233</v>
      </c>
      <c r="G16" s="293" t="b">
        <f t="shared" si="1"/>
        <v>0</v>
      </c>
      <c r="H16" s="292" t="e">
        <f>IF($G16,_xll.qlIndexAddFixings($J16,$E16,$F16/100,TRUE,ISERROR($K16)),NA())</f>
        <v>#N/A</v>
      </c>
      <c r="I16" s="282"/>
      <c r="J16" s="291" t="str">
        <f t="shared" si="2"/>
        <v>Gbp-7M</v>
      </c>
      <c r="K16" s="290" t="e">
        <f>_xll.qlIndexFixing($J16,$E16,TRUE,$G16)</f>
        <v>#NUM!</v>
      </c>
      <c r="L16" s="290" t="e">
        <f>IF($H16,_xll.qlIndexFixing($J16,$E16,FALSE,$G16),"-")</f>
        <v>#N/A</v>
      </c>
      <c r="M16" s="290" t="e">
        <f t="shared" si="3"/>
        <v>#NUM!</v>
      </c>
      <c r="N16" s="289" t="e">
        <f>_xll.qlIndexFixing($J16,$E16,TRUE,$L16)</f>
        <v>#NUM!</v>
      </c>
      <c r="O16" s="288">
        <f t="shared" si="4"/>
        <v>0</v>
      </c>
      <c r="P16" s="277"/>
      <c r="Q16" s="256"/>
      <c r="R16" s="256" t="str">
        <f t="shared" si="5"/>
        <v>GBP7MD_Quote</v>
      </c>
      <c r="S16" s="276">
        <f>_xll.qlQuoteValue(R16,ISERROR(H16))</f>
        <v>7.181299999999999E-3</v>
      </c>
      <c r="T16" s="275" t="e">
        <f t="shared" si="6"/>
        <v>#N/A</v>
      </c>
      <c r="U16" s="256"/>
      <c r="V16" s="256"/>
      <c r="W16" s="256"/>
      <c r="X16" s="256"/>
      <c r="Y16" s="256"/>
      <c r="Z16" s="256"/>
      <c r="AA16" s="256"/>
      <c r="AB16" s="256"/>
      <c r="AC16" s="256"/>
      <c r="AD16" s="256"/>
    </row>
    <row r="17" spans="1:30" ht="15" x14ac:dyDescent="0.25">
      <c r="A17" s="256"/>
      <c r="B17" s="287"/>
      <c r="C17" s="295" t="s">
        <v>6</v>
      </c>
      <c r="D17" s="290" t="str">
        <f t="shared" si="0"/>
        <v>GBP-8MD=</v>
      </c>
      <c r="E17" s="294" t="s">
        <v>233</v>
      </c>
      <c r="F17" s="293" t="s">
        <v>233</v>
      </c>
      <c r="G17" s="293" t="b">
        <f t="shared" si="1"/>
        <v>0</v>
      </c>
      <c r="H17" s="292" t="e">
        <f>IF($G17,_xll.qlIndexAddFixings($J17,$E17,$F17/100,TRUE,ISERROR($K17)),NA())</f>
        <v>#N/A</v>
      </c>
      <c r="I17" s="282"/>
      <c r="J17" s="291" t="str">
        <f t="shared" si="2"/>
        <v>Gbp-8M</v>
      </c>
      <c r="K17" s="290" t="e">
        <f>_xll.qlIndexFixing($J17,$E17,TRUE,$G17)</f>
        <v>#NUM!</v>
      </c>
      <c r="L17" s="290" t="e">
        <f>IF($H17,_xll.qlIndexFixing($J17,$E17,FALSE,$G17),"-")</f>
        <v>#N/A</v>
      </c>
      <c r="M17" s="290" t="e">
        <f t="shared" si="3"/>
        <v>#NUM!</v>
      </c>
      <c r="N17" s="289" t="e">
        <f>_xll.qlIndexFixing($J17,$E17,TRUE,$L17)</f>
        <v>#NUM!</v>
      </c>
      <c r="O17" s="288">
        <f t="shared" si="4"/>
        <v>0</v>
      </c>
      <c r="P17" s="277"/>
      <c r="Q17" s="256"/>
      <c r="R17" s="256" t="str">
        <f t="shared" si="5"/>
        <v>GBP8MD_Quote</v>
      </c>
      <c r="S17" s="276">
        <f>_xll.qlQuoteValue(R17,ISERROR(H17))</f>
        <v>7.8874999999999987E-3</v>
      </c>
      <c r="T17" s="275" t="e">
        <f t="shared" si="6"/>
        <v>#N/A</v>
      </c>
      <c r="U17" s="256"/>
      <c r="V17" s="256"/>
      <c r="W17" s="256"/>
      <c r="X17" s="256"/>
      <c r="Y17" s="256"/>
      <c r="Z17" s="256"/>
      <c r="AA17" s="256"/>
      <c r="AB17" s="256"/>
      <c r="AC17" s="256"/>
      <c r="AD17" s="256"/>
    </row>
    <row r="18" spans="1:30" ht="15" x14ac:dyDescent="0.25">
      <c r="A18" s="256"/>
      <c r="B18" s="287"/>
      <c r="C18" s="295" t="s">
        <v>4</v>
      </c>
      <c r="D18" s="290" t="str">
        <f t="shared" si="0"/>
        <v>GBP-9MD=</v>
      </c>
      <c r="E18" s="294" t="s">
        <v>233</v>
      </c>
      <c r="F18" s="293" t="s">
        <v>233</v>
      </c>
      <c r="G18" s="293" t="b">
        <f t="shared" si="1"/>
        <v>0</v>
      </c>
      <c r="H18" s="292" t="e">
        <f>IF($G18,_xll.qlIndexAddFixings($J18,$E18,$F18/100,TRUE,ISERROR($K18)),NA())</f>
        <v>#N/A</v>
      </c>
      <c r="I18" s="282"/>
      <c r="J18" s="291" t="str">
        <f t="shared" si="2"/>
        <v>Gbp-9M</v>
      </c>
      <c r="K18" s="290" t="e">
        <f>_xll.qlIndexFixing($J18,$E18,TRUE,$G18)</f>
        <v>#NUM!</v>
      </c>
      <c r="L18" s="290" t="e">
        <f>IF($H18,_xll.qlIndexFixing($J18,$E18,FALSE,$G18),"-")</f>
        <v>#N/A</v>
      </c>
      <c r="M18" s="290" t="e">
        <f t="shared" si="3"/>
        <v>#NUM!</v>
      </c>
      <c r="N18" s="289" t="e">
        <f>_xll.qlIndexFixing($J18,$E18,TRUE,$L18)</f>
        <v>#NUM!</v>
      </c>
      <c r="O18" s="288">
        <f t="shared" si="4"/>
        <v>0</v>
      </c>
      <c r="P18" s="277"/>
      <c r="Q18" s="256"/>
      <c r="R18" s="256" t="str">
        <f t="shared" si="5"/>
        <v>GBP9MD_Quote</v>
      </c>
      <c r="S18" s="276">
        <f>_xll.qlQuoteValue(R18,ISERROR(H18))</f>
        <v>8.4124999999999998E-3</v>
      </c>
      <c r="T18" s="275" t="e">
        <f t="shared" si="6"/>
        <v>#N/A</v>
      </c>
      <c r="U18" s="256"/>
      <c r="V18" s="256"/>
      <c r="W18" s="256"/>
      <c r="X18" s="256"/>
      <c r="Y18" s="256"/>
      <c r="Z18" s="256"/>
      <c r="AA18" s="256"/>
      <c r="AB18" s="256"/>
      <c r="AC18" s="256"/>
      <c r="AD18" s="256"/>
    </row>
    <row r="19" spans="1:30" ht="15" x14ac:dyDescent="0.25">
      <c r="A19" s="256"/>
      <c r="B19" s="287"/>
      <c r="C19" s="295" t="s">
        <v>3</v>
      </c>
      <c r="D19" s="290" t="str">
        <f t="shared" si="0"/>
        <v>GBP-10MD=</v>
      </c>
      <c r="E19" s="294" t="s">
        <v>233</v>
      </c>
      <c r="F19" s="293" t="s">
        <v>233</v>
      </c>
      <c r="G19" s="293" t="b">
        <f t="shared" si="1"/>
        <v>0</v>
      </c>
      <c r="H19" s="292" t="e">
        <f>IF($G19,_xll.qlIndexAddFixings($J19,$E19,$F19/100,TRUE,ISERROR($K19)),NA())</f>
        <v>#N/A</v>
      </c>
      <c r="I19" s="282"/>
      <c r="J19" s="291" t="str">
        <f t="shared" si="2"/>
        <v>Gbp-10M</v>
      </c>
      <c r="K19" s="290" t="e">
        <f>_xll.qlIndexFixing($J19,$E19,TRUE,$G19)</f>
        <v>#NUM!</v>
      </c>
      <c r="L19" s="290" t="e">
        <f>IF($H19,_xll.qlIndexFixing($J19,$E19,FALSE,$G19),"-")</f>
        <v>#N/A</v>
      </c>
      <c r="M19" s="290" t="e">
        <f t="shared" si="3"/>
        <v>#NUM!</v>
      </c>
      <c r="N19" s="289" t="e">
        <f>_xll.qlIndexFixing($J19,$E19,TRUE,$L19)</f>
        <v>#NUM!</v>
      </c>
      <c r="O19" s="288">
        <f t="shared" si="4"/>
        <v>0</v>
      </c>
      <c r="P19" s="277"/>
      <c r="Q19" s="256"/>
      <c r="R19" s="256" t="str">
        <f t="shared" si="5"/>
        <v>GBP10MD_Quote</v>
      </c>
      <c r="S19" s="276">
        <f>_xll.qlQuoteValue(R19,ISERROR(H19))</f>
        <v>8.9312999999999997E-3</v>
      </c>
      <c r="T19" s="275" t="e">
        <f t="shared" si="6"/>
        <v>#N/A</v>
      </c>
      <c r="U19" s="256"/>
      <c r="V19" s="256"/>
      <c r="W19" s="256"/>
      <c r="X19" s="256"/>
      <c r="Y19" s="256"/>
      <c r="Z19" s="256"/>
      <c r="AA19" s="256"/>
      <c r="AB19" s="256"/>
      <c r="AC19" s="256"/>
      <c r="AD19" s="256"/>
    </row>
    <row r="20" spans="1:30" ht="15" x14ac:dyDescent="0.25">
      <c r="A20" s="256"/>
      <c r="B20" s="287"/>
      <c r="C20" s="295" t="s">
        <v>2</v>
      </c>
      <c r="D20" s="290" t="str">
        <f t="shared" si="0"/>
        <v>GBP-11MD=</v>
      </c>
      <c r="E20" s="294" t="s">
        <v>233</v>
      </c>
      <c r="F20" s="293" t="s">
        <v>233</v>
      </c>
      <c r="G20" s="293" t="b">
        <f t="shared" si="1"/>
        <v>0</v>
      </c>
      <c r="H20" s="292" t="e">
        <f>IF($G20,_xll.qlIndexAddFixings($J20,$E20,$F20/100,TRUE,ISERROR($K20)),NA())</f>
        <v>#N/A</v>
      </c>
      <c r="I20" s="282"/>
      <c r="J20" s="291" t="str">
        <f t="shared" si="2"/>
        <v>Gbp-11M</v>
      </c>
      <c r="K20" s="290" t="e">
        <f>_xll.qlIndexFixing($J20,$E20,TRUE,$G20)</f>
        <v>#NUM!</v>
      </c>
      <c r="L20" s="290" t="e">
        <f>IF($H20,_xll.qlIndexFixing($J20,$E20,FALSE,$G20),"-")</f>
        <v>#N/A</v>
      </c>
      <c r="M20" s="290" t="e">
        <f t="shared" si="3"/>
        <v>#NUM!</v>
      </c>
      <c r="N20" s="289" t="e">
        <f>_xll.qlIndexFixing($J20,$E20,TRUE,$L20)</f>
        <v>#NUM!</v>
      </c>
      <c r="O20" s="288">
        <f t="shared" si="4"/>
        <v>0</v>
      </c>
      <c r="P20" s="277"/>
      <c r="Q20" s="256"/>
      <c r="R20" s="256" t="str">
        <f t="shared" si="5"/>
        <v>GBP11MD_Quote</v>
      </c>
      <c r="S20" s="276">
        <f>_xll.qlQuoteValue(R20,ISERROR(H20))</f>
        <v>9.5312999999999995E-3</v>
      </c>
      <c r="T20" s="275" t="e">
        <f t="shared" si="6"/>
        <v>#N/A</v>
      </c>
      <c r="U20" s="256"/>
      <c r="V20" s="256"/>
      <c r="W20" s="256"/>
      <c r="X20" s="256"/>
      <c r="Y20" s="256"/>
      <c r="Z20" s="256"/>
      <c r="AA20" s="256"/>
      <c r="AB20" s="256"/>
      <c r="AC20" s="256"/>
      <c r="AD20" s="256"/>
    </row>
    <row r="21" spans="1:30" ht="15" x14ac:dyDescent="0.25">
      <c r="A21" s="256"/>
      <c r="B21" s="287"/>
      <c r="C21" s="286" t="s">
        <v>1</v>
      </c>
      <c r="D21" s="280" t="str">
        <f t="shared" si="0"/>
        <v>GBP-1YD=</v>
      </c>
      <c r="E21" s="285" t="s">
        <v>233</v>
      </c>
      <c r="F21" s="284" t="s">
        <v>233</v>
      </c>
      <c r="G21" s="284" t="b">
        <f t="shared" si="1"/>
        <v>0</v>
      </c>
      <c r="H21" s="283" t="e">
        <f>IF($G21,_xll.qlIndexAddFixings($J21,$E21,$F21/100,TRUE,ISERROR($K21)),NA())</f>
        <v>#N/A</v>
      </c>
      <c r="I21" s="282"/>
      <c r="J21" s="281" t="str">
        <f t="shared" si="2"/>
        <v>Gbp-1Y</v>
      </c>
      <c r="K21" s="280" t="e">
        <f>_xll.qlIndexFixing($J21,$E21,TRUE,$G21)</f>
        <v>#NUM!</v>
      </c>
      <c r="L21" s="280" t="e">
        <f>IF($H21,_xll.qlIndexFixing($J21,$E21,FALSE,$G21),"-")</f>
        <v>#N/A</v>
      </c>
      <c r="M21" s="280" t="e">
        <f t="shared" si="3"/>
        <v>#NUM!</v>
      </c>
      <c r="N21" s="279" t="e">
        <f>_xll.qlIndexFixing($J21,$E21,TRUE,$L21)</f>
        <v>#NUM!</v>
      </c>
      <c r="O21" s="278">
        <f t="shared" si="4"/>
        <v>0</v>
      </c>
      <c r="P21" s="277"/>
      <c r="Q21" s="256"/>
      <c r="R21" s="256" t="str">
        <f t="shared" si="5"/>
        <v>GBP1YD_Quote</v>
      </c>
      <c r="S21" s="276">
        <f>_xll.qlQuoteValue(R21,ISERROR(H21))</f>
        <v>1.0131299999999999E-2</v>
      </c>
      <c r="T21" s="275" t="e">
        <f t="shared" si="6"/>
        <v>#N/A</v>
      </c>
      <c r="U21" s="256"/>
      <c r="V21" s="256"/>
      <c r="W21" s="256"/>
      <c r="X21" s="256"/>
      <c r="Y21" s="256"/>
      <c r="Z21" s="256"/>
      <c r="AA21" s="256"/>
      <c r="AB21" s="256"/>
      <c r="AC21" s="256"/>
      <c r="AD21" s="256"/>
    </row>
    <row r="22" spans="1:30" ht="12" thickBot="1" x14ac:dyDescent="0.25">
      <c r="A22" s="256"/>
      <c r="B22" s="274"/>
      <c r="C22" s="271"/>
      <c r="D22" s="271"/>
      <c r="E22" s="273"/>
      <c r="F22" s="272"/>
      <c r="G22" s="272"/>
      <c r="H22" s="271"/>
      <c r="I22" s="271"/>
      <c r="J22" s="271"/>
      <c r="K22" s="271"/>
      <c r="L22" s="271"/>
      <c r="M22" s="271"/>
      <c r="N22" s="271"/>
      <c r="O22" s="271"/>
      <c r="P22" s="270"/>
      <c r="Q22" s="256"/>
      <c r="R22" s="256"/>
      <c r="S22" s="256"/>
      <c r="T22" s="256"/>
      <c r="U22" s="256"/>
      <c r="V22" s="256"/>
      <c r="W22" s="256"/>
      <c r="X22" s="256"/>
      <c r="Y22" s="256"/>
      <c r="Z22" s="256"/>
      <c r="AA22" s="256"/>
      <c r="AB22" s="256"/>
      <c r="AC22" s="256"/>
      <c r="AD22" s="256"/>
    </row>
    <row r="23" spans="1:30" ht="12" thickBot="1" x14ac:dyDescent="0.25">
      <c r="A23" s="256"/>
      <c r="B23" s="256"/>
      <c r="C23" s="256"/>
      <c r="D23" s="256"/>
      <c r="E23" s="269"/>
      <c r="F23" s="268"/>
      <c r="G23" s="268"/>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row>
    <row r="24" spans="1:30" s="256" customFormat="1" x14ac:dyDescent="0.2">
      <c r="C24" s="267" t="s">
        <v>121</v>
      </c>
      <c r="D24" s="266" t="s">
        <v>228</v>
      </c>
      <c r="E24" s="265" t="s">
        <v>228</v>
      </c>
      <c r="F24" s="264"/>
    </row>
    <row r="25" spans="1:30" s="256" customFormat="1" x14ac:dyDescent="0.2">
      <c r="C25" s="262" t="s">
        <v>120</v>
      </c>
      <c r="D25" s="261" t="s">
        <v>232</v>
      </c>
      <c r="E25" s="260" t="s">
        <v>231</v>
      </c>
      <c r="J25" s="263"/>
    </row>
    <row r="26" spans="1:30" s="256" customFormat="1" x14ac:dyDescent="0.2">
      <c r="C26" s="262" t="s">
        <v>230</v>
      </c>
      <c r="D26" s="261" t="s">
        <v>228</v>
      </c>
      <c r="E26" s="260" t="s">
        <v>228</v>
      </c>
      <c r="J26" s="263"/>
    </row>
    <row r="27" spans="1:30" s="256" customFormat="1" x14ac:dyDescent="0.2">
      <c r="C27" s="262" t="s">
        <v>229</v>
      </c>
      <c r="D27" s="261" t="s">
        <v>228</v>
      </c>
      <c r="E27" s="260" t="s">
        <v>228</v>
      </c>
      <c r="J27" s="263"/>
    </row>
    <row r="28" spans="1:30" s="256" customFormat="1" x14ac:dyDescent="0.2">
      <c r="C28" s="262" t="s">
        <v>96</v>
      </c>
      <c r="D28" s="261" t="s">
        <v>228</v>
      </c>
      <c r="E28" s="260" t="s">
        <v>228</v>
      </c>
    </row>
    <row r="29" spans="1:30" s="256" customFormat="1" x14ac:dyDescent="0.2">
      <c r="C29" s="262" t="s">
        <v>117</v>
      </c>
      <c r="D29" s="261" t="s">
        <v>228</v>
      </c>
      <c r="E29" s="260" t="s">
        <v>228</v>
      </c>
    </row>
    <row r="30" spans="1:30" s="256" customFormat="1" ht="12" thickBot="1" x14ac:dyDescent="0.25">
      <c r="C30" s="259" t="s">
        <v>115</v>
      </c>
      <c r="D30" s="258" t="s">
        <v>228</v>
      </c>
      <c r="E30" s="257" t="s">
        <v>228</v>
      </c>
    </row>
    <row r="31" spans="1:30" s="256" customFormat="1" x14ac:dyDescent="0.2"/>
    <row r="32" spans="1:30" s="256" customFormat="1" x14ac:dyDescent="0.2"/>
    <row r="33" s="256" customFormat="1" x14ac:dyDescent="0.2"/>
    <row r="34" s="256" customFormat="1" x14ac:dyDescent="0.2"/>
    <row r="35" s="256" customFormat="1" x14ac:dyDescent="0.2"/>
    <row r="36" s="256" customFormat="1" x14ac:dyDescent="0.2"/>
    <row r="37" s="256" customFormat="1" x14ac:dyDescent="0.2"/>
    <row r="38" s="256" customFormat="1" x14ac:dyDescent="0.2"/>
    <row r="39" s="256" customFormat="1" x14ac:dyDescent="0.2"/>
    <row r="40" s="256" customFormat="1" x14ac:dyDescent="0.2"/>
    <row r="41" s="256" customFormat="1" x14ac:dyDescent="0.2"/>
  </sheetData>
  <conditionalFormatting sqref="M4:M21">
    <cfRule type="cellIs" dxfId="11" priority="1" stopIfTrue="1" operator="greaterThan">
      <formula>0</formula>
    </cfRule>
    <cfRule type="cellIs" dxfId="10" priority="2" stopIfTrue="1" operator="lessThan">
      <formula>0</formula>
    </cfRule>
  </conditionalFormatting>
  <pageMargins left="0.75" right="0.75" top="1" bottom="1" header="0.5" footer="0.5"/>
  <pageSetup paperSize="9"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D41"/>
  <sheetViews>
    <sheetView workbookViewId="0"/>
  </sheetViews>
  <sheetFormatPr defaultRowHeight="11.25" x14ac:dyDescent="0.2"/>
  <cols>
    <col min="1" max="2" width="4.28515625" style="255" customWidth="1"/>
    <col min="3" max="3" width="5.7109375" style="255" bestFit="1" customWidth="1"/>
    <col min="4" max="4" width="12.140625" style="255" bestFit="1" customWidth="1"/>
    <col min="5" max="5" width="12.85546875" style="255" customWidth="1"/>
    <col min="6" max="6" width="7.42578125" style="255" customWidth="1"/>
    <col min="7" max="7" width="6" style="255" bestFit="1" customWidth="1"/>
    <col min="8" max="8" width="5.5703125" style="255" bestFit="1" customWidth="1"/>
    <col min="9" max="9" width="4.28515625" style="255" customWidth="1"/>
    <col min="10" max="10" width="12" style="255" bestFit="1" customWidth="1"/>
    <col min="11" max="11" width="11.42578125" style="255" bestFit="1" customWidth="1"/>
    <col min="12" max="12" width="8.7109375" style="255" bestFit="1" customWidth="1"/>
    <col min="13" max="13" width="7.7109375" style="255" bestFit="1" customWidth="1"/>
    <col min="14" max="14" width="10" style="255" bestFit="1" customWidth="1"/>
    <col min="15" max="15" width="7.140625" style="255" hidden="1" customWidth="1"/>
    <col min="16" max="17" width="4.28515625" style="255" customWidth="1"/>
    <col min="18" max="18" width="4" style="255" bestFit="1" customWidth="1"/>
    <col min="19" max="19" width="4.85546875" style="255" bestFit="1" customWidth="1"/>
    <col min="20" max="20" width="6.140625" style="255" bestFit="1" customWidth="1"/>
    <col min="21" max="16384" width="9.140625" style="255"/>
  </cols>
  <sheetData>
    <row r="1" spans="1:30" ht="12" thickBot="1" x14ac:dyDescent="0.25">
      <c r="A1" s="256" t="s">
        <v>354</v>
      </c>
      <c r="B1" s="256"/>
      <c r="C1" s="256"/>
      <c r="D1" s="261"/>
      <c r="E1" s="269"/>
      <c r="F1" s="319"/>
      <c r="G1" s="319"/>
      <c r="H1" s="256"/>
      <c r="I1" s="261"/>
      <c r="J1" s="256"/>
      <c r="K1" s="256"/>
      <c r="L1" s="256"/>
      <c r="M1" s="256"/>
      <c r="N1" s="256"/>
      <c r="O1" s="256"/>
      <c r="P1" s="256"/>
      <c r="Q1" s="256"/>
      <c r="R1" s="256"/>
      <c r="S1" s="256"/>
      <c r="T1" s="256"/>
      <c r="U1" s="256"/>
      <c r="V1" s="256"/>
      <c r="W1" s="256"/>
      <c r="X1" s="256"/>
      <c r="Y1" s="256"/>
      <c r="Z1" s="256"/>
      <c r="AA1" s="256"/>
      <c r="AB1" s="256"/>
      <c r="AC1" s="256"/>
      <c r="AD1" s="256"/>
    </row>
    <row r="2" spans="1:30" ht="22.5" customHeight="1" x14ac:dyDescent="0.4">
      <c r="A2" s="256"/>
      <c r="B2" s="318"/>
      <c r="C2" s="312"/>
      <c r="D2" s="317" t="str">
        <f>VLOOKUP(Currency,Traits,2,FALSE)</f>
        <v>-</v>
      </c>
      <c r="E2" s="316"/>
      <c r="F2" s="315"/>
      <c r="G2" s="315"/>
      <c r="H2" s="312"/>
      <c r="I2" s="312"/>
      <c r="J2" s="314" t="str">
        <f>VLOOKUP(Currency,Traits,3,FALSE)</f>
        <v>-</v>
      </c>
      <c r="K2" s="312"/>
      <c r="L2" s="312"/>
      <c r="M2" s="313">
        <f>MAX(O4:O21)</f>
        <v>0</v>
      </c>
      <c r="N2" s="312"/>
      <c r="O2" s="312"/>
      <c r="P2" s="311"/>
      <c r="Q2" s="256"/>
      <c r="R2" s="256"/>
      <c r="S2" s="256"/>
      <c r="T2" s="256"/>
      <c r="U2" s="256"/>
      <c r="V2" s="256"/>
      <c r="W2" s="256"/>
      <c r="X2" s="256"/>
      <c r="Y2" s="256"/>
      <c r="Z2" s="256"/>
      <c r="AA2" s="256"/>
      <c r="AB2" s="256"/>
      <c r="AC2" s="256"/>
      <c r="AD2" s="256"/>
    </row>
    <row r="3" spans="1:30" ht="22.5" x14ac:dyDescent="0.2">
      <c r="A3" s="256"/>
      <c r="B3" s="287"/>
      <c r="C3" s="309" t="s">
        <v>24</v>
      </c>
      <c r="D3" s="308" t="e">
        <f ca="1">_xll.RData(D4:D21,E3:F3,"RTFEED:IDN",,,E4)</f>
        <v>#NAME?</v>
      </c>
      <c r="E3" s="308" t="s">
        <v>245</v>
      </c>
      <c r="F3" s="308" t="s">
        <v>244</v>
      </c>
      <c r="G3" s="308" t="s">
        <v>243</v>
      </c>
      <c r="H3" s="307" t="s">
        <v>242</v>
      </c>
      <c r="I3" s="310"/>
      <c r="J3" s="309" t="s">
        <v>241</v>
      </c>
      <c r="K3" s="308" t="s">
        <v>240</v>
      </c>
      <c r="L3" s="308" t="s">
        <v>239</v>
      </c>
      <c r="M3" s="308" t="s">
        <v>238</v>
      </c>
      <c r="N3" s="307" t="s">
        <v>237</v>
      </c>
      <c r="O3" s="306"/>
      <c r="P3" s="277"/>
      <c r="Q3" s="256"/>
      <c r="R3" s="256"/>
      <c r="S3" s="256"/>
      <c r="T3" s="256"/>
      <c r="U3" s="256"/>
      <c r="V3" s="256"/>
      <c r="W3" s="256"/>
      <c r="X3" s="256"/>
      <c r="Y3" s="256"/>
      <c r="Z3" s="256"/>
      <c r="AA3" s="256"/>
      <c r="AB3" s="256"/>
      <c r="AC3" s="256"/>
      <c r="AD3" s="256"/>
    </row>
    <row r="4" spans="1:30" x14ac:dyDescent="0.2">
      <c r="A4" s="256"/>
      <c r="B4" s="287"/>
      <c r="C4" s="305" t="s">
        <v>236</v>
      </c>
      <c r="D4" s="299" t="str">
        <f t="shared" ref="D4:D21" si="0">Currency&amp;$D$2&amp;$C4&amp;"D="</f>
        <v>GBP-OND=</v>
      </c>
      <c r="E4" s="304" t="s">
        <v>233</v>
      </c>
      <c r="F4" s="303" t="s">
        <v>233</v>
      </c>
      <c r="G4" s="302" t="b">
        <f t="shared" ref="G4:G21" si="1">IF(AND(ISNUMBER($F4),$F4&lt;&gt;0%),TRUE,FALSE)</f>
        <v>0</v>
      </c>
      <c r="H4" s="301" t="e">
        <f>IF($G4,_xll.qlIndexAddFixings($J4,$E4,$F4/100,TRUE,ISERROR($K4)),NA())</f>
        <v>#N/A</v>
      </c>
      <c r="I4" s="282"/>
      <c r="J4" s="300" t="str">
        <f t="shared" ref="J4:J21" si="2">PROPER(Currency)&amp;$J$2&amp;$C4</f>
        <v>Gbp-ON</v>
      </c>
      <c r="K4" s="299" t="e">
        <f>_xll.qlIndexFixing($J4,$E4,TRUE,$G4)</f>
        <v>#NUM!</v>
      </c>
      <c r="L4" s="299" t="e">
        <f>IF($H4,_xll.qlIndexFixing($J4,$E4,FALSE,$G4),"-")</f>
        <v>#N/A</v>
      </c>
      <c r="M4" s="299" t="e">
        <f t="shared" ref="M4:M21" si="3">K4-L4</f>
        <v>#NUM!</v>
      </c>
      <c r="N4" s="298" t="e">
        <f>_xll.qlIndexFixing($J4,$E4,TRUE,$L4)</f>
        <v>#NUM!</v>
      </c>
      <c r="O4" s="297">
        <f>IF(ISERROR(M4),0,ABS(M4))</f>
        <v>0</v>
      </c>
      <c r="P4" s="277"/>
      <c r="Q4" s="256"/>
      <c r="R4" s="256"/>
      <c r="S4" s="256"/>
      <c r="T4" s="256"/>
      <c r="U4" s="256"/>
      <c r="V4" s="256"/>
      <c r="W4" s="256"/>
      <c r="X4" s="256"/>
      <c r="Y4" s="256"/>
      <c r="Z4" s="256"/>
      <c r="AA4" s="256"/>
      <c r="AB4" s="256"/>
      <c r="AC4" s="256"/>
      <c r="AD4" s="256"/>
    </row>
    <row r="5" spans="1:30" x14ac:dyDescent="0.2">
      <c r="A5" s="256"/>
      <c r="B5" s="287"/>
      <c r="C5" s="295" t="s">
        <v>235</v>
      </c>
      <c r="D5" s="290" t="str">
        <f t="shared" si="0"/>
        <v>GBP-TND=</v>
      </c>
      <c r="E5" s="294" t="s">
        <v>233</v>
      </c>
      <c r="F5" s="296" t="s">
        <v>233</v>
      </c>
      <c r="G5" s="293" t="b">
        <f t="shared" si="1"/>
        <v>0</v>
      </c>
      <c r="H5" s="292" t="e">
        <f>IF($G5,_xll.qlIndexAddFixings($J5,$E5,$F5/100,TRUE,ISERROR($K5)),NA())</f>
        <v>#N/A</v>
      </c>
      <c r="I5" s="282"/>
      <c r="J5" s="291" t="str">
        <f t="shared" si="2"/>
        <v>Gbp-TN</v>
      </c>
      <c r="K5" s="290" t="e">
        <f>_xll.qlIndexFixing($J5,$E5,TRUE,$G5)</f>
        <v>#NUM!</v>
      </c>
      <c r="L5" s="290" t="e">
        <f>IF($H5,_xll.qlIndexFixing($J5,$E5,FALSE,$G5),"-")</f>
        <v>#N/A</v>
      </c>
      <c r="M5" s="290" t="e">
        <f t="shared" si="3"/>
        <v>#NUM!</v>
      </c>
      <c r="N5" s="289" t="e">
        <f>_xll.qlIndexFixing($J5,$E5,TRUE,$L5)</f>
        <v>#NUM!</v>
      </c>
      <c r="O5" s="288"/>
      <c r="P5" s="277"/>
      <c r="Q5" s="256"/>
      <c r="R5" s="256"/>
      <c r="S5" s="256"/>
      <c r="T5" s="256"/>
      <c r="U5" s="256"/>
      <c r="V5" s="256"/>
      <c r="W5" s="256"/>
      <c r="X5" s="256"/>
      <c r="Y5" s="256"/>
      <c r="Z5" s="256"/>
      <c r="AA5" s="256"/>
      <c r="AB5" s="256"/>
      <c r="AC5" s="256"/>
      <c r="AD5" s="256"/>
    </row>
    <row r="6" spans="1:30" x14ac:dyDescent="0.2">
      <c r="A6" s="256"/>
      <c r="B6" s="287"/>
      <c r="C6" s="295" t="s">
        <v>234</v>
      </c>
      <c r="D6" s="290" t="str">
        <f t="shared" si="0"/>
        <v>GBP-SND=</v>
      </c>
      <c r="E6" s="294" t="s">
        <v>233</v>
      </c>
      <c r="F6" s="296" t="s">
        <v>233</v>
      </c>
      <c r="G6" s="293" t="b">
        <f t="shared" si="1"/>
        <v>0</v>
      </c>
      <c r="H6" s="292" t="e">
        <f>IF($G6,_xll.qlIndexAddFixings($J6,$E6,$F6/100,TRUE,ISERROR($K6)),NA())</f>
        <v>#N/A</v>
      </c>
      <c r="I6" s="282"/>
      <c r="J6" s="291" t="str">
        <f t="shared" si="2"/>
        <v>Gbp-SN</v>
      </c>
      <c r="K6" s="290" t="e">
        <f>_xll.qlIndexFixing($J6,$E6,TRUE,$G6)</f>
        <v>#NUM!</v>
      </c>
      <c r="L6" s="290" t="e">
        <f>IF($H6,_xll.qlIndexFixing($J6,$E6,FALSE,$G6),"-")</f>
        <v>#N/A</v>
      </c>
      <c r="M6" s="290" t="e">
        <f t="shared" si="3"/>
        <v>#NUM!</v>
      </c>
      <c r="N6" s="289" t="e">
        <f>_xll.qlIndexFixing($J6,$E6,TRUE,$L6)</f>
        <v>#NUM!</v>
      </c>
      <c r="O6" s="288"/>
      <c r="P6" s="277"/>
      <c r="Q6" s="256"/>
      <c r="R6" s="256"/>
      <c r="S6" s="256"/>
      <c r="T6" s="256"/>
      <c r="U6" s="256"/>
      <c r="V6" s="256"/>
      <c r="W6" s="256"/>
      <c r="X6" s="256"/>
      <c r="Y6" s="256"/>
      <c r="Z6" s="256"/>
      <c r="AA6" s="256"/>
      <c r="AB6" s="256"/>
      <c r="AC6" s="256"/>
      <c r="AD6" s="256"/>
    </row>
    <row r="7" spans="1:30" x14ac:dyDescent="0.2">
      <c r="A7" s="256"/>
      <c r="B7" s="287"/>
      <c r="C7" s="295" t="s">
        <v>19</v>
      </c>
      <c r="D7" s="290" t="str">
        <f t="shared" si="0"/>
        <v>GBP-SWD=</v>
      </c>
      <c r="E7" s="294" t="s">
        <v>233</v>
      </c>
      <c r="F7" s="293" t="s">
        <v>233</v>
      </c>
      <c r="G7" s="293" t="b">
        <f t="shared" si="1"/>
        <v>0</v>
      </c>
      <c r="H7" s="292" t="e">
        <f>IF($G7,_xll.qlIndexAddFixings($J7,$E7,$F7/100,TRUE,ISERROR($K7)),NA())</f>
        <v>#N/A</v>
      </c>
      <c r="I7" s="282"/>
      <c r="J7" s="291" t="str">
        <f t="shared" si="2"/>
        <v>Gbp-SW</v>
      </c>
      <c r="K7" s="290" t="e">
        <f>_xll.qlIndexFixing($J7,$E7,TRUE,$G7)</f>
        <v>#NUM!</v>
      </c>
      <c r="L7" s="290" t="e">
        <f>IF($H7,_xll.qlIndexFixing($J7,$E7,FALSE,$G7),"-")</f>
        <v>#N/A</v>
      </c>
      <c r="M7" s="290" t="e">
        <f t="shared" si="3"/>
        <v>#NUM!</v>
      </c>
      <c r="N7" s="289" t="e">
        <f>_xll.qlIndexFixing($J7,$E7,TRUE,$L7)</f>
        <v>#NUM!</v>
      </c>
      <c r="O7" s="288">
        <f t="shared" ref="O7:O21" si="4">IF(ISERROR(M7),0,ABS(M7))</f>
        <v>0</v>
      </c>
      <c r="P7" s="277"/>
      <c r="Q7" s="256"/>
      <c r="R7" s="256"/>
      <c r="S7" s="256"/>
      <c r="T7" s="256"/>
      <c r="U7" s="256"/>
      <c r="V7" s="256"/>
      <c r="W7" s="256"/>
      <c r="X7" s="256"/>
      <c r="Y7" s="256"/>
      <c r="Z7" s="256"/>
      <c r="AA7" s="256"/>
      <c r="AB7" s="256"/>
      <c r="AC7" s="256"/>
      <c r="AD7" s="256"/>
    </row>
    <row r="8" spans="1:30" x14ac:dyDescent="0.2">
      <c r="A8" s="256"/>
      <c r="B8" s="287"/>
      <c r="C8" s="295" t="s">
        <v>18</v>
      </c>
      <c r="D8" s="290" t="str">
        <f t="shared" si="0"/>
        <v>GBP-2WD=</v>
      </c>
      <c r="E8" s="294" t="s">
        <v>233</v>
      </c>
      <c r="F8" s="293" t="s">
        <v>233</v>
      </c>
      <c r="G8" s="293" t="b">
        <f t="shared" si="1"/>
        <v>0</v>
      </c>
      <c r="H8" s="292" t="e">
        <f>IF($G8,_xll.qlIndexAddFixings($J8,$E8,$F8/100,TRUE,ISERROR($K8)),NA())</f>
        <v>#N/A</v>
      </c>
      <c r="I8" s="282"/>
      <c r="J8" s="291" t="str">
        <f t="shared" si="2"/>
        <v>Gbp-2W</v>
      </c>
      <c r="K8" s="290" t="e">
        <f>_xll.qlIndexFixing($J8,$E8,TRUE,$G8)</f>
        <v>#NUM!</v>
      </c>
      <c r="L8" s="290" t="e">
        <f>IF($H8,_xll.qlIndexFixing($J8,$E8,FALSE,$G8),"-")</f>
        <v>#N/A</v>
      </c>
      <c r="M8" s="290" t="e">
        <f t="shared" si="3"/>
        <v>#NUM!</v>
      </c>
      <c r="N8" s="289" t="e">
        <f>_xll.qlIndexFixing($J8,$E8,TRUE,$L8)</f>
        <v>#NUM!</v>
      </c>
      <c r="O8" s="288">
        <f t="shared" si="4"/>
        <v>0</v>
      </c>
      <c r="P8" s="277"/>
      <c r="Q8" s="256"/>
      <c r="R8" s="256"/>
      <c r="S8" s="256"/>
      <c r="T8" s="256"/>
      <c r="U8" s="256"/>
      <c r="V8" s="256"/>
      <c r="W8" s="256"/>
      <c r="X8" s="256"/>
      <c r="Y8" s="256"/>
      <c r="Z8" s="256"/>
      <c r="AA8" s="256"/>
      <c r="AB8" s="256"/>
      <c r="AC8" s="256"/>
      <c r="AD8" s="256"/>
    </row>
    <row r="9" spans="1:30" x14ac:dyDescent="0.2">
      <c r="A9" s="256"/>
      <c r="B9" s="287"/>
      <c r="C9" s="295" t="s">
        <v>16</v>
      </c>
      <c r="D9" s="290" t="str">
        <f t="shared" si="0"/>
        <v>GBP-3WD=</v>
      </c>
      <c r="E9" s="294" t="s">
        <v>233</v>
      </c>
      <c r="F9" s="293" t="s">
        <v>233</v>
      </c>
      <c r="G9" s="293" t="b">
        <f t="shared" si="1"/>
        <v>0</v>
      </c>
      <c r="H9" s="292" t="e">
        <f>IF($G9,_xll.qlIndexAddFixings($J9,$E9,$F9/100,TRUE,ISERROR($K9)),NA())</f>
        <v>#N/A</v>
      </c>
      <c r="I9" s="282"/>
      <c r="J9" s="291" t="str">
        <f t="shared" si="2"/>
        <v>Gbp-3W</v>
      </c>
      <c r="K9" s="290" t="e">
        <f>_xll.qlIndexFixing($J9,$E9,TRUE,$G9)</f>
        <v>#NUM!</v>
      </c>
      <c r="L9" s="290" t="e">
        <f>IF($H9,_xll.qlIndexFixing($J9,$E9,FALSE,$G9),"-")</f>
        <v>#N/A</v>
      </c>
      <c r="M9" s="290" t="e">
        <f t="shared" si="3"/>
        <v>#NUM!</v>
      </c>
      <c r="N9" s="289" t="e">
        <f>_xll.qlIndexFixing($J9,$E9,TRUE,$L9)</f>
        <v>#NUM!</v>
      </c>
      <c r="O9" s="288">
        <f t="shared" si="4"/>
        <v>0</v>
      </c>
      <c r="P9" s="277"/>
      <c r="Q9" s="256"/>
      <c r="R9" s="256"/>
      <c r="S9" s="256"/>
      <c r="T9" s="256"/>
      <c r="U9" s="256"/>
      <c r="V9" s="256"/>
      <c r="W9" s="256"/>
      <c r="X9" s="256"/>
      <c r="Y9" s="256"/>
      <c r="Z9" s="256"/>
      <c r="AA9" s="256"/>
      <c r="AB9" s="256"/>
      <c r="AC9" s="256"/>
      <c r="AD9" s="256"/>
    </row>
    <row r="10" spans="1:30" x14ac:dyDescent="0.2">
      <c r="A10" s="256"/>
      <c r="B10" s="287"/>
      <c r="C10" s="295" t="s">
        <v>15</v>
      </c>
      <c r="D10" s="290" t="str">
        <f t="shared" si="0"/>
        <v>GBP-1MD=</v>
      </c>
      <c r="E10" s="294" t="s">
        <v>233</v>
      </c>
      <c r="F10" s="293" t="s">
        <v>233</v>
      </c>
      <c r="G10" s="293" t="b">
        <f t="shared" si="1"/>
        <v>0</v>
      </c>
      <c r="H10" s="292" t="e">
        <f>IF($G10,_xll.qlIndexAddFixings($J10,$E10,$F10/100,TRUE,ISERROR($K10)),NA())</f>
        <v>#N/A</v>
      </c>
      <c r="I10" s="282"/>
      <c r="J10" s="291" t="str">
        <f t="shared" si="2"/>
        <v>Gbp-1M</v>
      </c>
      <c r="K10" s="290" t="e">
        <f>_xll.qlIndexFixing($J10,$E10,TRUE,$G10)</f>
        <v>#NUM!</v>
      </c>
      <c r="L10" s="290" t="e">
        <f>IF($H10,_xll.qlIndexFixing($J10,$E10,FALSE,$G10),"-")</f>
        <v>#N/A</v>
      </c>
      <c r="M10" s="290" t="e">
        <f t="shared" si="3"/>
        <v>#NUM!</v>
      </c>
      <c r="N10" s="289" t="e">
        <f>_xll.qlIndexFixing($J10,$E10,TRUE,$L10)</f>
        <v>#NUM!</v>
      </c>
      <c r="O10" s="288">
        <f t="shared" si="4"/>
        <v>0</v>
      </c>
      <c r="P10" s="277"/>
      <c r="Q10" s="256"/>
      <c r="R10" s="256"/>
      <c r="S10" s="256"/>
      <c r="T10" s="256"/>
      <c r="U10" s="256"/>
      <c r="V10" s="256"/>
      <c r="W10" s="256"/>
      <c r="X10" s="256"/>
      <c r="Y10" s="256"/>
      <c r="Z10" s="256"/>
      <c r="AA10" s="256"/>
      <c r="AB10" s="256"/>
      <c r="AC10" s="256"/>
      <c r="AD10" s="256"/>
    </row>
    <row r="11" spans="1:30" x14ac:dyDescent="0.2">
      <c r="A11" s="256"/>
      <c r="B11" s="287"/>
      <c r="C11" s="295" t="s">
        <v>13</v>
      </c>
      <c r="D11" s="290" t="str">
        <f t="shared" si="0"/>
        <v>GBP-2MD=</v>
      </c>
      <c r="E11" s="294" t="s">
        <v>233</v>
      </c>
      <c r="F11" s="293" t="s">
        <v>233</v>
      </c>
      <c r="G11" s="293" t="b">
        <f t="shared" si="1"/>
        <v>0</v>
      </c>
      <c r="H11" s="292" t="e">
        <f>IF($G11,_xll.qlIndexAddFixings($J11,$E11,$F11/100,TRUE,ISERROR($K11)),NA())</f>
        <v>#N/A</v>
      </c>
      <c r="I11" s="282"/>
      <c r="J11" s="291" t="str">
        <f t="shared" si="2"/>
        <v>Gbp-2M</v>
      </c>
      <c r="K11" s="290" t="e">
        <f>_xll.qlIndexFixing($J11,$E11,TRUE,$G11)</f>
        <v>#NUM!</v>
      </c>
      <c r="L11" s="290" t="e">
        <f>IF($H11,_xll.qlIndexFixing($J11,$E11,FALSE,$G11),"-")</f>
        <v>#N/A</v>
      </c>
      <c r="M11" s="290" t="e">
        <f t="shared" si="3"/>
        <v>#NUM!</v>
      </c>
      <c r="N11" s="289" t="e">
        <f>_xll.qlIndexFixing($J11,$E11,TRUE,$L11)</f>
        <v>#NUM!</v>
      </c>
      <c r="O11" s="288">
        <f t="shared" si="4"/>
        <v>0</v>
      </c>
      <c r="P11" s="277"/>
      <c r="Q11" s="256"/>
      <c r="R11" s="256"/>
      <c r="S11" s="256"/>
      <c r="T11" s="256"/>
      <c r="U11" s="256"/>
      <c r="V11" s="256"/>
      <c r="W11" s="256"/>
      <c r="X11" s="256"/>
      <c r="Y11" s="256"/>
      <c r="Z11" s="256"/>
      <c r="AA11" s="256"/>
      <c r="AB11" s="256"/>
      <c r="AC11" s="256"/>
      <c r="AD11" s="256"/>
    </row>
    <row r="12" spans="1:30" x14ac:dyDescent="0.2">
      <c r="A12" s="256"/>
      <c r="B12" s="287"/>
      <c r="C12" s="295" t="s">
        <v>12</v>
      </c>
      <c r="D12" s="290" t="str">
        <f t="shared" si="0"/>
        <v>GBP-3MD=</v>
      </c>
      <c r="E12" s="294" t="s">
        <v>233</v>
      </c>
      <c r="F12" s="293" t="s">
        <v>233</v>
      </c>
      <c r="G12" s="293" t="b">
        <f t="shared" si="1"/>
        <v>0</v>
      </c>
      <c r="H12" s="292" t="e">
        <f>IF($G12,_xll.qlIndexAddFixings($J12,$E12,$F12/100,TRUE,ISERROR($K12)),NA())</f>
        <v>#N/A</v>
      </c>
      <c r="I12" s="282"/>
      <c r="J12" s="291" t="str">
        <f t="shared" si="2"/>
        <v>Gbp-3M</v>
      </c>
      <c r="K12" s="290" t="e">
        <f>_xll.qlIndexFixing($J12,$E12,TRUE,$G12)</f>
        <v>#NUM!</v>
      </c>
      <c r="L12" s="290" t="e">
        <f>IF($H12,_xll.qlIndexFixing($J12,$E12,FALSE,$G12),"-")</f>
        <v>#N/A</v>
      </c>
      <c r="M12" s="290" t="e">
        <f t="shared" si="3"/>
        <v>#NUM!</v>
      </c>
      <c r="N12" s="289" t="e">
        <f>_xll.qlIndexFixing($J12,$E12,TRUE,$L12)</f>
        <v>#NUM!</v>
      </c>
      <c r="O12" s="288">
        <f t="shared" si="4"/>
        <v>0</v>
      </c>
      <c r="P12" s="277"/>
      <c r="Q12" s="256"/>
      <c r="R12" s="256"/>
      <c r="S12" s="256"/>
      <c r="T12" s="256"/>
      <c r="U12" s="256"/>
      <c r="V12" s="256"/>
      <c r="W12" s="256"/>
      <c r="X12" s="256"/>
      <c r="Y12" s="256"/>
      <c r="Z12" s="256"/>
      <c r="AA12" s="256"/>
      <c r="AB12" s="256"/>
      <c r="AC12" s="256"/>
      <c r="AD12" s="256"/>
    </row>
    <row r="13" spans="1:30" x14ac:dyDescent="0.2">
      <c r="A13" s="256"/>
      <c r="B13" s="287"/>
      <c r="C13" s="295" t="s">
        <v>11</v>
      </c>
      <c r="D13" s="290" t="str">
        <f t="shared" si="0"/>
        <v>GBP-4MD=</v>
      </c>
      <c r="E13" s="294" t="s">
        <v>233</v>
      </c>
      <c r="F13" s="293" t="s">
        <v>233</v>
      </c>
      <c r="G13" s="293" t="b">
        <f t="shared" si="1"/>
        <v>0</v>
      </c>
      <c r="H13" s="292" t="e">
        <f>IF($G13,_xll.qlIndexAddFixings($J13,$E13,$F13/100,TRUE,ISERROR($K13)),NA())</f>
        <v>#N/A</v>
      </c>
      <c r="I13" s="282"/>
      <c r="J13" s="291" t="str">
        <f t="shared" si="2"/>
        <v>Gbp-4M</v>
      </c>
      <c r="K13" s="290" t="e">
        <f>_xll.qlIndexFixing($J13,$E13,TRUE,$G13)</f>
        <v>#NUM!</v>
      </c>
      <c r="L13" s="290" t="e">
        <f>IF($H13,_xll.qlIndexFixing($J13,$E13,FALSE,$G13),"-")</f>
        <v>#N/A</v>
      </c>
      <c r="M13" s="290" t="e">
        <f t="shared" si="3"/>
        <v>#NUM!</v>
      </c>
      <c r="N13" s="289" t="e">
        <f>_xll.qlIndexFixing($J13,$E13,TRUE,$L13)</f>
        <v>#NUM!</v>
      </c>
      <c r="O13" s="288">
        <f t="shared" si="4"/>
        <v>0</v>
      </c>
      <c r="P13" s="277"/>
      <c r="Q13" s="256"/>
      <c r="R13" s="256"/>
      <c r="S13" s="256"/>
      <c r="T13" s="256"/>
      <c r="U13" s="256"/>
      <c r="V13" s="256"/>
      <c r="W13" s="256"/>
      <c r="X13" s="256"/>
      <c r="Y13" s="256"/>
      <c r="Z13" s="256"/>
      <c r="AA13" s="256"/>
      <c r="AB13" s="256"/>
      <c r="AC13" s="256"/>
      <c r="AD13" s="256"/>
    </row>
    <row r="14" spans="1:30" x14ac:dyDescent="0.2">
      <c r="A14" s="256"/>
      <c r="B14" s="287"/>
      <c r="C14" s="295" t="s">
        <v>9</v>
      </c>
      <c r="D14" s="290" t="str">
        <f t="shared" si="0"/>
        <v>GBP-5MD=</v>
      </c>
      <c r="E14" s="294" t="s">
        <v>233</v>
      </c>
      <c r="F14" s="293" t="s">
        <v>233</v>
      </c>
      <c r="G14" s="293" t="b">
        <f t="shared" si="1"/>
        <v>0</v>
      </c>
      <c r="H14" s="292" t="e">
        <f>IF($G14,_xll.qlIndexAddFixings($J14,$E14,$F14/100,TRUE,ISERROR($K14)),NA())</f>
        <v>#N/A</v>
      </c>
      <c r="I14" s="282"/>
      <c r="J14" s="291" t="str">
        <f t="shared" si="2"/>
        <v>Gbp-5M</v>
      </c>
      <c r="K14" s="290" t="e">
        <f>_xll.qlIndexFixing($J14,$E14,TRUE,$G14)</f>
        <v>#NUM!</v>
      </c>
      <c r="L14" s="290" t="e">
        <f>IF($H14,_xll.qlIndexFixing($J14,$E14,FALSE,$G14),"-")</f>
        <v>#N/A</v>
      </c>
      <c r="M14" s="290" t="e">
        <f t="shared" si="3"/>
        <v>#NUM!</v>
      </c>
      <c r="N14" s="289" t="e">
        <f>_xll.qlIndexFixing($J14,$E14,TRUE,$L14)</f>
        <v>#NUM!</v>
      </c>
      <c r="O14" s="288">
        <f t="shared" si="4"/>
        <v>0</v>
      </c>
      <c r="P14" s="277"/>
      <c r="Q14" s="256"/>
      <c r="R14" s="256"/>
      <c r="S14" s="256"/>
      <c r="T14" s="256"/>
      <c r="U14" s="256"/>
      <c r="V14" s="256"/>
      <c r="W14" s="256"/>
      <c r="X14" s="256"/>
      <c r="Y14" s="256"/>
      <c r="Z14" s="256"/>
      <c r="AA14" s="256"/>
      <c r="AB14" s="256"/>
      <c r="AC14" s="256"/>
      <c r="AD14" s="256"/>
    </row>
    <row r="15" spans="1:30" x14ac:dyDescent="0.2">
      <c r="A15" s="256"/>
      <c r="B15" s="287"/>
      <c r="C15" s="295" t="s">
        <v>8</v>
      </c>
      <c r="D15" s="290" t="str">
        <f t="shared" si="0"/>
        <v>GBP-6MD=</v>
      </c>
      <c r="E15" s="294" t="s">
        <v>233</v>
      </c>
      <c r="F15" s="293" t="s">
        <v>233</v>
      </c>
      <c r="G15" s="293" t="b">
        <f t="shared" si="1"/>
        <v>0</v>
      </c>
      <c r="H15" s="292" t="e">
        <f>IF($G15,_xll.qlIndexAddFixings($J15,$E15,$F15/100,TRUE,ISERROR($K15)),NA())</f>
        <v>#N/A</v>
      </c>
      <c r="I15" s="282"/>
      <c r="J15" s="291" t="str">
        <f t="shared" si="2"/>
        <v>Gbp-6M</v>
      </c>
      <c r="K15" s="290" t="e">
        <f>_xll.qlIndexFixing($J15,$E15,TRUE,$G15)</f>
        <v>#NUM!</v>
      </c>
      <c r="L15" s="290" t="e">
        <f>IF($H15,_xll.qlIndexFixing($J15,$E15,FALSE,$G15),"-")</f>
        <v>#N/A</v>
      </c>
      <c r="M15" s="290" t="e">
        <f t="shared" si="3"/>
        <v>#NUM!</v>
      </c>
      <c r="N15" s="289" t="e">
        <f>_xll.qlIndexFixing($J15,$E15,TRUE,$L15)</f>
        <v>#NUM!</v>
      </c>
      <c r="O15" s="288">
        <f t="shared" si="4"/>
        <v>0</v>
      </c>
      <c r="P15" s="277"/>
      <c r="Q15" s="256"/>
      <c r="R15" s="256"/>
      <c r="S15" s="256"/>
      <c r="T15" s="256"/>
      <c r="U15" s="256"/>
      <c r="V15" s="256"/>
      <c r="W15" s="256"/>
      <c r="X15" s="256"/>
      <c r="Y15" s="256"/>
      <c r="Z15" s="256"/>
      <c r="AA15" s="256"/>
      <c r="AB15" s="256"/>
      <c r="AC15" s="256"/>
      <c r="AD15" s="256"/>
    </row>
    <row r="16" spans="1:30" x14ac:dyDescent="0.2">
      <c r="A16" s="256"/>
      <c r="B16" s="287"/>
      <c r="C16" s="295" t="s">
        <v>7</v>
      </c>
      <c r="D16" s="290" t="str">
        <f t="shared" si="0"/>
        <v>GBP-7MD=</v>
      </c>
      <c r="E16" s="294" t="s">
        <v>233</v>
      </c>
      <c r="F16" s="293" t="s">
        <v>233</v>
      </c>
      <c r="G16" s="293" t="b">
        <f t="shared" si="1"/>
        <v>0</v>
      </c>
      <c r="H16" s="292" t="e">
        <f>IF($G16,_xll.qlIndexAddFixings($J16,$E16,$F16/100,TRUE,ISERROR($K16)),NA())</f>
        <v>#N/A</v>
      </c>
      <c r="I16" s="282"/>
      <c r="J16" s="291" t="str">
        <f t="shared" si="2"/>
        <v>Gbp-7M</v>
      </c>
      <c r="K16" s="290" t="e">
        <f>_xll.qlIndexFixing($J16,$E16,TRUE,$G16)</f>
        <v>#NUM!</v>
      </c>
      <c r="L16" s="290" t="e">
        <f>IF($H16,_xll.qlIndexFixing($J16,$E16,FALSE,$G16),"-")</f>
        <v>#N/A</v>
      </c>
      <c r="M16" s="290" t="e">
        <f t="shared" si="3"/>
        <v>#NUM!</v>
      </c>
      <c r="N16" s="289" t="e">
        <f>_xll.qlIndexFixing($J16,$E16,TRUE,$L16)</f>
        <v>#NUM!</v>
      </c>
      <c r="O16" s="288">
        <f t="shared" si="4"/>
        <v>0</v>
      </c>
      <c r="P16" s="277"/>
      <c r="Q16" s="256"/>
      <c r="R16" s="256"/>
      <c r="S16" s="256"/>
      <c r="T16" s="256"/>
      <c r="U16" s="256"/>
      <c r="V16" s="256"/>
      <c r="W16" s="256"/>
      <c r="X16" s="256"/>
      <c r="Y16" s="256"/>
      <c r="Z16" s="256"/>
      <c r="AA16" s="256"/>
      <c r="AB16" s="256"/>
      <c r="AC16" s="256"/>
      <c r="AD16" s="256"/>
    </row>
    <row r="17" spans="1:30" x14ac:dyDescent="0.2">
      <c r="A17" s="256"/>
      <c r="B17" s="287"/>
      <c r="C17" s="295" t="s">
        <v>6</v>
      </c>
      <c r="D17" s="290" t="str">
        <f t="shared" si="0"/>
        <v>GBP-8MD=</v>
      </c>
      <c r="E17" s="294" t="s">
        <v>233</v>
      </c>
      <c r="F17" s="293" t="s">
        <v>233</v>
      </c>
      <c r="G17" s="293" t="b">
        <f t="shared" si="1"/>
        <v>0</v>
      </c>
      <c r="H17" s="292" t="e">
        <f>IF($G17,_xll.qlIndexAddFixings($J17,$E17,$F17/100,TRUE,ISERROR($K17)),NA())</f>
        <v>#N/A</v>
      </c>
      <c r="I17" s="282"/>
      <c r="J17" s="291" t="str">
        <f t="shared" si="2"/>
        <v>Gbp-8M</v>
      </c>
      <c r="K17" s="290" t="e">
        <f>_xll.qlIndexFixing($J17,$E17,TRUE,$G17)</f>
        <v>#NUM!</v>
      </c>
      <c r="L17" s="290" t="e">
        <f>IF($H17,_xll.qlIndexFixing($J17,$E17,FALSE,$G17),"-")</f>
        <v>#N/A</v>
      </c>
      <c r="M17" s="290" t="e">
        <f t="shared" si="3"/>
        <v>#NUM!</v>
      </c>
      <c r="N17" s="289" t="e">
        <f>_xll.qlIndexFixing($J17,$E17,TRUE,$L17)</f>
        <v>#NUM!</v>
      </c>
      <c r="O17" s="288">
        <f t="shared" si="4"/>
        <v>0</v>
      </c>
      <c r="P17" s="277"/>
      <c r="Q17" s="256"/>
      <c r="R17" s="256"/>
      <c r="S17" s="256"/>
      <c r="T17" s="256"/>
      <c r="U17" s="256"/>
      <c r="V17" s="256"/>
      <c r="W17" s="256"/>
      <c r="X17" s="256"/>
      <c r="Y17" s="256"/>
      <c r="Z17" s="256"/>
      <c r="AA17" s="256"/>
      <c r="AB17" s="256"/>
      <c r="AC17" s="256"/>
      <c r="AD17" s="256"/>
    </row>
    <row r="18" spans="1:30" x14ac:dyDescent="0.2">
      <c r="A18" s="256"/>
      <c r="B18" s="287"/>
      <c r="C18" s="295" t="s">
        <v>4</v>
      </c>
      <c r="D18" s="290" t="str">
        <f t="shared" si="0"/>
        <v>GBP-9MD=</v>
      </c>
      <c r="E18" s="294" t="s">
        <v>233</v>
      </c>
      <c r="F18" s="293" t="s">
        <v>233</v>
      </c>
      <c r="G18" s="293" t="b">
        <f t="shared" si="1"/>
        <v>0</v>
      </c>
      <c r="H18" s="292" t="e">
        <f>IF($G18,_xll.qlIndexAddFixings($J18,$E18,$F18/100,TRUE,ISERROR($K18)),NA())</f>
        <v>#N/A</v>
      </c>
      <c r="I18" s="282"/>
      <c r="J18" s="291" t="str">
        <f t="shared" si="2"/>
        <v>Gbp-9M</v>
      </c>
      <c r="K18" s="290" t="e">
        <f>_xll.qlIndexFixing($J18,$E18,TRUE,$G18)</f>
        <v>#NUM!</v>
      </c>
      <c r="L18" s="290" t="e">
        <f>IF($H18,_xll.qlIndexFixing($J18,$E18,FALSE,$G18),"-")</f>
        <v>#N/A</v>
      </c>
      <c r="M18" s="290" t="e">
        <f t="shared" si="3"/>
        <v>#NUM!</v>
      </c>
      <c r="N18" s="289" t="e">
        <f>_xll.qlIndexFixing($J18,$E18,TRUE,$L18)</f>
        <v>#NUM!</v>
      </c>
      <c r="O18" s="288">
        <f t="shared" si="4"/>
        <v>0</v>
      </c>
      <c r="P18" s="277"/>
      <c r="Q18" s="256"/>
      <c r="R18" s="256"/>
      <c r="S18" s="256"/>
      <c r="T18" s="256"/>
      <c r="U18" s="256"/>
      <c r="V18" s="256"/>
      <c r="W18" s="256"/>
      <c r="X18" s="256"/>
      <c r="Y18" s="256"/>
      <c r="Z18" s="256"/>
      <c r="AA18" s="256"/>
      <c r="AB18" s="256"/>
      <c r="AC18" s="256"/>
      <c r="AD18" s="256"/>
    </row>
    <row r="19" spans="1:30" x14ac:dyDescent="0.2">
      <c r="A19" s="256"/>
      <c r="B19" s="287"/>
      <c r="C19" s="295" t="s">
        <v>3</v>
      </c>
      <c r="D19" s="290" t="str">
        <f t="shared" si="0"/>
        <v>GBP-10MD=</v>
      </c>
      <c r="E19" s="294" t="s">
        <v>233</v>
      </c>
      <c r="F19" s="293" t="s">
        <v>233</v>
      </c>
      <c r="G19" s="293" t="b">
        <f t="shared" si="1"/>
        <v>0</v>
      </c>
      <c r="H19" s="292" t="e">
        <f>IF($G19,_xll.qlIndexAddFixings($J19,$E19,$F19/100,TRUE,ISERROR($K19)),NA())</f>
        <v>#N/A</v>
      </c>
      <c r="I19" s="282"/>
      <c r="J19" s="291" t="str">
        <f t="shared" si="2"/>
        <v>Gbp-10M</v>
      </c>
      <c r="K19" s="290" t="e">
        <f>_xll.qlIndexFixing($J19,$E19,TRUE,$G19)</f>
        <v>#NUM!</v>
      </c>
      <c r="L19" s="290" t="e">
        <f>IF($H19,_xll.qlIndexFixing($J19,$E19,FALSE,$G19),"-")</f>
        <v>#N/A</v>
      </c>
      <c r="M19" s="290" t="e">
        <f t="shared" si="3"/>
        <v>#NUM!</v>
      </c>
      <c r="N19" s="289" t="e">
        <f>_xll.qlIndexFixing($J19,$E19,TRUE,$L19)</f>
        <v>#NUM!</v>
      </c>
      <c r="O19" s="288">
        <f t="shared" si="4"/>
        <v>0</v>
      </c>
      <c r="P19" s="277"/>
      <c r="Q19" s="256"/>
      <c r="R19" s="256"/>
      <c r="S19" s="256"/>
      <c r="T19" s="256"/>
      <c r="U19" s="256"/>
      <c r="V19" s="256"/>
      <c r="W19" s="256"/>
      <c r="X19" s="256"/>
      <c r="Y19" s="256"/>
      <c r="Z19" s="256"/>
      <c r="AA19" s="256"/>
      <c r="AB19" s="256"/>
      <c r="AC19" s="256"/>
      <c r="AD19" s="256"/>
    </row>
    <row r="20" spans="1:30" x14ac:dyDescent="0.2">
      <c r="A20" s="256"/>
      <c r="B20" s="287"/>
      <c r="C20" s="295" t="s">
        <v>2</v>
      </c>
      <c r="D20" s="290" t="str">
        <f t="shared" si="0"/>
        <v>GBP-11MD=</v>
      </c>
      <c r="E20" s="294" t="s">
        <v>233</v>
      </c>
      <c r="F20" s="293" t="s">
        <v>233</v>
      </c>
      <c r="G20" s="293" t="b">
        <f t="shared" si="1"/>
        <v>0</v>
      </c>
      <c r="H20" s="292" t="e">
        <f>IF($G20,_xll.qlIndexAddFixings($J20,$E20,$F20/100,TRUE,ISERROR($K20)),NA())</f>
        <v>#N/A</v>
      </c>
      <c r="I20" s="282"/>
      <c r="J20" s="291" t="str">
        <f t="shared" si="2"/>
        <v>Gbp-11M</v>
      </c>
      <c r="K20" s="290" t="e">
        <f>_xll.qlIndexFixing($J20,$E20,TRUE,$G20)</f>
        <v>#NUM!</v>
      </c>
      <c r="L20" s="290" t="e">
        <f>IF($H20,_xll.qlIndexFixing($J20,$E20,FALSE,$G20),"-")</f>
        <v>#N/A</v>
      </c>
      <c r="M20" s="290" t="e">
        <f t="shared" si="3"/>
        <v>#NUM!</v>
      </c>
      <c r="N20" s="289" t="e">
        <f>_xll.qlIndexFixing($J20,$E20,TRUE,$L20)</f>
        <v>#NUM!</v>
      </c>
      <c r="O20" s="288">
        <f t="shared" si="4"/>
        <v>0</v>
      </c>
      <c r="P20" s="277"/>
      <c r="Q20" s="256"/>
      <c r="R20" s="256"/>
      <c r="S20" s="256"/>
      <c r="T20" s="256"/>
      <c r="U20" s="256"/>
      <c r="V20" s="256"/>
      <c r="W20" s="256"/>
      <c r="X20" s="256"/>
      <c r="Y20" s="256"/>
      <c r="Z20" s="256"/>
      <c r="AA20" s="256"/>
      <c r="AB20" s="256"/>
      <c r="AC20" s="256"/>
      <c r="AD20" s="256"/>
    </row>
    <row r="21" spans="1:30" x14ac:dyDescent="0.2">
      <c r="A21" s="256"/>
      <c r="B21" s="287"/>
      <c r="C21" s="286" t="s">
        <v>1</v>
      </c>
      <c r="D21" s="280" t="str">
        <f t="shared" si="0"/>
        <v>GBP-1YD=</v>
      </c>
      <c r="E21" s="285" t="s">
        <v>233</v>
      </c>
      <c r="F21" s="284" t="s">
        <v>233</v>
      </c>
      <c r="G21" s="284" t="b">
        <f t="shared" si="1"/>
        <v>0</v>
      </c>
      <c r="H21" s="283" t="e">
        <f>IF($G21,_xll.qlIndexAddFixings($J21,$E21,$F21/100,TRUE,ISERROR($K21)),NA())</f>
        <v>#N/A</v>
      </c>
      <c r="I21" s="282"/>
      <c r="J21" s="281" t="str">
        <f t="shared" si="2"/>
        <v>Gbp-1Y</v>
      </c>
      <c r="K21" s="280" t="e">
        <f>_xll.qlIndexFixing($J21,$E21,TRUE,$G21)</f>
        <v>#NUM!</v>
      </c>
      <c r="L21" s="280" t="e">
        <f>IF($H21,_xll.qlIndexFixing($J21,$E21,FALSE,$G21),"-")</f>
        <v>#N/A</v>
      </c>
      <c r="M21" s="280" t="e">
        <f t="shared" si="3"/>
        <v>#NUM!</v>
      </c>
      <c r="N21" s="279" t="e">
        <f>_xll.qlIndexFixing($J21,$E21,TRUE,$L21)</f>
        <v>#NUM!</v>
      </c>
      <c r="O21" s="278">
        <f t="shared" si="4"/>
        <v>0</v>
      </c>
      <c r="P21" s="277"/>
      <c r="Q21" s="256"/>
      <c r="R21" s="256"/>
      <c r="S21" s="256"/>
      <c r="T21" s="256"/>
      <c r="U21" s="256"/>
      <c r="V21" s="256"/>
      <c r="W21" s="256"/>
      <c r="X21" s="256"/>
      <c r="Y21" s="256"/>
      <c r="Z21" s="256"/>
      <c r="AA21" s="256"/>
      <c r="AB21" s="256"/>
      <c r="AC21" s="256"/>
      <c r="AD21" s="256"/>
    </row>
    <row r="22" spans="1:30" ht="12" thickBot="1" x14ac:dyDescent="0.25">
      <c r="A22" s="256"/>
      <c r="B22" s="274"/>
      <c r="C22" s="271"/>
      <c r="D22" s="271"/>
      <c r="E22" s="273"/>
      <c r="F22" s="272"/>
      <c r="G22" s="272"/>
      <c r="H22" s="271"/>
      <c r="I22" s="271"/>
      <c r="J22" s="271"/>
      <c r="K22" s="271"/>
      <c r="L22" s="271"/>
      <c r="M22" s="271"/>
      <c r="N22" s="271"/>
      <c r="O22" s="271"/>
      <c r="P22" s="270"/>
      <c r="Q22" s="256"/>
      <c r="R22" s="256"/>
      <c r="S22" s="256"/>
      <c r="T22" s="256"/>
      <c r="U22" s="256"/>
      <c r="V22" s="256"/>
      <c r="W22" s="256"/>
      <c r="X22" s="256"/>
      <c r="Y22" s="256"/>
      <c r="Z22" s="256"/>
      <c r="AA22" s="256"/>
      <c r="AB22" s="256"/>
      <c r="AC22" s="256"/>
      <c r="AD22" s="256"/>
    </row>
    <row r="23" spans="1:30" ht="12" thickBot="1" x14ac:dyDescent="0.25">
      <c r="A23" s="256"/>
      <c r="B23" s="256"/>
      <c r="C23" s="256"/>
      <c r="D23" s="256"/>
      <c r="E23" s="269"/>
      <c r="F23" s="268"/>
      <c r="G23" s="268"/>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row>
    <row r="24" spans="1:30" s="256" customFormat="1" x14ac:dyDescent="0.2">
      <c r="C24" s="267" t="s">
        <v>121</v>
      </c>
      <c r="D24" s="266" t="s">
        <v>228</v>
      </c>
      <c r="E24" s="265" t="s">
        <v>228</v>
      </c>
      <c r="F24" s="264"/>
    </row>
    <row r="25" spans="1:30" s="256" customFormat="1" x14ac:dyDescent="0.2">
      <c r="C25" s="262" t="s">
        <v>120</v>
      </c>
      <c r="D25" s="261" t="s">
        <v>247</v>
      </c>
      <c r="E25" s="260" t="s">
        <v>246</v>
      </c>
      <c r="J25" s="263"/>
    </row>
    <row r="26" spans="1:30" s="256" customFormat="1" x14ac:dyDescent="0.2">
      <c r="C26" s="262" t="s">
        <v>230</v>
      </c>
      <c r="D26" s="261" t="s">
        <v>228</v>
      </c>
      <c r="E26" s="260" t="s">
        <v>228</v>
      </c>
      <c r="J26" s="263"/>
    </row>
    <row r="27" spans="1:30" s="256" customFormat="1" x14ac:dyDescent="0.2">
      <c r="C27" s="262" t="s">
        <v>229</v>
      </c>
      <c r="D27" s="261" t="s">
        <v>228</v>
      </c>
      <c r="E27" s="260" t="s">
        <v>228</v>
      </c>
      <c r="J27" s="263"/>
    </row>
    <row r="28" spans="1:30" s="256" customFormat="1" x14ac:dyDescent="0.2">
      <c r="C28" s="262" t="s">
        <v>96</v>
      </c>
      <c r="D28" s="261" t="s">
        <v>228</v>
      </c>
      <c r="E28" s="260" t="s">
        <v>228</v>
      </c>
    </row>
    <row r="29" spans="1:30" s="256" customFormat="1" x14ac:dyDescent="0.2">
      <c r="C29" s="262" t="s">
        <v>117</v>
      </c>
      <c r="D29" s="261" t="s">
        <v>228</v>
      </c>
      <c r="E29" s="260" t="s">
        <v>228</v>
      </c>
    </row>
    <row r="30" spans="1:30" s="256" customFormat="1" ht="12" thickBot="1" x14ac:dyDescent="0.25">
      <c r="C30" s="259" t="s">
        <v>115</v>
      </c>
      <c r="D30" s="258" t="s">
        <v>228</v>
      </c>
      <c r="E30" s="257" t="s">
        <v>228</v>
      </c>
    </row>
    <row r="31" spans="1:30" s="256" customFormat="1" x14ac:dyDescent="0.2"/>
    <row r="32" spans="1:30" s="256" customFormat="1" x14ac:dyDescent="0.2"/>
    <row r="33" s="256" customFormat="1" x14ac:dyDescent="0.2"/>
    <row r="34" s="256" customFormat="1" x14ac:dyDescent="0.2"/>
    <row r="35" s="256" customFormat="1" x14ac:dyDescent="0.2"/>
    <row r="36" s="256" customFormat="1" x14ac:dyDescent="0.2"/>
    <row r="37" s="256" customFormat="1" x14ac:dyDescent="0.2"/>
    <row r="38" s="256" customFormat="1" x14ac:dyDescent="0.2"/>
    <row r="39" s="256" customFormat="1" x14ac:dyDescent="0.2"/>
    <row r="40" s="256" customFormat="1" x14ac:dyDescent="0.2"/>
    <row r="41" s="256" customFormat="1" x14ac:dyDescent="0.2"/>
  </sheetData>
  <conditionalFormatting sqref="M4:M21">
    <cfRule type="cellIs" dxfId="9" priority="1" stopIfTrue="1" operator="greaterThan">
      <formula>0</formula>
    </cfRule>
    <cfRule type="cellIs" dxfId="8" priority="2" stopIfTrue="1" operator="lessThan">
      <formula>0</formula>
    </cfRule>
  </conditionalFormatting>
  <pageMargins left="0.75" right="0.75" top="1" bottom="1" header="0.5" footer="0.5"/>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D38"/>
  <sheetViews>
    <sheetView workbookViewId="0"/>
  </sheetViews>
  <sheetFormatPr defaultRowHeight="11.25" x14ac:dyDescent="0.2"/>
  <cols>
    <col min="1" max="2" width="3.5703125" style="255" customWidth="1"/>
    <col min="3" max="3" width="5.7109375" style="255" bestFit="1" customWidth="1"/>
    <col min="4" max="4" width="9.28515625" style="255" bestFit="1" customWidth="1"/>
    <col min="5" max="5" width="26.42578125" style="255" bestFit="1" customWidth="1"/>
    <col min="6" max="6" width="9.85546875" style="255" customWidth="1"/>
    <col min="7" max="7" width="6" style="255" bestFit="1" customWidth="1"/>
    <col min="8" max="8" width="5.5703125" style="255" bestFit="1" customWidth="1"/>
    <col min="9" max="9" width="3.5703125" style="255" customWidth="1"/>
    <col min="10" max="10" width="7.85546875" style="255" bestFit="1" customWidth="1"/>
    <col min="11" max="11" width="11.42578125" style="255" bestFit="1" customWidth="1"/>
    <col min="12" max="12" width="8.7109375" style="255" bestFit="1" customWidth="1"/>
    <col min="13" max="13" width="7.7109375" style="255" bestFit="1" customWidth="1"/>
    <col min="14" max="14" width="10" style="255" bestFit="1" customWidth="1"/>
    <col min="15" max="15" width="7.140625" style="255" bestFit="1" customWidth="1"/>
    <col min="16" max="17" width="3.5703125" style="255" customWidth="1"/>
    <col min="18" max="18" width="4" style="255" bestFit="1" customWidth="1"/>
    <col min="19" max="19" width="6.140625" style="255" bestFit="1" customWidth="1"/>
    <col min="20" max="20" width="16" style="255" bestFit="1" customWidth="1"/>
    <col min="21" max="16384" width="9.140625" style="255"/>
  </cols>
  <sheetData>
    <row r="1" spans="1:30" ht="12" thickBot="1" x14ac:dyDescent="0.25">
      <c r="A1" s="256" t="s">
        <v>354</v>
      </c>
      <c r="B1" s="256"/>
      <c r="C1" s="256"/>
      <c r="D1" s="261"/>
      <c r="E1" s="269"/>
      <c r="F1" s="319"/>
      <c r="G1" s="319"/>
      <c r="H1" s="256"/>
      <c r="I1" s="261"/>
      <c r="J1" s="256"/>
      <c r="K1" s="256"/>
      <c r="L1" s="256"/>
      <c r="M1" s="256"/>
      <c r="N1" s="256"/>
      <c r="O1" s="256"/>
      <c r="P1" s="256"/>
      <c r="Q1" s="256"/>
      <c r="R1" s="256"/>
      <c r="S1" s="256"/>
      <c r="T1" s="256"/>
      <c r="U1" s="256"/>
      <c r="V1" s="256"/>
      <c r="W1" s="256"/>
      <c r="X1" s="256"/>
      <c r="Y1" s="256"/>
      <c r="Z1" s="256"/>
      <c r="AA1" s="256"/>
      <c r="AB1" s="256"/>
      <c r="AC1" s="256"/>
      <c r="AD1" s="256"/>
    </row>
    <row r="2" spans="1:30" ht="19.5" x14ac:dyDescent="0.4">
      <c r="A2" s="256"/>
      <c r="B2" s="318"/>
      <c r="C2" s="312"/>
      <c r="D2" s="317" t="str">
        <f>VLOOKUP(Currency,Traits,2,FALSE)</f>
        <v>-</v>
      </c>
      <c r="E2" s="316"/>
      <c r="F2" s="315"/>
      <c r="G2" s="315"/>
      <c r="H2" s="312"/>
      <c r="I2" s="312"/>
      <c r="J2" s="314" t="str">
        <f>VLOOKUP(Currency,Traits,3,FALSE)</f>
        <v>-</v>
      </c>
      <c r="K2" s="312"/>
      <c r="L2" s="312"/>
      <c r="M2" s="313">
        <f>MAX(O4:O19)</f>
        <v>0</v>
      </c>
      <c r="N2" s="312"/>
      <c r="O2" s="312"/>
      <c r="P2" s="311"/>
      <c r="Q2" s="256"/>
      <c r="R2" s="256"/>
      <c r="S2" s="256"/>
      <c r="T2" s="256"/>
      <c r="U2" s="256"/>
      <c r="V2" s="256"/>
      <c r="W2" s="256"/>
      <c r="X2" s="256"/>
      <c r="Y2" s="256"/>
      <c r="Z2" s="256"/>
      <c r="AA2" s="256"/>
      <c r="AB2" s="256"/>
      <c r="AC2" s="256"/>
      <c r="AD2" s="256"/>
    </row>
    <row r="3" spans="1:30" ht="22.5" x14ac:dyDescent="0.2">
      <c r="A3" s="256"/>
      <c r="B3" s="287"/>
      <c r="C3" s="309" t="s">
        <v>24</v>
      </c>
      <c r="D3" s="308" t="e">
        <f ca="1">_xll.RData(D4:D18,E3:F3,"RTFEED:IDN",,,E4)</f>
        <v>#NAME?</v>
      </c>
      <c r="E3" s="308" t="s">
        <v>245</v>
      </c>
      <c r="F3" s="308" t="s">
        <v>254</v>
      </c>
      <c r="G3" s="308" t="s">
        <v>243</v>
      </c>
      <c r="H3" s="307" t="s">
        <v>242</v>
      </c>
      <c r="I3" s="310"/>
      <c r="J3" s="309" t="s">
        <v>241</v>
      </c>
      <c r="K3" s="308" t="s">
        <v>240</v>
      </c>
      <c r="L3" s="308" t="s">
        <v>239</v>
      </c>
      <c r="M3" s="308" t="s">
        <v>238</v>
      </c>
      <c r="N3" s="307" t="s">
        <v>237</v>
      </c>
      <c r="O3" s="306"/>
      <c r="P3" s="277"/>
      <c r="Q3" s="256"/>
      <c r="R3" s="256"/>
      <c r="S3" s="256"/>
      <c r="T3" s="256"/>
      <c r="U3" s="256"/>
      <c r="V3" s="256"/>
      <c r="W3" s="256"/>
      <c r="X3" s="256"/>
      <c r="Y3" s="256"/>
      <c r="Z3" s="256"/>
      <c r="AA3" s="256"/>
      <c r="AB3" s="256"/>
      <c r="AC3" s="256"/>
      <c r="AD3" s="256"/>
    </row>
    <row r="4" spans="1:30" x14ac:dyDescent="0.2">
      <c r="A4" s="256"/>
      <c r="B4" s="287"/>
      <c r="C4" s="305" t="s">
        <v>1</v>
      </c>
      <c r="D4" s="299" t="str">
        <f t="shared" ref="D4:D18" si="0">Currency&amp;$D$2&amp;$C4&amp;"="</f>
        <v>GBP-1Y=</v>
      </c>
      <c r="E4" s="304" t="s">
        <v>233</v>
      </c>
      <c r="F4" s="302" t="s">
        <v>233</v>
      </c>
      <c r="G4" s="302" t="b">
        <f t="shared" ref="G4:G18" si="1">IF(AND(ISNUMBER($F4),$F4&lt;&gt;0%),TRUE,FALSE)</f>
        <v>0</v>
      </c>
      <c r="H4" s="301" t="e">
        <f>IF($G4,_xll.qlIndexAddFixings($J4,$E4,$F4/100,TRUE,ISERROR($K4)),NA())</f>
        <v>#N/A</v>
      </c>
      <c r="I4" s="282"/>
      <c r="J4" s="300" t="str">
        <f t="shared" ref="J4:J18" si="2">PROPER(Currency)&amp;$J$2&amp;$C4</f>
        <v>Gbp-1Y</v>
      </c>
      <c r="K4" s="299" t="e">
        <f>_xll.qlIndexFixing($J4,$E4,TRUE,$G4)</f>
        <v>#NUM!</v>
      </c>
      <c r="L4" s="299" t="e">
        <f>IF($H4,_xll.qlIndexFixing($J4,$E4,FALSE,$G4),"-")</f>
        <v>#N/A</v>
      </c>
      <c r="M4" s="299" t="e">
        <f t="shared" ref="M4:M18" si="3">K4-L4</f>
        <v>#NUM!</v>
      </c>
      <c r="N4" s="298" t="e">
        <f>_xll.qlIndexFixing($J4,$E4,TRUE,$L4)</f>
        <v>#NUM!</v>
      </c>
      <c r="O4" s="332">
        <f t="shared" ref="O4:O18" si="4">IF(ISERROR(M4),0,ABS(M4))</f>
        <v>0</v>
      </c>
      <c r="P4" s="277"/>
      <c r="Q4" s="256"/>
      <c r="R4" s="256"/>
      <c r="S4" s="256"/>
      <c r="T4" s="256"/>
      <c r="U4" s="256"/>
      <c r="V4" s="256"/>
      <c r="W4" s="256"/>
      <c r="X4" s="256"/>
      <c r="Y4" s="256"/>
      <c r="Z4" s="256"/>
      <c r="AA4" s="256"/>
      <c r="AB4" s="256"/>
      <c r="AC4" s="256"/>
      <c r="AD4" s="256"/>
    </row>
    <row r="5" spans="1:30" x14ac:dyDescent="0.2">
      <c r="A5" s="256"/>
      <c r="B5" s="287"/>
      <c r="C5" s="295" t="s">
        <v>85</v>
      </c>
      <c r="D5" s="290" t="str">
        <f t="shared" si="0"/>
        <v>GBP-2Y=</v>
      </c>
      <c r="E5" s="294" t="s">
        <v>233</v>
      </c>
      <c r="F5" s="293" t="s">
        <v>233</v>
      </c>
      <c r="G5" s="293" t="b">
        <f t="shared" si="1"/>
        <v>0</v>
      </c>
      <c r="H5" s="292" t="e">
        <f>IF($G5,_xll.qlIndexAddFixings($J5,$E5,$F5/100,TRUE,ISERROR($K5)),NA())</f>
        <v>#N/A</v>
      </c>
      <c r="I5" s="282"/>
      <c r="J5" s="291" t="str">
        <f t="shared" si="2"/>
        <v>Gbp-2Y</v>
      </c>
      <c r="K5" s="290" t="e">
        <f>_xll.qlIndexFixing($J5,$E5,TRUE,$G5)</f>
        <v>#NUM!</v>
      </c>
      <c r="L5" s="290" t="e">
        <f>IF($H5,_xll.qlIndexFixing($J5,$E5,FALSE,$G5),"-")</f>
        <v>#N/A</v>
      </c>
      <c r="M5" s="290" t="e">
        <f t="shared" si="3"/>
        <v>#NUM!</v>
      </c>
      <c r="N5" s="289" t="e">
        <f>_xll.qlIndexFixing($J5,$E5,TRUE,$L5)</f>
        <v>#NUM!</v>
      </c>
      <c r="O5" s="332">
        <f t="shared" si="4"/>
        <v>0</v>
      </c>
      <c r="P5" s="277"/>
      <c r="Q5" s="256"/>
      <c r="R5" s="256"/>
      <c r="S5" s="256"/>
      <c r="T5" s="256"/>
      <c r="U5" s="256"/>
      <c r="V5" s="256"/>
      <c r="W5" s="256"/>
      <c r="X5" s="256"/>
      <c r="Y5" s="256"/>
      <c r="Z5" s="256"/>
      <c r="AA5" s="256"/>
      <c r="AB5" s="256"/>
      <c r="AC5" s="256"/>
      <c r="AD5" s="256"/>
    </row>
    <row r="6" spans="1:30" x14ac:dyDescent="0.2">
      <c r="A6" s="256"/>
      <c r="B6" s="287"/>
      <c r="C6" s="295" t="s">
        <v>84</v>
      </c>
      <c r="D6" s="290" t="str">
        <f t="shared" si="0"/>
        <v>GBP-3Y=</v>
      </c>
      <c r="E6" s="294" t="s">
        <v>233</v>
      </c>
      <c r="F6" s="293" t="s">
        <v>233</v>
      </c>
      <c r="G6" s="293" t="b">
        <f t="shared" si="1"/>
        <v>0</v>
      </c>
      <c r="H6" s="292" t="e">
        <f>IF($G6,_xll.qlIndexAddFixings($J6,$E6,$F6/100,TRUE,ISERROR($K6)),NA())</f>
        <v>#N/A</v>
      </c>
      <c r="I6" s="282"/>
      <c r="J6" s="291" t="str">
        <f t="shared" si="2"/>
        <v>Gbp-3Y</v>
      </c>
      <c r="K6" s="290" t="e">
        <f>_xll.qlIndexFixing($J6,$E6,TRUE,$G6)</f>
        <v>#NUM!</v>
      </c>
      <c r="L6" s="290" t="e">
        <f>IF($H6,_xll.qlIndexFixing($J6,$E6,FALSE,$G6),"-")</f>
        <v>#N/A</v>
      </c>
      <c r="M6" s="290" t="e">
        <f t="shared" si="3"/>
        <v>#NUM!</v>
      </c>
      <c r="N6" s="289" t="e">
        <f>_xll.qlIndexFixing($J6,$E6,TRUE,$L6)</f>
        <v>#NUM!</v>
      </c>
      <c r="O6" s="332">
        <f t="shared" si="4"/>
        <v>0</v>
      </c>
      <c r="P6" s="277"/>
      <c r="Q6" s="256"/>
      <c r="R6" s="256"/>
      <c r="S6" s="256"/>
      <c r="T6" s="256"/>
      <c r="U6" s="256"/>
      <c r="V6" s="256"/>
      <c r="W6" s="256"/>
      <c r="X6" s="256"/>
      <c r="Y6" s="256"/>
      <c r="Z6" s="256"/>
      <c r="AA6" s="256"/>
      <c r="AB6" s="256"/>
      <c r="AC6" s="256"/>
      <c r="AD6" s="256"/>
    </row>
    <row r="7" spans="1:30" x14ac:dyDescent="0.2">
      <c r="A7" s="256"/>
      <c r="B7" s="287"/>
      <c r="C7" s="295" t="s">
        <v>83</v>
      </c>
      <c r="D7" s="290" t="str">
        <f t="shared" si="0"/>
        <v>GBP-4Y=</v>
      </c>
      <c r="E7" s="294" t="s">
        <v>233</v>
      </c>
      <c r="F7" s="293" t="s">
        <v>233</v>
      </c>
      <c r="G7" s="293" t="b">
        <f t="shared" si="1"/>
        <v>0</v>
      </c>
      <c r="H7" s="292" t="e">
        <f>IF($G7,_xll.qlIndexAddFixings($J7,$E7,$F7/100,TRUE,ISERROR($K7)),NA())</f>
        <v>#N/A</v>
      </c>
      <c r="I7" s="282"/>
      <c r="J7" s="291" t="str">
        <f t="shared" si="2"/>
        <v>Gbp-4Y</v>
      </c>
      <c r="K7" s="290" t="e">
        <f>_xll.qlIndexFixing($J7,$E7,TRUE,$G7)</f>
        <v>#NUM!</v>
      </c>
      <c r="L7" s="290" t="e">
        <f>IF($H7,_xll.qlIndexFixing($J7,$E7,FALSE,$G7),"-")</f>
        <v>#N/A</v>
      </c>
      <c r="M7" s="290" t="e">
        <f t="shared" si="3"/>
        <v>#NUM!</v>
      </c>
      <c r="N7" s="289" t="e">
        <f>_xll.qlIndexFixing($J7,$E7,TRUE,$L7)</f>
        <v>#NUM!</v>
      </c>
      <c r="O7" s="332">
        <f t="shared" si="4"/>
        <v>0</v>
      </c>
      <c r="P7" s="277"/>
      <c r="Q7" s="256"/>
      <c r="R7" s="256"/>
      <c r="S7" s="256"/>
      <c r="T7" s="256"/>
      <c r="U7" s="256"/>
      <c r="V7" s="256"/>
      <c r="W7" s="256"/>
      <c r="X7" s="256"/>
      <c r="Y7" s="256"/>
      <c r="Z7" s="256"/>
      <c r="AA7" s="256"/>
      <c r="AB7" s="256"/>
      <c r="AC7" s="256"/>
      <c r="AD7" s="256"/>
    </row>
    <row r="8" spans="1:30" x14ac:dyDescent="0.2">
      <c r="A8" s="256"/>
      <c r="B8" s="287"/>
      <c r="C8" s="295" t="s">
        <v>82</v>
      </c>
      <c r="D8" s="290" t="str">
        <f t="shared" si="0"/>
        <v>GBP-5Y=</v>
      </c>
      <c r="E8" s="294" t="s">
        <v>233</v>
      </c>
      <c r="F8" s="293" t="s">
        <v>233</v>
      </c>
      <c r="G8" s="293" t="b">
        <f t="shared" si="1"/>
        <v>0</v>
      </c>
      <c r="H8" s="292" t="e">
        <f>IF($G8,_xll.qlIndexAddFixings($J8,$E8,$F8/100,TRUE,ISERROR($K8)),NA())</f>
        <v>#N/A</v>
      </c>
      <c r="I8" s="282"/>
      <c r="J8" s="291" t="str">
        <f t="shared" si="2"/>
        <v>Gbp-5Y</v>
      </c>
      <c r="K8" s="290" t="e">
        <f>_xll.qlIndexFixing($J8,$E8,TRUE,$G8)</f>
        <v>#NUM!</v>
      </c>
      <c r="L8" s="290" t="e">
        <f>IF($H8,_xll.qlIndexFixing($J8,$E8,FALSE,$G8),"-")</f>
        <v>#N/A</v>
      </c>
      <c r="M8" s="290" t="e">
        <f t="shared" si="3"/>
        <v>#NUM!</v>
      </c>
      <c r="N8" s="289" t="e">
        <f>_xll.qlIndexFixing($J8,$E8,TRUE,$L8)</f>
        <v>#NUM!</v>
      </c>
      <c r="O8" s="332">
        <f t="shared" si="4"/>
        <v>0</v>
      </c>
      <c r="P8" s="277"/>
      <c r="Q8" s="256"/>
      <c r="R8" s="256"/>
      <c r="S8" s="256"/>
      <c r="T8" s="256"/>
      <c r="U8" s="256"/>
      <c r="V8" s="256"/>
      <c r="W8" s="256"/>
      <c r="X8" s="256"/>
      <c r="Y8" s="256"/>
      <c r="Z8" s="256"/>
      <c r="AA8" s="256"/>
      <c r="AB8" s="256"/>
      <c r="AC8" s="256"/>
      <c r="AD8" s="256"/>
    </row>
    <row r="9" spans="1:30" x14ac:dyDescent="0.2">
      <c r="A9" s="256"/>
      <c r="B9" s="287"/>
      <c r="C9" s="295" t="s">
        <v>81</v>
      </c>
      <c r="D9" s="290" t="str">
        <f t="shared" si="0"/>
        <v>GBP-6Y=</v>
      </c>
      <c r="E9" s="294" t="s">
        <v>233</v>
      </c>
      <c r="F9" s="293" t="s">
        <v>233</v>
      </c>
      <c r="G9" s="293" t="b">
        <f t="shared" si="1"/>
        <v>0</v>
      </c>
      <c r="H9" s="292" t="e">
        <f>IF($G9,_xll.qlIndexAddFixings($J9,$E9,$F9/100,TRUE,ISERROR($K9)),NA())</f>
        <v>#N/A</v>
      </c>
      <c r="I9" s="282"/>
      <c r="J9" s="291" t="str">
        <f t="shared" si="2"/>
        <v>Gbp-6Y</v>
      </c>
      <c r="K9" s="290" t="e">
        <f>_xll.qlIndexFixing($J9,$E9,TRUE,$G9)</f>
        <v>#NUM!</v>
      </c>
      <c r="L9" s="290" t="e">
        <f>IF($H9,_xll.qlIndexFixing($J9,$E9,FALSE,$G9),"-")</f>
        <v>#N/A</v>
      </c>
      <c r="M9" s="290" t="e">
        <f t="shared" si="3"/>
        <v>#NUM!</v>
      </c>
      <c r="N9" s="289" t="e">
        <f>_xll.qlIndexFixing($J9,$E9,TRUE,$L9)</f>
        <v>#NUM!</v>
      </c>
      <c r="O9" s="332">
        <f t="shared" si="4"/>
        <v>0</v>
      </c>
      <c r="P9" s="277"/>
      <c r="Q9" s="256"/>
      <c r="R9" s="256"/>
      <c r="S9" s="256"/>
      <c r="T9" s="256"/>
      <c r="U9" s="256"/>
      <c r="V9" s="256"/>
      <c r="W9" s="256"/>
      <c r="X9" s="256"/>
      <c r="Y9" s="256"/>
      <c r="Z9" s="256"/>
      <c r="AA9" s="256"/>
      <c r="AB9" s="256"/>
      <c r="AC9" s="256"/>
      <c r="AD9" s="256"/>
    </row>
    <row r="10" spans="1:30" x14ac:dyDescent="0.2">
      <c r="A10" s="256"/>
      <c r="B10" s="287"/>
      <c r="C10" s="295" t="s">
        <v>80</v>
      </c>
      <c r="D10" s="290" t="str">
        <f t="shared" si="0"/>
        <v>GBP-7Y=</v>
      </c>
      <c r="E10" s="294" t="s">
        <v>233</v>
      </c>
      <c r="F10" s="293" t="s">
        <v>233</v>
      </c>
      <c r="G10" s="293" t="b">
        <f t="shared" si="1"/>
        <v>0</v>
      </c>
      <c r="H10" s="292" t="e">
        <f>IF($G10,_xll.qlIndexAddFixings($J10,$E10,$F10/100,TRUE,ISERROR($K10)),NA())</f>
        <v>#N/A</v>
      </c>
      <c r="I10" s="282"/>
      <c r="J10" s="291" t="str">
        <f t="shared" si="2"/>
        <v>Gbp-7Y</v>
      </c>
      <c r="K10" s="290" t="e">
        <f>_xll.qlIndexFixing($J10,$E10,TRUE,$G10)</f>
        <v>#NUM!</v>
      </c>
      <c r="L10" s="290" t="e">
        <f>IF($H10,_xll.qlIndexFixing($J10,$E10,FALSE,$G10),"-")</f>
        <v>#N/A</v>
      </c>
      <c r="M10" s="290" t="e">
        <f t="shared" si="3"/>
        <v>#NUM!</v>
      </c>
      <c r="N10" s="289" t="e">
        <f>_xll.qlIndexFixing($J10,$E10,TRUE,$L10)</f>
        <v>#NUM!</v>
      </c>
      <c r="O10" s="332">
        <f t="shared" si="4"/>
        <v>0</v>
      </c>
      <c r="P10" s="277"/>
      <c r="Q10" s="256"/>
      <c r="R10" s="256"/>
      <c r="S10" s="256"/>
      <c r="T10" s="256"/>
      <c r="U10" s="256"/>
      <c r="V10" s="256"/>
      <c r="W10" s="256"/>
      <c r="X10" s="256"/>
      <c r="Y10" s="256"/>
      <c r="Z10" s="256"/>
      <c r="AA10" s="256"/>
      <c r="AB10" s="256"/>
      <c r="AC10" s="256"/>
      <c r="AD10" s="256"/>
    </row>
    <row r="11" spans="1:30" x14ac:dyDescent="0.2">
      <c r="A11" s="256"/>
      <c r="B11" s="287"/>
      <c r="C11" s="295" t="s">
        <v>79</v>
      </c>
      <c r="D11" s="290" t="str">
        <f t="shared" si="0"/>
        <v>GBP-8Y=</v>
      </c>
      <c r="E11" s="294" t="s">
        <v>233</v>
      </c>
      <c r="F11" s="293" t="s">
        <v>233</v>
      </c>
      <c r="G11" s="293" t="b">
        <f t="shared" si="1"/>
        <v>0</v>
      </c>
      <c r="H11" s="292" t="e">
        <f>IF($G11,_xll.qlIndexAddFixings($J11,$E11,$F11/100,TRUE,ISERROR($K11)),NA())</f>
        <v>#N/A</v>
      </c>
      <c r="I11" s="282"/>
      <c r="J11" s="291" t="str">
        <f t="shared" si="2"/>
        <v>Gbp-8Y</v>
      </c>
      <c r="K11" s="290" t="e">
        <f>_xll.qlIndexFixing($J11,$E11,TRUE,$G11)</f>
        <v>#NUM!</v>
      </c>
      <c r="L11" s="290" t="e">
        <f>IF($H11,_xll.qlIndexFixing($J11,$E11,FALSE,$G11),"-")</f>
        <v>#N/A</v>
      </c>
      <c r="M11" s="290" t="e">
        <f t="shared" si="3"/>
        <v>#NUM!</v>
      </c>
      <c r="N11" s="289" t="e">
        <f>_xll.qlIndexFixing($J11,$E11,TRUE,$L11)</f>
        <v>#NUM!</v>
      </c>
      <c r="O11" s="332">
        <f t="shared" si="4"/>
        <v>0</v>
      </c>
      <c r="P11" s="277"/>
      <c r="Q11" s="256"/>
      <c r="R11" s="256"/>
      <c r="S11" s="256"/>
      <c r="T11" s="256"/>
      <c r="U11" s="256"/>
      <c r="V11" s="256"/>
      <c r="W11" s="256"/>
      <c r="X11" s="256"/>
      <c r="Y11" s="256"/>
      <c r="Z11" s="256"/>
      <c r="AA11" s="256"/>
      <c r="AB11" s="256"/>
      <c r="AC11" s="256"/>
      <c r="AD11" s="256"/>
    </row>
    <row r="12" spans="1:30" x14ac:dyDescent="0.2">
      <c r="A12" s="256"/>
      <c r="B12" s="287"/>
      <c r="C12" s="295" t="s">
        <v>78</v>
      </c>
      <c r="D12" s="290" t="str">
        <f t="shared" si="0"/>
        <v>GBP-9Y=</v>
      </c>
      <c r="E12" s="294" t="s">
        <v>233</v>
      </c>
      <c r="F12" s="293" t="s">
        <v>233</v>
      </c>
      <c r="G12" s="293" t="b">
        <f t="shared" si="1"/>
        <v>0</v>
      </c>
      <c r="H12" s="292" t="e">
        <f>IF($G12,_xll.qlIndexAddFixings($J12,$E12,$F12/100,TRUE,ISERROR($K12)),NA())</f>
        <v>#N/A</v>
      </c>
      <c r="I12" s="282"/>
      <c r="J12" s="291" t="str">
        <f t="shared" si="2"/>
        <v>Gbp-9Y</v>
      </c>
      <c r="K12" s="290" t="e">
        <f>_xll.qlIndexFixing($J12,$E12,TRUE,$G12)</f>
        <v>#NUM!</v>
      </c>
      <c r="L12" s="290" t="e">
        <f>IF($H12,_xll.qlIndexFixing($J12,$E12,FALSE,$G12),"-")</f>
        <v>#N/A</v>
      </c>
      <c r="M12" s="290" t="e">
        <f t="shared" si="3"/>
        <v>#NUM!</v>
      </c>
      <c r="N12" s="289" t="e">
        <f>_xll.qlIndexFixing($J12,$E12,TRUE,$L12)</f>
        <v>#NUM!</v>
      </c>
      <c r="O12" s="332">
        <f t="shared" si="4"/>
        <v>0</v>
      </c>
      <c r="P12" s="277"/>
      <c r="Q12" s="256"/>
      <c r="R12" s="256"/>
      <c r="S12" s="256"/>
      <c r="T12" s="256"/>
      <c r="U12" s="256"/>
      <c r="V12" s="256"/>
      <c r="W12" s="256"/>
      <c r="X12" s="256"/>
      <c r="Y12" s="256"/>
      <c r="Z12" s="256"/>
      <c r="AA12" s="256"/>
      <c r="AB12" s="256"/>
      <c r="AC12" s="256"/>
      <c r="AD12" s="256"/>
    </row>
    <row r="13" spans="1:30" x14ac:dyDescent="0.2">
      <c r="A13" s="256"/>
      <c r="B13" s="287"/>
      <c r="C13" s="295" t="s">
        <v>77</v>
      </c>
      <c r="D13" s="290" t="str">
        <f t="shared" si="0"/>
        <v>GBP-10Y=</v>
      </c>
      <c r="E13" s="294" t="s">
        <v>233</v>
      </c>
      <c r="F13" s="293" t="s">
        <v>233</v>
      </c>
      <c r="G13" s="293" t="b">
        <f t="shared" si="1"/>
        <v>0</v>
      </c>
      <c r="H13" s="292" t="e">
        <f>IF($G13,_xll.qlIndexAddFixings($J13,$E13,$F13/100,TRUE,ISERROR($K13)),NA())</f>
        <v>#N/A</v>
      </c>
      <c r="I13" s="282"/>
      <c r="J13" s="291" t="str">
        <f t="shared" si="2"/>
        <v>Gbp-10Y</v>
      </c>
      <c r="K13" s="290" t="e">
        <f>_xll.qlIndexFixing($J13,$E13,TRUE,$G13)</f>
        <v>#NUM!</v>
      </c>
      <c r="L13" s="290" t="e">
        <f>IF($H13,_xll.qlIndexFixing($J13,$E13,FALSE,$G13),"-")</f>
        <v>#N/A</v>
      </c>
      <c r="M13" s="290" t="e">
        <f t="shared" si="3"/>
        <v>#NUM!</v>
      </c>
      <c r="N13" s="289" t="e">
        <f>_xll.qlIndexFixing($J13,$E13,TRUE,$L13)</f>
        <v>#NUM!</v>
      </c>
      <c r="O13" s="332">
        <f t="shared" si="4"/>
        <v>0</v>
      </c>
      <c r="P13" s="277"/>
      <c r="Q13" s="256"/>
      <c r="R13" s="256"/>
      <c r="S13" s="256"/>
      <c r="T13" s="256"/>
      <c r="U13" s="256"/>
      <c r="V13" s="256"/>
      <c r="W13" s="256"/>
      <c r="X13" s="256"/>
      <c r="Y13" s="256"/>
      <c r="Z13" s="256"/>
      <c r="AA13" s="256"/>
      <c r="AB13" s="256"/>
      <c r="AC13" s="256"/>
      <c r="AD13" s="256"/>
    </row>
    <row r="14" spans="1:30" x14ac:dyDescent="0.2">
      <c r="A14" s="256"/>
      <c r="B14" s="287"/>
      <c r="C14" s="295" t="s">
        <v>75</v>
      </c>
      <c r="D14" s="290" t="str">
        <f t="shared" si="0"/>
        <v>GBP-12Y=</v>
      </c>
      <c r="E14" s="294" t="s">
        <v>233</v>
      </c>
      <c r="F14" s="293" t="s">
        <v>233</v>
      </c>
      <c r="G14" s="293" t="b">
        <f t="shared" si="1"/>
        <v>0</v>
      </c>
      <c r="H14" s="292" t="e">
        <f>IF($G14,_xll.qlIndexAddFixings($J14,$E14,$F14/100,TRUE,ISERROR($K14)),NA())</f>
        <v>#N/A</v>
      </c>
      <c r="I14" s="282"/>
      <c r="J14" s="291" t="str">
        <f t="shared" si="2"/>
        <v>Gbp-12Y</v>
      </c>
      <c r="K14" s="290" t="e">
        <f>_xll.qlIndexFixing($J14,$E14,TRUE,$G14)</f>
        <v>#NUM!</v>
      </c>
      <c r="L14" s="290" t="e">
        <f>IF($H14,_xll.qlIndexFixing($J14,$E14,FALSE,$G14),"-")</f>
        <v>#N/A</v>
      </c>
      <c r="M14" s="290" t="e">
        <f t="shared" si="3"/>
        <v>#NUM!</v>
      </c>
      <c r="N14" s="289" t="e">
        <f>_xll.qlIndexFixing($J14,$E14,TRUE,$L14)</f>
        <v>#NUM!</v>
      </c>
      <c r="O14" s="332">
        <f t="shared" si="4"/>
        <v>0</v>
      </c>
      <c r="P14" s="277"/>
      <c r="Q14" s="256"/>
      <c r="R14" s="256"/>
      <c r="S14" s="256"/>
      <c r="T14" s="256"/>
      <c r="U14" s="256"/>
      <c r="V14" s="256"/>
      <c r="W14" s="256"/>
      <c r="X14" s="256"/>
      <c r="Y14" s="256"/>
      <c r="Z14" s="256"/>
      <c r="AA14" s="256"/>
      <c r="AB14" s="256"/>
      <c r="AC14" s="256"/>
      <c r="AD14" s="256"/>
    </row>
    <row r="15" spans="1:30" x14ac:dyDescent="0.2">
      <c r="A15" s="256"/>
      <c r="B15" s="287"/>
      <c r="C15" s="295" t="s">
        <v>72</v>
      </c>
      <c r="D15" s="290" t="str">
        <f t="shared" si="0"/>
        <v>GBP-15Y=</v>
      </c>
      <c r="E15" s="294" t="s">
        <v>233</v>
      </c>
      <c r="F15" s="293" t="s">
        <v>233</v>
      </c>
      <c r="G15" s="293" t="b">
        <f t="shared" si="1"/>
        <v>0</v>
      </c>
      <c r="H15" s="292" t="e">
        <f>IF($G15,_xll.qlIndexAddFixings($J15,$E15,$F15/100,TRUE,ISERROR($K15)),NA())</f>
        <v>#N/A</v>
      </c>
      <c r="I15" s="282"/>
      <c r="J15" s="291" t="str">
        <f t="shared" si="2"/>
        <v>Gbp-15Y</v>
      </c>
      <c r="K15" s="290" t="e">
        <f>_xll.qlIndexFixing($J15,$E15,TRUE,$G15)</f>
        <v>#NUM!</v>
      </c>
      <c r="L15" s="290" t="e">
        <f>IF($H15,_xll.qlIndexFixing($J15,$E15,FALSE,$G15),"-")</f>
        <v>#N/A</v>
      </c>
      <c r="M15" s="290" t="e">
        <f t="shared" si="3"/>
        <v>#NUM!</v>
      </c>
      <c r="N15" s="289" t="e">
        <f>_xll.qlIndexFixing($J15,$E15,TRUE,$L15)</f>
        <v>#NUM!</v>
      </c>
      <c r="O15" s="332">
        <f t="shared" si="4"/>
        <v>0</v>
      </c>
      <c r="P15" s="277"/>
      <c r="Q15" s="256"/>
      <c r="R15" s="256"/>
      <c r="S15" s="256"/>
      <c r="T15" s="256"/>
      <c r="U15" s="256"/>
      <c r="V15" s="256"/>
      <c r="W15" s="256"/>
      <c r="X15" s="256"/>
      <c r="Y15" s="256"/>
      <c r="Z15" s="256"/>
      <c r="AA15" s="256"/>
      <c r="AB15" s="256"/>
      <c r="AC15" s="256"/>
      <c r="AD15" s="256"/>
    </row>
    <row r="16" spans="1:30" x14ac:dyDescent="0.2">
      <c r="A16" s="256"/>
      <c r="B16" s="287"/>
      <c r="C16" s="295" t="s">
        <v>67</v>
      </c>
      <c r="D16" s="290" t="str">
        <f t="shared" si="0"/>
        <v>GBP-20Y=</v>
      </c>
      <c r="E16" s="294" t="s">
        <v>233</v>
      </c>
      <c r="F16" s="293" t="s">
        <v>233</v>
      </c>
      <c r="G16" s="293" t="b">
        <f t="shared" si="1"/>
        <v>0</v>
      </c>
      <c r="H16" s="292" t="e">
        <f>IF($G16,_xll.qlIndexAddFixings($J16,$E16,$F16/100,TRUE,ISERROR($K16)),NA())</f>
        <v>#N/A</v>
      </c>
      <c r="I16" s="282"/>
      <c r="J16" s="291" t="str">
        <f t="shared" si="2"/>
        <v>Gbp-20Y</v>
      </c>
      <c r="K16" s="290" t="e">
        <f>_xll.qlIndexFixing($J16,$E16,TRUE,$G16)</f>
        <v>#NUM!</v>
      </c>
      <c r="L16" s="290" t="e">
        <f>IF($H16,_xll.qlIndexFixing($J16,$E16,FALSE,$G16),"-")</f>
        <v>#N/A</v>
      </c>
      <c r="M16" s="290" t="e">
        <f t="shared" si="3"/>
        <v>#NUM!</v>
      </c>
      <c r="N16" s="289" t="e">
        <f>_xll.qlIndexFixing($J16,$E16,TRUE,$L16)</f>
        <v>#NUM!</v>
      </c>
      <c r="O16" s="332">
        <f t="shared" si="4"/>
        <v>0</v>
      </c>
      <c r="P16" s="277"/>
      <c r="Q16" s="256"/>
      <c r="R16" s="256"/>
      <c r="S16" s="256"/>
      <c r="T16" s="256"/>
      <c r="U16" s="256"/>
      <c r="V16" s="256"/>
      <c r="W16" s="256"/>
      <c r="X16" s="256"/>
      <c r="Y16" s="256"/>
      <c r="Z16" s="256"/>
      <c r="AA16" s="256"/>
      <c r="AB16" s="256"/>
      <c r="AC16" s="256"/>
      <c r="AD16" s="256"/>
    </row>
    <row r="17" spans="1:30" x14ac:dyDescent="0.2">
      <c r="A17" s="256"/>
      <c r="B17" s="287"/>
      <c r="C17" s="295" t="s">
        <v>62</v>
      </c>
      <c r="D17" s="290" t="str">
        <f t="shared" si="0"/>
        <v>GBP-25Y=</v>
      </c>
      <c r="E17" s="294" t="s">
        <v>233</v>
      </c>
      <c r="F17" s="293" t="s">
        <v>233</v>
      </c>
      <c r="G17" s="293" t="b">
        <f t="shared" si="1"/>
        <v>0</v>
      </c>
      <c r="H17" s="292" t="e">
        <f>IF($G17,_xll.qlIndexAddFixings($J17,$E17,$F17/100,TRUE,ISERROR($K17)),NA())</f>
        <v>#N/A</v>
      </c>
      <c r="I17" s="282"/>
      <c r="J17" s="291" t="str">
        <f t="shared" si="2"/>
        <v>Gbp-25Y</v>
      </c>
      <c r="K17" s="290" t="e">
        <f>_xll.qlIndexFixing($J17,$E17,TRUE,$G17)</f>
        <v>#NUM!</v>
      </c>
      <c r="L17" s="290" t="e">
        <f>IF($H17,_xll.qlIndexFixing($J17,$E17,FALSE,$G17),"-")</f>
        <v>#N/A</v>
      </c>
      <c r="M17" s="290" t="e">
        <f t="shared" si="3"/>
        <v>#NUM!</v>
      </c>
      <c r="N17" s="289" t="e">
        <f>_xll.qlIndexFixing($J17,$E17,TRUE,$L17)</f>
        <v>#NUM!</v>
      </c>
      <c r="O17" s="332">
        <f t="shared" si="4"/>
        <v>0</v>
      </c>
      <c r="P17" s="277"/>
      <c r="Q17" s="256"/>
      <c r="R17" s="256"/>
      <c r="S17" s="256"/>
      <c r="T17" s="256"/>
      <c r="U17" s="256"/>
      <c r="V17" s="256"/>
      <c r="W17" s="256"/>
      <c r="X17" s="256"/>
      <c r="Y17" s="256"/>
      <c r="Z17" s="256"/>
      <c r="AA17" s="256"/>
      <c r="AB17" s="256"/>
      <c r="AC17" s="256"/>
      <c r="AD17" s="256"/>
    </row>
    <row r="18" spans="1:30" x14ac:dyDescent="0.2">
      <c r="A18" s="256"/>
      <c r="B18" s="287"/>
      <c r="C18" s="286" t="s">
        <v>57</v>
      </c>
      <c r="D18" s="280" t="str">
        <f t="shared" si="0"/>
        <v>GBP-30Y=</v>
      </c>
      <c r="E18" s="285" t="s">
        <v>233</v>
      </c>
      <c r="F18" s="284" t="s">
        <v>233</v>
      </c>
      <c r="G18" s="284" t="b">
        <f t="shared" si="1"/>
        <v>0</v>
      </c>
      <c r="H18" s="283" t="e">
        <f>IF($G18,_xll.qlIndexAddFixings($J18,$E18,$F18/100,TRUE,ISERROR($K18)),NA())</f>
        <v>#N/A</v>
      </c>
      <c r="I18" s="282"/>
      <c r="J18" s="281" t="str">
        <f t="shared" si="2"/>
        <v>Gbp-30Y</v>
      </c>
      <c r="K18" s="280" t="e">
        <f>_xll.qlIndexFixing($J18,$E18,TRUE,$G18)</f>
        <v>#NUM!</v>
      </c>
      <c r="L18" s="280" t="e">
        <f>IF($H18,_xll.qlIndexFixing($J18,$E18,FALSE,$G18),"-")</f>
        <v>#N/A</v>
      </c>
      <c r="M18" s="280" t="e">
        <f t="shared" si="3"/>
        <v>#NUM!</v>
      </c>
      <c r="N18" s="279" t="e">
        <f>_xll.qlIndexFixing($J18,$E18,TRUE,$L18)</f>
        <v>#NUM!</v>
      </c>
      <c r="O18" s="331">
        <f t="shared" si="4"/>
        <v>0</v>
      </c>
      <c r="P18" s="277"/>
      <c r="Q18" s="256"/>
      <c r="R18" s="256"/>
      <c r="S18" s="256"/>
      <c r="T18" s="256"/>
      <c r="U18" s="256"/>
      <c r="V18" s="256"/>
      <c r="W18" s="256"/>
      <c r="X18" s="256"/>
      <c r="Y18" s="256"/>
      <c r="Z18" s="256"/>
      <c r="AA18" s="256"/>
      <c r="AB18" s="256"/>
      <c r="AC18" s="256"/>
      <c r="AD18" s="256"/>
    </row>
    <row r="19" spans="1:30" ht="12" thickBot="1" x14ac:dyDescent="0.25">
      <c r="A19" s="256"/>
      <c r="B19" s="274"/>
      <c r="C19" s="272"/>
      <c r="D19" s="272"/>
      <c r="E19" s="272"/>
      <c r="F19" s="272"/>
      <c r="G19" s="272"/>
      <c r="H19" s="272"/>
      <c r="I19" s="271"/>
      <c r="J19" s="271"/>
      <c r="K19" s="271"/>
      <c r="L19" s="271"/>
      <c r="M19" s="271"/>
      <c r="N19" s="271"/>
      <c r="O19" s="271"/>
      <c r="P19" s="270"/>
      <c r="Q19" s="256"/>
      <c r="R19" s="256"/>
      <c r="S19" s="256"/>
      <c r="T19" s="256"/>
      <c r="U19" s="256"/>
      <c r="V19" s="256"/>
      <c r="W19" s="256"/>
      <c r="X19" s="256"/>
      <c r="Y19" s="256"/>
      <c r="Z19" s="256"/>
      <c r="AA19" s="256"/>
      <c r="AB19" s="256"/>
      <c r="AC19" s="256"/>
      <c r="AD19" s="256"/>
    </row>
    <row r="20" spans="1:30" ht="12" thickBot="1" x14ac:dyDescent="0.25">
      <c r="A20" s="256"/>
      <c r="B20" s="256"/>
      <c r="C20" s="256"/>
      <c r="D20" s="256"/>
      <c r="E20" s="269"/>
      <c r="F20" s="268"/>
      <c r="G20" s="268"/>
      <c r="H20" s="256"/>
      <c r="I20" s="256"/>
      <c r="J20" s="256"/>
      <c r="K20" s="256"/>
      <c r="L20" s="256"/>
      <c r="M20" s="256"/>
      <c r="N20" s="256"/>
      <c r="O20" s="256"/>
      <c r="P20" s="256"/>
      <c r="Q20" s="256"/>
      <c r="R20" s="256"/>
      <c r="S20" s="256"/>
      <c r="T20" s="256"/>
      <c r="U20" s="256"/>
      <c r="V20" s="256"/>
      <c r="W20" s="256"/>
      <c r="X20" s="256"/>
      <c r="Y20" s="256"/>
      <c r="Z20" s="256"/>
      <c r="AA20" s="256"/>
      <c r="AB20" s="256"/>
      <c r="AC20" s="256"/>
      <c r="AD20" s="256"/>
    </row>
    <row r="21" spans="1:30" s="256" customFormat="1" x14ac:dyDescent="0.2">
      <c r="C21" s="267" t="s">
        <v>121</v>
      </c>
      <c r="D21" s="336" t="s">
        <v>228</v>
      </c>
      <c r="E21" s="335" t="s">
        <v>228</v>
      </c>
    </row>
    <row r="22" spans="1:30" s="256" customFormat="1" x14ac:dyDescent="0.2">
      <c r="C22" s="262" t="s">
        <v>120</v>
      </c>
      <c r="D22" s="261" t="s">
        <v>258</v>
      </c>
      <c r="E22" s="260" t="s">
        <v>257</v>
      </c>
    </row>
    <row r="23" spans="1:30" s="256" customFormat="1" x14ac:dyDescent="0.2">
      <c r="C23" s="262" t="s">
        <v>230</v>
      </c>
      <c r="D23" s="261" t="s">
        <v>256</v>
      </c>
      <c r="E23" s="260" t="s">
        <v>255</v>
      </c>
    </row>
    <row r="24" spans="1:30" s="256" customFormat="1" x14ac:dyDescent="0.2">
      <c r="C24" s="262" t="s">
        <v>229</v>
      </c>
      <c r="D24" s="334" t="s">
        <v>228</v>
      </c>
      <c r="E24" s="333" t="s">
        <v>228</v>
      </c>
    </row>
    <row r="25" spans="1:30" s="256" customFormat="1" x14ac:dyDescent="0.2">
      <c r="C25" s="262" t="s">
        <v>96</v>
      </c>
      <c r="D25" s="334" t="s">
        <v>228</v>
      </c>
      <c r="E25" s="333" t="s">
        <v>228</v>
      </c>
    </row>
    <row r="26" spans="1:30" s="256" customFormat="1" x14ac:dyDescent="0.2">
      <c r="C26" s="262" t="s">
        <v>117</v>
      </c>
      <c r="D26" s="261" t="s">
        <v>256</v>
      </c>
      <c r="E26" s="260" t="s">
        <v>255</v>
      </c>
    </row>
    <row r="27" spans="1:30" s="256" customFormat="1" ht="12" thickBot="1" x14ac:dyDescent="0.25">
      <c r="C27" s="259" t="s">
        <v>115</v>
      </c>
      <c r="D27" s="330" t="s">
        <v>256</v>
      </c>
      <c r="E27" s="329" t="s">
        <v>255</v>
      </c>
    </row>
    <row r="28" spans="1:30" s="256" customFormat="1" x14ac:dyDescent="0.2"/>
    <row r="29" spans="1:30" s="256" customFormat="1" x14ac:dyDescent="0.2"/>
    <row r="30" spans="1:30" s="256" customFormat="1" x14ac:dyDescent="0.2"/>
    <row r="31" spans="1:30" s="256" customFormat="1" x14ac:dyDescent="0.2"/>
    <row r="32" spans="1:30" s="256" customFormat="1" x14ac:dyDescent="0.2"/>
    <row r="33" s="256" customFormat="1" x14ac:dyDescent="0.2"/>
    <row r="34" s="256" customFormat="1" x14ac:dyDescent="0.2"/>
    <row r="35" s="256" customFormat="1" x14ac:dyDescent="0.2"/>
    <row r="36" s="256" customFormat="1" x14ac:dyDescent="0.2"/>
    <row r="37" s="256" customFormat="1" x14ac:dyDescent="0.2"/>
    <row r="38" s="256"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AD38"/>
  <sheetViews>
    <sheetView workbookViewId="0"/>
  </sheetViews>
  <sheetFormatPr defaultRowHeight="11.25" x14ac:dyDescent="0.2"/>
  <cols>
    <col min="1" max="2" width="3.5703125" style="255" customWidth="1"/>
    <col min="3" max="3" width="5.7109375" style="255" bestFit="1" customWidth="1"/>
    <col min="4" max="4" width="9.28515625" style="255" bestFit="1" customWidth="1"/>
    <col min="5" max="5" width="26.42578125" style="255" bestFit="1" customWidth="1"/>
    <col min="6" max="6" width="9.85546875" style="255" customWidth="1"/>
    <col min="7" max="7" width="6" style="255" bestFit="1" customWidth="1"/>
    <col min="8" max="8" width="5.5703125" style="255" bestFit="1" customWidth="1"/>
    <col min="9" max="9" width="3.5703125" style="255" customWidth="1"/>
    <col min="10" max="10" width="7.85546875" style="255" bestFit="1" customWidth="1"/>
    <col min="11" max="11" width="11.42578125" style="255" bestFit="1" customWidth="1"/>
    <col min="12" max="12" width="8.7109375" style="255" bestFit="1" customWidth="1"/>
    <col min="13" max="13" width="7.140625" style="255" bestFit="1" customWidth="1"/>
    <col min="14" max="14" width="10" style="255" bestFit="1" customWidth="1"/>
    <col min="15" max="15" width="7.140625" style="255" bestFit="1" customWidth="1"/>
    <col min="16" max="17" width="3.5703125" style="255" customWidth="1"/>
    <col min="18" max="18" width="4" style="255" bestFit="1" customWidth="1"/>
    <col min="19" max="19" width="5.28515625" style="255" bestFit="1" customWidth="1"/>
    <col min="20" max="20" width="16" style="255" bestFit="1" customWidth="1"/>
    <col min="21" max="16384" width="9.140625" style="255"/>
  </cols>
  <sheetData>
    <row r="1" spans="1:30" ht="12" thickBot="1" x14ac:dyDescent="0.25">
      <c r="A1" s="256" t="s">
        <v>354</v>
      </c>
      <c r="B1" s="256"/>
      <c r="C1" s="256"/>
      <c r="D1" s="261"/>
      <c r="E1" s="269"/>
      <c r="F1" s="319"/>
      <c r="G1" s="319"/>
      <c r="H1" s="256"/>
      <c r="I1" s="261"/>
      <c r="J1" s="256"/>
      <c r="K1" s="256"/>
      <c r="L1" s="256"/>
      <c r="M1" s="256"/>
      <c r="N1" s="256"/>
      <c r="O1" s="256"/>
      <c r="P1" s="256"/>
      <c r="Q1" s="256"/>
      <c r="R1" s="256"/>
      <c r="S1" s="256"/>
      <c r="T1" s="256"/>
      <c r="U1" s="256"/>
      <c r="V1" s="256"/>
      <c r="W1" s="256"/>
      <c r="X1" s="256"/>
      <c r="Y1" s="256"/>
      <c r="Z1" s="256"/>
      <c r="AA1" s="256"/>
      <c r="AB1" s="256"/>
      <c r="AC1" s="256"/>
      <c r="AD1" s="256"/>
    </row>
    <row r="2" spans="1:30" ht="19.5" x14ac:dyDescent="0.4">
      <c r="A2" s="256"/>
      <c r="B2" s="318"/>
      <c r="C2" s="312"/>
      <c r="D2" s="317" t="str">
        <f>VLOOKUP(Currency,Traits,2,FALSE)</f>
        <v>-</v>
      </c>
      <c r="E2" s="316"/>
      <c r="F2" s="315"/>
      <c r="G2" s="315"/>
      <c r="H2" s="312"/>
      <c r="I2" s="312"/>
      <c r="J2" s="314" t="str">
        <f>VLOOKUP(Currency,Traits,3,FALSE)</f>
        <v>-</v>
      </c>
      <c r="K2" s="312"/>
      <c r="L2" s="312"/>
      <c r="M2" s="313">
        <f>MAX(O4:O19)</f>
        <v>0</v>
      </c>
      <c r="N2" s="312"/>
      <c r="O2" s="312"/>
      <c r="P2" s="311"/>
      <c r="Q2" s="256"/>
      <c r="R2" s="256"/>
      <c r="S2" s="256"/>
      <c r="T2" s="256"/>
      <c r="U2" s="256"/>
      <c r="V2" s="256"/>
      <c r="W2" s="256"/>
      <c r="X2" s="256"/>
      <c r="Y2" s="256"/>
      <c r="Z2" s="256"/>
      <c r="AA2" s="256"/>
      <c r="AB2" s="256"/>
      <c r="AC2" s="256"/>
      <c r="AD2" s="256"/>
    </row>
    <row r="3" spans="1:30" ht="22.5" x14ac:dyDescent="0.2">
      <c r="A3" s="256"/>
      <c r="B3" s="287"/>
      <c r="C3" s="309" t="s">
        <v>24</v>
      </c>
      <c r="D3" s="308" t="e">
        <f ca="1">_xll.RData(D4:D18,E3:F3,"RTFEED:IDN",,,E4)</f>
        <v>#NAME?</v>
      </c>
      <c r="E3" s="308" t="s">
        <v>245</v>
      </c>
      <c r="F3" s="308" t="s">
        <v>254</v>
      </c>
      <c r="G3" s="308" t="s">
        <v>243</v>
      </c>
      <c r="H3" s="307" t="s">
        <v>242</v>
      </c>
      <c r="I3" s="310"/>
      <c r="J3" s="309" t="s">
        <v>241</v>
      </c>
      <c r="K3" s="308" t="s">
        <v>240</v>
      </c>
      <c r="L3" s="308" t="s">
        <v>239</v>
      </c>
      <c r="M3" s="308" t="s">
        <v>238</v>
      </c>
      <c r="N3" s="307" t="s">
        <v>237</v>
      </c>
      <c r="O3" s="306" t="s">
        <v>261</v>
      </c>
      <c r="P3" s="277"/>
      <c r="Q3" s="256"/>
      <c r="R3" s="256"/>
      <c r="S3" s="256"/>
      <c r="T3" s="256"/>
      <c r="U3" s="256"/>
      <c r="V3" s="256"/>
      <c r="W3" s="256"/>
      <c r="X3" s="256"/>
      <c r="Y3" s="256"/>
      <c r="Z3" s="256"/>
      <c r="AA3" s="256"/>
      <c r="AB3" s="256"/>
      <c r="AC3" s="256"/>
      <c r="AD3" s="256"/>
    </row>
    <row r="4" spans="1:30" x14ac:dyDescent="0.2">
      <c r="A4" s="256"/>
      <c r="B4" s="287"/>
      <c r="C4" s="305" t="s">
        <v>1</v>
      </c>
      <c r="D4" s="299" t="str">
        <f t="shared" ref="D4:D18" si="0">Currency&amp;$D$2&amp;$C4&amp;"="</f>
        <v>GBP-1Y=</v>
      </c>
      <c r="E4" s="304" t="s">
        <v>233</v>
      </c>
      <c r="F4" s="302" t="s">
        <v>233</v>
      </c>
      <c r="G4" s="302" t="b">
        <f t="shared" ref="G4:G18" si="1">IF(AND(ISNUMBER($F4),$F4&lt;&gt;0%),TRUE,FALSE)</f>
        <v>0</v>
      </c>
      <c r="H4" s="301" t="e">
        <f>IF($G4,_xll.qlIndexAddFixings($J4,$E4,$F4/100,TRUE,ISERROR($K4)),NA())</f>
        <v>#N/A</v>
      </c>
      <c r="I4" s="282"/>
      <c r="J4" s="300" t="str">
        <f t="shared" ref="J4:J18" si="2">PROPER(Currency)&amp;$J$2&amp;$C4</f>
        <v>Gbp-1Y</v>
      </c>
      <c r="K4" s="299" t="e">
        <f>_xll.qlIndexFixing($J4,$E4,TRUE,$G4)</f>
        <v>#NUM!</v>
      </c>
      <c r="L4" s="299" t="e">
        <f>IF($H4,_xll.qlIndexFixing($J4,$E4,FALSE,$G4),"-")</f>
        <v>#N/A</v>
      </c>
      <c r="M4" s="299" t="e">
        <f t="shared" ref="M4:M18" si="3">K4-L4</f>
        <v>#NUM!</v>
      </c>
      <c r="N4" s="298" t="e">
        <f>_xll.qlIndexFixing($J4,$E4,TRUE,$L4)</f>
        <v>#NUM!</v>
      </c>
      <c r="O4" s="332">
        <f t="shared" ref="O4:O18" si="4">IF(ISERROR(M4),0,ABS(M4))</f>
        <v>0</v>
      </c>
      <c r="P4" s="277"/>
      <c r="Q4" s="256"/>
      <c r="R4" s="256"/>
      <c r="S4" s="256"/>
      <c r="T4" s="256"/>
      <c r="U4" s="256"/>
      <c r="V4" s="256"/>
      <c r="W4" s="256"/>
      <c r="X4" s="256"/>
      <c r="Y4" s="256"/>
      <c r="Z4" s="256"/>
      <c r="AA4" s="256"/>
      <c r="AB4" s="256"/>
      <c r="AC4" s="256"/>
      <c r="AD4" s="256"/>
    </row>
    <row r="5" spans="1:30" x14ac:dyDescent="0.2">
      <c r="A5" s="256"/>
      <c r="B5" s="287"/>
      <c r="C5" s="295" t="s">
        <v>85</v>
      </c>
      <c r="D5" s="290" t="str">
        <f t="shared" si="0"/>
        <v>GBP-2Y=</v>
      </c>
      <c r="E5" s="294" t="s">
        <v>233</v>
      </c>
      <c r="F5" s="293" t="s">
        <v>233</v>
      </c>
      <c r="G5" s="293" t="b">
        <f t="shared" si="1"/>
        <v>0</v>
      </c>
      <c r="H5" s="292" t="e">
        <f>IF($G5,_xll.qlIndexAddFixings($J5,$E5,$F5/100,TRUE,ISERROR($K5)),NA())</f>
        <v>#N/A</v>
      </c>
      <c r="I5" s="282"/>
      <c r="J5" s="291" t="str">
        <f t="shared" si="2"/>
        <v>Gbp-2Y</v>
      </c>
      <c r="K5" s="290" t="e">
        <f>_xll.qlIndexFixing($J5,$E5,TRUE,$G5)</f>
        <v>#NUM!</v>
      </c>
      <c r="L5" s="290" t="e">
        <f>IF($H5,_xll.qlIndexFixing($J5,$E5,FALSE,$G5),"-")</f>
        <v>#N/A</v>
      </c>
      <c r="M5" s="290" t="e">
        <f t="shared" si="3"/>
        <v>#NUM!</v>
      </c>
      <c r="N5" s="289" t="e">
        <f>_xll.qlIndexFixing($J5,$E5,TRUE,$L5)</f>
        <v>#NUM!</v>
      </c>
      <c r="O5" s="332">
        <f t="shared" si="4"/>
        <v>0</v>
      </c>
      <c r="P5" s="277"/>
      <c r="Q5" s="256"/>
      <c r="R5" s="256"/>
      <c r="S5" s="256"/>
      <c r="T5" s="256"/>
      <c r="U5" s="256"/>
      <c r="V5" s="256"/>
      <c r="W5" s="256"/>
      <c r="X5" s="256"/>
      <c r="Y5" s="256"/>
      <c r="Z5" s="256"/>
      <c r="AA5" s="256"/>
      <c r="AB5" s="256"/>
      <c r="AC5" s="256"/>
      <c r="AD5" s="256"/>
    </row>
    <row r="6" spans="1:30" x14ac:dyDescent="0.2">
      <c r="A6" s="256"/>
      <c r="B6" s="287"/>
      <c r="C6" s="295" t="s">
        <v>84</v>
      </c>
      <c r="D6" s="290" t="str">
        <f t="shared" si="0"/>
        <v>GBP-3Y=</v>
      </c>
      <c r="E6" s="294" t="s">
        <v>233</v>
      </c>
      <c r="F6" s="293" t="s">
        <v>233</v>
      </c>
      <c r="G6" s="293" t="b">
        <f t="shared" si="1"/>
        <v>0</v>
      </c>
      <c r="H6" s="292" t="e">
        <f>IF($G6,_xll.qlIndexAddFixings($J6,$E6,$F6/100,TRUE,ISERROR($K6)),NA())</f>
        <v>#N/A</v>
      </c>
      <c r="I6" s="282"/>
      <c r="J6" s="291" t="str">
        <f t="shared" si="2"/>
        <v>Gbp-3Y</v>
      </c>
      <c r="K6" s="290" t="e">
        <f>_xll.qlIndexFixing($J6,$E6,TRUE,$G6)</f>
        <v>#NUM!</v>
      </c>
      <c r="L6" s="290" t="e">
        <f>IF($H6,_xll.qlIndexFixing($J6,$E6,FALSE,$G6),"-")</f>
        <v>#N/A</v>
      </c>
      <c r="M6" s="290" t="e">
        <f t="shared" si="3"/>
        <v>#NUM!</v>
      </c>
      <c r="N6" s="289" t="e">
        <f>_xll.qlIndexFixing($J6,$E6,TRUE,$L6)</f>
        <v>#NUM!</v>
      </c>
      <c r="O6" s="332">
        <f t="shared" si="4"/>
        <v>0</v>
      </c>
      <c r="P6" s="277"/>
      <c r="Q6" s="256"/>
      <c r="R6" s="256"/>
      <c r="S6" s="256"/>
      <c r="T6" s="256"/>
      <c r="U6" s="256"/>
      <c r="V6" s="256"/>
      <c r="W6" s="256"/>
      <c r="X6" s="256"/>
      <c r="Y6" s="256"/>
      <c r="Z6" s="256"/>
      <c r="AA6" s="256"/>
      <c r="AB6" s="256"/>
      <c r="AC6" s="256"/>
      <c r="AD6" s="256"/>
    </row>
    <row r="7" spans="1:30" x14ac:dyDescent="0.2">
      <c r="A7" s="256"/>
      <c r="B7" s="287"/>
      <c r="C7" s="295" t="s">
        <v>83</v>
      </c>
      <c r="D7" s="290" t="str">
        <f t="shared" si="0"/>
        <v>GBP-4Y=</v>
      </c>
      <c r="E7" s="294" t="s">
        <v>233</v>
      </c>
      <c r="F7" s="293" t="s">
        <v>233</v>
      </c>
      <c r="G7" s="293" t="b">
        <f t="shared" si="1"/>
        <v>0</v>
      </c>
      <c r="H7" s="292" t="e">
        <f>IF($G7,_xll.qlIndexAddFixings($J7,$E7,$F7/100,TRUE,ISERROR($K7)),NA())</f>
        <v>#N/A</v>
      </c>
      <c r="I7" s="282"/>
      <c r="J7" s="291" t="str">
        <f t="shared" si="2"/>
        <v>Gbp-4Y</v>
      </c>
      <c r="K7" s="290" t="e">
        <f>_xll.qlIndexFixing($J7,$E7,TRUE,$G7)</f>
        <v>#NUM!</v>
      </c>
      <c r="L7" s="290" t="e">
        <f>IF($H7,_xll.qlIndexFixing($J7,$E7,FALSE,$G7),"-")</f>
        <v>#N/A</v>
      </c>
      <c r="M7" s="290" t="e">
        <f t="shared" si="3"/>
        <v>#NUM!</v>
      </c>
      <c r="N7" s="289" t="e">
        <f>_xll.qlIndexFixing($J7,$E7,TRUE,$L7)</f>
        <v>#NUM!</v>
      </c>
      <c r="O7" s="332">
        <f t="shared" si="4"/>
        <v>0</v>
      </c>
      <c r="P7" s="277"/>
      <c r="Q7" s="256"/>
      <c r="R7" s="256"/>
      <c r="S7" s="256"/>
      <c r="T7" s="256"/>
      <c r="U7" s="256"/>
      <c r="V7" s="256"/>
      <c r="W7" s="256"/>
      <c r="X7" s="256"/>
      <c r="Y7" s="256"/>
      <c r="Z7" s="256"/>
      <c r="AA7" s="256"/>
      <c r="AB7" s="256"/>
      <c r="AC7" s="256"/>
      <c r="AD7" s="256"/>
    </row>
    <row r="8" spans="1:30" x14ac:dyDescent="0.2">
      <c r="A8" s="256"/>
      <c r="B8" s="287"/>
      <c r="C8" s="295" t="s">
        <v>82</v>
      </c>
      <c r="D8" s="290" t="str">
        <f t="shared" si="0"/>
        <v>GBP-5Y=</v>
      </c>
      <c r="E8" s="294" t="s">
        <v>233</v>
      </c>
      <c r="F8" s="293" t="s">
        <v>233</v>
      </c>
      <c r="G8" s="293" t="b">
        <f t="shared" si="1"/>
        <v>0</v>
      </c>
      <c r="H8" s="292" t="e">
        <f>IF($G8,_xll.qlIndexAddFixings($J8,$E8,$F8/100,TRUE,ISERROR($K8)),NA())</f>
        <v>#N/A</v>
      </c>
      <c r="I8" s="282"/>
      <c r="J8" s="291" t="str">
        <f t="shared" si="2"/>
        <v>Gbp-5Y</v>
      </c>
      <c r="K8" s="290" t="e">
        <f>_xll.qlIndexFixing($J8,$E8,TRUE,$G8)</f>
        <v>#NUM!</v>
      </c>
      <c r="L8" s="290" t="e">
        <f>IF($H8,_xll.qlIndexFixing($J8,$E8,FALSE,$G8),"-")</f>
        <v>#N/A</v>
      </c>
      <c r="M8" s="290" t="e">
        <f t="shared" si="3"/>
        <v>#NUM!</v>
      </c>
      <c r="N8" s="289" t="e">
        <f>_xll.qlIndexFixing($J8,$E8,TRUE,$L8)</f>
        <v>#NUM!</v>
      </c>
      <c r="O8" s="332">
        <f t="shared" si="4"/>
        <v>0</v>
      </c>
      <c r="P8" s="277"/>
      <c r="Q8" s="256"/>
      <c r="R8" s="256"/>
      <c r="S8" s="256"/>
      <c r="T8" s="256"/>
      <c r="U8" s="256"/>
      <c r="V8" s="256"/>
      <c r="W8" s="256"/>
      <c r="X8" s="256"/>
      <c r="Y8" s="256"/>
      <c r="Z8" s="256"/>
      <c r="AA8" s="256"/>
      <c r="AB8" s="256"/>
      <c r="AC8" s="256"/>
      <c r="AD8" s="256"/>
    </row>
    <row r="9" spans="1:30" x14ac:dyDescent="0.2">
      <c r="A9" s="256"/>
      <c r="B9" s="287"/>
      <c r="C9" s="295" t="s">
        <v>81</v>
      </c>
      <c r="D9" s="290" t="str">
        <f t="shared" si="0"/>
        <v>GBP-6Y=</v>
      </c>
      <c r="E9" s="294" t="s">
        <v>233</v>
      </c>
      <c r="F9" s="293" t="s">
        <v>233</v>
      </c>
      <c r="G9" s="293" t="b">
        <f t="shared" si="1"/>
        <v>0</v>
      </c>
      <c r="H9" s="292" t="e">
        <f>IF($G9,_xll.qlIndexAddFixings($J9,$E9,$F9/100,TRUE,ISERROR($K9)),NA())</f>
        <v>#N/A</v>
      </c>
      <c r="I9" s="282"/>
      <c r="J9" s="291" t="str">
        <f t="shared" si="2"/>
        <v>Gbp-6Y</v>
      </c>
      <c r="K9" s="290" t="e">
        <f>_xll.qlIndexFixing($J9,$E9,TRUE,$G9)</f>
        <v>#NUM!</v>
      </c>
      <c r="L9" s="290" t="e">
        <f>IF($H9,_xll.qlIndexFixing($J9,$E9,FALSE,$G9),"-")</f>
        <v>#N/A</v>
      </c>
      <c r="M9" s="290" t="e">
        <f t="shared" si="3"/>
        <v>#NUM!</v>
      </c>
      <c r="N9" s="289" t="e">
        <f>_xll.qlIndexFixing($J9,$E9,TRUE,$L9)</f>
        <v>#NUM!</v>
      </c>
      <c r="O9" s="332">
        <f t="shared" si="4"/>
        <v>0</v>
      </c>
      <c r="P9" s="277"/>
      <c r="Q9" s="256"/>
      <c r="R9" s="256"/>
      <c r="S9" s="256"/>
      <c r="T9" s="256"/>
      <c r="U9" s="256"/>
      <c r="V9" s="256"/>
      <c r="W9" s="256"/>
      <c r="X9" s="256"/>
      <c r="Y9" s="256"/>
      <c r="Z9" s="256"/>
      <c r="AA9" s="256"/>
      <c r="AB9" s="256"/>
      <c r="AC9" s="256"/>
      <c r="AD9" s="256"/>
    </row>
    <row r="10" spans="1:30" x14ac:dyDescent="0.2">
      <c r="A10" s="256"/>
      <c r="B10" s="287"/>
      <c r="C10" s="295" t="s">
        <v>80</v>
      </c>
      <c r="D10" s="290" t="str">
        <f t="shared" si="0"/>
        <v>GBP-7Y=</v>
      </c>
      <c r="E10" s="294" t="s">
        <v>233</v>
      </c>
      <c r="F10" s="293" t="s">
        <v>233</v>
      </c>
      <c r="G10" s="293" t="b">
        <f t="shared" si="1"/>
        <v>0</v>
      </c>
      <c r="H10" s="292" t="e">
        <f>IF($G10,_xll.qlIndexAddFixings($J10,$E10,$F10/100,TRUE,ISERROR($K10)),NA())</f>
        <v>#N/A</v>
      </c>
      <c r="I10" s="282"/>
      <c r="J10" s="291" t="str">
        <f t="shared" si="2"/>
        <v>Gbp-7Y</v>
      </c>
      <c r="K10" s="290" t="e">
        <f>_xll.qlIndexFixing($J10,$E10,TRUE,$G10)</f>
        <v>#NUM!</v>
      </c>
      <c r="L10" s="290" t="e">
        <f>IF($H10,_xll.qlIndexFixing($J10,$E10,FALSE,$G10),"-")</f>
        <v>#N/A</v>
      </c>
      <c r="M10" s="290" t="e">
        <f t="shared" si="3"/>
        <v>#NUM!</v>
      </c>
      <c r="N10" s="289" t="e">
        <f>_xll.qlIndexFixing($J10,$E10,TRUE,$L10)</f>
        <v>#NUM!</v>
      </c>
      <c r="O10" s="332">
        <f t="shared" si="4"/>
        <v>0</v>
      </c>
      <c r="P10" s="277"/>
      <c r="Q10" s="256"/>
      <c r="R10" s="256"/>
      <c r="S10" s="256"/>
      <c r="T10" s="256"/>
      <c r="U10" s="256"/>
      <c r="V10" s="256"/>
      <c r="W10" s="256"/>
      <c r="X10" s="256"/>
      <c r="Y10" s="256"/>
      <c r="Z10" s="256"/>
      <c r="AA10" s="256"/>
      <c r="AB10" s="256"/>
      <c r="AC10" s="256"/>
      <c r="AD10" s="256"/>
    </row>
    <row r="11" spans="1:30" x14ac:dyDescent="0.2">
      <c r="A11" s="256"/>
      <c r="B11" s="287"/>
      <c r="C11" s="295" t="s">
        <v>79</v>
      </c>
      <c r="D11" s="290" t="str">
        <f t="shared" si="0"/>
        <v>GBP-8Y=</v>
      </c>
      <c r="E11" s="294" t="s">
        <v>233</v>
      </c>
      <c r="F11" s="293" t="s">
        <v>233</v>
      </c>
      <c r="G11" s="293" t="b">
        <f t="shared" si="1"/>
        <v>0</v>
      </c>
      <c r="H11" s="292" t="e">
        <f>IF($G11,_xll.qlIndexAddFixings($J11,$E11,$F11/100,TRUE,ISERROR($K11)),NA())</f>
        <v>#N/A</v>
      </c>
      <c r="I11" s="282"/>
      <c r="J11" s="291" t="str">
        <f t="shared" si="2"/>
        <v>Gbp-8Y</v>
      </c>
      <c r="K11" s="290" t="e">
        <f>_xll.qlIndexFixing($J11,$E11,TRUE,$G11)</f>
        <v>#NUM!</v>
      </c>
      <c r="L11" s="290" t="e">
        <f>IF($H11,_xll.qlIndexFixing($J11,$E11,FALSE,$G11),"-")</f>
        <v>#N/A</v>
      </c>
      <c r="M11" s="290" t="e">
        <f t="shared" si="3"/>
        <v>#NUM!</v>
      </c>
      <c r="N11" s="289" t="e">
        <f>_xll.qlIndexFixing($J11,$E11,TRUE,$L11)</f>
        <v>#NUM!</v>
      </c>
      <c r="O11" s="332">
        <f t="shared" si="4"/>
        <v>0</v>
      </c>
      <c r="P11" s="277"/>
      <c r="Q11" s="256"/>
      <c r="R11" s="256"/>
      <c r="S11" s="256"/>
      <c r="T11" s="256"/>
      <c r="U11" s="256"/>
      <c r="V11" s="256"/>
      <c r="W11" s="256"/>
      <c r="X11" s="256"/>
      <c r="Y11" s="256"/>
      <c r="Z11" s="256"/>
      <c r="AA11" s="256"/>
      <c r="AB11" s="256"/>
      <c r="AC11" s="256"/>
      <c r="AD11" s="256"/>
    </row>
    <row r="12" spans="1:30" x14ac:dyDescent="0.2">
      <c r="A12" s="256"/>
      <c r="B12" s="287"/>
      <c r="C12" s="295" t="s">
        <v>78</v>
      </c>
      <c r="D12" s="290" t="str">
        <f t="shared" si="0"/>
        <v>GBP-9Y=</v>
      </c>
      <c r="E12" s="294" t="s">
        <v>233</v>
      </c>
      <c r="F12" s="293" t="s">
        <v>233</v>
      </c>
      <c r="G12" s="293" t="b">
        <f t="shared" si="1"/>
        <v>0</v>
      </c>
      <c r="H12" s="292" t="e">
        <f>IF($G12,_xll.qlIndexAddFixings($J12,$E12,$F12/100,TRUE,ISERROR($K12)),NA())</f>
        <v>#N/A</v>
      </c>
      <c r="I12" s="282"/>
      <c r="J12" s="291" t="str">
        <f t="shared" si="2"/>
        <v>Gbp-9Y</v>
      </c>
      <c r="K12" s="290" t="e">
        <f>_xll.qlIndexFixing($J12,$E12,TRUE,$G12)</f>
        <v>#NUM!</v>
      </c>
      <c r="L12" s="290" t="e">
        <f>IF($H12,_xll.qlIndexFixing($J12,$E12,FALSE,$G12),"-")</f>
        <v>#N/A</v>
      </c>
      <c r="M12" s="290" t="e">
        <f t="shared" si="3"/>
        <v>#NUM!</v>
      </c>
      <c r="N12" s="289" t="e">
        <f>_xll.qlIndexFixing($J12,$E12,TRUE,$L12)</f>
        <v>#NUM!</v>
      </c>
      <c r="O12" s="332">
        <f t="shared" si="4"/>
        <v>0</v>
      </c>
      <c r="P12" s="277"/>
      <c r="Q12" s="256"/>
      <c r="R12" s="256"/>
      <c r="S12" s="256"/>
      <c r="T12" s="256"/>
      <c r="U12" s="256"/>
      <c r="V12" s="256"/>
      <c r="W12" s="256"/>
      <c r="X12" s="256"/>
      <c r="Y12" s="256"/>
      <c r="Z12" s="256"/>
      <c r="AA12" s="256"/>
      <c r="AB12" s="256"/>
      <c r="AC12" s="256"/>
      <c r="AD12" s="256"/>
    </row>
    <row r="13" spans="1:30" x14ac:dyDescent="0.2">
      <c r="A13" s="256"/>
      <c r="B13" s="287"/>
      <c r="C13" s="295" t="s">
        <v>77</v>
      </c>
      <c r="D13" s="290" t="str">
        <f t="shared" si="0"/>
        <v>GBP-10Y=</v>
      </c>
      <c r="E13" s="294" t="s">
        <v>233</v>
      </c>
      <c r="F13" s="293" t="s">
        <v>233</v>
      </c>
      <c r="G13" s="293" t="b">
        <f t="shared" si="1"/>
        <v>0</v>
      </c>
      <c r="H13" s="292" t="e">
        <f>IF($G13,_xll.qlIndexAddFixings($J13,$E13,$F13/100,TRUE,ISERROR($K13)),NA())</f>
        <v>#N/A</v>
      </c>
      <c r="I13" s="282"/>
      <c r="J13" s="291" t="str">
        <f t="shared" si="2"/>
        <v>Gbp-10Y</v>
      </c>
      <c r="K13" s="290" t="e">
        <f>_xll.qlIndexFixing($J13,$E13,TRUE,$G13)</f>
        <v>#NUM!</v>
      </c>
      <c r="L13" s="290" t="e">
        <f>IF($H13,_xll.qlIndexFixing($J13,$E13,FALSE,$G13),"-")</f>
        <v>#N/A</v>
      </c>
      <c r="M13" s="290" t="e">
        <f t="shared" si="3"/>
        <v>#NUM!</v>
      </c>
      <c r="N13" s="289" t="e">
        <f>_xll.qlIndexFixing($J13,$E13,TRUE,$L13)</f>
        <v>#NUM!</v>
      </c>
      <c r="O13" s="332">
        <f t="shared" si="4"/>
        <v>0</v>
      </c>
      <c r="P13" s="277"/>
      <c r="Q13" s="256"/>
      <c r="R13" s="256"/>
      <c r="S13" s="256"/>
      <c r="T13" s="256"/>
      <c r="U13" s="256"/>
      <c r="V13" s="256"/>
      <c r="W13" s="256"/>
      <c r="X13" s="256"/>
      <c r="Y13" s="256"/>
      <c r="Z13" s="256"/>
      <c r="AA13" s="256"/>
      <c r="AB13" s="256"/>
      <c r="AC13" s="256"/>
      <c r="AD13" s="256"/>
    </row>
    <row r="14" spans="1:30" x14ac:dyDescent="0.2">
      <c r="A14" s="256"/>
      <c r="B14" s="287"/>
      <c r="C14" s="295" t="s">
        <v>75</v>
      </c>
      <c r="D14" s="290" t="str">
        <f t="shared" si="0"/>
        <v>GBP-12Y=</v>
      </c>
      <c r="E14" s="294" t="s">
        <v>233</v>
      </c>
      <c r="F14" s="293" t="s">
        <v>233</v>
      </c>
      <c r="G14" s="293" t="b">
        <f t="shared" si="1"/>
        <v>0</v>
      </c>
      <c r="H14" s="292" t="e">
        <f>IF($G14,_xll.qlIndexAddFixings($J14,$E14,$F14/100,TRUE,ISERROR($K14)),NA())</f>
        <v>#N/A</v>
      </c>
      <c r="I14" s="282"/>
      <c r="J14" s="291" t="str">
        <f t="shared" si="2"/>
        <v>Gbp-12Y</v>
      </c>
      <c r="K14" s="290" t="e">
        <f>_xll.qlIndexFixing($J14,$E14,TRUE,$G14)</f>
        <v>#NUM!</v>
      </c>
      <c r="L14" s="290" t="e">
        <f>IF($H14,_xll.qlIndexFixing($J14,$E14,FALSE,$G14),"-")</f>
        <v>#N/A</v>
      </c>
      <c r="M14" s="290" t="e">
        <f t="shared" si="3"/>
        <v>#NUM!</v>
      </c>
      <c r="N14" s="289" t="e">
        <f>_xll.qlIndexFixing($J14,$E14,TRUE,$L14)</f>
        <v>#NUM!</v>
      </c>
      <c r="O14" s="332">
        <f t="shared" si="4"/>
        <v>0</v>
      </c>
      <c r="P14" s="277"/>
      <c r="Q14" s="256"/>
      <c r="R14" s="256"/>
      <c r="S14" s="256"/>
      <c r="T14" s="256"/>
      <c r="U14" s="256"/>
      <c r="V14" s="256"/>
      <c r="W14" s="256"/>
      <c r="X14" s="256"/>
      <c r="Y14" s="256"/>
      <c r="Z14" s="256"/>
      <c r="AA14" s="256"/>
      <c r="AB14" s="256"/>
      <c r="AC14" s="256"/>
      <c r="AD14" s="256"/>
    </row>
    <row r="15" spans="1:30" x14ac:dyDescent="0.2">
      <c r="A15" s="256"/>
      <c r="B15" s="287"/>
      <c r="C15" s="295" t="s">
        <v>72</v>
      </c>
      <c r="D15" s="290" t="str">
        <f t="shared" si="0"/>
        <v>GBP-15Y=</v>
      </c>
      <c r="E15" s="294" t="s">
        <v>233</v>
      </c>
      <c r="F15" s="293" t="s">
        <v>233</v>
      </c>
      <c r="G15" s="293" t="b">
        <f t="shared" si="1"/>
        <v>0</v>
      </c>
      <c r="H15" s="292" t="e">
        <f>IF($G15,_xll.qlIndexAddFixings($J15,$E15,$F15/100,TRUE,ISERROR($K15)),NA())</f>
        <v>#N/A</v>
      </c>
      <c r="I15" s="282"/>
      <c r="J15" s="291" t="str">
        <f t="shared" si="2"/>
        <v>Gbp-15Y</v>
      </c>
      <c r="K15" s="290" t="e">
        <f>_xll.qlIndexFixing($J15,$E15,TRUE,$G15)</f>
        <v>#NUM!</v>
      </c>
      <c r="L15" s="290" t="e">
        <f>IF($H15,_xll.qlIndexFixing($J15,$E15,FALSE,$G15),"-")</f>
        <v>#N/A</v>
      </c>
      <c r="M15" s="290" t="e">
        <f t="shared" si="3"/>
        <v>#NUM!</v>
      </c>
      <c r="N15" s="289" t="e">
        <f>_xll.qlIndexFixing($J15,$E15,TRUE,$L15)</f>
        <v>#NUM!</v>
      </c>
      <c r="O15" s="332">
        <f t="shared" si="4"/>
        <v>0</v>
      </c>
      <c r="P15" s="277"/>
      <c r="Q15" s="256"/>
      <c r="R15" s="256"/>
      <c r="S15" s="256"/>
      <c r="T15" s="256"/>
      <c r="U15" s="256"/>
      <c r="V15" s="256"/>
      <c r="W15" s="256"/>
      <c r="X15" s="256"/>
      <c r="Y15" s="256"/>
      <c r="Z15" s="256"/>
      <c r="AA15" s="256"/>
      <c r="AB15" s="256"/>
      <c r="AC15" s="256"/>
      <c r="AD15" s="256"/>
    </row>
    <row r="16" spans="1:30" x14ac:dyDescent="0.2">
      <c r="A16" s="256"/>
      <c r="B16" s="287"/>
      <c r="C16" s="295" t="s">
        <v>67</v>
      </c>
      <c r="D16" s="290" t="str">
        <f t="shared" si="0"/>
        <v>GBP-20Y=</v>
      </c>
      <c r="E16" s="294" t="s">
        <v>233</v>
      </c>
      <c r="F16" s="293" t="s">
        <v>233</v>
      </c>
      <c r="G16" s="293" t="b">
        <f t="shared" si="1"/>
        <v>0</v>
      </c>
      <c r="H16" s="292" t="e">
        <f>IF($G16,_xll.qlIndexAddFixings($J16,$E16,$F16/100,TRUE,ISERROR($K16)),NA())</f>
        <v>#N/A</v>
      </c>
      <c r="I16" s="282"/>
      <c r="J16" s="291" t="str">
        <f t="shared" si="2"/>
        <v>Gbp-20Y</v>
      </c>
      <c r="K16" s="290" t="e">
        <f>_xll.qlIndexFixing($J16,$E16,TRUE,$G16)</f>
        <v>#NUM!</v>
      </c>
      <c r="L16" s="290" t="e">
        <f>IF($H16,_xll.qlIndexFixing($J16,$E16,FALSE,$G16),"-")</f>
        <v>#N/A</v>
      </c>
      <c r="M16" s="290" t="e">
        <f t="shared" si="3"/>
        <v>#NUM!</v>
      </c>
      <c r="N16" s="289" t="e">
        <f>_xll.qlIndexFixing($J16,$E16,TRUE,$L16)</f>
        <v>#NUM!</v>
      </c>
      <c r="O16" s="332">
        <f t="shared" si="4"/>
        <v>0</v>
      </c>
      <c r="P16" s="277"/>
      <c r="Q16" s="256"/>
      <c r="R16" s="256"/>
      <c r="S16" s="256"/>
      <c r="T16" s="256"/>
      <c r="U16" s="256"/>
      <c r="V16" s="256"/>
      <c r="W16" s="256"/>
      <c r="X16" s="256"/>
      <c r="Y16" s="256"/>
      <c r="Z16" s="256"/>
      <c r="AA16" s="256"/>
      <c r="AB16" s="256"/>
      <c r="AC16" s="256"/>
      <c r="AD16" s="256"/>
    </row>
    <row r="17" spans="1:30" x14ac:dyDescent="0.2">
      <c r="A17" s="256"/>
      <c r="B17" s="287"/>
      <c r="C17" s="295" t="s">
        <v>62</v>
      </c>
      <c r="D17" s="290" t="str">
        <f t="shared" si="0"/>
        <v>GBP-25Y=</v>
      </c>
      <c r="E17" s="294" t="s">
        <v>233</v>
      </c>
      <c r="F17" s="293" t="s">
        <v>233</v>
      </c>
      <c r="G17" s="293" t="b">
        <f t="shared" si="1"/>
        <v>0</v>
      </c>
      <c r="H17" s="292" t="e">
        <f>IF($G17,_xll.qlIndexAddFixings($J17,$E17,$F17/100,TRUE,ISERROR($K17)),NA())</f>
        <v>#N/A</v>
      </c>
      <c r="I17" s="282"/>
      <c r="J17" s="291" t="str">
        <f t="shared" si="2"/>
        <v>Gbp-25Y</v>
      </c>
      <c r="K17" s="290" t="e">
        <f>_xll.qlIndexFixing($J17,$E17,TRUE,$G17)</f>
        <v>#NUM!</v>
      </c>
      <c r="L17" s="290" t="e">
        <f>IF($H17,_xll.qlIndexFixing($J17,$E17,FALSE,$G17),"-")</f>
        <v>#N/A</v>
      </c>
      <c r="M17" s="290" t="e">
        <f t="shared" si="3"/>
        <v>#NUM!</v>
      </c>
      <c r="N17" s="289" t="e">
        <f>_xll.qlIndexFixing($J17,$E17,TRUE,$L17)</f>
        <v>#NUM!</v>
      </c>
      <c r="O17" s="332">
        <f t="shared" si="4"/>
        <v>0</v>
      </c>
      <c r="P17" s="277"/>
      <c r="Q17" s="256"/>
      <c r="R17" s="256"/>
      <c r="S17" s="256"/>
      <c r="T17" s="256"/>
      <c r="U17" s="256"/>
      <c r="V17" s="256"/>
      <c r="W17" s="256"/>
      <c r="X17" s="256"/>
      <c r="Y17" s="256"/>
      <c r="Z17" s="256"/>
      <c r="AA17" s="256"/>
      <c r="AB17" s="256"/>
      <c r="AC17" s="256"/>
      <c r="AD17" s="256"/>
    </row>
    <row r="18" spans="1:30" x14ac:dyDescent="0.2">
      <c r="A18" s="256"/>
      <c r="B18" s="287"/>
      <c r="C18" s="286" t="s">
        <v>57</v>
      </c>
      <c r="D18" s="280" t="str">
        <f t="shared" si="0"/>
        <v>GBP-30Y=</v>
      </c>
      <c r="E18" s="285" t="s">
        <v>233</v>
      </c>
      <c r="F18" s="284" t="s">
        <v>233</v>
      </c>
      <c r="G18" s="284" t="b">
        <f t="shared" si="1"/>
        <v>0</v>
      </c>
      <c r="H18" s="283" t="e">
        <f>IF($G18,_xll.qlIndexAddFixings($J18,$E18,$F18/100,TRUE,ISERROR($K18)),NA())</f>
        <v>#N/A</v>
      </c>
      <c r="I18" s="282"/>
      <c r="J18" s="281" t="str">
        <f t="shared" si="2"/>
        <v>Gbp-30Y</v>
      </c>
      <c r="K18" s="280" t="e">
        <f>_xll.qlIndexFixing($J18,$E18,TRUE,$G18)</f>
        <v>#NUM!</v>
      </c>
      <c r="L18" s="280" t="e">
        <f>IF($H18,_xll.qlIndexFixing($J18,$E18,FALSE,$G18),"-")</f>
        <v>#N/A</v>
      </c>
      <c r="M18" s="280" t="e">
        <f t="shared" si="3"/>
        <v>#NUM!</v>
      </c>
      <c r="N18" s="279" t="e">
        <f>_xll.qlIndexFixing($J18,$E18,TRUE,$L18)</f>
        <v>#NUM!</v>
      </c>
      <c r="O18" s="331">
        <f t="shared" si="4"/>
        <v>0</v>
      </c>
      <c r="P18" s="277"/>
      <c r="Q18" s="256"/>
      <c r="R18" s="256"/>
      <c r="S18" s="256"/>
      <c r="T18" s="256"/>
      <c r="U18" s="256"/>
      <c r="V18" s="256"/>
      <c r="W18" s="256"/>
      <c r="X18" s="256"/>
      <c r="Y18" s="256"/>
      <c r="Z18" s="256"/>
      <c r="AA18" s="256"/>
      <c r="AB18" s="256"/>
      <c r="AC18" s="256"/>
      <c r="AD18" s="256"/>
    </row>
    <row r="19" spans="1:30" ht="12" thickBot="1" x14ac:dyDescent="0.25">
      <c r="A19" s="256"/>
      <c r="B19" s="274"/>
      <c r="C19" s="272"/>
      <c r="D19" s="272"/>
      <c r="E19" s="272"/>
      <c r="F19" s="272"/>
      <c r="G19" s="272"/>
      <c r="H19" s="272"/>
      <c r="I19" s="271"/>
      <c r="J19" s="271"/>
      <c r="K19" s="271"/>
      <c r="L19" s="271"/>
      <c r="M19" s="271"/>
      <c r="N19" s="271"/>
      <c r="O19" s="271"/>
      <c r="P19" s="270"/>
      <c r="Q19" s="256"/>
      <c r="R19" s="256"/>
      <c r="S19" s="256"/>
      <c r="T19" s="256"/>
      <c r="U19" s="256"/>
      <c r="V19" s="256"/>
      <c r="W19" s="256"/>
      <c r="X19" s="256"/>
      <c r="Y19" s="256"/>
      <c r="Z19" s="256"/>
      <c r="AA19" s="256"/>
      <c r="AB19" s="256"/>
      <c r="AC19" s="256"/>
      <c r="AD19" s="256"/>
    </row>
    <row r="20" spans="1:30" ht="12" thickBot="1" x14ac:dyDescent="0.25">
      <c r="A20" s="256"/>
      <c r="B20" s="256"/>
      <c r="C20" s="256"/>
      <c r="D20" s="256"/>
      <c r="E20" s="269"/>
      <c r="F20" s="268"/>
      <c r="G20" s="268"/>
      <c r="H20" s="256"/>
      <c r="I20" s="256"/>
      <c r="J20" s="256"/>
      <c r="K20" s="256"/>
      <c r="L20" s="256"/>
      <c r="M20" s="256"/>
      <c r="N20" s="256"/>
      <c r="O20" s="256"/>
      <c r="P20" s="256"/>
      <c r="Q20" s="256"/>
      <c r="R20" s="256"/>
      <c r="S20" s="256"/>
      <c r="T20" s="256"/>
      <c r="U20" s="256"/>
      <c r="V20" s="256"/>
      <c r="W20" s="256"/>
      <c r="X20" s="256"/>
      <c r="Y20" s="256"/>
      <c r="Z20" s="256"/>
      <c r="AA20" s="256"/>
      <c r="AB20" s="256"/>
      <c r="AC20" s="256"/>
      <c r="AD20" s="256"/>
    </row>
    <row r="21" spans="1:30" s="256" customFormat="1" x14ac:dyDescent="0.2">
      <c r="C21" s="267" t="s">
        <v>121</v>
      </c>
      <c r="D21" s="266" t="s">
        <v>228</v>
      </c>
      <c r="E21" s="265" t="s">
        <v>228</v>
      </c>
    </row>
    <row r="22" spans="1:30" s="256" customFormat="1" x14ac:dyDescent="0.2">
      <c r="C22" s="262" t="s">
        <v>120</v>
      </c>
      <c r="D22" s="261" t="s">
        <v>260</v>
      </c>
      <c r="E22" s="260" t="s">
        <v>259</v>
      </c>
    </row>
    <row r="23" spans="1:30" s="256" customFormat="1" x14ac:dyDescent="0.2">
      <c r="C23" s="262" t="s">
        <v>230</v>
      </c>
      <c r="D23" s="261" t="s">
        <v>228</v>
      </c>
      <c r="E23" s="260" t="s">
        <v>228</v>
      </c>
    </row>
    <row r="24" spans="1:30" s="256" customFormat="1" x14ac:dyDescent="0.2">
      <c r="C24" s="262" t="s">
        <v>229</v>
      </c>
      <c r="D24" s="261" t="s">
        <v>228</v>
      </c>
      <c r="E24" s="260" t="s">
        <v>228</v>
      </c>
    </row>
    <row r="25" spans="1:30" s="256" customFormat="1" x14ac:dyDescent="0.2">
      <c r="C25" s="262" t="s">
        <v>96</v>
      </c>
      <c r="D25" s="261" t="s">
        <v>228</v>
      </c>
      <c r="E25" s="260" t="s">
        <v>228</v>
      </c>
    </row>
    <row r="26" spans="1:30" s="256" customFormat="1" x14ac:dyDescent="0.2">
      <c r="C26" s="262" t="s">
        <v>117</v>
      </c>
      <c r="D26" s="261" t="s">
        <v>228</v>
      </c>
      <c r="E26" s="260" t="s">
        <v>228</v>
      </c>
    </row>
    <row r="27" spans="1:30" s="256" customFormat="1" ht="12" thickBot="1" x14ac:dyDescent="0.25">
      <c r="C27" s="259" t="s">
        <v>115</v>
      </c>
      <c r="D27" s="330" t="s">
        <v>228</v>
      </c>
      <c r="E27" s="329" t="s">
        <v>228</v>
      </c>
    </row>
    <row r="28" spans="1:30" s="256" customFormat="1" x14ac:dyDescent="0.2"/>
    <row r="29" spans="1:30" s="256" customFormat="1" x14ac:dyDescent="0.2"/>
    <row r="30" spans="1:30" s="256" customFormat="1" x14ac:dyDescent="0.2"/>
    <row r="31" spans="1:30" s="256" customFormat="1" x14ac:dyDescent="0.2"/>
    <row r="32" spans="1:30" s="256" customFormat="1" x14ac:dyDescent="0.2"/>
    <row r="33" s="256" customFormat="1" x14ac:dyDescent="0.2"/>
    <row r="34" s="256" customFormat="1" x14ac:dyDescent="0.2"/>
    <row r="35" s="256" customFormat="1" x14ac:dyDescent="0.2"/>
    <row r="36" s="256" customFormat="1" x14ac:dyDescent="0.2"/>
    <row r="37" s="256" customFormat="1" x14ac:dyDescent="0.2"/>
    <row r="38" s="256"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R11"/>
  <sheetViews>
    <sheetView workbookViewId="0"/>
  </sheetViews>
  <sheetFormatPr defaultRowHeight="13.5" x14ac:dyDescent="0.25"/>
  <cols>
    <col min="1" max="1" width="5" style="161" customWidth="1"/>
    <col min="2" max="2" width="3" style="161" bestFit="1" customWidth="1"/>
    <col min="3" max="4" width="4" style="161" bestFit="1" customWidth="1"/>
    <col min="5" max="5" width="12" style="161" bestFit="1" customWidth="1"/>
    <col min="6" max="6" width="17.28515625" style="161" bestFit="1" customWidth="1"/>
    <col min="7" max="9" width="7" style="161" bestFit="1" customWidth="1"/>
    <col min="10" max="10" width="9" style="161" bestFit="1" customWidth="1"/>
    <col min="11" max="11" width="12.140625" style="161" customWidth="1"/>
    <col min="12" max="12" width="5" style="161" customWidth="1"/>
    <col min="13" max="13" width="7.5703125" style="161" customWidth="1"/>
    <col min="14" max="14" width="5" style="161" customWidth="1"/>
    <col min="15" max="15" width="21.42578125" style="161" bestFit="1" customWidth="1"/>
    <col min="16" max="16" width="10" style="161" bestFit="1" customWidth="1"/>
    <col min="17" max="17" width="8" style="161" bestFit="1" customWidth="1"/>
    <col min="18" max="18" width="5" style="161" customWidth="1"/>
    <col min="19" max="19" width="5.140625" style="161" customWidth="1"/>
    <col min="20" max="16384" width="9.140625" style="161"/>
  </cols>
  <sheetData>
    <row r="1" spans="1:18" x14ac:dyDescent="0.25">
      <c r="A1" s="553" t="s">
        <v>353</v>
      </c>
      <c r="B1" s="190"/>
      <c r="C1" s="190"/>
      <c r="D1" s="190"/>
      <c r="E1" s="190"/>
      <c r="F1" s="190"/>
      <c r="G1" s="190"/>
      <c r="H1" s="190"/>
      <c r="I1" s="190"/>
      <c r="J1" s="190"/>
      <c r="K1" s="190"/>
      <c r="L1" s="190"/>
      <c r="M1" s="190"/>
      <c r="N1" s="190"/>
      <c r="O1" s="190"/>
      <c r="P1" s="190"/>
      <c r="Q1" s="190"/>
      <c r="R1" s="187"/>
    </row>
    <row r="2" spans="1:18" x14ac:dyDescent="0.25">
      <c r="A2" s="552"/>
      <c r="B2" s="549"/>
      <c r="C2" s="549"/>
      <c r="D2" s="549"/>
      <c r="E2" s="549"/>
      <c r="F2" s="550" t="s">
        <v>275</v>
      </c>
      <c r="G2" s="549"/>
      <c r="H2" s="549"/>
      <c r="I2" s="549"/>
      <c r="J2" s="549"/>
      <c r="K2" s="549"/>
      <c r="L2" s="527"/>
      <c r="M2" s="527"/>
      <c r="N2" s="527"/>
      <c r="O2" s="551" t="s">
        <v>287</v>
      </c>
      <c r="P2" s="550" t="s">
        <v>131</v>
      </c>
      <c r="Q2" s="549"/>
      <c r="R2" s="167"/>
    </row>
    <row r="3" spans="1:18" x14ac:dyDescent="0.25">
      <c r="A3" s="172"/>
      <c r="B3" s="527"/>
      <c r="C3" s="549"/>
      <c r="D3" s="549"/>
      <c r="E3" s="549"/>
      <c r="F3" s="549"/>
      <c r="G3" s="549"/>
      <c r="H3" s="549"/>
      <c r="I3" s="549"/>
      <c r="J3" s="549"/>
      <c r="K3" s="549"/>
      <c r="L3" s="527"/>
      <c r="M3" s="527"/>
      <c r="N3" s="527"/>
      <c r="O3" s="549"/>
      <c r="P3" s="549"/>
      <c r="Q3" s="548">
        <f>_xll.ohTrigger(Q5:Q10)</f>
        <v>1</v>
      </c>
      <c r="R3" s="523"/>
    </row>
    <row r="4" spans="1:18" ht="22.5" x14ac:dyDescent="0.25">
      <c r="A4" s="172"/>
      <c r="B4" s="547"/>
      <c r="C4" s="186"/>
      <c r="D4" s="186"/>
      <c r="E4" s="186"/>
      <c r="F4" s="546" t="e">
        <f ca="1">_xll.RData(F5:F10,G4:J4,"RTFEED:IDN",ReutersRtMode,,G5)</f>
        <v>#NAME?</v>
      </c>
      <c r="G4" s="545" t="s">
        <v>291</v>
      </c>
      <c r="H4" s="545" t="s">
        <v>264</v>
      </c>
      <c r="I4" s="545" t="s">
        <v>244</v>
      </c>
      <c r="J4" s="545" t="s">
        <v>329</v>
      </c>
      <c r="K4" s="544" t="s">
        <v>315</v>
      </c>
      <c r="L4" s="527"/>
      <c r="M4" s="543" t="s">
        <v>286</v>
      </c>
      <c r="N4" s="527"/>
      <c r="O4" s="542" t="s">
        <v>241</v>
      </c>
      <c r="P4" s="541" t="s">
        <v>285</v>
      </c>
      <c r="Q4" s="540" t="s">
        <v>284</v>
      </c>
      <c r="R4" s="523"/>
    </row>
    <row r="5" spans="1:18" x14ac:dyDescent="0.25">
      <c r="A5" s="172"/>
      <c r="B5" s="539" t="s">
        <v>328</v>
      </c>
      <c r="C5" s="538" t="s">
        <v>180</v>
      </c>
      <c r="D5" s="538" t="s">
        <v>179</v>
      </c>
      <c r="E5" s="537" t="str">
        <f t="shared" ref="E5:E10" si="0">Currency&amp;$C5&amp;$D5&amp;$B5</f>
        <v>GBPMPCOISM1</v>
      </c>
      <c r="F5" s="537" t="str">
        <f t="array" ref="F5:F10">Instruments&amp;"="&amp;VLOOKUP(Contributor,ContributorTable,2,FALSE)</f>
        <v>GBPMPCOISM1=ICAP</v>
      </c>
      <c r="G5" s="536">
        <v>0.39624999999999999</v>
      </c>
      <c r="H5" s="536">
        <v>0.43625000000000003</v>
      </c>
      <c r="I5" s="536">
        <v>0</v>
      </c>
      <c r="J5" s="536" t="s">
        <v>327</v>
      </c>
      <c r="K5" s="535">
        <f>_xll.qlMidEquivalent($G5,$H5,$I5,$J5)</f>
        <v>0.41625000000000001</v>
      </c>
      <c r="L5" s="527"/>
      <c r="M5" s="534">
        <v>0.40749999999999997</v>
      </c>
      <c r="N5" s="527"/>
      <c r="O5" s="533" t="str">
        <f t="shared" ref="O5:O10" si="1">Currency&amp;$C5&amp;UPPER(TRIM($J5))&amp;$D5&amp;$P$2</f>
        <v>GBPMPCFEB13OIS_Quote</v>
      </c>
      <c r="P5" s="525">
        <f t="array" ref="P5:P10">QuoteLive</f>
        <v>0.41625000000000001</v>
      </c>
      <c r="Q5" s="524" t="e">
        <f>_xll.qlSimpleQuoteSetValue($O5,$P5/100,Trigger)</f>
        <v>#NUM!</v>
      </c>
      <c r="R5" s="523"/>
    </row>
    <row r="6" spans="1:18" x14ac:dyDescent="0.25">
      <c r="A6" s="172"/>
      <c r="B6" s="532" t="s">
        <v>326</v>
      </c>
      <c r="C6" s="531" t="s">
        <v>180</v>
      </c>
      <c r="D6" s="531" t="s">
        <v>179</v>
      </c>
      <c r="E6" s="530" t="str">
        <f t="shared" si="0"/>
        <v>GBPMPCOISM2</v>
      </c>
      <c r="F6" s="530" t="str">
        <v>GBPMPCOISM2=ICAP</v>
      </c>
      <c r="G6" s="525">
        <v>0.39</v>
      </c>
      <c r="H6" s="525">
        <v>0.43</v>
      </c>
      <c r="I6" s="525">
        <v>0</v>
      </c>
      <c r="J6" s="525" t="s">
        <v>325</v>
      </c>
      <c r="K6" s="529">
        <f>_xll.qlMidEquivalent($G6,$H6,$I6,$J6)</f>
        <v>0.41000000000000003</v>
      </c>
      <c r="L6" s="527"/>
      <c r="M6" s="528">
        <v>0.39750000000000002</v>
      </c>
      <c r="N6" s="527"/>
      <c r="O6" s="526" t="str">
        <f t="shared" si="1"/>
        <v>GBPMPCMAR13OIS_Quote</v>
      </c>
      <c r="P6" s="525">
        <v>0.41000000000000003</v>
      </c>
      <c r="Q6" s="524" t="e">
        <f>_xll.qlSimpleQuoteSetValue($O6,$P6/100,Trigger)</f>
        <v>#NUM!</v>
      </c>
      <c r="R6" s="523"/>
    </row>
    <row r="7" spans="1:18" x14ac:dyDescent="0.25">
      <c r="A7" s="172"/>
      <c r="B7" s="532" t="s">
        <v>324</v>
      </c>
      <c r="C7" s="531" t="s">
        <v>180</v>
      </c>
      <c r="D7" s="531" t="s">
        <v>179</v>
      </c>
      <c r="E7" s="530" t="str">
        <f t="shared" si="0"/>
        <v>GBPMPCOISM3</v>
      </c>
      <c r="F7" s="530" t="str">
        <v>GBPMPCOISM3=ICAP</v>
      </c>
      <c r="G7" s="525">
        <v>0.38124999999999998</v>
      </c>
      <c r="H7" s="525">
        <v>0.42125000000000001</v>
      </c>
      <c r="I7" s="525">
        <v>0</v>
      </c>
      <c r="J7" s="525" t="s">
        <v>323</v>
      </c>
      <c r="K7" s="529">
        <f>_xll.qlMidEquivalent($G7,$H7,$I7,$J7)</f>
        <v>0.40125</v>
      </c>
      <c r="L7" s="527"/>
      <c r="M7" s="528">
        <v>0.38250000000000001</v>
      </c>
      <c r="N7" s="527"/>
      <c r="O7" s="526" t="str">
        <f t="shared" si="1"/>
        <v>GBPMPCAPR13OIS_Quote</v>
      </c>
      <c r="P7" s="525">
        <v>0.40125</v>
      </c>
      <c r="Q7" s="524" t="e">
        <f>_xll.qlSimpleQuoteSetValue($O7,$P7/100,Trigger)</f>
        <v>#NUM!</v>
      </c>
      <c r="R7" s="523"/>
    </row>
    <row r="8" spans="1:18" x14ac:dyDescent="0.25">
      <c r="A8" s="172"/>
      <c r="B8" s="532" t="s">
        <v>322</v>
      </c>
      <c r="C8" s="531" t="s">
        <v>180</v>
      </c>
      <c r="D8" s="531" t="s">
        <v>179</v>
      </c>
      <c r="E8" s="530" t="str">
        <f t="shared" si="0"/>
        <v>GBPMPCOISM4</v>
      </c>
      <c r="F8" s="530" t="str">
        <v>GBPMPCOISM4=ICAP</v>
      </c>
      <c r="G8" s="525">
        <v>0.37</v>
      </c>
      <c r="H8" s="525">
        <v>0.41</v>
      </c>
      <c r="I8" s="525">
        <v>0</v>
      </c>
      <c r="J8" s="525" t="s">
        <v>321</v>
      </c>
      <c r="K8" s="529">
        <f>_xll.qlMidEquivalent($G8,$H8,$I8,$J8)</f>
        <v>0.39</v>
      </c>
      <c r="L8" s="527"/>
      <c r="M8" s="528">
        <v>0.375</v>
      </c>
      <c r="N8" s="527"/>
      <c r="O8" s="526" t="str">
        <f t="shared" si="1"/>
        <v>GBPMPCMAY13OIS_Quote</v>
      </c>
      <c r="P8" s="525">
        <v>0.39</v>
      </c>
      <c r="Q8" s="524" t="e">
        <f>_xll.qlSimpleQuoteSetValue($O8,$P8/100,Trigger)</f>
        <v>#NUM!</v>
      </c>
      <c r="R8" s="523"/>
    </row>
    <row r="9" spans="1:18" x14ac:dyDescent="0.25">
      <c r="A9" s="172"/>
      <c r="B9" s="532" t="s">
        <v>320</v>
      </c>
      <c r="C9" s="531" t="s">
        <v>180</v>
      </c>
      <c r="D9" s="531" t="s">
        <v>179</v>
      </c>
      <c r="E9" s="530" t="str">
        <f t="shared" si="0"/>
        <v>GBPMPCOISM5</v>
      </c>
      <c r="F9" s="530" t="str">
        <v>GBPMPCOISM5=ICAP</v>
      </c>
      <c r="G9" s="525">
        <v>0.36125000000000002</v>
      </c>
      <c r="H9" s="525">
        <v>0.40125</v>
      </c>
      <c r="I9" s="525">
        <v>0</v>
      </c>
      <c r="J9" s="525" t="s">
        <v>319</v>
      </c>
      <c r="K9" s="529">
        <f>_xll.qlMidEquivalent($G9,$H9,$I9,$J9)</f>
        <v>0.38124999999999998</v>
      </c>
      <c r="L9" s="527"/>
      <c r="M9" s="528">
        <v>0.36</v>
      </c>
      <c r="N9" s="527"/>
      <c r="O9" s="526" t="str">
        <f t="shared" si="1"/>
        <v>GBPMPCJUN13OIS_Quote</v>
      </c>
      <c r="P9" s="525">
        <v>0.38124999999999998</v>
      </c>
      <c r="Q9" s="524" t="e">
        <f>_xll.qlSimpleQuoteSetValue($O9,$P9/100,Trigger)</f>
        <v>#NUM!</v>
      </c>
      <c r="R9" s="523"/>
    </row>
    <row r="10" spans="1:18" x14ac:dyDescent="0.25">
      <c r="A10" s="172"/>
      <c r="B10" s="532" t="s">
        <v>318</v>
      </c>
      <c r="C10" s="531" t="s">
        <v>180</v>
      </c>
      <c r="D10" s="531" t="s">
        <v>179</v>
      </c>
      <c r="E10" s="530" t="str">
        <f t="shared" si="0"/>
        <v>GBPMPCOISM6</v>
      </c>
      <c r="F10" s="530" t="str">
        <v>GBPMPCOISM6=ICAP</v>
      </c>
      <c r="G10" s="525">
        <v>0.36</v>
      </c>
      <c r="H10" s="525">
        <v>0.4</v>
      </c>
      <c r="I10" s="525">
        <v>0</v>
      </c>
      <c r="J10" s="525" t="s">
        <v>317</v>
      </c>
      <c r="K10" s="529">
        <f>_xll.qlMidEquivalent($G10,$H10,$I10,$J10)</f>
        <v>0.38</v>
      </c>
      <c r="L10" s="527"/>
      <c r="M10" s="528">
        <v>0.34499999999999997</v>
      </c>
      <c r="N10" s="527"/>
      <c r="O10" s="526" t="str">
        <f t="shared" si="1"/>
        <v>GBPMPCJUL13OIS_Quote</v>
      </c>
      <c r="P10" s="525">
        <v>0.38</v>
      </c>
      <c r="Q10" s="524" t="e">
        <f>_xll.qlSimpleQuoteSetValue($O10,$P10/100,Trigger)</f>
        <v>#NUM!</v>
      </c>
      <c r="R10" s="523"/>
    </row>
    <row r="11" spans="1:18" ht="14.25" thickBot="1" x14ac:dyDescent="0.3">
      <c r="A11" s="166"/>
      <c r="B11" s="522"/>
      <c r="C11" s="522"/>
      <c r="D11" s="522"/>
      <c r="E11" s="522"/>
      <c r="F11" s="522"/>
      <c r="G11" s="522"/>
      <c r="H11" s="522"/>
      <c r="I11" s="522"/>
      <c r="J11" s="522"/>
      <c r="K11" s="522"/>
      <c r="L11" s="165"/>
      <c r="M11" s="522"/>
      <c r="N11" s="165"/>
      <c r="O11" s="522"/>
      <c r="P11" s="522"/>
      <c r="Q11" s="522"/>
      <c r="R11" s="521"/>
    </row>
  </sheetData>
  <conditionalFormatting sqref="Q5:Q10">
    <cfRule type="cellIs" dxfId="3" priority="1" stopIfTrue="1" operator="greaterThan">
      <formula>0</formula>
    </cfRule>
    <cfRule type="cellIs" dxfId="2"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R11"/>
  <sheetViews>
    <sheetView workbookViewId="0"/>
  </sheetViews>
  <sheetFormatPr defaultRowHeight="12.75" x14ac:dyDescent="0.2"/>
  <cols>
    <col min="1" max="1" width="5" style="63" customWidth="1"/>
    <col min="2" max="2" width="3.7109375" style="63" bestFit="1" customWidth="1"/>
    <col min="3" max="3" width="1.85546875" style="63" bestFit="1" customWidth="1"/>
    <col min="4" max="4" width="2.85546875" style="63" bestFit="1" customWidth="1"/>
    <col min="5" max="5" width="9.42578125" style="63" bestFit="1" customWidth="1"/>
    <col min="6" max="6" width="13.7109375" style="63" bestFit="1" customWidth="1"/>
    <col min="7" max="9" width="5.7109375" style="63" bestFit="1" customWidth="1"/>
    <col min="10" max="10" width="10" style="63" bestFit="1" customWidth="1"/>
    <col min="11" max="11" width="9" style="63" customWidth="1"/>
    <col min="12" max="12" width="5" style="63" customWidth="1"/>
    <col min="13" max="13" width="5.7109375" style="63" bestFit="1" customWidth="1"/>
    <col min="14" max="14" width="5" style="63" customWidth="1"/>
    <col min="15" max="15" width="14.5703125" style="63" bestFit="1" customWidth="1"/>
    <col min="16" max="16" width="7.7109375" style="63" bestFit="1" customWidth="1"/>
    <col min="17" max="17" width="7" style="63" bestFit="1" customWidth="1"/>
    <col min="18" max="18" width="5" style="63" customWidth="1"/>
    <col min="19" max="19" width="5.140625" style="63" customWidth="1"/>
    <col min="20" max="16384" width="9.140625" style="63"/>
  </cols>
  <sheetData>
    <row r="1" spans="1:18" x14ac:dyDescent="0.2">
      <c r="A1" s="411" t="s">
        <v>353</v>
      </c>
      <c r="B1" s="201"/>
      <c r="C1" s="201"/>
      <c r="D1" s="201"/>
      <c r="E1" s="201"/>
      <c r="F1" s="201"/>
      <c r="G1" s="201"/>
      <c r="H1" s="201"/>
      <c r="I1" s="201"/>
      <c r="J1" s="201"/>
      <c r="K1" s="201"/>
      <c r="L1" s="201"/>
      <c r="M1" s="201"/>
      <c r="N1" s="201"/>
      <c r="O1" s="201"/>
      <c r="P1" s="201"/>
      <c r="Q1" s="201"/>
      <c r="R1" s="198"/>
    </row>
    <row r="2" spans="1:18" x14ac:dyDescent="0.2">
      <c r="A2" s="374"/>
      <c r="B2" s="133"/>
      <c r="C2" s="133"/>
      <c r="D2" s="133"/>
      <c r="E2" s="133"/>
      <c r="F2" s="140" t="s">
        <v>275</v>
      </c>
      <c r="G2" s="133"/>
      <c r="H2" s="133"/>
      <c r="I2" s="133"/>
      <c r="J2" s="133"/>
      <c r="K2" s="133"/>
      <c r="L2" s="342"/>
      <c r="M2" s="342"/>
      <c r="N2" s="342"/>
      <c r="O2" s="520" t="s">
        <v>287</v>
      </c>
      <c r="P2" s="519" t="s">
        <v>131</v>
      </c>
      <c r="Q2" s="133"/>
      <c r="R2" s="33"/>
    </row>
    <row r="3" spans="1:18" x14ac:dyDescent="0.2">
      <c r="A3" s="118"/>
      <c r="B3" s="342"/>
      <c r="C3" s="133"/>
      <c r="D3" s="133"/>
      <c r="E3" s="133"/>
      <c r="F3" s="133"/>
      <c r="G3" s="133"/>
      <c r="H3" s="133"/>
      <c r="I3" s="133"/>
      <c r="J3" s="133"/>
      <c r="K3" s="133"/>
      <c r="L3" s="342"/>
      <c r="M3" s="342"/>
      <c r="N3" s="342"/>
      <c r="O3" s="133"/>
      <c r="P3" s="133"/>
      <c r="Q3" s="453">
        <f>_xll.ohTrigger(Q5:Q10)</f>
        <v>0</v>
      </c>
      <c r="R3" s="218"/>
    </row>
    <row r="4" spans="1:18" ht="22.5" x14ac:dyDescent="0.2">
      <c r="A4" s="118"/>
      <c r="B4" s="494"/>
      <c r="C4" s="196"/>
      <c r="D4" s="196"/>
      <c r="E4" s="196"/>
      <c r="F4" s="370" t="e">
        <f ca="1">_xll.RData(F5:F10,G4:J4,"RTFEED:IDN",ReutersRtMode,,G5)</f>
        <v>#NAME?</v>
      </c>
      <c r="G4" s="409" t="s">
        <v>291</v>
      </c>
      <c r="H4" s="409" t="s">
        <v>264</v>
      </c>
      <c r="I4" s="409" t="s">
        <v>244</v>
      </c>
      <c r="J4" s="409" t="s">
        <v>290</v>
      </c>
      <c r="K4" s="366" t="s">
        <v>315</v>
      </c>
      <c r="L4" s="342"/>
      <c r="M4" s="368" t="s">
        <v>286</v>
      </c>
      <c r="N4" s="342"/>
      <c r="O4" s="367" t="s">
        <v>241</v>
      </c>
      <c r="P4" s="493" t="s">
        <v>285</v>
      </c>
      <c r="Q4" s="91" t="s">
        <v>284</v>
      </c>
      <c r="R4" s="218"/>
    </row>
    <row r="5" spans="1:18" x14ac:dyDescent="0.2">
      <c r="A5" s="118"/>
      <c r="B5" s="400" t="s">
        <v>207</v>
      </c>
      <c r="C5" s="399" t="s">
        <v>331</v>
      </c>
      <c r="D5" s="399" t="s">
        <v>337</v>
      </c>
      <c r="E5" s="397" t="str">
        <f t="shared" ref="E5:E10" si="0">Currency&amp;$C5&amp;$D5&amp;$B5</f>
        <v>GBPE1X2S</v>
      </c>
      <c r="F5" s="397" t="str">
        <f t="array" ref="F5:F10">Instruments&amp;"="&amp;VLOOKUP(Contributor,ContributorTable,2,FALSE)</f>
        <v>GBPE1X2S=ICAP</v>
      </c>
      <c r="G5" s="359" t="s">
        <v>233</v>
      </c>
      <c r="H5" s="359" t="s">
        <v>233</v>
      </c>
      <c r="I5" s="359" t="s">
        <v>233</v>
      </c>
      <c r="J5" s="359" t="s">
        <v>233</v>
      </c>
      <c r="K5" s="361" t="e">
        <f>_xll.qlMidEquivalent($G5,$H5,$I5,$J5)</f>
        <v>#NUM!</v>
      </c>
      <c r="L5" s="342"/>
      <c r="M5" s="518" t="e">
        <v>#NUM!</v>
      </c>
      <c r="N5" s="342"/>
      <c r="O5" s="404" t="str">
        <f t="shared" ref="O5:O10" si="1">$E5&amp;$P$2</f>
        <v>GBPE1X2S_Quote</v>
      </c>
      <c r="P5" s="359" t="e">
        <f t="array" ref="P5:P10">QuoteLive</f>
        <v>#NUM!</v>
      </c>
      <c r="Q5" s="358"/>
      <c r="R5" s="218"/>
    </row>
    <row r="6" spans="1:18" x14ac:dyDescent="0.2">
      <c r="A6" s="118"/>
      <c r="B6" s="393" t="s">
        <v>208</v>
      </c>
      <c r="C6" s="396" t="s">
        <v>331</v>
      </c>
      <c r="D6" s="396" t="s">
        <v>337</v>
      </c>
      <c r="E6" s="394" t="str">
        <f t="shared" si="0"/>
        <v>GBPE1X4S</v>
      </c>
      <c r="F6" s="394" t="str">
        <v>GBPE1X4S=ICAP</v>
      </c>
      <c r="G6" s="348" t="s">
        <v>233</v>
      </c>
      <c r="H6" s="348" t="s">
        <v>233</v>
      </c>
      <c r="I6" s="348" t="s">
        <v>233</v>
      </c>
      <c r="J6" s="348" t="s">
        <v>233</v>
      </c>
      <c r="K6" s="350" t="e">
        <f>_xll.qlMidEquivalent($G6,$H6,$I6,$J6)</f>
        <v>#NUM!</v>
      </c>
      <c r="L6" s="342"/>
      <c r="M6" s="491" t="e">
        <v>#NUM!</v>
      </c>
      <c r="N6" s="342"/>
      <c r="O6" s="388" t="str">
        <f t="shared" si="1"/>
        <v>GBPE1X4S_Quote</v>
      </c>
      <c r="P6" s="348" t="e">
        <v>#NUM!</v>
      </c>
      <c r="Q6" s="347"/>
      <c r="R6" s="218"/>
    </row>
    <row r="7" spans="1:18" x14ac:dyDescent="0.2">
      <c r="A7" s="118"/>
      <c r="B7" s="393" t="s">
        <v>209</v>
      </c>
      <c r="C7" s="396" t="s">
        <v>331</v>
      </c>
      <c r="D7" s="396" t="s">
        <v>335</v>
      </c>
      <c r="E7" s="394" t="str">
        <f t="shared" si="0"/>
        <v>GBPE2X3S</v>
      </c>
      <c r="F7" s="394" t="str">
        <v>GBPE2X3S=ICAP</v>
      </c>
      <c r="G7" s="348" t="s">
        <v>233</v>
      </c>
      <c r="H7" s="348" t="s">
        <v>233</v>
      </c>
      <c r="I7" s="348" t="s">
        <v>233</v>
      </c>
      <c r="J7" s="348" t="s">
        <v>233</v>
      </c>
      <c r="K7" s="350" t="e">
        <f>_xll.qlMidEquivalent($G7,$H7,$I7,$J7)</f>
        <v>#NUM!</v>
      </c>
      <c r="L7" s="342"/>
      <c r="M7" s="491" t="e">
        <v>#NUM!</v>
      </c>
      <c r="N7" s="342"/>
      <c r="O7" s="388" t="str">
        <f t="shared" si="1"/>
        <v>GBPE2X3S_Quote</v>
      </c>
      <c r="P7" s="348" t="e">
        <v>#NUM!</v>
      </c>
      <c r="Q7" s="347"/>
      <c r="R7" s="218"/>
    </row>
    <row r="8" spans="1:18" x14ac:dyDescent="0.2">
      <c r="A8" s="118"/>
      <c r="B8" s="393" t="s">
        <v>336</v>
      </c>
      <c r="C8" s="396" t="s">
        <v>331</v>
      </c>
      <c r="D8" s="396" t="s">
        <v>335</v>
      </c>
      <c r="E8" s="394" t="str">
        <f t="shared" si="0"/>
        <v>GBPE2X5S</v>
      </c>
      <c r="F8" s="394" t="str">
        <v>GBPE2X5S=ICAP</v>
      </c>
      <c r="G8" s="348" t="s">
        <v>233</v>
      </c>
      <c r="H8" s="348" t="s">
        <v>233</v>
      </c>
      <c r="I8" s="348" t="s">
        <v>233</v>
      </c>
      <c r="J8" s="348" t="s">
        <v>233</v>
      </c>
      <c r="K8" s="350" t="e">
        <f>_xll.qlMidEquivalent($G8,$H8,$I8,$J8)</f>
        <v>#NUM!</v>
      </c>
      <c r="L8" s="342"/>
      <c r="M8" s="491" t="e">
        <v>#NUM!</v>
      </c>
      <c r="N8" s="342"/>
      <c r="O8" s="388" t="str">
        <f t="shared" si="1"/>
        <v>GBPE2X5S_Quote</v>
      </c>
      <c r="P8" s="348" t="e">
        <v>#NUM!</v>
      </c>
      <c r="Q8" s="347"/>
      <c r="R8" s="218"/>
    </row>
    <row r="9" spans="1:18" x14ac:dyDescent="0.2">
      <c r="A9" s="118"/>
      <c r="B9" s="393" t="s">
        <v>334</v>
      </c>
      <c r="C9" s="396" t="s">
        <v>331</v>
      </c>
      <c r="D9" s="396" t="s">
        <v>333</v>
      </c>
      <c r="E9" s="394" t="str">
        <f t="shared" si="0"/>
        <v>GBPE3X6S</v>
      </c>
      <c r="F9" s="394" t="str">
        <v>GBPE3X6S=ICAP</v>
      </c>
      <c r="G9" s="348" t="s">
        <v>233</v>
      </c>
      <c r="H9" s="348" t="s">
        <v>233</v>
      </c>
      <c r="I9" s="348" t="s">
        <v>233</v>
      </c>
      <c r="J9" s="348" t="s">
        <v>233</v>
      </c>
      <c r="K9" s="350" t="e">
        <f>_xll.qlMidEquivalent($G9,$H9,$I9,$J9)</f>
        <v>#NUM!</v>
      </c>
      <c r="L9" s="342"/>
      <c r="M9" s="491" t="e">
        <v>#NUM!</v>
      </c>
      <c r="N9" s="342"/>
      <c r="O9" s="388" t="str">
        <f t="shared" si="1"/>
        <v>GBPE3X6S_Quote</v>
      </c>
      <c r="P9" s="348" t="e">
        <v>#NUM!</v>
      </c>
      <c r="Q9" s="347"/>
      <c r="R9" s="218"/>
    </row>
    <row r="10" spans="1:18" x14ac:dyDescent="0.2">
      <c r="A10" s="118"/>
      <c r="B10" s="403" t="s">
        <v>332</v>
      </c>
      <c r="C10" s="392" t="s">
        <v>331</v>
      </c>
      <c r="D10" s="392" t="s">
        <v>330</v>
      </c>
      <c r="E10" s="390" t="str">
        <f t="shared" si="0"/>
        <v>GBPE6X12S</v>
      </c>
      <c r="F10" s="390" t="str">
        <v>GBPE6X12S=ICAP</v>
      </c>
      <c r="G10" s="341" t="s">
        <v>233</v>
      </c>
      <c r="H10" s="341" t="s">
        <v>233</v>
      </c>
      <c r="I10" s="341" t="s">
        <v>233</v>
      </c>
      <c r="J10" s="341" t="s">
        <v>233</v>
      </c>
      <c r="K10" s="344" t="e">
        <f>_xll.qlMidEquivalent($G10,$H10,$I10,$J10)</f>
        <v>#NUM!</v>
      </c>
      <c r="L10" s="342"/>
      <c r="M10" s="489" t="e">
        <v>#NUM!</v>
      </c>
      <c r="N10" s="342"/>
      <c r="O10" s="401" t="str">
        <f t="shared" si="1"/>
        <v>GBPE6X12S_Quote</v>
      </c>
      <c r="P10" s="341" t="e">
        <v>#NUM!</v>
      </c>
      <c r="Q10" s="340"/>
      <c r="R10" s="218"/>
    </row>
    <row r="11" spans="1:18" ht="13.5" thickBot="1" x14ac:dyDescent="0.25">
      <c r="A11" s="32"/>
      <c r="B11" s="31"/>
      <c r="C11" s="31"/>
      <c r="D11" s="31"/>
      <c r="E11" s="31"/>
      <c r="F11" s="31"/>
      <c r="G11" s="31"/>
      <c r="H11" s="31"/>
      <c r="I11" s="31"/>
      <c r="J11" s="31"/>
      <c r="K11" s="31"/>
      <c r="L11" s="31"/>
      <c r="M11" s="31"/>
      <c r="N11" s="31"/>
      <c r="O11" s="31"/>
      <c r="P11" s="31"/>
      <c r="Q11" s="31"/>
      <c r="R11" s="378"/>
    </row>
  </sheetData>
  <conditionalFormatting sqref="Q5:Q10">
    <cfRule type="cellIs" dxfId="1" priority="1" stopIfTrue="1" operator="greaterThan">
      <formula>0</formula>
    </cfRule>
    <cfRule type="cellIs" dxfId="0"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117</vt:i4>
      </vt:variant>
    </vt:vector>
  </HeadingPairs>
  <TitlesOfParts>
    <vt:vector size="149" baseType="lpstr">
      <vt:lpstr>General Settings</vt:lpstr>
      <vt:lpstr>GBP</vt:lpstr>
      <vt:lpstr>Libor</vt:lpstr>
      <vt:lpstr>LiborSwapIsda</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1M</vt:lpstr>
      <vt:lpstr>3M</vt:lpstr>
      <vt:lpstr>6M</vt:lpstr>
      <vt:lpstr>1Y</vt:lpstr>
      <vt:lpstr>1M (2)</vt:lpstr>
      <vt:lpstr>3M (2)</vt:lpstr>
      <vt:lpstr>6M (2)</vt:lpstr>
      <vt:lpstr>1Y (2)</vt:lpstr>
      <vt:lpstr>IBOR</vt:lpstr>
      <vt:lpstr>IB365</vt:lpstr>
      <vt:lpstr>SFIX2</vt:lpstr>
      <vt:lpstr>SFIX3</vt:lpstr>
      <vt:lpstr>MPCOIS</vt:lpstr>
      <vt:lpstr>FwdOIS</vt:lpstr>
      <vt:lpstr>BasisSwap1MxM!Contributor</vt:lpstr>
      <vt:lpstr>BasisSwap3M6M!Contributor</vt:lpstr>
      <vt:lpstr>BasisSwapxM12M!Contributor</vt:lpstr>
      <vt:lpstr>Deposits!Contributor</vt:lpstr>
      <vt:lpstr>FRA!Contributor</vt:lpstr>
      <vt:lpstr>FuturesHWConvAdj!Contributor</vt:lpstr>
      <vt:lpstr>FwdOIS!Contributor</vt:lpstr>
      <vt:lpstr>'ImmFra6M '!Contributor</vt:lpstr>
      <vt:lpstr>MPCOIS!Contributor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FwdOIS!Counter</vt:lpstr>
      <vt:lpstr>MPCOIS!Counter</vt:lpstr>
      <vt:lpstr>Counter</vt:lpstr>
      <vt:lpstr>GBP!Currency</vt:lpstr>
      <vt:lpstr>Currency</vt:lpstr>
      <vt:lpstr>Discounting</vt:lpstr>
      <vt:lpstr>Discounting2</vt:lpstr>
      <vt:lpstr>EvaluationDate</vt:lpstr>
      <vt:lpstr>LiborSwapIsda!FamilyName</vt:lpstr>
      <vt:lpstr>FamilyName</vt:lpstr>
      <vt:lpstr>Libor!FileName</vt:lpstr>
      <vt:lpstr>LiborSwapIsda!FileName</vt:lpstr>
      <vt:lpstr>FileOverwrite</vt:lpstr>
      <vt:lpstr>FixingType</vt:lpstr>
      <vt:lpstr>Futures1M!FuturesCodes</vt:lpstr>
      <vt:lpstr>Futures3M!FuturesCodes</vt:lpstr>
      <vt:lpstr>'ImmFra6M '!FuturesCodes</vt:lpstr>
      <vt:lpstr>Futures1M!FuturesDates</vt:lpstr>
      <vt:lpstr>Futures3M!FuturesDates</vt:lpstr>
      <vt:lpstr>'ImmFra6M '!FuturesDates</vt:lpstr>
      <vt:lpstr>Futures1M!IborIndex</vt:lpstr>
      <vt:lpstr>Futures3M!IborIndex</vt:lpstr>
      <vt:lpstr>BasisSwap1MxM!Instruments</vt:lpstr>
      <vt:lpstr>BasisSwap3M6M!Instruments</vt:lpstr>
      <vt:lpstr>BasisSwapxM12M!Instruments</vt:lpstr>
      <vt:lpstr>FRA!Instruments</vt:lpstr>
      <vt:lpstr>FwdOIS!Instruments</vt:lpstr>
      <vt:lpstr>MPCOIS!Instruments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Futures1M!MeanReversion</vt:lpstr>
      <vt:lpstr>Futures3M!MeanReversion</vt:lpstr>
      <vt:lpstr>'1M'!Months</vt:lpstr>
      <vt:lpstr>'1Y'!Months</vt:lpstr>
      <vt:lpstr>'3M'!Months</vt:lpstr>
      <vt:lpstr>'6M'!Months</vt:lpstr>
      <vt:lpstr>ObjectOverwrite</vt:lpstr>
      <vt:lpstr>Permanent</vt:lpstr>
      <vt:lpstr>PriceTickValue</vt:lpstr>
      <vt:lpstr>FwdOIS!Quote</vt:lpstr>
      <vt:lpstr>MPCOIS!Quote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FwdOIS!QuoteLive</vt:lpstr>
      <vt:lpstr>'ImmFra6M '!QuoteLive</vt:lpstr>
      <vt:lpstr>MPCOIS!QuoteLive</vt:lpstr>
      <vt:lpstr>OIS!QuoteLive</vt:lpstr>
      <vt:lpstr>Swap3M!QuoteLive</vt:lpstr>
      <vt:lpstr>Swap6M!QuoteLive</vt:lpstr>
      <vt:lpstr>Swaps1M!QuoteLive</vt:lpstr>
      <vt:lpstr>SwapsIMMDated!QuoteLive</vt:lpstr>
      <vt:lpstr>'1M'!QuoteStatic</vt:lpstr>
      <vt:lpstr>BasisSwap1MxM!QuoteStatic</vt:lpstr>
      <vt:lpstr>Deposits!QuoteStatic</vt:lpstr>
      <vt:lpstr>FwdOIS!QuoteStatic</vt:lpstr>
      <vt:lpstr>MPCOIS!QuoteStatic</vt:lpstr>
      <vt:lpstr>Swap6M!QuoteStatic</vt:lpstr>
      <vt:lpstr>Swaps1M!QuoteStatic</vt:lpstr>
      <vt:lpstr>'1M'!QuoteStatic2</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'IB365'!Traits</vt:lpstr>
      <vt:lpstr>IBOR!Traits</vt:lpstr>
      <vt:lpstr>Libor!Traits</vt:lpstr>
      <vt:lpstr>LiborSwapIsda!Traits</vt:lpstr>
      <vt:lpstr>SFIX2!Traits</vt:lpstr>
      <vt:lpstr>SFIX3!Traits</vt:lpstr>
      <vt:lpstr>Trigger</vt:lpstr>
      <vt:lpstr>TriggerCounter</vt:lpstr>
      <vt:lpstr>Futures1M!Volatility</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2013-11-28T21:46:17Z</dcterms:created>
  <dcterms:modified xsi:type="dcterms:W3CDTF">2014-01-14T10:32:46Z</dcterms:modified>
</cp:coreProperties>
</file>
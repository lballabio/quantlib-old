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02" firstSheet="10" activeTab="18"/>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2" sheetId="43" r:id="rId31"/>
    <sheet name="SFIX3" sheetId="44" r:id="rId32"/>
    <sheet name="MPCOIS" sheetId="60" r:id="rId33"/>
    <sheet name="FwdOIS" sheetId="61" r:id="rId34"/>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3">FwdOIS!$F$2</definedName>
    <definedName name="Contributor" localSheetId="11">'ImmFra6M '!$O$2</definedName>
    <definedName name="Contributor" localSheetId="32">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3">FwdOIS!$Q$3</definedName>
    <definedName name="Counter" localSheetId="32">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3">FwdOIS!$E$5:$E$10</definedName>
    <definedName name="Instruments" localSheetId="32">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3">FwdOIS!$P$5:$P$10</definedName>
    <definedName name="Quote" localSheetId="32">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3">FwdOIS!$K$5:$K$10</definedName>
    <definedName name="QuoteLive" localSheetId="11">'ImmFra6M '!$U$6:$U$9</definedName>
    <definedName name="QuoteLive" localSheetId="32">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4">BasisSwap1MxM!$Z$5:$Z$42</definedName>
    <definedName name="QuoteStatic" localSheetId="33">FwdOIS!$M$5:$M$10</definedName>
    <definedName name="QuoteStatic" localSheetId="32">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LiborSwapIsda!$N$24:$P$30</definedName>
    <definedName name="Traits" localSheetId="30">SFIX2!$C$21:$E$27</definedName>
    <definedName name="Traits" localSheetId="31">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P5" i="61" l="1" a="1"/>
  <c r="P5" i="61" s="1"/>
  <c r="P5" i="60" a="1"/>
  <c r="P5" i="60" s="1"/>
  <c r="P10" i="61" l="1"/>
  <c r="P9" i="61"/>
  <c r="P8" i="61"/>
  <c r="P7" i="61"/>
  <c r="P6" i="61"/>
  <c r="P10" i="60"/>
  <c r="P9" i="60"/>
  <c r="P8" i="60"/>
  <c r="P7" i="60"/>
  <c r="P6" i="60"/>
  <c r="X11" i="26"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S8" i="5"/>
  <c r="V9" i="5"/>
  <c r="W7"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W8" i="5"/>
  <c r="V10" i="5"/>
  <c r="V17" i="5"/>
  <c r="V20" i="5"/>
  <c r="S9" i="5"/>
  <c r="V16" i="5"/>
  <c r="V11" i="5"/>
  <c r="V13" i="5"/>
  <c r="V15" i="5"/>
  <c r="V19" i="5"/>
  <c r="V21" i="5"/>
  <c r="V12" i="5"/>
  <c r="V18" i="5"/>
  <c r="Y7" i="5"/>
  <c r="V14" i="5"/>
  <c r="X8" i="5" l="1"/>
  <c r="Z8" i="5" s="1"/>
  <c r="Q3" i="4"/>
  <c r="Q5" i="4" s="1"/>
  <c r="W3" i="4"/>
  <c r="W6" i="4" s="1"/>
  <c r="T5" i="4"/>
  <c r="T6" i="4"/>
  <c r="U6" i="4" s="1"/>
  <c r="S19" i="5"/>
  <c r="S16" i="5"/>
  <c r="S11" i="5"/>
  <c r="W9" i="5"/>
  <c r="S21" i="5"/>
  <c r="S14" i="5"/>
  <c r="S17" i="5"/>
  <c r="S12" i="5"/>
  <c r="S15" i="5"/>
  <c r="X6" i="4"/>
  <c r="S20" i="5"/>
  <c r="S18" i="5"/>
  <c r="S10" i="5"/>
  <c r="Y8" i="5"/>
  <c r="S13" i="5"/>
  <c r="Q4" i="4"/>
  <c r="X9" i="5" l="1"/>
  <c r="Z9" i="5" s="1"/>
  <c r="Q6" i="4"/>
  <c r="W5" i="4"/>
  <c r="Y6" i="4"/>
  <c r="Z6" i="4" s="1"/>
  <c r="Q7" i="4"/>
  <c r="T7" i="4"/>
  <c r="U7" i="4" s="1"/>
  <c r="Y7" i="4" s="1"/>
  <c r="W7" i="4"/>
  <c r="Q8" i="4"/>
  <c r="T8" i="4"/>
  <c r="W8" i="4"/>
  <c r="Q9" i="4"/>
  <c r="T9" i="4"/>
  <c r="U9" i="4" s="1"/>
  <c r="W9" i="4"/>
  <c r="X5" i="4"/>
  <c r="W12" i="5"/>
  <c r="X8" i="4"/>
  <c r="W14" i="5"/>
  <c r="W16" i="5"/>
  <c r="Y9" i="5"/>
  <c r="W21" i="5"/>
  <c r="W20" i="5"/>
  <c r="X7" i="4"/>
  <c r="Y14" i="5"/>
  <c r="W18" i="5"/>
  <c r="W17" i="5"/>
  <c r="AA7" i="4"/>
  <c r="W19" i="5"/>
  <c r="W11" i="5"/>
  <c r="X9" i="4"/>
  <c r="W10" i="5"/>
  <c r="W13" i="5"/>
  <c r="AA6" i="4"/>
  <c r="W15"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Z9" i="4" s="1"/>
  <c r="AB9" i="4" s="1"/>
  <c r="Q10" i="4"/>
  <c r="T10" i="4"/>
  <c r="U10" i="4" s="1"/>
  <c r="W10" i="4"/>
  <c r="Y19" i="5"/>
  <c r="Y20" i="5"/>
  <c r="Y17" i="5"/>
  <c r="Y18" i="5"/>
  <c r="Y12" i="5"/>
  <c r="Y16" i="5"/>
  <c r="X10" i="4"/>
  <c r="U8" i="4"/>
  <c r="Y11" i="5"/>
  <c r="Y10" i="5"/>
  <c r="AA9" i="4"/>
  <c r="U5" i="4"/>
  <c r="Y13" i="5"/>
  <c r="Y15" i="5"/>
  <c r="Y21" i="5"/>
  <c r="Y5" i="4" l="1"/>
  <c r="Z5" i="4" s="1"/>
  <c r="AB5" i="4" s="1"/>
  <c r="X5" i="5"/>
  <c r="Y10" i="4"/>
  <c r="Z10" i="4" s="1"/>
  <c r="AB10" i="4" s="1"/>
  <c r="Q11" i="4"/>
  <c r="T11" i="4"/>
  <c r="W11" i="4"/>
  <c r="Q12" i="4"/>
  <c r="T12" i="4"/>
  <c r="W12" i="4"/>
  <c r="Q13" i="4"/>
  <c r="T13" i="4"/>
  <c r="W13" i="4"/>
  <c r="Q14" i="4"/>
  <c r="T14" i="4"/>
  <c r="U14" i="4" s="1"/>
  <c r="Y14" i="4" s="1"/>
  <c r="W14" i="4"/>
  <c r="Q15" i="4"/>
  <c r="T15" i="4"/>
  <c r="U15" i="4" s="1"/>
  <c r="Y15" i="4" s="1"/>
  <c r="W15" i="4"/>
  <c r="Q16" i="4"/>
  <c r="T16" i="4"/>
  <c r="W16" i="4"/>
  <c r="Q17" i="4"/>
  <c r="T17" i="4"/>
  <c r="U17" i="4" s="1"/>
  <c r="Y17" i="4" s="1"/>
  <c r="W17" i="4"/>
  <c r="Q18" i="4"/>
  <c r="T18" i="4"/>
  <c r="U18" i="4" s="1"/>
  <c r="Y18" i="4" s="1"/>
  <c r="W18" i="4"/>
  <c r="Q19" i="4"/>
  <c r="T19" i="4"/>
  <c r="U19" i="4" s="1"/>
  <c r="Y19" i="4" s="1"/>
  <c r="W19" i="4"/>
  <c r="Q20" i="4"/>
  <c r="T20" i="4"/>
  <c r="U20" i="4" s="1"/>
  <c r="Y20" i="4" s="1"/>
  <c r="W20" i="4"/>
  <c r="Q21" i="4"/>
  <c r="T21" i="4"/>
  <c r="U21" i="4" s="1"/>
  <c r="Y21" i="4" s="1"/>
  <c r="W21" i="4"/>
  <c r="Q22" i="4"/>
  <c r="T22" i="4"/>
  <c r="W22" i="4"/>
  <c r="K4" i="13"/>
  <c r="J5" i="13"/>
  <c r="O5" i="13"/>
  <c r="P5" i="13" a="1"/>
  <c r="P5" i="13" s="1"/>
  <c r="W5" i="13"/>
  <c r="J6" i="13"/>
  <c r="O6" i="13"/>
  <c r="J7" i="13"/>
  <c r="O7" i="13"/>
  <c r="J8" i="13"/>
  <c r="O8" i="13"/>
  <c r="J9" i="13"/>
  <c r="O9" i="13"/>
  <c r="J10" i="13"/>
  <c r="O10" i="13"/>
  <c r="J11" i="13"/>
  <c r="O11" i="13"/>
  <c r="J12" i="13"/>
  <c r="O12" i="13"/>
  <c r="J13" i="13"/>
  <c r="O13" i="13"/>
  <c r="J14" i="13"/>
  <c r="O14" i="13"/>
  <c r="J15" i="13"/>
  <c r="O15" i="13"/>
  <c r="J16" i="13"/>
  <c r="O16" i="13"/>
  <c r="J17" i="13"/>
  <c r="O17" i="13"/>
  <c r="J18" i="13"/>
  <c r="O18" i="13"/>
  <c r="J19" i="13"/>
  <c r="O19" i="13"/>
  <c r="J20" i="13"/>
  <c r="O20" i="13"/>
  <c r="J21" i="13"/>
  <c r="O21" i="13"/>
  <c r="J22" i="13"/>
  <c r="O22" i="13"/>
  <c r="L5" i="14"/>
  <c r="V5" i="14" s="1"/>
  <c r="L6" i="14"/>
  <c r="Y8" i="4"/>
  <c r="X11" i="4"/>
  <c r="AA20" i="4"/>
  <c r="AA18" i="4"/>
  <c r="AA17" i="4"/>
  <c r="AA10" i="4"/>
  <c r="X21" i="4"/>
  <c r="AA5" i="4"/>
  <c r="R6" i="14"/>
  <c r="X14" i="4"/>
  <c r="AA19" i="4"/>
  <c r="X19" i="4"/>
  <c r="X15" i="4"/>
  <c r="AA15" i="4"/>
  <c r="X17" i="4"/>
  <c r="X16" i="4"/>
  <c r="R5" i="14"/>
  <c r="X22" i="4"/>
  <c r="X18" i="4"/>
  <c r="AA21" i="4"/>
  <c r="X13" i="4"/>
  <c r="AA14" i="4"/>
  <c r="X12" i="4"/>
  <c r="X20" i="4"/>
  <c r="Q5" i="13"/>
  <c r="M4" i="14"/>
  <c r="J4" i="13"/>
  <c r="P12" i="13" l="1"/>
  <c r="P17" i="13"/>
  <c r="P15" i="13"/>
  <c r="P9" i="13"/>
  <c r="P20" i="13"/>
  <c r="P7" i="13"/>
  <c r="P16" i="13"/>
  <c r="P13" i="13"/>
  <c r="P10" i="13"/>
  <c r="P21" i="13"/>
  <c r="P18" i="13"/>
  <c r="P8" i="13"/>
  <c r="Z21" i="4"/>
  <c r="AB21" i="4" s="1"/>
  <c r="Z20" i="4"/>
  <c r="AB20" i="4" s="1"/>
  <c r="AE5" i="14"/>
  <c r="Z8" i="4"/>
  <c r="AB8" i="4" s="1"/>
  <c r="Z14" i="4"/>
  <c r="AB14" i="4" s="1"/>
  <c r="Z18" i="4"/>
  <c r="AB18" i="4" s="1"/>
  <c r="Z19" i="4"/>
  <c r="AB19" i="4" s="1"/>
  <c r="Z15" i="4"/>
  <c r="AB15" i="4" s="1"/>
  <c r="P22" i="13"/>
  <c r="P14" i="13"/>
  <c r="P6" i="13"/>
  <c r="Z17" i="4"/>
  <c r="AB17" i="4" s="1"/>
  <c r="P19" i="13"/>
  <c r="P11" i="13"/>
  <c r="V6" i="14"/>
  <c r="AE6" i="14"/>
  <c r="L7" i="14"/>
  <c r="U12" i="4"/>
  <c r="AA8" i="4"/>
  <c r="R7" i="14"/>
  <c r="U13" i="4"/>
  <c r="U16" i="4"/>
  <c r="U11" i="4"/>
  <c r="U22" i="4"/>
  <c r="Q22" i="13"/>
  <c r="Q18" i="13"/>
  <c r="Q8" i="13"/>
  <c r="Q6" i="13"/>
  <c r="Q9" i="13"/>
  <c r="Q20" i="13"/>
  <c r="Q14" i="13"/>
  <c r="Q16" i="13"/>
  <c r="Q13" i="13"/>
  <c r="Q19" i="13"/>
  <c r="Q15" i="13"/>
  <c r="Q12" i="13"/>
  <c r="Q10" i="13"/>
  <c r="Q11" i="13"/>
  <c r="Q7" i="13"/>
  <c r="Q21" i="13"/>
  <c r="Q17" i="13"/>
  <c r="V7" i="14" l="1"/>
  <c r="AE7" i="14"/>
  <c r="L8" i="14"/>
  <c r="Y16" i="4"/>
  <c r="R8" i="14"/>
  <c r="Y11" i="4"/>
  <c r="Y12" i="4"/>
  <c r="Y13" i="4"/>
  <c r="Y22" i="4"/>
  <c r="Z12" i="4" l="1"/>
  <c r="AB12" i="4" s="1"/>
  <c r="Z16" i="4"/>
  <c r="AB16" i="4" s="1"/>
  <c r="Z11" i="4"/>
  <c r="AB11" i="4" s="1"/>
  <c r="Z22" i="4"/>
  <c r="AB22" i="4" s="1"/>
  <c r="Z13" i="4"/>
  <c r="AB13" i="4" s="1"/>
  <c r="V8" i="14"/>
  <c r="AE8" i="14"/>
  <c r="L9" i="14"/>
  <c r="AA13" i="4"/>
  <c r="R9" i="14"/>
  <c r="AA12" i="4"/>
  <c r="AA16" i="4"/>
  <c r="AA11" i="4"/>
  <c r="AA22" i="4"/>
  <c r="Z3" i="4" l="1"/>
  <c r="V9" i="14"/>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7" i="15"/>
  <c r="U12" i="15"/>
  <c r="U15" i="15"/>
  <c r="U13" i="15"/>
  <c r="U11" i="15"/>
  <c r="U8" i="15"/>
  <c r="U6" i="15"/>
  <c r="U9" i="15"/>
  <c r="U16" i="15"/>
  <c r="U10" i="15"/>
  <c r="U14" i="15"/>
  <c r="U17" i="15"/>
  <c r="X21" i="14"/>
  <c r="X6" i="14"/>
  <c r="X22" i="14"/>
  <c r="X5" i="14"/>
  <c r="X13" i="14"/>
  <c r="X12" i="14"/>
  <c r="X16" i="14"/>
  <c r="X18" i="14"/>
  <c r="X17" i="14"/>
  <c r="N6" i="15" a="1"/>
  <c r="X11" i="14"/>
  <c r="X23" i="14"/>
  <c r="X20" i="14"/>
  <c r="X15" i="14"/>
  <c r="X8" i="14"/>
  <c r="X9" i="14"/>
  <c r="X14" i="14"/>
  <c r="X10" i="14"/>
  <c r="X7" i="14"/>
  <c r="X19" i="14"/>
  <c r="O5" i="15"/>
  <c r="AG14" i="15" l="1"/>
  <c r="AG10" i="15"/>
  <c r="AG6" i="15"/>
  <c r="AG13" i="15"/>
  <c r="AG9" i="15"/>
  <c r="AG16" i="15"/>
  <c r="AG12" i="15"/>
  <c r="AG8" i="15"/>
  <c r="AG15" i="15"/>
  <c r="AG11" i="15"/>
  <c r="AG7" i="15"/>
  <c r="N6" i="15"/>
  <c r="N14" i="15"/>
  <c r="N9" i="15"/>
  <c r="N17" i="15"/>
  <c r="N7" i="15"/>
  <c r="N16" i="15"/>
  <c r="N11" i="15"/>
  <c r="N12" i="15"/>
  <c r="N15" i="15"/>
  <c r="N10" i="15"/>
  <c r="N13" i="15"/>
  <c r="N8" i="15"/>
  <c r="Z6" i="15" a="1"/>
  <c r="Z17" i="15" s="1"/>
  <c r="Z6" i="15" l="1"/>
  <c r="Z7" i="15"/>
  <c r="Z8" i="15"/>
  <c r="Z9" i="15"/>
  <c r="Z10" i="15"/>
  <c r="Z11" i="15"/>
  <c r="Z12" i="15"/>
  <c r="Z13" i="15"/>
  <c r="Z14" i="15"/>
  <c r="Z15" i="15"/>
  <c r="Z16" i="15"/>
  <c r="AG17" i="15"/>
  <c r="U6" i="16"/>
  <c r="U36" i="16"/>
  <c r="U42" i="16"/>
  <c r="U17" i="16"/>
  <c r="U15" i="16"/>
  <c r="U18" i="16"/>
  <c r="U33" i="16"/>
  <c r="U8" i="16"/>
  <c r="U22" i="16"/>
  <c r="U7" i="16"/>
  <c r="U19" i="16"/>
  <c r="U25" i="16"/>
  <c r="U23" i="16"/>
  <c r="U39" i="16"/>
  <c r="U46" i="16"/>
  <c r="U31" i="16"/>
  <c r="U34" i="16"/>
  <c r="U40" i="16"/>
  <c r="U28" i="16"/>
  <c r="U10" i="16"/>
  <c r="U27" i="16"/>
  <c r="U38" i="16"/>
  <c r="U29" i="16"/>
  <c r="U16" i="16"/>
  <c r="U41" i="16"/>
  <c r="U20" i="16"/>
  <c r="U47" i="16"/>
  <c r="U44" i="16"/>
  <c r="U43" i="16"/>
  <c r="U12" i="16"/>
  <c r="U14" i="16"/>
  <c r="U37" i="16"/>
  <c r="U24" i="16"/>
  <c r="U30" i="16"/>
  <c r="U45" i="16"/>
  <c r="U35" i="16"/>
  <c r="U13" i="16"/>
  <c r="U21" i="16"/>
  <c r="U26" i="16"/>
  <c r="U9" i="16"/>
  <c r="U11" i="16"/>
  <c r="U32" i="16"/>
  <c r="N6" i="16" a="1"/>
  <c r="O5" i="16"/>
  <c r="AG27" i="16" l="1"/>
  <c r="AG23" i="16"/>
  <c r="AG19" i="16"/>
  <c r="AG15" i="16"/>
  <c r="AG11" i="16"/>
  <c r="AG7" i="16"/>
  <c r="AG39" i="16"/>
  <c r="AG30" i="16"/>
  <c r="AG6" i="16"/>
  <c r="AG35" i="16"/>
  <c r="AG38" i="16"/>
  <c r="AG18" i="16"/>
  <c r="AG14" i="16"/>
  <c r="AG45" i="16"/>
  <c r="AG33" i="16"/>
  <c r="AG29" i="16"/>
  <c r="AG25" i="16"/>
  <c r="AG21" i="16"/>
  <c r="AG17" i="16"/>
  <c r="AG13" i="16"/>
  <c r="AG9" i="16"/>
  <c r="AG31" i="16"/>
  <c r="AG42" i="16"/>
  <c r="AG26" i="16"/>
  <c r="AG37" i="16"/>
  <c r="AG43" i="16"/>
  <c r="AG46" i="16"/>
  <c r="AG34" i="16"/>
  <c r="AG22" i="16"/>
  <c r="AG10" i="16"/>
  <c r="AG41" i="16"/>
  <c r="AG44" i="16"/>
  <c r="AG40" i="16"/>
  <c r="AG36" i="16"/>
  <c r="AG32" i="16"/>
  <c r="AG28" i="16"/>
  <c r="AG24" i="16"/>
  <c r="AG20" i="16"/>
  <c r="AG16" i="16"/>
  <c r="AG12" i="16"/>
  <c r="AG8" i="16"/>
  <c r="N7" i="16"/>
  <c r="N15" i="16"/>
  <c r="N23" i="16"/>
  <c r="N31" i="16"/>
  <c r="N39" i="16"/>
  <c r="N47" i="16"/>
  <c r="N18" i="16"/>
  <c r="N26" i="16"/>
  <c r="N34" i="16"/>
  <c r="N42" i="16"/>
  <c r="N29" i="16"/>
  <c r="N37" i="16"/>
  <c r="N45" i="16"/>
  <c r="N8" i="16"/>
  <c r="N16" i="16"/>
  <c r="N32" i="16"/>
  <c r="N40" i="16"/>
  <c r="N11" i="16"/>
  <c r="N27" i="16"/>
  <c r="N35" i="16"/>
  <c r="N43" i="16"/>
  <c r="N38" i="16"/>
  <c r="N17" i="16"/>
  <c r="N33" i="16"/>
  <c r="N41" i="16"/>
  <c r="N12" i="16"/>
  <c r="N10" i="16"/>
  <c r="N13" i="16"/>
  <c r="N21" i="16"/>
  <c r="N24" i="16"/>
  <c r="N19" i="16"/>
  <c r="N6" i="16"/>
  <c r="N14" i="16"/>
  <c r="N22" i="16"/>
  <c r="N30" i="16"/>
  <c r="N46" i="16"/>
  <c r="N9" i="16"/>
  <c r="N25" i="16"/>
  <c r="N20" i="16"/>
  <c r="N28" i="16"/>
  <c r="N36" i="16"/>
  <c r="N44" i="16"/>
  <c r="Z6" i="16"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O6" i="17" a="1"/>
  <c r="O6" i="17" s="1"/>
  <c r="AG6" i="17"/>
  <c r="AG7" i="17"/>
  <c r="AG8" i="17"/>
  <c r="U8" i="17"/>
  <c r="U9" i="17"/>
  <c r="U6" i="17"/>
  <c r="U7" i="17"/>
  <c r="N4" i="17"/>
  <c r="O5" i="17"/>
  <c r="O9" i="17" l="1"/>
  <c r="O7" i="17"/>
  <c r="O8" i="17"/>
  <c r="Z6" i="17" a="1"/>
  <c r="Z9" i="17" s="1"/>
  <c r="N6" i="17" a="1"/>
  <c r="N7" i="17" l="1"/>
  <c r="N6" i="17"/>
  <c r="N8" i="17"/>
  <c r="N9" i="17"/>
  <c r="Z6" i="17"/>
  <c r="Z7" i="17"/>
  <c r="Z8" i="17"/>
  <c r="AG9" i="17"/>
  <c r="H5" i="18"/>
  <c r="P5" i="18"/>
  <c r="P6"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6" i="22"/>
  <c r="Z10" i="22"/>
  <c r="Z9" i="22"/>
  <c r="Z8" i="22"/>
  <c r="Z5"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R25" i="23" s="1"/>
  <c r="Q25" i="23"/>
  <c r="X25" i="23"/>
  <c r="AB25" i="23" l="1"/>
  <c r="AK25" i="23"/>
  <c r="P26" i="23"/>
  <c r="R26" i="23" s="1"/>
  <c r="Q26" i="23"/>
  <c r="X26" i="23"/>
  <c r="AB26" i="23" l="1"/>
  <c r="AK26" i="23"/>
  <c r="P27" i="23"/>
  <c r="Q27" i="23"/>
  <c r="R27" i="23"/>
  <c r="X27" i="23"/>
  <c r="AB27" i="23" l="1"/>
  <c r="AK27" i="23"/>
  <c r="P28" i="23"/>
  <c r="Q28" i="23"/>
  <c r="X28" i="23"/>
  <c r="R28" i="23" l="1"/>
  <c r="AB28" i="23" s="1"/>
  <c r="AK28" i="23"/>
  <c r="P29" i="23"/>
  <c r="R29" i="23" s="1"/>
  <c r="Q29" i="23"/>
  <c r="X29" i="23"/>
  <c r="AB29" i="23" l="1"/>
  <c r="AK29" i="23"/>
  <c r="P30" i="23"/>
  <c r="R30" i="23" s="1"/>
  <c r="Q30" i="23"/>
  <c r="X30" i="23"/>
  <c r="AB30" i="23" l="1"/>
  <c r="AK30" i="23"/>
  <c r="P31" i="23"/>
  <c r="R31" i="23" s="1"/>
  <c r="Q31" i="23"/>
  <c r="X31" i="23"/>
  <c r="AB31" i="23" l="1"/>
  <c r="AK31" i="23"/>
  <c r="P32" i="23"/>
  <c r="R32" i="23" s="1"/>
  <c r="Q32" i="23"/>
  <c r="X32" i="23"/>
  <c r="AB32" i="23" l="1"/>
  <c r="AK32" i="23"/>
  <c r="P33" i="23"/>
  <c r="R33" i="23" s="1"/>
  <c r="Q33" i="23"/>
  <c r="X33" i="23"/>
  <c r="AB33" i="23" l="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40" i="23"/>
  <c r="AD26" i="23"/>
  <c r="AD16" i="23"/>
  <c r="AD21" i="23"/>
  <c r="AD42" i="23"/>
  <c r="AD31" i="23"/>
  <c r="AD39" i="23"/>
  <c r="AD17" i="23"/>
  <c r="AD27" i="23"/>
  <c r="AD5" i="23"/>
  <c r="AD35" i="23"/>
  <c r="AD36" i="23"/>
  <c r="AD38" i="23"/>
  <c r="AD10" i="23"/>
  <c r="AD14" i="23"/>
  <c r="AD24" i="23"/>
  <c r="AD29" i="23"/>
  <c r="AD12" i="23"/>
  <c r="AD20" i="23"/>
  <c r="AD9" i="23"/>
  <c r="AD19" i="23"/>
  <c r="AD34" i="23"/>
  <c r="AD15" i="23"/>
  <c r="AD28" i="23"/>
  <c r="AD25" i="23"/>
  <c r="AD23" i="23"/>
  <c r="AD41" i="23"/>
  <c r="AD13" i="23"/>
  <c r="AD37" i="23"/>
  <c r="AD8" i="23"/>
  <c r="AD33" i="23"/>
  <c r="AD18" i="23"/>
  <c r="AD30" i="23"/>
  <c r="AD11" i="23"/>
  <c r="AD32" i="23"/>
  <c r="AD22" i="23"/>
  <c r="AD7" i="23"/>
  <c r="AD6"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R39" i="24" s="1"/>
  <c r="Q39" i="24"/>
  <c r="X39" i="24"/>
  <c r="AJ39" i="24" l="1"/>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Q5" i="18" s="1" a="1"/>
  <c r="Q6" i="18" s="1"/>
  <c r="R5" i="9"/>
  <c r="W5" i="9"/>
  <c r="R6" i="18"/>
  <c r="Q5" i="18" l="1"/>
  <c r="P6" i="9"/>
  <c r="Q6" i="9"/>
  <c r="R6" i="9"/>
  <c r="V6" i="9"/>
  <c r="R5" i="18"/>
  <c r="R3" i="18"/>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R16" i="9"/>
  <c r="V16" i="9"/>
  <c r="W16" i="9" l="1"/>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4" i="20"/>
  <c r="T15" i="20"/>
  <c r="N16" i="20" l="1"/>
  <c r="T16" i="20"/>
  <c r="N17" i="20" l="1"/>
  <c r="N18" i="20"/>
  <c r="T18" i="20"/>
  <c r="T17" i="20"/>
  <c r="N19" i="20" l="1"/>
  <c r="N20" i="20"/>
  <c r="T19" i="20"/>
  <c r="T20" i="20"/>
  <c r="N21" i="20" l="1"/>
  <c r="N22" i="20"/>
  <c r="T21" i="20"/>
  <c r="T22" i="20"/>
  <c r="N23" i="20" l="1"/>
  <c r="N24" i="20"/>
  <c r="T23" i="20"/>
  <c r="T24" i="20"/>
  <c r="N25" i="20" l="1"/>
  <c r="T25" i="20"/>
  <c r="N26" i="20" l="1"/>
  <c r="N27" i="20"/>
  <c r="T27" i="20"/>
  <c r="T26" i="20"/>
  <c r="N28" i="20" l="1"/>
  <c r="N29" i="20"/>
  <c r="T28" i="20"/>
  <c r="T29" i="20"/>
  <c r="N30" i="20" l="1"/>
  <c r="N31" i="20"/>
  <c r="T30" i="20"/>
  <c r="T31" i="20"/>
  <c r="N32" i="20" l="1"/>
  <c r="N33" i="20"/>
  <c r="T32" i="20"/>
  <c r="T33" i="20"/>
  <c r="N34" i="20" l="1"/>
  <c r="N35" i="20"/>
  <c r="T35" i="20"/>
  <c r="T34" i="20"/>
  <c r="N36" i="20" l="1"/>
  <c r="N37" i="20"/>
  <c r="T37" i="20"/>
  <c r="T36"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K6" i="61"/>
  <c r="K5" i="61"/>
  <c r="Q3"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8" i="60"/>
  <c r="Q9" i="60"/>
  <c r="Q6" i="60"/>
  <c r="Q5" i="60"/>
  <c r="Q7" i="60"/>
  <c r="Q10"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8" i="43"/>
  <c r="N11" i="44"/>
  <c r="N18" i="44"/>
  <c r="K11" i="43"/>
  <c r="N17" i="43"/>
  <c r="N11" i="43"/>
  <c r="N4" i="43"/>
  <c r="N7" i="44"/>
  <c r="N16" i="44"/>
  <c r="N10" i="43"/>
  <c r="K5" i="43"/>
  <c r="N14" i="43"/>
  <c r="K6" i="44"/>
  <c r="K16" i="43"/>
  <c r="K7" i="44"/>
  <c r="N15" i="44"/>
  <c r="N12" i="44"/>
  <c r="K4" i="44"/>
  <c r="N8" i="43"/>
  <c r="N6" i="44"/>
  <c r="N15" i="43"/>
  <c r="N5" i="43"/>
  <c r="K8" i="44"/>
  <c r="K14" i="43"/>
  <c r="K14" i="44"/>
  <c r="K18" i="44"/>
  <c r="N7" i="43"/>
  <c r="K6" i="43"/>
  <c r="N6" i="43"/>
  <c r="K15" i="43"/>
  <c r="K4" i="43"/>
  <c r="K12" i="43"/>
  <c r="K16" i="44"/>
  <c r="K7" i="43"/>
  <c r="K18" i="43"/>
  <c r="N10" i="44"/>
  <c r="K9" i="43"/>
  <c r="K5" i="44"/>
  <c r="N18" i="43"/>
  <c r="N17" i="44"/>
  <c r="N13" i="43"/>
  <c r="N5" i="44"/>
  <c r="N12" i="43"/>
  <c r="K10" i="43"/>
  <c r="K12" i="44"/>
  <c r="K13" i="43"/>
  <c r="K13" i="44"/>
  <c r="N14" i="44"/>
  <c r="K10" i="44"/>
  <c r="K11" i="44"/>
  <c r="N13" i="44"/>
  <c r="K15" i="44"/>
  <c r="K17" i="43"/>
  <c r="K17" i="44"/>
  <c r="N16" i="43"/>
  <c r="N8" i="44"/>
  <c r="N4" i="44"/>
  <c r="N9"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K13" i="40"/>
  <c r="N7" i="40"/>
  <c r="K9" i="40"/>
  <c r="N16" i="40"/>
  <c r="N15" i="40"/>
  <c r="K17" i="40"/>
  <c r="K5" i="40"/>
  <c r="N10" i="40"/>
  <c r="K6" i="40"/>
  <c r="K16" i="40"/>
  <c r="K20" i="40"/>
  <c r="N6" i="40"/>
  <c r="N18" i="40"/>
  <c r="K12" i="40"/>
  <c r="K8" i="40"/>
  <c r="K7" i="40"/>
  <c r="N20" i="40"/>
  <c r="N11" i="40"/>
  <c r="N17" i="40"/>
  <c r="N13" i="40"/>
  <c r="K14" i="40"/>
  <c r="K18" i="40"/>
  <c r="N21" i="40"/>
  <c r="N8" i="40"/>
  <c r="N14" i="40"/>
  <c r="K4" i="40"/>
  <c r="N5" i="40"/>
  <c r="K10" i="40"/>
  <c r="K21" i="40"/>
  <c r="N12" i="40"/>
  <c r="K15" i="40"/>
  <c r="K11" i="40"/>
  <c r="N9" i="40"/>
  <c r="N4" i="40"/>
  <c r="K19"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9" i="39"/>
  <c r="K5" i="39"/>
  <c r="N12" i="39"/>
  <c r="N13" i="39"/>
  <c r="N5" i="39"/>
  <c r="K13" i="39"/>
  <c r="K8" i="39"/>
  <c r="K9" i="39"/>
  <c r="K12" i="39"/>
  <c r="K4" i="39"/>
  <c r="K16" i="39"/>
  <c r="N14" i="39"/>
  <c r="N16" i="39"/>
  <c r="K15" i="39"/>
  <c r="K17" i="39"/>
  <c r="K19" i="39"/>
  <c r="N9" i="39"/>
  <c r="N8" i="39"/>
  <c r="N11" i="39"/>
  <c r="N18" i="39"/>
  <c r="N10" i="39"/>
  <c r="K18" i="39"/>
  <c r="K11" i="39"/>
  <c r="N6" i="39"/>
  <c r="N17" i="39"/>
  <c r="K6" i="39"/>
  <c r="K14" i="39"/>
  <c r="K10" i="39"/>
  <c r="K20" i="39"/>
  <c r="N4" i="39"/>
  <c r="K7" i="39"/>
  <c r="K21"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9" i="39"/>
  <c r="N20" i="39"/>
  <c r="S4" i="39"/>
  <c r="S21" i="39"/>
  <c r="N15" i="39"/>
  <c r="S20" i="39"/>
  <c r="S8" i="39"/>
  <c r="S17" i="39"/>
  <c r="S13" i="39"/>
  <c r="S11" i="39"/>
  <c r="S12" i="39"/>
  <c r="S7" i="39"/>
  <c r="N7" i="39"/>
  <c r="S9" i="39"/>
  <c r="S14" i="39"/>
  <c r="S10" i="39"/>
  <c r="S16" i="39"/>
  <c r="S15" i="39"/>
  <c r="S18" i="39"/>
  <c r="N21" i="39"/>
  <c r="M15" i="39" l="1"/>
  <c r="O15" i="39" s="1"/>
  <c r="M21" i="39"/>
  <c r="O21" i="39" s="1"/>
  <c r="F2" i="37"/>
  <c r="F3" i="37"/>
  <c r="F4" i="37"/>
  <c r="F6" i="37"/>
  <c r="F2" i="36"/>
  <c r="F3" i="36"/>
  <c r="F4" i="36"/>
  <c r="F6" i="36"/>
  <c r="D7" i="37" a="1"/>
  <c r="D7" i="36" a="1"/>
  <c r="M2" i="39" l="1"/>
  <c r="D12" i="37"/>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9" i="37"/>
  <c r="G90" i="37"/>
  <c r="G101" i="37"/>
  <c r="G35" i="36"/>
  <c r="G108" i="37"/>
  <c r="G81" i="36"/>
  <c r="G63" i="36"/>
  <c r="G85" i="36"/>
  <c r="G120" i="36"/>
  <c r="G73" i="36"/>
  <c r="G112" i="36"/>
  <c r="G29" i="37"/>
  <c r="G98" i="36"/>
  <c r="G34" i="37"/>
  <c r="G61" i="37"/>
  <c r="G119" i="36"/>
  <c r="G116" i="36"/>
  <c r="G59" i="36"/>
  <c r="G21" i="37"/>
  <c r="G30" i="36"/>
  <c r="G68" i="36"/>
  <c r="G17" i="37"/>
  <c r="G72" i="36"/>
  <c r="G13" i="36"/>
  <c r="G109" i="36"/>
  <c r="G29" i="36"/>
  <c r="G23" i="37"/>
  <c r="G46" i="36"/>
  <c r="G77" i="36"/>
  <c r="G91" i="36"/>
  <c r="G50" i="36"/>
  <c r="G92" i="36"/>
  <c r="G41" i="36"/>
  <c r="G123" i="37"/>
  <c r="G51" i="37"/>
  <c r="G48" i="37"/>
  <c r="G42" i="37"/>
  <c r="G18" i="37"/>
  <c r="G19" i="37"/>
  <c r="G22" i="37"/>
  <c r="G113" i="37"/>
  <c r="G122" i="37"/>
  <c r="G36" i="36"/>
  <c r="G66" i="36"/>
  <c r="G88" i="36"/>
  <c r="G45" i="36"/>
  <c r="G123" i="36"/>
  <c r="G83" i="37"/>
  <c r="G78" i="36"/>
  <c r="G118" i="37"/>
  <c r="G106" i="37"/>
  <c r="G63" i="37"/>
  <c r="G79" i="37"/>
  <c r="G121" i="37"/>
  <c r="G53" i="36"/>
  <c r="G21" i="36"/>
  <c r="G125" i="36"/>
  <c r="G103" i="37"/>
  <c r="G60" i="37"/>
  <c r="G43" i="36"/>
  <c r="G85" i="37"/>
  <c r="G20" i="36"/>
  <c r="G36" i="37"/>
  <c r="G69" i="36"/>
  <c r="G101" i="36"/>
  <c r="G104" i="37"/>
  <c r="G27" i="37"/>
  <c r="G65" i="37"/>
  <c r="G16" i="36"/>
  <c r="G7" i="36"/>
  <c r="G71" i="37"/>
  <c r="G62" i="36"/>
  <c r="G94" i="36"/>
  <c r="G31" i="36"/>
  <c r="G121" i="36"/>
  <c r="G107" i="37"/>
  <c r="G27" i="36"/>
  <c r="G100" i="37"/>
  <c r="G55" i="36"/>
  <c r="G49" i="37"/>
  <c r="G16" i="37"/>
  <c r="G38" i="36"/>
  <c r="G105" i="37"/>
  <c r="G33" i="37"/>
  <c r="G62" i="37"/>
  <c r="G116" i="37"/>
  <c r="G52" i="36"/>
  <c r="G124" i="36"/>
  <c r="G15" i="36"/>
  <c r="G24" i="36"/>
  <c r="G125" i="37"/>
  <c r="G71" i="36"/>
  <c r="G81" i="37"/>
  <c r="G87" i="37"/>
  <c r="G115" i="37"/>
  <c r="G30" i="37"/>
  <c r="G95" i="37"/>
  <c r="G37" i="36"/>
  <c r="G122" i="36"/>
  <c r="G91" i="37"/>
  <c r="G14" i="36"/>
  <c r="G51" i="36"/>
  <c r="G8" i="37"/>
  <c r="G31" i="37"/>
  <c r="G15" i="37"/>
  <c r="G104" i="36"/>
  <c r="G117" i="36"/>
  <c r="G45" i="37"/>
  <c r="G28" i="36"/>
  <c r="G90" i="36"/>
  <c r="G92" i="37"/>
  <c r="G113" i="36"/>
  <c r="G82" i="36"/>
  <c r="G84" i="37"/>
  <c r="G56" i="36"/>
  <c r="G108" i="36"/>
  <c r="G84" i="36"/>
  <c r="G94" i="37"/>
  <c r="G66" i="37"/>
  <c r="G95" i="36"/>
  <c r="G39" i="36"/>
  <c r="G53" i="37"/>
  <c r="G77" i="37"/>
  <c r="G22" i="36"/>
  <c r="G58" i="36"/>
  <c r="G34" i="36"/>
  <c r="G93" i="36"/>
  <c r="G35" i="37"/>
  <c r="G56" i="37"/>
  <c r="G8" i="36"/>
  <c r="G111" i="36"/>
  <c r="G65" i="36"/>
  <c r="G103" i="36"/>
  <c r="G23" i="36"/>
  <c r="G74" i="37"/>
  <c r="G75" i="36"/>
  <c r="G97" i="36"/>
  <c r="G73" i="37"/>
  <c r="G110" i="36"/>
  <c r="G115" i="36"/>
  <c r="G61" i="36"/>
  <c r="G13" i="37"/>
  <c r="G109" i="37"/>
  <c r="G7" i="37"/>
  <c r="G102" i="37"/>
  <c r="G68" i="37"/>
  <c r="G100" i="36"/>
  <c r="G99" i="37"/>
  <c r="G83" i="36"/>
  <c r="G107" i="36"/>
  <c r="G86" i="36"/>
  <c r="G87" i="36"/>
  <c r="G20" i="37"/>
  <c r="G48" i="36"/>
  <c r="G89" i="36"/>
  <c r="G119" i="37"/>
  <c r="G12" i="36"/>
  <c r="G39" i="37"/>
  <c r="G76" i="37"/>
  <c r="G97" i="37"/>
  <c r="G11" i="36"/>
  <c r="G58" i="37"/>
  <c r="G26" i="37"/>
  <c r="G82" i="37"/>
  <c r="G24" i="37"/>
  <c r="G117" i="37"/>
  <c r="G50" i="37"/>
  <c r="G38" i="37"/>
  <c r="G70" i="37"/>
  <c r="G67" i="37"/>
  <c r="G26" i="36"/>
  <c r="G9" i="36"/>
  <c r="G126" i="36"/>
  <c r="G49" i="36"/>
  <c r="G37" i="37"/>
  <c r="G40" i="36"/>
  <c r="G72" i="37"/>
  <c r="G46" i="37"/>
  <c r="G69" i="37"/>
  <c r="G10" i="36"/>
  <c r="G93" i="37"/>
  <c r="G89" i="37"/>
  <c r="G78" i="37"/>
  <c r="G88" i="37"/>
  <c r="G64" i="36"/>
  <c r="G40" i="37"/>
  <c r="G44" i="37"/>
  <c r="G67" i="36"/>
  <c r="G120" i="37"/>
  <c r="G96" i="37"/>
  <c r="G12" i="37"/>
  <c r="G28" i="37"/>
  <c r="G79" i="36"/>
  <c r="G42" i="36"/>
  <c r="G86" i="37"/>
  <c r="G60" i="36"/>
  <c r="G114" i="37"/>
  <c r="G80" i="36"/>
  <c r="G64" i="37"/>
  <c r="G112" i="37"/>
  <c r="G55" i="37"/>
  <c r="G25" i="36"/>
  <c r="G106" i="36"/>
  <c r="G74" i="36"/>
  <c r="G32" i="37"/>
  <c r="G102" i="36"/>
  <c r="G41" i="37"/>
  <c r="G14" i="37"/>
  <c r="G32" i="36"/>
  <c r="G43" i="37"/>
  <c r="G47" i="37"/>
  <c r="G59" i="37"/>
  <c r="G75" i="37"/>
  <c r="G111" i="37"/>
  <c r="G18" i="36"/>
  <c r="G57" i="36"/>
  <c r="G25" i="37"/>
  <c r="G70" i="36"/>
  <c r="G54" i="36"/>
  <c r="G33" i="36"/>
  <c r="G99" i="36"/>
  <c r="G124" i="37"/>
  <c r="G19" i="36"/>
  <c r="G105" i="36"/>
  <c r="G110" i="37"/>
  <c r="G54" i="37"/>
  <c r="G80" i="37"/>
  <c r="G76" i="36"/>
  <c r="G11" i="37"/>
  <c r="G52" i="37"/>
  <c r="G57" i="37"/>
  <c r="G17" i="36"/>
  <c r="G10" i="37"/>
  <c r="G44" i="36"/>
  <c r="G118" i="36"/>
  <c r="G114" i="36"/>
  <c r="G126" i="37"/>
  <c r="G47" i="36"/>
  <c r="G96" i="36"/>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2" i="33"/>
  <c r="L24" i="32"/>
  <c r="L23" i="33"/>
  <c r="L22" i="32"/>
  <c r="L14" i="33"/>
  <c r="L35" i="33"/>
  <c r="L12" i="32"/>
  <c r="L26" i="33"/>
  <c r="L27" i="32"/>
  <c r="L11" i="32"/>
  <c r="L15" i="32"/>
  <c r="L17" i="32"/>
  <c r="L10" i="32"/>
  <c r="L19" i="32"/>
  <c r="L31" i="32"/>
  <c r="L3" i="33"/>
  <c r="L14" i="32"/>
  <c r="L30" i="33"/>
  <c r="L9" i="33"/>
  <c r="L21" i="33"/>
  <c r="L13" i="32"/>
  <c r="L3" i="34"/>
  <c r="L34" i="33"/>
  <c r="L3" i="32"/>
  <c r="L21" i="32"/>
  <c r="L28" i="32"/>
  <c r="L6" i="32"/>
  <c r="L10" i="33"/>
  <c r="L36" i="33"/>
  <c r="L4" i="32"/>
  <c r="L24" i="33"/>
  <c r="L18" i="33"/>
  <c r="L33" i="32"/>
  <c r="L13" i="33"/>
  <c r="L23" i="32"/>
  <c r="L12" i="33"/>
  <c r="L25" i="32"/>
  <c r="L36" i="32"/>
  <c r="L35" i="32"/>
  <c r="L32" i="32"/>
  <c r="L33" i="33"/>
  <c r="L5" i="32"/>
  <c r="L8" i="32"/>
  <c r="L28" i="33"/>
  <c r="L7" i="33"/>
  <c r="L29" i="33"/>
  <c r="L9" i="32"/>
  <c r="L29" i="32"/>
  <c r="L19" i="33"/>
  <c r="L27" i="33"/>
  <c r="L16" i="33"/>
  <c r="L11" i="33"/>
  <c r="L4" i="33"/>
  <c r="L31" i="33"/>
  <c r="L15" i="33"/>
  <c r="L16" i="32"/>
  <c r="L25" i="33"/>
  <c r="L26" i="32"/>
  <c r="L18" i="32"/>
  <c r="L3" i="31"/>
  <c r="L32" i="33"/>
  <c r="L6" i="33"/>
  <c r="L20" i="33"/>
  <c r="L20" i="32"/>
  <c r="L8" i="33"/>
  <c r="L30" i="32"/>
  <c r="L34" i="32"/>
  <c r="L17" i="33"/>
  <c r="L5" i="33"/>
  <c r="L7"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H108" i="36"/>
  <c r="K17" i="34"/>
  <c r="H37" i="36"/>
  <c r="H68" i="37"/>
  <c r="K20" i="34"/>
  <c r="H119" i="36"/>
  <c r="H64" i="37"/>
  <c r="H15" i="36"/>
  <c r="H83" i="36"/>
  <c r="H82" i="36"/>
  <c r="H120" i="36"/>
  <c r="K19" i="31"/>
  <c r="H86" i="36"/>
  <c r="H116" i="36"/>
  <c r="H34" i="37"/>
  <c r="K35" i="31"/>
  <c r="K24" i="31"/>
  <c r="H111" i="37"/>
  <c r="H102" i="36"/>
  <c r="H70" i="37"/>
  <c r="K8" i="34"/>
  <c r="K10" i="31"/>
  <c r="K34" i="31"/>
  <c r="H112" i="36"/>
  <c r="H117" i="36"/>
  <c r="H106" i="37"/>
  <c r="H34" i="36"/>
  <c r="H122" i="36"/>
  <c r="H99" i="37"/>
  <c r="H79" i="37"/>
  <c r="H76" i="37"/>
  <c r="H50" i="37"/>
  <c r="H103" i="37"/>
  <c r="H72" i="36"/>
  <c r="H123" i="36"/>
  <c r="H59" i="36"/>
  <c r="H11" i="37"/>
  <c r="K12" i="34"/>
  <c r="H30" i="36"/>
  <c r="H103" i="36"/>
  <c r="H18" i="37"/>
  <c r="H20" i="36"/>
  <c r="K17" i="31"/>
  <c r="H107" i="37"/>
  <c r="H23" i="37"/>
  <c r="H111" i="36"/>
  <c r="H119" i="37"/>
  <c r="H60" i="36"/>
  <c r="H124" i="37"/>
  <c r="H47" i="36"/>
  <c r="K32" i="34"/>
  <c r="H51" i="37"/>
  <c r="H14" i="37"/>
  <c r="H81" i="36"/>
  <c r="H89" i="37"/>
  <c r="H28" i="36"/>
  <c r="H66" i="37"/>
  <c r="H110" i="36"/>
  <c r="H112" i="37"/>
  <c r="K26" i="34"/>
  <c r="H37" i="37"/>
  <c r="H98" i="36"/>
  <c r="H11" i="36"/>
  <c r="H33" i="37"/>
  <c r="K6" i="34"/>
  <c r="H68" i="36"/>
  <c r="H17" i="37"/>
  <c r="K13" i="34"/>
  <c r="H75" i="37"/>
  <c r="K9" i="34"/>
  <c r="H73" i="37"/>
  <c r="H29" i="36"/>
  <c r="H87" i="37"/>
  <c r="H84" i="37"/>
  <c r="H35" i="36"/>
  <c r="K14" i="31"/>
  <c r="H126" i="37"/>
  <c r="H60" i="37"/>
  <c r="K33" i="34"/>
  <c r="H91" i="36"/>
  <c r="H24" i="36"/>
  <c r="H27" i="37"/>
  <c r="H69" i="37"/>
  <c r="H52" i="36"/>
  <c r="K23" i="34"/>
  <c r="H100" i="36"/>
  <c r="K4" i="34"/>
  <c r="H65" i="37"/>
  <c r="H66" i="36"/>
  <c r="H36" i="37"/>
  <c r="H100" i="37"/>
  <c r="H19" i="36"/>
  <c r="H62" i="36"/>
  <c r="H58" i="37"/>
  <c r="H39" i="36"/>
  <c r="H97" i="36"/>
  <c r="K30" i="34"/>
  <c r="H42" i="37"/>
  <c r="H91" i="37"/>
  <c r="H88" i="37"/>
  <c r="K6" i="31"/>
  <c r="H85" i="36"/>
  <c r="H92" i="37"/>
  <c r="H83" i="37"/>
  <c r="H47" i="37"/>
  <c r="H55" i="37"/>
  <c r="H64" i="36"/>
  <c r="H18" i="36"/>
  <c r="H15" i="37"/>
  <c r="H109" i="37"/>
  <c r="K25" i="34"/>
  <c r="K14" i="34"/>
  <c r="H79" i="36"/>
  <c r="K36" i="31"/>
  <c r="K12" i="31"/>
  <c r="H96" i="36"/>
  <c r="K5" i="31"/>
  <c r="H21" i="37"/>
  <c r="H98" i="37"/>
  <c r="K25" i="31"/>
  <c r="H90" i="36"/>
  <c r="H50" i="36"/>
  <c r="H108" i="37"/>
  <c r="H104" i="37"/>
  <c r="H78" i="37"/>
  <c r="H115" i="37"/>
  <c r="H52" i="37"/>
  <c r="K11" i="31"/>
  <c r="H41" i="36"/>
  <c r="H55" i="36"/>
  <c r="K5" i="34"/>
  <c r="H113" i="36"/>
  <c r="H9" i="37"/>
  <c r="H39" i="37"/>
  <c r="H27" i="36"/>
  <c r="H29" i="37"/>
  <c r="K18" i="34"/>
  <c r="H43" i="37"/>
  <c r="H88" i="36"/>
  <c r="H125" i="37"/>
  <c r="H7" i="36"/>
  <c r="H10" i="37"/>
  <c r="H89" i="36"/>
  <c r="H94" i="37"/>
  <c r="K19" i="34"/>
  <c r="H85" i="37"/>
  <c r="H26" i="36"/>
  <c r="H13" i="36"/>
  <c r="K8" i="31"/>
  <c r="H121" i="36"/>
  <c r="H99" i="36"/>
  <c r="K16" i="34"/>
  <c r="H7" i="37"/>
  <c r="H9" i="36"/>
  <c r="H126" i="36"/>
  <c r="H118" i="36"/>
  <c r="H67" i="36"/>
  <c r="H101" i="37"/>
  <c r="H92" i="36"/>
  <c r="H25" i="36"/>
  <c r="H97" i="37"/>
  <c r="K31" i="31"/>
  <c r="H107" i="36"/>
  <c r="H77" i="37"/>
  <c r="H35" i="37"/>
  <c r="K21" i="34"/>
  <c r="H72" i="37"/>
  <c r="H51" i="36"/>
  <c r="K4" i="31"/>
  <c r="H69" i="36"/>
  <c r="K33" i="31"/>
  <c r="H105" i="36"/>
  <c r="H8" i="37"/>
  <c r="H73" i="36"/>
  <c r="H90" i="37"/>
  <c r="H75" i="36"/>
  <c r="H32" i="36"/>
  <c r="H21" i="36"/>
  <c r="H105" i="37"/>
  <c r="H49" i="37"/>
  <c r="K28" i="31"/>
  <c r="H13" i="37"/>
  <c r="H115" i="36"/>
  <c r="H96" i="37"/>
  <c r="H87" i="36"/>
  <c r="H116" i="37"/>
  <c r="K32" i="31"/>
  <c r="K29" i="31"/>
  <c r="H80" i="36"/>
  <c r="H62" i="37"/>
  <c r="H28" i="37"/>
  <c r="H57" i="37"/>
  <c r="K18" i="31"/>
  <c r="H114" i="36"/>
  <c r="H124" i="36"/>
  <c r="H53" i="36"/>
  <c r="H71" i="37"/>
  <c r="H57" i="36"/>
  <c r="K29" i="34"/>
  <c r="H12" i="36"/>
  <c r="K20" i="31"/>
  <c r="H38" i="36"/>
  <c r="H110" i="37"/>
  <c r="H74" i="37"/>
  <c r="H63" i="36"/>
  <c r="K7" i="31"/>
  <c r="K11" i="34"/>
  <c r="H104" i="36"/>
  <c r="H56" i="36"/>
  <c r="H49" i="36"/>
  <c r="H123" i="37"/>
  <c r="H48" i="37"/>
  <c r="H14" i="36"/>
  <c r="H74" i="36"/>
  <c r="H61" i="36"/>
  <c r="H122" i="37"/>
  <c r="H19" i="37"/>
  <c r="H42" i="36"/>
  <c r="H44" i="36"/>
  <c r="H106" i="36"/>
  <c r="H81" i="37"/>
  <c r="H84" i="36"/>
  <c r="H59" i="37"/>
  <c r="H95" i="36"/>
  <c r="H26" i="37"/>
  <c r="H20" i="37"/>
  <c r="H8" i="36"/>
  <c r="H56" i="37"/>
  <c r="H16" i="37"/>
  <c r="H114" i="37"/>
  <c r="H117" i="37"/>
  <c r="K30" i="31"/>
  <c r="H77" i="36"/>
  <c r="K9" i="31"/>
  <c r="H17" i="36"/>
  <c r="H45" i="36"/>
  <c r="H82" i="37"/>
  <c r="K31" i="34"/>
  <c r="K24" i="34"/>
  <c r="H120" i="37"/>
  <c r="K21" i="31"/>
  <c r="H41" i="37"/>
  <c r="K22" i="34"/>
  <c r="H33" i="36"/>
  <c r="H65" i="36"/>
  <c r="H46" i="37"/>
  <c r="H93" i="36"/>
  <c r="H23" i="36"/>
  <c r="H102" i="37"/>
  <c r="H86" i="37"/>
  <c r="H113" i="37"/>
  <c r="H61" i="37"/>
  <c r="H63" i="37"/>
  <c r="K10" i="34"/>
  <c r="H53" i="37"/>
  <c r="H80" i="37"/>
  <c r="H118" i="37"/>
  <c r="H46" i="36"/>
  <c r="H71" i="36"/>
  <c r="H43" i="36"/>
  <c r="H70" i="36"/>
  <c r="K28" i="34"/>
  <c r="H94" i="36"/>
  <c r="K15" i="34"/>
  <c r="H109" i="36"/>
  <c r="H32" i="37"/>
  <c r="H12" i="37"/>
  <c r="H31" i="37"/>
  <c r="H58" i="36"/>
  <c r="K27" i="34"/>
  <c r="H54" i="36"/>
  <c r="H25" i="37"/>
  <c r="K36" i="34"/>
  <c r="H78" i="36"/>
  <c r="H93" i="37"/>
  <c r="K7" i="34"/>
  <c r="H22" i="37"/>
  <c r="H36" i="36"/>
  <c r="K35" i="34"/>
  <c r="H44" i="37"/>
  <c r="H31" i="36"/>
  <c r="H76" i="36"/>
  <c r="K13" i="31"/>
  <c r="K15" i="31"/>
  <c r="H101" i="36"/>
  <c r="H16" i="36"/>
  <c r="H121" i="37"/>
  <c r="H125" i="36"/>
  <c r="H67" i="37"/>
  <c r="K26" i="31"/>
  <c r="K34" i="34"/>
  <c r="H10" i="36"/>
  <c r="K23" i="31"/>
  <c r="H45" i="37"/>
  <c r="H95" i="37"/>
  <c r="H48" i="36"/>
  <c r="H54" i="37"/>
  <c r="K22" i="31"/>
  <c r="H40" i="37"/>
  <c r="H40" i="36"/>
  <c r="K27" i="31"/>
  <c r="H22" i="36"/>
  <c r="H38" i="37"/>
  <c r="K16" i="31"/>
  <c r="H24" i="37"/>
  <c r="H30" i="37"/>
  <c r="K2" i="33"/>
  <c r="K2" i="32"/>
  <c r="K2" i="31"/>
  <c r="K2" i="34"/>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29" i="34"/>
  <c r="L29" i="31"/>
  <c r="L9" i="31"/>
  <c r="L25" i="34"/>
  <c r="L32" i="34"/>
  <c r="L5" i="31"/>
  <c r="L30" i="31"/>
  <c r="L34" i="34"/>
  <c r="L16" i="31"/>
  <c r="L6" i="34"/>
  <c r="L14" i="31"/>
  <c r="L26" i="31"/>
  <c r="L5" i="34"/>
  <c r="L9" i="34"/>
  <c r="L19" i="31"/>
  <c r="L25" i="31"/>
  <c r="L4" i="34"/>
  <c r="L36" i="34"/>
  <c r="L12" i="31"/>
  <c r="L20" i="34"/>
  <c r="L11" i="31"/>
  <c r="L15" i="34"/>
  <c r="L13" i="34"/>
  <c r="L18" i="31"/>
  <c r="L12" i="34"/>
  <c r="L19" i="34"/>
  <c r="L24" i="31"/>
  <c r="L7" i="31"/>
  <c r="L33" i="31"/>
  <c r="L8" i="31"/>
  <c r="L10" i="34"/>
  <c r="L18" i="34"/>
  <c r="L33" i="34"/>
  <c r="L27" i="34"/>
  <c r="L21" i="34"/>
  <c r="L11" i="34"/>
  <c r="L21" i="31"/>
  <c r="L32" i="31"/>
  <c r="L15" i="31"/>
  <c r="L27" i="31"/>
  <c r="L20" i="31"/>
  <c r="L22" i="31"/>
  <c r="L31" i="34"/>
  <c r="L17" i="31"/>
  <c r="L35" i="34"/>
  <c r="L23" i="34"/>
  <c r="L16" i="34"/>
  <c r="L36" i="31"/>
  <c r="L24" i="34"/>
  <c r="L17" i="34"/>
  <c r="L10" i="31"/>
  <c r="L23" i="31"/>
  <c r="L14" i="34"/>
  <c r="L35" i="31"/>
  <c r="L31" i="31"/>
  <c r="L13" i="31"/>
  <c r="L30" i="34"/>
  <c r="L28" i="31"/>
  <c r="L28" i="34"/>
  <c r="L34" i="31"/>
  <c r="L8" i="34"/>
  <c r="L6" i="31"/>
  <c r="L4" i="31"/>
  <c r="L7" i="34"/>
  <c r="L22" i="34"/>
  <c r="L26" i="34"/>
  <c r="L2" i="32"/>
  <c r="L2" i="34"/>
  <c r="L2" i="31"/>
  <c r="L2" i="33"/>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32" i="29"/>
  <c r="D14" i="28"/>
  <c r="D31" i="29"/>
  <c r="D49" i="29"/>
  <c r="D13" i="29"/>
  <c r="D5" i="28"/>
  <c r="D4" i="29"/>
  <c r="D7" i="28"/>
  <c r="D35" i="29"/>
  <c r="D38" i="29"/>
  <c r="D33" i="29"/>
  <c r="D25" i="29"/>
  <c r="D44" i="29"/>
  <c r="D51" i="29"/>
  <c r="D41" i="29"/>
  <c r="D19" i="29"/>
  <c r="D25" i="28"/>
  <c r="D52" i="29"/>
  <c r="D39" i="29"/>
  <c r="D9" i="29"/>
  <c r="D27" i="28"/>
  <c r="D4" i="28"/>
  <c r="D15" i="28"/>
  <c r="D8" i="28"/>
  <c r="D15" i="29"/>
  <c r="D59" i="29"/>
  <c r="D7" i="29"/>
  <c r="D48" i="29"/>
  <c r="D22" i="28"/>
  <c r="D12" i="28"/>
  <c r="D53" i="29"/>
  <c r="D64" i="29"/>
  <c r="D11" i="29"/>
  <c r="D29" i="28"/>
  <c r="D42" i="29"/>
  <c r="D45" i="29"/>
  <c r="D14" i="29"/>
  <c r="D13" i="28"/>
  <c r="D11" i="28"/>
  <c r="D21" i="29"/>
  <c r="D5" i="29"/>
  <c r="D6" i="28"/>
  <c r="D63" i="29"/>
  <c r="D9" i="28"/>
  <c r="D24" i="29"/>
  <c r="D3" i="29"/>
  <c r="D37" i="29"/>
  <c r="D26" i="29"/>
  <c r="D50" i="29"/>
  <c r="D24" i="28"/>
  <c r="D20" i="28"/>
  <c r="D54" i="29"/>
  <c r="D21" i="28"/>
  <c r="D23" i="29"/>
  <c r="D19" i="28"/>
  <c r="D18" i="29"/>
  <c r="D10" i="28"/>
  <c r="D6" i="29"/>
  <c r="D12" i="29"/>
  <c r="D30" i="29"/>
  <c r="D62" i="29"/>
  <c r="D20" i="29"/>
  <c r="D58" i="29"/>
  <c r="D17" i="29"/>
  <c r="D16" i="29"/>
  <c r="D22" i="29"/>
  <c r="D55" i="29"/>
  <c r="D36" i="29"/>
  <c r="D28" i="28"/>
  <c r="D17" i="28"/>
  <c r="D34" i="29"/>
  <c r="D16" i="28"/>
  <c r="D46" i="29"/>
  <c r="D47" i="29"/>
  <c r="D3" i="28"/>
  <c r="D40" i="29"/>
  <c r="D61" i="29"/>
  <c r="D18" i="28"/>
  <c r="D8" i="29"/>
  <c r="D10" i="29"/>
  <c r="D57" i="29"/>
  <c r="D56" i="29"/>
  <c r="D28" i="29"/>
  <c r="D43" i="29"/>
  <c r="D23" i="28"/>
  <c r="D29" i="29"/>
  <c r="D60" i="29"/>
  <c r="D27" i="29"/>
  <c r="D26" i="28"/>
  <c r="D2" i="29"/>
  <c r="C7" i="27" l="1"/>
  <c r="C2" i="27"/>
  <c r="C10" i="27"/>
  <c r="C5" i="27"/>
  <c r="C13" i="27"/>
  <c r="C8" i="27"/>
  <c r="C3" i="27"/>
  <c r="C11" i="27"/>
  <c r="C6" i="27"/>
  <c r="C9" i="27"/>
  <c r="C4" i="27"/>
  <c r="C12" i="27"/>
  <c r="C10" i="26"/>
  <c r="C5" i="26"/>
  <c r="C8" i="26"/>
  <c r="C3" i="26"/>
  <c r="C11" i="26"/>
  <c r="C6" i="26"/>
  <c r="C9" i="26"/>
  <c r="C4" i="26"/>
  <c r="C12" i="26"/>
  <c r="C7" i="26"/>
  <c r="E10" i="28"/>
  <c r="E34" i="29"/>
  <c r="E14" i="29"/>
  <c r="E35" i="29"/>
  <c r="E20" i="29"/>
  <c r="E26" i="29"/>
  <c r="E21" i="28"/>
  <c r="E13" i="28"/>
  <c r="E17" i="29"/>
  <c r="E3" i="28"/>
  <c r="E10" i="29"/>
  <c r="E6" i="29"/>
  <c r="E11" i="28"/>
  <c r="E8" i="28"/>
  <c r="E54" i="29"/>
  <c r="E61" i="29"/>
  <c r="E47" i="29"/>
  <c r="E22" i="29"/>
  <c r="E21" i="29"/>
  <c r="E53" i="29"/>
  <c r="E60" i="29"/>
  <c r="D7" i="27"/>
  <c r="E49" i="29"/>
  <c r="E15" i="29"/>
  <c r="E25" i="28"/>
  <c r="D11" i="27"/>
  <c r="E56" i="29"/>
  <c r="D3" i="27"/>
  <c r="E18" i="28"/>
  <c r="E58" i="29"/>
  <c r="E42" i="29"/>
  <c r="E24" i="29"/>
  <c r="E38" i="29"/>
  <c r="E40" i="29"/>
  <c r="E62" i="29"/>
  <c r="E20" i="28"/>
  <c r="D11" i="26"/>
  <c r="D10" i="27"/>
  <c r="E15" i="28"/>
  <c r="E55" i="29"/>
  <c r="E48" i="29"/>
  <c r="E19" i="29"/>
  <c r="D9" i="27"/>
  <c r="E12" i="28"/>
  <c r="D5" i="27"/>
  <c r="E27" i="28"/>
  <c r="D12" i="27"/>
  <c r="D12" i="26"/>
  <c r="E43" i="29"/>
  <c r="E13" i="29"/>
  <c r="E25" i="29"/>
  <c r="E14" i="28"/>
  <c r="E39" i="29"/>
  <c r="E7" i="28"/>
  <c r="D6" i="26"/>
  <c r="E19" i="28"/>
  <c r="E32" i="29"/>
  <c r="E23" i="28"/>
  <c r="E36" i="29"/>
  <c r="E44" i="29"/>
  <c r="E30" i="29"/>
  <c r="E6" i="28"/>
  <c r="E7" i="29"/>
  <c r="E26" i="28"/>
  <c r="E5" i="28"/>
  <c r="E29" i="28"/>
  <c r="E5" i="29"/>
  <c r="E27" i="29"/>
  <c r="E17" i="28"/>
  <c r="D4" i="26"/>
  <c r="E52" i="29"/>
  <c r="E8" i="29"/>
  <c r="E59" i="29"/>
  <c r="E57" i="29"/>
  <c r="E37" i="29"/>
  <c r="E24" i="28"/>
  <c r="D5" i="26"/>
  <c r="D9" i="26"/>
  <c r="D8" i="27"/>
  <c r="E9" i="29"/>
  <c r="D10" i="26"/>
  <c r="E28" i="28"/>
  <c r="E16" i="28"/>
  <c r="E46" i="29"/>
  <c r="E50" i="29"/>
  <c r="D6" i="27"/>
  <c r="E28" i="29"/>
  <c r="E9" i="28"/>
  <c r="D8" i="26"/>
  <c r="D4" i="27"/>
  <c r="E22" i="28"/>
  <c r="E63" i="29"/>
  <c r="E12" i="29"/>
  <c r="E23" i="29"/>
  <c r="E29" i="29"/>
  <c r="E31" i="29"/>
  <c r="E4" i="29"/>
  <c r="E64" i="29"/>
  <c r="E41" i="29"/>
  <c r="E16" i="29"/>
  <c r="D7" i="26"/>
  <c r="E51" i="29"/>
  <c r="E18" i="29"/>
  <c r="E33" i="29"/>
  <c r="E45" i="29"/>
  <c r="E11" i="29"/>
  <c r="E3" i="29"/>
  <c r="E4" i="28"/>
  <c r="D13" i="27"/>
  <c r="E2" i="29"/>
  <c r="D3" i="26"/>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8" i="26"/>
  <c r="F8" i="22"/>
  <c r="F13" i="20"/>
  <c r="Y11" i="26"/>
  <c r="E11" i="27"/>
  <c r="F29" i="20"/>
  <c r="E5" i="27"/>
  <c r="E3" i="27"/>
  <c r="E13" i="27"/>
  <c r="F73" i="20"/>
  <c r="F45" i="20"/>
  <c r="F71" i="20"/>
  <c r="F15" i="21"/>
  <c r="O8" i="26"/>
  <c r="F36" i="20"/>
  <c r="F5" i="21"/>
  <c r="F58" i="20"/>
  <c r="O7" i="26"/>
  <c r="F57" i="20"/>
  <c r="F28" i="20"/>
  <c r="E9" i="26"/>
  <c r="F19" i="20"/>
  <c r="F74" i="20"/>
  <c r="F59" i="20"/>
  <c r="F50" i="20"/>
  <c r="F10" i="22"/>
  <c r="E9" i="27"/>
  <c r="F56" i="20"/>
  <c r="F13" i="21"/>
  <c r="F44" i="20"/>
  <c r="F72" i="20"/>
  <c r="E11" i="26"/>
  <c r="F11" i="21"/>
  <c r="F12" i="21"/>
  <c r="F10" i="20"/>
  <c r="F9" i="21"/>
  <c r="F46" i="20"/>
  <c r="F14" i="20"/>
  <c r="F55" i="20"/>
  <c r="F33" i="20"/>
  <c r="E6" i="27"/>
  <c r="F27" i="20"/>
  <c r="F24" i="20"/>
  <c r="F62" i="20"/>
  <c r="E7" i="26"/>
  <c r="F21" i="20"/>
  <c r="F12" i="20"/>
  <c r="F48" i="20"/>
  <c r="F65" i="20"/>
  <c r="F39" i="20"/>
  <c r="F30" i="20"/>
  <c r="F49" i="20"/>
  <c r="F52" i="20"/>
  <c r="F20" i="20"/>
  <c r="F69" i="20"/>
  <c r="F60" i="20"/>
  <c r="F54" i="20"/>
  <c r="F6" i="21"/>
  <c r="F68" i="20"/>
  <c r="F16" i="20"/>
  <c r="F5" i="22"/>
  <c r="O10" i="26"/>
  <c r="F22" i="20"/>
  <c r="F6" i="20"/>
  <c r="F7" i="21"/>
  <c r="E5" i="26"/>
  <c r="O9" i="26"/>
  <c r="F34" i="20"/>
  <c r="F37" i="20"/>
  <c r="E6" i="26"/>
  <c r="F43" i="20"/>
  <c r="F7" i="20"/>
  <c r="F67" i="20"/>
  <c r="F25" i="20"/>
  <c r="E8" i="27"/>
  <c r="F26" i="20"/>
  <c r="E12" i="27"/>
  <c r="F9" i="20"/>
  <c r="F11" i="22"/>
  <c r="F9" i="22"/>
  <c r="F66" i="20"/>
  <c r="F10" i="21"/>
  <c r="E4" i="26"/>
  <c r="F31" i="20"/>
  <c r="F35" i="20"/>
  <c r="E4" i="27"/>
  <c r="E10" i="27"/>
  <c r="F53" i="20"/>
  <c r="F64" i="20"/>
  <c r="E10" i="26"/>
  <c r="F32" i="20"/>
  <c r="E12" i="26"/>
  <c r="F15" i="20"/>
  <c r="F63" i="20"/>
  <c r="F7" i="22"/>
  <c r="F6" i="22"/>
  <c r="F61" i="20"/>
  <c r="F18" i="20"/>
  <c r="F17" i="20"/>
  <c r="F51" i="20"/>
  <c r="F41" i="20"/>
  <c r="Y12" i="26"/>
  <c r="F70" i="20"/>
  <c r="F14" i="21"/>
  <c r="F5" i="20"/>
  <c r="F23" i="20"/>
  <c r="F40" i="20"/>
  <c r="O6" i="26"/>
  <c r="F8" i="21"/>
  <c r="F11" i="20"/>
  <c r="F8" i="20"/>
  <c r="F47" i="20"/>
  <c r="F42" i="20"/>
  <c r="E7" i="27"/>
  <c r="F4" i="21"/>
  <c r="E2" i="27"/>
  <c r="F4" i="20"/>
  <c r="F4" i="22"/>
  <c r="E3" i="26"/>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Y8" i="21"/>
  <c r="Y32" i="20"/>
  <c r="Y20" i="20"/>
  <c r="G30" i="20"/>
  <c r="F12" i="23"/>
  <c r="Y25" i="20"/>
  <c r="F17" i="23"/>
  <c r="Y10" i="21"/>
  <c r="F20" i="23"/>
  <c r="G7" i="20"/>
  <c r="G6" i="20"/>
  <c r="G5" i="21"/>
  <c r="Y29" i="20"/>
  <c r="G7" i="21"/>
  <c r="Y14" i="21"/>
  <c r="G9" i="22"/>
  <c r="G13" i="21"/>
  <c r="G8" i="21"/>
  <c r="G8" i="20"/>
  <c r="Y5" i="20"/>
  <c r="G25" i="20"/>
  <c r="Y9" i="21"/>
  <c r="F25" i="23"/>
  <c r="Y37" i="20"/>
  <c r="Y31" i="20"/>
  <c r="Y12" i="20"/>
  <c r="Y15" i="20"/>
  <c r="G11" i="21"/>
  <c r="G10" i="20"/>
  <c r="G36" i="20"/>
  <c r="G22" i="20"/>
  <c r="Y21" i="20"/>
  <c r="Y28" i="20"/>
  <c r="Y6" i="21"/>
  <c r="G9" i="21"/>
  <c r="G8" i="22"/>
  <c r="F9" i="23"/>
  <c r="Y6" i="20"/>
  <c r="G11" i="22"/>
  <c r="G13" i="20"/>
  <c r="G19" i="20"/>
  <c r="G12" i="21"/>
  <c r="Y16" i="20"/>
  <c r="Y7" i="20"/>
  <c r="G10" i="21"/>
  <c r="Y9" i="20"/>
  <c r="G27" i="20"/>
  <c r="G6" i="21"/>
  <c r="F6" i="23"/>
  <c r="G23" i="20"/>
  <c r="Y18" i="20"/>
  <c r="Y12" i="21"/>
  <c r="G35" i="20"/>
  <c r="G11" i="20"/>
  <c r="G5" i="22"/>
  <c r="G33" i="20"/>
  <c r="Y11" i="21"/>
  <c r="G12" i="20"/>
  <c r="G9" i="20"/>
  <c r="Y35" i="20"/>
  <c r="Y30" i="20"/>
  <c r="G24" i="20"/>
  <c r="Y13" i="20"/>
  <c r="Y33" i="20"/>
  <c r="G21" i="20"/>
  <c r="Y23" i="20"/>
  <c r="F14" i="23"/>
  <c r="Y8" i="20"/>
  <c r="Y34" i="20"/>
  <c r="G34" i="20"/>
  <c r="Y11" i="20"/>
  <c r="F33" i="23"/>
  <c r="F41" i="23"/>
  <c r="Y5" i="21"/>
  <c r="G20" i="20"/>
  <c r="F30" i="23"/>
  <c r="Y19" i="20"/>
  <c r="G31" i="20"/>
  <c r="G14" i="21"/>
  <c r="F28" i="23"/>
  <c r="G18" i="20"/>
  <c r="Y26" i="20"/>
  <c r="G10" i="22"/>
  <c r="G7" i="22"/>
  <c r="Y14" i="20"/>
  <c r="G15" i="21"/>
  <c r="Y7" i="21"/>
  <c r="G37" i="20"/>
  <c r="G15" i="20"/>
  <c r="G16" i="20"/>
  <c r="Y10" i="20"/>
  <c r="G17" i="20"/>
  <c r="Y27" i="20"/>
  <c r="Y15" i="21"/>
  <c r="F12" i="24"/>
  <c r="Y24" i="20"/>
  <c r="G26" i="20"/>
  <c r="Y17" i="20"/>
  <c r="G29" i="20"/>
  <c r="Y13" i="21"/>
  <c r="G6" i="22"/>
  <c r="F36" i="23"/>
  <c r="Y22" i="20"/>
  <c r="G5" i="20"/>
  <c r="G28" i="20"/>
  <c r="G14" i="20"/>
  <c r="G32" i="20"/>
  <c r="F38" i="23"/>
  <c r="F28" i="24"/>
  <c r="Y36" i="20"/>
  <c r="F20" i="24"/>
  <c r="G4" i="22"/>
  <c r="G4" i="21"/>
  <c r="G4" i="20"/>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39" i="24"/>
  <c r="F10" i="24"/>
  <c r="G6" i="23"/>
  <c r="F33" i="24"/>
  <c r="G17" i="23"/>
  <c r="F29" i="23"/>
  <c r="F25" i="24"/>
  <c r="AC20" i="24"/>
  <c r="F13" i="23"/>
  <c r="F18" i="23"/>
  <c r="F17" i="24"/>
  <c r="F7" i="23"/>
  <c r="F40" i="23"/>
  <c r="G30" i="23"/>
  <c r="F29" i="24"/>
  <c r="F16" i="24"/>
  <c r="F13" i="24"/>
  <c r="F7" i="24"/>
  <c r="F15" i="24"/>
  <c r="F36" i="24"/>
  <c r="F34" i="24"/>
  <c r="F19" i="24"/>
  <c r="F37" i="24"/>
  <c r="G9" i="23"/>
  <c r="F42" i="23"/>
  <c r="F23" i="23"/>
  <c r="F42" i="24"/>
  <c r="F39" i="23"/>
  <c r="AC12" i="24"/>
  <c r="F21" i="24"/>
  <c r="F26" i="23"/>
  <c r="F34" i="23"/>
  <c r="F11" i="24"/>
  <c r="G12" i="24"/>
  <c r="G33" i="23"/>
  <c r="F24" i="23"/>
  <c r="F11" i="23"/>
  <c r="F16" i="23"/>
  <c r="F27" i="23"/>
  <c r="F23" i="24"/>
  <c r="F35" i="24"/>
  <c r="G28" i="24"/>
  <c r="F26" i="24"/>
  <c r="G41" i="23"/>
  <c r="AC28" i="24"/>
  <c r="F41" i="24"/>
  <c r="F30" i="24"/>
  <c r="F10" i="23"/>
  <c r="G38" i="23"/>
  <c r="F8" i="23"/>
  <c r="G12" i="23"/>
  <c r="F31" i="24"/>
  <c r="F14" i="24"/>
  <c r="F18" i="24"/>
  <c r="G14" i="23"/>
  <c r="F15" i="23"/>
  <c r="F21" i="23"/>
  <c r="F9" i="24"/>
  <c r="G20" i="24"/>
  <c r="F31" i="23"/>
  <c r="F24" i="24"/>
  <c r="F19" i="23"/>
  <c r="F6" i="24"/>
  <c r="G36" i="23"/>
  <c r="F32" i="23"/>
  <c r="F22" i="24"/>
  <c r="G25" i="23"/>
  <c r="F35" i="23"/>
  <c r="F27" i="24"/>
  <c r="F38" i="24"/>
  <c r="F40" i="24"/>
  <c r="F8" i="24"/>
  <c r="G28" i="23"/>
  <c r="F32" i="24"/>
  <c r="G20" i="23"/>
  <c r="F37" i="23"/>
  <c r="F22" i="23"/>
  <c r="F5" i="24"/>
  <c r="F5" i="23"/>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26" i="24"/>
  <c r="D15" i="13"/>
  <c r="AC37" i="24"/>
  <c r="G7" i="23"/>
  <c r="D7" i="13"/>
  <c r="G22" i="24"/>
  <c r="G23" i="23"/>
  <c r="G27" i="23"/>
  <c r="D10" i="13"/>
  <c r="AC9" i="24"/>
  <c r="E6" i="14"/>
  <c r="E7" i="14"/>
  <c r="G10" i="23"/>
  <c r="AC34" i="24"/>
  <c r="AC14" i="24"/>
  <c r="G40" i="23"/>
  <c r="G42" i="23"/>
  <c r="D18" i="13"/>
  <c r="AC31" i="24"/>
  <c r="G15" i="23"/>
  <c r="G34" i="24"/>
  <c r="AC25" i="24"/>
  <c r="AC13" i="24"/>
  <c r="AC42" i="24"/>
  <c r="D12" i="13"/>
  <c r="E24" i="14"/>
  <c r="E9" i="14"/>
  <c r="AC7" i="24"/>
  <c r="G42" i="24"/>
  <c r="AC36" i="24"/>
  <c r="G22" i="23"/>
  <c r="G11" i="24"/>
  <c r="G13" i="24"/>
  <c r="G18" i="24"/>
  <c r="AC39" i="24"/>
  <c r="G21" i="23"/>
  <c r="G6" i="24"/>
  <c r="AC26" i="24"/>
  <c r="G37" i="23"/>
  <c r="E19" i="14"/>
  <c r="E25" i="14"/>
  <c r="E22" i="14"/>
  <c r="D20" i="13"/>
  <c r="AC23" i="24"/>
  <c r="G35" i="23"/>
  <c r="G10" i="24"/>
  <c r="G31" i="23"/>
  <c r="AC8" i="24"/>
  <c r="AC17" i="24"/>
  <c r="G24" i="24"/>
  <c r="E3" i="14"/>
  <c r="AC30" i="24"/>
  <c r="E23" i="14"/>
  <c r="G17" i="24"/>
  <c r="D13" i="13"/>
  <c r="D6" i="16" a="1"/>
  <c r="E20" i="14"/>
  <c r="G29" i="23"/>
  <c r="E5" i="14"/>
  <c r="E11" i="14"/>
  <c r="D21" i="13"/>
  <c r="G19" i="23"/>
  <c r="G26" i="23"/>
  <c r="G23" i="24"/>
  <c r="D6" i="15" a="1"/>
  <c r="G18" i="23"/>
  <c r="AC21" i="24"/>
  <c r="G29" i="24"/>
  <c r="G38" i="24"/>
  <c r="AC40" i="24"/>
  <c r="G9" i="24"/>
  <c r="G25" i="24"/>
  <c r="E13" i="14"/>
  <c r="G16" i="23"/>
  <c r="D17" i="13"/>
  <c r="G40" i="24"/>
  <c r="AC10" i="24"/>
  <c r="AC35" i="24"/>
  <c r="E8" i="14"/>
  <c r="G16" i="24"/>
  <c r="E10" i="14"/>
  <c r="D16" i="13"/>
  <c r="E17" i="14"/>
  <c r="E4" i="14"/>
  <c r="AC38" i="24"/>
  <c r="G14" i="24"/>
  <c r="D5" i="17" a="1"/>
  <c r="AC15" i="24"/>
  <c r="E18" i="14"/>
  <c r="AC32" i="24"/>
  <c r="E16" i="14"/>
  <c r="AC29" i="24"/>
  <c r="G37" i="24"/>
  <c r="AC18" i="24"/>
  <c r="AC27" i="24"/>
  <c r="D5" i="13"/>
  <c r="D6" i="13"/>
  <c r="G39" i="23"/>
  <c r="G21" i="24"/>
  <c r="E26" i="14"/>
  <c r="G36" i="24"/>
  <c r="G33" i="24"/>
  <c r="AC11" i="24"/>
  <c r="G30" i="24"/>
  <c r="D14" i="13"/>
  <c r="D11" i="13"/>
  <c r="G8" i="23"/>
  <c r="G7" i="24"/>
  <c r="C5" i="18"/>
  <c r="AC33" i="24"/>
  <c r="D19" i="13"/>
  <c r="D8" i="13"/>
  <c r="AC22" i="24"/>
  <c r="G27" i="24"/>
  <c r="AC24" i="24"/>
  <c r="G35" i="24"/>
  <c r="E15" i="14"/>
  <c r="AC6" i="24"/>
  <c r="G13" i="23"/>
  <c r="D22" i="13"/>
  <c r="G39" i="24"/>
  <c r="AC16" i="24"/>
  <c r="D9" i="13"/>
  <c r="C6" i="18"/>
  <c r="G32" i="24"/>
  <c r="G32" i="23"/>
  <c r="G41" i="24"/>
  <c r="G24" i="23"/>
  <c r="AC41" i="24"/>
  <c r="AC19" i="24"/>
  <c r="E12" i="14"/>
  <c r="G11" i="23"/>
  <c r="G31" i="24"/>
  <c r="G8" i="24"/>
  <c r="G15" i="24"/>
  <c r="G34" i="23"/>
  <c r="E21" i="14"/>
  <c r="E14" i="14"/>
  <c r="G19" i="24"/>
  <c r="G5" i="24"/>
  <c r="AC5" i="24"/>
  <c r="G5" i="23"/>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102" i="17"/>
  <c r="F37" i="17"/>
  <c r="F44" i="16"/>
  <c r="F121" i="17"/>
  <c r="F85" i="17"/>
  <c r="F28" i="17"/>
  <c r="F99" i="15"/>
  <c r="F86" i="17"/>
  <c r="E17" i="13"/>
  <c r="F62" i="16"/>
  <c r="F72" i="16"/>
  <c r="F120" i="15"/>
  <c r="F17" i="17"/>
  <c r="F55" i="15"/>
  <c r="F35" i="17"/>
  <c r="F107" i="15"/>
  <c r="F11" i="14"/>
  <c r="F15" i="14"/>
  <c r="F65" i="17"/>
  <c r="F8" i="17"/>
  <c r="F115" i="16"/>
  <c r="F25" i="14"/>
  <c r="F114" i="16"/>
  <c r="F55" i="17"/>
  <c r="F22" i="15"/>
  <c r="F96" i="17"/>
  <c r="F32" i="16"/>
  <c r="F48" i="15"/>
  <c r="F20" i="16"/>
  <c r="F27" i="16"/>
  <c r="F16" i="15"/>
  <c r="F38" i="15"/>
  <c r="F7" i="17"/>
  <c r="F34" i="16"/>
  <c r="F70" i="16"/>
  <c r="F90" i="15"/>
  <c r="F25" i="17"/>
  <c r="F58" i="17"/>
  <c r="F59" i="15"/>
  <c r="F19" i="14"/>
  <c r="F76" i="15"/>
  <c r="F46" i="15"/>
  <c r="F33" i="17"/>
  <c r="F91" i="16"/>
  <c r="F72" i="17"/>
  <c r="F57" i="17"/>
  <c r="F26" i="17"/>
  <c r="F35" i="15"/>
  <c r="F51" i="15"/>
  <c r="F118" i="17"/>
  <c r="F48" i="17"/>
  <c r="F71" i="16"/>
  <c r="F28" i="16"/>
  <c r="F109" i="17"/>
  <c r="F94" i="16"/>
  <c r="F10" i="14"/>
  <c r="F74" i="15"/>
  <c r="F24" i="16"/>
  <c r="F105" i="15"/>
  <c r="F15" i="17"/>
  <c r="F110" i="15"/>
  <c r="F52" i="17"/>
  <c r="F80" i="15"/>
  <c r="E13" i="13"/>
  <c r="F47" i="17"/>
  <c r="F42" i="16"/>
  <c r="F54" i="16"/>
  <c r="F110" i="16"/>
  <c r="F61" i="15"/>
  <c r="F23" i="15"/>
  <c r="F56" i="16"/>
  <c r="F27" i="15"/>
  <c r="D6" i="18"/>
  <c r="F15" i="15"/>
  <c r="F11" i="16"/>
  <c r="F106" i="15"/>
  <c r="E21" i="13"/>
  <c r="F68" i="15"/>
  <c r="F33" i="16"/>
  <c r="F70" i="15"/>
  <c r="F115" i="17"/>
  <c r="F6" i="17"/>
  <c r="F9" i="17"/>
  <c r="F112" i="15"/>
  <c r="F53" i="15"/>
  <c r="F21" i="17"/>
  <c r="F45" i="15"/>
  <c r="F81" i="17"/>
  <c r="F65" i="16"/>
  <c r="F119" i="16"/>
  <c r="F22" i="17"/>
  <c r="F85" i="15"/>
  <c r="F13" i="14"/>
  <c r="F25" i="16"/>
  <c r="F79" i="16"/>
  <c r="F86" i="16"/>
  <c r="F74" i="16"/>
  <c r="F8" i="16"/>
  <c r="F63" i="16"/>
  <c r="F97" i="16"/>
  <c r="F69" i="17"/>
  <c r="F27" i="17"/>
  <c r="F125" i="15"/>
  <c r="F66" i="17"/>
  <c r="F74" i="17"/>
  <c r="F124" i="17"/>
  <c r="F59" i="17"/>
  <c r="F20" i="17"/>
  <c r="F108" i="17"/>
  <c r="F18" i="14"/>
  <c r="F26" i="16"/>
  <c r="F19" i="17"/>
  <c r="F4" i="14"/>
  <c r="E5" i="13"/>
  <c r="F12" i="16"/>
  <c r="F57" i="16"/>
  <c r="F61" i="16"/>
  <c r="F98" i="17"/>
  <c r="F92" i="17"/>
  <c r="F98" i="15"/>
  <c r="F82" i="16"/>
  <c r="F23" i="17"/>
  <c r="E18" i="13"/>
  <c r="F6" i="15"/>
  <c r="F109" i="15"/>
  <c r="F121" i="16"/>
  <c r="F75" i="15"/>
  <c r="F40" i="16"/>
  <c r="F41" i="17"/>
  <c r="F21" i="14"/>
  <c r="F75" i="16"/>
  <c r="F54" i="17"/>
  <c r="F104" i="15"/>
  <c r="F90" i="17"/>
  <c r="F38" i="16"/>
  <c r="F22" i="14"/>
  <c r="E11" i="13"/>
  <c r="F103" i="15"/>
  <c r="F97" i="15"/>
  <c r="F39" i="17"/>
  <c r="F14" i="15"/>
  <c r="F41" i="15"/>
  <c r="F118" i="15"/>
  <c r="F95" i="17"/>
  <c r="F25" i="15"/>
  <c r="F107" i="16"/>
  <c r="F54" i="15"/>
  <c r="F37" i="15"/>
  <c r="F122" i="17"/>
  <c r="F35" i="16"/>
  <c r="F69" i="15"/>
  <c r="F71" i="17"/>
  <c r="F101" i="17"/>
  <c r="F7" i="16"/>
  <c r="F47" i="16"/>
  <c r="F83" i="15"/>
  <c r="E22" i="13"/>
  <c r="F37" i="16"/>
  <c r="F64" i="17"/>
  <c r="F103" i="16"/>
  <c r="E19" i="13"/>
  <c r="F96" i="15"/>
  <c r="F29" i="16"/>
  <c r="F30" i="16"/>
  <c r="F102" i="15"/>
  <c r="F12" i="14"/>
  <c r="F67" i="16"/>
  <c r="F53" i="17"/>
  <c r="F80" i="16"/>
  <c r="F84" i="15"/>
  <c r="F79" i="17"/>
  <c r="F31" i="15"/>
  <c r="F15" i="16"/>
  <c r="F108" i="15"/>
  <c r="F112" i="17"/>
  <c r="F101" i="16"/>
  <c r="F62" i="15"/>
  <c r="F78" i="15"/>
  <c r="E9" i="13"/>
  <c r="F76" i="16"/>
  <c r="F64" i="15"/>
  <c r="F14" i="14"/>
  <c r="F115" i="15"/>
  <c r="D5" i="18"/>
  <c r="F121" i="15"/>
  <c r="F50" i="15"/>
  <c r="F111" i="15"/>
  <c r="F10" i="16"/>
  <c r="F87" i="15"/>
  <c r="F52" i="16"/>
  <c r="F11" i="17"/>
  <c r="F73" i="15"/>
  <c r="F85" i="16"/>
  <c r="F89" i="15"/>
  <c r="F116" i="15"/>
  <c r="F88" i="16"/>
  <c r="F36" i="16"/>
  <c r="F51" i="17"/>
  <c r="F58" i="15"/>
  <c r="F32" i="17"/>
  <c r="F9" i="16"/>
  <c r="F5" i="14"/>
  <c r="F94" i="17"/>
  <c r="F50" i="16"/>
  <c r="F28" i="15"/>
  <c r="F65" i="15"/>
  <c r="F17" i="15"/>
  <c r="F87" i="16"/>
  <c r="F8" i="15"/>
  <c r="F31" i="16"/>
  <c r="F81" i="15"/>
  <c r="F40" i="17"/>
  <c r="F40" i="15"/>
  <c r="F62" i="17"/>
  <c r="F95" i="16"/>
  <c r="F89" i="16"/>
  <c r="F19" i="16"/>
  <c r="F84" i="17"/>
  <c r="F18" i="15"/>
  <c r="F21" i="15"/>
  <c r="F88" i="17"/>
  <c r="F93" i="17"/>
  <c r="F6" i="14"/>
  <c r="F112" i="16"/>
  <c r="F24" i="17"/>
  <c r="F100" i="16"/>
  <c r="F116" i="17"/>
  <c r="F117" i="15"/>
  <c r="F117" i="17"/>
  <c r="F83" i="16"/>
  <c r="F66" i="16"/>
  <c r="F12" i="15"/>
  <c r="F13" i="15"/>
  <c r="F55" i="16"/>
  <c r="F89" i="17"/>
  <c r="F60" i="17"/>
  <c r="F17" i="16"/>
  <c r="F5" i="17"/>
  <c r="F113" i="17"/>
  <c r="F20" i="15"/>
  <c r="F7" i="14"/>
  <c r="F44" i="17"/>
  <c r="F53" i="16"/>
  <c r="F45" i="16"/>
  <c r="F3" i="14"/>
  <c r="F56" i="15"/>
  <c r="F24" i="14"/>
  <c r="F58" i="16"/>
  <c r="F16" i="14"/>
  <c r="F8" i="14"/>
  <c r="F105" i="16"/>
  <c r="F36" i="15"/>
  <c r="F110" i="17"/>
  <c r="F124" i="16"/>
  <c r="F43" i="16"/>
  <c r="F21" i="16"/>
  <c r="F6" i="16"/>
  <c r="F60" i="16"/>
  <c r="F116" i="16"/>
  <c r="F47" i="15"/>
  <c r="F118" i="16"/>
  <c r="F36" i="17"/>
  <c r="F125" i="16"/>
  <c r="F117" i="16"/>
  <c r="F78" i="17"/>
  <c r="F81" i="16"/>
  <c r="F23" i="16"/>
  <c r="F107" i="17"/>
  <c r="F106" i="16"/>
  <c r="E10" i="13"/>
  <c r="F26" i="14"/>
  <c r="F73" i="17"/>
  <c r="F77" i="15"/>
  <c r="F93" i="16"/>
  <c r="F113" i="15"/>
  <c r="F90" i="16"/>
  <c r="F31" i="17"/>
  <c r="F111" i="16"/>
  <c r="F39" i="16"/>
  <c r="F98" i="16"/>
  <c r="F24" i="15"/>
  <c r="F32" i="15"/>
  <c r="F7" i="15"/>
  <c r="F87" i="17"/>
  <c r="F19" i="15"/>
  <c r="F61" i="17"/>
  <c r="F34" i="15"/>
  <c r="F78" i="16"/>
  <c r="F95" i="15"/>
  <c r="F94" i="15"/>
  <c r="F43" i="17"/>
  <c r="F123" i="15"/>
  <c r="F34" i="17"/>
  <c r="F120" i="17"/>
  <c r="F82" i="15"/>
  <c r="F84" i="16"/>
  <c r="F26" i="15"/>
  <c r="F79" i="15"/>
  <c r="F10" i="17"/>
  <c r="F52" i="15"/>
  <c r="F30" i="15"/>
  <c r="F42" i="17"/>
  <c r="F104" i="17"/>
  <c r="F106" i="17"/>
  <c r="E15" i="13"/>
  <c r="F13" i="16"/>
  <c r="F119" i="15"/>
  <c r="F66" i="15"/>
  <c r="F109" i="16"/>
  <c r="F92" i="16"/>
  <c r="F48" i="16"/>
  <c r="F102" i="16"/>
  <c r="F111" i="17"/>
  <c r="F91" i="15"/>
  <c r="F73" i="16"/>
  <c r="F122" i="15"/>
  <c r="F30" i="17"/>
  <c r="F11" i="15"/>
  <c r="F42" i="15"/>
  <c r="F91" i="17"/>
  <c r="F113" i="16"/>
  <c r="E6" i="13"/>
  <c r="E8" i="13"/>
  <c r="F76" i="17"/>
  <c r="E16" i="13"/>
  <c r="F29" i="15"/>
  <c r="F18" i="17"/>
  <c r="F97" i="17"/>
  <c r="F83" i="17"/>
  <c r="F100" i="17"/>
  <c r="F92" i="15"/>
  <c r="F122" i="16"/>
  <c r="F38" i="17"/>
  <c r="F14" i="16"/>
  <c r="F64" i="16"/>
  <c r="F105" i="17"/>
  <c r="F77" i="17"/>
  <c r="F22" i="16"/>
  <c r="F68" i="16"/>
  <c r="F114" i="17"/>
  <c r="F49" i="16"/>
  <c r="F119" i="17"/>
  <c r="F49" i="15"/>
  <c r="F23" i="14"/>
  <c r="F51" i="16"/>
  <c r="F67" i="17"/>
  <c r="F46" i="16"/>
  <c r="F20" i="14"/>
  <c r="F88" i="15"/>
  <c r="F10" i="15"/>
  <c r="F123" i="17"/>
  <c r="F16" i="17"/>
  <c r="F46" i="17"/>
  <c r="F45" i="17"/>
  <c r="F77" i="16"/>
  <c r="F71" i="15"/>
  <c r="F104" i="16"/>
  <c r="F12" i="17"/>
  <c r="F16" i="16"/>
  <c r="F93" i="15"/>
  <c r="F9" i="15"/>
  <c r="F67" i="15"/>
  <c r="F39" i="15"/>
  <c r="F59" i="16"/>
  <c r="F108" i="16"/>
  <c r="F80" i="17"/>
  <c r="F33" i="15"/>
  <c r="F103" i="17"/>
  <c r="F114" i="15"/>
  <c r="F63" i="17"/>
  <c r="F13" i="17"/>
  <c r="F14" i="17"/>
  <c r="E20" i="13"/>
  <c r="F57" i="15"/>
  <c r="E12" i="13"/>
  <c r="F120" i="16"/>
  <c r="F50" i="17"/>
  <c r="F124" i="15"/>
  <c r="F75" i="17"/>
  <c r="F18" i="16"/>
  <c r="F72" i="15"/>
  <c r="F99" i="16"/>
  <c r="F17" i="14"/>
  <c r="F123" i="16"/>
  <c r="F9" i="14"/>
  <c r="F41" i="16"/>
  <c r="F56" i="17"/>
  <c r="F63" i="15"/>
  <c r="F29" i="17"/>
  <c r="F49" i="17"/>
  <c r="F96" i="16"/>
  <c r="F82" i="17"/>
  <c r="F44" i="15"/>
  <c r="F60" i="15"/>
  <c r="F86" i="15"/>
  <c r="F100" i="15"/>
  <c r="F101" i="15"/>
  <c r="F70" i="17"/>
  <c r="F69" i="16"/>
  <c r="F43" i="15"/>
  <c r="F99" i="17"/>
  <c r="E14" i="13"/>
  <c r="F68" i="17"/>
  <c r="D4" i="13"/>
  <c r="E2" i="14"/>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42" i="17"/>
  <c r="G11" i="16"/>
  <c r="G76" i="17"/>
  <c r="G79" i="16"/>
  <c r="G45" i="16"/>
  <c r="G5" i="17"/>
  <c r="G87" i="15"/>
  <c r="G92" i="17"/>
  <c r="G8" i="16"/>
  <c r="G116" i="17"/>
  <c r="G63" i="17"/>
  <c r="G123" i="15"/>
  <c r="G35" i="17"/>
  <c r="G66" i="16"/>
  <c r="G116" i="15"/>
  <c r="G125" i="15"/>
  <c r="G80" i="15"/>
  <c r="G61" i="17"/>
  <c r="G45" i="17"/>
  <c r="G20" i="15"/>
  <c r="G59" i="17"/>
  <c r="G29" i="15"/>
  <c r="G51" i="17"/>
  <c r="G119" i="17"/>
  <c r="G82" i="16"/>
  <c r="G88" i="17"/>
  <c r="G124" i="17"/>
  <c r="G107" i="17"/>
  <c r="G98" i="16"/>
  <c r="G53" i="16"/>
  <c r="G26" i="16"/>
  <c r="G83" i="17"/>
  <c r="G48" i="17"/>
  <c r="G112" i="17"/>
  <c r="G117" i="15"/>
  <c r="G101" i="15"/>
  <c r="G57" i="15"/>
  <c r="G24" i="15"/>
  <c r="G56" i="16"/>
  <c r="G109" i="16"/>
  <c r="G86" i="17"/>
  <c r="G81" i="17"/>
  <c r="G110" i="15"/>
  <c r="G9" i="16"/>
  <c r="G125" i="16"/>
  <c r="G44" i="16"/>
  <c r="G110" i="17"/>
  <c r="G64" i="17"/>
  <c r="G96" i="17"/>
  <c r="G23" i="16"/>
  <c r="G89" i="17"/>
  <c r="G74" i="16"/>
  <c r="G34" i="16"/>
  <c r="G83" i="16"/>
  <c r="G112" i="16"/>
  <c r="G25" i="15"/>
  <c r="G87" i="17"/>
  <c r="G35" i="16"/>
  <c r="G21" i="17"/>
  <c r="G120" i="15"/>
  <c r="G54" i="15"/>
  <c r="G69" i="16"/>
  <c r="G117" i="17"/>
  <c r="G103" i="16"/>
  <c r="G84" i="15"/>
  <c r="G32" i="16"/>
  <c r="G115" i="17"/>
  <c r="G124" i="16"/>
  <c r="G12" i="17"/>
  <c r="G39" i="16"/>
  <c r="G98" i="15"/>
  <c r="G16" i="17"/>
  <c r="G71" i="15"/>
  <c r="G87" i="16"/>
  <c r="G8" i="15"/>
  <c r="G25" i="17"/>
  <c r="G105" i="16"/>
  <c r="G78" i="17"/>
  <c r="G8" i="17"/>
  <c r="G88" i="16"/>
  <c r="G30" i="16"/>
  <c r="G17" i="15"/>
  <c r="G94" i="16"/>
  <c r="G68" i="16"/>
  <c r="G54" i="16"/>
  <c r="G60" i="15"/>
  <c r="G41" i="17"/>
  <c r="G102" i="15"/>
  <c r="G73" i="16"/>
  <c r="G36" i="16"/>
  <c r="G40" i="16"/>
  <c r="G28" i="16"/>
  <c r="G21" i="16"/>
  <c r="G85" i="16"/>
  <c r="G78" i="15"/>
  <c r="G103" i="15"/>
  <c r="G113" i="16"/>
  <c r="G98" i="17"/>
  <c r="G99" i="16"/>
  <c r="G49" i="15"/>
  <c r="G94" i="17"/>
  <c r="G114" i="16"/>
  <c r="G37" i="15"/>
  <c r="G40" i="15"/>
  <c r="G56" i="15"/>
  <c r="G93" i="16"/>
  <c r="G83" i="15"/>
  <c r="G42" i="15"/>
  <c r="G76" i="16"/>
  <c r="G86" i="16"/>
  <c r="G44" i="17"/>
  <c r="G108" i="16"/>
  <c r="G82" i="15"/>
  <c r="G104" i="15"/>
  <c r="G91" i="16"/>
  <c r="G111" i="16"/>
  <c r="G121" i="17"/>
  <c r="G18" i="16"/>
  <c r="G18" i="15"/>
  <c r="G7" i="15"/>
  <c r="G77" i="15"/>
  <c r="G76" i="15"/>
  <c r="G52" i="17"/>
  <c r="G38" i="16"/>
  <c r="G12" i="15"/>
  <c r="G26" i="15"/>
  <c r="G53" i="17"/>
  <c r="G44" i="15"/>
  <c r="G113" i="15"/>
  <c r="G106" i="17"/>
  <c r="G74" i="15"/>
  <c r="G120" i="17"/>
  <c r="G35" i="15"/>
  <c r="G60" i="16"/>
  <c r="G95" i="15"/>
  <c r="G77" i="16"/>
  <c r="G30" i="15"/>
  <c r="G15" i="17"/>
  <c r="G27" i="17"/>
  <c r="G114" i="15"/>
  <c r="G100" i="17"/>
  <c r="G22" i="16"/>
  <c r="G47" i="15"/>
  <c r="G89" i="16"/>
  <c r="G81" i="16"/>
  <c r="G82" i="17"/>
  <c r="G99" i="15"/>
  <c r="G46" i="17"/>
  <c r="G39" i="17"/>
  <c r="G16" i="16"/>
  <c r="G111" i="15"/>
  <c r="G62" i="16"/>
  <c r="G64" i="16"/>
  <c r="G69" i="15"/>
  <c r="G56" i="17"/>
  <c r="G71" i="17"/>
  <c r="G78" i="16"/>
  <c r="G33" i="16"/>
  <c r="G23" i="17"/>
  <c r="G88" i="15"/>
  <c r="G97" i="16"/>
  <c r="G16" i="15"/>
  <c r="G99" i="17"/>
  <c r="G111" i="17"/>
  <c r="G61" i="15"/>
  <c r="G15" i="15"/>
  <c r="G97" i="15"/>
  <c r="G20" i="16"/>
  <c r="G72" i="16"/>
  <c r="G46" i="15"/>
  <c r="G75" i="16"/>
  <c r="G34" i="17"/>
  <c r="G107" i="15"/>
  <c r="G80" i="16"/>
  <c r="G67" i="16"/>
  <c r="G118" i="17"/>
  <c r="G31" i="16"/>
  <c r="G106" i="16"/>
  <c r="G74" i="17"/>
  <c r="G67" i="17"/>
  <c r="G108" i="15"/>
  <c r="G66" i="17"/>
  <c r="G81" i="15"/>
  <c r="G27" i="15"/>
  <c r="G51" i="15"/>
  <c r="G72" i="15"/>
  <c r="G32" i="17"/>
  <c r="G109" i="17"/>
  <c r="G49" i="17"/>
  <c r="G7" i="17"/>
  <c r="G36" i="15"/>
  <c r="G96" i="16"/>
  <c r="G113" i="17"/>
  <c r="G112" i="15"/>
  <c r="G9" i="15"/>
  <c r="G115" i="16"/>
  <c r="G6" i="16"/>
  <c r="G31" i="17"/>
  <c r="G12" i="16"/>
  <c r="G27" i="16"/>
  <c r="G32" i="15"/>
  <c r="G121" i="15"/>
  <c r="G7" i="16"/>
  <c r="G39" i="15"/>
  <c r="G93" i="17"/>
  <c r="G59" i="15"/>
  <c r="G29" i="16"/>
  <c r="G58" i="16"/>
  <c r="G41" i="16"/>
  <c r="G71" i="16"/>
  <c r="G106" i="15"/>
  <c r="G47" i="16"/>
  <c r="G62" i="17"/>
  <c r="G13" i="17"/>
  <c r="G105" i="15"/>
  <c r="G63" i="16"/>
  <c r="G50" i="17"/>
  <c r="G42" i="16"/>
  <c r="G110" i="16"/>
  <c r="G10" i="17"/>
  <c r="G19" i="15"/>
  <c r="G114" i="17"/>
  <c r="G118" i="16"/>
  <c r="G10" i="15"/>
  <c r="G21" i="15"/>
  <c r="G10" i="16"/>
  <c r="G6" i="17"/>
  <c r="G90" i="16"/>
  <c r="G73" i="17"/>
  <c r="G84" i="16"/>
  <c r="G95" i="16"/>
  <c r="G91" i="15"/>
  <c r="G73" i="15"/>
  <c r="G60" i="17"/>
  <c r="G41" i="15"/>
  <c r="G101" i="16"/>
  <c r="G91" i="17"/>
  <c r="G79" i="15"/>
  <c r="G55" i="16"/>
  <c r="G13" i="15"/>
  <c r="G107" i="16"/>
  <c r="G69" i="17"/>
  <c r="G22" i="15"/>
  <c r="G86" i="15"/>
  <c r="G77" i="17"/>
  <c r="G70" i="15"/>
  <c r="G75" i="17"/>
  <c r="G85" i="17"/>
  <c r="G55" i="15"/>
  <c r="G68" i="17"/>
  <c r="G38" i="17"/>
  <c r="G36" i="17"/>
  <c r="G65" i="16"/>
  <c r="G108" i="17"/>
  <c r="G52" i="15"/>
  <c r="G122" i="15"/>
  <c r="G29" i="17"/>
  <c r="G66" i="15"/>
  <c r="G50" i="15"/>
  <c r="G123" i="16"/>
  <c r="G37" i="17"/>
  <c r="G118" i="15"/>
  <c r="G97" i="17"/>
  <c r="G116" i="16"/>
  <c r="G52" i="16"/>
  <c r="G22" i="17"/>
  <c r="G28" i="15"/>
  <c r="G31" i="15"/>
  <c r="G65" i="17"/>
  <c r="G40" i="17"/>
  <c r="G20" i="17"/>
  <c r="G9" i="17"/>
  <c r="G14" i="16"/>
  <c r="G85" i="15"/>
  <c r="G117" i="16"/>
  <c r="G55" i="17"/>
  <c r="G54" i="17"/>
  <c r="G57" i="16"/>
  <c r="G122" i="17"/>
  <c r="G11" i="17"/>
  <c r="G109" i="15"/>
  <c r="G19" i="16"/>
  <c r="G61" i="16"/>
  <c r="G38" i="15"/>
  <c r="G104" i="16"/>
  <c r="G124" i="15"/>
  <c r="G62" i="15"/>
  <c r="G119" i="15"/>
  <c r="G79" i="17"/>
  <c r="G93" i="15"/>
  <c r="G43" i="15"/>
  <c r="G51" i="16"/>
  <c r="G100" i="16"/>
  <c r="G37" i="16"/>
  <c r="G122" i="16"/>
  <c r="G17" i="16"/>
  <c r="G13" i="16"/>
  <c r="G92" i="15"/>
  <c r="G65" i="15"/>
  <c r="G92" i="16"/>
  <c r="G24" i="17"/>
  <c r="G89" i="15"/>
  <c r="G67" i="15"/>
  <c r="G96" i="15"/>
  <c r="G95" i="17"/>
  <c r="G50" i="16"/>
  <c r="G58" i="15"/>
  <c r="G119" i="16"/>
  <c r="G43" i="16"/>
  <c r="G64" i="15"/>
  <c r="G121" i="16"/>
  <c r="G101" i="17"/>
  <c r="G102" i="17"/>
  <c r="G30" i="17"/>
  <c r="G6" i="15"/>
  <c r="G34" i="15"/>
  <c r="G102" i="16"/>
  <c r="G11" i="15"/>
  <c r="G70" i="17"/>
  <c r="G53" i="15"/>
  <c r="G19" i="17"/>
  <c r="G90" i="15"/>
  <c r="G18" i="17"/>
  <c r="G23" i="15"/>
  <c r="G72" i="17"/>
  <c r="G70" i="16"/>
  <c r="G43" i="17"/>
  <c r="G14" i="15"/>
  <c r="G24" i="16"/>
  <c r="G15" i="16"/>
  <c r="G57" i="17"/>
  <c r="G59" i="16"/>
  <c r="G123" i="17"/>
  <c r="G104" i="17"/>
  <c r="G75" i="15"/>
  <c r="G68" i="15"/>
  <c r="G48" i="16"/>
  <c r="G120" i="16"/>
  <c r="G28" i="17"/>
  <c r="G49" i="16"/>
  <c r="G48" i="15"/>
  <c r="G80" i="17"/>
  <c r="G115" i="15"/>
  <c r="G90" i="17"/>
  <c r="G45" i="15"/>
  <c r="G17" i="17"/>
  <c r="G84" i="17"/>
  <c r="G14" i="17"/>
  <c r="G103" i="17"/>
  <c r="G100" i="15"/>
  <c r="G46" i="16"/>
  <c r="G33" i="17"/>
  <c r="G105" i="17"/>
  <c r="G33" i="15"/>
  <c r="G58" i="17"/>
  <c r="G47" i="17"/>
  <c r="G25" i="16"/>
  <c r="G26" i="17"/>
  <c r="G94" i="15"/>
  <c r="G63" i="15"/>
  <c r="F2" i="14"/>
  <c r="E4" i="13"/>
  <c r="D4" i="18"/>
  <c r="E5" i="10" l="1"/>
  <c r="E6" i="11"/>
  <c r="C7" i="11"/>
  <c r="E5" i="11"/>
  <c r="E4" i="10"/>
  <c r="C7" i="10"/>
  <c r="E6" i="10"/>
  <c r="E4" i="9"/>
  <c r="E6" i="9"/>
  <c r="C7" i="9"/>
  <c r="E5" i="9"/>
  <c r="F6" i="10"/>
  <c r="F6" i="11"/>
  <c r="F5" i="10"/>
  <c r="F5" i="9"/>
  <c r="F5" i="11"/>
  <c r="F6" i="9"/>
  <c r="C8" i="11" l="1"/>
  <c r="E7" i="11"/>
  <c r="E7" i="10"/>
  <c r="C8" i="10"/>
  <c r="C8" i="9"/>
  <c r="E7" i="9"/>
  <c r="F7" i="10"/>
  <c r="AC5" i="9"/>
  <c r="G5" i="10"/>
  <c r="G6" i="9"/>
  <c r="F7" i="11"/>
  <c r="G5" i="11"/>
  <c r="G5" i="9"/>
  <c r="AC6" i="9"/>
  <c r="G6" i="11"/>
  <c r="F7" i="9"/>
  <c r="G6" i="10"/>
  <c r="C9" i="11" l="1"/>
  <c r="E8" i="11"/>
  <c r="C9" i="10"/>
  <c r="E8" i="10"/>
  <c r="E8" i="9"/>
  <c r="C9" i="9"/>
  <c r="G7" i="10"/>
  <c r="G7" i="9"/>
  <c r="G7" i="11"/>
  <c r="AC7" i="9"/>
  <c r="F8" i="10"/>
  <c r="F8" i="11"/>
  <c r="F8" i="9"/>
  <c r="E4" i="11" l="1"/>
  <c r="E9" i="11"/>
  <c r="C10" i="11"/>
  <c r="E9" i="10"/>
  <c r="C10" i="10"/>
  <c r="E9" i="9"/>
  <c r="C10" i="9"/>
  <c r="G8" i="11"/>
  <c r="G8" i="9"/>
  <c r="F9" i="9"/>
  <c r="F9" i="10"/>
  <c r="G8" i="10"/>
  <c r="F9" i="11"/>
  <c r="AC8" i="9"/>
  <c r="C11" i="11" l="1"/>
  <c r="E10" i="11"/>
  <c r="E10" i="10"/>
  <c r="C11" i="10"/>
  <c r="C11" i="9"/>
  <c r="E10" i="9"/>
  <c r="F10" i="11"/>
  <c r="G9" i="10"/>
  <c r="F10" i="9"/>
  <c r="G9" i="11"/>
  <c r="AC9" i="9"/>
  <c r="G9" i="9"/>
  <c r="F10" i="10"/>
  <c r="C12" i="11" l="1"/>
  <c r="E11" i="11"/>
  <c r="C12" i="10"/>
  <c r="E11" i="10"/>
  <c r="C12" i="9"/>
  <c r="E11" i="9"/>
  <c r="F11" i="10"/>
  <c r="G10" i="11"/>
  <c r="F11" i="11"/>
  <c r="F11" i="9"/>
  <c r="G10" i="10"/>
  <c r="AC10" i="9"/>
  <c r="G10" i="9"/>
  <c r="C13" i="11" l="1"/>
  <c r="E12" i="11"/>
  <c r="E12" i="10"/>
  <c r="C13" i="10"/>
  <c r="E12" i="9"/>
  <c r="C13" i="9"/>
  <c r="F12" i="11"/>
  <c r="F12" i="10"/>
  <c r="G11" i="9"/>
  <c r="G11" i="11"/>
  <c r="F12" i="9"/>
  <c r="AC11" i="9"/>
  <c r="G11" i="10"/>
  <c r="C14" i="11" l="1"/>
  <c r="E13" i="11"/>
  <c r="C14" i="10"/>
  <c r="E13" i="10"/>
  <c r="C14" i="9"/>
  <c r="E13" i="9"/>
  <c r="G12" i="10"/>
  <c r="F13" i="9"/>
  <c r="AC12" i="9"/>
  <c r="F13" i="11"/>
  <c r="G12" i="9"/>
  <c r="G12" i="11"/>
  <c r="F13" i="10"/>
  <c r="E14" i="11" l="1"/>
  <c r="C15" i="11"/>
  <c r="C15" i="10"/>
  <c r="E14" i="10"/>
  <c r="E14" i="9"/>
  <c r="C15" i="9"/>
  <c r="AC13" i="9"/>
  <c r="F14" i="10"/>
  <c r="F14" i="9"/>
  <c r="G13" i="11"/>
  <c r="G13" i="9"/>
  <c r="G13" i="10"/>
  <c r="F14" i="11"/>
  <c r="C16" i="11" l="1"/>
  <c r="E15" i="11"/>
  <c r="E15" i="10"/>
  <c r="C16" i="10"/>
  <c r="C16" i="9"/>
  <c r="E15" i="9"/>
  <c r="F15" i="11"/>
  <c r="AC14" i="9"/>
  <c r="G14" i="9"/>
  <c r="G14" i="10"/>
  <c r="F15" i="9"/>
  <c r="G14" i="11"/>
  <c r="F15" i="10"/>
  <c r="C17" i="11" l="1"/>
  <c r="E16" i="11"/>
  <c r="E16" i="10"/>
  <c r="C17" i="10"/>
  <c r="C17" i="9"/>
  <c r="E16" i="9"/>
  <c r="G15" i="9"/>
  <c r="G15" i="10"/>
  <c r="G15" i="11"/>
  <c r="AC15" i="9"/>
  <c r="F16" i="11"/>
  <c r="F16" i="10"/>
  <c r="F16" i="9"/>
  <c r="E17" i="11" l="1"/>
  <c r="C18" i="11"/>
  <c r="E17" i="10"/>
  <c r="C18" i="10"/>
  <c r="C18" i="9"/>
  <c r="E17" i="9"/>
  <c r="AC16" i="9"/>
  <c r="G16" i="9"/>
  <c r="G16" i="10"/>
  <c r="F17" i="10"/>
  <c r="F17" i="9"/>
  <c r="F17" i="11"/>
  <c r="G16" i="11"/>
  <c r="C19" i="11" l="1"/>
  <c r="E18" i="11"/>
  <c r="C19" i="10"/>
  <c r="E18" i="10"/>
  <c r="C19" i="9"/>
  <c r="E18" i="9"/>
  <c r="G17" i="9"/>
  <c r="G17" i="10"/>
  <c r="F18" i="10"/>
  <c r="AC17" i="9"/>
  <c r="F18" i="11"/>
  <c r="F18" i="9"/>
  <c r="G17" i="11"/>
  <c r="E19" i="11" l="1"/>
  <c r="C20" i="11"/>
  <c r="C20" i="10"/>
  <c r="E19" i="10"/>
  <c r="E19" i="9"/>
  <c r="C20" i="9"/>
  <c r="F19" i="10"/>
  <c r="G18" i="10"/>
  <c r="F19" i="11"/>
  <c r="G18" i="11"/>
  <c r="F19" i="9"/>
  <c r="G18" i="9"/>
  <c r="AC18" i="9"/>
  <c r="C21" i="11" l="1"/>
  <c r="E20" i="11"/>
  <c r="E20" i="10"/>
  <c r="C21" i="10"/>
  <c r="E20" i="9"/>
  <c r="C21" i="9"/>
  <c r="G19" i="10"/>
  <c r="F20" i="11"/>
  <c r="G19" i="9"/>
  <c r="F20" i="10"/>
  <c r="F20" i="9"/>
  <c r="AC19" i="9"/>
  <c r="G19" i="11"/>
  <c r="C22" i="11" l="1"/>
  <c r="E21" i="11"/>
  <c r="C22" i="10"/>
  <c r="E21" i="10"/>
  <c r="C22" i="9"/>
  <c r="E21" i="9"/>
  <c r="G20" i="11"/>
  <c r="F21" i="9"/>
  <c r="G20" i="10"/>
  <c r="F21" i="10"/>
  <c r="G20" i="9"/>
  <c r="F21" i="11"/>
  <c r="AC20" i="9"/>
  <c r="E22" i="11" l="1"/>
  <c r="C23" i="11"/>
  <c r="C23" i="10"/>
  <c r="E22" i="10"/>
  <c r="E22" i="9"/>
  <c r="C23" i="9"/>
  <c r="G21" i="10"/>
  <c r="F22" i="11"/>
  <c r="G21" i="9"/>
  <c r="AC21" i="9"/>
  <c r="G21" i="11"/>
  <c r="F22" i="9"/>
  <c r="F22" i="10"/>
  <c r="C24" i="11" l="1"/>
  <c r="E23" i="11"/>
  <c r="C24" i="10"/>
  <c r="E23" i="10"/>
  <c r="C24" i="9"/>
  <c r="E23" i="9"/>
  <c r="F23" i="10"/>
  <c r="G22" i="9"/>
  <c r="F23" i="11"/>
  <c r="AC22" i="9"/>
  <c r="G22" i="10"/>
  <c r="F23" i="9"/>
  <c r="G22" i="11"/>
  <c r="C25" i="11" l="1"/>
  <c r="E24" i="11"/>
  <c r="C25" i="10"/>
  <c r="E24" i="10"/>
  <c r="C25" i="9"/>
  <c r="E24" i="9"/>
  <c r="F24" i="11"/>
  <c r="G23" i="9"/>
  <c r="AC23" i="9"/>
  <c r="F24" i="10"/>
  <c r="G23" i="11"/>
  <c r="F24" i="9"/>
  <c r="G23" i="10"/>
  <c r="E25" i="11" l="1"/>
  <c r="C26" i="11"/>
  <c r="E25" i="10"/>
  <c r="C26" i="10"/>
  <c r="E25" i="9"/>
  <c r="C26" i="9"/>
  <c r="G24" i="11"/>
  <c r="F25" i="11"/>
  <c r="F25" i="9"/>
  <c r="G24" i="9"/>
  <c r="F25" i="10"/>
  <c r="G24" i="10"/>
  <c r="AC24" i="9"/>
  <c r="E26" i="11" l="1"/>
  <c r="C27" i="11"/>
  <c r="E26" i="10"/>
  <c r="C27" i="10"/>
  <c r="C27" i="9"/>
  <c r="E26" i="9"/>
  <c r="G25" i="9"/>
  <c r="F26" i="10"/>
  <c r="G25" i="11"/>
  <c r="F26" i="11"/>
  <c r="G25" i="10"/>
  <c r="AC25" i="9"/>
  <c r="F26" i="9"/>
  <c r="C28" i="11" l="1"/>
  <c r="E27" i="11"/>
  <c r="C28" i="10"/>
  <c r="E27" i="10"/>
  <c r="E27" i="9"/>
  <c r="C28" i="9"/>
  <c r="AC26" i="9"/>
  <c r="G26" i="9"/>
  <c r="F27" i="9"/>
  <c r="F27" i="11"/>
  <c r="F27" i="10"/>
  <c r="G26" i="10"/>
  <c r="G26" i="11"/>
  <c r="C29" i="11" l="1"/>
  <c r="E28" i="11"/>
  <c r="E28" i="10"/>
  <c r="C29" i="10"/>
  <c r="E28" i="9"/>
  <c r="C29" i="9"/>
  <c r="AC27" i="9"/>
  <c r="F28" i="9"/>
  <c r="G27" i="9"/>
  <c r="F28" i="10"/>
  <c r="G27" i="11"/>
  <c r="F28" i="11"/>
  <c r="G27" i="10"/>
  <c r="C30" i="11" l="1"/>
  <c r="E29" i="11"/>
  <c r="C30" i="10"/>
  <c r="E29" i="10"/>
  <c r="C30" i="9"/>
  <c r="E29" i="9"/>
  <c r="G28" i="10"/>
  <c r="F29" i="9"/>
  <c r="G28" i="9"/>
  <c r="G28" i="11"/>
  <c r="AC28" i="9"/>
  <c r="F29" i="10"/>
  <c r="F29" i="11"/>
  <c r="E30" i="11" l="1"/>
  <c r="C31" i="11"/>
  <c r="C31" i="10"/>
  <c r="E30" i="10"/>
  <c r="E30" i="9"/>
  <c r="C31" i="9"/>
  <c r="F30" i="10"/>
  <c r="G29" i="10"/>
  <c r="F30" i="11"/>
  <c r="G29" i="11"/>
  <c r="G29" i="9"/>
  <c r="AC29" i="9"/>
  <c r="F30" i="9"/>
  <c r="C32" i="11" l="1"/>
  <c r="E31" i="11"/>
  <c r="E31" i="10"/>
  <c r="C32" i="10"/>
  <c r="C32" i="9"/>
  <c r="E31" i="9"/>
  <c r="F31" i="11"/>
  <c r="F31" i="10"/>
  <c r="AC30" i="9"/>
  <c r="F31" i="9"/>
  <c r="G30" i="11"/>
  <c r="G30" i="10"/>
  <c r="G30" i="9"/>
  <c r="C33" i="11" l="1"/>
  <c r="E32" i="11"/>
  <c r="E32" i="10"/>
  <c r="C33" i="10"/>
  <c r="C33" i="9"/>
  <c r="E32" i="9"/>
  <c r="F32" i="11"/>
  <c r="AC31" i="9"/>
  <c r="G31" i="11"/>
  <c r="F32" i="10"/>
  <c r="G31" i="9"/>
  <c r="G31" i="10"/>
  <c r="F32" i="9"/>
  <c r="E33" i="11" l="1"/>
  <c r="C34" i="11"/>
  <c r="C34" i="10"/>
  <c r="E33" i="10"/>
  <c r="E33" i="9"/>
  <c r="C34" i="9"/>
  <c r="G32" i="9"/>
  <c r="G32" i="11"/>
  <c r="F33" i="11"/>
  <c r="F33" i="10"/>
  <c r="F33" i="9"/>
  <c r="G32" i="10"/>
  <c r="AC32" i="9"/>
  <c r="E34" i="11" l="1"/>
  <c r="C35" i="11"/>
  <c r="C35" i="10"/>
  <c r="E34" i="10"/>
  <c r="C35" i="9"/>
  <c r="E34" i="9"/>
  <c r="AC33" i="9"/>
  <c r="G33" i="9"/>
  <c r="F34" i="11"/>
  <c r="F34" i="9"/>
  <c r="F34" i="10"/>
  <c r="G33" i="11"/>
  <c r="G33" i="10"/>
  <c r="E35" i="11" l="1"/>
  <c r="C36" i="11"/>
  <c r="E35" i="10"/>
  <c r="C36" i="10"/>
  <c r="E35" i="9"/>
  <c r="C36" i="9"/>
  <c r="F35" i="9"/>
  <c r="G34" i="9"/>
  <c r="F35" i="11"/>
  <c r="AC34" i="9"/>
  <c r="G34" i="10"/>
  <c r="F35" i="10"/>
  <c r="G34" i="11"/>
  <c r="C37" i="11" l="1"/>
  <c r="E36" i="11"/>
  <c r="E36" i="10"/>
  <c r="C37" i="10"/>
  <c r="E36" i="9"/>
  <c r="C37" i="9"/>
  <c r="G35" i="10"/>
  <c r="F36" i="10"/>
  <c r="F36" i="9"/>
  <c r="G35" i="11"/>
  <c r="G35" i="9"/>
  <c r="F36" i="11"/>
  <c r="AC35" i="9"/>
  <c r="E37" i="11" l="1"/>
  <c r="C38" i="11"/>
  <c r="C38" i="10"/>
  <c r="E37" i="10"/>
  <c r="C38" i="9"/>
  <c r="E37" i="9"/>
  <c r="F37" i="11"/>
  <c r="F37" i="10"/>
  <c r="F37" i="9"/>
  <c r="AC36" i="9"/>
  <c r="G36" i="10"/>
  <c r="G36" i="9"/>
  <c r="G36" i="11"/>
  <c r="E38" i="11" l="1"/>
  <c r="C39" i="11"/>
  <c r="C39" i="10"/>
  <c r="E38" i="10"/>
  <c r="E38" i="9"/>
  <c r="C39" i="9"/>
  <c r="AC37" i="9"/>
  <c r="F38" i="11"/>
  <c r="G37" i="11"/>
  <c r="G37" i="9"/>
  <c r="F38" i="10"/>
  <c r="G37" i="10"/>
  <c r="F38" i="9"/>
  <c r="C40" i="11" l="1"/>
  <c r="E39" i="11"/>
  <c r="C40" i="10"/>
  <c r="E39" i="10"/>
  <c r="C40" i="9"/>
  <c r="E39" i="9"/>
  <c r="AC38" i="9"/>
  <c r="F39" i="10"/>
  <c r="G38" i="9"/>
  <c r="F39" i="11"/>
  <c r="G38" i="10"/>
  <c r="G38" i="11"/>
  <c r="F39" i="9"/>
  <c r="C41" i="11" l="1"/>
  <c r="E40" i="11"/>
  <c r="E40" i="10"/>
  <c r="C41" i="10"/>
  <c r="C41" i="9"/>
  <c r="E40" i="9"/>
  <c r="F40" i="9"/>
  <c r="F40" i="11"/>
  <c r="G39" i="10"/>
  <c r="G39" i="11"/>
  <c r="AC39" i="9"/>
  <c r="G39" i="9"/>
  <c r="F40" i="10"/>
  <c r="E41" i="11" l="1"/>
  <c r="C42" i="11"/>
  <c r="E42" i="11" s="1"/>
  <c r="E41" i="10"/>
  <c r="C42" i="10"/>
  <c r="E42" i="10" s="1"/>
  <c r="E41" i="9"/>
  <c r="C42" i="9"/>
  <c r="E42" i="9" s="1"/>
  <c r="AC40" i="9"/>
  <c r="G40" i="10"/>
  <c r="F41" i="10"/>
  <c r="G40" i="9"/>
  <c r="F41" i="9"/>
  <c r="F42" i="9"/>
  <c r="G40" i="11"/>
  <c r="F41" i="11"/>
  <c r="F42" i="11"/>
  <c r="F42" i="10"/>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2" i="9"/>
  <c r="E7" i="7"/>
  <c r="G41" i="10"/>
  <c r="E15" i="7"/>
  <c r="E27" i="7"/>
  <c r="E8" i="7"/>
  <c r="G41" i="9"/>
  <c r="AC42" i="9"/>
  <c r="G41" i="11"/>
  <c r="E9" i="7"/>
  <c r="E20" i="7"/>
  <c r="E28" i="7"/>
  <c r="E25" i="7"/>
  <c r="AC41" i="9"/>
  <c r="E13" i="7"/>
  <c r="E16" i="7"/>
  <c r="E14" i="7"/>
  <c r="E33" i="7"/>
  <c r="E17" i="7"/>
  <c r="E24" i="7"/>
  <c r="E29" i="7"/>
  <c r="E32" i="7"/>
  <c r="E21" i="7"/>
  <c r="E26" i="7"/>
  <c r="E10" i="7"/>
  <c r="E6" i="7"/>
  <c r="E12" i="7"/>
  <c r="E31" i="7"/>
  <c r="E30" i="7"/>
  <c r="E11" i="7"/>
  <c r="G42" i="10"/>
  <c r="G42" i="11"/>
  <c r="E19" i="7"/>
  <c r="G4" i="11"/>
  <c r="G4" i="10"/>
  <c r="E5"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X5" i="11" a="1"/>
  <c r="F50" i="5"/>
  <c r="F66" i="5"/>
  <c r="F17" i="4"/>
  <c r="F6" i="4"/>
  <c r="F9" i="7"/>
  <c r="G17" i="4"/>
  <c r="F20" i="5"/>
  <c r="F14" i="4"/>
  <c r="F32" i="7"/>
  <c r="F55" i="5"/>
  <c r="F25" i="7"/>
  <c r="F60" i="5"/>
  <c r="F29" i="5"/>
  <c r="F22" i="5"/>
  <c r="F10" i="7"/>
  <c r="F40" i="5"/>
  <c r="J20" i="5"/>
  <c r="F14" i="7"/>
  <c r="F39" i="5"/>
  <c r="F13" i="7"/>
  <c r="F49" i="5"/>
  <c r="F26" i="7"/>
  <c r="F12" i="4"/>
  <c r="L12" i="4" s="1"/>
  <c r="F29" i="7"/>
  <c r="F13" i="4"/>
  <c r="H13" i="4" s="1"/>
  <c r="F6" i="7"/>
  <c r="F17" i="5"/>
  <c r="J17" i="5" s="1"/>
  <c r="F61" i="5"/>
  <c r="H12" i="4"/>
  <c r="J29" i="5"/>
  <c r="G17" i="5"/>
  <c r="F52" i="5"/>
  <c r="L17" i="4"/>
  <c r="F56" i="5"/>
  <c r="G56" i="5" s="1"/>
  <c r="F51" i="5"/>
  <c r="F32" i="5"/>
  <c r="F26" i="5"/>
  <c r="F45" i="5"/>
  <c r="G45" i="5" s="1"/>
  <c r="F38" i="5"/>
  <c r="F37" i="5"/>
  <c r="J37" i="5" s="1"/>
  <c r="F34" i="5"/>
  <c r="H17" i="4"/>
  <c r="G6" i="4"/>
  <c r="F18" i="5"/>
  <c r="G34" i="5"/>
  <c r="F21" i="5"/>
  <c r="G51" i="5"/>
  <c r="F65" i="5"/>
  <c r="J51" i="5"/>
  <c r="J50" i="5"/>
  <c r="G29" i="5"/>
  <c r="J61" i="5"/>
  <c r="G18" i="5"/>
  <c r="G13" i="4"/>
  <c r="F22" i="4"/>
  <c r="F41" i="5"/>
  <c r="J41" i="5" s="1"/>
  <c r="F35" i="5"/>
  <c r="F44" i="5"/>
  <c r="G44" i="5" s="1"/>
  <c r="F9" i="4"/>
  <c r="L9" i="4" s="1"/>
  <c r="F47" i="5"/>
  <c r="F16" i="5"/>
  <c r="G41" i="5"/>
  <c r="G21" i="5"/>
  <c r="J40" i="5"/>
  <c r="G12" i="4"/>
  <c r="F57" i="5"/>
  <c r="J57" i="5" s="1"/>
  <c r="F33" i="7"/>
  <c r="F21" i="4"/>
  <c r="L21" i="4" s="1"/>
  <c r="J39" i="5"/>
  <c r="F11" i="7"/>
  <c r="F54" i="5"/>
  <c r="H6" i="4"/>
  <c r="F15" i="4"/>
  <c r="L15" i="4" s="1"/>
  <c r="J21" i="5"/>
  <c r="J22" i="5"/>
  <c r="F64" i="5"/>
  <c r="J64" i="5" s="1"/>
  <c r="F12" i="5"/>
  <c r="J12" i="5" s="1"/>
  <c r="F43" i="5"/>
  <c r="G43" i="5" s="1"/>
  <c r="G9" i="4"/>
  <c r="F11" i="5"/>
  <c r="F28" i="5"/>
  <c r="J28" i="5" s="1"/>
  <c r="G57" i="5"/>
  <c r="F10" i="5"/>
  <c r="G20" i="5"/>
  <c r="J45" i="5"/>
  <c r="J54" i="5"/>
  <c r="G49" i="5"/>
  <c r="F12" i="7"/>
  <c r="G66" i="5"/>
  <c r="F31" i="7"/>
  <c r="F21" i="7"/>
  <c r="F46" i="5"/>
  <c r="F8" i="5"/>
  <c r="G8" i="5" s="1"/>
  <c r="F20" i="4"/>
  <c r="F48" i="5"/>
  <c r="G48" i="5" s="1"/>
  <c r="F30" i="7"/>
  <c r="F42" i="5"/>
  <c r="F27" i="5"/>
  <c r="F16" i="4"/>
  <c r="J8" i="5"/>
  <c r="F24" i="7"/>
  <c r="F28" i="7"/>
  <c r="G16" i="4"/>
  <c r="F59" i="5"/>
  <c r="J10" i="5"/>
  <c r="G60" i="5"/>
  <c r="J16" i="5"/>
  <c r="J49" i="5"/>
  <c r="J43" i="5"/>
  <c r="G65" i="5"/>
  <c r="G61" i="5"/>
  <c r="J38" i="5"/>
  <c r="H15" i="4"/>
  <c r="J35" i="5"/>
  <c r="G28" i="5"/>
  <c r="I13" i="4"/>
  <c r="F19" i="4"/>
  <c r="H19" i="4" s="1"/>
  <c r="F13" i="5"/>
  <c r="G13" i="5" s="1"/>
  <c r="F11" i="4"/>
  <c r="L6" i="4"/>
  <c r="F15" i="5"/>
  <c r="L14" i="4"/>
  <c r="F58" i="5"/>
  <c r="F36" i="5"/>
  <c r="F15" i="7"/>
  <c r="Y3" i="20"/>
  <c r="F10" i="4"/>
  <c r="L10" i="4" s="1"/>
  <c r="G10" i="4"/>
  <c r="I10" i="4" s="1"/>
  <c r="I9" i="4"/>
  <c r="G19" i="4"/>
  <c r="F53" i="5"/>
  <c r="F19" i="5"/>
  <c r="G64" i="5"/>
  <c r="F27" i="7"/>
  <c r="G55" i="5"/>
  <c r="G15" i="5"/>
  <c r="F33" i="5"/>
  <c r="G22" i="4"/>
  <c r="G21" i="4"/>
  <c r="I22" i="4"/>
  <c r="F24" i="5"/>
  <c r="L11" i="4"/>
  <c r="F17" i="7"/>
  <c r="F7" i="4"/>
  <c r="G7" i="4" s="1"/>
  <c r="G12" i="5"/>
  <c r="H10" i="4"/>
  <c r="H21" i="4"/>
  <c r="H7" i="4"/>
  <c r="G22" i="5"/>
  <c r="H9" i="4"/>
  <c r="F8" i="4"/>
  <c r="F63" i="5"/>
  <c r="G63" i="5" s="1"/>
  <c r="J63" i="5"/>
  <c r="J56" i="5"/>
  <c r="H14" i="4"/>
  <c r="J13" i="5"/>
  <c r="G39" i="5"/>
  <c r="G19" i="5"/>
  <c r="L13" i="4"/>
  <c r="I21" i="4"/>
  <c r="I6" i="4"/>
  <c r="J65" i="5"/>
  <c r="G8" i="4"/>
  <c r="J19" i="5"/>
  <c r="J44" i="5"/>
  <c r="I16" i="4"/>
  <c r="F18" i="4"/>
  <c r="F31" i="5"/>
  <c r="F62" i="5"/>
  <c r="L7" i="4"/>
  <c r="G40" i="5"/>
  <c r="I17" i="4"/>
  <c r="F30" i="5"/>
  <c r="F20" i="7"/>
  <c r="F16" i="7"/>
  <c r="F9" i="5"/>
  <c r="J48" i="5"/>
  <c r="F14" i="5"/>
  <c r="G59" i="5"/>
  <c r="G37" i="5"/>
  <c r="F23" i="5"/>
  <c r="J66" i="5"/>
  <c r="G50" i="5"/>
  <c r="L19" i="4"/>
  <c r="F7" i="5"/>
  <c r="F25" i="5"/>
  <c r="G15" i="4"/>
  <c r="I15" i="4" s="1"/>
  <c r="Q3" i="60"/>
  <c r="F4" i="9"/>
  <c r="F19" i="7"/>
  <c r="G4" i="9"/>
  <c r="D2" i="28"/>
  <c r="G6" i="37"/>
  <c r="F4" i="17"/>
  <c r="G6" i="36"/>
  <c r="H6" i="36"/>
  <c r="F6" i="5"/>
  <c r="F5" i="7"/>
  <c r="F5" i="15"/>
  <c r="H6" i="37"/>
  <c r="F5" i="16"/>
  <c r="G5" i="16" s="1"/>
  <c r="F23" i="7"/>
  <c r="G4" i="17"/>
  <c r="G6" i="5"/>
  <c r="J52" i="5"/>
  <c r="G32" i="5"/>
  <c r="J32" i="5"/>
  <c r="J26" i="5"/>
  <c r="H22" i="4"/>
  <c r="G47" i="5"/>
  <c r="J11" i="5"/>
  <c r="G11" i="5"/>
  <c r="G46" i="5"/>
  <c r="J46" i="5"/>
  <c r="H20" i="4"/>
  <c r="G20" i="4"/>
  <c r="L20" i="4"/>
  <c r="J42" i="5"/>
  <c r="J27" i="5"/>
  <c r="G27" i="5"/>
  <c r="H16" i="4"/>
  <c r="H11" i="4"/>
  <c r="J58" i="5"/>
  <c r="G36" i="5"/>
  <c r="G53" i="5"/>
  <c r="G33" i="5"/>
  <c r="J33" i="5"/>
  <c r="J24" i="5"/>
  <c r="G24" i="5"/>
  <c r="H8" i="4"/>
  <c r="L8" i="4"/>
  <c r="L18" i="4"/>
  <c r="G18" i="4"/>
  <c r="I18" i="4" s="1"/>
  <c r="H18" i="4"/>
  <c r="J31" i="5"/>
  <c r="G31" i="5"/>
  <c r="G62" i="5"/>
  <c r="G30" i="5"/>
  <c r="J30" i="5"/>
  <c r="G9" i="5"/>
  <c r="J9" i="5"/>
  <c r="G14" i="5"/>
  <c r="J14" i="5"/>
  <c r="J23" i="5"/>
  <c r="G23" i="5"/>
  <c r="J7" i="5"/>
  <c r="G7" i="5"/>
  <c r="G25" i="5"/>
  <c r="J25" i="5"/>
  <c r="X5" i="11" l="1"/>
  <c r="X13" i="11"/>
  <c r="X21" i="11"/>
  <c r="X29" i="11"/>
  <c r="X37" i="11"/>
  <c r="X6" i="11"/>
  <c r="X14" i="11"/>
  <c r="X22" i="11"/>
  <c r="X30" i="11"/>
  <c r="X38" i="11"/>
  <c r="X39" i="11" s="1"/>
  <c r="X40" i="11" s="1"/>
  <c r="X41" i="11" s="1"/>
  <c r="X42" i="11" s="1"/>
  <c r="X7" i="11"/>
  <c r="X15" i="11"/>
  <c r="X23" i="11"/>
  <c r="X31" i="11"/>
  <c r="X16" i="11"/>
  <c r="X24" i="11"/>
  <c r="X9" i="11"/>
  <c r="X17" i="11"/>
  <c r="X33" i="11"/>
  <c r="X10" i="11"/>
  <c r="X26" i="11"/>
  <c r="X11" i="11"/>
  <c r="X19" i="11"/>
  <c r="X35" i="11"/>
  <c r="X12" i="11"/>
  <c r="X20" i="11"/>
  <c r="X28" i="11"/>
  <c r="X36" i="11"/>
  <c r="X8" i="11"/>
  <c r="X32" i="11"/>
  <c r="X25" i="11"/>
  <c r="X18" i="11"/>
  <c r="X34" i="11"/>
  <c r="X27" i="11"/>
  <c r="AC5" i="11" a="1"/>
  <c r="AC42" i="11" s="1"/>
  <c r="S3" i="10"/>
  <c r="J62" i="5"/>
  <c r="L16" i="4"/>
  <c r="L22" i="4"/>
  <c r="G14" i="4"/>
  <c r="I14" i="4" s="1"/>
  <c r="G16" i="5"/>
  <c r="J47" i="5"/>
  <c r="I20" i="4"/>
  <c r="J59" i="5"/>
  <c r="G35" i="5"/>
  <c r="J55" i="5"/>
  <c r="I8" i="4"/>
  <c r="I7" i="4"/>
  <c r="G42" i="5"/>
  <c r="J18" i="5"/>
  <c r="I12" i="4"/>
  <c r="G52" i="5"/>
  <c r="G11" i="4"/>
  <c r="J53" i="5"/>
  <c r="G10" i="5"/>
  <c r="J34" i="5"/>
  <c r="J36" i="5"/>
  <c r="G54" i="5"/>
  <c r="G38" i="5"/>
  <c r="G58" i="5"/>
  <c r="G26" i="5"/>
  <c r="J15" i="5"/>
  <c r="I19" i="4"/>
  <c r="J60" i="5"/>
  <c r="AD42" i="11"/>
  <c r="G5" i="15"/>
  <c r="E2" i="28"/>
  <c r="F5" i="4"/>
  <c r="H5" i="4" s="1"/>
  <c r="I11" i="4"/>
  <c r="AC5" i="11" l="1"/>
  <c r="AC37" i="11"/>
  <c r="AC29" i="11"/>
  <c r="AC21" i="11"/>
  <c r="AC13" i="11"/>
  <c r="AC36" i="11"/>
  <c r="AC28" i="11"/>
  <c r="AC20" i="11"/>
  <c r="AC12" i="11"/>
  <c r="AC35" i="11"/>
  <c r="AC27" i="11"/>
  <c r="AC19" i="11"/>
  <c r="AC11" i="11"/>
  <c r="AC34" i="11"/>
  <c r="AC26" i="11"/>
  <c r="AC18" i="11"/>
  <c r="AC10" i="11"/>
  <c r="AC41" i="11"/>
  <c r="AC33" i="11"/>
  <c r="AC25" i="11"/>
  <c r="AC17" i="11"/>
  <c r="AC9" i="11"/>
  <c r="AC40" i="11"/>
  <c r="AC32" i="11"/>
  <c r="AC24" i="11"/>
  <c r="AC16" i="11"/>
  <c r="AC8" i="11"/>
  <c r="AC39" i="11"/>
  <c r="AC31" i="11"/>
  <c r="AC23" i="11"/>
  <c r="AC15" i="11"/>
  <c r="AC7" i="11"/>
  <c r="AC38" i="11"/>
  <c r="AC30" i="11"/>
  <c r="AC22" i="11"/>
  <c r="AC14" i="11"/>
  <c r="AC6" i="11"/>
  <c r="X5" i="10" a="1"/>
  <c r="AD11" i="11"/>
  <c r="AD9" i="11"/>
  <c r="AD28" i="11"/>
  <c r="AD17" i="11"/>
  <c r="AD25" i="11"/>
  <c r="AD14" i="11"/>
  <c r="AD30" i="11"/>
  <c r="AD7" i="11"/>
  <c r="AD21" i="11"/>
  <c r="AD33" i="11"/>
  <c r="AD37" i="11"/>
  <c r="AD34" i="11"/>
  <c r="AD36" i="11"/>
  <c r="AD23" i="11"/>
  <c r="AD8" i="11"/>
  <c r="AD20" i="11"/>
  <c r="AD15" i="11"/>
  <c r="AD10" i="11"/>
  <c r="AD26" i="11"/>
  <c r="AD5" i="11"/>
  <c r="AD39" i="11"/>
  <c r="AD41" i="11"/>
  <c r="AD29" i="11"/>
  <c r="AD12" i="11"/>
  <c r="AD6" i="11"/>
  <c r="AD16" i="11"/>
  <c r="AD32" i="11"/>
  <c r="AD22" i="11"/>
  <c r="AD40" i="11"/>
  <c r="AD27" i="11"/>
  <c r="AD38" i="11"/>
  <c r="AD31" i="11"/>
  <c r="AD24" i="11"/>
  <c r="AD18" i="11"/>
  <c r="AD35" i="11"/>
  <c r="AD19" i="11"/>
  <c r="AD13" i="11"/>
  <c r="X8" i="10" l="1"/>
  <c r="X5" i="10"/>
  <c r="X6" i="10"/>
  <c r="X7" i="10"/>
  <c r="X9" i="10"/>
  <c r="X10" i="10"/>
  <c r="AD3" i="11"/>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C5" i="10" l="1"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34" i="10"/>
  <c r="AD15" i="10"/>
  <c r="AD41" i="10"/>
  <c r="AD29" i="10"/>
  <c r="AD16" i="10"/>
  <c r="AD27" i="10"/>
  <c r="AD19" i="10"/>
  <c r="AD42" i="10"/>
  <c r="AD10" i="10"/>
  <c r="AD24" i="10"/>
  <c r="AD12" i="10"/>
  <c r="AD32" i="10"/>
  <c r="AD31" i="10"/>
  <c r="AD36" i="10"/>
  <c r="AD40" i="10"/>
  <c r="AD22" i="10"/>
  <c r="AD18" i="10"/>
  <c r="AD39" i="10"/>
  <c r="AD37" i="10"/>
  <c r="AD17" i="10"/>
  <c r="AD6" i="10"/>
  <c r="AD7" i="10"/>
  <c r="AD11" i="10"/>
  <c r="AD8" i="10"/>
  <c r="AD38" i="10"/>
  <c r="AD21" i="10"/>
  <c r="AD35" i="10"/>
  <c r="AD33" i="10"/>
  <c r="AD30" i="10"/>
  <c r="AD25" i="10"/>
  <c r="AD20" i="10"/>
  <c r="AD9" i="10"/>
  <c r="AD13" i="10"/>
  <c r="AD14" i="10"/>
  <c r="AD26" i="10"/>
  <c r="AD28" i="10"/>
  <c r="AD23" i="10"/>
  <c r="AK19" i="10" l="1"/>
  <c r="AK8" i="10"/>
  <c r="AK27" i="10"/>
  <c r="AK7" i="10"/>
  <c r="AK20" i="10"/>
  <c r="AK33" i="10"/>
  <c r="AK41" i="10"/>
  <c r="AK42" i="10"/>
  <c r="X5" i="9" a="1"/>
  <c r="Y3" i="21"/>
  <c r="Z3" i="22"/>
  <c r="AD3" i="10"/>
  <c r="M6" i="17" a="1"/>
  <c r="AD3" i="23"/>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AA9" i="17"/>
  <c r="M6" i="16" a="1"/>
  <c r="Y6" i="17" l="1"/>
  <c r="Y7" i="17"/>
  <c r="Y8" i="17"/>
  <c r="M6" i="16"/>
  <c r="M7" i="16"/>
  <c r="M8" i="16"/>
  <c r="M9" i="16"/>
  <c r="AA6" i="17"/>
  <c r="AA8" i="17"/>
  <c r="AA7" i="17"/>
  <c r="M10" i="16" l="1"/>
  <c r="M11" i="16"/>
  <c r="AA4" i="17"/>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AA9" i="16"/>
  <c r="M6" i="15" a="1"/>
  <c r="AA19" i="16"/>
  <c r="AA38" i="16"/>
  <c r="AA44" i="16"/>
  <c r="AA32" i="16"/>
  <c r="AA6" i="16"/>
  <c r="AA23" i="16"/>
  <c r="AA13" i="16"/>
  <c r="AA35" i="16"/>
  <c r="AA27" i="16"/>
  <c r="AA8" i="16"/>
  <c r="AA26" i="16"/>
  <c r="AA20" i="16"/>
  <c r="AA33" i="16"/>
  <c r="AA45" i="16"/>
  <c r="AA47" i="16"/>
  <c r="AA42" i="16"/>
  <c r="AA39" i="16"/>
  <c r="AA15" i="16"/>
  <c r="AA7" i="16"/>
  <c r="AA24" i="16"/>
  <c r="AA14" i="16"/>
  <c r="AA29" i="16"/>
  <c r="AA17" i="16"/>
  <c r="AA21" i="16"/>
  <c r="AA12" i="16"/>
  <c r="AA31" i="16"/>
  <c r="AA36" i="16"/>
  <c r="AA18" i="16"/>
  <c r="AA30" i="16"/>
  <c r="AA41" i="16"/>
  <c r="AA40" i="16"/>
  <c r="AA16" i="16"/>
  <c r="AA10" i="16"/>
  <c r="AA22" i="16"/>
  <c r="AA46" i="16"/>
  <c r="AA37" i="16"/>
  <c r="AA11" i="16"/>
  <c r="AA43" i="16"/>
  <c r="AA28" i="16"/>
  <c r="AA25" i="16"/>
  <c r="AA34" i="16"/>
  <c r="M6" i="15" l="1"/>
  <c r="M7" i="15"/>
  <c r="M8" i="15"/>
  <c r="M9" i="15"/>
  <c r="AA4" i="16"/>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10" i="15"/>
  <c r="AA14" i="15"/>
  <c r="AA8" i="15"/>
  <c r="AA12" i="15"/>
  <c r="AA11" i="15"/>
  <c r="Q3" i="13"/>
  <c r="AA15" i="15"/>
  <c r="AA6" i="15"/>
  <c r="X3" i="14"/>
  <c r="AA7" i="15"/>
  <c r="AA17" i="15"/>
  <c r="AA13" i="15"/>
  <c r="AA16" i="15"/>
  <c r="AA9" i="15"/>
  <c r="O4" i="26" l="1"/>
  <c r="AC3" i="9"/>
  <c r="AA4" i="15"/>
  <c r="Y9" i="26"/>
</calcChain>
</file>

<file path=xl/sharedStrings.xml><?xml version="1.0" encoding="utf-8"?>
<sst xmlns="http://schemas.openxmlformats.org/spreadsheetml/2006/main" count="2832" uniqueCount="367">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</sst>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58">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170" fontId="2" fillId="0" borderId="22" xfId="11" quotePrefix="1" applyNumberFormat="1" applyFont="1" applyFill="1" applyBorder="1" applyAlignment="1"/>
    <xf numFmtId="170" fontId="2" fillId="0" borderId="7" xfId="11" quotePrefix="1" applyNumberFormat="1" applyFont="1" applyFill="1" applyBorder="1" applyAlignment="1"/>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7568640"/>
        <c:axId val="377689600"/>
      </c:scatterChart>
      <c:valAx>
        <c:axId val="37756864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7689600"/>
        <c:crosses val="autoZero"/>
        <c:crossBetween val="midCat"/>
      </c:valAx>
      <c:valAx>
        <c:axId val="37768960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756864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651" t="s">
        <v>133</v>
      </c>
      <c r="C2" s="652"/>
      <c r="D2" s="652"/>
      <c r="E2" s="653"/>
    </row>
    <row r="3" spans="2:5" x14ac:dyDescent="0.2">
      <c r="B3" s="52"/>
      <c r="C3" s="55"/>
      <c r="D3" s="55"/>
      <c r="E3" s="6"/>
    </row>
    <row r="4" spans="2:5" x14ac:dyDescent="0.2">
      <c r="B4" s="52"/>
      <c r="C4" s="22" t="s">
        <v>98</v>
      </c>
      <c r="D4" s="51">
        <v>41652.393287037034</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41652</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GbpYC#0000</v>
      </c>
      <c r="F6" s="56" t="str">
        <f>_xll.ohRangeRetrieveError(E6)</f>
        <v/>
      </c>
      <c r="G6" s="6"/>
    </row>
    <row r="7" spans="1:7" x14ac:dyDescent="0.2">
      <c r="B7" s="52"/>
      <c r="C7" s="57" t="s">
        <v>111</v>
      </c>
      <c r="D7" s="57" t="str">
        <f t="shared" si="0"/>
        <v>GbpYCSTD</v>
      </c>
      <c r="E7" s="7" t="str">
        <f>_xll.qlRelinkableHandleYieldTermStructure(D7,,Permanent,Trigger,ObjectOverwrite)</f>
        <v>GbpYCSTD#0000</v>
      </c>
      <c r="F7" s="56"/>
      <c r="G7" s="6"/>
    </row>
    <row r="8" spans="1:7" x14ac:dyDescent="0.2">
      <c r="B8" s="52"/>
      <c r="C8" s="57" t="s">
        <v>17</v>
      </c>
      <c r="D8" s="57" t="str">
        <f t="shared" si="0"/>
        <v>GbpLiborYCON</v>
      </c>
      <c r="E8" s="7" t="str">
        <f>_xll.qlRelinkableHandleYieldTermStructure(D8,,Permanent,Trigger,ObjectOverwrite)</f>
        <v>GbpLiborYCON#0000</v>
      </c>
      <c r="F8" s="56"/>
      <c r="G8" s="6"/>
    </row>
    <row r="9" spans="1:7" x14ac:dyDescent="0.2">
      <c r="B9" s="52"/>
      <c r="C9" s="57" t="s">
        <v>14</v>
      </c>
      <c r="D9" s="57" t="str">
        <f t="shared" si="0"/>
        <v>GbpLiborYC1M</v>
      </c>
      <c r="E9" s="7" t="str">
        <f>_xll.qlRelinkableHandleYieldTermStructure(D9,,Permanent,Trigger,ObjectOverwrite)</f>
        <v>GbpLiborYC1M#0000</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GbpLiborYC3M#0000</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GbpLiborYC6M#0000</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GbpLiborYC1Y#0000</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GbpLiborYCON-Mx#0000</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GbpLiborYC1M-Mx#0000</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GbpLiborYC3M-Mx#0000</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GbpLiborYC6M-Mx#0000</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GbpLiborYC1Y-Mx#0000</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GbpSwaptionATMVol#0000</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GbpSwaptionVol#0000</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Gbp3MFutOptionVol#0000</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Gbp1MCapletVol#0000</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Gbp3MCapletVol#0000</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Gbp6MCapletVol#0000</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Gbp1YCapletVol#0000</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Gbp3MFutOptionVolEx#0000</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Gbp1MCapletVolEx#0000</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Gbp3MCapletVolEx#0000</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Gbp6MCapletVolEx#0000</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Gbp1YCapletVolEx#0000</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300" t="str">
        <f t="shared" ref="W5:W22"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Sonia2#0000</v>
      </c>
      <c r="G6" s="8" t="str">
        <f>_xll.qlLastFixingQuote(E6&amp;"LastFixing_Quote",F6,Permanent,Trigger,ObjectOverwrite)</f>
        <v>Sonia2LastFixing_Quote#0000</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291"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Sonia#0000</v>
      </c>
      <c r="G7" s="8" t="str">
        <f>_xll.qlLastFixingQuote(E7&amp;"LastFixing_Quote",F7,Permanent,Trigger,ObjectOverwrite)</f>
        <v>SoniaLastFixing_Quote#0000</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291"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GbpLiborSW#0000</v>
      </c>
      <c r="G8" s="8" t="str">
        <f>_xll.qlLastFixingQuote(E8&amp;"LastFixing_Quote",F8,Permanent,Trigger,ObjectOverwrite)</f>
        <v>GbpLiborSWLastFixing_Quote#0000</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 t="shared" si="2"/>
        <v>GbpLiborSW</v>
      </c>
      <c r="X8" s="324">
        <f>_xll.qlIndexFixing($W8,$R8,TRUE,$T8)</f>
        <v>4.8687999999999995E-3</v>
      </c>
      <c r="Y8" s="324">
        <f>IF($U8,_xll.qlIndexFixing($W8,$R8,FALSE,$T8),"-")</f>
        <v>4.8687999999999995E-3</v>
      </c>
      <c r="Z8" s="324">
        <f t="shared" si="3"/>
        <v>0</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GbpLibor2W#0000</v>
      </c>
      <c r="G9" s="8" t="str">
        <f>_xll.qlLastFixingQuote(E9&amp;"LastFixing_Quote",F9,Permanent,Trigger,ObjectOverwrite)</f>
        <v>GbpLibor2WLastFixing_Quote#0000</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si="2"/>
        <v>GbpLibor2W</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GbpLibor3W#0000</v>
      </c>
      <c r="G10" s="8" t="str">
        <f>_xll.qlLastFixingQuote(E10&amp;"LastFixing_Quote",F10,Permanent,Trigger,ObjectOverwrite)</f>
        <v>GbpLibor3WLastFixing_Quote#0000</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2"/>
        <v>GbpLibor3W</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GbpLibor1M#0000</v>
      </c>
      <c r="G11" s="8" t="str">
        <f>_xll.qlLastFixingQuote(E11&amp;"LastFixing_Quote",F11,Permanent,Trigger,ObjectOverwrite)</f>
        <v>GbpLibor1MLastFixing_Quote#0000</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2"/>
        <v>GbpLibor1M</v>
      </c>
      <c r="X11" s="324">
        <f>_xll.qlIndexFixing($W11,$R11,TRUE,$T11)</f>
        <v>4.9249999999999997E-3</v>
      </c>
      <c r="Y11" s="324">
        <f>IF($U11,_xll.qlIndexFixing($W11,$R11,FALSE,$T11),"-")</f>
        <v>4.9249999999999997E-3</v>
      </c>
      <c r="Z11" s="324">
        <f t="shared" si="3"/>
        <v>0</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GbpLibor2M#0000</v>
      </c>
      <c r="G12" s="8" t="str">
        <f>_xll.qlLastFixingQuote(E12&amp;"LastFixing_Quote",F12,Permanent,Trigger,ObjectOverwrite)</f>
        <v>GbpLibor2MLastFixing_Quote#0000</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2"/>
        <v>GbpLibor2M</v>
      </c>
      <c r="X12" s="324">
        <f>_xll.qlIndexFixing($W12,$R12,TRUE,$T12)</f>
        <v>4.9838E-3</v>
      </c>
      <c r="Y12" s="324">
        <f>IF($U12,_xll.qlIndexFixing($W12,$R12,FALSE,$T12),"-")</f>
        <v>4.9838E-3</v>
      </c>
      <c r="Z12" s="324">
        <f t="shared" si="3"/>
        <v>0</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GbpLibor3M#0000</v>
      </c>
      <c r="G13" s="8" t="str">
        <f>_xll.qlLastFixingQuote(E13&amp;"LastFixing_Quote",F13,Permanent,Trigger,ObjectOverwrite)</f>
        <v>GbpLibor3MLastFixing_Quote#0000</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2"/>
        <v>GbpLibor3M</v>
      </c>
      <c r="X13" s="324">
        <f>_xll.qlIndexFixing($W13,$R13,TRUE,$T13)</f>
        <v>5.0812999999999995E-3</v>
      </c>
      <c r="Y13" s="324">
        <f>IF($U13,_xll.qlIndexFixing($W13,$R13,FALSE,$T13),"-")</f>
        <v>5.0812999999999995E-3</v>
      </c>
      <c r="Z13" s="324">
        <f t="shared" si="3"/>
        <v>0</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GbpLibor4M#0000</v>
      </c>
      <c r="G14" s="8" t="str">
        <f>_xll.qlLastFixingQuote(E14&amp;"LastFixing_Quote",F14,Permanent,Trigger,ObjectOverwrite)</f>
        <v>GbpLibor4MLastFixing_Quote#0000</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2"/>
        <v>GbpLibor4M</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GbpLibor5M#0000</v>
      </c>
      <c r="G15" s="8" t="str">
        <f>_xll.qlLastFixingQuote(E15&amp;"LastFixing_Quote",F15,Permanent,Trigger,ObjectOverwrite)</f>
        <v>GbpLibor5MLastFixing_Quote#0000</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2"/>
        <v>GbpLibor5M</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GbpLibor6M#0000</v>
      </c>
      <c r="G16" s="8" t="str">
        <f>_xll.qlLastFixingQuote(E16&amp;"LastFixing_Quote",F16,Permanent,Trigger,ObjectOverwrite)</f>
        <v>GbpLibor6MLastFixing_Quote#0000</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2"/>
        <v>GbpLibor6M</v>
      </c>
      <c r="X16" s="324">
        <f>_xll.qlIndexFixing($W16,$R16,TRUE,$T16)</f>
        <v>5.9175E-3</v>
      </c>
      <c r="Y16" s="324">
        <f>IF($U16,_xll.qlIndexFixing($W16,$R16,FALSE,$T16),"-")</f>
        <v>5.9175E-3</v>
      </c>
      <c r="Z16" s="324">
        <f t="shared" si="3"/>
        <v>0</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GbpLibor7M#0000</v>
      </c>
      <c r="G17" s="8" t="str">
        <f>_xll.qlLastFixingQuote(E17&amp;"LastFixing_Quote",F17,Permanent,Trigger,ObjectOverwrite)</f>
        <v>GbpLibor7MLastFixing_Quote#0000</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2"/>
        <v>GbpLibor7M</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GbpLibor8M#0000</v>
      </c>
      <c r="G18" s="8" t="str">
        <f>_xll.qlLastFixingQuote(E18&amp;"LastFixing_Quote",F18,Permanent,Trigger,ObjectOverwrite)</f>
        <v>GbpLibor8MLastFixing_Quote#0000</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2"/>
        <v>GbpLibor8M</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GbpLibor9M#0000</v>
      </c>
      <c r="G19" s="8" t="str">
        <f>_xll.qlLastFixingQuote(E19&amp;"LastFixing_Quote",F19,Permanent,Trigger,ObjectOverwrite)</f>
        <v>GbpLibor9MLastFixing_Quote#0000</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2"/>
        <v>GbpLibor9M</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GbpLibor10M#0000</v>
      </c>
      <c r="G20" s="8" t="str">
        <f>_xll.qlLastFixingQuote(E20&amp;"LastFixing_Quote",F20,Permanent,Trigger,ObjectOverwrite)</f>
        <v>GbpLibor10MLastFixing_Quote#0000</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2"/>
        <v>GbpLibor10M</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GbpLibor11M#0000</v>
      </c>
      <c r="G21" s="8" t="str">
        <f>_xll.qlLastFixingQuote(E21&amp;"LastFixing_Quote",F21,Permanent,Trigger,ObjectOverwrite)</f>
        <v>GbpLibor11MLastFixing_Quote#0000</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2"/>
        <v>GbpLibor11M</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GbpLibor1Y#0000</v>
      </c>
      <c r="G22" s="8" t="str">
        <f>_xll.qlLastFixingQuote(E22&amp;"LastFixing_Quote",F22,Permanent,Trigger,ObjectOverwrite)</f>
        <v>GbpLibor1YLastFixing_Quote#0000</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2"/>
        <v>GbpLibor1Y</v>
      </c>
      <c r="X22" s="321">
        <f>_xll.qlIndexFixing($W22,$R22,TRUE,$T22)</f>
        <v>8.7938000000000009E-3</v>
      </c>
      <c r="Y22" s="321">
        <f>IF($U22,_xll.qlIndexFixing($W22,$R22,FALSE,$T22),"-")</f>
        <v>8.7938000000000009E-3</v>
      </c>
      <c r="Z22" s="321">
        <f t="shared" si="3"/>
        <v>0</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354</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356</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GbpLiborSwapIsda1Y#0000</v>
      </c>
      <c r="G7" s="34" t="str">
        <f>_xll.ohRangeRetrieveError(F7)</f>
        <v/>
      </c>
      <c r="H7" s="33"/>
      <c r="J7" s="2">
        <f>_xll.qlInterestRateIndexFixingDays(F7)</f>
        <v>0</v>
      </c>
      <c r="L7" s="256"/>
      <c r="M7" s="287"/>
      <c r="N7" s="305" t="s">
        <v>1</v>
      </c>
      <c r="O7" s="299" t="str">
        <f t="shared" ref="O7:O21" si="1">Currency&amp;$O$5&amp;$N7&amp;"="</f>
        <v>GBPSFIX1Y=</v>
      </c>
      <c r="P7" s="304">
        <v>41464</v>
      </c>
      <c r="Q7" s="302">
        <v>0.54600000000000004</v>
      </c>
      <c r="R7" s="302" t="b">
        <f t="shared" ref="R7:R21" si="2">IF(AND(ISNUMBER($Q7),$Q7&lt;&gt;0%),TRUE,FALSE)</f>
        <v>1</v>
      </c>
      <c r="S7" s="301" t="b">
        <f>IF($R7,_xll.qlIndexAddFixings($U7,$P7,$Q7/100,TRUE,ISERROR($V7)),NA())</f>
        <v>1</v>
      </c>
      <c r="T7" s="282"/>
      <c r="U7" s="300" t="str">
        <f t="shared" ref="U7:U21" si="3">PROPER(Currency)&amp;$U$5&amp;$N7</f>
        <v>GbpLiborSwapIsda1Y</v>
      </c>
      <c r="V7" s="299">
        <f>_xll.qlIndexFixing($U7,$P7,TRUE,$R7)</f>
        <v>5.4600000000000004E-3</v>
      </c>
      <c r="W7" s="299">
        <f>IF($S7,_xll.qlIndexFixing($U7,$P7,FALSE,$R7),"-")</f>
        <v>5.4600000000000004E-3</v>
      </c>
      <c r="X7" s="299">
        <f t="shared" ref="X7:X21" si="4">V7-W7</f>
        <v>0</v>
      </c>
      <c r="Y7" s="298">
        <f>_xll.qlIndexFixing($U7,$P7,TRUE,$W7)</f>
        <v>5.4600000000000004E-3</v>
      </c>
      <c r="Z7" s="332">
        <f t="shared" ref="Z7:Z21" si="5">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GbpLiborSwapIsda2Y#0000</v>
      </c>
      <c r="G8" s="34" t="str">
        <f>_xll.ohRangeRetrieveError(F8)</f>
        <v/>
      </c>
      <c r="H8" s="33"/>
      <c r="J8" s="2">
        <f>_xll.qlInterestRateIndexFixingDays(F8)</f>
        <v>0</v>
      </c>
      <c r="L8" s="256"/>
      <c r="M8" s="287"/>
      <c r="N8" s="295" t="s">
        <v>85</v>
      </c>
      <c r="O8" s="290" t="str">
        <f t="shared" si="1"/>
        <v>GBPSFIX2Y=</v>
      </c>
      <c r="P8" s="294">
        <v>41464</v>
      </c>
      <c r="Q8" s="293">
        <v>0.71699999999999997</v>
      </c>
      <c r="R8" s="293" t="b">
        <f t="shared" si="2"/>
        <v>1</v>
      </c>
      <c r="S8" s="292" t="b">
        <f>IF($R8,_xll.qlIndexAddFixings($U8,$P8,$Q8/100,TRUE,ISERROR($V8)),NA())</f>
        <v>1</v>
      </c>
      <c r="T8" s="282"/>
      <c r="U8" s="291" t="str">
        <f t="shared" si="3"/>
        <v>GbpLiborSwapIsda2Y</v>
      </c>
      <c r="V8" s="290">
        <f>_xll.qlIndexFixing($U8,$P8,TRUE,$R8)</f>
        <v>7.1699999999999993E-3</v>
      </c>
      <c r="W8" s="290">
        <f>IF($S8,_xll.qlIndexFixing($U8,$P8,FALSE,$R8),"-")</f>
        <v>7.1699999999999993E-3</v>
      </c>
      <c r="X8" s="290">
        <f t="shared" si="4"/>
        <v>0</v>
      </c>
      <c r="Y8" s="289">
        <f>_xll.qlIndexFixing($U8,$P8,TRUE,$W8)</f>
        <v>7.1699999999999993E-3</v>
      </c>
      <c r="Z8" s="332">
        <f t="shared" si="5"/>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GbpLiborSwapIsda3Y#0000</v>
      </c>
      <c r="G9" s="34" t="str">
        <f>_xll.ohRangeRetrieveError(F9)</f>
        <v/>
      </c>
      <c r="H9" s="33"/>
      <c r="J9" s="2">
        <f>_xll.qlInterestRateIndexFixingDays(F9)</f>
        <v>0</v>
      </c>
      <c r="L9" s="256"/>
      <c r="M9" s="287"/>
      <c r="N9" s="295" t="s">
        <v>84</v>
      </c>
      <c r="O9" s="290" t="str">
        <f t="shared" si="1"/>
        <v>GBPSFIX3Y=</v>
      </c>
      <c r="P9" s="294">
        <v>41464</v>
      </c>
      <c r="Q9" s="293">
        <v>0.92300000000000004</v>
      </c>
      <c r="R9" s="293" t="b">
        <f t="shared" si="2"/>
        <v>1</v>
      </c>
      <c r="S9" s="292" t="b">
        <f>IF($R9,_xll.qlIndexAddFixings($U9,$P9,$Q9/100,TRUE,ISERROR($V9)),NA())</f>
        <v>1</v>
      </c>
      <c r="T9" s="282"/>
      <c r="U9" s="291" t="str">
        <f t="shared" si="3"/>
        <v>GbpLiborSwapIsda3Y</v>
      </c>
      <c r="V9" s="290">
        <f>_xll.qlIndexFixing($U9,$P9,TRUE,$R9)</f>
        <v>9.2300000000000004E-3</v>
      </c>
      <c r="W9" s="290">
        <f>IF($S9,_xll.qlIndexFixing($U9,$P9,FALSE,$R9),"-")</f>
        <v>9.2300000000000004E-3</v>
      </c>
      <c r="X9" s="290">
        <f t="shared" si="4"/>
        <v>0</v>
      </c>
      <c r="Y9" s="289">
        <f>_xll.qlIndexFixing($U9,$P9,TRUE,$W9)</f>
        <v>9.2300000000000004E-3</v>
      </c>
      <c r="Z9" s="332">
        <f t="shared" si="5"/>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GbpLiborSwapIsda4Y#0000</v>
      </c>
      <c r="G10" s="34" t="str">
        <f>_xll.ohRangeRetrieveError(F10)</f>
        <v/>
      </c>
      <c r="H10" s="33"/>
      <c r="J10" s="2">
        <f>_xll.qlInterestRateIndexFixingDays(F10)</f>
        <v>0</v>
      </c>
      <c r="L10" s="256"/>
      <c r="M10" s="287"/>
      <c r="N10" s="295" t="s">
        <v>83</v>
      </c>
      <c r="O10" s="290" t="str">
        <f t="shared" si="1"/>
        <v>GBPSFIX4Y=</v>
      </c>
      <c r="P10" s="294">
        <v>41464</v>
      </c>
      <c r="Q10" s="293">
        <v>1.22</v>
      </c>
      <c r="R10" s="293" t="b">
        <f t="shared" si="2"/>
        <v>1</v>
      </c>
      <c r="S10" s="292" t="b">
        <f>IF($R10,_xll.qlIndexAddFixings($U10,$P10,$Q10/100,TRUE,ISERROR($V10)),NA())</f>
        <v>1</v>
      </c>
      <c r="T10" s="282"/>
      <c r="U10" s="291" t="str">
        <f t="shared" si="3"/>
        <v>GbpLiborSwapIsda4Y</v>
      </c>
      <c r="V10" s="290">
        <f>_xll.qlIndexFixing($U10,$P10,TRUE,$R10)</f>
        <v>1.2199999999999999E-2</v>
      </c>
      <c r="W10" s="290">
        <f>IF($S10,_xll.qlIndexFixing($U10,$P10,FALSE,$R10),"-")</f>
        <v>1.2199999999999999E-2</v>
      </c>
      <c r="X10" s="290">
        <f t="shared" si="4"/>
        <v>0</v>
      </c>
      <c r="Y10" s="289">
        <f>_xll.qlIndexFixing($U10,$P10,TRUE,$W10)</f>
        <v>1.2199999999999999E-2</v>
      </c>
      <c r="Z10" s="332">
        <f t="shared" si="5"/>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GbpLiborSwapIsda5Y#0000</v>
      </c>
      <c r="G11" s="34" t="str">
        <f>_xll.ohRangeRetrieveError(F11)</f>
        <v/>
      </c>
      <c r="H11" s="33"/>
      <c r="J11" s="2">
        <f>_xll.qlInterestRateIndexFixingDays(F11)</f>
        <v>0</v>
      </c>
      <c r="L11" s="256"/>
      <c r="M11" s="287"/>
      <c r="N11" s="295" t="s">
        <v>82</v>
      </c>
      <c r="O11" s="290" t="str">
        <f t="shared" si="1"/>
        <v>GBPSFIX5Y=</v>
      </c>
      <c r="P11" s="294">
        <v>41464</v>
      </c>
      <c r="Q11" s="293">
        <v>1.5209999999999999</v>
      </c>
      <c r="R11" s="293" t="b">
        <f t="shared" si="2"/>
        <v>1</v>
      </c>
      <c r="S11" s="292" t="b">
        <f>IF($R11,_xll.qlIndexAddFixings($U11,$P11,$Q11/100,TRUE,ISERROR($V11)),NA())</f>
        <v>1</v>
      </c>
      <c r="T11" s="282"/>
      <c r="U11" s="291" t="str">
        <f t="shared" si="3"/>
        <v>GbpLiborSwapIsda5Y</v>
      </c>
      <c r="V11" s="290">
        <f>_xll.qlIndexFixing($U11,$P11,TRUE,$R11)</f>
        <v>1.521E-2</v>
      </c>
      <c r="W11" s="290">
        <f>IF($S11,_xll.qlIndexFixing($U11,$P11,FALSE,$R11),"-")</f>
        <v>1.521E-2</v>
      </c>
      <c r="X11" s="290">
        <f t="shared" si="4"/>
        <v>0</v>
      </c>
      <c r="Y11" s="289">
        <f>_xll.qlIndexFixing($U11,$P11,TRUE,$W11)</f>
        <v>1.521E-2</v>
      </c>
      <c r="Z11" s="332">
        <f t="shared" si="5"/>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GbpLiborSwapIsda6Y#0000</v>
      </c>
      <c r="G12" s="34" t="str">
        <f>_xll.ohRangeRetrieveError(F12)</f>
        <v/>
      </c>
      <c r="H12" s="33"/>
      <c r="J12" s="2">
        <f>_xll.qlInterestRateIndexFixingDays(F12)</f>
        <v>0</v>
      </c>
      <c r="L12" s="256"/>
      <c r="M12" s="287"/>
      <c r="N12" s="295" t="s">
        <v>81</v>
      </c>
      <c r="O12" s="290" t="str">
        <f t="shared" si="1"/>
        <v>GBPSFIX6Y=</v>
      </c>
      <c r="P12" s="294">
        <v>41464</v>
      </c>
      <c r="Q12" s="293">
        <v>1.7869999999999999</v>
      </c>
      <c r="R12" s="293" t="b">
        <f t="shared" si="2"/>
        <v>1</v>
      </c>
      <c r="S12" s="292" t="b">
        <f>IF($R12,_xll.qlIndexAddFixings($U12,$P12,$Q12/100,TRUE,ISERROR($V12)),NA())</f>
        <v>1</v>
      </c>
      <c r="T12" s="282"/>
      <c r="U12" s="291" t="str">
        <f t="shared" si="3"/>
        <v>GbpLiborSwapIsda6Y</v>
      </c>
      <c r="V12" s="290">
        <f>_xll.qlIndexFixing($U12,$P12,TRUE,$R12)</f>
        <v>1.787E-2</v>
      </c>
      <c r="W12" s="290">
        <f>IF($S12,_xll.qlIndexFixing($U12,$P12,FALSE,$R12),"-")</f>
        <v>1.787E-2</v>
      </c>
      <c r="X12" s="290">
        <f t="shared" si="4"/>
        <v>0</v>
      </c>
      <c r="Y12" s="289">
        <f>_xll.qlIndexFixing($U12,$P12,TRUE,$W12)</f>
        <v>1.787E-2</v>
      </c>
      <c r="Z12" s="332">
        <f t="shared" si="5"/>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GbpLiborSwapIsda7Y#0000</v>
      </c>
      <c r="G13" s="34" t="str">
        <f>_xll.ohRangeRetrieveError(F13)</f>
        <v/>
      </c>
      <c r="H13" s="33"/>
      <c r="J13" s="2">
        <f>_xll.qlInterestRateIndexFixingDays(F13)</f>
        <v>0</v>
      </c>
      <c r="L13" s="256"/>
      <c r="M13" s="287"/>
      <c r="N13" s="295" t="s">
        <v>80</v>
      </c>
      <c r="O13" s="290" t="str">
        <f t="shared" si="1"/>
        <v>GBPSFIX7Y=</v>
      </c>
      <c r="P13" s="294">
        <v>41464</v>
      </c>
      <c r="Q13" s="293">
        <v>2.028</v>
      </c>
      <c r="R13" s="293" t="b">
        <f t="shared" si="2"/>
        <v>1</v>
      </c>
      <c r="S13" s="292" t="b">
        <f>IF($R13,_xll.qlIndexAddFixings($U13,$P13,$Q13/100,TRUE,ISERROR($V13)),NA())</f>
        <v>1</v>
      </c>
      <c r="T13" s="282"/>
      <c r="U13" s="291" t="str">
        <f t="shared" si="3"/>
        <v>GbpLiborSwapIsda7Y</v>
      </c>
      <c r="V13" s="290">
        <f>_xll.qlIndexFixing($U13,$P13,TRUE,$R13)</f>
        <v>2.0279999999999999E-2</v>
      </c>
      <c r="W13" s="290">
        <f>IF($S13,_xll.qlIndexFixing($U13,$P13,FALSE,$R13),"-")</f>
        <v>2.0279999999999999E-2</v>
      </c>
      <c r="X13" s="290">
        <f t="shared" si="4"/>
        <v>0</v>
      </c>
      <c r="Y13" s="289">
        <f>_xll.qlIndexFixing($U13,$P13,TRUE,$W13)</f>
        <v>2.0279999999999999E-2</v>
      </c>
      <c r="Z13" s="332">
        <f t="shared" si="5"/>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GbpLiborSwapIsda8Y#0000</v>
      </c>
      <c r="G14" s="34" t="str">
        <f>_xll.ohRangeRetrieveError(F14)</f>
        <v/>
      </c>
      <c r="H14" s="33"/>
      <c r="J14" s="2">
        <f>_xll.qlInterestRateIndexFixingDays(F14)</f>
        <v>0</v>
      </c>
      <c r="L14" s="256"/>
      <c r="M14" s="287"/>
      <c r="N14" s="295" t="s">
        <v>79</v>
      </c>
      <c r="O14" s="290" t="str">
        <f t="shared" si="1"/>
        <v>GBPSFIX8Y=</v>
      </c>
      <c r="P14" s="294">
        <v>41464</v>
      </c>
      <c r="Q14" s="293">
        <v>2.238</v>
      </c>
      <c r="R14" s="293" t="b">
        <f t="shared" si="2"/>
        <v>1</v>
      </c>
      <c r="S14" s="292" t="b">
        <f>IF($R14,_xll.qlIndexAddFixings($U14,$P14,$Q14/100,TRUE,ISERROR($V14)),NA())</f>
        <v>1</v>
      </c>
      <c r="T14" s="282"/>
      <c r="U14" s="291" t="str">
        <f t="shared" si="3"/>
        <v>GbpLiborSwapIsda8Y</v>
      </c>
      <c r="V14" s="290">
        <f>_xll.qlIndexFixing($U14,$P14,TRUE,$R14)</f>
        <v>2.2380000000000001E-2</v>
      </c>
      <c r="W14" s="290">
        <f>IF($S14,_xll.qlIndexFixing($U14,$P14,FALSE,$R14),"-")</f>
        <v>2.2380000000000001E-2</v>
      </c>
      <c r="X14" s="290">
        <f t="shared" si="4"/>
        <v>0</v>
      </c>
      <c r="Y14" s="289">
        <f>_xll.qlIndexFixing($U14,$P14,TRUE,$W14)</f>
        <v>2.2380000000000001E-2</v>
      </c>
      <c r="Z14" s="332">
        <f t="shared" si="5"/>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GbpLiborSwapIsda9Y#0000</v>
      </c>
      <c r="G15" s="34" t="str">
        <f>_xll.ohRangeRetrieveError(F15)</f>
        <v/>
      </c>
      <c r="H15" s="33"/>
      <c r="J15" s="2">
        <f>_xll.qlInterestRateIndexFixingDays(F15)</f>
        <v>0</v>
      </c>
      <c r="L15" s="256"/>
      <c r="M15" s="287"/>
      <c r="N15" s="295" t="s">
        <v>78</v>
      </c>
      <c r="O15" s="290" t="str">
        <f t="shared" si="1"/>
        <v>GBPSFIX9Y=</v>
      </c>
      <c r="P15" s="294">
        <v>41464</v>
      </c>
      <c r="Q15" s="293">
        <v>2.4180000000000001</v>
      </c>
      <c r="R15" s="293" t="b">
        <f t="shared" si="2"/>
        <v>1</v>
      </c>
      <c r="S15" s="292" t="b">
        <f>IF($R15,_xll.qlIndexAddFixings($U15,$P15,$Q15/100,TRUE,ISERROR($V15)),NA())</f>
        <v>1</v>
      </c>
      <c r="T15" s="282"/>
      <c r="U15" s="291" t="str">
        <f t="shared" si="3"/>
        <v>GbpLiborSwapIsda9Y</v>
      </c>
      <c r="V15" s="290">
        <f>_xll.qlIndexFixing($U15,$P15,TRUE,$R15)</f>
        <v>2.418E-2</v>
      </c>
      <c r="W15" s="290">
        <f>IF($S15,_xll.qlIndexFixing($U15,$P15,FALSE,$R15),"-")</f>
        <v>2.418E-2</v>
      </c>
      <c r="X15" s="290">
        <f t="shared" si="4"/>
        <v>0</v>
      </c>
      <c r="Y15" s="289">
        <f>_xll.qlIndexFixing($U15,$P15,TRUE,$W15)</f>
        <v>2.418E-2</v>
      </c>
      <c r="Z15" s="332">
        <f t="shared" si="5"/>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GbpLiborSwapIsda10Y#0000</v>
      </c>
      <c r="G16" s="34" t="str">
        <f>_xll.ohRangeRetrieveError(F16)</f>
        <v/>
      </c>
      <c r="H16" s="33"/>
      <c r="J16" s="2">
        <f>_xll.qlInterestRateIndexFixingDays(F16)</f>
        <v>0</v>
      </c>
      <c r="L16" s="256"/>
      <c r="M16" s="287"/>
      <c r="N16" s="295" t="s">
        <v>77</v>
      </c>
      <c r="O16" s="290" t="str">
        <f t="shared" si="1"/>
        <v>GBPSFIX10Y=</v>
      </c>
      <c r="P16" s="294">
        <v>41464</v>
      </c>
      <c r="Q16" s="293">
        <v>2.5670000000000002</v>
      </c>
      <c r="R16" s="293" t="b">
        <f t="shared" si="2"/>
        <v>1</v>
      </c>
      <c r="S16" s="292" t="b">
        <f>IF($R16,_xll.qlIndexAddFixings($U16,$P16,$Q16/100,TRUE,ISERROR($V16)),NA())</f>
        <v>1</v>
      </c>
      <c r="T16" s="282"/>
      <c r="U16" s="291" t="str">
        <f t="shared" si="3"/>
        <v>GbpLiborSwapIsda10Y</v>
      </c>
      <c r="V16" s="290">
        <f>_xll.qlIndexFixing($U16,$P16,TRUE,$R16)</f>
        <v>2.5670000000000002E-2</v>
      </c>
      <c r="W16" s="290">
        <f>IF($S16,_xll.qlIndexFixing($U16,$P16,FALSE,$R16),"-")</f>
        <v>2.5670000000000002E-2</v>
      </c>
      <c r="X16" s="290">
        <f t="shared" si="4"/>
        <v>0</v>
      </c>
      <c r="Y16" s="289">
        <f>_xll.qlIndexFixing($U16,$P16,TRUE,$W16)</f>
        <v>2.5670000000000002E-2</v>
      </c>
      <c r="Z16" s="332">
        <f t="shared" si="5"/>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GbpLiborSwapIsda11Y#0000</v>
      </c>
      <c r="G17" s="34" t="str">
        <f>_xll.ohRangeRetrieveError(F17)</f>
        <v/>
      </c>
      <c r="H17" s="33"/>
      <c r="J17" s="2">
        <f>_xll.qlInterestRateIndexFixingDays(F17)</f>
        <v>0</v>
      </c>
      <c r="L17" s="256"/>
      <c r="M17" s="287"/>
      <c r="N17" s="295" t="s">
        <v>75</v>
      </c>
      <c r="O17" s="290" t="str">
        <f t="shared" si="1"/>
        <v>GBPSFIX12Y=</v>
      </c>
      <c r="P17" s="294">
        <v>41464</v>
      </c>
      <c r="Q17" s="293">
        <v>2.7909999999999999</v>
      </c>
      <c r="R17" s="293" t="b">
        <f t="shared" si="2"/>
        <v>1</v>
      </c>
      <c r="S17" s="292" t="b">
        <f>IF($R17,_xll.qlIndexAddFixings($U17,$P17,$Q17/100,TRUE,ISERROR($V17)),NA())</f>
        <v>1</v>
      </c>
      <c r="T17" s="282"/>
      <c r="U17" s="291" t="str">
        <f t="shared" si="3"/>
        <v>GbpLiborSwapIsda12Y</v>
      </c>
      <c r="V17" s="290">
        <f>_xll.qlIndexFixing($U17,$P17,TRUE,$R17)</f>
        <v>2.7910000000000001E-2</v>
      </c>
      <c r="W17" s="290">
        <f>IF($S17,_xll.qlIndexFixing($U17,$P17,FALSE,$R17),"-")</f>
        <v>2.7910000000000001E-2</v>
      </c>
      <c r="X17" s="290">
        <f t="shared" si="4"/>
        <v>0</v>
      </c>
      <c r="Y17" s="289">
        <f>_xll.qlIndexFixing($U17,$P17,TRUE,$W17)</f>
        <v>2.7910000000000001E-2</v>
      </c>
      <c r="Z17" s="332">
        <f t="shared" si="5"/>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GbpLiborSwapIsda12Y#0000</v>
      </c>
      <c r="G18" s="34" t="str">
        <f>_xll.ohRangeRetrieveError(F18)</f>
        <v/>
      </c>
      <c r="H18" s="33"/>
      <c r="J18" s="2">
        <f>_xll.qlInterestRateIndexFixingDays(F18)</f>
        <v>0</v>
      </c>
      <c r="L18" s="256"/>
      <c r="M18" s="287"/>
      <c r="N18" s="295" t="s">
        <v>72</v>
      </c>
      <c r="O18" s="290" t="str">
        <f t="shared" si="1"/>
        <v>GBPSFIX15Y=</v>
      </c>
      <c r="P18" s="294">
        <v>41464</v>
      </c>
      <c r="Q18" s="293">
        <v>3.0190000000000001</v>
      </c>
      <c r="R18" s="293" t="b">
        <f t="shared" si="2"/>
        <v>1</v>
      </c>
      <c r="S18" s="292" t="b">
        <f>IF($R18,_xll.qlIndexAddFixings($U18,$P18,$Q18/100,TRUE,ISERROR($V18)),NA())</f>
        <v>1</v>
      </c>
      <c r="T18" s="282"/>
      <c r="U18" s="291" t="str">
        <f t="shared" si="3"/>
        <v>GbpLiborSwapIsda15Y</v>
      </c>
      <c r="V18" s="290">
        <f>_xll.qlIndexFixing($U18,$P18,TRUE,$R18)</f>
        <v>3.0190000000000002E-2</v>
      </c>
      <c r="W18" s="290">
        <f>IF($S18,_xll.qlIndexFixing($U18,$P18,FALSE,$R18),"-")</f>
        <v>3.0190000000000002E-2</v>
      </c>
      <c r="X18" s="290">
        <f t="shared" si="4"/>
        <v>0</v>
      </c>
      <c r="Y18" s="289">
        <f>_xll.qlIndexFixing($U18,$P18,TRUE,$W18)</f>
        <v>3.0190000000000002E-2</v>
      </c>
      <c r="Z18" s="332">
        <f t="shared" si="5"/>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GbpLiborSwapIsda13Y#0000</v>
      </c>
      <c r="G19" s="34" t="str">
        <f>_xll.ohRangeRetrieveError(F19)</f>
        <v/>
      </c>
      <c r="H19" s="33"/>
      <c r="J19" s="2">
        <f>_xll.qlInterestRateIndexFixingDays(F19)</f>
        <v>0</v>
      </c>
      <c r="L19" s="256"/>
      <c r="M19" s="287"/>
      <c r="N19" s="295" t="s">
        <v>67</v>
      </c>
      <c r="O19" s="290" t="str">
        <f t="shared" si="1"/>
        <v>GBPSFIX20Y=</v>
      </c>
      <c r="P19" s="294">
        <v>41464</v>
      </c>
      <c r="Q19" s="293">
        <v>3.2389999999999999</v>
      </c>
      <c r="R19" s="293" t="b">
        <f t="shared" si="2"/>
        <v>1</v>
      </c>
      <c r="S19" s="292" t="b">
        <f>IF($R19,_xll.qlIndexAddFixings($U19,$P19,$Q19/100,TRUE,ISERROR($V19)),NA())</f>
        <v>1</v>
      </c>
      <c r="T19" s="282"/>
      <c r="U19" s="291" t="str">
        <f t="shared" si="3"/>
        <v>GbpLiborSwapIsda20Y</v>
      </c>
      <c r="V19" s="290">
        <f>_xll.qlIndexFixing($U19,$P19,TRUE,$R19)</f>
        <v>3.2390000000000002E-2</v>
      </c>
      <c r="W19" s="290">
        <f>IF($S19,_xll.qlIndexFixing($U19,$P19,FALSE,$R19),"-")</f>
        <v>3.2390000000000002E-2</v>
      </c>
      <c r="X19" s="290">
        <f t="shared" si="4"/>
        <v>0</v>
      </c>
      <c r="Y19" s="289">
        <f>_xll.qlIndexFixing($U19,$P19,TRUE,$W19)</f>
        <v>3.2390000000000002E-2</v>
      </c>
      <c r="Z19" s="332">
        <f t="shared" si="5"/>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GbpLiborSwapIsda14Y#0000</v>
      </c>
      <c r="G20" s="34" t="str">
        <f>_xll.ohRangeRetrieveError(F20)</f>
        <v/>
      </c>
      <c r="H20" s="33"/>
      <c r="J20" s="2">
        <f>_xll.qlInterestRateIndexFixingDays(F20)</f>
        <v>0</v>
      </c>
      <c r="L20" s="256"/>
      <c r="M20" s="287"/>
      <c r="N20" s="295" t="s">
        <v>62</v>
      </c>
      <c r="O20" s="290" t="str">
        <f t="shared" si="1"/>
        <v>GBPSFIX25Y=</v>
      </c>
      <c r="P20" s="294">
        <v>41464</v>
      </c>
      <c r="Q20" s="293">
        <v>3.3420000000000001</v>
      </c>
      <c r="R20" s="293" t="b">
        <f t="shared" si="2"/>
        <v>1</v>
      </c>
      <c r="S20" s="292" t="b">
        <f>IF($R20,_xll.qlIndexAddFixings($U20,$P20,$Q20/100,TRUE,ISERROR($V20)),NA())</f>
        <v>1</v>
      </c>
      <c r="T20" s="282"/>
      <c r="U20" s="291" t="str">
        <f t="shared" si="3"/>
        <v>GbpLiborSwapIsda25Y</v>
      </c>
      <c r="V20" s="290">
        <f>_xll.qlIndexFixing($U20,$P20,TRUE,$R20)</f>
        <v>3.3419999999999998E-2</v>
      </c>
      <c r="W20" s="290">
        <f>IF($S20,_xll.qlIndexFixing($U20,$P20,FALSE,$R20),"-")</f>
        <v>3.3419999999999998E-2</v>
      </c>
      <c r="X20" s="290">
        <f t="shared" si="4"/>
        <v>0</v>
      </c>
      <c r="Y20" s="289">
        <f>_xll.qlIndexFixing($U20,$P20,TRUE,$W20)</f>
        <v>3.3419999999999998E-2</v>
      </c>
      <c r="Z20" s="332">
        <f t="shared" si="5"/>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GbpLiborSwapIsda15Y#0000</v>
      </c>
      <c r="G21" s="34" t="str">
        <f>_xll.ohRangeRetrieveError(F21)</f>
        <v/>
      </c>
      <c r="H21" s="33"/>
      <c r="J21" s="2">
        <f>_xll.qlInterestRateIndexFixingDays(F21)</f>
        <v>0</v>
      </c>
      <c r="L21" s="256"/>
      <c r="M21" s="287"/>
      <c r="N21" s="286" t="s">
        <v>57</v>
      </c>
      <c r="O21" s="280" t="str">
        <f t="shared" si="1"/>
        <v>GBPSFIX30Y=</v>
      </c>
      <c r="P21" s="285">
        <v>41464</v>
      </c>
      <c r="Q21" s="284">
        <v>3.3820000000000001</v>
      </c>
      <c r="R21" s="284" t="b">
        <f t="shared" si="2"/>
        <v>1</v>
      </c>
      <c r="S21" s="283" t="b">
        <f>IF($R21,_xll.qlIndexAddFixings($U21,$P21,$Q21/100,TRUE,ISERROR($V21)),NA())</f>
        <v>1</v>
      </c>
      <c r="T21" s="282"/>
      <c r="U21" s="281" t="str">
        <f t="shared" si="3"/>
        <v>GbpLiborSwapIsda30Y</v>
      </c>
      <c r="V21" s="280">
        <f>_xll.qlIndexFixing($U21,$P21,TRUE,$R21)</f>
        <v>3.3820000000000003E-2</v>
      </c>
      <c r="W21" s="280">
        <f>IF($S21,_xll.qlIndexFixing($U21,$P21,FALSE,$R21),"-")</f>
        <v>3.3820000000000003E-2</v>
      </c>
      <c r="X21" s="280">
        <f t="shared" si="4"/>
        <v>0</v>
      </c>
      <c r="Y21" s="279">
        <f>_xll.qlIndexFixing($U21,$P21,TRUE,$W21)</f>
        <v>3.3820000000000003E-2</v>
      </c>
      <c r="Z21" s="331">
        <f t="shared" si="5"/>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GbpLiborSwapIsda16Y#0000</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GbpLiborSwapIsda17Y#0000</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GbpLiborSwapIsda18Y#0000</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GbpLiborSwapIsda19Y#0000</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GbpLiborSwapIsda20Y#0000</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GbpLiborSwapIsda21Y#0000</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GbpLiborSwapIsda22Y#0000</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GbpLiborSwapIsda23Y#0000</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GbpLiborSwapIsda24Y#0000</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GbpLiborSwapIsda25Y#0000</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GbpLiborSwapIsda26Y#0000</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GbpLiborSwapIsda27Y#0000</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GbpLiborSwapIsda28Y#0000</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GbpLiborSwapIsda29Y#0000</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GbpLiborSwapIsda30Y#0000</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GbpLiborSwapIsda31Y#0000</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GbpLiborSwapIsda32Y#0000</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GbpLiborSwapIsda33Y#0000</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GbpLiborSwapIsda34Y#0000</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GbpLiborSwapIsda35Y#0000</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GbpLiborSwapIsda36Y#0000</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GbpLiborSwapIsda37Y#0000</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GbpLiborSwapIsda38Y#0000</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GbpLiborSwapIsda39Y#0000</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GbpLiborSwapIsda40Y#0000</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GbpLiborSwapIsda41Y#0000</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GbpLiborSwapIsda42Y#0000</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GbpLiborSwapIsda43Y#0000</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GbpLiborSwapIsda44Y#0000</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GbpLiborSwapIsda45Y#0000</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GbpLiborSwapIsda46Y#0000</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GbpLiborSwapIsda47Y#0000</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GbpLiborSwapIsda48Y#0000</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GbpLiborSwapIsda49Y#0000</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GbpLiborSwapIsda50Y#0000</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GbpLiborSwapIsda51Y#0000</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GbpLiborSwapIsda52Y#0000</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GbpLiborSwapIsda53Y#0000</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GbpLiborSwapIsda54Y#0000</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GbpLiborSwapIsda55Y#0000</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GbpLiborSwapIsda56Y#0000</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GbpLiborSwapIsda57Y#0000</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GbpLiborSwapIsda58Y#0000</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GbpLiborSwapIsda59Y#0000</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GbpLiborSwapIsda60Y#0000</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17" t="s">
        <v>355</v>
      </c>
      <c r="O1" s="201"/>
      <c r="P1" s="201"/>
      <c r="Q1" s="201"/>
      <c r="R1" s="201"/>
      <c r="S1" s="201"/>
      <c r="T1" s="201"/>
      <c r="U1" s="201"/>
      <c r="V1" s="201"/>
      <c r="W1" s="201"/>
      <c r="X1" s="201"/>
      <c r="Y1" s="201"/>
      <c r="Z1" s="201"/>
      <c r="AA1" s="201"/>
      <c r="AB1" s="201"/>
      <c r="AC1" s="201"/>
      <c r="AD1" s="198"/>
      <c r="AE1" s="64"/>
      <c r="AF1" s="64"/>
      <c r="AG1" s="64"/>
      <c r="AH1" s="64"/>
    </row>
    <row r="2" spans="1:34" x14ac:dyDescent="0.2">
      <c r="N2" s="380"/>
      <c r="O2" s="343"/>
      <c r="P2" s="343"/>
      <c r="Q2" s="343"/>
      <c r="R2" s="343"/>
      <c r="S2" s="140" t="s">
        <v>275</v>
      </c>
      <c r="T2" s="343"/>
      <c r="U2" s="343"/>
      <c r="V2" s="343"/>
      <c r="W2" s="343"/>
      <c r="X2" s="133"/>
      <c r="Y2" s="343"/>
      <c r="Z2" s="343"/>
      <c r="AA2" s="343"/>
      <c r="AB2" s="133"/>
      <c r="AC2" s="133"/>
      <c r="AD2" s="33"/>
      <c r="AE2" s="64"/>
      <c r="AF2" s="64"/>
      <c r="AG2" s="64"/>
      <c r="AH2" s="64"/>
    </row>
    <row r="3" spans="1:34" x14ac:dyDescent="0.2">
      <c r="A3" s="587" t="s">
        <v>349</v>
      </c>
      <c r="B3" s="95"/>
      <c r="C3" s="95"/>
      <c r="D3" s="95"/>
      <c r="E3" s="93"/>
      <c r="F3" s="94"/>
      <c r="G3" s="93"/>
      <c r="H3" s="92"/>
      <c r="N3" s="118"/>
      <c r="O3" s="343"/>
      <c r="P3" s="133"/>
      <c r="Q3" s="133"/>
      <c r="R3" s="133"/>
      <c r="S3" s="133" t="str">
        <f>_xll.qlInterpolation(,InterpolationType,_xll.ohFilter(N5:N42,W5:W42),_xll.ohFilter(V5:V42,W5:W42))</f>
        <v>obj_00522#0002</v>
      </c>
      <c r="T3" s="133"/>
      <c r="U3" s="133"/>
      <c r="V3" s="133"/>
      <c r="W3" s="133"/>
      <c r="X3" s="133"/>
      <c r="Y3" s="343"/>
      <c r="Z3" s="343"/>
      <c r="AA3" s="343"/>
      <c r="AB3" s="133"/>
      <c r="AC3" s="375">
        <f>_xll.ohTrigger(AC5:AC42)</f>
        <v>0</v>
      </c>
      <c r="AD3" s="218"/>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593" t="s">
        <v>285</v>
      </c>
      <c r="AC4" s="91" t="s">
        <v>284</v>
      </c>
      <c r="AD4" s="218"/>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GBP1L6L6M_Quote#0000</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 t="shared" ref="R5:R42" si="1">Currency&amp;$P5&amp;$Q5&amp;$O5</f>
        <v>GBP1L6L6M</v>
      </c>
      <c r="S5" s="353" t="str">
        <f t="array" ref="S5:S42">Instruments&amp;"="&amp;VLOOKUP(Contributor,ContributorTable,2,FALSE)</f>
        <v>GBP1L6L6M=ICAP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629" t="e">
        <f t="array" ref="AB5:AB42">QuoteStatic</f>
        <v>#NUM!</v>
      </c>
      <c r="AC5" s="348" t="e">
        <f>_xll.qlSimpleQuoteSetValue(F5,AB5/10000,Trigger)</f>
        <v>#NUM!</v>
      </c>
      <c r="AD5" s="218"/>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GBP1L6L1Y_Quote#0000</v>
      </c>
      <c r="G6" s="72" t="str">
        <f>_xll.ohRangeRetrieveError(F6)</f>
        <v/>
      </c>
      <c r="H6" s="71"/>
      <c r="I6" s="65"/>
      <c r="J6" s="65"/>
      <c r="K6" s="65"/>
      <c r="L6" s="65"/>
      <c r="M6" s="65"/>
      <c r="N6" s="521">
        <v>1</v>
      </c>
      <c r="O6" s="399" t="s">
        <v>1</v>
      </c>
      <c r="P6" s="402" t="str">
        <v>1L</v>
      </c>
      <c r="Q6" s="402" t="str">
        <v>6L</v>
      </c>
      <c r="R6" s="400" t="str">
        <f t="shared" si="1"/>
        <v>GBP1L6L1Y</v>
      </c>
      <c r="S6" s="353" t="str">
        <v>GBP1L6L1Y=ICAP</v>
      </c>
      <c r="T6" s="519">
        <v>15.5</v>
      </c>
      <c r="U6" s="519">
        <v>19.5</v>
      </c>
      <c r="V6" s="519">
        <f>_xll.qlMidEquivalent(T6,U6)</f>
        <v>17.5</v>
      </c>
      <c r="W6" s="349" t="b">
        <f t="shared" si="2"/>
        <v>1</v>
      </c>
      <c r="X6" s="520">
        <v>17.5</v>
      </c>
      <c r="Y6" s="343"/>
      <c r="Z6" s="517">
        <v>19.25</v>
      </c>
      <c r="AA6" s="343"/>
      <c r="AB6" s="629">
        <v>19.25</v>
      </c>
      <c r="AC6" s="348" t="e">
        <f>_xll.qlSimpleQuoteSetValue(F6,AB6/10000,Trigger)</f>
        <v>#N/A</v>
      </c>
      <c r="AD6" s="218"/>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GBP1L6L15M_Quote#0000</v>
      </c>
      <c r="G7" s="72" t="str">
        <f>_xll.ohRangeRetrieveError(F7)</f>
        <v/>
      </c>
      <c r="H7" s="71"/>
      <c r="N7" s="521">
        <v>1.25</v>
      </c>
      <c r="O7" s="399" t="s">
        <v>124</v>
      </c>
      <c r="P7" s="402" t="str">
        <v>1L</v>
      </c>
      <c r="Q7" s="402" t="str">
        <v>6L</v>
      </c>
      <c r="R7" s="400" t="str">
        <f t="shared" si="1"/>
        <v>GBP1L6L15M</v>
      </c>
      <c r="S7" s="353" t="str">
        <v>GBP1L6L15M=ICAP</v>
      </c>
      <c r="T7" s="519" t="s">
        <v>233</v>
      </c>
      <c r="U7" s="519" t="s">
        <v>233</v>
      </c>
      <c r="V7" s="519" t="e">
        <f>_xll.qlMidEquivalent(T7,U7)</f>
        <v>#NUM!</v>
      </c>
      <c r="W7" s="349" t="b">
        <f t="shared" si="2"/>
        <v>0</v>
      </c>
      <c r="X7" s="520">
        <v>18.108387336351491</v>
      </c>
      <c r="Y7" s="343"/>
      <c r="Z7" s="517">
        <v>19.333728096048311</v>
      </c>
      <c r="AA7" s="343"/>
      <c r="AB7" s="629">
        <v>19.333728096048311</v>
      </c>
      <c r="AC7" s="348" t="e">
        <f>_xll.qlSimpleQuoteSetValue(F7,AB7/10000,Trigger)</f>
        <v>#N/A</v>
      </c>
      <c r="AD7" s="218"/>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GBP1L6L18M_Quote#0000</v>
      </c>
      <c r="G8" s="72" t="str">
        <f>_xll.ohRangeRetrieveError(F8)</f>
        <v/>
      </c>
      <c r="H8" s="71"/>
      <c r="I8" s="63"/>
      <c r="J8" s="63"/>
      <c r="K8" s="63"/>
      <c r="L8" s="63"/>
      <c r="M8" s="63"/>
      <c r="N8" s="521">
        <v>1.5</v>
      </c>
      <c r="O8" s="399" t="s">
        <v>123</v>
      </c>
      <c r="P8" s="402" t="str">
        <v>1L</v>
      </c>
      <c r="Q8" s="402" t="str">
        <v>6L</v>
      </c>
      <c r="R8" s="400" t="str">
        <f t="shared" si="1"/>
        <v>GBP1L6L18M</v>
      </c>
      <c r="S8" s="353" t="str">
        <v>GBP1L6L18M=ICAP</v>
      </c>
      <c r="T8" s="519" t="s">
        <v>233</v>
      </c>
      <c r="U8" s="519" t="s">
        <v>233</v>
      </c>
      <c r="V8" s="519" t="e">
        <f>_xll.qlMidEquivalent(T8,U8)</f>
        <v>#NUM!</v>
      </c>
      <c r="W8" s="349" t="b">
        <f t="shared" si="2"/>
        <v>0</v>
      </c>
      <c r="X8" s="520">
        <v>18.673419738162387</v>
      </c>
      <c r="Y8" s="343"/>
      <c r="Z8" s="517">
        <v>19.414702752042945</v>
      </c>
      <c r="AA8" s="343"/>
      <c r="AB8" s="629">
        <v>19.414702752042945</v>
      </c>
      <c r="AC8" s="348" t="e">
        <f>_xll.qlSimpleQuoteSetValue(F8,AB8/10000,Trigger)</f>
        <v>#N/A</v>
      </c>
      <c r="AD8" s="218"/>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GBP1L6L21M_Quote#0000</v>
      </c>
      <c r="G9" s="72" t="str">
        <f>_xll.ohRangeRetrieveError(F9)</f>
        <v/>
      </c>
      <c r="H9" s="71"/>
      <c r="I9" s="63"/>
      <c r="J9" s="63"/>
      <c r="K9" s="63"/>
      <c r="L9" s="63"/>
      <c r="M9" s="63"/>
      <c r="N9" s="521">
        <v>1.75</v>
      </c>
      <c r="O9" s="399" t="s">
        <v>122</v>
      </c>
      <c r="P9" s="402" t="str">
        <v>1L</v>
      </c>
      <c r="Q9" s="402" t="str">
        <v>6L</v>
      </c>
      <c r="R9" s="400" t="str">
        <f t="shared" si="1"/>
        <v>GBP1L6L21M</v>
      </c>
      <c r="S9" s="353" t="str">
        <v>GBP1L6L21M=ICAP</v>
      </c>
      <c r="T9" s="519" t="s">
        <v>233</v>
      </c>
      <c r="U9" s="519" t="s">
        <v>233</v>
      </c>
      <c r="V9" s="519" t="e">
        <f>_xll.qlMidEquivalent(T9,U9)</f>
        <v>#NUM!</v>
      </c>
      <c r="W9" s="349" t="b">
        <f t="shared" si="2"/>
        <v>0</v>
      </c>
      <c r="X9" s="520">
        <v>19.15174227089209</v>
      </c>
      <c r="Y9" s="343"/>
      <c r="Z9" s="517">
        <v>19.475826032016105</v>
      </c>
      <c r="AA9" s="343"/>
      <c r="AB9" s="629">
        <v>19.475826032016105</v>
      </c>
      <c r="AC9" s="348" t="e">
        <f>_xll.qlSimpleQuoteSetValue(F9,AB9/10000,Trigger)</f>
        <v>#N/A</v>
      </c>
      <c r="AD9" s="218"/>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GBP1L6L2Y_Quote#0000</v>
      </c>
      <c r="G10" s="72" t="str">
        <f>_xll.ohRangeRetrieveError(F10)</f>
        <v/>
      </c>
      <c r="H10" s="71"/>
      <c r="J10" s="86" t="s">
        <v>121</v>
      </c>
      <c r="K10" s="85" t="s">
        <v>113</v>
      </c>
      <c r="L10" s="84" t="s">
        <v>116</v>
      </c>
      <c r="N10" s="118">
        <v>2</v>
      </c>
      <c r="O10" s="399" t="s">
        <v>85</v>
      </c>
      <c r="P10" s="402" t="str">
        <v>1L</v>
      </c>
      <c r="Q10" s="402" t="str">
        <v>6L</v>
      </c>
      <c r="R10" s="400" t="str">
        <f t="shared" si="1"/>
        <v>GBP1L6L2Y</v>
      </c>
      <c r="S10" s="353" t="str">
        <v>GBP1L6L2Y=ICAP</v>
      </c>
      <c r="T10" s="519">
        <v>17.5</v>
      </c>
      <c r="U10" s="519">
        <v>21.5</v>
      </c>
      <c r="V10" s="519">
        <f>_xll.qlMidEquivalent(T10,U10)</f>
        <v>19.5</v>
      </c>
      <c r="W10" s="349" t="b">
        <f t="shared" si="2"/>
        <v>1</v>
      </c>
      <c r="X10" s="520">
        <v>19.5</v>
      </c>
      <c r="Y10" s="343"/>
      <c r="Z10" s="517">
        <v>19.5</v>
      </c>
      <c r="AA10" s="343"/>
      <c r="AB10" s="629">
        <v>19.5</v>
      </c>
      <c r="AC10" s="348" t="e">
        <f>_xll.qlSimpleQuoteSetValue(F10,AB10/10000,Trigger)</f>
        <v>#N/A</v>
      </c>
      <c r="AD10" s="218"/>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GBP1L6L3Y_Quote#0000</v>
      </c>
      <c r="G11" s="72" t="str">
        <f>_xll.ohRangeRetrieveError(F11)</f>
        <v/>
      </c>
      <c r="H11" s="71"/>
      <c r="J11" s="83" t="s">
        <v>120</v>
      </c>
      <c r="K11" s="82" t="s">
        <v>119</v>
      </c>
      <c r="L11" s="81" t="s">
        <v>118</v>
      </c>
      <c r="N11" s="118">
        <v>3</v>
      </c>
      <c r="O11" s="399" t="s">
        <v>84</v>
      </c>
      <c r="P11" s="402" t="str">
        <v>1L</v>
      </c>
      <c r="Q11" s="402" t="str">
        <v>6L</v>
      </c>
      <c r="R11" s="400" t="str">
        <f t="shared" si="1"/>
        <v>GBP1L6L3Y</v>
      </c>
      <c r="S11" s="353" t="str">
        <v>GBP1L6L3Y=ICAP</v>
      </c>
      <c r="T11" s="519">
        <v>17.875</v>
      </c>
      <c r="U11" s="519">
        <v>21.875</v>
      </c>
      <c r="V11" s="519">
        <f>_xll.qlMidEquivalent(T11,U11)</f>
        <v>19.875</v>
      </c>
      <c r="W11" s="349" t="b">
        <f t="shared" si="2"/>
        <v>1</v>
      </c>
      <c r="X11" s="520">
        <v>19.875</v>
      </c>
      <c r="Y11" s="343"/>
      <c r="Z11" s="517">
        <v>19.5</v>
      </c>
      <c r="AA11" s="343"/>
      <c r="AB11" s="629">
        <v>19.5</v>
      </c>
      <c r="AC11" s="348" t="e">
        <f>_xll.qlSimpleQuoteSetValue(F11,AB11/10000,Trigger)</f>
        <v>#N/A</v>
      </c>
      <c r="AD11" s="218"/>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GBP1L6L4Y_Quote#0000</v>
      </c>
      <c r="G12" s="72" t="str">
        <f>_xll.ohRangeRetrieveError(F12)</f>
        <v/>
      </c>
      <c r="H12" s="71"/>
      <c r="J12" s="83" t="s">
        <v>96</v>
      </c>
      <c r="K12" s="82" t="s">
        <v>113</v>
      </c>
      <c r="L12" s="81" t="s">
        <v>116</v>
      </c>
      <c r="N12" s="118">
        <v>4</v>
      </c>
      <c r="O12" s="399" t="s">
        <v>83</v>
      </c>
      <c r="P12" s="402" t="str">
        <v>1L</v>
      </c>
      <c r="Q12" s="402" t="str">
        <v>6L</v>
      </c>
      <c r="R12" s="400" t="str">
        <f t="shared" si="1"/>
        <v>GBP1L6L4Y</v>
      </c>
      <c r="S12" s="353" t="str">
        <v>GBP1L6L4Y=ICAP</v>
      </c>
      <c r="T12" s="519">
        <v>18.5</v>
      </c>
      <c r="U12" s="519">
        <v>22.5</v>
      </c>
      <c r="V12" s="519">
        <f>_xll.qlMidEquivalent(T12,U12)</f>
        <v>20.5</v>
      </c>
      <c r="W12" s="349" t="b">
        <f t="shared" si="2"/>
        <v>1</v>
      </c>
      <c r="X12" s="520">
        <v>20.5</v>
      </c>
      <c r="Y12" s="343"/>
      <c r="Z12" s="517">
        <v>19.5</v>
      </c>
      <c r="AA12" s="343"/>
      <c r="AB12" s="629">
        <v>19.5</v>
      </c>
      <c r="AC12" s="348" t="e">
        <f>_xll.qlSimpleQuoteSetValue(F12,AB12/10000,Trigger)</f>
        <v>#N/A</v>
      </c>
      <c r="AD12" s="218"/>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GBP1L6L5Y_Quote#0000</v>
      </c>
      <c r="G13" s="72" t="str">
        <f>_xll.ohRangeRetrieveError(F13)</f>
        <v/>
      </c>
      <c r="H13" s="71"/>
      <c r="J13" s="83" t="s">
        <v>117</v>
      </c>
      <c r="K13" s="82" t="s">
        <v>113</v>
      </c>
      <c r="L13" s="81" t="s">
        <v>116</v>
      </c>
      <c r="N13" s="118">
        <v>5</v>
      </c>
      <c r="O13" s="399" t="s">
        <v>82</v>
      </c>
      <c r="P13" s="402" t="str">
        <v>1L</v>
      </c>
      <c r="Q13" s="402" t="str">
        <v>6L</v>
      </c>
      <c r="R13" s="400" t="str">
        <f t="shared" si="1"/>
        <v>GBP1L6L5Y</v>
      </c>
      <c r="S13" s="353" t="str">
        <v>GBP1L6L5Y=ICAP</v>
      </c>
      <c r="T13" s="519">
        <v>18.625</v>
      </c>
      <c r="U13" s="519">
        <v>22.625</v>
      </c>
      <c r="V13" s="519">
        <f>_xll.qlMidEquivalent(T13,U13)</f>
        <v>20.625</v>
      </c>
      <c r="W13" s="349" t="b">
        <f t="shared" si="2"/>
        <v>1</v>
      </c>
      <c r="X13" s="520">
        <v>20.625</v>
      </c>
      <c r="Y13" s="343"/>
      <c r="Z13" s="517">
        <v>19.5</v>
      </c>
      <c r="AA13" s="343"/>
      <c r="AB13" s="629">
        <v>19.5</v>
      </c>
      <c r="AC13" s="348" t="e">
        <f>_xll.qlSimpleQuoteSetValue(F13,AB13/10000,Trigger)</f>
        <v>#N/A</v>
      </c>
      <c r="AD13" s="218"/>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GBP1L6L6Y_Quote#0000</v>
      </c>
      <c r="G14" s="72" t="str">
        <f>_xll.ohRangeRetrieveError(F14)</f>
        <v/>
      </c>
      <c r="H14" s="71"/>
      <c r="J14" s="80" t="s">
        <v>115</v>
      </c>
      <c r="K14" s="79" t="s">
        <v>114</v>
      </c>
      <c r="L14" s="78" t="s">
        <v>113</v>
      </c>
      <c r="N14" s="118">
        <v>6</v>
      </c>
      <c r="O14" s="399" t="s">
        <v>81</v>
      </c>
      <c r="P14" s="402" t="str">
        <v>1L</v>
      </c>
      <c r="Q14" s="402" t="str">
        <v>6L</v>
      </c>
      <c r="R14" s="400" t="str">
        <f t="shared" si="1"/>
        <v>GBP1L6L6Y</v>
      </c>
      <c r="S14" s="353" t="str">
        <v>GBP1L6L6Y=ICAP</v>
      </c>
      <c r="T14" s="519">
        <v>18.625</v>
      </c>
      <c r="U14" s="519">
        <v>22.625</v>
      </c>
      <c r="V14" s="519">
        <f>_xll.qlMidEquivalent(T14,U14)</f>
        <v>20.625</v>
      </c>
      <c r="W14" s="349" t="b">
        <f t="shared" si="2"/>
        <v>1</v>
      </c>
      <c r="X14" s="520">
        <v>20.625</v>
      </c>
      <c r="Y14" s="343"/>
      <c r="Z14" s="517">
        <v>19.5</v>
      </c>
      <c r="AA14" s="343"/>
      <c r="AB14" s="629">
        <v>19.5</v>
      </c>
      <c r="AC14" s="348" t="e">
        <f>_xll.qlSimpleQuoteSetValue(F14,AB14/10000,Trigger)</f>
        <v>#N/A</v>
      </c>
      <c r="AD14" s="218"/>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GBP1L6L7Y_Quote#0000</v>
      </c>
      <c r="G15" s="72" t="str">
        <f>_xll.ohRangeRetrieveError(F15)</f>
        <v/>
      </c>
      <c r="H15" s="71"/>
      <c r="N15" s="118">
        <v>7</v>
      </c>
      <c r="O15" s="399" t="s">
        <v>80</v>
      </c>
      <c r="P15" s="402" t="str">
        <v>1L</v>
      </c>
      <c r="Q15" s="402" t="str">
        <v>6L</v>
      </c>
      <c r="R15" s="400" t="str">
        <f t="shared" si="1"/>
        <v>GBP1L6L7Y</v>
      </c>
      <c r="S15" s="353" t="str">
        <v>GBP1L6L7Y=ICAP</v>
      </c>
      <c r="T15" s="519">
        <v>18.5</v>
      </c>
      <c r="U15" s="519">
        <v>22.5</v>
      </c>
      <c r="V15" s="519">
        <f>_xll.qlMidEquivalent(T15,U15)</f>
        <v>20.5</v>
      </c>
      <c r="W15" s="349" t="b">
        <f t="shared" si="2"/>
        <v>1</v>
      </c>
      <c r="X15" s="520">
        <v>20.5</v>
      </c>
      <c r="Y15" s="343"/>
      <c r="Z15" s="517">
        <v>19</v>
      </c>
      <c r="AA15" s="343"/>
      <c r="AB15" s="629">
        <v>19</v>
      </c>
      <c r="AC15" s="348" t="e">
        <f>_xll.qlSimpleQuoteSetValue(F15,AB15/10000,Trigger)</f>
        <v>#N/A</v>
      </c>
      <c r="AD15" s="218"/>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GBP1L6L8Y_Quote#0000</v>
      </c>
      <c r="G16" s="72" t="str">
        <f>_xll.ohRangeRetrieveError(F16)</f>
        <v/>
      </c>
      <c r="H16" s="71"/>
      <c r="N16" s="118">
        <v>8</v>
      </c>
      <c r="O16" s="399" t="s">
        <v>79</v>
      </c>
      <c r="P16" s="402" t="str">
        <v>1L</v>
      </c>
      <c r="Q16" s="402" t="str">
        <v>6L</v>
      </c>
      <c r="R16" s="400" t="str">
        <f t="shared" si="1"/>
        <v>GBP1L6L8Y</v>
      </c>
      <c r="S16" s="353" t="str">
        <v>GBP1L6L8Y=ICAP</v>
      </c>
      <c r="T16" s="519">
        <v>18.25</v>
      </c>
      <c r="U16" s="519">
        <v>22.25</v>
      </c>
      <c r="V16" s="519">
        <f>_xll.qlMidEquivalent(T16,U16)</f>
        <v>20.25</v>
      </c>
      <c r="W16" s="349" t="b">
        <f t="shared" si="2"/>
        <v>1</v>
      </c>
      <c r="X16" s="520">
        <v>20.25</v>
      </c>
      <c r="Y16" s="343"/>
      <c r="Z16" s="517">
        <v>18.5</v>
      </c>
      <c r="AA16" s="343"/>
      <c r="AB16" s="629">
        <v>18.5</v>
      </c>
      <c r="AC16" s="348" t="e">
        <f>_xll.qlSimpleQuoteSetValue(F16,AB16/10000,Trigger)</f>
        <v>#N/A</v>
      </c>
      <c r="AD16" s="218"/>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GBP1L6L9Y_Quote#0000</v>
      </c>
      <c r="G17" s="72" t="str">
        <f>_xll.ohRangeRetrieveError(F17)</f>
        <v/>
      </c>
      <c r="H17" s="71"/>
      <c r="N17" s="118">
        <v>9</v>
      </c>
      <c r="O17" s="399" t="s">
        <v>78</v>
      </c>
      <c r="P17" s="402" t="str">
        <v>1L</v>
      </c>
      <c r="Q17" s="402" t="str">
        <v>6L</v>
      </c>
      <c r="R17" s="400" t="str">
        <f t="shared" si="1"/>
        <v>GBP1L6L9Y</v>
      </c>
      <c r="S17" s="353" t="str">
        <v>GBP1L6L9Y=ICAP</v>
      </c>
      <c r="T17" s="519">
        <v>18.125</v>
      </c>
      <c r="U17" s="519">
        <v>22.125</v>
      </c>
      <c r="V17" s="519">
        <f>_xll.qlMidEquivalent(T17,U17)</f>
        <v>20.125</v>
      </c>
      <c r="W17" s="349" t="b">
        <f t="shared" si="2"/>
        <v>1</v>
      </c>
      <c r="X17" s="520">
        <v>20.125</v>
      </c>
      <c r="Y17" s="343"/>
      <c r="Z17" s="517">
        <v>18.5</v>
      </c>
      <c r="AA17" s="343"/>
      <c r="AB17" s="629">
        <v>18.5</v>
      </c>
      <c r="AC17" s="348" t="e">
        <f>_xll.qlSimpleQuoteSetValue(F17,AB17/10000,Trigger)</f>
        <v>#N/A</v>
      </c>
      <c r="AD17" s="218"/>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GBP1L6L10Y_Quote#0000</v>
      </c>
      <c r="G18" s="72" t="str">
        <f>_xll.ohRangeRetrieveError(F18)</f>
        <v/>
      </c>
      <c r="H18" s="71"/>
      <c r="N18" s="118">
        <v>10</v>
      </c>
      <c r="O18" s="399" t="s">
        <v>77</v>
      </c>
      <c r="P18" s="402" t="str">
        <v>1L</v>
      </c>
      <c r="Q18" s="402" t="str">
        <v>6L</v>
      </c>
      <c r="R18" s="400" t="str">
        <f t="shared" si="1"/>
        <v>GBP1L6L10Y</v>
      </c>
      <c r="S18" s="353" t="str">
        <v>GBP1L6L10Y=ICAP</v>
      </c>
      <c r="T18" s="519">
        <v>17.875</v>
      </c>
      <c r="U18" s="519">
        <v>21.875</v>
      </c>
      <c r="V18" s="519">
        <f>_xll.qlMidEquivalent(T18,U18)</f>
        <v>19.875</v>
      </c>
      <c r="W18" s="349" t="b">
        <f t="shared" si="2"/>
        <v>1</v>
      </c>
      <c r="X18" s="520">
        <v>19.875</v>
      </c>
      <c r="Y18" s="343"/>
      <c r="Z18" s="517">
        <v>18.25</v>
      </c>
      <c r="AA18" s="343"/>
      <c r="AB18" s="629">
        <v>18.25</v>
      </c>
      <c r="AC18" s="348" t="e">
        <f>_xll.qlSimpleQuoteSetValue(F18,AB18/10000,Trigger)</f>
        <v>#N/A</v>
      </c>
      <c r="AD18" s="218"/>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GBP1L6L11Y_Quote#0000</v>
      </c>
      <c r="G19" s="72" t="str">
        <f>_xll.ohRangeRetrieveError(F19)</f>
        <v/>
      </c>
      <c r="H19" s="71"/>
      <c r="N19" s="118">
        <v>11</v>
      </c>
      <c r="O19" s="399" t="s">
        <v>76</v>
      </c>
      <c r="P19" s="402" t="str">
        <v>1L</v>
      </c>
      <c r="Q19" s="402" t="str">
        <v>6L</v>
      </c>
      <c r="R19" s="400" t="str">
        <f t="shared" si="1"/>
        <v>GBP1L6L11Y</v>
      </c>
      <c r="S19" s="353" t="str">
        <v>GBP1L6L11Y=ICAP</v>
      </c>
      <c r="T19" s="519" t="s">
        <v>233</v>
      </c>
      <c r="U19" s="519" t="s">
        <v>233</v>
      </c>
      <c r="V19" s="519" t="e">
        <f>_xll.qlMidEquivalent(T19,U19)</f>
        <v>#NUM!</v>
      </c>
      <c r="W19" s="349" t="b">
        <f t="shared" si="2"/>
        <v>0</v>
      </c>
      <c r="X19" s="520">
        <v>19.512800440333137</v>
      </c>
      <c r="Y19" s="343"/>
      <c r="Z19" s="517">
        <v>17.967731218694958</v>
      </c>
      <c r="AA19" s="343"/>
      <c r="AB19" s="629">
        <v>17.967731218694958</v>
      </c>
      <c r="AC19" s="348" t="e">
        <f>_xll.qlSimpleQuoteSetValue(F19,AB19/10000,Trigger)</f>
        <v>#N/A</v>
      </c>
      <c r="AD19" s="218"/>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GBP1L6L12Y_Quote#0000</v>
      </c>
      <c r="G20" s="72" t="str">
        <f>_xll.ohRangeRetrieveError(F20)</f>
        <v/>
      </c>
      <c r="H20" s="71"/>
      <c r="N20" s="118">
        <v>12</v>
      </c>
      <c r="O20" s="399" t="s">
        <v>75</v>
      </c>
      <c r="P20" s="402" t="str">
        <v>1L</v>
      </c>
      <c r="Q20" s="402" t="str">
        <v>6L</v>
      </c>
      <c r="R20" s="400" t="str">
        <f t="shared" si="1"/>
        <v>GBP1L6L12Y</v>
      </c>
      <c r="S20" s="353" t="str">
        <v>GBP1L6L12Y=ICAP</v>
      </c>
      <c r="T20" s="519">
        <v>17.125</v>
      </c>
      <c r="U20" s="519">
        <v>21.125</v>
      </c>
      <c r="V20" s="519">
        <f>_xll.qlMidEquivalent(T20,U20)</f>
        <v>19.125</v>
      </c>
      <c r="W20" s="349" t="b">
        <f t="shared" si="2"/>
        <v>1</v>
      </c>
      <c r="X20" s="520">
        <v>19.125</v>
      </c>
      <c r="Y20" s="343"/>
      <c r="Z20" s="517">
        <v>17.75</v>
      </c>
      <c r="AA20" s="343"/>
      <c r="AB20" s="629">
        <v>17.75</v>
      </c>
      <c r="AC20" s="348" t="e">
        <f>_xll.qlSimpleQuoteSetValue(F20,AB20/10000,Trigger)</f>
        <v>#N/A</v>
      </c>
      <c r="AD20" s="218"/>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GBP1L6L13Y_Quote#0000</v>
      </c>
      <c r="G21" s="72" t="str">
        <f>_xll.ohRangeRetrieveError(F21)</f>
        <v/>
      </c>
      <c r="H21" s="71"/>
      <c r="N21" s="118">
        <v>13</v>
      </c>
      <c r="O21" s="399" t="s">
        <v>74</v>
      </c>
      <c r="P21" s="402" t="str">
        <v>1L</v>
      </c>
      <c r="Q21" s="402" t="str">
        <v>6L</v>
      </c>
      <c r="R21" s="400" t="str">
        <f t="shared" si="1"/>
        <v>GBP1L6L13Y</v>
      </c>
      <c r="S21" s="353" t="str">
        <v>GBP1L6L13Y=ICAP</v>
      </c>
      <c r="T21" s="519" t="s">
        <v>233</v>
      </c>
      <c r="U21" s="519" t="s">
        <v>233</v>
      </c>
      <c r="V21" s="519" t="e">
        <f>_xll.qlMidEquivalent(T21,U21)</f>
        <v>#NUM!</v>
      </c>
      <c r="W21" s="349" t="b">
        <f t="shared" si="2"/>
        <v>0</v>
      </c>
      <c r="X21" s="520">
        <v>18.771783256869682</v>
      </c>
      <c r="Y21" s="343"/>
      <c r="Z21" s="517">
        <v>17.570794384566103</v>
      </c>
      <c r="AA21" s="343"/>
      <c r="AB21" s="629">
        <v>17.570794384566103</v>
      </c>
      <c r="AC21" s="348" t="e">
        <f>_xll.qlSimpleQuoteSetValue(F21,AB21/10000,Trigger)</f>
        <v>#N/A</v>
      </c>
      <c r="AD21" s="218"/>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GBP1L6L14Y_Quote#0000</v>
      </c>
      <c r="G22" s="72" t="str">
        <f>_xll.ohRangeRetrieveError(F22)</f>
        <v/>
      </c>
      <c r="H22" s="71"/>
      <c r="N22" s="118">
        <v>14</v>
      </c>
      <c r="O22" s="399" t="s">
        <v>73</v>
      </c>
      <c r="P22" s="402" t="str">
        <v>1L</v>
      </c>
      <c r="Q22" s="402" t="str">
        <v>6L</v>
      </c>
      <c r="R22" s="400" t="str">
        <f t="shared" si="1"/>
        <v>GBP1L6L14Y</v>
      </c>
      <c r="S22" s="353" t="str">
        <v>GBP1L6L14Y=ICAP</v>
      </c>
      <c r="T22" s="519" t="s">
        <v>233</v>
      </c>
      <c r="U22" s="519" t="s">
        <v>233</v>
      </c>
      <c r="V22" s="519" t="e">
        <f>_xll.qlMidEquivalent(T22,U22)</f>
        <v>#NUM!</v>
      </c>
      <c r="W22" s="349" t="b">
        <f t="shared" si="2"/>
        <v>0</v>
      </c>
      <c r="X22" s="520">
        <v>18.446313806765662</v>
      </c>
      <c r="Y22" s="343"/>
      <c r="Z22" s="517">
        <v>17.410240736318265</v>
      </c>
      <c r="AA22" s="343"/>
      <c r="AB22" s="629">
        <v>17.410240736318265</v>
      </c>
      <c r="AC22" s="348" t="e">
        <f>_xll.qlSimpleQuoteSetValue(F22,AB22/10000,Trigger)</f>
        <v>#N/A</v>
      </c>
      <c r="AD22" s="218"/>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GBP1L6L15Y_Quote#0000</v>
      </c>
      <c r="G23" s="72" t="str">
        <f>_xll.ohRangeRetrieveError(F23)</f>
        <v/>
      </c>
      <c r="H23" s="71"/>
      <c r="N23" s="118">
        <v>15</v>
      </c>
      <c r="O23" s="399" t="s">
        <v>72</v>
      </c>
      <c r="P23" s="402" t="str">
        <v>1L</v>
      </c>
      <c r="Q23" s="402" t="str">
        <v>6L</v>
      </c>
      <c r="R23" s="400" t="str">
        <f t="shared" si="1"/>
        <v>GBP1L6L15Y</v>
      </c>
      <c r="S23" s="353" t="str">
        <v>GBP1L6L15Y=ICAP</v>
      </c>
      <c r="T23" s="519">
        <v>16.125</v>
      </c>
      <c r="U23" s="519">
        <v>20.125</v>
      </c>
      <c r="V23" s="519">
        <f>_xll.qlMidEquivalent(T23,U23)</f>
        <v>18.125</v>
      </c>
      <c r="W23" s="349" t="b">
        <f t="shared" si="2"/>
        <v>1</v>
      </c>
      <c r="X23" s="520">
        <v>18.125</v>
      </c>
      <c r="Y23" s="343"/>
      <c r="Z23" s="517">
        <v>17.25</v>
      </c>
      <c r="AA23" s="343"/>
      <c r="AB23" s="629">
        <v>17.25</v>
      </c>
      <c r="AC23" s="348" t="e">
        <f>_xll.qlSimpleQuoteSetValue(F23,AB23/10000,Trigger)</f>
        <v>#N/A</v>
      </c>
      <c r="AD23" s="218"/>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GBP1L6L16Y_Quote#0000</v>
      </c>
      <c r="G24" s="72" t="str">
        <f>_xll.ohRangeRetrieveError(F24)</f>
        <v/>
      </c>
      <c r="H24" s="71"/>
      <c r="N24" s="118">
        <v>16</v>
      </c>
      <c r="O24" s="399" t="s">
        <v>71</v>
      </c>
      <c r="P24" s="402" t="str">
        <v>1L</v>
      </c>
      <c r="Q24" s="402" t="str">
        <v>6L</v>
      </c>
      <c r="R24" s="400" t="str">
        <f t="shared" si="1"/>
        <v>GBP1L6L16Y</v>
      </c>
      <c r="S24" s="353" t="str">
        <v>GBP1L6L16Y=ICAP</v>
      </c>
      <c r="T24" s="519" t="s">
        <v>233</v>
      </c>
      <c r="U24" s="519" t="s">
        <v>233</v>
      </c>
      <c r="V24" s="519" t="e">
        <f>_xll.qlMidEquivalent(T24,U24)</f>
        <v>#NUM!</v>
      </c>
      <c r="W24" s="349" t="b">
        <f t="shared" si="2"/>
        <v>0</v>
      </c>
      <c r="X24" s="520">
        <v>17.789209723867408</v>
      </c>
      <c r="Y24" s="343"/>
      <c r="Z24" s="517">
        <v>17.07524013584781</v>
      </c>
      <c r="AA24" s="343"/>
      <c r="AB24" s="629">
        <v>17.07524013584781</v>
      </c>
      <c r="AC24" s="348" t="e">
        <f>_xll.qlSimpleQuoteSetValue(F24,AB24/10000,Trigger)</f>
        <v>#N/A</v>
      </c>
      <c r="AD24" s="218"/>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GBP1L6L17Y_Quote#0000</v>
      </c>
      <c r="G25" s="72" t="str">
        <f>_xll.ohRangeRetrieveError(F25)</f>
        <v/>
      </c>
      <c r="H25" s="71"/>
      <c r="N25" s="118">
        <v>17</v>
      </c>
      <c r="O25" s="399" t="s">
        <v>70</v>
      </c>
      <c r="P25" s="402" t="str">
        <v>1L</v>
      </c>
      <c r="Q25" s="402" t="str">
        <v>6L</v>
      </c>
      <c r="R25" s="400" t="str">
        <f t="shared" si="1"/>
        <v>GBP1L6L17Y</v>
      </c>
      <c r="S25" s="353" t="str">
        <v>GBP1L6L17Y=ICAP</v>
      </c>
      <c r="T25" s="519" t="s">
        <v>233</v>
      </c>
      <c r="U25" s="519" t="s">
        <v>233</v>
      </c>
      <c r="V25" s="519" t="e">
        <f>_xll.qlMidEquivalent(T25,U25)</f>
        <v>#NUM!</v>
      </c>
      <c r="W25" s="349" t="b">
        <f t="shared" si="2"/>
        <v>0</v>
      </c>
      <c r="X25" s="520">
        <v>17.440149013593178</v>
      </c>
      <c r="Y25" s="343"/>
      <c r="Z25" s="517">
        <v>16.885157166070208</v>
      </c>
      <c r="AA25" s="343"/>
      <c r="AB25" s="629">
        <v>16.885157166070208</v>
      </c>
      <c r="AC25" s="348" t="e">
        <f>_xll.qlSimpleQuoteSetValue(F25,AB25/10000,Trigger)</f>
        <v>#N/A</v>
      </c>
      <c r="AD25" s="218"/>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GBP1L6L18Y_Quote#0000</v>
      </c>
      <c r="G26" s="72" t="str">
        <f>_xll.ohRangeRetrieveError(F26)</f>
        <v/>
      </c>
      <c r="H26" s="71"/>
      <c r="N26" s="118">
        <v>18</v>
      </c>
      <c r="O26" s="399" t="s">
        <v>69</v>
      </c>
      <c r="P26" s="402" t="str">
        <v>1L</v>
      </c>
      <c r="Q26" s="402" t="str">
        <v>6L</v>
      </c>
      <c r="R26" s="400" t="str">
        <f t="shared" si="1"/>
        <v>GBP1L6L18Y</v>
      </c>
      <c r="S26" s="353" t="str">
        <v>GBP1L6L18Y=ICAP</v>
      </c>
      <c r="T26" s="519" t="s">
        <v>233</v>
      </c>
      <c r="U26" s="519" t="s">
        <v>233</v>
      </c>
      <c r="V26" s="519" t="e">
        <f>_xll.qlMidEquivalent(T26,U26)</f>
        <v>#NUM!</v>
      </c>
      <c r="W26" s="349" t="b">
        <f t="shared" si="2"/>
        <v>0</v>
      </c>
      <c r="X26" s="520">
        <v>17.083983441385243</v>
      </c>
      <c r="Y26" s="343"/>
      <c r="Z26" s="517">
        <v>16.682454128368697</v>
      </c>
      <c r="AA26" s="343"/>
      <c r="AB26" s="629">
        <v>16.682454128368697</v>
      </c>
      <c r="AC26" s="348" t="e">
        <f>_xll.qlSimpleQuoteSetValue(F26,AB26/10000,Trigger)</f>
        <v>#N/A</v>
      </c>
      <c r="AD26" s="218"/>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GBP1L6L19Y_Quote#0000</v>
      </c>
      <c r="G27" s="72" t="str">
        <f>_xll.ohRangeRetrieveError(F27)</f>
        <v/>
      </c>
      <c r="H27" s="71"/>
      <c r="N27" s="118">
        <v>19</v>
      </c>
      <c r="O27" s="399" t="s">
        <v>68</v>
      </c>
      <c r="P27" s="402" t="str">
        <v>1L</v>
      </c>
      <c r="Q27" s="402" t="str">
        <v>6L</v>
      </c>
      <c r="R27" s="400" t="str">
        <f t="shared" si="1"/>
        <v>GBP1L6L19Y</v>
      </c>
      <c r="S27" s="353" t="str">
        <v>GBP1L6L19Y=ICAP</v>
      </c>
      <c r="T27" s="519" t="s">
        <v>233</v>
      </c>
      <c r="U27" s="519" t="s">
        <v>233</v>
      </c>
      <c r="V27" s="519" t="e">
        <f>_xll.qlMidEquivalent(T27,U27)</f>
        <v>#NUM!</v>
      </c>
      <c r="W27" s="349" t="b">
        <f t="shared" si="2"/>
        <v>0</v>
      </c>
      <c r="X27" s="520">
        <v>16.72687857945154</v>
      </c>
      <c r="Y27" s="343"/>
      <c r="Z27" s="517">
        <v>16.469834060444793</v>
      </c>
      <c r="AA27" s="343"/>
      <c r="AB27" s="629">
        <v>16.469834060444793</v>
      </c>
      <c r="AC27" s="348" t="e">
        <f>_xll.qlSimpleQuoteSetValue(F27,AB27/10000,Trigger)</f>
        <v>#N/A</v>
      </c>
      <c r="AD27" s="218"/>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GBP1L6L20Y_Quote#0000</v>
      </c>
      <c r="G28" s="72" t="str">
        <f>_xll.ohRangeRetrieveError(F28)</f>
        <v/>
      </c>
      <c r="H28" s="71"/>
      <c r="N28" s="118">
        <v>20</v>
      </c>
      <c r="O28" s="399" t="s">
        <v>67</v>
      </c>
      <c r="P28" s="402" t="str">
        <v>1L</v>
      </c>
      <c r="Q28" s="402" t="str">
        <v>6L</v>
      </c>
      <c r="R28" s="400" t="str">
        <f t="shared" si="1"/>
        <v>GBP1L6L20Y</v>
      </c>
      <c r="S28" s="353" t="str">
        <v>GBP1L6L20Y=ICAP</v>
      </c>
      <c r="T28" s="519">
        <v>14.375</v>
      </c>
      <c r="U28" s="519">
        <v>18.375</v>
      </c>
      <c r="V28" s="519">
        <f>_xll.qlMidEquivalent(T28,U28)</f>
        <v>16.375</v>
      </c>
      <c r="W28" s="349" t="b">
        <f t="shared" si="2"/>
        <v>1</v>
      </c>
      <c r="X28" s="520">
        <v>16.375</v>
      </c>
      <c r="Y28" s="343"/>
      <c r="Z28" s="517">
        <v>16.25</v>
      </c>
      <c r="AA28" s="343"/>
      <c r="AB28" s="629">
        <v>16.25</v>
      </c>
      <c r="AC28" s="348" t="e">
        <f>_xll.qlSimpleQuoteSetValue(F28,AB28/10000,Trigger)</f>
        <v>#N/A</v>
      </c>
      <c r="AD28" s="218"/>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GBP1L6L21Y_Quote#0000</v>
      </c>
      <c r="G29" s="72" t="str">
        <f>_xll.ohRangeRetrieveError(F29)</f>
        <v/>
      </c>
      <c r="H29" s="71"/>
      <c r="N29" s="118">
        <v>21</v>
      </c>
      <c r="O29" s="399" t="s">
        <v>66</v>
      </c>
      <c r="P29" s="402" t="str">
        <v>1L</v>
      </c>
      <c r="Q29" s="402" t="str">
        <v>6L</v>
      </c>
      <c r="R29" s="400" t="str">
        <f t="shared" si="1"/>
        <v>GBP1L6L21Y</v>
      </c>
      <c r="S29" s="353" t="str">
        <v>GBP1L6L21Y=ICAP</v>
      </c>
      <c r="T29" s="519" t="s">
        <v>233</v>
      </c>
      <c r="U29" s="519" t="s">
        <v>233</v>
      </c>
      <c r="V29" s="519" t="e">
        <f>_xll.qlMidEquivalent(T29,U29)</f>
        <v>#NUM!</v>
      </c>
      <c r="W29" s="349" t="b">
        <f t="shared" si="2"/>
        <v>0</v>
      </c>
      <c r="X29" s="520">
        <v>16.03423490430054</v>
      </c>
      <c r="Y29" s="343"/>
      <c r="Z29" s="517">
        <v>16.026557175699704</v>
      </c>
      <c r="AA29" s="343"/>
      <c r="AB29" s="629">
        <v>16.026557175699704</v>
      </c>
      <c r="AC29" s="348" t="e">
        <f>_xll.qlSimpleQuoteSetValue(F29,AB29/10000,Trigger)</f>
        <v>#N/A</v>
      </c>
      <c r="AD29" s="218"/>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GBP1L6L22Y_Quote#0000</v>
      </c>
      <c r="G30" s="72" t="str">
        <f>_xll.ohRangeRetrieveError(F30)</f>
        <v/>
      </c>
      <c r="H30" s="71"/>
      <c r="N30" s="118">
        <v>22</v>
      </c>
      <c r="O30" s="399" t="s">
        <v>65</v>
      </c>
      <c r="P30" s="402" t="str">
        <v>1L</v>
      </c>
      <c r="Q30" s="402" t="str">
        <v>6L</v>
      </c>
      <c r="R30" s="400" t="str">
        <f t="shared" si="1"/>
        <v>GBP1L6L22Y</v>
      </c>
      <c r="S30" s="353" t="str">
        <v>GBP1L6L22Y=ICAP</v>
      </c>
      <c r="T30" s="519" t="s">
        <v>233</v>
      </c>
      <c r="U30" s="519" t="s">
        <v>233</v>
      </c>
      <c r="V30" s="519" t="e">
        <f>_xll.qlMidEquivalent(T30,U30)</f>
        <v>#NUM!</v>
      </c>
      <c r="W30" s="349" t="b">
        <f t="shared" si="2"/>
        <v>0</v>
      </c>
      <c r="X30" s="520">
        <v>15.709357009870995</v>
      </c>
      <c r="Y30" s="343"/>
      <c r="Z30" s="517">
        <v>15.806719580064794</v>
      </c>
      <c r="AA30" s="343"/>
      <c r="AB30" s="629">
        <v>15.806719580064794</v>
      </c>
      <c r="AC30" s="348" t="e">
        <f>_xll.qlSimpleQuoteSetValue(F30,AB30/10000,Trigger)</f>
        <v>#N/A</v>
      </c>
      <c r="AD30" s="218"/>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GBP1L6L23Y_Quote#0000</v>
      </c>
      <c r="G31" s="72" t="str">
        <f>_xll.ohRangeRetrieveError(F31)</f>
        <v/>
      </c>
      <c r="H31" s="71"/>
      <c r="N31" s="118">
        <v>23</v>
      </c>
      <c r="O31" s="399" t="s">
        <v>64</v>
      </c>
      <c r="P31" s="402" t="str">
        <v>1L</v>
      </c>
      <c r="Q31" s="402" t="str">
        <v>6L</v>
      </c>
      <c r="R31" s="400" t="str">
        <f t="shared" si="1"/>
        <v>GBP1L6L23Y</v>
      </c>
      <c r="S31" s="353" t="str">
        <v>GBP1L6L23Y=ICAP</v>
      </c>
      <c r="T31" s="519" t="s">
        <v>233</v>
      </c>
      <c r="U31" s="519" t="s">
        <v>233</v>
      </c>
      <c r="V31" s="519" t="e">
        <f>_xll.qlMidEquivalent(T31,U31)</f>
        <v>#NUM!</v>
      </c>
      <c r="W31" s="349" t="b">
        <f t="shared" si="2"/>
        <v>0</v>
      </c>
      <c r="X31" s="520">
        <v>15.404861663291181</v>
      </c>
      <c r="Y31" s="343"/>
      <c r="Z31" s="517">
        <v>15.59860339658003</v>
      </c>
      <c r="AA31" s="343"/>
      <c r="AB31" s="629">
        <v>15.59860339658003</v>
      </c>
      <c r="AC31" s="348" t="e">
        <f>_xll.qlSimpleQuoteSetValue(F31,AB31/10000,Trigger)</f>
        <v>#N/A</v>
      </c>
      <c r="AD31" s="218"/>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GBP1L6L24Y_Quote#0000</v>
      </c>
      <c r="G32" s="72" t="str">
        <f>_xll.ohRangeRetrieveError(F32)</f>
        <v/>
      </c>
      <c r="H32" s="71"/>
      <c r="N32" s="118">
        <v>24</v>
      </c>
      <c r="O32" s="399" t="s">
        <v>63</v>
      </c>
      <c r="P32" s="402" t="str">
        <v>1L</v>
      </c>
      <c r="Q32" s="402" t="str">
        <v>6L</v>
      </c>
      <c r="R32" s="400" t="str">
        <f t="shared" si="1"/>
        <v>GBP1L6L24Y</v>
      </c>
      <c r="S32" s="353" t="str">
        <v>GBP1L6L24Y=ICAP</v>
      </c>
      <c r="T32" s="519" t="s">
        <v>233</v>
      </c>
      <c r="U32" s="519" t="s">
        <v>233</v>
      </c>
      <c r="V32" s="519" t="e">
        <f>_xll.qlMidEquivalent(T32,U32)</f>
        <v>#NUM!</v>
      </c>
      <c r="W32" s="349" t="b">
        <f t="shared" si="2"/>
        <v>0</v>
      </c>
      <c r="X32" s="520">
        <v>15.12524421114091</v>
      </c>
      <c r="Y32" s="343"/>
      <c r="Z32" s="517">
        <v>15.410324808730177</v>
      </c>
      <c r="AA32" s="343"/>
      <c r="AB32" s="629">
        <v>15.410324808730177</v>
      </c>
      <c r="AC32" s="348" t="e">
        <f>_xll.qlSimpleQuoteSetValue(F32,AB32/10000,Trigger)</f>
        <v>#N/A</v>
      </c>
      <c r="AD32" s="218"/>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GBP1L6L25Y_Quote#0000</v>
      </c>
      <c r="G33" s="72" t="str">
        <f>_xll.ohRangeRetrieveError(F33)</f>
        <v/>
      </c>
      <c r="H33" s="71"/>
      <c r="N33" s="118">
        <v>25</v>
      </c>
      <c r="O33" s="399" t="s">
        <v>62</v>
      </c>
      <c r="P33" s="402" t="str">
        <v>1L</v>
      </c>
      <c r="Q33" s="402" t="str">
        <v>6L</v>
      </c>
      <c r="R33" s="400" t="str">
        <f t="shared" si="1"/>
        <v>GBP1L6L25Y</v>
      </c>
      <c r="S33" s="353" t="str">
        <v>GBP1L6L25Y=ICAP</v>
      </c>
      <c r="T33" s="519">
        <v>12.875</v>
      </c>
      <c r="U33" s="519">
        <v>16.875</v>
      </c>
      <c r="V33" s="519">
        <f>_xll.qlMidEquivalent(T33,U33)</f>
        <v>14.875</v>
      </c>
      <c r="W33" s="349" t="b">
        <f t="shared" si="2"/>
        <v>1</v>
      </c>
      <c r="X33" s="520">
        <v>14.875</v>
      </c>
      <c r="Y33" s="343"/>
      <c r="Z33" s="517">
        <v>15.25</v>
      </c>
      <c r="AA33" s="343"/>
      <c r="AB33" s="629">
        <v>15.25</v>
      </c>
      <c r="AC33" s="348" t="e">
        <f>_xll.qlSimpleQuoteSetValue(F33,AB33/10000,Trigger)</f>
        <v>#N/A</v>
      </c>
      <c r="AD33" s="218"/>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GBP1L6L26Y_Quote#0000</v>
      </c>
      <c r="G34" s="72" t="str">
        <f>_xll.ohRangeRetrieveError(F34)</f>
        <v/>
      </c>
      <c r="H34" s="71"/>
      <c r="N34" s="118">
        <v>26</v>
      </c>
      <c r="O34" s="399" t="s">
        <v>61</v>
      </c>
      <c r="P34" s="402" t="str">
        <v>1L</v>
      </c>
      <c r="Q34" s="402" t="str">
        <v>6L</v>
      </c>
      <c r="R34" s="400" t="str">
        <f t="shared" si="1"/>
        <v>GBP1L6L26Y</v>
      </c>
      <c r="S34" s="353" t="str">
        <v>GBP1L6L26Y=ICAP</v>
      </c>
      <c r="T34" s="519" t="s">
        <v>233</v>
      </c>
      <c r="U34" s="519" t="s">
        <v>233</v>
      </c>
      <c r="V34" s="519" t="e">
        <f>_xll.qlMidEquivalent(T34,U34)</f>
        <v>#NUM!</v>
      </c>
      <c r="W34" s="349" t="b">
        <f t="shared" si="2"/>
        <v>0</v>
      </c>
      <c r="X34" s="520">
        <v>14.656850658930431</v>
      </c>
      <c r="Y34" s="343"/>
      <c r="Z34" s="517">
        <v>15.122531161353372</v>
      </c>
      <c r="AA34" s="343"/>
      <c r="AB34" s="629">
        <v>15.122531161353372</v>
      </c>
      <c r="AC34" s="348" t="e">
        <f>_xll.qlSimpleQuoteSetValue(F34,AB34/10000,Trigger)</f>
        <v>#N/A</v>
      </c>
      <c r="AD34" s="218"/>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GBP1L6L27Y_Quote#0000</v>
      </c>
      <c r="G35" s="72" t="str">
        <f>_xll.ohRangeRetrieveError(F35)</f>
        <v/>
      </c>
      <c r="H35" s="71"/>
      <c r="N35" s="118">
        <v>27</v>
      </c>
      <c r="O35" s="399" t="s">
        <v>60</v>
      </c>
      <c r="P35" s="402" t="str">
        <v>1L</v>
      </c>
      <c r="Q35" s="402" t="str">
        <v>6L</v>
      </c>
      <c r="R35" s="400" t="str">
        <f t="shared" si="1"/>
        <v>GBP1L6L27Y</v>
      </c>
      <c r="S35" s="353" t="str">
        <v>GBP1L6L27Y=ICAP</v>
      </c>
      <c r="T35" s="519" t="s">
        <v>233</v>
      </c>
      <c r="U35" s="519" t="s">
        <v>233</v>
      </c>
      <c r="V35" s="519" t="e">
        <f>_xll.qlMidEquivalent(T35,U35)</f>
        <v>#NUM!</v>
      </c>
      <c r="W35" s="349" t="b">
        <f t="shared" si="2"/>
        <v>0</v>
      </c>
      <c r="X35" s="520">
        <v>14.46642294692284</v>
      </c>
      <c r="Y35" s="343"/>
      <c r="Z35" s="517">
        <v>15.019964513670621</v>
      </c>
      <c r="AA35" s="343"/>
      <c r="AB35" s="629">
        <v>15.019964513670621</v>
      </c>
      <c r="AC35" s="348" t="e">
        <f>_xll.qlSimpleQuoteSetValue(F35,AB35/10000,Trigger)</f>
        <v>#N/A</v>
      </c>
      <c r="AD35" s="218"/>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GBP1L6L28Y_Quote#0000</v>
      </c>
      <c r="G36" s="72" t="str">
        <f>_xll.ohRangeRetrieveError(F36)</f>
        <v/>
      </c>
      <c r="H36" s="71"/>
      <c r="N36" s="118">
        <v>28</v>
      </c>
      <c r="O36" s="399" t="s">
        <v>59</v>
      </c>
      <c r="P36" s="402" t="str">
        <v>1L</v>
      </c>
      <c r="Q36" s="402" t="str">
        <v>6L</v>
      </c>
      <c r="R36" s="400" t="str">
        <f t="shared" si="1"/>
        <v>GBP1L6L28Y</v>
      </c>
      <c r="S36" s="353" t="str">
        <v>GBP1L6L28Y=ICAP</v>
      </c>
      <c r="T36" s="519" t="s">
        <v>233</v>
      </c>
      <c r="U36" s="519" t="s">
        <v>233</v>
      </c>
      <c r="V36" s="519" t="e">
        <f>_xll.qlMidEquivalent(T36,U36)</f>
        <v>#NUM!</v>
      </c>
      <c r="W36" s="349" t="b">
        <f t="shared" si="2"/>
        <v>0</v>
      </c>
      <c r="X36" s="520">
        <v>14.297569905450036</v>
      </c>
      <c r="Y36" s="343"/>
      <c r="Z36" s="517">
        <v>14.931132285311183</v>
      </c>
      <c r="AA36" s="343"/>
      <c r="AB36" s="629">
        <v>14.931132285311183</v>
      </c>
      <c r="AC36" s="348" t="e">
        <f>_xll.qlSimpleQuoteSetValue(F36,AB36/10000,Trigger)</f>
        <v>#N/A</v>
      </c>
      <c r="AD36" s="218"/>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GBP1L6L29Y_Quote#0000</v>
      </c>
      <c r="G37" s="72" t="str">
        <f>_xll.ohRangeRetrieveError(F37)</f>
        <v/>
      </c>
      <c r="H37" s="71"/>
      <c r="N37" s="118">
        <v>29</v>
      </c>
      <c r="O37" s="399" t="s">
        <v>58</v>
      </c>
      <c r="P37" s="402" t="str">
        <v>1L</v>
      </c>
      <c r="Q37" s="402" t="str">
        <v>6L</v>
      </c>
      <c r="R37" s="400" t="str">
        <f t="shared" si="1"/>
        <v>GBP1L6L29Y</v>
      </c>
      <c r="S37" s="353" t="str">
        <v>GBP1L6L29Y=ICAP</v>
      </c>
      <c r="T37" s="519" t="s">
        <v>233</v>
      </c>
      <c r="U37" s="519" t="s">
        <v>233</v>
      </c>
      <c r="V37" s="519" t="e">
        <f>_xll.qlMidEquivalent(T37,U37)</f>
        <v>#NUM!</v>
      </c>
      <c r="W37" s="349" t="b">
        <f t="shared" si="2"/>
        <v>0</v>
      </c>
      <c r="X37" s="520">
        <v>14.14414457598482</v>
      </c>
      <c r="Y37" s="343"/>
      <c r="Z37" s="517">
        <v>14.844866704634496</v>
      </c>
      <c r="AA37" s="343"/>
      <c r="AB37" s="629">
        <v>14.844866704634496</v>
      </c>
      <c r="AC37" s="348" t="e">
        <f>_xll.qlSimpleQuoteSetValue(F37,AB37/10000,Trigger)</f>
        <v>#N/A</v>
      </c>
      <c r="AD37" s="218"/>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GBP1L6L30Y_Quote#0000</v>
      </c>
      <c r="G38" s="72" t="str">
        <f>_xll.ohRangeRetrieveError(F38)</f>
        <v/>
      </c>
      <c r="H38" s="71"/>
      <c r="N38" s="118">
        <v>30</v>
      </c>
      <c r="O38" s="399" t="s">
        <v>57</v>
      </c>
      <c r="P38" s="402" t="str">
        <v>1L</v>
      </c>
      <c r="Q38" s="402" t="str">
        <v>6L</v>
      </c>
      <c r="R38" s="400" t="str">
        <f t="shared" si="1"/>
        <v>GBP1L6L30Y</v>
      </c>
      <c r="S38" s="353" t="str">
        <v>GBP1L6L30Y=ICAP</v>
      </c>
      <c r="T38" s="519">
        <v>12</v>
      </c>
      <c r="U38" s="519">
        <v>16</v>
      </c>
      <c r="V38" s="519">
        <f>_xll.qlMidEquivalent(T38,U38)</f>
        <v>14</v>
      </c>
      <c r="W38" s="349" t="b">
        <f t="shared" si="2"/>
        <v>1</v>
      </c>
      <c r="X38" s="520">
        <v>14</v>
      </c>
      <c r="Y38" s="343"/>
      <c r="Z38" s="517">
        <v>14.75</v>
      </c>
      <c r="AA38" s="343"/>
      <c r="AB38" s="629">
        <v>14.75</v>
      </c>
      <c r="AC38" s="348" t="e">
        <f>_xll.qlSimpleQuoteSetValue(F38,AB38/10000,Trigger)</f>
        <v>#N/A</v>
      </c>
      <c r="AD38" s="218"/>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GBP1L6L35Y_Quote#0000</v>
      </c>
      <c r="G39" s="72" t="str">
        <f>_xll.ohRangeRetrieveError(F39)</f>
        <v/>
      </c>
      <c r="H39" s="71"/>
      <c r="N39" s="118">
        <v>35</v>
      </c>
      <c r="O39" s="399" t="s">
        <v>52</v>
      </c>
      <c r="P39" s="402" t="str">
        <v>1L</v>
      </c>
      <c r="Q39" s="402" t="str">
        <v>6L</v>
      </c>
      <c r="R39" s="400" t="str">
        <f t="shared" si="1"/>
        <v>GBP1L6L35Y</v>
      </c>
      <c r="S39" s="353" t="str">
        <v>GBP1L6L35Y=ICAP</v>
      </c>
      <c r="T39" s="519" t="s">
        <v>233</v>
      </c>
      <c r="U39" s="519" t="s">
        <v>233</v>
      </c>
      <c r="V39" s="519" t="e">
        <f>_xll.qlMidEquivalent(T39,U39)</f>
        <v>#NUM!</v>
      </c>
      <c r="W39" s="349" t="b">
        <f t="shared" si="2"/>
        <v>0</v>
      </c>
      <c r="X39" s="518">
        <f>X38</f>
        <v>14</v>
      </c>
      <c r="Y39" s="343"/>
      <c r="Z39" s="517">
        <v>14.75</v>
      </c>
      <c r="AA39" s="343"/>
      <c r="AB39" s="629">
        <v>14.75</v>
      </c>
      <c r="AC39" s="348" t="e">
        <f>_xll.qlSimpleQuoteSetValue(F39,AB39/10000,Trigger)</f>
        <v>#N/A</v>
      </c>
      <c r="AD39" s="218"/>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GBP1L6L40Y_Quote#0000</v>
      </c>
      <c r="G40" s="72" t="str">
        <f>_xll.ohRangeRetrieveError(F40)</f>
        <v/>
      </c>
      <c r="H40" s="71"/>
      <c r="N40" s="118">
        <v>40</v>
      </c>
      <c r="O40" s="399" t="s">
        <v>47</v>
      </c>
      <c r="P40" s="402" t="str">
        <v>1L</v>
      </c>
      <c r="Q40" s="402" t="str">
        <v>6L</v>
      </c>
      <c r="R40" s="400" t="str">
        <f t="shared" si="1"/>
        <v>GBP1L6L40Y</v>
      </c>
      <c r="S40" s="353" t="str">
        <v>GBP1L6L40Y=ICAP</v>
      </c>
      <c r="T40" s="519">
        <v>10.75</v>
      </c>
      <c r="U40" s="519">
        <v>14.75</v>
      </c>
      <c r="V40" s="519">
        <f>_xll.qlMidEquivalent(T40,U40)</f>
        <v>12.75</v>
      </c>
      <c r="W40" s="349" t="b">
        <f t="shared" si="2"/>
        <v>1</v>
      </c>
      <c r="X40" s="518">
        <f>X39</f>
        <v>14</v>
      </c>
      <c r="Y40" s="343"/>
      <c r="Z40" s="517">
        <v>14.75</v>
      </c>
      <c r="AA40" s="343"/>
      <c r="AB40" s="629">
        <v>14.75</v>
      </c>
      <c r="AC40" s="348" t="e">
        <f>_xll.qlSimpleQuoteSetValue(F40,AB40/10000,Trigger)</f>
        <v>#N/A</v>
      </c>
      <c r="AD40" s="218"/>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GBP1L6L50Y_Quote#0000</v>
      </c>
      <c r="G41" s="72" t="str">
        <f>_xll.ohRangeRetrieveError(F41)</f>
        <v/>
      </c>
      <c r="H41" s="71"/>
      <c r="N41" s="118">
        <v>50</v>
      </c>
      <c r="O41" s="399" t="s">
        <v>37</v>
      </c>
      <c r="P41" s="402" t="str">
        <v>1L</v>
      </c>
      <c r="Q41" s="402" t="str">
        <v>6L</v>
      </c>
      <c r="R41" s="400" t="str">
        <f t="shared" si="1"/>
        <v>GBP1L6L50Y</v>
      </c>
      <c r="S41" s="353" t="str">
        <v>GBP1L6L50Y=ICAP</v>
      </c>
      <c r="T41" s="519">
        <v>9.375</v>
      </c>
      <c r="U41" s="519">
        <v>14.375</v>
      </c>
      <c r="V41" s="519">
        <f>_xll.qlMidEquivalent(T41,U41)</f>
        <v>11.875</v>
      </c>
      <c r="W41" s="349" t="b">
        <f t="shared" si="2"/>
        <v>1</v>
      </c>
      <c r="X41" s="518">
        <f>X40</f>
        <v>14</v>
      </c>
      <c r="Y41" s="343"/>
      <c r="Z41" s="517">
        <v>14.75</v>
      </c>
      <c r="AA41" s="343"/>
      <c r="AB41" s="629">
        <v>14.75</v>
      </c>
      <c r="AC41" s="348" t="e">
        <f>_xll.qlSimpleQuoteSetValue(F41,AB41/10000,Trigger)</f>
        <v>#N/A</v>
      </c>
      <c r="AD41" s="218"/>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GBP1L6L60Y_Quote#0000</v>
      </c>
      <c r="G42" s="72" t="str">
        <f>_xll.ohRangeRetrieveError(F42)</f>
        <v/>
      </c>
      <c r="H42" s="71"/>
      <c r="N42" s="118">
        <v>60</v>
      </c>
      <c r="O42" s="409" t="s">
        <v>27</v>
      </c>
      <c r="P42" s="398" t="str">
        <v>1L</v>
      </c>
      <c r="Q42" s="398" t="str">
        <v>6L</v>
      </c>
      <c r="R42" s="396" t="str">
        <f t="shared" si="1"/>
        <v>GBP1L6L60Y</v>
      </c>
      <c r="S42" s="346" t="str">
        <v>GBP1L6L60Y=ICAP</v>
      </c>
      <c r="T42" s="515">
        <v>8.375</v>
      </c>
      <c r="U42" s="515">
        <v>14.375</v>
      </c>
      <c r="V42" s="515">
        <f>_xll.qlMidEquivalent(T42,U42)</f>
        <v>11.375</v>
      </c>
      <c r="W42" s="341" t="b">
        <f t="shared" si="2"/>
        <v>1</v>
      </c>
      <c r="X42" s="514">
        <f>X41</f>
        <v>14</v>
      </c>
      <c r="Y42" s="343"/>
      <c r="Z42" s="513">
        <v>14.75</v>
      </c>
      <c r="AA42" s="343"/>
      <c r="AB42" s="630">
        <v>14.75</v>
      </c>
      <c r="AC42" s="340" t="e">
        <f>_xll.qlSimpleQuoteSetValue(F42,AB42/10000,Trigger)</f>
        <v>#N/A</v>
      </c>
      <c r="AD42" s="218"/>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84"/>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obj_00521#0002</v>
      </c>
      <c r="T3" s="133"/>
      <c r="U3" s="133"/>
      <c r="V3" s="133"/>
      <c r="W3" s="133"/>
      <c r="X3" s="133"/>
      <c r="Y3" s="343"/>
      <c r="Z3" s="343"/>
      <c r="AA3" s="343"/>
      <c r="AB3" s="133"/>
      <c r="AC3" s="133"/>
      <c r="AD3" s="375">
        <f>_xll.ohTrigger(AD5:AD42)</f>
        <v>0</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GBP3L6L6M_Quote#0000</v>
      </c>
      <c r="G5" s="72" t="str">
        <f>_xll.ohRangeRetrieveError(F5)</f>
        <v/>
      </c>
      <c r="H5" s="71"/>
      <c r="N5" s="521">
        <v>0.5</v>
      </c>
      <c r="O5" s="399" t="s">
        <v>8</v>
      </c>
      <c r="P5" s="402" t="str">
        <f t="array" ref="P5:P42">VLOOKUP(Currency,Conventions,2)</f>
        <v>3L</v>
      </c>
      <c r="Q5" s="402" t="str">
        <f t="array" ref="Q5:Q42">VLOOKUP(Currency,Conventions,3)</f>
        <v>6L</v>
      </c>
      <c r="R5" s="400" t="str">
        <f t="shared" ref="R5:R42" si="1">Currency&amp;$P5&amp;$Q5&amp;$O5</f>
        <v>GBP3L6L6M</v>
      </c>
      <c r="S5" s="353" t="str">
        <f t="array" ref="S5:S42">Instruments&amp;"="&amp;VLOOKUP(Contributor,ContributorTable,2,FALSE)</f>
        <v>GBP3L6L6M=ICAP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GBP3L6L6M_Quote</v>
      </c>
      <c r="AC5" s="516" t="e">
        <f t="array" ref="AC5:AC42">QuoteLive</f>
        <v>#NUM!</v>
      </c>
      <c r="AD5" s="348" t="e">
        <f>_xll.qlSimpleQuoteSetValue($AB5,$AC5/10000,Trigger)</f>
        <v>#NUM!</v>
      </c>
      <c r="AE5" s="218"/>
      <c r="AF5" s="64"/>
      <c r="AG5" s="86" t="s">
        <v>121</v>
      </c>
      <c r="AH5" s="85" t="s">
        <v>114</v>
      </c>
      <c r="AI5" s="84" t="s">
        <v>116</v>
      </c>
      <c r="AJ5" s="64" t="str">
        <f t="shared" ref="AJ5:AJ42" si="4">O5</f>
        <v>6M</v>
      </c>
      <c r="AK5" s="511"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GBP3L6L1Y_Quote#0000</v>
      </c>
      <c r="G6" s="72" t="str">
        <f>_xll.ohRangeRetrieveError(F6)</f>
        <v/>
      </c>
      <c r="H6" s="71"/>
      <c r="N6" s="521">
        <v>1</v>
      </c>
      <c r="O6" s="399" t="s">
        <v>1</v>
      </c>
      <c r="P6" s="402" t="str">
        <v>3L</v>
      </c>
      <c r="Q6" s="402" t="str">
        <v>6L</v>
      </c>
      <c r="R6" s="400" t="str">
        <f t="shared" si="1"/>
        <v>GBP3L6L1Y</v>
      </c>
      <c r="S6" s="353" t="str">
        <v>GBP3L6L1Y=ICAP</v>
      </c>
      <c r="T6" s="519">
        <v>10.125</v>
      </c>
      <c r="U6" s="519">
        <v>15.125</v>
      </c>
      <c r="V6" s="519">
        <f>_xll.qlMidEquivalent(T6,U6)</f>
        <v>12.625</v>
      </c>
      <c r="W6" s="349" t="b">
        <f t="shared" si="2"/>
        <v>1</v>
      </c>
      <c r="X6" s="520">
        <v>12.625</v>
      </c>
      <c r="Y6" s="343"/>
      <c r="Z6" s="517">
        <v>14.25</v>
      </c>
      <c r="AA6" s="343"/>
      <c r="AB6" s="394" t="str">
        <f t="shared" si="3"/>
        <v>GBP3L6L1Y_Quote</v>
      </c>
      <c r="AC6" s="516">
        <v>12.625</v>
      </c>
      <c r="AD6" s="348" t="e">
        <f>_xll.qlSimpleQuoteSetValue($AB6,$AC6/10000,Trigger)</f>
        <v>#N/A</v>
      </c>
      <c r="AE6" s="218"/>
      <c r="AF6" s="64"/>
      <c r="AG6" s="83" t="s">
        <v>120</v>
      </c>
      <c r="AH6" s="82" t="s">
        <v>126</v>
      </c>
      <c r="AI6" s="81" t="s">
        <v>118</v>
      </c>
      <c r="AJ6" s="64" t="str">
        <f t="shared" si="4"/>
        <v>1Y</v>
      </c>
      <c r="AK6" s="511"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GBP3L6L15M_Quote#0000</v>
      </c>
      <c r="G7" s="72" t="str">
        <f>_xll.ohRangeRetrieveError(F7)</f>
        <v/>
      </c>
      <c r="H7" s="71"/>
      <c r="N7" s="521">
        <v>1.25</v>
      </c>
      <c r="O7" s="399" t="s">
        <v>124</v>
      </c>
      <c r="P7" s="402" t="str">
        <v>3L</v>
      </c>
      <c r="Q7" s="402" t="str">
        <v>6L</v>
      </c>
      <c r="R7" s="400" t="str">
        <f t="shared" si="1"/>
        <v>GBP3L6L15M</v>
      </c>
      <c r="S7" s="353" t="str">
        <v>GBP3L6L15M=ICAP</v>
      </c>
      <c r="T7" s="519" t="s">
        <v>233</v>
      </c>
      <c r="U7" s="519" t="s">
        <v>233</v>
      </c>
      <c r="V7" s="519" t="e">
        <f>_xll.qlMidEquivalent(T7,U7)</f>
        <v>#NUM!</v>
      </c>
      <c r="W7" s="349" t="b">
        <f t="shared" si="2"/>
        <v>0</v>
      </c>
      <c r="X7" s="520">
        <v>12.594340279296567</v>
      </c>
      <c r="Y7" s="343"/>
      <c r="Z7" s="517">
        <v>13.967554953708214</v>
      </c>
      <c r="AA7" s="343"/>
      <c r="AB7" s="394" t="str">
        <f t="shared" si="3"/>
        <v>GBP3L6L15M_Quote</v>
      </c>
      <c r="AC7" s="516">
        <v>12.594340279296567</v>
      </c>
      <c r="AD7" s="348" t="e">
        <f>_xll.qlSimpleQuoteSetValue($AB7,$AC7/10000,Trigger)</f>
        <v>#N/A</v>
      </c>
      <c r="AE7" s="218"/>
      <c r="AF7" s="64"/>
      <c r="AG7" s="83" t="s">
        <v>96</v>
      </c>
      <c r="AH7" s="82" t="s">
        <v>114</v>
      </c>
      <c r="AI7" s="81" t="s">
        <v>116</v>
      </c>
      <c r="AJ7" s="64" t="str">
        <f t="shared" si="4"/>
        <v>15M</v>
      </c>
      <c r="AK7" s="511"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GBP3L6L18M_Quote#0000</v>
      </c>
      <c r="G8" s="72" t="str">
        <f>_xll.ohRangeRetrieveError(F8)</f>
        <v/>
      </c>
      <c r="H8" s="71"/>
      <c r="N8" s="521">
        <v>1.5</v>
      </c>
      <c r="O8" s="399" t="s">
        <v>123</v>
      </c>
      <c r="P8" s="402" t="str">
        <v>3L</v>
      </c>
      <c r="Q8" s="402" t="str">
        <v>6L</v>
      </c>
      <c r="R8" s="400" t="str">
        <f t="shared" si="1"/>
        <v>GBP3L6L18M</v>
      </c>
      <c r="S8" s="353" t="str">
        <v>GBP3L6L18M=ICAP</v>
      </c>
      <c r="T8" s="519" t="s">
        <v>233</v>
      </c>
      <c r="U8" s="519" t="s">
        <v>233</v>
      </c>
      <c r="V8" s="519" t="e">
        <f>_xll.qlMidEquivalent(T8,U8)</f>
        <v>#NUM!</v>
      </c>
      <c r="W8" s="349" t="b">
        <f t="shared" si="2"/>
        <v>0</v>
      </c>
      <c r="X8" s="520">
        <v>12.563444446874508</v>
      </c>
      <c r="Y8" s="343"/>
      <c r="Z8" s="517">
        <v>13.698087925933141</v>
      </c>
      <c r="AA8" s="343"/>
      <c r="AB8" s="394" t="str">
        <f t="shared" si="3"/>
        <v>GBP3L6L18M_Quote</v>
      </c>
      <c r="AC8" s="516">
        <v>12.563444446874508</v>
      </c>
      <c r="AD8" s="348" t="e">
        <f>_xll.qlSimpleQuoteSetValue($AB8,$AC8/10000,Trigger)</f>
        <v>#N/A</v>
      </c>
      <c r="AE8" s="218"/>
      <c r="AF8" s="64"/>
      <c r="AG8" s="83" t="s">
        <v>117</v>
      </c>
      <c r="AH8" s="82" t="s">
        <v>114</v>
      </c>
      <c r="AI8" s="81" t="s">
        <v>116</v>
      </c>
      <c r="AJ8" s="64" t="str">
        <f t="shared" si="4"/>
        <v>18M</v>
      </c>
      <c r="AK8" s="511">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GBP3L6L21M_Quote#0000</v>
      </c>
      <c r="G9" s="72" t="str">
        <f>_xll.ohRangeRetrieveError(F9)</f>
        <v/>
      </c>
      <c r="H9" s="71"/>
      <c r="N9" s="521">
        <v>1.75</v>
      </c>
      <c r="O9" s="399" t="s">
        <v>122</v>
      </c>
      <c r="P9" s="402" t="str">
        <v>3L</v>
      </c>
      <c r="Q9" s="402" t="str">
        <v>6L</v>
      </c>
      <c r="R9" s="400" t="str">
        <f t="shared" si="1"/>
        <v>GBP3L6L21M</v>
      </c>
      <c r="S9" s="353" t="str">
        <v>GBP3L6L21M=ICAP</v>
      </c>
      <c r="T9" s="519" t="s">
        <v>233</v>
      </c>
      <c r="U9" s="519" t="s">
        <v>233</v>
      </c>
      <c r="V9" s="519" t="e">
        <f>_xll.qlMidEquivalent(T9,U9)</f>
        <v>#NUM!</v>
      </c>
      <c r="W9" s="349" t="b">
        <f t="shared" si="2"/>
        <v>0</v>
      </c>
      <c r="X9" s="520">
        <v>12.532076391015194</v>
      </c>
      <c r="Y9" s="343"/>
      <c r="Z9" s="517">
        <v>13.454576935191499</v>
      </c>
      <c r="AA9" s="343"/>
      <c r="AB9" s="394" t="str">
        <f t="shared" si="3"/>
        <v>GBP3L6L21M_Quote</v>
      </c>
      <c r="AC9" s="516">
        <v>12.532076391015194</v>
      </c>
      <c r="AD9" s="348" t="e">
        <f>_xll.qlSimpleQuoteSetValue($AB9,$AC9/10000,Trigger)</f>
        <v>#N/A</v>
      </c>
      <c r="AE9" s="218"/>
      <c r="AF9" s="64"/>
      <c r="AG9" s="80" t="s">
        <v>115</v>
      </c>
      <c r="AH9" s="79" t="s">
        <v>116</v>
      </c>
      <c r="AI9" s="78" t="s">
        <v>114</v>
      </c>
      <c r="AJ9" s="64" t="str">
        <f t="shared" si="4"/>
        <v>21M</v>
      </c>
      <c r="AK9" s="511"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GBP3L6L2Y_Quote#0000</v>
      </c>
      <c r="G10" s="72" t="str">
        <f>_xll.ohRangeRetrieveError(F10)</f>
        <v/>
      </c>
      <c r="H10" s="71"/>
      <c r="J10" s="86" t="s">
        <v>121</v>
      </c>
      <c r="K10" s="85" t="s">
        <v>114</v>
      </c>
      <c r="L10" s="84" t="s">
        <v>116</v>
      </c>
      <c r="N10" s="118">
        <v>2</v>
      </c>
      <c r="O10" s="399" t="s">
        <v>85</v>
      </c>
      <c r="P10" s="402" t="str">
        <v>3L</v>
      </c>
      <c r="Q10" s="402" t="str">
        <v>6L</v>
      </c>
      <c r="R10" s="400" t="str">
        <f t="shared" si="1"/>
        <v>GBP3L6L2Y</v>
      </c>
      <c r="S10" s="353" t="str">
        <v>GBP3L6L2Y=ICAP</v>
      </c>
      <c r="T10" s="519">
        <v>10.5</v>
      </c>
      <c r="U10" s="519">
        <v>14.5</v>
      </c>
      <c r="V10" s="519">
        <f>_xll.qlMidEquivalent(T10,U10)</f>
        <v>12.5</v>
      </c>
      <c r="W10" s="349" t="b">
        <f t="shared" si="2"/>
        <v>1</v>
      </c>
      <c r="X10" s="520">
        <v>12.5</v>
      </c>
      <c r="Y10" s="343"/>
      <c r="Z10" s="517">
        <v>13.25</v>
      </c>
      <c r="AA10" s="343"/>
      <c r="AB10" s="394" t="str">
        <f t="shared" si="3"/>
        <v>GBP3L6L2Y_Quote</v>
      </c>
      <c r="AC10" s="516">
        <v>12.5</v>
      </c>
      <c r="AD10" s="348" t="e">
        <f>_xll.qlSimpleQuoteSetValue($AB10,$AC10/10000,Trigger)</f>
        <v>#N/A</v>
      </c>
      <c r="AE10" s="218"/>
      <c r="AF10" s="64"/>
      <c r="AG10" s="64"/>
      <c r="AH10" s="64"/>
      <c r="AI10" s="64"/>
      <c r="AJ10" s="64" t="str">
        <f t="shared" si="4"/>
        <v>2Y</v>
      </c>
      <c r="AK10" s="511"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GBP3L6L3Y_Quote#0000</v>
      </c>
      <c r="G11" s="72" t="str">
        <f>_xll.ohRangeRetrieveError(F11)</f>
        <v/>
      </c>
      <c r="H11" s="71"/>
      <c r="J11" s="83" t="s">
        <v>120</v>
      </c>
      <c r="K11" s="82" t="s">
        <v>126</v>
      </c>
      <c r="L11" s="81" t="s">
        <v>118</v>
      </c>
      <c r="N11" s="118">
        <v>3</v>
      </c>
      <c r="O11" s="399" t="s">
        <v>84</v>
      </c>
      <c r="P11" s="402" t="str">
        <v>3L</v>
      </c>
      <c r="Q11" s="402" t="str">
        <v>6L</v>
      </c>
      <c r="R11" s="400" t="str">
        <f t="shared" si="1"/>
        <v>GBP3L6L3Y</v>
      </c>
      <c r="S11" s="353" t="str">
        <v>GBP3L6L3Y=ICAP</v>
      </c>
      <c r="T11" s="519">
        <v>10.375</v>
      </c>
      <c r="U11" s="519">
        <v>14.375</v>
      </c>
      <c r="V11" s="519">
        <f>_xll.qlMidEquivalent(T11,U11)</f>
        <v>12.375</v>
      </c>
      <c r="W11" s="349" t="b">
        <f t="shared" si="2"/>
        <v>1</v>
      </c>
      <c r="X11" s="520">
        <v>12.375</v>
      </c>
      <c r="Y11" s="343"/>
      <c r="Z11" s="517">
        <v>12.75</v>
      </c>
      <c r="AA11" s="343"/>
      <c r="AB11" s="394" t="str">
        <f t="shared" si="3"/>
        <v>GBP3L6L3Y_Quote</v>
      </c>
      <c r="AC11" s="516">
        <v>12.375</v>
      </c>
      <c r="AD11" s="348" t="e">
        <f>_xll.qlSimpleQuoteSetValue($AB11,$AC11/10000,Trigger)</f>
        <v>#N/A</v>
      </c>
      <c r="AE11" s="218"/>
      <c r="AF11" s="64"/>
      <c r="AG11" s="64"/>
      <c r="AH11" s="64"/>
      <c r="AI11" s="64"/>
      <c r="AJ11" s="64" t="str">
        <f t="shared" si="4"/>
        <v>3Y</v>
      </c>
      <c r="AK11" s="511"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GBP3L6L4Y_Quote#0000</v>
      </c>
      <c r="G12" s="72" t="str">
        <f>_xll.ohRangeRetrieveError(F12)</f>
        <v/>
      </c>
      <c r="H12" s="71"/>
      <c r="J12" s="83" t="s">
        <v>96</v>
      </c>
      <c r="K12" s="82" t="s">
        <v>114</v>
      </c>
      <c r="L12" s="81" t="s">
        <v>116</v>
      </c>
      <c r="N12" s="118">
        <v>4</v>
      </c>
      <c r="O12" s="399" t="s">
        <v>83</v>
      </c>
      <c r="P12" s="402" t="str">
        <v>3L</v>
      </c>
      <c r="Q12" s="402" t="str">
        <v>6L</v>
      </c>
      <c r="R12" s="400" t="str">
        <f t="shared" si="1"/>
        <v>GBP3L6L4Y</v>
      </c>
      <c r="S12" s="353" t="str">
        <v>GBP3L6L4Y=ICAP</v>
      </c>
      <c r="T12" s="519">
        <v>10.25</v>
      </c>
      <c r="U12" s="519">
        <v>14.25</v>
      </c>
      <c r="V12" s="519">
        <f>_xll.qlMidEquivalent(T12,U12)</f>
        <v>12.25</v>
      </c>
      <c r="W12" s="349" t="b">
        <f t="shared" si="2"/>
        <v>1</v>
      </c>
      <c r="X12" s="520">
        <v>12.25</v>
      </c>
      <c r="Y12" s="343"/>
      <c r="Z12" s="517">
        <v>12.25</v>
      </c>
      <c r="AA12" s="343"/>
      <c r="AB12" s="394" t="str">
        <f t="shared" si="3"/>
        <v>GBP3L6L4Y_Quote</v>
      </c>
      <c r="AC12" s="516">
        <v>12.25</v>
      </c>
      <c r="AD12" s="348" t="e">
        <f>_xll.qlSimpleQuoteSetValue($AB12,$AC12/10000,Trigger)</f>
        <v>#N/A</v>
      </c>
      <c r="AE12" s="218"/>
      <c r="AF12" s="64"/>
      <c r="AG12" s="64"/>
      <c r="AH12" s="64"/>
      <c r="AI12" s="64"/>
      <c r="AJ12" s="64" t="str">
        <f t="shared" si="4"/>
        <v>4Y</v>
      </c>
      <c r="AK12" s="511"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GBP3L6L5Y_Quote#0000</v>
      </c>
      <c r="G13" s="72" t="str">
        <f>_xll.ohRangeRetrieveError(F13)</f>
        <v/>
      </c>
      <c r="H13" s="71"/>
      <c r="J13" s="83" t="s">
        <v>117</v>
      </c>
      <c r="K13" s="82" t="s">
        <v>114</v>
      </c>
      <c r="L13" s="81" t="s">
        <v>116</v>
      </c>
      <c r="N13" s="118">
        <v>5</v>
      </c>
      <c r="O13" s="399" t="s">
        <v>82</v>
      </c>
      <c r="P13" s="402" t="str">
        <v>3L</v>
      </c>
      <c r="Q13" s="402" t="str">
        <v>6L</v>
      </c>
      <c r="R13" s="400" t="str">
        <f t="shared" si="1"/>
        <v>GBP3L6L5Y</v>
      </c>
      <c r="S13" s="353" t="str">
        <v>GBP3L6L5Y=ICAP</v>
      </c>
      <c r="T13" s="519">
        <v>10</v>
      </c>
      <c r="U13" s="519">
        <v>14</v>
      </c>
      <c r="V13" s="519">
        <f>_xll.qlMidEquivalent(T13,U13)</f>
        <v>12</v>
      </c>
      <c r="W13" s="349" t="b">
        <f t="shared" si="2"/>
        <v>1</v>
      </c>
      <c r="X13" s="520">
        <v>12</v>
      </c>
      <c r="Y13" s="343"/>
      <c r="Z13" s="517">
        <v>12</v>
      </c>
      <c r="AA13" s="343"/>
      <c r="AB13" s="394" t="str">
        <f t="shared" si="3"/>
        <v>GBP3L6L5Y_Quote</v>
      </c>
      <c r="AC13" s="516">
        <v>12</v>
      </c>
      <c r="AD13" s="348" t="e">
        <f>_xll.qlSimpleQuoteSetValue($AB13,$AC13/10000,Trigger)</f>
        <v>#N/A</v>
      </c>
      <c r="AE13" s="218"/>
      <c r="AF13" s="64"/>
      <c r="AG13" s="64"/>
      <c r="AH13" s="64"/>
      <c r="AI13" s="64"/>
      <c r="AJ13" s="64" t="str">
        <f t="shared" si="4"/>
        <v>5Y</v>
      </c>
      <c r="AK13" s="511"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GBP3L6L6Y_Quote#0000</v>
      </c>
      <c r="G14" s="72" t="str">
        <f>_xll.ohRangeRetrieveError(F14)</f>
        <v/>
      </c>
      <c r="H14" s="71"/>
      <c r="J14" s="80" t="s">
        <v>115</v>
      </c>
      <c r="K14" s="79" t="s">
        <v>116</v>
      </c>
      <c r="L14" s="78" t="s">
        <v>114</v>
      </c>
      <c r="N14" s="118">
        <v>6</v>
      </c>
      <c r="O14" s="399" t="s">
        <v>81</v>
      </c>
      <c r="P14" s="402" t="str">
        <v>3L</v>
      </c>
      <c r="Q14" s="402" t="str">
        <v>6L</v>
      </c>
      <c r="R14" s="400" t="str">
        <f t="shared" si="1"/>
        <v>GBP3L6L6Y</v>
      </c>
      <c r="S14" s="353" t="str">
        <v>GBP3L6L6Y=ICAP</v>
      </c>
      <c r="T14" s="519">
        <v>10.25</v>
      </c>
      <c r="U14" s="519">
        <v>13.25</v>
      </c>
      <c r="V14" s="519">
        <f>_xll.qlMidEquivalent(T14,U14)</f>
        <v>11.75</v>
      </c>
      <c r="W14" s="349" t="b">
        <f t="shared" si="2"/>
        <v>1</v>
      </c>
      <c r="X14" s="520">
        <v>11.75</v>
      </c>
      <c r="Y14" s="343"/>
      <c r="Z14" s="517">
        <v>11.75</v>
      </c>
      <c r="AA14" s="343"/>
      <c r="AB14" s="394" t="str">
        <f t="shared" si="3"/>
        <v>GBP3L6L6Y_Quote</v>
      </c>
      <c r="AC14" s="516">
        <v>11.75</v>
      </c>
      <c r="AD14" s="348" t="e">
        <f>_xll.qlSimpleQuoteSetValue($AB14,$AC14/10000,Trigger)</f>
        <v>#N/A</v>
      </c>
      <c r="AE14" s="218"/>
      <c r="AF14" s="64"/>
      <c r="AG14" s="64"/>
      <c r="AH14" s="64"/>
      <c r="AI14" s="64"/>
      <c r="AJ14" s="64" t="str">
        <f t="shared" si="4"/>
        <v>6Y</v>
      </c>
      <c r="AK14" s="511"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GBP3L6L7Y_Quote#0000</v>
      </c>
      <c r="G15" s="72" t="str">
        <f>_xll.ohRangeRetrieveError(F15)</f>
        <v/>
      </c>
      <c r="H15" s="71"/>
      <c r="N15" s="118">
        <v>7</v>
      </c>
      <c r="O15" s="399" t="s">
        <v>80</v>
      </c>
      <c r="P15" s="402" t="str">
        <v>3L</v>
      </c>
      <c r="Q15" s="402" t="str">
        <v>6L</v>
      </c>
      <c r="R15" s="400" t="str">
        <f t="shared" si="1"/>
        <v>GBP3L6L7Y</v>
      </c>
      <c r="S15" s="353" t="str">
        <v>GBP3L6L7Y=ICAP</v>
      </c>
      <c r="T15" s="519">
        <v>9.875</v>
      </c>
      <c r="U15" s="519">
        <v>12.875</v>
      </c>
      <c r="V15" s="519">
        <f>_xll.qlMidEquivalent(T15,U15)</f>
        <v>11.375</v>
      </c>
      <c r="W15" s="349" t="b">
        <f t="shared" si="2"/>
        <v>1</v>
      </c>
      <c r="X15" s="520">
        <v>11.375</v>
      </c>
      <c r="Y15" s="343"/>
      <c r="Z15" s="517">
        <v>11.25</v>
      </c>
      <c r="AA15" s="343"/>
      <c r="AB15" s="394" t="str">
        <f t="shared" si="3"/>
        <v>GBP3L6L7Y_Quote</v>
      </c>
      <c r="AC15" s="516">
        <v>11.375</v>
      </c>
      <c r="AD15" s="348" t="e">
        <f>_xll.qlSimpleQuoteSetValue($AB15,$AC15/10000,Trigger)</f>
        <v>#N/A</v>
      </c>
      <c r="AE15" s="218"/>
      <c r="AF15" s="64"/>
      <c r="AG15" s="64"/>
      <c r="AH15" s="64"/>
      <c r="AI15" s="64"/>
      <c r="AJ15" s="64" t="str">
        <f t="shared" si="4"/>
        <v>7Y</v>
      </c>
      <c r="AK15" s="511"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GBP3L6L8Y_Quote#0000</v>
      </c>
      <c r="G16" s="72" t="str">
        <f>_xll.ohRangeRetrieveError(F16)</f>
        <v/>
      </c>
      <c r="H16" s="71"/>
      <c r="N16" s="118">
        <v>8</v>
      </c>
      <c r="O16" s="399" t="s">
        <v>79</v>
      </c>
      <c r="P16" s="402" t="str">
        <v>3L</v>
      </c>
      <c r="Q16" s="402" t="str">
        <v>6L</v>
      </c>
      <c r="R16" s="400" t="str">
        <f t="shared" si="1"/>
        <v>GBP3L6L8Y</v>
      </c>
      <c r="S16" s="353" t="str">
        <v>GBP3L6L8Y=ICAP</v>
      </c>
      <c r="T16" s="519">
        <v>9.375</v>
      </c>
      <c r="U16" s="519">
        <v>12.375</v>
      </c>
      <c r="V16" s="519">
        <f>_xll.qlMidEquivalent(T16,U16)</f>
        <v>10.875</v>
      </c>
      <c r="W16" s="349" t="b">
        <f t="shared" si="2"/>
        <v>1</v>
      </c>
      <c r="X16" s="520">
        <v>10.875</v>
      </c>
      <c r="Y16" s="343"/>
      <c r="Z16" s="517">
        <v>10.75</v>
      </c>
      <c r="AA16" s="343"/>
      <c r="AB16" s="394" t="str">
        <f t="shared" si="3"/>
        <v>GBP3L6L8Y_Quote</v>
      </c>
      <c r="AC16" s="516">
        <v>10.875</v>
      </c>
      <c r="AD16" s="348" t="e">
        <f>_xll.qlSimpleQuoteSetValue($AB16,$AC16/10000,Trigger)</f>
        <v>#N/A</v>
      </c>
      <c r="AE16" s="218"/>
      <c r="AF16" s="64"/>
      <c r="AG16" s="64"/>
      <c r="AH16" s="64"/>
      <c r="AI16" s="64"/>
      <c r="AJ16" s="64" t="str">
        <f t="shared" si="4"/>
        <v>8Y</v>
      </c>
      <c r="AK16" s="511"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GBP3L6L9Y_Quote#0000</v>
      </c>
      <c r="G17" s="72" t="str">
        <f>_xll.ohRangeRetrieveError(F17)</f>
        <v/>
      </c>
      <c r="H17" s="71"/>
      <c r="N17" s="118">
        <v>9</v>
      </c>
      <c r="O17" s="399" t="s">
        <v>78</v>
      </c>
      <c r="P17" s="402" t="str">
        <v>3L</v>
      </c>
      <c r="Q17" s="402" t="str">
        <v>6L</v>
      </c>
      <c r="R17" s="400" t="str">
        <f t="shared" si="1"/>
        <v>GBP3L6L9Y</v>
      </c>
      <c r="S17" s="353" t="str">
        <v>GBP3L6L9Y=ICAP</v>
      </c>
      <c r="T17" s="519">
        <v>9</v>
      </c>
      <c r="U17" s="519">
        <v>12</v>
      </c>
      <c r="V17" s="519">
        <f>_xll.qlMidEquivalent(T17,U17)</f>
        <v>10.5</v>
      </c>
      <c r="W17" s="349" t="b">
        <f t="shared" si="2"/>
        <v>1</v>
      </c>
      <c r="X17" s="520">
        <v>10.5</v>
      </c>
      <c r="Y17" s="343"/>
      <c r="Z17" s="517">
        <v>10.25</v>
      </c>
      <c r="AA17" s="343"/>
      <c r="AB17" s="394" t="str">
        <f t="shared" si="3"/>
        <v>GBP3L6L9Y_Quote</v>
      </c>
      <c r="AC17" s="516">
        <v>10.5</v>
      </c>
      <c r="AD17" s="348" t="e">
        <f>_xll.qlSimpleQuoteSetValue($AB17,$AC17/10000,Trigger)</f>
        <v>#N/A</v>
      </c>
      <c r="AE17" s="218"/>
      <c r="AF17" s="64"/>
      <c r="AG17" s="64"/>
      <c r="AH17" s="64"/>
      <c r="AI17" s="64"/>
      <c r="AJ17" s="64" t="str">
        <f t="shared" si="4"/>
        <v>9Y</v>
      </c>
      <c r="AK17" s="511"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GBP3L6L10Y_Quote#0000</v>
      </c>
      <c r="G18" s="72" t="str">
        <f>_xll.ohRangeRetrieveError(F18)</f>
        <v/>
      </c>
      <c r="H18" s="71"/>
      <c r="N18" s="118">
        <v>10</v>
      </c>
      <c r="O18" s="399" t="s">
        <v>77</v>
      </c>
      <c r="P18" s="402" t="str">
        <v>3L</v>
      </c>
      <c r="Q18" s="402" t="str">
        <v>6L</v>
      </c>
      <c r="R18" s="400" t="str">
        <f t="shared" si="1"/>
        <v>GBP3L6L10Y</v>
      </c>
      <c r="S18" s="353" t="str">
        <v>GBP3L6L10Y=ICAP</v>
      </c>
      <c r="T18" s="519">
        <v>8.625</v>
      </c>
      <c r="U18" s="519">
        <v>11.625</v>
      </c>
      <c r="V18" s="519">
        <f>_xll.qlMidEquivalent(T18,U18)</f>
        <v>10.125</v>
      </c>
      <c r="W18" s="349" t="b">
        <f t="shared" si="2"/>
        <v>1</v>
      </c>
      <c r="X18" s="520">
        <v>10.125</v>
      </c>
      <c r="Y18" s="343"/>
      <c r="Z18" s="517">
        <v>10</v>
      </c>
      <c r="AA18" s="343"/>
      <c r="AB18" s="394" t="str">
        <f t="shared" si="3"/>
        <v>GBP3L6L10Y_Quote</v>
      </c>
      <c r="AC18" s="516">
        <v>10.125</v>
      </c>
      <c r="AD18" s="348" t="e">
        <f>_xll.qlSimpleQuoteSetValue($AB18,$AC18/10000,Trigger)</f>
        <v>#N/A</v>
      </c>
      <c r="AE18" s="218"/>
      <c r="AF18" s="64"/>
      <c r="AG18" s="64"/>
      <c r="AH18" s="64"/>
      <c r="AI18" s="64"/>
      <c r="AJ18" s="64" t="str">
        <f t="shared" si="4"/>
        <v>10Y</v>
      </c>
      <c r="AK18" s="511"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GBP3L6L11Y_Quote#0000</v>
      </c>
      <c r="G19" s="72" t="str">
        <f>_xll.ohRangeRetrieveError(F19)</f>
        <v/>
      </c>
      <c r="H19" s="71"/>
      <c r="N19" s="118">
        <v>11</v>
      </c>
      <c r="O19" s="399" t="s">
        <v>76</v>
      </c>
      <c r="P19" s="402" t="str">
        <v>3L</v>
      </c>
      <c r="Q19" s="402" t="str">
        <v>6L</v>
      </c>
      <c r="R19" s="400" t="str">
        <f t="shared" si="1"/>
        <v>GBP3L6L11Y</v>
      </c>
      <c r="S19" s="353" t="str">
        <v>GBP3L6L11Y=ICAP</v>
      </c>
      <c r="T19" s="519" t="s">
        <v>233</v>
      </c>
      <c r="U19" s="519" t="s">
        <v>233</v>
      </c>
      <c r="V19" s="519" t="e">
        <f>_xll.qlMidEquivalent(T19,U19)</f>
        <v>#NUM!</v>
      </c>
      <c r="W19" s="349" t="b">
        <f t="shared" si="2"/>
        <v>0</v>
      </c>
      <c r="X19" s="520">
        <v>9.7895284739868771</v>
      </c>
      <c r="Y19" s="343"/>
      <c r="Z19" s="517">
        <v>9.754799001465372</v>
      </c>
      <c r="AA19" s="343"/>
      <c r="AB19" s="394" t="str">
        <f t="shared" si="3"/>
        <v>GBP3L6L11Y_Quote</v>
      </c>
      <c r="AC19" s="516">
        <v>9.7895284739868771</v>
      </c>
      <c r="AD19" s="348" t="e">
        <f>_xll.qlSimpleQuoteSetValue($AB19,$AC19/10000,Trigger)</f>
        <v>#N/A</v>
      </c>
      <c r="AE19" s="218"/>
      <c r="AF19" s="64"/>
      <c r="AG19" s="64"/>
      <c r="AH19" s="64"/>
      <c r="AI19" s="64"/>
      <c r="AJ19" s="64" t="str">
        <f t="shared" si="4"/>
        <v>11Y</v>
      </c>
      <c r="AK19" s="511"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GBP3L6L12Y_Quote#0000</v>
      </c>
      <c r="G20" s="72" t="str">
        <f>_xll.ohRangeRetrieveError(F20)</f>
        <v/>
      </c>
      <c r="H20" s="71"/>
      <c r="N20" s="118">
        <v>12</v>
      </c>
      <c r="O20" s="399" t="s">
        <v>75</v>
      </c>
      <c r="P20" s="402" t="str">
        <v>3L</v>
      </c>
      <c r="Q20" s="402" t="str">
        <v>6L</v>
      </c>
      <c r="R20" s="400" t="str">
        <f t="shared" si="1"/>
        <v>GBP3L6L12Y</v>
      </c>
      <c r="S20" s="353" t="str">
        <v>GBP3L6L12Y=ICAP</v>
      </c>
      <c r="T20" s="519">
        <v>8</v>
      </c>
      <c r="U20" s="519">
        <v>11</v>
      </c>
      <c r="V20" s="519">
        <f>_xll.qlMidEquivalent(T20,U20)</f>
        <v>9.5</v>
      </c>
      <c r="W20" s="349" t="b">
        <f t="shared" si="2"/>
        <v>1</v>
      </c>
      <c r="X20" s="520">
        <v>9.5</v>
      </c>
      <c r="Y20" s="343"/>
      <c r="Z20" s="517">
        <v>9.5</v>
      </c>
      <c r="AA20" s="343"/>
      <c r="AB20" s="394" t="str">
        <f t="shared" si="3"/>
        <v>GBP3L6L12Y_Quote</v>
      </c>
      <c r="AC20" s="516">
        <v>9.5</v>
      </c>
      <c r="AD20" s="348" t="e">
        <f>_xll.qlSimpleQuoteSetValue($AB20,$AC20/10000,Trigger)</f>
        <v>#N/A</v>
      </c>
      <c r="AE20" s="218"/>
      <c r="AF20" s="64"/>
      <c r="AG20" s="64"/>
      <c r="AH20" s="64"/>
      <c r="AI20" s="64"/>
      <c r="AJ20" s="64" t="str">
        <f t="shared" si="4"/>
        <v>12Y</v>
      </c>
      <c r="AK20" s="511"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GBP3L6L13Y_Quote#0000</v>
      </c>
      <c r="G21" s="72" t="str">
        <f>_xll.ohRangeRetrieveError(F21)</f>
        <v/>
      </c>
      <c r="H21" s="71"/>
      <c r="N21" s="118">
        <v>13</v>
      </c>
      <c r="O21" s="399" t="s">
        <v>74</v>
      </c>
      <c r="P21" s="402" t="str">
        <v>3L</v>
      </c>
      <c r="Q21" s="402" t="str">
        <v>6L</v>
      </c>
      <c r="R21" s="400" t="str">
        <f t="shared" si="1"/>
        <v>GBP3L6L13Y</v>
      </c>
      <c r="S21" s="353" t="str">
        <v>GBP3L6L13Y=ICAP</v>
      </c>
      <c r="T21" s="519" t="s">
        <v>233</v>
      </c>
      <c r="U21" s="519" t="s">
        <v>233</v>
      </c>
      <c r="V21" s="519" t="e">
        <f>_xll.qlMidEquivalent(T21,U21)</f>
        <v>#NUM!</v>
      </c>
      <c r="W21" s="349" t="b">
        <f t="shared" si="2"/>
        <v>0</v>
      </c>
      <c r="X21" s="520">
        <v>9.236442663780295</v>
      </c>
      <c r="Y21" s="343"/>
      <c r="Z21" s="517">
        <v>9.3040145468121018</v>
      </c>
      <c r="AA21" s="343"/>
      <c r="AB21" s="394" t="str">
        <f t="shared" si="3"/>
        <v>GBP3L6L13Y_Quote</v>
      </c>
      <c r="AC21" s="516">
        <v>9.236442663780295</v>
      </c>
      <c r="AD21" s="348" t="e">
        <f>_xll.qlSimpleQuoteSetValue($AB21,$AC21/10000,Trigger)</f>
        <v>#N/A</v>
      </c>
      <c r="AE21" s="218"/>
      <c r="AF21" s="64"/>
      <c r="AG21" s="64"/>
      <c r="AH21" s="64"/>
      <c r="AI21" s="64"/>
      <c r="AJ21" s="64" t="str">
        <f t="shared" si="4"/>
        <v>13Y</v>
      </c>
      <c r="AK21" s="511"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GBP3L6L14Y_Quote#0000</v>
      </c>
      <c r="G22" s="72" t="str">
        <f>_xll.ohRangeRetrieveError(F22)</f>
        <v/>
      </c>
      <c r="H22" s="71"/>
      <c r="N22" s="118">
        <v>14</v>
      </c>
      <c r="O22" s="399" t="s">
        <v>73</v>
      </c>
      <c r="P22" s="402" t="str">
        <v>3L</v>
      </c>
      <c r="Q22" s="402" t="str">
        <v>6L</v>
      </c>
      <c r="R22" s="400" t="str">
        <f t="shared" si="1"/>
        <v>GBP3L6L14Y</v>
      </c>
      <c r="S22" s="353" t="str">
        <v>GBP3L6L14Y=ICAP</v>
      </c>
      <c r="T22" s="519" t="s">
        <v>233</v>
      </c>
      <c r="U22" s="519" t="s">
        <v>233</v>
      </c>
      <c r="V22" s="519" t="e">
        <f>_xll.qlMidEquivalent(T22,U22)</f>
        <v>#NUM!</v>
      </c>
      <c r="W22" s="349" t="b">
        <f t="shared" si="2"/>
        <v>0</v>
      </c>
      <c r="X22" s="520">
        <v>8.9889189633966637</v>
      </c>
      <c r="Y22" s="343"/>
      <c r="Z22" s="517">
        <v>9.1500470189683423</v>
      </c>
      <c r="AA22" s="343"/>
      <c r="AB22" s="394" t="str">
        <f t="shared" si="3"/>
        <v>GBP3L6L14Y_Quote</v>
      </c>
      <c r="AC22" s="516">
        <v>8.9889189633966637</v>
      </c>
      <c r="AD22" s="348" t="e">
        <f>_xll.qlSimpleQuoteSetValue($AB22,$AC22/10000,Trigger)</f>
        <v>#N/A</v>
      </c>
      <c r="AE22" s="218"/>
      <c r="AF22" s="64"/>
      <c r="AG22" s="64"/>
      <c r="AH22" s="64"/>
      <c r="AI22" s="64"/>
      <c r="AJ22" s="64" t="str">
        <f t="shared" si="4"/>
        <v>14Y</v>
      </c>
      <c r="AK22" s="511"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GBP3L6L15Y_Quote#0000</v>
      </c>
      <c r="G23" s="72" t="str">
        <f>_xll.ohRangeRetrieveError(F23)</f>
        <v/>
      </c>
      <c r="H23" s="71"/>
      <c r="N23" s="118">
        <v>15</v>
      </c>
      <c r="O23" s="399" t="s">
        <v>72</v>
      </c>
      <c r="P23" s="402" t="str">
        <v>3L</v>
      </c>
      <c r="Q23" s="402" t="str">
        <v>6L</v>
      </c>
      <c r="R23" s="400" t="str">
        <f t="shared" si="1"/>
        <v>GBP3L6L15Y</v>
      </c>
      <c r="S23" s="353" t="str">
        <v>GBP3L6L15Y=ICAP</v>
      </c>
      <c r="T23" s="519">
        <v>7.25</v>
      </c>
      <c r="U23" s="519">
        <v>10.25</v>
      </c>
      <c r="V23" s="519">
        <f>_xll.qlMidEquivalent(T23,U23)</f>
        <v>8.75</v>
      </c>
      <c r="W23" s="349" t="b">
        <f t="shared" si="2"/>
        <v>1</v>
      </c>
      <c r="X23" s="520">
        <v>8.75</v>
      </c>
      <c r="Y23" s="343"/>
      <c r="Z23" s="517">
        <v>9</v>
      </c>
      <c r="AA23" s="343"/>
      <c r="AB23" s="394" t="str">
        <f t="shared" si="3"/>
        <v>GBP3L6L15Y_Quote</v>
      </c>
      <c r="AC23" s="516">
        <v>8.75</v>
      </c>
      <c r="AD23" s="348" t="e">
        <f>_xll.qlSimpleQuoteSetValue($AB23,$AC23/10000,Trigger)</f>
        <v>#N/A</v>
      </c>
      <c r="AE23" s="218"/>
      <c r="AF23" s="64"/>
      <c r="AG23" s="64"/>
      <c r="AH23" s="64"/>
      <c r="AI23" s="64"/>
      <c r="AJ23" s="64" t="str">
        <f t="shared" si="4"/>
        <v>15Y</v>
      </c>
      <c r="AK23" s="511"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GBP3L6L16Y_Quote#0000</v>
      </c>
      <c r="G24" s="72" t="str">
        <f>_xll.ohRangeRetrieveError(F24)</f>
        <v/>
      </c>
      <c r="H24" s="71"/>
      <c r="N24" s="118">
        <v>16</v>
      </c>
      <c r="O24" s="399" t="s">
        <v>71</v>
      </c>
      <c r="P24" s="402" t="str">
        <v>3L</v>
      </c>
      <c r="Q24" s="402" t="str">
        <v>6L</v>
      </c>
      <c r="R24" s="400" t="str">
        <f t="shared" si="1"/>
        <v>GBP3L6L16Y</v>
      </c>
      <c r="S24" s="353" t="str">
        <v>GBP3L6L16Y=ICAP</v>
      </c>
      <c r="T24" s="519" t="s">
        <v>233</v>
      </c>
      <c r="U24" s="519" t="s">
        <v>233</v>
      </c>
      <c r="V24" s="519" t="e">
        <f>_xll.qlMidEquivalent(T24,U24)</f>
        <v>#NUM!</v>
      </c>
      <c r="W24" s="349" t="b">
        <f t="shared" si="2"/>
        <v>0</v>
      </c>
      <c r="X24" s="520">
        <v>8.5138611565163789</v>
      </c>
      <c r="Y24" s="343"/>
      <c r="Z24" s="517">
        <v>8.8239747697432787</v>
      </c>
      <c r="AA24" s="343"/>
      <c r="AB24" s="394" t="str">
        <f t="shared" si="3"/>
        <v>GBP3L6L16Y_Quote</v>
      </c>
      <c r="AC24" s="516">
        <v>8.5138611565163789</v>
      </c>
      <c r="AD24" s="348" t="e">
        <f>_xll.qlSimpleQuoteSetValue($AB24,$AC24/10000,Trigger)</f>
        <v>#N/A</v>
      </c>
      <c r="AE24" s="218"/>
      <c r="AF24" s="64"/>
      <c r="AG24" s="64"/>
      <c r="AH24" s="64"/>
      <c r="AI24" s="64"/>
      <c r="AJ24" s="64" t="str">
        <f t="shared" si="4"/>
        <v>16Y</v>
      </c>
      <c r="AK24" s="511"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GBP3L6L17Y_Quote#0000</v>
      </c>
      <c r="G25" s="72" t="str">
        <f>_xll.ohRangeRetrieveError(F25)</f>
        <v/>
      </c>
      <c r="H25" s="71"/>
      <c r="N25" s="118">
        <v>17</v>
      </c>
      <c r="O25" s="399" t="s">
        <v>70</v>
      </c>
      <c r="P25" s="402" t="str">
        <v>3L</v>
      </c>
      <c r="Q25" s="402" t="str">
        <v>6L</v>
      </c>
      <c r="R25" s="400" t="str">
        <f t="shared" si="1"/>
        <v>GBP3L6L17Y</v>
      </c>
      <c r="S25" s="353" t="str">
        <v>GBP3L6L17Y=ICAP</v>
      </c>
      <c r="T25" s="519" t="s">
        <v>233</v>
      </c>
      <c r="U25" s="519" t="s">
        <v>233</v>
      </c>
      <c r="V25" s="519" t="e">
        <f>_xll.qlMidEquivalent(T25,U25)</f>
        <v>#NUM!</v>
      </c>
      <c r="W25" s="349" t="b">
        <f t="shared" si="2"/>
        <v>0</v>
      </c>
      <c r="X25" s="520">
        <v>8.2810949429725937</v>
      </c>
      <c r="Y25" s="343"/>
      <c r="Z25" s="517">
        <v>8.6248673932540854</v>
      </c>
      <c r="AA25" s="343"/>
      <c r="AB25" s="394" t="str">
        <f t="shared" si="3"/>
        <v>GBP3L6L17Y_Quote</v>
      </c>
      <c r="AC25" s="516">
        <v>8.2810949429725937</v>
      </c>
      <c r="AD25" s="348" t="e">
        <f>_xll.qlSimpleQuoteSetValue($AB25,$AC25/10000,Trigger)</f>
        <v>#N/A</v>
      </c>
      <c r="AE25" s="218"/>
      <c r="AF25" s="64"/>
      <c r="AG25" s="64"/>
      <c r="AH25" s="64"/>
      <c r="AI25" s="64"/>
      <c r="AJ25" s="64" t="str">
        <f t="shared" si="4"/>
        <v>17Y</v>
      </c>
      <c r="AK25" s="511"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GBP3L6L18Y_Quote#0000</v>
      </c>
      <c r="G26" s="72" t="str">
        <f>_xll.ohRangeRetrieveError(F26)</f>
        <v/>
      </c>
      <c r="H26" s="71"/>
      <c r="N26" s="118">
        <v>18</v>
      </c>
      <c r="O26" s="399" t="s">
        <v>69</v>
      </c>
      <c r="P26" s="402" t="str">
        <v>3L</v>
      </c>
      <c r="Q26" s="402" t="str">
        <v>6L</v>
      </c>
      <c r="R26" s="400" t="str">
        <f t="shared" si="1"/>
        <v>GBP3L6L18Y</v>
      </c>
      <c r="S26" s="353" t="str">
        <v>GBP3L6L18Y=ICAP</v>
      </c>
      <c r="T26" s="519" t="s">
        <v>233</v>
      </c>
      <c r="U26" s="519" t="s">
        <v>233</v>
      </c>
      <c r="V26" s="519" t="e">
        <f>_xll.qlMidEquivalent(T26,U26)</f>
        <v>#NUM!</v>
      </c>
      <c r="W26" s="349" t="b">
        <f t="shared" si="2"/>
        <v>0</v>
      </c>
      <c r="X26" s="520">
        <v>8.0538981511706176</v>
      </c>
      <c r="Y26" s="343"/>
      <c r="Z26" s="517">
        <v>8.4137726318932522</v>
      </c>
      <c r="AA26" s="343"/>
      <c r="AB26" s="394" t="str">
        <f t="shared" si="3"/>
        <v>GBP3L6L18Y_Quote</v>
      </c>
      <c r="AC26" s="516">
        <v>8.0538981511706176</v>
      </c>
      <c r="AD26" s="348" t="e">
        <f>_xll.qlSimpleQuoteSetValue($AB26,$AC26/10000,Trigger)</f>
        <v>#N/A</v>
      </c>
      <c r="AE26" s="218"/>
      <c r="AF26" s="64"/>
      <c r="AG26" s="64"/>
      <c r="AH26" s="64"/>
      <c r="AI26" s="64"/>
      <c r="AJ26" s="64" t="str">
        <f t="shared" si="4"/>
        <v>18Y</v>
      </c>
      <c r="AK26" s="511"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GBP3L6L19Y_Quote#0000</v>
      </c>
      <c r="G27" s="72" t="str">
        <f>_xll.ohRangeRetrieveError(F27)</f>
        <v/>
      </c>
      <c r="H27" s="71"/>
      <c r="N27" s="118">
        <v>19</v>
      </c>
      <c r="O27" s="399" t="s">
        <v>68</v>
      </c>
      <c r="P27" s="402" t="str">
        <v>3L</v>
      </c>
      <c r="Q27" s="402" t="str">
        <v>6L</v>
      </c>
      <c r="R27" s="400" t="str">
        <f t="shared" si="1"/>
        <v>GBP3L6L19Y</v>
      </c>
      <c r="S27" s="353" t="str">
        <v>GBP3L6L19Y=ICAP</v>
      </c>
      <c r="T27" s="519" t="s">
        <v>233</v>
      </c>
      <c r="U27" s="519" t="s">
        <v>233</v>
      </c>
      <c r="V27" s="519" t="e">
        <f>_xll.qlMidEquivalent(T27,U27)</f>
        <v>#NUM!</v>
      </c>
      <c r="W27" s="349" t="b">
        <f t="shared" si="2"/>
        <v>0</v>
      </c>
      <c r="X27" s="520">
        <v>7.8344675729124287</v>
      </c>
      <c r="Y27" s="343"/>
      <c r="Z27" s="517">
        <v>8.201785247021613</v>
      </c>
      <c r="AA27" s="343"/>
      <c r="AB27" s="394" t="str">
        <f t="shared" si="3"/>
        <v>GBP3L6L19Y_Quote</v>
      </c>
      <c r="AC27" s="516">
        <v>7.8344675729124287</v>
      </c>
      <c r="AD27" s="348" t="e">
        <f>_xll.qlSimpleQuoteSetValue($AB27,$AC27/10000,Trigger)</f>
        <v>#N/A</v>
      </c>
      <c r="AE27" s="218"/>
      <c r="AF27" s="64"/>
      <c r="AG27" s="64"/>
      <c r="AH27" s="64"/>
      <c r="AI27" s="64"/>
      <c r="AJ27" s="64" t="str">
        <f t="shared" si="4"/>
        <v>19Y</v>
      </c>
      <c r="AK27" s="511"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GBP3L6L20Y_Quote#0000</v>
      </c>
      <c r="G28" s="72" t="str">
        <f>_xll.ohRangeRetrieveError(F28)</f>
        <v/>
      </c>
      <c r="H28" s="71"/>
      <c r="N28" s="118">
        <v>20</v>
      </c>
      <c r="O28" s="399" t="s">
        <v>67</v>
      </c>
      <c r="P28" s="402" t="str">
        <v>3L</v>
      </c>
      <c r="Q28" s="402" t="str">
        <v>6L</v>
      </c>
      <c r="R28" s="400" t="str">
        <f t="shared" si="1"/>
        <v>GBP3L6L20Y</v>
      </c>
      <c r="S28" s="353" t="str">
        <v>GBP3L6L20Y=ICAP</v>
      </c>
      <c r="T28" s="519">
        <v>6.125</v>
      </c>
      <c r="U28" s="519">
        <v>9.125</v>
      </c>
      <c r="V28" s="519">
        <f>_xll.qlMidEquivalent(T28,U28)</f>
        <v>7.625</v>
      </c>
      <c r="W28" s="349" t="b">
        <f t="shared" si="2"/>
        <v>1</v>
      </c>
      <c r="X28" s="520">
        <v>7.625</v>
      </c>
      <c r="Y28" s="343"/>
      <c r="Z28" s="517">
        <v>8</v>
      </c>
      <c r="AA28" s="343"/>
      <c r="AB28" s="394" t="str">
        <f t="shared" si="3"/>
        <v>GBP3L6L20Y_Quote</v>
      </c>
      <c r="AC28" s="516">
        <v>7.625</v>
      </c>
      <c r="AD28" s="348" t="e">
        <f>_xll.qlSimpleQuoteSetValue($AB28,$AC28/10000,Trigger)</f>
        <v>#N/A</v>
      </c>
      <c r="AE28" s="218"/>
      <c r="AF28" s="64"/>
      <c r="AG28" s="64"/>
      <c r="AH28" s="64"/>
      <c r="AI28" s="64"/>
      <c r="AJ28" s="64" t="str">
        <f t="shared" si="4"/>
        <v>20Y</v>
      </c>
      <c r="AK28" s="511"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GBP3L6L21Y_Quote#0000</v>
      </c>
      <c r="G29" s="72" t="str">
        <f>_xll.ohRangeRetrieveError(F29)</f>
        <v/>
      </c>
      <c r="H29" s="71"/>
      <c r="N29" s="118">
        <v>21</v>
      </c>
      <c r="O29" s="399" t="s">
        <v>66</v>
      </c>
      <c r="P29" s="402" t="str">
        <v>3L</v>
      </c>
      <c r="Q29" s="402" t="str">
        <v>6L</v>
      </c>
      <c r="R29" s="400" t="str">
        <f t="shared" si="1"/>
        <v>GBP3L6L21Y</v>
      </c>
      <c r="S29" s="353" t="str">
        <v>GBP3L6L21Y=ICAP</v>
      </c>
      <c r="T29" s="519" t="s">
        <v>233</v>
      </c>
      <c r="U29" s="519" t="s">
        <v>233</v>
      </c>
      <c r="V29" s="519" t="e">
        <f>_xll.qlMidEquivalent(T29,U29)</f>
        <v>#NUM!</v>
      </c>
      <c r="W29" s="349" t="b">
        <f t="shared" si="2"/>
        <v>0</v>
      </c>
      <c r="X29" s="520">
        <v>7.4272602648057582</v>
      </c>
      <c r="Y29" s="343"/>
      <c r="Z29" s="517">
        <v>7.8172522723470728</v>
      </c>
      <c r="AA29" s="343"/>
      <c r="AB29" s="394" t="str">
        <f t="shared" si="3"/>
        <v>GBP3L6L21Y_Quote</v>
      </c>
      <c r="AC29" s="516">
        <v>7.4272602648057582</v>
      </c>
      <c r="AD29" s="348" t="e">
        <f>_xll.qlSimpleQuoteSetValue($AB29,$AC29/10000,Trigger)</f>
        <v>#N/A</v>
      </c>
      <c r="AE29" s="218"/>
      <c r="AF29" s="64"/>
      <c r="AG29" s="64"/>
      <c r="AH29" s="64"/>
      <c r="AI29" s="64"/>
      <c r="AJ29" s="64" t="str">
        <f t="shared" si="4"/>
        <v>21Y</v>
      </c>
      <c r="AK29" s="511"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GBP3L6L22Y_Quote#0000</v>
      </c>
      <c r="G30" s="72" t="str">
        <f>_xll.ohRangeRetrieveError(F30)</f>
        <v/>
      </c>
      <c r="H30" s="71"/>
      <c r="N30" s="118">
        <v>22</v>
      </c>
      <c r="O30" s="399" t="s">
        <v>65</v>
      </c>
      <c r="P30" s="402" t="str">
        <v>3L</v>
      </c>
      <c r="Q30" s="402" t="str">
        <v>6L</v>
      </c>
      <c r="R30" s="400" t="str">
        <f t="shared" si="1"/>
        <v>GBP3L6L22Y</v>
      </c>
      <c r="S30" s="353" t="str">
        <v>GBP3L6L22Y=ICAP</v>
      </c>
      <c r="T30" s="519" t="s">
        <v>233</v>
      </c>
      <c r="U30" s="519" t="s">
        <v>233</v>
      </c>
      <c r="V30" s="519" t="e">
        <f>_xll.qlMidEquivalent(T30,U30)</f>
        <v>#NUM!</v>
      </c>
      <c r="W30" s="349" t="b">
        <f t="shared" si="2"/>
        <v>0</v>
      </c>
      <c r="X30" s="520">
        <v>7.2412853619839446</v>
      </c>
      <c r="Y30" s="343"/>
      <c r="Z30" s="517">
        <v>7.6533399262128068</v>
      </c>
      <c r="AA30" s="343"/>
      <c r="AB30" s="394" t="str">
        <f t="shared" si="3"/>
        <v>GBP3L6L22Y_Quote</v>
      </c>
      <c r="AC30" s="516">
        <v>7.2412853619839446</v>
      </c>
      <c r="AD30" s="348" t="e">
        <f>_xll.qlSimpleQuoteSetValue($AB30,$AC30/10000,Trigger)</f>
        <v>#N/A</v>
      </c>
      <c r="AE30" s="218"/>
      <c r="AF30" s="64"/>
      <c r="AG30" s="64"/>
      <c r="AH30" s="64"/>
      <c r="AI30" s="64"/>
      <c r="AJ30" s="64" t="str">
        <f t="shared" si="4"/>
        <v>22Y</v>
      </c>
      <c r="AK30" s="511"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GBP3L6L23Y_Quote#0000</v>
      </c>
      <c r="G31" s="72" t="str">
        <f>_xll.ohRangeRetrieveError(F31)</f>
        <v/>
      </c>
      <c r="H31" s="71"/>
      <c r="N31" s="118">
        <v>23</v>
      </c>
      <c r="O31" s="399" t="s">
        <v>64</v>
      </c>
      <c r="P31" s="402" t="str">
        <v>3L</v>
      </c>
      <c r="Q31" s="402" t="str">
        <v>6L</v>
      </c>
      <c r="R31" s="400" t="str">
        <f t="shared" si="1"/>
        <v>GBP3L6L23Y</v>
      </c>
      <c r="S31" s="353" t="str">
        <v>GBP3L6L23Y=ICAP</v>
      </c>
      <c r="T31" s="519" t="s">
        <v>233</v>
      </c>
      <c r="U31" s="519" t="s">
        <v>233</v>
      </c>
      <c r="V31" s="519" t="e">
        <f>_xll.qlMidEquivalent(T31,U31)</f>
        <v>#NUM!</v>
      </c>
      <c r="W31" s="349" t="b">
        <f t="shared" si="2"/>
        <v>0</v>
      </c>
      <c r="X31" s="520">
        <v>7.0666803267592506</v>
      </c>
      <c r="Y31" s="343"/>
      <c r="Z31" s="517">
        <v>7.5058014439050051</v>
      </c>
      <c r="AA31" s="343"/>
      <c r="AB31" s="394" t="str">
        <f t="shared" si="3"/>
        <v>GBP3L6L23Y_Quote</v>
      </c>
      <c r="AC31" s="516">
        <v>7.0666803267592506</v>
      </c>
      <c r="AD31" s="348" t="e">
        <f>_xll.qlSimpleQuoteSetValue($AB31,$AC31/10000,Trigger)</f>
        <v>#N/A</v>
      </c>
      <c r="AE31" s="218"/>
      <c r="AF31" s="64"/>
      <c r="AG31" s="64"/>
      <c r="AH31" s="64"/>
      <c r="AI31" s="64"/>
      <c r="AJ31" s="64" t="str">
        <f t="shared" si="4"/>
        <v>23Y</v>
      </c>
      <c r="AK31" s="511"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GBP3L6L24Y_Quote#0000</v>
      </c>
      <c r="G32" s="72" t="str">
        <f>_xll.ohRangeRetrieveError(F32)</f>
        <v/>
      </c>
      <c r="H32" s="71"/>
      <c r="N32" s="118">
        <v>24</v>
      </c>
      <c r="O32" s="399" t="s">
        <v>63</v>
      </c>
      <c r="P32" s="402" t="str">
        <v>3L</v>
      </c>
      <c r="Q32" s="402" t="str">
        <v>6L</v>
      </c>
      <c r="R32" s="400" t="str">
        <f t="shared" si="1"/>
        <v>GBP3L6L24Y</v>
      </c>
      <c r="S32" s="353" t="str">
        <v>GBP3L6L24Y=ICAP</v>
      </c>
      <c r="T32" s="519" t="s">
        <v>233</v>
      </c>
      <c r="U32" s="519" t="s">
        <v>233</v>
      </c>
      <c r="V32" s="519" t="e">
        <f>_xll.qlMidEquivalent(T32,U32)</f>
        <v>#NUM!</v>
      </c>
      <c r="W32" s="349" t="b">
        <f t="shared" si="2"/>
        <v>0</v>
      </c>
      <c r="X32" s="520">
        <v>6.9030501943563722</v>
      </c>
      <c r="Y32" s="343"/>
      <c r="Z32" s="517">
        <v>7.3721753077314682</v>
      </c>
      <c r="AA32" s="343"/>
      <c r="AB32" s="394" t="str">
        <f t="shared" si="3"/>
        <v>GBP3L6L24Y_Quote</v>
      </c>
      <c r="AC32" s="516">
        <v>6.9030501943563722</v>
      </c>
      <c r="AD32" s="348" t="e">
        <f>_xll.qlSimpleQuoteSetValue($AB32,$AC32/10000,Trigger)</f>
        <v>#N/A</v>
      </c>
      <c r="AE32" s="218"/>
      <c r="AF32" s="64"/>
      <c r="AG32" s="64"/>
      <c r="AH32" s="64"/>
      <c r="AI32" s="64"/>
      <c r="AJ32" s="64" t="str">
        <f t="shared" si="4"/>
        <v>24Y</v>
      </c>
      <c r="AK32" s="511"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GBP3L6L25Y_Quote#0000</v>
      </c>
      <c r="G33" s="72" t="str">
        <f>_xll.ohRangeRetrieveError(F33)</f>
        <v/>
      </c>
      <c r="H33" s="71"/>
      <c r="N33" s="118">
        <v>25</v>
      </c>
      <c r="O33" s="399" t="s">
        <v>62</v>
      </c>
      <c r="P33" s="402" t="str">
        <v>3L</v>
      </c>
      <c r="Q33" s="402" t="str">
        <v>6L</v>
      </c>
      <c r="R33" s="400" t="str">
        <f t="shared" si="1"/>
        <v>GBP3L6L25Y</v>
      </c>
      <c r="S33" s="353" t="str">
        <v>GBP3L6L25Y=ICAP</v>
      </c>
      <c r="T33" s="519">
        <v>5.25</v>
      </c>
      <c r="U33" s="519">
        <v>8.25</v>
      </c>
      <c r="V33" s="519">
        <f>_xll.qlMidEquivalent(T33,U33)</f>
        <v>6.75</v>
      </c>
      <c r="W33" s="349" t="b">
        <f t="shared" si="2"/>
        <v>1</v>
      </c>
      <c r="X33" s="520">
        <v>6.75</v>
      </c>
      <c r="Y33" s="343"/>
      <c r="Z33" s="517">
        <v>7.25</v>
      </c>
      <c r="AA33" s="343"/>
      <c r="AB33" s="394" t="str">
        <f t="shared" si="3"/>
        <v>GBP3L6L25Y_Quote</v>
      </c>
      <c r="AC33" s="516">
        <v>6.75</v>
      </c>
      <c r="AD33" s="348" t="e">
        <f>_xll.qlSimpleQuoteSetValue($AB33,$AC33/10000,Trigger)</f>
        <v>#N/A</v>
      </c>
      <c r="AE33" s="218"/>
      <c r="AF33" s="64"/>
      <c r="AG33" s="64"/>
      <c r="AH33" s="64"/>
      <c r="AI33" s="64"/>
      <c r="AJ33" s="64" t="str">
        <f t="shared" si="4"/>
        <v>25Y</v>
      </c>
      <c r="AK33" s="511"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GBP3L6L26Y_Quote#0000</v>
      </c>
      <c r="G34" s="72" t="str">
        <f>_xll.ohRangeRetrieveError(F34)</f>
        <v/>
      </c>
      <c r="H34" s="71"/>
      <c r="N34" s="118">
        <v>26</v>
      </c>
      <c r="O34" s="399" t="s">
        <v>61</v>
      </c>
      <c r="P34" s="402" t="str">
        <v>3L</v>
      </c>
      <c r="Q34" s="402" t="str">
        <v>6L</v>
      </c>
      <c r="R34" s="400" t="str">
        <f t="shared" si="1"/>
        <v>GBP3L6L26Y</v>
      </c>
      <c r="S34" s="353" t="str">
        <v>GBP3L6L26Y=ICAP</v>
      </c>
      <c r="T34" s="519" t="s">
        <v>233</v>
      </c>
      <c r="U34" s="519" t="s">
        <v>233</v>
      </c>
      <c r="V34" s="519" t="e">
        <f>_xll.qlMidEquivalent(T34,U34)</f>
        <v>#NUM!</v>
      </c>
      <c r="W34" s="349" t="b">
        <f t="shared" si="2"/>
        <v>0</v>
      </c>
      <c r="X34" s="520">
        <v>6.6070977842605885</v>
      </c>
      <c r="Y34" s="343"/>
      <c r="Z34" s="517">
        <v>7.1370161408684289</v>
      </c>
      <c r="AA34" s="343"/>
      <c r="AB34" s="394" t="str">
        <f t="shared" si="3"/>
        <v>GBP3L6L26Y_Quote</v>
      </c>
      <c r="AC34" s="516">
        <v>6.6070977842605885</v>
      </c>
      <c r="AD34" s="348" t="e">
        <f>_xll.qlSimpleQuoteSetValue($AB34,$AC34/10000,Trigger)</f>
        <v>#N/A</v>
      </c>
      <c r="AE34" s="218"/>
      <c r="AF34" s="64"/>
      <c r="AG34" s="64"/>
      <c r="AH34" s="64"/>
      <c r="AI34" s="64"/>
      <c r="AJ34" s="64" t="str">
        <f t="shared" si="4"/>
        <v>26Y</v>
      </c>
      <c r="AK34" s="511"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GBP3L6L27Y_Quote#0000</v>
      </c>
      <c r="G35" s="72" t="str">
        <f>_xll.ohRangeRetrieveError(F35)</f>
        <v/>
      </c>
      <c r="H35" s="71"/>
      <c r="N35" s="118">
        <v>27</v>
      </c>
      <c r="O35" s="399" t="s">
        <v>60</v>
      </c>
      <c r="P35" s="402" t="str">
        <v>3L</v>
      </c>
      <c r="Q35" s="402" t="str">
        <v>6L</v>
      </c>
      <c r="R35" s="400" t="str">
        <f t="shared" si="1"/>
        <v>GBP3L6L27Y</v>
      </c>
      <c r="S35" s="353" t="str">
        <v>GBP3L6L27Y=ICAP</v>
      </c>
      <c r="T35" s="519" t="s">
        <v>233</v>
      </c>
      <c r="U35" s="519" t="s">
        <v>233</v>
      </c>
      <c r="V35" s="519" t="e">
        <f>_xll.qlMidEquivalent(T35,U35)</f>
        <v>#NUM!</v>
      </c>
      <c r="W35" s="349" t="b">
        <f t="shared" si="2"/>
        <v>0</v>
      </c>
      <c r="X35" s="520">
        <v>6.4737636090916304</v>
      </c>
      <c r="Y35" s="343"/>
      <c r="Z35" s="517">
        <v>7.0317729018946853</v>
      </c>
      <c r="AA35" s="343"/>
      <c r="AB35" s="394" t="str">
        <f t="shared" si="3"/>
        <v>GBP3L6L27Y_Quote</v>
      </c>
      <c r="AC35" s="516">
        <v>6.4737636090916304</v>
      </c>
      <c r="AD35" s="348" t="e">
        <f>_xll.qlSimpleQuoteSetValue($AB35,$AC35/10000,Trigger)</f>
        <v>#N/A</v>
      </c>
      <c r="AE35" s="218"/>
      <c r="AF35" s="64"/>
      <c r="AG35" s="64"/>
      <c r="AH35" s="64"/>
      <c r="AI35" s="64"/>
      <c r="AJ35" s="64" t="str">
        <f t="shared" si="4"/>
        <v>27Y</v>
      </c>
      <c r="AK35" s="511"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GBP3L6L28Y_Quote#0000</v>
      </c>
      <c r="G36" s="72" t="str">
        <f>_xll.ohRangeRetrieveError(F36)</f>
        <v/>
      </c>
      <c r="H36" s="71"/>
      <c r="N36" s="118">
        <v>28</v>
      </c>
      <c r="O36" s="399" t="s">
        <v>59</v>
      </c>
      <c r="P36" s="402" t="str">
        <v>3L</v>
      </c>
      <c r="Q36" s="402" t="str">
        <v>6L</v>
      </c>
      <c r="R36" s="400" t="str">
        <f t="shared" si="1"/>
        <v>GBP3L6L28Y</v>
      </c>
      <c r="S36" s="353" t="str">
        <v>GBP3L6L28Y=ICAP</v>
      </c>
      <c r="T36" s="519" t="s">
        <v>233</v>
      </c>
      <c r="U36" s="519" t="s">
        <v>233</v>
      </c>
      <c r="V36" s="519" t="e">
        <f>_xll.qlMidEquivalent(T36,U36)</f>
        <v>#NUM!</v>
      </c>
      <c r="W36" s="349" t="b">
        <f t="shared" si="2"/>
        <v>0</v>
      </c>
      <c r="X36" s="520">
        <v>6.3493805417923781</v>
      </c>
      <c r="Y36" s="343"/>
      <c r="Z36" s="517">
        <v>6.9330215924867282</v>
      </c>
      <c r="AA36" s="343"/>
      <c r="AB36" s="394" t="str">
        <f t="shared" si="3"/>
        <v>GBP3L6L28Y_Quote</v>
      </c>
      <c r="AC36" s="516">
        <v>6.3493805417923781</v>
      </c>
      <c r="AD36" s="348" t="e">
        <f>_xll.qlSimpleQuoteSetValue($AB36,$AC36/10000,Trigger)</f>
        <v>#N/A</v>
      </c>
      <c r="AE36" s="218"/>
      <c r="AF36" s="64"/>
      <c r="AG36" s="64"/>
      <c r="AH36" s="64"/>
      <c r="AI36" s="64"/>
      <c r="AJ36" s="64" t="str">
        <f t="shared" si="4"/>
        <v>28Y</v>
      </c>
      <c r="AK36" s="511"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GBP3L6L29Y_Quote#0000</v>
      </c>
      <c r="G37" s="72" t="str">
        <f>_xll.ohRangeRetrieveError(F37)</f>
        <v/>
      </c>
      <c r="H37" s="71"/>
      <c r="N37" s="118">
        <v>29</v>
      </c>
      <c r="O37" s="399" t="s">
        <v>58</v>
      </c>
      <c r="P37" s="402" t="str">
        <v>3L</v>
      </c>
      <c r="Q37" s="402" t="str">
        <v>6L</v>
      </c>
      <c r="R37" s="400" t="str">
        <f t="shared" si="1"/>
        <v>GBP3L6L29Y</v>
      </c>
      <c r="S37" s="353" t="str">
        <v>GBP3L6L29Y=ICAP</v>
      </c>
      <c r="T37" s="519" t="s">
        <v>233</v>
      </c>
      <c r="U37" s="519" t="s">
        <v>233</v>
      </c>
      <c r="V37" s="519" t="e">
        <f>_xll.qlMidEquivalent(T37,U37)</f>
        <v>#NUM!</v>
      </c>
      <c r="W37" s="349" t="b">
        <f t="shared" si="2"/>
        <v>0</v>
      </c>
      <c r="X37" s="520">
        <v>6.2333316496620839</v>
      </c>
      <c r="Y37" s="343"/>
      <c r="Z37" s="517">
        <v>6.8395135220525134</v>
      </c>
      <c r="AA37" s="343"/>
      <c r="AB37" s="394" t="str">
        <f t="shared" si="3"/>
        <v>GBP3L6L29Y_Quote</v>
      </c>
      <c r="AC37" s="516">
        <v>6.2333316496620839</v>
      </c>
      <c r="AD37" s="348" t="e">
        <f>_xll.qlSimpleQuoteSetValue($AB37,$AC37/10000,Trigger)</f>
        <v>#N/A</v>
      </c>
      <c r="AE37" s="218"/>
      <c r="AF37" s="64"/>
      <c r="AG37" s="64"/>
      <c r="AH37" s="64"/>
      <c r="AI37" s="64"/>
      <c r="AJ37" s="64" t="str">
        <f t="shared" si="4"/>
        <v>29Y</v>
      </c>
      <c r="AK37" s="511"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GBP3L6L30Y_Quote#0000</v>
      </c>
      <c r="G38" s="72" t="str">
        <f>_xll.ohRangeRetrieveError(F38)</f>
        <v/>
      </c>
      <c r="H38" s="71"/>
      <c r="N38" s="118">
        <v>30</v>
      </c>
      <c r="O38" s="399" t="s">
        <v>57</v>
      </c>
      <c r="P38" s="402" t="str">
        <v>3L</v>
      </c>
      <c r="Q38" s="402" t="str">
        <v>6L</v>
      </c>
      <c r="R38" s="400" t="str">
        <f t="shared" si="1"/>
        <v>GBP3L6L30Y</v>
      </c>
      <c r="S38" s="353" t="str">
        <v>GBP3L6L30Y=ICAP</v>
      </c>
      <c r="T38" s="519">
        <v>4.625</v>
      </c>
      <c r="U38" s="519">
        <v>7.625</v>
      </c>
      <c r="V38" s="519">
        <f>_xll.qlMidEquivalent(T38,U38)</f>
        <v>6.125</v>
      </c>
      <c r="W38" s="349" t="b">
        <f t="shared" si="2"/>
        <v>1</v>
      </c>
      <c r="X38" s="520">
        <v>6.125</v>
      </c>
      <c r="Y38" s="343"/>
      <c r="Z38" s="517">
        <v>6.75</v>
      </c>
      <c r="AA38" s="343"/>
      <c r="AB38" s="394" t="str">
        <f t="shared" si="3"/>
        <v>GBP3L6L30Y_Quote</v>
      </c>
      <c r="AC38" s="516">
        <v>6.125</v>
      </c>
      <c r="AD38" s="348" t="e">
        <f>_xll.qlSimpleQuoteSetValue($AB38,$AC38/10000,Trigger)</f>
        <v>#N/A</v>
      </c>
      <c r="AE38" s="218"/>
      <c r="AF38" s="64"/>
      <c r="AG38" s="64"/>
      <c r="AH38" s="64"/>
      <c r="AI38" s="64"/>
      <c r="AJ38" s="64" t="str">
        <f t="shared" si="4"/>
        <v>30Y</v>
      </c>
      <c r="AK38" s="511"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GBP3L6L35Y_Quote#0000</v>
      </c>
      <c r="G39" s="72" t="str">
        <f>_xll.ohRangeRetrieveError(F39)</f>
        <v/>
      </c>
      <c r="H39" s="71"/>
      <c r="N39" s="118">
        <v>35</v>
      </c>
      <c r="O39" s="399" t="s">
        <v>52</v>
      </c>
      <c r="P39" s="402" t="str">
        <v>3L</v>
      </c>
      <c r="Q39" s="402" t="str">
        <v>6L</v>
      </c>
      <c r="R39" s="400" t="str">
        <f t="shared" si="1"/>
        <v>GBP3L6L35Y</v>
      </c>
      <c r="S39" s="353" t="str">
        <v>GBP3L6L35Y=ICAP</v>
      </c>
      <c r="T39" s="519" t="s">
        <v>233</v>
      </c>
      <c r="U39" s="519" t="s">
        <v>233</v>
      </c>
      <c r="V39" s="519" t="e">
        <f>_xll.qlMidEquivalent(T39,U39)</f>
        <v>#NUM!</v>
      </c>
      <c r="W39" s="349" t="b">
        <f t="shared" si="2"/>
        <v>0</v>
      </c>
      <c r="X39" s="518">
        <f>X38</f>
        <v>6.125</v>
      </c>
      <c r="Y39" s="343"/>
      <c r="Z39" s="517">
        <v>6.75</v>
      </c>
      <c r="AA39" s="343"/>
      <c r="AB39" s="394" t="str">
        <f t="shared" si="3"/>
        <v>GBP3L6L35Y_Quote</v>
      </c>
      <c r="AC39" s="516">
        <v>6.125</v>
      </c>
      <c r="AD39" s="348" t="e">
        <f>_xll.qlSimpleQuoteSetValue($AB39,$AC39/10000,Trigger)</f>
        <v>#N/A</v>
      </c>
      <c r="AE39" s="218"/>
      <c r="AF39" s="64"/>
      <c r="AG39" s="64"/>
      <c r="AH39" s="64"/>
      <c r="AI39" s="64"/>
      <c r="AJ39" s="64" t="str">
        <f t="shared" si="4"/>
        <v>35Y</v>
      </c>
      <c r="AK39" s="511"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GBP3L6L40Y_Quote#0000</v>
      </c>
      <c r="G40" s="72" t="str">
        <f>_xll.ohRangeRetrieveError(F40)</f>
        <v/>
      </c>
      <c r="H40" s="71"/>
      <c r="N40" s="118">
        <v>40</v>
      </c>
      <c r="O40" s="399" t="s">
        <v>47</v>
      </c>
      <c r="P40" s="402" t="str">
        <v>3L</v>
      </c>
      <c r="Q40" s="402" t="str">
        <v>6L</v>
      </c>
      <c r="R40" s="400" t="str">
        <f t="shared" si="1"/>
        <v>GBP3L6L40Y</v>
      </c>
      <c r="S40" s="353" t="str">
        <v>GBP3L6L40Y=ICAP</v>
      </c>
      <c r="T40" s="519">
        <v>3.875</v>
      </c>
      <c r="U40" s="519">
        <v>6.875</v>
      </c>
      <c r="V40" s="519">
        <f>_xll.qlMidEquivalent(T40,U40)</f>
        <v>5.375</v>
      </c>
      <c r="W40" s="349" t="b">
        <f t="shared" si="2"/>
        <v>1</v>
      </c>
      <c r="X40" s="518">
        <f>X39</f>
        <v>6.125</v>
      </c>
      <c r="Y40" s="343"/>
      <c r="Z40" s="517">
        <v>6.75</v>
      </c>
      <c r="AA40" s="343"/>
      <c r="AB40" s="394" t="str">
        <f t="shared" si="3"/>
        <v>GBP3L6L40Y_Quote</v>
      </c>
      <c r="AC40" s="516">
        <v>6.125</v>
      </c>
      <c r="AD40" s="348" t="e">
        <f>_xll.qlSimpleQuoteSetValue($AB40,$AC40/10000,Trigger)</f>
        <v>#N/A</v>
      </c>
      <c r="AE40" s="218"/>
      <c r="AF40" s="64"/>
      <c r="AG40" s="64"/>
      <c r="AH40" s="64"/>
      <c r="AI40" s="64"/>
      <c r="AJ40" s="64" t="str">
        <f t="shared" si="4"/>
        <v>40Y</v>
      </c>
      <c r="AK40" s="511"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GBP3L6L50Y_Quote#0000</v>
      </c>
      <c r="G41" s="72" t="str">
        <f>_xll.ohRangeRetrieveError(F41)</f>
        <v/>
      </c>
      <c r="H41" s="71"/>
      <c r="N41" s="118">
        <v>50</v>
      </c>
      <c r="O41" s="399" t="s">
        <v>37</v>
      </c>
      <c r="P41" s="402" t="str">
        <v>3L</v>
      </c>
      <c r="Q41" s="402" t="str">
        <v>6L</v>
      </c>
      <c r="R41" s="400" t="str">
        <f t="shared" si="1"/>
        <v>GBP3L6L50Y</v>
      </c>
      <c r="S41" s="353" t="str">
        <v>GBP3L6L50Y=ICAP</v>
      </c>
      <c r="T41" s="519">
        <v>3</v>
      </c>
      <c r="U41" s="519">
        <v>7</v>
      </c>
      <c r="V41" s="519">
        <f>_xll.qlMidEquivalent(T41,U41)</f>
        <v>5</v>
      </c>
      <c r="W41" s="349" t="b">
        <f t="shared" si="2"/>
        <v>1</v>
      </c>
      <c r="X41" s="518">
        <f>X40</f>
        <v>6.125</v>
      </c>
      <c r="Y41" s="343"/>
      <c r="Z41" s="517">
        <v>6.75</v>
      </c>
      <c r="AA41" s="343"/>
      <c r="AB41" s="394" t="str">
        <f t="shared" si="3"/>
        <v>GBP3L6L50Y_Quote</v>
      </c>
      <c r="AC41" s="516">
        <v>6.125</v>
      </c>
      <c r="AD41" s="348" t="e">
        <f>_xll.qlSimpleQuoteSetValue($AB41,$AC41/10000,Trigger)</f>
        <v>#N/A</v>
      </c>
      <c r="AE41" s="218"/>
      <c r="AF41" s="64"/>
      <c r="AG41" s="64"/>
      <c r="AH41" s="64"/>
      <c r="AI41" s="64"/>
      <c r="AJ41" s="64" t="str">
        <f t="shared" si="4"/>
        <v>50Y</v>
      </c>
      <c r="AK41" s="511"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GBP3L6L60Y_Quote#0000</v>
      </c>
      <c r="G42" s="72" t="str">
        <f>_xll.ohRangeRetrieveError(F42)</f>
        <v/>
      </c>
      <c r="H42" s="71"/>
      <c r="N42" s="118">
        <v>60</v>
      </c>
      <c r="O42" s="409" t="s">
        <v>27</v>
      </c>
      <c r="P42" s="398" t="str">
        <v>3L</v>
      </c>
      <c r="Q42" s="398" t="str">
        <v>6L</v>
      </c>
      <c r="R42" s="396" t="str">
        <f t="shared" si="1"/>
        <v>GBP3L6L60Y</v>
      </c>
      <c r="S42" s="346" t="str">
        <v>GBP3L6L60Y=ICAP</v>
      </c>
      <c r="T42" s="515">
        <v>2.25</v>
      </c>
      <c r="U42" s="515">
        <v>7.25</v>
      </c>
      <c r="V42" s="515">
        <f>_xll.qlMidEquivalent(T42,U42)</f>
        <v>4.75</v>
      </c>
      <c r="W42" s="341" t="b">
        <f t="shared" si="2"/>
        <v>1</v>
      </c>
      <c r="X42" s="514">
        <f>X41</f>
        <v>6.125</v>
      </c>
      <c r="Y42" s="343"/>
      <c r="Z42" s="513">
        <v>6.75</v>
      </c>
      <c r="AA42" s="343"/>
      <c r="AB42" s="407" t="str">
        <f t="shared" si="3"/>
        <v>GBP3L6L60Y_Quote</v>
      </c>
      <c r="AC42" s="512">
        <v>6.125</v>
      </c>
      <c r="AD42" s="340" t="e">
        <f>_xll.qlSimpleQuoteSetValue($AB42,$AC42/10000,Trigger)</f>
        <v>#N/A</v>
      </c>
      <c r="AE42" s="218"/>
      <c r="AF42" s="64"/>
      <c r="AG42" s="64"/>
      <c r="AH42" s="64"/>
      <c r="AI42" s="64"/>
      <c r="AJ42" s="64" t="str">
        <f t="shared" si="4"/>
        <v>60Y</v>
      </c>
      <c r="AK42" s="511"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obj_00520#0002</v>
      </c>
      <c r="T3" s="133"/>
      <c r="U3" s="133"/>
      <c r="V3" s="133"/>
      <c r="W3" s="133"/>
      <c r="X3" s="133"/>
      <c r="Y3" s="343"/>
      <c r="Z3" s="343"/>
      <c r="AA3" s="343"/>
      <c r="AB3" s="133"/>
      <c r="AC3" s="133"/>
      <c r="AD3" s="375">
        <f>_xll.ohTrigger(AD5:AD42)</f>
        <v>0</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GBP6L12L6M_Quote#0000</v>
      </c>
      <c r="G5" s="72" t="str">
        <f>_xll.ohRangeRetrieveError(F5)</f>
        <v/>
      </c>
      <c r="H5" s="71"/>
      <c r="N5" s="521">
        <v>0.5</v>
      </c>
      <c r="O5" s="399" t="s">
        <v>8</v>
      </c>
      <c r="P5" s="402" t="str">
        <f t="array" ref="P5:P42">VLOOKUP(Currency,Conventions,2)</f>
        <v>6L</v>
      </c>
      <c r="Q5" s="402" t="str">
        <f t="array" ref="Q5:Q42">VLOOKUP(Currency,Conventions,3)</f>
        <v>12L</v>
      </c>
      <c r="R5" s="400" t="str">
        <f t="shared" ref="R5:R42" si="1">Currency&amp;$P5&amp;$Q5&amp;$O5</f>
        <v>GBP6L12L6M</v>
      </c>
      <c r="S5" s="353" t="str">
        <f t="array" ref="S5:S42">Instruments&amp;"="&amp;VLOOKUP(Contributor,ContributorTable,2,FALSE)</f>
        <v>GBP6L12L6M=ICAP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GBP6L12L1Y_Quote#0000</v>
      </c>
      <c r="G6" s="72" t="str">
        <f>_xll.ohRangeRetrieveError(F6)</f>
        <v/>
      </c>
      <c r="H6" s="71"/>
      <c r="N6" s="521">
        <v>1</v>
      </c>
      <c r="O6" s="399" t="s">
        <v>1</v>
      </c>
      <c r="P6" s="402" t="str">
        <v>6L</v>
      </c>
      <c r="Q6" s="402" t="str">
        <v>12L</v>
      </c>
      <c r="R6" s="400" t="str">
        <f t="shared" si="1"/>
        <v>GBP6L12L1Y</v>
      </c>
      <c r="S6" s="353" t="str">
        <v>GBP6L12L1Y=ICAP</v>
      </c>
      <c r="T6" s="519">
        <v>25.75</v>
      </c>
      <c r="U6" s="519">
        <v>37.75</v>
      </c>
      <c r="V6" s="519">
        <f>_xll.qlMidEquivalent(T6,U6)</f>
        <v>31.75</v>
      </c>
      <c r="W6" s="349" t="b">
        <f t="shared" si="2"/>
        <v>1</v>
      </c>
      <c r="X6" s="520">
        <v>31.75</v>
      </c>
      <c r="Y6" s="343"/>
      <c r="Z6" s="517">
        <v>36</v>
      </c>
      <c r="AA6" s="343"/>
      <c r="AB6" s="394" t="str">
        <f t="shared" si="3"/>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GBP6L12L15M_Quote#0000</v>
      </c>
      <c r="G7" s="72" t="str">
        <f>_xll.ohRangeRetrieveError(F7)</f>
        <v/>
      </c>
      <c r="H7" s="71"/>
      <c r="N7" s="521">
        <v>1.25</v>
      </c>
      <c r="O7" s="399" t="s">
        <v>124</v>
      </c>
      <c r="P7" s="402" t="str">
        <v>6L</v>
      </c>
      <c r="Q7" s="402" t="str">
        <v>12L</v>
      </c>
      <c r="R7" s="400" t="str">
        <f t="shared" si="1"/>
        <v>GBP6L12L15M</v>
      </c>
      <c r="S7" s="353" t="str">
        <v>GBP6L12L15M=ICAP</v>
      </c>
      <c r="T7" s="519" t="s">
        <v>233</v>
      </c>
      <c r="U7" s="519" t="s">
        <v>233</v>
      </c>
      <c r="V7" s="519" t="e">
        <f>_xll.qlMidEquivalent(T7,U7)</f>
        <v>#NUM!</v>
      </c>
      <c r="W7" s="349" t="b">
        <f t="shared" si="2"/>
        <v>0</v>
      </c>
      <c r="X7" s="520">
        <v>30.919812795686951</v>
      </c>
      <c r="Y7" s="343"/>
      <c r="Z7" s="517">
        <v>35.507718501858129</v>
      </c>
      <c r="AA7" s="343"/>
      <c r="AB7" s="394" t="str">
        <f t="shared" si="3"/>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GBP6L12L18M_Quote#0000</v>
      </c>
      <c r="G8" s="72" t="str">
        <f>_xll.ohRangeRetrieveError(F8)</f>
        <v/>
      </c>
      <c r="H8" s="71"/>
      <c r="N8" s="521">
        <v>1.5</v>
      </c>
      <c r="O8" s="399" t="s">
        <v>123</v>
      </c>
      <c r="P8" s="402" t="str">
        <v>6L</v>
      </c>
      <c r="Q8" s="402" t="str">
        <v>12L</v>
      </c>
      <c r="R8" s="400" t="str">
        <f t="shared" si="1"/>
        <v>GBP6L12L18M</v>
      </c>
      <c r="S8" s="353" t="str">
        <v>GBP6L12L18M=ICAP</v>
      </c>
      <c r="T8" s="519" t="s">
        <v>233</v>
      </c>
      <c r="U8" s="519" t="s">
        <v>233</v>
      </c>
      <c r="V8" s="519" t="e">
        <f>_xll.qlMidEquivalent(T8,U8)</f>
        <v>#NUM!</v>
      </c>
      <c r="W8" s="349" t="b">
        <f t="shared" si="2"/>
        <v>0</v>
      </c>
      <c r="X8" s="520">
        <v>30.134200473099121</v>
      </c>
      <c r="Y8" s="343"/>
      <c r="Z8" s="517">
        <v>35.012349602973011</v>
      </c>
      <c r="AA8" s="343"/>
      <c r="AB8" s="394" t="str">
        <f t="shared" si="3"/>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GBP6L12L21M_Quote#0000</v>
      </c>
      <c r="G9" s="72" t="str">
        <f>_xll.ohRangeRetrieveError(F9)</f>
        <v/>
      </c>
      <c r="H9" s="71"/>
      <c r="N9" s="521">
        <v>1.75</v>
      </c>
      <c r="O9" s="399" t="s">
        <v>122</v>
      </c>
      <c r="P9" s="402" t="str">
        <v>6L</v>
      </c>
      <c r="Q9" s="402" t="str">
        <v>12L</v>
      </c>
      <c r="R9" s="400" t="str">
        <f t="shared" si="1"/>
        <v>GBP6L12L21M</v>
      </c>
      <c r="S9" s="353" t="str">
        <v>GBP6L12L21M=ICAP</v>
      </c>
      <c r="T9" s="519" t="s">
        <v>233</v>
      </c>
      <c r="U9" s="519" t="s">
        <v>233</v>
      </c>
      <c r="V9" s="519" t="e">
        <f>_xll.qlMidEquivalent(T9,U9)</f>
        <v>#NUM!</v>
      </c>
      <c r="W9" s="349" t="b">
        <f t="shared" si="2"/>
        <v>0</v>
      </c>
      <c r="X9" s="520">
        <v>29.437737913961733</v>
      </c>
      <c r="Y9" s="343"/>
      <c r="Z9" s="517">
        <v>34.510805902601383</v>
      </c>
      <c r="AA9" s="343"/>
      <c r="AB9" s="394" t="str">
        <f t="shared" si="3"/>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GBP6L12L2Y_Quote#0000</v>
      </c>
      <c r="G10" s="72" t="str">
        <f>_xll.ohRangeRetrieveError(F10)</f>
        <v/>
      </c>
      <c r="H10" s="71"/>
      <c r="J10" s="86" t="s">
        <v>121</v>
      </c>
      <c r="K10" s="85" t="s">
        <v>116</v>
      </c>
      <c r="L10" s="84" t="s">
        <v>127</v>
      </c>
      <c r="N10" s="118">
        <v>2</v>
      </c>
      <c r="O10" s="399" t="s">
        <v>85</v>
      </c>
      <c r="P10" s="402" t="str">
        <v>6L</v>
      </c>
      <c r="Q10" s="402" t="str">
        <v>12L</v>
      </c>
      <c r="R10" s="400" t="str">
        <f t="shared" si="1"/>
        <v>GBP6L12L2Y</v>
      </c>
      <c r="S10" s="353" t="str">
        <v>GBP6L12L2Y=ICAP</v>
      </c>
      <c r="T10" s="519">
        <v>22.875</v>
      </c>
      <c r="U10" s="519">
        <v>34.875</v>
      </c>
      <c r="V10" s="519">
        <f>_xll.qlMidEquivalent(T10,U10)</f>
        <v>28.875</v>
      </c>
      <c r="W10" s="349" t="b">
        <f t="shared" si="2"/>
        <v>1</v>
      </c>
      <c r="X10" s="520">
        <v>28.875</v>
      </c>
      <c r="Y10" s="343"/>
      <c r="Z10" s="517">
        <v>34</v>
      </c>
      <c r="AA10" s="343"/>
      <c r="AB10" s="394" t="str">
        <f t="shared" si="3"/>
        <v>GBP6L12L2Y_Quote</v>
      </c>
      <c r="AC10" s="516">
        <v>28.875</v>
      </c>
      <c r="AD10" s="348"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GBP6L12L3Y_Quote#0000</v>
      </c>
      <c r="G11" s="72" t="str">
        <f>_xll.ohRangeRetrieveError(F11)</f>
        <v/>
      </c>
      <c r="H11" s="71"/>
      <c r="J11" s="83" t="s">
        <v>120</v>
      </c>
      <c r="K11" s="82" t="s">
        <v>118</v>
      </c>
      <c r="L11" s="81" t="s">
        <v>128</v>
      </c>
      <c r="N11" s="118">
        <v>3</v>
      </c>
      <c r="O11" s="399" t="s">
        <v>84</v>
      </c>
      <c r="P11" s="402" t="str">
        <v>6L</v>
      </c>
      <c r="Q11" s="402" t="str">
        <v>12L</v>
      </c>
      <c r="R11" s="400" t="str">
        <f t="shared" si="1"/>
        <v>GBP6L12L3Y</v>
      </c>
      <c r="S11" s="353" t="str">
        <v>GBP6L12L3Y=ICAP</v>
      </c>
      <c r="T11" s="519">
        <v>21.875</v>
      </c>
      <c r="U11" s="519">
        <v>33.875</v>
      </c>
      <c r="V11" s="519">
        <f>_xll.qlMidEquivalent(T11,U11)</f>
        <v>27.875</v>
      </c>
      <c r="W11" s="349" t="b">
        <f t="shared" si="2"/>
        <v>1</v>
      </c>
      <c r="X11" s="520">
        <v>27.875</v>
      </c>
      <c r="Y11" s="343"/>
      <c r="Z11" s="517">
        <v>32</v>
      </c>
      <c r="AA11" s="343"/>
      <c r="AB11" s="394" t="str">
        <f t="shared" si="3"/>
        <v>GBP6L12L3Y_Quote</v>
      </c>
      <c r="AC11" s="516">
        <v>27.875</v>
      </c>
      <c r="AD11" s="348"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GBP6L12L4Y_Quote#0000</v>
      </c>
      <c r="G12" s="72" t="str">
        <f>_xll.ohRangeRetrieveError(F12)</f>
        <v/>
      </c>
      <c r="H12" s="71"/>
      <c r="J12" s="83" t="s">
        <v>96</v>
      </c>
      <c r="K12" s="82" t="s">
        <v>116</v>
      </c>
      <c r="L12" s="81" t="s">
        <v>127</v>
      </c>
      <c r="N12" s="118">
        <v>4</v>
      </c>
      <c r="O12" s="399" t="s">
        <v>83</v>
      </c>
      <c r="P12" s="402" t="str">
        <v>6L</v>
      </c>
      <c r="Q12" s="402" t="str">
        <v>12L</v>
      </c>
      <c r="R12" s="400" t="str">
        <f t="shared" si="1"/>
        <v>GBP6L12L4Y</v>
      </c>
      <c r="S12" s="353" t="str">
        <v>GBP6L12L4Y=ICAP</v>
      </c>
      <c r="T12" s="519">
        <v>21.25</v>
      </c>
      <c r="U12" s="519">
        <v>33.25</v>
      </c>
      <c r="V12" s="519">
        <f>_xll.qlMidEquivalent(T12,U12)</f>
        <v>27.25</v>
      </c>
      <c r="W12" s="349" t="b">
        <f t="shared" si="2"/>
        <v>1</v>
      </c>
      <c r="X12" s="520">
        <v>27.25</v>
      </c>
      <c r="Y12" s="343"/>
      <c r="Z12" s="517">
        <v>30.5</v>
      </c>
      <c r="AA12" s="343"/>
      <c r="AB12" s="394" t="str">
        <f t="shared" si="3"/>
        <v>GBP6L12L4Y_Quote</v>
      </c>
      <c r="AC12" s="516">
        <v>27.25</v>
      </c>
      <c r="AD12" s="348"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GBP6L12L5Y_Quote#0000</v>
      </c>
      <c r="G13" s="72" t="str">
        <f>_xll.ohRangeRetrieveError(F13)</f>
        <v/>
      </c>
      <c r="H13" s="71"/>
      <c r="J13" s="83" t="s">
        <v>117</v>
      </c>
      <c r="K13" s="82" t="s">
        <v>116</v>
      </c>
      <c r="L13" s="81" t="s">
        <v>127</v>
      </c>
      <c r="N13" s="118">
        <v>5</v>
      </c>
      <c r="O13" s="399" t="s">
        <v>82</v>
      </c>
      <c r="P13" s="402" t="str">
        <v>6L</v>
      </c>
      <c r="Q13" s="402" t="str">
        <v>12L</v>
      </c>
      <c r="R13" s="400" t="str">
        <f t="shared" si="1"/>
        <v>GBP6L12L5Y</v>
      </c>
      <c r="S13" s="353" t="str">
        <v>GBP6L12L5Y=ICAP</v>
      </c>
      <c r="T13" s="519">
        <v>20.625</v>
      </c>
      <c r="U13" s="519">
        <v>32.625</v>
      </c>
      <c r="V13" s="519">
        <f>_xll.qlMidEquivalent(T13,U13)</f>
        <v>26.625</v>
      </c>
      <c r="W13" s="349" t="b">
        <f t="shared" si="2"/>
        <v>1</v>
      </c>
      <c r="X13" s="520">
        <v>26.625</v>
      </c>
      <c r="Y13" s="343"/>
      <c r="Z13" s="517">
        <v>29.25</v>
      </c>
      <c r="AA13" s="343"/>
      <c r="AB13" s="394" t="str">
        <f t="shared" si="3"/>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GBP6L12L6Y_Quote#0000</v>
      </c>
      <c r="G14" s="72" t="str">
        <f>_xll.ohRangeRetrieveError(F14)</f>
        <v/>
      </c>
      <c r="H14" s="71"/>
      <c r="J14" s="80" t="s">
        <v>115</v>
      </c>
      <c r="K14" s="79" t="s">
        <v>127</v>
      </c>
      <c r="L14" s="78" t="s">
        <v>114</v>
      </c>
      <c r="N14" s="118">
        <v>6</v>
      </c>
      <c r="O14" s="399" t="s">
        <v>81</v>
      </c>
      <c r="P14" s="402" t="str">
        <v>6L</v>
      </c>
      <c r="Q14" s="402" t="str">
        <v>12L</v>
      </c>
      <c r="R14" s="400" t="str">
        <f t="shared" si="1"/>
        <v>GBP6L12L6Y</v>
      </c>
      <c r="S14" s="353" t="str">
        <v>GBP6L12L6Y=ICAP</v>
      </c>
      <c r="T14" s="519">
        <v>20</v>
      </c>
      <c r="U14" s="519">
        <v>32</v>
      </c>
      <c r="V14" s="519">
        <f>_xll.qlMidEquivalent(T14,U14)</f>
        <v>26</v>
      </c>
      <c r="W14" s="349" t="b">
        <f t="shared" si="2"/>
        <v>1</v>
      </c>
      <c r="X14" s="520">
        <v>26</v>
      </c>
      <c r="Y14" s="343"/>
      <c r="Z14" s="517">
        <v>28.25</v>
      </c>
      <c r="AA14" s="343"/>
      <c r="AB14" s="394" t="str">
        <f t="shared" si="3"/>
        <v>GBP6L12L6Y_Quote</v>
      </c>
      <c r="AC14" s="516">
        <v>26</v>
      </c>
      <c r="AD14" s="348"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GBP6L12L7Y_Quote#0000</v>
      </c>
      <c r="G15" s="72" t="str">
        <f>_xll.ohRangeRetrieveError(F15)</f>
        <v/>
      </c>
      <c r="H15" s="71"/>
      <c r="N15" s="118">
        <v>7</v>
      </c>
      <c r="O15" s="399" t="s">
        <v>80</v>
      </c>
      <c r="P15" s="402" t="str">
        <v>6L</v>
      </c>
      <c r="Q15" s="402" t="str">
        <v>12L</v>
      </c>
      <c r="R15" s="400" t="str">
        <f t="shared" si="1"/>
        <v>GBP6L12L7Y</v>
      </c>
      <c r="S15" s="353" t="str">
        <v>GBP6L12L7Y=ICAP</v>
      </c>
      <c r="T15" s="519">
        <v>19.375</v>
      </c>
      <c r="U15" s="519">
        <v>31.375</v>
      </c>
      <c r="V15" s="519">
        <f>_xll.qlMidEquivalent(T15,U15)</f>
        <v>25.375</v>
      </c>
      <c r="W15" s="349" t="b">
        <f t="shared" si="2"/>
        <v>1</v>
      </c>
      <c r="X15" s="520">
        <v>25.375</v>
      </c>
      <c r="Y15" s="343"/>
      <c r="Z15" s="517">
        <v>27</v>
      </c>
      <c r="AA15" s="343"/>
      <c r="AB15" s="394" t="str">
        <f t="shared" si="3"/>
        <v>GBP6L12L7Y_Quote</v>
      </c>
      <c r="AC15" s="516">
        <v>25.375</v>
      </c>
      <c r="AD15" s="348"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GBP6L12L8Y_Quote#0000</v>
      </c>
      <c r="G16" s="72" t="str">
        <f>_xll.ohRangeRetrieveError(F16)</f>
        <v/>
      </c>
      <c r="H16" s="71"/>
      <c r="N16" s="118">
        <v>8</v>
      </c>
      <c r="O16" s="399" t="s">
        <v>79</v>
      </c>
      <c r="P16" s="402" t="str">
        <v>6L</v>
      </c>
      <c r="Q16" s="402" t="str">
        <v>12L</v>
      </c>
      <c r="R16" s="400" t="str">
        <f t="shared" si="1"/>
        <v>GBP6L12L8Y</v>
      </c>
      <c r="S16" s="353" t="str">
        <v>GBP6L12L8Y=ICAP</v>
      </c>
      <c r="T16" s="519">
        <v>18.75</v>
      </c>
      <c r="U16" s="519">
        <v>30.75</v>
      </c>
      <c r="V16" s="519">
        <f>_xll.qlMidEquivalent(T16,U16)</f>
        <v>24.75</v>
      </c>
      <c r="W16" s="349" t="b">
        <f t="shared" si="2"/>
        <v>1</v>
      </c>
      <c r="X16" s="520">
        <v>24.75</v>
      </c>
      <c r="Y16" s="343"/>
      <c r="Z16" s="517">
        <v>26.25</v>
      </c>
      <c r="AA16" s="343"/>
      <c r="AB16" s="394" t="str">
        <f t="shared" si="3"/>
        <v>GBP6L12L8Y_Quote</v>
      </c>
      <c r="AC16" s="516">
        <v>24.75</v>
      </c>
      <c r="AD16" s="348"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GBP6L12L9Y_Quote#0000</v>
      </c>
      <c r="G17" s="72" t="str">
        <f>_xll.ohRangeRetrieveError(F17)</f>
        <v/>
      </c>
      <c r="H17" s="71"/>
      <c r="N17" s="118">
        <v>9</v>
      </c>
      <c r="O17" s="399" t="s">
        <v>78</v>
      </c>
      <c r="P17" s="402" t="str">
        <v>6L</v>
      </c>
      <c r="Q17" s="402" t="str">
        <v>12L</v>
      </c>
      <c r="R17" s="400" t="str">
        <f t="shared" si="1"/>
        <v>GBP6L12L9Y</v>
      </c>
      <c r="S17" s="353" t="str">
        <v>GBP6L12L9Y=ICAP</v>
      </c>
      <c r="T17" s="519">
        <v>18</v>
      </c>
      <c r="U17" s="519">
        <v>30</v>
      </c>
      <c r="V17" s="519">
        <f>_xll.qlMidEquivalent(T17,U17)</f>
        <v>24</v>
      </c>
      <c r="W17" s="349" t="b">
        <f t="shared" si="2"/>
        <v>1</v>
      </c>
      <c r="X17" s="520">
        <v>24</v>
      </c>
      <c r="Y17" s="343"/>
      <c r="Z17" s="517">
        <v>25.25</v>
      </c>
      <c r="AA17" s="343"/>
      <c r="AB17" s="394" t="str">
        <f t="shared" si="3"/>
        <v>GBP6L12L9Y_Quote</v>
      </c>
      <c r="AC17" s="516">
        <v>24</v>
      </c>
      <c r="AD17" s="348"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GBP6L12L10Y_Quote#0000</v>
      </c>
      <c r="G18" s="72" t="str">
        <f>_xll.ohRangeRetrieveError(F18)</f>
        <v/>
      </c>
      <c r="H18" s="71"/>
      <c r="N18" s="118">
        <v>10</v>
      </c>
      <c r="O18" s="399" t="s">
        <v>77</v>
      </c>
      <c r="P18" s="402" t="str">
        <v>6L</v>
      </c>
      <c r="Q18" s="402" t="str">
        <v>12L</v>
      </c>
      <c r="R18" s="400" t="str">
        <f t="shared" si="1"/>
        <v>GBP6L12L10Y</v>
      </c>
      <c r="S18" s="353" t="str">
        <v>GBP6L12L10Y=ICAP</v>
      </c>
      <c r="T18" s="519">
        <v>17.375</v>
      </c>
      <c r="U18" s="519">
        <v>29.375</v>
      </c>
      <c r="V18" s="519">
        <f>_xll.qlMidEquivalent(T18,U18)</f>
        <v>23.375</v>
      </c>
      <c r="W18" s="349" t="b">
        <f t="shared" si="2"/>
        <v>1</v>
      </c>
      <c r="X18" s="520">
        <v>23.375</v>
      </c>
      <c r="Y18" s="343"/>
      <c r="Z18" s="517">
        <v>24.25</v>
      </c>
      <c r="AA18" s="343"/>
      <c r="AB18" s="394" t="str">
        <f t="shared" si="3"/>
        <v>GBP6L12L10Y_Quote</v>
      </c>
      <c r="AC18" s="516">
        <v>23.375</v>
      </c>
      <c r="AD18" s="348"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GBP6L12L11Y_Quote#0000</v>
      </c>
      <c r="G19" s="72" t="str">
        <f>_xll.ohRangeRetrieveError(F19)</f>
        <v/>
      </c>
      <c r="H19" s="71"/>
      <c r="N19" s="118">
        <v>11</v>
      </c>
      <c r="O19" s="399" t="s">
        <v>76</v>
      </c>
      <c r="P19" s="402" t="str">
        <v>6L</v>
      </c>
      <c r="Q19" s="402" t="str">
        <v>12L</v>
      </c>
      <c r="R19" s="400" t="str">
        <f t="shared" si="1"/>
        <v>GBP6L12L11Y</v>
      </c>
      <c r="S19" s="353" t="str">
        <v>GBP6L12L11Y=ICAP</v>
      </c>
      <c r="T19" s="519" t="s">
        <v>233</v>
      </c>
      <c r="U19" s="519" t="s">
        <v>233</v>
      </c>
      <c r="V19" s="519" t="e">
        <f>_xll.qlMidEquivalent(T19,U19)</f>
        <v>#NUM!</v>
      </c>
      <c r="W19" s="349" t="b">
        <f t="shared" si="2"/>
        <v>0</v>
      </c>
      <c r="X19" s="520">
        <v>22.767425066641273</v>
      </c>
      <c r="Y19" s="343"/>
      <c r="Z19" s="517">
        <v>23.333703072317427</v>
      </c>
      <c r="AA19" s="343"/>
      <c r="AB19" s="394" t="str">
        <f t="shared" si="3"/>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GBP6L12L12Y_Quote#0000</v>
      </c>
      <c r="G20" s="72" t="str">
        <f>_xll.ohRangeRetrieveError(F20)</f>
        <v/>
      </c>
      <c r="H20" s="71"/>
      <c r="N20" s="118">
        <v>12</v>
      </c>
      <c r="O20" s="399" t="s">
        <v>75</v>
      </c>
      <c r="P20" s="402" t="str">
        <v>6L</v>
      </c>
      <c r="Q20" s="402" t="str">
        <v>12L</v>
      </c>
      <c r="R20" s="400" t="str">
        <f t="shared" si="1"/>
        <v>GBP6L12L12Y</v>
      </c>
      <c r="S20" s="353" t="str">
        <v>GBP6L12L12Y=ICAP</v>
      </c>
      <c r="T20" s="519">
        <v>14.125</v>
      </c>
      <c r="U20" s="519">
        <v>30.125</v>
      </c>
      <c r="V20" s="519">
        <f>_xll.qlMidEquivalent(T20,U20)</f>
        <v>22.125</v>
      </c>
      <c r="W20" s="349" t="b">
        <f t="shared" si="2"/>
        <v>1</v>
      </c>
      <c r="X20" s="520">
        <v>22.125</v>
      </c>
      <c r="Y20" s="343"/>
      <c r="Z20" s="517">
        <v>22.5</v>
      </c>
      <c r="AA20" s="343"/>
      <c r="AB20" s="394" t="str">
        <f t="shared" si="3"/>
        <v>GBP6L12L12Y_Quote</v>
      </c>
      <c r="AC20" s="516">
        <v>22.125</v>
      </c>
      <c r="AD20" s="348"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GBP6L12L13Y_Quote#0000</v>
      </c>
      <c r="G21" s="72" t="str">
        <f>_xll.ohRangeRetrieveError(F21)</f>
        <v/>
      </c>
      <c r="H21" s="71"/>
      <c r="N21" s="118">
        <v>13</v>
      </c>
      <c r="O21" s="399" t="s">
        <v>74</v>
      </c>
      <c r="P21" s="402" t="str">
        <v>6L</v>
      </c>
      <c r="Q21" s="402" t="str">
        <v>12L</v>
      </c>
      <c r="R21" s="400" t="str">
        <f t="shared" si="1"/>
        <v>GBP6L12L13Y</v>
      </c>
      <c r="S21" s="353" t="str">
        <v>GBP6L12L13Y=ICAP</v>
      </c>
      <c r="T21" s="519" t="s">
        <v>233</v>
      </c>
      <c r="U21" s="519" t="s">
        <v>233</v>
      </c>
      <c r="V21" s="519" t="e">
        <f>_xll.qlMidEquivalent(T21,U21)</f>
        <v>#NUM!</v>
      </c>
      <c r="W21" s="349" t="b">
        <f t="shared" si="2"/>
        <v>0</v>
      </c>
      <c r="X21" s="520">
        <v>21.450294221938027</v>
      </c>
      <c r="Y21" s="343"/>
      <c r="Z21" s="517">
        <v>21.759821623180205</v>
      </c>
      <c r="AA21" s="343"/>
      <c r="AB21" s="394" t="str">
        <f t="shared" si="3"/>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GBP6L12L14Y_Quote#0000</v>
      </c>
      <c r="G22" s="72" t="str">
        <f>_xll.ohRangeRetrieveError(F22)</f>
        <v/>
      </c>
      <c r="H22" s="71"/>
      <c r="N22" s="118">
        <v>14</v>
      </c>
      <c r="O22" s="399" t="s">
        <v>73</v>
      </c>
      <c r="P22" s="402" t="str">
        <v>6L</v>
      </c>
      <c r="Q22" s="402" t="str">
        <v>12L</v>
      </c>
      <c r="R22" s="400" t="str">
        <f t="shared" si="1"/>
        <v>GBP6L12L14Y</v>
      </c>
      <c r="S22" s="353" t="str">
        <v>GBP6L12L14Y=ICAP</v>
      </c>
      <c r="T22" s="519" t="s">
        <v>233</v>
      </c>
      <c r="U22" s="519" t="s">
        <v>233</v>
      </c>
      <c r="V22" s="519" t="e">
        <f>_xll.qlMidEquivalent(T22,U22)</f>
        <v>#NUM!</v>
      </c>
      <c r="W22" s="349" t="b">
        <f t="shared" si="2"/>
        <v>0</v>
      </c>
      <c r="X22" s="520">
        <v>20.771919926317349</v>
      </c>
      <c r="Y22" s="343"/>
      <c r="Z22" s="517">
        <v>21.099684119269718</v>
      </c>
      <c r="AA22" s="343"/>
      <c r="AB22" s="394" t="str">
        <f t="shared" si="3"/>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GBP6L12L15Y_Quote#0000</v>
      </c>
      <c r="G23" s="72" t="str">
        <f>_xll.ohRangeRetrieveError(F23)</f>
        <v/>
      </c>
      <c r="H23" s="71"/>
      <c r="N23" s="118">
        <v>15</v>
      </c>
      <c r="O23" s="399" t="s">
        <v>72</v>
      </c>
      <c r="P23" s="402" t="str">
        <v>6L</v>
      </c>
      <c r="Q23" s="402" t="str">
        <v>12L</v>
      </c>
      <c r="R23" s="400" t="str">
        <f t="shared" si="1"/>
        <v>GBP6L12L15Y</v>
      </c>
      <c r="S23" s="353" t="str">
        <v>GBP6L12L15Y=ICAP</v>
      </c>
      <c r="T23" s="519">
        <v>12.125</v>
      </c>
      <c r="U23" s="519">
        <v>28.125</v>
      </c>
      <c r="V23" s="519">
        <f>_xll.qlMidEquivalent(T23,U23)</f>
        <v>20.125</v>
      </c>
      <c r="W23" s="349" t="b">
        <f t="shared" si="2"/>
        <v>1</v>
      </c>
      <c r="X23" s="520">
        <v>20.125</v>
      </c>
      <c r="Y23" s="343"/>
      <c r="Z23" s="517">
        <v>20.5</v>
      </c>
      <c r="AA23" s="343"/>
      <c r="AB23" s="394" t="str">
        <f t="shared" si="3"/>
        <v>GBP6L12L15Y_Quote</v>
      </c>
      <c r="AC23" s="516">
        <v>20.125</v>
      </c>
      <c r="AD23" s="348"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GBP6L12L16Y_Quote#0000</v>
      </c>
      <c r="G24" s="72" t="str">
        <f>_xll.ohRangeRetrieveError(F24)</f>
        <v/>
      </c>
      <c r="H24" s="71"/>
      <c r="N24" s="118">
        <v>16</v>
      </c>
      <c r="O24" s="399" t="s">
        <v>71</v>
      </c>
      <c r="P24" s="402" t="str">
        <v>6L</v>
      </c>
      <c r="Q24" s="402" t="str">
        <v>12L</v>
      </c>
      <c r="R24" s="400" t="str">
        <f t="shared" si="1"/>
        <v>GBP6L12L16Y</v>
      </c>
      <c r="S24" s="353" t="str">
        <v>GBP6L12L16Y=ICAP</v>
      </c>
      <c r="T24" s="519" t="s">
        <v>233</v>
      </c>
      <c r="U24" s="519" t="s">
        <v>233</v>
      </c>
      <c r="V24" s="519" t="e">
        <f>_xll.qlMidEquivalent(T24,U24)</f>
        <v>#NUM!</v>
      </c>
      <c r="W24" s="349" t="b">
        <f t="shared" si="2"/>
        <v>0</v>
      </c>
      <c r="X24" s="520">
        <v>19.536925194262938</v>
      </c>
      <c r="Y24" s="343"/>
      <c r="Z24" s="517">
        <v>19.943399232431609</v>
      </c>
      <c r="AA24" s="343"/>
      <c r="AB24" s="394" t="str">
        <f t="shared" si="3"/>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GBP6L12L17Y_Quote#0000</v>
      </c>
      <c r="G25" s="72" t="str">
        <f>_xll.ohRangeRetrieveError(F25)</f>
        <v/>
      </c>
      <c r="H25" s="71"/>
      <c r="N25" s="118">
        <v>17</v>
      </c>
      <c r="O25" s="399" t="s">
        <v>70</v>
      </c>
      <c r="P25" s="402" t="str">
        <v>6L</v>
      </c>
      <c r="Q25" s="402" t="str">
        <v>12L</v>
      </c>
      <c r="R25" s="400" t="str">
        <f t="shared" si="1"/>
        <v>GBP6L12L17Y</v>
      </c>
      <c r="S25" s="353" t="str">
        <v>GBP6L12L17Y=ICAP</v>
      </c>
      <c r="T25" s="519" t="s">
        <v>233</v>
      </c>
      <c r="U25" s="519" t="s">
        <v>233</v>
      </c>
      <c r="V25" s="519" t="e">
        <f>_xll.qlMidEquivalent(T25,U25)</f>
        <v>#NUM!</v>
      </c>
      <c r="W25" s="349" t="b">
        <f t="shared" si="2"/>
        <v>0</v>
      </c>
      <c r="X25" s="520">
        <v>19.004157718042823</v>
      </c>
      <c r="Y25" s="343"/>
      <c r="Z25" s="517">
        <v>19.421381604941438</v>
      </c>
      <c r="AA25" s="343"/>
      <c r="AB25" s="394" t="str">
        <f t="shared" si="3"/>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GBP6L12L18Y_Quote#0000</v>
      </c>
      <c r="G26" s="72" t="str">
        <f>_xll.ohRangeRetrieveError(F26)</f>
        <v/>
      </c>
      <c r="H26" s="71"/>
      <c r="N26" s="118">
        <v>18</v>
      </c>
      <c r="O26" s="399" t="s">
        <v>69</v>
      </c>
      <c r="P26" s="402" t="str">
        <v>6L</v>
      </c>
      <c r="Q26" s="402" t="str">
        <v>12L</v>
      </c>
      <c r="R26" s="400" t="str">
        <f t="shared" si="1"/>
        <v>GBP6L12L18Y</v>
      </c>
      <c r="S26" s="353" t="str">
        <v>GBP6L12L18Y=ICAP</v>
      </c>
      <c r="T26" s="519" t="s">
        <v>233</v>
      </c>
      <c r="U26" s="519" t="s">
        <v>233</v>
      </c>
      <c r="V26" s="519" t="e">
        <f>_xll.qlMidEquivalent(T26,U26)</f>
        <v>#NUM!</v>
      </c>
      <c r="W26" s="349" t="b">
        <f t="shared" si="2"/>
        <v>0</v>
      </c>
      <c r="X26" s="520">
        <v>18.51542764469124</v>
      </c>
      <c r="Y26" s="343"/>
      <c r="Z26" s="517">
        <v>18.927664361235458</v>
      </c>
      <c r="AA26" s="343"/>
      <c r="AB26" s="394" t="str">
        <f t="shared" si="3"/>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GBP6L12L19Y_Quote#0000</v>
      </c>
      <c r="G27" s="72" t="str">
        <f>_xll.ohRangeRetrieveError(F27)</f>
        <v/>
      </c>
      <c r="H27" s="71"/>
      <c r="N27" s="118">
        <v>19</v>
      </c>
      <c r="O27" s="399" t="s">
        <v>68</v>
      </c>
      <c r="P27" s="402" t="str">
        <v>6L</v>
      </c>
      <c r="Q27" s="402" t="str">
        <v>12L</v>
      </c>
      <c r="R27" s="400" t="str">
        <f t="shared" si="1"/>
        <v>GBP6L12L19Y</v>
      </c>
      <c r="S27" s="353" t="str">
        <v>GBP6L12L19Y=ICAP</v>
      </c>
      <c r="T27" s="519" t="s">
        <v>233</v>
      </c>
      <c r="U27" s="519" t="s">
        <v>233</v>
      </c>
      <c r="V27" s="519" t="e">
        <f>_xll.qlMidEquivalent(T27,U27)</f>
        <v>#NUM!</v>
      </c>
      <c r="W27" s="349" t="b">
        <f t="shared" si="2"/>
        <v>0</v>
      </c>
      <c r="X27" s="520">
        <v>18.059465047559769</v>
      </c>
      <c r="Y27" s="343"/>
      <c r="Z27" s="517">
        <v>18.455964745019656</v>
      </c>
      <c r="AA27" s="343"/>
      <c r="AB27" s="394" t="str">
        <f t="shared" si="3"/>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GBP6L12L20Y_Quote#0000</v>
      </c>
      <c r="G28" s="72" t="str">
        <f>_xll.ohRangeRetrieveError(F28)</f>
        <v/>
      </c>
      <c r="H28" s="71"/>
      <c r="N28" s="118">
        <v>20</v>
      </c>
      <c r="O28" s="399" t="s">
        <v>67</v>
      </c>
      <c r="P28" s="402" t="str">
        <v>6L</v>
      </c>
      <c r="Q28" s="402" t="str">
        <v>12L</v>
      </c>
      <c r="R28" s="400" t="str">
        <f t="shared" si="1"/>
        <v>GBP6L12L20Y</v>
      </c>
      <c r="S28" s="353" t="str">
        <v>GBP6L12L20Y=ICAP</v>
      </c>
      <c r="T28" s="519">
        <v>9.625</v>
      </c>
      <c r="U28" s="519">
        <v>25.625</v>
      </c>
      <c r="V28" s="519">
        <f>_xll.qlMidEquivalent(T28,U28)</f>
        <v>17.625</v>
      </c>
      <c r="W28" s="349" t="b">
        <f t="shared" si="2"/>
        <v>1</v>
      </c>
      <c r="X28" s="520">
        <v>17.625</v>
      </c>
      <c r="Y28" s="343"/>
      <c r="Z28" s="517">
        <v>18</v>
      </c>
      <c r="AA28" s="343"/>
      <c r="AB28" s="394" t="str">
        <f t="shared" si="3"/>
        <v>GBP6L12L20Y_Quote</v>
      </c>
      <c r="AC28" s="516">
        <v>17.625</v>
      </c>
      <c r="AD28" s="348"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GBP6L12L21Y_Quote#0000</v>
      </c>
      <c r="G29" s="72" t="str">
        <f>_xll.ohRangeRetrieveError(F29)</f>
        <v/>
      </c>
      <c r="H29" s="71"/>
      <c r="N29" s="118">
        <v>21</v>
      </c>
      <c r="O29" s="399" t="s">
        <v>66</v>
      </c>
      <c r="P29" s="402" t="str">
        <v>6L</v>
      </c>
      <c r="Q29" s="402" t="str">
        <v>12L</v>
      </c>
      <c r="R29" s="400" t="str">
        <f t="shared" si="1"/>
        <v>GBP6L12L21Y</v>
      </c>
      <c r="S29" s="353" t="str">
        <v>GBP6L12L21Y=ICAP</v>
      </c>
      <c r="T29" s="519" t="s">
        <v>233</v>
      </c>
      <c r="U29" s="519" t="s">
        <v>233</v>
      </c>
      <c r="V29" s="519" t="e">
        <f>_xll.qlMidEquivalent(T29,U29)</f>
        <v>#NUM!</v>
      </c>
      <c r="W29" s="349" t="b">
        <f t="shared" si="2"/>
        <v>0</v>
      </c>
      <c r="X29" s="520">
        <v>17.203717050778856</v>
      </c>
      <c r="Y29" s="343"/>
      <c r="Z29" s="517">
        <v>17.555596946902046</v>
      </c>
      <c r="AA29" s="343"/>
      <c r="AB29" s="394" t="str">
        <f t="shared" si="3"/>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GBP6L12L22Y_Quote#0000</v>
      </c>
      <c r="G30" s="72" t="str">
        <f>_xll.ohRangeRetrieveError(F30)</f>
        <v/>
      </c>
      <c r="H30" s="71"/>
      <c r="N30" s="118">
        <v>22</v>
      </c>
      <c r="O30" s="399" t="s">
        <v>65</v>
      </c>
      <c r="P30" s="402" t="str">
        <v>6L</v>
      </c>
      <c r="Q30" s="402" t="str">
        <v>12L</v>
      </c>
      <c r="R30" s="400" t="str">
        <f t="shared" si="1"/>
        <v>GBP6L12L22Y</v>
      </c>
      <c r="S30" s="353" t="str">
        <v>GBP6L12L22Y=ICAP</v>
      </c>
      <c r="T30" s="519" t="s">
        <v>233</v>
      </c>
      <c r="U30" s="519" t="s">
        <v>233</v>
      </c>
      <c r="V30" s="519" t="e">
        <f>_xll.qlMidEquivalent(T30,U30)</f>
        <v>#NUM!</v>
      </c>
      <c r="W30" s="349" t="b">
        <f t="shared" si="2"/>
        <v>0</v>
      </c>
      <c r="X30" s="520">
        <v>16.79911865032464</v>
      </c>
      <c r="Y30" s="343"/>
      <c r="Z30" s="517">
        <v>17.127020714529646</v>
      </c>
      <c r="AA30" s="343"/>
      <c r="AB30" s="394" t="str">
        <f t="shared" si="3"/>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GBP6L12L23Y_Quote#0000</v>
      </c>
      <c r="G31" s="72" t="str">
        <f>_xll.ohRangeRetrieveError(F31)</f>
        <v/>
      </c>
      <c r="H31" s="71"/>
      <c r="N31" s="118">
        <v>23</v>
      </c>
      <c r="O31" s="399" t="s">
        <v>64</v>
      </c>
      <c r="P31" s="402" t="str">
        <v>6L</v>
      </c>
      <c r="Q31" s="402" t="str">
        <v>12L</v>
      </c>
      <c r="R31" s="400" t="str">
        <f t="shared" si="1"/>
        <v>GBP6L12L23Y</v>
      </c>
      <c r="S31" s="353" t="str">
        <v>GBP6L12L23Y=ICAP</v>
      </c>
      <c r="T31" s="519" t="s">
        <v>233</v>
      </c>
      <c r="U31" s="519" t="s">
        <v>233</v>
      </c>
      <c r="V31" s="519" t="e">
        <f>_xll.qlMidEquivalent(T31,U31)</f>
        <v>#NUM!</v>
      </c>
      <c r="W31" s="349" t="b">
        <f t="shared" si="2"/>
        <v>0</v>
      </c>
      <c r="X31" s="520">
        <v>16.417661724480997</v>
      </c>
      <c r="Y31" s="343"/>
      <c r="Z31" s="517">
        <v>16.720646008706218</v>
      </c>
      <c r="AA31" s="343"/>
      <c r="AB31" s="394" t="str">
        <f t="shared" si="3"/>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GBP6L12L24Y_Quote#0000</v>
      </c>
      <c r="G32" s="72" t="str">
        <f>_xll.ohRangeRetrieveError(F32)</f>
        <v/>
      </c>
      <c r="H32" s="71"/>
      <c r="N32" s="118">
        <v>24</v>
      </c>
      <c r="O32" s="399" t="s">
        <v>63</v>
      </c>
      <c r="P32" s="402" t="str">
        <v>6L</v>
      </c>
      <c r="Q32" s="402" t="str">
        <v>12L</v>
      </c>
      <c r="R32" s="400" t="str">
        <f t="shared" si="1"/>
        <v>GBP6L12L24Y</v>
      </c>
      <c r="S32" s="353" t="str">
        <v>GBP6L12L24Y=ICAP</v>
      </c>
      <c r="T32" s="519" t="s">
        <v>233</v>
      </c>
      <c r="U32" s="519" t="s">
        <v>233</v>
      </c>
      <c r="V32" s="519" t="e">
        <f>_xll.qlMidEquivalent(T32,U32)</f>
        <v>#NUM!</v>
      </c>
      <c r="W32" s="349" t="b">
        <f t="shared" si="2"/>
        <v>0</v>
      </c>
      <c r="X32" s="520">
        <v>16.065803199091569</v>
      </c>
      <c r="Y32" s="343"/>
      <c r="Z32" s="517">
        <v>16.342847535255196</v>
      </c>
      <c r="AA32" s="343"/>
      <c r="AB32" s="394" t="str">
        <f t="shared" si="3"/>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GBP6L12L25Y_Quote#0000</v>
      </c>
      <c r="G33" s="72" t="str">
        <f>_xll.ohRangeRetrieveError(F33)</f>
        <v/>
      </c>
      <c r="H33" s="71"/>
      <c r="N33" s="118">
        <v>25</v>
      </c>
      <c r="O33" s="399" t="s">
        <v>62</v>
      </c>
      <c r="P33" s="402" t="str">
        <v>6L</v>
      </c>
      <c r="Q33" s="402" t="str">
        <v>12L</v>
      </c>
      <c r="R33" s="400" t="str">
        <f t="shared" si="1"/>
        <v>GBP6L12L25Y</v>
      </c>
      <c r="S33" s="353" t="str">
        <v>GBP6L12L25Y=ICAP</v>
      </c>
      <c r="T33" s="519">
        <v>7.75</v>
      </c>
      <c r="U33" s="519">
        <v>23.75</v>
      </c>
      <c r="V33" s="519">
        <f>_xll.qlMidEquivalent(T33,U33)</f>
        <v>15.75</v>
      </c>
      <c r="W33" s="349" t="b">
        <f t="shared" si="2"/>
        <v>1</v>
      </c>
      <c r="X33" s="520">
        <v>15.75</v>
      </c>
      <c r="Y33" s="343"/>
      <c r="Z33" s="517">
        <v>16</v>
      </c>
      <c r="AA33" s="343"/>
      <c r="AB33" s="394" t="str">
        <f t="shared" si="3"/>
        <v>GBP6L12L25Y_Quote</v>
      </c>
      <c r="AC33" s="516">
        <v>15.75</v>
      </c>
      <c r="AD33" s="348"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GBP6L12L26Y_Quote#0000</v>
      </c>
      <c r="G34" s="72" t="str">
        <f>_xll.ohRangeRetrieveError(F34)</f>
        <v/>
      </c>
      <c r="H34" s="71"/>
      <c r="N34" s="118">
        <v>26</v>
      </c>
      <c r="O34" s="399" t="s">
        <v>61</v>
      </c>
      <c r="P34" s="402" t="str">
        <v>6L</v>
      </c>
      <c r="Q34" s="402" t="str">
        <v>12L</v>
      </c>
      <c r="R34" s="400" t="str">
        <f t="shared" si="1"/>
        <v>GBP6L12L26Y</v>
      </c>
      <c r="S34" s="353" t="str">
        <v>GBP6L12L26Y=ICAP</v>
      </c>
      <c r="T34" s="519" t="s">
        <v>233</v>
      </c>
      <c r="U34" s="519" t="s">
        <v>233</v>
      </c>
      <c r="V34" s="519" t="e">
        <f>_xll.qlMidEquivalent(T34,U34)</f>
        <v>#NUM!</v>
      </c>
      <c r="W34" s="349" t="b">
        <f t="shared" si="2"/>
        <v>0</v>
      </c>
      <c r="X34" s="520">
        <v>15.474206602621635</v>
      </c>
      <c r="Y34" s="343"/>
      <c r="Z34" s="517">
        <v>15.696212979960205</v>
      </c>
      <c r="AA34" s="343"/>
      <c r="AB34" s="394" t="str">
        <f t="shared" si="3"/>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GBP6L12L27Y_Quote#0000</v>
      </c>
      <c r="G35" s="72" t="str">
        <f>_xll.ohRangeRetrieveError(F35)</f>
        <v/>
      </c>
      <c r="H35" s="71"/>
      <c r="N35" s="118">
        <v>27</v>
      </c>
      <c r="O35" s="399" t="s">
        <v>60</v>
      </c>
      <c r="P35" s="402" t="str">
        <v>6L</v>
      </c>
      <c r="Q35" s="402" t="str">
        <v>12L</v>
      </c>
      <c r="R35" s="400" t="str">
        <f t="shared" si="1"/>
        <v>GBP6L12L27Y</v>
      </c>
      <c r="S35" s="353" t="str">
        <v>GBP6L12L27Y=ICAP</v>
      </c>
      <c r="T35" s="519" t="s">
        <v>233</v>
      </c>
      <c r="U35" s="519" t="s">
        <v>233</v>
      </c>
      <c r="V35" s="519" t="e">
        <f>_xll.qlMidEquivalent(T35,U35)</f>
        <v>#NUM!</v>
      </c>
      <c r="W35" s="349" t="b">
        <f t="shared" si="2"/>
        <v>0</v>
      </c>
      <c r="X35" s="520">
        <v>15.232367680658612</v>
      </c>
      <c r="Y35" s="343"/>
      <c r="Z35" s="517">
        <v>15.426535536939982</v>
      </c>
      <c r="AA35" s="343"/>
      <c r="AB35" s="394" t="str">
        <f t="shared" si="3"/>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GBP6L12L28Y_Quote#0000</v>
      </c>
      <c r="G36" s="72" t="str">
        <f>_xll.ohRangeRetrieveError(F36)</f>
        <v/>
      </c>
      <c r="H36" s="71"/>
      <c r="N36" s="118">
        <v>28</v>
      </c>
      <c r="O36" s="399" t="s">
        <v>59</v>
      </c>
      <c r="P36" s="402" t="str">
        <v>6L</v>
      </c>
      <c r="Q36" s="402" t="str">
        <v>12L</v>
      </c>
      <c r="R36" s="400" t="str">
        <f t="shared" si="1"/>
        <v>GBP6L12L28Y</v>
      </c>
      <c r="S36" s="353" t="str">
        <v>GBP6L12L28Y=ICAP</v>
      </c>
      <c r="T36" s="519" t="s">
        <v>233</v>
      </c>
      <c r="U36" s="519" t="s">
        <v>233</v>
      </c>
      <c r="V36" s="519" t="e">
        <f>_xll.qlMidEquivalent(T36,U36)</f>
        <v>#NUM!</v>
      </c>
      <c r="W36" s="349" t="b">
        <f t="shared" si="2"/>
        <v>0</v>
      </c>
      <c r="X36" s="520">
        <v>15.015925457384773</v>
      </c>
      <c r="Y36" s="343"/>
      <c r="Z36" s="517">
        <v>15.183751603939658</v>
      </c>
      <c r="AA36" s="343"/>
      <c r="AB36" s="394" t="str">
        <f t="shared" si="3"/>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GBP6L12L29Y_Quote#0000</v>
      </c>
      <c r="G37" s="72" t="str">
        <f>_xll.ohRangeRetrieveError(F37)</f>
        <v/>
      </c>
      <c r="H37" s="71"/>
      <c r="N37" s="118">
        <v>29</v>
      </c>
      <c r="O37" s="399" t="s">
        <v>58</v>
      </c>
      <c r="P37" s="402" t="str">
        <v>6L</v>
      </c>
      <c r="Q37" s="402" t="str">
        <v>12L</v>
      </c>
      <c r="R37" s="400" t="str">
        <f t="shared" si="1"/>
        <v>GBP6L12L29Y</v>
      </c>
      <c r="S37" s="353" t="str">
        <v>GBP6L12L29Y=ICAP</v>
      </c>
      <c r="T37" s="519" t="s">
        <v>233</v>
      </c>
      <c r="U37" s="519" t="s">
        <v>233</v>
      </c>
      <c r="V37" s="519" t="e">
        <f>_xll.qlMidEquivalent(T37,U37)</f>
        <v>#NUM!</v>
      </c>
      <c r="W37" s="349" t="b">
        <f t="shared" si="2"/>
        <v>0</v>
      </c>
      <c r="X37" s="520">
        <v>14.816322156073955</v>
      </c>
      <c r="Y37" s="343"/>
      <c r="Z37" s="517">
        <v>14.960645113959556</v>
      </c>
      <c r="AA37" s="343"/>
      <c r="AB37" s="394" t="str">
        <f t="shared" si="3"/>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GBP6L12L30Y_Quote#0000</v>
      </c>
      <c r="G38" s="72" t="str">
        <f>_xll.ohRangeRetrieveError(F38)</f>
        <v/>
      </c>
      <c r="H38" s="71"/>
      <c r="N38" s="118">
        <v>30</v>
      </c>
      <c r="O38" s="399" t="s">
        <v>57</v>
      </c>
      <c r="P38" s="402" t="str">
        <v>6L</v>
      </c>
      <c r="Q38" s="402" t="str">
        <v>12L</v>
      </c>
      <c r="R38" s="400" t="str">
        <f t="shared" si="1"/>
        <v>GBP6L12L30Y</v>
      </c>
      <c r="S38" s="353" t="str">
        <v>GBP6L12L30Y=ICAP</v>
      </c>
      <c r="T38" s="519">
        <v>6.625</v>
      </c>
      <c r="U38" s="519">
        <v>22.625</v>
      </c>
      <c r="V38" s="519">
        <f>_xll.qlMidEquivalent(T38,U38)</f>
        <v>14.625</v>
      </c>
      <c r="W38" s="349" t="b">
        <f t="shared" si="2"/>
        <v>1</v>
      </c>
      <c r="X38" s="520">
        <v>14.625</v>
      </c>
      <c r="Y38" s="343"/>
      <c r="Z38" s="517">
        <v>14.75</v>
      </c>
      <c r="AA38" s="343"/>
      <c r="AB38" s="394" t="str">
        <f t="shared" si="3"/>
        <v>GBP6L12L30Y_Quote</v>
      </c>
      <c r="AC38" s="516">
        <v>14.625</v>
      </c>
      <c r="AD38" s="348"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GBP6L12L35Y_Quote#0000</v>
      </c>
      <c r="G39" s="72" t="str">
        <f>_xll.ohRangeRetrieveError(F39)</f>
        <v/>
      </c>
      <c r="H39" s="71"/>
      <c r="N39" s="118">
        <v>35</v>
      </c>
      <c r="O39" s="399" t="s">
        <v>52</v>
      </c>
      <c r="P39" s="402" t="str">
        <v>6L</v>
      </c>
      <c r="Q39" s="402" t="str">
        <v>12L</v>
      </c>
      <c r="R39" s="400" t="str">
        <f t="shared" si="1"/>
        <v>GBP6L12L35Y</v>
      </c>
      <c r="S39" s="353" t="str">
        <v>GBP6L12L35Y=ICAP</v>
      </c>
      <c r="T39" s="519" t="s">
        <v>233</v>
      </c>
      <c r="U39" s="519" t="s">
        <v>233</v>
      </c>
      <c r="V39" s="519" t="e">
        <f>_xll.qlMidEquivalent(T39,U39)</f>
        <v>#NUM!</v>
      </c>
      <c r="W39" s="349" t="b">
        <f t="shared" si="2"/>
        <v>0</v>
      </c>
      <c r="X39" s="518">
        <f>X38</f>
        <v>14.625</v>
      </c>
      <c r="Y39" s="343"/>
      <c r="Z39" s="517">
        <v>14.75</v>
      </c>
      <c r="AA39" s="343"/>
      <c r="AB39" s="394" t="str">
        <f t="shared" si="3"/>
        <v>GBP6L12L35Y_Quote</v>
      </c>
      <c r="AC39" s="516">
        <v>14.625</v>
      </c>
      <c r="AD39" s="348"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GBP6L12L40Y_Quote#0000</v>
      </c>
      <c r="G40" s="72" t="str">
        <f>_xll.ohRangeRetrieveError(F40)</f>
        <v/>
      </c>
      <c r="H40" s="71"/>
      <c r="N40" s="118">
        <v>40</v>
      </c>
      <c r="O40" s="399" t="s">
        <v>47</v>
      </c>
      <c r="P40" s="402" t="str">
        <v>6L</v>
      </c>
      <c r="Q40" s="402" t="str">
        <v>12L</v>
      </c>
      <c r="R40" s="400" t="str">
        <f t="shared" si="1"/>
        <v>GBP6L12L40Y</v>
      </c>
      <c r="S40" s="353" t="str">
        <v>GBP6L12L40Y=ICAP</v>
      </c>
      <c r="T40" s="519">
        <v>2.875</v>
      </c>
      <c r="U40" s="519">
        <v>22.875</v>
      </c>
      <c r="V40" s="519">
        <f>_xll.qlMidEquivalent(T40,U40)</f>
        <v>12.875</v>
      </c>
      <c r="W40" s="349" t="b">
        <f t="shared" si="2"/>
        <v>1</v>
      </c>
      <c r="X40" s="518">
        <f>X39</f>
        <v>14.625</v>
      </c>
      <c r="Y40" s="343"/>
      <c r="Z40" s="517">
        <v>14.75</v>
      </c>
      <c r="AA40" s="343"/>
      <c r="AB40" s="394" t="str">
        <f t="shared" si="3"/>
        <v>GBP6L12L40Y_Quote</v>
      </c>
      <c r="AC40" s="516">
        <v>14.625</v>
      </c>
      <c r="AD40" s="348"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GBP6L12L50Y_Quote#0000</v>
      </c>
      <c r="G41" s="72" t="str">
        <f>_xll.ohRangeRetrieveError(F41)</f>
        <v/>
      </c>
      <c r="H41" s="71"/>
      <c r="N41" s="118">
        <v>50</v>
      </c>
      <c r="O41" s="399" t="s">
        <v>37</v>
      </c>
      <c r="P41" s="402" t="str">
        <v>6L</v>
      </c>
      <c r="Q41" s="402" t="str">
        <v>12L</v>
      </c>
      <c r="R41" s="400" t="str">
        <f t="shared" si="1"/>
        <v>GBP6L12L50Y</v>
      </c>
      <c r="S41" s="353" t="str">
        <v>GBP6L12L50Y=ICAP</v>
      </c>
      <c r="T41" s="519">
        <v>1.875</v>
      </c>
      <c r="U41" s="519">
        <v>21.875</v>
      </c>
      <c r="V41" s="519">
        <f>_xll.qlMidEquivalent(T41,U41)</f>
        <v>11.875</v>
      </c>
      <c r="W41" s="349" t="b">
        <f t="shared" si="2"/>
        <v>1</v>
      </c>
      <c r="X41" s="518">
        <f>X40</f>
        <v>14.625</v>
      </c>
      <c r="Y41" s="343"/>
      <c r="Z41" s="517">
        <v>14.75</v>
      </c>
      <c r="AA41" s="343"/>
      <c r="AB41" s="394" t="str">
        <f t="shared" si="3"/>
        <v>GBP6L12L50Y_Quote</v>
      </c>
      <c r="AC41" s="516">
        <v>14.625</v>
      </c>
      <c r="AD41" s="348"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GBP6L12L60Y_Quote#0000</v>
      </c>
      <c r="G42" s="72" t="str">
        <f>_xll.ohRangeRetrieveError(F42)</f>
        <v/>
      </c>
      <c r="H42" s="71"/>
      <c r="N42" s="118">
        <v>60</v>
      </c>
      <c r="O42" s="409" t="s">
        <v>27</v>
      </c>
      <c r="P42" s="398" t="str">
        <v>6L</v>
      </c>
      <c r="Q42" s="398" t="str">
        <v>12L</v>
      </c>
      <c r="R42" s="396" t="str">
        <f t="shared" si="1"/>
        <v>GBP6L12L60Y</v>
      </c>
      <c r="S42" s="346" t="str">
        <v>GBP6L12L60Y=ICAP</v>
      </c>
      <c r="T42" s="515">
        <v>1.5</v>
      </c>
      <c r="U42" s="515">
        <v>21.5</v>
      </c>
      <c r="V42" s="515">
        <f>_xll.qlMidEquivalent(T42,U42)</f>
        <v>11.5</v>
      </c>
      <c r="W42" s="341" t="b">
        <f t="shared" si="2"/>
        <v>1</v>
      </c>
      <c r="X42" s="514">
        <f>X41</f>
        <v>14.625</v>
      </c>
      <c r="Y42" s="343"/>
      <c r="Z42" s="513">
        <v>14.75</v>
      </c>
      <c r="AA42" s="343"/>
      <c r="AB42" s="407" t="str">
        <f t="shared" si="3"/>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0</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GBPOND_Quote#0000</v>
      </c>
      <c r="E5" s="101" t="str">
        <f>_xll.ohRangeRetrieveError(D5)</f>
        <v/>
      </c>
      <c r="F5" s="100"/>
      <c r="H5" s="118"/>
      <c r="I5" s="365" t="s">
        <v>236</v>
      </c>
      <c r="J5" s="353" t="e">
        <f t="shared" ref="J5:J22" si="1">Currency&amp;VLOOKUP(Contributor,ContributorTable,2,FALSE)&amp;I5&amp;VLOOKUP(Contributor,ContributorTable,3,FALSE)&amp;"="&amp;VLOOKUP(Contributor,ContributorTable,4,FALSE)</f>
        <v>#N/A</v>
      </c>
      <c r="K5" s="364">
        <v>0.47625000000000001</v>
      </c>
      <c r="L5" s="343"/>
      <c r="M5" s="363">
        <v>0.48</v>
      </c>
      <c r="N5" s="343"/>
      <c r="O5" s="362" t="str">
        <f t="shared" ref="O5:O22" si="2">Currency&amp;I5&amp;$P$2</f>
        <v>GBPOND_Quote</v>
      </c>
      <c r="P5" s="361">
        <f t="array" ref="P5:P22">QuoteLive</f>
        <v>0.47625000000000001</v>
      </c>
      <c r="Q5" s="360" t="e">
        <f>_xll.qlSimpleQuoteSetValue($O5,$P5/100,Trigger)</f>
        <v>#NUM!</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GBPTND_Quote#0000</v>
      </c>
      <c r="E6" s="101" t="str">
        <f>_xll.ohRangeRetrieveError(D6)</f>
        <v/>
      </c>
      <c r="F6" s="100"/>
      <c r="H6" s="118"/>
      <c r="I6" s="354" t="s">
        <v>235</v>
      </c>
      <c r="J6" s="353" t="e">
        <f t="shared" si="1"/>
        <v>#N/A</v>
      </c>
      <c r="K6" s="352" t="s">
        <v>233</v>
      </c>
      <c r="L6" s="343"/>
      <c r="M6" s="351" t="s">
        <v>274</v>
      </c>
      <c r="N6" s="343"/>
      <c r="O6" s="350" t="str">
        <f t="shared" si="2"/>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GBPSND_Quote#0000</v>
      </c>
      <c r="E7" s="101" t="str">
        <f>_xll.ohRangeRetrieveError(D7)</f>
        <v/>
      </c>
      <c r="F7" s="100"/>
      <c r="H7" s="118"/>
      <c r="I7" s="354" t="s">
        <v>234</v>
      </c>
      <c r="J7" s="353" t="e">
        <f t="shared" si="1"/>
        <v>#N/A</v>
      </c>
      <c r="K7" s="352" t="s">
        <v>233</v>
      </c>
      <c r="L7" s="343"/>
      <c r="M7" s="351" t="s">
        <v>274</v>
      </c>
      <c r="N7" s="343"/>
      <c r="O7" s="350" t="str">
        <f t="shared" si="2"/>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GBPSWD_Quote#0000</v>
      </c>
      <c r="E8" s="101" t="str">
        <f>_xll.ohRangeRetrieveError(D8)</f>
        <v/>
      </c>
      <c r="F8" s="100"/>
      <c r="H8" s="118"/>
      <c r="I8" s="354" t="s">
        <v>19</v>
      </c>
      <c r="J8" s="353" t="e">
        <f t="shared" si="1"/>
        <v>#N/A</v>
      </c>
      <c r="K8" s="352">
        <v>0.48125000000000001</v>
      </c>
      <c r="L8" s="343"/>
      <c r="M8" s="351">
        <v>0.48438000000000009</v>
      </c>
      <c r="N8" s="343"/>
      <c r="O8" s="350" t="str">
        <f t="shared" si="2"/>
        <v>GBPSWD_Quote</v>
      </c>
      <c r="P8" s="349">
        <v>0.48125000000000001</v>
      </c>
      <c r="Q8" s="348" t="e">
        <f>_xll.qlSimpleQuoteSetValue($O8,$P8/100,Trigger)</f>
        <v>#NUM!</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GBP2WD_Quote#0000</v>
      </c>
      <c r="E9" s="101" t="str">
        <f>_xll.ohRangeRetrieveError(D9)</f>
        <v/>
      </c>
      <c r="F9" s="100"/>
      <c r="H9" s="118"/>
      <c r="I9" s="354" t="s">
        <v>18</v>
      </c>
      <c r="J9" s="353" t="e">
        <f t="shared" si="1"/>
        <v>#N/A</v>
      </c>
      <c r="K9" s="352">
        <v>0.48749999999999999</v>
      </c>
      <c r="L9" s="343"/>
      <c r="M9" s="351">
        <v>0.49249999999999999</v>
      </c>
      <c r="N9" s="343"/>
      <c r="O9" s="350" t="str">
        <f t="shared" si="2"/>
        <v>GBP2WD_Quote</v>
      </c>
      <c r="P9" s="349">
        <v>0.48749999999999999</v>
      </c>
      <c r="Q9" s="348" t="e">
        <f>_xll.qlSimpleQuoteSetValue($O9,$P9/100,Trigger)</f>
        <v>#NUM!</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GBP3WD_Quote#0000</v>
      </c>
      <c r="E10" s="101" t="str">
        <f>_xll.ohRangeRetrieveError(D10)</f>
        <v/>
      </c>
      <c r="F10" s="100"/>
      <c r="H10" s="118"/>
      <c r="I10" s="354" t="s">
        <v>16</v>
      </c>
      <c r="J10" s="353" t="e">
        <f t="shared" si="1"/>
        <v>#N/A</v>
      </c>
      <c r="K10" s="352" t="s">
        <v>233</v>
      </c>
      <c r="L10" s="343"/>
      <c r="M10" s="351" t="s">
        <v>274</v>
      </c>
      <c r="N10" s="343"/>
      <c r="O10" s="350" t="str">
        <f t="shared" si="2"/>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GBP1MD_Quote#0000</v>
      </c>
      <c r="E11" s="101" t="str">
        <f>_xll.ohRangeRetrieveError(D11)</f>
        <v/>
      </c>
      <c r="F11" s="100"/>
      <c r="H11" s="118"/>
      <c r="I11" s="354" t="s">
        <v>15</v>
      </c>
      <c r="J11" s="353" t="e">
        <f t="shared" si="1"/>
        <v>#N/A</v>
      </c>
      <c r="K11" s="352">
        <v>0.49187999999999998</v>
      </c>
      <c r="L11" s="343"/>
      <c r="M11" s="351">
        <v>0.49438000000000004</v>
      </c>
      <c r="N11" s="343"/>
      <c r="O11" s="350" t="str">
        <f t="shared" si="2"/>
        <v>GBP1MD_Quote</v>
      </c>
      <c r="P11" s="349">
        <v>0.49187999999999998</v>
      </c>
      <c r="Q11" s="348" t="e">
        <f>_xll.qlSimpleQuoteSetValue($O11,$P11/100,Trigger)</f>
        <v>#NUM!</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GBP2MD_Quote#0000</v>
      </c>
      <c r="E12" s="101" t="str">
        <f>_xll.ohRangeRetrieveError(D12)</f>
        <v/>
      </c>
      <c r="F12" s="100"/>
      <c r="H12" s="118"/>
      <c r="I12" s="354" t="s">
        <v>13</v>
      </c>
      <c r="J12" s="353" t="e">
        <f t="shared" si="1"/>
        <v>#N/A</v>
      </c>
      <c r="K12" s="352">
        <v>0.50063000000000002</v>
      </c>
      <c r="L12" s="343"/>
      <c r="M12" s="351">
        <v>0.51</v>
      </c>
      <c r="N12" s="343"/>
      <c r="O12" s="350" t="str">
        <f t="shared" si="2"/>
        <v>GBP2MD_Quote</v>
      </c>
      <c r="P12" s="349">
        <v>0.50063000000000002</v>
      </c>
      <c r="Q12" s="348" t="e">
        <f>_xll.qlSimpleQuoteSetValue($O12,$P12/100,Trigger)</f>
        <v>#NUM!</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GBP3MD_Quote#0000</v>
      </c>
      <c r="E13" s="101" t="str">
        <f>_xll.ohRangeRetrieveError(D13)</f>
        <v/>
      </c>
      <c r="F13" s="100"/>
      <c r="H13" s="118"/>
      <c r="I13" s="354" t="s">
        <v>12</v>
      </c>
      <c r="J13" s="353" t="e">
        <f t="shared" si="1"/>
        <v>#N/A</v>
      </c>
      <c r="K13" s="352">
        <v>0.51124999999999998</v>
      </c>
      <c r="L13" s="343"/>
      <c r="M13" s="351">
        <v>0.51875000000000004</v>
      </c>
      <c r="N13" s="343"/>
      <c r="O13" s="350" t="str">
        <f t="shared" si="2"/>
        <v>GBP3MD_Quote</v>
      </c>
      <c r="P13" s="349">
        <v>0.51124999999999998</v>
      </c>
      <c r="Q13" s="348" t="e">
        <f>_xll.qlSimpleQuoteSetValue($O13,$P13/100,Trigger)</f>
        <v>#NUM!</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GBP4MD_Quote#0000</v>
      </c>
      <c r="E14" s="101" t="str">
        <f>_xll.ohRangeRetrieveError(D14)</f>
        <v/>
      </c>
      <c r="F14" s="100"/>
      <c r="H14" s="118"/>
      <c r="I14" s="354" t="s">
        <v>11</v>
      </c>
      <c r="J14" s="353" t="e">
        <f t="shared" si="1"/>
        <v>#N/A</v>
      </c>
      <c r="K14" s="352">
        <v>0.54500000000000004</v>
      </c>
      <c r="L14" s="343"/>
      <c r="M14" s="351">
        <v>0.56000000000000005</v>
      </c>
      <c r="N14" s="343"/>
      <c r="O14" s="350" t="str">
        <f t="shared" si="2"/>
        <v>GBP4MD_Quote</v>
      </c>
      <c r="P14" s="349">
        <v>0.54500000000000004</v>
      </c>
      <c r="Q14" s="348" t="e">
        <f>_xll.qlSimpleQuoteSetValue($O14,$P14/100,Trigger)</f>
        <v>#NUM!</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GBP5MD_Quote#0000</v>
      </c>
      <c r="E15" s="101" t="str">
        <f>_xll.ohRangeRetrieveError(D15)</f>
        <v/>
      </c>
      <c r="F15" s="100"/>
      <c r="H15" s="118"/>
      <c r="I15" s="354" t="s">
        <v>9</v>
      </c>
      <c r="J15" s="353" t="e">
        <f t="shared" si="1"/>
        <v>#N/A</v>
      </c>
      <c r="K15" s="352">
        <v>0.60687999999999998</v>
      </c>
      <c r="L15" s="343"/>
      <c r="M15" s="351">
        <v>0.62937999999999994</v>
      </c>
      <c r="N15" s="343"/>
      <c r="O15" s="350" t="str">
        <f t="shared" si="2"/>
        <v>GBP5MD_Quote</v>
      </c>
      <c r="P15" s="349">
        <v>0.60687999999999998</v>
      </c>
      <c r="Q15" s="348" t="e">
        <f>_xll.qlSimpleQuoteSetValue($O15,$P15/100,Trigger)</f>
        <v>#NUM!</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GBP6MD_Quote#0000</v>
      </c>
      <c r="E16" s="101" t="str">
        <f>_xll.ohRangeRetrieveError(D16)</f>
        <v/>
      </c>
      <c r="F16" s="100"/>
      <c r="H16" s="118"/>
      <c r="I16" s="354" t="s">
        <v>8</v>
      </c>
      <c r="J16" s="353" t="e">
        <f t="shared" si="1"/>
        <v>#N/A</v>
      </c>
      <c r="K16" s="352">
        <v>0.64375000000000004</v>
      </c>
      <c r="L16" s="343"/>
      <c r="M16" s="351">
        <v>0.66874999999999996</v>
      </c>
      <c r="N16" s="343"/>
      <c r="O16" s="350" t="str">
        <f t="shared" si="2"/>
        <v>GBP6MD_Quote</v>
      </c>
      <c r="P16" s="349">
        <v>0.64375000000000004</v>
      </c>
      <c r="Q16" s="348" t="e">
        <f>_xll.qlSimpleQuoteSetValue($O16,$P16/100,Trigger)</f>
        <v>#NUM!</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GBP7MD_Quote#0000</v>
      </c>
      <c r="E17" s="101" t="str">
        <f>_xll.ohRangeRetrieveError(D17)</f>
        <v/>
      </c>
      <c r="F17" s="100"/>
      <c r="H17" s="118"/>
      <c r="I17" s="354" t="s">
        <v>7</v>
      </c>
      <c r="J17" s="353" t="e">
        <f t="shared" si="1"/>
        <v>#N/A</v>
      </c>
      <c r="K17" s="352">
        <v>0.69374999999999998</v>
      </c>
      <c r="L17" s="343"/>
      <c r="M17" s="351">
        <v>0.71812999999999994</v>
      </c>
      <c r="N17" s="343"/>
      <c r="O17" s="350" t="str">
        <f t="shared" si="2"/>
        <v>GBP7MD_Quote</v>
      </c>
      <c r="P17" s="349">
        <v>0.69374999999999998</v>
      </c>
      <c r="Q17" s="348" t="e">
        <f>_xll.qlSimpleQuoteSetValue($O17,$P17/100,Trigger)</f>
        <v>#NUM!</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GBP8MD_Quote#0000</v>
      </c>
      <c r="E18" s="101" t="str">
        <f>_xll.ohRangeRetrieveError(D18)</f>
        <v/>
      </c>
      <c r="F18" s="100"/>
      <c r="H18" s="118"/>
      <c r="I18" s="354" t="s">
        <v>6</v>
      </c>
      <c r="J18" s="353" t="e">
        <f t="shared" si="1"/>
        <v>#N/A</v>
      </c>
      <c r="K18" s="352">
        <v>0.76</v>
      </c>
      <c r="L18" s="343"/>
      <c r="M18" s="351">
        <v>0.78874999999999995</v>
      </c>
      <c r="N18" s="343"/>
      <c r="O18" s="350" t="str">
        <f t="shared" si="2"/>
        <v>GBP8MD_Quote</v>
      </c>
      <c r="P18" s="349">
        <v>0.76</v>
      </c>
      <c r="Q18" s="348" t="e">
        <f>_xll.qlSimpleQuoteSetValue($O18,$P18/100,Trigger)</f>
        <v>#NUM!</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GBP9MD_Quote#0000</v>
      </c>
      <c r="E19" s="101" t="str">
        <f>_xll.ohRangeRetrieveError(D19)</f>
        <v/>
      </c>
      <c r="F19" s="100"/>
      <c r="H19" s="118"/>
      <c r="I19" s="354" t="s">
        <v>4</v>
      </c>
      <c r="J19" s="353" t="e">
        <f t="shared" si="1"/>
        <v>#N/A</v>
      </c>
      <c r="K19" s="352">
        <v>0.81188000000000005</v>
      </c>
      <c r="L19" s="343"/>
      <c r="M19" s="351">
        <v>0.84125000000000005</v>
      </c>
      <c r="N19" s="343"/>
      <c r="O19" s="350" t="str">
        <f t="shared" si="2"/>
        <v>GBP9MD_Quote</v>
      </c>
      <c r="P19" s="349">
        <v>0.81188000000000005</v>
      </c>
      <c r="Q19" s="348" t="e">
        <f>_xll.qlSimpleQuoteSetValue($O19,$P19/100,Trigger)</f>
        <v>#NUM!</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GBP10MD_Quote#0000</v>
      </c>
      <c r="E20" s="101" t="str">
        <f>_xll.ohRangeRetrieveError(D20)</f>
        <v/>
      </c>
      <c r="F20" s="100"/>
      <c r="H20" s="118"/>
      <c r="I20" s="354" t="s">
        <v>3</v>
      </c>
      <c r="J20" s="353" t="e">
        <f t="shared" si="1"/>
        <v>#N/A</v>
      </c>
      <c r="K20" s="352">
        <v>0.86312999999999995</v>
      </c>
      <c r="L20" s="343"/>
      <c r="M20" s="351">
        <v>0.89312999999999998</v>
      </c>
      <c r="N20" s="343"/>
      <c r="O20" s="350" t="str">
        <f t="shared" si="2"/>
        <v>GBP10MD_Quote</v>
      </c>
      <c r="P20" s="349">
        <v>0.86312999999999995</v>
      </c>
      <c r="Q20" s="348" t="e">
        <f>_xll.qlSimpleQuoteSetValue($O20,$P20/100,Trigger)</f>
        <v>#NUM!</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GBP11MD_Quote#0000</v>
      </c>
      <c r="E21" s="101" t="str">
        <f>_xll.ohRangeRetrieveError(D21)</f>
        <v/>
      </c>
      <c r="F21" s="100"/>
      <c r="H21" s="118"/>
      <c r="I21" s="354" t="s">
        <v>2</v>
      </c>
      <c r="J21" s="353" t="e">
        <f t="shared" si="1"/>
        <v>#N/A</v>
      </c>
      <c r="K21" s="352">
        <v>0.92062999999999995</v>
      </c>
      <c r="L21" s="343"/>
      <c r="M21" s="351">
        <v>0.95313000000000003</v>
      </c>
      <c r="N21" s="343"/>
      <c r="O21" s="350" t="str">
        <f t="shared" si="2"/>
        <v>GBP11MD_Quote</v>
      </c>
      <c r="P21" s="349">
        <v>0.92062999999999995</v>
      </c>
      <c r="Q21" s="348" t="e">
        <f>_xll.qlSimpleQuoteSetValue($O21,$P21/100,Trigger)</f>
        <v>#NUM!</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GBP1YD_Quote#0000</v>
      </c>
      <c r="E22" s="101" t="str">
        <f>_xll.ohRangeRetrieveError(D22)</f>
        <v/>
      </c>
      <c r="F22" s="100"/>
      <c r="H22" s="118"/>
      <c r="I22" s="347" t="s">
        <v>1</v>
      </c>
      <c r="J22" s="346" t="e">
        <f t="shared" si="1"/>
        <v>#N/A</v>
      </c>
      <c r="K22" s="345">
        <v>0.97438000000000002</v>
      </c>
      <c r="L22" s="343"/>
      <c r="M22" s="344">
        <v>1.0131299999999999</v>
      </c>
      <c r="N22" s="343"/>
      <c r="O22" s="342" t="str">
        <f t="shared" si="2"/>
        <v>GBP1YD_Quote</v>
      </c>
      <c r="P22" s="341">
        <v>0.97438000000000002</v>
      </c>
      <c r="Q22" s="340" t="e">
        <f>_xll.qlSimpleQuoteSetValue($O22,$P22/100,Trigger)</f>
        <v>#NUM!</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GBPT1F1_Quote#0000</v>
      </c>
      <c r="F3" s="120" t="str">
        <f>_xll.ohRangeRetrieveError(E3)</f>
        <v/>
      </c>
      <c r="G3" s="33"/>
      <c r="I3" s="118"/>
      <c r="J3" s="133"/>
      <c r="K3" s="343"/>
      <c r="L3" s="133"/>
      <c r="M3" s="133"/>
      <c r="N3" s="133"/>
      <c r="O3" s="133"/>
      <c r="P3" s="133"/>
      <c r="Q3" s="133"/>
      <c r="R3" s="133"/>
      <c r="S3" s="343"/>
      <c r="T3" s="343"/>
      <c r="U3" s="343"/>
      <c r="V3" s="133"/>
      <c r="W3" s="133"/>
      <c r="X3" s="375">
        <f>_xll.ohTrigger(X5:X24)</f>
        <v>0</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GBPTOM1F1_Quote#0000</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GBPT3F1_Quote#0000</v>
      </c>
      <c r="F5" s="120" t="str">
        <f>_xll.ohRangeRetrieveError(E5)</f>
        <v/>
      </c>
      <c r="G5" s="33"/>
      <c r="I5" s="118"/>
      <c r="J5" s="406" t="s">
        <v>170</v>
      </c>
      <c r="K5" s="405" t="s">
        <v>153</v>
      </c>
      <c r="L5" s="403" t="str">
        <f t="shared" ref="L5:L24" si="1">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 t="shared" ref="V5:V24" si="2">$L5&amp;$W$2</f>
        <v>GBPT3F1_Quote</v>
      </c>
      <c r="W5" s="361" t="e">
        <f t="array" ref="W5:W24">QuoteLive</f>
        <v>#NUM!</v>
      </c>
      <c r="X5" s="360" t="e">
        <f>_xll.qlSimpleQuoteSetValue($V5,$W5/100,Trigger)</f>
        <v>#NUM!</v>
      </c>
      <c r="Y5" s="218"/>
      <c r="Z5" s="64"/>
      <c r="AA5" s="383"/>
      <c r="AB5" s="64"/>
      <c r="AC5" s="64"/>
      <c r="AD5" s="64"/>
      <c r="AE5" s="382"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GBPTOM3F1_Quote#0000</v>
      </c>
      <c r="F6" s="113" t="str">
        <f>_xll.ohRangeRetrieveError(E6)</f>
        <v/>
      </c>
      <c r="G6" s="33"/>
      <c r="I6" s="118"/>
      <c r="J6" s="409" t="s">
        <v>169</v>
      </c>
      <c r="K6" s="398" t="s">
        <v>153</v>
      </c>
      <c r="L6" s="396" t="str">
        <f t="shared" si="1"/>
        <v>GBPTOM3F1</v>
      </c>
      <c r="M6" s="396" t="str">
        <v>GBPTOM3F1=ICAP</v>
      </c>
      <c r="N6" s="397" t="s">
        <v>233</v>
      </c>
      <c r="O6" s="397" t="s">
        <v>233</v>
      </c>
      <c r="P6" s="396" t="s">
        <v>233</v>
      </c>
      <c r="Q6" s="396" t="s">
        <v>233</v>
      </c>
      <c r="R6" s="345" t="e">
        <f>_xll.qlMidSafe($N6,$O6)</f>
        <v>#NUM!</v>
      </c>
      <c r="S6" s="343"/>
      <c r="T6" s="408" t="e">
        <v>#NUM!</v>
      </c>
      <c r="U6" s="343"/>
      <c r="V6" s="407" t="str">
        <f t="shared" si="2"/>
        <v>GBPTOM3F1_Quote</v>
      </c>
      <c r="W6" s="341" t="e">
        <v>#NUM!</v>
      </c>
      <c r="X6" s="340" t="e">
        <f>_xll.qlSimpleQuoteSetValue($V6,$W6/100,Trigger)</f>
        <v>#NUM!</v>
      </c>
      <c r="Y6" s="218"/>
      <c r="Z6" s="64"/>
      <c r="AA6" s="383"/>
      <c r="AB6" s="64"/>
      <c r="AC6" s="64"/>
      <c r="AD6" s="64"/>
      <c r="AE6" s="382" t="e">
        <f t="shared" si="3"/>
        <v>#VALUE!</v>
      </c>
    </row>
    <row r="7" spans="1:31" x14ac:dyDescent="0.2">
      <c r="A7" s="118"/>
      <c r="B7" s="122">
        <v>1</v>
      </c>
      <c r="C7" s="123" t="s">
        <v>168</v>
      </c>
      <c r="D7" s="122" t="str">
        <f t="shared" si="0"/>
        <v>GBP1x4F_Quote</v>
      </c>
      <c r="E7" s="121" t="str">
        <f>_xll.qlSimpleQuote(D7,,RateTickValue,Permanent,Trigger,ObjectOverwrite)</f>
        <v>GBP1x4F_Quote#0000</v>
      </c>
      <c r="F7" s="120" t="str">
        <f>_xll.ohRangeRetrieveError(E7)</f>
        <v/>
      </c>
      <c r="G7" s="33"/>
      <c r="I7" s="118"/>
      <c r="J7" s="406">
        <v>1</v>
      </c>
      <c r="K7" s="405" t="s">
        <v>168</v>
      </c>
      <c r="L7" s="403" t="str">
        <f t="shared" si="1"/>
        <v>GBP1x4F</v>
      </c>
      <c r="M7" s="403" t="str">
        <v>GBP1X4F=ICAP</v>
      </c>
      <c r="N7" s="404">
        <v>0.48499999999999999</v>
      </c>
      <c r="O7" s="404">
        <v>0.53500000000000003</v>
      </c>
      <c r="P7" s="403">
        <v>0</v>
      </c>
      <c r="Q7" s="403">
        <v>0</v>
      </c>
      <c r="R7" s="364">
        <f>_xll.qlMidSafe($N7,$O7)</f>
        <v>0.51</v>
      </c>
      <c r="S7" s="343"/>
      <c r="T7" s="395">
        <v>0.51500000000000001</v>
      </c>
      <c r="U7" s="343"/>
      <c r="V7" s="394" t="str">
        <f t="shared" si="2"/>
        <v>GBP1x4F_Quote</v>
      </c>
      <c r="W7" s="349">
        <v>0.51</v>
      </c>
      <c r="X7" s="348" t="e">
        <f>_xll.qlSimpleQuoteSetValue($V7,$W7/100,Trigger)</f>
        <v>#NUM!</v>
      </c>
      <c r="Y7" s="218"/>
      <c r="Z7" s="64"/>
      <c r="AA7" s="383"/>
      <c r="AB7" s="64"/>
      <c r="AC7" s="64"/>
      <c r="AD7" s="64"/>
      <c r="AE7" s="382">
        <f t="shared" si="3"/>
        <v>5.0000000000000044E-4</v>
      </c>
    </row>
    <row r="8" spans="1:31" x14ac:dyDescent="0.2">
      <c r="A8" s="118"/>
      <c r="B8" s="126">
        <v>2</v>
      </c>
      <c r="C8" s="127" t="s">
        <v>167</v>
      </c>
      <c r="D8" s="126" t="str">
        <f t="shared" si="0"/>
        <v>GBP2x5F_Quote</v>
      </c>
      <c r="E8" s="125" t="str">
        <f>_xll.qlSimpleQuote(D8,,RateTickValue,Permanent,Trigger,ObjectOverwrite)</f>
        <v>GBP2x5F_Quote#0000</v>
      </c>
      <c r="F8" s="124" t="str">
        <f>_xll.ohRangeRetrieveError(E8)</f>
        <v/>
      </c>
      <c r="G8" s="33"/>
      <c r="I8" s="118"/>
      <c r="J8" s="399">
        <v>2</v>
      </c>
      <c r="K8" s="402" t="s">
        <v>167</v>
      </c>
      <c r="L8" s="400" t="str">
        <f t="shared" si="1"/>
        <v>GBP2x5F</v>
      </c>
      <c r="M8" s="400" t="str">
        <v>GBP2X5F=ICAP</v>
      </c>
      <c r="N8" s="401">
        <v>0.49</v>
      </c>
      <c r="O8" s="401">
        <v>0.54</v>
      </c>
      <c r="P8" s="400">
        <v>0</v>
      </c>
      <c r="Q8" s="400">
        <v>0</v>
      </c>
      <c r="R8" s="352">
        <f>_xll.qlMidSafe($N8,$O8)</f>
        <v>0.51500000000000001</v>
      </c>
      <c r="S8" s="343"/>
      <c r="T8" s="395">
        <v>0.51</v>
      </c>
      <c r="U8" s="343"/>
      <c r="V8" s="394" t="str">
        <f t="shared" si="2"/>
        <v>GBP2x5F_Quote</v>
      </c>
      <c r="W8" s="349">
        <v>0.51500000000000001</v>
      </c>
      <c r="X8" s="348" t="e">
        <f>_xll.qlSimpleQuoteSetValue($V8,$W8/100,Trigger)</f>
        <v>#NUM!</v>
      </c>
      <c r="Y8" s="218"/>
      <c r="Z8" s="64"/>
      <c r="AA8" s="383"/>
      <c r="AB8" s="64"/>
      <c r="AC8" s="64"/>
      <c r="AD8" s="64"/>
      <c r="AE8" s="382">
        <f t="shared" si="3"/>
        <v>5.0000000000000044E-4</v>
      </c>
    </row>
    <row r="9" spans="1:31" x14ac:dyDescent="0.2">
      <c r="A9" s="118"/>
      <c r="B9" s="126">
        <v>3</v>
      </c>
      <c r="C9" s="127" t="s">
        <v>166</v>
      </c>
      <c r="D9" s="126" t="str">
        <f t="shared" si="0"/>
        <v>GBP3x6F_Quote</v>
      </c>
      <c r="E9" s="125" t="str">
        <f>_xll.qlSimpleQuote(D9,,RateTickValue,Permanent,Trigger,ObjectOverwrite)</f>
        <v>GBP3x6F_Quote#0000</v>
      </c>
      <c r="F9" s="124" t="str">
        <f>_xll.ohRangeRetrieveError(E9)</f>
        <v/>
      </c>
      <c r="G9" s="33"/>
      <c r="I9" s="118"/>
      <c r="J9" s="399">
        <v>3</v>
      </c>
      <c r="K9" s="402" t="s">
        <v>166</v>
      </c>
      <c r="L9" s="400" t="str">
        <f t="shared" si="1"/>
        <v>GBP3x6F</v>
      </c>
      <c r="M9" s="400" t="str">
        <v>GBP3X6F=ICAP</v>
      </c>
      <c r="N9" s="401">
        <v>0.495</v>
      </c>
      <c r="O9" s="401">
        <v>0.54500000000000004</v>
      </c>
      <c r="P9" s="400">
        <v>0</v>
      </c>
      <c r="Q9" s="400">
        <v>0</v>
      </c>
      <c r="R9" s="352">
        <f>_xll.qlMidSafe($N9,$O9)</f>
        <v>0.52</v>
      </c>
      <c r="S9" s="343"/>
      <c r="T9" s="395">
        <v>0.51</v>
      </c>
      <c r="U9" s="343"/>
      <c r="V9" s="394" t="str">
        <f t="shared" si="2"/>
        <v>GBP3x6F_Quote</v>
      </c>
      <c r="W9" s="349">
        <v>0.52</v>
      </c>
      <c r="X9" s="348" t="e">
        <f>_xll.qlSimpleQuoteSetValue($V9,$W9/100,Trigger)</f>
        <v>#NUM!</v>
      </c>
      <c r="Y9" s="218"/>
      <c r="Z9" s="64"/>
      <c r="AA9" s="383"/>
      <c r="AB9" s="64"/>
      <c r="AC9" s="64"/>
      <c r="AD9" s="64"/>
      <c r="AE9" s="382">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GBP4x7F_Quote#0000</v>
      </c>
      <c r="F10" s="124" t="str">
        <f>_xll.ohRangeRetrieveError(E10)</f>
        <v/>
      </c>
      <c r="G10" s="33"/>
      <c r="I10" s="118"/>
      <c r="J10" s="399">
        <v>4</v>
      </c>
      <c r="K10" s="402" t="s">
        <v>163</v>
      </c>
      <c r="L10" s="400" t="str">
        <f t="shared" si="1"/>
        <v>GBP4x7F</v>
      </c>
      <c r="M10" s="400" t="str">
        <v>GBP4X7F=ICAP</v>
      </c>
      <c r="N10" s="401">
        <v>0.5</v>
      </c>
      <c r="O10" s="401">
        <v>0.55000000000000004</v>
      </c>
      <c r="P10" s="400">
        <v>0</v>
      </c>
      <c r="Q10" s="400">
        <v>0</v>
      </c>
      <c r="R10" s="352">
        <f>_xll.qlMidSafe($N10,$O10)</f>
        <v>0.52500000000000002</v>
      </c>
      <c r="S10" s="343"/>
      <c r="T10" s="395">
        <v>0.505</v>
      </c>
      <c r="U10" s="343"/>
      <c r="V10" s="394" t="str">
        <f t="shared" si="2"/>
        <v>GBP4x7F_Quote</v>
      </c>
      <c r="W10" s="349">
        <v>0.52500000000000002</v>
      </c>
      <c r="X10" s="348" t="e">
        <f>_xll.qlSimpleQuoteSetValue($V10,$W10/100,Trigger)</f>
        <v>#NUM!</v>
      </c>
      <c r="Y10" s="218"/>
      <c r="Z10" s="64"/>
      <c r="AA10" s="383"/>
      <c r="AB10" s="64"/>
      <c r="AC10" s="64"/>
      <c r="AD10" s="64"/>
      <c r="AE10" s="382">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GBP5x8F_Quote#0000</v>
      </c>
      <c r="F11" s="124" t="str">
        <f>_xll.ohRangeRetrieveError(E11)</f>
        <v/>
      </c>
      <c r="G11" s="33"/>
      <c r="I11" s="118"/>
      <c r="J11" s="399">
        <v>5</v>
      </c>
      <c r="K11" s="402" t="s">
        <v>162</v>
      </c>
      <c r="L11" s="400" t="str">
        <f t="shared" si="1"/>
        <v>GBP5x8F</v>
      </c>
      <c r="M11" s="400" t="str">
        <v>GBP5X8F=ICAP</v>
      </c>
      <c r="N11" s="401">
        <v>0.505</v>
      </c>
      <c r="O11" s="401">
        <v>0.55500000000000005</v>
      </c>
      <c r="P11" s="400">
        <v>0</v>
      </c>
      <c r="Q11" s="400">
        <v>0</v>
      </c>
      <c r="R11" s="352">
        <f>_xll.qlMidSafe($N11,$O11)</f>
        <v>0.53</v>
      </c>
      <c r="S11" s="343"/>
      <c r="T11" s="395">
        <v>0.505</v>
      </c>
      <c r="U11" s="343"/>
      <c r="V11" s="394" t="str">
        <f t="shared" si="2"/>
        <v>GBP5x8F_Quote</v>
      </c>
      <c r="W11" s="349">
        <v>0.53</v>
      </c>
      <c r="X11" s="348" t="e">
        <f>_xll.qlSimpleQuoteSetValue($V11,$W11/100,Trigger)</f>
        <v>#NUM!</v>
      </c>
      <c r="Y11" s="218"/>
      <c r="Z11" s="64"/>
      <c r="AA11" s="383"/>
      <c r="AB11" s="64"/>
      <c r="AC11" s="64"/>
      <c r="AD11" s="64"/>
      <c r="AE11" s="382">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GBP6x9F_Quote#0000</v>
      </c>
      <c r="F12" s="113" t="str">
        <f>_xll.ohRangeRetrieveError(E12)</f>
        <v/>
      </c>
      <c r="G12" s="33"/>
      <c r="I12" s="118"/>
      <c r="J12" s="409">
        <v>6</v>
      </c>
      <c r="K12" s="398" t="s">
        <v>161</v>
      </c>
      <c r="L12" s="396" t="str">
        <f t="shared" si="1"/>
        <v>GBP6x9F</v>
      </c>
      <c r="M12" s="396" t="str">
        <v>GBP6X9F=ICAP</v>
      </c>
      <c r="N12" s="397">
        <v>0.51</v>
      </c>
      <c r="O12" s="397">
        <v>0.56000000000000005</v>
      </c>
      <c r="P12" s="396">
        <v>0</v>
      </c>
      <c r="Q12" s="396">
        <v>0</v>
      </c>
      <c r="R12" s="345">
        <f>_xll.qlMidSafe($N12,$O12)</f>
        <v>0.53500000000000003</v>
      </c>
      <c r="S12" s="343"/>
      <c r="T12" s="408">
        <v>0.5</v>
      </c>
      <c r="U12" s="343"/>
      <c r="V12" s="394" t="str">
        <f t="shared" si="2"/>
        <v>GBP6x9F_Quote</v>
      </c>
      <c r="W12" s="349">
        <v>0.53500000000000003</v>
      </c>
      <c r="X12" s="348" t="e">
        <f>_xll.qlSimpleQuoteSetValue($V12,$W12/100,Trigger)</f>
        <v>#NUM!</v>
      </c>
      <c r="Y12" s="218"/>
      <c r="Z12" s="64"/>
      <c r="AA12" s="383"/>
      <c r="AB12" s="64"/>
      <c r="AC12" s="64"/>
      <c r="AD12" s="64"/>
      <c r="AE12" s="382">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GBPT6F1_Quote#0000</v>
      </c>
      <c r="F13" s="120" t="str">
        <f>_xll.ohRangeRetrieveError(E13)</f>
        <v/>
      </c>
      <c r="G13" s="33"/>
      <c r="I13" s="118"/>
      <c r="J13" s="406" t="s">
        <v>165</v>
      </c>
      <c r="K13" s="405" t="s">
        <v>153</v>
      </c>
      <c r="L13" s="403" t="str">
        <f t="shared" si="1"/>
        <v>GBPT6F1</v>
      </c>
      <c r="M13" s="403" t="str">
        <v>GBPT6F1=ICAP</v>
      </c>
      <c r="N13" s="404" t="s">
        <v>233</v>
      </c>
      <c r="O13" s="404" t="s">
        <v>233</v>
      </c>
      <c r="P13" s="403" t="s">
        <v>233</v>
      </c>
      <c r="Q13" s="403" t="s">
        <v>233</v>
      </c>
      <c r="R13" s="364" t="e">
        <f>_xll.qlMidSafe($N13,$O13)</f>
        <v>#NUM!</v>
      </c>
      <c r="S13" s="343"/>
      <c r="T13" s="411" t="e">
        <v>#NUM!</v>
      </c>
      <c r="U13" s="343"/>
      <c r="V13" s="410" t="str">
        <f t="shared" si="2"/>
        <v>GBPT6F1_Quote</v>
      </c>
      <c r="W13" s="361" t="e">
        <v>#NUM!</v>
      </c>
      <c r="X13" s="360" t="e">
        <f>_xll.qlSimpleQuoteSetValue($V13,$W13/100,Trigger)</f>
        <v>#NUM!</v>
      </c>
      <c r="Y13" s="218"/>
      <c r="Z13" s="64"/>
      <c r="AA13" s="383"/>
      <c r="AB13" s="64"/>
      <c r="AC13" s="64"/>
      <c r="AD13" s="64"/>
      <c r="AE13" s="382" t="e">
        <f t="shared" si="3"/>
        <v>#VALUE!</v>
      </c>
    </row>
    <row r="14" spans="1:31" x14ac:dyDescent="0.2">
      <c r="A14" s="118"/>
      <c r="B14" s="115" t="s">
        <v>164</v>
      </c>
      <c r="C14" s="119" t="s">
        <v>153</v>
      </c>
      <c r="D14" s="115" t="str">
        <f t="shared" si="0"/>
        <v>GBPTOM6F1_Quote</v>
      </c>
      <c r="E14" s="114" t="str">
        <f>_xll.qlSimpleQuote(D14,,RateTickValue,Permanent,Trigger,ObjectOverwrite)</f>
        <v>GBPTOM6F1_Quote#0000</v>
      </c>
      <c r="F14" s="113" t="str">
        <f>_xll.ohRangeRetrieveError(E14)</f>
        <v/>
      </c>
      <c r="G14" s="33"/>
      <c r="I14" s="118"/>
      <c r="J14" s="409" t="s">
        <v>164</v>
      </c>
      <c r="K14" s="398" t="s">
        <v>153</v>
      </c>
      <c r="L14" s="396" t="str">
        <f t="shared" si="1"/>
        <v>GBPTOM6F1</v>
      </c>
      <c r="M14" s="396" t="str">
        <v>GBPTOM6F1=ICAP</v>
      </c>
      <c r="N14" s="397" t="s">
        <v>233</v>
      </c>
      <c r="O14" s="397" t="s">
        <v>233</v>
      </c>
      <c r="P14" s="396" t="s">
        <v>233</v>
      </c>
      <c r="Q14" s="396" t="s">
        <v>233</v>
      </c>
      <c r="R14" s="345" t="e">
        <f>_xll.qlMidSafe($N14,$O14)</f>
        <v>#NUM!</v>
      </c>
      <c r="S14" s="343"/>
      <c r="T14" s="408" t="e">
        <v>#NUM!</v>
      </c>
      <c r="U14" s="343"/>
      <c r="V14" s="407" t="str">
        <f t="shared" si="2"/>
        <v>GBPTOM6F1_Quote</v>
      </c>
      <c r="W14" s="341" t="e">
        <v>#NUM!</v>
      </c>
      <c r="X14" s="340" t="e">
        <f>_xll.qlSimpleQuoteSetValue($V14,$W14/100,Trigger)</f>
        <v>#NUM!</v>
      </c>
      <c r="Y14" s="218"/>
      <c r="Z14" s="64"/>
      <c r="AA14" s="383"/>
      <c r="AB14" s="64"/>
      <c r="AC14" s="64"/>
      <c r="AD14" s="64"/>
      <c r="AE14" s="382" t="e">
        <f t="shared" si="3"/>
        <v>#VALUE!</v>
      </c>
    </row>
    <row r="15" spans="1:31" x14ac:dyDescent="0.2">
      <c r="A15" s="118"/>
      <c r="B15" s="122">
        <v>1</v>
      </c>
      <c r="C15" s="123" t="s">
        <v>163</v>
      </c>
      <c r="D15" s="122" t="str">
        <f t="shared" si="0"/>
        <v>GBP1x7F_Quote</v>
      </c>
      <c r="E15" s="121" t="str">
        <f>_xll.qlSimpleQuote(D15,,RateTickValue,Permanent,Trigger,ObjectOverwrite)</f>
        <v>GBP1x7F_Quote#0000</v>
      </c>
      <c r="F15" s="120" t="str">
        <f>_xll.ohRangeRetrieveError(E15)</f>
        <v/>
      </c>
      <c r="G15" s="33"/>
      <c r="I15" s="118"/>
      <c r="J15" s="406">
        <v>1</v>
      </c>
      <c r="K15" s="405" t="str">
        <f t="shared" ref="K15:K23" si="4">"x"&amp;J15+6&amp;"F"</f>
        <v>x7F</v>
      </c>
      <c r="L15" s="403" t="str">
        <f t="shared" si="1"/>
        <v>GBP1x7F</v>
      </c>
      <c r="M15" s="403" t="str">
        <v>GBP1X7F=ICAP</v>
      </c>
      <c r="N15" s="404">
        <v>0.62</v>
      </c>
      <c r="O15" s="404">
        <v>0.67</v>
      </c>
      <c r="P15" s="403">
        <v>0</v>
      </c>
      <c r="Q15" s="403">
        <v>0</v>
      </c>
      <c r="R15" s="364">
        <f>_xll.qlMidSafe($N15,$O15)</f>
        <v>0.64500000000000002</v>
      </c>
      <c r="S15" s="343"/>
      <c r="T15" s="395">
        <v>0.65</v>
      </c>
      <c r="U15" s="343"/>
      <c r="V15" s="394" t="str">
        <f t="shared" si="2"/>
        <v>GBP1x7F_Quote</v>
      </c>
      <c r="W15" s="349">
        <v>0.64500000000000002</v>
      </c>
      <c r="X15" s="348" t="e">
        <f>_xll.qlSimpleQuoteSetValue($V15,$W15/100,Trigger)</f>
        <v>#NUM!</v>
      </c>
      <c r="Y15" s="218"/>
      <c r="Z15" s="64"/>
      <c r="AA15" s="383"/>
      <c r="AB15" s="64"/>
      <c r="AC15" s="64"/>
      <c r="AD15" s="64"/>
      <c r="AE15" s="382">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GBP2x8F_Quote#0000</v>
      </c>
      <c r="F16" s="124" t="str">
        <f>_xll.ohRangeRetrieveError(E16)</f>
        <v/>
      </c>
      <c r="G16" s="33"/>
      <c r="I16" s="118"/>
      <c r="J16" s="399">
        <v>2</v>
      </c>
      <c r="K16" s="402" t="str">
        <f t="shared" si="4"/>
        <v>x8F</v>
      </c>
      <c r="L16" s="400" t="str">
        <f t="shared" si="1"/>
        <v>GBP2x8F</v>
      </c>
      <c r="M16" s="400" t="str">
        <v>GBP2X8F=ICAP</v>
      </c>
      <c r="N16" s="401">
        <v>0.625</v>
      </c>
      <c r="O16" s="401">
        <v>0.67500000000000004</v>
      </c>
      <c r="P16" s="400">
        <v>0</v>
      </c>
      <c r="Q16" s="400">
        <v>0</v>
      </c>
      <c r="R16" s="352">
        <f>_xll.qlMidSafe($N16,$O16)</f>
        <v>0.65</v>
      </c>
      <c r="S16" s="343"/>
      <c r="T16" s="395">
        <v>0.64500000000000002</v>
      </c>
      <c r="U16" s="343"/>
      <c r="V16" s="394" t="str">
        <f t="shared" si="2"/>
        <v>GBP2x8F_Quote</v>
      </c>
      <c r="W16" s="349">
        <v>0.65</v>
      </c>
      <c r="X16" s="348" t="e">
        <f>_xll.qlSimpleQuoteSetValue($V16,$W16/100,Trigger)</f>
        <v>#NUM!</v>
      </c>
      <c r="Y16" s="218"/>
      <c r="Z16" s="64"/>
      <c r="AA16" s="383"/>
      <c r="AB16" s="64"/>
      <c r="AC16" s="64"/>
      <c r="AD16" s="64"/>
      <c r="AE16" s="382">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GBP3x9F_Quote#0000</v>
      </c>
      <c r="F17" s="124" t="str">
        <f>_xll.ohRangeRetrieveError(E17)</f>
        <v/>
      </c>
      <c r="G17" s="33"/>
      <c r="I17" s="118"/>
      <c r="J17" s="399">
        <v>3</v>
      </c>
      <c r="K17" s="402" t="str">
        <f t="shared" si="4"/>
        <v>x9F</v>
      </c>
      <c r="L17" s="400" t="str">
        <f t="shared" si="1"/>
        <v>GBP3x9F</v>
      </c>
      <c r="M17" s="400" t="str">
        <v>GBP3X9F=ICAP</v>
      </c>
      <c r="N17" s="401">
        <v>0.63</v>
      </c>
      <c r="O17" s="401">
        <v>0.68</v>
      </c>
      <c r="P17" s="400">
        <v>0</v>
      </c>
      <c r="Q17" s="400">
        <v>0</v>
      </c>
      <c r="R17" s="352">
        <f>_xll.qlMidSafe($N17,$O17)</f>
        <v>0.65500000000000003</v>
      </c>
      <c r="S17" s="343"/>
      <c r="T17" s="395">
        <v>0.64</v>
      </c>
      <c r="U17" s="343"/>
      <c r="V17" s="394" t="str">
        <f t="shared" si="2"/>
        <v>GBP3x9F_Quote</v>
      </c>
      <c r="W17" s="349">
        <v>0.65500000000000003</v>
      </c>
      <c r="X17" s="348" t="e">
        <f>_xll.qlSimpleQuoteSetValue($V17,$W17/100,Trigger)</f>
        <v>#NUM!</v>
      </c>
      <c r="Y17" s="218"/>
      <c r="Z17" s="64"/>
      <c r="AA17" s="383"/>
      <c r="AB17" s="64"/>
      <c r="AC17" s="64"/>
      <c r="AD17" s="64"/>
      <c r="AE17" s="382">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GBP4x10F_Quote#0000</v>
      </c>
      <c r="F18" s="124" t="str">
        <f>_xll.ohRangeRetrieveError(E18)</f>
        <v/>
      </c>
      <c r="G18" s="33"/>
      <c r="I18" s="118"/>
      <c r="J18" s="399">
        <v>4</v>
      </c>
      <c r="K18" s="402" t="str">
        <f t="shared" si="4"/>
        <v>x10F</v>
      </c>
      <c r="L18" s="400" t="str">
        <f t="shared" si="1"/>
        <v>GBP4x10F</v>
      </c>
      <c r="M18" s="400" t="str">
        <v>GBP4X10F=ICAP</v>
      </c>
      <c r="N18" s="401">
        <v>0.63500000000000001</v>
      </c>
      <c r="O18" s="401">
        <v>0.68500000000000005</v>
      </c>
      <c r="P18" s="400">
        <v>0</v>
      </c>
      <c r="Q18" s="400">
        <v>0</v>
      </c>
      <c r="R18" s="352">
        <f>_xll.qlMidSafe($N18,$O18)</f>
        <v>0.66</v>
      </c>
      <c r="S18" s="343"/>
      <c r="T18" s="395">
        <v>0.63500000000000001</v>
      </c>
      <c r="U18" s="343"/>
      <c r="V18" s="394" t="str">
        <f t="shared" si="2"/>
        <v>GBP4x10F_Quote</v>
      </c>
      <c r="W18" s="349">
        <v>0.66</v>
      </c>
      <c r="X18" s="348" t="e">
        <f>_xll.qlSimpleQuoteSetValue($V18,$W18/100,Trigger)</f>
        <v>#NUM!</v>
      </c>
      <c r="Y18" s="218"/>
      <c r="Z18" s="64"/>
      <c r="AA18" s="383"/>
      <c r="AB18" s="64"/>
      <c r="AC18" s="64"/>
      <c r="AD18" s="64"/>
      <c r="AE18" s="382">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GBP5x11F_Quote#0000</v>
      </c>
      <c r="F19" s="124" t="str">
        <f>_xll.ohRangeRetrieveError(E19)</f>
        <v/>
      </c>
      <c r="G19" s="33"/>
      <c r="I19" s="118"/>
      <c r="J19" s="399">
        <v>5</v>
      </c>
      <c r="K19" s="402" t="str">
        <f t="shared" si="4"/>
        <v>x11F</v>
      </c>
      <c r="L19" s="400" t="str">
        <f t="shared" si="1"/>
        <v>GBP5x11F</v>
      </c>
      <c r="M19" s="400" t="str">
        <v>GBP5X11F=ICAP</v>
      </c>
      <c r="N19" s="401">
        <v>0.64</v>
      </c>
      <c r="O19" s="401">
        <v>0.69</v>
      </c>
      <c r="P19" s="400">
        <v>0</v>
      </c>
      <c r="Q19" s="400">
        <v>0</v>
      </c>
      <c r="R19" s="352">
        <f>_xll.qlMidSafe($N19,$O19)</f>
        <v>0.66500000000000004</v>
      </c>
      <c r="S19" s="343"/>
      <c r="T19" s="395">
        <v>0.63500000000000001</v>
      </c>
      <c r="U19" s="343"/>
      <c r="V19" s="394" t="str">
        <f t="shared" si="2"/>
        <v>GBP5x11F_Quote</v>
      </c>
      <c r="W19" s="349">
        <v>0.66500000000000004</v>
      </c>
      <c r="X19" s="348" t="e">
        <f>_xll.qlSimpleQuoteSetValue($V19,$W19/100,Trigger)</f>
        <v>#NUM!</v>
      </c>
      <c r="Y19" s="218"/>
      <c r="Z19" s="64"/>
      <c r="AA19" s="383"/>
      <c r="AB19" s="64"/>
      <c r="AC19" s="64"/>
      <c r="AD19" s="64"/>
      <c r="AE19" s="382">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GBP6x12F_Quote#0000</v>
      </c>
      <c r="F20" s="124" t="str">
        <f>_xll.ohRangeRetrieveError(E20)</f>
        <v/>
      </c>
      <c r="G20" s="33"/>
      <c r="I20" s="118"/>
      <c r="J20" s="399">
        <v>6</v>
      </c>
      <c r="K20" s="402" t="str">
        <f t="shared" si="4"/>
        <v>x12F</v>
      </c>
      <c r="L20" s="400" t="str">
        <f t="shared" si="1"/>
        <v>GBP6x12F</v>
      </c>
      <c r="M20" s="400" t="str">
        <v>GBP6X12F=ICAP</v>
      </c>
      <c r="N20" s="401">
        <v>0.64</v>
      </c>
      <c r="O20" s="401">
        <v>0.69</v>
      </c>
      <c r="P20" s="400">
        <v>0</v>
      </c>
      <c r="Q20" s="400">
        <v>0</v>
      </c>
      <c r="R20" s="352">
        <f>_xll.qlMidSafe($N20,$O20)</f>
        <v>0.66500000000000004</v>
      </c>
      <c r="S20" s="343"/>
      <c r="T20" s="395">
        <v>0.63500000000000001</v>
      </c>
      <c r="U20" s="343"/>
      <c r="V20" s="394" t="str">
        <f t="shared" si="2"/>
        <v>GBP6x12F_Quote</v>
      </c>
      <c r="W20" s="349">
        <v>0.66500000000000004</v>
      </c>
      <c r="X20" s="348" t="e">
        <f>_xll.qlSimpleQuoteSetValue($V20,$W20/100,Trigger)</f>
        <v>#NUM!</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GBP9x15F_Quote#0000</v>
      </c>
      <c r="F21" s="124" t="str">
        <f>_xll.ohRangeRetrieveError(E21)</f>
        <v/>
      </c>
      <c r="G21" s="33"/>
      <c r="I21" s="118"/>
      <c r="J21" s="399">
        <v>9</v>
      </c>
      <c r="K21" s="402" t="str">
        <f t="shared" si="4"/>
        <v>x15F</v>
      </c>
      <c r="L21" s="400" t="str">
        <f t="shared" si="1"/>
        <v>GBP9x15F</v>
      </c>
      <c r="M21" s="400" t="str">
        <v>GBP9X15F=ICAP</v>
      </c>
      <c r="N21" s="401">
        <v>0.66</v>
      </c>
      <c r="O21" s="401">
        <v>0.71</v>
      </c>
      <c r="P21" s="400">
        <v>0</v>
      </c>
      <c r="Q21" s="400">
        <v>0</v>
      </c>
      <c r="R21" s="352">
        <f>_xll.qlMidSafe($N21,$O21)</f>
        <v>0.68500000000000005</v>
      </c>
      <c r="S21" s="343"/>
      <c r="T21" s="395">
        <v>0.64</v>
      </c>
      <c r="U21" s="343"/>
      <c r="V21" s="394" t="str">
        <f t="shared" si="2"/>
        <v>GBP9x15F_Quote</v>
      </c>
      <c r="W21" s="349">
        <v>0.68500000000000005</v>
      </c>
      <c r="X21" s="348" t="e">
        <f>_xll.qlSimpleQuoteSetValue($V21,$W21/100,Trigger)</f>
        <v>#NUM!</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GBP12x18F_Quote#0000</v>
      </c>
      <c r="F22" s="124" t="str">
        <f>_xll.ohRangeRetrieveError(E22)</f>
        <v/>
      </c>
      <c r="G22" s="33"/>
      <c r="I22" s="118"/>
      <c r="J22" s="399">
        <v>12</v>
      </c>
      <c r="K22" s="402" t="str">
        <f t="shared" si="4"/>
        <v>x18F</v>
      </c>
      <c r="L22" s="400" t="str">
        <f t="shared" si="1"/>
        <v>GBP12x18F</v>
      </c>
      <c r="M22" s="400" t="str">
        <v>GBP12X18F=ICAP</v>
      </c>
      <c r="N22" s="401">
        <v>0.69499999999999995</v>
      </c>
      <c r="O22" s="401">
        <v>0.745</v>
      </c>
      <c r="P22" s="400">
        <v>0</v>
      </c>
      <c r="Q22" s="400">
        <v>0</v>
      </c>
      <c r="R22" s="352">
        <f>_xll.qlMidSafe($N22,$O22)</f>
        <v>0.72</v>
      </c>
      <c r="S22" s="343"/>
      <c r="T22" s="395">
        <v>0.65500000000000003</v>
      </c>
      <c r="U22" s="343"/>
      <c r="V22" s="394" t="str">
        <f t="shared" si="2"/>
        <v>GBP12x18F_Quote</v>
      </c>
      <c r="W22" s="349">
        <v>0.72</v>
      </c>
      <c r="X22" s="348" t="e">
        <f>_xll.qlSimpleQuoteSetValue($V22,$W22/100,Trigger)</f>
        <v>#NUM!</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GBP18x24F_Quote#0000</v>
      </c>
      <c r="F23" s="113" t="str">
        <f>_xll.ohRangeRetrieveError(E23)</f>
        <v/>
      </c>
      <c r="G23" s="33"/>
      <c r="I23" s="118"/>
      <c r="J23" s="399">
        <v>18</v>
      </c>
      <c r="K23" s="398" t="str">
        <f t="shared" si="4"/>
        <v>x24F</v>
      </c>
      <c r="L23" s="396" t="str">
        <f t="shared" si="1"/>
        <v>GBP18x24F</v>
      </c>
      <c r="M23" s="396" t="str">
        <v>GBP18X24F=ICAP</v>
      </c>
      <c r="N23" s="397" t="s">
        <v>233</v>
      </c>
      <c r="O23" s="397" t="s">
        <v>233</v>
      </c>
      <c r="P23" s="396" t="s">
        <v>233</v>
      </c>
      <c r="Q23" s="396" t="s">
        <v>233</v>
      </c>
      <c r="R23" s="345" t="e">
        <f>_xll.qlMidSafe($N23,$O23)</f>
        <v>#NUM!</v>
      </c>
      <c r="S23" s="343"/>
      <c r="T23" s="395" t="e">
        <v>#NUM!</v>
      </c>
      <c r="U23" s="343"/>
      <c r="V23" s="394" t="str">
        <f t="shared" si="2"/>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GBPT12F1_Quote#0000</v>
      </c>
      <c r="F24" s="120" t="str">
        <f>_xll.ohRangeRetrieveError(E24)</f>
        <v/>
      </c>
      <c r="G24" s="33"/>
      <c r="I24" s="118"/>
      <c r="J24" s="393">
        <v>12</v>
      </c>
      <c r="K24" s="392" t="s">
        <v>152</v>
      </c>
      <c r="L24" s="390" t="str">
        <f t="shared" si="1"/>
        <v>GBP12x24F</v>
      </c>
      <c r="M24" s="390" t="str">
        <v>GBP12X24F=ICAP</v>
      </c>
      <c r="N24" s="391">
        <v>0.98499999999999999</v>
      </c>
      <c r="O24" s="391">
        <v>1.085</v>
      </c>
      <c r="P24" s="390">
        <v>0</v>
      </c>
      <c r="Q24" s="390">
        <v>0</v>
      </c>
      <c r="R24" s="389">
        <f>_xll.qlMidSafe($N24,$O24)</f>
        <v>1.0349999999999999</v>
      </c>
      <c r="S24" s="343"/>
      <c r="T24" s="388">
        <v>1</v>
      </c>
      <c r="U24" s="343"/>
      <c r="V24" s="387" t="str">
        <f t="shared" si="2"/>
        <v>GBP12x24F_Quote</v>
      </c>
      <c r="W24" s="386">
        <v>1.0349999999999999</v>
      </c>
      <c r="X24" s="385" t="e">
        <f>_xll.qlSimpleQuoteSetValue($V24,$W24/100,Trigger)</f>
        <v>#NUM!</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GBPTOM12F1_Quote#0000</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GBP12x24F_Quote#0000</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0</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GBPFUT1MF4_Quote</v>
      </c>
      <c r="F6" s="145" t="str">
        <f>_xll.qlSimpleQuote(E6,,PriceTickValue,Permanent,Trigger,ObjectOverwrite)</f>
        <v>GBPFUT1MF4_Quote#0000</v>
      </c>
      <c r="G6" s="144" t="str">
        <f>_xll.ohRangeRetrieveError(F6)</f>
        <v/>
      </c>
      <c r="H6" s="137"/>
      <c r="J6" s="143"/>
      <c r="K6" s="448">
        <v>1</v>
      </c>
      <c r="L6" s="447" t="b">
        <v>0</v>
      </c>
      <c r="M6" s="442" t="str">
        <f t="array" ref="M6:M17">_xll.qlIMMcode(FuturesDates)</f>
        <v>F4</v>
      </c>
      <c r="N6" s="446">
        <f t="array" ref="N6:N17">_xll.qlIMMNextDates(_xll.qlSettingsEvaluationDate(Trigger)-1,$L6:$L17)</f>
        <v>41654</v>
      </c>
      <c r="O6" s="442" t="str">
        <f t="array" ref="O6:O17">VLOOKUP(Currency,LiffeCodes,2)&amp;FuturesCodes</f>
        <v>F4</v>
      </c>
      <c r="P6" s="445" t="s">
        <v>233</v>
      </c>
      <c r="Q6" s="442" t="s">
        <v>233</v>
      </c>
      <c r="R6" s="442" t="s">
        <v>233</v>
      </c>
      <c r="S6" s="442" t="s">
        <v>233</v>
      </c>
      <c r="T6" s="442" t="s">
        <v>233</v>
      </c>
      <c r="U6" s="441" t="e">
        <f>_xll.qlMidSafe($Q6,$R6)</f>
        <v>#NUM!</v>
      </c>
      <c r="V6" s="422"/>
      <c r="W6" s="444" t="e">
        <v>#NUM!</v>
      </c>
      <c r="X6" s="422"/>
      <c r="Y6" s="443" t="str">
        <f t="array" ref="Y6:Y17">Currency&amp;$Y$4&amp;FuturesCodes&amp;$Z$2</f>
        <v>GBPFUT1MF4_Quote</v>
      </c>
      <c r="Z6" s="442" t="e">
        <f t="array" ref="Z6:Z17">QuoteLive</f>
        <v>#NUM!</v>
      </c>
      <c r="AA6" s="441" t="e">
        <f>_xll.qlSimpleQuoteSetValue($Y6,$Z6,Trigger)</f>
        <v>#NUM!</v>
      </c>
      <c r="AB6" s="137"/>
      <c r="AD6" s="439" t="s">
        <v>121</v>
      </c>
      <c r="AE6" s="438"/>
      <c r="AG6" s="418" t="e">
        <f t="shared" ref="AG6:AG17" si="1">(R6-U6)/50</f>
        <v>#VALUE!</v>
      </c>
    </row>
    <row r="7" spans="1:33" x14ac:dyDescent="0.2">
      <c r="A7" s="143"/>
      <c r="B7" s="142">
        <v>2</v>
      </c>
      <c r="C7" s="141" t="b">
        <v>0</v>
      </c>
      <c r="D7" s="140" t="str">
        <v>G4</v>
      </c>
      <c r="E7" s="139" t="str">
        <f t="shared" si="0"/>
        <v>GBPFUT1MG4_Quote</v>
      </c>
      <c r="F7" s="138" t="str">
        <f>_xll.qlSimpleQuote(E7,,PriceTickValue,Permanent,Trigger,ObjectOverwrite)</f>
        <v>GBPFUT1MG4_Quote#0000</v>
      </c>
      <c r="G7" s="101" t="str">
        <f>_xll.ohRangeRetrieveError(F7)</f>
        <v/>
      </c>
      <c r="H7" s="137"/>
      <c r="J7" s="143"/>
      <c r="K7" s="435">
        <v>2</v>
      </c>
      <c r="L7" s="434" t="b">
        <v>0</v>
      </c>
      <c r="M7" s="429" t="str">
        <v>G4</v>
      </c>
      <c r="N7" s="433">
        <v>41689</v>
      </c>
      <c r="O7" s="429" t="str">
        <v>G4</v>
      </c>
      <c r="P7" s="432" t="s">
        <v>233</v>
      </c>
      <c r="Q7" s="429" t="s">
        <v>233</v>
      </c>
      <c r="R7" s="429" t="s">
        <v>233</v>
      </c>
      <c r="S7" s="429" t="s">
        <v>233</v>
      </c>
      <c r="T7" s="429" t="s">
        <v>233</v>
      </c>
      <c r="U7" s="428" t="e">
        <f>_xll.qlMidSafe($Q7,$R7)</f>
        <v>#NUM!</v>
      </c>
      <c r="V7" s="422"/>
      <c r="W7" s="440" t="e">
        <v>#NUM!</v>
      </c>
      <c r="X7" s="422"/>
      <c r="Y7" s="430" t="str">
        <v>GBPFUT1MG4_Quote</v>
      </c>
      <c r="Z7" s="429" t="e">
        <v>#NUM!</v>
      </c>
      <c r="AA7" s="428" t="e">
        <f>_xll.qlSimpleQuoteSetValue($Y7,$Z7,Trigger)</f>
        <v>#NUM!</v>
      </c>
      <c r="AB7" s="137"/>
      <c r="AD7" s="439" t="s">
        <v>120</v>
      </c>
      <c r="AE7" s="438"/>
      <c r="AG7" s="418" t="e">
        <f t="shared" si="1"/>
        <v>#VALUE!</v>
      </c>
    </row>
    <row r="8" spans="1:33" x14ac:dyDescent="0.2">
      <c r="A8" s="143"/>
      <c r="B8" s="142">
        <v>3</v>
      </c>
      <c r="C8" s="141" t="b">
        <v>0</v>
      </c>
      <c r="D8" s="140" t="str">
        <v>H4</v>
      </c>
      <c r="E8" s="139" t="str">
        <f t="shared" si="0"/>
        <v>GBPFUT1MH4_Quote</v>
      </c>
      <c r="F8" s="138" t="str">
        <f>_xll.qlSimpleQuote(E8,,PriceTickValue,Permanent,Trigger,ObjectOverwrite)</f>
        <v>GBPFUT1MH4_Quote#0000</v>
      </c>
      <c r="G8" s="101" t="str">
        <f>_xll.ohRangeRetrieveError(F8)</f>
        <v/>
      </c>
      <c r="H8" s="137"/>
      <c r="J8" s="143"/>
      <c r="K8" s="435">
        <v>3</v>
      </c>
      <c r="L8" s="434" t="b">
        <v>0</v>
      </c>
      <c r="M8" s="429" t="str">
        <v>H4</v>
      </c>
      <c r="N8" s="433">
        <v>41717</v>
      </c>
      <c r="O8" s="429" t="str">
        <v>H4</v>
      </c>
      <c r="P8" s="432" t="s">
        <v>233</v>
      </c>
      <c r="Q8" s="429" t="s">
        <v>233</v>
      </c>
      <c r="R8" s="429" t="s">
        <v>233</v>
      </c>
      <c r="S8" s="429" t="s">
        <v>233</v>
      </c>
      <c r="T8" s="429" t="s">
        <v>233</v>
      </c>
      <c r="U8" s="428" t="e">
        <f>_xll.qlMidSafe($Q8,$R8)</f>
        <v>#NUM!</v>
      </c>
      <c r="V8" s="422"/>
      <c r="W8" s="440" t="e">
        <v>#NUM!</v>
      </c>
      <c r="X8" s="422"/>
      <c r="Y8" s="430" t="str">
        <v>GBPFUT1MH4_Quote</v>
      </c>
      <c r="Z8" s="429" t="e">
        <v>#NUM!</v>
      </c>
      <c r="AA8" s="428" t="e">
        <f>_xll.qlSimpleQuoteSetValue($Y8,$Z8,Trigger)</f>
        <v>#NUM!</v>
      </c>
      <c r="AB8" s="137"/>
      <c r="AD8" s="439" t="s">
        <v>96</v>
      </c>
      <c r="AE8" s="438"/>
      <c r="AG8" s="418" t="e">
        <f t="shared" si="1"/>
        <v>#VALUE!</v>
      </c>
    </row>
    <row r="9" spans="1:33" x14ac:dyDescent="0.2">
      <c r="A9" s="143"/>
      <c r="B9" s="142">
        <v>4</v>
      </c>
      <c r="C9" s="141" t="b">
        <v>0</v>
      </c>
      <c r="D9" s="140" t="str">
        <v>J4</v>
      </c>
      <c r="E9" s="139" t="str">
        <f t="shared" si="0"/>
        <v>GBPFUT1MJ4_Quote</v>
      </c>
      <c r="F9" s="138" t="str">
        <f>_xll.qlSimpleQuote(E9,,PriceTickValue,Permanent,Trigger,ObjectOverwrite)</f>
        <v>GBPFUT1MJ4_Quote#0000</v>
      </c>
      <c r="G9" s="101" t="str">
        <f>_xll.ohRangeRetrieveError(F9)</f>
        <v/>
      </c>
      <c r="H9" s="137"/>
      <c r="J9" s="143"/>
      <c r="K9" s="435">
        <v>4</v>
      </c>
      <c r="L9" s="434" t="b">
        <v>0</v>
      </c>
      <c r="M9" s="429" t="str">
        <v>J4</v>
      </c>
      <c r="N9" s="433">
        <v>41745</v>
      </c>
      <c r="O9" s="429" t="str">
        <v>J4</v>
      </c>
      <c r="P9" s="432" t="s">
        <v>233</v>
      </c>
      <c r="Q9" s="429" t="s">
        <v>233</v>
      </c>
      <c r="R9" s="429" t="s">
        <v>233</v>
      </c>
      <c r="S9" s="429" t="s">
        <v>233</v>
      </c>
      <c r="T9" s="429" t="s">
        <v>233</v>
      </c>
      <c r="U9" s="428" t="e">
        <f>_xll.qlMidSafe($Q9,$R9)</f>
        <v>#NUM!</v>
      </c>
      <c r="V9" s="422"/>
      <c r="W9" s="440" t="e">
        <v>#NUM!</v>
      </c>
      <c r="X9" s="422"/>
      <c r="Y9" s="430" t="str">
        <v>GBPFUT1MJ4_Quote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GBPFUT1MK4_Quote</v>
      </c>
      <c r="F10" s="138" t="str">
        <f>_xll.qlSimpleQuote(E10,,PriceTickValue,Permanent,Trigger,ObjectOverwrite)</f>
        <v>GBPFUT1MK4_Quote#0000</v>
      </c>
      <c r="G10" s="101" t="str">
        <f>_xll.ohRangeRetrieveError(F10)</f>
        <v/>
      </c>
      <c r="H10" s="137"/>
      <c r="J10" s="143"/>
      <c r="K10" s="435">
        <v>5</v>
      </c>
      <c r="L10" s="434" t="b">
        <v>0</v>
      </c>
      <c r="M10" s="429" t="str">
        <v>K4</v>
      </c>
      <c r="N10" s="433">
        <v>41780</v>
      </c>
      <c r="O10" s="429" t="str">
        <v>K4</v>
      </c>
      <c r="P10" s="432" t="s">
        <v>233</v>
      </c>
      <c r="Q10" s="429" t="s">
        <v>233</v>
      </c>
      <c r="R10" s="429" t="s">
        <v>233</v>
      </c>
      <c r="S10" s="429" t="s">
        <v>233</v>
      </c>
      <c r="T10" s="429" t="s">
        <v>233</v>
      </c>
      <c r="U10" s="428" t="e">
        <f>_xll.qlMidSafe($Q10,$R10)</f>
        <v>#NUM!</v>
      </c>
      <c r="V10" s="422"/>
      <c r="W10" s="431" t="e">
        <v>#NUM!</v>
      </c>
      <c r="X10" s="422"/>
      <c r="Y10" s="430" t="str">
        <v>GBPFUT1MK4_Quote</v>
      </c>
      <c r="Z10" s="429" t="e">
        <v>#NUM!</v>
      </c>
      <c r="AA10" s="428" t="e">
        <f>_xll.qlSimpleQuoteSetValue($Y10,$Z10,Trigger)</f>
        <v>#NUM!</v>
      </c>
      <c r="AB10" s="137"/>
      <c r="AD10" s="437" t="s">
        <v>115</v>
      </c>
      <c r="AE10" s="436" t="s">
        <v>293</v>
      </c>
      <c r="AG10" s="418" t="e">
        <f t="shared" si="1"/>
        <v>#VALUE!</v>
      </c>
    </row>
    <row r="11" spans="1:33" x14ac:dyDescent="0.2">
      <c r="A11" s="143"/>
      <c r="B11" s="142">
        <v>6</v>
      </c>
      <c r="C11" s="141" t="b">
        <v>0</v>
      </c>
      <c r="D11" s="140" t="str">
        <v>M4</v>
      </c>
      <c r="E11" s="139" t="str">
        <f t="shared" si="0"/>
        <v>GBPFUT1MM4_Quote</v>
      </c>
      <c r="F11" s="138" t="str">
        <f>_xll.qlSimpleQuote(E11,,PriceTickValue,Permanent,Trigger,ObjectOverwrite)</f>
        <v>GBPFUT1MM4_Quote#0000</v>
      </c>
      <c r="G11" s="101" t="str">
        <f>_xll.ohRangeRetrieveError(F11)</f>
        <v/>
      </c>
      <c r="H11" s="137"/>
      <c r="J11" s="143"/>
      <c r="K11" s="435">
        <v>6</v>
      </c>
      <c r="L11" s="434" t="b">
        <v>0</v>
      </c>
      <c r="M11" s="429" t="str">
        <v>M4</v>
      </c>
      <c r="N11" s="433">
        <v>41808</v>
      </c>
      <c r="O11" s="429" t="str">
        <v>M4</v>
      </c>
      <c r="P11" s="432" t="s">
        <v>233</v>
      </c>
      <c r="Q11" s="429" t="s">
        <v>233</v>
      </c>
      <c r="R11" s="429" t="s">
        <v>233</v>
      </c>
      <c r="S11" s="429" t="s">
        <v>233</v>
      </c>
      <c r="T11" s="429" t="s">
        <v>233</v>
      </c>
      <c r="U11" s="428" t="e">
        <f>_xll.qlMidSafe($Q11,$R11)</f>
        <v>#NUM!</v>
      </c>
      <c r="V11" s="422"/>
      <c r="W11" s="431" t="e">
        <v>#NUM!</v>
      </c>
      <c r="X11" s="422"/>
      <c r="Y11" s="430" t="str">
        <v>GBPFUT1MM4_Quote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GBPFUT1MN4_Quote</v>
      </c>
      <c r="F12" s="138" t="str">
        <f>_xll.qlSimpleQuote(E12,,PriceTickValue,Permanent,Trigger,ObjectOverwrite)</f>
        <v>GBPFUT1MN4_Quote#0000</v>
      </c>
      <c r="G12" s="101" t="str">
        <f>_xll.ohRangeRetrieveError(F12)</f>
        <v/>
      </c>
      <c r="H12" s="137"/>
      <c r="J12" s="143"/>
      <c r="K12" s="435">
        <v>7</v>
      </c>
      <c r="L12" s="434" t="b">
        <v>0</v>
      </c>
      <c r="M12" s="429" t="str">
        <v>N4</v>
      </c>
      <c r="N12" s="433">
        <v>41836</v>
      </c>
      <c r="O12" s="429" t="str">
        <v>N4</v>
      </c>
      <c r="P12" s="432" t="s">
        <v>233</v>
      </c>
      <c r="Q12" s="429" t="s">
        <v>233</v>
      </c>
      <c r="R12" s="429" t="s">
        <v>233</v>
      </c>
      <c r="S12" s="429" t="s">
        <v>233</v>
      </c>
      <c r="T12" s="429" t="s">
        <v>233</v>
      </c>
      <c r="U12" s="428" t="e">
        <f>_xll.qlMidSafe($Q12,$R12)</f>
        <v>#NUM!</v>
      </c>
      <c r="V12" s="422"/>
      <c r="W12" s="431" t="e">
        <v>#NUM!</v>
      </c>
      <c r="X12" s="422"/>
      <c r="Y12" s="430" t="str">
        <v>GBPFUT1MN4_Quote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GBPFUT1MQ4_Quote</v>
      </c>
      <c r="F13" s="138" t="str">
        <f>_xll.qlSimpleQuote(E13,,PriceTickValue,Permanent,Trigger,ObjectOverwrite)</f>
        <v>GBPFUT1MQ4_Quote#0000</v>
      </c>
      <c r="G13" s="101" t="str">
        <f>_xll.ohRangeRetrieveError(F13)</f>
        <v/>
      </c>
      <c r="H13" s="137"/>
      <c r="J13" s="143"/>
      <c r="K13" s="435">
        <v>8</v>
      </c>
      <c r="L13" s="434" t="b">
        <v>0</v>
      </c>
      <c r="M13" s="429" t="str">
        <v>Q4</v>
      </c>
      <c r="N13" s="433">
        <v>41871</v>
      </c>
      <c r="O13" s="429" t="str">
        <v>Q4</v>
      </c>
      <c r="P13" s="432" t="s">
        <v>233</v>
      </c>
      <c r="Q13" s="429" t="s">
        <v>233</v>
      </c>
      <c r="R13" s="429" t="s">
        <v>233</v>
      </c>
      <c r="S13" s="429" t="s">
        <v>233</v>
      </c>
      <c r="T13" s="429" t="s">
        <v>233</v>
      </c>
      <c r="U13" s="428" t="e">
        <f>_xll.qlMidSafe($Q13,$R13)</f>
        <v>#NUM!</v>
      </c>
      <c r="V13" s="422"/>
      <c r="W13" s="431" t="e">
        <v>#NUM!</v>
      </c>
      <c r="X13" s="422"/>
      <c r="Y13" s="430" t="str">
        <v>GBPFUT1MQ4_Quote</v>
      </c>
      <c r="Z13" s="429" t="e">
        <v>#NUM!</v>
      </c>
      <c r="AA13" s="428" t="e">
        <f>_xll.qlSimpleQuoteSetValue($Y13,$Z13,Trigger)</f>
        <v>#NUM!</v>
      </c>
      <c r="AB13" s="137"/>
      <c r="AG13" s="418" t="e">
        <f t="shared" si="1"/>
        <v>#VALUE!</v>
      </c>
    </row>
    <row r="14" spans="1:33" x14ac:dyDescent="0.2">
      <c r="A14" s="143"/>
      <c r="B14" s="142">
        <v>9</v>
      </c>
      <c r="C14" s="141" t="b">
        <v>0</v>
      </c>
      <c r="D14" s="140" t="str">
        <v>U4</v>
      </c>
      <c r="E14" s="139" t="str">
        <f t="shared" si="0"/>
        <v>GBPFUT1MU4_Quote</v>
      </c>
      <c r="F14" s="138" t="str">
        <f>_xll.qlSimpleQuote(E14,,PriceTickValue,Permanent,Trigger,ObjectOverwrite)</f>
        <v>GBPFUT1MU4_Quote#0000</v>
      </c>
      <c r="G14" s="101" t="str">
        <f>_xll.ohRangeRetrieveError(F14)</f>
        <v/>
      </c>
      <c r="H14" s="137"/>
      <c r="J14" s="143"/>
      <c r="K14" s="435">
        <v>9</v>
      </c>
      <c r="L14" s="434" t="b">
        <v>0</v>
      </c>
      <c r="M14" s="429" t="str">
        <v>U4</v>
      </c>
      <c r="N14" s="433">
        <v>41899</v>
      </c>
      <c r="O14" s="429" t="str">
        <v>U4</v>
      </c>
      <c r="P14" s="432" t="s">
        <v>233</v>
      </c>
      <c r="Q14" s="429" t="s">
        <v>233</v>
      </c>
      <c r="R14" s="429" t="s">
        <v>233</v>
      </c>
      <c r="S14" s="429" t="s">
        <v>233</v>
      </c>
      <c r="T14" s="429" t="s">
        <v>233</v>
      </c>
      <c r="U14" s="428" t="e">
        <f>_xll.qlMidSafe($Q14,$R14)</f>
        <v>#NUM!</v>
      </c>
      <c r="V14" s="422"/>
      <c r="W14" s="431" t="e">
        <v>#NUM!</v>
      </c>
      <c r="X14" s="422"/>
      <c r="Y14" s="430" t="str">
        <v>GBPFUT1MU4_Quote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GBPFUT1MV4_Quote</v>
      </c>
      <c r="F15" s="138" t="str">
        <f>_xll.qlSimpleQuote(E15,,PriceTickValue,Permanent,Trigger,ObjectOverwrite)</f>
        <v>GBPFUT1MV4_Quote#0000</v>
      </c>
      <c r="G15" s="101" t="str">
        <f>_xll.ohRangeRetrieveError(F15)</f>
        <v/>
      </c>
      <c r="H15" s="137"/>
      <c r="J15" s="143"/>
      <c r="K15" s="435">
        <v>10</v>
      </c>
      <c r="L15" s="434" t="b">
        <v>0</v>
      </c>
      <c r="M15" s="429" t="str">
        <v>V4</v>
      </c>
      <c r="N15" s="433">
        <v>41927</v>
      </c>
      <c r="O15" s="429" t="str">
        <v>V4</v>
      </c>
      <c r="P15" s="432" t="s">
        <v>233</v>
      </c>
      <c r="Q15" s="429" t="s">
        <v>233</v>
      </c>
      <c r="R15" s="429" t="s">
        <v>233</v>
      </c>
      <c r="S15" s="429" t="s">
        <v>233</v>
      </c>
      <c r="T15" s="429" t="s">
        <v>233</v>
      </c>
      <c r="U15" s="428" t="e">
        <f>_xll.qlMidSafe($Q15,$R15)</f>
        <v>#NUM!</v>
      </c>
      <c r="V15" s="422"/>
      <c r="W15" s="431" t="e">
        <v>#NUM!</v>
      </c>
      <c r="X15" s="422"/>
      <c r="Y15" s="430" t="str">
        <v>GBPFUT1MV4_Quote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GBPFUT1MX4_Quote</v>
      </c>
      <c r="F16" s="138" t="str">
        <f>_xll.qlSimpleQuote(E16,,PriceTickValue,Permanent,Trigger,ObjectOverwrite)</f>
        <v>GBPFUT1MX4_Quote#0000</v>
      </c>
      <c r="G16" s="101" t="str">
        <f>_xll.ohRangeRetrieveError(F16)</f>
        <v/>
      </c>
      <c r="H16" s="137"/>
      <c r="J16" s="143"/>
      <c r="K16" s="435">
        <v>11</v>
      </c>
      <c r="L16" s="434" t="b">
        <v>0</v>
      </c>
      <c r="M16" s="429" t="str">
        <v>X4</v>
      </c>
      <c r="N16" s="433">
        <v>41962</v>
      </c>
      <c r="O16" s="429" t="str">
        <v>X4</v>
      </c>
      <c r="P16" s="432" t="s">
        <v>233</v>
      </c>
      <c r="Q16" s="429" t="s">
        <v>233</v>
      </c>
      <c r="R16" s="429" t="s">
        <v>233</v>
      </c>
      <c r="S16" s="429" t="s">
        <v>233</v>
      </c>
      <c r="T16" s="429" t="s">
        <v>233</v>
      </c>
      <c r="U16" s="428" t="e">
        <f>_xll.qlMidSafe($Q16,$R16)</f>
        <v>#NUM!</v>
      </c>
      <c r="V16" s="422"/>
      <c r="W16" s="431" t="e">
        <v>#NUM!</v>
      </c>
      <c r="X16" s="422"/>
      <c r="Y16" s="430" t="str">
        <v>GBPFUT1MX4_Quote</v>
      </c>
      <c r="Z16" s="429" t="e">
        <v>#NUM!</v>
      </c>
      <c r="AA16" s="428" t="e">
        <f>_xll.qlSimpleQuoteSetValue($Y16,$Z16,Trigger)</f>
        <v>#NUM!</v>
      </c>
      <c r="AB16" s="137"/>
      <c r="AG16" s="418" t="e">
        <f t="shared" si="1"/>
        <v>#VALUE!</v>
      </c>
    </row>
    <row r="17" spans="1:33" x14ac:dyDescent="0.2">
      <c r="A17" s="143"/>
      <c r="B17" s="142">
        <v>12</v>
      </c>
      <c r="C17" s="141" t="b">
        <v>0</v>
      </c>
      <c r="D17" s="140" t="str">
        <v>Z4</v>
      </c>
      <c r="E17" s="139" t="str">
        <f t="shared" si="0"/>
        <v>GBPFUT1MZ4_Quote</v>
      </c>
      <c r="F17" s="138" t="str">
        <f>_xll.qlSimpleQuote(E17,,PriceTickValue,Permanent,Trigger,ObjectOverwrite)</f>
        <v>GBPFUT1MZ4_Quote#0000</v>
      </c>
      <c r="G17" s="101" t="str">
        <f>_xll.ohRangeRetrieveError(F17)</f>
        <v/>
      </c>
      <c r="H17" s="137"/>
      <c r="J17" s="143"/>
      <c r="K17" s="427">
        <v>12</v>
      </c>
      <c r="L17" s="426" t="b">
        <v>0</v>
      </c>
      <c r="M17" s="420" t="str">
        <v>Z4</v>
      </c>
      <c r="N17" s="425">
        <v>41990</v>
      </c>
      <c r="O17" s="420" t="str">
        <v>Z4</v>
      </c>
      <c r="P17" s="424" t="s">
        <v>233</v>
      </c>
      <c r="Q17" s="420" t="s">
        <v>233</v>
      </c>
      <c r="R17" s="420" t="s">
        <v>233</v>
      </c>
      <c r="S17" s="420" t="s">
        <v>233</v>
      </c>
      <c r="T17" s="420" t="s">
        <v>233</v>
      </c>
      <c r="U17" s="419" t="e">
        <f>_xll.qlMidSafe($Q17,$R17)</f>
        <v>#NUM!</v>
      </c>
      <c r="V17" s="422"/>
      <c r="W17" s="423" t="e">
        <v>#NUM!</v>
      </c>
      <c r="X17" s="422"/>
      <c r="Y17" s="421" t="str">
        <v>GBPFUT1MZ4_Quote</v>
      </c>
      <c r="Z17" s="420" t="e">
        <v>#NUM!</v>
      </c>
      <c r="AA17" s="419" t="e">
        <f>_xll.qlSimpleQuoteSetValue($Y17,$Z17,Trigger)</f>
        <v>#NUM!</v>
      </c>
      <c r="AB17" s="137"/>
      <c r="AG17" s="418" t="e">
        <f t="shared" si="1"/>
        <v>#VALUE!</v>
      </c>
    </row>
    <row r="18" spans="1:33" ht="12" thickBot="1" x14ac:dyDescent="0.25">
      <c r="A18" s="143"/>
      <c r="B18" s="142">
        <v>13</v>
      </c>
      <c r="C18" s="141" t="b">
        <v>0</v>
      </c>
      <c r="D18" s="140" t="str">
        <v>F5</v>
      </c>
      <c r="E18" s="139" t="str">
        <f t="shared" si="0"/>
        <v>GBPFUT1MF5_Quote</v>
      </c>
      <c r="F18" s="138" t="str">
        <f>_xll.qlSimpleQuote(E18,,PriceTickValue,Permanent,Trigger,ObjectOverwrite)</f>
        <v>GBPFUT1MF5_Quote#0000</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G5</v>
      </c>
      <c r="E19" s="139" t="str">
        <f t="shared" si="0"/>
        <v>GBPFUT1MG5_Quote</v>
      </c>
      <c r="F19" s="138" t="str">
        <f>_xll.qlSimpleQuote(E19,,PriceTickValue,Permanent,Trigger,ObjectOverwrite)</f>
        <v>GBPFUT1MG5_Quote#0000</v>
      </c>
      <c r="G19" s="101" t="str">
        <f>_xll.ohRangeRetrieveError(F19)</f>
        <v/>
      </c>
      <c r="H19" s="137"/>
    </row>
    <row r="20" spans="1:33" x14ac:dyDescent="0.2">
      <c r="A20" s="143"/>
      <c r="B20" s="142">
        <v>15</v>
      </c>
      <c r="C20" s="141" t="b">
        <v>0</v>
      </c>
      <c r="D20" s="140" t="str">
        <v>H5</v>
      </c>
      <c r="E20" s="139" t="str">
        <f t="shared" si="0"/>
        <v>GBPFUT1MH5_Quote</v>
      </c>
      <c r="F20" s="138" t="str">
        <f>_xll.qlSimpleQuote(E20,,PriceTickValue,Permanent,Trigger,ObjectOverwrite)</f>
        <v>GBPFUT1MH5_Quote#0000</v>
      </c>
      <c r="G20" s="101" t="str">
        <f>_xll.ohRangeRetrieveError(F20)</f>
        <v/>
      </c>
      <c r="H20" s="137"/>
    </row>
    <row r="21" spans="1:33" x14ac:dyDescent="0.2">
      <c r="A21" s="143"/>
      <c r="B21" s="142">
        <v>16</v>
      </c>
      <c r="C21" s="141" t="b">
        <v>0</v>
      </c>
      <c r="D21" s="140" t="str">
        <v>J5</v>
      </c>
      <c r="E21" s="139" t="str">
        <f t="shared" si="0"/>
        <v>GBPFUT1MJ5_Quote</v>
      </c>
      <c r="F21" s="138" t="str">
        <f>_xll.qlSimpleQuote(E21,,PriceTickValue,Permanent,Trigger,ObjectOverwrite)</f>
        <v>GBPFUT1MJ5_Quote#0000</v>
      </c>
      <c r="G21" s="101" t="str">
        <f>_xll.ohRangeRetrieveError(F21)</f>
        <v/>
      </c>
      <c r="H21" s="137"/>
    </row>
    <row r="22" spans="1:33" x14ac:dyDescent="0.2">
      <c r="A22" s="143"/>
      <c r="B22" s="142">
        <v>17</v>
      </c>
      <c r="C22" s="141" t="b">
        <v>0</v>
      </c>
      <c r="D22" s="140" t="str">
        <v>K5</v>
      </c>
      <c r="E22" s="139" t="str">
        <f t="shared" si="0"/>
        <v>GBPFUT1MK5_Quote</v>
      </c>
      <c r="F22" s="138" t="str">
        <f>_xll.qlSimpleQuote(E22,,PriceTickValue,Permanent,Trigger,ObjectOverwrite)</f>
        <v>GBPFUT1MK5_Quote#0000</v>
      </c>
      <c r="G22" s="101" t="str">
        <f>_xll.ohRangeRetrieveError(F22)</f>
        <v/>
      </c>
      <c r="H22" s="137"/>
    </row>
    <row r="23" spans="1:33" x14ac:dyDescent="0.2">
      <c r="A23" s="143"/>
      <c r="B23" s="142">
        <v>18</v>
      </c>
      <c r="C23" s="141" t="b">
        <v>0</v>
      </c>
      <c r="D23" s="140" t="str">
        <v>M5</v>
      </c>
      <c r="E23" s="139" t="str">
        <f t="shared" si="0"/>
        <v>GBPFUT1MM5_Quote</v>
      </c>
      <c r="F23" s="138" t="str">
        <f>_xll.qlSimpleQuote(E23,,PriceTickValue,Permanent,Trigger,ObjectOverwrite)</f>
        <v>GBPFUT1MM5_Quote#0000</v>
      </c>
      <c r="G23" s="101" t="str">
        <f>_xll.ohRangeRetrieveError(F23)</f>
        <v/>
      </c>
      <c r="H23" s="137"/>
    </row>
    <row r="24" spans="1:33" x14ac:dyDescent="0.2">
      <c r="A24" s="143"/>
      <c r="B24" s="142">
        <v>19</v>
      </c>
      <c r="C24" s="141" t="b">
        <v>0</v>
      </c>
      <c r="D24" s="140" t="str">
        <v>N5</v>
      </c>
      <c r="E24" s="139" t="str">
        <f t="shared" si="0"/>
        <v>GBPFUT1MN5_Quote</v>
      </c>
      <c r="F24" s="138" t="str">
        <f>_xll.qlSimpleQuote(E24,,PriceTickValue,Permanent,Trigger,ObjectOverwrite)</f>
        <v>GBPFUT1MN5_Quote#0000</v>
      </c>
      <c r="G24" s="101" t="str">
        <f>_xll.ohRangeRetrieveError(F24)</f>
        <v/>
      </c>
      <c r="H24" s="137"/>
    </row>
    <row r="25" spans="1:33" x14ac:dyDescent="0.2">
      <c r="A25" s="143"/>
      <c r="B25" s="142">
        <v>20</v>
      </c>
      <c r="C25" s="141" t="b">
        <v>0</v>
      </c>
      <c r="D25" s="140" t="str">
        <v>Q5</v>
      </c>
      <c r="E25" s="139" t="str">
        <f t="shared" si="0"/>
        <v>GBPFUT1MQ5_Quote</v>
      </c>
      <c r="F25" s="138" t="str">
        <f>_xll.qlSimpleQuote(E25,,PriceTickValue,Permanent,Trigger,ObjectOverwrite)</f>
        <v>GBPFUT1MQ5_Quote#0000</v>
      </c>
      <c r="G25" s="101" t="str">
        <f>_xll.ohRangeRetrieveError(F25)</f>
        <v/>
      </c>
      <c r="H25" s="137"/>
    </row>
    <row r="26" spans="1:33" x14ac:dyDescent="0.2">
      <c r="A26" s="143"/>
      <c r="B26" s="142">
        <v>21</v>
      </c>
      <c r="C26" s="141" t="b">
        <v>0</v>
      </c>
      <c r="D26" s="140" t="str">
        <v>U5</v>
      </c>
      <c r="E26" s="139" t="str">
        <f t="shared" si="0"/>
        <v>GBPFUT1MU5_Quote</v>
      </c>
      <c r="F26" s="138" t="str">
        <f>_xll.qlSimpleQuote(E26,,PriceTickValue,Permanent,Trigger,ObjectOverwrite)</f>
        <v>GBPFUT1MU5_Quote#0000</v>
      </c>
      <c r="G26" s="101" t="str">
        <f>_xll.ohRangeRetrieveError(F26)</f>
        <v/>
      </c>
      <c r="H26" s="137"/>
    </row>
    <row r="27" spans="1:33" x14ac:dyDescent="0.2">
      <c r="A27" s="143"/>
      <c r="B27" s="142">
        <v>22</v>
      </c>
      <c r="C27" s="141" t="b">
        <v>0</v>
      </c>
      <c r="D27" s="140" t="str">
        <v>V5</v>
      </c>
      <c r="E27" s="139" t="str">
        <f t="shared" si="0"/>
        <v>GBPFUT1MV5_Quote</v>
      </c>
      <c r="F27" s="138" t="str">
        <f>_xll.qlSimpleQuote(E27,,PriceTickValue,Permanent,Trigger,ObjectOverwrite)</f>
        <v>GBPFUT1MV5_Quote#0000</v>
      </c>
      <c r="G27" s="101" t="str">
        <f>_xll.ohRangeRetrieveError(F27)</f>
        <v/>
      </c>
      <c r="H27" s="137"/>
    </row>
    <row r="28" spans="1:33" x14ac:dyDescent="0.2">
      <c r="A28" s="143"/>
      <c r="B28" s="142">
        <v>23</v>
      </c>
      <c r="C28" s="141" t="b">
        <v>0</v>
      </c>
      <c r="D28" s="140" t="str">
        <v>X5</v>
      </c>
      <c r="E28" s="139" t="str">
        <f t="shared" si="0"/>
        <v>GBPFUT1MX5_Quote</v>
      </c>
      <c r="F28" s="138" t="str">
        <f>_xll.qlSimpleQuote(E28,,PriceTickValue,Permanent,Trigger,ObjectOverwrite)</f>
        <v>GBPFUT1MX5_Quote#0000</v>
      </c>
      <c r="G28" s="101" t="str">
        <f>_xll.ohRangeRetrieveError(F28)</f>
        <v/>
      </c>
      <c r="H28" s="137"/>
    </row>
    <row r="29" spans="1:33" x14ac:dyDescent="0.2">
      <c r="A29" s="143"/>
      <c r="B29" s="142">
        <v>24</v>
      </c>
      <c r="C29" s="141" t="b">
        <v>0</v>
      </c>
      <c r="D29" s="140" t="str">
        <v>Z5</v>
      </c>
      <c r="E29" s="139" t="str">
        <f t="shared" si="0"/>
        <v>GBPFUT1MZ5_Quote</v>
      </c>
      <c r="F29" s="138" t="str">
        <f>_xll.qlSimpleQuote(E29,,PriceTickValue,Permanent,Trigger,ObjectOverwrite)</f>
        <v>GBPFUT1MZ5_Quote#0000</v>
      </c>
      <c r="G29" s="101" t="str">
        <f>_xll.ohRangeRetrieveError(F29)</f>
        <v/>
      </c>
      <c r="H29" s="137"/>
    </row>
    <row r="30" spans="1:33" x14ac:dyDescent="0.2">
      <c r="A30" s="143"/>
      <c r="B30" s="142">
        <v>25</v>
      </c>
      <c r="C30" s="141" t="b">
        <v>0</v>
      </c>
      <c r="D30" s="140" t="str">
        <v>F6</v>
      </c>
      <c r="E30" s="139" t="str">
        <f t="shared" si="0"/>
        <v>GBPFUT1MF6_Quote</v>
      </c>
      <c r="F30" s="138" t="str">
        <f>_xll.qlSimpleQuote(E30,,PriceTickValue,Permanent,Trigger,ObjectOverwrite)</f>
        <v>GBPFUT1MF6_Quote#0000</v>
      </c>
      <c r="G30" s="101" t="str">
        <f>_xll.ohRangeRetrieveError(F30)</f>
        <v/>
      </c>
      <c r="H30" s="137"/>
    </row>
    <row r="31" spans="1:33" x14ac:dyDescent="0.2">
      <c r="A31" s="143"/>
      <c r="B31" s="142">
        <v>26</v>
      </c>
      <c r="C31" s="141" t="b">
        <v>0</v>
      </c>
      <c r="D31" s="140" t="str">
        <v>G6</v>
      </c>
      <c r="E31" s="139" t="str">
        <f t="shared" si="0"/>
        <v>GBPFUT1MG6_Quote</v>
      </c>
      <c r="F31" s="138" t="str">
        <f>_xll.qlSimpleQuote(E31,,PriceTickValue,Permanent,Trigger,ObjectOverwrite)</f>
        <v>GBPFUT1MG6_Quote#0000</v>
      </c>
      <c r="G31" s="101" t="str">
        <f>_xll.ohRangeRetrieveError(F31)</f>
        <v/>
      </c>
      <c r="H31" s="137"/>
    </row>
    <row r="32" spans="1:33" x14ac:dyDescent="0.2">
      <c r="A32" s="143"/>
      <c r="B32" s="142">
        <v>27</v>
      </c>
      <c r="C32" s="141" t="b">
        <v>0</v>
      </c>
      <c r="D32" s="140" t="str">
        <v>H6</v>
      </c>
      <c r="E32" s="139" t="str">
        <f t="shared" si="0"/>
        <v>GBPFUT1MH6_Quote</v>
      </c>
      <c r="F32" s="138" t="str">
        <f>_xll.qlSimpleQuote(E32,,PriceTickValue,Permanent,Trigger,ObjectOverwrite)</f>
        <v>GBPFUT1MH6_Quote#0000</v>
      </c>
      <c r="G32" s="101" t="str">
        <f>_xll.ohRangeRetrieveError(F32)</f>
        <v/>
      </c>
      <c r="H32" s="137"/>
    </row>
    <row r="33" spans="1:8" x14ac:dyDescent="0.2">
      <c r="A33" s="143"/>
      <c r="B33" s="142">
        <v>28</v>
      </c>
      <c r="C33" s="141" t="b">
        <v>0</v>
      </c>
      <c r="D33" s="140" t="str">
        <v>J6</v>
      </c>
      <c r="E33" s="139" t="str">
        <f t="shared" si="0"/>
        <v>GBPFUT1MJ6_Quote</v>
      </c>
      <c r="F33" s="138" t="str">
        <f>_xll.qlSimpleQuote(E33,,PriceTickValue,Permanent,Trigger,ObjectOverwrite)</f>
        <v>GBPFUT1MJ6_Quote#0000</v>
      </c>
      <c r="G33" s="101" t="str">
        <f>_xll.ohRangeRetrieveError(F33)</f>
        <v/>
      </c>
      <c r="H33" s="137"/>
    </row>
    <row r="34" spans="1:8" x14ac:dyDescent="0.2">
      <c r="A34" s="143"/>
      <c r="B34" s="142">
        <v>29</v>
      </c>
      <c r="C34" s="141" t="b">
        <v>0</v>
      </c>
      <c r="D34" s="140" t="str">
        <v>K6</v>
      </c>
      <c r="E34" s="139" t="str">
        <f t="shared" si="0"/>
        <v>GBPFUT1MK6_Quote</v>
      </c>
      <c r="F34" s="138" t="str">
        <f>_xll.qlSimpleQuote(E34,,PriceTickValue,Permanent,Trigger,ObjectOverwrite)</f>
        <v>GBPFUT1MK6_Quote#0000</v>
      </c>
      <c r="G34" s="101" t="str">
        <f>_xll.ohRangeRetrieveError(F34)</f>
        <v/>
      </c>
      <c r="H34" s="137"/>
    </row>
    <row r="35" spans="1:8" x14ac:dyDescent="0.2">
      <c r="A35" s="143"/>
      <c r="B35" s="142">
        <v>30</v>
      </c>
      <c r="C35" s="141" t="b">
        <v>0</v>
      </c>
      <c r="D35" s="140" t="str">
        <v>M6</v>
      </c>
      <c r="E35" s="139" t="str">
        <f t="shared" si="0"/>
        <v>GBPFUT1MM6_Quote</v>
      </c>
      <c r="F35" s="138" t="str">
        <f>_xll.qlSimpleQuote(E35,,PriceTickValue,Permanent,Trigger,ObjectOverwrite)</f>
        <v>GBPFUT1MM6_Quote#0000</v>
      </c>
      <c r="G35" s="101" t="str">
        <f>_xll.ohRangeRetrieveError(F35)</f>
        <v/>
      </c>
      <c r="H35" s="137"/>
    </row>
    <row r="36" spans="1:8" x14ac:dyDescent="0.2">
      <c r="A36" s="143"/>
      <c r="B36" s="142">
        <v>31</v>
      </c>
      <c r="C36" s="141" t="b">
        <v>0</v>
      </c>
      <c r="D36" s="140" t="str">
        <v>N6</v>
      </c>
      <c r="E36" s="139" t="str">
        <f t="shared" si="0"/>
        <v>GBPFUT1MN6_Quote</v>
      </c>
      <c r="F36" s="138" t="str">
        <f>_xll.qlSimpleQuote(E36,,PriceTickValue,Permanent,Trigger,ObjectOverwrite)</f>
        <v>GBPFUT1MN6_Quote#0000</v>
      </c>
      <c r="G36" s="101" t="str">
        <f>_xll.ohRangeRetrieveError(F36)</f>
        <v/>
      </c>
      <c r="H36" s="137"/>
    </row>
    <row r="37" spans="1:8" x14ac:dyDescent="0.2">
      <c r="A37" s="143"/>
      <c r="B37" s="142">
        <v>32</v>
      </c>
      <c r="C37" s="141" t="b">
        <v>0</v>
      </c>
      <c r="D37" s="140" t="str">
        <v>Q6</v>
      </c>
      <c r="E37" s="139" t="str">
        <f t="shared" si="0"/>
        <v>GBPFUT1MQ6_Quote</v>
      </c>
      <c r="F37" s="138" t="str">
        <f>_xll.qlSimpleQuote(E37,,PriceTickValue,Permanent,Trigger,ObjectOverwrite)</f>
        <v>GBPFUT1MQ6_Quote#0000</v>
      </c>
      <c r="G37" s="101" t="str">
        <f>_xll.ohRangeRetrieveError(F37)</f>
        <v/>
      </c>
      <c r="H37" s="137"/>
    </row>
    <row r="38" spans="1:8" x14ac:dyDescent="0.2">
      <c r="A38" s="143"/>
      <c r="B38" s="142">
        <v>33</v>
      </c>
      <c r="C38" s="141" t="b">
        <v>0</v>
      </c>
      <c r="D38" s="140" t="str">
        <v>U6</v>
      </c>
      <c r="E38" s="139" t="str">
        <f t="shared" ref="E38:E69" si="2">Currency&amp;$D$4&amp;$E$4&amp;$D38&amp;QuoteSuffix</f>
        <v>GBPFUT1MU6_Quote</v>
      </c>
      <c r="F38" s="138" t="str">
        <f>_xll.qlSimpleQuote(E38,,PriceTickValue,Permanent,Trigger,ObjectOverwrite)</f>
        <v>GBPFUT1MU6_Quote#0000</v>
      </c>
      <c r="G38" s="101" t="str">
        <f>_xll.ohRangeRetrieveError(F38)</f>
        <v/>
      </c>
      <c r="H38" s="137"/>
    </row>
    <row r="39" spans="1:8" x14ac:dyDescent="0.2">
      <c r="A39" s="143"/>
      <c r="B39" s="142">
        <v>34</v>
      </c>
      <c r="C39" s="141" t="b">
        <v>0</v>
      </c>
      <c r="D39" s="140" t="str">
        <v>V6</v>
      </c>
      <c r="E39" s="139" t="str">
        <f t="shared" si="2"/>
        <v>GBPFUT1MV6_Quote</v>
      </c>
      <c r="F39" s="138" t="str">
        <f>_xll.qlSimpleQuote(E39,,PriceTickValue,Permanent,Trigger,ObjectOverwrite)</f>
        <v>GBPFUT1MV6_Quote#0000</v>
      </c>
      <c r="G39" s="101" t="str">
        <f>_xll.ohRangeRetrieveError(F39)</f>
        <v/>
      </c>
      <c r="H39" s="137"/>
    </row>
    <row r="40" spans="1:8" x14ac:dyDescent="0.2">
      <c r="A40" s="143"/>
      <c r="B40" s="142">
        <v>35</v>
      </c>
      <c r="C40" s="141" t="b">
        <v>0</v>
      </c>
      <c r="D40" s="140" t="str">
        <v>X6</v>
      </c>
      <c r="E40" s="139" t="str">
        <f t="shared" si="2"/>
        <v>GBPFUT1MX6_Quote</v>
      </c>
      <c r="F40" s="138" t="str">
        <f>_xll.qlSimpleQuote(E40,,PriceTickValue,Permanent,Trigger,ObjectOverwrite)</f>
        <v>GBPFUT1MX6_Quote#0000</v>
      </c>
      <c r="G40" s="101" t="str">
        <f>_xll.ohRangeRetrieveError(F40)</f>
        <v/>
      </c>
      <c r="H40" s="137"/>
    </row>
    <row r="41" spans="1:8" x14ac:dyDescent="0.2">
      <c r="A41" s="143"/>
      <c r="B41" s="142">
        <v>36</v>
      </c>
      <c r="C41" s="141" t="b">
        <v>0</v>
      </c>
      <c r="D41" s="140" t="str">
        <v>Z6</v>
      </c>
      <c r="E41" s="139" t="str">
        <f t="shared" si="2"/>
        <v>GBPFUT1MZ6_Quote</v>
      </c>
      <c r="F41" s="138" t="str">
        <f>_xll.qlSimpleQuote(E41,,PriceTickValue,Permanent,Trigger,ObjectOverwrite)</f>
        <v>GBPFUT1MZ6_Quote#0000</v>
      </c>
      <c r="G41" s="101" t="str">
        <f>_xll.ohRangeRetrieveError(F41)</f>
        <v/>
      </c>
      <c r="H41" s="137"/>
    </row>
    <row r="42" spans="1:8" x14ac:dyDescent="0.2">
      <c r="A42" s="143"/>
      <c r="B42" s="142">
        <v>37</v>
      </c>
      <c r="C42" s="141" t="b">
        <v>0</v>
      </c>
      <c r="D42" s="140" t="str">
        <v>F7</v>
      </c>
      <c r="E42" s="139" t="str">
        <f t="shared" si="2"/>
        <v>GBPFUT1MF7_Quote</v>
      </c>
      <c r="F42" s="138" t="str">
        <f>_xll.qlSimpleQuote(E42,,PriceTickValue,Permanent,Trigger,ObjectOverwrite)</f>
        <v>GBPFUT1MF7_Quote#0000</v>
      </c>
      <c r="G42" s="101" t="str">
        <f>_xll.ohRangeRetrieveError(F42)</f>
        <v/>
      </c>
      <c r="H42" s="137"/>
    </row>
    <row r="43" spans="1:8" x14ac:dyDescent="0.2">
      <c r="A43" s="143"/>
      <c r="B43" s="142">
        <v>38</v>
      </c>
      <c r="C43" s="141" t="b">
        <v>0</v>
      </c>
      <c r="D43" s="140" t="str">
        <v>G7</v>
      </c>
      <c r="E43" s="139" t="str">
        <f t="shared" si="2"/>
        <v>GBPFUT1MG7_Quote</v>
      </c>
      <c r="F43" s="138" t="str">
        <f>_xll.qlSimpleQuote(E43,,PriceTickValue,Permanent,Trigger,ObjectOverwrite)</f>
        <v>GBPFUT1MG7_Quote#0000</v>
      </c>
      <c r="G43" s="101" t="str">
        <f>_xll.ohRangeRetrieveError(F43)</f>
        <v/>
      </c>
      <c r="H43" s="137"/>
    </row>
    <row r="44" spans="1:8" x14ac:dyDescent="0.2">
      <c r="A44" s="143"/>
      <c r="B44" s="142">
        <v>39</v>
      </c>
      <c r="C44" s="141" t="b">
        <v>0</v>
      </c>
      <c r="D44" s="140" t="str">
        <v>H7</v>
      </c>
      <c r="E44" s="139" t="str">
        <f t="shared" si="2"/>
        <v>GBPFUT1MH7_Quote</v>
      </c>
      <c r="F44" s="138" t="str">
        <f>_xll.qlSimpleQuote(E44,,PriceTickValue,Permanent,Trigger,ObjectOverwrite)</f>
        <v>GBPFUT1MH7_Quote#0000</v>
      </c>
      <c r="G44" s="101" t="str">
        <f>_xll.ohRangeRetrieveError(F44)</f>
        <v/>
      </c>
      <c r="H44" s="137"/>
    </row>
    <row r="45" spans="1:8" x14ac:dyDescent="0.2">
      <c r="A45" s="143"/>
      <c r="B45" s="142">
        <v>40</v>
      </c>
      <c r="C45" s="141" t="b">
        <v>0</v>
      </c>
      <c r="D45" s="140" t="str">
        <v>J7</v>
      </c>
      <c r="E45" s="139" t="str">
        <f t="shared" si="2"/>
        <v>GBPFUT1MJ7_Quote</v>
      </c>
      <c r="F45" s="138" t="str">
        <f>_xll.qlSimpleQuote(E45,,PriceTickValue,Permanent,Trigger,ObjectOverwrite)</f>
        <v>GBPFUT1MJ7_Quote#0000</v>
      </c>
      <c r="G45" s="101" t="str">
        <f>_xll.ohRangeRetrieveError(F45)</f>
        <v/>
      </c>
      <c r="H45" s="137"/>
    </row>
    <row r="46" spans="1:8" x14ac:dyDescent="0.2">
      <c r="A46" s="143"/>
      <c r="B46" s="142">
        <v>41</v>
      </c>
      <c r="C46" s="141" t="b">
        <v>0</v>
      </c>
      <c r="D46" s="140" t="str">
        <v>K7</v>
      </c>
      <c r="E46" s="139" t="str">
        <f t="shared" si="2"/>
        <v>GBPFUT1MK7_Quote</v>
      </c>
      <c r="F46" s="138" t="str">
        <f>_xll.qlSimpleQuote(E46,,PriceTickValue,Permanent,Trigger,ObjectOverwrite)</f>
        <v>GBPFUT1MK7_Quote#0000</v>
      </c>
      <c r="G46" s="101" t="str">
        <f>_xll.ohRangeRetrieveError(F46)</f>
        <v/>
      </c>
      <c r="H46" s="137"/>
    </row>
    <row r="47" spans="1:8" x14ac:dyDescent="0.2">
      <c r="A47" s="143"/>
      <c r="B47" s="142">
        <v>42</v>
      </c>
      <c r="C47" s="141" t="b">
        <v>0</v>
      </c>
      <c r="D47" s="140" t="str">
        <v>M7</v>
      </c>
      <c r="E47" s="139" t="str">
        <f t="shared" si="2"/>
        <v>GBPFUT1MM7_Quote</v>
      </c>
      <c r="F47" s="138" t="str">
        <f>_xll.qlSimpleQuote(E47,,PriceTickValue,Permanent,Trigger,ObjectOverwrite)</f>
        <v>GBPFUT1MM7_Quote#0000</v>
      </c>
      <c r="G47" s="101" t="str">
        <f>_xll.ohRangeRetrieveError(F47)</f>
        <v/>
      </c>
      <c r="H47" s="137"/>
    </row>
    <row r="48" spans="1:8" x14ac:dyDescent="0.2">
      <c r="A48" s="143"/>
      <c r="B48" s="142">
        <v>43</v>
      </c>
      <c r="C48" s="141" t="b">
        <v>0</v>
      </c>
      <c r="D48" s="140" t="str">
        <v>N7</v>
      </c>
      <c r="E48" s="139" t="str">
        <f t="shared" si="2"/>
        <v>GBPFUT1MN7_Quote</v>
      </c>
      <c r="F48" s="138" t="str">
        <f>_xll.qlSimpleQuote(E48,,PriceTickValue,Permanent,Trigger,ObjectOverwrite)</f>
        <v>GBPFUT1MN7_Quote#0000</v>
      </c>
      <c r="G48" s="101" t="str">
        <f>_xll.ohRangeRetrieveError(F48)</f>
        <v/>
      </c>
      <c r="H48" s="137"/>
    </row>
    <row r="49" spans="1:8" x14ac:dyDescent="0.2">
      <c r="A49" s="143"/>
      <c r="B49" s="142">
        <v>44</v>
      </c>
      <c r="C49" s="141" t="b">
        <v>0</v>
      </c>
      <c r="D49" s="140" t="str">
        <v>Q7</v>
      </c>
      <c r="E49" s="139" t="str">
        <f t="shared" si="2"/>
        <v>GBPFUT1MQ7_Quote</v>
      </c>
      <c r="F49" s="138" t="str">
        <f>_xll.qlSimpleQuote(E49,,PriceTickValue,Permanent,Trigger,ObjectOverwrite)</f>
        <v>GBPFUT1MQ7_Quote#0000</v>
      </c>
      <c r="G49" s="101" t="str">
        <f>_xll.ohRangeRetrieveError(F49)</f>
        <v/>
      </c>
      <c r="H49" s="137"/>
    </row>
    <row r="50" spans="1:8" x14ac:dyDescent="0.2">
      <c r="A50" s="143"/>
      <c r="B50" s="142">
        <v>45</v>
      </c>
      <c r="C50" s="141" t="b">
        <v>0</v>
      </c>
      <c r="D50" s="140" t="str">
        <v>U7</v>
      </c>
      <c r="E50" s="139" t="str">
        <f t="shared" si="2"/>
        <v>GBPFUT1MU7_Quote</v>
      </c>
      <c r="F50" s="138" t="str">
        <f>_xll.qlSimpleQuote(E50,,PriceTickValue,Permanent,Trigger,ObjectOverwrite)</f>
        <v>GBPFUT1MU7_Quote#0000</v>
      </c>
      <c r="G50" s="101" t="str">
        <f>_xll.ohRangeRetrieveError(F50)</f>
        <v/>
      </c>
      <c r="H50" s="137"/>
    </row>
    <row r="51" spans="1:8" x14ac:dyDescent="0.2">
      <c r="A51" s="143"/>
      <c r="B51" s="142">
        <v>46</v>
      </c>
      <c r="C51" s="141" t="b">
        <v>0</v>
      </c>
      <c r="D51" s="140" t="str">
        <v>V7</v>
      </c>
      <c r="E51" s="139" t="str">
        <f t="shared" si="2"/>
        <v>GBPFUT1MV7_Quote</v>
      </c>
      <c r="F51" s="138" t="str">
        <f>_xll.qlSimpleQuote(E51,,PriceTickValue,Permanent,Trigger,ObjectOverwrite)</f>
        <v>GBPFUT1MV7_Quote#0000</v>
      </c>
      <c r="G51" s="101" t="str">
        <f>_xll.ohRangeRetrieveError(F51)</f>
        <v/>
      </c>
      <c r="H51" s="137"/>
    </row>
    <row r="52" spans="1:8" x14ac:dyDescent="0.2">
      <c r="A52" s="143"/>
      <c r="B52" s="142">
        <v>47</v>
      </c>
      <c r="C52" s="141" t="b">
        <v>0</v>
      </c>
      <c r="D52" s="140" t="str">
        <v>X7</v>
      </c>
      <c r="E52" s="139" t="str">
        <f t="shared" si="2"/>
        <v>GBPFUT1MX7_Quote</v>
      </c>
      <c r="F52" s="138" t="str">
        <f>_xll.qlSimpleQuote(E52,,PriceTickValue,Permanent,Trigger,ObjectOverwrite)</f>
        <v>GBPFUT1MX7_Quote#0000</v>
      </c>
      <c r="G52" s="101" t="str">
        <f>_xll.ohRangeRetrieveError(F52)</f>
        <v/>
      </c>
      <c r="H52" s="137"/>
    </row>
    <row r="53" spans="1:8" x14ac:dyDescent="0.2">
      <c r="A53" s="143"/>
      <c r="B53" s="142">
        <v>48</v>
      </c>
      <c r="C53" s="141" t="b">
        <v>0</v>
      </c>
      <c r="D53" s="140" t="str">
        <v>Z7</v>
      </c>
      <c r="E53" s="139" t="str">
        <f t="shared" si="2"/>
        <v>GBPFUT1MZ7_Quote</v>
      </c>
      <c r="F53" s="138" t="str">
        <f>_xll.qlSimpleQuote(E53,,PriceTickValue,Permanent,Trigger,ObjectOverwrite)</f>
        <v>GBPFUT1MZ7_Quote#0000</v>
      </c>
      <c r="G53" s="101" t="str">
        <f>_xll.ohRangeRetrieveError(F53)</f>
        <v/>
      </c>
      <c r="H53" s="137"/>
    </row>
    <row r="54" spans="1:8" x14ac:dyDescent="0.2">
      <c r="A54" s="143"/>
      <c r="B54" s="142">
        <v>49</v>
      </c>
      <c r="C54" s="141" t="b">
        <v>0</v>
      </c>
      <c r="D54" s="140" t="str">
        <v>F8</v>
      </c>
      <c r="E54" s="139" t="str">
        <f t="shared" si="2"/>
        <v>GBPFUT1MF8_Quote</v>
      </c>
      <c r="F54" s="138" t="str">
        <f>_xll.qlSimpleQuote(E54,,PriceTickValue,Permanent,Trigger,ObjectOverwrite)</f>
        <v>GBPFUT1MF8_Quote#0000</v>
      </c>
      <c r="G54" s="101" t="str">
        <f>_xll.ohRangeRetrieveError(F54)</f>
        <v/>
      </c>
      <c r="H54" s="137"/>
    </row>
    <row r="55" spans="1:8" x14ac:dyDescent="0.2">
      <c r="A55" s="143"/>
      <c r="B55" s="142">
        <v>50</v>
      </c>
      <c r="C55" s="141" t="b">
        <v>0</v>
      </c>
      <c r="D55" s="140" t="str">
        <v>G8</v>
      </c>
      <c r="E55" s="139" t="str">
        <f t="shared" si="2"/>
        <v>GBPFUT1MG8_Quote</v>
      </c>
      <c r="F55" s="138" t="str">
        <f>_xll.qlSimpleQuote(E55,,PriceTickValue,Permanent,Trigger,ObjectOverwrite)</f>
        <v>GBPFUT1MG8_Quote#0000</v>
      </c>
      <c r="G55" s="101" t="str">
        <f>_xll.ohRangeRetrieveError(F55)</f>
        <v/>
      </c>
      <c r="H55" s="137"/>
    </row>
    <row r="56" spans="1:8" x14ac:dyDescent="0.2">
      <c r="A56" s="143"/>
      <c r="B56" s="142">
        <v>51</v>
      </c>
      <c r="C56" s="141" t="b">
        <v>0</v>
      </c>
      <c r="D56" s="140" t="str">
        <v>H8</v>
      </c>
      <c r="E56" s="139" t="str">
        <f t="shared" si="2"/>
        <v>GBPFUT1MH8_Quote</v>
      </c>
      <c r="F56" s="138" t="str">
        <f>_xll.qlSimpleQuote(E56,,PriceTickValue,Permanent,Trigger,ObjectOverwrite)</f>
        <v>GBPFUT1MH8_Quote#0000</v>
      </c>
      <c r="G56" s="101" t="str">
        <f>_xll.ohRangeRetrieveError(F56)</f>
        <v/>
      </c>
      <c r="H56" s="137"/>
    </row>
    <row r="57" spans="1:8" x14ac:dyDescent="0.2">
      <c r="A57" s="143"/>
      <c r="B57" s="142">
        <v>52</v>
      </c>
      <c r="C57" s="141" t="b">
        <v>0</v>
      </c>
      <c r="D57" s="140" t="str">
        <v>J8</v>
      </c>
      <c r="E57" s="139" t="str">
        <f t="shared" si="2"/>
        <v>GBPFUT1MJ8_Quote</v>
      </c>
      <c r="F57" s="138" t="str">
        <f>_xll.qlSimpleQuote(E57,,PriceTickValue,Permanent,Trigger,ObjectOverwrite)</f>
        <v>GBPFUT1MJ8_Quote#0000</v>
      </c>
      <c r="G57" s="101" t="str">
        <f>_xll.ohRangeRetrieveError(F57)</f>
        <v/>
      </c>
      <c r="H57" s="137"/>
    </row>
    <row r="58" spans="1:8" x14ac:dyDescent="0.2">
      <c r="A58" s="143"/>
      <c r="B58" s="142">
        <v>53</v>
      </c>
      <c r="C58" s="141" t="b">
        <v>0</v>
      </c>
      <c r="D58" s="140" t="str">
        <v>K8</v>
      </c>
      <c r="E58" s="139" t="str">
        <f t="shared" si="2"/>
        <v>GBPFUT1MK8_Quote</v>
      </c>
      <c r="F58" s="138" t="str">
        <f>_xll.qlSimpleQuote(E58,,PriceTickValue,Permanent,Trigger,ObjectOverwrite)</f>
        <v>GBPFUT1MK8_Quote#0000</v>
      </c>
      <c r="G58" s="101" t="str">
        <f>_xll.ohRangeRetrieveError(F58)</f>
        <v/>
      </c>
      <c r="H58" s="137"/>
    </row>
    <row r="59" spans="1:8" x14ac:dyDescent="0.2">
      <c r="A59" s="143"/>
      <c r="B59" s="142">
        <v>54</v>
      </c>
      <c r="C59" s="141" t="b">
        <v>0</v>
      </c>
      <c r="D59" s="140" t="str">
        <v>M8</v>
      </c>
      <c r="E59" s="139" t="str">
        <f t="shared" si="2"/>
        <v>GBPFUT1MM8_Quote</v>
      </c>
      <c r="F59" s="138" t="str">
        <f>_xll.qlSimpleQuote(E59,,PriceTickValue,Permanent,Trigger,ObjectOverwrite)</f>
        <v>GBPFUT1MM8_Quote#0000</v>
      </c>
      <c r="G59" s="101" t="str">
        <f>_xll.ohRangeRetrieveError(F59)</f>
        <v/>
      </c>
      <c r="H59" s="137"/>
    </row>
    <row r="60" spans="1:8" x14ac:dyDescent="0.2">
      <c r="A60" s="143"/>
      <c r="B60" s="142">
        <v>55</v>
      </c>
      <c r="C60" s="141" t="b">
        <v>0</v>
      </c>
      <c r="D60" s="140" t="str">
        <v>N8</v>
      </c>
      <c r="E60" s="139" t="str">
        <f t="shared" si="2"/>
        <v>GBPFUT1MN8_Quote</v>
      </c>
      <c r="F60" s="138" t="str">
        <f>_xll.qlSimpleQuote(E60,,PriceTickValue,Permanent,Trigger,ObjectOverwrite)</f>
        <v>GBPFUT1MN8_Quote#0000</v>
      </c>
      <c r="G60" s="101" t="str">
        <f>_xll.ohRangeRetrieveError(F60)</f>
        <v/>
      </c>
      <c r="H60" s="137"/>
    </row>
    <row r="61" spans="1:8" x14ac:dyDescent="0.2">
      <c r="A61" s="143"/>
      <c r="B61" s="142">
        <v>56</v>
      </c>
      <c r="C61" s="141" t="b">
        <v>0</v>
      </c>
      <c r="D61" s="140" t="str">
        <v>Q8</v>
      </c>
      <c r="E61" s="139" t="str">
        <f t="shared" si="2"/>
        <v>GBPFUT1MQ8_Quote</v>
      </c>
      <c r="F61" s="138" t="str">
        <f>_xll.qlSimpleQuote(E61,,PriceTickValue,Permanent,Trigger,ObjectOverwrite)</f>
        <v>GBPFUT1MQ8_Quote#0000</v>
      </c>
      <c r="G61" s="101" t="str">
        <f>_xll.ohRangeRetrieveError(F61)</f>
        <v/>
      </c>
      <c r="H61" s="137"/>
    </row>
    <row r="62" spans="1:8" x14ac:dyDescent="0.2">
      <c r="A62" s="143"/>
      <c r="B62" s="142">
        <v>57</v>
      </c>
      <c r="C62" s="141" t="b">
        <v>0</v>
      </c>
      <c r="D62" s="140" t="str">
        <v>U8</v>
      </c>
      <c r="E62" s="139" t="str">
        <f t="shared" si="2"/>
        <v>GBPFUT1MU8_Quote</v>
      </c>
      <c r="F62" s="138" t="str">
        <f>_xll.qlSimpleQuote(E62,,PriceTickValue,Permanent,Trigger,ObjectOverwrite)</f>
        <v>GBPFUT1MU8_Quote#0000</v>
      </c>
      <c r="G62" s="101" t="str">
        <f>_xll.ohRangeRetrieveError(F62)</f>
        <v/>
      </c>
      <c r="H62" s="137"/>
    </row>
    <row r="63" spans="1:8" x14ac:dyDescent="0.2">
      <c r="A63" s="143"/>
      <c r="B63" s="142">
        <v>58</v>
      </c>
      <c r="C63" s="141" t="b">
        <v>0</v>
      </c>
      <c r="D63" s="140" t="str">
        <v>V8</v>
      </c>
      <c r="E63" s="139" t="str">
        <f t="shared" si="2"/>
        <v>GBPFUT1MV8_Quote</v>
      </c>
      <c r="F63" s="138" t="str">
        <f>_xll.qlSimpleQuote(E63,,PriceTickValue,Permanent,Trigger,ObjectOverwrite)</f>
        <v>GBPFUT1MV8_Quote#0000</v>
      </c>
      <c r="G63" s="101" t="str">
        <f>_xll.ohRangeRetrieveError(F63)</f>
        <v/>
      </c>
      <c r="H63" s="137"/>
    </row>
    <row r="64" spans="1:8" x14ac:dyDescent="0.2">
      <c r="A64" s="143"/>
      <c r="B64" s="142">
        <v>59</v>
      </c>
      <c r="C64" s="141" t="b">
        <v>0</v>
      </c>
      <c r="D64" s="140" t="str">
        <v>X8</v>
      </c>
      <c r="E64" s="139" t="str">
        <f t="shared" si="2"/>
        <v>GBPFUT1MX8_Quote</v>
      </c>
      <c r="F64" s="138" t="str">
        <f>_xll.qlSimpleQuote(E64,,PriceTickValue,Permanent,Trigger,ObjectOverwrite)</f>
        <v>GBPFUT1MX8_Quote#0000</v>
      </c>
      <c r="G64" s="101" t="str">
        <f>_xll.ohRangeRetrieveError(F64)</f>
        <v/>
      </c>
      <c r="H64" s="137"/>
    </row>
    <row r="65" spans="1:8" x14ac:dyDescent="0.2">
      <c r="A65" s="143"/>
      <c r="B65" s="142">
        <v>60</v>
      </c>
      <c r="C65" s="141" t="b">
        <v>0</v>
      </c>
      <c r="D65" s="140" t="str">
        <v>Z8</v>
      </c>
      <c r="E65" s="139" t="str">
        <f t="shared" si="2"/>
        <v>GBPFUT1MZ8_Quote</v>
      </c>
      <c r="F65" s="138" t="str">
        <f>_xll.qlSimpleQuote(E65,,PriceTickValue,Permanent,Trigger,ObjectOverwrite)</f>
        <v>GBPFUT1MZ8_Quote#0000</v>
      </c>
      <c r="G65" s="101" t="str">
        <f>_xll.ohRangeRetrieveError(F65)</f>
        <v/>
      </c>
      <c r="H65" s="137"/>
    </row>
    <row r="66" spans="1:8" x14ac:dyDescent="0.2">
      <c r="A66" s="143"/>
      <c r="B66" s="142">
        <v>61</v>
      </c>
      <c r="C66" s="141" t="b">
        <v>0</v>
      </c>
      <c r="D66" s="140" t="str">
        <v>F9</v>
      </c>
      <c r="E66" s="139" t="str">
        <f t="shared" si="2"/>
        <v>GBPFUT1MF9_Quote</v>
      </c>
      <c r="F66" s="138" t="str">
        <f>_xll.qlSimpleQuote(E66,,PriceTickValue,Permanent,Trigger,ObjectOverwrite)</f>
        <v>GBPFUT1MF9_Quote#0000</v>
      </c>
      <c r="G66" s="101" t="str">
        <f>_xll.ohRangeRetrieveError(F66)</f>
        <v/>
      </c>
      <c r="H66" s="137"/>
    </row>
    <row r="67" spans="1:8" x14ac:dyDescent="0.2">
      <c r="A67" s="143"/>
      <c r="B67" s="142">
        <v>62</v>
      </c>
      <c r="C67" s="141" t="b">
        <v>0</v>
      </c>
      <c r="D67" s="140" t="str">
        <v>G9</v>
      </c>
      <c r="E67" s="139" t="str">
        <f t="shared" si="2"/>
        <v>GBPFUT1MG9_Quote</v>
      </c>
      <c r="F67" s="138" t="str">
        <f>_xll.qlSimpleQuote(E67,,PriceTickValue,Permanent,Trigger,ObjectOverwrite)</f>
        <v>GBPFUT1MG9_Quote#0000</v>
      </c>
      <c r="G67" s="101" t="str">
        <f>_xll.ohRangeRetrieveError(F67)</f>
        <v/>
      </c>
      <c r="H67" s="137"/>
    </row>
    <row r="68" spans="1:8" x14ac:dyDescent="0.2">
      <c r="A68" s="143"/>
      <c r="B68" s="142">
        <v>63</v>
      </c>
      <c r="C68" s="141" t="b">
        <v>0</v>
      </c>
      <c r="D68" s="140" t="str">
        <v>H9</v>
      </c>
      <c r="E68" s="139" t="str">
        <f t="shared" si="2"/>
        <v>GBPFUT1MH9_Quote</v>
      </c>
      <c r="F68" s="138" t="str">
        <f>_xll.qlSimpleQuote(E68,,PriceTickValue,Permanent,Trigger,ObjectOverwrite)</f>
        <v>GBPFUT1MH9_Quote#0000</v>
      </c>
      <c r="G68" s="101" t="str">
        <f>_xll.ohRangeRetrieveError(F68)</f>
        <v/>
      </c>
      <c r="H68" s="137"/>
    </row>
    <row r="69" spans="1:8" x14ac:dyDescent="0.2">
      <c r="A69" s="143"/>
      <c r="B69" s="142">
        <v>64</v>
      </c>
      <c r="C69" s="141" t="b">
        <v>0</v>
      </c>
      <c r="D69" s="140" t="str">
        <v>J9</v>
      </c>
      <c r="E69" s="139" t="str">
        <f t="shared" si="2"/>
        <v>GBPFUT1MJ9_Quote</v>
      </c>
      <c r="F69" s="138" t="str">
        <f>_xll.qlSimpleQuote(E69,,PriceTickValue,Permanent,Trigger,ObjectOverwrite)</f>
        <v>GBPFUT1MJ9_Quote#0000</v>
      </c>
      <c r="G69" s="101" t="str">
        <f>_xll.ohRangeRetrieveError(F69)</f>
        <v/>
      </c>
      <c r="H69" s="137"/>
    </row>
    <row r="70" spans="1:8" x14ac:dyDescent="0.2">
      <c r="A70" s="143"/>
      <c r="B70" s="142">
        <v>65</v>
      </c>
      <c r="C70" s="141" t="b">
        <v>0</v>
      </c>
      <c r="D70" s="140" t="str">
        <v>K9</v>
      </c>
      <c r="E70" s="139" t="str">
        <f t="shared" ref="E70:E101" si="3">Currency&amp;$D$4&amp;$E$4&amp;$D70&amp;QuoteSuffix</f>
        <v>GBPFUT1MK9_Quote</v>
      </c>
      <c r="F70" s="138" t="str">
        <f>_xll.qlSimpleQuote(E70,,PriceTickValue,Permanent,Trigger,ObjectOverwrite)</f>
        <v>GBPFUT1MK9_Quote#0000</v>
      </c>
      <c r="G70" s="101" t="str">
        <f>_xll.ohRangeRetrieveError(F70)</f>
        <v/>
      </c>
      <c r="H70" s="137"/>
    </row>
    <row r="71" spans="1:8" x14ac:dyDescent="0.2">
      <c r="A71" s="143"/>
      <c r="B71" s="142">
        <v>66</v>
      </c>
      <c r="C71" s="141" t="b">
        <v>0</v>
      </c>
      <c r="D71" s="140" t="str">
        <v>M9</v>
      </c>
      <c r="E71" s="139" t="str">
        <f t="shared" si="3"/>
        <v>GBPFUT1MM9_Quote</v>
      </c>
      <c r="F71" s="138" t="str">
        <f>_xll.qlSimpleQuote(E71,,PriceTickValue,Permanent,Trigger,ObjectOverwrite)</f>
        <v>GBPFUT1MM9_Quote#0000</v>
      </c>
      <c r="G71" s="101" t="str">
        <f>_xll.ohRangeRetrieveError(F71)</f>
        <v/>
      </c>
      <c r="H71" s="137"/>
    </row>
    <row r="72" spans="1:8" x14ac:dyDescent="0.2">
      <c r="A72" s="143"/>
      <c r="B72" s="142">
        <v>67</v>
      </c>
      <c r="C72" s="141" t="b">
        <v>0</v>
      </c>
      <c r="D72" s="140" t="str">
        <v>N9</v>
      </c>
      <c r="E72" s="139" t="str">
        <f t="shared" si="3"/>
        <v>GBPFUT1MN9_Quote</v>
      </c>
      <c r="F72" s="138" t="str">
        <f>_xll.qlSimpleQuote(E72,,PriceTickValue,Permanent,Trigger,ObjectOverwrite)</f>
        <v>GBPFUT1MN9_Quote#0000</v>
      </c>
      <c r="G72" s="101" t="str">
        <f>_xll.ohRangeRetrieveError(F72)</f>
        <v/>
      </c>
      <c r="H72" s="137"/>
    </row>
    <row r="73" spans="1:8" x14ac:dyDescent="0.2">
      <c r="A73" s="143"/>
      <c r="B73" s="142">
        <v>68</v>
      </c>
      <c r="C73" s="141" t="b">
        <v>0</v>
      </c>
      <c r="D73" s="140" t="str">
        <v>Q9</v>
      </c>
      <c r="E73" s="139" t="str">
        <f t="shared" si="3"/>
        <v>GBPFUT1MQ9_Quote</v>
      </c>
      <c r="F73" s="138" t="str">
        <f>_xll.qlSimpleQuote(E73,,PriceTickValue,Permanent,Trigger,ObjectOverwrite)</f>
        <v>GBPFUT1MQ9_Quote#0000</v>
      </c>
      <c r="G73" s="101" t="str">
        <f>_xll.ohRangeRetrieveError(F73)</f>
        <v/>
      </c>
      <c r="H73" s="137"/>
    </row>
    <row r="74" spans="1:8" x14ac:dyDescent="0.2">
      <c r="A74" s="143"/>
      <c r="B74" s="142">
        <v>69</v>
      </c>
      <c r="C74" s="141" t="b">
        <v>0</v>
      </c>
      <c r="D74" s="140" t="str">
        <v>U9</v>
      </c>
      <c r="E74" s="139" t="str">
        <f t="shared" si="3"/>
        <v>GBPFUT1MU9_Quote</v>
      </c>
      <c r="F74" s="138" t="str">
        <f>_xll.qlSimpleQuote(E74,,PriceTickValue,Permanent,Trigger,ObjectOverwrite)</f>
        <v>GBPFUT1MU9_Quote#0000</v>
      </c>
      <c r="G74" s="101" t="str">
        <f>_xll.ohRangeRetrieveError(F74)</f>
        <v/>
      </c>
      <c r="H74" s="137"/>
    </row>
    <row r="75" spans="1:8" x14ac:dyDescent="0.2">
      <c r="A75" s="143"/>
      <c r="B75" s="142">
        <v>70</v>
      </c>
      <c r="C75" s="141" t="b">
        <v>0</v>
      </c>
      <c r="D75" s="140" t="str">
        <v>V9</v>
      </c>
      <c r="E75" s="139" t="str">
        <f t="shared" si="3"/>
        <v>GBPFUT1MV9_Quote</v>
      </c>
      <c r="F75" s="138" t="str">
        <f>_xll.qlSimpleQuote(E75,,PriceTickValue,Permanent,Trigger,ObjectOverwrite)</f>
        <v>GBPFUT1MV9_Quote#0000</v>
      </c>
      <c r="G75" s="101" t="str">
        <f>_xll.ohRangeRetrieveError(F75)</f>
        <v/>
      </c>
      <c r="H75" s="137"/>
    </row>
    <row r="76" spans="1:8" x14ac:dyDescent="0.2">
      <c r="A76" s="143"/>
      <c r="B76" s="142">
        <v>71</v>
      </c>
      <c r="C76" s="141" t="b">
        <v>0</v>
      </c>
      <c r="D76" s="140" t="str">
        <v>X9</v>
      </c>
      <c r="E76" s="139" t="str">
        <f t="shared" si="3"/>
        <v>GBPFUT1MX9_Quote</v>
      </c>
      <c r="F76" s="138" t="str">
        <f>_xll.qlSimpleQuote(E76,,PriceTickValue,Permanent,Trigger,ObjectOverwrite)</f>
        <v>GBPFUT1MX9_Quote#0000</v>
      </c>
      <c r="G76" s="101" t="str">
        <f>_xll.ohRangeRetrieveError(F76)</f>
        <v/>
      </c>
      <c r="H76" s="137"/>
    </row>
    <row r="77" spans="1:8" x14ac:dyDescent="0.2">
      <c r="A77" s="143"/>
      <c r="B77" s="142">
        <v>72</v>
      </c>
      <c r="C77" s="141" t="b">
        <v>0</v>
      </c>
      <c r="D77" s="140" t="str">
        <v>Z9</v>
      </c>
      <c r="E77" s="139" t="str">
        <f t="shared" si="3"/>
        <v>GBPFUT1MZ9_Quote</v>
      </c>
      <c r="F77" s="138" t="str">
        <f>_xll.qlSimpleQuote(E77,,PriceTickValue,Permanent,Trigger,ObjectOverwrite)</f>
        <v>GBPFUT1MZ9_Quote#0000</v>
      </c>
      <c r="G77" s="101" t="str">
        <f>_xll.ohRangeRetrieveError(F77)</f>
        <v/>
      </c>
      <c r="H77" s="137"/>
    </row>
    <row r="78" spans="1:8" x14ac:dyDescent="0.2">
      <c r="A78" s="143"/>
      <c r="B78" s="142">
        <v>73</v>
      </c>
      <c r="C78" s="141" t="b">
        <v>0</v>
      </c>
      <c r="D78" s="140" t="str">
        <v>F0</v>
      </c>
      <c r="E78" s="139" t="str">
        <f t="shared" si="3"/>
        <v>GBPFUT1MF0_Quote</v>
      </c>
      <c r="F78" s="138" t="str">
        <f>_xll.qlSimpleQuote(E78,,PriceTickValue,Permanent,Trigger,ObjectOverwrite)</f>
        <v>GBPFUT1MF0_Quote#0000</v>
      </c>
      <c r="G78" s="101" t="str">
        <f>_xll.ohRangeRetrieveError(F78)</f>
        <v/>
      </c>
      <c r="H78" s="137"/>
    </row>
    <row r="79" spans="1:8" x14ac:dyDescent="0.2">
      <c r="A79" s="143"/>
      <c r="B79" s="142">
        <v>74</v>
      </c>
      <c r="C79" s="141" t="b">
        <v>0</v>
      </c>
      <c r="D79" s="140" t="str">
        <v>G0</v>
      </c>
      <c r="E79" s="139" t="str">
        <f t="shared" si="3"/>
        <v>GBPFUT1MG0_Quote</v>
      </c>
      <c r="F79" s="138" t="str">
        <f>_xll.qlSimpleQuote(E79,,PriceTickValue,Permanent,Trigger,ObjectOverwrite)</f>
        <v>GBPFUT1MG0_Quote#0000</v>
      </c>
      <c r="G79" s="101" t="str">
        <f>_xll.ohRangeRetrieveError(F79)</f>
        <v/>
      </c>
      <c r="H79" s="137"/>
    </row>
    <row r="80" spans="1:8" x14ac:dyDescent="0.2">
      <c r="A80" s="143"/>
      <c r="B80" s="142">
        <v>75</v>
      </c>
      <c r="C80" s="141" t="b">
        <v>0</v>
      </c>
      <c r="D80" s="140" t="str">
        <v>H0</v>
      </c>
      <c r="E80" s="139" t="str">
        <f t="shared" si="3"/>
        <v>GBPFUT1MH0_Quote</v>
      </c>
      <c r="F80" s="138" t="str">
        <f>_xll.qlSimpleQuote(E80,,PriceTickValue,Permanent,Trigger,ObjectOverwrite)</f>
        <v>GBPFUT1MH0_Quote#0000</v>
      </c>
      <c r="G80" s="101" t="str">
        <f>_xll.ohRangeRetrieveError(F80)</f>
        <v/>
      </c>
      <c r="H80" s="137"/>
    </row>
    <row r="81" spans="1:8" x14ac:dyDescent="0.2">
      <c r="A81" s="143"/>
      <c r="B81" s="142">
        <v>76</v>
      </c>
      <c r="C81" s="141" t="b">
        <v>0</v>
      </c>
      <c r="D81" s="140" t="str">
        <v>J0</v>
      </c>
      <c r="E81" s="139" t="str">
        <f t="shared" si="3"/>
        <v>GBPFUT1MJ0_Quote</v>
      </c>
      <c r="F81" s="138" t="str">
        <f>_xll.qlSimpleQuote(E81,,PriceTickValue,Permanent,Trigger,ObjectOverwrite)</f>
        <v>GBPFUT1MJ0_Quote#0000</v>
      </c>
      <c r="G81" s="101" t="str">
        <f>_xll.ohRangeRetrieveError(F81)</f>
        <v/>
      </c>
      <c r="H81" s="137"/>
    </row>
    <row r="82" spans="1:8" x14ac:dyDescent="0.2">
      <c r="A82" s="143"/>
      <c r="B82" s="142">
        <v>77</v>
      </c>
      <c r="C82" s="141" t="b">
        <v>0</v>
      </c>
      <c r="D82" s="140" t="str">
        <v>K0</v>
      </c>
      <c r="E82" s="139" t="str">
        <f t="shared" si="3"/>
        <v>GBPFUT1MK0_Quote</v>
      </c>
      <c r="F82" s="138" t="str">
        <f>_xll.qlSimpleQuote(E82,,PriceTickValue,Permanent,Trigger,ObjectOverwrite)</f>
        <v>GBPFUT1MK0_Quote#0000</v>
      </c>
      <c r="G82" s="101" t="str">
        <f>_xll.ohRangeRetrieveError(F82)</f>
        <v/>
      </c>
      <c r="H82" s="137"/>
    </row>
    <row r="83" spans="1:8" x14ac:dyDescent="0.2">
      <c r="A83" s="143"/>
      <c r="B83" s="142">
        <v>78</v>
      </c>
      <c r="C83" s="141" t="b">
        <v>0</v>
      </c>
      <c r="D83" s="140" t="str">
        <v>M0</v>
      </c>
      <c r="E83" s="139" t="str">
        <f t="shared" si="3"/>
        <v>GBPFUT1MM0_Quote</v>
      </c>
      <c r="F83" s="138" t="str">
        <f>_xll.qlSimpleQuote(E83,,PriceTickValue,Permanent,Trigger,ObjectOverwrite)</f>
        <v>GBPFUT1MM0_Quote#0000</v>
      </c>
      <c r="G83" s="101" t="str">
        <f>_xll.ohRangeRetrieveError(F83)</f>
        <v/>
      </c>
      <c r="H83" s="137"/>
    </row>
    <row r="84" spans="1:8" x14ac:dyDescent="0.2">
      <c r="A84" s="143"/>
      <c r="B84" s="142">
        <v>79</v>
      </c>
      <c r="C84" s="141" t="b">
        <v>0</v>
      </c>
      <c r="D84" s="140" t="str">
        <v>N0</v>
      </c>
      <c r="E84" s="139" t="str">
        <f t="shared" si="3"/>
        <v>GBPFUT1MN0_Quote</v>
      </c>
      <c r="F84" s="138" t="str">
        <f>_xll.qlSimpleQuote(E84,,PriceTickValue,Permanent,Trigger,ObjectOverwrite)</f>
        <v>GBPFUT1MN0_Quote#0000</v>
      </c>
      <c r="G84" s="101" t="str">
        <f>_xll.ohRangeRetrieveError(F84)</f>
        <v/>
      </c>
      <c r="H84" s="137"/>
    </row>
    <row r="85" spans="1:8" x14ac:dyDescent="0.2">
      <c r="A85" s="143"/>
      <c r="B85" s="142">
        <v>80</v>
      </c>
      <c r="C85" s="141" t="b">
        <v>0</v>
      </c>
      <c r="D85" s="140" t="str">
        <v>Q0</v>
      </c>
      <c r="E85" s="139" t="str">
        <f t="shared" si="3"/>
        <v>GBPFUT1MQ0_Quote</v>
      </c>
      <c r="F85" s="138" t="str">
        <f>_xll.qlSimpleQuote(E85,,PriceTickValue,Permanent,Trigger,ObjectOverwrite)</f>
        <v>GBPFUT1MQ0_Quote#0000</v>
      </c>
      <c r="G85" s="101" t="str">
        <f>_xll.ohRangeRetrieveError(F85)</f>
        <v/>
      </c>
      <c r="H85" s="137"/>
    </row>
    <row r="86" spans="1:8" x14ac:dyDescent="0.2">
      <c r="A86" s="143"/>
      <c r="B86" s="142">
        <v>81</v>
      </c>
      <c r="C86" s="141" t="b">
        <v>0</v>
      </c>
      <c r="D86" s="140" t="str">
        <v>U0</v>
      </c>
      <c r="E86" s="139" t="str">
        <f t="shared" si="3"/>
        <v>GBPFUT1MU0_Quote</v>
      </c>
      <c r="F86" s="138" t="str">
        <f>_xll.qlSimpleQuote(E86,,PriceTickValue,Permanent,Trigger,ObjectOverwrite)</f>
        <v>GBPFUT1MU0_Quote#0000</v>
      </c>
      <c r="G86" s="101" t="str">
        <f>_xll.ohRangeRetrieveError(F86)</f>
        <v/>
      </c>
      <c r="H86" s="137"/>
    </row>
    <row r="87" spans="1:8" x14ac:dyDescent="0.2">
      <c r="A87" s="143"/>
      <c r="B87" s="142">
        <v>82</v>
      </c>
      <c r="C87" s="141" t="b">
        <v>0</v>
      </c>
      <c r="D87" s="140" t="str">
        <v>V0</v>
      </c>
      <c r="E87" s="139" t="str">
        <f t="shared" si="3"/>
        <v>GBPFUT1MV0_Quote</v>
      </c>
      <c r="F87" s="138" t="str">
        <f>_xll.qlSimpleQuote(E87,,PriceTickValue,Permanent,Trigger,ObjectOverwrite)</f>
        <v>GBPFUT1MV0_Quote#0000</v>
      </c>
      <c r="G87" s="101" t="str">
        <f>_xll.ohRangeRetrieveError(F87)</f>
        <v/>
      </c>
      <c r="H87" s="137"/>
    </row>
    <row r="88" spans="1:8" x14ac:dyDescent="0.2">
      <c r="A88" s="143"/>
      <c r="B88" s="142">
        <v>83</v>
      </c>
      <c r="C88" s="141" t="b">
        <v>0</v>
      </c>
      <c r="D88" s="140" t="str">
        <v>X0</v>
      </c>
      <c r="E88" s="139" t="str">
        <f t="shared" si="3"/>
        <v>GBPFUT1MX0_Quote</v>
      </c>
      <c r="F88" s="138" t="str">
        <f>_xll.qlSimpleQuote(E88,,PriceTickValue,Permanent,Trigger,ObjectOverwrite)</f>
        <v>GBPFUT1MX0_Quote#0000</v>
      </c>
      <c r="G88" s="101" t="str">
        <f>_xll.ohRangeRetrieveError(F88)</f>
        <v/>
      </c>
      <c r="H88" s="137"/>
    </row>
    <row r="89" spans="1:8" x14ac:dyDescent="0.2">
      <c r="A89" s="143"/>
      <c r="B89" s="142">
        <v>84</v>
      </c>
      <c r="C89" s="141" t="b">
        <v>0</v>
      </c>
      <c r="D89" s="140" t="str">
        <v>Z0</v>
      </c>
      <c r="E89" s="139" t="str">
        <f t="shared" si="3"/>
        <v>GBPFUT1MZ0_Quote</v>
      </c>
      <c r="F89" s="138" t="str">
        <f>_xll.qlSimpleQuote(E89,,PriceTickValue,Permanent,Trigger,ObjectOverwrite)</f>
        <v>GBPFUT1MZ0_Quote#0000</v>
      </c>
      <c r="G89" s="101" t="str">
        <f>_xll.ohRangeRetrieveError(F89)</f>
        <v/>
      </c>
      <c r="H89" s="137"/>
    </row>
    <row r="90" spans="1:8" x14ac:dyDescent="0.2">
      <c r="A90" s="143"/>
      <c r="B90" s="142">
        <v>85</v>
      </c>
      <c r="C90" s="141" t="b">
        <v>0</v>
      </c>
      <c r="D90" s="140" t="str">
        <v>F1</v>
      </c>
      <c r="E90" s="139" t="str">
        <f t="shared" si="3"/>
        <v>GBPFUT1MF1_Quote</v>
      </c>
      <c r="F90" s="138" t="str">
        <f>_xll.qlSimpleQuote(E90,,PriceTickValue,Permanent,Trigger,ObjectOverwrite)</f>
        <v>GBPFUT1MF1_Quote#0000</v>
      </c>
      <c r="G90" s="101" t="str">
        <f>_xll.ohRangeRetrieveError(F90)</f>
        <v/>
      </c>
      <c r="H90" s="137"/>
    </row>
    <row r="91" spans="1:8" x14ac:dyDescent="0.2">
      <c r="A91" s="143"/>
      <c r="B91" s="142">
        <v>86</v>
      </c>
      <c r="C91" s="141" t="b">
        <v>0</v>
      </c>
      <c r="D91" s="140" t="str">
        <v>G1</v>
      </c>
      <c r="E91" s="139" t="str">
        <f t="shared" si="3"/>
        <v>GBPFUT1MG1_Quote</v>
      </c>
      <c r="F91" s="138" t="str">
        <f>_xll.qlSimpleQuote(E91,,PriceTickValue,Permanent,Trigger,ObjectOverwrite)</f>
        <v>GBPFUT1MG1_Quote#0000</v>
      </c>
      <c r="G91" s="101" t="str">
        <f>_xll.ohRangeRetrieveError(F91)</f>
        <v/>
      </c>
      <c r="H91" s="137"/>
    </row>
    <row r="92" spans="1:8" x14ac:dyDescent="0.2">
      <c r="A92" s="143"/>
      <c r="B92" s="142">
        <v>87</v>
      </c>
      <c r="C92" s="141" t="b">
        <v>0</v>
      </c>
      <c r="D92" s="140" t="str">
        <v>H1</v>
      </c>
      <c r="E92" s="139" t="str">
        <f t="shared" si="3"/>
        <v>GBPFUT1MH1_Quote</v>
      </c>
      <c r="F92" s="138" t="str">
        <f>_xll.qlSimpleQuote(E92,,PriceTickValue,Permanent,Trigger,ObjectOverwrite)</f>
        <v>GBPFUT1MH1_Quote#0000</v>
      </c>
      <c r="G92" s="101" t="str">
        <f>_xll.ohRangeRetrieveError(F92)</f>
        <v/>
      </c>
      <c r="H92" s="137"/>
    </row>
    <row r="93" spans="1:8" x14ac:dyDescent="0.2">
      <c r="A93" s="143"/>
      <c r="B93" s="142">
        <v>88</v>
      </c>
      <c r="C93" s="141" t="b">
        <v>0</v>
      </c>
      <c r="D93" s="140" t="str">
        <v>J1</v>
      </c>
      <c r="E93" s="139" t="str">
        <f t="shared" si="3"/>
        <v>GBPFUT1MJ1_Quote</v>
      </c>
      <c r="F93" s="138" t="str">
        <f>_xll.qlSimpleQuote(E93,,PriceTickValue,Permanent,Trigger,ObjectOverwrite)</f>
        <v>GBPFUT1MJ1_Quote#0000</v>
      </c>
      <c r="G93" s="101" t="str">
        <f>_xll.ohRangeRetrieveError(F93)</f>
        <v/>
      </c>
      <c r="H93" s="137"/>
    </row>
    <row r="94" spans="1:8" x14ac:dyDescent="0.2">
      <c r="A94" s="143"/>
      <c r="B94" s="142">
        <v>89</v>
      </c>
      <c r="C94" s="141" t="b">
        <v>0</v>
      </c>
      <c r="D94" s="140" t="str">
        <v>K1</v>
      </c>
      <c r="E94" s="139" t="str">
        <f t="shared" si="3"/>
        <v>GBPFUT1MK1_Quote</v>
      </c>
      <c r="F94" s="138" t="str">
        <f>_xll.qlSimpleQuote(E94,,PriceTickValue,Permanent,Trigger,ObjectOverwrite)</f>
        <v>GBPFUT1MK1_Quote#0000</v>
      </c>
      <c r="G94" s="101" t="str">
        <f>_xll.ohRangeRetrieveError(F94)</f>
        <v/>
      </c>
      <c r="H94" s="137"/>
    </row>
    <row r="95" spans="1:8" x14ac:dyDescent="0.2">
      <c r="A95" s="143"/>
      <c r="B95" s="142">
        <v>90</v>
      </c>
      <c r="C95" s="141" t="b">
        <v>0</v>
      </c>
      <c r="D95" s="140" t="str">
        <v>M1</v>
      </c>
      <c r="E95" s="139" t="str">
        <f t="shared" si="3"/>
        <v>GBPFUT1MM1_Quote</v>
      </c>
      <c r="F95" s="138" t="str">
        <f>_xll.qlSimpleQuote(E95,,PriceTickValue,Permanent,Trigger,ObjectOverwrite)</f>
        <v>GBPFUT1MM1_Quote#0000</v>
      </c>
      <c r="G95" s="101" t="str">
        <f>_xll.ohRangeRetrieveError(F95)</f>
        <v/>
      </c>
      <c r="H95" s="137"/>
    </row>
    <row r="96" spans="1:8" x14ac:dyDescent="0.2">
      <c r="A96" s="143"/>
      <c r="B96" s="142">
        <v>91</v>
      </c>
      <c r="C96" s="141" t="b">
        <v>0</v>
      </c>
      <c r="D96" s="140" t="str">
        <v>N1</v>
      </c>
      <c r="E96" s="139" t="str">
        <f t="shared" si="3"/>
        <v>GBPFUT1MN1_Quote</v>
      </c>
      <c r="F96" s="138" t="str">
        <f>_xll.qlSimpleQuote(E96,,PriceTickValue,Permanent,Trigger,ObjectOverwrite)</f>
        <v>GBPFUT1MN1_Quote#0000</v>
      </c>
      <c r="G96" s="101" t="str">
        <f>_xll.ohRangeRetrieveError(F96)</f>
        <v/>
      </c>
      <c r="H96" s="137"/>
    </row>
    <row r="97" spans="1:8" x14ac:dyDescent="0.2">
      <c r="A97" s="143"/>
      <c r="B97" s="142">
        <v>92</v>
      </c>
      <c r="C97" s="141" t="b">
        <v>0</v>
      </c>
      <c r="D97" s="140" t="str">
        <v>Q1</v>
      </c>
      <c r="E97" s="139" t="str">
        <f t="shared" si="3"/>
        <v>GBPFUT1MQ1_Quote</v>
      </c>
      <c r="F97" s="138" t="str">
        <f>_xll.qlSimpleQuote(E97,,PriceTickValue,Permanent,Trigger,ObjectOverwrite)</f>
        <v>GBPFUT1MQ1_Quote#0000</v>
      </c>
      <c r="G97" s="101" t="str">
        <f>_xll.ohRangeRetrieveError(F97)</f>
        <v/>
      </c>
      <c r="H97" s="137"/>
    </row>
    <row r="98" spans="1:8" x14ac:dyDescent="0.2">
      <c r="A98" s="143"/>
      <c r="B98" s="142">
        <v>93</v>
      </c>
      <c r="C98" s="141" t="b">
        <v>0</v>
      </c>
      <c r="D98" s="140" t="str">
        <v>U1</v>
      </c>
      <c r="E98" s="139" t="str">
        <f t="shared" si="3"/>
        <v>GBPFUT1MU1_Quote</v>
      </c>
      <c r="F98" s="138" t="str">
        <f>_xll.qlSimpleQuote(E98,,PriceTickValue,Permanent,Trigger,ObjectOverwrite)</f>
        <v>GBPFUT1MU1_Quote#0000</v>
      </c>
      <c r="G98" s="101" t="str">
        <f>_xll.ohRangeRetrieveError(F98)</f>
        <v/>
      </c>
      <c r="H98" s="137"/>
    </row>
    <row r="99" spans="1:8" x14ac:dyDescent="0.2">
      <c r="A99" s="143"/>
      <c r="B99" s="142">
        <v>94</v>
      </c>
      <c r="C99" s="141" t="b">
        <v>0</v>
      </c>
      <c r="D99" s="140" t="str">
        <v>V1</v>
      </c>
      <c r="E99" s="139" t="str">
        <f t="shared" si="3"/>
        <v>GBPFUT1MV1_Quote</v>
      </c>
      <c r="F99" s="138" t="str">
        <f>_xll.qlSimpleQuote(E99,,PriceTickValue,Permanent,Trigger,ObjectOverwrite)</f>
        <v>GBPFUT1MV1_Quote#0000</v>
      </c>
      <c r="G99" s="101" t="str">
        <f>_xll.ohRangeRetrieveError(F99)</f>
        <v/>
      </c>
      <c r="H99" s="137"/>
    </row>
    <row r="100" spans="1:8" x14ac:dyDescent="0.2">
      <c r="A100" s="143"/>
      <c r="B100" s="142">
        <v>95</v>
      </c>
      <c r="C100" s="141" t="b">
        <v>0</v>
      </c>
      <c r="D100" s="140" t="str">
        <v>X1</v>
      </c>
      <c r="E100" s="139" t="str">
        <f t="shared" si="3"/>
        <v>GBPFUT1MX1_Quote</v>
      </c>
      <c r="F100" s="138" t="str">
        <f>_xll.qlSimpleQuote(E100,,PriceTickValue,Permanent,Trigger,ObjectOverwrite)</f>
        <v>GBPFUT1MX1_Quote#0000</v>
      </c>
      <c r="G100" s="101" t="str">
        <f>_xll.ohRangeRetrieveError(F100)</f>
        <v/>
      </c>
      <c r="H100" s="137"/>
    </row>
    <row r="101" spans="1:8" x14ac:dyDescent="0.2">
      <c r="A101" s="143"/>
      <c r="B101" s="142">
        <v>96</v>
      </c>
      <c r="C101" s="141" t="b">
        <v>0</v>
      </c>
      <c r="D101" s="140" t="str">
        <v>Z1</v>
      </c>
      <c r="E101" s="139" t="str">
        <f t="shared" si="3"/>
        <v>GBPFUT1MZ1_Quote</v>
      </c>
      <c r="F101" s="138" t="str">
        <f>_xll.qlSimpleQuote(E101,,PriceTickValue,Permanent,Trigger,ObjectOverwrite)</f>
        <v>GBPFUT1MZ1_Quote#0000</v>
      </c>
      <c r="G101" s="101" t="str">
        <f>_xll.ohRangeRetrieveError(F101)</f>
        <v/>
      </c>
      <c r="H101" s="137"/>
    </row>
    <row r="102" spans="1:8" x14ac:dyDescent="0.2">
      <c r="A102" s="143"/>
      <c r="B102" s="142">
        <v>97</v>
      </c>
      <c r="C102" s="141" t="b">
        <v>0</v>
      </c>
      <c r="D102" s="140" t="str">
        <v>F2</v>
      </c>
      <c r="E102" s="139" t="str">
        <f t="shared" ref="E102:E125" si="4">Currency&amp;$D$4&amp;$E$4&amp;$D102&amp;QuoteSuffix</f>
        <v>GBPFUT1MF2_Quote</v>
      </c>
      <c r="F102" s="138" t="str">
        <f>_xll.qlSimpleQuote(E102,,PriceTickValue,Permanent,Trigger,ObjectOverwrite)</f>
        <v>GBPFUT1MF2_Quote#0000</v>
      </c>
      <c r="G102" s="101" t="str">
        <f>_xll.ohRangeRetrieveError(F102)</f>
        <v/>
      </c>
      <c r="H102" s="137"/>
    </row>
    <row r="103" spans="1:8" x14ac:dyDescent="0.2">
      <c r="A103" s="143"/>
      <c r="B103" s="142">
        <v>98</v>
      </c>
      <c r="C103" s="141" t="b">
        <v>0</v>
      </c>
      <c r="D103" s="140" t="str">
        <v>G2</v>
      </c>
      <c r="E103" s="139" t="str">
        <f t="shared" si="4"/>
        <v>GBPFUT1MG2_Quote</v>
      </c>
      <c r="F103" s="138" t="str">
        <f>_xll.qlSimpleQuote(E103,,PriceTickValue,Permanent,Trigger,ObjectOverwrite)</f>
        <v>GBPFUT1MG2_Quote#0000</v>
      </c>
      <c r="G103" s="101" t="str">
        <f>_xll.ohRangeRetrieveError(F103)</f>
        <v/>
      </c>
      <c r="H103" s="137"/>
    </row>
    <row r="104" spans="1:8" x14ac:dyDescent="0.2">
      <c r="A104" s="143"/>
      <c r="B104" s="142">
        <v>99</v>
      </c>
      <c r="C104" s="141" t="b">
        <v>0</v>
      </c>
      <c r="D104" s="140" t="str">
        <v>H2</v>
      </c>
      <c r="E104" s="139" t="str">
        <f t="shared" si="4"/>
        <v>GBPFUT1MH2_Quote</v>
      </c>
      <c r="F104" s="138" t="str">
        <f>_xll.qlSimpleQuote(E104,,PriceTickValue,Permanent,Trigger,ObjectOverwrite)</f>
        <v>GBPFUT1MH2_Quote#0000</v>
      </c>
      <c r="G104" s="101" t="str">
        <f>_xll.ohRangeRetrieveError(F104)</f>
        <v/>
      </c>
      <c r="H104" s="137"/>
    </row>
    <row r="105" spans="1:8" x14ac:dyDescent="0.2">
      <c r="A105" s="143"/>
      <c r="B105" s="142">
        <v>100</v>
      </c>
      <c r="C105" s="141" t="b">
        <v>0</v>
      </c>
      <c r="D105" s="140" t="str">
        <v>J2</v>
      </c>
      <c r="E105" s="139" t="str">
        <f t="shared" si="4"/>
        <v>GBPFUT1MJ2_Quote</v>
      </c>
      <c r="F105" s="138" t="str">
        <f>_xll.qlSimpleQuote(E105,,PriceTickValue,Permanent,Trigger,ObjectOverwrite)</f>
        <v>GBPFUT1MJ2_Quote#0000</v>
      </c>
      <c r="G105" s="101" t="str">
        <f>_xll.ohRangeRetrieveError(F105)</f>
        <v/>
      </c>
      <c r="H105" s="137"/>
    </row>
    <row r="106" spans="1:8" x14ac:dyDescent="0.2">
      <c r="A106" s="143"/>
      <c r="B106" s="142">
        <v>101</v>
      </c>
      <c r="C106" s="141" t="b">
        <v>0</v>
      </c>
      <c r="D106" s="140" t="str">
        <v>K2</v>
      </c>
      <c r="E106" s="139" t="str">
        <f t="shared" si="4"/>
        <v>GBPFUT1MK2_Quote</v>
      </c>
      <c r="F106" s="138" t="str">
        <f>_xll.qlSimpleQuote(E106,,PriceTickValue,Permanent,Trigger,ObjectOverwrite)</f>
        <v>GBPFUT1MK2_Quote#0000</v>
      </c>
      <c r="G106" s="101" t="str">
        <f>_xll.ohRangeRetrieveError(F106)</f>
        <v/>
      </c>
      <c r="H106" s="137"/>
    </row>
    <row r="107" spans="1:8" x14ac:dyDescent="0.2">
      <c r="A107" s="143"/>
      <c r="B107" s="142">
        <v>102</v>
      </c>
      <c r="C107" s="141" t="b">
        <v>0</v>
      </c>
      <c r="D107" s="140" t="str">
        <v>M2</v>
      </c>
      <c r="E107" s="139" t="str">
        <f t="shared" si="4"/>
        <v>GBPFUT1MM2_Quote</v>
      </c>
      <c r="F107" s="138" t="str">
        <f>_xll.qlSimpleQuote(E107,,PriceTickValue,Permanent,Trigger,ObjectOverwrite)</f>
        <v>GBPFUT1MM2_Quote#0000</v>
      </c>
      <c r="G107" s="101" t="str">
        <f>_xll.ohRangeRetrieveError(F107)</f>
        <v/>
      </c>
      <c r="H107" s="137"/>
    </row>
    <row r="108" spans="1:8" x14ac:dyDescent="0.2">
      <c r="A108" s="143"/>
      <c r="B108" s="142">
        <v>103</v>
      </c>
      <c r="C108" s="141" t="b">
        <v>0</v>
      </c>
      <c r="D108" s="140" t="str">
        <v>N2</v>
      </c>
      <c r="E108" s="139" t="str">
        <f t="shared" si="4"/>
        <v>GBPFUT1MN2_Quote</v>
      </c>
      <c r="F108" s="138" t="str">
        <f>_xll.qlSimpleQuote(E108,,PriceTickValue,Permanent,Trigger,ObjectOverwrite)</f>
        <v>GBPFUT1MN2_Quote#0000</v>
      </c>
      <c r="G108" s="101" t="str">
        <f>_xll.ohRangeRetrieveError(F108)</f>
        <v/>
      </c>
      <c r="H108" s="137"/>
    </row>
    <row r="109" spans="1:8" x14ac:dyDescent="0.2">
      <c r="A109" s="143"/>
      <c r="B109" s="142">
        <v>104</v>
      </c>
      <c r="C109" s="141" t="b">
        <v>0</v>
      </c>
      <c r="D109" s="140" t="str">
        <v>Q2</v>
      </c>
      <c r="E109" s="139" t="str">
        <f t="shared" si="4"/>
        <v>GBPFUT1MQ2_Quote</v>
      </c>
      <c r="F109" s="138" t="str">
        <f>_xll.qlSimpleQuote(E109,,PriceTickValue,Permanent,Trigger,ObjectOverwrite)</f>
        <v>GBPFUT1MQ2_Quote#0000</v>
      </c>
      <c r="G109" s="101" t="str">
        <f>_xll.ohRangeRetrieveError(F109)</f>
        <v/>
      </c>
      <c r="H109" s="137"/>
    </row>
    <row r="110" spans="1:8" x14ac:dyDescent="0.2">
      <c r="A110" s="143"/>
      <c r="B110" s="142">
        <v>105</v>
      </c>
      <c r="C110" s="141" t="b">
        <v>0</v>
      </c>
      <c r="D110" s="140" t="str">
        <v>U2</v>
      </c>
      <c r="E110" s="139" t="str">
        <f t="shared" si="4"/>
        <v>GBPFUT1MU2_Quote</v>
      </c>
      <c r="F110" s="138" t="str">
        <f>_xll.qlSimpleQuote(E110,,PriceTickValue,Permanent,Trigger,ObjectOverwrite)</f>
        <v>GBPFUT1MU2_Quote#0000</v>
      </c>
      <c r="G110" s="101" t="str">
        <f>_xll.ohRangeRetrieveError(F110)</f>
        <v/>
      </c>
      <c r="H110" s="137"/>
    </row>
    <row r="111" spans="1:8" x14ac:dyDescent="0.2">
      <c r="A111" s="143"/>
      <c r="B111" s="142">
        <v>106</v>
      </c>
      <c r="C111" s="141" t="b">
        <v>0</v>
      </c>
      <c r="D111" s="140" t="str">
        <v>V2</v>
      </c>
      <c r="E111" s="139" t="str">
        <f t="shared" si="4"/>
        <v>GBPFUT1MV2_Quote</v>
      </c>
      <c r="F111" s="138" t="str">
        <f>_xll.qlSimpleQuote(E111,,PriceTickValue,Permanent,Trigger,ObjectOverwrite)</f>
        <v>GBPFUT1MV2_Quote#0000</v>
      </c>
      <c r="G111" s="101" t="str">
        <f>_xll.ohRangeRetrieveError(F111)</f>
        <v/>
      </c>
      <c r="H111" s="137"/>
    </row>
    <row r="112" spans="1:8" x14ac:dyDescent="0.2">
      <c r="A112" s="143"/>
      <c r="B112" s="142">
        <v>107</v>
      </c>
      <c r="C112" s="141" t="b">
        <v>0</v>
      </c>
      <c r="D112" s="140" t="str">
        <v>X2</v>
      </c>
      <c r="E112" s="139" t="str">
        <f t="shared" si="4"/>
        <v>GBPFUT1MX2_Quote</v>
      </c>
      <c r="F112" s="138" t="str">
        <f>_xll.qlSimpleQuote(E112,,PriceTickValue,Permanent,Trigger,ObjectOverwrite)</f>
        <v>GBPFUT1MX2_Quote#0000</v>
      </c>
      <c r="G112" s="101" t="str">
        <f>_xll.ohRangeRetrieveError(F112)</f>
        <v/>
      </c>
      <c r="H112" s="137"/>
    </row>
    <row r="113" spans="1:8" x14ac:dyDescent="0.2">
      <c r="A113" s="143"/>
      <c r="B113" s="142">
        <v>108</v>
      </c>
      <c r="C113" s="141" t="b">
        <v>0</v>
      </c>
      <c r="D113" s="140" t="str">
        <v>Z2</v>
      </c>
      <c r="E113" s="139" t="str">
        <f t="shared" si="4"/>
        <v>GBPFUT1MZ2_Quote</v>
      </c>
      <c r="F113" s="138" t="str">
        <f>_xll.qlSimpleQuote(E113,,PriceTickValue,Permanent,Trigger,ObjectOverwrite)</f>
        <v>GBPFUT1MZ2_Quote#0000</v>
      </c>
      <c r="G113" s="101" t="str">
        <f>_xll.ohRangeRetrieveError(F113)</f>
        <v/>
      </c>
      <c r="H113" s="137"/>
    </row>
    <row r="114" spans="1:8" x14ac:dyDescent="0.2">
      <c r="A114" s="143"/>
      <c r="B114" s="142">
        <v>109</v>
      </c>
      <c r="C114" s="141" t="b">
        <v>0</v>
      </c>
      <c r="D114" s="140" t="str">
        <v>F3</v>
      </c>
      <c r="E114" s="139" t="str">
        <f t="shared" si="4"/>
        <v>GBPFUT1MF3_Quote</v>
      </c>
      <c r="F114" s="138" t="str">
        <f>_xll.qlSimpleQuote(E114,,PriceTickValue,Permanent,Trigger,ObjectOverwrite)</f>
        <v>GBPFUT1MF3_Quote#0000</v>
      </c>
      <c r="G114" s="101" t="str">
        <f>_xll.ohRangeRetrieveError(F114)</f>
        <v/>
      </c>
      <c r="H114" s="137"/>
    </row>
    <row r="115" spans="1:8" x14ac:dyDescent="0.2">
      <c r="A115" s="143"/>
      <c r="B115" s="142">
        <v>110</v>
      </c>
      <c r="C115" s="141" t="b">
        <v>0</v>
      </c>
      <c r="D115" s="140" t="str">
        <v>G3</v>
      </c>
      <c r="E115" s="139" t="str">
        <f t="shared" si="4"/>
        <v>GBPFUT1MG3_Quote</v>
      </c>
      <c r="F115" s="138" t="str">
        <f>_xll.qlSimpleQuote(E115,,PriceTickValue,Permanent,Trigger,ObjectOverwrite)</f>
        <v>GBPFUT1MG3_Quote#0000</v>
      </c>
      <c r="G115" s="101" t="str">
        <f>_xll.ohRangeRetrieveError(F115)</f>
        <v/>
      </c>
      <c r="H115" s="137"/>
    </row>
    <row r="116" spans="1:8" x14ac:dyDescent="0.2">
      <c r="A116" s="143"/>
      <c r="B116" s="142">
        <v>111</v>
      </c>
      <c r="C116" s="141" t="b">
        <v>0</v>
      </c>
      <c r="D116" s="140" t="str">
        <v>H3</v>
      </c>
      <c r="E116" s="139" t="str">
        <f t="shared" si="4"/>
        <v>GBPFUT1MH3_Quote</v>
      </c>
      <c r="F116" s="138" t="str">
        <f>_xll.qlSimpleQuote(E116,,PriceTickValue,Permanent,Trigger,ObjectOverwrite)</f>
        <v>GBPFUT1MH3_Quote#0000</v>
      </c>
      <c r="G116" s="101" t="str">
        <f>_xll.ohRangeRetrieveError(F116)</f>
        <v/>
      </c>
      <c r="H116" s="137"/>
    </row>
    <row r="117" spans="1:8" x14ac:dyDescent="0.2">
      <c r="A117" s="143"/>
      <c r="B117" s="142">
        <v>112</v>
      </c>
      <c r="C117" s="141" t="b">
        <v>0</v>
      </c>
      <c r="D117" s="140" t="str">
        <v>J3</v>
      </c>
      <c r="E117" s="139" t="str">
        <f t="shared" si="4"/>
        <v>GBPFUT1MJ3_Quote</v>
      </c>
      <c r="F117" s="138" t="str">
        <f>_xll.qlSimpleQuote(E117,,PriceTickValue,Permanent,Trigger,ObjectOverwrite)</f>
        <v>GBPFUT1MJ3_Quote#0000</v>
      </c>
      <c r="G117" s="101" t="str">
        <f>_xll.ohRangeRetrieveError(F117)</f>
        <v/>
      </c>
      <c r="H117" s="137"/>
    </row>
    <row r="118" spans="1:8" x14ac:dyDescent="0.2">
      <c r="A118" s="143"/>
      <c r="B118" s="142">
        <v>113</v>
      </c>
      <c r="C118" s="141" t="b">
        <v>0</v>
      </c>
      <c r="D118" s="140" t="str">
        <v>K3</v>
      </c>
      <c r="E118" s="139" t="str">
        <f t="shared" si="4"/>
        <v>GBPFUT1MK3_Quote</v>
      </c>
      <c r="F118" s="138" t="str">
        <f>_xll.qlSimpleQuote(E118,,PriceTickValue,Permanent,Trigger,ObjectOverwrite)</f>
        <v>GBPFUT1MK3_Quote#0000</v>
      </c>
      <c r="G118" s="101" t="str">
        <f>_xll.ohRangeRetrieveError(F118)</f>
        <v/>
      </c>
      <c r="H118" s="137"/>
    </row>
    <row r="119" spans="1:8" x14ac:dyDescent="0.2">
      <c r="A119" s="143"/>
      <c r="B119" s="142">
        <v>114</v>
      </c>
      <c r="C119" s="141" t="b">
        <v>0</v>
      </c>
      <c r="D119" s="140" t="str">
        <v>M3</v>
      </c>
      <c r="E119" s="139" t="str">
        <f t="shared" si="4"/>
        <v>GBPFUT1MM3_Quote</v>
      </c>
      <c r="F119" s="138" t="str">
        <f>_xll.qlSimpleQuote(E119,,PriceTickValue,Permanent,Trigger,ObjectOverwrite)</f>
        <v>GBPFUT1MM3_Quote#0000</v>
      </c>
      <c r="G119" s="101" t="str">
        <f>_xll.ohRangeRetrieveError(F119)</f>
        <v/>
      </c>
      <c r="H119" s="137"/>
    </row>
    <row r="120" spans="1:8" x14ac:dyDescent="0.2">
      <c r="A120" s="143"/>
      <c r="B120" s="142">
        <v>115</v>
      </c>
      <c r="C120" s="141" t="b">
        <v>0</v>
      </c>
      <c r="D120" s="140" t="str">
        <v>N3</v>
      </c>
      <c r="E120" s="139" t="str">
        <f t="shared" si="4"/>
        <v>GBPFUT1MN3_Quote</v>
      </c>
      <c r="F120" s="138" t="str">
        <f>_xll.qlSimpleQuote(E120,,PriceTickValue,Permanent,Trigger,ObjectOverwrite)</f>
        <v>GBPFUT1MN3_Quote#0000</v>
      </c>
      <c r="G120" s="101" t="str">
        <f>_xll.ohRangeRetrieveError(F120)</f>
        <v/>
      </c>
      <c r="H120" s="137"/>
    </row>
    <row r="121" spans="1:8" x14ac:dyDescent="0.2">
      <c r="A121" s="143"/>
      <c r="B121" s="142">
        <v>116</v>
      </c>
      <c r="C121" s="141" t="b">
        <v>0</v>
      </c>
      <c r="D121" s="140" t="str">
        <v>Q3</v>
      </c>
      <c r="E121" s="139" t="str">
        <f t="shared" si="4"/>
        <v>GBPFUT1MQ3_Quote</v>
      </c>
      <c r="F121" s="138" t="str">
        <f>_xll.qlSimpleQuote(E121,,PriceTickValue,Permanent,Trigger,ObjectOverwrite)</f>
        <v>GBPFUT1MQ3_Quote#0000</v>
      </c>
      <c r="G121" s="101" t="str">
        <f>_xll.ohRangeRetrieveError(F121)</f>
        <v/>
      </c>
      <c r="H121" s="137"/>
    </row>
    <row r="122" spans="1:8" x14ac:dyDescent="0.2">
      <c r="A122" s="143"/>
      <c r="B122" s="142">
        <v>117</v>
      </c>
      <c r="C122" s="141" t="b">
        <v>0</v>
      </c>
      <c r="D122" s="140" t="str">
        <v>U3</v>
      </c>
      <c r="E122" s="139" t="str">
        <f t="shared" si="4"/>
        <v>GBPFUT1MU3_Quote</v>
      </c>
      <c r="F122" s="138" t="str">
        <f>_xll.qlSimpleQuote(E122,,PriceTickValue,Permanent,Trigger,ObjectOverwrite)</f>
        <v>GBPFUT1MU3_Quote#0000</v>
      </c>
      <c r="G122" s="101" t="str">
        <f>_xll.ohRangeRetrieveError(F122)</f>
        <v/>
      </c>
      <c r="H122" s="137"/>
    </row>
    <row r="123" spans="1:8" x14ac:dyDescent="0.2">
      <c r="A123" s="143"/>
      <c r="B123" s="142">
        <v>118</v>
      </c>
      <c r="C123" s="141" t="b">
        <v>0</v>
      </c>
      <c r="D123" s="140" t="str">
        <v>V3</v>
      </c>
      <c r="E123" s="139" t="str">
        <f t="shared" si="4"/>
        <v>GBPFUT1MV3_Quote</v>
      </c>
      <c r="F123" s="138" t="str">
        <f>_xll.qlSimpleQuote(E123,,PriceTickValue,Permanent,Trigger,ObjectOverwrite)</f>
        <v>GBPFUT1MV3_Quote#0000</v>
      </c>
      <c r="G123" s="101" t="str">
        <f>_xll.ohRangeRetrieveError(F123)</f>
        <v/>
      </c>
      <c r="H123" s="137"/>
    </row>
    <row r="124" spans="1:8" x14ac:dyDescent="0.2">
      <c r="A124" s="143"/>
      <c r="B124" s="142">
        <v>119</v>
      </c>
      <c r="C124" s="141" t="b">
        <v>0</v>
      </c>
      <c r="D124" s="140" t="str">
        <v>X3</v>
      </c>
      <c r="E124" s="139" t="str">
        <f t="shared" si="4"/>
        <v>GBPFUT1MX3_Quote</v>
      </c>
      <c r="F124" s="138" t="str">
        <f>_xll.qlSimpleQuote(E124,,PriceTickValue,Permanent,Trigger,ObjectOverwrite)</f>
        <v>GBPFUT1MX3_Quote#0000</v>
      </c>
      <c r="G124" s="101" t="str">
        <f>_xll.ohRangeRetrieveError(F124)</f>
        <v/>
      </c>
      <c r="H124" s="137"/>
    </row>
    <row r="125" spans="1:8" x14ac:dyDescent="0.2">
      <c r="A125" s="143"/>
      <c r="B125" s="142">
        <v>120</v>
      </c>
      <c r="C125" s="141" t="b">
        <v>0</v>
      </c>
      <c r="D125" s="140" t="str">
        <v>Z3</v>
      </c>
      <c r="E125" s="139" t="str">
        <f t="shared" si="4"/>
        <v>GBPFUT1MZ3_Quote</v>
      </c>
      <c r="F125" s="138" t="str">
        <f>_xll.qlSimpleQuote(E125,,PriceTickValue,Permanent,Trigger,ObjectOverwrite)</f>
        <v>GBPFUT1MZ3_Quote#0000</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0</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GBPFUT3MF4_Quote</v>
      </c>
      <c r="F6" s="145" t="str">
        <f>_xll.qlSimpleQuote(E6,,PriceTickValue,Permanent,Trigger,ObjectOverwrite)</f>
        <v>GBPFUT3MF4_Quote#0000</v>
      </c>
      <c r="G6" s="144" t="str">
        <f>_xll.ohRangeRetrieveError(F6)</f>
        <v/>
      </c>
      <c r="H6" s="137"/>
      <c r="J6" s="143"/>
      <c r="K6" s="448">
        <v>1</v>
      </c>
      <c r="L6" s="447" t="b">
        <v>0</v>
      </c>
      <c r="M6" s="442" t="str">
        <f t="array" ref="M6:M47">_xll.qlIMMcode(FuturesDates)</f>
        <v>F4</v>
      </c>
      <c r="N6" s="446">
        <f t="array" ref="N6:N47">_xll.qlIMMNextDates(_xll.qlSettingsEvaluationDate(Trigger)-1,$L6:$L47)</f>
        <v>41654</v>
      </c>
      <c r="O6" s="442" t="str">
        <f t="array" ref="O6:O47">VLOOKUP(Currency,LiffeCodes,2)&amp;FuturesCodes</f>
        <v>FSSF4</v>
      </c>
      <c r="P6" s="445">
        <v>41325</v>
      </c>
      <c r="Q6" s="442">
        <v>0</v>
      </c>
      <c r="R6" s="442">
        <v>0</v>
      </c>
      <c r="S6" s="442">
        <v>0</v>
      </c>
      <c r="T6" s="442">
        <v>99.45</v>
      </c>
      <c r="U6" s="441" t="e">
        <f>_xll.qlMidSafe($Q6,$R6)</f>
        <v>#NUM!</v>
      </c>
      <c r="V6" s="422"/>
      <c r="W6" s="444">
        <v>99.484999999999999</v>
      </c>
      <c r="X6" s="422"/>
      <c r="Y6" s="443" t="str">
        <f t="array" ref="Y6:Y47">Currency&amp;$Y$4&amp;FuturesCodes&amp;$Z$2</f>
        <v>GBPFUT3MF4_Quote</v>
      </c>
      <c r="Z6" s="442" t="e">
        <f t="array" ref="Z6:Z47">QuoteLive</f>
        <v>#NUM!</v>
      </c>
      <c r="AA6" s="441" t="e">
        <f>_xll.qlSimpleQuoteSetValue($Y6,$Z6,Trigger)</f>
        <v>#NUM!</v>
      </c>
      <c r="AB6" s="137"/>
      <c r="AD6" s="439" t="s">
        <v>121</v>
      </c>
      <c r="AE6" s="438" t="s">
        <v>302</v>
      </c>
      <c r="AG6" s="418" t="e">
        <f t="shared" ref="AG6:AG47" si="1">(R6-U6)/50</f>
        <v>#NUM!</v>
      </c>
    </row>
    <row r="7" spans="1:33" x14ac:dyDescent="0.2">
      <c r="A7" s="143"/>
      <c r="B7" s="142">
        <v>2</v>
      </c>
      <c r="C7" s="141" t="b">
        <v>0</v>
      </c>
      <c r="D7" s="140" t="str">
        <v>G4</v>
      </c>
      <c r="E7" s="139" t="str">
        <f t="shared" si="0"/>
        <v>GBPFUT3MG4_Quote</v>
      </c>
      <c r="F7" s="138" t="str">
        <f>_xll.qlSimpleQuote(E7,,PriceTickValue,Permanent,Trigger,ObjectOverwrite)</f>
        <v>GBPFUT3MG4_Quote#0000</v>
      </c>
      <c r="G7" s="101" t="str">
        <f>_xll.ohRangeRetrieveError(F7)</f>
        <v/>
      </c>
      <c r="H7" s="137"/>
      <c r="J7" s="143"/>
      <c r="K7" s="435">
        <v>2</v>
      </c>
      <c r="L7" s="434" t="b">
        <v>0</v>
      </c>
      <c r="M7" s="429" t="str">
        <v>G4</v>
      </c>
      <c r="N7" s="433">
        <v>41689</v>
      </c>
      <c r="O7" s="429" t="str">
        <v>FSSG4</v>
      </c>
      <c r="P7" s="432">
        <v>41353</v>
      </c>
      <c r="Q7" s="429">
        <v>99.48</v>
      </c>
      <c r="R7" s="429">
        <v>99.49</v>
      </c>
      <c r="S7" s="429">
        <v>99.48</v>
      </c>
      <c r="T7" s="429">
        <v>99.49</v>
      </c>
      <c r="U7" s="428">
        <f>_xll.qlMidSafe($Q7,$R7)</f>
        <v>99.484999999999999</v>
      </c>
      <c r="V7" s="422"/>
      <c r="W7" s="440" t="e">
        <v>#NUM!</v>
      </c>
      <c r="X7" s="422"/>
      <c r="Y7" s="430" t="str">
        <v>GBPFUT3MG4_Quote</v>
      </c>
      <c r="Z7" s="429">
        <v>99.484999999999999</v>
      </c>
      <c r="AA7" s="428" t="e">
        <f>_xll.qlSimpleQuoteSetValue($Y7,$Z7,Trigger)</f>
        <v>#N/A</v>
      </c>
      <c r="AB7" s="137"/>
      <c r="AD7" s="439" t="s">
        <v>120</v>
      </c>
      <c r="AE7" s="438" t="s">
        <v>301</v>
      </c>
      <c r="AG7" s="418">
        <f t="shared" si="1"/>
        <v>9.9999999999909054E-5</v>
      </c>
    </row>
    <row r="8" spans="1:33" x14ac:dyDescent="0.2">
      <c r="A8" s="143"/>
      <c r="B8" s="142">
        <v>3</v>
      </c>
      <c r="C8" s="141" t="b">
        <v>0</v>
      </c>
      <c r="D8" s="140" t="str">
        <v>H4</v>
      </c>
      <c r="E8" s="139" t="str">
        <f t="shared" si="0"/>
        <v>GBPFUT3MH4_Quote</v>
      </c>
      <c r="F8" s="138" t="str">
        <f>_xll.qlSimpleQuote(E8,,PriceTickValue,Permanent,Trigger,ObjectOverwrite)</f>
        <v>GBPFUT3MH4_Quote#0000</v>
      </c>
      <c r="G8" s="101" t="str">
        <f>_xll.ohRangeRetrieveError(F8)</f>
        <v/>
      </c>
      <c r="H8" s="137"/>
      <c r="J8" s="143"/>
      <c r="K8" s="435">
        <v>3</v>
      </c>
      <c r="L8" s="434" t="b">
        <v>0</v>
      </c>
      <c r="M8" s="429" t="str">
        <v>H4</v>
      </c>
      <c r="N8" s="433">
        <v>41717</v>
      </c>
      <c r="O8" s="429" t="str">
        <v>FSSH4</v>
      </c>
      <c r="P8" s="432">
        <v>41381</v>
      </c>
      <c r="Q8" s="429">
        <v>0</v>
      </c>
      <c r="R8" s="429">
        <v>0</v>
      </c>
      <c r="S8" s="429">
        <v>0</v>
      </c>
      <c r="T8" s="429">
        <v>99.5</v>
      </c>
      <c r="U8" s="428" t="e">
        <f>_xll.qlMidSafe($Q8,$R8)</f>
        <v>#NUM!</v>
      </c>
      <c r="V8" s="422"/>
      <c r="W8" s="440" t="e">
        <v>#NUM!</v>
      </c>
      <c r="X8" s="422"/>
      <c r="Y8" s="430" t="str">
        <v>GBPFUT3MH4_Quote</v>
      </c>
      <c r="Z8" s="429" t="e">
        <v>#NUM!</v>
      </c>
      <c r="AA8" s="428" t="e">
        <f>_xll.qlSimpleQuoteSetValue($Y8,$Z8,Trigger)</f>
        <v>#NUM!</v>
      </c>
      <c r="AB8" s="137"/>
      <c r="AD8" s="439" t="s">
        <v>96</v>
      </c>
      <c r="AE8" s="438" t="s">
        <v>300</v>
      </c>
      <c r="AG8" s="418" t="e">
        <f t="shared" si="1"/>
        <v>#NUM!</v>
      </c>
    </row>
    <row r="9" spans="1:33" x14ac:dyDescent="0.2">
      <c r="A9" s="143"/>
      <c r="B9" s="142">
        <v>4</v>
      </c>
      <c r="C9" s="141" t="b">
        <v>0</v>
      </c>
      <c r="D9" s="140" t="str">
        <v>J4</v>
      </c>
      <c r="E9" s="139" t="str">
        <f t="shared" si="0"/>
        <v>GBPFUT3MJ4_Quote</v>
      </c>
      <c r="F9" s="138" t="str">
        <f>_xll.qlSimpleQuote(E9,,PriceTickValue,Permanent,Trigger,ObjectOverwrite)</f>
        <v>GBPFUT3MJ4_Quote#0000</v>
      </c>
      <c r="G9" s="101" t="str">
        <f>_xll.ohRangeRetrieveError(F9)</f>
        <v/>
      </c>
      <c r="H9" s="137"/>
      <c r="J9" s="143"/>
      <c r="K9" s="435">
        <v>4</v>
      </c>
      <c r="L9" s="434" t="b">
        <v>0</v>
      </c>
      <c r="M9" s="429" t="str">
        <v>J4</v>
      </c>
      <c r="N9" s="433">
        <v>41745</v>
      </c>
      <c r="O9" s="429" t="str">
        <v>FSSJ4</v>
      </c>
      <c r="P9" s="432" t="s">
        <v>233</v>
      </c>
      <c r="Q9" s="429" t="s">
        <v>233</v>
      </c>
      <c r="R9" s="429" t="s">
        <v>233</v>
      </c>
      <c r="S9" s="429" t="s">
        <v>233</v>
      </c>
      <c r="T9" s="429" t="s">
        <v>233</v>
      </c>
      <c r="U9" s="428" t="e">
        <f>_xll.qlMidSafe($Q9,$R9)</f>
        <v>#NUM!</v>
      </c>
      <c r="V9" s="422"/>
      <c r="W9" s="440">
        <v>99.495000000000005</v>
      </c>
      <c r="X9" s="422"/>
      <c r="Y9" s="430" t="str">
        <v>GBPFUT3MJ4_Quote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GBPFUT3MK4_Quote</v>
      </c>
      <c r="F10" s="138" t="str">
        <f>_xll.qlSimpleQuote(E10,,PriceTickValue,Permanent,Trigger,ObjectOverwrite)</f>
        <v>GBPFUT3MK4_Quote#0000</v>
      </c>
      <c r="G10" s="101" t="str">
        <f>_xll.ohRangeRetrieveError(F10)</f>
        <v/>
      </c>
      <c r="H10" s="137"/>
      <c r="J10" s="143"/>
      <c r="K10" s="435">
        <v>5</v>
      </c>
      <c r="L10" s="434" t="b">
        <v>0</v>
      </c>
      <c r="M10" s="429" t="str">
        <v>K4</v>
      </c>
      <c r="N10" s="433">
        <v>41780</v>
      </c>
      <c r="O10" s="429" t="str">
        <v>FSSK4</v>
      </c>
      <c r="P10" s="432">
        <v>41444</v>
      </c>
      <c r="Q10" s="429">
        <v>99.46</v>
      </c>
      <c r="R10" s="429">
        <v>99.47</v>
      </c>
      <c r="S10" s="429">
        <v>99.47</v>
      </c>
      <c r="T10" s="429">
        <v>99.48</v>
      </c>
      <c r="U10" s="428">
        <f>_xll.qlMidSafe($Q10,$R10)</f>
        <v>99.465000000000003</v>
      </c>
      <c r="V10" s="422"/>
      <c r="W10" s="431" t="e">
        <v>#NUM!</v>
      </c>
      <c r="X10" s="422"/>
      <c r="Y10" s="430" t="str">
        <v>GBPFUT3MK4_Quote</v>
      </c>
      <c r="Z10" s="429">
        <v>99.465000000000003</v>
      </c>
      <c r="AA10" s="428" t="e">
        <f>_xll.qlSimpleQuoteSetValue($Y10,$Z10,Trigger)</f>
        <v>#N/A</v>
      </c>
      <c r="AB10" s="137"/>
      <c r="AD10" s="437" t="s">
        <v>115</v>
      </c>
      <c r="AE10" s="436" t="s">
        <v>299</v>
      </c>
      <c r="AG10" s="418">
        <f t="shared" si="1"/>
        <v>9.9999999999909054E-5</v>
      </c>
    </row>
    <row r="11" spans="1:33" x14ac:dyDescent="0.2">
      <c r="A11" s="143"/>
      <c r="B11" s="142">
        <v>6</v>
      </c>
      <c r="C11" s="141" t="b">
        <v>0</v>
      </c>
      <c r="D11" s="140" t="str">
        <v>M4</v>
      </c>
      <c r="E11" s="139" t="str">
        <f t="shared" si="0"/>
        <v>GBPFUT3MM4_Quote</v>
      </c>
      <c r="F11" s="138" t="str">
        <f>_xll.qlSimpleQuote(E11,,PriceTickValue,Permanent,Trigger,ObjectOverwrite)</f>
        <v>GBPFUT3MM4_Quote#0000</v>
      </c>
      <c r="G11" s="101" t="str">
        <f>_xll.ohRangeRetrieveError(F11)</f>
        <v/>
      </c>
      <c r="H11" s="137"/>
      <c r="J11" s="143"/>
      <c r="K11" s="435">
        <v>6</v>
      </c>
      <c r="L11" s="434" t="b">
        <v>0</v>
      </c>
      <c r="M11" s="429" t="str">
        <v>M4</v>
      </c>
      <c r="N11" s="433">
        <v>41808</v>
      </c>
      <c r="O11" s="429" t="str">
        <v>FSSM4</v>
      </c>
      <c r="P11" s="432" t="s">
        <v>233</v>
      </c>
      <c r="Q11" s="429" t="s">
        <v>233</v>
      </c>
      <c r="R11" s="429" t="s">
        <v>233</v>
      </c>
      <c r="S11" s="429" t="s">
        <v>233</v>
      </c>
      <c r="T11" s="429" t="s">
        <v>233</v>
      </c>
      <c r="U11" s="428" t="e">
        <f>_xll.qlMidSafe($Q11,$R11)</f>
        <v>#NUM!</v>
      </c>
      <c r="V11" s="422"/>
      <c r="W11" s="431" t="e">
        <v>#NUM!</v>
      </c>
      <c r="X11" s="422"/>
      <c r="Y11" s="430" t="str">
        <v>GBPFUT3MM4_Quote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GBPFUT3MN4_Quote</v>
      </c>
      <c r="F12" s="138" t="str">
        <f>_xll.qlSimpleQuote(E12,,PriceTickValue,Permanent,Trigger,ObjectOverwrite)</f>
        <v>GBPFUT3MN4_Quote#0000</v>
      </c>
      <c r="G12" s="101" t="str">
        <f>_xll.ohRangeRetrieveError(F12)</f>
        <v/>
      </c>
      <c r="H12" s="137"/>
      <c r="J12" s="143"/>
      <c r="K12" s="435">
        <v>7</v>
      </c>
      <c r="L12" s="434" t="b">
        <v>0</v>
      </c>
      <c r="M12" s="429" t="str">
        <v>N4</v>
      </c>
      <c r="N12" s="433">
        <v>41836</v>
      </c>
      <c r="O12" s="429" t="str">
        <v>FSSN4</v>
      </c>
      <c r="P12" s="432" t="s">
        <v>233</v>
      </c>
      <c r="Q12" s="429" t="s">
        <v>233</v>
      </c>
      <c r="R12" s="429" t="s">
        <v>233</v>
      </c>
      <c r="S12" s="429" t="s">
        <v>233</v>
      </c>
      <c r="T12" s="429" t="s">
        <v>233</v>
      </c>
      <c r="U12" s="428" t="e">
        <f>_xll.qlMidSafe($Q12,$R12)</f>
        <v>#NUM!</v>
      </c>
      <c r="V12" s="422"/>
      <c r="W12" s="431">
        <v>99.495000000000005</v>
      </c>
      <c r="X12" s="422"/>
      <c r="Y12" s="430" t="str">
        <v>GBPFUT3MN4_Quote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GBPFUT3MQ4_Quote</v>
      </c>
      <c r="F13" s="138" t="str">
        <f>_xll.qlSimpleQuote(E13,,PriceTickValue,Permanent,Trigger,ObjectOverwrite)</f>
        <v>GBPFUT3MQ4_Quote#0000</v>
      </c>
      <c r="G13" s="101" t="str">
        <f>_xll.ohRangeRetrieveError(F13)</f>
        <v/>
      </c>
      <c r="H13" s="137"/>
      <c r="J13" s="143"/>
      <c r="K13" s="435">
        <v>8</v>
      </c>
      <c r="L13" s="434" t="b">
        <v>0</v>
      </c>
      <c r="M13" s="429" t="str">
        <v>Q4</v>
      </c>
      <c r="N13" s="433">
        <v>41871</v>
      </c>
      <c r="O13" s="429" t="str">
        <v>FSSQ4</v>
      </c>
      <c r="P13" s="432">
        <v>41535</v>
      </c>
      <c r="Q13" s="429">
        <v>99.45</v>
      </c>
      <c r="R13" s="429">
        <v>99.47</v>
      </c>
      <c r="S13" s="429">
        <v>99.46</v>
      </c>
      <c r="T13" s="429">
        <v>99.47</v>
      </c>
      <c r="U13" s="428">
        <f>_xll.qlMidSafe($Q13,$R13)</f>
        <v>99.460000000000008</v>
      </c>
      <c r="V13" s="422"/>
      <c r="W13" s="431" t="e">
        <v>#NUM!</v>
      </c>
      <c r="X13" s="422"/>
      <c r="Y13" s="430" t="str">
        <v>GBPFUT3MQ4_Quote</v>
      </c>
      <c r="Z13" s="429">
        <v>99.460000000000008</v>
      </c>
      <c r="AA13" s="428" t="e">
        <f>_xll.qlSimpleQuoteSetValue($Y13,$Z13,Trigger)</f>
        <v>#N/A</v>
      </c>
      <c r="AB13" s="137"/>
      <c r="AG13" s="418">
        <f t="shared" si="1"/>
        <v>1.9999999999981811E-4</v>
      </c>
    </row>
    <row r="14" spans="1:33" x14ac:dyDescent="0.2">
      <c r="A14" s="143"/>
      <c r="B14" s="142">
        <v>9</v>
      </c>
      <c r="C14" s="141" t="b">
        <v>0</v>
      </c>
      <c r="D14" s="140" t="str">
        <v>U4</v>
      </c>
      <c r="E14" s="139" t="str">
        <f t="shared" si="0"/>
        <v>GBPFUT3MU4_Quote</v>
      </c>
      <c r="F14" s="138" t="str">
        <f>_xll.qlSimpleQuote(E14,,PriceTickValue,Permanent,Trigger,ObjectOverwrite)</f>
        <v>GBPFUT3MU4_Quote#0000</v>
      </c>
      <c r="G14" s="101" t="str">
        <f>_xll.ohRangeRetrieveError(F14)</f>
        <v/>
      </c>
      <c r="H14" s="137"/>
      <c r="J14" s="143"/>
      <c r="K14" s="435">
        <v>9</v>
      </c>
      <c r="L14" s="434" t="b">
        <v>0</v>
      </c>
      <c r="M14" s="429" t="str">
        <v>U4</v>
      </c>
      <c r="N14" s="433">
        <v>41899</v>
      </c>
      <c r="O14" s="429" t="str">
        <v>FSSU4</v>
      </c>
      <c r="P14" s="432" t="s">
        <v>233</v>
      </c>
      <c r="Q14" s="429" t="s">
        <v>233</v>
      </c>
      <c r="R14" s="429" t="s">
        <v>233</v>
      </c>
      <c r="S14" s="429" t="s">
        <v>233</v>
      </c>
      <c r="T14" s="429" t="s">
        <v>233</v>
      </c>
      <c r="U14" s="428" t="e">
        <f>_xll.qlMidSafe($Q14,$R14)</f>
        <v>#NUM!</v>
      </c>
      <c r="V14" s="422"/>
      <c r="W14" s="431" t="e">
        <v>#NUM!</v>
      </c>
      <c r="X14" s="422"/>
      <c r="Y14" s="430" t="str">
        <v>GBPFUT3MU4_Quote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GBPFUT3MV4_Quote</v>
      </c>
      <c r="F15" s="138" t="str">
        <f>_xll.qlSimpleQuote(E15,,PriceTickValue,Permanent,Trigger,ObjectOverwrite)</f>
        <v>GBPFUT3MV4_Quote#0000</v>
      </c>
      <c r="G15" s="101" t="str">
        <f>_xll.ohRangeRetrieveError(F15)</f>
        <v/>
      </c>
      <c r="H15" s="137"/>
      <c r="J15" s="143"/>
      <c r="K15" s="435">
        <v>10</v>
      </c>
      <c r="L15" s="434" t="b">
        <v>0</v>
      </c>
      <c r="M15" s="429" t="str">
        <v>V4</v>
      </c>
      <c r="N15" s="433">
        <v>41927</v>
      </c>
      <c r="O15" s="429" t="str">
        <v>FSSV4</v>
      </c>
      <c r="P15" s="432" t="s">
        <v>233</v>
      </c>
      <c r="Q15" s="429" t="s">
        <v>233</v>
      </c>
      <c r="R15" s="429" t="s">
        <v>233</v>
      </c>
      <c r="S15" s="429" t="s">
        <v>233</v>
      </c>
      <c r="T15" s="429" t="s">
        <v>233</v>
      </c>
      <c r="U15" s="428" t="e">
        <f>_xll.qlMidSafe($Q15,$R15)</f>
        <v>#NUM!</v>
      </c>
      <c r="V15" s="422"/>
      <c r="W15" s="431">
        <v>99.484999999999999</v>
      </c>
      <c r="X15" s="422"/>
      <c r="Y15" s="430" t="str">
        <v>GBPFUT3MV4_Quote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GBPFUT3MX4_Quote</v>
      </c>
      <c r="F16" s="138" t="str">
        <f>_xll.qlSimpleQuote(E16,,PriceTickValue,Permanent,Trigger,ObjectOverwrite)</f>
        <v>GBPFUT3MX4_Quote#0000</v>
      </c>
      <c r="G16" s="101" t="str">
        <f>_xll.ohRangeRetrieveError(F16)</f>
        <v/>
      </c>
      <c r="H16" s="137"/>
      <c r="J16" s="143"/>
      <c r="K16" s="435">
        <v>11</v>
      </c>
      <c r="L16" s="434" t="b">
        <v>0</v>
      </c>
      <c r="M16" s="429" t="str">
        <v>X4</v>
      </c>
      <c r="N16" s="433">
        <v>41962</v>
      </c>
      <c r="O16" s="429" t="str">
        <v>FSSX4</v>
      </c>
      <c r="P16" s="432">
        <v>41626</v>
      </c>
      <c r="Q16" s="429">
        <v>99.43</v>
      </c>
      <c r="R16" s="429">
        <v>99.44</v>
      </c>
      <c r="S16" s="429">
        <v>99.43</v>
      </c>
      <c r="T16" s="429">
        <v>99.444999999999993</v>
      </c>
      <c r="U16" s="428">
        <f>_xll.qlMidSafe($Q16,$R16)</f>
        <v>99.435000000000002</v>
      </c>
      <c r="V16" s="422"/>
      <c r="W16" s="431" t="e">
        <v>#NUM!</v>
      </c>
      <c r="X16" s="422"/>
      <c r="Y16" s="430" t="str">
        <v>GBPFUT3MX4_Quote</v>
      </c>
      <c r="Z16" s="429">
        <v>99.435000000000002</v>
      </c>
      <c r="AA16" s="428" t="e">
        <f>_xll.qlSimpleQuoteSetValue($Y16,$Z16,Trigger)</f>
        <v>#N/A</v>
      </c>
      <c r="AB16" s="137"/>
      <c r="AG16" s="418">
        <f t="shared" si="1"/>
        <v>9.9999999999909054E-5</v>
      </c>
    </row>
    <row r="17" spans="1:33" x14ac:dyDescent="0.2">
      <c r="A17" s="143"/>
      <c r="B17" s="142">
        <v>12</v>
      </c>
      <c r="C17" s="141" t="b">
        <v>0</v>
      </c>
      <c r="D17" s="140" t="str">
        <v>Z4</v>
      </c>
      <c r="E17" s="139" t="str">
        <f t="shared" si="0"/>
        <v>GBPFUT3MZ4_Quote</v>
      </c>
      <c r="F17" s="138" t="str">
        <f>_xll.qlSimpleQuote(E17,,PriceTickValue,Permanent,Trigger,ObjectOverwrite)</f>
        <v>GBPFUT3MZ4_Quote#0000</v>
      </c>
      <c r="G17" s="101" t="str">
        <f>_xll.ohRangeRetrieveError(F17)</f>
        <v/>
      </c>
      <c r="H17" s="137"/>
      <c r="J17" s="143"/>
      <c r="K17" s="435">
        <v>12</v>
      </c>
      <c r="L17" s="434" t="b">
        <v>0</v>
      </c>
      <c r="M17" s="429" t="str">
        <v>Z4</v>
      </c>
      <c r="N17" s="433">
        <v>41990</v>
      </c>
      <c r="O17" s="429" t="str">
        <v>FSSZ4</v>
      </c>
      <c r="P17" s="432" t="s">
        <v>233</v>
      </c>
      <c r="Q17" s="429" t="s">
        <v>233</v>
      </c>
      <c r="R17" s="429" t="s">
        <v>233</v>
      </c>
      <c r="S17" s="429" t="s">
        <v>233</v>
      </c>
      <c r="T17" s="429" t="s">
        <v>233</v>
      </c>
      <c r="U17" s="428" t="e">
        <f>_xll.qlMidSafe($Q17,$R17)</f>
        <v>#NUM!</v>
      </c>
      <c r="V17" s="422"/>
      <c r="W17" s="431" t="e">
        <v>#NUM!</v>
      </c>
      <c r="X17" s="422"/>
      <c r="Y17" s="430" t="str">
        <v>GBPFUT3MZ4_Quote</v>
      </c>
      <c r="Z17" s="429" t="e">
        <v>#NUM!</v>
      </c>
      <c r="AA17" s="428" t="e">
        <f>_xll.qlSimpleQuoteSetValue($Y17,$Z17,Trigger)</f>
        <v>#NUM!</v>
      </c>
      <c r="AB17" s="137"/>
      <c r="AG17" s="418" t="e">
        <f t="shared" si="1"/>
        <v>#VALUE!</v>
      </c>
    </row>
    <row r="18" spans="1:33" x14ac:dyDescent="0.2">
      <c r="A18" s="143"/>
      <c r="B18" s="142">
        <v>13</v>
      </c>
      <c r="C18" s="141" t="b">
        <v>0</v>
      </c>
      <c r="D18" s="140" t="str">
        <v>F5</v>
      </c>
      <c r="E18" s="139" t="str">
        <f t="shared" si="0"/>
        <v>GBPFUT3MF5_Quote</v>
      </c>
      <c r="F18" s="138" t="str">
        <f>_xll.qlSimpleQuote(E18,,PriceTickValue,Permanent,Trigger,ObjectOverwrite)</f>
        <v>GBPFUT3MF5_Quote#0000</v>
      </c>
      <c r="G18" s="101" t="str">
        <f>_xll.ohRangeRetrieveError(F18)</f>
        <v/>
      </c>
      <c r="H18" s="137"/>
      <c r="J18" s="143"/>
      <c r="K18" s="435">
        <v>13</v>
      </c>
      <c r="L18" s="434" t="b">
        <v>1</v>
      </c>
      <c r="M18" s="429" t="str">
        <v>H5</v>
      </c>
      <c r="N18" s="433">
        <v>42081</v>
      </c>
      <c r="O18" s="429" t="str">
        <v>FSSH5</v>
      </c>
      <c r="P18" s="432">
        <v>41717</v>
      </c>
      <c r="Q18" s="429">
        <v>99.4</v>
      </c>
      <c r="R18" s="429">
        <v>99.41</v>
      </c>
      <c r="S18" s="429">
        <v>99.41</v>
      </c>
      <c r="T18" s="429">
        <v>99.415000000000006</v>
      </c>
      <c r="U18" s="428">
        <f>_xll.qlMidSafe($Q18,$R18)</f>
        <v>99.405000000000001</v>
      </c>
      <c r="V18" s="422"/>
      <c r="W18" s="431">
        <v>99.474999999999994</v>
      </c>
      <c r="X18" s="422"/>
      <c r="Y18" s="430" t="str">
        <v>GBPFUT3MH5_Quote</v>
      </c>
      <c r="Z18" s="429">
        <v>99.405000000000001</v>
      </c>
      <c r="AA18" s="428" t="e">
        <f>_xll.qlSimpleQuoteSetValue($Y18,$Z18,Trigger)</f>
        <v>#N/A</v>
      </c>
      <c r="AB18" s="137"/>
      <c r="AG18" s="418">
        <f t="shared" si="1"/>
        <v>9.9999999999909054E-5</v>
      </c>
    </row>
    <row r="19" spans="1:33" x14ac:dyDescent="0.2">
      <c r="A19" s="143"/>
      <c r="B19" s="142">
        <v>14</v>
      </c>
      <c r="C19" s="141" t="b">
        <v>0</v>
      </c>
      <c r="D19" s="140" t="str">
        <v>G5</v>
      </c>
      <c r="E19" s="139" t="str">
        <f t="shared" si="0"/>
        <v>GBPFUT3MG5_Quote</v>
      </c>
      <c r="F19" s="138" t="str">
        <f>_xll.qlSimpleQuote(E19,,PriceTickValue,Permanent,Trigger,ObjectOverwrite)</f>
        <v>GBPFUT3MG5_Quote#0000</v>
      </c>
      <c r="G19" s="101" t="str">
        <f>_xll.ohRangeRetrieveError(F19)</f>
        <v/>
      </c>
      <c r="H19" s="137"/>
      <c r="J19" s="143"/>
      <c r="K19" s="435">
        <v>14</v>
      </c>
      <c r="L19" s="434" t="b">
        <v>1</v>
      </c>
      <c r="M19" s="429" t="str">
        <v>M5</v>
      </c>
      <c r="N19" s="433">
        <v>42172</v>
      </c>
      <c r="O19" s="429" t="str">
        <v>FSSM5</v>
      </c>
      <c r="P19" s="432">
        <v>41808</v>
      </c>
      <c r="Q19" s="429">
        <v>99.35</v>
      </c>
      <c r="R19" s="429">
        <v>99.36</v>
      </c>
      <c r="S19" s="429">
        <v>99.36</v>
      </c>
      <c r="T19" s="429">
        <v>99.364999999999995</v>
      </c>
      <c r="U19" s="428">
        <f>_xll.qlMidSafe($Q19,$R19)</f>
        <v>99.35499999999999</v>
      </c>
      <c r="V19" s="422"/>
      <c r="W19" s="431">
        <v>99.454999999999998</v>
      </c>
      <c r="X19" s="422"/>
      <c r="Y19" s="430" t="str">
        <v>GBPFUT3MM5_Quote</v>
      </c>
      <c r="Z19" s="429">
        <v>99.35499999999999</v>
      </c>
      <c r="AA19" s="428" t="e">
        <f>_xll.qlSimpleQuoteSetValue($Y19,$Z19,Trigger)</f>
        <v>#N/A</v>
      </c>
      <c r="AB19" s="137"/>
      <c r="AG19" s="418">
        <f t="shared" si="1"/>
        <v>1.0000000000019326E-4</v>
      </c>
    </row>
    <row r="20" spans="1:33" x14ac:dyDescent="0.2">
      <c r="A20" s="143"/>
      <c r="B20" s="142">
        <v>15</v>
      </c>
      <c r="C20" s="141" t="b">
        <v>0</v>
      </c>
      <c r="D20" s="140" t="str">
        <v>H5</v>
      </c>
      <c r="E20" s="139" t="str">
        <f t="shared" si="0"/>
        <v>GBPFUT3MH5_Quote</v>
      </c>
      <c r="F20" s="138" t="str">
        <f>_xll.qlSimpleQuote(E20,,PriceTickValue,Permanent,Trigger,ObjectOverwrite)</f>
        <v>GBPFUT3MH5_Quote#0000</v>
      </c>
      <c r="G20" s="101" t="str">
        <f>_xll.ohRangeRetrieveError(F20)</f>
        <v/>
      </c>
      <c r="H20" s="137"/>
      <c r="J20" s="143"/>
      <c r="K20" s="435">
        <v>15</v>
      </c>
      <c r="L20" s="434" t="b">
        <v>1</v>
      </c>
      <c r="M20" s="429" t="str">
        <v>U5</v>
      </c>
      <c r="N20" s="433">
        <v>42263</v>
      </c>
      <c r="O20" s="429" t="str">
        <v>FSSU5</v>
      </c>
      <c r="P20" s="432">
        <v>41899</v>
      </c>
      <c r="Q20" s="429">
        <v>99.3</v>
      </c>
      <c r="R20" s="429">
        <v>99.31</v>
      </c>
      <c r="S20" s="429">
        <v>99.3</v>
      </c>
      <c r="T20" s="429">
        <v>99.31</v>
      </c>
      <c r="U20" s="428">
        <f>_xll.qlMidSafe($Q20,$R20)</f>
        <v>99.305000000000007</v>
      </c>
      <c r="V20" s="422"/>
      <c r="W20" s="431">
        <v>99.415000000000006</v>
      </c>
      <c r="X20" s="422"/>
      <c r="Y20" s="430" t="str">
        <v>GBPFUT3MU5_Quote</v>
      </c>
      <c r="Z20" s="429">
        <v>99.305000000000007</v>
      </c>
      <c r="AA20" s="428" t="e">
        <f>_xll.qlSimpleQuoteSetValue($Y20,$Z20,Trigger)</f>
        <v>#N/A</v>
      </c>
      <c r="AB20" s="137"/>
      <c r="AG20" s="418">
        <f t="shared" si="1"/>
        <v>9.9999999999909054E-5</v>
      </c>
    </row>
    <row r="21" spans="1:33" x14ac:dyDescent="0.2">
      <c r="A21" s="143"/>
      <c r="B21" s="142">
        <v>16</v>
      </c>
      <c r="C21" s="141" t="b">
        <v>0</v>
      </c>
      <c r="D21" s="140" t="str">
        <v>J5</v>
      </c>
      <c r="E21" s="139" t="str">
        <f t="shared" si="0"/>
        <v>GBPFUT3MJ5_Quote</v>
      </c>
      <c r="F21" s="138" t="str">
        <f>_xll.qlSimpleQuote(E21,,PriceTickValue,Permanent,Trigger,ObjectOverwrite)</f>
        <v>GBPFUT3MJ5_Quote#0000</v>
      </c>
      <c r="G21" s="101" t="str">
        <f>_xll.ohRangeRetrieveError(F21)</f>
        <v/>
      </c>
      <c r="H21" s="137"/>
      <c r="J21" s="143"/>
      <c r="K21" s="435">
        <v>16</v>
      </c>
      <c r="L21" s="434" t="b">
        <v>1</v>
      </c>
      <c r="M21" s="429" t="str">
        <v>Z5</v>
      </c>
      <c r="N21" s="433">
        <v>42354</v>
      </c>
      <c r="O21" s="429" t="str">
        <v>FSSZ5</v>
      </c>
      <c r="P21" s="432">
        <v>41990</v>
      </c>
      <c r="Q21" s="429">
        <v>99.23</v>
      </c>
      <c r="R21" s="429">
        <v>99.24</v>
      </c>
      <c r="S21" s="429">
        <v>99.23</v>
      </c>
      <c r="T21" s="429">
        <v>99.245000000000005</v>
      </c>
      <c r="U21" s="428">
        <f>_xll.qlMidSafe($Q21,$R21)</f>
        <v>99.234999999999999</v>
      </c>
      <c r="V21" s="422"/>
      <c r="W21" s="431">
        <v>99.375</v>
      </c>
      <c r="X21" s="422"/>
      <c r="Y21" s="430" t="str">
        <v>GBPFUT3MZ5_Quote</v>
      </c>
      <c r="Z21" s="429">
        <v>99.234999999999999</v>
      </c>
      <c r="AA21" s="428" t="e">
        <f>_xll.qlSimpleQuoteSetValue($Y21,$Z21,Trigger)</f>
        <v>#N/A</v>
      </c>
      <c r="AB21" s="137"/>
      <c r="AG21" s="418">
        <f t="shared" si="1"/>
        <v>9.9999999999909054E-5</v>
      </c>
    </row>
    <row r="22" spans="1:33" x14ac:dyDescent="0.2">
      <c r="A22" s="143"/>
      <c r="B22" s="142">
        <v>17</v>
      </c>
      <c r="C22" s="141" t="b">
        <v>0</v>
      </c>
      <c r="D22" s="140" t="str">
        <v>K5</v>
      </c>
      <c r="E22" s="139" t="str">
        <f t="shared" si="0"/>
        <v>GBPFUT3MK5_Quote</v>
      </c>
      <c r="F22" s="138" t="str">
        <f>_xll.qlSimpleQuote(E22,,PriceTickValue,Permanent,Trigger,ObjectOverwrite)</f>
        <v>GBPFUT3MK5_Quote#0000</v>
      </c>
      <c r="G22" s="101" t="str">
        <f>_xll.ohRangeRetrieveError(F22)</f>
        <v/>
      </c>
      <c r="H22" s="137"/>
      <c r="J22" s="143"/>
      <c r="K22" s="435">
        <v>17</v>
      </c>
      <c r="L22" s="434" t="b">
        <v>1</v>
      </c>
      <c r="M22" s="429" t="str">
        <v>H6</v>
      </c>
      <c r="N22" s="433">
        <v>42445</v>
      </c>
      <c r="O22" s="429" t="str">
        <v>FSSH6</v>
      </c>
      <c r="P22" s="432">
        <v>42081</v>
      </c>
      <c r="Q22" s="429">
        <v>99.16</v>
      </c>
      <c r="R22" s="429">
        <v>99.17</v>
      </c>
      <c r="S22" s="429">
        <v>99.16</v>
      </c>
      <c r="T22" s="429">
        <v>99.17</v>
      </c>
      <c r="U22" s="428">
        <f>_xll.qlMidSafe($Q22,$R22)</f>
        <v>99.164999999999992</v>
      </c>
      <c r="V22" s="422"/>
      <c r="W22" s="431">
        <v>99.325000000000003</v>
      </c>
      <c r="X22" s="422"/>
      <c r="Y22" s="430" t="str">
        <v>GBPFUT3MH6_Quote</v>
      </c>
      <c r="Z22" s="429">
        <v>99.164999999999992</v>
      </c>
      <c r="AA22" s="428" t="e">
        <f>_xll.qlSimpleQuoteSetValue($Y22,$Z22,Trigger)</f>
        <v>#N/A</v>
      </c>
      <c r="AB22" s="137"/>
      <c r="AG22" s="418">
        <f t="shared" si="1"/>
        <v>1.0000000000019326E-4</v>
      </c>
    </row>
    <row r="23" spans="1:33" x14ac:dyDescent="0.2">
      <c r="A23" s="143"/>
      <c r="B23" s="142">
        <v>18</v>
      </c>
      <c r="C23" s="141" t="b">
        <v>0</v>
      </c>
      <c r="D23" s="140" t="str">
        <v>M5</v>
      </c>
      <c r="E23" s="139" t="str">
        <f t="shared" si="0"/>
        <v>GBPFUT3MM5_Quote</v>
      </c>
      <c r="F23" s="138" t="str">
        <f>_xll.qlSimpleQuote(E23,,PriceTickValue,Permanent,Trigger,ObjectOverwrite)</f>
        <v>GBPFUT3MM5_Quote#0000</v>
      </c>
      <c r="G23" s="101" t="str">
        <f>_xll.ohRangeRetrieveError(F23)</f>
        <v/>
      </c>
      <c r="H23" s="137"/>
      <c r="J23" s="143"/>
      <c r="K23" s="435">
        <v>18</v>
      </c>
      <c r="L23" s="434" t="b">
        <v>1</v>
      </c>
      <c r="M23" s="429" t="str">
        <v>M6</v>
      </c>
      <c r="N23" s="433">
        <v>42536</v>
      </c>
      <c r="O23" s="429" t="str">
        <v>FSSM6</v>
      </c>
      <c r="P23" s="432">
        <v>42172</v>
      </c>
      <c r="Q23" s="429">
        <v>99.07</v>
      </c>
      <c r="R23" s="429">
        <v>99.08</v>
      </c>
      <c r="S23" s="429">
        <v>99.08</v>
      </c>
      <c r="T23" s="429">
        <v>99.084999999999994</v>
      </c>
      <c r="U23" s="428">
        <f>_xll.qlMidSafe($Q23,$R23)</f>
        <v>99.074999999999989</v>
      </c>
      <c r="V23" s="422"/>
      <c r="W23" s="431">
        <v>99.275000000000006</v>
      </c>
      <c r="X23" s="422"/>
      <c r="Y23" s="430" t="str">
        <v>GBPFUT3MM6_Quote</v>
      </c>
      <c r="Z23" s="429">
        <v>99.074999999999989</v>
      </c>
      <c r="AA23" s="428" t="e">
        <f>_xll.qlSimpleQuoteSetValue($Y23,$Z23,Trigger)</f>
        <v>#N/A</v>
      </c>
      <c r="AB23" s="137"/>
      <c r="AG23" s="418">
        <f t="shared" si="1"/>
        <v>1.0000000000019326E-4</v>
      </c>
    </row>
    <row r="24" spans="1:33" x14ac:dyDescent="0.2">
      <c r="A24" s="143"/>
      <c r="B24" s="142">
        <v>19</v>
      </c>
      <c r="C24" s="141" t="b">
        <v>0</v>
      </c>
      <c r="D24" s="140" t="str">
        <v>N5</v>
      </c>
      <c r="E24" s="139" t="str">
        <f t="shared" si="0"/>
        <v>GBPFUT3MN5_Quote</v>
      </c>
      <c r="F24" s="138" t="str">
        <f>_xll.qlSimpleQuote(E24,,PriceTickValue,Permanent,Trigger,ObjectOverwrite)</f>
        <v>GBPFUT3MN5_Quote#0000</v>
      </c>
      <c r="G24" s="101" t="str">
        <f>_xll.ohRangeRetrieveError(F24)</f>
        <v/>
      </c>
      <c r="H24" s="137"/>
      <c r="J24" s="143"/>
      <c r="K24" s="435">
        <v>19</v>
      </c>
      <c r="L24" s="434" t="b">
        <v>1</v>
      </c>
      <c r="M24" s="429" t="str">
        <v>U6</v>
      </c>
      <c r="N24" s="433">
        <v>42634</v>
      </c>
      <c r="O24" s="429" t="str">
        <v>FSSU6</v>
      </c>
      <c r="P24" s="432">
        <v>42263</v>
      </c>
      <c r="Q24" s="429">
        <v>98.97</v>
      </c>
      <c r="R24" s="429">
        <v>98.98</v>
      </c>
      <c r="S24" s="429">
        <v>98.98</v>
      </c>
      <c r="T24" s="429">
        <v>98.99</v>
      </c>
      <c r="U24" s="428">
        <f>_xll.qlMidSafe($Q24,$R24)</f>
        <v>98.974999999999994</v>
      </c>
      <c r="V24" s="422"/>
      <c r="W24" s="431">
        <v>99.204999999999998</v>
      </c>
      <c r="X24" s="422"/>
      <c r="Y24" s="430" t="str">
        <v>GBPFUT3MU6_Quote</v>
      </c>
      <c r="Z24" s="429">
        <v>98.974999999999994</v>
      </c>
      <c r="AA24" s="428" t="e">
        <f>_xll.qlSimpleQuoteSetValue($Y24,$Z24,Trigger)</f>
        <v>#N/A</v>
      </c>
      <c r="AB24" s="137"/>
      <c r="AG24" s="418">
        <f t="shared" si="1"/>
        <v>1.0000000000019326E-4</v>
      </c>
    </row>
    <row r="25" spans="1:33" x14ac:dyDescent="0.2">
      <c r="A25" s="143"/>
      <c r="B25" s="142">
        <v>20</v>
      </c>
      <c r="C25" s="141" t="b">
        <v>0</v>
      </c>
      <c r="D25" s="140" t="str">
        <v>Q5</v>
      </c>
      <c r="E25" s="139" t="str">
        <f t="shared" si="0"/>
        <v>GBPFUT3MQ5_Quote</v>
      </c>
      <c r="F25" s="138" t="str">
        <f>_xll.qlSimpleQuote(E25,,PriceTickValue,Permanent,Trigger,ObjectOverwrite)</f>
        <v>GBPFUT3MQ5_Quote#0000</v>
      </c>
      <c r="G25" s="101" t="str">
        <f>_xll.ohRangeRetrieveError(F25)</f>
        <v/>
      </c>
      <c r="H25" s="137"/>
      <c r="J25" s="143"/>
      <c r="K25" s="435">
        <v>20</v>
      </c>
      <c r="L25" s="434" t="b">
        <v>1</v>
      </c>
      <c r="M25" s="429" t="str">
        <v>Z6</v>
      </c>
      <c r="N25" s="433">
        <v>42725</v>
      </c>
      <c r="O25" s="429" t="str">
        <v>FSSZ6</v>
      </c>
      <c r="P25" s="432">
        <v>42354</v>
      </c>
      <c r="Q25" s="429">
        <v>98.86</v>
      </c>
      <c r="R25" s="429">
        <v>98.87</v>
      </c>
      <c r="S25" s="429">
        <v>98.87</v>
      </c>
      <c r="T25" s="429">
        <v>98.875</v>
      </c>
      <c r="U25" s="428">
        <f>_xll.qlMidSafe($Q25,$R25)</f>
        <v>98.865000000000009</v>
      </c>
      <c r="V25" s="422"/>
      <c r="W25" s="431">
        <v>99.135000000000005</v>
      </c>
      <c r="X25" s="422"/>
      <c r="Y25" s="430" t="str">
        <v>GBPFUT3MZ6_Quote</v>
      </c>
      <c r="Z25" s="429">
        <v>98.865000000000009</v>
      </c>
      <c r="AA25" s="428" t="e">
        <f>_xll.qlSimpleQuoteSetValue($Y25,$Z25,Trigger)</f>
        <v>#N/A</v>
      </c>
      <c r="AB25" s="137"/>
      <c r="AG25" s="418">
        <f t="shared" si="1"/>
        <v>9.9999999999909054E-5</v>
      </c>
    </row>
    <row r="26" spans="1:33" x14ac:dyDescent="0.2">
      <c r="A26" s="143"/>
      <c r="B26" s="142">
        <v>21</v>
      </c>
      <c r="C26" s="141" t="b">
        <v>0</v>
      </c>
      <c r="D26" s="140" t="str">
        <v>U5</v>
      </c>
      <c r="E26" s="139" t="str">
        <f t="shared" si="0"/>
        <v>GBPFUT3MU5_Quote</v>
      </c>
      <c r="F26" s="138" t="str">
        <f>_xll.qlSimpleQuote(E26,,PriceTickValue,Permanent,Trigger,ObjectOverwrite)</f>
        <v>GBPFUT3MU5_Quote#0000</v>
      </c>
      <c r="G26" s="101" t="str">
        <f>_xll.ohRangeRetrieveError(F26)</f>
        <v/>
      </c>
      <c r="H26" s="137"/>
      <c r="J26" s="143"/>
      <c r="K26" s="435">
        <v>21</v>
      </c>
      <c r="L26" s="434" t="b">
        <v>1</v>
      </c>
      <c r="M26" s="429" t="str">
        <v>H7</v>
      </c>
      <c r="N26" s="433">
        <v>42809</v>
      </c>
      <c r="O26" s="429" t="str">
        <v>FSSH7</v>
      </c>
      <c r="P26" s="432">
        <v>42445</v>
      </c>
      <c r="Q26" s="429">
        <v>98.75</v>
      </c>
      <c r="R26" s="429">
        <v>98.76</v>
      </c>
      <c r="S26" s="429">
        <v>98.76</v>
      </c>
      <c r="T26" s="429">
        <v>98.77</v>
      </c>
      <c r="U26" s="428">
        <f>_xll.qlMidSafe($Q26,$R26)</f>
        <v>98.754999999999995</v>
      </c>
      <c r="V26" s="422"/>
      <c r="W26" s="431">
        <v>99.04</v>
      </c>
      <c r="X26" s="422"/>
      <c r="Y26" s="430" t="str">
        <v>GBPFUT3MH7_Quote</v>
      </c>
      <c r="Z26" s="429">
        <v>98.754999999999995</v>
      </c>
      <c r="AA26" s="428" t="e">
        <f>_xll.qlSimpleQuoteSetValue($Y26,$Z26,Trigger)</f>
        <v>#N/A</v>
      </c>
      <c r="AB26" s="137"/>
      <c r="AG26" s="418">
        <f t="shared" si="1"/>
        <v>1.0000000000019326E-4</v>
      </c>
    </row>
    <row r="27" spans="1:33" x14ac:dyDescent="0.2">
      <c r="A27" s="143"/>
      <c r="B27" s="142">
        <v>22</v>
      </c>
      <c r="C27" s="141" t="b">
        <v>0</v>
      </c>
      <c r="D27" s="140" t="str">
        <v>V5</v>
      </c>
      <c r="E27" s="139" t="str">
        <f t="shared" si="0"/>
        <v>GBPFUT3MV5_Quote</v>
      </c>
      <c r="F27" s="138" t="str">
        <f>_xll.qlSimpleQuote(E27,,PriceTickValue,Permanent,Trigger,ObjectOverwrite)</f>
        <v>GBPFUT3MV5_Quote#0000</v>
      </c>
      <c r="G27" s="101" t="str">
        <f>_xll.ohRangeRetrieveError(F27)</f>
        <v/>
      </c>
      <c r="H27" s="137"/>
      <c r="J27" s="143"/>
      <c r="K27" s="435">
        <v>22</v>
      </c>
      <c r="L27" s="434" t="b">
        <v>1</v>
      </c>
      <c r="M27" s="429" t="str">
        <v>M7</v>
      </c>
      <c r="N27" s="433">
        <v>42907</v>
      </c>
      <c r="O27" s="429" t="str">
        <v>FSSM7</v>
      </c>
      <c r="P27" s="432">
        <v>42536</v>
      </c>
      <c r="Q27" s="429">
        <v>98.63</v>
      </c>
      <c r="R27" s="429">
        <v>98.64</v>
      </c>
      <c r="S27" s="429">
        <v>98.64</v>
      </c>
      <c r="T27" s="429">
        <v>98.65</v>
      </c>
      <c r="U27" s="428">
        <f>_xll.qlMidSafe($Q27,$R27)</f>
        <v>98.634999999999991</v>
      </c>
      <c r="V27" s="422"/>
      <c r="W27" s="431">
        <v>98.95</v>
      </c>
      <c r="X27" s="422"/>
      <c r="Y27" s="430" t="str">
        <v>GBPFUT3MM7_Quote</v>
      </c>
      <c r="Z27" s="429">
        <v>98.634999999999991</v>
      </c>
      <c r="AA27" s="428" t="e">
        <f>_xll.qlSimpleQuoteSetValue($Y27,$Z27,Trigger)</f>
        <v>#N/A</v>
      </c>
      <c r="AB27" s="137"/>
      <c r="AG27" s="418">
        <f t="shared" si="1"/>
        <v>1.0000000000019326E-4</v>
      </c>
    </row>
    <row r="28" spans="1:33" x14ac:dyDescent="0.2">
      <c r="A28" s="143"/>
      <c r="B28" s="142">
        <v>23</v>
      </c>
      <c r="C28" s="141" t="b">
        <v>0</v>
      </c>
      <c r="D28" s="140" t="str">
        <v>X5</v>
      </c>
      <c r="E28" s="139" t="str">
        <f t="shared" si="0"/>
        <v>GBPFUT3MX5_Quote</v>
      </c>
      <c r="F28" s="138" t="str">
        <f>_xll.qlSimpleQuote(E28,,PriceTickValue,Permanent,Trigger,ObjectOverwrite)</f>
        <v>GBPFUT3MX5_Quote#0000</v>
      </c>
      <c r="G28" s="101" t="str">
        <f>_xll.ohRangeRetrieveError(F28)</f>
        <v/>
      </c>
      <c r="H28" s="137"/>
      <c r="J28" s="143"/>
      <c r="K28" s="435">
        <v>23</v>
      </c>
      <c r="L28" s="434" t="b">
        <v>1</v>
      </c>
      <c r="M28" s="429" t="str">
        <v>U7</v>
      </c>
      <c r="N28" s="433">
        <v>42998</v>
      </c>
      <c r="O28" s="429" t="str">
        <v>FSSU7</v>
      </c>
      <c r="P28" s="432">
        <v>42634</v>
      </c>
      <c r="Q28" s="429">
        <v>98.51</v>
      </c>
      <c r="R28" s="429">
        <v>98.53</v>
      </c>
      <c r="S28" s="429">
        <v>98.53</v>
      </c>
      <c r="T28" s="429">
        <v>98.525000000000006</v>
      </c>
      <c r="U28" s="428">
        <f>_xll.qlMidSafe($Q28,$R28)</f>
        <v>98.52000000000001</v>
      </c>
      <c r="V28" s="422"/>
      <c r="W28" s="431">
        <v>98.84</v>
      </c>
      <c r="X28" s="422"/>
      <c r="Y28" s="430" t="str">
        <v>GBPFUT3MU7_Quote</v>
      </c>
      <c r="Z28" s="429">
        <v>98.52000000000001</v>
      </c>
      <c r="AA28" s="428" t="e">
        <f>_xll.qlSimpleQuoteSetValue($Y28,$Z28,Trigger)</f>
        <v>#N/A</v>
      </c>
      <c r="AB28" s="137"/>
      <c r="AG28" s="418">
        <f t="shared" si="1"/>
        <v>1.9999999999981811E-4</v>
      </c>
    </row>
    <row r="29" spans="1:33" x14ac:dyDescent="0.2">
      <c r="A29" s="143"/>
      <c r="B29" s="142">
        <v>24</v>
      </c>
      <c r="C29" s="141" t="b">
        <v>0</v>
      </c>
      <c r="D29" s="140" t="str">
        <v>Z5</v>
      </c>
      <c r="E29" s="139" t="str">
        <f t="shared" si="0"/>
        <v>GBPFUT3MZ5_Quote</v>
      </c>
      <c r="F29" s="138" t="str">
        <f>_xll.qlSimpleQuote(E29,,PriceTickValue,Permanent,Trigger,ObjectOverwrite)</f>
        <v>GBPFUT3MZ5_Quote#0000</v>
      </c>
      <c r="G29" s="101" t="str">
        <f>_xll.ohRangeRetrieveError(F29)</f>
        <v/>
      </c>
      <c r="H29" s="137"/>
      <c r="J29" s="143"/>
      <c r="K29" s="435">
        <v>24</v>
      </c>
      <c r="L29" s="434" t="b">
        <v>1</v>
      </c>
      <c r="M29" s="429" t="str">
        <v>Z7</v>
      </c>
      <c r="N29" s="433">
        <v>43089</v>
      </c>
      <c r="O29" s="429" t="str">
        <v>FSSZ7</v>
      </c>
      <c r="P29" s="432">
        <v>42725</v>
      </c>
      <c r="Q29" s="429">
        <v>98.37</v>
      </c>
      <c r="R29" s="429">
        <v>98.39</v>
      </c>
      <c r="S29" s="429">
        <v>98.36</v>
      </c>
      <c r="T29" s="429">
        <v>98.385000000000005</v>
      </c>
      <c r="U29" s="428">
        <f>_xll.qlMidSafe($Q29,$R29)</f>
        <v>98.38</v>
      </c>
      <c r="V29" s="422"/>
      <c r="W29" s="431">
        <v>98.724999999999994</v>
      </c>
      <c r="X29" s="422"/>
      <c r="Y29" s="430" t="str">
        <v>GBPFUT3MZ7_Quote</v>
      </c>
      <c r="Z29" s="429">
        <v>98.38</v>
      </c>
      <c r="AA29" s="428" t="e">
        <f>_xll.qlSimpleQuoteSetValue($Y29,$Z29,Trigger)</f>
        <v>#N/A</v>
      </c>
      <c r="AB29" s="137"/>
      <c r="AG29" s="418">
        <f t="shared" si="1"/>
        <v>2.0000000000010233E-4</v>
      </c>
    </row>
    <row r="30" spans="1:33" x14ac:dyDescent="0.2">
      <c r="A30" s="143"/>
      <c r="B30" s="142">
        <v>25</v>
      </c>
      <c r="C30" s="141" t="b">
        <v>0</v>
      </c>
      <c r="D30" s="140" t="str">
        <v>F6</v>
      </c>
      <c r="E30" s="139" t="str">
        <f t="shared" si="0"/>
        <v>GBPFUT3MF6_Quote</v>
      </c>
      <c r="F30" s="138" t="str">
        <f>_xll.qlSimpleQuote(E30,,PriceTickValue,Permanent,Trigger,ObjectOverwrite)</f>
        <v>GBPFUT3MF6_Quote#0000</v>
      </c>
      <c r="G30" s="101" t="str">
        <f>_xll.ohRangeRetrieveError(F30)</f>
        <v/>
      </c>
      <c r="H30" s="137"/>
      <c r="J30" s="143"/>
      <c r="K30" s="435">
        <v>25</v>
      </c>
      <c r="L30" s="434" t="b">
        <v>1</v>
      </c>
      <c r="M30" s="429" t="str">
        <v>H8</v>
      </c>
      <c r="N30" s="433">
        <v>43180</v>
      </c>
      <c r="O30" s="429" t="str">
        <v>FSSH8</v>
      </c>
      <c r="P30" s="432">
        <v>42809</v>
      </c>
      <c r="Q30" s="429">
        <v>98.24</v>
      </c>
      <c r="R30" s="429">
        <v>98.28</v>
      </c>
      <c r="S30" s="429">
        <v>98.26</v>
      </c>
      <c r="T30" s="429">
        <v>98.265000000000001</v>
      </c>
      <c r="U30" s="428">
        <f>_xll.qlMidSafe($Q30,$R30)</f>
        <v>98.259999999999991</v>
      </c>
      <c r="V30" s="422"/>
      <c r="W30" s="431">
        <v>98.59</v>
      </c>
      <c r="X30" s="422"/>
      <c r="Y30" s="430" t="str">
        <v>GBPFUT3MH8_Quote</v>
      </c>
      <c r="Z30" s="429">
        <v>98.259999999999991</v>
      </c>
      <c r="AA30" s="428" t="e">
        <f>_xll.qlSimpleQuoteSetValue($Y30,$Z30,Trigger)</f>
        <v>#N/A</v>
      </c>
      <c r="AB30" s="137"/>
      <c r="AG30" s="418">
        <f t="shared" si="1"/>
        <v>4.0000000000020466E-4</v>
      </c>
    </row>
    <row r="31" spans="1:33" x14ac:dyDescent="0.2">
      <c r="A31" s="143"/>
      <c r="B31" s="142">
        <v>26</v>
      </c>
      <c r="C31" s="141" t="b">
        <v>0</v>
      </c>
      <c r="D31" s="140" t="str">
        <v>G6</v>
      </c>
      <c r="E31" s="139" t="str">
        <f t="shared" si="0"/>
        <v>GBPFUT3MG6_Quote</v>
      </c>
      <c r="F31" s="138" t="str">
        <f>_xll.qlSimpleQuote(E31,,PriceTickValue,Permanent,Trigger,ObjectOverwrite)</f>
        <v>GBPFUT3MG6_Quote#0000</v>
      </c>
      <c r="G31" s="101" t="str">
        <f>_xll.ohRangeRetrieveError(F31)</f>
        <v/>
      </c>
      <c r="H31" s="137"/>
      <c r="J31" s="143"/>
      <c r="K31" s="435">
        <v>26</v>
      </c>
      <c r="L31" s="434" t="b">
        <v>1</v>
      </c>
      <c r="M31" s="429" t="str">
        <v>M8</v>
      </c>
      <c r="N31" s="433">
        <v>43271</v>
      </c>
      <c r="O31" s="429" t="str">
        <v>FSSM8</v>
      </c>
      <c r="P31" s="432">
        <v>42907</v>
      </c>
      <c r="Q31" s="429">
        <v>98.11</v>
      </c>
      <c r="R31" s="429">
        <v>98.17</v>
      </c>
      <c r="S31" s="429">
        <v>0</v>
      </c>
      <c r="T31" s="429">
        <v>98.125</v>
      </c>
      <c r="U31" s="428">
        <f>_xll.qlMidSafe($Q31,$R31)</f>
        <v>98.14</v>
      </c>
      <c r="V31" s="422"/>
      <c r="W31" s="431">
        <v>98.474999999999994</v>
      </c>
      <c r="X31" s="422"/>
      <c r="Y31" s="430" t="str">
        <v>GBPFUT3MM8_Quote</v>
      </c>
      <c r="Z31" s="429">
        <v>98.14</v>
      </c>
      <c r="AA31" s="428" t="e">
        <f>_xll.qlSimpleQuoteSetValue($Y31,$Z31,Trigger)</f>
        <v>#N/A</v>
      </c>
      <c r="AB31" s="137"/>
      <c r="AG31" s="418">
        <f t="shared" si="1"/>
        <v>6.0000000000002272E-4</v>
      </c>
    </row>
    <row r="32" spans="1:33" x14ac:dyDescent="0.2">
      <c r="A32" s="143"/>
      <c r="B32" s="142">
        <v>27</v>
      </c>
      <c r="C32" s="141" t="b">
        <v>0</v>
      </c>
      <c r="D32" s="140" t="str">
        <v>H6</v>
      </c>
      <c r="E32" s="139" t="str">
        <f t="shared" si="0"/>
        <v>GBPFUT3MH6_Quote</v>
      </c>
      <c r="F32" s="138" t="str">
        <f>_xll.qlSimpleQuote(E32,,PriceTickValue,Permanent,Trigger,ObjectOverwrite)</f>
        <v>GBPFUT3MH6_Quote#0000</v>
      </c>
      <c r="G32" s="101" t="str">
        <f>_xll.ohRangeRetrieveError(F32)</f>
        <v/>
      </c>
      <c r="H32" s="137"/>
      <c r="J32" s="143"/>
      <c r="K32" s="435">
        <v>27</v>
      </c>
      <c r="L32" s="434" t="b">
        <v>1</v>
      </c>
      <c r="M32" s="429" t="str">
        <v>U8</v>
      </c>
      <c r="N32" s="433">
        <v>43362</v>
      </c>
      <c r="O32" s="429" t="str">
        <v>FSSU8</v>
      </c>
      <c r="P32" s="432">
        <v>42998</v>
      </c>
      <c r="Q32" s="429">
        <v>0</v>
      </c>
      <c r="R32" s="429">
        <v>0</v>
      </c>
      <c r="S32" s="429">
        <v>0</v>
      </c>
      <c r="T32" s="429">
        <v>97.99</v>
      </c>
      <c r="U32" s="428" t="e">
        <f>_xll.qlMidSafe($Q32,$R32)</f>
        <v>#NUM!</v>
      </c>
      <c r="V32" s="422"/>
      <c r="W32" s="431" t="e">
        <v>#NUM!</v>
      </c>
      <c r="X32" s="422"/>
      <c r="Y32" s="430" t="str">
        <v>GBPFUT3MU8_Quote</v>
      </c>
      <c r="Z32" s="429" t="e">
        <v>#NUM!</v>
      </c>
      <c r="AA32" s="428" t="e">
        <f>_xll.qlSimpleQuoteSetValue($Y32,$Z32,Trigger)</f>
        <v>#NUM!</v>
      </c>
      <c r="AB32" s="137"/>
      <c r="AG32" s="418" t="e">
        <f t="shared" si="1"/>
        <v>#NUM!</v>
      </c>
    </row>
    <row r="33" spans="1:33" x14ac:dyDescent="0.2">
      <c r="A33" s="143"/>
      <c r="B33" s="142">
        <v>28</v>
      </c>
      <c r="C33" s="141" t="b">
        <v>0</v>
      </c>
      <c r="D33" s="140" t="str">
        <v>J6</v>
      </c>
      <c r="E33" s="139" t="str">
        <f t="shared" si="0"/>
        <v>GBPFUT3MJ6_Quote</v>
      </c>
      <c r="F33" s="138" t="str">
        <f>_xll.qlSimpleQuote(E33,,PriceTickValue,Permanent,Trigger,ObjectOverwrite)</f>
        <v>GBPFUT3MJ6_Quote#0000</v>
      </c>
      <c r="G33" s="101" t="str">
        <f>_xll.ohRangeRetrieveError(F33)</f>
        <v/>
      </c>
      <c r="H33" s="137"/>
      <c r="J33" s="143"/>
      <c r="K33" s="435">
        <v>28</v>
      </c>
      <c r="L33" s="434" t="b">
        <v>1</v>
      </c>
      <c r="M33" s="429" t="str">
        <v>Z8</v>
      </c>
      <c r="N33" s="433">
        <v>43453</v>
      </c>
      <c r="O33" s="429" t="str">
        <v>FSSZ8</v>
      </c>
      <c r="P33" s="432">
        <v>43089</v>
      </c>
      <c r="Q33" s="429">
        <v>0</v>
      </c>
      <c r="R33" s="429">
        <v>0</v>
      </c>
      <c r="S33" s="429">
        <v>0</v>
      </c>
      <c r="T33" s="429">
        <v>97.85</v>
      </c>
      <c r="U33" s="428" t="e">
        <f>_xll.qlMidSafe($Q33,$R33)</f>
        <v>#NUM!</v>
      </c>
      <c r="V33" s="422"/>
      <c r="W33" s="431" t="e">
        <v>#NUM!</v>
      </c>
      <c r="X33" s="422"/>
      <c r="Y33" s="430" t="str">
        <v>GBPFUT3MZ8_Quote</v>
      </c>
      <c r="Z33" s="429" t="e">
        <v>#NUM!</v>
      </c>
      <c r="AA33" s="428" t="e">
        <f>_xll.qlSimpleQuoteSetValue($Y33,$Z33,Trigger)</f>
        <v>#NUM!</v>
      </c>
      <c r="AB33" s="137"/>
      <c r="AG33" s="418" t="e">
        <f t="shared" si="1"/>
        <v>#NUM!</v>
      </c>
    </row>
    <row r="34" spans="1:33" x14ac:dyDescent="0.2">
      <c r="A34" s="143"/>
      <c r="B34" s="142">
        <v>29</v>
      </c>
      <c r="C34" s="141" t="b">
        <v>0</v>
      </c>
      <c r="D34" s="140" t="str">
        <v>K6</v>
      </c>
      <c r="E34" s="139" t="str">
        <f t="shared" si="0"/>
        <v>GBPFUT3MK6_Quote</v>
      </c>
      <c r="F34" s="138" t="str">
        <f>_xll.qlSimpleQuote(E34,,PriceTickValue,Permanent,Trigger,ObjectOverwrite)</f>
        <v>GBPFUT3MK6_Quote#0000</v>
      </c>
      <c r="G34" s="101" t="str">
        <f>_xll.ohRangeRetrieveError(F34)</f>
        <v/>
      </c>
      <c r="H34" s="137"/>
      <c r="J34" s="143"/>
      <c r="K34" s="435">
        <v>29</v>
      </c>
      <c r="L34" s="434" t="b">
        <v>1</v>
      </c>
      <c r="M34" s="429" t="str">
        <v>H9</v>
      </c>
      <c r="N34" s="433">
        <v>43544</v>
      </c>
      <c r="O34" s="429" t="str">
        <v>FSSH9</v>
      </c>
      <c r="P34" s="432">
        <v>43180</v>
      </c>
      <c r="Q34" s="429">
        <v>0</v>
      </c>
      <c r="R34" s="429">
        <v>0</v>
      </c>
      <c r="S34" s="429">
        <v>0</v>
      </c>
      <c r="T34" s="429">
        <v>97.71</v>
      </c>
      <c r="U34" s="428" t="e">
        <f>_xll.qlMidSafe($Q34,$R34)</f>
        <v>#NUM!</v>
      </c>
      <c r="V34" s="422"/>
      <c r="W34" s="431" t="e">
        <v>#NUM!</v>
      </c>
      <c r="X34" s="422"/>
      <c r="Y34" s="430" t="str">
        <v>GBPFUT3MH9_Quote</v>
      </c>
      <c r="Z34" s="429" t="e">
        <v>#NUM!</v>
      </c>
      <c r="AA34" s="428" t="e">
        <f>_xll.qlSimpleQuoteSetValue($Y34,$Z34,Trigger)</f>
        <v>#NUM!</v>
      </c>
      <c r="AB34" s="137"/>
      <c r="AG34" s="418" t="e">
        <f t="shared" si="1"/>
        <v>#NUM!</v>
      </c>
    </row>
    <row r="35" spans="1:33" x14ac:dyDescent="0.2">
      <c r="A35" s="143"/>
      <c r="B35" s="142">
        <v>30</v>
      </c>
      <c r="C35" s="141" t="b">
        <v>0</v>
      </c>
      <c r="D35" s="140" t="str">
        <v>M6</v>
      </c>
      <c r="E35" s="139" t="str">
        <f t="shared" si="0"/>
        <v>GBPFUT3MM6_Quote</v>
      </c>
      <c r="F35" s="138" t="str">
        <f>_xll.qlSimpleQuote(E35,,PriceTickValue,Permanent,Trigger,ObjectOverwrite)</f>
        <v>GBPFUT3MM6_Quote#0000</v>
      </c>
      <c r="G35" s="101" t="str">
        <f>_xll.ohRangeRetrieveError(F35)</f>
        <v/>
      </c>
      <c r="H35" s="137"/>
      <c r="J35" s="143"/>
      <c r="K35" s="435">
        <v>30</v>
      </c>
      <c r="L35" s="434" t="b">
        <v>1</v>
      </c>
      <c r="M35" s="429" t="str">
        <v>M9</v>
      </c>
      <c r="N35" s="433">
        <v>43635</v>
      </c>
      <c r="O35" s="429" t="str">
        <v>FSSM9</v>
      </c>
      <c r="P35" s="432">
        <v>43271</v>
      </c>
      <c r="Q35" s="429">
        <v>0</v>
      </c>
      <c r="R35" s="429">
        <v>0</v>
      </c>
      <c r="S35" s="429">
        <v>0</v>
      </c>
      <c r="T35" s="429">
        <v>97.57</v>
      </c>
      <c r="U35" s="428" t="e">
        <f>_xll.qlMidSafe($Q35,$R35)</f>
        <v>#NUM!</v>
      </c>
      <c r="V35" s="422"/>
      <c r="W35" s="431" t="e">
        <v>#NUM!</v>
      </c>
      <c r="X35" s="422"/>
      <c r="Y35" s="430" t="str">
        <v>GBPFUT3MM9_Quote</v>
      </c>
      <c r="Z35" s="429" t="e">
        <v>#NUM!</v>
      </c>
      <c r="AA35" s="428" t="e">
        <f>_xll.qlSimpleQuoteSetValue($Y35,$Z35,Trigger)</f>
        <v>#NUM!</v>
      </c>
      <c r="AB35" s="137"/>
      <c r="AG35" s="418" t="e">
        <f t="shared" si="1"/>
        <v>#NUM!</v>
      </c>
    </row>
    <row r="36" spans="1:33" x14ac:dyDescent="0.2">
      <c r="A36" s="143"/>
      <c r="B36" s="142">
        <v>31</v>
      </c>
      <c r="C36" s="141" t="b">
        <v>0</v>
      </c>
      <c r="D36" s="140" t="str">
        <v>N6</v>
      </c>
      <c r="E36" s="139" t="str">
        <f t="shared" si="0"/>
        <v>GBPFUT3MN6_Quote</v>
      </c>
      <c r="F36" s="138" t="str">
        <f>_xll.qlSimpleQuote(E36,,PriceTickValue,Permanent,Trigger,ObjectOverwrite)</f>
        <v>GBPFUT3MN6_Quote#0000</v>
      </c>
      <c r="G36" s="101" t="str">
        <f>_xll.ohRangeRetrieveError(F36)</f>
        <v/>
      </c>
      <c r="H36" s="137"/>
      <c r="J36" s="143"/>
      <c r="K36" s="435">
        <v>31</v>
      </c>
      <c r="L36" s="434" t="b">
        <v>1</v>
      </c>
      <c r="M36" s="429" t="str">
        <v>U9</v>
      </c>
      <c r="N36" s="433">
        <v>43726</v>
      </c>
      <c r="O36" s="429" t="str">
        <v>FSSU9</v>
      </c>
      <c r="P36" s="432">
        <v>43362</v>
      </c>
      <c r="Q36" s="429">
        <v>0</v>
      </c>
      <c r="R36" s="429">
        <v>0</v>
      </c>
      <c r="S36" s="429">
        <v>0</v>
      </c>
      <c r="T36" s="429">
        <v>97.44</v>
      </c>
      <c r="U36" s="428" t="e">
        <f>_xll.qlMidSafe($Q36,$R36)</f>
        <v>#NUM!</v>
      </c>
      <c r="V36" s="422"/>
      <c r="W36" s="431" t="e">
        <v>#NUM!</v>
      </c>
      <c r="X36" s="422"/>
      <c r="Y36" s="430" t="str">
        <v>GBPFUT3MU9_Quote</v>
      </c>
      <c r="Z36" s="429" t="e">
        <v>#NUM!</v>
      </c>
      <c r="AA36" s="428" t="e">
        <f>_xll.qlSimpleQuoteSetValue($Y36,$Z36,Trigger)</f>
        <v>#NUM!</v>
      </c>
      <c r="AB36" s="137"/>
      <c r="AG36" s="418" t="e">
        <f t="shared" si="1"/>
        <v>#NUM!</v>
      </c>
    </row>
    <row r="37" spans="1:33" x14ac:dyDescent="0.2">
      <c r="A37" s="143"/>
      <c r="B37" s="142">
        <v>32</v>
      </c>
      <c r="C37" s="141" t="b">
        <v>0</v>
      </c>
      <c r="D37" s="140" t="str">
        <v>Q6</v>
      </c>
      <c r="E37" s="139" t="str">
        <f t="shared" si="0"/>
        <v>GBPFUT3MQ6_Quote</v>
      </c>
      <c r="F37" s="138" t="str">
        <f>_xll.qlSimpleQuote(E37,,PriceTickValue,Permanent,Trigger,ObjectOverwrite)</f>
        <v>GBPFUT3MQ6_Quote#0000</v>
      </c>
      <c r="G37" s="101" t="str">
        <f>_xll.ohRangeRetrieveError(F37)</f>
        <v/>
      </c>
      <c r="H37" s="137"/>
      <c r="J37" s="143"/>
      <c r="K37" s="435">
        <v>32</v>
      </c>
      <c r="L37" s="434" t="b">
        <v>1</v>
      </c>
      <c r="M37" s="429" t="str">
        <v>Z9</v>
      </c>
      <c r="N37" s="433">
        <v>43817</v>
      </c>
      <c r="O37" s="429" t="str">
        <v>FSSZ9</v>
      </c>
      <c r="P37" s="432">
        <v>43453</v>
      </c>
      <c r="Q37" s="429">
        <v>0</v>
      </c>
      <c r="R37" s="429">
        <v>0</v>
      </c>
      <c r="S37" s="429">
        <v>0</v>
      </c>
      <c r="T37" s="429">
        <v>97.44</v>
      </c>
      <c r="U37" s="428" t="e">
        <f>_xll.qlMidSafe($Q37,$R37)</f>
        <v>#NUM!</v>
      </c>
      <c r="V37" s="422"/>
      <c r="W37" s="431" t="e">
        <v>#NUM!</v>
      </c>
      <c r="X37" s="422"/>
      <c r="Y37" s="430" t="str">
        <v>GBPFUT3MZ9_Quote</v>
      </c>
      <c r="Z37" s="429" t="e">
        <v>#NUM!</v>
      </c>
      <c r="AA37" s="428" t="e">
        <f>_xll.qlSimpleQuoteSetValue($Y37,$Z37,Trigger)</f>
        <v>#NUM!</v>
      </c>
      <c r="AB37" s="137"/>
      <c r="AG37" s="418" t="e">
        <f t="shared" si="1"/>
        <v>#NUM!</v>
      </c>
    </row>
    <row r="38" spans="1:33" x14ac:dyDescent="0.2">
      <c r="A38" s="143"/>
      <c r="B38" s="142">
        <v>33</v>
      </c>
      <c r="C38" s="141" t="b">
        <v>0</v>
      </c>
      <c r="D38" s="140" t="str">
        <v>U6</v>
      </c>
      <c r="E38" s="139" t="str">
        <f t="shared" ref="E38:E69" si="2">Currency&amp;$D$4&amp;$E$4&amp;$D38&amp;QuoteSuffix</f>
        <v>GBPFUT3MU6_Quote</v>
      </c>
      <c r="F38" s="138" t="str">
        <f>_xll.qlSimpleQuote(E38,,PriceTickValue,Permanent,Trigger,ObjectOverwrite)</f>
        <v>GBPFUT3MU6_Quote#0000</v>
      </c>
      <c r="G38" s="101" t="str">
        <f>_xll.ohRangeRetrieveError(F38)</f>
        <v/>
      </c>
      <c r="H38" s="137"/>
      <c r="J38" s="143"/>
      <c r="K38" s="435">
        <v>33</v>
      </c>
      <c r="L38" s="434" t="b">
        <v>1</v>
      </c>
      <c r="M38" s="429" t="str">
        <v>H0</v>
      </c>
      <c r="N38" s="433">
        <v>43908</v>
      </c>
      <c r="O38" s="429" t="str">
        <v>FSSH0</v>
      </c>
      <c r="P38" s="432" t="s">
        <v>233</v>
      </c>
      <c r="Q38" s="429" t="s">
        <v>233</v>
      </c>
      <c r="R38" s="429" t="s">
        <v>233</v>
      </c>
      <c r="S38" s="429" t="s">
        <v>233</v>
      </c>
      <c r="T38" s="429" t="s">
        <v>233</v>
      </c>
      <c r="U38" s="428" t="e">
        <f>_xll.qlMidSafe($Q38,$R38)</f>
        <v>#NUM!</v>
      </c>
      <c r="V38" s="422"/>
      <c r="W38" s="431" t="e">
        <v>#NUM!</v>
      </c>
      <c r="X38" s="422"/>
      <c r="Y38" s="430" t="str">
        <v>GBPFUT3MH0_Quote</v>
      </c>
      <c r="Z38" s="429" t="e">
        <v>#NUM!</v>
      </c>
      <c r="AA38" s="428" t="e">
        <f>_xll.qlSimpleQuoteSetValue($Y38,$Z38,Trigger)</f>
        <v>#NUM!</v>
      </c>
      <c r="AB38" s="137"/>
      <c r="AG38" s="418" t="e">
        <f t="shared" si="1"/>
        <v>#VALUE!</v>
      </c>
    </row>
    <row r="39" spans="1:33" x14ac:dyDescent="0.2">
      <c r="A39" s="143"/>
      <c r="B39" s="142">
        <v>34</v>
      </c>
      <c r="C39" s="141" t="b">
        <v>0</v>
      </c>
      <c r="D39" s="140" t="str">
        <v>V6</v>
      </c>
      <c r="E39" s="139" t="str">
        <f t="shared" si="2"/>
        <v>GBPFUT3MV6_Quote</v>
      </c>
      <c r="F39" s="138" t="str">
        <f>_xll.qlSimpleQuote(E39,,PriceTickValue,Permanent,Trigger,ObjectOverwrite)</f>
        <v>GBPFUT3MV6_Quote#0000</v>
      </c>
      <c r="G39" s="101" t="str">
        <f>_xll.ohRangeRetrieveError(F39)</f>
        <v/>
      </c>
      <c r="H39" s="137"/>
      <c r="J39" s="143"/>
      <c r="K39" s="435">
        <v>34</v>
      </c>
      <c r="L39" s="434" t="b">
        <v>1</v>
      </c>
      <c r="M39" s="429" t="str">
        <v>M0</v>
      </c>
      <c r="N39" s="433">
        <v>43999</v>
      </c>
      <c r="O39" s="429" t="str">
        <v>FSSM0</v>
      </c>
      <c r="P39" s="432" t="s">
        <v>233</v>
      </c>
      <c r="Q39" s="429" t="s">
        <v>233</v>
      </c>
      <c r="R39" s="429" t="s">
        <v>233</v>
      </c>
      <c r="S39" s="429" t="s">
        <v>233</v>
      </c>
      <c r="T39" s="429" t="s">
        <v>233</v>
      </c>
      <c r="U39" s="428" t="e">
        <f>_xll.qlMidSafe($Q39,$R39)</f>
        <v>#NUM!</v>
      </c>
      <c r="V39" s="422"/>
      <c r="W39" s="431" t="e">
        <v>#NUM!</v>
      </c>
      <c r="X39" s="422"/>
      <c r="Y39" s="430" t="str">
        <v>GBPFUT3MM0_Quote</v>
      </c>
      <c r="Z39" s="429" t="e">
        <v>#NUM!</v>
      </c>
      <c r="AA39" s="428" t="e">
        <f>_xll.qlSimpleQuoteSetValue($Y39,$Z39,Trigger)</f>
        <v>#NUM!</v>
      </c>
      <c r="AB39" s="137"/>
      <c r="AG39" s="418" t="e">
        <f t="shared" si="1"/>
        <v>#VALUE!</v>
      </c>
    </row>
    <row r="40" spans="1:33" x14ac:dyDescent="0.2">
      <c r="A40" s="143"/>
      <c r="B40" s="142">
        <v>35</v>
      </c>
      <c r="C40" s="141" t="b">
        <v>0</v>
      </c>
      <c r="D40" s="140" t="str">
        <v>X6</v>
      </c>
      <c r="E40" s="139" t="str">
        <f t="shared" si="2"/>
        <v>GBPFUT3MX6_Quote</v>
      </c>
      <c r="F40" s="138" t="str">
        <f>_xll.qlSimpleQuote(E40,,PriceTickValue,Permanent,Trigger,ObjectOverwrite)</f>
        <v>GBPFUT3MX6_Quote#0000</v>
      </c>
      <c r="G40" s="101" t="str">
        <f>_xll.ohRangeRetrieveError(F40)</f>
        <v/>
      </c>
      <c r="H40" s="137"/>
      <c r="J40" s="143"/>
      <c r="K40" s="435">
        <v>35</v>
      </c>
      <c r="L40" s="434" t="b">
        <v>1</v>
      </c>
      <c r="M40" s="429" t="str">
        <v>U0</v>
      </c>
      <c r="N40" s="433">
        <v>44090</v>
      </c>
      <c r="O40" s="429" t="str">
        <v>FSSU0</v>
      </c>
      <c r="P40" s="432" t="s">
        <v>233</v>
      </c>
      <c r="Q40" s="429" t="s">
        <v>233</v>
      </c>
      <c r="R40" s="429" t="s">
        <v>233</v>
      </c>
      <c r="S40" s="429" t="s">
        <v>233</v>
      </c>
      <c r="T40" s="429" t="s">
        <v>233</v>
      </c>
      <c r="U40" s="428" t="e">
        <f>_xll.qlMidSafe($Q40,$R40)</f>
        <v>#NUM!</v>
      </c>
      <c r="V40" s="422"/>
      <c r="W40" s="431" t="e">
        <v>#NUM!</v>
      </c>
      <c r="X40" s="422"/>
      <c r="Y40" s="430" t="str">
        <v>GBPFUT3MU0_Quote</v>
      </c>
      <c r="Z40" s="429" t="e">
        <v>#NUM!</v>
      </c>
      <c r="AA40" s="428" t="e">
        <f>_xll.qlSimpleQuoteSetValue($Y40,$Z40,Trigger)</f>
        <v>#NUM!</v>
      </c>
      <c r="AB40" s="137"/>
      <c r="AG40" s="418" t="e">
        <f t="shared" si="1"/>
        <v>#VALUE!</v>
      </c>
    </row>
    <row r="41" spans="1:33" x14ac:dyDescent="0.2">
      <c r="A41" s="143"/>
      <c r="B41" s="142">
        <v>36</v>
      </c>
      <c r="C41" s="141" t="b">
        <v>0</v>
      </c>
      <c r="D41" s="140" t="str">
        <v>Z6</v>
      </c>
      <c r="E41" s="139" t="str">
        <f t="shared" si="2"/>
        <v>GBPFUT3MZ6_Quote</v>
      </c>
      <c r="F41" s="138" t="str">
        <f>_xll.qlSimpleQuote(E41,,PriceTickValue,Permanent,Trigger,ObjectOverwrite)</f>
        <v>GBPFUT3MZ6_Quote#0000</v>
      </c>
      <c r="G41" s="101" t="str">
        <f>_xll.ohRangeRetrieveError(F41)</f>
        <v/>
      </c>
      <c r="H41" s="137"/>
      <c r="J41" s="143"/>
      <c r="K41" s="435">
        <v>36</v>
      </c>
      <c r="L41" s="434" t="b">
        <v>1</v>
      </c>
      <c r="M41" s="429" t="str">
        <v>Z0</v>
      </c>
      <c r="N41" s="433">
        <v>44181</v>
      </c>
      <c r="O41" s="429" t="str">
        <v>FSSZ0</v>
      </c>
      <c r="P41" s="432" t="s">
        <v>233</v>
      </c>
      <c r="Q41" s="429" t="s">
        <v>233</v>
      </c>
      <c r="R41" s="429" t="s">
        <v>233</v>
      </c>
      <c r="S41" s="429" t="s">
        <v>233</v>
      </c>
      <c r="T41" s="429" t="s">
        <v>233</v>
      </c>
      <c r="U41" s="428" t="e">
        <f>_xll.qlMidSafe($Q41,$R41)</f>
        <v>#NUM!</v>
      </c>
      <c r="V41" s="422"/>
      <c r="W41" s="431" t="e">
        <v>#NUM!</v>
      </c>
      <c r="X41" s="422"/>
      <c r="Y41" s="430" t="str">
        <v>GBPFUT3MZ0_Quote</v>
      </c>
      <c r="Z41" s="429" t="e">
        <v>#NUM!</v>
      </c>
      <c r="AA41" s="428" t="e">
        <f>_xll.qlSimpleQuoteSetValue($Y41,$Z41,Trigger)</f>
        <v>#NUM!</v>
      </c>
      <c r="AB41" s="137"/>
      <c r="AG41" s="418" t="e">
        <f t="shared" si="1"/>
        <v>#VALUE!</v>
      </c>
    </row>
    <row r="42" spans="1:33" x14ac:dyDescent="0.2">
      <c r="A42" s="143"/>
      <c r="B42" s="142">
        <v>37</v>
      </c>
      <c r="C42" s="141" t="b">
        <v>0</v>
      </c>
      <c r="D42" s="140" t="str">
        <v>F7</v>
      </c>
      <c r="E42" s="139" t="str">
        <f t="shared" si="2"/>
        <v>GBPFUT3MF7_Quote</v>
      </c>
      <c r="F42" s="138" t="str">
        <f>_xll.qlSimpleQuote(E42,,PriceTickValue,Permanent,Trigger,ObjectOverwrite)</f>
        <v>GBPFUT3MF7_Quote#0000</v>
      </c>
      <c r="G42" s="101" t="str">
        <f>_xll.ohRangeRetrieveError(F42)</f>
        <v/>
      </c>
      <c r="H42" s="137"/>
      <c r="J42" s="143"/>
      <c r="K42" s="435">
        <v>37</v>
      </c>
      <c r="L42" s="434" t="b">
        <v>1</v>
      </c>
      <c r="M42" s="429" t="str">
        <v>H1</v>
      </c>
      <c r="N42" s="433">
        <v>44272</v>
      </c>
      <c r="O42" s="429" t="str">
        <v>FSSH1</v>
      </c>
      <c r="P42" s="432" t="s">
        <v>233</v>
      </c>
      <c r="Q42" s="429" t="s">
        <v>233</v>
      </c>
      <c r="R42" s="429" t="s">
        <v>233</v>
      </c>
      <c r="S42" s="429" t="s">
        <v>233</v>
      </c>
      <c r="T42" s="429" t="s">
        <v>233</v>
      </c>
      <c r="U42" s="428" t="e">
        <f>_xll.qlMidSafe($Q42,$R42)</f>
        <v>#NUM!</v>
      </c>
      <c r="V42" s="422"/>
      <c r="W42" s="431" t="e">
        <v>#NUM!</v>
      </c>
      <c r="X42" s="422"/>
      <c r="Y42" s="430" t="str">
        <v>GBPFUT3MH1_Quote</v>
      </c>
      <c r="Z42" s="429" t="e">
        <v>#NUM!</v>
      </c>
      <c r="AA42" s="428" t="e">
        <f>_xll.qlSimpleQuoteSetValue($Y42,$Z42,Trigger)</f>
        <v>#NUM!</v>
      </c>
      <c r="AB42" s="137"/>
      <c r="AG42" s="418" t="e">
        <f t="shared" si="1"/>
        <v>#VALUE!</v>
      </c>
    </row>
    <row r="43" spans="1:33" x14ac:dyDescent="0.2">
      <c r="A43" s="143"/>
      <c r="B43" s="142">
        <v>38</v>
      </c>
      <c r="C43" s="141" t="b">
        <v>0</v>
      </c>
      <c r="D43" s="140" t="str">
        <v>G7</v>
      </c>
      <c r="E43" s="139" t="str">
        <f t="shared" si="2"/>
        <v>GBPFUT3MG7_Quote</v>
      </c>
      <c r="F43" s="138" t="str">
        <f>_xll.qlSimpleQuote(E43,,PriceTickValue,Permanent,Trigger,ObjectOverwrite)</f>
        <v>GBPFUT3MG7_Quote#0000</v>
      </c>
      <c r="G43" s="101" t="str">
        <f>_xll.ohRangeRetrieveError(F43)</f>
        <v/>
      </c>
      <c r="H43" s="137"/>
      <c r="J43" s="143"/>
      <c r="K43" s="435">
        <v>38</v>
      </c>
      <c r="L43" s="434" t="b">
        <v>1</v>
      </c>
      <c r="M43" s="429" t="str">
        <v>M1</v>
      </c>
      <c r="N43" s="433">
        <v>44363</v>
      </c>
      <c r="O43" s="429" t="str">
        <v>FSSM1</v>
      </c>
      <c r="P43" s="432" t="s">
        <v>233</v>
      </c>
      <c r="Q43" s="429" t="s">
        <v>233</v>
      </c>
      <c r="R43" s="429" t="s">
        <v>233</v>
      </c>
      <c r="S43" s="429" t="s">
        <v>233</v>
      </c>
      <c r="T43" s="429" t="s">
        <v>233</v>
      </c>
      <c r="U43" s="428" t="e">
        <f>_xll.qlMidSafe($Q43,$R43)</f>
        <v>#NUM!</v>
      </c>
      <c r="V43" s="422"/>
      <c r="W43" s="431" t="e">
        <v>#NUM!</v>
      </c>
      <c r="X43" s="422"/>
      <c r="Y43" s="430" t="str">
        <v>GBPFUT3MM1_Quote</v>
      </c>
      <c r="Z43" s="429" t="e">
        <v>#NUM!</v>
      </c>
      <c r="AA43" s="428" t="e">
        <f>_xll.qlSimpleQuoteSetValue($Y43,$Z43,Trigger)</f>
        <v>#NUM!</v>
      </c>
      <c r="AB43" s="137"/>
      <c r="AG43" s="418" t="e">
        <f t="shared" si="1"/>
        <v>#VALUE!</v>
      </c>
    </row>
    <row r="44" spans="1:33" x14ac:dyDescent="0.2">
      <c r="A44" s="143"/>
      <c r="B44" s="142">
        <v>39</v>
      </c>
      <c r="C44" s="141" t="b">
        <v>0</v>
      </c>
      <c r="D44" s="140" t="str">
        <v>H7</v>
      </c>
      <c r="E44" s="139" t="str">
        <f t="shared" si="2"/>
        <v>GBPFUT3MH7_Quote</v>
      </c>
      <c r="F44" s="138" t="str">
        <f>_xll.qlSimpleQuote(E44,,PriceTickValue,Permanent,Trigger,ObjectOverwrite)</f>
        <v>GBPFUT3MH7_Quote#0000</v>
      </c>
      <c r="G44" s="101" t="str">
        <f>_xll.ohRangeRetrieveError(F44)</f>
        <v/>
      </c>
      <c r="H44" s="137"/>
      <c r="J44" s="143"/>
      <c r="K44" s="435">
        <v>39</v>
      </c>
      <c r="L44" s="434" t="b">
        <v>1</v>
      </c>
      <c r="M44" s="429" t="str">
        <v>U1</v>
      </c>
      <c r="N44" s="433">
        <v>44454</v>
      </c>
      <c r="O44" s="429" t="str">
        <v>FSSU1</v>
      </c>
      <c r="P44" s="432" t="s">
        <v>233</v>
      </c>
      <c r="Q44" s="429" t="s">
        <v>233</v>
      </c>
      <c r="R44" s="429" t="s">
        <v>233</v>
      </c>
      <c r="S44" s="429" t="s">
        <v>233</v>
      </c>
      <c r="T44" s="429" t="s">
        <v>233</v>
      </c>
      <c r="U44" s="428" t="e">
        <f>_xll.qlMidSafe($Q44,$R44)</f>
        <v>#NUM!</v>
      </c>
      <c r="V44" s="422"/>
      <c r="W44" s="431" t="e">
        <v>#NUM!</v>
      </c>
      <c r="X44" s="422"/>
      <c r="Y44" s="430" t="str">
        <v>GBPFUT3MU1_Quote</v>
      </c>
      <c r="Z44" s="429" t="e">
        <v>#NUM!</v>
      </c>
      <c r="AA44" s="428" t="e">
        <f>_xll.qlSimpleQuoteSetValue($Y44,$Z44,Trigger)</f>
        <v>#NUM!</v>
      </c>
      <c r="AB44" s="137"/>
      <c r="AG44" s="418" t="e">
        <f t="shared" si="1"/>
        <v>#VALUE!</v>
      </c>
    </row>
    <row r="45" spans="1:33" x14ac:dyDescent="0.2">
      <c r="A45" s="143"/>
      <c r="B45" s="142">
        <v>40</v>
      </c>
      <c r="C45" s="141" t="b">
        <v>0</v>
      </c>
      <c r="D45" s="140" t="str">
        <v>J7</v>
      </c>
      <c r="E45" s="139" t="str">
        <f t="shared" si="2"/>
        <v>GBPFUT3MJ7_Quote</v>
      </c>
      <c r="F45" s="138" t="str">
        <f>_xll.qlSimpleQuote(E45,,PriceTickValue,Permanent,Trigger,ObjectOverwrite)</f>
        <v>GBPFUT3MJ7_Quote#0000</v>
      </c>
      <c r="G45" s="101" t="str">
        <f>_xll.ohRangeRetrieveError(F45)</f>
        <v/>
      </c>
      <c r="H45" s="137"/>
      <c r="J45" s="143"/>
      <c r="K45" s="435">
        <v>40</v>
      </c>
      <c r="L45" s="434" t="b">
        <v>1</v>
      </c>
      <c r="M45" s="429" t="str">
        <v>Z1</v>
      </c>
      <c r="N45" s="433">
        <v>44545</v>
      </c>
      <c r="O45" s="429" t="str">
        <v>FSSZ1</v>
      </c>
      <c r="P45" s="432" t="s">
        <v>233</v>
      </c>
      <c r="Q45" s="429" t="s">
        <v>233</v>
      </c>
      <c r="R45" s="429" t="s">
        <v>233</v>
      </c>
      <c r="S45" s="429" t="s">
        <v>233</v>
      </c>
      <c r="T45" s="429" t="s">
        <v>233</v>
      </c>
      <c r="U45" s="428" t="e">
        <f>_xll.qlMidSafe($Q45,$R45)</f>
        <v>#NUM!</v>
      </c>
      <c r="V45" s="422"/>
      <c r="W45" s="431" t="e">
        <v>#NUM!</v>
      </c>
      <c r="X45" s="422"/>
      <c r="Y45" s="430" t="str">
        <v>GBPFUT3MZ1_Quote</v>
      </c>
      <c r="Z45" s="429" t="e">
        <v>#NUM!</v>
      </c>
      <c r="AA45" s="428" t="e">
        <f>_xll.qlSimpleQuoteSetValue($Y45,$Z45,Trigger)</f>
        <v>#NUM!</v>
      </c>
      <c r="AB45" s="137"/>
      <c r="AG45" s="418" t="e">
        <f t="shared" si="1"/>
        <v>#VALUE!</v>
      </c>
    </row>
    <row r="46" spans="1:33" x14ac:dyDescent="0.2">
      <c r="A46" s="143"/>
      <c r="B46" s="142">
        <v>41</v>
      </c>
      <c r="C46" s="141" t="b">
        <v>0</v>
      </c>
      <c r="D46" s="140" t="str">
        <v>K7</v>
      </c>
      <c r="E46" s="139" t="str">
        <f t="shared" si="2"/>
        <v>GBPFUT3MK7_Quote</v>
      </c>
      <c r="F46" s="138" t="str">
        <f>_xll.qlSimpleQuote(E46,,PriceTickValue,Permanent,Trigger,ObjectOverwrite)</f>
        <v>GBPFUT3MK7_Quote#0000</v>
      </c>
      <c r="G46" s="101" t="str">
        <f>_xll.ohRangeRetrieveError(F46)</f>
        <v/>
      </c>
      <c r="H46" s="137"/>
      <c r="J46" s="143"/>
      <c r="K46" s="435">
        <v>41</v>
      </c>
      <c r="L46" s="434" t="b">
        <v>1</v>
      </c>
      <c r="M46" s="429" t="str">
        <v>H2</v>
      </c>
      <c r="N46" s="433">
        <v>44636</v>
      </c>
      <c r="O46" s="429" t="str">
        <v>FSSH2</v>
      </c>
      <c r="P46" s="432" t="s">
        <v>233</v>
      </c>
      <c r="Q46" s="429" t="s">
        <v>233</v>
      </c>
      <c r="R46" s="429" t="s">
        <v>233</v>
      </c>
      <c r="S46" s="429" t="s">
        <v>233</v>
      </c>
      <c r="T46" s="429" t="s">
        <v>233</v>
      </c>
      <c r="U46" s="428" t="e">
        <f>_xll.qlMidSafe($Q46,$R46)</f>
        <v>#NUM!</v>
      </c>
      <c r="V46" s="422"/>
      <c r="W46" s="431" t="e">
        <v>#NUM!</v>
      </c>
      <c r="X46" s="422"/>
      <c r="Y46" s="430" t="str">
        <v>GBPFUT3MH2_Quote</v>
      </c>
      <c r="Z46" s="429" t="e">
        <v>#NUM!</v>
      </c>
      <c r="AA46" s="428" t="e">
        <f>_xll.qlSimpleQuoteSetValue($Y46,$Z46,Trigger)</f>
        <v>#NUM!</v>
      </c>
      <c r="AB46" s="137"/>
      <c r="AG46" s="418" t="e">
        <f t="shared" si="1"/>
        <v>#VALUE!</v>
      </c>
    </row>
    <row r="47" spans="1:33" x14ac:dyDescent="0.2">
      <c r="A47" s="143"/>
      <c r="B47" s="142">
        <v>42</v>
      </c>
      <c r="C47" s="141" t="b">
        <v>0</v>
      </c>
      <c r="D47" s="140" t="str">
        <v>M7</v>
      </c>
      <c r="E47" s="139" t="str">
        <f t="shared" si="2"/>
        <v>GBPFUT3MM7_Quote</v>
      </c>
      <c r="F47" s="138" t="str">
        <f>_xll.qlSimpleQuote(E47,,PriceTickValue,Permanent,Trigger,ObjectOverwrite)</f>
        <v>GBPFUT3MM7_Quote#0000</v>
      </c>
      <c r="G47" s="101" t="str">
        <f>_xll.ohRangeRetrieveError(F47)</f>
        <v/>
      </c>
      <c r="H47" s="137"/>
      <c r="J47" s="143"/>
      <c r="K47" s="427">
        <v>42</v>
      </c>
      <c r="L47" s="426" t="b">
        <v>1</v>
      </c>
      <c r="M47" s="420" t="str">
        <v>M2</v>
      </c>
      <c r="N47" s="425">
        <v>44727</v>
      </c>
      <c r="O47" s="420" t="str">
        <v>FSSM2</v>
      </c>
      <c r="P47" s="424" t="s">
        <v>233</v>
      </c>
      <c r="Q47" s="420" t="s">
        <v>233</v>
      </c>
      <c r="R47" s="420" t="s">
        <v>233</v>
      </c>
      <c r="S47" s="420" t="s">
        <v>233</v>
      </c>
      <c r="T47" s="420" t="s">
        <v>233</v>
      </c>
      <c r="U47" s="419" t="e">
        <f>_xll.qlMidSafe($Q47,$R47)</f>
        <v>#NUM!</v>
      </c>
      <c r="V47" s="422"/>
      <c r="W47" s="423" t="e">
        <v>#NUM!</v>
      </c>
      <c r="X47" s="422"/>
      <c r="Y47" s="421" t="str">
        <v>GBPFUT3MM2_Quote</v>
      </c>
      <c r="Z47" s="420" t="e">
        <v>#NUM!</v>
      </c>
      <c r="AA47" s="419" t="e">
        <f>_xll.qlSimpleQuoteSetValue($Y47,$Z47,Trigger)</f>
        <v>#NUM!</v>
      </c>
      <c r="AB47" s="137"/>
      <c r="AG47" s="418" t="e">
        <f t="shared" si="1"/>
        <v>#VALUE!</v>
      </c>
    </row>
    <row r="48" spans="1:33" ht="12" thickBot="1" x14ac:dyDescent="0.25">
      <c r="A48" s="143"/>
      <c r="B48" s="142">
        <v>43</v>
      </c>
      <c r="C48" s="141" t="b">
        <v>0</v>
      </c>
      <c r="D48" s="140" t="str">
        <v>N7</v>
      </c>
      <c r="E48" s="139" t="str">
        <f t="shared" si="2"/>
        <v>GBPFUT3MN7_Quote</v>
      </c>
      <c r="F48" s="138" t="str">
        <f>_xll.qlSimpleQuote(E48,,PriceTickValue,Permanent,Trigger,ObjectOverwrite)</f>
        <v>GBPFUT3MN7_Quote#0000</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Q7</v>
      </c>
      <c r="E49" s="139" t="str">
        <f t="shared" si="2"/>
        <v>GBPFUT3MQ7_Quote</v>
      </c>
      <c r="F49" s="138" t="str">
        <f>_xll.qlSimpleQuote(E49,,PriceTickValue,Permanent,Trigger,ObjectOverwrite)</f>
        <v>GBPFUT3MQ7_Quote#0000</v>
      </c>
      <c r="G49" s="101" t="str">
        <f>_xll.ohRangeRetrieveError(F49)</f>
        <v/>
      </c>
      <c r="H49" s="137"/>
    </row>
    <row r="50" spans="1:8" x14ac:dyDescent="0.2">
      <c r="A50" s="143"/>
      <c r="B50" s="142">
        <v>45</v>
      </c>
      <c r="C50" s="141" t="b">
        <v>0</v>
      </c>
      <c r="D50" s="140" t="str">
        <v>U7</v>
      </c>
      <c r="E50" s="139" t="str">
        <f t="shared" si="2"/>
        <v>GBPFUT3MU7_Quote</v>
      </c>
      <c r="F50" s="138" t="str">
        <f>_xll.qlSimpleQuote(E50,,PriceTickValue,Permanent,Trigger,ObjectOverwrite)</f>
        <v>GBPFUT3MU7_Quote#0000</v>
      </c>
      <c r="G50" s="101" t="str">
        <f>_xll.ohRangeRetrieveError(F50)</f>
        <v/>
      </c>
      <c r="H50" s="137"/>
    </row>
    <row r="51" spans="1:8" x14ac:dyDescent="0.2">
      <c r="A51" s="143"/>
      <c r="B51" s="142">
        <v>46</v>
      </c>
      <c r="C51" s="141" t="b">
        <v>0</v>
      </c>
      <c r="D51" s="140" t="str">
        <v>V7</v>
      </c>
      <c r="E51" s="139" t="str">
        <f t="shared" si="2"/>
        <v>GBPFUT3MV7_Quote</v>
      </c>
      <c r="F51" s="138" t="str">
        <f>_xll.qlSimpleQuote(E51,,PriceTickValue,Permanent,Trigger,ObjectOverwrite)</f>
        <v>GBPFUT3MV7_Quote#0000</v>
      </c>
      <c r="G51" s="101" t="str">
        <f>_xll.ohRangeRetrieveError(F51)</f>
        <v/>
      </c>
      <c r="H51" s="137"/>
    </row>
    <row r="52" spans="1:8" x14ac:dyDescent="0.2">
      <c r="A52" s="143"/>
      <c r="B52" s="142">
        <v>47</v>
      </c>
      <c r="C52" s="141" t="b">
        <v>0</v>
      </c>
      <c r="D52" s="140" t="str">
        <v>X7</v>
      </c>
      <c r="E52" s="139" t="str">
        <f t="shared" si="2"/>
        <v>GBPFUT3MX7_Quote</v>
      </c>
      <c r="F52" s="138" t="str">
        <f>_xll.qlSimpleQuote(E52,,PriceTickValue,Permanent,Trigger,ObjectOverwrite)</f>
        <v>GBPFUT3MX7_Quote#0000</v>
      </c>
      <c r="G52" s="101" t="str">
        <f>_xll.ohRangeRetrieveError(F52)</f>
        <v/>
      </c>
      <c r="H52" s="137"/>
    </row>
    <row r="53" spans="1:8" x14ac:dyDescent="0.2">
      <c r="A53" s="143"/>
      <c r="B53" s="142">
        <v>48</v>
      </c>
      <c r="C53" s="141" t="b">
        <v>0</v>
      </c>
      <c r="D53" s="140" t="str">
        <v>Z7</v>
      </c>
      <c r="E53" s="139" t="str">
        <f t="shared" si="2"/>
        <v>GBPFUT3MZ7_Quote</v>
      </c>
      <c r="F53" s="138" t="str">
        <f>_xll.qlSimpleQuote(E53,,PriceTickValue,Permanent,Trigger,ObjectOverwrite)</f>
        <v>GBPFUT3MZ7_Quote#0000</v>
      </c>
      <c r="G53" s="101" t="str">
        <f>_xll.ohRangeRetrieveError(F53)</f>
        <v/>
      </c>
      <c r="H53" s="137"/>
    </row>
    <row r="54" spans="1:8" x14ac:dyDescent="0.2">
      <c r="A54" s="143"/>
      <c r="B54" s="142">
        <v>49</v>
      </c>
      <c r="C54" s="141" t="b">
        <v>0</v>
      </c>
      <c r="D54" s="140" t="str">
        <v>F8</v>
      </c>
      <c r="E54" s="139" t="str">
        <f t="shared" si="2"/>
        <v>GBPFUT3MF8_Quote</v>
      </c>
      <c r="F54" s="138" t="str">
        <f>_xll.qlSimpleQuote(E54,,PriceTickValue,Permanent,Trigger,ObjectOverwrite)</f>
        <v>GBPFUT3MF8_Quote#0000</v>
      </c>
      <c r="G54" s="101" t="str">
        <f>_xll.ohRangeRetrieveError(F54)</f>
        <v/>
      </c>
      <c r="H54" s="137"/>
    </row>
    <row r="55" spans="1:8" x14ac:dyDescent="0.2">
      <c r="A55" s="143"/>
      <c r="B55" s="142">
        <v>50</v>
      </c>
      <c r="C55" s="141" t="b">
        <v>0</v>
      </c>
      <c r="D55" s="140" t="str">
        <v>G8</v>
      </c>
      <c r="E55" s="139" t="str">
        <f t="shared" si="2"/>
        <v>GBPFUT3MG8_Quote</v>
      </c>
      <c r="F55" s="138" t="str">
        <f>_xll.qlSimpleQuote(E55,,PriceTickValue,Permanent,Trigger,ObjectOverwrite)</f>
        <v>GBPFUT3MG8_Quote#0000</v>
      </c>
      <c r="G55" s="101" t="str">
        <f>_xll.ohRangeRetrieveError(F55)</f>
        <v/>
      </c>
      <c r="H55" s="137"/>
    </row>
    <row r="56" spans="1:8" x14ac:dyDescent="0.2">
      <c r="A56" s="143"/>
      <c r="B56" s="142">
        <v>51</v>
      </c>
      <c r="C56" s="141" t="b">
        <v>0</v>
      </c>
      <c r="D56" s="140" t="str">
        <v>H8</v>
      </c>
      <c r="E56" s="139" t="str">
        <f t="shared" si="2"/>
        <v>GBPFUT3MH8_Quote</v>
      </c>
      <c r="F56" s="138" t="str">
        <f>_xll.qlSimpleQuote(E56,,PriceTickValue,Permanent,Trigger,ObjectOverwrite)</f>
        <v>GBPFUT3MH8_Quote#0000</v>
      </c>
      <c r="G56" s="101" t="str">
        <f>_xll.ohRangeRetrieveError(F56)</f>
        <v/>
      </c>
      <c r="H56" s="137"/>
    </row>
    <row r="57" spans="1:8" x14ac:dyDescent="0.2">
      <c r="A57" s="143"/>
      <c r="B57" s="142">
        <v>52</v>
      </c>
      <c r="C57" s="141" t="b">
        <v>0</v>
      </c>
      <c r="D57" s="140" t="str">
        <v>J8</v>
      </c>
      <c r="E57" s="139" t="str">
        <f t="shared" si="2"/>
        <v>GBPFUT3MJ8_Quote</v>
      </c>
      <c r="F57" s="138" t="str">
        <f>_xll.qlSimpleQuote(E57,,PriceTickValue,Permanent,Trigger,ObjectOverwrite)</f>
        <v>GBPFUT3MJ8_Quote#0000</v>
      </c>
      <c r="G57" s="101" t="str">
        <f>_xll.ohRangeRetrieveError(F57)</f>
        <v/>
      </c>
      <c r="H57" s="137"/>
    </row>
    <row r="58" spans="1:8" x14ac:dyDescent="0.2">
      <c r="A58" s="143"/>
      <c r="B58" s="142">
        <v>53</v>
      </c>
      <c r="C58" s="141" t="b">
        <v>0</v>
      </c>
      <c r="D58" s="140" t="str">
        <v>K8</v>
      </c>
      <c r="E58" s="139" t="str">
        <f t="shared" si="2"/>
        <v>GBPFUT3MK8_Quote</v>
      </c>
      <c r="F58" s="138" t="str">
        <f>_xll.qlSimpleQuote(E58,,PriceTickValue,Permanent,Trigger,ObjectOverwrite)</f>
        <v>GBPFUT3MK8_Quote#0000</v>
      </c>
      <c r="G58" s="101" t="str">
        <f>_xll.ohRangeRetrieveError(F58)</f>
        <v/>
      </c>
      <c r="H58" s="137"/>
    </row>
    <row r="59" spans="1:8" x14ac:dyDescent="0.2">
      <c r="A59" s="143"/>
      <c r="B59" s="142">
        <v>54</v>
      </c>
      <c r="C59" s="141" t="b">
        <v>0</v>
      </c>
      <c r="D59" s="140" t="str">
        <v>M8</v>
      </c>
      <c r="E59" s="139" t="str">
        <f t="shared" si="2"/>
        <v>GBPFUT3MM8_Quote</v>
      </c>
      <c r="F59" s="138" t="str">
        <f>_xll.qlSimpleQuote(E59,,PriceTickValue,Permanent,Trigger,ObjectOverwrite)</f>
        <v>GBPFUT3MM8_Quote#0000</v>
      </c>
      <c r="G59" s="101" t="str">
        <f>_xll.ohRangeRetrieveError(F59)</f>
        <v/>
      </c>
      <c r="H59" s="137"/>
    </row>
    <row r="60" spans="1:8" x14ac:dyDescent="0.2">
      <c r="A60" s="143"/>
      <c r="B60" s="142">
        <v>55</v>
      </c>
      <c r="C60" s="141" t="b">
        <v>0</v>
      </c>
      <c r="D60" s="140" t="str">
        <v>N8</v>
      </c>
      <c r="E60" s="139" t="str">
        <f t="shared" si="2"/>
        <v>GBPFUT3MN8_Quote</v>
      </c>
      <c r="F60" s="138" t="str">
        <f>_xll.qlSimpleQuote(E60,,PriceTickValue,Permanent,Trigger,ObjectOverwrite)</f>
        <v>GBPFUT3MN8_Quote#0000</v>
      </c>
      <c r="G60" s="101" t="str">
        <f>_xll.ohRangeRetrieveError(F60)</f>
        <v/>
      </c>
      <c r="H60" s="137"/>
    </row>
    <row r="61" spans="1:8" x14ac:dyDescent="0.2">
      <c r="A61" s="143"/>
      <c r="B61" s="142">
        <v>56</v>
      </c>
      <c r="C61" s="141" t="b">
        <v>0</v>
      </c>
      <c r="D61" s="140" t="str">
        <v>Q8</v>
      </c>
      <c r="E61" s="139" t="str">
        <f t="shared" si="2"/>
        <v>GBPFUT3MQ8_Quote</v>
      </c>
      <c r="F61" s="138" t="str">
        <f>_xll.qlSimpleQuote(E61,,PriceTickValue,Permanent,Trigger,ObjectOverwrite)</f>
        <v>GBPFUT3MQ8_Quote#0000</v>
      </c>
      <c r="G61" s="101" t="str">
        <f>_xll.ohRangeRetrieveError(F61)</f>
        <v/>
      </c>
      <c r="H61" s="137"/>
    </row>
    <row r="62" spans="1:8" x14ac:dyDescent="0.2">
      <c r="A62" s="143"/>
      <c r="B62" s="142">
        <v>57</v>
      </c>
      <c r="C62" s="141" t="b">
        <v>0</v>
      </c>
      <c r="D62" s="140" t="str">
        <v>U8</v>
      </c>
      <c r="E62" s="139" t="str">
        <f t="shared" si="2"/>
        <v>GBPFUT3MU8_Quote</v>
      </c>
      <c r="F62" s="138" t="str">
        <f>_xll.qlSimpleQuote(E62,,PriceTickValue,Permanent,Trigger,ObjectOverwrite)</f>
        <v>GBPFUT3MU8_Quote#0000</v>
      </c>
      <c r="G62" s="101" t="str">
        <f>_xll.ohRangeRetrieveError(F62)</f>
        <v/>
      </c>
      <c r="H62" s="137"/>
    </row>
    <row r="63" spans="1:8" x14ac:dyDescent="0.2">
      <c r="A63" s="143"/>
      <c r="B63" s="142">
        <v>58</v>
      </c>
      <c r="C63" s="141" t="b">
        <v>0</v>
      </c>
      <c r="D63" s="140" t="str">
        <v>V8</v>
      </c>
      <c r="E63" s="139" t="str">
        <f t="shared" si="2"/>
        <v>GBPFUT3MV8_Quote</v>
      </c>
      <c r="F63" s="138" t="str">
        <f>_xll.qlSimpleQuote(E63,,PriceTickValue,Permanent,Trigger,ObjectOverwrite)</f>
        <v>GBPFUT3MV8_Quote#0000</v>
      </c>
      <c r="G63" s="101" t="str">
        <f>_xll.ohRangeRetrieveError(F63)</f>
        <v/>
      </c>
      <c r="H63" s="137"/>
    </row>
    <row r="64" spans="1:8" x14ac:dyDescent="0.2">
      <c r="A64" s="143"/>
      <c r="B64" s="142">
        <v>59</v>
      </c>
      <c r="C64" s="141" t="b">
        <v>0</v>
      </c>
      <c r="D64" s="140" t="str">
        <v>X8</v>
      </c>
      <c r="E64" s="139" t="str">
        <f t="shared" si="2"/>
        <v>GBPFUT3MX8_Quote</v>
      </c>
      <c r="F64" s="138" t="str">
        <f>_xll.qlSimpleQuote(E64,,PriceTickValue,Permanent,Trigger,ObjectOverwrite)</f>
        <v>GBPFUT3MX8_Quote#0000</v>
      </c>
      <c r="G64" s="101" t="str">
        <f>_xll.ohRangeRetrieveError(F64)</f>
        <v/>
      </c>
      <c r="H64" s="137"/>
    </row>
    <row r="65" spans="1:8" x14ac:dyDescent="0.2">
      <c r="A65" s="143"/>
      <c r="B65" s="142">
        <v>60</v>
      </c>
      <c r="C65" s="141" t="b">
        <v>0</v>
      </c>
      <c r="D65" s="140" t="str">
        <v>Z8</v>
      </c>
      <c r="E65" s="139" t="str">
        <f t="shared" si="2"/>
        <v>GBPFUT3MZ8_Quote</v>
      </c>
      <c r="F65" s="138" t="str">
        <f>_xll.qlSimpleQuote(E65,,PriceTickValue,Permanent,Trigger,ObjectOverwrite)</f>
        <v>GBPFUT3MZ8_Quote#0000</v>
      </c>
      <c r="G65" s="101" t="str">
        <f>_xll.ohRangeRetrieveError(F65)</f>
        <v/>
      </c>
      <c r="H65" s="137"/>
    </row>
    <row r="66" spans="1:8" x14ac:dyDescent="0.2">
      <c r="A66" s="143"/>
      <c r="B66" s="142">
        <v>61</v>
      </c>
      <c r="C66" s="141" t="b">
        <v>0</v>
      </c>
      <c r="D66" s="140" t="str">
        <v>F9</v>
      </c>
      <c r="E66" s="139" t="str">
        <f t="shared" si="2"/>
        <v>GBPFUT3MF9_Quote</v>
      </c>
      <c r="F66" s="138" t="str">
        <f>_xll.qlSimpleQuote(E66,,PriceTickValue,Permanent,Trigger,ObjectOverwrite)</f>
        <v>GBPFUT3MF9_Quote#0000</v>
      </c>
      <c r="G66" s="101" t="str">
        <f>_xll.ohRangeRetrieveError(F66)</f>
        <v/>
      </c>
      <c r="H66" s="137"/>
    </row>
    <row r="67" spans="1:8" x14ac:dyDescent="0.2">
      <c r="A67" s="143"/>
      <c r="B67" s="142">
        <v>62</v>
      </c>
      <c r="C67" s="141" t="b">
        <v>0</v>
      </c>
      <c r="D67" s="140" t="str">
        <v>G9</v>
      </c>
      <c r="E67" s="139" t="str">
        <f t="shared" si="2"/>
        <v>GBPFUT3MG9_Quote</v>
      </c>
      <c r="F67" s="138" t="str">
        <f>_xll.qlSimpleQuote(E67,,PriceTickValue,Permanent,Trigger,ObjectOverwrite)</f>
        <v>GBPFUT3MG9_Quote#0000</v>
      </c>
      <c r="G67" s="101" t="str">
        <f>_xll.ohRangeRetrieveError(F67)</f>
        <v/>
      </c>
      <c r="H67" s="137"/>
    </row>
    <row r="68" spans="1:8" x14ac:dyDescent="0.2">
      <c r="A68" s="143"/>
      <c r="B68" s="142">
        <v>63</v>
      </c>
      <c r="C68" s="141" t="b">
        <v>0</v>
      </c>
      <c r="D68" s="140" t="str">
        <v>H9</v>
      </c>
      <c r="E68" s="139" t="str">
        <f t="shared" si="2"/>
        <v>GBPFUT3MH9_Quote</v>
      </c>
      <c r="F68" s="138" t="str">
        <f>_xll.qlSimpleQuote(E68,,PriceTickValue,Permanent,Trigger,ObjectOverwrite)</f>
        <v>GBPFUT3MH9_Quote#0000</v>
      </c>
      <c r="G68" s="101" t="str">
        <f>_xll.ohRangeRetrieveError(F68)</f>
        <v/>
      </c>
      <c r="H68" s="137"/>
    </row>
    <row r="69" spans="1:8" x14ac:dyDescent="0.2">
      <c r="A69" s="143"/>
      <c r="B69" s="142">
        <v>64</v>
      </c>
      <c r="C69" s="141" t="b">
        <v>0</v>
      </c>
      <c r="D69" s="140" t="str">
        <v>J9</v>
      </c>
      <c r="E69" s="139" t="str">
        <f t="shared" si="2"/>
        <v>GBPFUT3MJ9_Quote</v>
      </c>
      <c r="F69" s="138" t="str">
        <f>_xll.qlSimpleQuote(E69,,PriceTickValue,Permanent,Trigger,ObjectOverwrite)</f>
        <v>GBPFUT3MJ9_Quote#0000</v>
      </c>
      <c r="G69" s="101" t="str">
        <f>_xll.ohRangeRetrieveError(F69)</f>
        <v/>
      </c>
      <c r="H69" s="137"/>
    </row>
    <row r="70" spans="1:8" x14ac:dyDescent="0.2">
      <c r="A70" s="143"/>
      <c r="B70" s="142">
        <v>65</v>
      </c>
      <c r="C70" s="141" t="b">
        <v>0</v>
      </c>
      <c r="D70" s="140" t="str">
        <v>K9</v>
      </c>
      <c r="E70" s="139" t="str">
        <f t="shared" ref="E70:E101" si="3">Currency&amp;$D$4&amp;$E$4&amp;$D70&amp;QuoteSuffix</f>
        <v>GBPFUT3MK9_Quote</v>
      </c>
      <c r="F70" s="138" t="str">
        <f>_xll.qlSimpleQuote(E70,,PriceTickValue,Permanent,Trigger,ObjectOverwrite)</f>
        <v>GBPFUT3MK9_Quote#0000</v>
      </c>
      <c r="G70" s="101" t="str">
        <f>_xll.ohRangeRetrieveError(F70)</f>
        <v/>
      </c>
      <c r="H70" s="137"/>
    </row>
    <row r="71" spans="1:8" x14ac:dyDescent="0.2">
      <c r="A71" s="143"/>
      <c r="B71" s="142">
        <v>66</v>
      </c>
      <c r="C71" s="141" t="b">
        <v>0</v>
      </c>
      <c r="D71" s="140" t="str">
        <v>M9</v>
      </c>
      <c r="E71" s="139" t="str">
        <f t="shared" si="3"/>
        <v>GBPFUT3MM9_Quote</v>
      </c>
      <c r="F71" s="138" t="str">
        <f>_xll.qlSimpleQuote(E71,,PriceTickValue,Permanent,Trigger,ObjectOverwrite)</f>
        <v>GBPFUT3MM9_Quote#0000</v>
      </c>
      <c r="G71" s="101" t="str">
        <f>_xll.ohRangeRetrieveError(F71)</f>
        <v/>
      </c>
      <c r="H71" s="137"/>
    </row>
    <row r="72" spans="1:8" x14ac:dyDescent="0.2">
      <c r="A72" s="143"/>
      <c r="B72" s="142">
        <v>67</v>
      </c>
      <c r="C72" s="141" t="b">
        <v>0</v>
      </c>
      <c r="D72" s="140" t="str">
        <v>N9</v>
      </c>
      <c r="E72" s="139" t="str">
        <f t="shared" si="3"/>
        <v>GBPFUT3MN9_Quote</v>
      </c>
      <c r="F72" s="138" t="str">
        <f>_xll.qlSimpleQuote(E72,,PriceTickValue,Permanent,Trigger,ObjectOverwrite)</f>
        <v>GBPFUT3MN9_Quote#0000</v>
      </c>
      <c r="G72" s="101" t="str">
        <f>_xll.ohRangeRetrieveError(F72)</f>
        <v/>
      </c>
      <c r="H72" s="137"/>
    </row>
    <row r="73" spans="1:8" x14ac:dyDescent="0.2">
      <c r="A73" s="143"/>
      <c r="B73" s="142">
        <v>68</v>
      </c>
      <c r="C73" s="141" t="b">
        <v>0</v>
      </c>
      <c r="D73" s="140" t="str">
        <v>Q9</v>
      </c>
      <c r="E73" s="139" t="str">
        <f t="shared" si="3"/>
        <v>GBPFUT3MQ9_Quote</v>
      </c>
      <c r="F73" s="138" t="str">
        <f>_xll.qlSimpleQuote(E73,,PriceTickValue,Permanent,Trigger,ObjectOverwrite)</f>
        <v>GBPFUT3MQ9_Quote#0000</v>
      </c>
      <c r="G73" s="101" t="str">
        <f>_xll.ohRangeRetrieveError(F73)</f>
        <v/>
      </c>
      <c r="H73" s="137"/>
    </row>
    <row r="74" spans="1:8" x14ac:dyDescent="0.2">
      <c r="A74" s="143"/>
      <c r="B74" s="142">
        <v>69</v>
      </c>
      <c r="C74" s="141" t="b">
        <v>0</v>
      </c>
      <c r="D74" s="140" t="str">
        <v>U9</v>
      </c>
      <c r="E74" s="139" t="str">
        <f t="shared" si="3"/>
        <v>GBPFUT3MU9_Quote</v>
      </c>
      <c r="F74" s="138" t="str">
        <f>_xll.qlSimpleQuote(E74,,PriceTickValue,Permanent,Trigger,ObjectOverwrite)</f>
        <v>GBPFUT3MU9_Quote#0000</v>
      </c>
      <c r="G74" s="101" t="str">
        <f>_xll.ohRangeRetrieveError(F74)</f>
        <v/>
      </c>
      <c r="H74" s="137"/>
    </row>
    <row r="75" spans="1:8" x14ac:dyDescent="0.2">
      <c r="A75" s="143"/>
      <c r="B75" s="142">
        <v>70</v>
      </c>
      <c r="C75" s="141" t="b">
        <v>0</v>
      </c>
      <c r="D75" s="140" t="str">
        <v>V9</v>
      </c>
      <c r="E75" s="139" t="str">
        <f t="shared" si="3"/>
        <v>GBPFUT3MV9_Quote</v>
      </c>
      <c r="F75" s="138" t="str">
        <f>_xll.qlSimpleQuote(E75,,PriceTickValue,Permanent,Trigger,ObjectOverwrite)</f>
        <v>GBPFUT3MV9_Quote#0000</v>
      </c>
      <c r="G75" s="101" t="str">
        <f>_xll.ohRangeRetrieveError(F75)</f>
        <v/>
      </c>
      <c r="H75" s="137"/>
    </row>
    <row r="76" spans="1:8" x14ac:dyDescent="0.2">
      <c r="A76" s="143"/>
      <c r="B76" s="142">
        <v>71</v>
      </c>
      <c r="C76" s="141" t="b">
        <v>0</v>
      </c>
      <c r="D76" s="140" t="str">
        <v>X9</v>
      </c>
      <c r="E76" s="139" t="str">
        <f t="shared" si="3"/>
        <v>GBPFUT3MX9_Quote</v>
      </c>
      <c r="F76" s="138" t="str">
        <f>_xll.qlSimpleQuote(E76,,PriceTickValue,Permanent,Trigger,ObjectOverwrite)</f>
        <v>GBPFUT3MX9_Quote#0000</v>
      </c>
      <c r="G76" s="101" t="str">
        <f>_xll.ohRangeRetrieveError(F76)</f>
        <v/>
      </c>
      <c r="H76" s="137"/>
    </row>
    <row r="77" spans="1:8" x14ac:dyDescent="0.2">
      <c r="A77" s="143"/>
      <c r="B77" s="142">
        <v>72</v>
      </c>
      <c r="C77" s="141" t="b">
        <v>0</v>
      </c>
      <c r="D77" s="140" t="str">
        <v>Z9</v>
      </c>
      <c r="E77" s="139" t="str">
        <f t="shared" si="3"/>
        <v>GBPFUT3MZ9_Quote</v>
      </c>
      <c r="F77" s="138" t="str">
        <f>_xll.qlSimpleQuote(E77,,PriceTickValue,Permanent,Trigger,ObjectOverwrite)</f>
        <v>GBPFUT3MZ9_Quote#0000</v>
      </c>
      <c r="G77" s="101" t="str">
        <f>_xll.ohRangeRetrieveError(F77)</f>
        <v/>
      </c>
      <c r="H77" s="137"/>
    </row>
    <row r="78" spans="1:8" x14ac:dyDescent="0.2">
      <c r="A78" s="143"/>
      <c r="B78" s="142">
        <v>73</v>
      </c>
      <c r="C78" s="141" t="b">
        <v>0</v>
      </c>
      <c r="D78" s="140" t="str">
        <v>F0</v>
      </c>
      <c r="E78" s="139" t="str">
        <f t="shared" si="3"/>
        <v>GBPFUT3MF0_Quote</v>
      </c>
      <c r="F78" s="138" t="str">
        <f>_xll.qlSimpleQuote(E78,,PriceTickValue,Permanent,Trigger,ObjectOverwrite)</f>
        <v>GBPFUT3MF0_Quote#0000</v>
      </c>
      <c r="G78" s="101" t="str">
        <f>_xll.ohRangeRetrieveError(F78)</f>
        <v/>
      </c>
      <c r="H78" s="137"/>
    </row>
    <row r="79" spans="1:8" x14ac:dyDescent="0.2">
      <c r="A79" s="143"/>
      <c r="B79" s="142">
        <v>74</v>
      </c>
      <c r="C79" s="141" t="b">
        <v>0</v>
      </c>
      <c r="D79" s="140" t="str">
        <v>G0</v>
      </c>
      <c r="E79" s="139" t="str">
        <f t="shared" si="3"/>
        <v>GBPFUT3MG0_Quote</v>
      </c>
      <c r="F79" s="138" t="str">
        <f>_xll.qlSimpleQuote(E79,,PriceTickValue,Permanent,Trigger,ObjectOverwrite)</f>
        <v>GBPFUT3MG0_Quote#0000</v>
      </c>
      <c r="G79" s="101" t="str">
        <f>_xll.ohRangeRetrieveError(F79)</f>
        <v/>
      </c>
      <c r="H79" s="137"/>
    </row>
    <row r="80" spans="1:8" x14ac:dyDescent="0.2">
      <c r="A80" s="143"/>
      <c r="B80" s="142">
        <v>75</v>
      </c>
      <c r="C80" s="141" t="b">
        <v>0</v>
      </c>
      <c r="D80" s="140" t="str">
        <v>H0</v>
      </c>
      <c r="E80" s="139" t="str">
        <f t="shared" si="3"/>
        <v>GBPFUT3MH0_Quote</v>
      </c>
      <c r="F80" s="138" t="str">
        <f>_xll.qlSimpleQuote(E80,,PriceTickValue,Permanent,Trigger,ObjectOverwrite)</f>
        <v>GBPFUT3MH0_Quote#0000</v>
      </c>
      <c r="G80" s="101" t="str">
        <f>_xll.ohRangeRetrieveError(F80)</f>
        <v/>
      </c>
      <c r="H80" s="137"/>
    </row>
    <row r="81" spans="1:8" x14ac:dyDescent="0.2">
      <c r="A81" s="143"/>
      <c r="B81" s="142">
        <v>76</v>
      </c>
      <c r="C81" s="141" t="b">
        <v>0</v>
      </c>
      <c r="D81" s="140" t="str">
        <v>J0</v>
      </c>
      <c r="E81" s="139" t="str">
        <f t="shared" si="3"/>
        <v>GBPFUT3MJ0_Quote</v>
      </c>
      <c r="F81" s="138" t="str">
        <f>_xll.qlSimpleQuote(E81,,PriceTickValue,Permanent,Trigger,ObjectOverwrite)</f>
        <v>GBPFUT3MJ0_Quote#0000</v>
      </c>
      <c r="G81" s="101" t="str">
        <f>_xll.ohRangeRetrieveError(F81)</f>
        <v/>
      </c>
      <c r="H81" s="137"/>
    </row>
    <row r="82" spans="1:8" x14ac:dyDescent="0.2">
      <c r="A82" s="143"/>
      <c r="B82" s="142">
        <v>77</v>
      </c>
      <c r="C82" s="141" t="b">
        <v>0</v>
      </c>
      <c r="D82" s="140" t="str">
        <v>K0</v>
      </c>
      <c r="E82" s="139" t="str">
        <f t="shared" si="3"/>
        <v>GBPFUT3MK0_Quote</v>
      </c>
      <c r="F82" s="138" t="str">
        <f>_xll.qlSimpleQuote(E82,,PriceTickValue,Permanent,Trigger,ObjectOverwrite)</f>
        <v>GBPFUT3MK0_Quote#0000</v>
      </c>
      <c r="G82" s="101" t="str">
        <f>_xll.ohRangeRetrieveError(F82)</f>
        <v/>
      </c>
      <c r="H82" s="137"/>
    </row>
    <row r="83" spans="1:8" x14ac:dyDescent="0.2">
      <c r="A83" s="143"/>
      <c r="B83" s="142">
        <v>78</v>
      </c>
      <c r="C83" s="141" t="b">
        <v>0</v>
      </c>
      <c r="D83" s="140" t="str">
        <v>M0</v>
      </c>
      <c r="E83" s="139" t="str">
        <f t="shared" si="3"/>
        <v>GBPFUT3MM0_Quote</v>
      </c>
      <c r="F83" s="138" t="str">
        <f>_xll.qlSimpleQuote(E83,,PriceTickValue,Permanent,Trigger,ObjectOverwrite)</f>
        <v>GBPFUT3MM0_Quote#0000</v>
      </c>
      <c r="G83" s="101" t="str">
        <f>_xll.ohRangeRetrieveError(F83)</f>
        <v/>
      </c>
      <c r="H83" s="137"/>
    </row>
    <row r="84" spans="1:8" x14ac:dyDescent="0.2">
      <c r="A84" s="143"/>
      <c r="B84" s="142">
        <v>79</v>
      </c>
      <c r="C84" s="141" t="b">
        <v>0</v>
      </c>
      <c r="D84" s="140" t="str">
        <v>N0</v>
      </c>
      <c r="E84" s="139" t="str">
        <f t="shared" si="3"/>
        <v>GBPFUT3MN0_Quote</v>
      </c>
      <c r="F84" s="138" t="str">
        <f>_xll.qlSimpleQuote(E84,,PriceTickValue,Permanent,Trigger,ObjectOverwrite)</f>
        <v>GBPFUT3MN0_Quote#0000</v>
      </c>
      <c r="G84" s="101" t="str">
        <f>_xll.ohRangeRetrieveError(F84)</f>
        <v/>
      </c>
      <c r="H84" s="137"/>
    </row>
    <row r="85" spans="1:8" x14ac:dyDescent="0.2">
      <c r="A85" s="143"/>
      <c r="B85" s="142">
        <v>80</v>
      </c>
      <c r="C85" s="141" t="b">
        <v>0</v>
      </c>
      <c r="D85" s="140" t="str">
        <v>Q0</v>
      </c>
      <c r="E85" s="139" t="str">
        <f t="shared" si="3"/>
        <v>GBPFUT3MQ0_Quote</v>
      </c>
      <c r="F85" s="138" t="str">
        <f>_xll.qlSimpleQuote(E85,,PriceTickValue,Permanent,Trigger,ObjectOverwrite)</f>
        <v>GBPFUT3MQ0_Quote#0000</v>
      </c>
      <c r="G85" s="101" t="str">
        <f>_xll.ohRangeRetrieveError(F85)</f>
        <v/>
      </c>
      <c r="H85" s="137"/>
    </row>
    <row r="86" spans="1:8" x14ac:dyDescent="0.2">
      <c r="A86" s="143"/>
      <c r="B86" s="142">
        <v>81</v>
      </c>
      <c r="C86" s="141" t="b">
        <v>0</v>
      </c>
      <c r="D86" s="140" t="str">
        <v>U0</v>
      </c>
      <c r="E86" s="139" t="str">
        <f t="shared" si="3"/>
        <v>GBPFUT3MU0_Quote</v>
      </c>
      <c r="F86" s="138" t="str">
        <f>_xll.qlSimpleQuote(E86,,PriceTickValue,Permanent,Trigger,ObjectOverwrite)</f>
        <v>GBPFUT3MU0_Quote#0000</v>
      </c>
      <c r="G86" s="101" t="str">
        <f>_xll.ohRangeRetrieveError(F86)</f>
        <v/>
      </c>
      <c r="H86" s="137"/>
    </row>
    <row r="87" spans="1:8" x14ac:dyDescent="0.2">
      <c r="A87" s="143"/>
      <c r="B87" s="142">
        <v>82</v>
      </c>
      <c r="C87" s="141" t="b">
        <v>0</v>
      </c>
      <c r="D87" s="140" t="str">
        <v>V0</v>
      </c>
      <c r="E87" s="139" t="str">
        <f t="shared" si="3"/>
        <v>GBPFUT3MV0_Quote</v>
      </c>
      <c r="F87" s="138" t="str">
        <f>_xll.qlSimpleQuote(E87,,PriceTickValue,Permanent,Trigger,ObjectOverwrite)</f>
        <v>GBPFUT3MV0_Quote#0000</v>
      </c>
      <c r="G87" s="101" t="str">
        <f>_xll.ohRangeRetrieveError(F87)</f>
        <v/>
      </c>
      <c r="H87" s="137"/>
    </row>
    <row r="88" spans="1:8" x14ac:dyDescent="0.2">
      <c r="A88" s="143"/>
      <c r="B88" s="142">
        <v>83</v>
      </c>
      <c r="C88" s="141" t="b">
        <v>0</v>
      </c>
      <c r="D88" s="140" t="str">
        <v>X0</v>
      </c>
      <c r="E88" s="139" t="str">
        <f t="shared" si="3"/>
        <v>GBPFUT3MX0_Quote</v>
      </c>
      <c r="F88" s="138" t="str">
        <f>_xll.qlSimpleQuote(E88,,PriceTickValue,Permanent,Trigger,ObjectOverwrite)</f>
        <v>GBPFUT3MX0_Quote#0000</v>
      </c>
      <c r="G88" s="101" t="str">
        <f>_xll.ohRangeRetrieveError(F88)</f>
        <v/>
      </c>
      <c r="H88" s="137"/>
    </row>
    <row r="89" spans="1:8" x14ac:dyDescent="0.2">
      <c r="A89" s="143"/>
      <c r="B89" s="142">
        <v>84</v>
      </c>
      <c r="C89" s="141" t="b">
        <v>0</v>
      </c>
      <c r="D89" s="140" t="str">
        <v>Z0</v>
      </c>
      <c r="E89" s="139" t="str">
        <f t="shared" si="3"/>
        <v>GBPFUT3MZ0_Quote</v>
      </c>
      <c r="F89" s="138" t="str">
        <f>_xll.qlSimpleQuote(E89,,PriceTickValue,Permanent,Trigger,ObjectOverwrite)</f>
        <v>GBPFUT3MZ0_Quote#0000</v>
      </c>
      <c r="G89" s="101" t="str">
        <f>_xll.ohRangeRetrieveError(F89)</f>
        <v/>
      </c>
      <c r="H89" s="137"/>
    </row>
    <row r="90" spans="1:8" x14ac:dyDescent="0.2">
      <c r="A90" s="143"/>
      <c r="B90" s="142">
        <v>85</v>
      </c>
      <c r="C90" s="141" t="b">
        <v>0</v>
      </c>
      <c r="D90" s="140" t="str">
        <v>F1</v>
      </c>
      <c r="E90" s="139" t="str">
        <f t="shared" si="3"/>
        <v>GBPFUT3MF1_Quote</v>
      </c>
      <c r="F90" s="138" t="str">
        <f>_xll.qlSimpleQuote(E90,,PriceTickValue,Permanent,Trigger,ObjectOverwrite)</f>
        <v>GBPFUT3MF1_Quote#0000</v>
      </c>
      <c r="G90" s="101" t="str">
        <f>_xll.ohRangeRetrieveError(F90)</f>
        <v/>
      </c>
      <c r="H90" s="137"/>
    </row>
    <row r="91" spans="1:8" x14ac:dyDescent="0.2">
      <c r="A91" s="143"/>
      <c r="B91" s="142">
        <v>86</v>
      </c>
      <c r="C91" s="141" t="b">
        <v>0</v>
      </c>
      <c r="D91" s="140" t="str">
        <v>G1</v>
      </c>
      <c r="E91" s="139" t="str">
        <f t="shared" si="3"/>
        <v>GBPFUT3MG1_Quote</v>
      </c>
      <c r="F91" s="138" t="str">
        <f>_xll.qlSimpleQuote(E91,,PriceTickValue,Permanent,Trigger,ObjectOverwrite)</f>
        <v>GBPFUT3MG1_Quote#0000</v>
      </c>
      <c r="G91" s="101" t="str">
        <f>_xll.ohRangeRetrieveError(F91)</f>
        <v/>
      </c>
      <c r="H91" s="137"/>
    </row>
    <row r="92" spans="1:8" x14ac:dyDescent="0.2">
      <c r="A92" s="143"/>
      <c r="B92" s="142">
        <v>87</v>
      </c>
      <c r="C92" s="141" t="b">
        <v>0</v>
      </c>
      <c r="D92" s="140" t="str">
        <v>H1</v>
      </c>
      <c r="E92" s="139" t="str">
        <f t="shared" si="3"/>
        <v>GBPFUT3MH1_Quote</v>
      </c>
      <c r="F92" s="138" t="str">
        <f>_xll.qlSimpleQuote(E92,,PriceTickValue,Permanent,Trigger,ObjectOverwrite)</f>
        <v>GBPFUT3MH1_Quote#0000</v>
      </c>
      <c r="G92" s="101" t="str">
        <f>_xll.ohRangeRetrieveError(F92)</f>
        <v/>
      </c>
      <c r="H92" s="137"/>
    </row>
    <row r="93" spans="1:8" x14ac:dyDescent="0.2">
      <c r="A93" s="143"/>
      <c r="B93" s="142">
        <v>88</v>
      </c>
      <c r="C93" s="141" t="b">
        <v>0</v>
      </c>
      <c r="D93" s="140" t="str">
        <v>J1</v>
      </c>
      <c r="E93" s="139" t="str">
        <f t="shared" si="3"/>
        <v>GBPFUT3MJ1_Quote</v>
      </c>
      <c r="F93" s="138" t="str">
        <f>_xll.qlSimpleQuote(E93,,PriceTickValue,Permanent,Trigger,ObjectOverwrite)</f>
        <v>GBPFUT3MJ1_Quote#0000</v>
      </c>
      <c r="G93" s="101" t="str">
        <f>_xll.ohRangeRetrieveError(F93)</f>
        <v/>
      </c>
      <c r="H93" s="137"/>
    </row>
    <row r="94" spans="1:8" x14ac:dyDescent="0.2">
      <c r="A94" s="143"/>
      <c r="B94" s="142">
        <v>89</v>
      </c>
      <c r="C94" s="141" t="b">
        <v>0</v>
      </c>
      <c r="D94" s="140" t="str">
        <v>K1</v>
      </c>
      <c r="E94" s="139" t="str">
        <f t="shared" si="3"/>
        <v>GBPFUT3MK1_Quote</v>
      </c>
      <c r="F94" s="138" t="str">
        <f>_xll.qlSimpleQuote(E94,,PriceTickValue,Permanent,Trigger,ObjectOverwrite)</f>
        <v>GBPFUT3MK1_Quote#0000</v>
      </c>
      <c r="G94" s="101" t="str">
        <f>_xll.ohRangeRetrieveError(F94)</f>
        <v/>
      </c>
      <c r="H94" s="137"/>
    </row>
    <row r="95" spans="1:8" x14ac:dyDescent="0.2">
      <c r="A95" s="143"/>
      <c r="B95" s="142">
        <v>90</v>
      </c>
      <c r="C95" s="141" t="b">
        <v>0</v>
      </c>
      <c r="D95" s="140" t="str">
        <v>M1</v>
      </c>
      <c r="E95" s="139" t="str">
        <f t="shared" si="3"/>
        <v>GBPFUT3MM1_Quote</v>
      </c>
      <c r="F95" s="138" t="str">
        <f>_xll.qlSimpleQuote(E95,,PriceTickValue,Permanent,Trigger,ObjectOverwrite)</f>
        <v>GBPFUT3MM1_Quote#0000</v>
      </c>
      <c r="G95" s="101" t="str">
        <f>_xll.ohRangeRetrieveError(F95)</f>
        <v/>
      </c>
      <c r="H95" s="137"/>
    </row>
    <row r="96" spans="1:8" x14ac:dyDescent="0.2">
      <c r="A96" s="143"/>
      <c r="B96" s="142">
        <v>91</v>
      </c>
      <c r="C96" s="141" t="b">
        <v>0</v>
      </c>
      <c r="D96" s="140" t="str">
        <v>N1</v>
      </c>
      <c r="E96" s="139" t="str">
        <f t="shared" si="3"/>
        <v>GBPFUT3MN1_Quote</v>
      </c>
      <c r="F96" s="138" t="str">
        <f>_xll.qlSimpleQuote(E96,,PriceTickValue,Permanent,Trigger,ObjectOverwrite)</f>
        <v>GBPFUT3MN1_Quote#0000</v>
      </c>
      <c r="G96" s="101" t="str">
        <f>_xll.ohRangeRetrieveError(F96)</f>
        <v/>
      </c>
      <c r="H96" s="137"/>
    </row>
    <row r="97" spans="1:8" x14ac:dyDescent="0.2">
      <c r="A97" s="143"/>
      <c r="B97" s="142">
        <v>92</v>
      </c>
      <c r="C97" s="141" t="b">
        <v>0</v>
      </c>
      <c r="D97" s="140" t="str">
        <v>Q1</v>
      </c>
      <c r="E97" s="139" t="str">
        <f t="shared" si="3"/>
        <v>GBPFUT3MQ1_Quote</v>
      </c>
      <c r="F97" s="138" t="str">
        <f>_xll.qlSimpleQuote(E97,,PriceTickValue,Permanent,Trigger,ObjectOverwrite)</f>
        <v>GBPFUT3MQ1_Quote#0000</v>
      </c>
      <c r="G97" s="101" t="str">
        <f>_xll.ohRangeRetrieveError(F97)</f>
        <v/>
      </c>
      <c r="H97" s="137"/>
    </row>
    <row r="98" spans="1:8" x14ac:dyDescent="0.2">
      <c r="A98" s="143"/>
      <c r="B98" s="142">
        <v>93</v>
      </c>
      <c r="C98" s="141" t="b">
        <v>0</v>
      </c>
      <c r="D98" s="140" t="str">
        <v>U1</v>
      </c>
      <c r="E98" s="139" t="str">
        <f t="shared" si="3"/>
        <v>GBPFUT3MU1_Quote</v>
      </c>
      <c r="F98" s="138" t="str">
        <f>_xll.qlSimpleQuote(E98,,PriceTickValue,Permanent,Trigger,ObjectOverwrite)</f>
        <v>GBPFUT3MU1_Quote#0000</v>
      </c>
      <c r="G98" s="101" t="str">
        <f>_xll.ohRangeRetrieveError(F98)</f>
        <v/>
      </c>
      <c r="H98" s="137"/>
    </row>
    <row r="99" spans="1:8" x14ac:dyDescent="0.2">
      <c r="A99" s="143"/>
      <c r="B99" s="142">
        <v>94</v>
      </c>
      <c r="C99" s="141" t="b">
        <v>0</v>
      </c>
      <c r="D99" s="140" t="str">
        <v>V1</v>
      </c>
      <c r="E99" s="139" t="str">
        <f t="shared" si="3"/>
        <v>GBPFUT3MV1_Quote</v>
      </c>
      <c r="F99" s="138" t="str">
        <f>_xll.qlSimpleQuote(E99,,PriceTickValue,Permanent,Trigger,ObjectOverwrite)</f>
        <v>GBPFUT3MV1_Quote#0000</v>
      </c>
      <c r="G99" s="101" t="str">
        <f>_xll.ohRangeRetrieveError(F99)</f>
        <v/>
      </c>
      <c r="H99" s="137"/>
    </row>
    <row r="100" spans="1:8" x14ac:dyDescent="0.2">
      <c r="A100" s="143"/>
      <c r="B100" s="142">
        <v>95</v>
      </c>
      <c r="C100" s="141" t="b">
        <v>0</v>
      </c>
      <c r="D100" s="140" t="str">
        <v>X1</v>
      </c>
      <c r="E100" s="139" t="str">
        <f t="shared" si="3"/>
        <v>GBPFUT3MX1_Quote</v>
      </c>
      <c r="F100" s="138" t="str">
        <f>_xll.qlSimpleQuote(E100,,PriceTickValue,Permanent,Trigger,ObjectOverwrite)</f>
        <v>GBPFUT3MX1_Quote#0000</v>
      </c>
      <c r="G100" s="101" t="str">
        <f>_xll.ohRangeRetrieveError(F100)</f>
        <v/>
      </c>
      <c r="H100" s="137"/>
    </row>
    <row r="101" spans="1:8" x14ac:dyDescent="0.2">
      <c r="A101" s="143"/>
      <c r="B101" s="142">
        <v>96</v>
      </c>
      <c r="C101" s="141" t="b">
        <v>0</v>
      </c>
      <c r="D101" s="140" t="str">
        <v>Z1</v>
      </c>
      <c r="E101" s="139" t="str">
        <f t="shared" si="3"/>
        <v>GBPFUT3MZ1_Quote</v>
      </c>
      <c r="F101" s="138" t="str">
        <f>_xll.qlSimpleQuote(E101,,PriceTickValue,Permanent,Trigger,ObjectOverwrite)</f>
        <v>GBPFUT3MZ1_Quote#0000</v>
      </c>
      <c r="G101" s="101" t="str">
        <f>_xll.ohRangeRetrieveError(F101)</f>
        <v/>
      </c>
      <c r="H101" s="137"/>
    </row>
    <row r="102" spans="1:8" x14ac:dyDescent="0.2">
      <c r="A102" s="143"/>
      <c r="B102" s="142">
        <v>97</v>
      </c>
      <c r="C102" s="141" t="b">
        <v>0</v>
      </c>
      <c r="D102" s="140" t="str">
        <v>F2</v>
      </c>
      <c r="E102" s="139" t="str">
        <f t="shared" ref="E102:E125" si="4">Currency&amp;$D$4&amp;$E$4&amp;$D102&amp;QuoteSuffix</f>
        <v>GBPFUT3MF2_Quote</v>
      </c>
      <c r="F102" s="138" t="str">
        <f>_xll.qlSimpleQuote(E102,,PriceTickValue,Permanent,Trigger,ObjectOverwrite)</f>
        <v>GBPFUT3MF2_Quote#0000</v>
      </c>
      <c r="G102" s="101" t="str">
        <f>_xll.ohRangeRetrieveError(F102)</f>
        <v/>
      </c>
      <c r="H102" s="137"/>
    </row>
    <row r="103" spans="1:8" x14ac:dyDescent="0.2">
      <c r="A103" s="143"/>
      <c r="B103" s="142">
        <v>98</v>
      </c>
      <c r="C103" s="141" t="b">
        <v>0</v>
      </c>
      <c r="D103" s="140" t="str">
        <v>G2</v>
      </c>
      <c r="E103" s="139" t="str">
        <f t="shared" si="4"/>
        <v>GBPFUT3MG2_Quote</v>
      </c>
      <c r="F103" s="138" t="str">
        <f>_xll.qlSimpleQuote(E103,,PriceTickValue,Permanent,Trigger,ObjectOverwrite)</f>
        <v>GBPFUT3MG2_Quote#0000</v>
      </c>
      <c r="G103" s="101" t="str">
        <f>_xll.ohRangeRetrieveError(F103)</f>
        <v/>
      </c>
      <c r="H103" s="137"/>
    </row>
    <row r="104" spans="1:8" x14ac:dyDescent="0.2">
      <c r="A104" s="143"/>
      <c r="B104" s="142">
        <v>99</v>
      </c>
      <c r="C104" s="141" t="b">
        <v>0</v>
      </c>
      <c r="D104" s="140" t="str">
        <v>H2</v>
      </c>
      <c r="E104" s="139" t="str">
        <f t="shared" si="4"/>
        <v>GBPFUT3MH2_Quote</v>
      </c>
      <c r="F104" s="138" t="str">
        <f>_xll.qlSimpleQuote(E104,,PriceTickValue,Permanent,Trigger,ObjectOverwrite)</f>
        <v>GBPFUT3MH2_Quote#0000</v>
      </c>
      <c r="G104" s="101" t="str">
        <f>_xll.ohRangeRetrieveError(F104)</f>
        <v/>
      </c>
      <c r="H104" s="137"/>
    </row>
    <row r="105" spans="1:8" x14ac:dyDescent="0.2">
      <c r="A105" s="143"/>
      <c r="B105" s="142">
        <v>100</v>
      </c>
      <c r="C105" s="141" t="b">
        <v>0</v>
      </c>
      <c r="D105" s="140" t="str">
        <v>J2</v>
      </c>
      <c r="E105" s="139" t="str">
        <f t="shared" si="4"/>
        <v>GBPFUT3MJ2_Quote</v>
      </c>
      <c r="F105" s="138" t="str">
        <f>_xll.qlSimpleQuote(E105,,PriceTickValue,Permanent,Trigger,ObjectOverwrite)</f>
        <v>GBPFUT3MJ2_Quote#0000</v>
      </c>
      <c r="G105" s="101" t="str">
        <f>_xll.ohRangeRetrieveError(F105)</f>
        <v/>
      </c>
      <c r="H105" s="137"/>
    </row>
    <row r="106" spans="1:8" x14ac:dyDescent="0.2">
      <c r="A106" s="143"/>
      <c r="B106" s="142">
        <v>101</v>
      </c>
      <c r="C106" s="141" t="b">
        <v>0</v>
      </c>
      <c r="D106" s="140" t="str">
        <v>K2</v>
      </c>
      <c r="E106" s="139" t="str">
        <f t="shared" si="4"/>
        <v>GBPFUT3MK2_Quote</v>
      </c>
      <c r="F106" s="138" t="str">
        <f>_xll.qlSimpleQuote(E106,,PriceTickValue,Permanent,Trigger,ObjectOverwrite)</f>
        <v>GBPFUT3MK2_Quote#0000</v>
      </c>
      <c r="G106" s="101" t="str">
        <f>_xll.ohRangeRetrieveError(F106)</f>
        <v/>
      </c>
      <c r="H106" s="137"/>
    </row>
    <row r="107" spans="1:8" x14ac:dyDescent="0.2">
      <c r="A107" s="143"/>
      <c r="B107" s="142">
        <v>102</v>
      </c>
      <c r="C107" s="141" t="b">
        <v>0</v>
      </c>
      <c r="D107" s="140" t="str">
        <v>M2</v>
      </c>
      <c r="E107" s="139" t="str">
        <f t="shared" si="4"/>
        <v>GBPFUT3MM2_Quote</v>
      </c>
      <c r="F107" s="138" t="str">
        <f>_xll.qlSimpleQuote(E107,,PriceTickValue,Permanent,Trigger,ObjectOverwrite)</f>
        <v>GBPFUT3MM2_Quote#0000</v>
      </c>
      <c r="G107" s="101" t="str">
        <f>_xll.ohRangeRetrieveError(F107)</f>
        <v/>
      </c>
      <c r="H107" s="137"/>
    </row>
    <row r="108" spans="1:8" x14ac:dyDescent="0.2">
      <c r="A108" s="143"/>
      <c r="B108" s="142">
        <v>103</v>
      </c>
      <c r="C108" s="141" t="b">
        <v>0</v>
      </c>
      <c r="D108" s="140" t="str">
        <v>N2</v>
      </c>
      <c r="E108" s="139" t="str">
        <f t="shared" si="4"/>
        <v>GBPFUT3MN2_Quote</v>
      </c>
      <c r="F108" s="138" t="str">
        <f>_xll.qlSimpleQuote(E108,,PriceTickValue,Permanent,Trigger,ObjectOverwrite)</f>
        <v>GBPFUT3MN2_Quote#0000</v>
      </c>
      <c r="G108" s="101" t="str">
        <f>_xll.ohRangeRetrieveError(F108)</f>
        <v/>
      </c>
      <c r="H108" s="137"/>
    </row>
    <row r="109" spans="1:8" x14ac:dyDescent="0.2">
      <c r="A109" s="143"/>
      <c r="B109" s="142">
        <v>104</v>
      </c>
      <c r="C109" s="141" t="b">
        <v>0</v>
      </c>
      <c r="D109" s="140" t="str">
        <v>Q2</v>
      </c>
      <c r="E109" s="139" t="str">
        <f t="shared" si="4"/>
        <v>GBPFUT3MQ2_Quote</v>
      </c>
      <c r="F109" s="138" t="str">
        <f>_xll.qlSimpleQuote(E109,,PriceTickValue,Permanent,Trigger,ObjectOverwrite)</f>
        <v>GBPFUT3MQ2_Quote#0000</v>
      </c>
      <c r="G109" s="101" t="str">
        <f>_xll.ohRangeRetrieveError(F109)</f>
        <v/>
      </c>
      <c r="H109" s="137"/>
    </row>
    <row r="110" spans="1:8" x14ac:dyDescent="0.2">
      <c r="A110" s="143"/>
      <c r="B110" s="142">
        <v>105</v>
      </c>
      <c r="C110" s="141" t="b">
        <v>0</v>
      </c>
      <c r="D110" s="140" t="str">
        <v>U2</v>
      </c>
      <c r="E110" s="139" t="str">
        <f t="shared" si="4"/>
        <v>GBPFUT3MU2_Quote</v>
      </c>
      <c r="F110" s="138" t="str">
        <f>_xll.qlSimpleQuote(E110,,PriceTickValue,Permanent,Trigger,ObjectOverwrite)</f>
        <v>GBPFUT3MU2_Quote#0000</v>
      </c>
      <c r="G110" s="101" t="str">
        <f>_xll.ohRangeRetrieveError(F110)</f>
        <v/>
      </c>
      <c r="H110" s="137"/>
    </row>
    <row r="111" spans="1:8" x14ac:dyDescent="0.2">
      <c r="A111" s="143"/>
      <c r="B111" s="142">
        <v>106</v>
      </c>
      <c r="C111" s="141" t="b">
        <v>0</v>
      </c>
      <c r="D111" s="140" t="str">
        <v>V2</v>
      </c>
      <c r="E111" s="139" t="str">
        <f t="shared" si="4"/>
        <v>GBPFUT3MV2_Quote</v>
      </c>
      <c r="F111" s="138" t="str">
        <f>_xll.qlSimpleQuote(E111,,PriceTickValue,Permanent,Trigger,ObjectOverwrite)</f>
        <v>GBPFUT3MV2_Quote#0000</v>
      </c>
      <c r="G111" s="101" t="str">
        <f>_xll.ohRangeRetrieveError(F111)</f>
        <v/>
      </c>
      <c r="H111" s="137"/>
    </row>
    <row r="112" spans="1:8" x14ac:dyDescent="0.2">
      <c r="A112" s="143"/>
      <c r="B112" s="142">
        <v>107</v>
      </c>
      <c r="C112" s="141" t="b">
        <v>0</v>
      </c>
      <c r="D112" s="140" t="str">
        <v>X2</v>
      </c>
      <c r="E112" s="139" t="str">
        <f t="shared" si="4"/>
        <v>GBPFUT3MX2_Quote</v>
      </c>
      <c r="F112" s="138" t="str">
        <f>_xll.qlSimpleQuote(E112,,PriceTickValue,Permanent,Trigger,ObjectOverwrite)</f>
        <v>GBPFUT3MX2_Quote#0000</v>
      </c>
      <c r="G112" s="101" t="str">
        <f>_xll.ohRangeRetrieveError(F112)</f>
        <v/>
      </c>
      <c r="H112" s="137"/>
    </row>
    <row r="113" spans="1:8" x14ac:dyDescent="0.2">
      <c r="A113" s="143"/>
      <c r="B113" s="142">
        <v>108</v>
      </c>
      <c r="C113" s="141" t="b">
        <v>0</v>
      </c>
      <c r="D113" s="140" t="str">
        <v>Z2</v>
      </c>
      <c r="E113" s="139" t="str">
        <f t="shared" si="4"/>
        <v>GBPFUT3MZ2_Quote</v>
      </c>
      <c r="F113" s="138" t="str">
        <f>_xll.qlSimpleQuote(E113,,PriceTickValue,Permanent,Trigger,ObjectOverwrite)</f>
        <v>GBPFUT3MZ2_Quote#0000</v>
      </c>
      <c r="G113" s="101" t="str">
        <f>_xll.ohRangeRetrieveError(F113)</f>
        <v/>
      </c>
      <c r="H113" s="137"/>
    </row>
    <row r="114" spans="1:8" x14ac:dyDescent="0.2">
      <c r="A114" s="143"/>
      <c r="B114" s="142">
        <v>109</v>
      </c>
      <c r="C114" s="141" t="b">
        <v>0</v>
      </c>
      <c r="D114" s="140" t="str">
        <v>F3</v>
      </c>
      <c r="E114" s="139" t="str">
        <f t="shared" si="4"/>
        <v>GBPFUT3MF3_Quote</v>
      </c>
      <c r="F114" s="138" t="str">
        <f>_xll.qlSimpleQuote(E114,,PriceTickValue,Permanent,Trigger,ObjectOverwrite)</f>
        <v>GBPFUT3MF3_Quote#0000</v>
      </c>
      <c r="G114" s="101" t="str">
        <f>_xll.ohRangeRetrieveError(F114)</f>
        <v/>
      </c>
      <c r="H114" s="137"/>
    </row>
    <row r="115" spans="1:8" x14ac:dyDescent="0.2">
      <c r="A115" s="143"/>
      <c r="B115" s="142">
        <v>110</v>
      </c>
      <c r="C115" s="141" t="b">
        <v>0</v>
      </c>
      <c r="D115" s="140" t="str">
        <v>G3</v>
      </c>
      <c r="E115" s="139" t="str">
        <f t="shared" si="4"/>
        <v>GBPFUT3MG3_Quote</v>
      </c>
      <c r="F115" s="138" t="str">
        <f>_xll.qlSimpleQuote(E115,,PriceTickValue,Permanent,Trigger,ObjectOverwrite)</f>
        <v>GBPFUT3MG3_Quote#0000</v>
      </c>
      <c r="G115" s="101" t="str">
        <f>_xll.ohRangeRetrieveError(F115)</f>
        <v/>
      </c>
      <c r="H115" s="137"/>
    </row>
    <row r="116" spans="1:8" x14ac:dyDescent="0.2">
      <c r="A116" s="143"/>
      <c r="B116" s="142">
        <v>111</v>
      </c>
      <c r="C116" s="141" t="b">
        <v>0</v>
      </c>
      <c r="D116" s="140" t="str">
        <v>H3</v>
      </c>
      <c r="E116" s="139" t="str">
        <f t="shared" si="4"/>
        <v>GBPFUT3MH3_Quote</v>
      </c>
      <c r="F116" s="138" t="str">
        <f>_xll.qlSimpleQuote(E116,,PriceTickValue,Permanent,Trigger,ObjectOverwrite)</f>
        <v>GBPFUT3MH3_Quote#0000</v>
      </c>
      <c r="G116" s="101" t="str">
        <f>_xll.ohRangeRetrieveError(F116)</f>
        <v/>
      </c>
      <c r="H116" s="137"/>
    </row>
    <row r="117" spans="1:8" x14ac:dyDescent="0.2">
      <c r="A117" s="143"/>
      <c r="B117" s="142">
        <v>112</v>
      </c>
      <c r="C117" s="141" t="b">
        <v>0</v>
      </c>
      <c r="D117" s="140" t="str">
        <v>J3</v>
      </c>
      <c r="E117" s="139" t="str">
        <f t="shared" si="4"/>
        <v>GBPFUT3MJ3_Quote</v>
      </c>
      <c r="F117" s="138" t="str">
        <f>_xll.qlSimpleQuote(E117,,PriceTickValue,Permanent,Trigger,ObjectOverwrite)</f>
        <v>GBPFUT3MJ3_Quote#0000</v>
      </c>
      <c r="G117" s="101" t="str">
        <f>_xll.ohRangeRetrieveError(F117)</f>
        <v/>
      </c>
      <c r="H117" s="137"/>
    </row>
    <row r="118" spans="1:8" x14ac:dyDescent="0.2">
      <c r="A118" s="143"/>
      <c r="B118" s="142">
        <v>113</v>
      </c>
      <c r="C118" s="141" t="b">
        <v>0</v>
      </c>
      <c r="D118" s="140" t="str">
        <v>K3</v>
      </c>
      <c r="E118" s="139" t="str">
        <f t="shared" si="4"/>
        <v>GBPFUT3MK3_Quote</v>
      </c>
      <c r="F118" s="138" t="str">
        <f>_xll.qlSimpleQuote(E118,,PriceTickValue,Permanent,Trigger,ObjectOverwrite)</f>
        <v>GBPFUT3MK3_Quote#0000</v>
      </c>
      <c r="G118" s="101" t="str">
        <f>_xll.ohRangeRetrieveError(F118)</f>
        <v/>
      </c>
      <c r="H118" s="137"/>
    </row>
    <row r="119" spans="1:8" x14ac:dyDescent="0.2">
      <c r="A119" s="143"/>
      <c r="B119" s="142">
        <v>114</v>
      </c>
      <c r="C119" s="141" t="b">
        <v>0</v>
      </c>
      <c r="D119" s="140" t="str">
        <v>M3</v>
      </c>
      <c r="E119" s="139" t="str">
        <f t="shared" si="4"/>
        <v>GBPFUT3MM3_Quote</v>
      </c>
      <c r="F119" s="138" t="str">
        <f>_xll.qlSimpleQuote(E119,,PriceTickValue,Permanent,Trigger,ObjectOverwrite)</f>
        <v>GBPFUT3MM3_Quote#0000</v>
      </c>
      <c r="G119" s="101" t="str">
        <f>_xll.ohRangeRetrieveError(F119)</f>
        <v/>
      </c>
      <c r="H119" s="137"/>
    </row>
    <row r="120" spans="1:8" x14ac:dyDescent="0.2">
      <c r="A120" s="143"/>
      <c r="B120" s="142">
        <v>115</v>
      </c>
      <c r="C120" s="141" t="b">
        <v>0</v>
      </c>
      <c r="D120" s="140" t="str">
        <v>N3</v>
      </c>
      <c r="E120" s="139" t="str">
        <f t="shared" si="4"/>
        <v>GBPFUT3MN3_Quote</v>
      </c>
      <c r="F120" s="138" t="str">
        <f>_xll.qlSimpleQuote(E120,,PriceTickValue,Permanent,Trigger,ObjectOverwrite)</f>
        <v>GBPFUT3MN3_Quote#0000</v>
      </c>
      <c r="G120" s="101" t="str">
        <f>_xll.ohRangeRetrieveError(F120)</f>
        <v/>
      </c>
      <c r="H120" s="137"/>
    </row>
    <row r="121" spans="1:8" x14ac:dyDescent="0.2">
      <c r="A121" s="143"/>
      <c r="B121" s="142">
        <v>116</v>
      </c>
      <c r="C121" s="141" t="b">
        <v>0</v>
      </c>
      <c r="D121" s="140" t="str">
        <v>Q3</v>
      </c>
      <c r="E121" s="139" t="str">
        <f t="shared" si="4"/>
        <v>GBPFUT3MQ3_Quote</v>
      </c>
      <c r="F121" s="138" t="str">
        <f>_xll.qlSimpleQuote(E121,,PriceTickValue,Permanent,Trigger,ObjectOverwrite)</f>
        <v>GBPFUT3MQ3_Quote#0000</v>
      </c>
      <c r="G121" s="101" t="str">
        <f>_xll.ohRangeRetrieveError(F121)</f>
        <v/>
      </c>
      <c r="H121" s="137"/>
    </row>
    <row r="122" spans="1:8" x14ac:dyDescent="0.2">
      <c r="A122" s="143"/>
      <c r="B122" s="142">
        <v>117</v>
      </c>
      <c r="C122" s="141" t="b">
        <v>0</v>
      </c>
      <c r="D122" s="140" t="str">
        <v>U3</v>
      </c>
      <c r="E122" s="139" t="str">
        <f t="shared" si="4"/>
        <v>GBPFUT3MU3_Quote</v>
      </c>
      <c r="F122" s="138" t="str">
        <f>_xll.qlSimpleQuote(E122,,PriceTickValue,Permanent,Trigger,ObjectOverwrite)</f>
        <v>GBPFUT3MU3_Quote#0000</v>
      </c>
      <c r="G122" s="101" t="str">
        <f>_xll.ohRangeRetrieveError(F122)</f>
        <v/>
      </c>
      <c r="H122" s="137"/>
    </row>
    <row r="123" spans="1:8" x14ac:dyDescent="0.2">
      <c r="A123" s="143"/>
      <c r="B123" s="142">
        <v>118</v>
      </c>
      <c r="C123" s="141" t="b">
        <v>0</v>
      </c>
      <c r="D123" s="140" t="str">
        <v>V3</v>
      </c>
      <c r="E123" s="139" t="str">
        <f t="shared" si="4"/>
        <v>GBPFUT3MV3_Quote</v>
      </c>
      <c r="F123" s="138" t="str">
        <f>_xll.qlSimpleQuote(E123,,PriceTickValue,Permanent,Trigger,ObjectOverwrite)</f>
        <v>GBPFUT3MV3_Quote#0000</v>
      </c>
      <c r="G123" s="101" t="str">
        <f>_xll.ohRangeRetrieveError(F123)</f>
        <v/>
      </c>
      <c r="H123" s="137"/>
    </row>
    <row r="124" spans="1:8" x14ac:dyDescent="0.2">
      <c r="A124" s="143"/>
      <c r="B124" s="142">
        <v>119</v>
      </c>
      <c r="C124" s="141" t="b">
        <v>0</v>
      </c>
      <c r="D124" s="140" t="str">
        <v>X3</v>
      </c>
      <c r="E124" s="139" t="str">
        <f t="shared" si="4"/>
        <v>GBPFUT3MX3_Quote</v>
      </c>
      <c r="F124" s="138" t="str">
        <f>_xll.qlSimpleQuote(E124,,PriceTickValue,Permanent,Trigger,ObjectOverwrite)</f>
        <v>GBPFUT3MX3_Quote#0000</v>
      </c>
      <c r="G124" s="101" t="str">
        <f>_xll.ohRangeRetrieveError(F124)</f>
        <v/>
      </c>
      <c r="H124" s="137"/>
    </row>
    <row r="125" spans="1:8" x14ac:dyDescent="0.2">
      <c r="A125" s="143"/>
      <c r="B125" s="142">
        <v>120</v>
      </c>
      <c r="C125" s="141" t="b">
        <v>0</v>
      </c>
      <c r="D125" s="140" t="str">
        <v>Z3</v>
      </c>
      <c r="E125" s="139" t="str">
        <f t="shared" si="4"/>
        <v>GBPFUT3MZ3_Quote</v>
      </c>
      <c r="F125" s="138" t="str">
        <f>_xll.qlSimpleQuote(E125,,PriceTickValue,Permanent,Trigger,ObjectOverwrite)</f>
        <v>GBPFUT3MZ3_Quote#0000</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41670</v>
      </c>
      <c r="O4" s="238"/>
      <c r="P4" s="238"/>
      <c r="Q4" s="238"/>
      <c r="R4" s="238"/>
      <c r="S4" s="238"/>
      <c r="T4" s="238"/>
      <c r="U4" s="238"/>
      <c r="V4" s="422"/>
      <c r="W4" s="422"/>
      <c r="X4" s="238"/>
      <c r="Y4" s="422" t="s">
        <v>305</v>
      </c>
      <c r="Z4" s="238"/>
      <c r="AA4" s="459">
        <f>_xll.ohTrigger(AA6:AA9)</f>
        <v>0</v>
      </c>
      <c r="AB4" s="458"/>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GBPIMMFRA6MF4_Quote#0000</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G4</v>
      </c>
      <c r="E6" s="139" t="str">
        <f t="shared" si="0"/>
        <v>GBPIMMFRA6MG4_Quote</v>
      </c>
      <c r="F6" s="138" t="str">
        <f>_xll.qlSimpleQuote(E6,,PriceTickValue,Permanent,Trigger,ObjectOverwrite)</f>
        <v>GBPIMMFRA6MG4_Quote#0000</v>
      </c>
      <c r="G6" s="101" t="str">
        <f>_xll.ohRangeRetrieveError(F6)</f>
        <v/>
      </c>
      <c r="H6" s="137"/>
      <c r="J6" s="143"/>
      <c r="K6" s="448">
        <v>1</v>
      </c>
      <c r="L6" s="447" t="b">
        <v>0</v>
      </c>
      <c r="M6" s="442" t="str">
        <f t="array" ref="M6:M9">_xll.qlIMMcode(FuturesDates)</f>
        <v>G4</v>
      </c>
      <c r="N6" s="446">
        <f t="array" ref="N6:N9">_xll.qlIMMNextDates(N4,$L6:$L9)</f>
        <v>41689</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GBPIMMFRA6MG4_Quote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GBPIMMFRA6MH4_Quote#0000</v>
      </c>
      <c r="G7" s="101" t="str">
        <f>_xll.ohRangeRetrieveError(F7)</f>
        <v/>
      </c>
      <c r="H7" s="137"/>
      <c r="J7" s="143"/>
      <c r="K7" s="435">
        <v>2</v>
      </c>
      <c r="L7" s="434" t="b">
        <v>0</v>
      </c>
      <c r="M7" s="429" t="str">
        <v>H4</v>
      </c>
      <c r="N7" s="433">
        <v>41717</v>
      </c>
      <c r="O7" s="429" t="str">
        <v>GBP6F2=ICAP</v>
      </c>
      <c r="P7" s="432" t="s">
        <v>304</v>
      </c>
      <c r="Q7" s="429">
        <v>0.63</v>
      </c>
      <c r="R7" s="429">
        <v>0.69</v>
      </c>
      <c r="S7" s="429">
        <v>0</v>
      </c>
      <c r="T7" s="429">
        <v>0</v>
      </c>
      <c r="U7" s="428">
        <f>100-_xll.qlMidSafe($Q7,$R7)</f>
        <v>99.34</v>
      </c>
      <c r="V7" s="422"/>
      <c r="W7" s="440">
        <v>99.36</v>
      </c>
      <c r="X7" s="422"/>
      <c r="Y7" s="430" t="str">
        <v>GBPIMMFRA6MH4_Quote</v>
      </c>
      <c r="Z7" s="429">
        <v>99.34</v>
      </c>
      <c r="AA7" s="428" t="e">
        <f>_xll.qlSimpleQuoteSetValue($Y7,$Z7,Trigger)</f>
        <v>#N/A</v>
      </c>
      <c r="AB7" s="137"/>
      <c r="AG7" s="418">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GBPIMMFRA6MJ4_Quote#0000</v>
      </c>
      <c r="G8" s="101" t="str">
        <f>_xll.ohRangeRetrieveError(F8)</f>
        <v/>
      </c>
      <c r="H8" s="137"/>
      <c r="J8" s="143"/>
      <c r="K8" s="435">
        <v>3</v>
      </c>
      <c r="L8" s="434" t="b">
        <v>0</v>
      </c>
      <c r="M8" s="429" t="str">
        <v>J4</v>
      </c>
      <c r="N8" s="433">
        <v>41745</v>
      </c>
      <c r="O8" s="429" t="str">
        <v>GBP6F3=ICAP</v>
      </c>
      <c r="P8" s="432" t="s">
        <v>304</v>
      </c>
      <c r="Q8" s="429">
        <v>0.64</v>
      </c>
      <c r="R8" s="429">
        <v>0.7</v>
      </c>
      <c r="S8" s="429">
        <v>0</v>
      </c>
      <c r="T8" s="429">
        <v>0</v>
      </c>
      <c r="U8" s="428">
        <f>100-_xll.qlMidSafe($Q8,$R8)</f>
        <v>99.33</v>
      </c>
      <c r="V8" s="422"/>
      <c r="W8" s="440">
        <v>99.364999999999995</v>
      </c>
      <c r="X8" s="422"/>
      <c r="Y8" s="430" t="str">
        <v>GBPIMMFRA6MJ4_Quote</v>
      </c>
      <c r="Z8" s="429">
        <v>99.33</v>
      </c>
      <c r="AA8" s="428" t="e">
        <f>_xll.qlSimpleQuoteSetValue($Y8,$Z8,Trigger)</f>
        <v>#N/A</v>
      </c>
      <c r="AB8" s="137"/>
      <c r="AG8" s="418">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GBPIMMFRA6MK4_Quote#0000</v>
      </c>
      <c r="G9" s="101" t="str">
        <f>_xll.ohRangeRetrieveError(F9)</f>
        <v/>
      </c>
      <c r="H9" s="137"/>
      <c r="J9" s="143"/>
      <c r="K9" s="427">
        <v>4</v>
      </c>
      <c r="L9" s="426" t="b">
        <v>0</v>
      </c>
      <c r="M9" s="420" t="str">
        <v>K4</v>
      </c>
      <c r="N9" s="425">
        <v>41780</v>
      </c>
      <c r="O9" s="420" t="str">
        <v>GBP6F4=ICAP</v>
      </c>
      <c r="P9" s="424" t="s">
        <v>304</v>
      </c>
      <c r="Q9" s="420">
        <v>0.67</v>
      </c>
      <c r="R9" s="420">
        <v>0.73</v>
      </c>
      <c r="S9" s="420">
        <v>0</v>
      </c>
      <c r="T9" s="420">
        <v>0</v>
      </c>
      <c r="U9" s="419">
        <f>100-_xll.qlMidSafe($Q9,$R9)</f>
        <v>99.3</v>
      </c>
      <c r="V9" s="422"/>
      <c r="W9" s="470">
        <v>99.36</v>
      </c>
      <c r="X9" s="422"/>
      <c r="Y9" s="421" t="str">
        <v>GBPIMMFRA6MK4_Quote</v>
      </c>
      <c r="Z9" s="420">
        <v>99.3</v>
      </c>
      <c r="AA9" s="419" t="e">
        <f>_xll.qlSimpleQuoteSetValue($Y9,$Z9,Trigger)</f>
        <v>#N/A</v>
      </c>
      <c r="AB9" s="137"/>
      <c r="AG9" s="418">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GBPIMMFRA6MM4_Quote#0000</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GBPIMMFRA6MN4_Quote#0000</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GBPIMMFRA6MQ4_Quote#0000</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GBPIMMFRA6MU4_Quote#0000</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GBPIMMFRA6MV4_Quote#0000</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GBPIMMFRA6MX4_Quote#0000</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GBPIMMFRA6MZ4_Quote#0000</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GBPIMMFRA6MF5_Quote#0000</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GBPIMMFRA6MG5_Quote#0000</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GBPIMMFRA6MH5_Quote#0000</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GBPIMMFRA6MJ5_Quote#0000</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GBPIMMFRA6MK5_Quote#0000</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GBPIMMFRA6MM5_Quote#0000</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GBPIMMFRA6MN5_Quote#0000</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GBPIMMFRA6MQ5_Quote#0000</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GBPIMMFRA6MU5_Quote#0000</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GBPIMMFRA6MV5_Quote#0000</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GBPIMMFRA6MX5_Quote#0000</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GBPIMMFRA6MZ5_Quote#0000</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GBPIMMFRA6MF6_Quote#0000</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GBPIMMFRA6MG6_Quote#0000</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GBPIMMFRA6MH6_Quote#0000</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GBPIMMFRA6MJ6_Quote#0000</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GBPIMMFRA6MK6_Quote#0000</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GBPIMMFRA6MM6_Quote#0000</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GBPIMMFRA6MN6_Quote#0000</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GBPIMMFRA6MQ6_Quote#0000</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GBPIMMFRA6MU6_Quote#0000</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GBPIMMFRA6MV6_Quote#0000</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GBPIMMFRA6MX6_Quote#0000</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GBPIMMFRA6MZ6_Quote#0000</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GBPIMMFRA6MF7_Quote#0000</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GBPIMMFRA6MG7_Quote#0000</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GBPIMMFRA6MH7_Quote#0000</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GBPIMMFRA6MJ7_Quote#0000</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GBPIMMFRA6MK7_Quote#0000</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GBPIMMFRA6MM7_Quote#0000</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GBPIMMFRA6MN7_Quote#0000</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GBPIMMFRA6MQ7_Quote#0000</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GBPIMMFRA6MU7_Quote#0000</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GBPIMMFRA6MV7_Quote#0000</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GBPIMMFRA6MX7_Quote#0000</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GBPIMMFRA6MZ7_Quote#0000</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GBPIMMFRA6MF8_Quote#0000</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GBPIMMFRA6MG8_Quote#0000</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GBPIMMFRA6MH8_Quote#0000</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GBPIMMFRA6MJ8_Quote#0000</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GBPIMMFRA6MK8_Quote#0000</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GBPIMMFRA6MM8_Quote#0000</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GBPIMMFRA6MN8_Quote#0000</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GBPIMMFRA6MQ8_Quote#0000</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GBPIMMFRA6MU8_Quote#0000</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GBPIMMFRA6MV8_Quote#0000</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GBPIMMFRA6MX8_Quote#0000</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GBPIMMFRA6MZ8_Quote#0000</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GBPIMMFRA6MF9_Quote#0000</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GBPIMMFRA6MG9_Quote#0000</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GBPIMMFRA6MH9_Quote#0000</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GBPIMMFRA6MJ9_Quote#0000</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GBPIMMFRA6MK9_Quote#0000</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GBPIMMFRA6MM9_Quote#0000</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GBPIMMFRA6MN9_Quote#0000</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GBPIMMFRA6MQ9_Quote#0000</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GBPIMMFRA6MU9_Quote#0000</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GBPIMMFRA6MV9_Quote#0000</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GBPIMMFRA6MX9_Quote#0000</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GBPIMMFRA6MZ9_Quote#0000</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GBPIMMFRA6MF0_Quote#0000</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GBPIMMFRA6MG0_Quote#0000</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GBPIMMFRA6MH0_Quote#0000</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GBPIMMFRA6MJ0_Quote#0000</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GBPIMMFRA6MK0_Quote#0000</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GBPIMMFRA6MM0_Quote#0000</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GBPIMMFRA6MN0_Quote#0000</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GBPIMMFRA6MQ0_Quote#0000</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GBPIMMFRA6MU0_Quote#0000</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GBPIMMFRA6MV0_Quote#0000</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GBPIMMFRA6MX0_Quote#0000</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GBPIMMFRA6MZ0_Quote#0000</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GBPIMMFRA6MF1_Quote#0000</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GBPIMMFRA6MG1_Quote#0000</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GBPIMMFRA6MH1_Quote#0000</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GBPIMMFRA6MJ1_Quote#0000</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GBPIMMFRA6MK1_Quote#0000</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GBPIMMFRA6MM1_Quote#0000</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GBPIMMFRA6MN1_Quote#0000</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GBPIMMFRA6MQ1_Quote#0000</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GBPIMMFRA6MU1_Quote#0000</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GBPIMMFRA6MV1_Quote#0000</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GBPIMMFRA6MX1_Quote#0000</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GBPIMMFRA6MZ1_Quote#0000</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GBPIMMFRA6MF2_Quote#0000</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GBPIMMFRA6MG2_Quote#0000</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GBPIMMFRA6MH2_Quote#0000</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GBPIMMFRA6MJ2_Quote#0000</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GBPIMMFRA6MK2_Quote#0000</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GBPIMMFRA6MM2_Quote#0000</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GBPIMMFRA6MN2_Quote#0000</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GBPIMMFRA6MQ2_Quote#0000</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GBPIMMFRA6MU2_Quote#0000</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GBPIMMFRA6MV2_Quote#0000</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GBPIMMFRA6MX2_Quote#0000</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GBPIMMFRA6MZ2_Quote#0000</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GBPIMMFRA6MF3_Quote#0000</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GBPIMMFRA6MG3_Quote#0000</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GBPIMMFRA6MH3_Quote#0000</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GBPIMMFRA6MJ3_Quote#0000</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GBPIMMFRA6MK3_Quote#0000</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GBPIMMFRA6MM3_Quote#0000</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GBPIMMFRA6MN3_Quote#0000</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GBPIMMFRA6MQ3_Quote#0000</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GBPIMMFRA6MU3_Quote#0000</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GBPIMMFRA6MV3_Quote#0000</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GBPIMMFRA6MX3_Quote#0000</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GBPIMMFRA6MZ3_Quote#0000</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0</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54" t="s">
        <v>313</v>
      </c>
      <c r="L4" s="655"/>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GBPHW_Volatility_Quote#0000</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5.5829149999999991E-3</v>
      </c>
      <c r="M5" s="481"/>
      <c r="N5" s="489">
        <v>5.7561399999999999E-3</v>
      </c>
      <c r="O5" s="479"/>
      <c r="P5" s="488" t="str">
        <f>Currency&amp;"HW_Volatility_Quote"</f>
        <v>GBPHW_Volatility_Quote</v>
      </c>
      <c r="Q5" s="487">
        <f t="array" ref="Q5:Q6">QuoteLive</f>
        <v>5.5829149999999991E-3</v>
      </c>
      <c r="R5" s="486" t="e">
        <f>_xll.qlSimpleQuoteSetValue(P5,Q5,Trigger)</f>
        <v>#NUM!</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GBPHW_MeanReversion_Quote#0000</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#NUM!</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0</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GBPSWOIS_Quote#0000</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GBP2WOIS_Quote#0000</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GBP3WOIS_Quote#0000</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GBP1MOIS_Quote#0000</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GBP2MOIS_Quote#0000</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GBP3MOIS_Quote#0000</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GBP4MOIS_Quote#0000</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GBP5MOIS_Quote#0000</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GBP6MOIS_Quote#0000</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GBP7MOIS_Quote#0000</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GBP8MOIS_Quote#0000</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GBP9MOIS_Quote#0000</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GBP10MOIS_Quote#0000</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GBP11MOIS_Quote#0000</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GBP1YOIS_Quote#0000</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GBP15MOIS_Quote#0000</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GBP18MOIS_Quote#0000</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GBP21MOIS_Quote#0000</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GBP2YOIS_Quote#0000</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GBP3YOIS_Quote#0000</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GBP4YOIS_Quote#0000</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GBP5YOIS_Quote#0000</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GBP6YOIS_Quote#0000</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GBP7YOIS_Quote#0000</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GBP8YOIS_Quote#0000</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GBP9YOIS_Quote#0000</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GBP10YOIS_Quote#0000</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GBP11YOIS_Quote#0000</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GBP12YOIS_Quote#0000</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GBP15YOIS_Quote#0000</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GBP20YOIS_Quote#0000</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GBP25YOIS_Quote#0000</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GBP30YOIS_Quote#0000</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GBPMPCJAN11OIS_Quote#0000</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GBPMPCFEB11OIS_Quote#0000</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GBPMPCMAR11OIS_Quote#0000</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GBPMPCAPR11OIS_Quote#0000</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GBPMPCMAY11OIS_Quote#0000</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GBPMPCJUN11OIS_Quote#0000</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GBPMPCJUL11OIS_Quote#0000</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GBPMPCAUG11OIS_Quote#0000</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GBPMPCSEP11OIS_Quote#0000</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GBPMPCOCT11OIS_Quote#0000</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GBPMPCNOV11OIS_Quote#0000</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GBPMPCDEC11OIS_Quote#0000</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GBPMPCJAN12OIS_Quote#0000</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GBPMPCFEB12OIS_Quote#0000</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GBPMPCMAR12OIS_Quote#0000</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GBPMPCAPR12OIS_Quote#0000</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GBPMPCMAY12OIS_Quote#0000</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GBPMPCJUN12OIS_Quote#0000</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GBPMPCJUL12OIS_Quote#0000</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GBPMPCAUG12OIS_Quote#0000</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GBPMPCSEP12OIS_Quote#0000</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GBPMPCOCT12OIS_Quote#0000</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GBPMPCNOV12OIS_Quote#0000</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GBPMPCDEC12OIS_Quote#0000</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17" t="s">
        <v>355</v>
      </c>
      <c r="K1" s="201"/>
      <c r="L1" s="201"/>
      <c r="M1" s="201"/>
      <c r="N1" s="201"/>
      <c r="O1" s="201"/>
      <c r="P1" s="201"/>
      <c r="Q1" s="201"/>
      <c r="R1" s="201"/>
      <c r="S1" s="201"/>
      <c r="T1" s="201"/>
      <c r="U1" s="201"/>
      <c r="V1" s="201"/>
      <c r="W1" s="201"/>
      <c r="X1" s="201"/>
      <c r="Y1" s="201"/>
      <c r="Z1" s="198"/>
    </row>
    <row r="2" spans="1:32" ht="13.5" thickBot="1" x14ac:dyDescent="0.25">
      <c r="J2" s="380"/>
      <c r="K2" s="343"/>
      <c r="L2" s="343"/>
      <c r="M2" s="343"/>
      <c r="N2" s="343"/>
      <c r="O2" s="140" t="s">
        <v>275</v>
      </c>
      <c r="P2" s="343"/>
      <c r="Q2" s="343"/>
      <c r="R2" s="343"/>
      <c r="S2" s="343"/>
      <c r="T2" s="133"/>
      <c r="U2" s="343"/>
      <c r="V2" s="343"/>
      <c r="W2" s="343"/>
      <c r="X2" s="133"/>
      <c r="Y2" s="133"/>
      <c r="Z2" s="33"/>
    </row>
    <row r="3" spans="1:32"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459">
        <f>_xll.ohTrigger(Y5:Y15)</f>
        <v>0</v>
      </c>
      <c r="Z3" s="218"/>
    </row>
    <row r="4" spans="1:32"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593" t="s">
        <v>285</v>
      </c>
      <c r="Y4" s="91" t="s">
        <v>284</v>
      </c>
      <c r="Z4" s="218"/>
      <c r="AF4" s="412" t="s">
        <v>289</v>
      </c>
    </row>
    <row r="5" spans="1:32"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GBP2X1S_Quote#0000</v>
      </c>
      <c r="G5" s="8" t="str">
        <f>_xll.ohRangeRetrieveError(F5)</f>
        <v/>
      </c>
      <c r="H5" s="33"/>
      <c r="J5" s="118"/>
      <c r="K5" s="394"/>
      <c r="L5" s="400">
        <v>2</v>
      </c>
      <c r="M5" s="400" t="s">
        <v>205</v>
      </c>
      <c r="N5" s="353" t="str">
        <f t="shared" ref="N5:N15" si="1">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595">
        <f t="array" ref="X5:X15">QuoteStatic</f>
        <v>0.49</v>
      </c>
      <c r="Y5" s="348" t="e">
        <f>_xll.qlSimpleQuoteSetValue(F5,X5/100,Trigger)</f>
        <v>#N/A</v>
      </c>
      <c r="Z5" s="218"/>
      <c r="AB5" s="494"/>
      <c r="AF5" s="382">
        <f t="shared" ref="AF5:AF15" si="2">(Q5-T5)/50</f>
        <v>9.999999999999998E-4</v>
      </c>
    </row>
    <row r="6" spans="1:32" x14ac:dyDescent="0.2">
      <c r="A6" s="118"/>
      <c r="B6" s="194"/>
      <c r="C6" s="193">
        <v>3</v>
      </c>
      <c r="D6" s="192" t="s">
        <v>205</v>
      </c>
      <c r="E6" s="73" t="str">
        <f t="shared" si="0"/>
        <v>GBP3X1S_Quote</v>
      </c>
      <c r="F6" s="73" t="str">
        <f>_xll.qlSimpleQuote(Currency&amp;$C6&amp;$D6&amp;$B6&amp;QuoteSuffix,,RateTickValue,Permanent,Trigger,ObjectOverwrite)</f>
        <v>GBP3X1S_Quote#0000</v>
      </c>
      <c r="G6" s="191" t="str">
        <f>_xll.ohRangeRetrieveError(F6)</f>
        <v/>
      </c>
      <c r="H6" s="33"/>
      <c r="J6" s="118"/>
      <c r="K6" s="394"/>
      <c r="L6" s="400">
        <v>3</v>
      </c>
      <c r="M6" s="400" t="s">
        <v>205</v>
      </c>
      <c r="N6" s="353" t="str">
        <f t="shared" si="1"/>
        <v>GBP3X1S</v>
      </c>
      <c r="O6" s="353" t="str">
        <v>GBP3X1S=ICAP</v>
      </c>
      <c r="P6" s="401">
        <v>0.4375</v>
      </c>
      <c r="Q6" s="401">
        <v>0.53749999999999998</v>
      </c>
      <c r="R6" s="401">
        <v>0</v>
      </c>
      <c r="S6" s="401">
        <v>0</v>
      </c>
      <c r="T6" s="498">
        <f>_xll.qlMidSafe($P6,$Q6)</f>
        <v>0.48749999999999999</v>
      </c>
      <c r="U6" s="343"/>
      <c r="V6" s="497">
        <v>0.48499999999999999</v>
      </c>
      <c r="W6" s="343"/>
      <c r="X6" s="595">
        <v>0.48499999999999999</v>
      </c>
      <c r="Y6" s="348" t="e">
        <f>_xll.qlSimpleQuoteSetValue(F6,X6/100,Trigger)</f>
        <v>#N/A</v>
      </c>
      <c r="Z6" s="218"/>
      <c r="AB6" s="494"/>
      <c r="AF6" s="382">
        <f t="shared" si="2"/>
        <v>9.999999999999998E-4</v>
      </c>
    </row>
    <row r="7" spans="1:32" x14ac:dyDescent="0.2">
      <c r="A7" s="118"/>
      <c r="B7" s="194"/>
      <c r="C7" s="193">
        <v>4</v>
      </c>
      <c r="D7" s="192" t="s">
        <v>205</v>
      </c>
      <c r="E7" s="73" t="str">
        <f t="shared" si="0"/>
        <v>GBP4X1S_Quote</v>
      </c>
      <c r="F7" s="73" t="str">
        <f>_xll.qlSimpleQuote(Currency&amp;$C7&amp;$D7&amp;$B7&amp;QuoteSuffix,,RateTickValue,Permanent,Trigger,ObjectOverwrite)</f>
        <v>GBP4X1S_Quote#0000</v>
      </c>
      <c r="G7" s="191" t="str">
        <f>_xll.ohRangeRetrieveError(F7)</f>
        <v/>
      </c>
      <c r="H7" s="33"/>
      <c r="J7" s="118"/>
      <c r="K7" s="394"/>
      <c r="L7" s="400">
        <v>4</v>
      </c>
      <c r="M7" s="400" t="s">
        <v>205</v>
      </c>
      <c r="N7" s="353" t="str">
        <f t="shared" si="1"/>
        <v>GBP4X1S</v>
      </c>
      <c r="O7" s="353" t="str">
        <v>GBP4X1S=ICAP</v>
      </c>
      <c r="P7" s="401">
        <v>0.43625000000000003</v>
      </c>
      <c r="Q7" s="401">
        <v>0.53625</v>
      </c>
      <c r="R7" s="401">
        <v>0</v>
      </c>
      <c r="S7" s="401">
        <v>0</v>
      </c>
      <c r="T7" s="498">
        <f>_xll.qlMidSafe($P7,$Q7)</f>
        <v>0.48625000000000002</v>
      </c>
      <c r="U7" s="343"/>
      <c r="V7" s="497">
        <v>0.48</v>
      </c>
      <c r="W7" s="343"/>
      <c r="X7" s="595">
        <v>0.48</v>
      </c>
      <c r="Y7" s="348" t="e">
        <f>_xll.qlSimpleQuoteSetValue(F7,X7/100,Trigger)</f>
        <v>#N/A</v>
      </c>
      <c r="Z7" s="218"/>
      <c r="AB7" s="494"/>
      <c r="AF7" s="382">
        <f t="shared" si="2"/>
        <v>9.999999999999998E-4</v>
      </c>
    </row>
    <row r="8" spans="1:32" x14ac:dyDescent="0.2">
      <c r="A8" s="118"/>
      <c r="B8" s="194"/>
      <c r="C8" s="193">
        <v>5</v>
      </c>
      <c r="D8" s="192" t="s">
        <v>205</v>
      </c>
      <c r="E8" s="73" t="str">
        <f t="shared" si="0"/>
        <v>GBP5X1S_Quote</v>
      </c>
      <c r="F8" s="73" t="str">
        <f>_xll.qlSimpleQuote(Currency&amp;$C8&amp;$D8&amp;$B8&amp;QuoteSuffix,,RateTickValue,Permanent,Trigger,ObjectOverwrite)</f>
        <v>GBP5X1S_Quote#0000</v>
      </c>
      <c r="G8" s="191" t="str">
        <f>_xll.ohRangeRetrieveError(F8)</f>
        <v/>
      </c>
      <c r="H8" s="33"/>
      <c r="J8" s="118"/>
      <c r="K8" s="394"/>
      <c r="L8" s="400">
        <v>5</v>
      </c>
      <c r="M8" s="400" t="s">
        <v>205</v>
      </c>
      <c r="N8" s="353" t="str">
        <f t="shared" si="1"/>
        <v>GBP5X1S</v>
      </c>
      <c r="O8" s="353" t="str">
        <v>GBP5X1S=ICAP</v>
      </c>
      <c r="P8" s="401">
        <v>0.435</v>
      </c>
      <c r="Q8" s="401">
        <v>0.53500000000000003</v>
      </c>
      <c r="R8" s="401">
        <v>0</v>
      </c>
      <c r="S8" s="401">
        <v>0</v>
      </c>
      <c r="T8" s="498">
        <f>_xll.qlMidSafe($P8,$Q8)</f>
        <v>0.48499999999999999</v>
      </c>
      <c r="U8" s="343"/>
      <c r="V8" s="497">
        <v>0.47499999999999998</v>
      </c>
      <c r="W8" s="343"/>
      <c r="X8" s="595">
        <v>0.47499999999999998</v>
      </c>
      <c r="Y8" s="348" t="e">
        <f>_xll.qlSimpleQuoteSetValue(F8,X8/100,Trigger)</f>
        <v>#N/A</v>
      </c>
      <c r="Z8" s="218"/>
      <c r="AB8" s="494"/>
      <c r="AF8" s="382">
        <f t="shared" si="2"/>
        <v>1.0000000000000009E-3</v>
      </c>
    </row>
    <row r="9" spans="1:32" x14ac:dyDescent="0.2">
      <c r="A9" s="118"/>
      <c r="B9" s="194"/>
      <c r="C9" s="193">
        <v>6</v>
      </c>
      <c r="D9" s="192" t="s">
        <v>205</v>
      </c>
      <c r="E9" s="73" t="str">
        <f t="shared" si="0"/>
        <v>GBP6X1S_Quote</v>
      </c>
      <c r="F9" s="73" t="str">
        <f>_xll.qlSimpleQuote(Currency&amp;$C9&amp;$D9&amp;$B9&amp;QuoteSuffix,,RateTickValue,Permanent,Trigger,ObjectOverwrite)</f>
        <v>GBP6X1S_Quote#0000</v>
      </c>
      <c r="G9" s="191" t="str">
        <f>_xll.ohRangeRetrieveError(F9)</f>
        <v/>
      </c>
      <c r="H9" s="33"/>
      <c r="J9" s="118"/>
      <c r="K9" s="394"/>
      <c r="L9" s="400">
        <v>6</v>
      </c>
      <c r="M9" s="400" t="s">
        <v>205</v>
      </c>
      <c r="N9" s="353" t="str">
        <f t="shared" si="1"/>
        <v>GBP6X1S</v>
      </c>
      <c r="O9" s="353" t="str">
        <v>GBP6X1S=ICAP</v>
      </c>
      <c r="P9" s="401">
        <v>0.43375000000000002</v>
      </c>
      <c r="Q9" s="401">
        <v>0.53374999999999995</v>
      </c>
      <c r="R9" s="401">
        <v>0</v>
      </c>
      <c r="S9" s="401">
        <v>0</v>
      </c>
      <c r="T9" s="498">
        <f>_xll.qlMidSafe($P9,$Q9)</f>
        <v>0.48375000000000001</v>
      </c>
      <c r="U9" s="343"/>
      <c r="V9" s="497">
        <v>0.47</v>
      </c>
      <c r="W9" s="343"/>
      <c r="X9" s="595">
        <v>0.47</v>
      </c>
      <c r="Y9" s="348" t="e">
        <f>_xll.qlSimpleQuoteSetValue(F9,X9/100,Trigger)</f>
        <v>#N/A</v>
      </c>
      <c r="Z9" s="218"/>
      <c r="AB9" s="494"/>
      <c r="AF9" s="382">
        <f t="shared" si="2"/>
        <v>9.9999999999999872E-4</v>
      </c>
    </row>
    <row r="10" spans="1:32" x14ac:dyDescent="0.2">
      <c r="A10" s="118"/>
      <c r="B10" s="194"/>
      <c r="C10" s="193">
        <v>7</v>
      </c>
      <c r="D10" s="192" t="s">
        <v>205</v>
      </c>
      <c r="E10" s="73" t="str">
        <f t="shared" si="0"/>
        <v>GBP7X1S_Quote</v>
      </c>
      <c r="F10" s="73" t="str">
        <f>_xll.qlSimpleQuote(Currency&amp;$C10&amp;$D10&amp;$B10&amp;QuoteSuffix,,RateTickValue,Permanent,Trigger,ObjectOverwrite)</f>
        <v>GBP7X1S_Quote#0000</v>
      </c>
      <c r="G10" s="191" t="str">
        <f>_xll.ohRangeRetrieveError(F10)</f>
        <v/>
      </c>
      <c r="H10" s="33"/>
      <c r="J10" s="118"/>
      <c r="K10" s="394"/>
      <c r="L10" s="400">
        <v>7</v>
      </c>
      <c r="M10" s="400" t="s">
        <v>205</v>
      </c>
      <c r="N10" s="353" t="str">
        <f t="shared" si="1"/>
        <v>GBP7X1S</v>
      </c>
      <c r="O10" s="353" t="str">
        <v>GBP7X1S=ICAP</v>
      </c>
      <c r="P10" s="401">
        <v>0.4325</v>
      </c>
      <c r="Q10" s="401">
        <v>0.53249999999999997</v>
      </c>
      <c r="R10" s="401">
        <v>0</v>
      </c>
      <c r="S10" s="401">
        <v>0</v>
      </c>
      <c r="T10" s="498">
        <f>_xll.qlMidSafe($P10,$Q10)</f>
        <v>0.48249999999999998</v>
      </c>
      <c r="U10" s="343"/>
      <c r="V10" s="497">
        <v>0.46500000000000002</v>
      </c>
      <c r="W10" s="343"/>
      <c r="X10" s="595">
        <v>0.46500000000000002</v>
      </c>
      <c r="Y10" s="348" t="e">
        <f>_xll.qlSimpleQuoteSetValue(F10,X10/100,Trigger)</f>
        <v>#N/A</v>
      </c>
      <c r="Z10" s="218"/>
      <c r="AB10" s="494"/>
      <c r="AF10" s="382">
        <f t="shared" si="2"/>
        <v>9.999999999999998E-4</v>
      </c>
    </row>
    <row r="11" spans="1:32" x14ac:dyDescent="0.2">
      <c r="A11" s="118"/>
      <c r="B11" s="194"/>
      <c r="C11" s="193">
        <v>8</v>
      </c>
      <c r="D11" s="192" t="s">
        <v>205</v>
      </c>
      <c r="E11" s="73" t="str">
        <f t="shared" si="0"/>
        <v>GBP8X1S_Quote</v>
      </c>
      <c r="F11" s="73" t="str">
        <f>_xll.qlSimpleQuote(Currency&amp;$C11&amp;$D11&amp;$B11&amp;QuoteSuffix,,RateTickValue,Permanent,Trigger,ObjectOverwrite)</f>
        <v>GBP8X1S_Quote#0000</v>
      </c>
      <c r="G11" s="191" t="str">
        <f>_xll.ohRangeRetrieveError(F11)</f>
        <v/>
      </c>
      <c r="H11" s="33"/>
      <c r="J11" s="118"/>
      <c r="K11" s="394"/>
      <c r="L11" s="400">
        <v>8</v>
      </c>
      <c r="M11" s="400" t="s">
        <v>205</v>
      </c>
      <c r="N11" s="353" t="str">
        <f t="shared" si="1"/>
        <v>GBP8X1S</v>
      </c>
      <c r="O11" s="353" t="str">
        <v>GBP8X1S=ICAP</v>
      </c>
      <c r="P11" s="401">
        <v>0.43125000000000002</v>
      </c>
      <c r="Q11" s="401">
        <v>0.53125</v>
      </c>
      <c r="R11" s="401">
        <v>0</v>
      </c>
      <c r="S11" s="401">
        <v>0</v>
      </c>
      <c r="T11" s="498">
        <f>_xll.qlMidSafe($P11,$Q11)</f>
        <v>0.48125000000000001</v>
      </c>
      <c r="U11" s="343"/>
      <c r="V11" s="497">
        <v>0.46500000000000002</v>
      </c>
      <c r="W11" s="343"/>
      <c r="X11" s="595">
        <v>0.46500000000000002</v>
      </c>
      <c r="Y11" s="348" t="e">
        <f>_xll.qlSimpleQuoteSetValue(F11,X11/100,Trigger)</f>
        <v>#N/A</v>
      </c>
      <c r="Z11" s="218"/>
      <c r="AB11" s="494"/>
      <c r="AF11" s="382">
        <f t="shared" si="2"/>
        <v>9.999999999999998E-4</v>
      </c>
    </row>
    <row r="12" spans="1:32" x14ac:dyDescent="0.2">
      <c r="A12" s="118"/>
      <c r="B12" s="194"/>
      <c r="C12" s="193">
        <v>9</v>
      </c>
      <c r="D12" s="192" t="s">
        <v>205</v>
      </c>
      <c r="E12" s="73" t="str">
        <f t="shared" si="0"/>
        <v>GBP9X1S_Quote</v>
      </c>
      <c r="F12" s="73" t="str">
        <f>_xll.qlSimpleQuote(Currency&amp;$C12&amp;$D12&amp;$B12&amp;QuoteSuffix,,RateTickValue,Permanent,Trigger,ObjectOverwrite)</f>
        <v>GBP9X1S_Quote#0000</v>
      </c>
      <c r="G12" s="191" t="str">
        <f>_xll.ohRangeRetrieveError(F12)</f>
        <v/>
      </c>
      <c r="H12" s="33"/>
      <c r="J12" s="118"/>
      <c r="K12" s="394"/>
      <c r="L12" s="400">
        <v>9</v>
      </c>
      <c r="M12" s="400" t="s">
        <v>205</v>
      </c>
      <c r="N12" s="353" t="str">
        <f t="shared" si="1"/>
        <v>GBP9X1S</v>
      </c>
      <c r="O12" s="353" t="str">
        <v>GBP9X1S=ICAP</v>
      </c>
      <c r="P12" s="401">
        <v>0.43125000000000002</v>
      </c>
      <c r="Q12" s="401">
        <v>0.53125</v>
      </c>
      <c r="R12" s="401">
        <v>0</v>
      </c>
      <c r="S12" s="401">
        <v>0</v>
      </c>
      <c r="T12" s="498">
        <f>_xll.qlMidSafe($P12,$Q12)</f>
        <v>0.48125000000000001</v>
      </c>
      <c r="U12" s="343"/>
      <c r="V12" s="497">
        <v>0.46</v>
      </c>
      <c r="W12" s="343"/>
      <c r="X12" s="595">
        <v>0.46</v>
      </c>
      <c r="Y12" s="348" t="e">
        <f>_xll.qlSimpleQuoteSetValue(F12,X12/100,Trigger)</f>
        <v>#N/A</v>
      </c>
      <c r="Z12" s="218"/>
      <c r="AB12" s="494"/>
      <c r="AF12" s="382">
        <f t="shared" si="2"/>
        <v>9.999999999999998E-4</v>
      </c>
    </row>
    <row r="13" spans="1:32" x14ac:dyDescent="0.2">
      <c r="A13" s="118"/>
      <c r="B13" s="194"/>
      <c r="C13" s="193">
        <v>10</v>
      </c>
      <c r="D13" s="192" t="s">
        <v>205</v>
      </c>
      <c r="E13" s="73" t="str">
        <f t="shared" si="0"/>
        <v>GBP10X1S_Quote</v>
      </c>
      <c r="F13" s="73" t="str">
        <f>_xll.qlSimpleQuote(Currency&amp;$C13&amp;$D13&amp;$B13&amp;QuoteSuffix,,RateTickValue,Permanent,Trigger,ObjectOverwrite)</f>
        <v>GBP10X1S_Quote#0000</v>
      </c>
      <c r="G13" s="191" t="str">
        <f>_xll.ohRangeRetrieveError(F13)</f>
        <v/>
      </c>
      <c r="H13" s="33"/>
      <c r="J13" s="118"/>
      <c r="K13" s="394"/>
      <c r="L13" s="400">
        <v>10</v>
      </c>
      <c r="M13" s="400" t="s">
        <v>205</v>
      </c>
      <c r="N13" s="353" t="str">
        <f t="shared" si="1"/>
        <v>GBP10X1S</v>
      </c>
      <c r="O13" s="353" t="str">
        <v>GBP10X1S=ICAP</v>
      </c>
      <c r="P13" s="401">
        <v>0.43</v>
      </c>
      <c r="Q13" s="401">
        <v>0.53</v>
      </c>
      <c r="R13" s="401">
        <v>0</v>
      </c>
      <c r="S13" s="401">
        <v>0</v>
      </c>
      <c r="T13" s="498">
        <f>_xll.qlMidSafe($P13,$Q13)</f>
        <v>0.48</v>
      </c>
      <c r="U13" s="343"/>
      <c r="V13" s="497">
        <v>0.46</v>
      </c>
      <c r="W13" s="343"/>
      <c r="X13" s="595">
        <v>0.46</v>
      </c>
      <c r="Y13" s="348" t="e">
        <f>_xll.qlSimpleQuoteSetValue(F13,X13/100,Trigger)</f>
        <v>#N/A</v>
      </c>
      <c r="Z13" s="218"/>
      <c r="AB13" s="494"/>
      <c r="AF13" s="382">
        <f t="shared" si="2"/>
        <v>1.0000000000000009E-3</v>
      </c>
    </row>
    <row r="14" spans="1:32" x14ac:dyDescent="0.2">
      <c r="A14" s="118"/>
      <c r="B14" s="194"/>
      <c r="C14" s="193">
        <v>11</v>
      </c>
      <c r="D14" s="192" t="s">
        <v>205</v>
      </c>
      <c r="E14" s="73" t="str">
        <f t="shared" si="0"/>
        <v>GBP11X1S_Quote</v>
      </c>
      <c r="F14" s="73" t="str">
        <f>_xll.qlSimpleQuote(Currency&amp;$C14&amp;$D14&amp;$B14&amp;QuoteSuffix,,RateTickValue,Permanent,Trigger,ObjectOverwrite)</f>
        <v>GBP11X1S_Quote#0000</v>
      </c>
      <c r="G14" s="191" t="str">
        <f>_xll.ohRangeRetrieveError(F14)</f>
        <v/>
      </c>
      <c r="H14" s="33"/>
      <c r="J14" s="118"/>
      <c r="K14" s="394"/>
      <c r="L14" s="400">
        <v>11</v>
      </c>
      <c r="M14" s="400" t="s">
        <v>205</v>
      </c>
      <c r="N14" s="353" t="str">
        <f t="shared" si="1"/>
        <v>GBP11X1S</v>
      </c>
      <c r="O14" s="353" t="str">
        <v>GBP11X1S=ICAP</v>
      </c>
      <c r="P14" s="401">
        <v>0.43</v>
      </c>
      <c r="Q14" s="401">
        <v>0.53</v>
      </c>
      <c r="R14" s="401">
        <v>0</v>
      </c>
      <c r="S14" s="401">
        <v>0</v>
      </c>
      <c r="T14" s="498">
        <f>_xll.qlMidSafe($P14,$Q14)</f>
        <v>0.48</v>
      </c>
      <c r="U14" s="343"/>
      <c r="V14" s="497">
        <v>0.46</v>
      </c>
      <c r="W14" s="343"/>
      <c r="X14" s="595">
        <v>0.46</v>
      </c>
      <c r="Y14" s="348" t="e">
        <f>_xll.qlSimpleQuoteSetValue(F14,X14/100,Trigger)</f>
        <v>#N/A</v>
      </c>
      <c r="Z14" s="218"/>
      <c r="AB14" s="494"/>
      <c r="AF14" s="382">
        <f t="shared" si="2"/>
        <v>1.0000000000000009E-3</v>
      </c>
    </row>
    <row r="15" spans="1:32" x14ac:dyDescent="0.2">
      <c r="A15" s="118"/>
      <c r="B15" s="194"/>
      <c r="C15" s="193">
        <v>12</v>
      </c>
      <c r="D15" s="192" t="s">
        <v>205</v>
      </c>
      <c r="E15" s="73" t="str">
        <f t="shared" si="0"/>
        <v>GBP12X1S_Quote</v>
      </c>
      <c r="F15" s="73" t="str">
        <f>_xll.qlSimpleQuote(Currency&amp;$C15&amp;$D15&amp;$B15&amp;QuoteSuffix,,RateTickValue,Permanent,Trigger,ObjectOverwrite)</f>
        <v>GBP12X1S_Quote#0000</v>
      </c>
      <c r="G15" s="191" t="str">
        <f>_xll.ohRangeRetrieveError(F15)</f>
        <v/>
      </c>
      <c r="H15" s="33"/>
      <c r="J15" s="118"/>
      <c r="K15" s="407"/>
      <c r="L15" s="396">
        <v>12</v>
      </c>
      <c r="M15" s="396" t="s">
        <v>205</v>
      </c>
      <c r="N15" s="346" t="str">
        <f t="shared" si="1"/>
        <v>GBP12X1S</v>
      </c>
      <c r="O15" s="346" t="str">
        <v>GBP12X1S=ICAP</v>
      </c>
      <c r="P15" s="397">
        <v>0.43125000000000002</v>
      </c>
      <c r="Q15" s="397">
        <v>0.53125</v>
      </c>
      <c r="R15" s="397">
        <v>0</v>
      </c>
      <c r="S15" s="397">
        <v>0</v>
      </c>
      <c r="T15" s="496">
        <f>_xll.qlMidSafe($P15,$Q15)</f>
        <v>0.48125000000000001</v>
      </c>
      <c r="U15" s="343"/>
      <c r="V15" s="495">
        <v>0.46</v>
      </c>
      <c r="W15" s="343"/>
      <c r="X15" s="596">
        <v>0.46</v>
      </c>
      <c r="Y15" s="340" t="e">
        <f>_xll.qlSimpleQuoteSetValue(F15,X15/100,Trigger)</f>
        <v>#N/A</v>
      </c>
      <c r="Z15" s="218"/>
      <c r="AB15" s="494"/>
      <c r="AF15" s="382">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84"/>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0</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GBP1S12_Quote#0000</v>
      </c>
      <c r="G5" s="8" t="str">
        <f>_xll.ohRangeRetrieveError(F5)</f>
        <v/>
      </c>
      <c r="H5" s="33"/>
      <c r="J5" s="118"/>
      <c r="K5" s="394"/>
      <c r="L5" s="400" t="s">
        <v>206</v>
      </c>
      <c r="M5" s="400">
        <v>12</v>
      </c>
      <c r="N5" s="353" t="str">
        <f t="shared" ref="N5:N11" si="1">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 t="shared" ref="X5:X11" si="2">$N5&amp;$Y$2</f>
        <v>GBP1S12_Quote</v>
      </c>
      <c r="Y5" s="349">
        <f t="array" ref="Y5:Y11">QuoteLive</f>
        <v>0.53500000000000003</v>
      </c>
      <c r="Z5" s="348" t="e">
        <f>_xll.qlSimpleQuoteSetValue($X5,$Y5/100,Trigger)</f>
        <v>#NUM!</v>
      </c>
      <c r="AA5" s="218"/>
      <c r="AG5" s="382">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GBP2S12_Quote#0000</v>
      </c>
      <c r="G6" s="191" t="str">
        <f>_xll.ohRangeRetrieveError(F6)</f>
        <v/>
      </c>
      <c r="H6" s="33"/>
      <c r="J6" s="118"/>
      <c r="K6" s="394"/>
      <c r="L6" s="400" t="s">
        <v>207</v>
      </c>
      <c r="M6" s="400">
        <v>12</v>
      </c>
      <c r="N6" s="353" t="str">
        <f t="shared" si="1"/>
        <v>GBP2S12</v>
      </c>
      <c r="O6" s="353" t="str">
        <v>GBP2S12=ICAP</v>
      </c>
      <c r="P6" s="401">
        <v>0.54500000000000004</v>
      </c>
      <c r="Q6" s="401">
        <v>0.56499999999999995</v>
      </c>
      <c r="R6" s="401">
        <v>0</v>
      </c>
      <c r="S6" s="401">
        <v>0</v>
      </c>
      <c r="T6" s="498">
        <f>_xll.qlMidSafe($P6,$Q6)</f>
        <v>0.55499999999999994</v>
      </c>
      <c r="U6" s="343"/>
      <c r="V6" s="497">
        <v>0.51</v>
      </c>
      <c r="W6" s="343"/>
      <c r="X6" s="394" t="str">
        <f t="shared" si="2"/>
        <v>GBP2S12_Quote</v>
      </c>
      <c r="Y6" s="349">
        <v>0.55499999999999994</v>
      </c>
      <c r="Z6" s="348" t="e">
        <f>_xll.qlSimpleQuoteSetValue($X6,$Y6/100,Trigger)</f>
        <v>#NUM!</v>
      </c>
      <c r="AA6" s="218"/>
      <c r="AG6" s="382">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GBP3S12_Quote#0000</v>
      </c>
      <c r="G7" s="191" t="str">
        <f>_xll.ohRangeRetrieveError(F7)</f>
        <v/>
      </c>
      <c r="H7" s="33"/>
      <c r="J7" s="118"/>
      <c r="K7" s="394"/>
      <c r="L7" s="400" t="s">
        <v>209</v>
      </c>
      <c r="M7" s="400">
        <v>12</v>
      </c>
      <c r="N7" s="353" t="str">
        <f t="shared" si="1"/>
        <v>GBP3S12</v>
      </c>
      <c r="O7" s="353" t="str">
        <v>GBP3S12=ICAP</v>
      </c>
      <c r="P7" s="401">
        <v>0.56999999999999995</v>
      </c>
      <c r="Q7" s="401">
        <v>0.59</v>
      </c>
      <c r="R7" s="401">
        <v>0</v>
      </c>
      <c r="S7" s="401">
        <v>0</v>
      </c>
      <c r="T7" s="498">
        <f>_xll.qlMidSafe($P7,$Q7)</f>
        <v>0.57999999999999996</v>
      </c>
      <c r="U7" s="343"/>
      <c r="V7" s="497">
        <v>0.52</v>
      </c>
      <c r="W7" s="343"/>
      <c r="X7" s="394" t="str">
        <f t="shared" si="2"/>
        <v>GBP3S12_Quote</v>
      </c>
      <c r="Y7" s="349">
        <v>0.57999999999999996</v>
      </c>
      <c r="Z7" s="348" t="e">
        <f>_xll.qlSimpleQuoteSetValue($X7,$Y7/100,Trigger)</f>
        <v>#NUM!</v>
      </c>
      <c r="AA7" s="218"/>
      <c r="AG7" s="382">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GBP4S12_Quote#0000</v>
      </c>
      <c r="G8" s="191" t="str">
        <f>_xll.ohRangeRetrieveError(F8)</f>
        <v/>
      </c>
      <c r="H8" s="33"/>
      <c r="J8" s="118"/>
      <c r="K8" s="394"/>
      <c r="L8" s="400" t="s">
        <v>208</v>
      </c>
      <c r="M8" s="400">
        <v>12</v>
      </c>
      <c r="N8" s="353" t="str">
        <f t="shared" si="1"/>
        <v>GBP4S12</v>
      </c>
      <c r="O8" s="353" t="str">
        <v>GBP4S12=ICAP</v>
      </c>
      <c r="P8" s="401">
        <v>0.61</v>
      </c>
      <c r="Q8" s="401">
        <v>0.63</v>
      </c>
      <c r="R8" s="401">
        <v>0</v>
      </c>
      <c r="S8" s="401">
        <v>0</v>
      </c>
      <c r="T8" s="498">
        <f>_xll.qlMidSafe($P8,$Q8)</f>
        <v>0.62</v>
      </c>
      <c r="U8" s="343"/>
      <c r="V8" s="497">
        <v>0.54</v>
      </c>
      <c r="W8" s="343"/>
      <c r="X8" s="394" t="str">
        <f t="shared" si="2"/>
        <v>GBP4S12_Quote</v>
      </c>
      <c r="Y8" s="349">
        <v>0.62</v>
      </c>
      <c r="Z8" s="348" t="e">
        <f>_xll.qlSimpleQuoteSetValue($X8,$Y8/100,Trigger)</f>
        <v>#NUM!</v>
      </c>
      <c r="AA8" s="218"/>
      <c r="AG8" s="382">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GBP1S24_Quote#0000</v>
      </c>
      <c r="G9" s="191" t="str">
        <f>_xll.ohRangeRetrieveError(F9)</f>
        <v/>
      </c>
      <c r="H9" s="33"/>
      <c r="J9" s="118"/>
      <c r="K9" s="394"/>
      <c r="L9" s="400" t="s">
        <v>206</v>
      </c>
      <c r="M9" s="400">
        <v>24</v>
      </c>
      <c r="N9" s="353" t="str">
        <f t="shared" si="1"/>
        <v>GBP1S24</v>
      </c>
      <c r="O9" s="353" t="str">
        <v>GBP1S24=ICAP</v>
      </c>
      <c r="P9" s="401">
        <v>0.59</v>
      </c>
      <c r="Q9" s="401">
        <v>0.61</v>
      </c>
      <c r="R9" s="401">
        <v>0</v>
      </c>
      <c r="S9" s="401">
        <v>0</v>
      </c>
      <c r="T9" s="498">
        <f>_xll.qlMidSafe($P9,$Q9)</f>
        <v>0.6</v>
      </c>
      <c r="U9" s="343"/>
      <c r="V9" s="497">
        <v>0.53500000000000003</v>
      </c>
      <c r="W9" s="343"/>
      <c r="X9" s="394" t="str">
        <f t="shared" si="2"/>
        <v>GBP1S24_Quote</v>
      </c>
      <c r="Y9" s="349">
        <v>0.6</v>
      </c>
      <c r="Z9" s="348" t="e">
        <f>_xll.qlSimpleQuoteSetValue($X9,$Y9/100,Trigger)</f>
        <v>#NUM!</v>
      </c>
      <c r="AA9" s="218"/>
      <c r="AG9" s="382">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GBP2S24_Quote#0000</v>
      </c>
      <c r="G10" s="191" t="str">
        <f>_xll.ohRangeRetrieveError(F10)</f>
        <v/>
      </c>
      <c r="H10" s="33"/>
      <c r="J10" s="118"/>
      <c r="K10" s="394"/>
      <c r="L10" s="400" t="s">
        <v>207</v>
      </c>
      <c r="M10" s="400">
        <v>24</v>
      </c>
      <c r="N10" s="353" t="str">
        <f t="shared" si="1"/>
        <v>GBP2S24</v>
      </c>
      <c r="O10" s="353" t="str">
        <v>GBP2S24=ICAP</v>
      </c>
      <c r="P10" s="401">
        <v>0.63</v>
      </c>
      <c r="Q10" s="401">
        <v>0.65</v>
      </c>
      <c r="R10" s="401">
        <v>0</v>
      </c>
      <c r="S10" s="401">
        <v>0</v>
      </c>
      <c r="T10" s="498">
        <f>_xll.qlMidSafe($P10,$Q10)</f>
        <v>0.64</v>
      </c>
      <c r="U10" s="343"/>
      <c r="V10" s="497">
        <v>0.55500000000000005</v>
      </c>
      <c r="W10" s="343"/>
      <c r="X10" s="394" t="str">
        <f t="shared" si="2"/>
        <v>GBP2S24_Quote</v>
      </c>
      <c r="Y10" s="349">
        <v>0.64</v>
      </c>
      <c r="Z10" s="348" t="e">
        <f>_xll.qlSimpleQuoteSetValue($X10,$Y10/100,Trigger)</f>
        <v>#NUM!</v>
      </c>
      <c r="AA10" s="218"/>
      <c r="AG10" s="382">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GBP1S36_Quote#0000</v>
      </c>
      <c r="G11" s="191" t="str">
        <f>_xll.ohRangeRetrieveError(F11)</f>
        <v/>
      </c>
      <c r="H11" s="33"/>
      <c r="J11" s="118"/>
      <c r="K11" s="407"/>
      <c r="L11" s="396" t="s">
        <v>206</v>
      </c>
      <c r="M11" s="396">
        <v>36</v>
      </c>
      <c r="N11" s="346" t="str">
        <f t="shared" si="1"/>
        <v>GBP1S36</v>
      </c>
      <c r="O11" s="346" t="str">
        <v>GBP1S36=ICAP</v>
      </c>
      <c r="P11" s="397" t="s">
        <v>233</v>
      </c>
      <c r="Q11" s="397" t="s">
        <v>233</v>
      </c>
      <c r="R11" s="397" t="s">
        <v>233</v>
      </c>
      <c r="S11" s="397" t="s">
        <v>233</v>
      </c>
      <c r="T11" s="496" t="e">
        <f>_xll.qlMidSafe($P11,$Q11)</f>
        <v>#NUM!</v>
      </c>
      <c r="U11" s="343"/>
      <c r="V11" s="495" t="e">
        <v>#NUM!</v>
      </c>
      <c r="W11" s="343"/>
      <c r="X11" s="407" t="str">
        <f t="shared" si="2"/>
        <v>GBP1S36_Quote</v>
      </c>
      <c r="Y11" s="341" t="e">
        <v>#NUM!</v>
      </c>
      <c r="Z11" s="340" t="e">
        <f>_xll.qlSimpleQuoteSetValue($X11,$Y11/100,Trigger)</f>
        <v>#NUM!</v>
      </c>
      <c r="AA11" s="218"/>
      <c r="AG11" s="382"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0</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 t="shared" ref="R5:R42" si="0">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 t="shared" ref="AB5:AB42" si="1">$R5&amp;$AC$2</f>
        <v>GBPAM3L6M_Quote</v>
      </c>
      <c r="AC5" s="349">
        <f t="array" ref="AC5:AC42">QuoteLive</f>
        <v>0.51624999999999999</v>
      </c>
      <c r="AD5" s="348" t="e">
        <f>_xll.qlSimpleQuoteSetValue($AB5,$AC5/100,Trigger)</f>
        <v>#NUM!</v>
      </c>
      <c r="AE5" s="218"/>
      <c r="AF5" s="64"/>
      <c r="AG5" s="506" t="s">
        <v>121</v>
      </c>
      <c r="AH5" s="85" t="s">
        <v>212</v>
      </c>
      <c r="AI5" s="84" t="s">
        <v>114</v>
      </c>
      <c r="AJ5" s="64"/>
      <c r="AK5" s="382">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GBPAM3L1Y_Quote#0000</v>
      </c>
      <c r="G6" s="8" t="str">
        <f>_xll.ohRangeRetrieveError(F6)</f>
        <v/>
      </c>
      <c r="H6" s="33"/>
      <c r="J6" s="207" t="s">
        <v>121</v>
      </c>
      <c r="K6" s="82" t="s">
        <v>212</v>
      </c>
      <c r="L6" s="81" t="s">
        <v>114</v>
      </c>
      <c r="N6" s="118"/>
      <c r="O6" s="354" t="s">
        <v>1</v>
      </c>
      <c r="P6" s="400" t="str">
        <v>AM</v>
      </c>
      <c r="Q6" s="400" t="str">
        <v>3L</v>
      </c>
      <c r="R6" s="400" t="str">
        <f t="shared" si="0"/>
        <v>GBPAM3L1Y</v>
      </c>
      <c r="S6" s="400" t="str">
        <v>GBPAM3L1Y=ICAP</v>
      </c>
      <c r="T6" s="401">
        <v>0.51500000000000001</v>
      </c>
      <c r="U6" s="401">
        <v>0.54500000000000004</v>
      </c>
      <c r="V6" s="401">
        <v>0</v>
      </c>
      <c r="W6" s="401">
        <v>0</v>
      </c>
      <c r="X6" s="352">
        <f>_xll.qlMidSafe($T6,$U6)</f>
        <v>0.53</v>
      </c>
      <c r="Y6" s="343"/>
      <c r="Z6" s="351">
        <v>0.51</v>
      </c>
      <c r="AA6" s="343"/>
      <c r="AB6" s="394" t="str">
        <f t="shared" si="1"/>
        <v>GBPAM3L1Y_Quote</v>
      </c>
      <c r="AC6" s="349">
        <v>0.53</v>
      </c>
      <c r="AD6" s="348" t="e">
        <f>_xll.qlSimpleQuoteSetValue($AB6,$AC6/100,Trigger)</f>
        <v>#NUM!</v>
      </c>
      <c r="AE6" s="218"/>
      <c r="AF6" s="64"/>
      <c r="AG6" s="207" t="s">
        <v>120</v>
      </c>
      <c r="AH6" s="82" t="s">
        <v>212</v>
      </c>
      <c r="AI6" s="81" t="s">
        <v>126</v>
      </c>
      <c r="AJ6" s="64"/>
      <c r="AK6" s="382">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GBPAM3L15M_Quote#0000</v>
      </c>
      <c r="G7" s="191" t="str">
        <f>_xll.ohRangeRetrieveError(F7)</f>
        <v/>
      </c>
      <c r="H7" s="33"/>
      <c r="J7" s="207" t="s">
        <v>120</v>
      </c>
      <c r="K7" s="82" t="s">
        <v>212</v>
      </c>
      <c r="L7" s="81" t="s">
        <v>126</v>
      </c>
      <c r="N7" s="118"/>
      <c r="O7" s="354" t="s">
        <v>124</v>
      </c>
      <c r="P7" s="400" t="str">
        <v>AM</v>
      </c>
      <c r="Q7" s="400" t="str">
        <v>3L</v>
      </c>
      <c r="R7" s="400" t="str">
        <f t="shared" si="0"/>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 t="shared" si="1"/>
        <v>GBPAM3L15M_Quote</v>
      </c>
      <c r="AC7" s="349">
        <v>0.53875000000000006</v>
      </c>
      <c r="AD7" s="348" t="e">
        <f>_xll.qlSimpleQuoteSetValue($AB7,$AC7/100,Trigger)</f>
        <v>#NUM!</v>
      </c>
      <c r="AE7" s="218"/>
      <c r="AF7" s="64"/>
      <c r="AG7" s="207" t="s">
        <v>96</v>
      </c>
      <c r="AH7" s="82" t="s">
        <v>210</v>
      </c>
      <c r="AI7" s="81" t="s">
        <v>114</v>
      </c>
      <c r="AJ7" s="64"/>
      <c r="AK7" s="382">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GBPAM3L18M_Quote#0000</v>
      </c>
      <c r="G8" s="191" t="str">
        <f>_xll.ohRangeRetrieveError(F8)</f>
        <v/>
      </c>
      <c r="H8" s="33"/>
      <c r="J8" s="207" t="s">
        <v>96</v>
      </c>
      <c r="K8" s="82" t="s">
        <v>210</v>
      </c>
      <c r="L8" s="81" t="s">
        <v>114</v>
      </c>
      <c r="N8" s="118"/>
      <c r="O8" s="354" t="s">
        <v>123</v>
      </c>
      <c r="P8" s="400" t="str">
        <v>AM</v>
      </c>
      <c r="Q8" s="400" t="str">
        <v>3L</v>
      </c>
      <c r="R8" s="400" t="str">
        <f t="shared" si="0"/>
        <v>GBPAM3L18M</v>
      </c>
      <c r="S8" s="400" t="str">
        <v>GBPAM3L18M=ICAP</v>
      </c>
      <c r="T8" s="401">
        <v>0.53625</v>
      </c>
      <c r="U8" s="401">
        <v>0.56625000000000003</v>
      </c>
      <c r="V8" s="401">
        <v>0</v>
      </c>
      <c r="W8" s="401">
        <v>0</v>
      </c>
      <c r="X8" s="352">
        <f>_xll.qlMidSafe($T8,$U8)</f>
        <v>0.55125000000000002</v>
      </c>
      <c r="Y8" s="343"/>
      <c r="Z8" s="351">
        <v>0.51749999999999996</v>
      </c>
      <c r="AA8" s="343"/>
      <c r="AB8" s="394" t="str">
        <f t="shared" si="1"/>
        <v>GBPAM3L18M_Quote</v>
      </c>
      <c r="AC8" s="349">
        <v>0.55125000000000002</v>
      </c>
      <c r="AD8" s="348" t="e">
        <f>_xll.qlSimpleQuoteSetValue($AB8,$AC8/100,Trigger)</f>
        <v>#NUM!</v>
      </c>
      <c r="AE8" s="218"/>
      <c r="AF8" s="64"/>
      <c r="AG8" s="207" t="s">
        <v>230</v>
      </c>
      <c r="AH8" s="82" t="s">
        <v>315</v>
      </c>
      <c r="AI8" s="81" t="s">
        <v>314</v>
      </c>
      <c r="AJ8" s="64"/>
      <c r="AK8" s="382">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GBPAM3L21M_Quote#0000</v>
      </c>
      <c r="G9" s="191" t="str">
        <f>_xll.ohRangeRetrieveError(F9)</f>
        <v/>
      </c>
      <c r="H9" s="33"/>
      <c r="J9" s="207" t="s">
        <v>117</v>
      </c>
      <c r="K9" s="82" t="s">
        <v>211</v>
      </c>
      <c r="L9" s="81" t="s">
        <v>114</v>
      </c>
      <c r="N9" s="118"/>
      <c r="O9" s="354" t="s">
        <v>122</v>
      </c>
      <c r="P9" s="400" t="str">
        <v>AM</v>
      </c>
      <c r="Q9" s="400" t="str">
        <v>3L</v>
      </c>
      <c r="R9" s="400" t="str">
        <f t="shared" si="0"/>
        <v>GBPAM3L21M</v>
      </c>
      <c r="S9" s="400" t="str">
        <v>GBPAM3L21M=ICAP</v>
      </c>
      <c r="T9" s="401" t="s">
        <v>233</v>
      </c>
      <c r="U9" s="401" t="s">
        <v>233</v>
      </c>
      <c r="V9" s="401" t="s">
        <v>233</v>
      </c>
      <c r="W9" s="401" t="s">
        <v>233</v>
      </c>
      <c r="X9" s="352" t="e">
        <f>_xll.qlMidSafe($T9,$U9)</f>
        <v>#NUM!</v>
      </c>
      <c r="Y9" s="343"/>
      <c r="Z9" s="351" t="e">
        <v>#NUM!</v>
      </c>
      <c r="AA9" s="343"/>
      <c r="AB9" s="394" t="str">
        <f t="shared" si="1"/>
        <v>GBPAM3L21M_Quote</v>
      </c>
      <c r="AC9" s="349" t="e">
        <v>#NUM!</v>
      </c>
      <c r="AD9" s="348" t="e">
        <f>_xll.qlSimpleQuoteSetValue($AB9,$AC9/100,Trigger)</f>
        <v>#NUM!</v>
      </c>
      <c r="AE9" s="218"/>
      <c r="AF9" s="64"/>
      <c r="AG9" s="207" t="s">
        <v>117</v>
      </c>
      <c r="AH9" s="82" t="s">
        <v>211</v>
      </c>
      <c r="AI9" s="81" t="s">
        <v>114</v>
      </c>
      <c r="AJ9" s="64"/>
      <c r="AK9" s="382"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GBPAM3L2Y_Quote#0000</v>
      </c>
      <c r="G10" s="191" t="str">
        <f>_xll.ohRangeRetrieveError(F10)</f>
        <v/>
      </c>
      <c r="H10" s="33"/>
      <c r="J10" s="206" t="s">
        <v>115</v>
      </c>
      <c r="K10" s="79" t="s">
        <v>210</v>
      </c>
      <c r="L10" s="78" t="s">
        <v>114</v>
      </c>
      <c r="N10" s="118"/>
      <c r="O10" s="354" t="s">
        <v>85</v>
      </c>
      <c r="P10" s="400" t="str">
        <v>AM</v>
      </c>
      <c r="Q10" s="400" t="str">
        <v>3L</v>
      </c>
      <c r="R10" s="400" t="str">
        <f t="shared" si="0"/>
        <v>GBPAM3L2Y</v>
      </c>
      <c r="S10" s="400" t="str">
        <v>GBPAM3L2Y=ICAP</v>
      </c>
      <c r="T10" s="401" t="s">
        <v>233</v>
      </c>
      <c r="U10" s="401" t="s">
        <v>233</v>
      </c>
      <c r="V10" s="401" t="s">
        <v>233</v>
      </c>
      <c r="W10" s="401" t="s">
        <v>233</v>
      </c>
      <c r="X10" s="352" t="e">
        <f>_xll.qlMidSafe($T10,$U10)</f>
        <v>#NUM!</v>
      </c>
      <c r="Y10" s="343"/>
      <c r="Z10" s="351" t="e">
        <v>#NUM!</v>
      </c>
      <c r="AA10" s="343"/>
      <c r="AB10" s="394" t="str">
        <f t="shared" si="1"/>
        <v>GBPAM3L2Y_Quote</v>
      </c>
      <c r="AC10" s="349" t="e">
        <v>#NUM!</v>
      </c>
      <c r="AD10" s="348" t="e">
        <f>_xll.qlSimpleQuoteSetValue($AB10,$AC10/100,Trigger)</f>
        <v>#NUM!</v>
      </c>
      <c r="AE10" s="218"/>
      <c r="AF10" s="64"/>
      <c r="AG10" s="206" t="s">
        <v>115</v>
      </c>
      <c r="AH10" s="79" t="s">
        <v>210</v>
      </c>
      <c r="AI10" s="78" t="s">
        <v>114</v>
      </c>
      <c r="AJ10" s="64"/>
      <c r="AK10" s="382"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GBPAM3L3Y_Quote#0000</v>
      </c>
      <c r="G11" s="191" t="str">
        <f>_xll.ohRangeRetrieveError(F11)</f>
        <v/>
      </c>
      <c r="H11" s="33"/>
      <c r="N11" s="118"/>
      <c r="O11" s="354" t="s">
        <v>84</v>
      </c>
      <c r="P11" s="504" t="str">
        <v>AM</v>
      </c>
      <c r="Q11" s="504" t="str">
        <v>3L</v>
      </c>
      <c r="R11" s="400" t="str">
        <f t="shared" si="0"/>
        <v>GBPAM3L3Y</v>
      </c>
      <c r="S11" s="400" t="str">
        <v>GBPAM3L3Y=ICAP</v>
      </c>
      <c r="T11" s="401" t="s">
        <v>233</v>
      </c>
      <c r="U11" s="401" t="s">
        <v>233</v>
      </c>
      <c r="V11" s="401" t="s">
        <v>233</v>
      </c>
      <c r="W11" s="401" t="s">
        <v>233</v>
      </c>
      <c r="X11" s="352" t="e">
        <f>_xll.qlMidSafe($T11,$U11)</f>
        <v>#NUM!</v>
      </c>
      <c r="Y11" s="343"/>
      <c r="Z11" s="351" t="e">
        <v>#NUM!</v>
      </c>
      <c r="AA11" s="343"/>
      <c r="AB11" s="394" t="str">
        <f t="shared" si="1"/>
        <v>GBPAM3L3Y_Quote</v>
      </c>
      <c r="AC11" s="349" t="e">
        <v>#NUM!</v>
      </c>
      <c r="AD11" s="348" t="e">
        <f>_xll.qlSimpleQuoteSetValue($AB11,$AC11/100,Trigger)</f>
        <v>#NUM!</v>
      </c>
      <c r="AE11" s="218"/>
      <c r="AF11" s="64"/>
      <c r="AG11" s="64"/>
      <c r="AH11" s="64"/>
      <c r="AI11" s="64"/>
      <c r="AJ11" s="64"/>
      <c r="AK11" s="382"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GBPAM3L4Y_Quote#0000</v>
      </c>
      <c r="G12" s="191" t="str">
        <f>_xll.ohRangeRetrieveError(F12)</f>
        <v/>
      </c>
      <c r="H12" s="33"/>
      <c r="N12" s="118"/>
      <c r="O12" s="354" t="s">
        <v>83</v>
      </c>
      <c r="P12" s="504" t="str">
        <v>AM</v>
      </c>
      <c r="Q12" s="504" t="str">
        <v>3L</v>
      </c>
      <c r="R12" s="400" t="str">
        <f t="shared" si="0"/>
        <v>GBPAM3L4Y</v>
      </c>
      <c r="S12" s="400" t="str">
        <v>GBPAM3L4Y=ICAP</v>
      </c>
      <c r="T12" s="401" t="s">
        <v>233</v>
      </c>
      <c r="U12" s="401" t="s">
        <v>233</v>
      </c>
      <c r="V12" s="401" t="s">
        <v>233</v>
      </c>
      <c r="W12" s="401" t="s">
        <v>233</v>
      </c>
      <c r="X12" s="352" t="e">
        <f>_xll.qlMidSafe($T12,$U12)</f>
        <v>#NUM!</v>
      </c>
      <c r="Y12" s="343"/>
      <c r="Z12" s="351" t="e">
        <v>#NUM!</v>
      </c>
      <c r="AA12" s="343"/>
      <c r="AB12" s="394" t="str">
        <f t="shared" si="1"/>
        <v>GBPAM3L4Y_Quote</v>
      </c>
      <c r="AC12" s="349" t="e">
        <v>#NUM!</v>
      </c>
      <c r="AD12" s="348" t="e">
        <f>_xll.qlSimpleQuoteSetValue($AB12,$AC12/100,Trigger)</f>
        <v>#NUM!</v>
      </c>
      <c r="AE12" s="218"/>
      <c r="AF12" s="64"/>
      <c r="AG12" s="64"/>
      <c r="AH12" s="64"/>
      <c r="AI12" s="64"/>
      <c r="AJ12" s="64"/>
      <c r="AK12" s="382"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GBPAM3L5Y_Quote#0000</v>
      </c>
      <c r="G13" s="191" t="str">
        <f>_xll.ohRangeRetrieveError(F13)</f>
        <v/>
      </c>
      <c r="H13" s="33"/>
      <c r="N13" s="118"/>
      <c r="O13" s="354" t="s">
        <v>82</v>
      </c>
      <c r="P13" s="504" t="str">
        <v>AM</v>
      </c>
      <c r="Q13" s="504" t="str">
        <v>3L</v>
      </c>
      <c r="R13" s="400" t="str">
        <f t="shared" si="0"/>
        <v>GBPAM3L5Y</v>
      </c>
      <c r="S13" s="400" t="str">
        <v>GBPAM3L5Y=ICAP</v>
      </c>
      <c r="T13" s="401" t="s">
        <v>233</v>
      </c>
      <c r="U13" s="401" t="s">
        <v>233</v>
      </c>
      <c r="V13" s="401" t="s">
        <v>233</v>
      </c>
      <c r="W13" s="401" t="s">
        <v>233</v>
      </c>
      <c r="X13" s="352" t="e">
        <f>_xll.qlMidSafe($T13,$U13)</f>
        <v>#NUM!</v>
      </c>
      <c r="Y13" s="343"/>
      <c r="Z13" s="351" t="e">
        <v>#NUM!</v>
      </c>
      <c r="AA13" s="343"/>
      <c r="AB13" s="394" t="str">
        <f t="shared" si="1"/>
        <v>GBPAM3L5Y_Quote</v>
      </c>
      <c r="AC13" s="349" t="e">
        <v>#NUM!</v>
      </c>
      <c r="AD13" s="348" t="e">
        <f>_xll.qlSimpleQuoteSetValue($AB13,$AC13/100,Trigger)</f>
        <v>#NUM!</v>
      </c>
      <c r="AE13" s="218"/>
      <c r="AF13" s="64"/>
      <c r="AG13" s="64"/>
      <c r="AH13" s="64"/>
      <c r="AI13" s="64"/>
      <c r="AJ13" s="64"/>
      <c r="AK13" s="382"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GBPAM3L6Y_Quote#0000</v>
      </c>
      <c r="G14" s="191" t="str">
        <f>_xll.ohRangeRetrieveError(F14)</f>
        <v/>
      </c>
      <c r="H14" s="33"/>
      <c r="N14" s="118"/>
      <c r="O14" s="354" t="s">
        <v>81</v>
      </c>
      <c r="P14" s="504" t="str">
        <v>AM</v>
      </c>
      <c r="Q14" s="504" t="str">
        <v>3L</v>
      </c>
      <c r="R14" s="400" t="str">
        <f t="shared" si="0"/>
        <v>GBPAM3L6Y</v>
      </c>
      <c r="S14" s="400" t="str">
        <v>GBPAM3L6Y=ICAP</v>
      </c>
      <c r="T14" s="401" t="s">
        <v>233</v>
      </c>
      <c r="U14" s="401" t="s">
        <v>233</v>
      </c>
      <c r="V14" s="401" t="s">
        <v>233</v>
      </c>
      <c r="W14" s="401" t="s">
        <v>233</v>
      </c>
      <c r="X14" s="352" t="e">
        <f>_xll.qlMidSafe($T14,$U14)</f>
        <v>#NUM!</v>
      </c>
      <c r="Y14" s="343"/>
      <c r="Z14" s="351" t="e">
        <v>#NUM!</v>
      </c>
      <c r="AA14" s="343"/>
      <c r="AB14" s="394" t="str">
        <f t="shared" si="1"/>
        <v>GBPAM3L6Y_Quote</v>
      </c>
      <c r="AC14" s="349" t="e">
        <v>#NUM!</v>
      </c>
      <c r="AD14" s="348" t="e">
        <f>_xll.qlSimpleQuoteSetValue($AB14,$AC14/100,Trigger)</f>
        <v>#NUM!</v>
      </c>
      <c r="AE14" s="218"/>
      <c r="AF14" s="64"/>
      <c r="AG14" s="64"/>
      <c r="AH14" s="64"/>
      <c r="AI14" s="64"/>
      <c r="AJ14" s="64"/>
      <c r="AK14" s="382"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GBPAM3L7Y_Quote#0000</v>
      </c>
      <c r="G15" s="191" t="str">
        <f>_xll.ohRangeRetrieveError(F15)</f>
        <v/>
      </c>
      <c r="H15" s="33"/>
      <c r="N15" s="118"/>
      <c r="O15" s="354" t="s">
        <v>80</v>
      </c>
      <c r="P15" s="504" t="str">
        <v>AM</v>
      </c>
      <c r="Q15" s="504" t="str">
        <v>3L</v>
      </c>
      <c r="R15" s="400" t="str">
        <f t="shared" si="0"/>
        <v>GBPAM3L7Y</v>
      </c>
      <c r="S15" s="400" t="str">
        <v>GBPAM3L7Y=ICAP</v>
      </c>
      <c r="T15" s="401" t="s">
        <v>233</v>
      </c>
      <c r="U15" s="401" t="s">
        <v>233</v>
      </c>
      <c r="V15" s="401" t="s">
        <v>233</v>
      </c>
      <c r="W15" s="401" t="s">
        <v>233</v>
      </c>
      <c r="X15" s="352" t="e">
        <f>_xll.qlMidSafe($T15,$U15)</f>
        <v>#NUM!</v>
      </c>
      <c r="Y15" s="343"/>
      <c r="Z15" s="351" t="e">
        <v>#NUM!</v>
      </c>
      <c r="AA15" s="343"/>
      <c r="AB15" s="394" t="str">
        <f t="shared" si="1"/>
        <v>GBPAM3L7Y_Quote</v>
      </c>
      <c r="AC15" s="349" t="e">
        <v>#NUM!</v>
      </c>
      <c r="AD15" s="348" t="e">
        <f>_xll.qlSimpleQuoteSetValue($AB15,$AC15/100,Trigger)</f>
        <v>#NUM!</v>
      </c>
      <c r="AE15" s="218"/>
      <c r="AF15" s="64"/>
      <c r="AG15" s="64"/>
      <c r="AH15" s="64"/>
      <c r="AI15" s="64"/>
      <c r="AJ15" s="64"/>
      <c r="AK15" s="382"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GBPAM3L8Y_Quote#0000</v>
      </c>
      <c r="G16" s="191" t="str">
        <f>_xll.ohRangeRetrieveError(F16)</f>
        <v/>
      </c>
      <c r="H16" s="33"/>
      <c r="N16" s="118"/>
      <c r="O16" s="354" t="s">
        <v>79</v>
      </c>
      <c r="P16" s="504" t="str">
        <v>AM</v>
      </c>
      <c r="Q16" s="504" t="str">
        <v>3L</v>
      </c>
      <c r="R16" s="400" t="str">
        <f t="shared" si="0"/>
        <v>GBPAM3L8Y</v>
      </c>
      <c r="S16" s="400" t="str">
        <v>GBPAM3L8Y=ICAP</v>
      </c>
      <c r="T16" s="401" t="s">
        <v>233</v>
      </c>
      <c r="U16" s="401" t="s">
        <v>233</v>
      </c>
      <c r="V16" s="401" t="s">
        <v>233</v>
      </c>
      <c r="W16" s="401" t="s">
        <v>233</v>
      </c>
      <c r="X16" s="352" t="e">
        <f>_xll.qlMidSafe($T16,$U16)</f>
        <v>#NUM!</v>
      </c>
      <c r="Y16" s="343"/>
      <c r="Z16" s="351" t="e">
        <v>#NUM!</v>
      </c>
      <c r="AA16" s="343"/>
      <c r="AB16" s="394" t="str">
        <f t="shared" si="1"/>
        <v>GBPAM3L8Y_Quote</v>
      </c>
      <c r="AC16" s="349" t="e">
        <v>#NUM!</v>
      </c>
      <c r="AD16" s="348" t="e">
        <f>_xll.qlSimpleQuoteSetValue($AB16,$AC16/100,Trigger)</f>
        <v>#NUM!</v>
      </c>
      <c r="AE16" s="218"/>
      <c r="AF16" s="64"/>
      <c r="AG16" s="64"/>
      <c r="AH16" s="64"/>
      <c r="AI16" s="64"/>
      <c r="AJ16" s="64"/>
      <c r="AK16" s="382"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GBPAM3L9Y_Quote#0000</v>
      </c>
      <c r="G17" s="191" t="str">
        <f>_xll.ohRangeRetrieveError(F17)</f>
        <v/>
      </c>
      <c r="H17" s="33"/>
      <c r="N17" s="118"/>
      <c r="O17" s="354" t="s">
        <v>78</v>
      </c>
      <c r="P17" s="504" t="str">
        <v>AM</v>
      </c>
      <c r="Q17" s="504" t="str">
        <v>3L</v>
      </c>
      <c r="R17" s="400" t="str">
        <f t="shared" si="0"/>
        <v>GBPAM3L9Y</v>
      </c>
      <c r="S17" s="400" t="str">
        <v>GBPAM3L9Y=ICAP</v>
      </c>
      <c r="T17" s="401" t="s">
        <v>233</v>
      </c>
      <c r="U17" s="401" t="s">
        <v>233</v>
      </c>
      <c r="V17" s="401" t="s">
        <v>233</v>
      </c>
      <c r="W17" s="401" t="s">
        <v>233</v>
      </c>
      <c r="X17" s="352" t="e">
        <f>_xll.qlMidSafe($T17,$U17)</f>
        <v>#NUM!</v>
      </c>
      <c r="Y17" s="343"/>
      <c r="Z17" s="351" t="e">
        <v>#NUM!</v>
      </c>
      <c r="AA17" s="343"/>
      <c r="AB17" s="394" t="str">
        <f t="shared" si="1"/>
        <v>GBPAM3L9Y_Quote</v>
      </c>
      <c r="AC17" s="349" t="e">
        <v>#NUM!</v>
      </c>
      <c r="AD17" s="348" t="e">
        <f>_xll.qlSimpleQuoteSetValue($AB17,$AC17/100,Trigger)</f>
        <v>#NUM!</v>
      </c>
      <c r="AE17" s="218"/>
      <c r="AF17" s="64"/>
      <c r="AG17" s="64"/>
      <c r="AH17" s="64"/>
      <c r="AI17" s="64"/>
      <c r="AJ17" s="64"/>
      <c r="AK17" s="382"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GBPAM3L10Y_Quote#0000</v>
      </c>
      <c r="G18" s="191" t="str">
        <f>_xll.ohRangeRetrieveError(F18)</f>
        <v/>
      </c>
      <c r="H18" s="33"/>
      <c r="N18" s="118"/>
      <c r="O18" s="354" t="s">
        <v>77</v>
      </c>
      <c r="P18" s="504" t="str">
        <v>AM</v>
      </c>
      <c r="Q18" s="504" t="str">
        <v>3L</v>
      </c>
      <c r="R18" s="400" t="str">
        <f t="shared" si="0"/>
        <v>GBPAM3L10Y</v>
      </c>
      <c r="S18" s="400" t="str">
        <v>GBPAM3L10Y=ICAP</v>
      </c>
      <c r="T18" s="401" t="s">
        <v>233</v>
      </c>
      <c r="U18" s="401" t="s">
        <v>233</v>
      </c>
      <c r="V18" s="401" t="s">
        <v>233</v>
      </c>
      <c r="W18" s="401" t="s">
        <v>233</v>
      </c>
      <c r="X18" s="352" t="e">
        <f>_xll.qlMidSafe($T18,$U18)</f>
        <v>#NUM!</v>
      </c>
      <c r="Y18" s="343"/>
      <c r="Z18" s="351" t="e">
        <v>#NUM!</v>
      </c>
      <c r="AA18" s="343"/>
      <c r="AB18" s="394" t="str">
        <f t="shared" si="1"/>
        <v>GBPAM3L10Y_Quote</v>
      </c>
      <c r="AC18" s="349" t="e">
        <v>#NUM!</v>
      </c>
      <c r="AD18" s="348" t="e">
        <f>_xll.qlSimpleQuoteSetValue($AB18,$AC18/100,Trigger)</f>
        <v>#NUM!</v>
      </c>
      <c r="AE18" s="218"/>
      <c r="AF18" s="64"/>
      <c r="AG18" s="64"/>
      <c r="AH18" s="64"/>
      <c r="AI18" s="64"/>
      <c r="AJ18" s="64"/>
      <c r="AK18" s="382"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GBPAM3L11Y_Quote#0000</v>
      </c>
      <c r="G19" s="191" t="str">
        <f>_xll.ohRangeRetrieveError(F19)</f>
        <v/>
      </c>
      <c r="H19" s="33"/>
      <c r="N19" s="118"/>
      <c r="O19" s="354" t="s">
        <v>76</v>
      </c>
      <c r="P19" s="504" t="str">
        <v>AM</v>
      </c>
      <c r="Q19" s="504" t="str">
        <v>3L</v>
      </c>
      <c r="R19" s="400" t="str">
        <f t="shared" si="0"/>
        <v>GBPAM3L11Y</v>
      </c>
      <c r="S19" s="400" t="str">
        <v>GBPAM3L11Y=ICAP</v>
      </c>
      <c r="T19" s="401" t="s">
        <v>233</v>
      </c>
      <c r="U19" s="401" t="s">
        <v>233</v>
      </c>
      <c r="V19" s="401" t="s">
        <v>233</v>
      </c>
      <c r="W19" s="401" t="s">
        <v>233</v>
      </c>
      <c r="X19" s="352" t="e">
        <f>_xll.qlMidSafe($T19,$U19)</f>
        <v>#NUM!</v>
      </c>
      <c r="Y19" s="343"/>
      <c r="Z19" s="351" t="e">
        <v>#NUM!</v>
      </c>
      <c r="AA19" s="343"/>
      <c r="AB19" s="394" t="str">
        <f t="shared" si="1"/>
        <v>GBPAM3L11Y_Quote</v>
      </c>
      <c r="AC19" s="349" t="e">
        <v>#NUM!</v>
      </c>
      <c r="AD19" s="348" t="e">
        <f>_xll.qlSimpleQuoteSetValue($AB19,$AC19/100,Trigger)</f>
        <v>#NUM!</v>
      </c>
      <c r="AE19" s="218"/>
      <c r="AF19" s="64"/>
      <c r="AG19" s="64"/>
      <c r="AH19" s="64"/>
      <c r="AI19" s="64"/>
      <c r="AJ19" s="64"/>
      <c r="AK19" s="382"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GBPAM3L12Y_Quote#0000</v>
      </c>
      <c r="G20" s="191" t="str">
        <f>_xll.ohRangeRetrieveError(F20)</f>
        <v/>
      </c>
      <c r="H20" s="33"/>
      <c r="N20" s="118"/>
      <c r="O20" s="354" t="s">
        <v>75</v>
      </c>
      <c r="P20" s="504" t="str">
        <v>AM</v>
      </c>
      <c r="Q20" s="504" t="str">
        <v>3L</v>
      </c>
      <c r="R20" s="400" t="str">
        <f t="shared" si="0"/>
        <v>GBPAM3L12Y</v>
      </c>
      <c r="S20" s="400" t="str">
        <v>GBPAM3L12Y=ICAP</v>
      </c>
      <c r="T20" s="401" t="s">
        <v>233</v>
      </c>
      <c r="U20" s="401" t="s">
        <v>233</v>
      </c>
      <c r="V20" s="401" t="s">
        <v>233</v>
      </c>
      <c r="W20" s="401" t="s">
        <v>233</v>
      </c>
      <c r="X20" s="352" t="e">
        <f>_xll.qlMidSafe($T20,$U20)</f>
        <v>#NUM!</v>
      </c>
      <c r="Y20" s="343"/>
      <c r="Z20" s="351" t="e">
        <v>#NUM!</v>
      </c>
      <c r="AA20" s="343"/>
      <c r="AB20" s="394" t="str">
        <f t="shared" si="1"/>
        <v>GBPAM3L12Y_Quote</v>
      </c>
      <c r="AC20" s="349" t="e">
        <v>#NUM!</v>
      </c>
      <c r="AD20" s="348" t="e">
        <f>_xll.qlSimpleQuoteSetValue($AB20,$AC20/100,Trigger)</f>
        <v>#NUM!</v>
      </c>
      <c r="AE20" s="218"/>
      <c r="AF20" s="64"/>
      <c r="AG20" s="64"/>
      <c r="AH20" s="64"/>
      <c r="AI20" s="64"/>
      <c r="AJ20" s="64"/>
      <c r="AK20" s="382"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GBPAM3L13Y_Quote#0000</v>
      </c>
      <c r="G21" s="191" t="str">
        <f>_xll.ohRangeRetrieveError(F21)</f>
        <v/>
      </c>
      <c r="H21" s="33"/>
      <c r="N21" s="118"/>
      <c r="O21" s="354" t="s">
        <v>74</v>
      </c>
      <c r="P21" s="504" t="str">
        <v>AM</v>
      </c>
      <c r="Q21" s="504" t="str">
        <v>3L</v>
      </c>
      <c r="R21" s="400" t="str">
        <f t="shared" si="0"/>
        <v>GBPAM3L13Y</v>
      </c>
      <c r="S21" s="400" t="str">
        <v>GBPAM3L13Y=ICAP</v>
      </c>
      <c r="T21" s="401" t="s">
        <v>233</v>
      </c>
      <c r="U21" s="401" t="s">
        <v>233</v>
      </c>
      <c r="V21" s="401" t="s">
        <v>233</v>
      </c>
      <c r="W21" s="401" t="s">
        <v>233</v>
      </c>
      <c r="X21" s="352" t="e">
        <f>_xll.qlMidSafe($T21,$U21)</f>
        <v>#NUM!</v>
      </c>
      <c r="Y21" s="343"/>
      <c r="Z21" s="351" t="e">
        <v>#NUM!</v>
      </c>
      <c r="AA21" s="343"/>
      <c r="AB21" s="394" t="str">
        <f t="shared" si="1"/>
        <v>GBPAM3L13Y_Quote</v>
      </c>
      <c r="AC21" s="349" t="e">
        <v>#NUM!</v>
      </c>
      <c r="AD21" s="348" t="e">
        <f>_xll.qlSimpleQuoteSetValue($AB21,$AC21/100,Trigger)</f>
        <v>#NUM!</v>
      </c>
      <c r="AE21" s="218"/>
      <c r="AF21" s="64"/>
      <c r="AG21" s="64"/>
      <c r="AH21" s="64"/>
      <c r="AI21" s="64"/>
      <c r="AJ21" s="64"/>
      <c r="AK21" s="382"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GBPAM3L14Y_Quote#0000</v>
      </c>
      <c r="G22" s="191" t="str">
        <f>_xll.ohRangeRetrieveError(F22)</f>
        <v/>
      </c>
      <c r="H22" s="33"/>
      <c r="N22" s="118"/>
      <c r="O22" s="354" t="s">
        <v>73</v>
      </c>
      <c r="P22" s="504" t="str">
        <v>AM</v>
      </c>
      <c r="Q22" s="504" t="str">
        <v>3L</v>
      </c>
      <c r="R22" s="400" t="str">
        <f t="shared" si="0"/>
        <v>GBPAM3L14Y</v>
      </c>
      <c r="S22" s="400" t="str">
        <v>GBPAM3L14Y=ICAP</v>
      </c>
      <c r="T22" s="401" t="s">
        <v>233</v>
      </c>
      <c r="U22" s="401" t="s">
        <v>233</v>
      </c>
      <c r="V22" s="401" t="s">
        <v>233</v>
      </c>
      <c r="W22" s="401" t="s">
        <v>233</v>
      </c>
      <c r="X22" s="352" t="e">
        <f>_xll.qlMidSafe($T22,$U22)</f>
        <v>#NUM!</v>
      </c>
      <c r="Y22" s="343"/>
      <c r="Z22" s="351" t="e">
        <v>#NUM!</v>
      </c>
      <c r="AA22" s="343"/>
      <c r="AB22" s="394" t="str">
        <f t="shared" si="1"/>
        <v>GBPAM3L14Y_Quote</v>
      </c>
      <c r="AC22" s="349" t="e">
        <v>#NUM!</v>
      </c>
      <c r="AD22" s="348" t="e">
        <f>_xll.qlSimpleQuoteSetValue($AB22,$AC22/100,Trigger)</f>
        <v>#NUM!</v>
      </c>
      <c r="AE22" s="218"/>
      <c r="AF22" s="64"/>
      <c r="AG22" s="64"/>
      <c r="AH22" s="64"/>
      <c r="AI22" s="64"/>
      <c r="AJ22" s="64"/>
      <c r="AK22" s="382"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GBPAM3L15Y_Quote#0000</v>
      </c>
      <c r="G23" s="191" t="str">
        <f>_xll.ohRangeRetrieveError(F23)</f>
        <v/>
      </c>
      <c r="H23" s="33"/>
      <c r="N23" s="118"/>
      <c r="O23" s="354" t="s">
        <v>72</v>
      </c>
      <c r="P23" s="504" t="str">
        <v>AM</v>
      </c>
      <c r="Q23" s="504" t="str">
        <v>3L</v>
      </c>
      <c r="R23" s="400" t="str">
        <f t="shared" si="0"/>
        <v>GBPAM3L15Y</v>
      </c>
      <c r="S23" s="400" t="str">
        <v>GBPAM3L15Y=ICAP</v>
      </c>
      <c r="T23" s="401" t="s">
        <v>233</v>
      </c>
      <c r="U23" s="401" t="s">
        <v>233</v>
      </c>
      <c r="V23" s="401" t="s">
        <v>233</v>
      </c>
      <c r="W23" s="401" t="s">
        <v>233</v>
      </c>
      <c r="X23" s="352" t="e">
        <f>_xll.qlMidSafe($T23,$U23)</f>
        <v>#NUM!</v>
      </c>
      <c r="Y23" s="343"/>
      <c r="Z23" s="351" t="e">
        <v>#NUM!</v>
      </c>
      <c r="AA23" s="343"/>
      <c r="AB23" s="394" t="str">
        <f t="shared" si="1"/>
        <v>GBPAM3L15Y_Quote</v>
      </c>
      <c r="AC23" s="349" t="e">
        <v>#NUM!</v>
      </c>
      <c r="AD23" s="348" t="e">
        <f>_xll.qlSimpleQuoteSetValue($AB23,$AC23/100,Trigger)</f>
        <v>#NUM!</v>
      </c>
      <c r="AE23" s="218"/>
      <c r="AF23" s="64"/>
      <c r="AG23" s="64"/>
      <c r="AH23" s="64"/>
      <c r="AI23" s="64"/>
      <c r="AJ23" s="64"/>
      <c r="AK23" s="382"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GBPAM3L16Y_Quote#0000</v>
      </c>
      <c r="G24" s="191" t="str">
        <f>_xll.ohRangeRetrieveError(F24)</f>
        <v/>
      </c>
      <c r="H24" s="33"/>
      <c r="N24" s="118"/>
      <c r="O24" s="354" t="s">
        <v>71</v>
      </c>
      <c r="P24" s="504" t="str">
        <v>AM</v>
      </c>
      <c r="Q24" s="504" t="str">
        <v>3L</v>
      </c>
      <c r="R24" s="400" t="str">
        <f t="shared" si="0"/>
        <v>GBPAM3L16Y</v>
      </c>
      <c r="S24" s="400" t="str">
        <v>GBPAM3L16Y=ICAP</v>
      </c>
      <c r="T24" s="401" t="s">
        <v>233</v>
      </c>
      <c r="U24" s="401" t="s">
        <v>233</v>
      </c>
      <c r="V24" s="401" t="s">
        <v>233</v>
      </c>
      <c r="W24" s="401" t="s">
        <v>233</v>
      </c>
      <c r="X24" s="352" t="e">
        <f>_xll.qlMidSafe($T24,$U24)</f>
        <v>#NUM!</v>
      </c>
      <c r="Y24" s="343"/>
      <c r="Z24" s="351" t="e">
        <v>#NUM!</v>
      </c>
      <c r="AA24" s="343"/>
      <c r="AB24" s="394" t="str">
        <f t="shared" si="1"/>
        <v>GBPAM3L16Y_Quote</v>
      </c>
      <c r="AC24" s="349" t="e">
        <v>#NUM!</v>
      </c>
      <c r="AD24" s="348" t="e">
        <f>_xll.qlSimpleQuoteSetValue($AB24,$AC24/100,Trigger)</f>
        <v>#NUM!</v>
      </c>
      <c r="AE24" s="218"/>
      <c r="AF24" s="64"/>
      <c r="AG24" s="64"/>
      <c r="AH24" s="64"/>
      <c r="AI24" s="64"/>
      <c r="AJ24" s="64"/>
      <c r="AK24" s="382"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GBPAM3L17Y_Quote#0000</v>
      </c>
      <c r="G25" s="191" t="str">
        <f>_xll.ohRangeRetrieveError(F25)</f>
        <v/>
      </c>
      <c r="H25" s="33"/>
      <c r="N25" s="118"/>
      <c r="O25" s="354" t="s">
        <v>70</v>
      </c>
      <c r="P25" s="504" t="str">
        <v>AM</v>
      </c>
      <c r="Q25" s="504" t="str">
        <v>3L</v>
      </c>
      <c r="R25" s="400" t="str">
        <f t="shared" si="0"/>
        <v>GBPAM3L17Y</v>
      </c>
      <c r="S25" s="400" t="str">
        <v>GBPAM3L17Y=ICAP</v>
      </c>
      <c r="T25" s="401" t="s">
        <v>233</v>
      </c>
      <c r="U25" s="401" t="s">
        <v>233</v>
      </c>
      <c r="V25" s="401" t="s">
        <v>233</v>
      </c>
      <c r="W25" s="401" t="s">
        <v>233</v>
      </c>
      <c r="X25" s="352" t="e">
        <f>_xll.qlMidSafe($T25,$U25)</f>
        <v>#NUM!</v>
      </c>
      <c r="Y25" s="343"/>
      <c r="Z25" s="351" t="e">
        <v>#NUM!</v>
      </c>
      <c r="AA25" s="343"/>
      <c r="AB25" s="394" t="str">
        <f t="shared" si="1"/>
        <v>GBPAM3L17Y_Quote</v>
      </c>
      <c r="AC25" s="349" t="e">
        <v>#NUM!</v>
      </c>
      <c r="AD25" s="348" t="e">
        <f>_xll.qlSimpleQuoteSetValue($AB25,$AC25/100,Trigger)</f>
        <v>#NUM!</v>
      </c>
      <c r="AE25" s="218"/>
      <c r="AF25" s="64"/>
      <c r="AG25" s="64"/>
      <c r="AH25" s="64"/>
      <c r="AI25" s="64"/>
      <c r="AJ25" s="64"/>
      <c r="AK25" s="382"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GBPAM3L18Y_Quote#0000</v>
      </c>
      <c r="G26" s="191" t="str">
        <f>_xll.ohRangeRetrieveError(F26)</f>
        <v/>
      </c>
      <c r="H26" s="33"/>
      <c r="N26" s="118"/>
      <c r="O26" s="354" t="s">
        <v>69</v>
      </c>
      <c r="P26" s="504" t="str">
        <v>AM</v>
      </c>
      <c r="Q26" s="504" t="str">
        <v>3L</v>
      </c>
      <c r="R26" s="400" t="str">
        <f t="shared" si="0"/>
        <v>GBPAM3L18Y</v>
      </c>
      <c r="S26" s="400" t="str">
        <v>GBPAM3L18Y=ICAP</v>
      </c>
      <c r="T26" s="401" t="s">
        <v>233</v>
      </c>
      <c r="U26" s="401" t="s">
        <v>233</v>
      </c>
      <c r="V26" s="401" t="s">
        <v>233</v>
      </c>
      <c r="W26" s="401" t="s">
        <v>233</v>
      </c>
      <c r="X26" s="352" t="e">
        <f>_xll.qlMidSafe($T26,$U26)</f>
        <v>#NUM!</v>
      </c>
      <c r="Y26" s="343"/>
      <c r="Z26" s="351" t="e">
        <v>#NUM!</v>
      </c>
      <c r="AA26" s="343"/>
      <c r="AB26" s="394" t="str">
        <f t="shared" si="1"/>
        <v>GBPAM3L18Y_Quote</v>
      </c>
      <c r="AC26" s="349" t="e">
        <v>#NUM!</v>
      </c>
      <c r="AD26" s="348" t="e">
        <f>_xll.qlSimpleQuoteSetValue($AB26,$AC26/100,Trigger)</f>
        <v>#NUM!</v>
      </c>
      <c r="AE26" s="218"/>
      <c r="AF26" s="64"/>
      <c r="AG26" s="64"/>
      <c r="AH26" s="64"/>
      <c r="AI26" s="64"/>
      <c r="AJ26" s="64"/>
      <c r="AK26" s="382"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GBPAM3L19Y_Quote#0000</v>
      </c>
      <c r="G27" s="191" t="str">
        <f>_xll.ohRangeRetrieveError(F27)</f>
        <v/>
      </c>
      <c r="H27" s="33"/>
      <c r="N27" s="118"/>
      <c r="O27" s="354" t="s">
        <v>68</v>
      </c>
      <c r="P27" s="504" t="str">
        <v>AM</v>
      </c>
      <c r="Q27" s="504" t="str">
        <v>3L</v>
      </c>
      <c r="R27" s="400" t="str">
        <f t="shared" si="0"/>
        <v>GBPAM3L19Y</v>
      </c>
      <c r="S27" s="400" t="str">
        <v>GBPAM3L19Y=ICAP</v>
      </c>
      <c r="T27" s="401" t="s">
        <v>233</v>
      </c>
      <c r="U27" s="401" t="s">
        <v>233</v>
      </c>
      <c r="V27" s="401" t="s">
        <v>233</v>
      </c>
      <c r="W27" s="401" t="s">
        <v>233</v>
      </c>
      <c r="X27" s="352" t="e">
        <f>_xll.qlMidSafe($T27,$U27)</f>
        <v>#NUM!</v>
      </c>
      <c r="Y27" s="343"/>
      <c r="Z27" s="351" t="e">
        <v>#NUM!</v>
      </c>
      <c r="AA27" s="343"/>
      <c r="AB27" s="394" t="str">
        <f t="shared" si="1"/>
        <v>GBPAM3L19Y_Quote</v>
      </c>
      <c r="AC27" s="349" t="e">
        <v>#NUM!</v>
      </c>
      <c r="AD27" s="348" t="e">
        <f>_xll.qlSimpleQuoteSetValue($AB27,$AC27/100,Trigger)</f>
        <v>#NUM!</v>
      </c>
      <c r="AE27" s="218"/>
      <c r="AF27" s="64"/>
      <c r="AG27" s="64"/>
      <c r="AH27" s="64"/>
      <c r="AI27" s="64"/>
      <c r="AJ27" s="64"/>
      <c r="AK27" s="382"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GBPAM3L20Y_Quote#0000</v>
      </c>
      <c r="G28" s="191" t="str">
        <f>_xll.ohRangeRetrieveError(F28)</f>
        <v/>
      </c>
      <c r="H28" s="33"/>
      <c r="N28" s="118"/>
      <c r="O28" s="354" t="s">
        <v>67</v>
      </c>
      <c r="P28" s="504" t="str">
        <v>AM</v>
      </c>
      <c r="Q28" s="504" t="str">
        <v>3L</v>
      </c>
      <c r="R28" s="400" t="str">
        <f t="shared" si="0"/>
        <v>GBPAM3L20Y</v>
      </c>
      <c r="S28" s="400" t="str">
        <v>GBPAM3L20Y=ICAP</v>
      </c>
      <c r="T28" s="401" t="s">
        <v>233</v>
      </c>
      <c r="U28" s="401" t="s">
        <v>233</v>
      </c>
      <c r="V28" s="401" t="s">
        <v>233</v>
      </c>
      <c r="W28" s="401" t="s">
        <v>233</v>
      </c>
      <c r="X28" s="352" t="e">
        <f>_xll.qlMidSafe($T28,$U28)</f>
        <v>#NUM!</v>
      </c>
      <c r="Y28" s="343"/>
      <c r="Z28" s="351" t="e">
        <v>#NUM!</v>
      </c>
      <c r="AA28" s="343"/>
      <c r="AB28" s="394" t="str">
        <f t="shared" si="1"/>
        <v>GBPAM3L20Y_Quote</v>
      </c>
      <c r="AC28" s="349" t="e">
        <v>#NUM!</v>
      </c>
      <c r="AD28" s="348" t="e">
        <f>_xll.qlSimpleQuoteSetValue($AB28,$AC28/100,Trigger)</f>
        <v>#NUM!</v>
      </c>
      <c r="AE28" s="218"/>
      <c r="AF28" s="64"/>
      <c r="AG28" s="64"/>
      <c r="AH28" s="64"/>
      <c r="AI28" s="64"/>
      <c r="AJ28" s="64"/>
      <c r="AK28" s="382"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GBPAM3L21Y_Quote#0000</v>
      </c>
      <c r="G29" s="191" t="str">
        <f>_xll.ohRangeRetrieveError(F29)</f>
        <v/>
      </c>
      <c r="H29" s="33"/>
      <c r="N29" s="118"/>
      <c r="O29" s="354" t="s">
        <v>66</v>
      </c>
      <c r="P29" s="505" t="str">
        <v>AM</v>
      </c>
      <c r="Q29" s="505" t="str">
        <v>3L</v>
      </c>
      <c r="R29" s="400" t="str">
        <f t="shared" si="0"/>
        <v>GBPAM3L21Y</v>
      </c>
      <c r="S29" s="400" t="str">
        <v>GBPAM3L21Y=ICAP</v>
      </c>
      <c r="T29" s="401" t="s">
        <v>233</v>
      </c>
      <c r="U29" s="401" t="s">
        <v>233</v>
      </c>
      <c r="V29" s="401" t="s">
        <v>233</v>
      </c>
      <c r="W29" s="401" t="s">
        <v>233</v>
      </c>
      <c r="X29" s="352" t="e">
        <f>_xll.qlMidSafe($T29,$U29)</f>
        <v>#NUM!</v>
      </c>
      <c r="Y29" s="343"/>
      <c r="Z29" s="351" t="e">
        <v>#NUM!</v>
      </c>
      <c r="AA29" s="343"/>
      <c r="AB29" s="394" t="str">
        <f t="shared" si="1"/>
        <v>GBPAM3L21Y_Quote</v>
      </c>
      <c r="AC29" s="349" t="e">
        <v>#NUM!</v>
      </c>
      <c r="AD29" s="348" t="e">
        <f>_xll.qlSimpleQuoteSetValue($AB29,$AC29/100,Trigger)</f>
        <v>#NUM!</v>
      </c>
      <c r="AE29" s="218"/>
      <c r="AF29" s="64"/>
      <c r="AG29" s="64"/>
      <c r="AH29" s="64"/>
      <c r="AI29" s="64"/>
      <c r="AJ29" s="64"/>
      <c r="AK29" s="382"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GBPAM3L22Y_Quote#0000</v>
      </c>
      <c r="G30" s="191" t="str">
        <f>_xll.ohRangeRetrieveError(F30)</f>
        <v/>
      </c>
      <c r="H30" s="33"/>
      <c r="N30" s="118"/>
      <c r="O30" s="354" t="s">
        <v>65</v>
      </c>
      <c r="P30" s="504" t="str">
        <v>AM</v>
      </c>
      <c r="Q30" s="504" t="str">
        <v>3L</v>
      </c>
      <c r="R30" s="400" t="str">
        <f t="shared" si="0"/>
        <v>GBPAM3L22Y</v>
      </c>
      <c r="S30" s="400" t="str">
        <v>GBPAM3L22Y=ICAP</v>
      </c>
      <c r="T30" s="401" t="s">
        <v>233</v>
      </c>
      <c r="U30" s="401" t="s">
        <v>233</v>
      </c>
      <c r="V30" s="401" t="s">
        <v>233</v>
      </c>
      <c r="W30" s="401" t="s">
        <v>233</v>
      </c>
      <c r="X30" s="352" t="e">
        <f>_xll.qlMidSafe($T30,$U30)</f>
        <v>#NUM!</v>
      </c>
      <c r="Y30" s="343"/>
      <c r="Z30" s="351" t="e">
        <v>#NUM!</v>
      </c>
      <c r="AA30" s="343"/>
      <c r="AB30" s="394" t="str">
        <f t="shared" si="1"/>
        <v>GBPAM3L22Y_Quote</v>
      </c>
      <c r="AC30" s="349" t="e">
        <v>#NUM!</v>
      </c>
      <c r="AD30" s="348" t="e">
        <f>_xll.qlSimpleQuoteSetValue($AB30,$AC30/100,Trigger)</f>
        <v>#NUM!</v>
      </c>
      <c r="AE30" s="218"/>
      <c r="AF30" s="64"/>
      <c r="AG30" s="64"/>
      <c r="AH30" s="64"/>
      <c r="AI30" s="64"/>
      <c r="AJ30" s="64"/>
      <c r="AK30" s="382"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GBPAM3L23Y_Quote#0000</v>
      </c>
      <c r="G31" s="191" t="str">
        <f>_xll.ohRangeRetrieveError(F31)</f>
        <v/>
      </c>
      <c r="H31" s="33"/>
      <c r="N31" s="118"/>
      <c r="O31" s="354" t="s">
        <v>64</v>
      </c>
      <c r="P31" s="504" t="str">
        <v>AM</v>
      </c>
      <c r="Q31" s="504" t="str">
        <v>3L</v>
      </c>
      <c r="R31" s="400" t="str">
        <f t="shared" si="0"/>
        <v>GBPAM3L23Y</v>
      </c>
      <c r="S31" s="400" t="str">
        <v>GBPAM3L23Y=ICAP</v>
      </c>
      <c r="T31" s="401" t="s">
        <v>233</v>
      </c>
      <c r="U31" s="401" t="s">
        <v>233</v>
      </c>
      <c r="V31" s="401" t="s">
        <v>233</v>
      </c>
      <c r="W31" s="401" t="s">
        <v>233</v>
      </c>
      <c r="X31" s="352" t="e">
        <f>_xll.qlMidSafe($T31,$U31)</f>
        <v>#NUM!</v>
      </c>
      <c r="Y31" s="343"/>
      <c r="Z31" s="351" t="e">
        <v>#NUM!</v>
      </c>
      <c r="AA31" s="343"/>
      <c r="AB31" s="394" t="str">
        <f t="shared" si="1"/>
        <v>GBPAM3L23Y_Quote</v>
      </c>
      <c r="AC31" s="349" t="e">
        <v>#NUM!</v>
      </c>
      <c r="AD31" s="348" t="e">
        <f>_xll.qlSimpleQuoteSetValue($AB31,$AC31/100,Trigger)</f>
        <v>#NUM!</v>
      </c>
      <c r="AE31" s="218"/>
      <c r="AF31" s="64"/>
      <c r="AG31" s="64"/>
      <c r="AH31" s="64"/>
      <c r="AI31" s="64"/>
      <c r="AJ31" s="64"/>
      <c r="AK31" s="382"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GBPAM3L24Y_Quote#0000</v>
      </c>
      <c r="G32" s="191" t="str">
        <f>_xll.ohRangeRetrieveError(F32)</f>
        <v/>
      </c>
      <c r="H32" s="33"/>
      <c r="N32" s="118"/>
      <c r="O32" s="354" t="s">
        <v>63</v>
      </c>
      <c r="P32" s="504" t="str">
        <v>AM</v>
      </c>
      <c r="Q32" s="504" t="str">
        <v>3L</v>
      </c>
      <c r="R32" s="400" t="str">
        <f t="shared" si="0"/>
        <v>GBPAM3L24Y</v>
      </c>
      <c r="S32" s="400" t="str">
        <v>GBPAM3L24Y=ICAP</v>
      </c>
      <c r="T32" s="401" t="s">
        <v>233</v>
      </c>
      <c r="U32" s="401" t="s">
        <v>233</v>
      </c>
      <c r="V32" s="401" t="s">
        <v>233</v>
      </c>
      <c r="W32" s="401" t="s">
        <v>233</v>
      </c>
      <c r="X32" s="352" t="e">
        <f>_xll.qlMidSafe($T32,$U32)</f>
        <v>#NUM!</v>
      </c>
      <c r="Y32" s="343"/>
      <c r="Z32" s="351" t="e">
        <v>#NUM!</v>
      </c>
      <c r="AA32" s="343"/>
      <c r="AB32" s="394" t="str">
        <f t="shared" si="1"/>
        <v>GBPAM3L24Y_Quote</v>
      </c>
      <c r="AC32" s="349" t="e">
        <v>#NUM!</v>
      </c>
      <c r="AD32" s="348" t="e">
        <f>_xll.qlSimpleQuoteSetValue($AB32,$AC32/100,Trigger)</f>
        <v>#NUM!</v>
      </c>
      <c r="AE32" s="218"/>
      <c r="AF32" s="64"/>
      <c r="AG32" s="64"/>
      <c r="AH32" s="64"/>
      <c r="AI32" s="64"/>
      <c r="AJ32" s="64"/>
      <c r="AK32" s="382"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GBPAM3L25Y_Quote#0000</v>
      </c>
      <c r="G33" s="191" t="str">
        <f>_xll.ohRangeRetrieveError(F33)</f>
        <v/>
      </c>
      <c r="H33" s="33"/>
      <c r="N33" s="118"/>
      <c r="O33" s="354" t="s">
        <v>62</v>
      </c>
      <c r="P33" s="504" t="str">
        <v>AM</v>
      </c>
      <c r="Q33" s="504" t="str">
        <v>3L</v>
      </c>
      <c r="R33" s="400" t="str">
        <f t="shared" si="0"/>
        <v>GBPAM3L25Y</v>
      </c>
      <c r="S33" s="400" t="str">
        <v>GBPAM3L25Y=ICAP</v>
      </c>
      <c r="T33" s="401" t="s">
        <v>233</v>
      </c>
      <c r="U33" s="401" t="s">
        <v>233</v>
      </c>
      <c r="V33" s="401" t="s">
        <v>233</v>
      </c>
      <c r="W33" s="401" t="s">
        <v>233</v>
      </c>
      <c r="X33" s="352" t="e">
        <f>_xll.qlMidSafe($T33,$U33)</f>
        <v>#NUM!</v>
      </c>
      <c r="Y33" s="343"/>
      <c r="Z33" s="351" t="e">
        <v>#NUM!</v>
      </c>
      <c r="AA33" s="343"/>
      <c r="AB33" s="394" t="str">
        <f t="shared" si="1"/>
        <v>GBPAM3L25Y_Quote</v>
      </c>
      <c r="AC33" s="349" t="e">
        <v>#NUM!</v>
      </c>
      <c r="AD33" s="348" t="e">
        <f>_xll.qlSimpleQuoteSetValue($AB33,$AC33/100,Trigger)</f>
        <v>#NUM!</v>
      </c>
      <c r="AE33" s="218"/>
      <c r="AF33" s="64"/>
      <c r="AG33" s="64"/>
      <c r="AH33" s="64"/>
      <c r="AI33" s="64"/>
      <c r="AJ33" s="64"/>
      <c r="AK33" s="382"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GBPAM3L26Y_Quote#0000</v>
      </c>
      <c r="G34" s="191" t="str">
        <f>_xll.ohRangeRetrieveError(F34)</f>
        <v/>
      </c>
      <c r="H34" s="33"/>
      <c r="N34" s="118"/>
      <c r="O34" s="354" t="s">
        <v>61</v>
      </c>
      <c r="P34" s="504" t="str">
        <v>AM</v>
      </c>
      <c r="Q34" s="504" t="str">
        <v>3L</v>
      </c>
      <c r="R34" s="400" t="str">
        <f t="shared" si="0"/>
        <v>GBPAM3L26Y</v>
      </c>
      <c r="S34" s="400" t="str">
        <v>GBPAM3L26Y=ICAP</v>
      </c>
      <c r="T34" s="401" t="s">
        <v>233</v>
      </c>
      <c r="U34" s="401" t="s">
        <v>233</v>
      </c>
      <c r="V34" s="401" t="s">
        <v>233</v>
      </c>
      <c r="W34" s="401" t="s">
        <v>233</v>
      </c>
      <c r="X34" s="352" t="e">
        <f>_xll.qlMidSafe($T34,$U34)</f>
        <v>#NUM!</v>
      </c>
      <c r="Y34" s="343"/>
      <c r="Z34" s="351" t="e">
        <v>#NUM!</v>
      </c>
      <c r="AA34" s="343"/>
      <c r="AB34" s="394" t="str">
        <f t="shared" si="1"/>
        <v>GBPAM3L26Y_Quote</v>
      </c>
      <c r="AC34" s="349" t="e">
        <v>#NUM!</v>
      </c>
      <c r="AD34" s="348" t="e">
        <f>_xll.qlSimpleQuoteSetValue($AB34,$AC34/100,Trigger)</f>
        <v>#NUM!</v>
      </c>
      <c r="AE34" s="218"/>
      <c r="AF34" s="64"/>
      <c r="AG34" s="64"/>
      <c r="AH34" s="64"/>
      <c r="AI34" s="64"/>
      <c r="AJ34" s="64"/>
      <c r="AK34" s="382"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GBPAM3L27Y_Quote#0000</v>
      </c>
      <c r="G35" s="191" t="str">
        <f>_xll.ohRangeRetrieveError(F35)</f>
        <v/>
      </c>
      <c r="H35" s="33"/>
      <c r="N35" s="118"/>
      <c r="O35" s="354" t="s">
        <v>60</v>
      </c>
      <c r="P35" s="504" t="str">
        <v>AM</v>
      </c>
      <c r="Q35" s="504" t="str">
        <v>3L</v>
      </c>
      <c r="R35" s="400" t="str">
        <f t="shared" si="0"/>
        <v>GBPAM3L27Y</v>
      </c>
      <c r="S35" s="400" t="str">
        <v>GBPAM3L27Y=ICAP</v>
      </c>
      <c r="T35" s="401" t="s">
        <v>233</v>
      </c>
      <c r="U35" s="401" t="s">
        <v>233</v>
      </c>
      <c r="V35" s="401" t="s">
        <v>233</v>
      </c>
      <c r="W35" s="401" t="s">
        <v>233</v>
      </c>
      <c r="X35" s="352" t="e">
        <f>_xll.qlMidSafe($T35,$U35)</f>
        <v>#NUM!</v>
      </c>
      <c r="Y35" s="343"/>
      <c r="Z35" s="351" t="e">
        <v>#NUM!</v>
      </c>
      <c r="AA35" s="343"/>
      <c r="AB35" s="394" t="str">
        <f t="shared" si="1"/>
        <v>GBPAM3L27Y_Quote</v>
      </c>
      <c r="AC35" s="349" t="e">
        <v>#NUM!</v>
      </c>
      <c r="AD35" s="348" t="e">
        <f>_xll.qlSimpleQuoteSetValue($AB35,$AC35/100,Trigger)</f>
        <v>#NUM!</v>
      </c>
      <c r="AE35" s="218"/>
      <c r="AF35" s="64"/>
      <c r="AG35" s="64"/>
      <c r="AH35" s="64"/>
      <c r="AI35" s="64"/>
      <c r="AJ35" s="64"/>
      <c r="AK35" s="382"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GBPAM3L28Y_Quote#0000</v>
      </c>
      <c r="G36" s="191" t="str">
        <f>_xll.ohRangeRetrieveError(F36)</f>
        <v/>
      </c>
      <c r="H36" s="33"/>
      <c r="N36" s="118"/>
      <c r="O36" s="354" t="s">
        <v>59</v>
      </c>
      <c r="P36" s="504" t="str">
        <v>AM</v>
      </c>
      <c r="Q36" s="504" t="str">
        <v>3L</v>
      </c>
      <c r="R36" s="400" t="str">
        <f t="shared" si="0"/>
        <v>GBPAM3L28Y</v>
      </c>
      <c r="S36" s="400" t="str">
        <v>GBPAM3L28Y=ICAP</v>
      </c>
      <c r="T36" s="401" t="s">
        <v>233</v>
      </c>
      <c r="U36" s="401" t="s">
        <v>233</v>
      </c>
      <c r="V36" s="401" t="s">
        <v>233</v>
      </c>
      <c r="W36" s="401" t="s">
        <v>233</v>
      </c>
      <c r="X36" s="352" t="e">
        <f>_xll.qlMidSafe($T36,$U36)</f>
        <v>#NUM!</v>
      </c>
      <c r="Y36" s="343"/>
      <c r="Z36" s="351" t="e">
        <v>#NUM!</v>
      </c>
      <c r="AA36" s="343"/>
      <c r="AB36" s="394" t="str">
        <f t="shared" si="1"/>
        <v>GBPAM3L28Y_Quote</v>
      </c>
      <c r="AC36" s="349" t="e">
        <v>#NUM!</v>
      </c>
      <c r="AD36" s="348" t="e">
        <f>_xll.qlSimpleQuoteSetValue($AB36,$AC36/100,Trigger)</f>
        <v>#NUM!</v>
      </c>
      <c r="AE36" s="218"/>
      <c r="AF36" s="64"/>
      <c r="AG36" s="64"/>
      <c r="AH36" s="64"/>
      <c r="AI36" s="64"/>
      <c r="AJ36" s="64"/>
      <c r="AK36" s="382"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GBPAM3L29Y_Quote#0000</v>
      </c>
      <c r="G37" s="191" t="str">
        <f>_xll.ohRangeRetrieveError(F37)</f>
        <v/>
      </c>
      <c r="H37" s="33"/>
      <c r="N37" s="118"/>
      <c r="O37" s="354" t="s">
        <v>58</v>
      </c>
      <c r="P37" s="504" t="str">
        <v>AM</v>
      </c>
      <c r="Q37" s="504" t="str">
        <v>3L</v>
      </c>
      <c r="R37" s="400" t="str">
        <f t="shared" si="0"/>
        <v>GBPAM3L29Y</v>
      </c>
      <c r="S37" s="400" t="str">
        <v>GBPAM3L29Y=ICAP</v>
      </c>
      <c r="T37" s="401" t="s">
        <v>233</v>
      </c>
      <c r="U37" s="401" t="s">
        <v>233</v>
      </c>
      <c r="V37" s="401" t="s">
        <v>233</v>
      </c>
      <c r="W37" s="401" t="s">
        <v>233</v>
      </c>
      <c r="X37" s="352" t="e">
        <f>_xll.qlMidSafe($T37,$U37)</f>
        <v>#NUM!</v>
      </c>
      <c r="Y37" s="343"/>
      <c r="Z37" s="351" t="e">
        <v>#NUM!</v>
      </c>
      <c r="AA37" s="343"/>
      <c r="AB37" s="394" t="str">
        <f t="shared" si="1"/>
        <v>GBPAM3L29Y_Quote</v>
      </c>
      <c r="AC37" s="349" t="e">
        <v>#NUM!</v>
      </c>
      <c r="AD37" s="348" t="e">
        <f>_xll.qlSimpleQuoteSetValue($AB37,$AC37/100,Trigger)</f>
        <v>#NUM!</v>
      </c>
      <c r="AE37" s="218"/>
      <c r="AF37" s="64"/>
      <c r="AG37" s="64"/>
      <c r="AH37" s="64"/>
      <c r="AI37" s="64"/>
      <c r="AJ37" s="64"/>
      <c r="AK37" s="382"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GBPAM3L30Y_Quote#0000</v>
      </c>
      <c r="G38" s="191" t="str">
        <f>_xll.ohRangeRetrieveError(F38)</f>
        <v/>
      </c>
      <c r="H38" s="33"/>
      <c r="N38" s="118"/>
      <c r="O38" s="354" t="s">
        <v>57</v>
      </c>
      <c r="P38" s="504" t="str">
        <v>AM</v>
      </c>
      <c r="Q38" s="504" t="str">
        <v>3L</v>
      </c>
      <c r="R38" s="400" t="str">
        <f t="shared" si="0"/>
        <v>GBPAM3L30Y</v>
      </c>
      <c r="S38" s="400" t="str">
        <v>GBPAM3L30Y=ICAP</v>
      </c>
      <c r="T38" s="401" t="s">
        <v>233</v>
      </c>
      <c r="U38" s="401" t="s">
        <v>233</v>
      </c>
      <c r="V38" s="401" t="s">
        <v>233</v>
      </c>
      <c r="W38" s="401" t="s">
        <v>233</v>
      </c>
      <c r="X38" s="352" t="e">
        <f>_xll.qlMidSafe($T38,$U38)</f>
        <v>#NUM!</v>
      </c>
      <c r="Y38" s="343"/>
      <c r="Z38" s="351" t="e">
        <v>#NUM!</v>
      </c>
      <c r="AA38" s="343"/>
      <c r="AB38" s="394" t="str">
        <f t="shared" si="1"/>
        <v>GBPAM3L30Y_Quote</v>
      </c>
      <c r="AC38" s="349" t="e">
        <v>#NUM!</v>
      </c>
      <c r="AD38" s="348" t="e">
        <f>_xll.qlSimpleQuoteSetValue($AB38,$AC38/100,Trigger)</f>
        <v>#NUM!</v>
      </c>
      <c r="AE38" s="218"/>
      <c r="AF38" s="64"/>
      <c r="AG38" s="64"/>
      <c r="AH38" s="64"/>
      <c r="AI38" s="64"/>
      <c r="AJ38" s="64"/>
      <c r="AK38" s="382"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GBPAM3L35Y_Quote#0000</v>
      </c>
      <c r="G39" s="191" t="str">
        <f>_xll.ohRangeRetrieveError(F39)</f>
        <v/>
      </c>
      <c r="H39" s="33"/>
      <c r="N39" s="118"/>
      <c r="O39" s="354" t="s">
        <v>52</v>
      </c>
      <c r="P39" s="504" t="str">
        <v>AM</v>
      </c>
      <c r="Q39" s="504" t="str">
        <v>3L</v>
      </c>
      <c r="R39" s="400" t="str">
        <f t="shared" si="0"/>
        <v>GBPAM3L35Y</v>
      </c>
      <c r="S39" s="400" t="str">
        <v>GBPAM3L35Y=ICAP</v>
      </c>
      <c r="T39" s="401" t="s">
        <v>233</v>
      </c>
      <c r="U39" s="401" t="s">
        <v>233</v>
      </c>
      <c r="V39" s="401" t="s">
        <v>233</v>
      </c>
      <c r="W39" s="401" t="s">
        <v>233</v>
      </c>
      <c r="X39" s="352" t="e">
        <f>_xll.qlMidSafe($T39,$U39)</f>
        <v>#NUM!</v>
      </c>
      <c r="Y39" s="343"/>
      <c r="Z39" s="351" t="e">
        <v>#NUM!</v>
      </c>
      <c r="AA39" s="343"/>
      <c r="AB39" s="394" t="str">
        <f t="shared" si="1"/>
        <v>GBPAM3L35Y_Quote</v>
      </c>
      <c r="AC39" s="349" t="e">
        <v>#NUM!</v>
      </c>
      <c r="AD39" s="348" t="e">
        <f>_xll.qlSimpleQuoteSetValue($AB39,$AC39/100,Trigger)</f>
        <v>#NUM!</v>
      </c>
      <c r="AE39" s="218"/>
      <c r="AF39" s="64"/>
      <c r="AG39" s="64"/>
      <c r="AH39" s="64"/>
      <c r="AI39" s="64"/>
      <c r="AJ39" s="64"/>
      <c r="AK39" s="382"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GBPAM3L40Y_Quote#0000</v>
      </c>
      <c r="G40" s="191" t="str">
        <f>_xll.ohRangeRetrieveError(F40)</f>
        <v/>
      </c>
      <c r="H40" s="33"/>
      <c r="N40" s="118"/>
      <c r="O40" s="354" t="s">
        <v>47</v>
      </c>
      <c r="P40" s="504" t="str">
        <v>AM</v>
      </c>
      <c r="Q40" s="504" t="str">
        <v>3L</v>
      </c>
      <c r="R40" s="400" t="str">
        <f t="shared" si="0"/>
        <v>GBPAM3L40Y</v>
      </c>
      <c r="S40" s="400" t="str">
        <v>GBPAM3L40Y=ICAP</v>
      </c>
      <c r="T40" s="401" t="s">
        <v>233</v>
      </c>
      <c r="U40" s="401" t="s">
        <v>233</v>
      </c>
      <c r="V40" s="401" t="s">
        <v>233</v>
      </c>
      <c r="W40" s="401" t="s">
        <v>233</v>
      </c>
      <c r="X40" s="352" t="e">
        <f>_xll.qlMidSafe($T40,$U40)</f>
        <v>#NUM!</v>
      </c>
      <c r="Y40" s="343"/>
      <c r="Z40" s="351" t="e">
        <v>#NUM!</v>
      </c>
      <c r="AA40" s="343"/>
      <c r="AB40" s="394" t="str">
        <f t="shared" si="1"/>
        <v>GBPAM3L40Y_Quote</v>
      </c>
      <c r="AC40" s="349" t="e">
        <v>#NUM!</v>
      </c>
      <c r="AD40" s="348" t="e">
        <f>_xll.qlSimpleQuoteSetValue($AB40,$AC40/100,Trigger)</f>
        <v>#NUM!</v>
      </c>
      <c r="AE40" s="218"/>
      <c r="AF40" s="64"/>
      <c r="AG40" s="64"/>
      <c r="AH40" s="64"/>
      <c r="AI40" s="64"/>
      <c r="AJ40" s="64"/>
      <c r="AK40" s="382"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GBPAM3L50Y_Quote#0000</v>
      </c>
      <c r="G41" s="191" t="str">
        <f>_xll.ohRangeRetrieveError(F41)</f>
        <v/>
      </c>
      <c r="H41" s="33"/>
      <c r="N41" s="118"/>
      <c r="O41" s="354" t="s">
        <v>37</v>
      </c>
      <c r="P41" s="504" t="str">
        <v>AM</v>
      </c>
      <c r="Q41" s="504" t="str">
        <v>3L</v>
      </c>
      <c r="R41" s="400" t="str">
        <f t="shared" si="0"/>
        <v>GBPAM3L50Y</v>
      </c>
      <c r="S41" s="400" t="str">
        <v>GBPAM3L50Y=ICAP</v>
      </c>
      <c r="T41" s="401" t="s">
        <v>233</v>
      </c>
      <c r="U41" s="401" t="s">
        <v>233</v>
      </c>
      <c r="V41" s="401" t="s">
        <v>233</v>
      </c>
      <c r="W41" s="401" t="s">
        <v>233</v>
      </c>
      <c r="X41" s="352" t="e">
        <f>_xll.qlMidSafe($T41,$U41)</f>
        <v>#NUM!</v>
      </c>
      <c r="Y41" s="343"/>
      <c r="Z41" s="351" t="e">
        <v>#NUM!</v>
      </c>
      <c r="AA41" s="343"/>
      <c r="AB41" s="394" t="str">
        <f t="shared" si="1"/>
        <v>GBPAM3L50Y_Quote</v>
      </c>
      <c r="AC41" s="349" t="e">
        <v>#NUM!</v>
      </c>
      <c r="AD41" s="348" t="e">
        <f>_xll.qlSimpleQuoteSetValue($AB41,$AC41/100,Trigger)</f>
        <v>#NUM!</v>
      </c>
      <c r="AE41" s="218"/>
      <c r="AF41" s="64"/>
      <c r="AG41" s="64"/>
      <c r="AH41" s="64"/>
      <c r="AI41" s="64"/>
      <c r="AJ41" s="64"/>
      <c r="AK41" s="382"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GBPAM3L60Y_Quote#0000</v>
      </c>
      <c r="G42" s="191" t="str">
        <f>_xll.ohRangeRetrieveError(F42)</f>
        <v/>
      </c>
      <c r="H42" s="33"/>
      <c r="N42" s="118"/>
      <c r="O42" s="347" t="s">
        <v>27</v>
      </c>
      <c r="P42" s="503" t="str">
        <v>AM</v>
      </c>
      <c r="Q42" s="503" t="str">
        <v>3L</v>
      </c>
      <c r="R42" s="396" t="str">
        <f t="shared" si="0"/>
        <v>GBPAM3L60Y</v>
      </c>
      <c r="S42" s="396" t="str">
        <v>GBPAM3L60Y=ICAP</v>
      </c>
      <c r="T42" s="397" t="s">
        <v>233</v>
      </c>
      <c r="U42" s="397" t="s">
        <v>233</v>
      </c>
      <c r="V42" s="397" t="s">
        <v>233</v>
      </c>
      <c r="W42" s="397" t="s">
        <v>233</v>
      </c>
      <c r="X42" s="345" t="e">
        <f>_xll.qlMidSafe($T42,$U42)</f>
        <v>#NUM!</v>
      </c>
      <c r="Y42" s="343"/>
      <c r="Z42" s="344" t="e">
        <v>#NUM!</v>
      </c>
      <c r="AA42" s="343"/>
      <c r="AB42" s="407" t="str">
        <f t="shared" si="1"/>
        <v>GBPAM3L60Y_Quote</v>
      </c>
      <c r="AC42" s="341" t="e">
        <v>#NUM!</v>
      </c>
      <c r="AD42" s="340" t="e">
        <f>_xll.qlSimpleQuoteSetValue($AB42,$AC42/100,Trigger)</f>
        <v>#NUM!</v>
      </c>
      <c r="AE42" s="218"/>
      <c r="AF42" s="64"/>
      <c r="AG42" s="64"/>
      <c r="AH42" s="64"/>
      <c r="AI42" s="64"/>
      <c r="AJ42" s="64"/>
      <c r="AK42" s="382"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17" t="s">
        <v>355</v>
      </c>
      <c r="O1" s="201"/>
      <c r="P1" s="201"/>
      <c r="Q1" s="201"/>
      <c r="R1" s="201"/>
      <c r="S1" s="201"/>
      <c r="T1" s="201"/>
      <c r="U1" s="201"/>
      <c r="V1" s="201"/>
      <c r="W1" s="201"/>
      <c r="X1" s="201"/>
      <c r="Y1" s="201"/>
      <c r="Z1" s="201"/>
      <c r="AA1" s="201"/>
      <c r="AB1" s="201"/>
      <c r="AC1" s="201"/>
      <c r="AD1" s="198"/>
      <c r="AE1" s="64"/>
      <c r="AF1" s="64"/>
      <c r="AG1" s="64"/>
      <c r="AH1" s="64"/>
      <c r="AI1" s="64"/>
      <c r="AJ1" s="64"/>
    </row>
    <row r="2" spans="1:36" x14ac:dyDescent="0.2">
      <c r="N2" s="380"/>
      <c r="O2" s="133"/>
      <c r="P2" s="379"/>
      <c r="Q2" s="379"/>
      <c r="R2" s="379"/>
      <c r="S2" s="140" t="s">
        <v>275</v>
      </c>
      <c r="T2" s="343"/>
      <c r="U2" s="343"/>
      <c r="V2" s="343"/>
      <c r="W2" s="343"/>
      <c r="X2" s="133"/>
      <c r="Y2" s="343"/>
      <c r="Z2" s="343"/>
      <c r="AA2" s="343"/>
      <c r="AB2" s="343"/>
      <c r="AC2" s="133"/>
      <c r="AD2" s="33"/>
      <c r="AE2" s="64"/>
      <c r="AF2" s="64"/>
      <c r="AG2" s="64"/>
      <c r="AH2" s="64"/>
      <c r="AI2" s="64"/>
      <c r="AJ2" s="64"/>
    </row>
    <row r="3" spans="1:36" ht="12" thickBot="1" x14ac:dyDescent="0.25">
      <c r="N3" s="118"/>
      <c r="O3" s="343"/>
      <c r="P3" s="133"/>
      <c r="Q3" s="133"/>
      <c r="R3" s="133"/>
      <c r="S3" s="133"/>
      <c r="T3" s="133"/>
      <c r="U3" s="133"/>
      <c r="V3" s="133"/>
      <c r="W3" s="133"/>
      <c r="X3" s="133"/>
      <c r="Y3" s="343"/>
      <c r="Z3" s="343"/>
      <c r="AA3" s="343"/>
      <c r="AB3" s="133"/>
      <c r="AC3" s="459">
        <f ca="1">_xll.ohTrigger(AC5:AC42)</f>
        <v>14</v>
      </c>
      <c r="AD3" s="218"/>
      <c r="AE3" s="64"/>
      <c r="AF3" s="64"/>
      <c r="AG3" s="64"/>
      <c r="AH3" s="64"/>
      <c r="AI3" s="64"/>
      <c r="AJ3" s="64"/>
    </row>
    <row r="4" spans="1:36"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593" t="s">
        <v>285</v>
      </c>
      <c r="AC4" s="91" t="s">
        <v>284</v>
      </c>
      <c r="AD4" s="218"/>
      <c r="AE4" s="64"/>
      <c r="AF4" s="64"/>
      <c r="AG4" s="64"/>
      <c r="AH4" s="64"/>
      <c r="AI4" s="64"/>
      <c r="AJ4" s="412" t="s">
        <v>289</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 t="shared" ref="R5:R42" si="0">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595" t="e">
        <f t="array" ref="AB5:AB42">QuoteStatic</f>
        <v>#NUM!</v>
      </c>
      <c r="AC5" s="628" t="e">
        <f ca="1">_xll.qlSimpleQuoteSetValue(F5,AB5/100,Trigger)</f>
        <v>#NUM!</v>
      </c>
      <c r="AD5" s="218"/>
      <c r="AE5" s="64"/>
      <c r="AF5" s="506" t="s">
        <v>121</v>
      </c>
      <c r="AG5" s="85" t="s">
        <v>212</v>
      </c>
      <c r="AH5" s="84" t="s">
        <v>116</v>
      </c>
      <c r="AI5" s="64"/>
      <c r="AJ5" s="382" t="e">
        <f t="shared" ref="AJ5:AJ42" si="1">(U5-X5)/50</f>
        <v>#VALUE!</v>
      </c>
    </row>
    <row r="6" spans="1:36" x14ac:dyDescent="0.2">
      <c r="A6" s="118"/>
      <c r="B6" s="213"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GBPSB6L1Y_Quote#0000</v>
      </c>
      <c r="G6" s="72" t="str">
        <f>_xll.ohRangeRetrieveError(F6)</f>
        <v/>
      </c>
      <c r="H6" s="33"/>
      <c r="J6" s="207" t="s">
        <v>121</v>
      </c>
      <c r="K6" s="215" t="s">
        <v>212</v>
      </c>
      <c r="L6" s="214" t="s">
        <v>116</v>
      </c>
      <c r="N6" s="118"/>
      <c r="O6" s="354" t="s">
        <v>1</v>
      </c>
      <c r="P6" s="400" t="str">
        <v>SB</v>
      </c>
      <c r="Q6" s="400" t="str">
        <v>6L</v>
      </c>
      <c r="R6" s="353" t="str">
        <f t="shared" si="0"/>
        <v>GBPSB6L1Y</v>
      </c>
      <c r="S6" s="353" t="str">
        <v>GBPSB6L1Y=ICAP</v>
      </c>
      <c r="T6" s="401" t="s">
        <v>233</v>
      </c>
      <c r="U6" s="401" t="s">
        <v>233</v>
      </c>
      <c r="V6" s="401" t="s">
        <v>233</v>
      </c>
      <c r="W6" s="401" t="s">
        <v>233</v>
      </c>
      <c r="X6" s="498" t="e">
        <f>_xll.qlMidSafe($T6,$U6)</f>
        <v>#NUM!</v>
      </c>
      <c r="Y6" s="343"/>
      <c r="Z6" s="351" t="e">
        <v>#NUM!</v>
      </c>
      <c r="AA6" s="343"/>
      <c r="AB6" s="595" t="e">
        <v>#NUM!</v>
      </c>
      <c r="AC6" s="348" t="e">
        <f>_xll.qlSimpleQuoteSetValue(F6,AB6/100,Trigger)</f>
        <v>#NUM!</v>
      </c>
      <c r="AD6" s="218"/>
      <c r="AE6" s="64"/>
      <c r="AF6" s="207" t="s">
        <v>120</v>
      </c>
      <c r="AG6" s="82" t="s">
        <v>212</v>
      </c>
      <c r="AH6" s="81" t="s">
        <v>118</v>
      </c>
      <c r="AI6" s="64"/>
      <c r="AJ6" s="382" t="e">
        <f t="shared" si="1"/>
        <v>#VALUE!</v>
      </c>
    </row>
    <row r="7" spans="1:36" x14ac:dyDescent="0.2">
      <c r="A7" s="118"/>
      <c r="B7" s="216" t="s">
        <v>124</v>
      </c>
      <c r="C7" s="75" t="str">
        <v>SB</v>
      </c>
      <c r="D7" s="75" t="str">
        <v>6L</v>
      </c>
      <c r="E7" s="73" t="str">
        <f t="shared" si="2"/>
        <v>GBPSB6L15M_Quote</v>
      </c>
      <c r="F7" s="73" t="str">
        <f>_xll.qlSimpleQuote(Currency&amp;$C7&amp;$D7&amp;$B7&amp;QuoteSuffix,,RateTickValue,Permanent,Trigger,ObjectOverwrite)</f>
        <v>GBPSB6L15M_Quote#0000</v>
      </c>
      <c r="G7" s="72" t="str">
        <f>_xll.ohRangeRetrieveError(F7)</f>
        <v/>
      </c>
      <c r="H7" s="33"/>
      <c r="J7" s="207" t="s">
        <v>120</v>
      </c>
      <c r="K7" s="82" t="s">
        <v>212</v>
      </c>
      <c r="L7" s="81" t="s">
        <v>118</v>
      </c>
      <c r="N7" s="118"/>
      <c r="O7" s="354" t="s">
        <v>124</v>
      </c>
      <c r="P7" s="400" t="str">
        <v>SB</v>
      </c>
      <c r="Q7" s="400" t="str">
        <v>6L</v>
      </c>
      <c r="R7" s="353" t="str">
        <f t="shared" si="0"/>
        <v>GBPSB6L15M</v>
      </c>
      <c r="S7" s="353" t="str">
        <v>GBPSB6L15M=ICAP</v>
      </c>
      <c r="T7" s="401" t="s">
        <v>233</v>
      </c>
      <c r="U7" s="401" t="s">
        <v>233</v>
      </c>
      <c r="V7" s="401" t="s">
        <v>233</v>
      </c>
      <c r="W7" s="401" t="s">
        <v>233</v>
      </c>
      <c r="X7" s="498" t="e">
        <f>_xll.qlMidEquivalent($T7,$U7,$V7,$W7)</f>
        <v>#NUM!</v>
      </c>
      <c r="Y7" s="343"/>
      <c r="Z7" s="351" t="e">
        <v>#NUM!</v>
      </c>
      <c r="AA7" s="343"/>
      <c r="AB7" s="595" t="e">
        <v>#NUM!</v>
      </c>
      <c r="AC7" s="348" t="e">
        <f>_xll.qlSimpleQuoteSetValue(F7,AB7/100,Trigger)</f>
        <v>#NUM!</v>
      </c>
      <c r="AD7" s="218"/>
      <c r="AE7" s="64"/>
      <c r="AF7" s="207" t="s">
        <v>96</v>
      </c>
      <c r="AG7" s="82" t="s">
        <v>211</v>
      </c>
      <c r="AH7" s="81" t="s">
        <v>116</v>
      </c>
      <c r="AI7" s="509"/>
      <c r="AJ7" s="382" t="e">
        <f t="shared" si="1"/>
        <v>#VALUE!</v>
      </c>
    </row>
    <row r="8" spans="1:36" x14ac:dyDescent="0.2">
      <c r="A8" s="118"/>
      <c r="B8" s="216" t="s">
        <v>123</v>
      </c>
      <c r="C8" s="75" t="str">
        <v>SB</v>
      </c>
      <c r="D8" s="75" t="str">
        <v>6L</v>
      </c>
      <c r="E8" s="73" t="str">
        <f t="shared" si="2"/>
        <v>GBPSB6L18M_Quote</v>
      </c>
      <c r="F8" s="73" t="str">
        <f>_xll.qlSimpleQuote(Currency&amp;$C8&amp;$D8&amp;$B8&amp;QuoteSuffix,,RateTickValue,Permanent,Trigger,ObjectOverwrite)</f>
        <v>GBPSB6L18M_Quote#0000</v>
      </c>
      <c r="G8" s="72" t="str">
        <f>_xll.ohRangeRetrieveError(F8)</f>
        <v/>
      </c>
      <c r="H8" s="33"/>
      <c r="J8" s="207" t="s">
        <v>96</v>
      </c>
      <c r="K8" s="82" t="s">
        <v>211</v>
      </c>
      <c r="L8" s="81" t="s">
        <v>116</v>
      </c>
      <c r="N8" s="118"/>
      <c r="O8" s="354" t="s">
        <v>123</v>
      </c>
      <c r="P8" s="400" t="str">
        <v>SB</v>
      </c>
      <c r="Q8" s="400" t="str">
        <v>6L</v>
      </c>
      <c r="R8" s="353" t="str">
        <f t="shared" si="0"/>
        <v>GBPSB6L18M</v>
      </c>
      <c r="S8" s="353" t="str">
        <v>GBPSB6L18M=ICAP</v>
      </c>
      <c r="T8" s="401">
        <v>0.65625</v>
      </c>
      <c r="U8" s="401">
        <v>0.69625000000000004</v>
      </c>
      <c r="V8" s="401">
        <v>0</v>
      </c>
      <c r="W8" s="401">
        <v>0</v>
      </c>
      <c r="X8" s="498">
        <f>_xll.qlMidEquivalent($T8,$U8,$V8,$W8)</f>
        <v>0.67625000000000002</v>
      </c>
      <c r="Y8" s="343"/>
      <c r="Z8" s="351">
        <v>0.65249999999999997</v>
      </c>
      <c r="AA8" s="343"/>
      <c r="AB8" s="595">
        <v>0.65249999999999997</v>
      </c>
      <c r="AC8" s="348" t="e">
        <f>_xll.qlSimpleQuoteSetValue(F8,AB8/100,Trigger)</f>
        <v>#N/A</v>
      </c>
      <c r="AD8" s="218"/>
      <c r="AE8" s="64"/>
      <c r="AF8" s="207" t="s">
        <v>117</v>
      </c>
      <c r="AG8" s="82" t="s">
        <v>211</v>
      </c>
      <c r="AH8" s="81" t="s">
        <v>116</v>
      </c>
      <c r="AI8" s="509"/>
      <c r="AJ8" s="382">
        <f t="shared" si="1"/>
        <v>4.0000000000000034E-4</v>
      </c>
    </row>
    <row r="9" spans="1:36" ht="12" thickBot="1" x14ac:dyDescent="0.25">
      <c r="A9" s="118"/>
      <c r="B9" s="216" t="s">
        <v>122</v>
      </c>
      <c r="C9" s="75" t="str">
        <v>SB</v>
      </c>
      <c r="D9" s="75" t="str">
        <v>6L</v>
      </c>
      <c r="E9" s="73" t="str">
        <f t="shared" si="2"/>
        <v>GBPSB6L21M_Quote</v>
      </c>
      <c r="F9" s="73" t="str">
        <f>_xll.qlSimpleQuote(Currency&amp;$C9&amp;$D9&amp;$B9&amp;QuoteSuffix,,RateTickValue,Permanent,Trigger,ObjectOverwrite)</f>
        <v>GBPSB6L21M_Quote#0000</v>
      </c>
      <c r="G9" s="72" t="str">
        <f>_xll.ohRangeRetrieveError(F9)</f>
        <v/>
      </c>
      <c r="H9" s="33"/>
      <c r="J9" s="207" t="s">
        <v>117</v>
      </c>
      <c r="K9" s="215" t="s">
        <v>211</v>
      </c>
      <c r="L9" s="214" t="s">
        <v>116</v>
      </c>
      <c r="N9" s="118"/>
      <c r="O9" s="354" t="s">
        <v>122</v>
      </c>
      <c r="P9" s="400" t="str">
        <v>SB</v>
      </c>
      <c r="Q9" s="400" t="str">
        <v>6L</v>
      </c>
      <c r="R9" s="353" t="str">
        <f t="shared" si="0"/>
        <v>GBPSB6L21M</v>
      </c>
      <c r="S9" s="353" t="str">
        <v>GBPSB6L21M=ICAP</v>
      </c>
      <c r="T9" s="401" t="s">
        <v>233</v>
      </c>
      <c r="U9" s="401" t="s">
        <v>233</v>
      </c>
      <c r="V9" s="401" t="s">
        <v>233</v>
      </c>
      <c r="W9" s="401" t="s">
        <v>233</v>
      </c>
      <c r="X9" s="498" t="e">
        <f>_xll.qlMidEquivalent($T9,$U9,$V9,$W9)</f>
        <v>#NUM!</v>
      </c>
      <c r="Y9" s="343"/>
      <c r="Z9" s="351" t="e">
        <v>#NUM!</v>
      </c>
      <c r="AA9" s="343"/>
      <c r="AB9" s="595" t="e">
        <v>#NUM!</v>
      </c>
      <c r="AC9" s="348" t="e">
        <f>_xll.qlSimpleQuoteSetValue(F9,AB9/100,Trigger)</f>
        <v>#NUM!</v>
      </c>
      <c r="AD9" s="218"/>
      <c r="AE9" s="64"/>
      <c r="AF9" s="206" t="s">
        <v>115</v>
      </c>
      <c r="AG9" s="79" t="s">
        <v>210</v>
      </c>
      <c r="AH9" s="78" t="s">
        <v>116</v>
      </c>
      <c r="AI9" s="64"/>
      <c r="AJ9" s="382" t="e">
        <f t="shared" si="1"/>
        <v>#VALUE!</v>
      </c>
    </row>
    <row r="10" spans="1:36" ht="12" thickBot="1" x14ac:dyDescent="0.25">
      <c r="A10" s="118"/>
      <c r="B10" s="213" t="s">
        <v>85</v>
      </c>
      <c r="C10" s="75" t="str">
        <v>SB</v>
      </c>
      <c r="D10" s="75" t="str">
        <v>6L</v>
      </c>
      <c r="E10" s="73" t="str">
        <f t="shared" si="2"/>
        <v>GBPSB6L2Y_Quote</v>
      </c>
      <c r="F10" s="73" t="str">
        <f>_xll.qlSimpleQuote(Currency&amp;$C10&amp;$D10&amp;$B10&amp;QuoteSuffix,,RateTickValue,Permanent,Trigger,ObjectOverwrite)</f>
        <v>GBPSB6L2Y_Quote#0000</v>
      </c>
      <c r="G10" s="72" t="str">
        <f>_xll.ohRangeRetrieveError(F10)</f>
        <v/>
      </c>
      <c r="H10" s="33"/>
      <c r="J10" s="206" t="s">
        <v>115</v>
      </c>
      <c r="K10" s="79" t="s">
        <v>210</v>
      </c>
      <c r="L10" s="78" t="s">
        <v>116</v>
      </c>
      <c r="N10" s="118"/>
      <c r="O10" s="354" t="s">
        <v>85</v>
      </c>
      <c r="P10" s="400" t="str">
        <v>SB</v>
      </c>
      <c r="Q10" s="400" t="str">
        <v>6L</v>
      </c>
      <c r="R10" s="353" t="str">
        <f t="shared" si="0"/>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595">
        <v>0.66749999999999998</v>
      </c>
      <c r="AC10" s="348" t="e">
        <f>_xll.qlSimpleQuoteSetValue(F10,AB10/100,Trigger)</f>
        <v>#N/A</v>
      </c>
      <c r="AD10" s="218"/>
      <c r="AE10" s="64"/>
      <c r="AF10" s="64"/>
      <c r="AG10" s="64"/>
      <c r="AH10" s="64"/>
      <c r="AI10" s="64"/>
      <c r="AJ10" s="382">
        <f t="shared" si="1"/>
        <v>4.0000000000000034E-4</v>
      </c>
    </row>
    <row r="11" spans="1:36" x14ac:dyDescent="0.2">
      <c r="A11" s="118"/>
      <c r="B11" s="213" t="s">
        <v>84</v>
      </c>
      <c r="C11" s="75" t="str">
        <v>SB</v>
      </c>
      <c r="D11" s="75" t="str">
        <v>6L</v>
      </c>
      <c r="E11" s="73" t="str">
        <f t="shared" si="2"/>
        <v>GBPSB6L3Y_Quote</v>
      </c>
      <c r="F11" s="73" t="str">
        <f>_xll.qlSimpleQuote(Currency&amp;$C11&amp;$D11&amp;$B11&amp;QuoteSuffix,,RateTickValue,Permanent,Trigger,ObjectOverwrite)</f>
        <v>GBPSB6L3Y_Quote#0000</v>
      </c>
      <c r="G11" s="72" t="str">
        <f>_xll.ohRangeRetrieveError(F11)</f>
        <v/>
      </c>
      <c r="H11" s="33"/>
      <c r="N11" s="118"/>
      <c r="O11" s="354" t="s">
        <v>84</v>
      </c>
      <c r="P11" s="400" t="str">
        <v>SB</v>
      </c>
      <c r="Q11" s="400" t="str">
        <v>6L</v>
      </c>
      <c r="R11" s="353" t="str">
        <f t="shared" si="0"/>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595">
        <v>0.73250000000000004</v>
      </c>
      <c r="AC11" s="348" t="e">
        <f>_xll.qlSimpleQuoteSetValue(F11,AB11/100,Trigger)</f>
        <v>#N/A</v>
      </c>
      <c r="AD11" s="218"/>
      <c r="AE11" s="64"/>
      <c r="AF11" s="64"/>
      <c r="AG11" s="64"/>
      <c r="AH11" s="64"/>
      <c r="AI11" s="64"/>
      <c r="AJ11" s="382">
        <f t="shared" si="1"/>
        <v>4.0000000000000034E-4</v>
      </c>
    </row>
    <row r="12" spans="1:36" x14ac:dyDescent="0.2">
      <c r="A12" s="118"/>
      <c r="B12" s="213" t="s">
        <v>83</v>
      </c>
      <c r="C12" s="75" t="str">
        <v>SB</v>
      </c>
      <c r="D12" s="75" t="str">
        <v>6L</v>
      </c>
      <c r="E12" s="73" t="str">
        <f t="shared" si="2"/>
        <v>GBPSB6L4Y_Quote</v>
      </c>
      <c r="F12" s="73" t="str">
        <f>_xll.qlSimpleQuote(Currency&amp;$C12&amp;$D12&amp;$B12&amp;QuoteSuffix,,RateTickValue,Permanent,Trigger,ObjectOverwrite)</f>
        <v>GBPSB6L4Y_Quote#0000</v>
      </c>
      <c r="G12" s="72" t="str">
        <f>_xll.ohRangeRetrieveError(F12)</f>
        <v/>
      </c>
      <c r="H12" s="33"/>
      <c r="N12" s="118"/>
      <c r="O12" s="354" t="s">
        <v>83</v>
      </c>
      <c r="P12" s="400" t="str">
        <v>SB</v>
      </c>
      <c r="Q12" s="400" t="str">
        <v>6L</v>
      </c>
      <c r="R12" s="353" t="str">
        <f t="shared" si="0"/>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595">
        <v>0.84499999999999997</v>
      </c>
      <c r="AC12" s="348" t="e">
        <f>_xll.qlSimpleQuoteSetValue(F12,AB12/100,Trigger)</f>
        <v>#N/A</v>
      </c>
      <c r="AD12" s="218"/>
      <c r="AE12" s="64"/>
      <c r="AF12" s="64"/>
      <c r="AG12" s="64"/>
      <c r="AH12" s="64"/>
      <c r="AI12" s="64"/>
      <c r="AJ12" s="382">
        <f t="shared" si="1"/>
        <v>5.0000000000000044E-4</v>
      </c>
    </row>
    <row r="13" spans="1:36" x14ac:dyDescent="0.2">
      <c r="A13" s="118"/>
      <c r="B13" s="213" t="s">
        <v>82</v>
      </c>
      <c r="C13" s="75" t="str">
        <v>SB</v>
      </c>
      <c r="D13" s="75" t="str">
        <v>6L</v>
      </c>
      <c r="E13" s="73" t="str">
        <f t="shared" si="2"/>
        <v>GBPSB6L5Y_Quote</v>
      </c>
      <c r="F13" s="73" t="str">
        <f>_xll.qlSimpleQuote(Currency&amp;$C13&amp;$D13&amp;$B13&amp;QuoteSuffix,,RateTickValue,Permanent,Trigger,ObjectOverwrite)</f>
        <v>GBPSB6L5Y_Quote#0000</v>
      </c>
      <c r="G13" s="72" t="str">
        <f>_xll.ohRangeRetrieveError(F13)</f>
        <v/>
      </c>
      <c r="H13" s="33"/>
      <c r="N13" s="118"/>
      <c r="O13" s="354" t="s">
        <v>82</v>
      </c>
      <c r="P13" s="400" t="str">
        <v>SB</v>
      </c>
      <c r="Q13" s="400" t="str">
        <v>6L</v>
      </c>
      <c r="R13" s="353" t="str">
        <f t="shared" si="0"/>
        <v>GBPSB6L5Y</v>
      </c>
      <c r="S13" s="353" t="str">
        <v>GBPSB6L5Y=ICAP</v>
      </c>
      <c r="T13" s="401">
        <v>1.1525000000000001</v>
      </c>
      <c r="U13" s="401">
        <v>1.2024999999999999</v>
      </c>
      <c r="V13" s="401">
        <v>0</v>
      </c>
      <c r="W13" s="401">
        <v>0</v>
      </c>
      <c r="X13" s="498">
        <f>_xll.qlMidEquivalent($T13,$U13,$V13,$W13)</f>
        <v>1.1775</v>
      </c>
      <c r="Y13" s="343"/>
      <c r="Z13" s="351">
        <v>0.995</v>
      </c>
      <c r="AA13" s="343"/>
      <c r="AB13" s="595">
        <v>0.995</v>
      </c>
      <c r="AC13" s="348" t="e">
        <f>_xll.qlSimpleQuoteSetValue(F13,AB13/100,Trigger)</f>
        <v>#N/A</v>
      </c>
      <c r="AD13" s="218"/>
      <c r="AE13" s="64"/>
      <c r="AF13" s="64"/>
      <c r="AG13" s="64"/>
      <c r="AH13" s="64"/>
      <c r="AI13" s="64"/>
      <c r="AJ13" s="382">
        <f t="shared" si="1"/>
        <v>4.9999999999999828E-4</v>
      </c>
    </row>
    <row r="14" spans="1:36" x14ac:dyDescent="0.2">
      <c r="A14" s="118"/>
      <c r="B14" s="213" t="s">
        <v>81</v>
      </c>
      <c r="C14" s="75" t="str">
        <v>SB</v>
      </c>
      <c r="D14" s="75" t="str">
        <v>6L</v>
      </c>
      <c r="E14" s="73" t="str">
        <f t="shared" si="2"/>
        <v>GBPSB6L6Y_Quote</v>
      </c>
      <c r="F14" s="73" t="str">
        <f>_xll.qlSimpleQuote(Currency&amp;$C14&amp;$D14&amp;$B14&amp;QuoteSuffix,,RateTickValue,Permanent,Trigger,ObjectOverwrite)</f>
        <v>GBPSB6L6Y_Quote#0000</v>
      </c>
      <c r="G14" s="72" t="str">
        <f>_xll.ohRangeRetrieveError(F14)</f>
        <v/>
      </c>
      <c r="H14" s="33"/>
      <c r="N14" s="118"/>
      <c r="O14" s="354" t="s">
        <v>81</v>
      </c>
      <c r="P14" s="400" t="str">
        <v>SB</v>
      </c>
      <c r="Q14" s="400" t="str">
        <v>6L</v>
      </c>
      <c r="R14" s="353" t="str">
        <f t="shared" si="0"/>
        <v>GBPSB6L6Y</v>
      </c>
      <c r="S14" s="353" t="str">
        <v>GBPSB6L6Y=ICAP</v>
      </c>
      <c r="T14" s="401">
        <v>1.35375</v>
      </c>
      <c r="U14" s="401">
        <v>1.4037500000000001</v>
      </c>
      <c r="V14" s="401">
        <v>0</v>
      </c>
      <c r="W14" s="401">
        <v>0</v>
      </c>
      <c r="X14" s="498">
        <f>_xll.qlMidEquivalent($T14,$U14,$V14,$W14)</f>
        <v>1.3787500000000001</v>
      </c>
      <c r="Y14" s="343"/>
      <c r="Z14" s="351">
        <v>1.165</v>
      </c>
      <c r="AA14" s="343"/>
      <c r="AB14" s="595">
        <v>1.165</v>
      </c>
      <c r="AC14" s="348" t="e">
        <f>_xll.qlSimpleQuoteSetValue(F14,AB14/100,Trigger)</f>
        <v>#N/A</v>
      </c>
      <c r="AD14" s="218"/>
      <c r="AE14" s="64"/>
      <c r="AF14" s="64"/>
      <c r="AG14" s="64"/>
      <c r="AH14" s="64"/>
      <c r="AI14" s="64"/>
      <c r="AJ14" s="382">
        <f t="shared" si="1"/>
        <v>4.9999999999999828E-4</v>
      </c>
    </row>
    <row r="15" spans="1:36" x14ac:dyDescent="0.2">
      <c r="A15" s="118"/>
      <c r="B15" s="213" t="s">
        <v>80</v>
      </c>
      <c r="C15" s="75" t="str">
        <v>SB</v>
      </c>
      <c r="D15" s="75" t="str">
        <v>6L</v>
      </c>
      <c r="E15" s="73" t="str">
        <f t="shared" si="2"/>
        <v>GBPSB6L7Y_Quote</v>
      </c>
      <c r="F15" s="73" t="str">
        <f>_xll.qlSimpleQuote(Currency&amp;$C15&amp;$D15&amp;$B15&amp;QuoteSuffix,,RateTickValue,Permanent,Trigger,ObjectOverwrite)</f>
        <v>GBPSB6L7Y_Quote#0000</v>
      </c>
      <c r="G15" s="72" t="str">
        <f>_xll.ohRangeRetrieveError(F15)</f>
        <v/>
      </c>
      <c r="H15" s="33"/>
      <c r="N15" s="118"/>
      <c r="O15" s="354" t="s">
        <v>80</v>
      </c>
      <c r="P15" s="400" t="str">
        <v>SB</v>
      </c>
      <c r="Q15" s="400" t="str">
        <v>6L</v>
      </c>
      <c r="R15" s="353" t="str">
        <f t="shared" si="0"/>
        <v>GBPSB6L7Y</v>
      </c>
      <c r="S15" s="353" t="str">
        <v>GBPSB6L7Y=ICAP</v>
      </c>
      <c r="T15" s="401">
        <v>1.5587500000000001</v>
      </c>
      <c r="U15" s="401">
        <v>1.6087499999999999</v>
      </c>
      <c r="V15" s="401">
        <v>0</v>
      </c>
      <c r="W15" s="401">
        <v>0</v>
      </c>
      <c r="X15" s="498">
        <f>_xll.qlMidEquivalent($T15,$U15,$V15,$W15)</f>
        <v>1.58375</v>
      </c>
      <c r="Y15" s="343"/>
      <c r="Z15" s="351">
        <v>1.3474999999999999</v>
      </c>
      <c r="AA15" s="343"/>
      <c r="AB15" s="595">
        <v>1.3474999999999999</v>
      </c>
      <c r="AC15" s="348" t="e">
        <f>_xll.qlSimpleQuoteSetValue(F15,AB15/100,Trigger)</f>
        <v>#N/A</v>
      </c>
      <c r="AD15" s="218"/>
      <c r="AE15" s="64"/>
      <c r="AF15" s="64"/>
      <c r="AG15" s="64"/>
      <c r="AH15" s="64"/>
      <c r="AI15" s="64"/>
      <c r="AJ15" s="382">
        <f t="shared" si="1"/>
        <v>4.9999999999999828E-4</v>
      </c>
    </row>
    <row r="16" spans="1:36" x14ac:dyDescent="0.2">
      <c r="A16" s="118"/>
      <c r="B16" s="213" t="s">
        <v>79</v>
      </c>
      <c r="C16" s="75" t="str">
        <v>SB</v>
      </c>
      <c r="D16" s="75" t="str">
        <v>6L</v>
      </c>
      <c r="E16" s="73" t="str">
        <f t="shared" si="2"/>
        <v>GBPSB6L8Y_Quote</v>
      </c>
      <c r="F16" s="73" t="str">
        <f>_xll.qlSimpleQuote(Currency&amp;$C16&amp;$D16&amp;$B16&amp;QuoteSuffix,,RateTickValue,Permanent,Trigger,ObjectOverwrite)</f>
        <v>GBPSB6L8Y_Quote#0000</v>
      </c>
      <c r="G16" s="72" t="str">
        <f>_xll.ohRangeRetrieveError(F16)</f>
        <v/>
      </c>
      <c r="H16" s="33"/>
      <c r="N16" s="118"/>
      <c r="O16" s="354" t="s">
        <v>79</v>
      </c>
      <c r="P16" s="400" t="str">
        <v>SB</v>
      </c>
      <c r="Q16" s="400" t="str">
        <v>6L</v>
      </c>
      <c r="R16" s="353" t="str">
        <f t="shared" si="0"/>
        <v>GBPSB6L8Y</v>
      </c>
      <c r="S16" s="353" t="str">
        <v>GBPSB6L8Y=ICAP</v>
      </c>
      <c r="T16" s="401">
        <v>1.7575000000000001</v>
      </c>
      <c r="U16" s="401">
        <v>1.8075000000000001</v>
      </c>
      <c r="V16" s="401">
        <v>0</v>
      </c>
      <c r="W16" s="401">
        <v>0</v>
      </c>
      <c r="X16" s="498">
        <f>_xll.qlMidEquivalent($T16,$U16,$V16,$W16)</f>
        <v>1.7825000000000002</v>
      </c>
      <c r="Y16" s="343"/>
      <c r="Z16" s="351">
        <v>1.53</v>
      </c>
      <c r="AA16" s="343"/>
      <c r="AB16" s="595">
        <v>1.53</v>
      </c>
      <c r="AC16" s="348" t="e">
        <f>_xll.qlSimpleQuoteSetValue(F16,AB16/100,Trigger)</f>
        <v>#N/A</v>
      </c>
      <c r="AD16" s="218"/>
      <c r="AE16" s="64"/>
      <c r="AF16" s="64"/>
      <c r="AG16" s="64"/>
      <c r="AH16" s="64"/>
      <c r="AI16" s="64"/>
      <c r="AJ16" s="382">
        <f t="shared" si="1"/>
        <v>4.9999999999999828E-4</v>
      </c>
    </row>
    <row r="17" spans="1:36" x14ac:dyDescent="0.2">
      <c r="A17" s="118"/>
      <c r="B17" s="213" t="s">
        <v>78</v>
      </c>
      <c r="C17" s="75" t="str">
        <v>SB</v>
      </c>
      <c r="D17" s="75" t="str">
        <v>6L</v>
      </c>
      <c r="E17" s="73" t="str">
        <f t="shared" si="2"/>
        <v>GBPSB6L9Y_Quote</v>
      </c>
      <c r="F17" s="73" t="str">
        <f>_xll.qlSimpleQuote(Currency&amp;$C17&amp;$D17&amp;$B17&amp;QuoteSuffix,,RateTickValue,Permanent,Trigger,ObjectOverwrite)</f>
        <v>GBPSB6L9Y_Quote#0000</v>
      </c>
      <c r="G17" s="72" t="str">
        <f>_xll.ohRangeRetrieveError(F17)</f>
        <v/>
      </c>
      <c r="H17" s="33"/>
      <c r="N17" s="118"/>
      <c r="O17" s="354" t="s">
        <v>78</v>
      </c>
      <c r="P17" s="400" t="str">
        <v>SB</v>
      </c>
      <c r="Q17" s="400" t="str">
        <v>6L</v>
      </c>
      <c r="R17" s="353" t="str">
        <f t="shared" si="0"/>
        <v>GBPSB6L9Y</v>
      </c>
      <c r="S17" s="353" t="str">
        <v>GBPSB6L9Y=ICAP</v>
      </c>
      <c r="T17" s="401">
        <v>1.9424999999999999</v>
      </c>
      <c r="U17" s="401">
        <v>1.9924999999999999</v>
      </c>
      <c r="V17" s="401">
        <v>0</v>
      </c>
      <c r="W17" s="401">
        <v>0</v>
      </c>
      <c r="X17" s="498">
        <f>_xll.qlMidEquivalent($T17,$U17,$V17,$W17)</f>
        <v>1.9674999999999998</v>
      </c>
      <c r="Y17" s="343"/>
      <c r="Z17" s="351">
        <v>1.7075</v>
      </c>
      <c r="AA17" s="343"/>
      <c r="AB17" s="595">
        <v>1.7075</v>
      </c>
      <c r="AC17" s="348" t="e">
        <f>_xll.qlSimpleQuoteSetValue(F17,AB17/100,Trigger)</f>
        <v>#N/A</v>
      </c>
      <c r="AD17" s="218"/>
      <c r="AE17" s="64"/>
      <c r="AF17" s="64"/>
      <c r="AG17" s="64"/>
      <c r="AH17" s="64"/>
      <c r="AI17" s="64"/>
      <c r="AJ17" s="382">
        <f t="shared" si="1"/>
        <v>5.0000000000000261E-4</v>
      </c>
    </row>
    <row r="18" spans="1:36" x14ac:dyDescent="0.2">
      <c r="A18" s="118"/>
      <c r="B18" s="213" t="s">
        <v>77</v>
      </c>
      <c r="C18" s="75" t="str">
        <v>SB</v>
      </c>
      <c r="D18" s="75" t="str">
        <v>6L</v>
      </c>
      <c r="E18" s="73" t="str">
        <f t="shared" si="2"/>
        <v>GBPSB6L10Y_Quote</v>
      </c>
      <c r="F18" s="73" t="str">
        <f>_xll.qlSimpleQuote(Currency&amp;$C18&amp;$D18&amp;$B18&amp;QuoteSuffix,,RateTickValue,Permanent,Trigger,ObjectOverwrite)</f>
        <v>GBPSB6L10Y_Quote#0000</v>
      </c>
      <c r="G18" s="72" t="str">
        <f>_xll.ohRangeRetrieveError(F18)</f>
        <v/>
      </c>
      <c r="H18" s="33"/>
      <c r="N18" s="118"/>
      <c r="O18" s="354" t="s">
        <v>77</v>
      </c>
      <c r="P18" s="400" t="str">
        <v>SB</v>
      </c>
      <c r="Q18" s="400" t="str">
        <v>6L</v>
      </c>
      <c r="R18" s="353" t="str">
        <f t="shared" si="0"/>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595">
        <v>1.8725000000000001</v>
      </c>
      <c r="AC18" s="348" t="e">
        <f>_xll.qlSimpleQuoteSetValue(F18,AB18/100,Trigger)</f>
        <v>#N/A</v>
      </c>
      <c r="AD18" s="218"/>
      <c r="AE18" s="64"/>
      <c r="AF18" s="64"/>
      <c r="AG18" s="64"/>
      <c r="AH18" s="64"/>
      <c r="AI18" s="64"/>
      <c r="AJ18" s="382">
        <f t="shared" si="1"/>
        <v>4.9999999999999828E-4</v>
      </c>
    </row>
    <row r="19" spans="1:36" x14ac:dyDescent="0.2">
      <c r="A19" s="118"/>
      <c r="B19" s="213" t="s">
        <v>76</v>
      </c>
      <c r="C19" s="75" t="str">
        <v>SB</v>
      </c>
      <c r="D19" s="75" t="str">
        <v>6L</v>
      </c>
      <c r="E19" s="73" t="str">
        <f t="shared" si="2"/>
        <v>GBPSB6L11Y_Quote</v>
      </c>
      <c r="F19" s="73" t="str">
        <f>_xll.qlSimpleQuote(Currency&amp;$C19&amp;$D19&amp;$B19&amp;QuoteSuffix,,RateTickValue,Permanent,Trigger,ObjectOverwrite)</f>
        <v>GBPSB6L11Y_Quote#0000</v>
      </c>
      <c r="G19" s="72" t="str">
        <f>_xll.ohRangeRetrieveError(F19)</f>
        <v/>
      </c>
      <c r="H19" s="33"/>
      <c r="N19" s="118"/>
      <c r="O19" s="354" t="s">
        <v>76</v>
      </c>
      <c r="P19" s="400" t="str">
        <v>SB</v>
      </c>
      <c r="Q19" s="400" t="str">
        <v>6L</v>
      </c>
      <c r="R19" s="353" t="str">
        <f t="shared" si="0"/>
        <v>GBPSB6L11Y</v>
      </c>
      <c r="S19" s="353" t="str">
        <v>GBPSB6L11Y=ICAP</v>
      </c>
      <c r="T19" s="401">
        <v>2.2400000000000002</v>
      </c>
      <c r="U19" s="401">
        <v>2.31</v>
      </c>
      <c r="V19" s="401">
        <v>0</v>
      </c>
      <c r="W19" s="401">
        <v>0</v>
      </c>
      <c r="X19" s="498">
        <f>_xll.qlMidEquivalent($T19,$U19,$V19,$W19)</f>
        <v>2.2750000000000004</v>
      </c>
      <c r="Y19" s="343"/>
      <c r="Z19" s="351" t="e">
        <v>#NUM!</v>
      </c>
      <c r="AA19" s="343"/>
      <c r="AB19" s="595" t="e">
        <v>#NUM!</v>
      </c>
      <c r="AC19" s="348" t="e">
        <f>_xll.qlSimpleQuoteSetValue(F19,AB19/100,Trigger)</f>
        <v>#NUM!</v>
      </c>
      <c r="AD19" s="218"/>
      <c r="AE19" s="64"/>
      <c r="AF19" s="64"/>
      <c r="AG19" s="64"/>
      <c r="AH19" s="64"/>
      <c r="AI19" s="64"/>
      <c r="AJ19" s="382">
        <f t="shared" si="1"/>
        <v>6.9999999999999392E-4</v>
      </c>
    </row>
    <row r="20" spans="1:36" x14ac:dyDescent="0.2">
      <c r="A20" s="118"/>
      <c r="B20" s="213" t="s">
        <v>75</v>
      </c>
      <c r="C20" s="75" t="str">
        <v>SB</v>
      </c>
      <c r="D20" s="75" t="str">
        <v>6L</v>
      </c>
      <c r="E20" s="73" t="str">
        <f t="shared" si="2"/>
        <v>GBPSB6L12Y_Quote</v>
      </c>
      <c r="F20" s="73" t="str">
        <f>_xll.qlSimpleQuote(Currency&amp;$C20&amp;$D20&amp;$B20&amp;QuoteSuffix,,RateTickValue,Permanent,Trigger,ObjectOverwrite)</f>
        <v>GBPSB6L12Y_Quote#0000</v>
      </c>
      <c r="G20" s="72" t="str">
        <f>_xll.ohRangeRetrieveError(F20)</f>
        <v/>
      </c>
      <c r="H20" s="33"/>
      <c r="N20" s="118"/>
      <c r="O20" s="354" t="s">
        <v>75</v>
      </c>
      <c r="P20" s="400" t="str">
        <v>SB</v>
      </c>
      <c r="Q20" s="400" t="str">
        <v>6L</v>
      </c>
      <c r="R20" s="353" t="str">
        <f t="shared" si="0"/>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595">
        <v>2.1425000000000001</v>
      </c>
      <c r="AC20" s="348" t="e">
        <f>_xll.qlSimpleQuoteSetValue(F20,AB20/100,Trigger)</f>
        <v>#N/A</v>
      </c>
      <c r="AD20" s="218"/>
      <c r="AE20" s="64"/>
      <c r="AF20" s="64"/>
      <c r="AG20" s="64"/>
      <c r="AH20" s="64"/>
      <c r="AI20" s="64"/>
      <c r="AJ20" s="382">
        <f t="shared" si="1"/>
        <v>7.0000000000000281E-4</v>
      </c>
    </row>
    <row r="21" spans="1:36" x14ac:dyDescent="0.2">
      <c r="A21" s="118"/>
      <c r="B21" s="213" t="s">
        <v>74</v>
      </c>
      <c r="C21" s="75" t="str">
        <v>SB</v>
      </c>
      <c r="D21" s="75" t="str">
        <v>6L</v>
      </c>
      <c r="E21" s="73" t="str">
        <f t="shared" si="2"/>
        <v>GBPSB6L13Y_Quote</v>
      </c>
      <c r="F21" s="73" t="str">
        <f>_xll.qlSimpleQuote(Currency&amp;$C21&amp;$D21&amp;$B21&amp;QuoteSuffix,,RateTickValue,Permanent,Trigger,ObjectOverwrite)</f>
        <v>GBPSB6L13Y_Quote#0000</v>
      </c>
      <c r="G21" s="72" t="str">
        <f>_xll.ohRangeRetrieveError(F21)</f>
        <v/>
      </c>
      <c r="H21" s="33"/>
      <c r="N21" s="118"/>
      <c r="O21" s="354" t="s">
        <v>74</v>
      </c>
      <c r="P21" s="400" t="str">
        <v>SB</v>
      </c>
      <c r="Q21" s="400" t="str">
        <v>6L</v>
      </c>
      <c r="R21" s="353" t="str">
        <f t="shared" si="0"/>
        <v>GBPSB6L13Y</v>
      </c>
      <c r="S21" s="353" t="str">
        <v>GBPSB6L13Y=ICAP</v>
      </c>
      <c r="T21" s="401" t="s">
        <v>233</v>
      </c>
      <c r="U21" s="401" t="s">
        <v>233</v>
      </c>
      <c r="V21" s="401" t="s">
        <v>233</v>
      </c>
      <c r="W21" s="401" t="s">
        <v>233</v>
      </c>
      <c r="X21" s="498" t="e">
        <f>_xll.qlMidEquivalent($T21,$U21,$V21,$W21)</f>
        <v>#NUM!</v>
      </c>
      <c r="Y21" s="343"/>
      <c r="Z21" s="351" t="e">
        <v>#NUM!</v>
      </c>
      <c r="AA21" s="343"/>
      <c r="AB21" s="595" t="e">
        <v>#NUM!</v>
      </c>
      <c r="AC21" s="348" t="e">
        <f>_xll.qlSimpleQuoteSetValue(F21,AB21/100,Trigger)</f>
        <v>#NUM!</v>
      </c>
      <c r="AD21" s="218"/>
      <c r="AE21" s="64"/>
      <c r="AF21" s="64"/>
      <c r="AG21" s="64"/>
      <c r="AH21" s="64"/>
      <c r="AI21" s="64"/>
      <c r="AJ21" s="382" t="e">
        <f t="shared" si="1"/>
        <v>#VALUE!</v>
      </c>
    </row>
    <row r="22" spans="1:36" x14ac:dyDescent="0.2">
      <c r="A22" s="118"/>
      <c r="B22" s="213" t="s">
        <v>73</v>
      </c>
      <c r="C22" s="75" t="str">
        <v>SB</v>
      </c>
      <c r="D22" s="75" t="str">
        <v>6L</v>
      </c>
      <c r="E22" s="73" t="str">
        <f t="shared" si="2"/>
        <v>GBPSB6L14Y_Quote</v>
      </c>
      <c r="F22" s="73" t="str">
        <f>_xll.qlSimpleQuote(Currency&amp;$C22&amp;$D22&amp;$B22&amp;QuoteSuffix,,RateTickValue,Permanent,Trigger,ObjectOverwrite)</f>
        <v>GBPSB6L14Y_Quote#0000</v>
      </c>
      <c r="G22" s="72" t="str">
        <f>_xll.ohRangeRetrieveError(F22)</f>
        <v/>
      </c>
      <c r="H22" s="33"/>
      <c r="N22" s="118"/>
      <c r="O22" s="354" t="s">
        <v>73</v>
      </c>
      <c r="P22" s="400" t="str">
        <v>SB</v>
      </c>
      <c r="Q22" s="400" t="str">
        <v>6L</v>
      </c>
      <c r="R22" s="353" t="str">
        <f t="shared" si="0"/>
        <v>GBPSB6L14Y</v>
      </c>
      <c r="S22" s="353" t="str">
        <v>GBPSB6L14Y=ICAP</v>
      </c>
      <c r="T22" s="401" t="s">
        <v>233</v>
      </c>
      <c r="U22" s="401" t="s">
        <v>233</v>
      </c>
      <c r="V22" s="401" t="s">
        <v>233</v>
      </c>
      <c r="W22" s="401" t="s">
        <v>233</v>
      </c>
      <c r="X22" s="498" t="e">
        <f>_xll.qlMidEquivalent($T22,$U22,$V22,$W22)</f>
        <v>#NUM!</v>
      </c>
      <c r="Y22" s="343"/>
      <c r="Z22" s="351" t="e">
        <v>#NUM!</v>
      </c>
      <c r="AA22" s="343"/>
      <c r="AB22" s="595" t="e">
        <v>#NUM!</v>
      </c>
      <c r="AC22" s="348" t="e">
        <f>_xll.qlSimpleQuoteSetValue(F22,AB22/100,Trigger)</f>
        <v>#NUM!</v>
      </c>
      <c r="AD22" s="218"/>
      <c r="AE22" s="64"/>
      <c r="AF22" s="64"/>
      <c r="AG22" s="64"/>
      <c r="AH22" s="64"/>
      <c r="AI22" s="64"/>
      <c r="AJ22" s="382" t="e">
        <f t="shared" si="1"/>
        <v>#VALUE!</v>
      </c>
    </row>
    <row r="23" spans="1:36" x14ac:dyDescent="0.2">
      <c r="A23" s="118"/>
      <c r="B23" s="213" t="s">
        <v>72</v>
      </c>
      <c r="C23" s="75" t="str">
        <v>SB</v>
      </c>
      <c r="D23" s="75" t="str">
        <v>6L</v>
      </c>
      <c r="E23" s="73" t="str">
        <f t="shared" si="2"/>
        <v>GBPSB6L15Y_Quote</v>
      </c>
      <c r="F23" s="73" t="str">
        <f>_xll.qlSimpleQuote(Currency&amp;$C23&amp;$D23&amp;$B23&amp;QuoteSuffix,,RateTickValue,Permanent,Trigger,ObjectOverwrite)</f>
        <v>GBPSB6L15Y_Quote#0000</v>
      </c>
      <c r="G23" s="72" t="str">
        <f>_xll.ohRangeRetrieveError(F23)</f>
        <v/>
      </c>
      <c r="H23" s="33"/>
      <c r="N23" s="118"/>
      <c r="O23" s="354" t="s">
        <v>72</v>
      </c>
      <c r="P23" s="400" t="str">
        <v>SB</v>
      </c>
      <c r="Q23" s="400" t="str">
        <v>6L</v>
      </c>
      <c r="R23" s="353" t="str">
        <f t="shared" si="0"/>
        <v>GBPSB6L15Y</v>
      </c>
      <c r="S23" s="353" t="str">
        <v>GBPSB6L15Y=ICAP</v>
      </c>
      <c r="T23" s="401">
        <v>2.63375</v>
      </c>
      <c r="U23" s="401">
        <v>2.7237499999999999</v>
      </c>
      <c r="V23" s="401">
        <v>0</v>
      </c>
      <c r="W23" s="401">
        <v>0</v>
      </c>
      <c r="X23" s="498">
        <f>_xll.qlMidEquivalent($T23,$U23,$V23,$W23)</f>
        <v>2.67875</v>
      </c>
      <c r="Y23" s="343"/>
      <c r="Z23" s="351">
        <v>2.4325000000000001</v>
      </c>
      <c r="AA23" s="343"/>
      <c r="AB23" s="595">
        <v>2.4325000000000001</v>
      </c>
      <c r="AC23" s="348" t="e">
        <f>_xll.qlSimpleQuoteSetValue(F23,AB23/100,Trigger)</f>
        <v>#N/A</v>
      </c>
      <c r="AD23" s="218"/>
      <c r="AE23" s="64"/>
      <c r="AF23" s="64"/>
      <c r="AG23" s="64"/>
      <c r="AH23" s="64"/>
      <c r="AI23" s="64"/>
      <c r="AJ23" s="382">
        <f t="shared" si="1"/>
        <v>8.9999999999999857E-4</v>
      </c>
    </row>
    <row r="24" spans="1:36" x14ac:dyDescent="0.2">
      <c r="A24" s="118"/>
      <c r="B24" s="213" t="s">
        <v>71</v>
      </c>
      <c r="C24" s="75" t="str">
        <v>SB</v>
      </c>
      <c r="D24" s="75" t="str">
        <v>6L</v>
      </c>
      <c r="E24" s="73" t="str">
        <f t="shared" si="2"/>
        <v>GBPSB6L16Y_Quote</v>
      </c>
      <c r="F24" s="73" t="str">
        <f>_xll.qlSimpleQuote(Currency&amp;$C24&amp;$D24&amp;$B24&amp;QuoteSuffix,,RateTickValue,Permanent,Trigger,ObjectOverwrite)</f>
        <v>GBPSB6L16Y_Quote#0000</v>
      </c>
      <c r="G24" s="72" t="str">
        <f>_xll.ohRangeRetrieveError(F24)</f>
        <v/>
      </c>
      <c r="H24" s="33"/>
      <c r="N24" s="118"/>
      <c r="O24" s="354" t="s">
        <v>71</v>
      </c>
      <c r="P24" s="400" t="str">
        <v>SB</v>
      </c>
      <c r="Q24" s="400" t="str">
        <v>6L</v>
      </c>
      <c r="R24" s="353" t="str">
        <f t="shared" si="0"/>
        <v>GBPSB6L16Y</v>
      </c>
      <c r="S24" s="353" t="str">
        <v>GBPSB6L16Y=ICAP</v>
      </c>
      <c r="T24" s="401" t="s">
        <v>233</v>
      </c>
      <c r="U24" s="401" t="s">
        <v>233</v>
      </c>
      <c r="V24" s="401" t="s">
        <v>233</v>
      </c>
      <c r="W24" s="401" t="s">
        <v>233</v>
      </c>
      <c r="X24" s="498" t="e">
        <f>_xll.qlMidEquivalent($T24,$U24,$V24,$W24)</f>
        <v>#NUM!</v>
      </c>
      <c r="Y24" s="343"/>
      <c r="Z24" s="351" t="e">
        <v>#NUM!</v>
      </c>
      <c r="AA24" s="343"/>
      <c r="AB24" s="595" t="e">
        <v>#NUM!</v>
      </c>
      <c r="AC24" s="348" t="e">
        <f>_xll.qlSimpleQuoteSetValue(F24,AB24/100,Trigger)</f>
        <v>#NUM!</v>
      </c>
      <c r="AD24" s="218"/>
      <c r="AE24" s="64"/>
      <c r="AF24" s="64"/>
      <c r="AG24" s="64"/>
      <c r="AH24" s="64"/>
      <c r="AI24" s="64"/>
      <c r="AJ24" s="382" t="e">
        <f t="shared" si="1"/>
        <v>#VALUE!</v>
      </c>
    </row>
    <row r="25" spans="1:36" x14ac:dyDescent="0.2">
      <c r="A25" s="118"/>
      <c r="B25" s="213" t="s">
        <v>70</v>
      </c>
      <c r="C25" s="75" t="str">
        <v>SB</v>
      </c>
      <c r="D25" s="75" t="str">
        <v>6L</v>
      </c>
      <c r="E25" s="73" t="str">
        <f t="shared" si="2"/>
        <v>GBPSB6L17Y_Quote</v>
      </c>
      <c r="F25" s="73" t="str">
        <f>_xll.qlSimpleQuote(Currency&amp;$C25&amp;$D25&amp;$B25&amp;QuoteSuffix,,RateTickValue,Permanent,Trigger,ObjectOverwrite)</f>
        <v>GBPSB6L17Y_Quote#0000</v>
      </c>
      <c r="G25" s="72" t="str">
        <f>_xll.ohRangeRetrieveError(F25)</f>
        <v/>
      </c>
      <c r="H25" s="33"/>
      <c r="N25" s="118"/>
      <c r="O25" s="354" t="s">
        <v>70</v>
      </c>
      <c r="P25" s="400" t="str">
        <v>SB</v>
      </c>
      <c r="Q25" s="400" t="str">
        <v>6L</v>
      </c>
      <c r="R25" s="353" t="str">
        <f t="shared" si="0"/>
        <v>GBPSB6L17Y</v>
      </c>
      <c r="S25" s="353" t="str">
        <v>GBPSB6L17Y=ICAP</v>
      </c>
      <c r="T25" s="401" t="s">
        <v>233</v>
      </c>
      <c r="U25" s="401" t="s">
        <v>233</v>
      </c>
      <c r="V25" s="401" t="s">
        <v>233</v>
      </c>
      <c r="W25" s="401" t="s">
        <v>233</v>
      </c>
      <c r="X25" s="498" t="e">
        <f>_xll.qlMidEquivalent($T25,$U25,$V25,$W25)</f>
        <v>#NUM!</v>
      </c>
      <c r="Y25" s="343"/>
      <c r="Z25" s="351" t="e">
        <v>#NUM!</v>
      </c>
      <c r="AA25" s="343"/>
      <c r="AB25" s="595" t="e">
        <v>#NUM!</v>
      </c>
      <c r="AC25" s="348" t="e">
        <f>_xll.qlSimpleQuoteSetValue(F25,AB25/100,Trigger)</f>
        <v>#NUM!</v>
      </c>
      <c r="AD25" s="218"/>
      <c r="AE25" s="64"/>
      <c r="AF25" s="64"/>
      <c r="AG25" s="64"/>
      <c r="AH25" s="64"/>
      <c r="AI25" s="64"/>
      <c r="AJ25" s="382" t="e">
        <f t="shared" si="1"/>
        <v>#VALUE!</v>
      </c>
    </row>
    <row r="26" spans="1:36" x14ac:dyDescent="0.2">
      <c r="A26" s="118"/>
      <c r="B26" s="213" t="s">
        <v>69</v>
      </c>
      <c r="C26" s="75" t="str">
        <v>SB</v>
      </c>
      <c r="D26" s="75" t="str">
        <v>6L</v>
      </c>
      <c r="E26" s="73" t="str">
        <f t="shared" si="2"/>
        <v>GBPSB6L18Y_Quote</v>
      </c>
      <c r="F26" s="73" t="str">
        <f>_xll.qlSimpleQuote(Currency&amp;$C26&amp;$D26&amp;$B26&amp;QuoteSuffix,,RateTickValue,Permanent,Trigger,ObjectOverwrite)</f>
        <v>GBPSB6L18Y_Quote#0000</v>
      </c>
      <c r="G26" s="72" t="str">
        <f>_xll.ohRangeRetrieveError(F26)</f>
        <v/>
      </c>
      <c r="H26" s="33"/>
      <c r="N26" s="118"/>
      <c r="O26" s="354" t="s">
        <v>69</v>
      </c>
      <c r="P26" s="400" t="str">
        <v>SB</v>
      </c>
      <c r="Q26" s="400" t="str">
        <v>6L</v>
      </c>
      <c r="R26" s="353" t="str">
        <f t="shared" si="0"/>
        <v>GBPSB6L18Y</v>
      </c>
      <c r="S26" s="353" t="str">
        <v>GBPSB6L18Y=ICAP</v>
      </c>
      <c r="T26" s="401" t="s">
        <v>233</v>
      </c>
      <c r="U26" s="401" t="s">
        <v>233</v>
      </c>
      <c r="V26" s="401" t="s">
        <v>233</v>
      </c>
      <c r="W26" s="401" t="s">
        <v>233</v>
      </c>
      <c r="X26" s="498" t="e">
        <f>_xll.qlMidEquivalent($T26,$U26,$V26,$W26)</f>
        <v>#NUM!</v>
      </c>
      <c r="Y26" s="343"/>
      <c r="Z26" s="351" t="e">
        <v>#NUM!</v>
      </c>
      <c r="AA26" s="343"/>
      <c r="AB26" s="595" t="e">
        <v>#NUM!</v>
      </c>
      <c r="AC26" s="348" t="e">
        <f>_xll.qlSimpleQuoteSetValue(F26,AB26/100,Trigger)</f>
        <v>#NUM!</v>
      </c>
      <c r="AD26" s="218"/>
      <c r="AE26" s="64"/>
      <c r="AF26" s="64"/>
      <c r="AG26" s="64"/>
      <c r="AH26" s="64"/>
      <c r="AI26" s="64"/>
      <c r="AJ26" s="382" t="e">
        <f t="shared" si="1"/>
        <v>#VALUE!</v>
      </c>
    </row>
    <row r="27" spans="1:36" x14ac:dyDescent="0.2">
      <c r="A27" s="118"/>
      <c r="B27" s="213" t="s">
        <v>68</v>
      </c>
      <c r="C27" s="75" t="str">
        <v>SB</v>
      </c>
      <c r="D27" s="75" t="str">
        <v>6L</v>
      </c>
      <c r="E27" s="73" t="str">
        <f t="shared" si="2"/>
        <v>GBPSB6L19Y_Quote</v>
      </c>
      <c r="F27" s="73" t="str">
        <f>_xll.qlSimpleQuote(Currency&amp;$C27&amp;$D27&amp;$B27&amp;QuoteSuffix,,RateTickValue,Permanent,Trigger,ObjectOverwrite)</f>
        <v>GBPSB6L19Y_Quote#0000</v>
      </c>
      <c r="G27" s="72" t="str">
        <f>_xll.ohRangeRetrieveError(F27)</f>
        <v/>
      </c>
      <c r="H27" s="33"/>
      <c r="N27" s="118"/>
      <c r="O27" s="354" t="s">
        <v>68</v>
      </c>
      <c r="P27" s="400" t="str">
        <v>SB</v>
      </c>
      <c r="Q27" s="400" t="str">
        <v>6L</v>
      </c>
      <c r="R27" s="353" t="str">
        <f t="shared" si="0"/>
        <v>GBPSB6L19Y</v>
      </c>
      <c r="S27" s="353" t="str">
        <v>GBPSB6L19Y=ICAP</v>
      </c>
      <c r="T27" s="401" t="s">
        <v>233</v>
      </c>
      <c r="U27" s="401" t="s">
        <v>233</v>
      </c>
      <c r="V27" s="401" t="s">
        <v>233</v>
      </c>
      <c r="W27" s="401" t="s">
        <v>233</v>
      </c>
      <c r="X27" s="498" t="e">
        <f>_xll.qlMidEquivalent($T27,$U27,$V27,$W27)</f>
        <v>#NUM!</v>
      </c>
      <c r="Y27" s="343"/>
      <c r="Z27" s="351" t="e">
        <v>#NUM!</v>
      </c>
      <c r="AA27" s="343"/>
      <c r="AB27" s="595" t="e">
        <v>#NUM!</v>
      </c>
      <c r="AC27" s="348" t="e">
        <f>_xll.qlSimpleQuoteSetValue(F27,AB27/100,Trigger)</f>
        <v>#NUM!</v>
      </c>
      <c r="AD27" s="218"/>
      <c r="AE27" s="64"/>
      <c r="AF27" s="64"/>
      <c r="AG27" s="64"/>
      <c r="AH27" s="64"/>
      <c r="AI27" s="64"/>
      <c r="AJ27" s="382" t="e">
        <f t="shared" si="1"/>
        <v>#VALUE!</v>
      </c>
    </row>
    <row r="28" spans="1:36" x14ac:dyDescent="0.2">
      <c r="A28" s="118"/>
      <c r="B28" s="213" t="s">
        <v>67</v>
      </c>
      <c r="C28" s="75" t="str">
        <v>SB</v>
      </c>
      <c r="D28" s="75" t="str">
        <v>6L</v>
      </c>
      <c r="E28" s="73" t="str">
        <f t="shared" si="2"/>
        <v>GBPSB6L20Y_Quote</v>
      </c>
      <c r="F28" s="73" t="str">
        <f>_xll.qlSimpleQuote(Currency&amp;$C28&amp;$D28&amp;$B28&amp;QuoteSuffix,,RateTickValue,Permanent,Trigger,ObjectOverwrite)</f>
        <v>GBPSB6L20Y_Quote#0000</v>
      </c>
      <c r="G28" s="72" t="str">
        <f>_xll.ohRangeRetrieveError(F28)</f>
        <v/>
      </c>
      <c r="H28" s="33"/>
      <c r="N28" s="118"/>
      <c r="O28" s="354" t="s">
        <v>67</v>
      </c>
      <c r="P28" s="400" t="str">
        <v>SB</v>
      </c>
      <c r="Q28" s="400" t="str">
        <v>6L</v>
      </c>
      <c r="R28" s="353" t="str">
        <f t="shared" si="0"/>
        <v>GBPSB6L20Y</v>
      </c>
      <c r="S28" s="353" t="str">
        <v>GBPSB6L20Y=ICAP</v>
      </c>
      <c r="T28" s="401">
        <v>2.9037500000000001</v>
      </c>
      <c r="U28" s="401">
        <v>3.0337499999999999</v>
      </c>
      <c r="V28" s="401">
        <v>0</v>
      </c>
      <c r="W28" s="401">
        <v>0</v>
      </c>
      <c r="X28" s="498">
        <f>_xll.qlMidEquivalent($T28,$U28,$V28,$W28)</f>
        <v>2.96875</v>
      </c>
      <c r="Y28" s="343"/>
      <c r="Z28" s="351">
        <v>2.73</v>
      </c>
      <c r="AA28" s="343"/>
      <c r="AB28" s="595">
        <v>2.73</v>
      </c>
      <c r="AC28" s="348" t="e">
        <f>_xll.qlSimpleQuoteSetValue(F28,AB28/100,Trigger)</f>
        <v>#N/A</v>
      </c>
      <c r="AD28" s="218"/>
      <c r="AE28" s="64"/>
      <c r="AF28" s="64"/>
      <c r="AG28" s="64"/>
      <c r="AH28" s="64"/>
      <c r="AI28" s="64"/>
      <c r="AJ28" s="382">
        <f t="shared" si="1"/>
        <v>1.2999999999999989E-3</v>
      </c>
    </row>
    <row r="29" spans="1:36" x14ac:dyDescent="0.2">
      <c r="A29" s="118"/>
      <c r="B29" s="213" t="s">
        <v>66</v>
      </c>
      <c r="C29" s="75" t="str">
        <v>SB</v>
      </c>
      <c r="D29" s="75" t="str">
        <v>6L</v>
      </c>
      <c r="E29" s="73" t="str">
        <f t="shared" si="2"/>
        <v>GBPSB6L21Y_Quote</v>
      </c>
      <c r="F29" s="73" t="str">
        <f>_xll.qlSimpleQuote(Currency&amp;$C29&amp;$D29&amp;$B29&amp;QuoteSuffix,,RateTickValue,Permanent,Trigger,ObjectOverwrite)</f>
        <v>GBPSB6L21Y_Quote#0000</v>
      </c>
      <c r="G29" s="72" t="str">
        <f>_xll.ohRangeRetrieveError(F29)</f>
        <v/>
      </c>
      <c r="H29" s="33"/>
      <c r="N29" s="118"/>
      <c r="O29" s="354" t="s">
        <v>66</v>
      </c>
      <c r="P29" s="400" t="str">
        <v>SB</v>
      </c>
      <c r="Q29" s="400" t="str">
        <v>6L</v>
      </c>
      <c r="R29" s="353" t="str">
        <f t="shared" si="0"/>
        <v>GBPSB6L21Y</v>
      </c>
      <c r="S29" s="353" t="str">
        <v>GBPSB6L21Y=ICAP</v>
      </c>
      <c r="T29" s="401" t="s">
        <v>233</v>
      </c>
      <c r="U29" s="401" t="s">
        <v>233</v>
      </c>
      <c r="V29" s="401" t="s">
        <v>233</v>
      </c>
      <c r="W29" s="401" t="s">
        <v>233</v>
      </c>
      <c r="X29" s="498" t="e">
        <f>_xll.qlMidEquivalent($T29,$U29,$V29,$W29)</f>
        <v>#NUM!</v>
      </c>
      <c r="Y29" s="343"/>
      <c r="Z29" s="351" t="e">
        <v>#NUM!</v>
      </c>
      <c r="AA29" s="343"/>
      <c r="AB29" s="595" t="e">
        <v>#NUM!</v>
      </c>
      <c r="AC29" s="348" t="e">
        <f>_xll.qlSimpleQuoteSetValue(F29,AB29/100,Trigger)</f>
        <v>#NUM!</v>
      </c>
      <c r="AD29" s="218"/>
      <c r="AE29" s="64"/>
      <c r="AF29" s="64"/>
      <c r="AG29" s="64"/>
      <c r="AH29" s="64"/>
      <c r="AI29" s="64"/>
      <c r="AJ29" s="382" t="e">
        <f t="shared" si="1"/>
        <v>#VALUE!</v>
      </c>
    </row>
    <row r="30" spans="1:36" x14ac:dyDescent="0.2">
      <c r="A30" s="118"/>
      <c r="B30" s="213" t="s">
        <v>65</v>
      </c>
      <c r="C30" s="75" t="str">
        <v>SB</v>
      </c>
      <c r="D30" s="75" t="str">
        <v>6L</v>
      </c>
      <c r="E30" s="73" t="str">
        <f t="shared" si="2"/>
        <v>GBPSB6L22Y_Quote</v>
      </c>
      <c r="F30" s="73" t="str">
        <f>_xll.qlSimpleQuote(Currency&amp;$C30&amp;$D30&amp;$B30&amp;QuoteSuffix,,RateTickValue,Permanent,Trigger,ObjectOverwrite)</f>
        <v>GBPSB6L22Y_Quote#0000</v>
      </c>
      <c r="G30" s="72" t="str">
        <f>_xll.ohRangeRetrieveError(F30)</f>
        <v/>
      </c>
      <c r="H30" s="33"/>
      <c r="N30" s="118"/>
      <c r="O30" s="354" t="s">
        <v>65</v>
      </c>
      <c r="P30" s="400" t="str">
        <v>SB</v>
      </c>
      <c r="Q30" s="400" t="str">
        <v>6L</v>
      </c>
      <c r="R30" s="353" t="str">
        <f t="shared" si="0"/>
        <v>GBPSB6L22Y</v>
      </c>
      <c r="S30" s="353" t="str">
        <v>GBPSB6L22Y=ICAP</v>
      </c>
      <c r="T30" s="401" t="s">
        <v>233</v>
      </c>
      <c r="U30" s="401" t="s">
        <v>233</v>
      </c>
      <c r="V30" s="401" t="s">
        <v>233</v>
      </c>
      <c r="W30" s="401" t="s">
        <v>233</v>
      </c>
      <c r="X30" s="498" t="e">
        <f>_xll.qlMidEquivalent($T30,$U30,$V30,$W30)</f>
        <v>#NUM!</v>
      </c>
      <c r="Y30" s="343"/>
      <c r="Z30" s="351" t="e">
        <v>#NUM!</v>
      </c>
      <c r="AA30" s="343"/>
      <c r="AB30" s="595" t="e">
        <v>#NUM!</v>
      </c>
      <c r="AC30" s="348" t="e">
        <f>_xll.qlSimpleQuoteSetValue(F30,AB30/100,Trigger)</f>
        <v>#NUM!</v>
      </c>
      <c r="AD30" s="218"/>
      <c r="AE30" s="64"/>
      <c r="AF30" s="64"/>
      <c r="AG30" s="64"/>
      <c r="AH30" s="64"/>
      <c r="AI30" s="64"/>
      <c r="AJ30" s="382" t="e">
        <f t="shared" si="1"/>
        <v>#VALUE!</v>
      </c>
    </row>
    <row r="31" spans="1:36" x14ac:dyDescent="0.2">
      <c r="A31" s="118"/>
      <c r="B31" s="213" t="s">
        <v>64</v>
      </c>
      <c r="C31" s="75" t="str">
        <v>SB</v>
      </c>
      <c r="D31" s="75" t="str">
        <v>6L</v>
      </c>
      <c r="E31" s="73" t="str">
        <f t="shared" si="2"/>
        <v>GBPSB6L23Y_Quote</v>
      </c>
      <c r="F31" s="73" t="str">
        <f>_xll.qlSimpleQuote(Currency&amp;$C31&amp;$D31&amp;$B31&amp;QuoteSuffix,,RateTickValue,Permanent,Trigger,ObjectOverwrite)</f>
        <v>GBPSB6L23Y_Quote#0000</v>
      </c>
      <c r="G31" s="72" t="str">
        <f>_xll.ohRangeRetrieveError(F31)</f>
        <v/>
      </c>
      <c r="H31" s="33"/>
      <c r="N31" s="118"/>
      <c r="O31" s="354" t="s">
        <v>64</v>
      </c>
      <c r="P31" s="400" t="str">
        <v>SB</v>
      </c>
      <c r="Q31" s="400" t="str">
        <v>6L</v>
      </c>
      <c r="R31" s="353" t="str">
        <f t="shared" si="0"/>
        <v>GBPSB6L23Y</v>
      </c>
      <c r="S31" s="353" t="str">
        <v>GBPSB6L23Y=ICAP</v>
      </c>
      <c r="T31" s="401" t="s">
        <v>233</v>
      </c>
      <c r="U31" s="401" t="s">
        <v>233</v>
      </c>
      <c r="V31" s="401" t="s">
        <v>233</v>
      </c>
      <c r="W31" s="401" t="s">
        <v>233</v>
      </c>
      <c r="X31" s="498" t="e">
        <f>_xll.qlMidEquivalent($T31,$U31,$V31,$W31)</f>
        <v>#NUM!</v>
      </c>
      <c r="Y31" s="343"/>
      <c r="Z31" s="351" t="e">
        <v>#NUM!</v>
      </c>
      <c r="AA31" s="343"/>
      <c r="AB31" s="595" t="e">
        <v>#NUM!</v>
      </c>
      <c r="AC31" s="348" t="e">
        <f>_xll.qlSimpleQuoteSetValue(F31,AB31/100,Trigger)</f>
        <v>#NUM!</v>
      </c>
      <c r="AD31" s="218"/>
      <c r="AE31" s="64"/>
      <c r="AF31" s="64"/>
      <c r="AG31" s="64"/>
      <c r="AH31" s="64"/>
      <c r="AI31" s="64"/>
      <c r="AJ31" s="382" t="e">
        <f t="shared" si="1"/>
        <v>#VALUE!</v>
      </c>
    </row>
    <row r="32" spans="1:36" x14ac:dyDescent="0.2">
      <c r="A32" s="118"/>
      <c r="B32" s="213" t="s">
        <v>63</v>
      </c>
      <c r="C32" s="75" t="str">
        <v>SB</v>
      </c>
      <c r="D32" s="75" t="str">
        <v>6L</v>
      </c>
      <c r="E32" s="73" t="str">
        <f t="shared" si="2"/>
        <v>GBPSB6L24Y_Quote</v>
      </c>
      <c r="F32" s="73" t="str">
        <f>_xll.qlSimpleQuote(Currency&amp;$C32&amp;$D32&amp;$B32&amp;QuoteSuffix,,RateTickValue,Permanent,Trigger,ObjectOverwrite)</f>
        <v>GBPSB6L24Y_Quote#0000</v>
      </c>
      <c r="G32" s="72" t="str">
        <f>_xll.ohRangeRetrieveError(F32)</f>
        <v/>
      </c>
      <c r="H32" s="33"/>
      <c r="N32" s="118"/>
      <c r="O32" s="354" t="s">
        <v>63</v>
      </c>
      <c r="P32" s="400" t="str">
        <v>SB</v>
      </c>
      <c r="Q32" s="400" t="str">
        <v>6L</v>
      </c>
      <c r="R32" s="353" t="str">
        <f t="shared" si="0"/>
        <v>GBPSB6L24Y</v>
      </c>
      <c r="S32" s="353" t="str">
        <v>GBPSB6L24Y=ICAP</v>
      </c>
      <c r="T32" s="401" t="s">
        <v>233</v>
      </c>
      <c r="U32" s="401" t="s">
        <v>233</v>
      </c>
      <c r="V32" s="401" t="s">
        <v>233</v>
      </c>
      <c r="W32" s="401" t="s">
        <v>233</v>
      </c>
      <c r="X32" s="498" t="e">
        <f>_xll.qlMidEquivalent($T32,$U32,$V32,$W32)</f>
        <v>#NUM!</v>
      </c>
      <c r="Y32" s="343"/>
      <c r="Z32" s="351" t="e">
        <v>#NUM!</v>
      </c>
      <c r="AA32" s="343"/>
      <c r="AB32" s="595" t="e">
        <v>#NUM!</v>
      </c>
      <c r="AC32" s="348" t="e">
        <f>_xll.qlSimpleQuoteSetValue(F32,AB32/100,Trigger)</f>
        <v>#NUM!</v>
      </c>
      <c r="AD32" s="218"/>
      <c r="AE32" s="64"/>
      <c r="AF32" s="64"/>
      <c r="AG32" s="64"/>
      <c r="AH32" s="64"/>
      <c r="AI32" s="64"/>
      <c r="AJ32" s="382" t="e">
        <f t="shared" si="1"/>
        <v>#VALUE!</v>
      </c>
    </row>
    <row r="33" spans="1:36" x14ac:dyDescent="0.2">
      <c r="A33" s="118"/>
      <c r="B33" s="213" t="s">
        <v>62</v>
      </c>
      <c r="C33" s="75" t="str">
        <v>SB</v>
      </c>
      <c r="D33" s="75" t="str">
        <v>6L</v>
      </c>
      <c r="E33" s="73" t="str">
        <f t="shared" si="2"/>
        <v>GBPSB6L25Y_Quote</v>
      </c>
      <c r="F33" s="73" t="str">
        <f>_xll.qlSimpleQuote(Currency&amp;$C33&amp;$D33&amp;$B33&amp;QuoteSuffix,,RateTickValue,Permanent,Trigger,ObjectOverwrite)</f>
        <v>GBPSB6L25Y_Quote#0000</v>
      </c>
      <c r="G33" s="72" t="str">
        <f>_xll.ohRangeRetrieveError(F33)</f>
        <v/>
      </c>
      <c r="H33" s="33"/>
      <c r="N33" s="118"/>
      <c r="O33" s="354" t="s">
        <v>62</v>
      </c>
      <c r="P33" s="400" t="str">
        <v>SB</v>
      </c>
      <c r="Q33" s="400" t="str">
        <v>6L</v>
      </c>
      <c r="R33" s="353" t="str">
        <f t="shared" si="0"/>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595">
        <v>2.8875000000000002</v>
      </c>
      <c r="AC33" s="348" t="e">
        <f>_xll.qlSimpleQuoteSetValue(F33,AB33/100,Trigger)</f>
        <v>#N/A</v>
      </c>
      <c r="AD33" s="218"/>
      <c r="AE33" s="64"/>
      <c r="AF33" s="64"/>
      <c r="AG33" s="64"/>
      <c r="AH33" s="64"/>
      <c r="AI33" s="64"/>
      <c r="AJ33" s="382">
        <f t="shared" si="1"/>
        <v>1.2999999999999989E-3</v>
      </c>
    </row>
    <row r="34" spans="1:36" x14ac:dyDescent="0.2">
      <c r="A34" s="118"/>
      <c r="B34" s="213" t="s">
        <v>61</v>
      </c>
      <c r="C34" s="75" t="str">
        <v>SB</v>
      </c>
      <c r="D34" s="75" t="str">
        <v>6L</v>
      </c>
      <c r="E34" s="73" t="str">
        <f t="shared" si="2"/>
        <v>GBPSB6L26Y_Quote</v>
      </c>
      <c r="F34" s="73" t="str">
        <f>_xll.qlSimpleQuote(Currency&amp;$C34&amp;$D34&amp;$B34&amp;QuoteSuffix,,RateTickValue,Permanent,Trigger,ObjectOverwrite)</f>
        <v>GBPSB6L26Y_Quote#0000</v>
      </c>
      <c r="G34" s="72" t="str">
        <f>_xll.ohRangeRetrieveError(F34)</f>
        <v/>
      </c>
      <c r="H34" s="33"/>
      <c r="N34" s="118"/>
      <c r="O34" s="354" t="s">
        <v>61</v>
      </c>
      <c r="P34" s="400" t="str">
        <v>SB</v>
      </c>
      <c r="Q34" s="400" t="str">
        <v>6L</v>
      </c>
      <c r="R34" s="353" t="str">
        <f t="shared" si="0"/>
        <v>GBPSB6L26Y</v>
      </c>
      <c r="S34" s="353" t="str">
        <v>GBPSB6L26Y=ICAP</v>
      </c>
      <c r="T34" s="401" t="s">
        <v>233</v>
      </c>
      <c r="U34" s="401" t="s">
        <v>233</v>
      </c>
      <c r="V34" s="401" t="s">
        <v>233</v>
      </c>
      <c r="W34" s="401" t="s">
        <v>233</v>
      </c>
      <c r="X34" s="498" t="e">
        <f>_xll.qlMidEquivalent($T34,$U34,$V34,$W34)</f>
        <v>#NUM!</v>
      </c>
      <c r="Y34" s="343"/>
      <c r="Z34" s="351" t="e">
        <v>#NUM!</v>
      </c>
      <c r="AA34" s="343"/>
      <c r="AB34" s="595" t="e">
        <v>#NUM!</v>
      </c>
      <c r="AC34" s="348" t="e">
        <f>_xll.qlSimpleQuoteSetValue(F34,AB34/100,Trigger)</f>
        <v>#NUM!</v>
      </c>
      <c r="AD34" s="218"/>
      <c r="AE34" s="64"/>
      <c r="AF34" s="64"/>
      <c r="AG34" s="64"/>
      <c r="AH34" s="64"/>
      <c r="AI34" s="64"/>
      <c r="AJ34" s="382" t="e">
        <f t="shared" si="1"/>
        <v>#VALUE!</v>
      </c>
    </row>
    <row r="35" spans="1:36" x14ac:dyDescent="0.2">
      <c r="A35" s="118"/>
      <c r="B35" s="213" t="s">
        <v>60</v>
      </c>
      <c r="C35" s="75" t="str">
        <v>SB</v>
      </c>
      <c r="D35" s="75" t="str">
        <v>6L</v>
      </c>
      <c r="E35" s="73" t="str">
        <f t="shared" si="2"/>
        <v>GBPSB6L27Y_Quote</v>
      </c>
      <c r="F35" s="73" t="str">
        <f>_xll.qlSimpleQuote(Currency&amp;$C35&amp;$D35&amp;$B35&amp;QuoteSuffix,,RateTickValue,Permanent,Trigger,ObjectOverwrite)</f>
        <v>GBPSB6L27Y_Quote#0000</v>
      </c>
      <c r="G35" s="72" t="str">
        <f>_xll.ohRangeRetrieveError(F35)</f>
        <v/>
      </c>
      <c r="H35" s="33"/>
      <c r="N35" s="118"/>
      <c r="O35" s="354" t="s">
        <v>60</v>
      </c>
      <c r="P35" s="400" t="str">
        <v>SB</v>
      </c>
      <c r="Q35" s="400" t="str">
        <v>6L</v>
      </c>
      <c r="R35" s="353" t="str">
        <f t="shared" si="0"/>
        <v>GBPSB6L27Y</v>
      </c>
      <c r="S35" s="353" t="str">
        <v>GBPSB6L27Y=ICAP</v>
      </c>
      <c r="T35" s="401" t="s">
        <v>233</v>
      </c>
      <c r="U35" s="401" t="s">
        <v>233</v>
      </c>
      <c r="V35" s="401" t="s">
        <v>233</v>
      </c>
      <c r="W35" s="401" t="s">
        <v>233</v>
      </c>
      <c r="X35" s="498" t="e">
        <f>_xll.qlMidEquivalent($T35,$U35,$V35,$W35)</f>
        <v>#NUM!</v>
      </c>
      <c r="Y35" s="343"/>
      <c r="Z35" s="351" t="e">
        <v>#NUM!</v>
      </c>
      <c r="AA35" s="343"/>
      <c r="AB35" s="595" t="e">
        <v>#NUM!</v>
      </c>
      <c r="AC35" s="348" t="e">
        <f>_xll.qlSimpleQuoteSetValue(F35,AB35/100,Trigger)</f>
        <v>#NUM!</v>
      </c>
      <c r="AD35" s="218"/>
      <c r="AE35" s="64"/>
      <c r="AF35" s="64"/>
      <c r="AG35" s="64"/>
      <c r="AH35" s="64"/>
      <c r="AI35" s="64"/>
      <c r="AJ35" s="382" t="e">
        <f t="shared" si="1"/>
        <v>#VALUE!</v>
      </c>
    </row>
    <row r="36" spans="1:36" x14ac:dyDescent="0.2">
      <c r="A36" s="118"/>
      <c r="B36" s="213" t="s">
        <v>59</v>
      </c>
      <c r="C36" s="75" t="str">
        <v>SB</v>
      </c>
      <c r="D36" s="75" t="str">
        <v>6L</v>
      </c>
      <c r="E36" s="73" t="str">
        <f t="shared" si="2"/>
        <v>GBPSB6L28Y_Quote</v>
      </c>
      <c r="F36" s="73" t="str">
        <f>_xll.qlSimpleQuote(Currency&amp;$C36&amp;$D36&amp;$B36&amp;QuoteSuffix,,RateTickValue,Permanent,Trigger,ObjectOverwrite)</f>
        <v>GBPSB6L28Y_Quote#0000</v>
      </c>
      <c r="G36" s="72" t="str">
        <f>_xll.ohRangeRetrieveError(F36)</f>
        <v/>
      </c>
      <c r="H36" s="33"/>
      <c r="N36" s="118"/>
      <c r="O36" s="354" t="s">
        <v>59</v>
      </c>
      <c r="P36" s="400" t="str">
        <v>SB</v>
      </c>
      <c r="Q36" s="400" t="str">
        <v>6L</v>
      </c>
      <c r="R36" s="353" t="str">
        <f t="shared" si="0"/>
        <v>GBPSB6L28Y</v>
      </c>
      <c r="S36" s="353" t="str">
        <v>GBPSB6L28Y=ICAP</v>
      </c>
      <c r="T36" s="401" t="s">
        <v>233</v>
      </c>
      <c r="U36" s="401" t="s">
        <v>233</v>
      </c>
      <c r="V36" s="401" t="s">
        <v>233</v>
      </c>
      <c r="W36" s="401" t="s">
        <v>233</v>
      </c>
      <c r="X36" s="498" t="e">
        <f>_xll.qlMidEquivalent($T36,$U36,$V36,$W36)</f>
        <v>#NUM!</v>
      </c>
      <c r="Y36" s="343"/>
      <c r="Z36" s="351" t="e">
        <v>#NUM!</v>
      </c>
      <c r="AA36" s="343"/>
      <c r="AB36" s="595" t="e">
        <v>#NUM!</v>
      </c>
      <c r="AC36" s="348" t="e">
        <f>_xll.qlSimpleQuoteSetValue(F36,AB36/100,Trigger)</f>
        <v>#NUM!</v>
      </c>
      <c r="AD36" s="218"/>
      <c r="AE36" s="64"/>
      <c r="AF36" s="64"/>
      <c r="AG36" s="64"/>
      <c r="AH36" s="64"/>
      <c r="AI36" s="64"/>
      <c r="AJ36" s="382" t="e">
        <f t="shared" si="1"/>
        <v>#VALUE!</v>
      </c>
    </row>
    <row r="37" spans="1:36" x14ac:dyDescent="0.2">
      <c r="A37" s="118"/>
      <c r="B37" s="213" t="s">
        <v>58</v>
      </c>
      <c r="C37" s="75" t="str">
        <v>SB</v>
      </c>
      <c r="D37" s="75" t="str">
        <v>6L</v>
      </c>
      <c r="E37" s="73" t="str">
        <f t="shared" si="2"/>
        <v>GBPSB6L29Y_Quote</v>
      </c>
      <c r="F37" s="73" t="str">
        <f>_xll.qlSimpleQuote(Currency&amp;$C37&amp;$D37&amp;$B37&amp;QuoteSuffix,,RateTickValue,Permanent,Trigger,ObjectOverwrite)</f>
        <v>GBPSB6L29Y_Quote#0000</v>
      </c>
      <c r="G37" s="72" t="str">
        <f>_xll.ohRangeRetrieveError(F37)</f>
        <v/>
      </c>
      <c r="H37" s="33"/>
      <c r="N37" s="118"/>
      <c r="O37" s="354" t="s">
        <v>58</v>
      </c>
      <c r="P37" s="400" t="str">
        <v>SB</v>
      </c>
      <c r="Q37" s="400" t="str">
        <v>6L</v>
      </c>
      <c r="R37" s="353" t="str">
        <f t="shared" si="0"/>
        <v>GBPSB6L29Y</v>
      </c>
      <c r="S37" s="353" t="str">
        <v>GBPSB6L29Y=ICAP</v>
      </c>
      <c r="T37" s="401" t="s">
        <v>233</v>
      </c>
      <c r="U37" s="401" t="s">
        <v>233</v>
      </c>
      <c r="V37" s="401" t="s">
        <v>233</v>
      </c>
      <c r="W37" s="401" t="s">
        <v>233</v>
      </c>
      <c r="X37" s="498" t="e">
        <f>_xll.qlMidEquivalent($T37,$U37,$V37,$W37)</f>
        <v>#NUM!</v>
      </c>
      <c r="Y37" s="343"/>
      <c r="Z37" s="351" t="e">
        <v>#NUM!</v>
      </c>
      <c r="AA37" s="343"/>
      <c r="AB37" s="595" t="e">
        <v>#NUM!</v>
      </c>
      <c r="AC37" s="348" t="e">
        <f>_xll.qlSimpleQuoteSetValue(F37,AB37/100,Trigger)</f>
        <v>#NUM!</v>
      </c>
      <c r="AD37" s="218"/>
      <c r="AE37" s="64"/>
      <c r="AF37" s="64"/>
      <c r="AG37" s="64"/>
      <c r="AH37" s="64"/>
      <c r="AI37" s="64"/>
      <c r="AJ37" s="382" t="e">
        <f t="shared" si="1"/>
        <v>#VALUE!</v>
      </c>
    </row>
    <row r="38" spans="1:36" x14ac:dyDescent="0.2">
      <c r="A38" s="118"/>
      <c r="B38" s="213" t="s">
        <v>57</v>
      </c>
      <c r="C38" s="75" t="str">
        <v>SB</v>
      </c>
      <c r="D38" s="75" t="str">
        <v>6L</v>
      </c>
      <c r="E38" s="73" t="str">
        <f t="shared" si="2"/>
        <v>GBPSB6L30Y_Quote</v>
      </c>
      <c r="F38" s="73" t="str">
        <f>_xll.qlSimpleQuote(Currency&amp;$C38&amp;$D38&amp;$B38&amp;QuoteSuffix,,RateTickValue,Permanent,Trigger,ObjectOverwrite)</f>
        <v>GBPSB6L30Y_Quote#0000</v>
      </c>
      <c r="G38" s="72" t="str">
        <f>_xll.ohRangeRetrieveError(F38)</f>
        <v/>
      </c>
      <c r="H38" s="33"/>
      <c r="N38" s="118"/>
      <c r="O38" s="354" t="s">
        <v>57</v>
      </c>
      <c r="P38" s="400" t="str">
        <v>SB</v>
      </c>
      <c r="Q38" s="400" t="str">
        <v>6L</v>
      </c>
      <c r="R38" s="353" t="str">
        <f t="shared" si="0"/>
        <v>GBPSB6L30Y</v>
      </c>
      <c r="S38" s="353" t="str">
        <v>GBPSB6L30Y=ICAP</v>
      </c>
      <c r="T38" s="401">
        <v>3.125</v>
      </c>
      <c r="U38" s="401">
        <v>3.2549999999999999</v>
      </c>
      <c r="V38" s="401">
        <v>0</v>
      </c>
      <c r="W38" s="401">
        <v>0</v>
      </c>
      <c r="X38" s="498">
        <f>_xll.qlMidEquivalent($T38,$U38,$V38,$W38)</f>
        <v>3.19</v>
      </c>
      <c r="Y38" s="343"/>
      <c r="Z38" s="351">
        <v>2.9575</v>
      </c>
      <c r="AA38" s="343"/>
      <c r="AB38" s="595">
        <v>2.9575</v>
      </c>
      <c r="AC38" s="348" t="e">
        <f>_xll.qlSimpleQuoteSetValue(F38,AB38/100,Trigger)</f>
        <v>#N/A</v>
      </c>
      <c r="AD38" s="218"/>
      <c r="AE38" s="64"/>
      <c r="AF38" s="64"/>
      <c r="AG38" s="64"/>
      <c r="AH38" s="64"/>
      <c r="AI38" s="64"/>
      <c r="AJ38" s="382">
        <f t="shared" si="1"/>
        <v>1.2999999999999989E-3</v>
      </c>
    </row>
    <row r="39" spans="1:36" x14ac:dyDescent="0.2">
      <c r="A39" s="118"/>
      <c r="B39" s="213" t="s">
        <v>52</v>
      </c>
      <c r="C39" s="75" t="str">
        <v>SB</v>
      </c>
      <c r="D39" s="75" t="str">
        <v>6L</v>
      </c>
      <c r="E39" s="73" t="str">
        <f t="shared" si="2"/>
        <v>GBPSB6L35Y_Quote</v>
      </c>
      <c r="F39" s="73" t="str">
        <f>_xll.qlSimpleQuote(Currency&amp;$C39&amp;$D39&amp;$B39&amp;QuoteSuffix,,RateTickValue,Permanent,Trigger,ObjectOverwrite)</f>
        <v>GBPSB6L35Y_Quote#0000</v>
      </c>
      <c r="G39" s="72" t="str">
        <f>_xll.ohRangeRetrieveError(F39)</f>
        <v/>
      </c>
      <c r="H39" s="33"/>
      <c r="N39" s="118"/>
      <c r="O39" s="354" t="s">
        <v>52</v>
      </c>
      <c r="P39" s="400" t="str">
        <v>SB</v>
      </c>
      <c r="Q39" s="400" t="str">
        <v>6L</v>
      </c>
      <c r="R39" s="353" t="str">
        <f t="shared" si="0"/>
        <v>GBPSB6L35Y</v>
      </c>
      <c r="S39" s="353" t="str">
        <v>GBPSB6L35Y=ICAP</v>
      </c>
      <c r="T39" s="401" t="s">
        <v>233</v>
      </c>
      <c r="U39" s="401" t="s">
        <v>233</v>
      </c>
      <c r="V39" s="401" t="s">
        <v>233</v>
      </c>
      <c r="W39" s="401" t="s">
        <v>233</v>
      </c>
      <c r="X39" s="498" t="e">
        <f>_xll.qlMidEquivalent($T39,$U39,$V39,$W39)</f>
        <v>#NUM!</v>
      </c>
      <c r="Y39" s="343"/>
      <c r="Z39" s="351" t="e">
        <v>#NUM!</v>
      </c>
      <c r="AA39" s="343"/>
      <c r="AB39" s="595" t="e">
        <v>#NUM!</v>
      </c>
      <c r="AC39" s="348" t="e">
        <f>_xll.qlSimpleQuoteSetValue(F39,AB39/100,Trigger)</f>
        <v>#NUM!</v>
      </c>
      <c r="AD39" s="218"/>
      <c r="AE39" s="64"/>
      <c r="AF39" s="64"/>
      <c r="AG39" s="64"/>
      <c r="AH39" s="64"/>
      <c r="AI39" s="64"/>
      <c r="AJ39" s="382" t="e">
        <f t="shared" si="1"/>
        <v>#VALUE!</v>
      </c>
    </row>
    <row r="40" spans="1:36" x14ac:dyDescent="0.2">
      <c r="A40" s="118"/>
      <c r="B40" s="213" t="s">
        <v>47</v>
      </c>
      <c r="C40" s="75" t="str">
        <v>SB</v>
      </c>
      <c r="D40" s="75" t="str">
        <v>6L</v>
      </c>
      <c r="E40" s="73" t="str">
        <f t="shared" si="2"/>
        <v>GBPSB6L40Y_Quote</v>
      </c>
      <c r="F40" s="73" t="str">
        <f>_xll.qlSimpleQuote(Currency&amp;$C40&amp;$D40&amp;$B40&amp;QuoteSuffix,,RateTickValue,Permanent,Trigger,ObjectOverwrite)</f>
        <v>GBPSB6L40Y_Quote#0000</v>
      </c>
      <c r="G40" s="72" t="str">
        <f>_xll.ohRangeRetrieveError(F40)</f>
        <v/>
      </c>
      <c r="H40" s="33"/>
      <c r="N40" s="118"/>
      <c r="O40" s="354" t="s">
        <v>47</v>
      </c>
      <c r="P40" s="400" t="str">
        <v>SB</v>
      </c>
      <c r="Q40" s="400" t="str">
        <v>6L</v>
      </c>
      <c r="R40" s="353" t="str">
        <f t="shared" si="0"/>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595">
        <v>3.0375000000000001</v>
      </c>
      <c r="AC40" s="348" t="e">
        <f>_xll.qlSimpleQuoteSetValue(F40,AB40/100,Trigger)</f>
        <v>#N/A</v>
      </c>
      <c r="AD40" s="218"/>
      <c r="AE40" s="64"/>
      <c r="AF40" s="64"/>
      <c r="AG40" s="64"/>
      <c r="AH40" s="64"/>
      <c r="AI40" s="64"/>
      <c r="AJ40" s="382">
        <f t="shared" si="1"/>
        <v>1.6999999999999993E-3</v>
      </c>
    </row>
    <row r="41" spans="1:36" x14ac:dyDescent="0.2">
      <c r="A41" s="118"/>
      <c r="B41" s="213" t="s">
        <v>37</v>
      </c>
      <c r="C41" s="75" t="str">
        <v>SB</v>
      </c>
      <c r="D41" s="75" t="str">
        <v>6L</v>
      </c>
      <c r="E41" s="73" t="str">
        <f t="shared" si="2"/>
        <v>GBPSB6L50Y_Quote</v>
      </c>
      <c r="F41" s="73" t="str">
        <f>_xll.qlSimpleQuote(Currency&amp;$C41&amp;$D41&amp;$B41&amp;QuoteSuffix,,RateTickValue,Permanent,Trigger,ObjectOverwrite)</f>
        <v>GBPSB6L50Y_Quote#0000</v>
      </c>
      <c r="G41" s="72" t="str">
        <f>_xll.ohRangeRetrieveError(F41)</f>
        <v/>
      </c>
      <c r="H41" s="33"/>
      <c r="N41" s="118"/>
      <c r="O41" s="354" t="s">
        <v>37</v>
      </c>
      <c r="P41" s="400" t="str">
        <v>SB</v>
      </c>
      <c r="Q41" s="400" t="str">
        <v>6L</v>
      </c>
      <c r="R41" s="353" t="str">
        <f t="shared" si="0"/>
        <v>GBPSB6L50Y</v>
      </c>
      <c r="S41" s="353" t="str">
        <v>GBPSB6L50Y=ICAP</v>
      </c>
      <c r="T41" s="401">
        <v>3.19625</v>
      </c>
      <c r="U41" s="401">
        <v>3.36625</v>
      </c>
      <c r="V41" s="401">
        <v>0</v>
      </c>
      <c r="W41" s="401">
        <v>0</v>
      </c>
      <c r="X41" s="498">
        <f>_xll.qlMidEquivalent($T41,$U41,$V41,$W41)</f>
        <v>3.28125</v>
      </c>
      <c r="Y41" s="343"/>
      <c r="Z41" s="351">
        <v>3.0550000000000002</v>
      </c>
      <c r="AA41" s="343"/>
      <c r="AB41" s="595">
        <v>3.0550000000000002</v>
      </c>
      <c r="AC41" s="348" t="e">
        <f>_xll.qlSimpleQuoteSetValue(F41,AB41/100,Trigger)</f>
        <v>#N/A</v>
      </c>
      <c r="AD41" s="218"/>
      <c r="AE41" s="64"/>
      <c r="AF41" s="64"/>
      <c r="AG41" s="64"/>
      <c r="AH41" s="64"/>
      <c r="AI41" s="64"/>
      <c r="AJ41" s="382">
        <f t="shared" si="1"/>
        <v>1.6999999999999993E-3</v>
      </c>
    </row>
    <row r="42" spans="1:36" x14ac:dyDescent="0.2">
      <c r="A42" s="118"/>
      <c r="B42" s="213" t="s">
        <v>27</v>
      </c>
      <c r="C42" s="75" t="str">
        <v>SB</v>
      </c>
      <c r="D42" s="75" t="str">
        <v>6L</v>
      </c>
      <c r="E42" s="73" t="str">
        <f t="shared" si="2"/>
        <v>GBPSB6L60Y_Quote</v>
      </c>
      <c r="F42" s="73" t="str">
        <f>_xll.qlSimpleQuote(Currency&amp;$C42&amp;$D42&amp;$B42&amp;QuoteSuffix,,RateTickValue,Permanent,Trigger,ObjectOverwrite)</f>
        <v>GBPSB6L60Y_Quote#0000</v>
      </c>
      <c r="G42" s="72" t="str">
        <f>_xll.ohRangeRetrieveError(F42)</f>
        <v/>
      </c>
      <c r="H42" s="33"/>
      <c r="N42" s="118"/>
      <c r="O42" s="347" t="s">
        <v>27</v>
      </c>
      <c r="P42" s="396" t="str">
        <v>SB</v>
      </c>
      <c r="Q42" s="396" t="str">
        <v>6L</v>
      </c>
      <c r="R42" s="346" t="str">
        <f t="shared" si="0"/>
        <v>GBPSB6L60Y</v>
      </c>
      <c r="S42" s="346" t="str">
        <v>GBPSB6L60Y=ICAP</v>
      </c>
      <c r="T42" s="397">
        <v>3.2162500000000001</v>
      </c>
      <c r="U42" s="397">
        <v>3.38625</v>
      </c>
      <c r="V42" s="397">
        <v>0</v>
      </c>
      <c r="W42" s="397">
        <v>0</v>
      </c>
      <c r="X42" s="496">
        <f>_xll.qlMidEquivalent($T42,$U42,$V42,$W42)</f>
        <v>3.30125</v>
      </c>
      <c r="Y42" s="343"/>
      <c r="Z42" s="344">
        <v>3.08</v>
      </c>
      <c r="AA42" s="343"/>
      <c r="AB42" s="596">
        <v>3.08</v>
      </c>
      <c r="AC42" s="340" t="e">
        <f>_xll.qlSimpleQuoteSetValue(F42,AB42/100,Trigger)</f>
        <v>#N/A</v>
      </c>
      <c r="AD42" s="218"/>
      <c r="AE42" s="64"/>
      <c r="AF42" s="64"/>
      <c r="AG42" s="64"/>
      <c r="AH42" s="64"/>
      <c r="AI42" s="64"/>
      <c r="AJ42" s="382">
        <f t="shared" si="1"/>
        <v>1.6999999999999993E-3</v>
      </c>
    </row>
    <row r="43" spans="1:36"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84"/>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tabSelected="1"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24" t="s">
        <v>351</v>
      </c>
      <c r="B1" s="475"/>
      <c r="C1" s="475"/>
      <c r="D1" s="229"/>
      <c r="E1" s="229"/>
      <c r="F1" s="228"/>
    </row>
    <row r="2" spans="1:26" x14ac:dyDescent="0.2">
      <c r="A2" s="623"/>
      <c r="B2" s="238">
        <v>1</v>
      </c>
      <c r="C2" s="422" t="str">
        <f>_xll.qlPeriodEquivalent(Months&amp;"M")</f>
        <v>1M</v>
      </c>
      <c r="D2" s="238"/>
      <c r="E2" s="238"/>
      <c r="F2" s="137"/>
      <c r="H2" s="622" t="s">
        <v>358</v>
      </c>
      <c r="I2" s="621"/>
      <c r="J2" s="621"/>
      <c r="K2" s="621"/>
      <c r="L2" s="621"/>
      <c r="M2" s="621"/>
      <c r="N2" s="621"/>
      <c r="O2" s="621"/>
      <c r="P2" s="620"/>
    </row>
    <row r="3" spans="1:26" ht="13.5" x14ac:dyDescent="0.25">
      <c r="A3" s="118"/>
      <c r="B3" s="227"/>
      <c r="C3" s="226" t="str">
        <f>Currency&amp;"_015_SyntheticQuotes"&amp;Tenor&amp;".xml"</f>
        <v>GBP_015_SyntheticQuotes1M.xml</v>
      </c>
      <c r="D3" s="16">
        <f ca="1">IF(Serialize,_xll.ohObjectSave(D4:D12,SerializationPath&amp;C3,FileOverwrite,Serialize),"---")</f>
        <v>9</v>
      </c>
      <c r="E3" s="7" t="str">
        <f ca="1">_xll.ohRangeRetrieveError(D3)</f>
        <v/>
      </c>
      <c r="F3" s="218"/>
      <c r="H3" s="619"/>
      <c r="I3" s="618"/>
      <c r="J3" s="603"/>
      <c r="K3" s="617"/>
      <c r="L3" s="603"/>
      <c r="M3" s="603"/>
      <c r="N3" s="603"/>
      <c r="O3" s="616"/>
      <c r="P3" s="600"/>
    </row>
    <row r="4" spans="1:26" x14ac:dyDescent="0.2">
      <c r="A4" s="118"/>
      <c r="B4" s="225" t="s">
        <v>151</v>
      </c>
      <c r="C4" s="125" t="str">
        <f t="shared" ref="C4:C12" si="0">Currency&amp;$B4&amp;"_SYNTH"&amp;Tenor&amp;QuoteSuffix</f>
        <v>GBPOND_SYNTH1M_Quote</v>
      </c>
      <c r="D4" s="127" t="str">
        <f>_xll.qlSimpleQuote(C4,,RateTickValue,Permanent,Trigger,ObjectOverwrite)</f>
        <v>GBPOND_SYNTH1M_Quote#0000</v>
      </c>
      <c r="E4" s="223" t="str">
        <f>_xll.ohRangeRetrieveError(D4)</f>
        <v/>
      </c>
      <c r="F4" s="218"/>
      <c r="H4" s="606"/>
      <c r="I4" s="616"/>
      <c r="J4" s="616"/>
      <c r="K4" s="603"/>
      <c r="L4" s="603"/>
      <c r="M4" s="603"/>
      <c r="N4" s="616"/>
      <c r="O4" s="615">
        <f>_xll.ohTrigger(O6:O9)</f>
        <v>0</v>
      </c>
      <c r="P4" s="600"/>
    </row>
    <row r="5" spans="1:26" x14ac:dyDescent="0.2">
      <c r="A5" s="118"/>
      <c r="B5" s="225" t="s">
        <v>150</v>
      </c>
      <c r="C5" s="125" t="str">
        <f t="shared" si="0"/>
        <v>GBPTND_SYNTH1M_Quote</v>
      </c>
      <c r="D5" s="127" t="str">
        <f>_xll.qlSimpleQuote(C5,,RateTickValue,Permanent,Trigger,ObjectOverwrite)</f>
        <v>GBPTND_SYNTH1M_Quote#0000</v>
      </c>
      <c r="E5" s="223" t="str">
        <f>_xll.ohRangeRetrieveError(D5)</f>
        <v/>
      </c>
      <c r="F5" s="218"/>
      <c r="H5" s="606"/>
      <c r="I5" s="612"/>
      <c r="J5" s="614" t="s">
        <v>357</v>
      </c>
      <c r="K5" s="603"/>
      <c r="L5" s="613" t="s">
        <v>286</v>
      </c>
      <c r="M5" s="603"/>
      <c r="N5" s="612" t="s">
        <v>285</v>
      </c>
      <c r="O5" s="611" t="s">
        <v>284</v>
      </c>
      <c r="P5" s="600"/>
    </row>
    <row r="6" spans="1:26" ht="12" thickBot="1" x14ac:dyDescent="0.25">
      <c r="A6" s="118"/>
      <c r="B6" s="225" t="s">
        <v>149</v>
      </c>
      <c r="C6" s="125" t="str">
        <f t="shared" si="0"/>
        <v>GBPSND_SYNTH1M_Quote</v>
      </c>
      <c r="D6" s="127" t="str">
        <f>_xll.qlSimpleQuote(C6,,RateTickValue,Permanent,Trigger,ObjectOverwrite)</f>
        <v>GBPSND_SYNTH1M_Quote#0000</v>
      </c>
      <c r="E6" s="223" t="str">
        <f>_xll.ohRangeRetrieveError(D6)</f>
        <v/>
      </c>
      <c r="F6" s="218"/>
      <c r="H6" s="606"/>
      <c r="I6" s="610" t="s">
        <v>149</v>
      </c>
      <c r="J6" s="626" t="s">
        <v>359</v>
      </c>
      <c r="K6" s="625" t="s">
        <v>178</v>
      </c>
      <c r="L6" s="609">
        <v>4.9130976385395788E-3</v>
      </c>
      <c r="M6" s="603"/>
      <c r="N6" s="608">
        <f t="array" ref="N6:N10">QuoteStatic</f>
        <v>4.9130976385395788E-3</v>
      </c>
      <c r="O6" s="607" t="e">
        <f>_xll.qlSimpleQuoteSetValue(D6,ROUND(N6,6),EvaluationDate)</f>
        <v>#N/A</v>
      </c>
      <c r="P6" s="600"/>
    </row>
    <row r="7" spans="1:26" x14ac:dyDescent="0.2">
      <c r="A7" s="118"/>
      <c r="B7" s="225" t="s">
        <v>148</v>
      </c>
      <c r="C7" s="125" t="str">
        <f t="shared" si="0"/>
        <v>GBPSWD_SYNTH1M_Quote</v>
      </c>
      <c r="D7" s="127" t="str">
        <f>_xll.qlSimpleQuote(C7,,RateTickValue,Permanent,Trigger,ObjectOverwrite)</f>
        <v>GBPSWD_SYNTH1M_Quote#0000</v>
      </c>
      <c r="E7" s="223" t="str">
        <f>_xll.ohRangeRetrieveError(D7)</f>
        <v/>
      </c>
      <c r="F7" s="218"/>
      <c r="H7" s="606"/>
      <c r="I7" s="610" t="s">
        <v>148</v>
      </c>
      <c r="J7" s="626" t="s">
        <v>360</v>
      </c>
      <c r="K7" s="625" t="s">
        <v>178</v>
      </c>
      <c r="L7" s="609">
        <v>4.9233981743148506E-3</v>
      </c>
      <c r="M7" s="603"/>
      <c r="N7" s="608">
        <v>4.9233981743148506E-3</v>
      </c>
      <c r="O7" s="607" t="e">
        <f>_xll.qlSimpleQuoteSetValue(D7,ROUND(N7,6),EvaluationDate)</f>
        <v>#N/A</v>
      </c>
      <c r="P7" s="600"/>
      <c r="R7" s="650" t="s">
        <v>364</v>
      </c>
      <c r="S7" s="649"/>
      <c r="T7" s="649"/>
      <c r="U7" s="649"/>
      <c r="V7" s="649"/>
      <c r="W7" s="649"/>
      <c r="X7" s="649"/>
      <c r="Y7" s="649"/>
      <c r="Z7" s="648"/>
    </row>
    <row r="8" spans="1:26" x14ac:dyDescent="0.2">
      <c r="A8" s="118"/>
      <c r="B8" s="225" t="s">
        <v>147</v>
      </c>
      <c r="C8" s="125" t="str">
        <f t="shared" si="0"/>
        <v>GBP2WD_SYNTH1M_Quote</v>
      </c>
      <c r="D8" s="127" t="str">
        <f>_xll.qlSimpleQuote(C8,,RateTickValue,Permanent,Trigger,ObjectOverwrite)</f>
        <v>GBP2WD_SYNTH1M_Quote#0000</v>
      </c>
      <c r="E8" s="223" t="str">
        <f>_xll.ohRangeRetrieveError(D8)</f>
        <v/>
      </c>
      <c r="F8" s="218"/>
      <c r="H8" s="606"/>
      <c r="I8" s="610" t="s">
        <v>147</v>
      </c>
      <c r="J8" s="626" t="s">
        <v>361</v>
      </c>
      <c r="K8" s="625" t="s">
        <v>178</v>
      </c>
      <c r="L8" s="609">
        <v>4.9289783450644714E-3</v>
      </c>
      <c r="M8" s="603"/>
      <c r="N8" s="608">
        <v>4.9289783450644714E-3</v>
      </c>
      <c r="O8" s="607" t="e">
        <f>_xll.qlSimpleQuoteSetValue(D8,ROUND(N8,6),EvaluationDate)</f>
        <v>#N/A</v>
      </c>
      <c r="P8" s="600"/>
      <c r="R8" s="647"/>
      <c r="S8" s="646"/>
      <c r="T8" s="635"/>
      <c r="U8" s="635"/>
      <c r="V8" s="635"/>
      <c r="W8" s="635"/>
      <c r="X8" s="635"/>
      <c r="Y8" s="644"/>
      <c r="Z8" s="645"/>
    </row>
    <row r="9" spans="1:26" x14ac:dyDescent="0.2">
      <c r="A9" s="118"/>
      <c r="B9" s="225" t="s">
        <v>146</v>
      </c>
      <c r="C9" s="125" t="str">
        <f t="shared" si="0"/>
        <v>GBP3WD_SYNTH1M_Quote</v>
      </c>
      <c r="D9" s="127" t="str">
        <f>_xll.qlSimpleQuote(C9,,RateTickValue,Permanent,Trigger,ObjectOverwrite)</f>
        <v>GBP3WD_SYNTH1M_Quote#0000</v>
      </c>
      <c r="E9" s="223" t="str">
        <f>_xll.ohRangeRetrieveError(D9)</f>
        <v/>
      </c>
      <c r="F9" s="218"/>
      <c r="H9" s="606"/>
      <c r="I9" s="605" t="s">
        <v>146</v>
      </c>
      <c r="J9" s="627" t="s">
        <v>362</v>
      </c>
      <c r="K9" s="625" t="s">
        <v>178</v>
      </c>
      <c r="L9" s="604">
        <v>4.9221427692346768E-3</v>
      </c>
      <c r="M9" s="603"/>
      <c r="N9" s="602">
        <v>4.9221427692346768E-3</v>
      </c>
      <c r="O9" s="601" t="e">
        <f>_xll.qlSimpleQuoteSetValue(D9,ROUND(N9,6),EvaluationDate)</f>
        <v>#N/A</v>
      </c>
      <c r="P9" s="600"/>
      <c r="R9" s="638"/>
      <c r="S9" s="644"/>
      <c r="T9" s="644"/>
      <c r="U9" s="635"/>
      <c r="V9" s="635"/>
      <c r="W9" s="635"/>
      <c r="X9" s="644"/>
      <c r="Y9" s="643">
        <f>_xll.ohTrigger(Y11:Y12)</f>
        <v>0</v>
      </c>
      <c r="Z9" s="641"/>
    </row>
    <row r="10" spans="1:26" x14ac:dyDescent="0.2">
      <c r="A10" s="118"/>
      <c r="B10" s="224" t="s">
        <v>145</v>
      </c>
      <c r="C10" s="125" t="str">
        <f t="shared" si="0"/>
        <v>GBP1MD_SYNTH1M_Quote</v>
      </c>
      <c r="D10" s="125" t="str">
        <f>_xll.qlSimpleQuote(C10,,RateTickValue,Permanent,Trigger,ObjectOverwrite)</f>
        <v>GBP1MD_SYNTH1M_Quote#0000</v>
      </c>
      <c r="E10" s="223" t="str">
        <f>_xll.ohRangeRetrieveError(D10)</f>
        <v/>
      </c>
      <c r="F10" s="218"/>
      <c r="H10" s="606"/>
      <c r="I10" s="605" t="s">
        <v>145</v>
      </c>
      <c r="J10" s="627" t="s">
        <v>363</v>
      </c>
      <c r="K10" s="625" t="s">
        <v>178</v>
      </c>
      <c r="L10" s="604">
        <v>4.931984807440502E-3</v>
      </c>
      <c r="M10" s="603"/>
      <c r="N10" s="602">
        <v>4.931984807440502E-3</v>
      </c>
      <c r="O10" s="601" t="e">
        <f>_xll.qlSimpleQuoteSetValue(D10,ROUND(N10,6),EvaluationDate)</f>
        <v>#N/A</v>
      </c>
      <c r="P10" s="600"/>
      <c r="R10" s="638"/>
      <c r="S10" s="309"/>
      <c r="T10" s="642" t="s">
        <v>357</v>
      </c>
      <c r="U10" s="635"/>
      <c r="V10" s="306" t="s">
        <v>286</v>
      </c>
      <c r="W10" s="635"/>
      <c r="X10" s="309" t="s">
        <v>285</v>
      </c>
      <c r="Y10" s="307" t="s">
        <v>284</v>
      </c>
      <c r="Z10" s="641"/>
    </row>
    <row r="11" spans="1:26" ht="12" thickBot="1" x14ac:dyDescent="0.25">
      <c r="A11" s="118"/>
      <c r="B11" s="222" t="s">
        <v>218</v>
      </c>
      <c r="C11" s="121" t="str">
        <f t="shared" si="0"/>
        <v>GBPTOY_SYNTH1M_Quote</v>
      </c>
      <c r="D11" s="123" t="str">
        <f>_xll.qlSimpleQuote(C11,1,RateTickValue,Permanent,Trigger,ObjectOverwrite)</f>
        <v>GBPTOY_SYNTH1M_Quote#0000</v>
      </c>
      <c r="E11" s="221" t="str">
        <f>_xll.ohRangeRetrieveError(D11)</f>
        <v/>
      </c>
      <c r="F11" s="218"/>
      <c r="H11" s="599"/>
      <c r="I11" s="598"/>
      <c r="J11" s="598"/>
      <c r="K11" s="598"/>
      <c r="L11" s="598"/>
      <c r="M11" s="598"/>
      <c r="N11" s="598"/>
      <c r="O11" s="598"/>
      <c r="P11" s="597"/>
      <c r="R11" s="638"/>
      <c r="S11" s="640" t="s">
        <v>218</v>
      </c>
      <c r="T11" s="656" t="s">
        <v>365</v>
      </c>
      <c r="U11" s="635"/>
      <c r="V11" s="639">
        <v>1</v>
      </c>
      <c r="W11" s="635"/>
      <c r="X11" s="300">
        <f t="array" ref="X11:X12">QuoteStatic2</f>
        <v>1</v>
      </c>
      <c r="Y11" s="298">
        <f>_xll.qlSimpleQuoteSetValue(D11,X11,EvaluationDate)</f>
        <v>0</v>
      </c>
      <c r="Z11" s="634"/>
    </row>
    <row r="12" spans="1:26" x14ac:dyDescent="0.2">
      <c r="A12" s="118"/>
      <c r="B12" s="220" t="s">
        <v>217</v>
      </c>
      <c r="C12" s="114" t="str">
        <f t="shared" si="0"/>
        <v>GBPTOY2_SYNTH1M_Quote</v>
      </c>
      <c r="D12" s="119" t="str">
        <f>_xll.qlSimpleQuote(C12,1,RateTickValue,Permanent,Trigger,ObjectOverwrite)</f>
        <v>GBPTOY2_SYNTH1M_Quote#0000</v>
      </c>
      <c r="E12" s="219" t="str">
        <f>_xll.ohRangeRetrieveError(D12)</f>
        <v/>
      </c>
      <c r="F12" s="218"/>
      <c r="R12" s="638"/>
      <c r="S12" s="637" t="s">
        <v>217</v>
      </c>
      <c r="T12" s="657" t="s">
        <v>366</v>
      </c>
      <c r="U12" s="635"/>
      <c r="V12" s="636">
        <v>0.99999284330093308</v>
      </c>
      <c r="W12" s="635"/>
      <c r="X12" s="281">
        <v>0.99999284330093308</v>
      </c>
      <c r="Y12" s="279">
        <f>_xll.qlSimpleQuoteSetValue(D12,X12,EvaluationDate)</f>
        <v>-7.1566990669236219E-6</v>
      </c>
      <c r="Z12" s="634"/>
    </row>
    <row r="13" spans="1:26" ht="12" thickBot="1" x14ac:dyDescent="0.25">
      <c r="A13" s="32"/>
      <c r="B13" s="31"/>
      <c r="C13" s="31"/>
      <c r="D13" s="31"/>
      <c r="E13" s="31"/>
      <c r="F13" s="30"/>
      <c r="R13" s="633"/>
      <c r="S13" s="632"/>
      <c r="T13" s="632"/>
      <c r="U13" s="632"/>
      <c r="V13" s="632"/>
      <c r="W13" s="632"/>
      <c r="X13" s="632"/>
      <c r="Y13" s="632"/>
      <c r="Z13" s="631"/>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GBPOND_SYNTH3M_Quote#0000</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GBPTND_SYNTH3M_Quote#0000</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GBPSND_SYNTH3M_Quote#0000</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GBPSWD_SYNTH3M_Quote#0000</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GBP2WD_SYNTH3M_Quote#0000</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GBP3WD_SYNTH3M_Quote#0000</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GBP1MD_SYNTH3M_Quote#0000</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GBP2MD_SYNTH3M_Quote#0000</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GBP3MD_SYNTH3M_Quote#0000</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GBPTOY_SYNTH3M_Quote#0000</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GBPTOY2_SYNTH3M_Quote#0000</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GBPOND_SYNTH6M_Quote#0000</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GBPTND_SYNTH6M_Quote#0000</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GBPSND_SYNTH6M_Quote#0000</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GBPSWD_SYNTH6M_Quote#0000</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GBP2WD_SYNTH6M_Quote#0000</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GBP3WD_SYNTH6M_Quote#0000</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GBP1MD_SYNTH6M_Quote#0000</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GBP2MD_SYNTH6M_Quote#0000</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GBP3MD_SYNTH6M_Quote#0000</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GBP4MD_SYNTH6M_Quote#0000</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GBP5MD_SYNTH6M_Quote#0000</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GBP6MD_SYNTH6M_Quote#0000</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GBP2x8F_SYNTH6M_Quote#0000</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GBP4x10F_SYNTH6M_Quote#0000</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GBP5x11F_SYNTH6M_Quote#0000</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GBP7x13F_SYNTH6M_Quote#0000</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GBP8x14F_SYNTH6M_Quote#0000</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GBP9x15F_SYNTH6M_Quote#0000</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GBP10x16F_SYNTH6M_Quote#0000</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GBP11x17F_SYNTH6M_Quote#0000</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GBP13x19F_SYNTH6M_Quote#0000</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GBP14x20F_SYNTH6M_Quote#0000</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GBP15x21F_SYNTH6M_Quote#0000</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GBP16x22F_SYNTH6M_Quote#0000</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GBP17x23F_SYNTH6M_Quote#0000</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GBPTOY_SYNTH6M_Quote#0000</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GBPTOY2_SYNTH6M_Quote#0000</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GBPOND_SYNTH1Y_Quote#0000</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GBPTND_SYNTH1Y_Quote#0000</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GBPSND_SYNTH1Y_Quote#0000</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GBPSWD_SYNTH1Y_Quote#0000</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GBP2WD_SYNTH1Y_Quote#0000</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GBP3WD_SYNTH1Y_Quote#0000</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GBP1MD_SYNTH1Y_Quote#0000</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GBP2MD_SYNTH1Y_Quote#0000</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GBP3MD_SYNTH1Y_Quote#0000</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GBP4MD_SYNTH1Y_Quote#0000</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GBP5MD_SYNTH1Y_Quote#0000</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GBP6MD_SYNTH1Y_Quote#0000</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GBP7MD_SYNTH1Y_Quote#0000</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GBP8MD_SYNTH1Y_Quote#0000</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GBP9MD_SYNTH1Y_Quote#0000</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GBP10MD_SYNTH1Y_Quote#0000</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GBP11MD_SYNTH1Y_Quote#0000</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GBP1YD_SYNTH1Y_Quote#0000</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GBP1x13F_SYNTH1Y_Quote#0000</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GBP2x14F_SYNTH1Y_Quote#0000</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GBP3x15F_SYNTH1Y_Quote#0000</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GBP4x16F_SYNTH1Y_Quote#0000</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GBP5x17F_SYNTH1Y_Quote#0000</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GBP6x18F_SYNTH1Y_Quote#0000</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GBP7x19F_SYNTH1Y_Quote#0000</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GBP8x20F_SYNTH1Y_Quote#0000</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GBP9x21F_SYNTH1Y_Quote#0000</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GBP10x22F_SYNTH1Y_Quote#0000</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GBP11x23F_SYNTH1Y_Quote#0000</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GBP13x25F_SYNTH1Y_Quote#0000</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GBP14x26F_SYNTH1Y_Quote#0000</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GBP15x27F_SYNTH1Y_Quote#0000</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GBP16x28F_SYNTH1Y_Quote#0000</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GBP17x29F_SYNTH1Y_Quote#0000</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GBP18x30F_SYNTH1Y_Quote#0000</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GBP19x31F_SYNTH1Y_Quote#0000</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GBP20x32F_SYNTH1Y_Quote#0000</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GBP21x33F_SYNTH1Y_Quote#0000</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GBP22x34F_SYNTH1Y_Quote#0000</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GBP23x35F_SYNTH1Y_Quote#0000</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GBP25x37F_SYNTH1Y_Quote#0000</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GBP26x38F_SYNTH1Y_Quote#0000</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GBP27x39F_SYNTH1Y_Quote#0000</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GBP28x40F_SYNTH1Y_Quote#0000</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GBP29x41F_SYNTH1Y_Quote#0000</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GBP30x42F_SYNTH1Y_Quote#0000</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GBP31x43F_SYNTH1Y_Quote#0000</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GBP32x44F_SYNTH1Y_Quote#0000</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GBP33x45F_SYNTH1Y_Quote#0000</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GBP34x46F_SYNTH1Y_Quote#0000</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GBP35x47F_SYNTH1Y_Quote#0000</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GBP37x49F_SYNTH1Y_Quote#0000</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GBP38x50F_SYNTH1Y_Quote#0000</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GBP39x51F_SYNTH1Y_Quote#0000</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GBP40x52F_SYNTH1Y_Quote#0000</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GBP41x53F_SYNTH1Y_Quote#0000</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GBP42x54F_SYNTH1Y_Quote#0000</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GBP43x55F_SYNTH1Y_Quote#0000</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GBP44x56F_SYNTH1Y_Quote#0000</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GBP45x57F_SYNTH1Y_Quote#0000</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GBP46x58F_SYNTH1Y_Quote#0000</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GBP47x59F_SYNTH1Y_Quote#0000</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t="e">
        <f ca="1">IF(Serialize,_xll.ohObjectSave(K3:K36,SerializationPath&amp;J2,FileOverwrite,Serialize),"---")</f>
        <v>#NUM!</v>
      </c>
      <c r="L2" s="241" t="e">
        <f ca="1">_xll.ohRangeRetrieveError(K2)</f>
        <v>#NUM!</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e">
        <f>_xll.qlForwardSwapQuote(J4,I4,H4,E4,Permanent,Trigger,ObjectOverwrite)</f>
        <v>#NUM!</v>
      </c>
      <c r="L4" s="241" t="e">
        <f ca="1">_xll.ohRangeRetrieveError(K4)</f>
        <v>#NUM!</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e">
        <f>_xll.qlForwardSwapQuote(J5,I5,H5,E5,Permanent,Trigger,ObjectOverwrite)</f>
        <v>#NUM!</v>
      </c>
      <c r="L5" s="241" t="e">
        <f ca="1">_xll.ohRangeRetrieveError(K5)</f>
        <v>#NUM!</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e">
        <f>_xll.qlForwardSwapQuote(J6,I6,H6,E6,Permanent,Trigger,ObjectOverwrite)</f>
        <v>#NUM!</v>
      </c>
      <c r="L6" s="241" t="e">
        <f ca="1">_xll.ohRangeRetrieveError(K6)</f>
        <v>#NUM!</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e">
        <f>_xll.qlForwardSwapQuote(J7,I7,H7,E7,Permanent,Trigger,ObjectOverwrite)</f>
        <v>#NUM!</v>
      </c>
      <c r="L7" s="241" t="e">
        <f ca="1">_xll.ohRangeRetrieveError(K7)</f>
        <v>#NUM!</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e">
        <f>_xll.qlForwardSwapQuote(J8,I8,H8,E8,Permanent,Trigger,ObjectOverwrite)</f>
        <v>#NUM!</v>
      </c>
      <c r="L8" s="241" t="e">
        <f ca="1">_xll.ohRangeRetrieveError(K8)</f>
        <v>#NUM!</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e">
        <f>_xll.qlForwardSwapQuote(J9,I9,H9,E9,Permanent,Trigger,ObjectOverwrite)</f>
        <v>#NUM!</v>
      </c>
      <c r="L9" s="241" t="e">
        <f ca="1">_xll.ohRangeRetrieveError(K9)</f>
        <v>#NUM!</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e">
        <f>_xll.qlForwardSwapQuote(J10,I10,H10,E10,Permanent,Trigger,ObjectOverwrite)</f>
        <v>#NUM!</v>
      </c>
      <c r="L10" s="241" t="e">
        <f ca="1">_xll.ohRangeRetrieveError(K10)</f>
        <v>#NUM!</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e">
        <f>_xll.qlForwardSwapQuote(J11,I11,H11,E11,Permanent,Trigger,ObjectOverwrite)</f>
        <v>#NUM!</v>
      </c>
      <c r="L11" s="241" t="e">
        <f ca="1">_xll.ohRangeRetrieveError(K11)</f>
        <v>#NUM!</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e">
        <f>_xll.qlForwardSwapQuote(J12,I12,H12,E12,Permanent,Trigger,ObjectOverwrite)</f>
        <v>#NUM!</v>
      </c>
      <c r="L12" s="241" t="e">
        <f ca="1">_xll.ohRangeRetrieveError(K12)</f>
        <v>#NUM!</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e">
        <f>_xll.qlForwardSwapQuote(J13,I13,H13,E13,Permanent,Trigger,ObjectOverwrite)</f>
        <v>#NUM!</v>
      </c>
      <c r="L13" s="241" t="e">
        <f ca="1">_xll.ohRangeRetrieveError(K13)</f>
        <v>#NUM!</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e">
        <f>_xll.qlForwardSwapQuote(J14,I14,H14,E14,Permanent,Trigger,ObjectOverwrite)</f>
        <v>#NUM!</v>
      </c>
      <c r="L14" s="241" t="e">
        <f ca="1">_xll.ohRangeRetrieveError(K14)</f>
        <v>#NUM!</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e">
        <f>_xll.qlForwardSwapQuote(J15,I15,H15,E15,Permanent,Trigger,ObjectOverwrite)</f>
        <v>#NUM!</v>
      </c>
      <c r="L15" s="241" t="e">
        <f ca="1">_xll.ohRangeRetrieveError(K15)</f>
        <v>#NUM!</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e">
        <f>_xll.qlForwardSwapQuote(J16,I16,H16,E16,Permanent,Trigger,ObjectOverwrite)</f>
        <v>#NUM!</v>
      </c>
      <c r="L16" s="241" t="e">
        <f ca="1">_xll.ohRangeRetrieveError(K16)</f>
        <v>#NUM!</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e">
        <f>_xll.qlForwardSwapQuote(J17,I17,H17,E17,Permanent,Trigger,ObjectOverwrite)</f>
        <v>#NUM!</v>
      </c>
      <c r="L17" s="241" t="e">
        <f ca="1">_xll.ohRangeRetrieveError(K17)</f>
        <v>#NUM!</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e">
        <f>_xll.qlForwardSwapQuote(J18,I18,H18,E18,Permanent,Trigger,ObjectOverwrite)</f>
        <v>#NUM!</v>
      </c>
      <c r="L18" s="241" t="e">
        <f ca="1">_xll.ohRangeRetrieveError(K18)</f>
        <v>#NUM!</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e">
        <f>_xll.qlForwardSwapQuote(J19,I19,H19,E19,Permanent,Trigger,ObjectOverwrite)</f>
        <v>#NUM!</v>
      </c>
      <c r="L19" s="241" t="e">
        <f ca="1">_xll.ohRangeRetrieveError(K19)</f>
        <v>#NUM!</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e">
        <f>_xll.qlForwardSwapQuote(J20,I20,H20,E20,Permanent,Trigger,ObjectOverwrite)</f>
        <v>#NUM!</v>
      </c>
      <c r="L20" s="241" t="e">
        <f ca="1">_xll.ohRangeRetrieveError(K20)</f>
        <v>#NUM!</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e">
        <f>_xll.qlForwardSwapQuote(J21,I21,H21,E21,Permanent,Trigger,ObjectOverwrite)</f>
        <v>#NUM!</v>
      </c>
      <c r="L21" s="241" t="e">
        <f ca="1">_xll.ohRangeRetrieveError(K21)</f>
        <v>#NUM!</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e">
        <f>_xll.qlForwardSwapQuote(J22,I22,H22,E22,Permanent,Trigger,ObjectOverwrite)</f>
        <v>#NUM!</v>
      </c>
      <c r="L22" s="241" t="e">
        <f ca="1">_xll.ohRangeRetrieveError(K22)</f>
        <v>#NUM!</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e">
        <f>_xll.qlForwardSwapQuote(J23,I23,H23,E23,Permanent,Trigger,ObjectOverwrite)</f>
        <v>#NUM!</v>
      </c>
      <c r="L23" s="241" t="e">
        <f ca="1">_xll.ohRangeRetrieveError(K23)</f>
        <v>#NUM!</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e">
        <f>_xll.qlForwardSwapQuote(J24,I24,H24,E24,Permanent,Trigger,ObjectOverwrite)</f>
        <v>#NUM!</v>
      </c>
      <c r="L24" s="241" t="e">
        <f ca="1">_xll.ohRangeRetrieveError(K24)</f>
        <v>#NUM!</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e">
        <f>_xll.qlForwardSwapQuote(J25,I25,H25,E25,Permanent,Trigger,ObjectOverwrite)</f>
        <v>#NUM!</v>
      </c>
      <c r="L25" s="241" t="e">
        <f ca="1">_xll.ohRangeRetrieveError(K25)</f>
        <v>#NUM!</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e">
        <f>_xll.qlForwardSwapQuote(J26,I26,H26,E26,Permanent,Trigger,ObjectOverwrite)</f>
        <v>#NUM!</v>
      </c>
      <c r="L26" s="241" t="e">
        <f ca="1">_xll.ohRangeRetrieveError(K26)</f>
        <v>#NUM!</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e">
        <f>_xll.qlForwardSwapQuote(J27,I27,H27,E27,Permanent,Trigger,ObjectOverwrite)</f>
        <v>#NUM!</v>
      </c>
      <c r="L27" s="241" t="e">
        <f ca="1">_xll.ohRangeRetrieveError(K27)</f>
        <v>#NUM!</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e">
        <f>_xll.qlForwardSwapQuote(J28,I28,H28,E28,Permanent,Trigger,ObjectOverwrite)</f>
        <v>#NUM!</v>
      </c>
      <c r="L28" s="241" t="e">
        <f ca="1">_xll.ohRangeRetrieveError(K28)</f>
        <v>#NUM!</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e">
        <f>_xll.qlForwardSwapQuote(J29,I29,H29,E29,Permanent,Trigger,ObjectOverwrite)</f>
        <v>#NUM!</v>
      </c>
      <c r="L29" s="241" t="e">
        <f ca="1">_xll.ohRangeRetrieveError(K29)</f>
        <v>#NUM!</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e">
        <f>_xll.qlForwardSwapQuote(J30,I30,H30,E30,Permanent,Trigger,ObjectOverwrite)</f>
        <v>#NUM!</v>
      </c>
      <c r="L30" s="241" t="e">
        <f ca="1">_xll.ohRangeRetrieveError(K30)</f>
        <v>#NUM!</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e">
        <f>_xll.qlForwardSwapQuote(J31,I31,H31,E31,Permanent,Trigger,ObjectOverwrite)</f>
        <v>#NUM!</v>
      </c>
      <c r="L31" s="241" t="e">
        <f ca="1">_xll.ohRangeRetrieveError(K31)</f>
        <v>#NUM!</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e">
        <f>_xll.qlForwardSwapQuote(J32,I32,H32,E32,Permanent,Trigger,ObjectOverwrite)</f>
        <v>#NUM!</v>
      </c>
      <c r="L32" s="241" t="e">
        <f ca="1">_xll.ohRangeRetrieveError(K32)</f>
        <v>#NUM!</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e">
        <f>_xll.qlForwardSwapQuote(J33,I33,H33,E33,Permanent,Trigger,ObjectOverwrite)</f>
        <v>#NUM!</v>
      </c>
      <c r="L33" s="241" t="e">
        <f ca="1">_xll.ohRangeRetrieveError(K33)</f>
        <v>#NUM!</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e">
        <f>_xll.qlForwardSwapQuote(J34,I34,H34,E34,Permanent,Trigger,ObjectOverwrite)</f>
        <v>#NUM!</v>
      </c>
      <c r="L34" s="241" t="e">
        <f ca="1">_xll.ohRangeRetrieveError(K34)</f>
        <v>#NUM!</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e">
        <f>_xll.qlForwardSwapQuote(J35,I35,H35,E35,Permanent,Trigger,ObjectOverwrite)</f>
        <v>#NUM!</v>
      </c>
      <c r="L35" s="241" t="e">
        <f ca="1">_xll.ohRangeRetrieveError(K35)</f>
        <v>#NUM!</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e">
        <f>_xll.qlForwardSwapQuote(J36,I36,H36,E36,Permanent,Trigger,ObjectOverwrite)</f>
        <v>#NUM!</v>
      </c>
      <c r="L36" s="72"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e">
        <f>_xll.qlForwardSwapQuote(J4,I4,H4,E4,Permanent,Trigger,ObjectOverwrite)</f>
        <v>#NUM!</v>
      </c>
      <c r="L4" s="247" t="e">
        <f ca="1">_xll.ohRangeRetrieveError(K4)</f>
        <v>#NUM!</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e">
        <f>_xll.qlForwardSwapQuote(J5,I5,H5,E5,Permanent,Trigger,ObjectOverwrite)</f>
        <v>#NUM!</v>
      </c>
      <c r="L5" s="247" t="e">
        <f ca="1">_xll.ohRangeRetrieveError(K5)</f>
        <v>#NUM!</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e">
        <f>_xll.qlForwardSwapQuote(J6,I6,H6,E6,Permanent,Trigger,ObjectOverwrite)</f>
        <v>#NUM!</v>
      </c>
      <c r="L6" s="247" t="e">
        <f ca="1">_xll.ohRangeRetrieveError(K6)</f>
        <v>#NUM!</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e">
        <f>_xll.qlForwardSwapQuote(J7,I7,H7,E7,Permanent,Trigger,ObjectOverwrite)</f>
        <v>#NUM!</v>
      </c>
      <c r="L7" s="247" t="e">
        <f ca="1">_xll.ohRangeRetrieveError(K7)</f>
        <v>#NUM!</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e">
        <f>_xll.qlForwardSwapQuote(J8,I8,H8,E8,Permanent,Trigger,ObjectOverwrite)</f>
        <v>#NUM!</v>
      </c>
      <c r="L8" s="247" t="e">
        <f ca="1">_xll.ohRangeRetrieveError(K8)</f>
        <v>#NUM!</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e">
        <f>_xll.qlForwardSwapQuote(J9,I9,H9,E9,Permanent,Trigger,ObjectOverwrite)</f>
        <v>#NUM!</v>
      </c>
      <c r="L9" s="247" t="e">
        <f ca="1">_xll.ohRangeRetrieveError(K9)</f>
        <v>#NUM!</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e">
        <f>_xll.qlForwardSwapQuote(J10,I10,H10,E10,Permanent,Trigger,ObjectOverwrite)</f>
        <v>#NUM!</v>
      </c>
      <c r="L10" s="247" t="e">
        <f ca="1">_xll.ohRangeRetrieveError(K10)</f>
        <v>#NUM!</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e">
        <f>_xll.qlForwardSwapQuote(J11,I11,H11,E11,Permanent,Trigger,ObjectOverwrite)</f>
        <v>#NUM!</v>
      </c>
      <c r="L11" s="247" t="e">
        <f ca="1">_xll.ohRangeRetrieveError(K11)</f>
        <v>#NUM!</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e">
        <f>_xll.qlForwardSwapQuote(J12,I12,H12,E12,Permanent,Trigger,ObjectOverwrite)</f>
        <v>#NUM!</v>
      </c>
      <c r="L12" s="247" t="e">
        <f ca="1">_xll.ohRangeRetrieveError(K12)</f>
        <v>#NUM!</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e">
        <f>_xll.qlForwardSwapQuote(J13,I13,H13,E13,Permanent,Trigger,ObjectOverwrite)</f>
        <v>#NUM!</v>
      </c>
      <c r="L13" s="247" t="e">
        <f ca="1">_xll.ohRangeRetrieveError(K13)</f>
        <v>#NUM!</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e">
        <f>_xll.qlForwardSwapQuote(J14,I14,H14,E14,Permanent,Trigger,ObjectOverwrite)</f>
        <v>#NUM!</v>
      </c>
      <c r="L14" s="247" t="e">
        <f ca="1">_xll.ohRangeRetrieveError(K14)</f>
        <v>#NUM!</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e">
        <f>_xll.qlForwardSwapQuote(J15,I15,H15,E15,Permanent,Trigger,ObjectOverwrite)</f>
        <v>#NUM!</v>
      </c>
      <c r="L15" s="247" t="e">
        <f ca="1">_xll.ohRangeRetrieveError(K15)</f>
        <v>#NUM!</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e">
        <f>_xll.qlForwardSwapQuote(J16,I16,H16,E16,Permanent,Trigger,ObjectOverwrite)</f>
        <v>#NUM!</v>
      </c>
      <c r="L16" s="247" t="e">
        <f ca="1">_xll.ohRangeRetrieveError(K16)</f>
        <v>#NUM!</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e">
        <f>_xll.qlForwardSwapQuote(J17,I17,H17,E17,Permanent,Trigger,ObjectOverwrite)</f>
        <v>#NUM!</v>
      </c>
      <c r="L17" s="247" t="e">
        <f ca="1">_xll.ohRangeRetrieveError(K17)</f>
        <v>#NUM!</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e">
        <f>_xll.qlForwardSwapQuote(J18,I18,H18,E18,Permanent,Trigger,ObjectOverwrite)</f>
        <v>#NUM!</v>
      </c>
      <c r="L18" s="247" t="e">
        <f ca="1">_xll.ohRangeRetrieveError(K18)</f>
        <v>#NUM!</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e">
        <f>_xll.qlForwardSwapQuote(J19,I19,H19,E19,Permanent,Trigger,ObjectOverwrite)</f>
        <v>#NUM!</v>
      </c>
      <c r="L19" s="247" t="e">
        <f ca="1">_xll.ohRangeRetrieveError(K19)</f>
        <v>#NUM!</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e">
        <f>_xll.qlForwardSwapQuote(J20,I20,H20,E20,Permanent,Trigger,ObjectOverwrite)</f>
        <v>#NUM!</v>
      </c>
      <c r="L20" s="247" t="e">
        <f ca="1">_xll.ohRangeRetrieveError(K20)</f>
        <v>#NUM!</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e">
        <f>_xll.qlForwardSwapQuote(J21,I21,H21,E21,Permanent,Trigger,ObjectOverwrite)</f>
        <v>#NUM!</v>
      </c>
      <c r="L21" s="247" t="e">
        <f ca="1">_xll.ohRangeRetrieveError(K21)</f>
        <v>#NUM!</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e">
        <f>_xll.qlForwardSwapQuote(J22,I22,H22,E22,Permanent,Trigger,ObjectOverwrite)</f>
        <v>#NUM!</v>
      </c>
      <c r="L22" s="247" t="e">
        <f ca="1">_xll.ohRangeRetrieveError(K22)</f>
        <v>#NUM!</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e">
        <f>_xll.qlForwardSwapQuote(J23,I23,H23,E23,Permanent,Trigger,ObjectOverwrite)</f>
        <v>#NUM!</v>
      </c>
      <c r="L23" s="247" t="e">
        <f ca="1">_xll.ohRangeRetrieveError(K23)</f>
        <v>#NUM!</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e">
        <f>_xll.qlForwardSwapQuote(J24,I24,H24,E24,Permanent,Trigger,ObjectOverwrite)</f>
        <v>#NUM!</v>
      </c>
      <c r="L24" s="247" t="e">
        <f ca="1">_xll.ohRangeRetrieveError(K24)</f>
        <v>#NUM!</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e">
        <f>_xll.qlForwardSwapQuote(J25,I25,H25,E25,Permanent,Trigger,ObjectOverwrite)</f>
        <v>#NUM!</v>
      </c>
      <c r="L25" s="247" t="e">
        <f ca="1">_xll.ohRangeRetrieveError(K25)</f>
        <v>#NUM!</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e">
        <f>_xll.qlForwardSwapQuote(J26,I26,H26,E26,Permanent,Trigger,ObjectOverwrite)</f>
        <v>#NUM!</v>
      </c>
      <c r="L26" s="247" t="e">
        <f ca="1">_xll.ohRangeRetrieveError(K26)</f>
        <v>#NUM!</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e">
        <f>_xll.qlForwardSwapQuote(J27,I27,H27,E27,Permanent,Trigger,ObjectOverwrite)</f>
        <v>#NUM!</v>
      </c>
      <c r="L27" s="247" t="e">
        <f ca="1">_xll.ohRangeRetrieveError(K27)</f>
        <v>#NUM!</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e">
        <f>_xll.qlForwardSwapQuote(J28,I28,H28,E28,Permanent,Trigger,ObjectOverwrite)</f>
        <v>#NUM!</v>
      </c>
      <c r="L28" s="247" t="e">
        <f ca="1">_xll.ohRangeRetrieveError(K28)</f>
        <v>#NUM!</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e">
        <f>_xll.qlForwardSwapQuote(J29,I29,H29,E29,Permanent,Trigger,ObjectOverwrite)</f>
        <v>#NUM!</v>
      </c>
      <c r="L29" s="247" t="e">
        <f ca="1">_xll.ohRangeRetrieveError(K29)</f>
        <v>#NUM!</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e">
        <f>_xll.qlForwardSwapQuote(J30,I30,H30,E30,Permanent,Trigger,ObjectOverwrite)</f>
        <v>#NUM!</v>
      </c>
      <c r="L30" s="247" t="e">
        <f ca="1">_xll.ohRangeRetrieveError(K30)</f>
        <v>#NUM!</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e">
        <f>_xll.qlForwardSwapQuote(J31,I31,H31,E31,Permanent,Trigger,ObjectOverwrite)</f>
        <v>#NUM!</v>
      </c>
      <c r="L31" s="247" t="e">
        <f ca="1">_xll.ohRangeRetrieveError(K31)</f>
        <v>#NUM!</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e">
        <f>_xll.qlForwardSwapQuote(J32,I32,H32,E32,Permanent,Trigger,ObjectOverwrite)</f>
        <v>#NUM!</v>
      </c>
      <c r="L32" s="247" t="e">
        <f ca="1">_xll.ohRangeRetrieveError(K32)</f>
        <v>#NUM!</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e">
        <f>_xll.qlForwardSwapQuote(J33,I33,H33,E33,Permanent,Trigger,ObjectOverwrite)</f>
        <v>#NUM!</v>
      </c>
      <c r="L33" s="247" t="e">
        <f ca="1">_xll.ohRangeRetrieveError(K33)</f>
        <v>#NUM!</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e">
        <f>_xll.qlForwardSwapQuote(J34,I34,H34,E34,Permanent,Trigger,ObjectOverwrite)</f>
        <v>#NUM!</v>
      </c>
      <c r="L34" s="247" t="e">
        <f ca="1">_xll.ohRangeRetrieveError(K34)</f>
        <v>#NUM!</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e">
        <f>_xll.qlForwardSwapQuote(J35,I35,H35,E35,Permanent,Trigger,ObjectOverwrite)</f>
        <v>#NUM!</v>
      </c>
      <c r="L35" s="247" t="e">
        <f ca="1">_xll.ohRangeRetrieveError(K35)</f>
        <v>#NUM!</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e">
        <f>_xll.qlForwardSwapQuote(J36,I36,H36,E36,Permanent,Trigger,ObjectOverwrite)</f>
        <v>#NUM!</v>
      </c>
      <c r="L36" s="247" t="e">
        <f ca="1">_xll.ohRangeRetrieveError(K36)</f>
        <v>#NUM!</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t="e">
        <f ca="1">IF(Serialize,_xll.ohObjectSave(G7:G126,SerializationPath&amp;F6,FileOverwrite,Serialize),"---")</f>
        <v>#NUM!</v>
      </c>
      <c r="H6" s="72" t="e">
        <f ca="1">_xll.ohRangeRetrieveError(G6)</f>
        <v>#NUM!</v>
      </c>
    </row>
    <row r="7" spans="1:8" x14ac:dyDescent="0.2">
      <c r="A7" s="143"/>
      <c r="B7" s="148">
        <v>1</v>
      </c>
      <c r="C7" s="146" t="b">
        <v>0</v>
      </c>
      <c r="D7" s="146" t="str">
        <f t="array" ref="D7:D126">_xll.qlIMMNextCodes(_xll.qlSettingsEvaluationDate(Trigger)-1,$C7:$C126)</f>
        <v>F4</v>
      </c>
      <c r="E7" s="250" t="str">
        <f t="shared" ref="E7:E38" si="0">Currency&amp;"FUT"&amp;$G$4&amp;$D7&amp;QuoteSuffix</f>
        <v>GBPFUT1MF4_Quote</v>
      </c>
      <c r="F7" s="251" t="str">
        <f t="shared" ref="F7:F38" si="1">Currency&amp;"FUT"&amp;$G$4&amp;$D7&amp;"ConvAdj"&amp;QuoteSuffix</f>
        <v>GBPFUT1MF4ConvAdj_Quote</v>
      </c>
      <c r="G7" s="250" t="e">
        <f>_xll.qlFuturesConvAdjustmentQuote($F7,IborIndex,$D7,$E7,Volatility,MeanReversion,Permanent,Trigger,ObjectOverwrite)</f>
        <v>#NUM!</v>
      </c>
      <c r="H7" s="72" t="e">
        <f ca="1">_xll.ohRangeRetrieveError(G7)</f>
        <v>#NUM!</v>
      </c>
    </row>
    <row r="8" spans="1:8" x14ac:dyDescent="0.2">
      <c r="A8" s="143"/>
      <c r="B8" s="142">
        <v>2</v>
      </c>
      <c r="C8" s="140" t="b">
        <v>0</v>
      </c>
      <c r="D8" s="140" t="str">
        <v>G4</v>
      </c>
      <c r="E8" s="250" t="str">
        <f t="shared" si="0"/>
        <v>GBPFUT1MG4_Quote</v>
      </c>
      <c r="F8" s="251" t="str">
        <f t="shared" si="1"/>
        <v>GBPFUT1MG4ConvAdj_Quote</v>
      </c>
      <c r="G8" s="250" t="e">
        <f>_xll.qlFuturesConvAdjustmentQuote($F8,IborIndex,$D8,$E8,Volatility,MeanReversion,Permanent,Trigger,ObjectOverwrite)</f>
        <v>#NUM!</v>
      </c>
      <c r="H8" s="72" t="e">
        <f ca="1">_xll.ohRangeRetrieveError(G8)</f>
        <v>#NUM!</v>
      </c>
    </row>
    <row r="9" spans="1:8" x14ac:dyDescent="0.2">
      <c r="A9" s="143"/>
      <c r="B9" s="142">
        <v>3</v>
      </c>
      <c r="C9" s="140" t="b">
        <v>0</v>
      </c>
      <c r="D9" s="140" t="str">
        <v>H4</v>
      </c>
      <c r="E9" s="250" t="str">
        <f t="shared" si="0"/>
        <v>GBPFUT1MH4_Quote</v>
      </c>
      <c r="F9" s="251" t="str">
        <f t="shared" si="1"/>
        <v>GBPFUT1MH4ConvAdj_Quote</v>
      </c>
      <c r="G9" s="250" t="e">
        <f>_xll.qlFuturesConvAdjustmentQuote($F9,IborIndex,$D9,$E9,Volatility,MeanReversion,Permanent,Trigger,ObjectOverwrite)</f>
        <v>#NUM!</v>
      </c>
      <c r="H9" s="72" t="e">
        <f ca="1">_xll.ohRangeRetrieveError(G9)</f>
        <v>#NUM!</v>
      </c>
    </row>
    <row r="10" spans="1:8" x14ac:dyDescent="0.2">
      <c r="A10" s="143"/>
      <c r="B10" s="142">
        <v>4</v>
      </c>
      <c r="C10" s="140" t="b">
        <v>0</v>
      </c>
      <c r="D10" s="140" t="str">
        <v>J4</v>
      </c>
      <c r="E10" s="250" t="str">
        <f t="shared" si="0"/>
        <v>GBPFUT1MJ4_Quote</v>
      </c>
      <c r="F10" s="251" t="str">
        <f t="shared" si="1"/>
        <v>GBPFUT1MJ4ConvAdj_Quote</v>
      </c>
      <c r="G10" s="250" t="e">
        <f>_xll.qlFuturesConvAdjustmentQuote($F10,IborIndex,$D10,$E10,Volatility,MeanReversion,Permanent,Trigger,ObjectOverwrite)</f>
        <v>#NUM!</v>
      </c>
      <c r="H10" s="72" t="e">
        <f ca="1">_xll.ohRangeRetrieveError(G10)</f>
        <v>#NUM!</v>
      </c>
    </row>
    <row r="11" spans="1:8" x14ac:dyDescent="0.2">
      <c r="A11" s="143"/>
      <c r="B11" s="142">
        <v>5</v>
      </c>
      <c r="C11" s="140" t="b">
        <v>0</v>
      </c>
      <c r="D11" s="140" t="str">
        <v>K4</v>
      </c>
      <c r="E11" s="250" t="str">
        <f t="shared" si="0"/>
        <v>GBPFUT1MK4_Quote</v>
      </c>
      <c r="F11" s="251" t="str">
        <f t="shared" si="1"/>
        <v>GBPFUT1MK4ConvAdj_Quote</v>
      </c>
      <c r="G11" s="250" t="e">
        <f>_xll.qlFuturesConvAdjustmentQuote($F11,IborIndex,$D11,$E11,Volatility,MeanReversion,Permanent,Trigger,ObjectOverwrite)</f>
        <v>#NUM!</v>
      </c>
      <c r="H11" s="72" t="e">
        <f ca="1">_xll.ohRangeRetrieveError(G11)</f>
        <v>#NUM!</v>
      </c>
    </row>
    <row r="12" spans="1:8" x14ac:dyDescent="0.2">
      <c r="A12" s="143"/>
      <c r="B12" s="142">
        <v>6</v>
      </c>
      <c r="C12" s="140" t="b">
        <v>0</v>
      </c>
      <c r="D12" s="140" t="str">
        <v>M4</v>
      </c>
      <c r="E12" s="250" t="str">
        <f t="shared" si="0"/>
        <v>GBPFUT1MM4_Quote</v>
      </c>
      <c r="F12" s="251" t="str">
        <f t="shared" si="1"/>
        <v>GBPFUT1MM4ConvAdj_Quote</v>
      </c>
      <c r="G12" s="250" t="e">
        <f>_xll.qlFuturesConvAdjustmentQuote($F12,IborIndex,$D12,$E12,Volatility,MeanReversion,Permanent,Trigger,ObjectOverwrite)</f>
        <v>#NUM!</v>
      </c>
      <c r="H12" s="72" t="e">
        <f ca="1">_xll.ohRangeRetrieveError(G12)</f>
        <v>#NUM!</v>
      </c>
    </row>
    <row r="13" spans="1:8" x14ac:dyDescent="0.2">
      <c r="A13" s="143"/>
      <c r="B13" s="142">
        <v>7</v>
      </c>
      <c r="C13" s="140" t="b">
        <v>0</v>
      </c>
      <c r="D13" s="140" t="str">
        <v>N4</v>
      </c>
      <c r="E13" s="250" t="str">
        <f t="shared" si="0"/>
        <v>GBPFUT1MN4_Quote</v>
      </c>
      <c r="F13" s="251" t="str">
        <f t="shared" si="1"/>
        <v>GBPFUT1MN4ConvAdj_Quote</v>
      </c>
      <c r="G13" s="250" t="e">
        <f>_xll.qlFuturesConvAdjustmentQuote($F13,IborIndex,$D13,$E13,Volatility,MeanReversion,Permanent,Trigger,ObjectOverwrite)</f>
        <v>#NUM!</v>
      </c>
      <c r="H13" s="72" t="e">
        <f ca="1">_xll.ohRangeRetrieveError(G13)</f>
        <v>#NUM!</v>
      </c>
    </row>
    <row r="14" spans="1:8" x14ac:dyDescent="0.2">
      <c r="A14" s="143"/>
      <c r="B14" s="142">
        <v>8</v>
      </c>
      <c r="C14" s="140" t="b">
        <v>0</v>
      </c>
      <c r="D14" s="140" t="str">
        <v>Q4</v>
      </c>
      <c r="E14" s="250" t="str">
        <f t="shared" si="0"/>
        <v>GBPFUT1MQ4_Quote</v>
      </c>
      <c r="F14" s="251" t="str">
        <f t="shared" si="1"/>
        <v>GBPFUT1MQ4ConvAdj_Quote</v>
      </c>
      <c r="G14" s="250" t="e">
        <f>_xll.qlFuturesConvAdjustmentQuote($F14,IborIndex,$D14,$E14,Volatility,MeanReversion,Permanent,Trigger,ObjectOverwrite)</f>
        <v>#NUM!</v>
      </c>
      <c r="H14" s="72" t="e">
        <f ca="1">_xll.ohRangeRetrieveError(G14)</f>
        <v>#NUM!</v>
      </c>
    </row>
    <row r="15" spans="1:8" x14ac:dyDescent="0.2">
      <c r="A15" s="143"/>
      <c r="B15" s="142">
        <v>9</v>
      </c>
      <c r="C15" s="140" t="b">
        <v>0</v>
      </c>
      <c r="D15" s="140" t="str">
        <v>U4</v>
      </c>
      <c r="E15" s="250" t="str">
        <f t="shared" si="0"/>
        <v>GBPFUT1MU4_Quote</v>
      </c>
      <c r="F15" s="251" t="str">
        <f t="shared" si="1"/>
        <v>GBPFUT1MU4ConvAdj_Quote</v>
      </c>
      <c r="G15" s="250" t="e">
        <f>_xll.qlFuturesConvAdjustmentQuote($F15,IborIndex,$D15,$E15,Volatility,MeanReversion,Permanent,Trigger,ObjectOverwrite)</f>
        <v>#NUM!</v>
      </c>
      <c r="H15" s="72" t="e">
        <f ca="1">_xll.ohRangeRetrieveError(G15)</f>
        <v>#NUM!</v>
      </c>
    </row>
    <row r="16" spans="1:8" x14ac:dyDescent="0.2">
      <c r="A16" s="143"/>
      <c r="B16" s="142">
        <v>10</v>
      </c>
      <c r="C16" s="140" t="b">
        <v>0</v>
      </c>
      <c r="D16" s="140" t="str">
        <v>V4</v>
      </c>
      <c r="E16" s="250" t="str">
        <f t="shared" si="0"/>
        <v>GBPFUT1MV4_Quote</v>
      </c>
      <c r="F16" s="251" t="str">
        <f t="shared" si="1"/>
        <v>GBPFUT1MV4ConvAdj_Quote</v>
      </c>
      <c r="G16" s="250" t="e">
        <f>_xll.qlFuturesConvAdjustmentQuote($F16,IborIndex,$D16,$E16,Volatility,MeanReversion,Permanent,Trigger,ObjectOverwrite)</f>
        <v>#NUM!</v>
      </c>
      <c r="H16" s="72" t="e">
        <f ca="1">_xll.ohRangeRetrieveError(G16)</f>
        <v>#NUM!</v>
      </c>
    </row>
    <row r="17" spans="1:8" x14ac:dyDescent="0.2">
      <c r="A17" s="143"/>
      <c r="B17" s="142">
        <v>11</v>
      </c>
      <c r="C17" s="140" t="b">
        <v>0</v>
      </c>
      <c r="D17" s="140" t="str">
        <v>X4</v>
      </c>
      <c r="E17" s="250" t="str">
        <f t="shared" si="0"/>
        <v>GBPFUT1MX4_Quote</v>
      </c>
      <c r="F17" s="251" t="str">
        <f t="shared" si="1"/>
        <v>GBPFUT1MX4ConvAdj_Quote</v>
      </c>
      <c r="G17" s="250" t="e">
        <f>_xll.qlFuturesConvAdjustmentQuote($F17,IborIndex,$D17,$E17,Volatility,MeanReversion,Permanent,Trigger,ObjectOverwrite)</f>
        <v>#NUM!</v>
      </c>
      <c r="H17" s="72" t="e">
        <f ca="1">_xll.ohRangeRetrieveError(G17)</f>
        <v>#NUM!</v>
      </c>
    </row>
    <row r="18" spans="1:8" x14ac:dyDescent="0.2">
      <c r="A18" s="143"/>
      <c r="B18" s="142">
        <v>12</v>
      </c>
      <c r="C18" s="140" t="b">
        <v>0</v>
      </c>
      <c r="D18" s="140" t="str">
        <v>Z4</v>
      </c>
      <c r="E18" s="250" t="str">
        <f t="shared" si="0"/>
        <v>GBPFUT1MZ4_Quote</v>
      </c>
      <c r="F18" s="251" t="str">
        <f t="shared" si="1"/>
        <v>GBPFUT1MZ4ConvAdj_Quote</v>
      </c>
      <c r="G18" s="250" t="e">
        <f>_xll.qlFuturesConvAdjustmentQuote($F18,IborIndex,$D18,$E18,Volatility,MeanReversion,Permanent,Trigger,ObjectOverwrite)</f>
        <v>#NUM!</v>
      </c>
      <c r="H18" s="72" t="e">
        <f ca="1">_xll.ohRangeRetrieveError(G18)</f>
        <v>#NUM!</v>
      </c>
    </row>
    <row r="19" spans="1:8" x14ac:dyDescent="0.2">
      <c r="A19" s="143"/>
      <c r="B19" s="142">
        <v>13</v>
      </c>
      <c r="C19" s="140" t="b">
        <v>0</v>
      </c>
      <c r="D19" s="140" t="str">
        <v>F5</v>
      </c>
      <c r="E19" s="250" t="str">
        <f t="shared" si="0"/>
        <v>GBPFUT1MF5_Quote</v>
      </c>
      <c r="F19" s="251" t="str">
        <f t="shared" si="1"/>
        <v>GBPFUT1MF5ConvAdj_Quote</v>
      </c>
      <c r="G19" s="250" t="e">
        <f>_xll.qlFuturesConvAdjustmentQuote($F19,IborIndex,$D19,$E19,Volatility,MeanReversion,Permanent,Trigger,ObjectOverwrite)</f>
        <v>#NUM!</v>
      </c>
      <c r="H19" s="72" t="e">
        <f ca="1">_xll.ohRangeRetrieveError(G19)</f>
        <v>#NUM!</v>
      </c>
    </row>
    <row r="20" spans="1:8" x14ac:dyDescent="0.2">
      <c r="A20" s="143"/>
      <c r="B20" s="142">
        <v>14</v>
      </c>
      <c r="C20" s="140" t="b">
        <v>0</v>
      </c>
      <c r="D20" s="140" t="str">
        <v>G5</v>
      </c>
      <c r="E20" s="250" t="str">
        <f t="shared" si="0"/>
        <v>GBPFUT1MG5_Quote</v>
      </c>
      <c r="F20" s="251" t="str">
        <f t="shared" si="1"/>
        <v>GBPFUT1MG5ConvAdj_Quote</v>
      </c>
      <c r="G20" s="250" t="e">
        <f>_xll.qlFuturesConvAdjustmentQuote($F20,IborIndex,$D20,$E20,Volatility,MeanReversion,Permanent,Trigger,ObjectOverwrite)</f>
        <v>#NUM!</v>
      </c>
      <c r="H20" s="72" t="e">
        <f ca="1">_xll.ohRangeRetrieveError(G20)</f>
        <v>#NUM!</v>
      </c>
    </row>
    <row r="21" spans="1:8" x14ac:dyDescent="0.2">
      <c r="A21" s="143"/>
      <c r="B21" s="142">
        <v>15</v>
      </c>
      <c r="C21" s="140" t="b">
        <v>0</v>
      </c>
      <c r="D21" s="140" t="str">
        <v>H5</v>
      </c>
      <c r="E21" s="250" t="str">
        <f t="shared" si="0"/>
        <v>GBPFUT1MH5_Quote</v>
      </c>
      <c r="F21" s="251" t="str">
        <f t="shared" si="1"/>
        <v>GBPFUT1MH5ConvAdj_Quote</v>
      </c>
      <c r="G21" s="250" t="e">
        <f>_xll.qlFuturesConvAdjustmentQuote($F21,IborIndex,$D21,$E21,Volatility,MeanReversion,Permanent,Trigger,ObjectOverwrite)</f>
        <v>#NUM!</v>
      </c>
      <c r="H21" s="72" t="e">
        <f ca="1">_xll.ohRangeRetrieveError(G21)</f>
        <v>#NUM!</v>
      </c>
    </row>
    <row r="22" spans="1:8" x14ac:dyDescent="0.2">
      <c r="A22" s="143"/>
      <c r="B22" s="142">
        <v>16</v>
      </c>
      <c r="C22" s="140" t="b">
        <v>0</v>
      </c>
      <c r="D22" s="140" t="str">
        <v>J5</v>
      </c>
      <c r="E22" s="250" t="str">
        <f t="shared" si="0"/>
        <v>GBPFUT1MJ5_Quote</v>
      </c>
      <c r="F22" s="251" t="str">
        <f t="shared" si="1"/>
        <v>GBPFUT1MJ5ConvAdj_Quote</v>
      </c>
      <c r="G22" s="250" t="e">
        <f>_xll.qlFuturesConvAdjustmentQuote($F22,IborIndex,$D22,$E22,Volatility,MeanReversion,Permanent,Trigger,ObjectOverwrite)</f>
        <v>#NUM!</v>
      </c>
      <c r="H22" s="72" t="e">
        <f ca="1">_xll.ohRangeRetrieveError(G22)</f>
        <v>#NUM!</v>
      </c>
    </row>
    <row r="23" spans="1:8" x14ac:dyDescent="0.2">
      <c r="A23" s="143"/>
      <c r="B23" s="142">
        <v>17</v>
      </c>
      <c r="C23" s="140" t="b">
        <v>0</v>
      </c>
      <c r="D23" s="140" t="str">
        <v>K5</v>
      </c>
      <c r="E23" s="250" t="str">
        <f t="shared" si="0"/>
        <v>GBPFUT1MK5_Quote</v>
      </c>
      <c r="F23" s="251" t="str">
        <f t="shared" si="1"/>
        <v>GBPFUT1MK5ConvAdj_Quote</v>
      </c>
      <c r="G23" s="250" t="e">
        <f>_xll.qlFuturesConvAdjustmentQuote($F23,IborIndex,$D23,$E23,Volatility,MeanReversion,Permanent,Trigger,ObjectOverwrite)</f>
        <v>#NUM!</v>
      </c>
      <c r="H23" s="72" t="e">
        <f ca="1">_xll.ohRangeRetrieveError(G23)</f>
        <v>#NUM!</v>
      </c>
    </row>
    <row r="24" spans="1:8" x14ac:dyDescent="0.2">
      <c r="A24" s="143"/>
      <c r="B24" s="142">
        <v>18</v>
      </c>
      <c r="C24" s="140" t="b">
        <v>0</v>
      </c>
      <c r="D24" s="140" t="str">
        <v>M5</v>
      </c>
      <c r="E24" s="250" t="str">
        <f t="shared" si="0"/>
        <v>GBPFUT1MM5_Quote</v>
      </c>
      <c r="F24" s="251" t="str">
        <f t="shared" si="1"/>
        <v>GBPFUT1MM5ConvAdj_Quote</v>
      </c>
      <c r="G24" s="250" t="e">
        <f>_xll.qlFuturesConvAdjustmentQuote($F24,IborIndex,$D24,$E24,Volatility,MeanReversion,Permanent,Trigger,ObjectOverwrite)</f>
        <v>#NUM!</v>
      </c>
      <c r="H24" s="72" t="e">
        <f ca="1">_xll.ohRangeRetrieveError(G24)</f>
        <v>#NUM!</v>
      </c>
    </row>
    <row r="25" spans="1:8" x14ac:dyDescent="0.2">
      <c r="A25" s="143"/>
      <c r="B25" s="142">
        <v>19</v>
      </c>
      <c r="C25" s="140" t="b">
        <v>0</v>
      </c>
      <c r="D25" s="140" t="str">
        <v>N5</v>
      </c>
      <c r="E25" s="250" t="str">
        <f t="shared" si="0"/>
        <v>GBPFUT1MN5_Quote</v>
      </c>
      <c r="F25" s="251" t="str">
        <f t="shared" si="1"/>
        <v>GBPFUT1MN5ConvAdj_Quote</v>
      </c>
      <c r="G25" s="250" t="e">
        <f>_xll.qlFuturesConvAdjustmentQuote($F25,IborIndex,$D25,$E25,Volatility,MeanReversion,Permanent,Trigger,ObjectOverwrite)</f>
        <v>#NUM!</v>
      </c>
      <c r="H25" s="72" t="e">
        <f ca="1">_xll.ohRangeRetrieveError(G25)</f>
        <v>#NUM!</v>
      </c>
    </row>
    <row r="26" spans="1:8" x14ac:dyDescent="0.2">
      <c r="A26" s="143"/>
      <c r="B26" s="142">
        <v>20</v>
      </c>
      <c r="C26" s="140" t="b">
        <v>0</v>
      </c>
      <c r="D26" s="140" t="str">
        <v>Q5</v>
      </c>
      <c r="E26" s="250" t="str">
        <f t="shared" si="0"/>
        <v>GBPFUT1MQ5_Quote</v>
      </c>
      <c r="F26" s="251" t="str">
        <f t="shared" si="1"/>
        <v>GBPFUT1MQ5ConvAdj_Quote</v>
      </c>
      <c r="G26" s="250" t="e">
        <f>_xll.qlFuturesConvAdjustmentQuote($F26,IborIndex,$D26,$E26,Volatility,MeanReversion,Permanent,Trigger,ObjectOverwrite)</f>
        <v>#NUM!</v>
      </c>
      <c r="H26" s="72" t="e">
        <f ca="1">_xll.ohRangeRetrieveError(G26)</f>
        <v>#NUM!</v>
      </c>
    </row>
    <row r="27" spans="1:8" x14ac:dyDescent="0.2">
      <c r="A27" s="143"/>
      <c r="B27" s="142">
        <v>21</v>
      </c>
      <c r="C27" s="140" t="b">
        <v>0</v>
      </c>
      <c r="D27" s="140" t="str">
        <v>U5</v>
      </c>
      <c r="E27" s="250" t="str">
        <f t="shared" si="0"/>
        <v>GBPFUT1MU5_Quote</v>
      </c>
      <c r="F27" s="251" t="str">
        <f t="shared" si="1"/>
        <v>GBPFUT1MU5ConvAdj_Quote</v>
      </c>
      <c r="G27" s="250" t="e">
        <f>_xll.qlFuturesConvAdjustmentQuote($F27,IborIndex,$D27,$E27,Volatility,MeanReversion,Permanent,Trigger,ObjectOverwrite)</f>
        <v>#NUM!</v>
      </c>
      <c r="H27" s="72" t="e">
        <f ca="1">_xll.ohRangeRetrieveError(G27)</f>
        <v>#NUM!</v>
      </c>
    </row>
    <row r="28" spans="1:8" x14ac:dyDescent="0.2">
      <c r="A28" s="143"/>
      <c r="B28" s="142">
        <v>22</v>
      </c>
      <c r="C28" s="140" t="b">
        <v>0</v>
      </c>
      <c r="D28" s="140" t="str">
        <v>V5</v>
      </c>
      <c r="E28" s="250" t="str">
        <f t="shared" si="0"/>
        <v>GBPFUT1MV5_Quote</v>
      </c>
      <c r="F28" s="251" t="str">
        <f t="shared" si="1"/>
        <v>GBPFUT1MV5ConvAdj_Quote</v>
      </c>
      <c r="G28" s="250" t="e">
        <f>_xll.qlFuturesConvAdjustmentQuote($F28,IborIndex,$D28,$E28,Volatility,MeanReversion,Permanent,Trigger,ObjectOverwrite)</f>
        <v>#NUM!</v>
      </c>
      <c r="H28" s="72" t="e">
        <f ca="1">_xll.ohRangeRetrieveError(G28)</f>
        <v>#NUM!</v>
      </c>
    </row>
    <row r="29" spans="1:8" x14ac:dyDescent="0.2">
      <c r="A29" s="143"/>
      <c r="B29" s="142">
        <v>23</v>
      </c>
      <c r="C29" s="140" t="b">
        <v>0</v>
      </c>
      <c r="D29" s="140" t="str">
        <v>X5</v>
      </c>
      <c r="E29" s="250" t="str">
        <f t="shared" si="0"/>
        <v>GBPFUT1MX5_Quote</v>
      </c>
      <c r="F29" s="251" t="str">
        <f t="shared" si="1"/>
        <v>GBPFUT1MX5ConvAdj_Quote</v>
      </c>
      <c r="G29" s="250" t="e">
        <f>_xll.qlFuturesConvAdjustmentQuote($F29,IborIndex,$D29,$E29,Volatility,MeanReversion,Permanent,Trigger,ObjectOverwrite)</f>
        <v>#NUM!</v>
      </c>
      <c r="H29" s="72" t="e">
        <f ca="1">_xll.ohRangeRetrieveError(G29)</f>
        <v>#NUM!</v>
      </c>
    </row>
    <row r="30" spans="1:8" x14ac:dyDescent="0.2">
      <c r="A30" s="143"/>
      <c r="B30" s="142">
        <v>24</v>
      </c>
      <c r="C30" s="140" t="b">
        <v>0</v>
      </c>
      <c r="D30" s="140" t="str">
        <v>Z5</v>
      </c>
      <c r="E30" s="250" t="str">
        <f t="shared" si="0"/>
        <v>GBPFUT1MZ5_Quote</v>
      </c>
      <c r="F30" s="251" t="str">
        <f t="shared" si="1"/>
        <v>GBPFUT1MZ5ConvAdj_Quote</v>
      </c>
      <c r="G30" s="250" t="e">
        <f>_xll.qlFuturesConvAdjustmentQuote($F30,IborIndex,$D30,$E30,Volatility,MeanReversion,Permanent,Trigger,ObjectOverwrite)</f>
        <v>#NUM!</v>
      </c>
      <c r="H30" s="72" t="e">
        <f ca="1">_xll.ohRangeRetrieveError(G30)</f>
        <v>#NUM!</v>
      </c>
    </row>
    <row r="31" spans="1:8" x14ac:dyDescent="0.2">
      <c r="A31" s="143"/>
      <c r="B31" s="142">
        <v>25</v>
      </c>
      <c r="C31" s="140" t="b">
        <v>0</v>
      </c>
      <c r="D31" s="140" t="str">
        <v>F6</v>
      </c>
      <c r="E31" s="250" t="str">
        <f t="shared" si="0"/>
        <v>GBPFUT1MF6_Quote</v>
      </c>
      <c r="F31" s="251" t="str">
        <f t="shared" si="1"/>
        <v>GBPFUT1MF6ConvAdj_Quote</v>
      </c>
      <c r="G31" s="250" t="e">
        <f>_xll.qlFuturesConvAdjustmentQuote($F31,IborIndex,$D31,$E31,Volatility,MeanReversion,Permanent,Trigger,ObjectOverwrite)</f>
        <v>#NUM!</v>
      </c>
      <c r="H31" s="72" t="e">
        <f ca="1">_xll.ohRangeRetrieveError(G31)</f>
        <v>#NUM!</v>
      </c>
    </row>
    <row r="32" spans="1:8" x14ac:dyDescent="0.2">
      <c r="A32" s="143"/>
      <c r="B32" s="142">
        <v>26</v>
      </c>
      <c r="C32" s="140" t="b">
        <v>0</v>
      </c>
      <c r="D32" s="140" t="str">
        <v>G6</v>
      </c>
      <c r="E32" s="250" t="str">
        <f t="shared" si="0"/>
        <v>GBPFUT1MG6_Quote</v>
      </c>
      <c r="F32" s="251" t="str">
        <f t="shared" si="1"/>
        <v>GBPFUT1MG6ConvAdj_Quote</v>
      </c>
      <c r="G32" s="250" t="e">
        <f>_xll.qlFuturesConvAdjustmentQuote($F32,IborIndex,$D32,$E32,Volatility,MeanReversion,Permanent,Trigger,ObjectOverwrite)</f>
        <v>#NUM!</v>
      </c>
      <c r="H32" s="72" t="e">
        <f ca="1">_xll.ohRangeRetrieveError(G32)</f>
        <v>#NUM!</v>
      </c>
    </row>
    <row r="33" spans="1:8" x14ac:dyDescent="0.2">
      <c r="A33" s="143"/>
      <c r="B33" s="142">
        <v>27</v>
      </c>
      <c r="C33" s="140" t="b">
        <v>0</v>
      </c>
      <c r="D33" s="140" t="str">
        <v>H6</v>
      </c>
      <c r="E33" s="250" t="str">
        <f t="shared" si="0"/>
        <v>GBPFUT1MH6_Quote</v>
      </c>
      <c r="F33" s="251" t="str">
        <f t="shared" si="1"/>
        <v>GBPFUT1MH6ConvAdj_Quote</v>
      </c>
      <c r="G33" s="250" t="e">
        <f>_xll.qlFuturesConvAdjustmentQuote($F33,IborIndex,$D33,$E33,Volatility,MeanReversion,Permanent,Trigger,ObjectOverwrite)</f>
        <v>#NUM!</v>
      </c>
      <c r="H33" s="72" t="e">
        <f ca="1">_xll.ohRangeRetrieveError(G33)</f>
        <v>#NUM!</v>
      </c>
    </row>
    <row r="34" spans="1:8" x14ac:dyDescent="0.2">
      <c r="A34" s="143"/>
      <c r="B34" s="142">
        <v>28</v>
      </c>
      <c r="C34" s="140" t="b">
        <v>0</v>
      </c>
      <c r="D34" s="140" t="str">
        <v>J6</v>
      </c>
      <c r="E34" s="250" t="str">
        <f t="shared" si="0"/>
        <v>GBPFUT1MJ6_Quote</v>
      </c>
      <c r="F34" s="251" t="str">
        <f t="shared" si="1"/>
        <v>GBPFUT1MJ6ConvAdj_Quote</v>
      </c>
      <c r="G34" s="250" t="e">
        <f>_xll.qlFuturesConvAdjustmentQuote($F34,IborIndex,$D34,$E34,Volatility,MeanReversion,Permanent,Trigger,ObjectOverwrite)</f>
        <v>#NUM!</v>
      </c>
      <c r="H34" s="72" t="e">
        <f ca="1">_xll.ohRangeRetrieveError(G34)</f>
        <v>#NUM!</v>
      </c>
    </row>
    <row r="35" spans="1:8" x14ac:dyDescent="0.2">
      <c r="A35" s="143"/>
      <c r="B35" s="142">
        <v>29</v>
      </c>
      <c r="C35" s="140" t="b">
        <v>0</v>
      </c>
      <c r="D35" s="140" t="str">
        <v>K6</v>
      </c>
      <c r="E35" s="250" t="str">
        <f t="shared" si="0"/>
        <v>GBPFUT1MK6_Quote</v>
      </c>
      <c r="F35" s="251" t="str">
        <f t="shared" si="1"/>
        <v>GBPFUT1MK6ConvAdj_Quote</v>
      </c>
      <c r="G35" s="250" t="e">
        <f>_xll.qlFuturesConvAdjustmentQuote($F35,IborIndex,$D35,$E35,Volatility,MeanReversion,Permanent,Trigger,ObjectOverwrite)</f>
        <v>#NUM!</v>
      </c>
      <c r="H35" s="72" t="e">
        <f ca="1">_xll.ohRangeRetrieveError(G35)</f>
        <v>#NUM!</v>
      </c>
    </row>
    <row r="36" spans="1:8" x14ac:dyDescent="0.2">
      <c r="A36" s="143"/>
      <c r="B36" s="142">
        <v>30</v>
      </c>
      <c r="C36" s="140" t="b">
        <v>0</v>
      </c>
      <c r="D36" s="140" t="str">
        <v>M6</v>
      </c>
      <c r="E36" s="250" t="str">
        <f t="shared" si="0"/>
        <v>GBPFUT1MM6_Quote</v>
      </c>
      <c r="F36" s="251" t="str">
        <f t="shared" si="1"/>
        <v>GBPFUT1MM6ConvAdj_Quote</v>
      </c>
      <c r="G36" s="250" t="e">
        <f>_xll.qlFuturesConvAdjustmentQuote($F36,IborIndex,$D36,$E36,Volatility,MeanReversion,Permanent,Trigger,ObjectOverwrite)</f>
        <v>#NUM!</v>
      </c>
      <c r="H36" s="72" t="e">
        <f ca="1">_xll.ohRangeRetrieveError(G36)</f>
        <v>#NUM!</v>
      </c>
    </row>
    <row r="37" spans="1:8" x14ac:dyDescent="0.2">
      <c r="A37" s="143"/>
      <c r="B37" s="142">
        <v>31</v>
      </c>
      <c r="C37" s="140" t="b">
        <v>0</v>
      </c>
      <c r="D37" s="140" t="str">
        <v>N6</v>
      </c>
      <c r="E37" s="250" t="str">
        <f t="shared" si="0"/>
        <v>GBPFUT1MN6_Quote</v>
      </c>
      <c r="F37" s="251" t="str">
        <f t="shared" si="1"/>
        <v>GBPFUT1MN6ConvAdj_Quote</v>
      </c>
      <c r="G37" s="250" t="e">
        <f>_xll.qlFuturesConvAdjustmentQuote($F37,IborIndex,$D37,$E37,Volatility,MeanReversion,Permanent,Trigger,ObjectOverwrite)</f>
        <v>#NUM!</v>
      </c>
      <c r="H37" s="72" t="e">
        <f ca="1">_xll.ohRangeRetrieveError(G37)</f>
        <v>#NUM!</v>
      </c>
    </row>
    <row r="38" spans="1:8" x14ac:dyDescent="0.2">
      <c r="A38" s="143"/>
      <c r="B38" s="142">
        <v>32</v>
      </c>
      <c r="C38" s="140" t="b">
        <v>0</v>
      </c>
      <c r="D38" s="140" t="str">
        <v>Q6</v>
      </c>
      <c r="E38" s="250" t="str">
        <f t="shared" si="0"/>
        <v>GBPFUT1MQ6_Quote</v>
      </c>
      <c r="F38" s="251" t="str">
        <f t="shared" si="1"/>
        <v>GBPFUT1MQ6ConvAdj_Quote</v>
      </c>
      <c r="G38" s="250" t="e">
        <f>_xll.qlFuturesConvAdjustmentQuote($F38,IborIndex,$D38,$E38,Volatility,MeanReversion,Permanent,Trigger,ObjectOverwrite)</f>
        <v>#NUM!</v>
      </c>
      <c r="H38" s="72" t="e">
        <f ca="1">_xll.ohRangeRetrieveError(G38)</f>
        <v>#NUM!</v>
      </c>
    </row>
    <row r="39" spans="1:8" x14ac:dyDescent="0.2">
      <c r="A39" s="143"/>
      <c r="B39" s="142">
        <v>33</v>
      </c>
      <c r="C39" s="140" t="b">
        <v>0</v>
      </c>
      <c r="D39" s="140" t="str">
        <v>U6</v>
      </c>
      <c r="E39" s="250" t="str">
        <f t="shared" ref="E39:E70" si="2">Currency&amp;"FUT"&amp;$G$4&amp;$D39&amp;QuoteSuffix</f>
        <v>GBPFUT1MU6_Quote</v>
      </c>
      <c r="F39" s="251" t="str">
        <f t="shared" ref="F39:F70" si="3">Currency&amp;"FUT"&amp;$G$4&amp;$D39&amp;"ConvAdj"&amp;QuoteSuffix</f>
        <v>GBPFUT1MU6ConvAdj_Quote</v>
      </c>
      <c r="G39" s="250" t="e">
        <f>_xll.qlFuturesConvAdjustmentQuote($F39,IborIndex,$D39,$E39,Volatility,MeanReversion,Permanent,Trigger,ObjectOverwrite)</f>
        <v>#NUM!</v>
      </c>
      <c r="H39" s="72" t="e">
        <f ca="1">_xll.ohRangeRetrieveError(G39)</f>
        <v>#NUM!</v>
      </c>
    </row>
    <row r="40" spans="1:8" x14ac:dyDescent="0.2">
      <c r="A40" s="143"/>
      <c r="B40" s="142">
        <v>34</v>
      </c>
      <c r="C40" s="140" t="b">
        <v>0</v>
      </c>
      <c r="D40" s="140" t="str">
        <v>V6</v>
      </c>
      <c r="E40" s="250" t="str">
        <f t="shared" si="2"/>
        <v>GBPFUT1MV6_Quote</v>
      </c>
      <c r="F40" s="251" t="str">
        <f t="shared" si="3"/>
        <v>GBPFUT1MV6ConvAdj_Quote</v>
      </c>
      <c r="G40" s="250" t="e">
        <f>_xll.qlFuturesConvAdjustmentQuote($F40,IborIndex,$D40,$E40,Volatility,MeanReversion,Permanent,Trigger,ObjectOverwrite)</f>
        <v>#NUM!</v>
      </c>
      <c r="H40" s="72" t="e">
        <f ca="1">_xll.ohRangeRetrieveError(G40)</f>
        <v>#NUM!</v>
      </c>
    </row>
    <row r="41" spans="1:8" x14ac:dyDescent="0.2">
      <c r="A41" s="143"/>
      <c r="B41" s="142">
        <v>35</v>
      </c>
      <c r="C41" s="140" t="b">
        <v>0</v>
      </c>
      <c r="D41" s="140" t="str">
        <v>X6</v>
      </c>
      <c r="E41" s="250" t="str">
        <f t="shared" si="2"/>
        <v>GBPFUT1MX6_Quote</v>
      </c>
      <c r="F41" s="251" t="str">
        <f t="shared" si="3"/>
        <v>GBPFUT1MX6ConvAdj_Quote</v>
      </c>
      <c r="G41" s="250" t="e">
        <f>_xll.qlFuturesConvAdjustmentQuote($F41,IborIndex,$D41,$E41,Volatility,MeanReversion,Permanent,Trigger,ObjectOverwrite)</f>
        <v>#NUM!</v>
      </c>
      <c r="H41" s="72" t="e">
        <f ca="1">_xll.ohRangeRetrieveError(G41)</f>
        <v>#NUM!</v>
      </c>
    </row>
    <row r="42" spans="1:8" x14ac:dyDescent="0.2">
      <c r="A42" s="143"/>
      <c r="B42" s="142">
        <v>36</v>
      </c>
      <c r="C42" s="140" t="b">
        <v>0</v>
      </c>
      <c r="D42" s="140" t="str">
        <v>Z6</v>
      </c>
      <c r="E42" s="250" t="str">
        <f t="shared" si="2"/>
        <v>GBPFUT1MZ6_Quote</v>
      </c>
      <c r="F42" s="251" t="str">
        <f t="shared" si="3"/>
        <v>GBPFUT1MZ6ConvAdj_Quote</v>
      </c>
      <c r="G42" s="250" t="e">
        <f>_xll.qlFuturesConvAdjustmentQuote($F42,IborIndex,$D42,$E42,Volatility,MeanReversion,Permanent,Trigger,ObjectOverwrite)</f>
        <v>#NUM!</v>
      </c>
      <c r="H42" s="72" t="e">
        <f ca="1">_xll.ohRangeRetrieveError(G42)</f>
        <v>#NUM!</v>
      </c>
    </row>
    <row r="43" spans="1:8" x14ac:dyDescent="0.2">
      <c r="A43" s="143"/>
      <c r="B43" s="142">
        <v>37</v>
      </c>
      <c r="C43" s="140" t="b">
        <v>0</v>
      </c>
      <c r="D43" s="140" t="str">
        <v>F7</v>
      </c>
      <c r="E43" s="250" t="str">
        <f t="shared" si="2"/>
        <v>GBPFUT1MF7_Quote</v>
      </c>
      <c r="F43" s="251" t="str">
        <f t="shared" si="3"/>
        <v>GBPFUT1MF7ConvAdj_Quote</v>
      </c>
      <c r="G43" s="250" t="e">
        <f>_xll.qlFuturesConvAdjustmentQuote($F43,IborIndex,$D43,$E43,Volatility,MeanReversion,Permanent,Trigger,ObjectOverwrite)</f>
        <v>#NUM!</v>
      </c>
      <c r="H43" s="72" t="e">
        <f ca="1">_xll.ohRangeRetrieveError(G43)</f>
        <v>#NUM!</v>
      </c>
    </row>
    <row r="44" spans="1:8" x14ac:dyDescent="0.2">
      <c r="A44" s="143"/>
      <c r="B44" s="142">
        <v>38</v>
      </c>
      <c r="C44" s="140" t="b">
        <v>0</v>
      </c>
      <c r="D44" s="140" t="str">
        <v>G7</v>
      </c>
      <c r="E44" s="250" t="str">
        <f t="shared" si="2"/>
        <v>GBPFUT1MG7_Quote</v>
      </c>
      <c r="F44" s="251" t="str">
        <f t="shared" si="3"/>
        <v>GBPFUT1MG7ConvAdj_Quote</v>
      </c>
      <c r="G44" s="250" t="e">
        <f>_xll.qlFuturesConvAdjustmentQuote($F44,IborIndex,$D44,$E44,Volatility,MeanReversion,Permanent,Trigger,ObjectOverwrite)</f>
        <v>#NUM!</v>
      </c>
      <c r="H44" s="72" t="e">
        <f ca="1">_xll.ohRangeRetrieveError(G44)</f>
        <v>#NUM!</v>
      </c>
    </row>
    <row r="45" spans="1:8" x14ac:dyDescent="0.2">
      <c r="A45" s="143"/>
      <c r="B45" s="142">
        <v>39</v>
      </c>
      <c r="C45" s="140" t="b">
        <v>0</v>
      </c>
      <c r="D45" s="140" t="str">
        <v>H7</v>
      </c>
      <c r="E45" s="250" t="str">
        <f t="shared" si="2"/>
        <v>GBPFUT1MH7_Quote</v>
      </c>
      <c r="F45" s="251" t="str">
        <f t="shared" si="3"/>
        <v>GBPFUT1MH7ConvAdj_Quote</v>
      </c>
      <c r="G45" s="250" t="e">
        <f>_xll.qlFuturesConvAdjustmentQuote($F45,IborIndex,$D45,$E45,Volatility,MeanReversion,Permanent,Trigger,ObjectOverwrite)</f>
        <v>#NUM!</v>
      </c>
      <c r="H45" s="72" t="e">
        <f ca="1">_xll.ohRangeRetrieveError(G45)</f>
        <v>#NUM!</v>
      </c>
    </row>
    <row r="46" spans="1:8" x14ac:dyDescent="0.2">
      <c r="A46" s="143"/>
      <c r="B46" s="142">
        <v>40</v>
      </c>
      <c r="C46" s="140" t="b">
        <v>0</v>
      </c>
      <c r="D46" s="140" t="str">
        <v>J7</v>
      </c>
      <c r="E46" s="250" t="str">
        <f t="shared" si="2"/>
        <v>GBPFUT1MJ7_Quote</v>
      </c>
      <c r="F46" s="251" t="str">
        <f t="shared" si="3"/>
        <v>GBPFUT1MJ7ConvAdj_Quote</v>
      </c>
      <c r="G46" s="250" t="e">
        <f>_xll.qlFuturesConvAdjustmentQuote($F46,IborIndex,$D46,$E46,Volatility,MeanReversion,Permanent,Trigger,ObjectOverwrite)</f>
        <v>#NUM!</v>
      </c>
      <c r="H46" s="72" t="e">
        <f ca="1">_xll.ohRangeRetrieveError(G46)</f>
        <v>#NUM!</v>
      </c>
    </row>
    <row r="47" spans="1:8" x14ac:dyDescent="0.2">
      <c r="A47" s="143"/>
      <c r="B47" s="142">
        <v>41</v>
      </c>
      <c r="C47" s="140" t="b">
        <v>0</v>
      </c>
      <c r="D47" s="140" t="str">
        <v>K7</v>
      </c>
      <c r="E47" s="250" t="str">
        <f t="shared" si="2"/>
        <v>GBPFUT1MK7_Quote</v>
      </c>
      <c r="F47" s="251" t="str">
        <f t="shared" si="3"/>
        <v>GBPFUT1MK7ConvAdj_Quote</v>
      </c>
      <c r="G47" s="250" t="e">
        <f>_xll.qlFuturesConvAdjustmentQuote($F47,IborIndex,$D47,$E47,Volatility,MeanReversion,Permanent,Trigger,ObjectOverwrite)</f>
        <v>#NUM!</v>
      </c>
      <c r="H47" s="72" t="e">
        <f ca="1">_xll.ohRangeRetrieveError(G47)</f>
        <v>#NUM!</v>
      </c>
    </row>
    <row r="48" spans="1:8" x14ac:dyDescent="0.2">
      <c r="A48" s="143"/>
      <c r="B48" s="142">
        <v>42</v>
      </c>
      <c r="C48" s="140" t="b">
        <v>0</v>
      </c>
      <c r="D48" s="140" t="str">
        <v>M7</v>
      </c>
      <c r="E48" s="250" t="str">
        <f t="shared" si="2"/>
        <v>GBPFUT1MM7_Quote</v>
      </c>
      <c r="F48" s="251" t="str">
        <f t="shared" si="3"/>
        <v>GBPFUT1MM7ConvAdj_Quote</v>
      </c>
      <c r="G48" s="250" t="e">
        <f>_xll.qlFuturesConvAdjustmentQuote($F48,IborIndex,$D48,$E48,Volatility,MeanReversion,Permanent,Trigger,ObjectOverwrite)</f>
        <v>#NUM!</v>
      </c>
      <c r="H48" s="72" t="e">
        <f ca="1">_xll.ohRangeRetrieveError(G48)</f>
        <v>#NUM!</v>
      </c>
    </row>
    <row r="49" spans="1:8" x14ac:dyDescent="0.2">
      <c r="A49" s="143"/>
      <c r="B49" s="142">
        <v>43</v>
      </c>
      <c r="C49" s="140" t="b">
        <v>0</v>
      </c>
      <c r="D49" s="140" t="str">
        <v>N7</v>
      </c>
      <c r="E49" s="250" t="str">
        <f t="shared" si="2"/>
        <v>GBPFUT1MN7_Quote</v>
      </c>
      <c r="F49" s="251" t="str">
        <f t="shared" si="3"/>
        <v>GBPFUT1MN7ConvAdj_Quote</v>
      </c>
      <c r="G49" s="250" t="e">
        <f>_xll.qlFuturesConvAdjustmentQuote($F49,IborIndex,$D49,$E49,Volatility,MeanReversion,Permanent,Trigger,ObjectOverwrite)</f>
        <v>#NUM!</v>
      </c>
      <c r="H49" s="72" t="e">
        <f ca="1">_xll.ohRangeRetrieveError(G49)</f>
        <v>#NUM!</v>
      </c>
    </row>
    <row r="50" spans="1:8" x14ac:dyDescent="0.2">
      <c r="A50" s="143"/>
      <c r="B50" s="142">
        <v>44</v>
      </c>
      <c r="C50" s="140" t="b">
        <v>0</v>
      </c>
      <c r="D50" s="140" t="str">
        <v>Q7</v>
      </c>
      <c r="E50" s="250" t="str">
        <f t="shared" si="2"/>
        <v>GBPFUT1MQ7_Quote</v>
      </c>
      <c r="F50" s="251" t="str">
        <f t="shared" si="3"/>
        <v>GBPFUT1MQ7ConvAdj_Quote</v>
      </c>
      <c r="G50" s="250" t="e">
        <f>_xll.qlFuturesConvAdjustmentQuote($F50,IborIndex,$D50,$E50,Volatility,MeanReversion,Permanent,Trigger,ObjectOverwrite)</f>
        <v>#NUM!</v>
      </c>
      <c r="H50" s="72" t="e">
        <f ca="1">_xll.ohRangeRetrieveError(G50)</f>
        <v>#NUM!</v>
      </c>
    </row>
    <row r="51" spans="1:8" x14ac:dyDescent="0.2">
      <c r="A51" s="143"/>
      <c r="B51" s="142">
        <v>45</v>
      </c>
      <c r="C51" s="140" t="b">
        <v>0</v>
      </c>
      <c r="D51" s="140" t="str">
        <v>U7</v>
      </c>
      <c r="E51" s="250" t="str">
        <f t="shared" si="2"/>
        <v>GBPFUT1MU7_Quote</v>
      </c>
      <c r="F51" s="251" t="str">
        <f t="shared" si="3"/>
        <v>GBPFUT1MU7ConvAdj_Quote</v>
      </c>
      <c r="G51" s="250" t="e">
        <f>_xll.qlFuturesConvAdjustmentQuote($F51,IborIndex,$D51,$E51,Volatility,MeanReversion,Permanent,Trigger,ObjectOverwrite)</f>
        <v>#NUM!</v>
      </c>
      <c r="H51" s="72" t="e">
        <f ca="1">_xll.ohRangeRetrieveError(G51)</f>
        <v>#NUM!</v>
      </c>
    </row>
    <row r="52" spans="1:8" x14ac:dyDescent="0.2">
      <c r="A52" s="143"/>
      <c r="B52" s="142">
        <v>46</v>
      </c>
      <c r="C52" s="140" t="b">
        <v>0</v>
      </c>
      <c r="D52" s="140" t="str">
        <v>V7</v>
      </c>
      <c r="E52" s="250" t="str">
        <f t="shared" si="2"/>
        <v>GBPFUT1MV7_Quote</v>
      </c>
      <c r="F52" s="251" t="str">
        <f t="shared" si="3"/>
        <v>GBPFUT1MV7ConvAdj_Quote</v>
      </c>
      <c r="G52" s="250" t="e">
        <f>_xll.qlFuturesConvAdjustmentQuote($F52,IborIndex,$D52,$E52,Volatility,MeanReversion,Permanent,Trigger,ObjectOverwrite)</f>
        <v>#NUM!</v>
      </c>
      <c r="H52" s="72" t="e">
        <f ca="1">_xll.ohRangeRetrieveError(G52)</f>
        <v>#NUM!</v>
      </c>
    </row>
    <row r="53" spans="1:8" x14ac:dyDescent="0.2">
      <c r="A53" s="143"/>
      <c r="B53" s="142">
        <v>47</v>
      </c>
      <c r="C53" s="140" t="b">
        <v>0</v>
      </c>
      <c r="D53" s="140" t="str">
        <v>X7</v>
      </c>
      <c r="E53" s="250" t="str">
        <f t="shared" si="2"/>
        <v>GBPFUT1MX7_Quote</v>
      </c>
      <c r="F53" s="251" t="str">
        <f t="shared" si="3"/>
        <v>GBPFUT1MX7ConvAdj_Quote</v>
      </c>
      <c r="G53" s="250" t="e">
        <f>_xll.qlFuturesConvAdjustmentQuote($F53,IborIndex,$D53,$E53,Volatility,MeanReversion,Permanent,Trigger,ObjectOverwrite)</f>
        <v>#NUM!</v>
      </c>
      <c r="H53" s="72" t="e">
        <f ca="1">_xll.ohRangeRetrieveError(G53)</f>
        <v>#NUM!</v>
      </c>
    </row>
    <row r="54" spans="1:8" x14ac:dyDescent="0.2">
      <c r="A54" s="143"/>
      <c r="B54" s="142">
        <v>48</v>
      </c>
      <c r="C54" s="140" t="b">
        <v>0</v>
      </c>
      <c r="D54" s="140" t="str">
        <v>Z7</v>
      </c>
      <c r="E54" s="250" t="str">
        <f t="shared" si="2"/>
        <v>GBPFUT1MZ7_Quote</v>
      </c>
      <c r="F54" s="251" t="str">
        <f t="shared" si="3"/>
        <v>GBPFUT1MZ7ConvAdj_Quote</v>
      </c>
      <c r="G54" s="250" t="e">
        <f>_xll.qlFuturesConvAdjustmentQuote($F54,IborIndex,$D54,$E54,Volatility,MeanReversion,Permanent,Trigger,ObjectOverwrite)</f>
        <v>#NUM!</v>
      </c>
      <c r="H54" s="72" t="e">
        <f ca="1">_xll.ohRangeRetrieveError(G54)</f>
        <v>#NUM!</v>
      </c>
    </row>
    <row r="55" spans="1:8" x14ac:dyDescent="0.2">
      <c r="A55" s="143"/>
      <c r="B55" s="142">
        <v>49</v>
      </c>
      <c r="C55" s="140" t="b">
        <v>0</v>
      </c>
      <c r="D55" s="140" t="str">
        <v>F8</v>
      </c>
      <c r="E55" s="250" t="str">
        <f t="shared" si="2"/>
        <v>GBPFUT1MF8_Quote</v>
      </c>
      <c r="F55" s="251" t="str">
        <f t="shared" si="3"/>
        <v>GBPFUT1MF8ConvAdj_Quote</v>
      </c>
      <c r="G55" s="250" t="e">
        <f>_xll.qlFuturesConvAdjustmentQuote($F55,IborIndex,$D55,$E55,Volatility,MeanReversion,Permanent,Trigger,ObjectOverwrite)</f>
        <v>#NUM!</v>
      </c>
      <c r="H55" s="72" t="e">
        <f ca="1">_xll.ohRangeRetrieveError(G55)</f>
        <v>#NUM!</v>
      </c>
    </row>
    <row r="56" spans="1:8" x14ac:dyDescent="0.2">
      <c r="A56" s="143"/>
      <c r="B56" s="142">
        <v>50</v>
      </c>
      <c r="C56" s="140" t="b">
        <v>0</v>
      </c>
      <c r="D56" s="140" t="str">
        <v>G8</v>
      </c>
      <c r="E56" s="250" t="str">
        <f t="shared" si="2"/>
        <v>GBPFUT1MG8_Quote</v>
      </c>
      <c r="F56" s="251" t="str">
        <f t="shared" si="3"/>
        <v>GBPFUT1MG8ConvAdj_Quote</v>
      </c>
      <c r="G56" s="250" t="e">
        <f>_xll.qlFuturesConvAdjustmentQuote($F56,IborIndex,$D56,$E56,Volatility,MeanReversion,Permanent,Trigger,ObjectOverwrite)</f>
        <v>#NUM!</v>
      </c>
      <c r="H56" s="72" t="e">
        <f ca="1">_xll.ohRangeRetrieveError(G56)</f>
        <v>#NUM!</v>
      </c>
    </row>
    <row r="57" spans="1:8" x14ac:dyDescent="0.2">
      <c r="A57" s="143"/>
      <c r="B57" s="142">
        <v>51</v>
      </c>
      <c r="C57" s="140" t="b">
        <v>0</v>
      </c>
      <c r="D57" s="140" t="str">
        <v>H8</v>
      </c>
      <c r="E57" s="250" t="str">
        <f t="shared" si="2"/>
        <v>GBPFUT1MH8_Quote</v>
      </c>
      <c r="F57" s="251" t="str">
        <f t="shared" si="3"/>
        <v>GBPFUT1MH8ConvAdj_Quote</v>
      </c>
      <c r="G57" s="250" t="e">
        <f>_xll.qlFuturesConvAdjustmentQuote($F57,IborIndex,$D57,$E57,Volatility,MeanReversion,Permanent,Trigger,ObjectOverwrite)</f>
        <v>#NUM!</v>
      </c>
      <c r="H57" s="72" t="e">
        <f ca="1">_xll.ohRangeRetrieveError(G57)</f>
        <v>#NUM!</v>
      </c>
    </row>
    <row r="58" spans="1:8" x14ac:dyDescent="0.2">
      <c r="A58" s="143"/>
      <c r="B58" s="142">
        <v>52</v>
      </c>
      <c r="C58" s="140" t="b">
        <v>0</v>
      </c>
      <c r="D58" s="140" t="str">
        <v>J8</v>
      </c>
      <c r="E58" s="250" t="str">
        <f t="shared" si="2"/>
        <v>GBPFUT1MJ8_Quote</v>
      </c>
      <c r="F58" s="251" t="str">
        <f t="shared" si="3"/>
        <v>GBPFUT1MJ8ConvAdj_Quote</v>
      </c>
      <c r="G58" s="250" t="e">
        <f>_xll.qlFuturesConvAdjustmentQuote($F58,IborIndex,$D58,$E58,Volatility,MeanReversion,Permanent,Trigger,ObjectOverwrite)</f>
        <v>#NUM!</v>
      </c>
      <c r="H58" s="72" t="e">
        <f ca="1">_xll.ohRangeRetrieveError(G58)</f>
        <v>#NUM!</v>
      </c>
    </row>
    <row r="59" spans="1:8" x14ac:dyDescent="0.2">
      <c r="A59" s="143"/>
      <c r="B59" s="142">
        <v>53</v>
      </c>
      <c r="C59" s="140" t="b">
        <v>0</v>
      </c>
      <c r="D59" s="140" t="str">
        <v>K8</v>
      </c>
      <c r="E59" s="250" t="str">
        <f t="shared" si="2"/>
        <v>GBPFUT1MK8_Quote</v>
      </c>
      <c r="F59" s="251" t="str">
        <f t="shared" si="3"/>
        <v>GBPFUT1MK8ConvAdj_Quote</v>
      </c>
      <c r="G59" s="250" t="e">
        <f>_xll.qlFuturesConvAdjustmentQuote($F59,IborIndex,$D59,$E59,Volatility,MeanReversion,Permanent,Trigger,ObjectOverwrite)</f>
        <v>#NUM!</v>
      </c>
      <c r="H59" s="72" t="e">
        <f ca="1">_xll.ohRangeRetrieveError(G59)</f>
        <v>#NUM!</v>
      </c>
    </row>
    <row r="60" spans="1:8" x14ac:dyDescent="0.2">
      <c r="A60" s="143"/>
      <c r="B60" s="142">
        <v>54</v>
      </c>
      <c r="C60" s="140" t="b">
        <v>0</v>
      </c>
      <c r="D60" s="140" t="str">
        <v>M8</v>
      </c>
      <c r="E60" s="250" t="str">
        <f t="shared" si="2"/>
        <v>GBPFUT1MM8_Quote</v>
      </c>
      <c r="F60" s="251" t="str">
        <f t="shared" si="3"/>
        <v>GBPFUT1MM8ConvAdj_Quote</v>
      </c>
      <c r="G60" s="250" t="e">
        <f>_xll.qlFuturesConvAdjustmentQuote($F60,IborIndex,$D60,$E60,Volatility,MeanReversion,Permanent,Trigger,ObjectOverwrite)</f>
        <v>#NUM!</v>
      </c>
      <c r="H60" s="72" t="e">
        <f ca="1">_xll.ohRangeRetrieveError(G60)</f>
        <v>#NUM!</v>
      </c>
    </row>
    <row r="61" spans="1:8" x14ac:dyDescent="0.2">
      <c r="A61" s="143"/>
      <c r="B61" s="142">
        <v>55</v>
      </c>
      <c r="C61" s="140" t="b">
        <v>0</v>
      </c>
      <c r="D61" s="140" t="str">
        <v>N8</v>
      </c>
      <c r="E61" s="250" t="str">
        <f t="shared" si="2"/>
        <v>GBPFUT1MN8_Quote</v>
      </c>
      <c r="F61" s="251" t="str">
        <f t="shared" si="3"/>
        <v>GBPFUT1MN8ConvAdj_Quote</v>
      </c>
      <c r="G61" s="250" t="e">
        <f>_xll.qlFuturesConvAdjustmentQuote($F61,IborIndex,$D61,$E61,Volatility,MeanReversion,Permanent,Trigger,ObjectOverwrite)</f>
        <v>#NUM!</v>
      </c>
      <c r="H61" s="72" t="e">
        <f ca="1">_xll.ohRangeRetrieveError(G61)</f>
        <v>#NUM!</v>
      </c>
    </row>
    <row r="62" spans="1:8" x14ac:dyDescent="0.2">
      <c r="A62" s="143"/>
      <c r="B62" s="142">
        <v>56</v>
      </c>
      <c r="C62" s="140" t="b">
        <v>0</v>
      </c>
      <c r="D62" s="140" t="str">
        <v>Q8</v>
      </c>
      <c r="E62" s="250" t="str">
        <f t="shared" si="2"/>
        <v>GBPFUT1MQ8_Quote</v>
      </c>
      <c r="F62" s="251" t="str">
        <f t="shared" si="3"/>
        <v>GBPFUT1MQ8ConvAdj_Quote</v>
      </c>
      <c r="G62" s="250" t="e">
        <f>_xll.qlFuturesConvAdjustmentQuote($F62,IborIndex,$D62,$E62,Volatility,MeanReversion,Permanent,Trigger,ObjectOverwrite)</f>
        <v>#NUM!</v>
      </c>
      <c r="H62" s="72" t="e">
        <f ca="1">_xll.ohRangeRetrieveError(G62)</f>
        <v>#NUM!</v>
      </c>
    </row>
    <row r="63" spans="1:8" x14ac:dyDescent="0.2">
      <c r="A63" s="143"/>
      <c r="B63" s="142">
        <v>57</v>
      </c>
      <c r="C63" s="140" t="b">
        <v>0</v>
      </c>
      <c r="D63" s="140" t="str">
        <v>U8</v>
      </c>
      <c r="E63" s="250" t="str">
        <f t="shared" si="2"/>
        <v>GBPFUT1MU8_Quote</v>
      </c>
      <c r="F63" s="251" t="str">
        <f t="shared" si="3"/>
        <v>GBPFUT1MU8ConvAdj_Quote</v>
      </c>
      <c r="G63" s="250" t="e">
        <f>_xll.qlFuturesConvAdjustmentQuote($F63,IborIndex,$D63,$E63,Volatility,MeanReversion,Permanent,Trigger,ObjectOverwrite)</f>
        <v>#NUM!</v>
      </c>
      <c r="H63" s="72" t="e">
        <f ca="1">_xll.ohRangeRetrieveError(G63)</f>
        <v>#NUM!</v>
      </c>
    </row>
    <row r="64" spans="1:8" x14ac:dyDescent="0.2">
      <c r="A64" s="143"/>
      <c r="B64" s="142">
        <v>58</v>
      </c>
      <c r="C64" s="140" t="b">
        <v>0</v>
      </c>
      <c r="D64" s="140" t="str">
        <v>V8</v>
      </c>
      <c r="E64" s="250" t="str">
        <f t="shared" si="2"/>
        <v>GBPFUT1MV8_Quote</v>
      </c>
      <c r="F64" s="251" t="str">
        <f t="shared" si="3"/>
        <v>GBPFUT1MV8ConvAdj_Quote</v>
      </c>
      <c r="G64" s="250" t="e">
        <f>_xll.qlFuturesConvAdjustmentQuote($F64,IborIndex,$D64,$E64,Volatility,MeanReversion,Permanent,Trigger,ObjectOverwrite)</f>
        <v>#NUM!</v>
      </c>
      <c r="H64" s="72" t="e">
        <f ca="1">_xll.ohRangeRetrieveError(G64)</f>
        <v>#NUM!</v>
      </c>
    </row>
    <row r="65" spans="1:8" x14ac:dyDescent="0.2">
      <c r="A65" s="143"/>
      <c r="B65" s="142">
        <v>59</v>
      </c>
      <c r="C65" s="140" t="b">
        <v>0</v>
      </c>
      <c r="D65" s="140" t="str">
        <v>X8</v>
      </c>
      <c r="E65" s="250" t="str">
        <f t="shared" si="2"/>
        <v>GBPFUT1MX8_Quote</v>
      </c>
      <c r="F65" s="251" t="str">
        <f t="shared" si="3"/>
        <v>GBPFUT1MX8ConvAdj_Quote</v>
      </c>
      <c r="G65" s="250" t="e">
        <f>_xll.qlFuturesConvAdjustmentQuote($F65,IborIndex,$D65,$E65,Volatility,MeanReversion,Permanent,Trigger,ObjectOverwrite)</f>
        <v>#NUM!</v>
      </c>
      <c r="H65" s="72" t="e">
        <f ca="1">_xll.ohRangeRetrieveError(G65)</f>
        <v>#NUM!</v>
      </c>
    </row>
    <row r="66" spans="1:8" x14ac:dyDescent="0.2">
      <c r="A66" s="143"/>
      <c r="B66" s="142">
        <v>60</v>
      </c>
      <c r="C66" s="140" t="b">
        <v>0</v>
      </c>
      <c r="D66" s="140" t="str">
        <v>Z8</v>
      </c>
      <c r="E66" s="250" t="str">
        <f t="shared" si="2"/>
        <v>GBPFUT1MZ8_Quote</v>
      </c>
      <c r="F66" s="251" t="str">
        <f t="shared" si="3"/>
        <v>GBPFUT1MZ8ConvAdj_Quote</v>
      </c>
      <c r="G66" s="250" t="e">
        <f>_xll.qlFuturesConvAdjustmentQuote($F66,IborIndex,$D66,$E66,Volatility,MeanReversion,Permanent,Trigger,ObjectOverwrite)</f>
        <v>#NUM!</v>
      </c>
      <c r="H66" s="72" t="e">
        <f ca="1">_xll.ohRangeRetrieveError(G66)</f>
        <v>#NUM!</v>
      </c>
    </row>
    <row r="67" spans="1:8" x14ac:dyDescent="0.2">
      <c r="A67" s="143"/>
      <c r="B67" s="142">
        <v>61</v>
      </c>
      <c r="C67" s="140" t="b">
        <v>0</v>
      </c>
      <c r="D67" s="140" t="str">
        <v>F9</v>
      </c>
      <c r="E67" s="250" t="str">
        <f t="shared" si="2"/>
        <v>GBPFUT1MF9_Quote</v>
      </c>
      <c r="F67" s="251" t="str">
        <f t="shared" si="3"/>
        <v>GBPFUT1MF9ConvAdj_Quote</v>
      </c>
      <c r="G67" s="250" t="e">
        <f>_xll.qlFuturesConvAdjustmentQuote($F67,IborIndex,$D67,$E67,Volatility,MeanReversion,Permanent,Trigger,ObjectOverwrite)</f>
        <v>#NUM!</v>
      </c>
      <c r="H67" s="72" t="e">
        <f ca="1">_xll.ohRangeRetrieveError(G67)</f>
        <v>#NUM!</v>
      </c>
    </row>
    <row r="68" spans="1:8" x14ac:dyDescent="0.2">
      <c r="A68" s="143"/>
      <c r="B68" s="142">
        <v>62</v>
      </c>
      <c r="C68" s="140" t="b">
        <v>0</v>
      </c>
      <c r="D68" s="140" t="str">
        <v>G9</v>
      </c>
      <c r="E68" s="250" t="str">
        <f t="shared" si="2"/>
        <v>GBPFUT1MG9_Quote</v>
      </c>
      <c r="F68" s="251" t="str">
        <f t="shared" si="3"/>
        <v>GBPFUT1MG9ConvAdj_Quote</v>
      </c>
      <c r="G68" s="250" t="e">
        <f>_xll.qlFuturesConvAdjustmentQuote($F68,IborIndex,$D68,$E68,Volatility,MeanReversion,Permanent,Trigger,ObjectOverwrite)</f>
        <v>#NUM!</v>
      </c>
      <c r="H68" s="72" t="e">
        <f ca="1">_xll.ohRangeRetrieveError(G68)</f>
        <v>#NUM!</v>
      </c>
    </row>
    <row r="69" spans="1:8" x14ac:dyDescent="0.2">
      <c r="A69" s="143"/>
      <c r="B69" s="142">
        <v>63</v>
      </c>
      <c r="C69" s="140" t="b">
        <v>0</v>
      </c>
      <c r="D69" s="140" t="str">
        <v>H9</v>
      </c>
      <c r="E69" s="250" t="str">
        <f t="shared" si="2"/>
        <v>GBPFUT1MH9_Quote</v>
      </c>
      <c r="F69" s="251" t="str">
        <f t="shared" si="3"/>
        <v>GBPFUT1MH9ConvAdj_Quote</v>
      </c>
      <c r="G69" s="250" t="e">
        <f>_xll.qlFuturesConvAdjustmentQuote($F69,IborIndex,$D69,$E69,Volatility,MeanReversion,Permanent,Trigger,ObjectOverwrite)</f>
        <v>#NUM!</v>
      </c>
      <c r="H69" s="72" t="e">
        <f ca="1">_xll.ohRangeRetrieveError(G69)</f>
        <v>#NUM!</v>
      </c>
    </row>
    <row r="70" spans="1:8" x14ac:dyDescent="0.2">
      <c r="A70" s="143"/>
      <c r="B70" s="142">
        <v>64</v>
      </c>
      <c r="C70" s="140" t="b">
        <v>0</v>
      </c>
      <c r="D70" s="140" t="str">
        <v>J9</v>
      </c>
      <c r="E70" s="250" t="str">
        <f t="shared" si="2"/>
        <v>GBPFUT1MJ9_Quote</v>
      </c>
      <c r="F70" s="251" t="str">
        <f t="shared" si="3"/>
        <v>GBPFUT1MJ9ConvAdj_Quote</v>
      </c>
      <c r="G70" s="250" t="e">
        <f>_xll.qlFuturesConvAdjustmentQuote($F70,IborIndex,$D70,$E70,Volatility,MeanReversion,Permanent,Trigger,ObjectOverwrite)</f>
        <v>#NUM!</v>
      </c>
      <c r="H70" s="72" t="e">
        <f ca="1">_xll.ohRangeRetrieveError(G70)</f>
        <v>#NUM!</v>
      </c>
    </row>
    <row r="71" spans="1:8" x14ac:dyDescent="0.2">
      <c r="A71" s="143"/>
      <c r="B71" s="142">
        <v>65</v>
      </c>
      <c r="C71" s="140" t="b">
        <v>0</v>
      </c>
      <c r="D71" s="140" t="str">
        <v>K9</v>
      </c>
      <c r="E71" s="250" t="str">
        <f t="shared" ref="E71:E102" si="4">Currency&amp;"FUT"&amp;$G$4&amp;$D71&amp;QuoteSuffix</f>
        <v>GBPFUT1MK9_Quote</v>
      </c>
      <c r="F71" s="251" t="str">
        <f t="shared" ref="F71:F102" si="5">Currency&amp;"FUT"&amp;$G$4&amp;$D71&amp;"ConvAdj"&amp;QuoteSuffix</f>
        <v>GBPFUT1MK9ConvAdj_Quote</v>
      </c>
      <c r="G71" s="250" t="e">
        <f>_xll.qlFuturesConvAdjustmentQuote($F71,IborIndex,$D71,$E71,Volatility,MeanReversion,Permanent,Trigger,ObjectOverwrite)</f>
        <v>#NUM!</v>
      </c>
      <c r="H71" s="72" t="e">
        <f ca="1">_xll.ohRangeRetrieveError(G71)</f>
        <v>#NUM!</v>
      </c>
    </row>
    <row r="72" spans="1:8" x14ac:dyDescent="0.2">
      <c r="A72" s="143"/>
      <c r="B72" s="142">
        <v>66</v>
      </c>
      <c r="C72" s="140" t="b">
        <v>0</v>
      </c>
      <c r="D72" s="140" t="str">
        <v>M9</v>
      </c>
      <c r="E72" s="250" t="str">
        <f t="shared" si="4"/>
        <v>GBPFUT1MM9_Quote</v>
      </c>
      <c r="F72" s="251" t="str">
        <f t="shared" si="5"/>
        <v>GBPFUT1MM9ConvAdj_Quote</v>
      </c>
      <c r="G72" s="250" t="e">
        <f>_xll.qlFuturesConvAdjustmentQuote($F72,IborIndex,$D72,$E72,Volatility,MeanReversion,Permanent,Trigger,ObjectOverwrite)</f>
        <v>#NUM!</v>
      </c>
      <c r="H72" s="72" t="e">
        <f ca="1">_xll.ohRangeRetrieveError(G72)</f>
        <v>#NUM!</v>
      </c>
    </row>
    <row r="73" spans="1:8" x14ac:dyDescent="0.2">
      <c r="A73" s="143"/>
      <c r="B73" s="142">
        <v>67</v>
      </c>
      <c r="C73" s="140" t="b">
        <v>0</v>
      </c>
      <c r="D73" s="140" t="str">
        <v>N9</v>
      </c>
      <c r="E73" s="250" t="str">
        <f t="shared" si="4"/>
        <v>GBPFUT1MN9_Quote</v>
      </c>
      <c r="F73" s="251" t="str">
        <f t="shared" si="5"/>
        <v>GBPFUT1MN9ConvAdj_Quote</v>
      </c>
      <c r="G73" s="250" t="e">
        <f>_xll.qlFuturesConvAdjustmentQuote($F73,IborIndex,$D73,$E73,Volatility,MeanReversion,Permanent,Trigger,ObjectOverwrite)</f>
        <v>#NUM!</v>
      </c>
      <c r="H73" s="72" t="e">
        <f ca="1">_xll.ohRangeRetrieveError(G73)</f>
        <v>#NUM!</v>
      </c>
    </row>
    <row r="74" spans="1:8" x14ac:dyDescent="0.2">
      <c r="A74" s="143"/>
      <c r="B74" s="142">
        <v>68</v>
      </c>
      <c r="C74" s="140" t="b">
        <v>0</v>
      </c>
      <c r="D74" s="140" t="str">
        <v>Q9</v>
      </c>
      <c r="E74" s="250" t="str">
        <f t="shared" si="4"/>
        <v>GBPFUT1MQ9_Quote</v>
      </c>
      <c r="F74" s="251" t="str">
        <f t="shared" si="5"/>
        <v>GBPFUT1MQ9ConvAdj_Quote</v>
      </c>
      <c r="G74" s="250" t="e">
        <f>_xll.qlFuturesConvAdjustmentQuote($F74,IborIndex,$D74,$E74,Volatility,MeanReversion,Permanent,Trigger,ObjectOverwrite)</f>
        <v>#NUM!</v>
      </c>
      <c r="H74" s="72" t="e">
        <f ca="1">_xll.ohRangeRetrieveError(G74)</f>
        <v>#NUM!</v>
      </c>
    </row>
    <row r="75" spans="1:8" x14ac:dyDescent="0.2">
      <c r="A75" s="143"/>
      <c r="B75" s="142">
        <v>69</v>
      </c>
      <c r="C75" s="140" t="b">
        <v>0</v>
      </c>
      <c r="D75" s="140" t="str">
        <v>U9</v>
      </c>
      <c r="E75" s="250" t="str">
        <f t="shared" si="4"/>
        <v>GBPFUT1MU9_Quote</v>
      </c>
      <c r="F75" s="251" t="str">
        <f t="shared" si="5"/>
        <v>GBPFUT1MU9ConvAdj_Quote</v>
      </c>
      <c r="G75" s="250" t="e">
        <f>_xll.qlFuturesConvAdjustmentQuote($F75,IborIndex,$D75,$E75,Volatility,MeanReversion,Permanent,Trigger,ObjectOverwrite)</f>
        <v>#NUM!</v>
      </c>
      <c r="H75" s="72" t="e">
        <f ca="1">_xll.ohRangeRetrieveError(G75)</f>
        <v>#NUM!</v>
      </c>
    </row>
    <row r="76" spans="1:8" x14ac:dyDescent="0.2">
      <c r="A76" s="143"/>
      <c r="B76" s="142">
        <v>70</v>
      </c>
      <c r="C76" s="140" t="b">
        <v>0</v>
      </c>
      <c r="D76" s="140" t="str">
        <v>V9</v>
      </c>
      <c r="E76" s="250" t="str">
        <f t="shared" si="4"/>
        <v>GBPFUT1MV9_Quote</v>
      </c>
      <c r="F76" s="251" t="str">
        <f t="shared" si="5"/>
        <v>GBPFUT1MV9ConvAdj_Quote</v>
      </c>
      <c r="G76" s="250" t="e">
        <f>_xll.qlFuturesConvAdjustmentQuote($F76,IborIndex,$D76,$E76,Volatility,MeanReversion,Permanent,Trigger,ObjectOverwrite)</f>
        <v>#NUM!</v>
      </c>
      <c r="H76" s="72" t="e">
        <f ca="1">_xll.ohRangeRetrieveError(G76)</f>
        <v>#NUM!</v>
      </c>
    </row>
    <row r="77" spans="1:8" x14ac:dyDescent="0.2">
      <c r="A77" s="143"/>
      <c r="B77" s="142">
        <v>71</v>
      </c>
      <c r="C77" s="140" t="b">
        <v>0</v>
      </c>
      <c r="D77" s="140" t="str">
        <v>X9</v>
      </c>
      <c r="E77" s="250" t="str">
        <f t="shared" si="4"/>
        <v>GBPFUT1MX9_Quote</v>
      </c>
      <c r="F77" s="251" t="str">
        <f t="shared" si="5"/>
        <v>GBPFUT1MX9ConvAdj_Quote</v>
      </c>
      <c r="G77" s="250" t="e">
        <f>_xll.qlFuturesConvAdjustmentQuote($F77,IborIndex,$D77,$E77,Volatility,MeanReversion,Permanent,Trigger,ObjectOverwrite)</f>
        <v>#NUM!</v>
      </c>
      <c r="H77" s="72" t="e">
        <f ca="1">_xll.ohRangeRetrieveError(G77)</f>
        <v>#NUM!</v>
      </c>
    </row>
    <row r="78" spans="1:8" x14ac:dyDescent="0.2">
      <c r="A78" s="143"/>
      <c r="B78" s="142">
        <v>72</v>
      </c>
      <c r="C78" s="140" t="b">
        <v>0</v>
      </c>
      <c r="D78" s="140" t="str">
        <v>Z9</v>
      </c>
      <c r="E78" s="250" t="str">
        <f t="shared" si="4"/>
        <v>GBPFUT1MZ9_Quote</v>
      </c>
      <c r="F78" s="251" t="str">
        <f t="shared" si="5"/>
        <v>GBPFUT1MZ9ConvAdj_Quote</v>
      </c>
      <c r="G78" s="250" t="e">
        <f>_xll.qlFuturesConvAdjustmentQuote($F78,IborIndex,$D78,$E78,Volatility,MeanReversion,Permanent,Trigger,ObjectOverwrite)</f>
        <v>#NUM!</v>
      </c>
      <c r="H78" s="72" t="e">
        <f ca="1">_xll.ohRangeRetrieveError(G78)</f>
        <v>#NUM!</v>
      </c>
    </row>
    <row r="79" spans="1:8" x14ac:dyDescent="0.2">
      <c r="A79" s="143"/>
      <c r="B79" s="142">
        <v>73</v>
      </c>
      <c r="C79" s="140" t="b">
        <v>0</v>
      </c>
      <c r="D79" s="140" t="str">
        <v>F0</v>
      </c>
      <c r="E79" s="250" t="str">
        <f t="shared" si="4"/>
        <v>GBPFUT1MF0_Quote</v>
      </c>
      <c r="F79" s="251" t="str">
        <f t="shared" si="5"/>
        <v>GBPFUT1MF0ConvAdj_Quote</v>
      </c>
      <c r="G79" s="250" t="e">
        <f>_xll.qlFuturesConvAdjustmentQuote($F79,IborIndex,$D79,$E79,Volatility,MeanReversion,Permanent,Trigger,ObjectOverwrite)</f>
        <v>#NUM!</v>
      </c>
      <c r="H79" s="72" t="e">
        <f ca="1">_xll.ohRangeRetrieveError(G79)</f>
        <v>#NUM!</v>
      </c>
    </row>
    <row r="80" spans="1:8" x14ac:dyDescent="0.2">
      <c r="A80" s="143"/>
      <c r="B80" s="142">
        <v>74</v>
      </c>
      <c r="C80" s="140" t="b">
        <v>0</v>
      </c>
      <c r="D80" s="140" t="str">
        <v>G0</v>
      </c>
      <c r="E80" s="250" t="str">
        <f t="shared" si="4"/>
        <v>GBPFUT1MG0_Quote</v>
      </c>
      <c r="F80" s="251" t="str">
        <f t="shared" si="5"/>
        <v>GBPFUT1MG0ConvAdj_Quote</v>
      </c>
      <c r="G80" s="250" t="e">
        <f>_xll.qlFuturesConvAdjustmentQuote($F80,IborIndex,$D80,$E80,Volatility,MeanReversion,Permanent,Trigger,ObjectOverwrite)</f>
        <v>#NUM!</v>
      </c>
      <c r="H80" s="72" t="e">
        <f ca="1">_xll.ohRangeRetrieveError(G80)</f>
        <v>#NUM!</v>
      </c>
    </row>
    <row r="81" spans="1:8" x14ac:dyDescent="0.2">
      <c r="A81" s="143"/>
      <c r="B81" s="142">
        <v>75</v>
      </c>
      <c r="C81" s="140" t="b">
        <v>0</v>
      </c>
      <c r="D81" s="140" t="str">
        <v>H0</v>
      </c>
      <c r="E81" s="250" t="str">
        <f t="shared" si="4"/>
        <v>GBPFUT1MH0_Quote</v>
      </c>
      <c r="F81" s="251" t="str">
        <f t="shared" si="5"/>
        <v>GBPFUT1MH0ConvAdj_Quote</v>
      </c>
      <c r="G81" s="250" t="e">
        <f>_xll.qlFuturesConvAdjustmentQuote($F81,IborIndex,$D81,$E81,Volatility,MeanReversion,Permanent,Trigger,ObjectOverwrite)</f>
        <v>#NUM!</v>
      </c>
      <c r="H81" s="72" t="e">
        <f ca="1">_xll.ohRangeRetrieveError(G81)</f>
        <v>#NUM!</v>
      </c>
    </row>
    <row r="82" spans="1:8" x14ac:dyDescent="0.2">
      <c r="A82" s="143"/>
      <c r="B82" s="142">
        <v>76</v>
      </c>
      <c r="C82" s="140" t="b">
        <v>0</v>
      </c>
      <c r="D82" s="140" t="str">
        <v>J0</v>
      </c>
      <c r="E82" s="250" t="str">
        <f t="shared" si="4"/>
        <v>GBPFUT1MJ0_Quote</v>
      </c>
      <c r="F82" s="251" t="str">
        <f t="shared" si="5"/>
        <v>GBPFUT1MJ0ConvAdj_Quote</v>
      </c>
      <c r="G82" s="250" t="e">
        <f>_xll.qlFuturesConvAdjustmentQuote($F82,IborIndex,$D82,$E82,Volatility,MeanReversion,Permanent,Trigger,ObjectOverwrite)</f>
        <v>#NUM!</v>
      </c>
      <c r="H82" s="72" t="e">
        <f ca="1">_xll.ohRangeRetrieveError(G82)</f>
        <v>#NUM!</v>
      </c>
    </row>
    <row r="83" spans="1:8" x14ac:dyDescent="0.2">
      <c r="A83" s="143"/>
      <c r="B83" s="142">
        <v>77</v>
      </c>
      <c r="C83" s="140" t="b">
        <v>0</v>
      </c>
      <c r="D83" s="140" t="str">
        <v>K0</v>
      </c>
      <c r="E83" s="250" t="str">
        <f t="shared" si="4"/>
        <v>GBPFUT1MK0_Quote</v>
      </c>
      <c r="F83" s="251" t="str">
        <f t="shared" si="5"/>
        <v>GBPFUT1MK0ConvAdj_Quote</v>
      </c>
      <c r="G83" s="250" t="e">
        <f>_xll.qlFuturesConvAdjustmentQuote($F83,IborIndex,$D83,$E83,Volatility,MeanReversion,Permanent,Trigger,ObjectOverwrite)</f>
        <v>#NUM!</v>
      </c>
      <c r="H83" s="72" t="e">
        <f ca="1">_xll.ohRangeRetrieveError(G83)</f>
        <v>#NUM!</v>
      </c>
    </row>
    <row r="84" spans="1:8" x14ac:dyDescent="0.2">
      <c r="A84" s="143"/>
      <c r="B84" s="142">
        <v>78</v>
      </c>
      <c r="C84" s="140" t="b">
        <v>0</v>
      </c>
      <c r="D84" s="140" t="str">
        <v>M0</v>
      </c>
      <c r="E84" s="250" t="str">
        <f t="shared" si="4"/>
        <v>GBPFUT1MM0_Quote</v>
      </c>
      <c r="F84" s="251" t="str">
        <f t="shared" si="5"/>
        <v>GBPFUT1MM0ConvAdj_Quote</v>
      </c>
      <c r="G84" s="250" t="e">
        <f>_xll.qlFuturesConvAdjustmentQuote($F84,IborIndex,$D84,$E84,Volatility,MeanReversion,Permanent,Trigger,ObjectOverwrite)</f>
        <v>#NUM!</v>
      </c>
      <c r="H84" s="72" t="e">
        <f ca="1">_xll.ohRangeRetrieveError(G84)</f>
        <v>#NUM!</v>
      </c>
    </row>
    <row r="85" spans="1:8" x14ac:dyDescent="0.2">
      <c r="A85" s="143"/>
      <c r="B85" s="142">
        <v>79</v>
      </c>
      <c r="C85" s="140" t="b">
        <v>0</v>
      </c>
      <c r="D85" s="140" t="str">
        <v>N0</v>
      </c>
      <c r="E85" s="250" t="str">
        <f t="shared" si="4"/>
        <v>GBPFUT1MN0_Quote</v>
      </c>
      <c r="F85" s="251" t="str">
        <f t="shared" si="5"/>
        <v>GBPFUT1MN0ConvAdj_Quote</v>
      </c>
      <c r="G85" s="250" t="e">
        <f>_xll.qlFuturesConvAdjustmentQuote($F85,IborIndex,$D85,$E85,Volatility,MeanReversion,Permanent,Trigger,ObjectOverwrite)</f>
        <v>#NUM!</v>
      </c>
      <c r="H85" s="72" t="e">
        <f ca="1">_xll.ohRangeRetrieveError(G85)</f>
        <v>#NUM!</v>
      </c>
    </row>
    <row r="86" spans="1:8" x14ac:dyDescent="0.2">
      <c r="A86" s="143"/>
      <c r="B86" s="142">
        <v>80</v>
      </c>
      <c r="C86" s="140" t="b">
        <v>0</v>
      </c>
      <c r="D86" s="140" t="str">
        <v>Q0</v>
      </c>
      <c r="E86" s="250" t="str">
        <f t="shared" si="4"/>
        <v>GBPFUT1MQ0_Quote</v>
      </c>
      <c r="F86" s="251" t="str">
        <f t="shared" si="5"/>
        <v>GBPFUT1MQ0ConvAdj_Quote</v>
      </c>
      <c r="G86" s="250" t="e">
        <f>_xll.qlFuturesConvAdjustmentQuote($F86,IborIndex,$D86,$E86,Volatility,MeanReversion,Permanent,Trigger,ObjectOverwrite)</f>
        <v>#NUM!</v>
      </c>
      <c r="H86" s="72" t="e">
        <f ca="1">_xll.ohRangeRetrieveError(G86)</f>
        <v>#NUM!</v>
      </c>
    </row>
    <row r="87" spans="1:8" x14ac:dyDescent="0.2">
      <c r="A87" s="143"/>
      <c r="B87" s="142">
        <v>81</v>
      </c>
      <c r="C87" s="140" t="b">
        <v>0</v>
      </c>
      <c r="D87" s="140" t="str">
        <v>U0</v>
      </c>
      <c r="E87" s="250" t="str">
        <f t="shared" si="4"/>
        <v>GBPFUT1MU0_Quote</v>
      </c>
      <c r="F87" s="251" t="str">
        <f t="shared" si="5"/>
        <v>GBPFUT1MU0ConvAdj_Quote</v>
      </c>
      <c r="G87" s="250" t="e">
        <f>_xll.qlFuturesConvAdjustmentQuote($F87,IborIndex,$D87,$E87,Volatility,MeanReversion,Permanent,Trigger,ObjectOverwrite)</f>
        <v>#NUM!</v>
      </c>
      <c r="H87" s="72" t="e">
        <f ca="1">_xll.ohRangeRetrieveError(G87)</f>
        <v>#NUM!</v>
      </c>
    </row>
    <row r="88" spans="1:8" x14ac:dyDescent="0.2">
      <c r="A88" s="143"/>
      <c r="B88" s="142">
        <v>82</v>
      </c>
      <c r="C88" s="140" t="b">
        <v>0</v>
      </c>
      <c r="D88" s="140" t="str">
        <v>V0</v>
      </c>
      <c r="E88" s="250" t="str">
        <f t="shared" si="4"/>
        <v>GBPFUT1MV0_Quote</v>
      </c>
      <c r="F88" s="251" t="str">
        <f t="shared" si="5"/>
        <v>GBPFUT1MV0ConvAdj_Quote</v>
      </c>
      <c r="G88" s="250" t="e">
        <f>_xll.qlFuturesConvAdjustmentQuote($F88,IborIndex,$D88,$E88,Volatility,MeanReversion,Permanent,Trigger,ObjectOverwrite)</f>
        <v>#NUM!</v>
      </c>
      <c r="H88" s="72" t="e">
        <f ca="1">_xll.ohRangeRetrieveError(G88)</f>
        <v>#NUM!</v>
      </c>
    </row>
    <row r="89" spans="1:8" x14ac:dyDescent="0.2">
      <c r="A89" s="143"/>
      <c r="B89" s="142">
        <v>83</v>
      </c>
      <c r="C89" s="140" t="b">
        <v>0</v>
      </c>
      <c r="D89" s="140" t="str">
        <v>X0</v>
      </c>
      <c r="E89" s="250" t="str">
        <f t="shared" si="4"/>
        <v>GBPFUT1MX0_Quote</v>
      </c>
      <c r="F89" s="251" t="str">
        <f t="shared" si="5"/>
        <v>GBPFUT1MX0ConvAdj_Quote</v>
      </c>
      <c r="G89" s="250" t="e">
        <f>_xll.qlFuturesConvAdjustmentQuote($F89,IborIndex,$D89,$E89,Volatility,MeanReversion,Permanent,Trigger,ObjectOverwrite)</f>
        <v>#NUM!</v>
      </c>
      <c r="H89" s="72" t="e">
        <f ca="1">_xll.ohRangeRetrieveError(G89)</f>
        <v>#NUM!</v>
      </c>
    </row>
    <row r="90" spans="1:8" x14ac:dyDescent="0.2">
      <c r="A90" s="143"/>
      <c r="B90" s="142">
        <v>84</v>
      </c>
      <c r="C90" s="140" t="b">
        <v>0</v>
      </c>
      <c r="D90" s="140" t="str">
        <v>Z0</v>
      </c>
      <c r="E90" s="250" t="str">
        <f t="shared" si="4"/>
        <v>GBPFUT1MZ0_Quote</v>
      </c>
      <c r="F90" s="251" t="str">
        <f t="shared" si="5"/>
        <v>GBPFUT1MZ0ConvAdj_Quote</v>
      </c>
      <c r="G90" s="250" t="e">
        <f>_xll.qlFuturesConvAdjustmentQuote($F90,IborIndex,$D90,$E90,Volatility,MeanReversion,Permanent,Trigger,ObjectOverwrite)</f>
        <v>#NUM!</v>
      </c>
      <c r="H90" s="72" t="e">
        <f ca="1">_xll.ohRangeRetrieveError(G90)</f>
        <v>#NUM!</v>
      </c>
    </row>
    <row r="91" spans="1:8" x14ac:dyDescent="0.2">
      <c r="A91" s="143"/>
      <c r="B91" s="142">
        <v>85</v>
      </c>
      <c r="C91" s="140" t="b">
        <v>0</v>
      </c>
      <c r="D91" s="140" t="str">
        <v>F1</v>
      </c>
      <c r="E91" s="250" t="str">
        <f t="shared" si="4"/>
        <v>GBPFUT1MF1_Quote</v>
      </c>
      <c r="F91" s="251" t="str">
        <f t="shared" si="5"/>
        <v>GBPFUT1MF1ConvAdj_Quote</v>
      </c>
      <c r="G91" s="250" t="e">
        <f>_xll.qlFuturesConvAdjustmentQuote($F91,IborIndex,$D91,$E91,Volatility,MeanReversion,Permanent,Trigger,ObjectOverwrite)</f>
        <v>#NUM!</v>
      </c>
      <c r="H91" s="72" t="e">
        <f ca="1">_xll.ohRangeRetrieveError(G91)</f>
        <v>#NUM!</v>
      </c>
    </row>
    <row r="92" spans="1:8" x14ac:dyDescent="0.2">
      <c r="A92" s="143"/>
      <c r="B92" s="142">
        <v>86</v>
      </c>
      <c r="C92" s="140" t="b">
        <v>0</v>
      </c>
      <c r="D92" s="140" t="str">
        <v>G1</v>
      </c>
      <c r="E92" s="250" t="str">
        <f t="shared" si="4"/>
        <v>GBPFUT1MG1_Quote</v>
      </c>
      <c r="F92" s="251" t="str">
        <f t="shared" si="5"/>
        <v>GBPFUT1MG1ConvAdj_Quote</v>
      </c>
      <c r="G92" s="250" t="e">
        <f>_xll.qlFuturesConvAdjustmentQuote($F92,IborIndex,$D92,$E92,Volatility,MeanReversion,Permanent,Trigger,ObjectOverwrite)</f>
        <v>#NUM!</v>
      </c>
      <c r="H92" s="72" t="e">
        <f ca="1">_xll.ohRangeRetrieveError(G92)</f>
        <v>#NUM!</v>
      </c>
    </row>
    <row r="93" spans="1:8" x14ac:dyDescent="0.2">
      <c r="A93" s="143"/>
      <c r="B93" s="142">
        <v>87</v>
      </c>
      <c r="C93" s="140" t="b">
        <v>0</v>
      </c>
      <c r="D93" s="140" t="str">
        <v>H1</v>
      </c>
      <c r="E93" s="250" t="str">
        <f t="shared" si="4"/>
        <v>GBPFUT1MH1_Quote</v>
      </c>
      <c r="F93" s="251" t="str">
        <f t="shared" si="5"/>
        <v>GBPFUT1MH1ConvAdj_Quote</v>
      </c>
      <c r="G93" s="250" t="e">
        <f>_xll.qlFuturesConvAdjustmentQuote($F93,IborIndex,$D93,$E93,Volatility,MeanReversion,Permanent,Trigger,ObjectOverwrite)</f>
        <v>#NUM!</v>
      </c>
      <c r="H93" s="72" t="e">
        <f ca="1">_xll.ohRangeRetrieveError(G93)</f>
        <v>#NUM!</v>
      </c>
    </row>
    <row r="94" spans="1:8" x14ac:dyDescent="0.2">
      <c r="A94" s="143"/>
      <c r="B94" s="142">
        <v>88</v>
      </c>
      <c r="C94" s="140" t="b">
        <v>0</v>
      </c>
      <c r="D94" s="140" t="str">
        <v>J1</v>
      </c>
      <c r="E94" s="250" t="str">
        <f t="shared" si="4"/>
        <v>GBPFUT1MJ1_Quote</v>
      </c>
      <c r="F94" s="251" t="str">
        <f t="shared" si="5"/>
        <v>GBPFUT1MJ1ConvAdj_Quote</v>
      </c>
      <c r="G94" s="250" t="e">
        <f>_xll.qlFuturesConvAdjustmentQuote($F94,IborIndex,$D94,$E94,Volatility,MeanReversion,Permanent,Trigger,ObjectOverwrite)</f>
        <v>#NUM!</v>
      </c>
      <c r="H94" s="72" t="e">
        <f ca="1">_xll.ohRangeRetrieveError(G94)</f>
        <v>#NUM!</v>
      </c>
    </row>
    <row r="95" spans="1:8" x14ac:dyDescent="0.2">
      <c r="A95" s="143"/>
      <c r="B95" s="142">
        <v>89</v>
      </c>
      <c r="C95" s="140" t="b">
        <v>0</v>
      </c>
      <c r="D95" s="140" t="str">
        <v>K1</v>
      </c>
      <c r="E95" s="250" t="str">
        <f t="shared" si="4"/>
        <v>GBPFUT1MK1_Quote</v>
      </c>
      <c r="F95" s="251" t="str">
        <f t="shared" si="5"/>
        <v>GBPFUT1MK1ConvAdj_Quote</v>
      </c>
      <c r="G95" s="250" t="e">
        <f>_xll.qlFuturesConvAdjustmentQuote($F95,IborIndex,$D95,$E95,Volatility,MeanReversion,Permanent,Trigger,ObjectOverwrite)</f>
        <v>#NUM!</v>
      </c>
      <c r="H95" s="72" t="e">
        <f ca="1">_xll.ohRangeRetrieveError(G95)</f>
        <v>#NUM!</v>
      </c>
    </row>
    <row r="96" spans="1:8" x14ac:dyDescent="0.2">
      <c r="A96" s="143"/>
      <c r="B96" s="142">
        <v>90</v>
      </c>
      <c r="C96" s="140" t="b">
        <v>0</v>
      </c>
      <c r="D96" s="140" t="str">
        <v>M1</v>
      </c>
      <c r="E96" s="250" t="str">
        <f t="shared" si="4"/>
        <v>GBPFUT1MM1_Quote</v>
      </c>
      <c r="F96" s="251" t="str">
        <f t="shared" si="5"/>
        <v>GBPFUT1MM1ConvAdj_Quote</v>
      </c>
      <c r="G96" s="250" t="e">
        <f>_xll.qlFuturesConvAdjustmentQuote($F96,IborIndex,$D96,$E96,Volatility,MeanReversion,Permanent,Trigger,ObjectOverwrite)</f>
        <v>#NUM!</v>
      </c>
      <c r="H96" s="72" t="e">
        <f ca="1">_xll.ohRangeRetrieveError(G96)</f>
        <v>#NUM!</v>
      </c>
    </row>
    <row r="97" spans="1:8" x14ac:dyDescent="0.2">
      <c r="A97" s="143"/>
      <c r="B97" s="142">
        <v>91</v>
      </c>
      <c r="C97" s="140" t="b">
        <v>0</v>
      </c>
      <c r="D97" s="140" t="str">
        <v>N1</v>
      </c>
      <c r="E97" s="250" t="str">
        <f t="shared" si="4"/>
        <v>GBPFUT1MN1_Quote</v>
      </c>
      <c r="F97" s="251" t="str">
        <f t="shared" si="5"/>
        <v>GBPFUT1MN1ConvAdj_Quote</v>
      </c>
      <c r="G97" s="250" t="e">
        <f>_xll.qlFuturesConvAdjustmentQuote($F97,IborIndex,$D97,$E97,Volatility,MeanReversion,Permanent,Trigger,ObjectOverwrite)</f>
        <v>#NUM!</v>
      </c>
      <c r="H97" s="72" t="e">
        <f ca="1">_xll.ohRangeRetrieveError(G97)</f>
        <v>#NUM!</v>
      </c>
    </row>
    <row r="98" spans="1:8" x14ac:dyDescent="0.2">
      <c r="A98" s="143"/>
      <c r="B98" s="142">
        <v>92</v>
      </c>
      <c r="C98" s="140" t="b">
        <v>0</v>
      </c>
      <c r="D98" s="140" t="str">
        <v>Q1</v>
      </c>
      <c r="E98" s="250" t="str">
        <f t="shared" si="4"/>
        <v>GBPFUT1MQ1_Quote</v>
      </c>
      <c r="F98" s="251" t="str">
        <f t="shared" si="5"/>
        <v>GBPFUT1MQ1ConvAdj_Quote</v>
      </c>
      <c r="G98" s="250" t="e">
        <f>_xll.qlFuturesConvAdjustmentQuote($F98,IborIndex,$D98,$E98,Volatility,MeanReversion,Permanent,Trigger,ObjectOverwrite)</f>
        <v>#NUM!</v>
      </c>
      <c r="H98" s="72" t="e">
        <f ca="1">_xll.ohRangeRetrieveError(G98)</f>
        <v>#NUM!</v>
      </c>
    </row>
    <row r="99" spans="1:8" x14ac:dyDescent="0.2">
      <c r="A99" s="143"/>
      <c r="B99" s="142">
        <v>93</v>
      </c>
      <c r="C99" s="140" t="b">
        <v>0</v>
      </c>
      <c r="D99" s="140" t="str">
        <v>U1</v>
      </c>
      <c r="E99" s="250" t="str">
        <f t="shared" si="4"/>
        <v>GBPFUT1MU1_Quote</v>
      </c>
      <c r="F99" s="251" t="str">
        <f t="shared" si="5"/>
        <v>GBPFUT1MU1ConvAdj_Quote</v>
      </c>
      <c r="G99" s="250" t="e">
        <f>_xll.qlFuturesConvAdjustmentQuote($F99,IborIndex,$D99,$E99,Volatility,MeanReversion,Permanent,Trigger,ObjectOverwrite)</f>
        <v>#NUM!</v>
      </c>
      <c r="H99" s="72" t="e">
        <f ca="1">_xll.ohRangeRetrieveError(G99)</f>
        <v>#NUM!</v>
      </c>
    </row>
    <row r="100" spans="1:8" x14ac:dyDescent="0.2">
      <c r="A100" s="143"/>
      <c r="B100" s="142">
        <v>94</v>
      </c>
      <c r="C100" s="140" t="b">
        <v>0</v>
      </c>
      <c r="D100" s="140" t="str">
        <v>V1</v>
      </c>
      <c r="E100" s="250" t="str">
        <f t="shared" si="4"/>
        <v>GBPFUT1MV1_Quote</v>
      </c>
      <c r="F100" s="251" t="str">
        <f t="shared" si="5"/>
        <v>GBPFUT1MV1ConvAdj_Quote</v>
      </c>
      <c r="G100" s="250" t="e">
        <f>_xll.qlFuturesConvAdjustmentQuote($F100,IborIndex,$D100,$E100,Volatility,MeanReversion,Permanent,Trigger,ObjectOverwrite)</f>
        <v>#NUM!</v>
      </c>
      <c r="H100" s="72" t="e">
        <f ca="1">_xll.ohRangeRetrieveError(G100)</f>
        <v>#NUM!</v>
      </c>
    </row>
    <row r="101" spans="1:8" x14ac:dyDescent="0.2">
      <c r="A101" s="143"/>
      <c r="B101" s="142">
        <v>95</v>
      </c>
      <c r="C101" s="140" t="b">
        <v>0</v>
      </c>
      <c r="D101" s="140" t="str">
        <v>X1</v>
      </c>
      <c r="E101" s="250" t="str">
        <f t="shared" si="4"/>
        <v>GBPFUT1MX1_Quote</v>
      </c>
      <c r="F101" s="251" t="str">
        <f t="shared" si="5"/>
        <v>GBPFUT1MX1ConvAdj_Quote</v>
      </c>
      <c r="G101" s="250" t="e">
        <f>_xll.qlFuturesConvAdjustmentQuote($F101,IborIndex,$D101,$E101,Volatility,MeanReversion,Permanent,Trigger,ObjectOverwrite)</f>
        <v>#NUM!</v>
      </c>
      <c r="H101" s="72" t="e">
        <f ca="1">_xll.ohRangeRetrieveError(G101)</f>
        <v>#NUM!</v>
      </c>
    </row>
    <row r="102" spans="1:8" x14ac:dyDescent="0.2">
      <c r="A102" s="143"/>
      <c r="B102" s="142">
        <v>96</v>
      </c>
      <c r="C102" s="140" t="b">
        <v>0</v>
      </c>
      <c r="D102" s="140" t="str">
        <v>Z1</v>
      </c>
      <c r="E102" s="250" t="str">
        <f t="shared" si="4"/>
        <v>GBPFUT1MZ1_Quote</v>
      </c>
      <c r="F102" s="251" t="str">
        <f t="shared" si="5"/>
        <v>GBPFUT1MZ1ConvAdj_Quote</v>
      </c>
      <c r="G102" s="250" t="e">
        <f>_xll.qlFuturesConvAdjustmentQuote($F102,IborIndex,$D102,$E102,Volatility,MeanReversion,Permanent,Trigger,ObjectOverwrite)</f>
        <v>#NUM!</v>
      </c>
      <c r="H102" s="72" t="e">
        <f ca="1">_xll.ohRangeRetrieveError(G102)</f>
        <v>#NUM!</v>
      </c>
    </row>
    <row r="103" spans="1:8" x14ac:dyDescent="0.2">
      <c r="A103" s="143"/>
      <c r="B103" s="142">
        <v>97</v>
      </c>
      <c r="C103" s="140" t="b">
        <v>0</v>
      </c>
      <c r="D103" s="140" t="str">
        <v>F2</v>
      </c>
      <c r="E103" s="250" t="str">
        <f t="shared" ref="E103:E126" si="6">Currency&amp;"FUT"&amp;$G$4&amp;$D103&amp;QuoteSuffix</f>
        <v>GBPFUT1MF2_Quote</v>
      </c>
      <c r="F103" s="251" t="str">
        <f t="shared" ref="F103:F126" si="7">Currency&amp;"FUT"&amp;$G$4&amp;$D103&amp;"ConvAdj"&amp;QuoteSuffix</f>
        <v>GBPFUT1MF2ConvAdj_Quote</v>
      </c>
      <c r="G103" s="250" t="e">
        <f>_xll.qlFuturesConvAdjustmentQuote($F103,IborIndex,$D103,$E103,Volatility,MeanReversion,Permanent,Trigger,ObjectOverwrite)</f>
        <v>#NUM!</v>
      </c>
      <c r="H103" s="72" t="e">
        <f ca="1">_xll.ohRangeRetrieveError(G103)</f>
        <v>#NUM!</v>
      </c>
    </row>
    <row r="104" spans="1:8" x14ac:dyDescent="0.2">
      <c r="A104" s="143"/>
      <c r="B104" s="142">
        <v>98</v>
      </c>
      <c r="C104" s="140" t="b">
        <v>0</v>
      </c>
      <c r="D104" s="140" t="str">
        <v>G2</v>
      </c>
      <c r="E104" s="250" t="str">
        <f t="shared" si="6"/>
        <v>GBPFUT1MG2_Quote</v>
      </c>
      <c r="F104" s="251" t="str">
        <f t="shared" si="7"/>
        <v>GBPFUT1MG2ConvAdj_Quote</v>
      </c>
      <c r="G104" s="250" t="e">
        <f>_xll.qlFuturesConvAdjustmentQuote($F104,IborIndex,$D104,$E104,Volatility,MeanReversion,Permanent,Trigger,ObjectOverwrite)</f>
        <v>#NUM!</v>
      </c>
      <c r="H104" s="72" t="e">
        <f ca="1">_xll.ohRangeRetrieveError(G104)</f>
        <v>#NUM!</v>
      </c>
    </row>
    <row r="105" spans="1:8" x14ac:dyDescent="0.2">
      <c r="A105" s="143"/>
      <c r="B105" s="142">
        <v>99</v>
      </c>
      <c r="C105" s="140" t="b">
        <v>0</v>
      </c>
      <c r="D105" s="140" t="str">
        <v>H2</v>
      </c>
      <c r="E105" s="250" t="str">
        <f t="shared" si="6"/>
        <v>GBPFUT1MH2_Quote</v>
      </c>
      <c r="F105" s="251" t="str">
        <f t="shared" si="7"/>
        <v>GBPFUT1MH2ConvAdj_Quote</v>
      </c>
      <c r="G105" s="250" t="e">
        <f>_xll.qlFuturesConvAdjustmentQuote($F105,IborIndex,$D105,$E105,Volatility,MeanReversion,Permanent,Trigger,ObjectOverwrite)</f>
        <v>#NUM!</v>
      </c>
      <c r="H105" s="72" t="e">
        <f ca="1">_xll.ohRangeRetrieveError(G105)</f>
        <v>#NUM!</v>
      </c>
    </row>
    <row r="106" spans="1:8" x14ac:dyDescent="0.2">
      <c r="A106" s="143"/>
      <c r="B106" s="142">
        <v>100</v>
      </c>
      <c r="C106" s="140" t="b">
        <v>0</v>
      </c>
      <c r="D106" s="140" t="str">
        <v>J2</v>
      </c>
      <c r="E106" s="250" t="str">
        <f t="shared" si="6"/>
        <v>GBPFUT1MJ2_Quote</v>
      </c>
      <c r="F106" s="251" t="str">
        <f t="shared" si="7"/>
        <v>GBPFUT1MJ2ConvAdj_Quote</v>
      </c>
      <c r="G106" s="250" t="e">
        <f>_xll.qlFuturesConvAdjustmentQuote($F106,IborIndex,$D106,$E106,Volatility,MeanReversion,Permanent,Trigger,ObjectOverwrite)</f>
        <v>#NUM!</v>
      </c>
      <c r="H106" s="72" t="e">
        <f ca="1">_xll.ohRangeRetrieveError(G106)</f>
        <v>#NUM!</v>
      </c>
    </row>
    <row r="107" spans="1:8" x14ac:dyDescent="0.2">
      <c r="A107" s="143"/>
      <c r="B107" s="142">
        <v>101</v>
      </c>
      <c r="C107" s="140" t="b">
        <v>0</v>
      </c>
      <c r="D107" s="140" t="str">
        <v>K2</v>
      </c>
      <c r="E107" s="250" t="str">
        <f t="shared" si="6"/>
        <v>GBPFUT1MK2_Quote</v>
      </c>
      <c r="F107" s="251" t="str">
        <f t="shared" si="7"/>
        <v>GBPFUT1MK2ConvAdj_Quote</v>
      </c>
      <c r="G107" s="250" t="e">
        <f>_xll.qlFuturesConvAdjustmentQuote($F107,IborIndex,$D107,$E107,Volatility,MeanReversion,Permanent,Trigger,ObjectOverwrite)</f>
        <v>#NUM!</v>
      </c>
      <c r="H107" s="72" t="e">
        <f ca="1">_xll.ohRangeRetrieveError(G107)</f>
        <v>#NUM!</v>
      </c>
    </row>
    <row r="108" spans="1:8" x14ac:dyDescent="0.2">
      <c r="A108" s="143"/>
      <c r="B108" s="142">
        <v>102</v>
      </c>
      <c r="C108" s="140" t="b">
        <v>0</v>
      </c>
      <c r="D108" s="140" t="str">
        <v>M2</v>
      </c>
      <c r="E108" s="250" t="str">
        <f t="shared" si="6"/>
        <v>GBPFUT1MM2_Quote</v>
      </c>
      <c r="F108" s="251" t="str">
        <f t="shared" si="7"/>
        <v>GBPFUT1MM2ConvAdj_Quote</v>
      </c>
      <c r="G108" s="250" t="e">
        <f>_xll.qlFuturesConvAdjustmentQuote($F108,IborIndex,$D108,$E108,Volatility,MeanReversion,Permanent,Trigger,ObjectOverwrite)</f>
        <v>#NUM!</v>
      </c>
      <c r="H108" s="72" t="e">
        <f ca="1">_xll.ohRangeRetrieveError(G108)</f>
        <v>#NUM!</v>
      </c>
    </row>
    <row r="109" spans="1:8" x14ac:dyDescent="0.2">
      <c r="A109" s="143"/>
      <c r="B109" s="142">
        <v>103</v>
      </c>
      <c r="C109" s="140" t="b">
        <v>0</v>
      </c>
      <c r="D109" s="140" t="str">
        <v>N2</v>
      </c>
      <c r="E109" s="250" t="str">
        <f t="shared" si="6"/>
        <v>GBPFUT1MN2_Quote</v>
      </c>
      <c r="F109" s="251" t="str">
        <f t="shared" si="7"/>
        <v>GBPFUT1MN2ConvAdj_Quote</v>
      </c>
      <c r="G109" s="250" t="e">
        <f>_xll.qlFuturesConvAdjustmentQuote($F109,IborIndex,$D109,$E109,Volatility,MeanReversion,Permanent,Trigger,ObjectOverwrite)</f>
        <v>#NUM!</v>
      </c>
      <c r="H109" s="72" t="e">
        <f ca="1">_xll.ohRangeRetrieveError(G109)</f>
        <v>#NUM!</v>
      </c>
    </row>
    <row r="110" spans="1:8" x14ac:dyDescent="0.2">
      <c r="A110" s="143"/>
      <c r="B110" s="142">
        <v>104</v>
      </c>
      <c r="C110" s="140" t="b">
        <v>0</v>
      </c>
      <c r="D110" s="140" t="str">
        <v>Q2</v>
      </c>
      <c r="E110" s="250" t="str">
        <f t="shared" si="6"/>
        <v>GBPFUT1MQ2_Quote</v>
      </c>
      <c r="F110" s="251" t="str">
        <f t="shared" si="7"/>
        <v>GBPFUT1MQ2ConvAdj_Quote</v>
      </c>
      <c r="G110" s="250" t="e">
        <f>_xll.qlFuturesConvAdjustmentQuote($F110,IborIndex,$D110,$E110,Volatility,MeanReversion,Permanent,Trigger,ObjectOverwrite)</f>
        <v>#NUM!</v>
      </c>
      <c r="H110" s="72" t="e">
        <f ca="1">_xll.ohRangeRetrieveError(G110)</f>
        <v>#NUM!</v>
      </c>
    </row>
    <row r="111" spans="1:8" x14ac:dyDescent="0.2">
      <c r="A111" s="143"/>
      <c r="B111" s="142">
        <v>105</v>
      </c>
      <c r="C111" s="140" t="b">
        <v>0</v>
      </c>
      <c r="D111" s="140" t="str">
        <v>U2</v>
      </c>
      <c r="E111" s="250" t="str">
        <f t="shared" si="6"/>
        <v>GBPFUT1MU2_Quote</v>
      </c>
      <c r="F111" s="251" t="str">
        <f t="shared" si="7"/>
        <v>GBPFUT1MU2ConvAdj_Quote</v>
      </c>
      <c r="G111" s="250" t="e">
        <f>_xll.qlFuturesConvAdjustmentQuote($F111,IborIndex,$D111,$E111,Volatility,MeanReversion,Permanent,Trigger,ObjectOverwrite)</f>
        <v>#NUM!</v>
      </c>
      <c r="H111" s="72" t="e">
        <f ca="1">_xll.ohRangeRetrieveError(G111)</f>
        <v>#NUM!</v>
      </c>
    </row>
    <row r="112" spans="1:8" x14ac:dyDescent="0.2">
      <c r="A112" s="143"/>
      <c r="B112" s="142">
        <v>106</v>
      </c>
      <c r="C112" s="140" t="b">
        <v>0</v>
      </c>
      <c r="D112" s="140" t="str">
        <v>V2</v>
      </c>
      <c r="E112" s="250" t="str">
        <f t="shared" si="6"/>
        <v>GBPFUT1MV2_Quote</v>
      </c>
      <c r="F112" s="251" t="str">
        <f t="shared" si="7"/>
        <v>GBPFUT1MV2ConvAdj_Quote</v>
      </c>
      <c r="G112" s="250" t="e">
        <f>_xll.qlFuturesConvAdjustmentQuote($F112,IborIndex,$D112,$E112,Volatility,MeanReversion,Permanent,Trigger,ObjectOverwrite)</f>
        <v>#NUM!</v>
      </c>
      <c r="H112" s="72" t="e">
        <f ca="1">_xll.ohRangeRetrieveError(G112)</f>
        <v>#NUM!</v>
      </c>
    </row>
    <row r="113" spans="1:8" x14ac:dyDescent="0.2">
      <c r="A113" s="143"/>
      <c r="B113" s="142">
        <v>107</v>
      </c>
      <c r="C113" s="140" t="b">
        <v>0</v>
      </c>
      <c r="D113" s="140" t="str">
        <v>X2</v>
      </c>
      <c r="E113" s="250" t="str">
        <f t="shared" si="6"/>
        <v>GBPFUT1MX2_Quote</v>
      </c>
      <c r="F113" s="251" t="str">
        <f t="shared" si="7"/>
        <v>GBPFUT1MX2ConvAdj_Quote</v>
      </c>
      <c r="G113" s="250" t="e">
        <f>_xll.qlFuturesConvAdjustmentQuote($F113,IborIndex,$D113,$E113,Volatility,MeanReversion,Permanent,Trigger,ObjectOverwrite)</f>
        <v>#NUM!</v>
      </c>
      <c r="H113" s="72" t="e">
        <f ca="1">_xll.ohRangeRetrieveError(G113)</f>
        <v>#NUM!</v>
      </c>
    </row>
    <row r="114" spans="1:8" x14ac:dyDescent="0.2">
      <c r="A114" s="143"/>
      <c r="B114" s="142">
        <v>108</v>
      </c>
      <c r="C114" s="140" t="b">
        <v>0</v>
      </c>
      <c r="D114" s="140" t="str">
        <v>Z2</v>
      </c>
      <c r="E114" s="250" t="str">
        <f t="shared" si="6"/>
        <v>GBPFUT1MZ2_Quote</v>
      </c>
      <c r="F114" s="251" t="str">
        <f t="shared" si="7"/>
        <v>GBPFUT1MZ2ConvAdj_Quote</v>
      </c>
      <c r="G114" s="250" t="e">
        <f>_xll.qlFuturesConvAdjustmentQuote($F114,IborIndex,$D114,$E114,Volatility,MeanReversion,Permanent,Trigger,ObjectOverwrite)</f>
        <v>#NUM!</v>
      </c>
      <c r="H114" s="72" t="e">
        <f ca="1">_xll.ohRangeRetrieveError(G114)</f>
        <v>#NUM!</v>
      </c>
    </row>
    <row r="115" spans="1:8" x14ac:dyDescent="0.2">
      <c r="A115" s="143"/>
      <c r="B115" s="142">
        <v>109</v>
      </c>
      <c r="C115" s="140" t="b">
        <v>0</v>
      </c>
      <c r="D115" s="140" t="str">
        <v>F3</v>
      </c>
      <c r="E115" s="250" t="str">
        <f t="shared" si="6"/>
        <v>GBPFUT1MF3_Quote</v>
      </c>
      <c r="F115" s="251" t="str">
        <f t="shared" si="7"/>
        <v>GBPFUT1MF3ConvAdj_Quote</v>
      </c>
      <c r="G115" s="250" t="e">
        <f>_xll.qlFuturesConvAdjustmentQuote($F115,IborIndex,$D115,$E115,Volatility,MeanReversion,Permanent,Trigger,ObjectOverwrite)</f>
        <v>#NUM!</v>
      </c>
      <c r="H115" s="72" t="e">
        <f ca="1">_xll.ohRangeRetrieveError(G115)</f>
        <v>#NUM!</v>
      </c>
    </row>
    <row r="116" spans="1:8" x14ac:dyDescent="0.2">
      <c r="A116" s="143"/>
      <c r="B116" s="142">
        <v>110</v>
      </c>
      <c r="C116" s="140" t="b">
        <v>0</v>
      </c>
      <c r="D116" s="140" t="str">
        <v>G3</v>
      </c>
      <c r="E116" s="250" t="str">
        <f t="shared" si="6"/>
        <v>GBPFUT1MG3_Quote</v>
      </c>
      <c r="F116" s="251" t="str">
        <f t="shared" si="7"/>
        <v>GBPFUT1MG3ConvAdj_Quote</v>
      </c>
      <c r="G116" s="250" t="e">
        <f>_xll.qlFuturesConvAdjustmentQuote($F116,IborIndex,$D116,$E116,Volatility,MeanReversion,Permanent,Trigger,ObjectOverwrite)</f>
        <v>#NUM!</v>
      </c>
      <c r="H116" s="72" t="e">
        <f ca="1">_xll.ohRangeRetrieveError(G116)</f>
        <v>#NUM!</v>
      </c>
    </row>
    <row r="117" spans="1:8" x14ac:dyDescent="0.2">
      <c r="A117" s="143"/>
      <c r="B117" s="142">
        <v>111</v>
      </c>
      <c r="C117" s="140" t="b">
        <v>0</v>
      </c>
      <c r="D117" s="140" t="str">
        <v>H3</v>
      </c>
      <c r="E117" s="250" t="str">
        <f t="shared" si="6"/>
        <v>GBPFUT1MH3_Quote</v>
      </c>
      <c r="F117" s="251" t="str">
        <f t="shared" si="7"/>
        <v>GBPFUT1MH3ConvAdj_Quote</v>
      </c>
      <c r="G117" s="250" t="e">
        <f>_xll.qlFuturesConvAdjustmentQuote($F117,IborIndex,$D117,$E117,Volatility,MeanReversion,Permanent,Trigger,ObjectOverwrite)</f>
        <v>#NUM!</v>
      </c>
      <c r="H117" s="72" t="e">
        <f ca="1">_xll.ohRangeRetrieveError(G117)</f>
        <v>#NUM!</v>
      </c>
    </row>
    <row r="118" spans="1:8" x14ac:dyDescent="0.2">
      <c r="A118" s="143"/>
      <c r="B118" s="142">
        <v>112</v>
      </c>
      <c r="C118" s="140" t="b">
        <v>0</v>
      </c>
      <c r="D118" s="140" t="str">
        <v>J3</v>
      </c>
      <c r="E118" s="250" t="str">
        <f t="shared" si="6"/>
        <v>GBPFUT1MJ3_Quote</v>
      </c>
      <c r="F118" s="251" t="str">
        <f t="shared" si="7"/>
        <v>GBPFUT1MJ3ConvAdj_Quote</v>
      </c>
      <c r="G118" s="250" t="e">
        <f>_xll.qlFuturesConvAdjustmentQuote($F118,IborIndex,$D118,$E118,Volatility,MeanReversion,Permanent,Trigger,ObjectOverwrite)</f>
        <v>#NUM!</v>
      </c>
      <c r="H118" s="72" t="e">
        <f ca="1">_xll.ohRangeRetrieveError(G118)</f>
        <v>#NUM!</v>
      </c>
    </row>
    <row r="119" spans="1:8" x14ac:dyDescent="0.2">
      <c r="A119" s="143"/>
      <c r="B119" s="142">
        <v>113</v>
      </c>
      <c r="C119" s="140" t="b">
        <v>0</v>
      </c>
      <c r="D119" s="140" t="str">
        <v>K3</v>
      </c>
      <c r="E119" s="250" t="str">
        <f t="shared" si="6"/>
        <v>GBPFUT1MK3_Quote</v>
      </c>
      <c r="F119" s="251" t="str">
        <f t="shared" si="7"/>
        <v>GBPFUT1MK3ConvAdj_Quote</v>
      </c>
      <c r="G119" s="250" t="e">
        <f>_xll.qlFuturesConvAdjustmentQuote($F119,IborIndex,$D119,$E119,Volatility,MeanReversion,Permanent,Trigger,ObjectOverwrite)</f>
        <v>#NUM!</v>
      </c>
      <c r="H119" s="72" t="e">
        <f ca="1">_xll.ohRangeRetrieveError(G119)</f>
        <v>#NUM!</v>
      </c>
    </row>
    <row r="120" spans="1:8" x14ac:dyDescent="0.2">
      <c r="A120" s="143"/>
      <c r="B120" s="142">
        <v>114</v>
      </c>
      <c r="C120" s="140" t="b">
        <v>0</v>
      </c>
      <c r="D120" s="140" t="str">
        <v>M3</v>
      </c>
      <c r="E120" s="250" t="str">
        <f t="shared" si="6"/>
        <v>GBPFUT1MM3_Quote</v>
      </c>
      <c r="F120" s="251" t="str">
        <f t="shared" si="7"/>
        <v>GBPFUT1MM3ConvAdj_Quote</v>
      </c>
      <c r="G120" s="250" t="e">
        <f>_xll.qlFuturesConvAdjustmentQuote($F120,IborIndex,$D120,$E120,Volatility,MeanReversion,Permanent,Trigger,ObjectOverwrite)</f>
        <v>#NUM!</v>
      </c>
      <c r="H120" s="72" t="e">
        <f ca="1">_xll.ohRangeRetrieveError(G120)</f>
        <v>#NUM!</v>
      </c>
    </row>
    <row r="121" spans="1:8" x14ac:dyDescent="0.2">
      <c r="A121" s="143"/>
      <c r="B121" s="142">
        <v>115</v>
      </c>
      <c r="C121" s="140" t="b">
        <v>0</v>
      </c>
      <c r="D121" s="140" t="str">
        <v>N3</v>
      </c>
      <c r="E121" s="250" t="str">
        <f t="shared" si="6"/>
        <v>GBPFUT1MN3_Quote</v>
      </c>
      <c r="F121" s="251" t="str">
        <f t="shared" si="7"/>
        <v>GBPFUT1MN3ConvAdj_Quote</v>
      </c>
      <c r="G121" s="250" t="e">
        <f>_xll.qlFuturesConvAdjustmentQuote($F121,IborIndex,$D121,$E121,Volatility,MeanReversion,Permanent,Trigger,ObjectOverwrite)</f>
        <v>#NUM!</v>
      </c>
      <c r="H121" s="72" t="e">
        <f ca="1">_xll.ohRangeRetrieveError(G121)</f>
        <v>#NUM!</v>
      </c>
    </row>
    <row r="122" spans="1:8" x14ac:dyDescent="0.2">
      <c r="A122" s="143"/>
      <c r="B122" s="142">
        <v>116</v>
      </c>
      <c r="C122" s="140" t="b">
        <v>0</v>
      </c>
      <c r="D122" s="140" t="str">
        <v>Q3</v>
      </c>
      <c r="E122" s="250" t="str">
        <f t="shared" si="6"/>
        <v>GBPFUT1MQ3_Quote</v>
      </c>
      <c r="F122" s="251" t="str">
        <f t="shared" si="7"/>
        <v>GBPFUT1MQ3ConvAdj_Quote</v>
      </c>
      <c r="G122" s="250" t="e">
        <f>_xll.qlFuturesConvAdjustmentQuote($F122,IborIndex,$D122,$E122,Volatility,MeanReversion,Permanent,Trigger,ObjectOverwrite)</f>
        <v>#NUM!</v>
      </c>
      <c r="H122" s="72" t="e">
        <f ca="1">_xll.ohRangeRetrieveError(G122)</f>
        <v>#NUM!</v>
      </c>
    </row>
    <row r="123" spans="1:8" x14ac:dyDescent="0.2">
      <c r="A123" s="143"/>
      <c r="B123" s="142">
        <v>117</v>
      </c>
      <c r="C123" s="140" t="b">
        <v>0</v>
      </c>
      <c r="D123" s="140" t="str">
        <v>U3</v>
      </c>
      <c r="E123" s="250" t="str">
        <f t="shared" si="6"/>
        <v>GBPFUT1MU3_Quote</v>
      </c>
      <c r="F123" s="251" t="str">
        <f t="shared" si="7"/>
        <v>GBPFUT1MU3ConvAdj_Quote</v>
      </c>
      <c r="G123" s="250" t="e">
        <f>_xll.qlFuturesConvAdjustmentQuote($F123,IborIndex,$D123,$E123,Volatility,MeanReversion,Permanent,Trigger,ObjectOverwrite)</f>
        <v>#NUM!</v>
      </c>
      <c r="H123" s="72" t="e">
        <f ca="1">_xll.ohRangeRetrieveError(G123)</f>
        <v>#NUM!</v>
      </c>
    </row>
    <row r="124" spans="1:8" x14ac:dyDescent="0.2">
      <c r="A124" s="143"/>
      <c r="B124" s="142">
        <v>118</v>
      </c>
      <c r="C124" s="140" t="b">
        <v>0</v>
      </c>
      <c r="D124" s="140" t="str">
        <v>V3</v>
      </c>
      <c r="E124" s="250" t="str">
        <f t="shared" si="6"/>
        <v>GBPFUT1MV3_Quote</v>
      </c>
      <c r="F124" s="251" t="str">
        <f t="shared" si="7"/>
        <v>GBPFUT1MV3ConvAdj_Quote</v>
      </c>
      <c r="G124" s="250" t="e">
        <f>_xll.qlFuturesConvAdjustmentQuote($F124,IborIndex,$D124,$E124,Volatility,MeanReversion,Permanent,Trigger,ObjectOverwrite)</f>
        <v>#NUM!</v>
      </c>
      <c r="H124" s="72" t="e">
        <f ca="1">_xll.ohRangeRetrieveError(G124)</f>
        <v>#NUM!</v>
      </c>
    </row>
    <row r="125" spans="1:8" x14ac:dyDescent="0.2">
      <c r="A125" s="143"/>
      <c r="B125" s="142">
        <v>119</v>
      </c>
      <c r="C125" s="140" t="b">
        <v>0</v>
      </c>
      <c r="D125" s="140" t="str">
        <v>X3</v>
      </c>
      <c r="E125" s="250" t="str">
        <f t="shared" si="6"/>
        <v>GBPFUT1MX3_Quote</v>
      </c>
      <c r="F125" s="251" t="str">
        <f t="shared" si="7"/>
        <v>GBPFUT1MX3ConvAdj_Quote</v>
      </c>
      <c r="G125" s="250" t="e">
        <f>_xll.qlFuturesConvAdjustmentQuote($F125,IborIndex,$D125,$E125,Volatility,MeanReversion,Permanent,Trigger,ObjectOverwrite)</f>
        <v>#NUM!</v>
      </c>
      <c r="H125" s="72" t="e">
        <f ca="1">_xll.ohRangeRetrieveError(G125)</f>
        <v>#NUM!</v>
      </c>
    </row>
    <row r="126" spans="1:8" ht="12" thickBot="1" x14ac:dyDescent="0.25">
      <c r="A126" s="136"/>
      <c r="B126" s="142">
        <v>120</v>
      </c>
      <c r="C126" s="140" t="b">
        <v>0</v>
      </c>
      <c r="D126" s="140" t="str">
        <v>Z3</v>
      </c>
      <c r="E126" s="250" t="str">
        <f t="shared" si="6"/>
        <v>GBPFUT1MZ3_Quote</v>
      </c>
      <c r="F126" s="251" t="str">
        <f t="shared" si="7"/>
        <v>GBPFUT1MZ3ConvAdj_Quote</v>
      </c>
      <c r="G126" s="250" t="e">
        <f>_xll.qlFuturesConvAdjustmentQuote($F126,IborIndex,$D126,$E126,Volatility,MeanReversion,Permanent,Trigger,ObjectOverwrite)</f>
        <v>#NUM!</v>
      </c>
      <c r="H126" s="72" t="e">
        <f ca="1">_xll.ohRangeRetrieveError(G126)</f>
        <v>#NUM!</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t="e">
        <f ca="1">IF(Serialize,_xll.ohObjectSave(G7:G126,SerializationPath&amp;F6,FileOverwrite,Serialize),"---")</f>
        <v>#NUM!</v>
      </c>
      <c r="H6" s="72" t="e">
        <f ca="1">_xll.ohRangeRetrieveError(G6)</f>
        <v>#NUM!</v>
      </c>
    </row>
    <row r="7" spans="1:8" x14ac:dyDescent="0.2">
      <c r="A7" s="143"/>
      <c r="B7" s="148">
        <v>1</v>
      </c>
      <c r="C7" s="146" t="b">
        <v>0</v>
      </c>
      <c r="D7" s="146" t="str">
        <f t="array" ref="D7:D126">_xll.qlIMMNextCodes(_xll.qlSettingsEvaluationDate(Trigger)-1,$C7:$C126)</f>
        <v>F4</v>
      </c>
      <c r="E7" s="250" t="str">
        <f t="shared" ref="E7:E38" si="0">Currency&amp;"FUT"&amp;$G$4&amp;$D7&amp;QuoteSuffix</f>
        <v>GBPFUT3MF4_Quote</v>
      </c>
      <c r="F7" s="251" t="str">
        <f t="shared" ref="F7:F38" si="1">Currency&amp;"FUT"&amp;$G$4&amp;$D7&amp;"ConvAdj"&amp;QuoteSuffix</f>
        <v>GBPFUT3MF4ConvAdj_Quote</v>
      </c>
      <c r="G7" s="250" t="e">
        <f>_xll.qlFuturesConvAdjustmentQuote($F7,IborIndex,$D7,$E7,Volatility,MeanReversion,Permanent,Trigger,ObjectOverwrite)</f>
        <v>#NUM!</v>
      </c>
      <c r="H7" s="72" t="e">
        <f ca="1">_xll.ohRangeRetrieveError(G7)</f>
        <v>#NUM!</v>
      </c>
    </row>
    <row r="8" spans="1:8" x14ac:dyDescent="0.2">
      <c r="A8" s="143"/>
      <c r="B8" s="142">
        <v>2</v>
      </c>
      <c r="C8" s="140" t="b">
        <v>0</v>
      </c>
      <c r="D8" s="140" t="str">
        <v>G4</v>
      </c>
      <c r="E8" s="250" t="str">
        <f t="shared" si="0"/>
        <v>GBPFUT3MG4_Quote</v>
      </c>
      <c r="F8" s="251" t="str">
        <f t="shared" si="1"/>
        <v>GBPFUT3MG4ConvAdj_Quote</v>
      </c>
      <c r="G8" s="250" t="e">
        <f>_xll.qlFuturesConvAdjustmentQuote($F8,IborIndex,$D8,$E8,Volatility,MeanReversion,Permanent,Trigger,ObjectOverwrite)</f>
        <v>#NUM!</v>
      </c>
      <c r="H8" s="72" t="e">
        <f ca="1">_xll.ohRangeRetrieveError(G8)</f>
        <v>#NUM!</v>
      </c>
    </row>
    <row r="9" spans="1:8" x14ac:dyDescent="0.2">
      <c r="A9" s="143"/>
      <c r="B9" s="142">
        <v>3</v>
      </c>
      <c r="C9" s="140" t="b">
        <v>0</v>
      </c>
      <c r="D9" s="140" t="str">
        <v>H4</v>
      </c>
      <c r="E9" s="250" t="str">
        <f t="shared" si="0"/>
        <v>GBPFUT3MH4_Quote</v>
      </c>
      <c r="F9" s="251" t="str">
        <f t="shared" si="1"/>
        <v>GBPFUT3MH4ConvAdj_Quote</v>
      </c>
      <c r="G9" s="250" t="e">
        <f>_xll.qlFuturesConvAdjustmentQuote($F9,IborIndex,$D9,$E9,Volatility,MeanReversion,Permanent,Trigger,ObjectOverwrite)</f>
        <v>#NUM!</v>
      </c>
      <c r="H9" s="72" t="e">
        <f ca="1">_xll.ohRangeRetrieveError(G9)</f>
        <v>#NUM!</v>
      </c>
    </row>
    <row r="10" spans="1:8" x14ac:dyDescent="0.2">
      <c r="A10" s="143"/>
      <c r="B10" s="142">
        <v>4</v>
      </c>
      <c r="C10" s="140" t="b">
        <v>0</v>
      </c>
      <c r="D10" s="140" t="str">
        <v>J4</v>
      </c>
      <c r="E10" s="250" t="str">
        <f t="shared" si="0"/>
        <v>GBPFUT3MJ4_Quote</v>
      </c>
      <c r="F10" s="251" t="str">
        <f t="shared" si="1"/>
        <v>GBPFUT3MJ4ConvAdj_Quote</v>
      </c>
      <c r="G10" s="250" t="e">
        <f>_xll.qlFuturesConvAdjustmentQuote($F10,IborIndex,$D10,$E10,Volatility,MeanReversion,Permanent,Trigger,ObjectOverwrite)</f>
        <v>#NUM!</v>
      </c>
      <c r="H10" s="72" t="e">
        <f ca="1">_xll.ohRangeRetrieveError(G10)</f>
        <v>#NUM!</v>
      </c>
    </row>
    <row r="11" spans="1:8" x14ac:dyDescent="0.2">
      <c r="A11" s="143"/>
      <c r="B11" s="142">
        <v>5</v>
      </c>
      <c r="C11" s="140" t="b">
        <v>0</v>
      </c>
      <c r="D11" s="140" t="str">
        <v>K4</v>
      </c>
      <c r="E11" s="250" t="str">
        <f t="shared" si="0"/>
        <v>GBPFUT3MK4_Quote</v>
      </c>
      <c r="F11" s="251" t="str">
        <f t="shared" si="1"/>
        <v>GBPFUT3MK4ConvAdj_Quote</v>
      </c>
      <c r="G11" s="250" t="e">
        <f>_xll.qlFuturesConvAdjustmentQuote($F11,IborIndex,$D11,$E11,Volatility,MeanReversion,Permanent,Trigger,ObjectOverwrite)</f>
        <v>#NUM!</v>
      </c>
      <c r="H11" s="72" t="e">
        <f ca="1">_xll.ohRangeRetrieveError(G11)</f>
        <v>#NUM!</v>
      </c>
    </row>
    <row r="12" spans="1:8" x14ac:dyDescent="0.2">
      <c r="A12" s="143"/>
      <c r="B12" s="142">
        <v>6</v>
      </c>
      <c r="C12" s="140" t="b">
        <v>0</v>
      </c>
      <c r="D12" s="140" t="str">
        <v>M4</v>
      </c>
      <c r="E12" s="250" t="str">
        <f t="shared" si="0"/>
        <v>GBPFUT3MM4_Quote</v>
      </c>
      <c r="F12" s="251" t="str">
        <f t="shared" si="1"/>
        <v>GBPFUT3MM4ConvAdj_Quote</v>
      </c>
      <c r="G12" s="250" t="e">
        <f>_xll.qlFuturesConvAdjustmentQuote($F12,IborIndex,$D12,$E12,Volatility,MeanReversion,Permanent,Trigger,ObjectOverwrite)</f>
        <v>#NUM!</v>
      </c>
      <c r="H12" s="72" t="e">
        <f ca="1">_xll.ohRangeRetrieveError(G12)</f>
        <v>#NUM!</v>
      </c>
    </row>
    <row r="13" spans="1:8" x14ac:dyDescent="0.2">
      <c r="A13" s="143"/>
      <c r="B13" s="142">
        <v>7</v>
      </c>
      <c r="C13" s="140" t="b">
        <v>0</v>
      </c>
      <c r="D13" s="140" t="str">
        <v>N4</v>
      </c>
      <c r="E13" s="250" t="str">
        <f t="shared" si="0"/>
        <v>GBPFUT3MN4_Quote</v>
      </c>
      <c r="F13" s="251" t="str">
        <f t="shared" si="1"/>
        <v>GBPFUT3MN4ConvAdj_Quote</v>
      </c>
      <c r="G13" s="250" t="e">
        <f>_xll.qlFuturesConvAdjustmentQuote($F13,IborIndex,$D13,$E13,Volatility,MeanReversion,Permanent,Trigger,ObjectOverwrite)</f>
        <v>#NUM!</v>
      </c>
      <c r="H13" s="72" t="e">
        <f ca="1">_xll.ohRangeRetrieveError(G13)</f>
        <v>#NUM!</v>
      </c>
    </row>
    <row r="14" spans="1:8" x14ac:dyDescent="0.2">
      <c r="A14" s="143"/>
      <c r="B14" s="142">
        <v>8</v>
      </c>
      <c r="C14" s="140" t="b">
        <v>0</v>
      </c>
      <c r="D14" s="140" t="str">
        <v>Q4</v>
      </c>
      <c r="E14" s="250" t="str">
        <f t="shared" si="0"/>
        <v>GBPFUT3MQ4_Quote</v>
      </c>
      <c r="F14" s="251" t="str">
        <f t="shared" si="1"/>
        <v>GBPFUT3MQ4ConvAdj_Quote</v>
      </c>
      <c r="G14" s="250" t="e">
        <f>_xll.qlFuturesConvAdjustmentQuote($F14,IborIndex,$D14,$E14,Volatility,MeanReversion,Permanent,Trigger,ObjectOverwrite)</f>
        <v>#NUM!</v>
      </c>
      <c r="H14" s="72" t="e">
        <f ca="1">_xll.ohRangeRetrieveError(G14)</f>
        <v>#NUM!</v>
      </c>
    </row>
    <row r="15" spans="1:8" x14ac:dyDescent="0.2">
      <c r="A15" s="143"/>
      <c r="B15" s="142">
        <v>9</v>
      </c>
      <c r="C15" s="140" t="b">
        <v>0</v>
      </c>
      <c r="D15" s="140" t="str">
        <v>U4</v>
      </c>
      <c r="E15" s="250" t="str">
        <f t="shared" si="0"/>
        <v>GBPFUT3MU4_Quote</v>
      </c>
      <c r="F15" s="251" t="str">
        <f t="shared" si="1"/>
        <v>GBPFUT3MU4ConvAdj_Quote</v>
      </c>
      <c r="G15" s="250" t="e">
        <f>_xll.qlFuturesConvAdjustmentQuote($F15,IborIndex,$D15,$E15,Volatility,MeanReversion,Permanent,Trigger,ObjectOverwrite)</f>
        <v>#NUM!</v>
      </c>
      <c r="H15" s="72" t="e">
        <f ca="1">_xll.ohRangeRetrieveError(G15)</f>
        <v>#NUM!</v>
      </c>
    </row>
    <row r="16" spans="1:8" x14ac:dyDescent="0.2">
      <c r="A16" s="143"/>
      <c r="B16" s="142">
        <v>10</v>
      </c>
      <c r="C16" s="140" t="b">
        <v>0</v>
      </c>
      <c r="D16" s="140" t="str">
        <v>V4</v>
      </c>
      <c r="E16" s="250" t="str">
        <f t="shared" si="0"/>
        <v>GBPFUT3MV4_Quote</v>
      </c>
      <c r="F16" s="251" t="str">
        <f t="shared" si="1"/>
        <v>GBPFUT3MV4ConvAdj_Quote</v>
      </c>
      <c r="G16" s="250" t="e">
        <f>_xll.qlFuturesConvAdjustmentQuote($F16,IborIndex,$D16,$E16,Volatility,MeanReversion,Permanent,Trigger,ObjectOverwrite)</f>
        <v>#NUM!</v>
      </c>
      <c r="H16" s="72" t="e">
        <f ca="1">_xll.ohRangeRetrieveError(G16)</f>
        <v>#NUM!</v>
      </c>
    </row>
    <row r="17" spans="1:8" x14ac:dyDescent="0.2">
      <c r="A17" s="143"/>
      <c r="B17" s="142">
        <v>11</v>
      </c>
      <c r="C17" s="140" t="b">
        <v>0</v>
      </c>
      <c r="D17" s="140" t="str">
        <v>X4</v>
      </c>
      <c r="E17" s="250" t="str">
        <f t="shared" si="0"/>
        <v>GBPFUT3MX4_Quote</v>
      </c>
      <c r="F17" s="251" t="str">
        <f t="shared" si="1"/>
        <v>GBPFUT3MX4ConvAdj_Quote</v>
      </c>
      <c r="G17" s="250" t="e">
        <f>_xll.qlFuturesConvAdjustmentQuote($F17,IborIndex,$D17,$E17,Volatility,MeanReversion,Permanent,Trigger,ObjectOverwrite)</f>
        <v>#NUM!</v>
      </c>
      <c r="H17" s="72" t="e">
        <f ca="1">_xll.ohRangeRetrieveError(G17)</f>
        <v>#NUM!</v>
      </c>
    </row>
    <row r="18" spans="1:8" x14ac:dyDescent="0.2">
      <c r="A18" s="143"/>
      <c r="B18" s="142">
        <v>12</v>
      </c>
      <c r="C18" s="140" t="b">
        <v>0</v>
      </c>
      <c r="D18" s="140" t="str">
        <v>Z4</v>
      </c>
      <c r="E18" s="250" t="str">
        <f t="shared" si="0"/>
        <v>GBPFUT3MZ4_Quote</v>
      </c>
      <c r="F18" s="251" t="str">
        <f t="shared" si="1"/>
        <v>GBPFUT3MZ4ConvAdj_Quote</v>
      </c>
      <c r="G18" s="250" t="e">
        <f>_xll.qlFuturesConvAdjustmentQuote($F18,IborIndex,$D18,$E18,Volatility,MeanReversion,Permanent,Trigger,ObjectOverwrite)</f>
        <v>#NUM!</v>
      </c>
      <c r="H18" s="72" t="e">
        <f ca="1">_xll.ohRangeRetrieveError(G18)</f>
        <v>#NUM!</v>
      </c>
    </row>
    <row r="19" spans="1:8" x14ac:dyDescent="0.2">
      <c r="A19" s="143"/>
      <c r="B19" s="142">
        <v>13</v>
      </c>
      <c r="C19" s="140" t="b">
        <v>0</v>
      </c>
      <c r="D19" s="140" t="str">
        <v>F5</v>
      </c>
      <c r="E19" s="250" t="str">
        <f t="shared" si="0"/>
        <v>GBPFUT3MF5_Quote</v>
      </c>
      <c r="F19" s="251" t="str">
        <f t="shared" si="1"/>
        <v>GBPFUT3MF5ConvAdj_Quote</v>
      </c>
      <c r="G19" s="250" t="e">
        <f>_xll.qlFuturesConvAdjustmentQuote($F19,IborIndex,$D19,$E19,Volatility,MeanReversion,Permanent,Trigger,ObjectOverwrite)</f>
        <v>#NUM!</v>
      </c>
      <c r="H19" s="72" t="e">
        <f ca="1">_xll.ohRangeRetrieveError(G19)</f>
        <v>#NUM!</v>
      </c>
    </row>
    <row r="20" spans="1:8" x14ac:dyDescent="0.2">
      <c r="A20" s="143"/>
      <c r="B20" s="142">
        <v>14</v>
      </c>
      <c r="C20" s="140" t="b">
        <v>0</v>
      </c>
      <c r="D20" s="140" t="str">
        <v>G5</v>
      </c>
      <c r="E20" s="250" t="str">
        <f t="shared" si="0"/>
        <v>GBPFUT3MG5_Quote</v>
      </c>
      <c r="F20" s="251" t="str">
        <f t="shared" si="1"/>
        <v>GBPFUT3MG5ConvAdj_Quote</v>
      </c>
      <c r="G20" s="250" t="e">
        <f>_xll.qlFuturesConvAdjustmentQuote($F20,IborIndex,$D20,$E20,Volatility,MeanReversion,Permanent,Trigger,ObjectOverwrite)</f>
        <v>#NUM!</v>
      </c>
      <c r="H20" s="72" t="e">
        <f ca="1">_xll.ohRangeRetrieveError(G20)</f>
        <v>#NUM!</v>
      </c>
    </row>
    <row r="21" spans="1:8" x14ac:dyDescent="0.2">
      <c r="A21" s="143"/>
      <c r="B21" s="142">
        <v>15</v>
      </c>
      <c r="C21" s="140" t="b">
        <v>0</v>
      </c>
      <c r="D21" s="140" t="str">
        <v>H5</v>
      </c>
      <c r="E21" s="250" t="str">
        <f t="shared" si="0"/>
        <v>GBPFUT3MH5_Quote</v>
      </c>
      <c r="F21" s="251" t="str">
        <f t="shared" si="1"/>
        <v>GBPFUT3MH5ConvAdj_Quote</v>
      </c>
      <c r="G21" s="250" t="e">
        <f>_xll.qlFuturesConvAdjustmentQuote($F21,IborIndex,$D21,$E21,Volatility,MeanReversion,Permanent,Trigger,ObjectOverwrite)</f>
        <v>#NUM!</v>
      </c>
      <c r="H21" s="72" t="e">
        <f ca="1">_xll.ohRangeRetrieveError(G21)</f>
        <v>#NUM!</v>
      </c>
    </row>
    <row r="22" spans="1:8" x14ac:dyDescent="0.2">
      <c r="A22" s="143"/>
      <c r="B22" s="142">
        <v>16</v>
      </c>
      <c r="C22" s="140" t="b">
        <v>0</v>
      </c>
      <c r="D22" s="140" t="str">
        <v>J5</v>
      </c>
      <c r="E22" s="250" t="str">
        <f t="shared" si="0"/>
        <v>GBPFUT3MJ5_Quote</v>
      </c>
      <c r="F22" s="251" t="str">
        <f t="shared" si="1"/>
        <v>GBPFUT3MJ5ConvAdj_Quote</v>
      </c>
      <c r="G22" s="250" t="e">
        <f>_xll.qlFuturesConvAdjustmentQuote($F22,IborIndex,$D22,$E22,Volatility,MeanReversion,Permanent,Trigger,ObjectOverwrite)</f>
        <v>#NUM!</v>
      </c>
      <c r="H22" s="72" t="e">
        <f ca="1">_xll.ohRangeRetrieveError(G22)</f>
        <v>#NUM!</v>
      </c>
    </row>
    <row r="23" spans="1:8" x14ac:dyDescent="0.2">
      <c r="A23" s="143"/>
      <c r="B23" s="142">
        <v>17</v>
      </c>
      <c r="C23" s="140" t="b">
        <v>0</v>
      </c>
      <c r="D23" s="140" t="str">
        <v>K5</v>
      </c>
      <c r="E23" s="250" t="str">
        <f t="shared" si="0"/>
        <v>GBPFUT3MK5_Quote</v>
      </c>
      <c r="F23" s="251" t="str">
        <f t="shared" si="1"/>
        <v>GBPFUT3MK5ConvAdj_Quote</v>
      </c>
      <c r="G23" s="250" t="e">
        <f>_xll.qlFuturesConvAdjustmentQuote($F23,IborIndex,$D23,$E23,Volatility,MeanReversion,Permanent,Trigger,ObjectOverwrite)</f>
        <v>#NUM!</v>
      </c>
      <c r="H23" s="72" t="e">
        <f ca="1">_xll.ohRangeRetrieveError(G23)</f>
        <v>#NUM!</v>
      </c>
    </row>
    <row r="24" spans="1:8" x14ac:dyDescent="0.2">
      <c r="A24" s="143"/>
      <c r="B24" s="142">
        <v>18</v>
      </c>
      <c r="C24" s="140" t="b">
        <v>0</v>
      </c>
      <c r="D24" s="140" t="str">
        <v>M5</v>
      </c>
      <c r="E24" s="250" t="str">
        <f t="shared" si="0"/>
        <v>GBPFUT3MM5_Quote</v>
      </c>
      <c r="F24" s="251" t="str">
        <f t="shared" si="1"/>
        <v>GBPFUT3MM5ConvAdj_Quote</v>
      </c>
      <c r="G24" s="250" t="e">
        <f>_xll.qlFuturesConvAdjustmentQuote($F24,IborIndex,$D24,$E24,Volatility,MeanReversion,Permanent,Trigger,ObjectOverwrite)</f>
        <v>#NUM!</v>
      </c>
      <c r="H24" s="72" t="e">
        <f ca="1">_xll.ohRangeRetrieveError(G24)</f>
        <v>#NUM!</v>
      </c>
    </row>
    <row r="25" spans="1:8" x14ac:dyDescent="0.2">
      <c r="A25" s="143"/>
      <c r="B25" s="142">
        <v>19</v>
      </c>
      <c r="C25" s="140" t="b">
        <v>0</v>
      </c>
      <c r="D25" s="140" t="str">
        <v>N5</v>
      </c>
      <c r="E25" s="250" t="str">
        <f t="shared" si="0"/>
        <v>GBPFUT3MN5_Quote</v>
      </c>
      <c r="F25" s="251" t="str">
        <f t="shared" si="1"/>
        <v>GBPFUT3MN5ConvAdj_Quote</v>
      </c>
      <c r="G25" s="250" t="e">
        <f>_xll.qlFuturesConvAdjustmentQuote($F25,IborIndex,$D25,$E25,Volatility,MeanReversion,Permanent,Trigger,ObjectOverwrite)</f>
        <v>#NUM!</v>
      </c>
      <c r="H25" s="72" t="e">
        <f ca="1">_xll.ohRangeRetrieveError(G25)</f>
        <v>#NUM!</v>
      </c>
    </row>
    <row r="26" spans="1:8" x14ac:dyDescent="0.2">
      <c r="A26" s="143"/>
      <c r="B26" s="142">
        <v>20</v>
      </c>
      <c r="C26" s="140" t="b">
        <v>0</v>
      </c>
      <c r="D26" s="140" t="str">
        <v>Q5</v>
      </c>
      <c r="E26" s="250" t="str">
        <f t="shared" si="0"/>
        <v>GBPFUT3MQ5_Quote</v>
      </c>
      <c r="F26" s="251" t="str">
        <f t="shared" si="1"/>
        <v>GBPFUT3MQ5ConvAdj_Quote</v>
      </c>
      <c r="G26" s="250" t="e">
        <f>_xll.qlFuturesConvAdjustmentQuote($F26,IborIndex,$D26,$E26,Volatility,MeanReversion,Permanent,Trigger,ObjectOverwrite)</f>
        <v>#NUM!</v>
      </c>
      <c r="H26" s="72" t="e">
        <f ca="1">_xll.ohRangeRetrieveError(G26)</f>
        <v>#NUM!</v>
      </c>
    </row>
    <row r="27" spans="1:8" x14ac:dyDescent="0.2">
      <c r="A27" s="143"/>
      <c r="B27" s="142">
        <v>21</v>
      </c>
      <c r="C27" s="140" t="b">
        <v>0</v>
      </c>
      <c r="D27" s="140" t="str">
        <v>U5</v>
      </c>
      <c r="E27" s="250" t="str">
        <f t="shared" si="0"/>
        <v>GBPFUT3MU5_Quote</v>
      </c>
      <c r="F27" s="251" t="str">
        <f t="shared" si="1"/>
        <v>GBPFUT3MU5ConvAdj_Quote</v>
      </c>
      <c r="G27" s="250" t="e">
        <f>_xll.qlFuturesConvAdjustmentQuote($F27,IborIndex,$D27,$E27,Volatility,MeanReversion,Permanent,Trigger,ObjectOverwrite)</f>
        <v>#NUM!</v>
      </c>
      <c r="H27" s="72" t="e">
        <f ca="1">_xll.ohRangeRetrieveError(G27)</f>
        <v>#NUM!</v>
      </c>
    </row>
    <row r="28" spans="1:8" x14ac:dyDescent="0.2">
      <c r="A28" s="143"/>
      <c r="B28" s="142">
        <v>22</v>
      </c>
      <c r="C28" s="140" t="b">
        <v>0</v>
      </c>
      <c r="D28" s="140" t="str">
        <v>V5</v>
      </c>
      <c r="E28" s="250" t="str">
        <f t="shared" si="0"/>
        <v>GBPFUT3MV5_Quote</v>
      </c>
      <c r="F28" s="251" t="str">
        <f t="shared" si="1"/>
        <v>GBPFUT3MV5ConvAdj_Quote</v>
      </c>
      <c r="G28" s="250" t="e">
        <f>_xll.qlFuturesConvAdjustmentQuote($F28,IborIndex,$D28,$E28,Volatility,MeanReversion,Permanent,Trigger,ObjectOverwrite)</f>
        <v>#NUM!</v>
      </c>
      <c r="H28" s="72" t="e">
        <f ca="1">_xll.ohRangeRetrieveError(G28)</f>
        <v>#NUM!</v>
      </c>
    </row>
    <row r="29" spans="1:8" x14ac:dyDescent="0.2">
      <c r="A29" s="143"/>
      <c r="B29" s="142">
        <v>23</v>
      </c>
      <c r="C29" s="140" t="b">
        <v>0</v>
      </c>
      <c r="D29" s="140" t="str">
        <v>X5</v>
      </c>
      <c r="E29" s="250" t="str">
        <f t="shared" si="0"/>
        <v>GBPFUT3MX5_Quote</v>
      </c>
      <c r="F29" s="251" t="str">
        <f t="shared" si="1"/>
        <v>GBPFUT3MX5ConvAdj_Quote</v>
      </c>
      <c r="G29" s="250" t="e">
        <f>_xll.qlFuturesConvAdjustmentQuote($F29,IborIndex,$D29,$E29,Volatility,MeanReversion,Permanent,Trigger,ObjectOverwrite)</f>
        <v>#NUM!</v>
      </c>
      <c r="H29" s="72" t="e">
        <f ca="1">_xll.ohRangeRetrieveError(G29)</f>
        <v>#NUM!</v>
      </c>
    </row>
    <row r="30" spans="1:8" x14ac:dyDescent="0.2">
      <c r="A30" s="143"/>
      <c r="B30" s="142">
        <v>24</v>
      </c>
      <c r="C30" s="140" t="b">
        <v>0</v>
      </c>
      <c r="D30" s="140" t="str">
        <v>Z5</v>
      </c>
      <c r="E30" s="250" t="str">
        <f t="shared" si="0"/>
        <v>GBPFUT3MZ5_Quote</v>
      </c>
      <c r="F30" s="251" t="str">
        <f t="shared" si="1"/>
        <v>GBPFUT3MZ5ConvAdj_Quote</v>
      </c>
      <c r="G30" s="250" t="e">
        <f>_xll.qlFuturesConvAdjustmentQuote($F30,IborIndex,$D30,$E30,Volatility,MeanReversion,Permanent,Trigger,ObjectOverwrite)</f>
        <v>#NUM!</v>
      </c>
      <c r="H30" s="72" t="e">
        <f ca="1">_xll.ohRangeRetrieveError(G30)</f>
        <v>#NUM!</v>
      </c>
    </row>
    <row r="31" spans="1:8" x14ac:dyDescent="0.2">
      <c r="A31" s="143"/>
      <c r="B31" s="142">
        <v>25</v>
      </c>
      <c r="C31" s="140" t="b">
        <v>0</v>
      </c>
      <c r="D31" s="140" t="str">
        <v>F6</v>
      </c>
      <c r="E31" s="250" t="str">
        <f t="shared" si="0"/>
        <v>GBPFUT3MF6_Quote</v>
      </c>
      <c r="F31" s="251" t="str">
        <f t="shared" si="1"/>
        <v>GBPFUT3MF6ConvAdj_Quote</v>
      </c>
      <c r="G31" s="250" t="e">
        <f>_xll.qlFuturesConvAdjustmentQuote($F31,IborIndex,$D31,$E31,Volatility,MeanReversion,Permanent,Trigger,ObjectOverwrite)</f>
        <v>#NUM!</v>
      </c>
      <c r="H31" s="72" t="e">
        <f ca="1">_xll.ohRangeRetrieveError(G31)</f>
        <v>#NUM!</v>
      </c>
    </row>
    <row r="32" spans="1:8" x14ac:dyDescent="0.2">
      <c r="A32" s="143"/>
      <c r="B32" s="142">
        <v>26</v>
      </c>
      <c r="C32" s="140" t="b">
        <v>0</v>
      </c>
      <c r="D32" s="140" t="str">
        <v>G6</v>
      </c>
      <c r="E32" s="250" t="str">
        <f t="shared" si="0"/>
        <v>GBPFUT3MG6_Quote</v>
      </c>
      <c r="F32" s="251" t="str">
        <f t="shared" si="1"/>
        <v>GBPFUT3MG6ConvAdj_Quote</v>
      </c>
      <c r="G32" s="250" t="e">
        <f>_xll.qlFuturesConvAdjustmentQuote($F32,IborIndex,$D32,$E32,Volatility,MeanReversion,Permanent,Trigger,ObjectOverwrite)</f>
        <v>#NUM!</v>
      </c>
      <c r="H32" s="72" t="e">
        <f ca="1">_xll.ohRangeRetrieveError(G32)</f>
        <v>#NUM!</v>
      </c>
    </row>
    <row r="33" spans="1:8" x14ac:dyDescent="0.2">
      <c r="A33" s="143"/>
      <c r="B33" s="142">
        <v>27</v>
      </c>
      <c r="C33" s="140" t="b">
        <v>0</v>
      </c>
      <c r="D33" s="140" t="str">
        <v>H6</v>
      </c>
      <c r="E33" s="250" t="str">
        <f t="shared" si="0"/>
        <v>GBPFUT3MH6_Quote</v>
      </c>
      <c r="F33" s="251" t="str">
        <f t="shared" si="1"/>
        <v>GBPFUT3MH6ConvAdj_Quote</v>
      </c>
      <c r="G33" s="250" t="e">
        <f>_xll.qlFuturesConvAdjustmentQuote($F33,IborIndex,$D33,$E33,Volatility,MeanReversion,Permanent,Trigger,ObjectOverwrite)</f>
        <v>#NUM!</v>
      </c>
      <c r="H33" s="72" t="e">
        <f ca="1">_xll.ohRangeRetrieveError(G33)</f>
        <v>#NUM!</v>
      </c>
    </row>
    <row r="34" spans="1:8" x14ac:dyDescent="0.2">
      <c r="A34" s="143"/>
      <c r="B34" s="142">
        <v>28</v>
      </c>
      <c r="C34" s="140" t="b">
        <v>0</v>
      </c>
      <c r="D34" s="140" t="str">
        <v>J6</v>
      </c>
      <c r="E34" s="250" t="str">
        <f t="shared" si="0"/>
        <v>GBPFUT3MJ6_Quote</v>
      </c>
      <c r="F34" s="251" t="str">
        <f t="shared" si="1"/>
        <v>GBPFUT3MJ6ConvAdj_Quote</v>
      </c>
      <c r="G34" s="250" t="e">
        <f>_xll.qlFuturesConvAdjustmentQuote($F34,IborIndex,$D34,$E34,Volatility,MeanReversion,Permanent,Trigger,ObjectOverwrite)</f>
        <v>#NUM!</v>
      </c>
      <c r="H34" s="72" t="e">
        <f ca="1">_xll.ohRangeRetrieveError(G34)</f>
        <v>#NUM!</v>
      </c>
    </row>
    <row r="35" spans="1:8" x14ac:dyDescent="0.2">
      <c r="A35" s="143"/>
      <c r="B35" s="142">
        <v>29</v>
      </c>
      <c r="C35" s="140" t="b">
        <v>0</v>
      </c>
      <c r="D35" s="140" t="str">
        <v>K6</v>
      </c>
      <c r="E35" s="250" t="str">
        <f t="shared" si="0"/>
        <v>GBPFUT3MK6_Quote</v>
      </c>
      <c r="F35" s="251" t="str">
        <f t="shared" si="1"/>
        <v>GBPFUT3MK6ConvAdj_Quote</v>
      </c>
      <c r="G35" s="250" t="e">
        <f>_xll.qlFuturesConvAdjustmentQuote($F35,IborIndex,$D35,$E35,Volatility,MeanReversion,Permanent,Trigger,ObjectOverwrite)</f>
        <v>#NUM!</v>
      </c>
      <c r="H35" s="72" t="e">
        <f ca="1">_xll.ohRangeRetrieveError(G35)</f>
        <v>#NUM!</v>
      </c>
    </row>
    <row r="36" spans="1:8" x14ac:dyDescent="0.2">
      <c r="A36" s="143"/>
      <c r="B36" s="142">
        <v>30</v>
      </c>
      <c r="C36" s="140" t="b">
        <v>0</v>
      </c>
      <c r="D36" s="140" t="str">
        <v>M6</v>
      </c>
      <c r="E36" s="250" t="str">
        <f t="shared" si="0"/>
        <v>GBPFUT3MM6_Quote</v>
      </c>
      <c r="F36" s="251" t="str">
        <f t="shared" si="1"/>
        <v>GBPFUT3MM6ConvAdj_Quote</v>
      </c>
      <c r="G36" s="250" t="e">
        <f>_xll.qlFuturesConvAdjustmentQuote($F36,IborIndex,$D36,$E36,Volatility,MeanReversion,Permanent,Trigger,ObjectOverwrite)</f>
        <v>#NUM!</v>
      </c>
      <c r="H36" s="72" t="e">
        <f ca="1">_xll.ohRangeRetrieveError(G36)</f>
        <v>#NUM!</v>
      </c>
    </row>
    <row r="37" spans="1:8" x14ac:dyDescent="0.2">
      <c r="A37" s="143"/>
      <c r="B37" s="142">
        <v>31</v>
      </c>
      <c r="C37" s="140" t="b">
        <v>0</v>
      </c>
      <c r="D37" s="140" t="str">
        <v>N6</v>
      </c>
      <c r="E37" s="250" t="str">
        <f t="shared" si="0"/>
        <v>GBPFUT3MN6_Quote</v>
      </c>
      <c r="F37" s="251" t="str">
        <f t="shared" si="1"/>
        <v>GBPFUT3MN6ConvAdj_Quote</v>
      </c>
      <c r="G37" s="250" t="e">
        <f>_xll.qlFuturesConvAdjustmentQuote($F37,IborIndex,$D37,$E37,Volatility,MeanReversion,Permanent,Trigger,ObjectOverwrite)</f>
        <v>#NUM!</v>
      </c>
      <c r="H37" s="72" t="e">
        <f ca="1">_xll.ohRangeRetrieveError(G37)</f>
        <v>#NUM!</v>
      </c>
    </row>
    <row r="38" spans="1:8" x14ac:dyDescent="0.2">
      <c r="A38" s="143"/>
      <c r="B38" s="142">
        <v>32</v>
      </c>
      <c r="C38" s="140" t="b">
        <v>0</v>
      </c>
      <c r="D38" s="140" t="str">
        <v>Q6</v>
      </c>
      <c r="E38" s="250" t="str">
        <f t="shared" si="0"/>
        <v>GBPFUT3MQ6_Quote</v>
      </c>
      <c r="F38" s="251" t="str">
        <f t="shared" si="1"/>
        <v>GBPFUT3MQ6ConvAdj_Quote</v>
      </c>
      <c r="G38" s="250" t="e">
        <f>_xll.qlFuturesConvAdjustmentQuote($F38,IborIndex,$D38,$E38,Volatility,MeanReversion,Permanent,Trigger,ObjectOverwrite)</f>
        <v>#NUM!</v>
      </c>
      <c r="H38" s="72" t="e">
        <f ca="1">_xll.ohRangeRetrieveError(G38)</f>
        <v>#NUM!</v>
      </c>
    </row>
    <row r="39" spans="1:8" x14ac:dyDescent="0.2">
      <c r="A39" s="143"/>
      <c r="B39" s="142">
        <v>33</v>
      </c>
      <c r="C39" s="140" t="b">
        <v>0</v>
      </c>
      <c r="D39" s="140" t="str">
        <v>U6</v>
      </c>
      <c r="E39" s="250" t="str">
        <f t="shared" ref="E39:E70" si="2">Currency&amp;"FUT"&amp;$G$4&amp;$D39&amp;QuoteSuffix</f>
        <v>GBPFUT3MU6_Quote</v>
      </c>
      <c r="F39" s="251" t="str">
        <f t="shared" ref="F39:F70" si="3">Currency&amp;"FUT"&amp;$G$4&amp;$D39&amp;"ConvAdj"&amp;QuoteSuffix</f>
        <v>GBPFUT3MU6ConvAdj_Quote</v>
      </c>
      <c r="G39" s="250" t="e">
        <f>_xll.qlFuturesConvAdjustmentQuote($F39,IborIndex,$D39,$E39,Volatility,MeanReversion,Permanent,Trigger,ObjectOverwrite)</f>
        <v>#NUM!</v>
      </c>
      <c r="H39" s="72" t="e">
        <f ca="1">_xll.ohRangeRetrieveError(G39)</f>
        <v>#NUM!</v>
      </c>
    </row>
    <row r="40" spans="1:8" x14ac:dyDescent="0.2">
      <c r="A40" s="143"/>
      <c r="B40" s="142">
        <v>34</v>
      </c>
      <c r="C40" s="140" t="b">
        <v>0</v>
      </c>
      <c r="D40" s="140" t="str">
        <v>V6</v>
      </c>
      <c r="E40" s="250" t="str">
        <f t="shared" si="2"/>
        <v>GBPFUT3MV6_Quote</v>
      </c>
      <c r="F40" s="251" t="str">
        <f t="shared" si="3"/>
        <v>GBPFUT3MV6ConvAdj_Quote</v>
      </c>
      <c r="G40" s="250" t="e">
        <f>_xll.qlFuturesConvAdjustmentQuote($F40,IborIndex,$D40,$E40,Volatility,MeanReversion,Permanent,Trigger,ObjectOverwrite)</f>
        <v>#NUM!</v>
      </c>
      <c r="H40" s="72" t="e">
        <f ca="1">_xll.ohRangeRetrieveError(G40)</f>
        <v>#NUM!</v>
      </c>
    </row>
    <row r="41" spans="1:8" x14ac:dyDescent="0.2">
      <c r="A41" s="143"/>
      <c r="B41" s="142">
        <v>35</v>
      </c>
      <c r="C41" s="140" t="b">
        <v>0</v>
      </c>
      <c r="D41" s="140" t="str">
        <v>X6</v>
      </c>
      <c r="E41" s="250" t="str">
        <f t="shared" si="2"/>
        <v>GBPFUT3MX6_Quote</v>
      </c>
      <c r="F41" s="251" t="str">
        <f t="shared" si="3"/>
        <v>GBPFUT3MX6ConvAdj_Quote</v>
      </c>
      <c r="G41" s="250" t="e">
        <f>_xll.qlFuturesConvAdjustmentQuote($F41,IborIndex,$D41,$E41,Volatility,MeanReversion,Permanent,Trigger,ObjectOverwrite)</f>
        <v>#NUM!</v>
      </c>
      <c r="H41" s="72" t="e">
        <f ca="1">_xll.ohRangeRetrieveError(G41)</f>
        <v>#NUM!</v>
      </c>
    </row>
    <row r="42" spans="1:8" x14ac:dyDescent="0.2">
      <c r="A42" s="143"/>
      <c r="B42" s="142">
        <v>36</v>
      </c>
      <c r="C42" s="140" t="b">
        <v>0</v>
      </c>
      <c r="D42" s="140" t="str">
        <v>Z6</v>
      </c>
      <c r="E42" s="250" t="str">
        <f t="shared" si="2"/>
        <v>GBPFUT3MZ6_Quote</v>
      </c>
      <c r="F42" s="251" t="str">
        <f t="shared" si="3"/>
        <v>GBPFUT3MZ6ConvAdj_Quote</v>
      </c>
      <c r="G42" s="250" t="e">
        <f>_xll.qlFuturesConvAdjustmentQuote($F42,IborIndex,$D42,$E42,Volatility,MeanReversion,Permanent,Trigger,ObjectOverwrite)</f>
        <v>#NUM!</v>
      </c>
      <c r="H42" s="72" t="e">
        <f ca="1">_xll.ohRangeRetrieveError(G42)</f>
        <v>#NUM!</v>
      </c>
    </row>
    <row r="43" spans="1:8" x14ac:dyDescent="0.2">
      <c r="A43" s="143"/>
      <c r="B43" s="142">
        <v>37</v>
      </c>
      <c r="C43" s="140" t="b">
        <v>0</v>
      </c>
      <c r="D43" s="140" t="str">
        <v>F7</v>
      </c>
      <c r="E43" s="250" t="str">
        <f t="shared" si="2"/>
        <v>GBPFUT3MF7_Quote</v>
      </c>
      <c r="F43" s="251" t="str">
        <f t="shared" si="3"/>
        <v>GBPFUT3MF7ConvAdj_Quote</v>
      </c>
      <c r="G43" s="250" t="e">
        <f>_xll.qlFuturesConvAdjustmentQuote($F43,IborIndex,$D43,$E43,Volatility,MeanReversion,Permanent,Trigger,ObjectOverwrite)</f>
        <v>#NUM!</v>
      </c>
      <c r="H43" s="72" t="e">
        <f ca="1">_xll.ohRangeRetrieveError(G43)</f>
        <v>#NUM!</v>
      </c>
    </row>
    <row r="44" spans="1:8" x14ac:dyDescent="0.2">
      <c r="A44" s="143"/>
      <c r="B44" s="142">
        <v>38</v>
      </c>
      <c r="C44" s="140" t="b">
        <v>0</v>
      </c>
      <c r="D44" s="140" t="str">
        <v>G7</v>
      </c>
      <c r="E44" s="250" t="str">
        <f t="shared" si="2"/>
        <v>GBPFUT3MG7_Quote</v>
      </c>
      <c r="F44" s="251" t="str">
        <f t="shared" si="3"/>
        <v>GBPFUT3MG7ConvAdj_Quote</v>
      </c>
      <c r="G44" s="250" t="e">
        <f>_xll.qlFuturesConvAdjustmentQuote($F44,IborIndex,$D44,$E44,Volatility,MeanReversion,Permanent,Trigger,ObjectOverwrite)</f>
        <v>#NUM!</v>
      </c>
      <c r="H44" s="72" t="e">
        <f ca="1">_xll.ohRangeRetrieveError(G44)</f>
        <v>#NUM!</v>
      </c>
    </row>
    <row r="45" spans="1:8" x14ac:dyDescent="0.2">
      <c r="A45" s="143"/>
      <c r="B45" s="142">
        <v>39</v>
      </c>
      <c r="C45" s="140" t="b">
        <v>0</v>
      </c>
      <c r="D45" s="140" t="str">
        <v>H7</v>
      </c>
      <c r="E45" s="250" t="str">
        <f t="shared" si="2"/>
        <v>GBPFUT3MH7_Quote</v>
      </c>
      <c r="F45" s="251" t="str">
        <f t="shared" si="3"/>
        <v>GBPFUT3MH7ConvAdj_Quote</v>
      </c>
      <c r="G45" s="250" t="e">
        <f>_xll.qlFuturesConvAdjustmentQuote($F45,IborIndex,$D45,$E45,Volatility,MeanReversion,Permanent,Trigger,ObjectOverwrite)</f>
        <v>#NUM!</v>
      </c>
      <c r="H45" s="72" t="e">
        <f ca="1">_xll.ohRangeRetrieveError(G45)</f>
        <v>#NUM!</v>
      </c>
    </row>
    <row r="46" spans="1:8" x14ac:dyDescent="0.2">
      <c r="A46" s="143"/>
      <c r="B46" s="142">
        <v>40</v>
      </c>
      <c r="C46" s="140" t="b">
        <v>0</v>
      </c>
      <c r="D46" s="140" t="str">
        <v>J7</v>
      </c>
      <c r="E46" s="250" t="str">
        <f t="shared" si="2"/>
        <v>GBPFUT3MJ7_Quote</v>
      </c>
      <c r="F46" s="251" t="str">
        <f t="shared" si="3"/>
        <v>GBPFUT3MJ7ConvAdj_Quote</v>
      </c>
      <c r="G46" s="250" t="e">
        <f>_xll.qlFuturesConvAdjustmentQuote($F46,IborIndex,$D46,$E46,Volatility,MeanReversion,Permanent,Trigger,ObjectOverwrite)</f>
        <v>#NUM!</v>
      </c>
      <c r="H46" s="72" t="e">
        <f ca="1">_xll.ohRangeRetrieveError(G46)</f>
        <v>#NUM!</v>
      </c>
    </row>
    <row r="47" spans="1:8" x14ac:dyDescent="0.2">
      <c r="A47" s="143"/>
      <c r="B47" s="142">
        <v>41</v>
      </c>
      <c r="C47" s="140" t="b">
        <v>0</v>
      </c>
      <c r="D47" s="140" t="str">
        <v>K7</v>
      </c>
      <c r="E47" s="250" t="str">
        <f t="shared" si="2"/>
        <v>GBPFUT3MK7_Quote</v>
      </c>
      <c r="F47" s="251" t="str">
        <f t="shared" si="3"/>
        <v>GBPFUT3MK7ConvAdj_Quote</v>
      </c>
      <c r="G47" s="250" t="e">
        <f>_xll.qlFuturesConvAdjustmentQuote($F47,IborIndex,$D47,$E47,Volatility,MeanReversion,Permanent,Trigger,ObjectOverwrite)</f>
        <v>#NUM!</v>
      </c>
      <c r="H47" s="72" t="e">
        <f ca="1">_xll.ohRangeRetrieveError(G47)</f>
        <v>#NUM!</v>
      </c>
    </row>
    <row r="48" spans="1:8" x14ac:dyDescent="0.2">
      <c r="A48" s="143"/>
      <c r="B48" s="142">
        <v>42</v>
      </c>
      <c r="C48" s="140" t="b">
        <v>0</v>
      </c>
      <c r="D48" s="140" t="str">
        <v>M7</v>
      </c>
      <c r="E48" s="250" t="str">
        <f t="shared" si="2"/>
        <v>GBPFUT3MM7_Quote</v>
      </c>
      <c r="F48" s="251" t="str">
        <f t="shared" si="3"/>
        <v>GBPFUT3MM7ConvAdj_Quote</v>
      </c>
      <c r="G48" s="250" t="e">
        <f>_xll.qlFuturesConvAdjustmentQuote($F48,IborIndex,$D48,$E48,Volatility,MeanReversion,Permanent,Trigger,ObjectOverwrite)</f>
        <v>#NUM!</v>
      </c>
      <c r="H48" s="72" t="e">
        <f ca="1">_xll.ohRangeRetrieveError(G48)</f>
        <v>#NUM!</v>
      </c>
    </row>
    <row r="49" spans="1:8" x14ac:dyDescent="0.2">
      <c r="A49" s="143"/>
      <c r="B49" s="142">
        <v>43</v>
      </c>
      <c r="C49" s="140" t="b">
        <v>0</v>
      </c>
      <c r="D49" s="140" t="str">
        <v>N7</v>
      </c>
      <c r="E49" s="250" t="str">
        <f t="shared" si="2"/>
        <v>GBPFUT3MN7_Quote</v>
      </c>
      <c r="F49" s="251" t="str">
        <f t="shared" si="3"/>
        <v>GBPFUT3MN7ConvAdj_Quote</v>
      </c>
      <c r="G49" s="250" t="e">
        <f>_xll.qlFuturesConvAdjustmentQuote($F49,IborIndex,$D49,$E49,Volatility,MeanReversion,Permanent,Trigger,ObjectOverwrite)</f>
        <v>#NUM!</v>
      </c>
      <c r="H49" s="72" t="e">
        <f ca="1">_xll.ohRangeRetrieveError(G49)</f>
        <v>#NUM!</v>
      </c>
    </row>
    <row r="50" spans="1:8" x14ac:dyDescent="0.2">
      <c r="A50" s="143"/>
      <c r="B50" s="142">
        <v>44</v>
      </c>
      <c r="C50" s="140" t="b">
        <v>0</v>
      </c>
      <c r="D50" s="140" t="str">
        <v>Q7</v>
      </c>
      <c r="E50" s="250" t="str">
        <f t="shared" si="2"/>
        <v>GBPFUT3MQ7_Quote</v>
      </c>
      <c r="F50" s="251" t="str">
        <f t="shared" si="3"/>
        <v>GBPFUT3MQ7ConvAdj_Quote</v>
      </c>
      <c r="G50" s="250" t="e">
        <f>_xll.qlFuturesConvAdjustmentQuote($F50,IborIndex,$D50,$E50,Volatility,MeanReversion,Permanent,Trigger,ObjectOverwrite)</f>
        <v>#NUM!</v>
      </c>
      <c r="H50" s="72" t="e">
        <f ca="1">_xll.ohRangeRetrieveError(G50)</f>
        <v>#NUM!</v>
      </c>
    </row>
    <row r="51" spans="1:8" x14ac:dyDescent="0.2">
      <c r="A51" s="143"/>
      <c r="B51" s="142">
        <v>45</v>
      </c>
      <c r="C51" s="140" t="b">
        <v>0</v>
      </c>
      <c r="D51" s="140" t="str">
        <v>U7</v>
      </c>
      <c r="E51" s="250" t="str">
        <f t="shared" si="2"/>
        <v>GBPFUT3MU7_Quote</v>
      </c>
      <c r="F51" s="251" t="str">
        <f t="shared" si="3"/>
        <v>GBPFUT3MU7ConvAdj_Quote</v>
      </c>
      <c r="G51" s="250" t="e">
        <f>_xll.qlFuturesConvAdjustmentQuote($F51,IborIndex,$D51,$E51,Volatility,MeanReversion,Permanent,Trigger,ObjectOverwrite)</f>
        <v>#NUM!</v>
      </c>
      <c r="H51" s="72" t="e">
        <f ca="1">_xll.ohRangeRetrieveError(G51)</f>
        <v>#NUM!</v>
      </c>
    </row>
    <row r="52" spans="1:8" x14ac:dyDescent="0.2">
      <c r="A52" s="143"/>
      <c r="B52" s="142">
        <v>46</v>
      </c>
      <c r="C52" s="140" t="b">
        <v>0</v>
      </c>
      <c r="D52" s="140" t="str">
        <v>V7</v>
      </c>
      <c r="E52" s="250" t="str">
        <f t="shared" si="2"/>
        <v>GBPFUT3MV7_Quote</v>
      </c>
      <c r="F52" s="251" t="str">
        <f t="shared" si="3"/>
        <v>GBPFUT3MV7ConvAdj_Quote</v>
      </c>
      <c r="G52" s="250" t="e">
        <f>_xll.qlFuturesConvAdjustmentQuote($F52,IborIndex,$D52,$E52,Volatility,MeanReversion,Permanent,Trigger,ObjectOverwrite)</f>
        <v>#NUM!</v>
      </c>
      <c r="H52" s="72" t="e">
        <f ca="1">_xll.ohRangeRetrieveError(G52)</f>
        <v>#NUM!</v>
      </c>
    </row>
    <row r="53" spans="1:8" x14ac:dyDescent="0.2">
      <c r="A53" s="143"/>
      <c r="B53" s="142">
        <v>47</v>
      </c>
      <c r="C53" s="140" t="b">
        <v>0</v>
      </c>
      <c r="D53" s="140" t="str">
        <v>X7</v>
      </c>
      <c r="E53" s="250" t="str">
        <f t="shared" si="2"/>
        <v>GBPFUT3MX7_Quote</v>
      </c>
      <c r="F53" s="251" t="str">
        <f t="shared" si="3"/>
        <v>GBPFUT3MX7ConvAdj_Quote</v>
      </c>
      <c r="G53" s="250" t="e">
        <f>_xll.qlFuturesConvAdjustmentQuote($F53,IborIndex,$D53,$E53,Volatility,MeanReversion,Permanent,Trigger,ObjectOverwrite)</f>
        <v>#NUM!</v>
      </c>
      <c r="H53" s="72" t="e">
        <f ca="1">_xll.ohRangeRetrieveError(G53)</f>
        <v>#NUM!</v>
      </c>
    </row>
    <row r="54" spans="1:8" x14ac:dyDescent="0.2">
      <c r="A54" s="143"/>
      <c r="B54" s="142">
        <v>48</v>
      </c>
      <c r="C54" s="140" t="b">
        <v>0</v>
      </c>
      <c r="D54" s="140" t="str">
        <v>Z7</v>
      </c>
      <c r="E54" s="250" t="str">
        <f t="shared" si="2"/>
        <v>GBPFUT3MZ7_Quote</v>
      </c>
      <c r="F54" s="251" t="str">
        <f t="shared" si="3"/>
        <v>GBPFUT3MZ7ConvAdj_Quote</v>
      </c>
      <c r="G54" s="250" t="e">
        <f>_xll.qlFuturesConvAdjustmentQuote($F54,IborIndex,$D54,$E54,Volatility,MeanReversion,Permanent,Trigger,ObjectOverwrite)</f>
        <v>#NUM!</v>
      </c>
      <c r="H54" s="72" t="e">
        <f ca="1">_xll.ohRangeRetrieveError(G54)</f>
        <v>#NUM!</v>
      </c>
    </row>
    <row r="55" spans="1:8" x14ac:dyDescent="0.2">
      <c r="A55" s="143"/>
      <c r="B55" s="142">
        <v>49</v>
      </c>
      <c r="C55" s="140" t="b">
        <v>0</v>
      </c>
      <c r="D55" s="140" t="str">
        <v>F8</v>
      </c>
      <c r="E55" s="250" t="str">
        <f t="shared" si="2"/>
        <v>GBPFUT3MF8_Quote</v>
      </c>
      <c r="F55" s="251" t="str">
        <f t="shared" si="3"/>
        <v>GBPFUT3MF8ConvAdj_Quote</v>
      </c>
      <c r="G55" s="250" t="e">
        <f>_xll.qlFuturesConvAdjustmentQuote($F55,IborIndex,$D55,$E55,Volatility,MeanReversion,Permanent,Trigger,ObjectOverwrite)</f>
        <v>#NUM!</v>
      </c>
      <c r="H55" s="72" t="e">
        <f ca="1">_xll.ohRangeRetrieveError(G55)</f>
        <v>#NUM!</v>
      </c>
    </row>
    <row r="56" spans="1:8" x14ac:dyDescent="0.2">
      <c r="A56" s="143"/>
      <c r="B56" s="142">
        <v>50</v>
      </c>
      <c r="C56" s="140" t="b">
        <v>0</v>
      </c>
      <c r="D56" s="140" t="str">
        <v>G8</v>
      </c>
      <c r="E56" s="250" t="str">
        <f t="shared" si="2"/>
        <v>GBPFUT3MG8_Quote</v>
      </c>
      <c r="F56" s="251" t="str">
        <f t="shared" si="3"/>
        <v>GBPFUT3MG8ConvAdj_Quote</v>
      </c>
      <c r="G56" s="250" t="e">
        <f>_xll.qlFuturesConvAdjustmentQuote($F56,IborIndex,$D56,$E56,Volatility,MeanReversion,Permanent,Trigger,ObjectOverwrite)</f>
        <v>#NUM!</v>
      </c>
      <c r="H56" s="72" t="e">
        <f ca="1">_xll.ohRangeRetrieveError(G56)</f>
        <v>#NUM!</v>
      </c>
    </row>
    <row r="57" spans="1:8" x14ac:dyDescent="0.2">
      <c r="A57" s="143"/>
      <c r="B57" s="142">
        <v>51</v>
      </c>
      <c r="C57" s="140" t="b">
        <v>0</v>
      </c>
      <c r="D57" s="140" t="str">
        <v>H8</v>
      </c>
      <c r="E57" s="250" t="str">
        <f t="shared" si="2"/>
        <v>GBPFUT3MH8_Quote</v>
      </c>
      <c r="F57" s="251" t="str">
        <f t="shared" si="3"/>
        <v>GBPFUT3MH8ConvAdj_Quote</v>
      </c>
      <c r="G57" s="250" t="e">
        <f>_xll.qlFuturesConvAdjustmentQuote($F57,IborIndex,$D57,$E57,Volatility,MeanReversion,Permanent,Trigger,ObjectOverwrite)</f>
        <v>#NUM!</v>
      </c>
      <c r="H57" s="72" t="e">
        <f ca="1">_xll.ohRangeRetrieveError(G57)</f>
        <v>#NUM!</v>
      </c>
    </row>
    <row r="58" spans="1:8" x14ac:dyDescent="0.2">
      <c r="A58" s="143"/>
      <c r="B58" s="142">
        <v>52</v>
      </c>
      <c r="C58" s="140" t="b">
        <v>0</v>
      </c>
      <c r="D58" s="140" t="str">
        <v>J8</v>
      </c>
      <c r="E58" s="250" t="str">
        <f t="shared" si="2"/>
        <v>GBPFUT3MJ8_Quote</v>
      </c>
      <c r="F58" s="251" t="str">
        <f t="shared" si="3"/>
        <v>GBPFUT3MJ8ConvAdj_Quote</v>
      </c>
      <c r="G58" s="250" t="e">
        <f>_xll.qlFuturesConvAdjustmentQuote($F58,IborIndex,$D58,$E58,Volatility,MeanReversion,Permanent,Trigger,ObjectOverwrite)</f>
        <v>#NUM!</v>
      </c>
      <c r="H58" s="72" t="e">
        <f ca="1">_xll.ohRangeRetrieveError(G58)</f>
        <v>#NUM!</v>
      </c>
    </row>
    <row r="59" spans="1:8" x14ac:dyDescent="0.2">
      <c r="A59" s="143"/>
      <c r="B59" s="142">
        <v>53</v>
      </c>
      <c r="C59" s="140" t="b">
        <v>0</v>
      </c>
      <c r="D59" s="140" t="str">
        <v>K8</v>
      </c>
      <c r="E59" s="250" t="str">
        <f t="shared" si="2"/>
        <v>GBPFUT3MK8_Quote</v>
      </c>
      <c r="F59" s="251" t="str">
        <f t="shared" si="3"/>
        <v>GBPFUT3MK8ConvAdj_Quote</v>
      </c>
      <c r="G59" s="250" t="e">
        <f>_xll.qlFuturesConvAdjustmentQuote($F59,IborIndex,$D59,$E59,Volatility,MeanReversion,Permanent,Trigger,ObjectOverwrite)</f>
        <v>#NUM!</v>
      </c>
      <c r="H59" s="72" t="e">
        <f ca="1">_xll.ohRangeRetrieveError(G59)</f>
        <v>#NUM!</v>
      </c>
    </row>
    <row r="60" spans="1:8" x14ac:dyDescent="0.2">
      <c r="A60" s="143"/>
      <c r="B60" s="142">
        <v>54</v>
      </c>
      <c r="C60" s="140" t="b">
        <v>0</v>
      </c>
      <c r="D60" s="140" t="str">
        <v>M8</v>
      </c>
      <c r="E60" s="250" t="str">
        <f t="shared" si="2"/>
        <v>GBPFUT3MM8_Quote</v>
      </c>
      <c r="F60" s="251" t="str">
        <f t="shared" si="3"/>
        <v>GBPFUT3MM8ConvAdj_Quote</v>
      </c>
      <c r="G60" s="250" t="e">
        <f>_xll.qlFuturesConvAdjustmentQuote($F60,IborIndex,$D60,$E60,Volatility,MeanReversion,Permanent,Trigger,ObjectOverwrite)</f>
        <v>#NUM!</v>
      </c>
      <c r="H60" s="72" t="e">
        <f ca="1">_xll.ohRangeRetrieveError(G60)</f>
        <v>#NUM!</v>
      </c>
    </row>
    <row r="61" spans="1:8" x14ac:dyDescent="0.2">
      <c r="A61" s="143"/>
      <c r="B61" s="142">
        <v>55</v>
      </c>
      <c r="C61" s="140" t="b">
        <v>0</v>
      </c>
      <c r="D61" s="140" t="str">
        <v>N8</v>
      </c>
      <c r="E61" s="250" t="str">
        <f t="shared" si="2"/>
        <v>GBPFUT3MN8_Quote</v>
      </c>
      <c r="F61" s="251" t="str">
        <f t="shared" si="3"/>
        <v>GBPFUT3MN8ConvAdj_Quote</v>
      </c>
      <c r="G61" s="250" t="e">
        <f>_xll.qlFuturesConvAdjustmentQuote($F61,IborIndex,$D61,$E61,Volatility,MeanReversion,Permanent,Trigger,ObjectOverwrite)</f>
        <v>#NUM!</v>
      </c>
      <c r="H61" s="72" t="e">
        <f ca="1">_xll.ohRangeRetrieveError(G61)</f>
        <v>#NUM!</v>
      </c>
    </row>
    <row r="62" spans="1:8" x14ac:dyDescent="0.2">
      <c r="A62" s="143"/>
      <c r="B62" s="142">
        <v>56</v>
      </c>
      <c r="C62" s="140" t="b">
        <v>0</v>
      </c>
      <c r="D62" s="140" t="str">
        <v>Q8</v>
      </c>
      <c r="E62" s="250" t="str">
        <f t="shared" si="2"/>
        <v>GBPFUT3MQ8_Quote</v>
      </c>
      <c r="F62" s="251" t="str">
        <f t="shared" si="3"/>
        <v>GBPFUT3MQ8ConvAdj_Quote</v>
      </c>
      <c r="G62" s="250" t="e">
        <f>_xll.qlFuturesConvAdjustmentQuote($F62,IborIndex,$D62,$E62,Volatility,MeanReversion,Permanent,Trigger,ObjectOverwrite)</f>
        <v>#NUM!</v>
      </c>
      <c r="H62" s="72" t="e">
        <f ca="1">_xll.ohRangeRetrieveError(G62)</f>
        <v>#NUM!</v>
      </c>
    </row>
    <row r="63" spans="1:8" x14ac:dyDescent="0.2">
      <c r="A63" s="143"/>
      <c r="B63" s="142">
        <v>57</v>
      </c>
      <c r="C63" s="140" t="b">
        <v>0</v>
      </c>
      <c r="D63" s="140" t="str">
        <v>U8</v>
      </c>
      <c r="E63" s="250" t="str">
        <f t="shared" si="2"/>
        <v>GBPFUT3MU8_Quote</v>
      </c>
      <c r="F63" s="251" t="str">
        <f t="shared" si="3"/>
        <v>GBPFUT3MU8ConvAdj_Quote</v>
      </c>
      <c r="G63" s="250" t="e">
        <f>_xll.qlFuturesConvAdjustmentQuote($F63,IborIndex,$D63,$E63,Volatility,MeanReversion,Permanent,Trigger,ObjectOverwrite)</f>
        <v>#NUM!</v>
      </c>
      <c r="H63" s="72" t="e">
        <f ca="1">_xll.ohRangeRetrieveError(G63)</f>
        <v>#NUM!</v>
      </c>
    </row>
    <row r="64" spans="1:8" x14ac:dyDescent="0.2">
      <c r="A64" s="143"/>
      <c r="B64" s="142">
        <v>58</v>
      </c>
      <c r="C64" s="140" t="b">
        <v>0</v>
      </c>
      <c r="D64" s="140" t="str">
        <v>V8</v>
      </c>
      <c r="E64" s="250" t="str">
        <f t="shared" si="2"/>
        <v>GBPFUT3MV8_Quote</v>
      </c>
      <c r="F64" s="251" t="str">
        <f t="shared" si="3"/>
        <v>GBPFUT3MV8ConvAdj_Quote</v>
      </c>
      <c r="G64" s="250" t="e">
        <f>_xll.qlFuturesConvAdjustmentQuote($F64,IborIndex,$D64,$E64,Volatility,MeanReversion,Permanent,Trigger,ObjectOverwrite)</f>
        <v>#NUM!</v>
      </c>
      <c r="H64" s="72" t="e">
        <f ca="1">_xll.ohRangeRetrieveError(G64)</f>
        <v>#NUM!</v>
      </c>
    </row>
    <row r="65" spans="1:8" x14ac:dyDescent="0.2">
      <c r="A65" s="143"/>
      <c r="B65" s="142">
        <v>59</v>
      </c>
      <c r="C65" s="140" t="b">
        <v>0</v>
      </c>
      <c r="D65" s="140" t="str">
        <v>X8</v>
      </c>
      <c r="E65" s="250" t="str">
        <f t="shared" si="2"/>
        <v>GBPFUT3MX8_Quote</v>
      </c>
      <c r="F65" s="251" t="str">
        <f t="shared" si="3"/>
        <v>GBPFUT3MX8ConvAdj_Quote</v>
      </c>
      <c r="G65" s="250" t="e">
        <f>_xll.qlFuturesConvAdjustmentQuote($F65,IborIndex,$D65,$E65,Volatility,MeanReversion,Permanent,Trigger,ObjectOverwrite)</f>
        <v>#NUM!</v>
      </c>
      <c r="H65" s="72" t="e">
        <f ca="1">_xll.ohRangeRetrieveError(G65)</f>
        <v>#NUM!</v>
      </c>
    </row>
    <row r="66" spans="1:8" x14ac:dyDescent="0.2">
      <c r="A66" s="143"/>
      <c r="B66" s="142">
        <v>60</v>
      </c>
      <c r="C66" s="140" t="b">
        <v>0</v>
      </c>
      <c r="D66" s="140" t="str">
        <v>Z8</v>
      </c>
      <c r="E66" s="250" t="str">
        <f t="shared" si="2"/>
        <v>GBPFUT3MZ8_Quote</v>
      </c>
      <c r="F66" s="251" t="str">
        <f t="shared" si="3"/>
        <v>GBPFUT3MZ8ConvAdj_Quote</v>
      </c>
      <c r="G66" s="250" t="e">
        <f>_xll.qlFuturesConvAdjustmentQuote($F66,IborIndex,$D66,$E66,Volatility,MeanReversion,Permanent,Trigger,ObjectOverwrite)</f>
        <v>#NUM!</v>
      </c>
      <c r="H66" s="72" t="e">
        <f ca="1">_xll.ohRangeRetrieveError(G66)</f>
        <v>#NUM!</v>
      </c>
    </row>
    <row r="67" spans="1:8" x14ac:dyDescent="0.2">
      <c r="A67" s="143"/>
      <c r="B67" s="142">
        <v>61</v>
      </c>
      <c r="C67" s="140" t="b">
        <v>0</v>
      </c>
      <c r="D67" s="140" t="str">
        <v>F9</v>
      </c>
      <c r="E67" s="250" t="str">
        <f t="shared" si="2"/>
        <v>GBPFUT3MF9_Quote</v>
      </c>
      <c r="F67" s="251" t="str">
        <f t="shared" si="3"/>
        <v>GBPFUT3MF9ConvAdj_Quote</v>
      </c>
      <c r="G67" s="250" t="e">
        <f>_xll.qlFuturesConvAdjustmentQuote($F67,IborIndex,$D67,$E67,Volatility,MeanReversion,Permanent,Trigger,ObjectOverwrite)</f>
        <v>#NUM!</v>
      </c>
      <c r="H67" s="72" t="e">
        <f ca="1">_xll.ohRangeRetrieveError(G67)</f>
        <v>#NUM!</v>
      </c>
    </row>
    <row r="68" spans="1:8" x14ac:dyDescent="0.2">
      <c r="A68" s="143"/>
      <c r="B68" s="142">
        <v>62</v>
      </c>
      <c r="C68" s="140" t="b">
        <v>0</v>
      </c>
      <c r="D68" s="140" t="str">
        <v>G9</v>
      </c>
      <c r="E68" s="250" t="str">
        <f t="shared" si="2"/>
        <v>GBPFUT3MG9_Quote</v>
      </c>
      <c r="F68" s="251" t="str">
        <f t="shared" si="3"/>
        <v>GBPFUT3MG9ConvAdj_Quote</v>
      </c>
      <c r="G68" s="250" t="e">
        <f>_xll.qlFuturesConvAdjustmentQuote($F68,IborIndex,$D68,$E68,Volatility,MeanReversion,Permanent,Trigger,ObjectOverwrite)</f>
        <v>#NUM!</v>
      </c>
      <c r="H68" s="72" t="e">
        <f ca="1">_xll.ohRangeRetrieveError(G68)</f>
        <v>#NUM!</v>
      </c>
    </row>
    <row r="69" spans="1:8" x14ac:dyDescent="0.2">
      <c r="A69" s="143"/>
      <c r="B69" s="142">
        <v>63</v>
      </c>
      <c r="C69" s="140" t="b">
        <v>0</v>
      </c>
      <c r="D69" s="140" t="str">
        <v>H9</v>
      </c>
      <c r="E69" s="250" t="str">
        <f t="shared" si="2"/>
        <v>GBPFUT3MH9_Quote</v>
      </c>
      <c r="F69" s="251" t="str">
        <f t="shared" si="3"/>
        <v>GBPFUT3MH9ConvAdj_Quote</v>
      </c>
      <c r="G69" s="250" t="e">
        <f>_xll.qlFuturesConvAdjustmentQuote($F69,IborIndex,$D69,$E69,Volatility,MeanReversion,Permanent,Trigger,ObjectOverwrite)</f>
        <v>#NUM!</v>
      </c>
      <c r="H69" s="72" t="e">
        <f ca="1">_xll.ohRangeRetrieveError(G69)</f>
        <v>#NUM!</v>
      </c>
    </row>
    <row r="70" spans="1:8" x14ac:dyDescent="0.2">
      <c r="A70" s="143"/>
      <c r="B70" s="142">
        <v>64</v>
      </c>
      <c r="C70" s="140" t="b">
        <v>0</v>
      </c>
      <c r="D70" s="140" t="str">
        <v>J9</v>
      </c>
      <c r="E70" s="250" t="str">
        <f t="shared" si="2"/>
        <v>GBPFUT3MJ9_Quote</v>
      </c>
      <c r="F70" s="251" t="str">
        <f t="shared" si="3"/>
        <v>GBPFUT3MJ9ConvAdj_Quote</v>
      </c>
      <c r="G70" s="250" t="e">
        <f>_xll.qlFuturesConvAdjustmentQuote($F70,IborIndex,$D70,$E70,Volatility,MeanReversion,Permanent,Trigger,ObjectOverwrite)</f>
        <v>#NUM!</v>
      </c>
      <c r="H70" s="72" t="e">
        <f ca="1">_xll.ohRangeRetrieveError(G70)</f>
        <v>#NUM!</v>
      </c>
    </row>
    <row r="71" spans="1:8" x14ac:dyDescent="0.2">
      <c r="A71" s="143"/>
      <c r="B71" s="142">
        <v>65</v>
      </c>
      <c r="C71" s="140" t="b">
        <v>0</v>
      </c>
      <c r="D71" s="140" t="str">
        <v>K9</v>
      </c>
      <c r="E71" s="250" t="str">
        <f t="shared" ref="E71:E102" si="4">Currency&amp;"FUT"&amp;$G$4&amp;$D71&amp;QuoteSuffix</f>
        <v>GBPFUT3MK9_Quote</v>
      </c>
      <c r="F71" s="251" t="str">
        <f t="shared" ref="F71:F102" si="5">Currency&amp;"FUT"&amp;$G$4&amp;$D71&amp;"ConvAdj"&amp;QuoteSuffix</f>
        <v>GBPFUT3MK9ConvAdj_Quote</v>
      </c>
      <c r="G71" s="250" t="e">
        <f>_xll.qlFuturesConvAdjustmentQuote($F71,IborIndex,$D71,$E71,Volatility,MeanReversion,Permanent,Trigger,ObjectOverwrite)</f>
        <v>#NUM!</v>
      </c>
      <c r="H71" s="72" t="e">
        <f ca="1">_xll.ohRangeRetrieveError(G71)</f>
        <v>#NUM!</v>
      </c>
    </row>
    <row r="72" spans="1:8" x14ac:dyDescent="0.2">
      <c r="A72" s="143"/>
      <c r="B72" s="142">
        <v>66</v>
      </c>
      <c r="C72" s="140" t="b">
        <v>0</v>
      </c>
      <c r="D72" s="140" t="str">
        <v>M9</v>
      </c>
      <c r="E72" s="250" t="str">
        <f t="shared" si="4"/>
        <v>GBPFUT3MM9_Quote</v>
      </c>
      <c r="F72" s="251" t="str">
        <f t="shared" si="5"/>
        <v>GBPFUT3MM9ConvAdj_Quote</v>
      </c>
      <c r="G72" s="250" t="e">
        <f>_xll.qlFuturesConvAdjustmentQuote($F72,IborIndex,$D72,$E72,Volatility,MeanReversion,Permanent,Trigger,ObjectOverwrite)</f>
        <v>#NUM!</v>
      </c>
      <c r="H72" s="72" t="e">
        <f ca="1">_xll.ohRangeRetrieveError(G72)</f>
        <v>#NUM!</v>
      </c>
    </row>
    <row r="73" spans="1:8" x14ac:dyDescent="0.2">
      <c r="A73" s="143"/>
      <c r="B73" s="142">
        <v>67</v>
      </c>
      <c r="C73" s="140" t="b">
        <v>0</v>
      </c>
      <c r="D73" s="140" t="str">
        <v>N9</v>
      </c>
      <c r="E73" s="250" t="str">
        <f t="shared" si="4"/>
        <v>GBPFUT3MN9_Quote</v>
      </c>
      <c r="F73" s="251" t="str">
        <f t="shared" si="5"/>
        <v>GBPFUT3MN9ConvAdj_Quote</v>
      </c>
      <c r="G73" s="250" t="e">
        <f>_xll.qlFuturesConvAdjustmentQuote($F73,IborIndex,$D73,$E73,Volatility,MeanReversion,Permanent,Trigger,ObjectOverwrite)</f>
        <v>#NUM!</v>
      </c>
      <c r="H73" s="72" t="e">
        <f ca="1">_xll.ohRangeRetrieveError(G73)</f>
        <v>#NUM!</v>
      </c>
    </row>
    <row r="74" spans="1:8" x14ac:dyDescent="0.2">
      <c r="A74" s="143"/>
      <c r="B74" s="142">
        <v>68</v>
      </c>
      <c r="C74" s="140" t="b">
        <v>0</v>
      </c>
      <c r="D74" s="140" t="str">
        <v>Q9</v>
      </c>
      <c r="E74" s="250" t="str">
        <f t="shared" si="4"/>
        <v>GBPFUT3MQ9_Quote</v>
      </c>
      <c r="F74" s="251" t="str">
        <f t="shared" si="5"/>
        <v>GBPFUT3MQ9ConvAdj_Quote</v>
      </c>
      <c r="G74" s="250" t="e">
        <f>_xll.qlFuturesConvAdjustmentQuote($F74,IborIndex,$D74,$E74,Volatility,MeanReversion,Permanent,Trigger,ObjectOverwrite)</f>
        <v>#NUM!</v>
      </c>
      <c r="H74" s="72" t="e">
        <f ca="1">_xll.ohRangeRetrieveError(G74)</f>
        <v>#NUM!</v>
      </c>
    </row>
    <row r="75" spans="1:8" x14ac:dyDescent="0.2">
      <c r="A75" s="143"/>
      <c r="B75" s="142">
        <v>69</v>
      </c>
      <c r="C75" s="140" t="b">
        <v>0</v>
      </c>
      <c r="D75" s="140" t="str">
        <v>U9</v>
      </c>
      <c r="E75" s="250" t="str">
        <f t="shared" si="4"/>
        <v>GBPFUT3MU9_Quote</v>
      </c>
      <c r="F75" s="251" t="str">
        <f t="shared" si="5"/>
        <v>GBPFUT3MU9ConvAdj_Quote</v>
      </c>
      <c r="G75" s="250" t="e">
        <f>_xll.qlFuturesConvAdjustmentQuote($F75,IborIndex,$D75,$E75,Volatility,MeanReversion,Permanent,Trigger,ObjectOverwrite)</f>
        <v>#NUM!</v>
      </c>
      <c r="H75" s="72" t="e">
        <f ca="1">_xll.ohRangeRetrieveError(G75)</f>
        <v>#NUM!</v>
      </c>
    </row>
    <row r="76" spans="1:8" x14ac:dyDescent="0.2">
      <c r="A76" s="143"/>
      <c r="B76" s="142">
        <v>70</v>
      </c>
      <c r="C76" s="140" t="b">
        <v>0</v>
      </c>
      <c r="D76" s="140" t="str">
        <v>V9</v>
      </c>
      <c r="E76" s="250" t="str">
        <f t="shared" si="4"/>
        <v>GBPFUT3MV9_Quote</v>
      </c>
      <c r="F76" s="251" t="str">
        <f t="shared" si="5"/>
        <v>GBPFUT3MV9ConvAdj_Quote</v>
      </c>
      <c r="G76" s="250" t="e">
        <f>_xll.qlFuturesConvAdjustmentQuote($F76,IborIndex,$D76,$E76,Volatility,MeanReversion,Permanent,Trigger,ObjectOverwrite)</f>
        <v>#NUM!</v>
      </c>
      <c r="H76" s="72" t="e">
        <f ca="1">_xll.ohRangeRetrieveError(G76)</f>
        <v>#NUM!</v>
      </c>
    </row>
    <row r="77" spans="1:8" x14ac:dyDescent="0.2">
      <c r="A77" s="143"/>
      <c r="B77" s="142">
        <v>71</v>
      </c>
      <c r="C77" s="140" t="b">
        <v>0</v>
      </c>
      <c r="D77" s="140" t="str">
        <v>X9</v>
      </c>
      <c r="E77" s="250" t="str">
        <f t="shared" si="4"/>
        <v>GBPFUT3MX9_Quote</v>
      </c>
      <c r="F77" s="251" t="str">
        <f t="shared" si="5"/>
        <v>GBPFUT3MX9ConvAdj_Quote</v>
      </c>
      <c r="G77" s="250" t="e">
        <f>_xll.qlFuturesConvAdjustmentQuote($F77,IborIndex,$D77,$E77,Volatility,MeanReversion,Permanent,Trigger,ObjectOverwrite)</f>
        <v>#NUM!</v>
      </c>
      <c r="H77" s="72" t="e">
        <f ca="1">_xll.ohRangeRetrieveError(G77)</f>
        <v>#NUM!</v>
      </c>
    </row>
    <row r="78" spans="1:8" x14ac:dyDescent="0.2">
      <c r="A78" s="143"/>
      <c r="B78" s="142">
        <v>72</v>
      </c>
      <c r="C78" s="140" t="b">
        <v>0</v>
      </c>
      <c r="D78" s="140" t="str">
        <v>Z9</v>
      </c>
      <c r="E78" s="250" t="str">
        <f t="shared" si="4"/>
        <v>GBPFUT3MZ9_Quote</v>
      </c>
      <c r="F78" s="251" t="str">
        <f t="shared" si="5"/>
        <v>GBPFUT3MZ9ConvAdj_Quote</v>
      </c>
      <c r="G78" s="250" t="e">
        <f>_xll.qlFuturesConvAdjustmentQuote($F78,IborIndex,$D78,$E78,Volatility,MeanReversion,Permanent,Trigger,ObjectOverwrite)</f>
        <v>#NUM!</v>
      </c>
      <c r="H78" s="72" t="e">
        <f ca="1">_xll.ohRangeRetrieveError(G78)</f>
        <v>#NUM!</v>
      </c>
    </row>
    <row r="79" spans="1:8" x14ac:dyDescent="0.2">
      <c r="A79" s="143"/>
      <c r="B79" s="142">
        <v>73</v>
      </c>
      <c r="C79" s="140" t="b">
        <v>0</v>
      </c>
      <c r="D79" s="140" t="str">
        <v>F0</v>
      </c>
      <c r="E79" s="250" t="str">
        <f t="shared" si="4"/>
        <v>GBPFUT3MF0_Quote</v>
      </c>
      <c r="F79" s="251" t="str">
        <f t="shared" si="5"/>
        <v>GBPFUT3MF0ConvAdj_Quote</v>
      </c>
      <c r="G79" s="250" t="e">
        <f>_xll.qlFuturesConvAdjustmentQuote($F79,IborIndex,$D79,$E79,Volatility,MeanReversion,Permanent,Trigger,ObjectOverwrite)</f>
        <v>#NUM!</v>
      </c>
      <c r="H79" s="72" t="e">
        <f ca="1">_xll.ohRangeRetrieveError(G79)</f>
        <v>#NUM!</v>
      </c>
    </row>
    <row r="80" spans="1:8" x14ac:dyDescent="0.2">
      <c r="A80" s="143"/>
      <c r="B80" s="142">
        <v>74</v>
      </c>
      <c r="C80" s="140" t="b">
        <v>0</v>
      </c>
      <c r="D80" s="140" t="str">
        <v>G0</v>
      </c>
      <c r="E80" s="250" t="str">
        <f t="shared" si="4"/>
        <v>GBPFUT3MG0_Quote</v>
      </c>
      <c r="F80" s="251" t="str">
        <f t="shared" si="5"/>
        <v>GBPFUT3MG0ConvAdj_Quote</v>
      </c>
      <c r="G80" s="250" t="e">
        <f>_xll.qlFuturesConvAdjustmentQuote($F80,IborIndex,$D80,$E80,Volatility,MeanReversion,Permanent,Trigger,ObjectOverwrite)</f>
        <v>#NUM!</v>
      </c>
      <c r="H80" s="72" t="e">
        <f ca="1">_xll.ohRangeRetrieveError(G80)</f>
        <v>#NUM!</v>
      </c>
    </row>
    <row r="81" spans="1:8" x14ac:dyDescent="0.2">
      <c r="A81" s="143"/>
      <c r="B81" s="142">
        <v>75</v>
      </c>
      <c r="C81" s="140" t="b">
        <v>0</v>
      </c>
      <c r="D81" s="140" t="str">
        <v>H0</v>
      </c>
      <c r="E81" s="250" t="str">
        <f t="shared" si="4"/>
        <v>GBPFUT3MH0_Quote</v>
      </c>
      <c r="F81" s="251" t="str">
        <f t="shared" si="5"/>
        <v>GBPFUT3MH0ConvAdj_Quote</v>
      </c>
      <c r="G81" s="250" t="e">
        <f>_xll.qlFuturesConvAdjustmentQuote($F81,IborIndex,$D81,$E81,Volatility,MeanReversion,Permanent,Trigger,ObjectOverwrite)</f>
        <v>#NUM!</v>
      </c>
      <c r="H81" s="72" t="e">
        <f ca="1">_xll.ohRangeRetrieveError(G81)</f>
        <v>#NUM!</v>
      </c>
    </row>
    <row r="82" spans="1:8" x14ac:dyDescent="0.2">
      <c r="A82" s="143"/>
      <c r="B82" s="142">
        <v>76</v>
      </c>
      <c r="C82" s="140" t="b">
        <v>0</v>
      </c>
      <c r="D82" s="140" t="str">
        <v>J0</v>
      </c>
      <c r="E82" s="250" t="str">
        <f t="shared" si="4"/>
        <v>GBPFUT3MJ0_Quote</v>
      </c>
      <c r="F82" s="251" t="str">
        <f t="shared" si="5"/>
        <v>GBPFUT3MJ0ConvAdj_Quote</v>
      </c>
      <c r="G82" s="250" t="e">
        <f>_xll.qlFuturesConvAdjustmentQuote($F82,IborIndex,$D82,$E82,Volatility,MeanReversion,Permanent,Trigger,ObjectOverwrite)</f>
        <v>#NUM!</v>
      </c>
      <c r="H82" s="72" t="e">
        <f ca="1">_xll.ohRangeRetrieveError(G82)</f>
        <v>#NUM!</v>
      </c>
    </row>
    <row r="83" spans="1:8" x14ac:dyDescent="0.2">
      <c r="A83" s="143"/>
      <c r="B83" s="142">
        <v>77</v>
      </c>
      <c r="C83" s="140" t="b">
        <v>0</v>
      </c>
      <c r="D83" s="140" t="str">
        <v>K0</v>
      </c>
      <c r="E83" s="250" t="str">
        <f t="shared" si="4"/>
        <v>GBPFUT3MK0_Quote</v>
      </c>
      <c r="F83" s="251" t="str">
        <f t="shared" si="5"/>
        <v>GBPFUT3MK0ConvAdj_Quote</v>
      </c>
      <c r="G83" s="250" t="e">
        <f>_xll.qlFuturesConvAdjustmentQuote($F83,IborIndex,$D83,$E83,Volatility,MeanReversion,Permanent,Trigger,ObjectOverwrite)</f>
        <v>#NUM!</v>
      </c>
      <c r="H83" s="72" t="e">
        <f ca="1">_xll.ohRangeRetrieveError(G83)</f>
        <v>#NUM!</v>
      </c>
    </row>
    <row r="84" spans="1:8" x14ac:dyDescent="0.2">
      <c r="A84" s="143"/>
      <c r="B84" s="142">
        <v>78</v>
      </c>
      <c r="C84" s="140" t="b">
        <v>0</v>
      </c>
      <c r="D84" s="140" t="str">
        <v>M0</v>
      </c>
      <c r="E84" s="250" t="str">
        <f t="shared" si="4"/>
        <v>GBPFUT3MM0_Quote</v>
      </c>
      <c r="F84" s="251" t="str">
        <f t="shared" si="5"/>
        <v>GBPFUT3MM0ConvAdj_Quote</v>
      </c>
      <c r="G84" s="250" t="e">
        <f>_xll.qlFuturesConvAdjustmentQuote($F84,IborIndex,$D84,$E84,Volatility,MeanReversion,Permanent,Trigger,ObjectOverwrite)</f>
        <v>#NUM!</v>
      </c>
      <c r="H84" s="72" t="e">
        <f ca="1">_xll.ohRangeRetrieveError(G84)</f>
        <v>#NUM!</v>
      </c>
    </row>
    <row r="85" spans="1:8" x14ac:dyDescent="0.2">
      <c r="A85" s="143"/>
      <c r="B85" s="142">
        <v>79</v>
      </c>
      <c r="C85" s="140" t="b">
        <v>0</v>
      </c>
      <c r="D85" s="140" t="str">
        <v>N0</v>
      </c>
      <c r="E85" s="250" t="str">
        <f t="shared" si="4"/>
        <v>GBPFUT3MN0_Quote</v>
      </c>
      <c r="F85" s="251" t="str">
        <f t="shared" si="5"/>
        <v>GBPFUT3MN0ConvAdj_Quote</v>
      </c>
      <c r="G85" s="250" t="e">
        <f>_xll.qlFuturesConvAdjustmentQuote($F85,IborIndex,$D85,$E85,Volatility,MeanReversion,Permanent,Trigger,ObjectOverwrite)</f>
        <v>#NUM!</v>
      </c>
      <c r="H85" s="72" t="e">
        <f ca="1">_xll.ohRangeRetrieveError(G85)</f>
        <v>#NUM!</v>
      </c>
    </row>
    <row r="86" spans="1:8" x14ac:dyDescent="0.2">
      <c r="A86" s="143"/>
      <c r="B86" s="142">
        <v>80</v>
      </c>
      <c r="C86" s="140" t="b">
        <v>0</v>
      </c>
      <c r="D86" s="140" t="str">
        <v>Q0</v>
      </c>
      <c r="E86" s="250" t="str">
        <f t="shared" si="4"/>
        <v>GBPFUT3MQ0_Quote</v>
      </c>
      <c r="F86" s="251" t="str">
        <f t="shared" si="5"/>
        <v>GBPFUT3MQ0ConvAdj_Quote</v>
      </c>
      <c r="G86" s="250" t="e">
        <f>_xll.qlFuturesConvAdjustmentQuote($F86,IborIndex,$D86,$E86,Volatility,MeanReversion,Permanent,Trigger,ObjectOverwrite)</f>
        <v>#NUM!</v>
      </c>
      <c r="H86" s="72" t="e">
        <f ca="1">_xll.ohRangeRetrieveError(G86)</f>
        <v>#NUM!</v>
      </c>
    </row>
    <row r="87" spans="1:8" x14ac:dyDescent="0.2">
      <c r="A87" s="143"/>
      <c r="B87" s="142">
        <v>81</v>
      </c>
      <c r="C87" s="140" t="b">
        <v>0</v>
      </c>
      <c r="D87" s="140" t="str">
        <v>U0</v>
      </c>
      <c r="E87" s="250" t="str">
        <f t="shared" si="4"/>
        <v>GBPFUT3MU0_Quote</v>
      </c>
      <c r="F87" s="251" t="str">
        <f t="shared" si="5"/>
        <v>GBPFUT3MU0ConvAdj_Quote</v>
      </c>
      <c r="G87" s="250" t="e">
        <f>_xll.qlFuturesConvAdjustmentQuote($F87,IborIndex,$D87,$E87,Volatility,MeanReversion,Permanent,Trigger,ObjectOverwrite)</f>
        <v>#NUM!</v>
      </c>
      <c r="H87" s="72" t="e">
        <f ca="1">_xll.ohRangeRetrieveError(G87)</f>
        <v>#NUM!</v>
      </c>
    </row>
    <row r="88" spans="1:8" x14ac:dyDescent="0.2">
      <c r="A88" s="143"/>
      <c r="B88" s="142">
        <v>82</v>
      </c>
      <c r="C88" s="140" t="b">
        <v>0</v>
      </c>
      <c r="D88" s="140" t="str">
        <v>V0</v>
      </c>
      <c r="E88" s="250" t="str">
        <f t="shared" si="4"/>
        <v>GBPFUT3MV0_Quote</v>
      </c>
      <c r="F88" s="251" t="str">
        <f t="shared" si="5"/>
        <v>GBPFUT3MV0ConvAdj_Quote</v>
      </c>
      <c r="G88" s="250" t="e">
        <f>_xll.qlFuturesConvAdjustmentQuote($F88,IborIndex,$D88,$E88,Volatility,MeanReversion,Permanent,Trigger,ObjectOverwrite)</f>
        <v>#NUM!</v>
      </c>
      <c r="H88" s="72" t="e">
        <f ca="1">_xll.ohRangeRetrieveError(G88)</f>
        <v>#NUM!</v>
      </c>
    </row>
    <row r="89" spans="1:8" x14ac:dyDescent="0.2">
      <c r="A89" s="143"/>
      <c r="B89" s="142">
        <v>83</v>
      </c>
      <c r="C89" s="140" t="b">
        <v>0</v>
      </c>
      <c r="D89" s="140" t="str">
        <v>X0</v>
      </c>
      <c r="E89" s="250" t="str">
        <f t="shared" si="4"/>
        <v>GBPFUT3MX0_Quote</v>
      </c>
      <c r="F89" s="251" t="str">
        <f t="shared" si="5"/>
        <v>GBPFUT3MX0ConvAdj_Quote</v>
      </c>
      <c r="G89" s="250" t="e">
        <f>_xll.qlFuturesConvAdjustmentQuote($F89,IborIndex,$D89,$E89,Volatility,MeanReversion,Permanent,Trigger,ObjectOverwrite)</f>
        <v>#NUM!</v>
      </c>
      <c r="H89" s="72" t="e">
        <f ca="1">_xll.ohRangeRetrieveError(G89)</f>
        <v>#NUM!</v>
      </c>
    </row>
    <row r="90" spans="1:8" x14ac:dyDescent="0.2">
      <c r="A90" s="143"/>
      <c r="B90" s="142">
        <v>84</v>
      </c>
      <c r="C90" s="140" t="b">
        <v>0</v>
      </c>
      <c r="D90" s="140" t="str">
        <v>Z0</v>
      </c>
      <c r="E90" s="250" t="str">
        <f t="shared" si="4"/>
        <v>GBPFUT3MZ0_Quote</v>
      </c>
      <c r="F90" s="251" t="str">
        <f t="shared" si="5"/>
        <v>GBPFUT3MZ0ConvAdj_Quote</v>
      </c>
      <c r="G90" s="250" t="e">
        <f>_xll.qlFuturesConvAdjustmentQuote($F90,IborIndex,$D90,$E90,Volatility,MeanReversion,Permanent,Trigger,ObjectOverwrite)</f>
        <v>#NUM!</v>
      </c>
      <c r="H90" s="72" t="e">
        <f ca="1">_xll.ohRangeRetrieveError(G90)</f>
        <v>#NUM!</v>
      </c>
    </row>
    <row r="91" spans="1:8" x14ac:dyDescent="0.2">
      <c r="A91" s="143"/>
      <c r="B91" s="142">
        <v>85</v>
      </c>
      <c r="C91" s="140" t="b">
        <v>0</v>
      </c>
      <c r="D91" s="140" t="str">
        <v>F1</v>
      </c>
      <c r="E91" s="250" t="str">
        <f t="shared" si="4"/>
        <v>GBPFUT3MF1_Quote</v>
      </c>
      <c r="F91" s="251" t="str">
        <f t="shared" si="5"/>
        <v>GBPFUT3MF1ConvAdj_Quote</v>
      </c>
      <c r="G91" s="250" t="e">
        <f>_xll.qlFuturesConvAdjustmentQuote($F91,IborIndex,$D91,$E91,Volatility,MeanReversion,Permanent,Trigger,ObjectOverwrite)</f>
        <v>#NUM!</v>
      </c>
      <c r="H91" s="72" t="e">
        <f ca="1">_xll.ohRangeRetrieveError(G91)</f>
        <v>#NUM!</v>
      </c>
    </row>
    <row r="92" spans="1:8" x14ac:dyDescent="0.2">
      <c r="A92" s="143"/>
      <c r="B92" s="142">
        <v>86</v>
      </c>
      <c r="C92" s="140" t="b">
        <v>0</v>
      </c>
      <c r="D92" s="140" t="str">
        <v>G1</v>
      </c>
      <c r="E92" s="250" t="str">
        <f t="shared" si="4"/>
        <v>GBPFUT3MG1_Quote</v>
      </c>
      <c r="F92" s="251" t="str">
        <f t="shared" si="5"/>
        <v>GBPFUT3MG1ConvAdj_Quote</v>
      </c>
      <c r="G92" s="250" t="e">
        <f>_xll.qlFuturesConvAdjustmentQuote($F92,IborIndex,$D92,$E92,Volatility,MeanReversion,Permanent,Trigger,ObjectOverwrite)</f>
        <v>#NUM!</v>
      </c>
      <c r="H92" s="72" t="e">
        <f ca="1">_xll.ohRangeRetrieveError(G92)</f>
        <v>#NUM!</v>
      </c>
    </row>
    <row r="93" spans="1:8" x14ac:dyDescent="0.2">
      <c r="A93" s="143"/>
      <c r="B93" s="142">
        <v>87</v>
      </c>
      <c r="C93" s="140" t="b">
        <v>0</v>
      </c>
      <c r="D93" s="140" t="str">
        <v>H1</v>
      </c>
      <c r="E93" s="250" t="str">
        <f t="shared" si="4"/>
        <v>GBPFUT3MH1_Quote</v>
      </c>
      <c r="F93" s="251" t="str">
        <f t="shared" si="5"/>
        <v>GBPFUT3MH1ConvAdj_Quote</v>
      </c>
      <c r="G93" s="250" t="e">
        <f>_xll.qlFuturesConvAdjustmentQuote($F93,IborIndex,$D93,$E93,Volatility,MeanReversion,Permanent,Trigger,ObjectOverwrite)</f>
        <v>#NUM!</v>
      </c>
      <c r="H93" s="72" t="e">
        <f ca="1">_xll.ohRangeRetrieveError(G93)</f>
        <v>#NUM!</v>
      </c>
    </row>
    <row r="94" spans="1:8" x14ac:dyDescent="0.2">
      <c r="A94" s="143"/>
      <c r="B94" s="142">
        <v>88</v>
      </c>
      <c r="C94" s="140" t="b">
        <v>0</v>
      </c>
      <c r="D94" s="140" t="str">
        <v>J1</v>
      </c>
      <c r="E94" s="250" t="str">
        <f t="shared" si="4"/>
        <v>GBPFUT3MJ1_Quote</v>
      </c>
      <c r="F94" s="251" t="str">
        <f t="shared" si="5"/>
        <v>GBPFUT3MJ1ConvAdj_Quote</v>
      </c>
      <c r="G94" s="250" t="e">
        <f>_xll.qlFuturesConvAdjustmentQuote($F94,IborIndex,$D94,$E94,Volatility,MeanReversion,Permanent,Trigger,ObjectOverwrite)</f>
        <v>#NUM!</v>
      </c>
      <c r="H94" s="72" t="e">
        <f ca="1">_xll.ohRangeRetrieveError(G94)</f>
        <v>#NUM!</v>
      </c>
    </row>
    <row r="95" spans="1:8" x14ac:dyDescent="0.2">
      <c r="A95" s="143"/>
      <c r="B95" s="142">
        <v>89</v>
      </c>
      <c r="C95" s="140" t="b">
        <v>0</v>
      </c>
      <c r="D95" s="140" t="str">
        <v>K1</v>
      </c>
      <c r="E95" s="250" t="str">
        <f t="shared" si="4"/>
        <v>GBPFUT3MK1_Quote</v>
      </c>
      <c r="F95" s="251" t="str">
        <f t="shared" si="5"/>
        <v>GBPFUT3MK1ConvAdj_Quote</v>
      </c>
      <c r="G95" s="250" t="e">
        <f>_xll.qlFuturesConvAdjustmentQuote($F95,IborIndex,$D95,$E95,Volatility,MeanReversion,Permanent,Trigger,ObjectOverwrite)</f>
        <v>#NUM!</v>
      </c>
      <c r="H95" s="72" t="e">
        <f ca="1">_xll.ohRangeRetrieveError(G95)</f>
        <v>#NUM!</v>
      </c>
    </row>
    <row r="96" spans="1:8" x14ac:dyDescent="0.2">
      <c r="A96" s="143"/>
      <c r="B96" s="142">
        <v>90</v>
      </c>
      <c r="C96" s="140" t="b">
        <v>0</v>
      </c>
      <c r="D96" s="140" t="str">
        <v>M1</v>
      </c>
      <c r="E96" s="250" t="str">
        <f t="shared" si="4"/>
        <v>GBPFUT3MM1_Quote</v>
      </c>
      <c r="F96" s="251" t="str">
        <f t="shared" si="5"/>
        <v>GBPFUT3MM1ConvAdj_Quote</v>
      </c>
      <c r="G96" s="250" t="e">
        <f>_xll.qlFuturesConvAdjustmentQuote($F96,IborIndex,$D96,$E96,Volatility,MeanReversion,Permanent,Trigger,ObjectOverwrite)</f>
        <v>#NUM!</v>
      </c>
      <c r="H96" s="72" t="e">
        <f ca="1">_xll.ohRangeRetrieveError(G96)</f>
        <v>#NUM!</v>
      </c>
    </row>
    <row r="97" spans="1:8" x14ac:dyDescent="0.2">
      <c r="A97" s="143"/>
      <c r="B97" s="142">
        <v>91</v>
      </c>
      <c r="C97" s="140" t="b">
        <v>0</v>
      </c>
      <c r="D97" s="140" t="str">
        <v>N1</v>
      </c>
      <c r="E97" s="250" t="str">
        <f t="shared" si="4"/>
        <v>GBPFUT3MN1_Quote</v>
      </c>
      <c r="F97" s="251" t="str">
        <f t="shared" si="5"/>
        <v>GBPFUT3MN1ConvAdj_Quote</v>
      </c>
      <c r="G97" s="250" t="e">
        <f>_xll.qlFuturesConvAdjustmentQuote($F97,IborIndex,$D97,$E97,Volatility,MeanReversion,Permanent,Trigger,ObjectOverwrite)</f>
        <v>#NUM!</v>
      </c>
      <c r="H97" s="72" t="e">
        <f ca="1">_xll.ohRangeRetrieveError(G97)</f>
        <v>#NUM!</v>
      </c>
    </row>
    <row r="98" spans="1:8" x14ac:dyDescent="0.2">
      <c r="A98" s="143"/>
      <c r="B98" s="142">
        <v>92</v>
      </c>
      <c r="C98" s="140" t="b">
        <v>0</v>
      </c>
      <c r="D98" s="140" t="str">
        <v>Q1</v>
      </c>
      <c r="E98" s="250" t="str">
        <f t="shared" si="4"/>
        <v>GBPFUT3MQ1_Quote</v>
      </c>
      <c r="F98" s="251" t="str">
        <f t="shared" si="5"/>
        <v>GBPFUT3MQ1ConvAdj_Quote</v>
      </c>
      <c r="G98" s="250" t="e">
        <f>_xll.qlFuturesConvAdjustmentQuote($F98,IborIndex,$D98,$E98,Volatility,MeanReversion,Permanent,Trigger,ObjectOverwrite)</f>
        <v>#NUM!</v>
      </c>
      <c r="H98" s="72" t="e">
        <f ca="1">_xll.ohRangeRetrieveError(G98)</f>
        <v>#NUM!</v>
      </c>
    </row>
    <row r="99" spans="1:8" x14ac:dyDescent="0.2">
      <c r="A99" s="143"/>
      <c r="B99" s="142">
        <v>93</v>
      </c>
      <c r="C99" s="140" t="b">
        <v>0</v>
      </c>
      <c r="D99" s="140" t="str">
        <v>U1</v>
      </c>
      <c r="E99" s="250" t="str">
        <f t="shared" si="4"/>
        <v>GBPFUT3MU1_Quote</v>
      </c>
      <c r="F99" s="251" t="str">
        <f t="shared" si="5"/>
        <v>GBPFUT3MU1ConvAdj_Quote</v>
      </c>
      <c r="G99" s="250" t="e">
        <f>_xll.qlFuturesConvAdjustmentQuote($F99,IborIndex,$D99,$E99,Volatility,MeanReversion,Permanent,Trigger,ObjectOverwrite)</f>
        <v>#NUM!</v>
      </c>
      <c r="H99" s="72" t="e">
        <f ca="1">_xll.ohRangeRetrieveError(G99)</f>
        <v>#NUM!</v>
      </c>
    </row>
    <row r="100" spans="1:8" x14ac:dyDescent="0.2">
      <c r="A100" s="143"/>
      <c r="B100" s="142">
        <v>94</v>
      </c>
      <c r="C100" s="140" t="b">
        <v>0</v>
      </c>
      <c r="D100" s="140" t="str">
        <v>V1</v>
      </c>
      <c r="E100" s="250" t="str">
        <f t="shared" si="4"/>
        <v>GBPFUT3MV1_Quote</v>
      </c>
      <c r="F100" s="251" t="str">
        <f t="shared" si="5"/>
        <v>GBPFUT3MV1ConvAdj_Quote</v>
      </c>
      <c r="G100" s="250" t="e">
        <f>_xll.qlFuturesConvAdjustmentQuote($F100,IborIndex,$D100,$E100,Volatility,MeanReversion,Permanent,Trigger,ObjectOverwrite)</f>
        <v>#NUM!</v>
      </c>
      <c r="H100" s="72" t="e">
        <f ca="1">_xll.ohRangeRetrieveError(G100)</f>
        <v>#NUM!</v>
      </c>
    </row>
    <row r="101" spans="1:8" x14ac:dyDescent="0.2">
      <c r="A101" s="143"/>
      <c r="B101" s="142">
        <v>95</v>
      </c>
      <c r="C101" s="140" t="b">
        <v>0</v>
      </c>
      <c r="D101" s="140" t="str">
        <v>X1</v>
      </c>
      <c r="E101" s="250" t="str">
        <f t="shared" si="4"/>
        <v>GBPFUT3MX1_Quote</v>
      </c>
      <c r="F101" s="251" t="str">
        <f t="shared" si="5"/>
        <v>GBPFUT3MX1ConvAdj_Quote</v>
      </c>
      <c r="G101" s="250" t="e">
        <f>_xll.qlFuturesConvAdjustmentQuote($F101,IborIndex,$D101,$E101,Volatility,MeanReversion,Permanent,Trigger,ObjectOverwrite)</f>
        <v>#NUM!</v>
      </c>
      <c r="H101" s="72" t="e">
        <f ca="1">_xll.ohRangeRetrieveError(G101)</f>
        <v>#NUM!</v>
      </c>
    </row>
    <row r="102" spans="1:8" x14ac:dyDescent="0.2">
      <c r="A102" s="143"/>
      <c r="B102" s="142">
        <v>96</v>
      </c>
      <c r="C102" s="140" t="b">
        <v>0</v>
      </c>
      <c r="D102" s="140" t="str">
        <v>Z1</v>
      </c>
      <c r="E102" s="250" t="str">
        <f t="shared" si="4"/>
        <v>GBPFUT3MZ1_Quote</v>
      </c>
      <c r="F102" s="251" t="str">
        <f t="shared" si="5"/>
        <v>GBPFUT3MZ1ConvAdj_Quote</v>
      </c>
      <c r="G102" s="250" t="e">
        <f>_xll.qlFuturesConvAdjustmentQuote($F102,IborIndex,$D102,$E102,Volatility,MeanReversion,Permanent,Trigger,ObjectOverwrite)</f>
        <v>#NUM!</v>
      </c>
      <c r="H102" s="72" t="e">
        <f ca="1">_xll.ohRangeRetrieveError(G102)</f>
        <v>#NUM!</v>
      </c>
    </row>
    <row r="103" spans="1:8" x14ac:dyDescent="0.2">
      <c r="A103" s="143"/>
      <c r="B103" s="142">
        <v>97</v>
      </c>
      <c r="C103" s="140" t="b">
        <v>0</v>
      </c>
      <c r="D103" s="140" t="str">
        <v>F2</v>
      </c>
      <c r="E103" s="250" t="str">
        <f t="shared" ref="E103:E126" si="6">Currency&amp;"FUT"&amp;$G$4&amp;$D103&amp;QuoteSuffix</f>
        <v>GBPFUT3MF2_Quote</v>
      </c>
      <c r="F103" s="251" t="str">
        <f t="shared" ref="F103:F126" si="7">Currency&amp;"FUT"&amp;$G$4&amp;$D103&amp;"ConvAdj"&amp;QuoteSuffix</f>
        <v>GBPFUT3MF2ConvAdj_Quote</v>
      </c>
      <c r="G103" s="250" t="e">
        <f>_xll.qlFuturesConvAdjustmentQuote($F103,IborIndex,$D103,$E103,Volatility,MeanReversion,Permanent,Trigger,ObjectOverwrite)</f>
        <v>#NUM!</v>
      </c>
      <c r="H103" s="72" t="e">
        <f ca="1">_xll.ohRangeRetrieveError(G103)</f>
        <v>#NUM!</v>
      </c>
    </row>
    <row r="104" spans="1:8" x14ac:dyDescent="0.2">
      <c r="A104" s="143"/>
      <c r="B104" s="142">
        <v>98</v>
      </c>
      <c r="C104" s="140" t="b">
        <v>0</v>
      </c>
      <c r="D104" s="140" t="str">
        <v>G2</v>
      </c>
      <c r="E104" s="250" t="str">
        <f t="shared" si="6"/>
        <v>GBPFUT3MG2_Quote</v>
      </c>
      <c r="F104" s="251" t="str">
        <f t="shared" si="7"/>
        <v>GBPFUT3MG2ConvAdj_Quote</v>
      </c>
      <c r="G104" s="250" t="e">
        <f>_xll.qlFuturesConvAdjustmentQuote($F104,IborIndex,$D104,$E104,Volatility,MeanReversion,Permanent,Trigger,ObjectOverwrite)</f>
        <v>#NUM!</v>
      </c>
      <c r="H104" s="72" t="e">
        <f ca="1">_xll.ohRangeRetrieveError(G104)</f>
        <v>#NUM!</v>
      </c>
    </row>
    <row r="105" spans="1:8" x14ac:dyDescent="0.2">
      <c r="A105" s="143"/>
      <c r="B105" s="142">
        <v>99</v>
      </c>
      <c r="C105" s="140" t="b">
        <v>0</v>
      </c>
      <c r="D105" s="140" t="str">
        <v>H2</v>
      </c>
      <c r="E105" s="250" t="str">
        <f t="shared" si="6"/>
        <v>GBPFUT3MH2_Quote</v>
      </c>
      <c r="F105" s="251" t="str">
        <f t="shared" si="7"/>
        <v>GBPFUT3MH2ConvAdj_Quote</v>
      </c>
      <c r="G105" s="250" t="e">
        <f>_xll.qlFuturesConvAdjustmentQuote($F105,IborIndex,$D105,$E105,Volatility,MeanReversion,Permanent,Trigger,ObjectOverwrite)</f>
        <v>#NUM!</v>
      </c>
      <c r="H105" s="72" t="e">
        <f ca="1">_xll.ohRangeRetrieveError(G105)</f>
        <v>#NUM!</v>
      </c>
    </row>
    <row r="106" spans="1:8" x14ac:dyDescent="0.2">
      <c r="A106" s="143"/>
      <c r="B106" s="142">
        <v>100</v>
      </c>
      <c r="C106" s="140" t="b">
        <v>0</v>
      </c>
      <c r="D106" s="140" t="str">
        <v>J2</v>
      </c>
      <c r="E106" s="250" t="str">
        <f t="shared" si="6"/>
        <v>GBPFUT3MJ2_Quote</v>
      </c>
      <c r="F106" s="251" t="str">
        <f t="shared" si="7"/>
        <v>GBPFUT3MJ2ConvAdj_Quote</v>
      </c>
      <c r="G106" s="250" t="e">
        <f>_xll.qlFuturesConvAdjustmentQuote($F106,IborIndex,$D106,$E106,Volatility,MeanReversion,Permanent,Trigger,ObjectOverwrite)</f>
        <v>#NUM!</v>
      </c>
      <c r="H106" s="72" t="e">
        <f ca="1">_xll.ohRangeRetrieveError(G106)</f>
        <v>#NUM!</v>
      </c>
    </row>
    <row r="107" spans="1:8" x14ac:dyDescent="0.2">
      <c r="A107" s="143"/>
      <c r="B107" s="142">
        <v>101</v>
      </c>
      <c r="C107" s="140" t="b">
        <v>0</v>
      </c>
      <c r="D107" s="140" t="str">
        <v>K2</v>
      </c>
      <c r="E107" s="250" t="str">
        <f t="shared" si="6"/>
        <v>GBPFUT3MK2_Quote</v>
      </c>
      <c r="F107" s="251" t="str">
        <f t="shared" si="7"/>
        <v>GBPFUT3MK2ConvAdj_Quote</v>
      </c>
      <c r="G107" s="250" t="e">
        <f>_xll.qlFuturesConvAdjustmentQuote($F107,IborIndex,$D107,$E107,Volatility,MeanReversion,Permanent,Trigger,ObjectOverwrite)</f>
        <v>#NUM!</v>
      </c>
      <c r="H107" s="72" t="e">
        <f ca="1">_xll.ohRangeRetrieveError(G107)</f>
        <v>#NUM!</v>
      </c>
    </row>
    <row r="108" spans="1:8" x14ac:dyDescent="0.2">
      <c r="A108" s="143"/>
      <c r="B108" s="142">
        <v>102</v>
      </c>
      <c r="C108" s="140" t="b">
        <v>0</v>
      </c>
      <c r="D108" s="140" t="str">
        <v>M2</v>
      </c>
      <c r="E108" s="250" t="str">
        <f t="shared" si="6"/>
        <v>GBPFUT3MM2_Quote</v>
      </c>
      <c r="F108" s="251" t="str">
        <f t="shared" si="7"/>
        <v>GBPFUT3MM2ConvAdj_Quote</v>
      </c>
      <c r="G108" s="250" t="e">
        <f>_xll.qlFuturesConvAdjustmentQuote($F108,IborIndex,$D108,$E108,Volatility,MeanReversion,Permanent,Trigger,ObjectOverwrite)</f>
        <v>#NUM!</v>
      </c>
      <c r="H108" s="72" t="e">
        <f ca="1">_xll.ohRangeRetrieveError(G108)</f>
        <v>#NUM!</v>
      </c>
    </row>
    <row r="109" spans="1:8" x14ac:dyDescent="0.2">
      <c r="A109" s="143"/>
      <c r="B109" s="142">
        <v>103</v>
      </c>
      <c r="C109" s="140" t="b">
        <v>0</v>
      </c>
      <c r="D109" s="140" t="str">
        <v>N2</v>
      </c>
      <c r="E109" s="250" t="str">
        <f t="shared" si="6"/>
        <v>GBPFUT3MN2_Quote</v>
      </c>
      <c r="F109" s="251" t="str">
        <f t="shared" si="7"/>
        <v>GBPFUT3MN2ConvAdj_Quote</v>
      </c>
      <c r="G109" s="250" t="e">
        <f>_xll.qlFuturesConvAdjustmentQuote($F109,IborIndex,$D109,$E109,Volatility,MeanReversion,Permanent,Trigger,ObjectOverwrite)</f>
        <v>#NUM!</v>
      </c>
      <c r="H109" s="72" t="e">
        <f ca="1">_xll.ohRangeRetrieveError(G109)</f>
        <v>#NUM!</v>
      </c>
    </row>
    <row r="110" spans="1:8" x14ac:dyDescent="0.2">
      <c r="A110" s="143"/>
      <c r="B110" s="142">
        <v>104</v>
      </c>
      <c r="C110" s="140" t="b">
        <v>0</v>
      </c>
      <c r="D110" s="140" t="str">
        <v>Q2</v>
      </c>
      <c r="E110" s="250" t="str">
        <f t="shared" si="6"/>
        <v>GBPFUT3MQ2_Quote</v>
      </c>
      <c r="F110" s="251" t="str">
        <f t="shared" si="7"/>
        <v>GBPFUT3MQ2ConvAdj_Quote</v>
      </c>
      <c r="G110" s="250" t="e">
        <f>_xll.qlFuturesConvAdjustmentQuote($F110,IborIndex,$D110,$E110,Volatility,MeanReversion,Permanent,Trigger,ObjectOverwrite)</f>
        <v>#NUM!</v>
      </c>
      <c r="H110" s="72" t="e">
        <f ca="1">_xll.ohRangeRetrieveError(G110)</f>
        <v>#NUM!</v>
      </c>
    </row>
    <row r="111" spans="1:8" x14ac:dyDescent="0.2">
      <c r="A111" s="143"/>
      <c r="B111" s="142">
        <v>105</v>
      </c>
      <c r="C111" s="140" t="b">
        <v>0</v>
      </c>
      <c r="D111" s="140" t="str">
        <v>U2</v>
      </c>
      <c r="E111" s="250" t="str">
        <f t="shared" si="6"/>
        <v>GBPFUT3MU2_Quote</v>
      </c>
      <c r="F111" s="251" t="str">
        <f t="shared" si="7"/>
        <v>GBPFUT3MU2ConvAdj_Quote</v>
      </c>
      <c r="G111" s="250" t="e">
        <f>_xll.qlFuturesConvAdjustmentQuote($F111,IborIndex,$D111,$E111,Volatility,MeanReversion,Permanent,Trigger,ObjectOverwrite)</f>
        <v>#NUM!</v>
      </c>
      <c r="H111" s="72" t="e">
        <f ca="1">_xll.ohRangeRetrieveError(G111)</f>
        <v>#NUM!</v>
      </c>
    </row>
    <row r="112" spans="1:8" x14ac:dyDescent="0.2">
      <c r="A112" s="143"/>
      <c r="B112" s="142">
        <v>106</v>
      </c>
      <c r="C112" s="140" t="b">
        <v>0</v>
      </c>
      <c r="D112" s="140" t="str">
        <v>V2</v>
      </c>
      <c r="E112" s="250" t="str">
        <f t="shared" si="6"/>
        <v>GBPFUT3MV2_Quote</v>
      </c>
      <c r="F112" s="251" t="str">
        <f t="shared" si="7"/>
        <v>GBPFUT3MV2ConvAdj_Quote</v>
      </c>
      <c r="G112" s="250" t="e">
        <f>_xll.qlFuturesConvAdjustmentQuote($F112,IborIndex,$D112,$E112,Volatility,MeanReversion,Permanent,Trigger,ObjectOverwrite)</f>
        <v>#NUM!</v>
      </c>
      <c r="H112" s="72" t="e">
        <f ca="1">_xll.ohRangeRetrieveError(G112)</f>
        <v>#NUM!</v>
      </c>
    </row>
    <row r="113" spans="1:8" x14ac:dyDescent="0.2">
      <c r="A113" s="143"/>
      <c r="B113" s="142">
        <v>107</v>
      </c>
      <c r="C113" s="140" t="b">
        <v>0</v>
      </c>
      <c r="D113" s="140" t="str">
        <v>X2</v>
      </c>
      <c r="E113" s="250" t="str">
        <f t="shared" si="6"/>
        <v>GBPFUT3MX2_Quote</v>
      </c>
      <c r="F113" s="251" t="str">
        <f t="shared" si="7"/>
        <v>GBPFUT3MX2ConvAdj_Quote</v>
      </c>
      <c r="G113" s="250" t="e">
        <f>_xll.qlFuturesConvAdjustmentQuote($F113,IborIndex,$D113,$E113,Volatility,MeanReversion,Permanent,Trigger,ObjectOverwrite)</f>
        <v>#NUM!</v>
      </c>
      <c r="H113" s="72" t="e">
        <f ca="1">_xll.ohRangeRetrieveError(G113)</f>
        <v>#NUM!</v>
      </c>
    </row>
    <row r="114" spans="1:8" x14ac:dyDescent="0.2">
      <c r="A114" s="143"/>
      <c r="B114" s="142">
        <v>108</v>
      </c>
      <c r="C114" s="140" t="b">
        <v>0</v>
      </c>
      <c r="D114" s="140" t="str">
        <v>Z2</v>
      </c>
      <c r="E114" s="250" t="str">
        <f t="shared" si="6"/>
        <v>GBPFUT3MZ2_Quote</v>
      </c>
      <c r="F114" s="251" t="str">
        <f t="shared" si="7"/>
        <v>GBPFUT3MZ2ConvAdj_Quote</v>
      </c>
      <c r="G114" s="250" t="e">
        <f>_xll.qlFuturesConvAdjustmentQuote($F114,IborIndex,$D114,$E114,Volatility,MeanReversion,Permanent,Trigger,ObjectOverwrite)</f>
        <v>#NUM!</v>
      </c>
      <c r="H114" s="72" t="e">
        <f ca="1">_xll.ohRangeRetrieveError(G114)</f>
        <v>#NUM!</v>
      </c>
    </row>
    <row r="115" spans="1:8" x14ac:dyDescent="0.2">
      <c r="A115" s="143"/>
      <c r="B115" s="142">
        <v>109</v>
      </c>
      <c r="C115" s="140" t="b">
        <v>0</v>
      </c>
      <c r="D115" s="140" t="str">
        <v>F3</v>
      </c>
      <c r="E115" s="250" t="str">
        <f t="shared" si="6"/>
        <v>GBPFUT3MF3_Quote</v>
      </c>
      <c r="F115" s="251" t="str">
        <f t="shared" si="7"/>
        <v>GBPFUT3MF3ConvAdj_Quote</v>
      </c>
      <c r="G115" s="250" t="e">
        <f>_xll.qlFuturesConvAdjustmentQuote($F115,IborIndex,$D115,$E115,Volatility,MeanReversion,Permanent,Trigger,ObjectOverwrite)</f>
        <v>#NUM!</v>
      </c>
      <c r="H115" s="72" t="e">
        <f ca="1">_xll.ohRangeRetrieveError(G115)</f>
        <v>#NUM!</v>
      </c>
    </row>
    <row r="116" spans="1:8" x14ac:dyDescent="0.2">
      <c r="A116" s="143"/>
      <c r="B116" s="142">
        <v>110</v>
      </c>
      <c r="C116" s="140" t="b">
        <v>0</v>
      </c>
      <c r="D116" s="140" t="str">
        <v>G3</v>
      </c>
      <c r="E116" s="250" t="str">
        <f t="shared" si="6"/>
        <v>GBPFUT3MG3_Quote</v>
      </c>
      <c r="F116" s="251" t="str">
        <f t="shared" si="7"/>
        <v>GBPFUT3MG3ConvAdj_Quote</v>
      </c>
      <c r="G116" s="250" t="e">
        <f>_xll.qlFuturesConvAdjustmentQuote($F116,IborIndex,$D116,$E116,Volatility,MeanReversion,Permanent,Trigger,ObjectOverwrite)</f>
        <v>#NUM!</v>
      </c>
      <c r="H116" s="72" t="e">
        <f ca="1">_xll.ohRangeRetrieveError(G116)</f>
        <v>#NUM!</v>
      </c>
    </row>
    <row r="117" spans="1:8" x14ac:dyDescent="0.2">
      <c r="A117" s="143"/>
      <c r="B117" s="142">
        <v>111</v>
      </c>
      <c r="C117" s="140" t="b">
        <v>0</v>
      </c>
      <c r="D117" s="140" t="str">
        <v>H3</v>
      </c>
      <c r="E117" s="250" t="str">
        <f t="shared" si="6"/>
        <v>GBPFUT3MH3_Quote</v>
      </c>
      <c r="F117" s="251" t="str">
        <f t="shared" si="7"/>
        <v>GBPFUT3MH3ConvAdj_Quote</v>
      </c>
      <c r="G117" s="250" t="e">
        <f>_xll.qlFuturesConvAdjustmentQuote($F117,IborIndex,$D117,$E117,Volatility,MeanReversion,Permanent,Trigger,ObjectOverwrite)</f>
        <v>#NUM!</v>
      </c>
      <c r="H117" s="72" t="e">
        <f ca="1">_xll.ohRangeRetrieveError(G117)</f>
        <v>#NUM!</v>
      </c>
    </row>
    <row r="118" spans="1:8" x14ac:dyDescent="0.2">
      <c r="A118" s="143"/>
      <c r="B118" s="142">
        <v>112</v>
      </c>
      <c r="C118" s="140" t="b">
        <v>0</v>
      </c>
      <c r="D118" s="140" t="str">
        <v>J3</v>
      </c>
      <c r="E118" s="250" t="str">
        <f t="shared" si="6"/>
        <v>GBPFUT3MJ3_Quote</v>
      </c>
      <c r="F118" s="251" t="str">
        <f t="shared" si="7"/>
        <v>GBPFUT3MJ3ConvAdj_Quote</v>
      </c>
      <c r="G118" s="250" t="e">
        <f>_xll.qlFuturesConvAdjustmentQuote($F118,IborIndex,$D118,$E118,Volatility,MeanReversion,Permanent,Trigger,ObjectOverwrite)</f>
        <v>#NUM!</v>
      </c>
      <c r="H118" s="72" t="e">
        <f ca="1">_xll.ohRangeRetrieveError(G118)</f>
        <v>#NUM!</v>
      </c>
    </row>
    <row r="119" spans="1:8" x14ac:dyDescent="0.2">
      <c r="A119" s="143"/>
      <c r="B119" s="142">
        <v>113</v>
      </c>
      <c r="C119" s="140" t="b">
        <v>0</v>
      </c>
      <c r="D119" s="140" t="str">
        <v>K3</v>
      </c>
      <c r="E119" s="250" t="str">
        <f t="shared" si="6"/>
        <v>GBPFUT3MK3_Quote</v>
      </c>
      <c r="F119" s="251" t="str">
        <f t="shared" si="7"/>
        <v>GBPFUT3MK3ConvAdj_Quote</v>
      </c>
      <c r="G119" s="250" t="e">
        <f>_xll.qlFuturesConvAdjustmentQuote($F119,IborIndex,$D119,$E119,Volatility,MeanReversion,Permanent,Trigger,ObjectOverwrite)</f>
        <v>#NUM!</v>
      </c>
      <c r="H119" s="72" t="e">
        <f ca="1">_xll.ohRangeRetrieveError(G119)</f>
        <v>#NUM!</v>
      </c>
    </row>
    <row r="120" spans="1:8" x14ac:dyDescent="0.2">
      <c r="A120" s="143"/>
      <c r="B120" s="142">
        <v>114</v>
      </c>
      <c r="C120" s="140" t="b">
        <v>0</v>
      </c>
      <c r="D120" s="140" t="str">
        <v>M3</v>
      </c>
      <c r="E120" s="250" t="str">
        <f t="shared" si="6"/>
        <v>GBPFUT3MM3_Quote</v>
      </c>
      <c r="F120" s="251" t="str">
        <f t="shared" si="7"/>
        <v>GBPFUT3MM3ConvAdj_Quote</v>
      </c>
      <c r="G120" s="250" t="e">
        <f>_xll.qlFuturesConvAdjustmentQuote($F120,IborIndex,$D120,$E120,Volatility,MeanReversion,Permanent,Trigger,ObjectOverwrite)</f>
        <v>#NUM!</v>
      </c>
      <c r="H120" s="72" t="e">
        <f ca="1">_xll.ohRangeRetrieveError(G120)</f>
        <v>#NUM!</v>
      </c>
    </row>
    <row r="121" spans="1:8" x14ac:dyDescent="0.2">
      <c r="A121" s="143"/>
      <c r="B121" s="142">
        <v>115</v>
      </c>
      <c r="C121" s="140" t="b">
        <v>0</v>
      </c>
      <c r="D121" s="140" t="str">
        <v>N3</v>
      </c>
      <c r="E121" s="250" t="str">
        <f t="shared" si="6"/>
        <v>GBPFUT3MN3_Quote</v>
      </c>
      <c r="F121" s="251" t="str">
        <f t="shared" si="7"/>
        <v>GBPFUT3MN3ConvAdj_Quote</v>
      </c>
      <c r="G121" s="250" t="e">
        <f>_xll.qlFuturesConvAdjustmentQuote($F121,IborIndex,$D121,$E121,Volatility,MeanReversion,Permanent,Trigger,ObjectOverwrite)</f>
        <v>#NUM!</v>
      </c>
      <c r="H121" s="72" t="e">
        <f ca="1">_xll.ohRangeRetrieveError(G121)</f>
        <v>#NUM!</v>
      </c>
    </row>
    <row r="122" spans="1:8" x14ac:dyDescent="0.2">
      <c r="A122" s="143"/>
      <c r="B122" s="142">
        <v>116</v>
      </c>
      <c r="C122" s="140" t="b">
        <v>0</v>
      </c>
      <c r="D122" s="140" t="str">
        <v>Q3</v>
      </c>
      <c r="E122" s="250" t="str">
        <f t="shared" si="6"/>
        <v>GBPFUT3MQ3_Quote</v>
      </c>
      <c r="F122" s="251" t="str">
        <f t="shared" si="7"/>
        <v>GBPFUT3MQ3ConvAdj_Quote</v>
      </c>
      <c r="G122" s="250" t="e">
        <f>_xll.qlFuturesConvAdjustmentQuote($F122,IborIndex,$D122,$E122,Volatility,MeanReversion,Permanent,Trigger,ObjectOverwrite)</f>
        <v>#NUM!</v>
      </c>
      <c r="H122" s="72" t="e">
        <f ca="1">_xll.ohRangeRetrieveError(G122)</f>
        <v>#NUM!</v>
      </c>
    </row>
    <row r="123" spans="1:8" x14ac:dyDescent="0.2">
      <c r="A123" s="143"/>
      <c r="B123" s="142">
        <v>117</v>
      </c>
      <c r="C123" s="140" t="b">
        <v>0</v>
      </c>
      <c r="D123" s="140" t="str">
        <v>U3</v>
      </c>
      <c r="E123" s="250" t="str">
        <f t="shared" si="6"/>
        <v>GBPFUT3MU3_Quote</v>
      </c>
      <c r="F123" s="251" t="str">
        <f t="shared" si="7"/>
        <v>GBPFUT3MU3ConvAdj_Quote</v>
      </c>
      <c r="G123" s="250" t="e">
        <f>_xll.qlFuturesConvAdjustmentQuote($F123,IborIndex,$D123,$E123,Volatility,MeanReversion,Permanent,Trigger,ObjectOverwrite)</f>
        <v>#NUM!</v>
      </c>
      <c r="H123" s="72" t="e">
        <f ca="1">_xll.ohRangeRetrieveError(G123)</f>
        <v>#NUM!</v>
      </c>
    </row>
    <row r="124" spans="1:8" x14ac:dyDescent="0.2">
      <c r="A124" s="143"/>
      <c r="B124" s="142">
        <v>118</v>
      </c>
      <c r="C124" s="140" t="b">
        <v>0</v>
      </c>
      <c r="D124" s="140" t="str">
        <v>V3</v>
      </c>
      <c r="E124" s="250" t="str">
        <f t="shared" si="6"/>
        <v>GBPFUT3MV3_Quote</v>
      </c>
      <c r="F124" s="251" t="str">
        <f t="shared" si="7"/>
        <v>GBPFUT3MV3ConvAdj_Quote</v>
      </c>
      <c r="G124" s="250" t="e">
        <f>_xll.qlFuturesConvAdjustmentQuote($F124,IborIndex,$D124,$E124,Volatility,MeanReversion,Permanent,Trigger,ObjectOverwrite)</f>
        <v>#NUM!</v>
      </c>
      <c r="H124" s="72" t="e">
        <f ca="1">_xll.ohRangeRetrieveError(G124)</f>
        <v>#NUM!</v>
      </c>
    </row>
    <row r="125" spans="1:8" x14ac:dyDescent="0.2">
      <c r="A125" s="143"/>
      <c r="B125" s="142">
        <v>119</v>
      </c>
      <c r="C125" s="140" t="b">
        <v>0</v>
      </c>
      <c r="D125" s="140" t="str">
        <v>X3</v>
      </c>
      <c r="E125" s="250" t="str">
        <f t="shared" si="6"/>
        <v>GBPFUT3MX3_Quote</v>
      </c>
      <c r="F125" s="251" t="str">
        <f t="shared" si="7"/>
        <v>GBPFUT3MX3ConvAdj_Quote</v>
      </c>
      <c r="G125" s="250" t="e">
        <f>_xll.qlFuturesConvAdjustmentQuote($F125,IborIndex,$D125,$E125,Volatility,MeanReversion,Permanent,Trigger,ObjectOverwrite)</f>
        <v>#NUM!</v>
      </c>
      <c r="H125" s="72" t="e">
        <f ca="1">_xll.ohRangeRetrieveError(G125)</f>
        <v>#NUM!</v>
      </c>
    </row>
    <row r="126" spans="1:8" ht="12" thickBot="1" x14ac:dyDescent="0.25">
      <c r="A126" s="136"/>
      <c r="B126" s="142">
        <v>120</v>
      </c>
      <c r="C126" s="140" t="b">
        <v>0</v>
      </c>
      <c r="D126" s="140" t="str">
        <v>Z3</v>
      </c>
      <c r="E126" s="250" t="str">
        <f t="shared" si="6"/>
        <v>GBPFUT3MZ3_Quote</v>
      </c>
      <c r="F126" s="251" t="str">
        <f t="shared" si="7"/>
        <v>GBPFUT3MZ3ConvAdj_Quote</v>
      </c>
      <c r="G126" s="250" t="e">
        <f>_xll.qlFuturesConvAdjustmentQuote($F126,IborIndex,$D126,$E126,Volatility,MeanReversion,Permanent,Trigger,ObjectOverwrite)</f>
        <v>#NUM!</v>
      </c>
      <c r="H126" s="72" t="e">
        <f ca="1">_xll.ohRangeRetrieveError(G126)</f>
        <v>#NUM!</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1</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2</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116</vt:i4>
      </vt:variant>
    </vt:vector>
  </HeadingPairs>
  <TitlesOfParts>
    <vt:vector size="150"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BasisSwap1MxM!QuoteStatic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2014-01-13T17:27:51Z</dcterms:modified>
</cp:coreProperties>
</file>
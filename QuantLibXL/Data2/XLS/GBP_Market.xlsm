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41"/>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IBOR" sheetId="39" r:id="rId27"/>
    <sheet name="IB365" sheetId="40" r:id="rId28"/>
    <sheet name="SFIX2" sheetId="43" r:id="rId29"/>
    <sheet name="SFIX3" sheetId="44" r:id="rId30"/>
    <sheet name="MPCOIS" sheetId="60" r:id="rId31"/>
    <sheet name="FwdOIS" sheetId="61" r:id="rId32"/>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1">FwdOIS!$F$2</definedName>
    <definedName name="Contributor" localSheetId="11">'ImmFra6M '!$O$2</definedName>
    <definedName name="Contributor" localSheetId="30">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BasisSwap3M6M!$AF$5:$AH$9</definedName>
    <definedName name="Conventions" localSheetId="6">BasisSwapxM12M!$AF$5:$AH$9</definedName>
    <definedName name="Conventions" localSheetId="16">Swap3M!$AF$5:$AH$10</definedName>
    <definedName name="Conventions" localSheetId="17">Swap6M!$AF$5:$AH$9</definedName>
    <definedName name="Counter" localSheetId="31">FwdOIS!$Q$3</definedName>
    <definedName name="Counter" localSheetId="30">MPCOIS!$Q$3</definedName>
    <definedName name="Counter">Futures1M!$Z$5</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Futures1M!$M$7:$M$18</definedName>
    <definedName name="FuturesCodes" localSheetId="10">Futures3M!$M$7:$M$48</definedName>
    <definedName name="FuturesCodes" localSheetId="11">'ImmFra6M '!$M$6:$M$9</definedName>
    <definedName name="FuturesDates" localSheetId="9">Futures1M!$N$7:$N$18</definedName>
    <definedName name="FuturesDates" localSheetId="10">Futures3M!$N$7:$N$48</definedName>
    <definedName name="FuturesDates" localSheetId="11">'ImmFra6M '!$N$6:$N$9</definedName>
    <definedName name="IborIndex" localSheetId="9">Futures1M!$AM$4</definedName>
    <definedName name="IborIndex" localSheetId="10">Futures3M!$AM$4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1">FwdOIS!$E$5:$E$10</definedName>
    <definedName name="Instruments" localSheetId="30">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Futures1M!$AC$6:$AD$10</definedName>
    <definedName name="LiffeCodes" localSheetId="10">Futures3M!$AC$7:$AD$11</definedName>
    <definedName name="LiveDataFeed">'General Settings'!$D$7</definedName>
    <definedName name="MeanReversion" localSheetId="9">Futures1M!$AM$3</definedName>
    <definedName name="MeanReversion" localSheetId="10">Futures3M!$AM$3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18">'1M'!$N$6:$N$10</definedName>
    <definedName name="Quote" localSheetId="19">'3M'!$N$5:$N$11</definedName>
    <definedName name="Quote" localSheetId="20">'6M'!$N$5:$N$14</definedName>
    <definedName name="Quote" localSheetId="4">BasisSwap1MxM!$AB$5:$AB$42</definedName>
    <definedName name="Quote" localSheetId="5">BasisSwap3M6M!$AB$5:$AB$42</definedName>
    <definedName name="Quote" localSheetId="6">BasisSwapxM12M!$AB$5:$AB$42</definedName>
    <definedName name="Quote" localSheetId="7">Deposits!$O$5:$O$22</definedName>
    <definedName name="Quote" localSheetId="8">FRA!$V$5:$V$24</definedName>
    <definedName name="Quote" localSheetId="9">Futures1M!$Y$7:$Y$18</definedName>
    <definedName name="Quote" localSheetId="10">Futures3M!$Y$7:$Y$48</definedName>
    <definedName name="Quote" localSheetId="12">FuturesHWConvAdj!$P$5:$P$6</definedName>
    <definedName name="Quote" localSheetId="31">FwdOIS!$P$5:$P$10</definedName>
    <definedName name="Quote" localSheetId="11">'ImmFra6M '!$Y$6:$Y$9</definedName>
    <definedName name="Quote" localSheetId="30">MPCOIS!$P$5:$P$10</definedName>
    <definedName name="Quote" localSheetId="13">OIS!$X$5:$X$37</definedName>
    <definedName name="Quote" localSheetId="16">Swap3M!$AB$5:$AB$42</definedName>
    <definedName name="Quote" localSheetId="17">Swap6M!$AB$5:$AB$42</definedName>
    <definedName name="Quote" localSheetId="14">Swaps1M!$X$5:$X$15</definedName>
    <definedName name="Quote" localSheetId="15">SwapsIMMDated!$X$5:$X$11</definedName>
    <definedName name="Quote2" localSheetId="18">'1M'!$X$11:$X$12</definedName>
    <definedName name="QuoteLive" localSheetId="18">'1M'!$J$6:$J$10</definedName>
    <definedName name="QuoteLive" localSheetId="19">'3M'!$J$5:$J$11</definedName>
    <definedName name="QuoteLive" localSheetId="20">'6M'!$J$5:$J$14</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Futures1M!$U$7:$U$18</definedName>
    <definedName name="QuoteLive" localSheetId="10">Futures3M!$U$7:$U$48</definedName>
    <definedName name="QuoteLive" localSheetId="12">FuturesHWConvAdj!$L$5:$L$6</definedName>
    <definedName name="QuoteLive" localSheetId="31">FwdOIS!$K$5:$K$10</definedName>
    <definedName name="QuoteLive" localSheetId="11">'ImmFra6M '!$U$6:$U$9</definedName>
    <definedName name="QuoteLive" localSheetId="30">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Live2" localSheetId="18">'1M'!$T$11:$T$12</definedName>
    <definedName name="QuoteStatic" localSheetId="18">'1M'!$L$6:$L$10</definedName>
    <definedName name="QuoteStatic" localSheetId="19">'3M'!$L$5:$L$11</definedName>
    <definedName name="QuoteStatic" localSheetId="20">'6M'!$L$5:$L$14</definedName>
    <definedName name="QuoteStatic" localSheetId="4">BasisSwap1MxM!$Z$5:$Z$42</definedName>
    <definedName name="QuoteStatic" localSheetId="5">BasisSwap3M6M!$Z$5:$Z$42</definedName>
    <definedName name="QuoteStatic" localSheetId="6">BasisSwapxM12M!$Z$5:$Z$42</definedName>
    <definedName name="QuoteStatic" localSheetId="7">Deposits!$M$5:$M$22</definedName>
    <definedName name="QuoteStatic" localSheetId="8">FRA!$T$5:$T$24</definedName>
    <definedName name="QuoteStatic" localSheetId="9">Futures1M!$W$7:$W$18</definedName>
    <definedName name="QuoteStatic" localSheetId="10">Futures3M!$W$7:$W$48</definedName>
    <definedName name="QuoteStatic" localSheetId="12">FuturesHWConvAdj!$N$5:$N$6</definedName>
    <definedName name="QuoteStatic" localSheetId="31">FwdOIS!$M$5:$M$10</definedName>
    <definedName name="QuoteStatic" localSheetId="11">'ImmFra6M '!$W$6:$W$9</definedName>
    <definedName name="QuoteStatic" localSheetId="30">MPCOIS!$M$5:$M$10</definedName>
    <definedName name="QuoteStatic" localSheetId="13">OIS!$V$5:$V$37</definedName>
    <definedName name="QuoteStatic" localSheetId="16">Swap3M!$Z$5:$Z$42</definedName>
    <definedName name="QuoteStatic" localSheetId="17">Swap6M!$Z$5:$Z$42</definedName>
    <definedName name="QuoteStatic" localSheetId="14">Swaps1M!$V$5:$V$15</definedName>
    <definedName name="QuoteStatic" localSheetId="15">SwapsIMMDated!$V$5:$V$11</definedName>
    <definedName name="QuoteStatic2" localSheetId="18">'1M'!$V$11:$V$12</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Swap3M!$AB$12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7">'IB365'!$C$24:$E$30</definedName>
    <definedName name="Traits" localSheetId="26">IBOR!$C$24:$E$30</definedName>
    <definedName name="Traits" localSheetId="2">Libor!$P$25:$R$31</definedName>
    <definedName name="Traits" localSheetId="3">LiborSwapIsda!$N$24:$P$30</definedName>
    <definedName name="Traits" localSheetId="28">SFIX2!$C$21:$E$27</definedName>
    <definedName name="Traits" localSheetId="29">SFIX3!$C$21:$E$27</definedName>
    <definedName name="Trigger">'General Settings'!$D$4</definedName>
    <definedName name="TriggerCounter">'General Settings'!$D$27</definedName>
    <definedName name="Volatility" localSheetId="9">Futures1M!$AM$2</definedName>
    <definedName name="Volatility" localSheetId="10">Futures3M!$AM$2</definedName>
  </definedNames>
  <calcPr calcId="145621"/>
</workbook>
</file>

<file path=xl/calcChain.xml><?xml version="1.0" encoding="utf-8"?>
<calcChain xmlns="http://schemas.openxmlformats.org/spreadsheetml/2006/main">
  <c r="P5" i="61" l="1" a="1"/>
  <c r="P5" i="61" s="1"/>
  <c r="P5" i="60" a="1"/>
  <c r="P5" i="60" s="1"/>
  <c r="P7" i="60"/>
  <c r="P8" i="60"/>
  <c r="P9" i="60"/>
  <c r="P10" i="60"/>
  <c r="N5" i="28" a="1"/>
  <c r="N5" i="28" s="1"/>
  <c r="N11" i="28"/>
  <c r="N12" i="28"/>
  <c r="N5" i="27" a="1"/>
  <c r="N7" i="27" s="1"/>
  <c r="N5" i="27"/>
  <c r="N6" i="27"/>
  <c r="N6" i="26" a="1"/>
  <c r="N6" i="26" s="1"/>
  <c r="N10" i="26"/>
  <c r="AB5" i="24" a="1"/>
  <c r="AB5" i="24" s="1"/>
  <c r="AB5" i="23" a="1"/>
  <c r="AB5" i="23" s="1"/>
  <c r="AB10" i="23"/>
  <c r="AB11" i="23"/>
  <c r="AB12" i="23"/>
  <c r="AB19" i="23"/>
  <c r="AB20" i="23"/>
  <c r="AB27" i="23"/>
  <c r="AB28" i="23"/>
  <c r="AB36" i="23"/>
  <c r="X5" i="22" a="1"/>
  <c r="X5" i="22" s="1"/>
  <c r="X9" i="22"/>
  <c r="X10" i="22"/>
  <c r="X11" i="22"/>
  <c r="X5" i="21" a="1"/>
  <c r="X5" i="21" s="1"/>
  <c r="X10" i="21"/>
  <c r="X11" i="21"/>
  <c r="X12" i="21"/>
  <c r="X5" i="20" a="1"/>
  <c r="X5" i="20"/>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P5" i="18" a="1"/>
  <c r="P5" i="18"/>
  <c r="P6" i="18"/>
  <c r="Y6" i="17" a="1"/>
  <c r="Y6" i="17" s="1"/>
  <c r="Y7" i="16" a="1"/>
  <c r="Y7" i="16" s="1"/>
  <c r="Y7" i="15" a="1"/>
  <c r="Y7" i="15" s="1"/>
  <c r="Y14" i="15"/>
  <c r="V5" i="14" a="1"/>
  <c r="V5" i="14" s="1"/>
  <c r="O5" i="13" a="1"/>
  <c r="O5" i="13" s="1"/>
  <c r="AB5" i="11" a="1"/>
  <c r="AB5" i="11" s="1"/>
  <c r="AB12" i="11"/>
  <c r="AB5" i="10" a="1"/>
  <c r="AB5" i="10" s="1"/>
  <c r="AB5" i="9" a="1"/>
  <c r="AB5" i="9" s="1"/>
  <c r="P10" i="61" l="1"/>
  <c r="P9" i="61"/>
  <c r="P8" i="61"/>
  <c r="P7" i="61"/>
  <c r="P6" i="61"/>
  <c r="P6" i="60"/>
  <c r="N7" i="28"/>
  <c r="N10" i="28"/>
  <c r="N9" i="28"/>
  <c r="N8" i="28"/>
  <c r="N14" i="28"/>
  <c r="N6" i="28"/>
  <c r="N13" i="28"/>
  <c r="N11" i="27"/>
  <c r="N10" i="27"/>
  <c r="N9" i="27"/>
  <c r="N8" i="27"/>
  <c r="N9" i="26"/>
  <c r="N8" i="26"/>
  <c r="N7" i="26"/>
  <c r="AB26" i="24"/>
  <c r="AB28" i="24"/>
  <c r="AB12" i="24"/>
  <c r="AB35" i="24"/>
  <c r="AB19" i="24"/>
  <c r="AB34" i="24"/>
  <c r="AB10" i="24"/>
  <c r="AB33" i="24"/>
  <c r="AB9" i="24"/>
  <c r="AB40" i="24"/>
  <c r="AB24" i="24"/>
  <c r="AB8" i="24"/>
  <c r="AB39" i="24"/>
  <c r="AB23" i="24"/>
  <c r="AB7" i="24"/>
  <c r="AB38" i="24"/>
  <c r="AB30" i="24"/>
  <c r="AB22" i="24"/>
  <c r="AB14" i="24"/>
  <c r="AB6" i="24"/>
  <c r="AB36" i="24"/>
  <c r="AB20" i="24"/>
  <c r="AB27" i="24"/>
  <c r="AB11" i="24"/>
  <c r="AB42" i="24"/>
  <c r="AB18" i="24"/>
  <c r="AB41" i="24"/>
  <c r="AB25" i="24"/>
  <c r="AB17" i="24"/>
  <c r="AB32" i="24"/>
  <c r="AB16" i="24"/>
  <c r="AB31" i="24"/>
  <c r="AB15" i="24"/>
  <c r="AB37" i="24"/>
  <c r="AB29" i="24"/>
  <c r="AB21" i="24"/>
  <c r="AB13" i="24"/>
  <c r="AB35" i="23"/>
  <c r="AB42" i="23"/>
  <c r="AB34" i="23"/>
  <c r="AB18" i="23"/>
  <c r="AB41" i="23"/>
  <c r="AB40" i="23"/>
  <c r="AB32" i="23"/>
  <c r="AB24" i="23"/>
  <c r="AB16" i="23"/>
  <c r="AB8" i="23"/>
  <c r="AB26" i="23"/>
  <c r="AB33" i="23"/>
  <c r="AB25" i="23"/>
  <c r="AB17" i="23"/>
  <c r="AB9" i="23"/>
  <c r="AB39" i="23"/>
  <c r="AB31" i="23"/>
  <c r="AB23" i="23"/>
  <c r="AB15" i="23"/>
  <c r="AB7" i="23"/>
  <c r="AB38" i="23"/>
  <c r="AB30" i="23"/>
  <c r="AB22" i="23"/>
  <c r="AB14" i="23"/>
  <c r="AB6" i="23"/>
  <c r="AB37" i="23"/>
  <c r="AB29" i="23"/>
  <c r="AB21" i="23"/>
  <c r="AB13" i="23"/>
  <c r="X6" i="22"/>
  <c r="X8" i="22"/>
  <c r="X7" i="22"/>
  <c r="X9" i="21"/>
  <c r="X14" i="21"/>
  <c r="X6" i="21"/>
  <c r="X8" i="21"/>
  <c r="X15" i="21"/>
  <c r="X7" i="21"/>
  <c r="X13" i="21"/>
  <c r="Y9" i="17"/>
  <c r="Y8" i="17"/>
  <c r="Y7" i="17"/>
  <c r="Y46" i="16"/>
  <c r="Y38" i="16"/>
  <c r="Y30" i="16"/>
  <c r="Y22" i="16"/>
  <c r="Y14" i="16"/>
  <c r="Y45" i="16"/>
  <c r="Y37" i="16"/>
  <c r="Y29" i="16"/>
  <c r="Y21" i="16"/>
  <c r="Y13" i="16"/>
  <c r="Y44" i="16"/>
  <c r="Y36" i="16"/>
  <c r="Y28" i="16"/>
  <c r="Y20" i="16"/>
  <c r="Y12" i="16"/>
  <c r="Y43" i="16"/>
  <c r="Y35" i="16"/>
  <c r="Y27" i="16"/>
  <c r="Y19" i="16"/>
  <c r="Y11" i="16"/>
  <c r="Y42" i="16"/>
  <c r="Y34" i="16"/>
  <c r="Y26" i="16"/>
  <c r="Y18" i="16"/>
  <c r="Y10" i="16"/>
  <c r="Y41" i="16"/>
  <c r="Y33" i="16"/>
  <c r="Y25" i="16"/>
  <c r="Y17" i="16"/>
  <c r="Y9" i="16"/>
  <c r="Y48" i="16"/>
  <c r="Y40" i="16"/>
  <c r="Y32" i="16"/>
  <c r="Y24" i="16"/>
  <c r="Y16" i="16"/>
  <c r="Y8" i="16"/>
  <c r="Y47" i="16"/>
  <c r="Y39" i="16"/>
  <c r="Y31" i="16"/>
  <c r="Y23" i="16"/>
  <c r="Y15" i="16"/>
  <c r="Y13" i="15"/>
  <c r="Y12" i="15"/>
  <c r="Y11" i="15"/>
  <c r="Y18" i="15"/>
  <c r="Y10" i="15"/>
  <c r="Y17" i="15"/>
  <c r="Y9" i="15"/>
  <c r="Y16" i="15"/>
  <c r="Y8" i="15"/>
  <c r="Y15" i="15"/>
  <c r="V20" i="14"/>
  <c r="V12" i="14"/>
  <c r="V19" i="14"/>
  <c r="V11" i="14"/>
  <c r="V18" i="14"/>
  <c r="V10" i="14"/>
  <c r="V17" i="14"/>
  <c r="V9" i="14"/>
  <c r="V24" i="14"/>
  <c r="V16" i="14"/>
  <c r="V8" i="14"/>
  <c r="V23" i="14"/>
  <c r="V15" i="14"/>
  <c r="V7" i="14"/>
  <c r="V22" i="14"/>
  <c r="V14" i="14"/>
  <c r="V6" i="14"/>
  <c r="V21" i="14"/>
  <c r="V13" i="14"/>
  <c r="O20" i="13"/>
  <c r="O12" i="13"/>
  <c r="O19" i="13"/>
  <c r="O11" i="13"/>
  <c r="O18" i="13"/>
  <c r="O10" i="13"/>
  <c r="O17" i="13"/>
  <c r="O9" i="13"/>
  <c r="O16" i="13"/>
  <c r="O8" i="13"/>
  <c r="O15" i="13"/>
  <c r="O7" i="13"/>
  <c r="O22" i="13"/>
  <c r="O14" i="13"/>
  <c r="O6" i="13"/>
  <c r="O21" i="13"/>
  <c r="O13" i="13"/>
  <c r="AB36" i="11"/>
  <c r="AB28" i="11"/>
  <c r="AB20" i="11"/>
  <c r="AB35" i="11"/>
  <c r="AB27" i="11"/>
  <c r="AB19" i="11"/>
  <c r="AB11" i="11"/>
  <c r="AB42" i="11"/>
  <c r="AB34" i="11"/>
  <c r="AB26" i="11"/>
  <c r="AB18" i="11"/>
  <c r="AB10" i="11"/>
  <c r="AB41" i="11"/>
  <c r="AB33" i="11"/>
  <c r="AB25" i="11"/>
  <c r="AB17" i="11"/>
  <c r="AB9" i="11"/>
  <c r="AB40" i="11"/>
  <c r="AB32" i="11"/>
  <c r="AB24" i="11"/>
  <c r="AB16" i="11"/>
  <c r="AB8" i="11"/>
  <c r="AB39" i="11"/>
  <c r="AB31" i="11"/>
  <c r="AB23" i="11"/>
  <c r="AB15" i="11"/>
  <c r="AB7" i="11"/>
  <c r="AB38" i="11"/>
  <c r="AB30" i="11"/>
  <c r="AB22" i="11"/>
  <c r="AB14" i="11"/>
  <c r="AB6" i="11"/>
  <c r="AB37" i="11"/>
  <c r="AB29" i="11"/>
  <c r="AB21" i="11"/>
  <c r="AB13" i="11"/>
  <c r="AB36" i="10"/>
  <c r="AB28" i="10"/>
  <c r="AB20" i="10"/>
  <c r="AB12" i="10"/>
  <c r="AB35" i="10"/>
  <c r="AB27" i="10"/>
  <c r="AB19" i="10"/>
  <c r="AB11" i="10"/>
  <c r="AB42" i="10"/>
  <c r="AB34" i="10"/>
  <c r="AB26" i="10"/>
  <c r="AB18" i="10"/>
  <c r="AB10" i="10"/>
  <c r="AB41" i="10"/>
  <c r="AB33" i="10"/>
  <c r="AB25" i="10"/>
  <c r="AB17" i="10"/>
  <c r="AB9" i="10"/>
  <c r="AB40" i="10"/>
  <c r="AB32" i="10"/>
  <c r="AB24" i="10"/>
  <c r="AB16" i="10"/>
  <c r="AB8" i="10"/>
  <c r="AB39" i="10"/>
  <c r="AB31" i="10"/>
  <c r="AB23" i="10"/>
  <c r="AB15" i="10"/>
  <c r="AB7" i="10"/>
  <c r="AB38" i="10"/>
  <c r="AB30" i="10"/>
  <c r="AB22" i="10"/>
  <c r="AB14" i="10"/>
  <c r="AB6" i="10"/>
  <c r="AB37" i="10"/>
  <c r="AB29" i="10"/>
  <c r="AB21" i="10"/>
  <c r="AB13" i="10"/>
  <c r="AB36" i="9"/>
  <c r="AB28" i="9"/>
  <c r="AB20" i="9"/>
  <c r="AB12" i="9"/>
  <c r="AB35" i="9"/>
  <c r="AB27" i="9"/>
  <c r="AB19" i="9"/>
  <c r="AB11" i="9"/>
  <c r="AB42" i="9"/>
  <c r="AB34" i="9"/>
  <c r="AB26" i="9"/>
  <c r="AB18" i="9"/>
  <c r="AB10" i="9"/>
  <c r="AB41" i="9"/>
  <c r="AB33" i="9"/>
  <c r="AB25" i="9"/>
  <c r="AB17" i="9"/>
  <c r="AB9" i="9"/>
  <c r="AB40" i="9"/>
  <c r="AB32" i="9"/>
  <c r="AB24" i="9"/>
  <c r="AB16" i="9"/>
  <c r="AB8" i="9"/>
  <c r="AB39" i="9"/>
  <c r="AB31" i="9"/>
  <c r="AB23" i="9"/>
  <c r="AB15" i="9"/>
  <c r="AB7" i="9"/>
  <c r="AB38" i="9"/>
  <c r="AB30" i="9"/>
  <c r="AB22" i="9"/>
  <c r="AB14" i="9"/>
  <c r="AB6" i="9"/>
  <c r="AB37" i="9"/>
  <c r="AB29" i="9"/>
  <c r="AB21" i="9"/>
  <c r="AB13" i="9"/>
  <c r="AL6" i="16" l="1"/>
  <c r="AM2" i="15"/>
  <c r="AM3" i="15"/>
  <c r="AM4" i="15"/>
  <c r="AM6" i="15"/>
  <c r="AK7" i="15" a="1"/>
  <c r="AK7" i="16" a="1"/>
  <c r="AK10" i="15" l="1"/>
  <c r="AK12" i="15"/>
  <c r="AK21" i="15"/>
  <c r="AK34" i="15"/>
  <c r="AK42" i="15"/>
  <c r="AK36" i="15"/>
  <c r="AK38" i="15"/>
  <c r="AK15" i="15"/>
  <c r="AK7" i="15"/>
  <c r="AK14" i="15"/>
  <c r="AK16" i="15"/>
  <c r="AK26" i="15"/>
  <c r="AK31" i="15"/>
  <c r="AK39" i="15"/>
  <c r="AK18" i="15"/>
  <c r="AK23" i="15"/>
  <c r="AK28" i="15"/>
  <c r="AK25" i="15"/>
  <c r="AK17" i="15"/>
  <c r="AK27" i="15"/>
  <c r="AK35" i="15"/>
  <c r="AK43" i="15"/>
  <c r="AL43" i="15" s="1"/>
  <c r="AK8" i="15"/>
  <c r="AK40" i="15"/>
  <c r="AK9" i="15"/>
  <c r="AK20" i="15"/>
  <c r="AK33" i="15"/>
  <c r="AK41" i="15"/>
  <c r="AK11" i="15"/>
  <c r="AK13" i="15"/>
  <c r="AK30" i="15"/>
  <c r="AK22" i="15"/>
  <c r="AK19" i="15"/>
  <c r="AK32" i="15"/>
  <c r="AK24" i="15"/>
  <c r="AK37" i="15"/>
  <c r="AK29" i="15"/>
  <c r="AK11" i="16"/>
  <c r="AL11" i="16" s="1"/>
  <c r="AK16" i="16"/>
  <c r="AL16" i="16" s="1"/>
  <c r="AK21" i="16"/>
  <c r="AL21" i="16" s="1"/>
  <c r="AK26" i="16"/>
  <c r="AL26" i="16" s="1"/>
  <c r="AK36" i="16"/>
  <c r="AL36" i="16" s="1"/>
  <c r="AK46" i="16"/>
  <c r="AL46" i="16" s="1"/>
  <c r="AK12" i="16"/>
  <c r="AL12" i="16" s="1"/>
  <c r="AK19" i="16"/>
  <c r="AL19" i="16" s="1"/>
  <c r="AK44" i="16"/>
  <c r="AL44" i="16" s="1"/>
  <c r="AK24" i="16"/>
  <c r="AL24" i="16" s="1"/>
  <c r="AK30" i="16"/>
  <c r="AL30" i="16" s="1"/>
  <c r="AK35" i="16"/>
  <c r="AL35" i="16" s="1"/>
  <c r="AK45" i="16"/>
  <c r="AL45" i="16" s="1"/>
  <c r="AK7" i="16"/>
  <c r="AL7" i="16" s="1"/>
  <c r="AK17" i="16"/>
  <c r="AL17" i="16" s="1"/>
  <c r="AK32" i="16"/>
  <c r="AL32" i="16" s="1"/>
  <c r="AK37" i="16"/>
  <c r="AL37" i="16" s="1"/>
  <c r="AK42" i="16"/>
  <c r="AL42" i="16" s="1"/>
  <c r="AK22" i="16"/>
  <c r="AL22" i="16" s="1"/>
  <c r="AK27" i="16"/>
  <c r="AL27" i="16" s="1"/>
  <c r="AK33" i="16"/>
  <c r="AL33" i="16" s="1"/>
  <c r="AK47" i="16"/>
  <c r="AL47" i="16" s="1"/>
  <c r="AK40" i="16"/>
  <c r="AL40" i="16" s="1"/>
  <c r="AK15" i="16"/>
  <c r="AL15" i="16" s="1"/>
  <c r="AK20" i="16"/>
  <c r="AL20" i="16" s="1"/>
  <c r="AK8" i="16"/>
  <c r="AL8" i="16" s="1"/>
  <c r="AK13" i="16"/>
  <c r="AL13" i="16" s="1"/>
  <c r="AK18" i="16"/>
  <c r="AL18" i="16" s="1"/>
  <c r="AK38" i="16"/>
  <c r="AL38" i="16" s="1"/>
  <c r="AK43" i="16"/>
  <c r="AL43" i="16" s="1"/>
  <c r="AK48" i="16"/>
  <c r="AL48" i="16" s="1"/>
  <c r="AK9" i="16"/>
  <c r="AL9" i="16" s="1"/>
  <c r="AK23" i="16"/>
  <c r="AL23" i="16" s="1"/>
  <c r="AK28" i="16"/>
  <c r="AL28" i="16" s="1"/>
  <c r="AK34" i="16"/>
  <c r="AL34" i="16" s="1"/>
  <c r="AK39" i="16"/>
  <c r="AL39" i="16" s="1"/>
  <c r="AK14" i="16"/>
  <c r="AL14" i="16" s="1"/>
  <c r="AK29" i="16"/>
  <c r="AL29" i="16" s="1"/>
  <c r="AK10" i="16"/>
  <c r="AL10" i="16" s="1"/>
  <c r="AK25" i="16"/>
  <c r="AL25" i="16" s="1"/>
  <c r="AK41" i="16"/>
  <c r="AL41" i="16" s="1"/>
  <c r="AK31" i="16"/>
  <c r="AL31" i="16" s="1"/>
  <c r="AK44" i="15"/>
  <c r="AL44" i="15" s="1"/>
  <c r="AK45" i="15"/>
  <c r="AM45" i="15" s="1"/>
  <c r="AK46" i="15"/>
  <c r="AL46" i="15" s="1"/>
  <c r="AL45" i="15" l="1"/>
  <c r="AM43" i="15"/>
  <c r="AM44" i="15"/>
  <c r="AM40" i="15"/>
  <c r="AL40" i="15"/>
  <c r="AM15" i="15"/>
  <c r="AL15" i="15"/>
  <c r="AM13" i="15"/>
  <c r="AL13" i="15"/>
  <c r="AL39" i="15"/>
  <c r="AM39" i="15"/>
  <c r="AL36" i="15"/>
  <c r="AM36" i="15"/>
  <c r="AL29" i="15"/>
  <c r="AM29" i="15"/>
  <c r="AM11" i="15"/>
  <c r="AL11" i="15"/>
  <c r="AL35" i="15"/>
  <c r="AM35" i="15"/>
  <c r="AL31" i="15"/>
  <c r="AM31" i="15"/>
  <c r="AL42" i="15"/>
  <c r="AM42" i="15"/>
  <c r="AL23" i="15"/>
  <c r="AM23" i="15"/>
  <c r="AL30" i="15"/>
  <c r="AM30" i="15"/>
  <c r="AM8" i="15"/>
  <c r="AL8" i="15"/>
  <c r="AM18" i="15"/>
  <c r="AL18" i="15"/>
  <c r="AL38" i="15"/>
  <c r="AM38" i="15"/>
  <c r="AL41" i="15"/>
  <c r="AM41" i="15"/>
  <c r="AM26" i="15"/>
  <c r="AL26" i="15"/>
  <c r="AL16" i="15"/>
  <c r="AM16" i="15"/>
  <c r="AM32" i="15"/>
  <c r="AL32" i="15"/>
  <c r="AM20" i="15"/>
  <c r="AL20" i="15"/>
  <c r="AL25" i="15"/>
  <c r="AM25" i="15"/>
  <c r="AM14" i="15"/>
  <c r="AL14" i="15"/>
  <c r="AM12" i="15"/>
  <c r="AL12" i="15"/>
  <c r="AL22" i="15"/>
  <c r="AM22" i="15"/>
  <c r="AL37" i="15"/>
  <c r="AM37" i="15"/>
  <c r="AL27" i="15"/>
  <c r="AM27" i="15"/>
  <c r="AM34" i="15"/>
  <c r="AL34" i="15"/>
  <c r="AL24" i="15"/>
  <c r="AM24" i="15"/>
  <c r="AL33" i="15"/>
  <c r="AM33" i="15"/>
  <c r="AL17" i="15"/>
  <c r="AM17" i="15"/>
  <c r="AL21" i="15"/>
  <c r="AM21" i="15"/>
  <c r="AM19" i="15"/>
  <c r="AL19" i="15"/>
  <c r="AM9" i="15"/>
  <c r="AL9" i="15"/>
  <c r="AM28" i="15"/>
  <c r="AL28" i="15"/>
  <c r="AL7" i="15"/>
  <c r="AM7" i="15"/>
  <c r="AL10" i="15"/>
  <c r="AM10" i="15"/>
  <c r="AM46" i="15"/>
  <c r="AK47" i="15"/>
  <c r="AL47" i="15" s="1"/>
  <c r="AK48" i="15"/>
  <c r="AM48" i="15" s="1"/>
  <c r="AK49" i="15"/>
  <c r="AL49" i="15" s="1"/>
  <c r="AK50" i="15"/>
  <c r="AM50" i="15" s="1"/>
  <c r="AK51" i="15"/>
  <c r="AM51" i="15" s="1"/>
  <c r="AK52" i="15"/>
  <c r="AL52" i="15" s="1"/>
  <c r="AK53" i="15"/>
  <c r="AM53" i="15" s="1"/>
  <c r="AK54" i="15"/>
  <c r="AL54" i="15" s="1"/>
  <c r="AK55" i="15"/>
  <c r="AL55" i="15" s="1"/>
  <c r="AK56" i="15"/>
  <c r="AL56" i="15" s="1"/>
  <c r="AK57" i="15"/>
  <c r="AL57" i="15" s="1"/>
  <c r="AK58" i="15"/>
  <c r="AM58" i="15" s="1"/>
  <c r="AK59" i="15"/>
  <c r="AM59" i="15" s="1"/>
  <c r="AK60" i="15"/>
  <c r="AL60" i="15" s="1"/>
  <c r="AK61" i="15"/>
  <c r="AM61" i="15" s="1"/>
  <c r="AK62" i="15"/>
  <c r="AL62" i="15" s="1"/>
  <c r="AK63" i="15"/>
  <c r="AL63" i="15" s="1"/>
  <c r="AK64" i="15"/>
  <c r="AL64" i="15" s="1"/>
  <c r="AK65" i="15"/>
  <c r="AL65" i="15" s="1"/>
  <c r="AK66" i="15"/>
  <c r="AM66" i="15" s="1"/>
  <c r="AK67" i="15"/>
  <c r="AM67" i="15" s="1"/>
  <c r="AK68" i="15"/>
  <c r="AL68" i="15" s="1"/>
  <c r="AK69" i="15"/>
  <c r="AM69" i="15" s="1"/>
  <c r="AK70" i="15"/>
  <c r="AL70" i="15" s="1"/>
  <c r="AK71" i="15"/>
  <c r="AL71" i="15" s="1"/>
  <c r="AK72" i="15"/>
  <c r="AL72" i="15" s="1"/>
  <c r="AK73" i="15"/>
  <c r="AL73" i="15" s="1"/>
  <c r="AK74" i="15"/>
  <c r="AM74" i="15" s="1"/>
  <c r="AK75" i="15"/>
  <c r="AM75" i="15" s="1"/>
  <c r="AK76" i="15"/>
  <c r="AL76" i="15" s="1"/>
  <c r="AN7" i="15"/>
  <c r="AN31" i="15"/>
  <c r="AN46" i="15"/>
  <c r="AN9" i="15"/>
  <c r="AN30" i="15"/>
  <c r="AN23" i="15"/>
  <c r="AN25" i="15"/>
  <c r="AN32" i="15"/>
  <c r="AN18" i="15"/>
  <c r="AN22" i="15"/>
  <c r="AN19" i="15"/>
  <c r="AN21" i="15"/>
  <c r="AN34" i="15"/>
  <c r="AN36" i="15"/>
  <c r="AN16" i="15"/>
  <c r="AN20" i="15"/>
  <c r="AN39" i="15"/>
  <c r="AN14" i="15"/>
  <c r="AN17" i="15"/>
  <c r="AN44" i="15"/>
  <c r="AN35" i="15"/>
  <c r="AN41" i="15"/>
  <c r="AN43" i="15"/>
  <c r="AN10" i="15"/>
  <c r="AN15" i="15"/>
  <c r="AN38" i="15"/>
  <c r="AN24" i="15"/>
  <c r="AN27" i="15"/>
  <c r="AN42" i="15"/>
  <c r="AN12" i="15"/>
  <c r="AN26" i="15"/>
  <c r="AO26" i="15" s="1"/>
  <c r="AN11" i="15"/>
  <c r="AN8" i="15"/>
  <c r="AN13" i="15"/>
  <c r="AN29" i="15"/>
  <c r="AN40" i="15"/>
  <c r="AN45" i="15"/>
  <c r="AN28" i="15"/>
  <c r="AN37" i="15"/>
  <c r="AO37" i="15" s="1"/>
  <c r="AN33" i="15"/>
  <c r="AL66" i="15" l="1"/>
  <c r="AM70" i="15"/>
  <c r="AM71" i="15"/>
  <c r="AL58" i="15"/>
  <c r="AL48" i="15"/>
  <c r="AL53" i="15"/>
  <c r="AL67" i="15"/>
  <c r="AM63" i="15"/>
  <c r="AL50" i="15"/>
  <c r="AL69" i="15"/>
  <c r="AM54" i="15"/>
  <c r="AL74" i="15"/>
  <c r="AL61" i="15"/>
  <c r="AM55" i="15"/>
  <c r="AL51" i="15"/>
  <c r="AM68" i="15"/>
  <c r="AM65" i="15"/>
  <c r="AM52" i="15"/>
  <c r="AM49" i="15"/>
  <c r="AM73" i="15"/>
  <c r="AM60" i="15"/>
  <c r="AM57" i="15"/>
  <c r="AM47" i="15"/>
  <c r="AM62" i="15"/>
  <c r="AL75" i="15"/>
  <c r="AL59" i="15"/>
  <c r="AM64" i="15"/>
  <c r="AM56" i="15"/>
  <c r="AM72" i="15"/>
  <c r="AM76" i="15"/>
  <c r="AK77" i="15"/>
  <c r="AL77" i="15" s="1"/>
  <c r="AK78" i="15"/>
  <c r="AM78" i="15" s="1"/>
  <c r="AK79" i="15"/>
  <c r="AL79" i="15" s="1"/>
  <c r="AK80" i="15"/>
  <c r="AL80" i="15" s="1"/>
  <c r="AK81" i="15"/>
  <c r="AL81" i="15" s="1"/>
  <c r="AK82" i="15"/>
  <c r="AL82" i="15" s="1"/>
  <c r="AK83" i="15"/>
  <c r="AL83" i="15" s="1"/>
  <c r="AK84" i="15"/>
  <c r="AM84" i="15" s="1"/>
  <c r="AK85" i="15"/>
  <c r="AL85" i="15" s="1"/>
  <c r="AK86" i="15"/>
  <c r="AL86" i="15" s="1"/>
  <c r="AK87" i="15"/>
  <c r="AL87" i="15" s="1"/>
  <c r="AK88" i="15"/>
  <c r="AL88" i="15" s="1"/>
  <c r="AK89" i="15"/>
  <c r="AM89" i="15" s="1"/>
  <c r="AK90" i="15"/>
  <c r="AM90" i="15" s="1"/>
  <c r="AK91" i="15"/>
  <c r="AM91" i="15" s="1"/>
  <c r="AK92" i="15"/>
  <c r="AL92" i="15" s="1"/>
  <c r="AK93" i="15"/>
  <c r="AM93" i="15" s="1"/>
  <c r="AK94" i="15"/>
  <c r="AL94" i="15" s="1"/>
  <c r="AK95" i="15"/>
  <c r="AL95" i="15" s="1"/>
  <c r="AK96" i="15"/>
  <c r="AL96" i="15" s="1"/>
  <c r="AK97" i="15"/>
  <c r="AM97" i="15" s="1"/>
  <c r="AK98" i="15"/>
  <c r="AM98" i="15" s="1"/>
  <c r="AK99" i="15"/>
  <c r="AL99" i="15" s="1"/>
  <c r="AK100" i="15"/>
  <c r="AM100" i="15" s="1"/>
  <c r="AK101" i="15"/>
  <c r="AM101" i="15" s="1"/>
  <c r="AK102" i="15"/>
  <c r="AL102" i="15" s="1"/>
  <c r="AK103" i="15"/>
  <c r="AL103" i="15" s="1"/>
  <c r="AK104" i="15"/>
  <c r="AL104" i="15" s="1"/>
  <c r="AK105" i="15"/>
  <c r="AM105" i="15" s="1"/>
  <c r="AK106" i="15"/>
  <c r="AL106" i="15" s="1"/>
  <c r="AK107" i="15"/>
  <c r="AL107" i="15" s="1"/>
  <c r="AK108" i="15"/>
  <c r="AL108" i="15" s="1"/>
  <c r="AK109" i="15"/>
  <c r="AL109" i="15" s="1"/>
  <c r="AK110" i="15"/>
  <c r="AM110" i="15" s="1"/>
  <c r="AK111" i="15"/>
  <c r="AM111" i="15" s="1"/>
  <c r="AK112" i="15"/>
  <c r="AM112" i="15" s="1"/>
  <c r="AK113" i="15"/>
  <c r="AL113" i="15" s="1"/>
  <c r="AK114" i="15"/>
  <c r="AL114" i="15" s="1"/>
  <c r="AK115" i="15"/>
  <c r="AL115" i="15" s="1"/>
  <c r="AK116" i="15"/>
  <c r="AL116" i="15" s="1"/>
  <c r="AK117" i="15"/>
  <c r="AL117" i="15" s="1"/>
  <c r="AK118" i="15"/>
  <c r="AM118" i="15" s="1"/>
  <c r="AK119" i="15"/>
  <c r="AM119" i="15" s="1"/>
  <c r="AK120" i="15"/>
  <c r="AL120" i="15" s="1"/>
  <c r="AK121" i="15"/>
  <c r="AL121" i="15" s="1"/>
  <c r="AK122" i="15"/>
  <c r="AL122" i="15" s="1"/>
  <c r="AK123" i="15"/>
  <c r="AM123" i="15" s="1"/>
  <c r="AK124" i="15"/>
  <c r="AM124" i="15" s="1"/>
  <c r="AK125" i="15"/>
  <c r="AL125" i="15" s="1"/>
  <c r="AK126" i="15"/>
  <c r="AL126" i="15" s="1"/>
  <c r="AN60" i="15"/>
  <c r="AN68" i="15"/>
  <c r="AN54" i="15"/>
  <c r="AN72" i="15"/>
  <c r="AO13" i="15"/>
  <c r="AO35" i="15"/>
  <c r="AO12" i="15"/>
  <c r="AO15" i="15"/>
  <c r="AO22" i="15"/>
  <c r="AN67" i="15"/>
  <c r="AN48" i="15"/>
  <c r="AO29" i="15"/>
  <c r="AO11" i="15"/>
  <c r="AO44" i="15"/>
  <c r="AO9" i="15"/>
  <c r="AN55" i="15"/>
  <c r="AO28" i="15"/>
  <c r="AO45" i="15"/>
  <c r="AO31" i="15"/>
  <c r="AO38" i="15"/>
  <c r="AO8" i="15"/>
  <c r="AN65" i="15"/>
  <c r="AO10" i="15"/>
  <c r="AN58" i="15"/>
  <c r="AO18" i="15"/>
  <c r="AN76" i="15"/>
  <c r="AN57" i="15"/>
  <c r="AO7" i="15"/>
  <c r="AO40" i="15"/>
  <c r="AO36" i="15"/>
  <c r="AN64" i="15"/>
  <c r="AO16" i="15"/>
  <c r="AO33" i="15"/>
  <c r="AN71" i="15"/>
  <c r="AN59" i="15"/>
  <c r="AN49" i="15"/>
  <c r="AN61" i="15"/>
  <c r="AO46" i="15"/>
  <c r="AN75" i="15"/>
  <c r="AN70" i="15"/>
  <c r="AO41" i="15"/>
  <c r="AN62" i="15"/>
  <c r="AN56" i="15"/>
  <c r="AN73" i="15"/>
  <c r="AN47" i="15"/>
  <c r="AO20" i="15"/>
  <c r="AO23" i="15"/>
  <c r="AO27" i="15"/>
  <c r="AO34" i="15"/>
  <c r="AO39" i="15"/>
  <c r="AN66" i="15"/>
  <c r="AN53" i="15"/>
  <c r="AN69" i="15"/>
  <c r="AN74" i="15"/>
  <c r="AO21" i="15"/>
  <c r="AO42" i="15"/>
  <c r="AO43" i="15"/>
  <c r="AO17" i="15"/>
  <c r="AN52" i="15"/>
  <c r="AN63" i="15"/>
  <c r="AO25" i="15"/>
  <c r="AN50" i="15"/>
  <c r="AO30" i="15"/>
  <c r="AO32" i="15"/>
  <c r="AN51" i="15"/>
  <c r="AO14" i="15"/>
  <c r="AO19" i="15"/>
  <c r="AO24" i="15"/>
  <c r="AM104" i="15" l="1"/>
  <c r="AL118" i="15"/>
  <c r="AM96" i="15"/>
  <c r="AL119" i="15"/>
  <c r="AM126" i="15"/>
  <c r="AL100" i="15"/>
  <c r="AM92" i="15"/>
  <c r="AL78" i="15"/>
  <c r="AL123" i="15"/>
  <c r="AL110" i="15"/>
  <c r="AL91" i="15"/>
  <c r="AL111" i="15"/>
  <c r="AL105" i="15"/>
  <c r="AL90" i="15"/>
  <c r="AM114" i="15"/>
  <c r="AL124" i="15"/>
  <c r="AL97" i="15"/>
  <c r="AL112" i="15"/>
  <c r="AM99" i="15"/>
  <c r="AM85" i="15"/>
  <c r="AM80" i="15"/>
  <c r="AM122" i="15"/>
  <c r="AM106" i="15"/>
  <c r="AM125" i="15"/>
  <c r="AL101" i="15"/>
  <c r="AL98" i="15"/>
  <c r="AL93" i="15"/>
  <c r="AL89" i="15"/>
  <c r="AL84" i="15"/>
  <c r="AM109" i="15"/>
  <c r="AM83" i="15"/>
  <c r="AM79" i="15"/>
  <c r="AM117" i="15"/>
  <c r="AM113" i="15"/>
  <c r="AM88" i="15"/>
  <c r="AM77" i="15"/>
  <c r="AM120" i="15"/>
  <c r="AM115" i="15"/>
  <c r="AM107" i="15"/>
  <c r="AM102" i="15"/>
  <c r="AM94" i="15"/>
  <c r="AM86" i="15"/>
  <c r="AM81" i="15"/>
  <c r="AM121" i="15"/>
  <c r="AM116" i="15"/>
  <c r="AM95" i="15"/>
  <c r="AM87" i="15"/>
  <c r="AM82" i="15"/>
  <c r="AM108" i="15"/>
  <c r="AM103" i="15"/>
  <c r="AN123" i="15"/>
  <c r="AN115" i="15"/>
  <c r="AN100" i="15"/>
  <c r="AN113" i="15"/>
  <c r="AN84" i="15"/>
  <c r="AN101" i="15"/>
  <c r="AO70" i="15"/>
  <c r="AO74" i="15"/>
  <c r="AO60" i="15"/>
  <c r="AO55" i="15"/>
  <c r="AN98" i="15"/>
  <c r="AO56" i="15"/>
  <c r="AO50" i="15"/>
  <c r="AN121" i="15"/>
  <c r="AO49" i="15"/>
  <c r="AN111" i="15"/>
  <c r="AN122" i="15"/>
  <c r="AO57" i="15"/>
  <c r="AO65" i="15"/>
  <c r="AN103" i="15"/>
  <c r="AO47" i="15"/>
  <c r="AN105" i="15"/>
  <c r="AN104" i="15"/>
  <c r="AO72" i="15"/>
  <c r="AN119" i="15"/>
  <c r="AN89" i="15"/>
  <c r="AN117" i="15"/>
  <c r="AN109" i="15"/>
  <c r="AN92" i="15"/>
  <c r="AO64" i="15"/>
  <c r="AO73" i="15"/>
  <c r="AN108" i="15"/>
  <c r="D7" i="16" a="1"/>
  <c r="AN125" i="15"/>
  <c r="AN110" i="15"/>
  <c r="AO52" i="15"/>
  <c r="AN124" i="15"/>
  <c r="AN81" i="15"/>
  <c r="AN126" i="15"/>
  <c r="AN112" i="15"/>
  <c r="AN114" i="15"/>
  <c r="AN99" i="15"/>
  <c r="AO59" i="15"/>
  <c r="AO54" i="15"/>
  <c r="AN78" i="15"/>
  <c r="AO69" i="15"/>
  <c r="AN83" i="15"/>
  <c r="AN77" i="15"/>
  <c r="AN107" i="15"/>
  <c r="AO53" i="15"/>
  <c r="AN79" i="15"/>
  <c r="AN102" i="15"/>
  <c r="AN93" i="15"/>
  <c r="AN94" i="15"/>
  <c r="AN88" i="15"/>
  <c r="AN106" i="15"/>
  <c r="AN118" i="15"/>
  <c r="AO61" i="15"/>
  <c r="AO62" i="15"/>
  <c r="AO66" i="15"/>
  <c r="AO67" i="15"/>
  <c r="AN82" i="15"/>
  <c r="AN87" i="15"/>
  <c r="AO87" i="15" s="1"/>
  <c r="AN95" i="15"/>
  <c r="AN80" i="15"/>
  <c r="AN120" i="15"/>
  <c r="AN85" i="15"/>
  <c r="AN116" i="15"/>
  <c r="AO51" i="15"/>
  <c r="AO58" i="15"/>
  <c r="AO76" i="15"/>
  <c r="AN86" i="15"/>
  <c r="AN97" i="15"/>
  <c r="AO48" i="15"/>
  <c r="AN96" i="15"/>
  <c r="AO75" i="15"/>
  <c r="AO71" i="15"/>
  <c r="AO63" i="15"/>
  <c r="AN91" i="15"/>
  <c r="AN90" i="15"/>
  <c r="AO68" i="15"/>
  <c r="D10" i="16" l="1"/>
  <c r="D35" i="16"/>
  <c r="D15" i="16"/>
  <c r="D32" i="16"/>
  <c r="D28" i="16"/>
  <c r="D18" i="16"/>
  <c r="D43" i="16"/>
  <c r="D23" i="16"/>
  <c r="D40" i="16"/>
  <c r="D36" i="16"/>
  <c r="D41" i="16"/>
  <c r="D26" i="16"/>
  <c r="D14" i="16"/>
  <c r="D31" i="16"/>
  <c r="D48" i="16"/>
  <c r="D44" i="16"/>
  <c r="D34" i="16"/>
  <c r="D39" i="16"/>
  <c r="D9" i="16"/>
  <c r="D13" i="16"/>
  <c r="D42" i="16"/>
  <c r="D30" i="16"/>
  <c r="D47" i="16"/>
  <c r="D17" i="16"/>
  <c r="D21" i="16"/>
  <c r="D11" i="16"/>
  <c r="D38" i="16"/>
  <c r="D8" i="16"/>
  <c r="D33" i="16"/>
  <c r="D29" i="16"/>
  <c r="D19" i="16"/>
  <c r="D46" i="16"/>
  <c r="D16" i="16"/>
  <c r="D37" i="16"/>
  <c r="D27" i="16"/>
  <c r="D7" i="16"/>
  <c r="D20" i="16"/>
  <c r="D22" i="16"/>
  <c r="D12" i="16"/>
  <c r="D24" i="16"/>
  <c r="D45" i="16"/>
  <c r="D25" i="16"/>
  <c r="AO121" i="15"/>
  <c r="AO80" i="15"/>
  <c r="AO89" i="15"/>
  <c r="AO94" i="15"/>
  <c r="AO100" i="15"/>
  <c r="AO82" i="15"/>
  <c r="AO78" i="15"/>
  <c r="AO90" i="15"/>
  <c r="AO105" i="15"/>
  <c r="AO79" i="15"/>
  <c r="AO108" i="15"/>
  <c r="AO119" i="15"/>
  <c r="AO126" i="15"/>
  <c r="AO101" i="15"/>
  <c r="AO102" i="15"/>
  <c r="AO92" i="15"/>
  <c r="AO96" i="15"/>
  <c r="AO124" i="15"/>
  <c r="AO120" i="15"/>
  <c r="AO110" i="15"/>
  <c r="AO91" i="15"/>
  <c r="AO109" i="15"/>
  <c r="AO77" i="15"/>
  <c r="AO83" i="15"/>
  <c r="AO106" i="15"/>
  <c r="AO116" i="15"/>
  <c r="AO107" i="15"/>
  <c r="AO118" i="15"/>
  <c r="AO85" i="15"/>
  <c r="AO97" i="15"/>
  <c r="AO113" i="15"/>
  <c r="AO98" i="15"/>
  <c r="AO111" i="15"/>
  <c r="AO81" i="15"/>
  <c r="AO115" i="15"/>
  <c r="AO122" i="15"/>
  <c r="AO112" i="15"/>
  <c r="AO114" i="15"/>
  <c r="AO103" i="15"/>
  <c r="AO104" i="15"/>
  <c r="AO84" i="15"/>
  <c r="AO117" i="15"/>
  <c r="AO88" i="15"/>
  <c r="AO125" i="15"/>
  <c r="AO95" i="15"/>
  <c r="AO99" i="15"/>
  <c r="AO86" i="15"/>
  <c r="AO93" i="15"/>
  <c r="AO123" i="15"/>
  <c r="X11" i="26" l="1" a="1"/>
  <c r="X12" i="26" s="1"/>
  <c r="X11" i="26" l="1"/>
  <c r="O5" i="5" l="1"/>
  <c r="O7" i="5" s="1"/>
  <c r="U5" i="5"/>
  <c r="U7" i="5" s="1"/>
  <c r="R7" i="5"/>
  <c r="R8" i="5"/>
  <c r="V7" i="5"/>
  <c r="O6" i="5"/>
  <c r="O8" i="5" l="1"/>
  <c r="U8" i="5"/>
  <c r="O9" i="5"/>
  <c r="R9" i="5"/>
  <c r="V8" i="5"/>
  <c r="S7" i="5"/>
  <c r="U9" i="5" l="1"/>
  <c r="O10" i="5"/>
  <c r="R10" i="5"/>
  <c r="W7" i="5"/>
  <c r="S8" i="5"/>
  <c r="V9"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V15" i="5"/>
  <c r="V18" i="5"/>
  <c r="V17" i="5"/>
  <c r="W8" i="5"/>
  <c r="V19" i="5"/>
  <c r="V14" i="5"/>
  <c r="V11" i="5"/>
  <c r="Y7" i="5"/>
  <c r="S9" i="5"/>
  <c r="V16" i="5"/>
  <c r="V10" i="5"/>
  <c r="V21" i="5"/>
  <c r="V12" i="5"/>
  <c r="V20" i="5"/>
  <c r="V13" i="5"/>
  <c r="X8" i="5" l="1"/>
  <c r="Z8" i="5" s="1"/>
  <c r="Q3" i="4"/>
  <c r="Q5" i="4" s="1"/>
  <c r="W3" i="4"/>
  <c r="W6" i="4" s="1"/>
  <c r="T5" i="4"/>
  <c r="T6" i="4"/>
  <c r="U6" i="4" s="1"/>
  <c r="S10" i="5"/>
  <c r="S19" i="5"/>
  <c r="S12" i="5"/>
  <c r="S14" i="5"/>
  <c r="W9" i="5"/>
  <c r="S13" i="5"/>
  <c r="S16" i="5"/>
  <c r="S17" i="5"/>
  <c r="Y8" i="5"/>
  <c r="X6" i="4"/>
  <c r="S18" i="5"/>
  <c r="S20" i="5"/>
  <c r="S21" i="5"/>
  <c r="S15" i="5"/>
  <c r="S11" i="5"/>
  <c r="Q4" i="4"/>
  <c r="X9" i="5" l="1"/>
  <c r="Z9" i="5" s="1"/>
  <c r="Q6" i="4"/>
  <c r="W5" i="4"/>
  <c r="Y6" i="4"/>
  <c r="Z6" i="4" s="1"/>
  <c r="Q7" i="4"/>
  <c r="T7" i="4"/>
  <c r="U7" i="4" s="1"/>
  <c r="Y7" i="4" s="1"/>
  <c r="W7" i="4"/>
  <c r="Q8" i="4"/>
  <c r="T8" i="4"/>
  <c r="Q9" i="4"/>
  <c r="T9" i="4"/>
  <c r="U9" i="4" s="1"/>
  <c r="W19" i="5"/>
  <c r="W12" i="5"/>
  <c r="W15" i="5"/>
  <c r="W16" i="5"/>
  <c r="Y9" i="5"/>
  <c r="W14" i="5"/>
  <c r="W13" i="5"/>
  <c r="W17" i="5"/>
  <c r="X7" i="4"/>
  <c r="AA7" i="4"/>
  <c r="AA6" i="4"/>
  <c r="W20" i="5"/>
  <c r="W21" i="5"/>
  <c r="W11" i="5"/>
  <c r="W18" i="5"/>
  <c r="X5" i="4"/>
  <c r="W10"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Q10" i="4"/>
  <c r="T10" i="4"/>
  <c r="U10" i="4" s="1"/>
  <c r="Y16" i="5"/>
  <c r="Y12" i="5"/>
  <c r="U5" i="4"/>
  <c r="Y20" i="5"/>
  <c r="Y21" i="5"/>
  <c r="Y11" i="5"/>
  <c r="Y10" i="5"/>
  <c r="Y13" i="5"/>
  <c r="Y19" i="5"/>
  <c r="Y14" i="5"/>
  <c r="Y15" i="5"/>
  <c r="Y18" i="5"/>
  <c r="Y17" i="5"/>
  <c r="Y5" i="4" l="1"/>
  <c r="Z5" i="4" s="1"/>
  <c r="AB5" i="4" s="1"/>
  <c r="X5" i="5"/>
  <c r="Y10" i="4"/>
  <c r="Q11" i="4"/>
  <c r="T11" i="4"/>
  <c r="Q12" i="4"/>
  <c r="T12" i="4"/>
  <c r="Q13" i="4"/>
  <c r="T13" i="4"/>
  <c r="Q14" i="4"/>
  <c r="T14" i="4"/>
  <c r="U14" i="4" s="1"/>
  <c r="Y14" i="4" s="1"/>
  <c r="Q15" i="4"/>
  <c r="T15" i="4"/>
  <c r="U15" i="4" s="1"/>
  <c r="Y15" i="4" s="1"/>
  <c r="Q16" i="4"/>
  <c r="T16" i="4"/>
  <c r="Q17" i="4"/>
  <c r="T17" i="4"/>
  <c r="U17" i="4" s="1"/>
  <c r="Y17" i="4" s="1"/>
  <c r="Q18" i="4"/>
  <c r="T18" i="4"/>
  <c r="U18" i="4" s="1"/>
  <c r="Y18" i="4" s="1"/>
  <c r="Q19" i="4"/>
  <c r="T19" i="4"/>
  <c r="U19" i="4" s="1"/>
  <c r="Y19" i="4" s="1"/>
  <c r="Q20" i="4"/>
  <c r="T20" i="4"/>
  <c r="U20" i="4" s="1"/>
  <c r="Y20" i="4" s="1"/>
  <c r="Q21" i="4"/>
  <c r="T21" i="4"/>
  <c r="U21" i="4" s="1"/>
  <c r="Y21" i="4" s="1"/>
  <c r="Q22" i="4"/>
  <c r="T22" i="4"/>
  <c r="K4" i="13"/>
  <c r="J5" i="13"/>
  <c r="V5" i="13"/>
  <c r="J6" i="13"/>
  <c r="J7" i="13"/>
  <c r="J8" i="13"/>
  <c r="J9" i="13"/>
  <c r="J10" i="13"/>
  <c r="J11" i="13"/>
  <c r="J12" i="13"/>
  <c r="J13" i="13"/>
  <c r="J14" i="13"/>
  <c r="J15" i="13"/>
  <c r="J16" i="13"/>
  <c r="J17" i="13"/>
  <c r="J18" i="13"/>
  <c r="J19" i="13"/>
  <c r="J20" i="13"/>
  <c r="J21" i="13"/>
  <c r="J22" i="13"/>
  <c r="L5" i="14"/>
  <c r="L6" i="14"/>
  <c r="R5" i="14"/>
  <c r="AA5" i="4"/>
  <c r="R6" i="14"/>
  <c r="M4" i="14"/>
  <c r="J4" i="13"/>
  <c r="AD5" i="14" l="1"/>
  <c r="AD6" i="14"/>
  <c r="L7" i="14"/>
  <c r="R7" i="14"/>
  <c r="AD7" i="14" l="1"/>
  <c r="L8" i="14"/>
  <c r="R8" i="14"/>
  <c r="AD8" i="14" l="1"/>
  <c r="L9" i="14"/>
  <c r="R9" i="14"/>
  <c r="AD9" i="14" l="1"/>
  <c r="L10" i="14"/>
  <c r="R10" i="14"/>
  <c r="AD10" i="14" l="1"/>
  <c r="L11" i="14"/>
  <c r="R11" i="14"/>
  <c r="AD11" i="14" l="1"/>
  <c r="L12" i="14"/>
  <c r="R12" i="14"/>
  <c r="AD12" i="14" l="1"/>
  <c r="L13" i="14"/>
  <c r="R13" i="14"/>
  <c r="AD13" i="14" l="1"/>
  <c r="L14" i="14"/>
  <c r="R14" i="14"/>
  <c r="AD14" i="14" l="1"/>
  <c r="K15" i="14"/>
  <c r="L15" i="14" s="1"/>
  <c r="R15" i="14"/>
  <c r="AD15" i="14" l="1"/>
  <c r="K16" i="14"/>
  <c r="L16" i="14" s="1"/>
  <c r="R16" i="14"/>
  <c r="AD16" i="14" l="1"/>
  <c r="K17" i="14"/>
  <c r="L17" i="14" s="1"/>
  <c r="R17" i="14"/>
  <c r="AD17" i="14" l="1"/>
  <c r="K18" i="14"/>
  <c r="L18" i="14" s="1"/>
  <c r="R18" i="14"/>
  <c r="AD18" i="14" l="1"/>
  <c r="K19" i="14"/>
  <c r="L19" i="14" s="1"/>
  <c r="R19" i="14"/>
  <c r="AD19" i="14" l="1"/>
  <c r="K20" i="14"/>
  <c r="L20" i="14" s="1"/>
  <c r="R20" i="14"/>
  <c r="K21" i="14" l="1"/>
  <c r="L21" i="14" s="1"/>
  <c r="R21" i="14"/>
  <c r="K22" i="14" l="1"/>
  <c r="L22" i="14" s="1"/>
  <c r="R22" i="14"/>
  <c r="AD22" i="14" l="1"/>
  <c r="K23" i="14"/>
  <c r="L23" i="14" s="1"/>
  <c r="R23" i="14"/>
  <c r="AD23" i="14" l="1"/>
  <c r="L24" i="14"/>
  <c r="M5" i="14" s="1" a="1"/>
  <c r="M24" i="14" s="1"/>
  <c r="R24" i="14"/>
  <c r="M5" i="14" l="1"/>
  <c r="M6" i="14"/>
  <c r="M7" i="14"/>
  <c r="M8" i="14"/>
  <c r="M9" i="14"/>
  <c r="M10" i="14"/>
  <c r="M11" i="14"/>
  <c r="M12" i="14"/>
  <c r="M13" i="14"/>
  <c r="M14" i="14"/>
  <c r="M15" i="14"/>
  <c r="M16" i="14"/>
  <c r="M17" i="14"/>
  <c r="M18" i="14"/>
  <c r="M19" i="14"/>
  <c r="M20" i="14"/>
  <c r="M21" i="14"/>
  <c r="M22" i="14"/>
  <c r="M23" i="14"/>
  <c r="AD24" i="14" l="1"/>
  <c r="U8" i="15"/>
  <c r="U15" i="15"/>
  <c r="U11" i="15"/>
  <c r="U13" i="15"/>
  <c r="U9" i="15"/>
  <c r="U14" i="15"/>
  <c r="U12" i="15"/>
  <c r="U10" i="15"/>
  <c r="U17" i="15"/>
  <c r="U16" i="15"/>
  <c r="U7" i="15"/>
  <c r="U18" i="15"/>
  <c r="N7" i="15" a="1"/>
  <c r="O6" i="15"/>
  <c r="AF14" i="15" l="1"/>
  <c r="AF10" i="15"/>
  <c r="AF6" i="15"/>
  <c r="AF13" i="15"/>
  <c r="AF9" i="15"/>
  <c r="AF16" i="15"/>
  <c r="AF12" i="15"/>
  <c r="AF8" i="15"/>
  <c r="AF15" i="15"/>
  <c r="AF11" i="15"/>
  <c r="AF7" i="15"/>
  <c r="N7" i="15"/>
  <c r="N15" i="15"/>
  <c r="N10" i="15"/>
  <c r="N18" i="15"/>
  <c r="N8" i="15"/>
  <c r="N17" i="15"/>
  <c r="N12" i="15"/>
  <c r="N13" i="15"/>
  <c r="N16" i="15"/>
  <c r="N11" i="15"/>
  <c r="N14" i="15"/>
  <c r="N9" i="15"/>
  <c r="AF17" i="15" l="1"/>
  <c r="U45" i="16"/>
  <c r="U32" i="16"/>
  <c r="U26" i="16"/>
  <c r="U18" i="16"/>
  <c r="U46" i="16"/>
  <c r="U19" i="16"/>
  <c r="U14" i="16"/>
  <c r="U12" i="16"/>
  <c r="U13" i="16"/>
  <c r="U42" i="16"/>
  <c r="U25" i="16"/>
  <c r="U34" i="16"/>
  <c r="U29" i="16"/>
  <c r="U47" i="16"/>
  <c r="U23" i="16"/>
  <c r="U27" i="16"/>
  <c r="U7" i="16"/>
  <c r="U28" i="16"/>
  <c r="U44" i="16"/>
  <c r="U20" i="16"/>
  <c r="U36" i="16"/>
  <c r="U24" i="16"/>
  <c r="U17" i="16"/>
  <c r="U15" i="16"/>
  <c r="U9" i="16"/>
  <c r="U21" i="16"/>
  <c r="U30" i="16"/>
  <c r="U48" i="16"/>
  <c r="U16" i="16"/>
  <c r="U11" i="16"/>
  <c r="U43" i="16"/>
  <c r="U35" i="16"/>
  <c r="U22" i="16"/>
  <c r="U10" i="16"/>
  <c r="U31" i="16"/>
  <c r="U39" i="16"/>
  <c r="U38" i="16"/>
  <c r="U41" i="16"/>
  <c r="U40" i="16"/>
  <c r="U37" i="16"/>
  <c r="U8" i="16"/>
  <c r="U33" i="16"/>
  <c r="N7" i="16" a="1"/>
  <c r="O6" i="16"/>
  <c r="AF27" i="16" l="1"/>
  <c r="AF23" i="16"/>
  <c r="AF19" i="16"/>
  <c r="AF15" i="16"/>
  <c r="AF11" i="16"/>
  <c r="AF7" i="16"/>
  <c r="AF39" i="16"/>
  <c r="AF30" i="16"/>
  <c r="AF6" i="16"/>
  <c r="AF35" i="16"/>
  <c r="AF38" i="16"/>
  <c r="AF18" i="16"/>
  <c r="AF14" i="16"/>
  <c r="AF45" i="16"/>
  <c r="AF33" i="16"/>
  <c r="AF29" i="16"/>
  <c r="AF25" i="16"/>
  <c r="AF21" i="16"/>
  <c r="AF17" i="16"/>
  <c r="AF13" i="16"/>
  <c r="AF9" i="16"/>
  <c r="AF31" i="16"/>
  <c r="AF42" i="16"/>
  <c r="AF26" i="16"/>
  <c r="AF37" i="16"/>
  <c r="AF43" i="16"/>
  <c r="AF46" i="16"/>
  <c r="AF34" i="16"/>
  <c r="AF22" i="16"/>
  <c r="AF10" i="16"/>
  <c r="AF41" i="16"/>
  <c r="AF44" i="16"/>
  <c r="AF40" i="16"/>
  <c r="AF36" i="16"/>
  <c r="AF32" i="16"/>
  <c r="AF28" i="16"/>
  <c r="AF24" i="16"/>
  <c r="AF20" i="16"/>
  <c r="AF16" i="16"/>
  <c r="AF12" i="16"/>
  <c r="AF8" i="16"/>
  <c r="N8" i="16"/>
  <c r="N16" i="16"/>
  <c r="N24" i="16"/>
  <c r="N32" i="16"/>
  <c r="N40" i="16"/>
  <c r="N48" i="16"/>
  <c r="N19" i="16"/>
  <c r="N27" i="16"/>
  <c r="N35" i="16"/>
  <c r="N43" i="16"/>
  <c r="N30" i="16"/>
  <c r="N38" i="16"/>
  <c r="N46" i="16"/>
  <c r="N9" i="16"/>
  <c r="N17" i="16"/>
  <c r="N33" i="16"/>
  <c r="N41" i="16"/>
  <c r="N12" i="16"/>
  <c r="N28" i="16"/>
  <c r="N36" i="16"/>
  <c r="N44" i="16"/>
  <c r="N39" i="16"/>
  <c r="N18" i="16"/>
  <c r="N34" i="16"/>
  <c r="N42" i="16"/>
  <c r="N13" i="16"/>
  <c r="N11" i="16"/>
  <c r="N14" i="16"/>
  <c r="N22" i="16"/>
  <c r="N25" i="16"/>
  <c r="N20" i="16"/>
  <c r="N7" i="16"/>
  <c r="N15" i="16"/>
  <c r="N23" i="16"/>
  <c r="N31" i="16"/>
  <c r="N47" i="16"/>
  <c r="N10" i="16"/>
  <c r="N26" i="16"/>
  <c r="N21" i="16"/>
  <c r="N29" i="16"/>
  <c r="N37" i="16"/>
  <c r="N45" i="16"/>
  <c r="AF47" i="16" l="1"/>
  <c r="O6" i="17" a="1"/>
  <c r="O6" i="17" s="1"/>
  <c r="AF6" i="17"/>
  <c r="AF7" i="17"/>
  <c r="AF8" i="17"/>
  <c r="U9" i="17"/>
  <c r="U7" i="17"/>
  <c r="U8" i="17"/>
  <c r="U6" i="17"/>
  <c r="N4" i="17"/>
  <c r="O5" i="17"/>
  <c r="O9" i="17" l="1"/>
  <c r="O7" i="17"/>
  <c r="O8" i="17"/>
  <c r="N6" i="17" a="1"/>
  <c r="N7" i="17" l="1"/>
  <c r="N6" i="17"/>
  <c r="N8" i="17"/>
  <c r="N9" i="17"/>
  <c r="AF9" i="17"/>
  <c r="H5" i="18"/>
  <c r="N5" i="21"/>
  <c r="T5" i="21"/>
  <c r="H4" i="18"/>
  <c r="O4" i="21"/>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O5" i="21" l="1"/>
  <c r="O6" i="21"/>
  <c r="O7" i="21"/>
  <c r="O8" i="21"/>
  <c r="O9" i="21"/>
  <c r="O10" i="21"/>
  <c r="O11" i="21"/>
  <c r="O12" i="21"/>
  <c r="O13" i="21"/>
  <c r="O14" i="21"/>
  <c r="O15" i="21"/>
  <c r="AF15" i="21" l="1"/>
  <c r="N5" i="22"/>
  <c r="N6" i="22"/>
  <c r="T6" i="22"/>
  <c r="T5" i="22"/>
  <c r="O4" i="22"/>
  <c r="AF5" i="22" l="1"/>
  <c r="AF6" i="22"/>
  <c r="N7" i="22"/>
  <c r="T7" i="22"/>
  <c r="AF7" i="22" l="1"/>
  <c r="N8" i="22"/>
  <c r="T8" i="22"/>
  <c r="AF8" i="22" l="1"/>
  <c r="N9" i="22"/>
  <c r="T9" i="22"/>
  <c r="AF9" i="22" l="1"/>
  <c r="N10" i="22"/>
  <c r="T10" i="22"/>
  <c r="AF10" i="22" l="1"/>
  <c r="N11" i="22"/>
  <c r="O5" i="22" s="1" a="1"/>
  <c r="T11" i="22"/>
  <c r="O5" i="22" l="1"/>
  <c r="O6" i="22"/>
  <c r="O7" i="22"/>
  <c r="O8" i="22"/>
  <c r="O9" i="22"/>
  <c r="O10" i="22"/>
  <c r="O11" i="22"/>
  <c r="AF11" i="22" l="1"/>
  <c r="P5" i="23" a="1"/>
  <c r="P5" i="23" s="1"/>
  <c r="Q5" i="23" a="1"/>
  <c r="Q5" i="23" s="1"/>
  <c r="X5" i="23"/>
  <c r="S4" i="23"/>
  <c r="R5" i="23" l="1"/>
  <c r="AJ5" i="23" l="1"/>
  <c r="P6" i="23"/>
  <c r="Q6" i="23"/>
  <c r="R6" i="23"/>
  <c r="X6" i="23"/>
  <c r="AJ6" i="23" l="1"/>
  <c r="P7" i="23"/>
  <c r="Q7" i="23"/>
  <c r="X7" i="23"/>
  <c r="R7" i="23" l="1"/>
  <c r="AJ7" i="23"/>
  <c r="P8" i="23"/>
  <c r="Q8" i="23"/>
  <c r="X8" i="23"/>
  <c r="R8" i="23" l="1"/>
  <c r="AJ8" i="23"/>
  <c r="P9" i="23"/>
  <c r="R9" i="23" s="1"/>
  <c r="Q9" i="23"/>
  <c r="X9" i="23"/>
  <c r="AJ9" i="23" l="1"/>
  <c r="P10" i="23"/>
  <c r="R10" i="23" s="1"/>
  <c r="Q10" i="23"/>
  <c r="X10" i="23"/>
  <c r="AJ10" i="23" l="1"/>
  <c r="P11" i="23"/>
  <c r="Q11" i="23"/>
  <c r="X11" i="23"/>
  <c r="R11" i="23" l="1"/>
  <c r="AJ11" i="23"/>
  <c r="P12" i="23"/>
  <c r="Q12" i="23"/>
  <c r="X12" i="23"/>
  <c r="R12" i="23" l="1"/>
  <c r="AJ12" i="23"/>
  <c r="P13" i="23"/>
  <c r="Q13" i="23"/>
  <c r="X13" i="23"/>
  <c r="R13" i="23" l="1"/>
  <c r="AJ13" i="23"/>
  <c r="P14" i="23"/>
  <c r="R14" i="23" s="1"/>
  <c r="Q14" i="23"/>
  <c r="X14" i="23"/>
  <c r="AJ14" i="23" l="1"/>
  <c r="P15" i="23"/>
  <c r="Q15" i="23"/>
  <c r="X15" i="23"/>
  <c r="R15" i="23" l="1"/>
  <c r="AJ15" i="23"/>
  <c r="P16" i="23"/>
  <c r="Q16" i="23"/>
  <c r="X16" i="23"/>
  <c r="R16" i="23" l="1"/>
  <c r="AJ16" i="23"/>
  <c r="P17" i="23"/>
  <c r="Q17" i="23"/>
  <c r="X17" i="23"/>
  <c r="R17" i="23" l="1"/>
  <c r="AJ17" i="23"/>
  <c r="P18" i="23"/>
  <c r="Q18" i="23"/>
  <c r="X18" i="23"/>
  <c r="R18" i="23" l="1"/>
  <c r="AJ18" i="23"/>
  <c r="P19" i="23"/>
  <c r="Q19" i="23"/>
  <c r="X19" i="23"/>
  <c r="R19" i="23" l="1"/>
  <c r="AJ19" i="23"/>
  <c r="P20" i="23"/>
  <c r="Q20" i="23"/>
  <c r="X20" i="23"/>
  <c r="R20" i="23" l="1"/>
  <c r="AJ20" i="23"/>
  <c r="P21" i="23"/>
  <c r="Q21" i="23"/>
  <c r="R21" i="23"/>
  <c r="X21" i="23"/>
  <c r="AJ21" i="23" l="1"/>
  <c r="P22" i="23"/>
  <c r="Q22" i="23"/>
  <c r="R22" i="23"/>
  <c r="X22" i="23"/>
  <c r="AJ22" i="23" l="1"/>
  <c r="P23" i="23"/>
  <c r="Q23" i="23"/>
  <c r="R23" i="23"/>
  <c r="X23" i="23"/>
  <c r="AJ23" i="23" l="1"/>
  <c r="P24" i="23"/>
  <c r="Q24" i="23"/>
  <c r="X24" i="23"/>
  <c r="R24" i="23" l="1"/>
  <c r="AJ24" i="23"/>
  <c r="P25" i="23"/>
  <c r="Q25" i="23"/>
  <c r="X25" i="23"/>
  <c r="R25" i="23" l="1"/>
  <c r="AJ25" i="23"/>
  <c r="P26" i="23"/>
  <c r="Q26" i="23"/>
  <c r="X26" i="23"/>
  <c r="R26" i="23" l="1"/>
  <c r="AJ26" i="23"/>
  <c r="P27" i="23"/>
  <c r="Q27" i="23"/>
  <c r="R27" i="23"/>
  <c r="X27" i="23"/>
  <c r="AJ27" i="23" l="1"/>
  <c r="P28" i="23"/>
  <c r="Q28" i="23"/>
  <c r="X28" i="23"/>
  <c r="R28" i="23" l="1"/>
  <c r="AJ28" i="23"/>
  <c r="P29" i="23"/>
  <c r="Q29" i="23"/>
  <c r="X29" i="23"/>
  <c r="R29" i="23" l="1"/>
  <c r="AJ29" i="23"/>
  <c r="P30" i="23"/>
  <c r="Q30" i="23"/>
  <c r="X30" i="23"/>
  <c r="R30" i="23" l="1"/>
  <c r="AJ30" i="23"/>
  <c r="P31" i="23"/>
  <c r="Q31" i="23"/>
  <c r="X31" i="23"/>
  <c r="R31" i="23" l="1"/>
  <c r="AJ31" i="23"/>
  <c r="P32" i="23"/>
  <c r="Q32" i="23"/>
  <c r="X32" i="23"/>
  <c r="R32" i="23" l="1"/>
  <c r="AJ32" i="23"/>
  <c r="P33" i="23"/>
  <c r="Q33" i="23"/>
  <c r="X33" i="23"/>
  <c r="R33" i="23" l="1"/>
  <c r="AJ33" i="23"/>
  <c r="P34" i="23"/>
  <c r="Q34" i="23"/>
  <c r="R34" i="23"/>
  <c r="X34" i="23"/>
  <c r="AJ34" i="23" l="1"/>
  <c r="P35" i="23"/>
  <c r="Q35" i="23"/>
  <c r="R35" i="23"/>
  <c r="X35" i="23"/>
  <c r="AJ35" i="23" l="1"/>
  <c r="P36" i="23"/>
  <c r="Q36" i="23"/>
  <c r="X36" i="23"/>
  <c r="R36" i="23" l="1"/>
  <c r="AJ36" i="23"/>
  <c r="P37" i="23"/>
  <c r="Q37" i="23"/>
  <c r="X37" i="23"/>
  <c r="R37" i="23" l="1"/>
  <c r="AJ37" i="23"/>
  <c r="P38" i="23"/>
  <c r="Q38" i="23"/>
  <c r="R38" i="23"/>
  <c r="X38" i="23"/>
  <c r="AJ38" i="23" l="1"/>
  <c r="P39" i="23"/>
  <c r="Q39" i="23"/>
  <c r="X39" i="23"/>
  <c r="R39" i="23" l="1"/>
  <c r="AJ39" i="23"/>
  <c r="P40" i="23"/>
  <c r="Q40" i="23"/>
  <c r="X40" i="23"/>
  <c r="R40" i="23" l="1"/>
  <c r="AJ40" i="23"/>
  <c r="P41" i="23"/>
  <c r="Q41" i="23"/>
  <c r="X41" i="23"/>
  <c r="R41" i="23" l="1"/>
  <c r="AJ41" i="23"/>
  <c r="P42" i="23"/>
  <c r="Q42" i="23"/>
  <c r="X42" i="23"/>
  <c r="R42" i="23" l="1"/>
  <c r="S5" i="23" s="1" a="1"/>
  <c r="S42" i="23" s="1"/>
  <c r="S34" i="23" l="1"/>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J42" i="23"/>
  <c r="P5" i="24" a="1"/>
  <c r="P5" i="24" s="1"/>
  <c r="Q5" i="24" a="1"/>
  <c r="Q5" i="24" s="1"/>
  <c r="X5" i="24"/>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X16" i="24"/>
  <c r="R16" i="24" l="1"/>
  <c r="AJ16" i="24"/>
  <c r="P17" i="24"/>
  <c r="Q17" i="24"/>
  <c r="X17" i="24"/>
  <c r="R17" i="24" l="1"/>
  <c r="AJ17" i="24"/>
  <c r="P18" i="24"/>
  <c r="Q18" i="24"/>
  <c r="X18" i="24"/>
  <c r="R18" i="24" l="1"/>
  <c r="AJ18" i="24"/>
  <c r="P19" i="24"/>
  <c r="Q19" i="24"/>
  <c r="R19" i="24"/>
  <c r="X19" i="24"/>
  <c r="AJ19" i="24" l="1"/>
  <c r="P20" i="24"/>
  <c r="Q20" i="24"/>
  <c r="R20" i="24"/>
  <c r="X20" i="24"/>
  <c r="AJ20" i="24" l="1"/>
  <c r="P21" i="24"/>
  <c r="Q21" i="24"/>
  <c r="R21" i="24"/>
  <c r="X21" i="24"/>
  <c r="AJ21" i="24" l="1"/>
  <c r="P22" i="24"/>
  <c r="Q22" i="24"/>
  <c r="X22" i="24"/>
  <c r="R22" i="24" l="1"/>
  <c r="AJ22" i="24"/>
  <c r="P23" i="24"/>
  <c r="Q23" i="24"/>
  <c r="X23" i="24"/>
  <c r="R23" i="24" l="1"/>
  <c r="AJ23" i="24"/>
  <c r="P24" i="24"/>
  <c r="Q24" i="24"/>
  <c r="X24" i="24"/>
  <c r="R24" i="24" l="1"/>
  <c r="AJ24" i="24"/>
  <c r="P25" i="24"/>
  <c r="Q25" i="24"/>
  <c r="X25" i="24"/>
  <c r="R25" i="24" l="1"/>
  <c r="AJ25" i="24"/>
  <c r="P26" i="24"/>
  <c r="Q26" i="24"/>
  <c r="X26" i="24"/>
  <c r="R26" i="24" l="1"/>
  <c r="AJ26" i="24"/>
  <c r="P27" i="24"/>
  <c r="Q27" i="24"/>
  <c r="R27" i="24"/>
  <c r="X27" i="24"/>
  <c r="AJ27" i="24" l="1"/>
  <c r="P28" i="24"/>
  <c r="Q28" i="24"/>
  <c r="R28" i="24"/>
  <c r="X28" i="24"/>
  <c r="AJ28" i="24" l="1"/>
  <c r="P29" i="24"/>
  <c r="Q29" i="24"/>
  <c r="X29" i="24"/>
  <c r="R29" i="24" l="1"/>
  <c r="AJ29" i="24"/>
  <c r="P30" i="24"/>
  <c r="Q30" i="24"/>
  <c r="X30" i="24"/>
  <c r="R30" i="24" l="1"/>
  <c r="AJ30" i="24"/>
  <c r="P31" i="24"/>
  <c r="Q31" i="24"/>
  <c r="X31" i="24"/>
  <c r="R31" i="24" l="1"/>
  <c r="AJ31" i="24"/>
  <c r="P32" i="24"/>
  <c r="Q32" i="24"/>
  <c r="X32" i="24"/>
  <c r="R32" i="24" l="1"/>
  <c r="AJ32" i="24"/>
  <c r="P33" i="24"/>
  <c r="Q33" i="24"/>
  <c r="X33" i="24"/>
  <c r="R33" i="24" l="1"/>
  <c r="AJ33" i="24"/>
  <c r="P34" i="24"/>
  <c r="Q34" i="24"/>
  <c r="R34" i="24"/>
  <c r="X34" i="24"/>
  <c r="AJ34" i="24" l="1"/>
  <c r="P35" i="24"/>
  <c r="Q35" i="24"/>
  <c r="X35" i="24"/>
  <c r="R35" i="24" l="1"/>
  <c r="AJ35" i="24"/>
  <c r="P36" i="24"/>
  <c r="Q36" i="24"/>
  <c r="X36" i="24"/>
  <c r="R36" i="24" l="1"/>
  <c r="AJ36" i="24"/>
  <c r="P37" i="24"/>
  <c r="Q37" i="24"/>
  <c r="X37" i="24"/>
  <c r="R37" i="24" l="1"/>
  <c r="AJ37" i="24"/>
  <c r="P38" i="24"/>
  <c r="Q38" i="24"/>
  <c r="X38" i="24"/>
  <c r="R38" i="24" l="1"/>
  <c r="AJ38" i="24"/>
  <c r="P39" i="24"/>
  <c r="Q39" i="24"/>
  <c r="X39" i="24"/>
  <c r="R39" i="24" l="1"/>
  <c r="AJ39" i="24"/>
  <c r="P40" i="24"/>
  <c r="Q40" i="24"/>
  <c r="X40" i="24"/>
  <c r="R40" i="24" l="1"/>
  <c r="AJ40" i="24"/>
  <c r="P41" i="24"/>
  <c r="Q41" i="24"/>
  <c r="X41" i="24"/>
  <c r="R41" i="24" l="1"/>
  <c r="AJ41" i="24"/>
  <c r="P42" i="24"/>
  <c r="Q42" i="24"/>
  <c r="R42" i="24"/>
  <c r="S5" i="24" s="1" a="1"/>
  <c r="X42" i="24"/>
  <c r="S5" i="24" l="1"/>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J42" i="24" l="1"/>
  <c r="P5" i="9" a="1"/>
  <c r="P5" i="9" s="1"/>
  <c r="Q5" i="9" a="1"/>
  <c r="Q5" i="9" s="1"/>
  <c r="V5" i="9"/>
  <c r="S4" i="9"/>
  <c r="L5" i="18" l="1"/>
  <c r="R5" i="9"/>
  <c r="W5" i="9"/>
  <c r="P6" i="9" l="1"/>
  <c r="Q6" i="9"/>
  <c r="R6" i="9"/>
  <c r="V6" i="9"/>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V16" i="9"/>
  <c r="R16" i="9" l="1"/>
  <c r="W16" i="9"/>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Q31" i="9"/>
  <c r="V31" i="9"/>
  <c r="R31" i="9" l="1"/>
  <c r="W31" i="9"/>
  <c r="P32" i="9"/>
  <c r="Q32" i="9"/>
  <c r="V32" i="9"/>
  <c r="R32" i="9" l="1"/>
  <c r="W32" i="9"/>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I5" i="10" l="1"/>
  <c r="P6" i="10"/>
  <c r="Q6" i="10"/>
  <c r="V6" i="10"/>
  <c r="R6" i="10" l="1"/>
  <c r="W6" i="10"/>
  <c r="AI6" i="10"/>
  <c r="P7" i="10"/>
  <c r="Q7" i="10"/>
  <c r="V7" i="10"/>
  <c r="R7" i="10" l="1"/>
  <c r="W7" i="10"/>
  <c r="AI7" i="10"/>
  <c r="P8" i="10"/>
  <c r="Q8" i="10"/>
  <c r="V8" i="10"/>
  <c r="R8" i="10" l="1"/>
  <c r="W8" i="10"/>
  <c r="AI8" i="10"/>
  <c r="P9" i="10"/>
  <c r="Q9" i="10"/>
  <c r="V9" i="10"/>
  <c r="R9" i="10" l="1"/>
  <c r="W9" i="10"/>
  <c r="AI9" i="10"/>
  <c r="P10" i="10"/>
  <c r="Q10" i="10"/>
  <c r="V10" i="10"/>
  <c r="R10" i="10" l="1"/>
  <c r="W10" i="10"/>
  <c r="AI10" i="10"/>
  <c r="P11" i="10"/>
  <c r="Q11" i="10"/>
  <c r="V11" i="10"/>
  <c r="R11" i="10" l="1"/>
  <c r="W11" i="10"/>
  <c r="AI11" i="10"/>
  <c r="P12" i="10"/>
  <c r="Q12" i="10"/>
  <c r="V12" i="10"/>
  <c r="R12" i="10" l="1"/>
  <c r="W12" i="10"/>
  <c r="AI12" i="10"/>
  <c r="P13" i="10"/>
  <c r="Q13" i="10"/>
  <c r="R13" i="10"/>
  <c r="V13" i="10"/>
  <c r="W13" i="10" l="1"/>
  <c r="AI13" i="10"/>
  <c r="P14" i="10"/>
  <c r="Q14" i="10"/>
  <c r="R14" i="10"/>
  <c r="V14" i="10"/>
  <c r="W14" i="10" l="1"/>
  <c r="AI14" i="10"/>
  <c r="P15" i="10"/>
  <c r="Q15" i="10"/>
  <c r="R15" i="10"/>
  <c r="V15" i="10"/>
  <c r="W15" i="10" l="1"/>
  <c r="AI15" i="10"/>
  <c r="P16" i="10"/>
  <c r="Q16" i="10"/>
  <c r="R16" i="10"/>
  <c r="V16" i="10"/>
  <c r="W16" i="10" l="1"/>
  <c r="AI16" i="10"/>
  <c r="P17" i="10"/>
  <c r="Q17" i="10"/>
  <c r="R17" i="10"/>
  <c r="V17" i="10"/>
  <c r="W17" i="10" l="1"/>
  <c r="AI17" i="10"/>
  <c r="P18" i="10"/>
  <c r="Q18" i="10"/>
  <c r="R18" i="10"/>
  <c r="V18" i="10"/>
  <c r="W18" i="10" l="1"/>
  <c r="AI18" i="10"/>
  <c r="P19" i="10"/>
  <c r="Q19" i="10"/>
  <c r="R19" i="10"/>
  <c r="V19" i="10"/>
  <c r="W19" i="10" l="1"/>
  <c r="AI19" i="10"/>
  <c r="P20" i="10"/>
  <c r="Q20" i="10"/>
  <c r="R20" i="10"/>
  <c r="V20" i="10"/>
  <c r="W20" i="10" l="1"/>
  <c r="AI20" i="10"/>
  <c r="P21" i="10"/>
  <c r="Q21" i="10"/>
  <c r="R21" i="10"/>
  <c r="V21" i="10"/>
  <c r="W21" i="10" l="1"/>
  <c r="AI21" i="10"/>
  <c r="P22" i="10"/>
  <c r="Q22" i="10"/>
  <c r="R22" i="10"/>
  <c r="V22" i="10"/>
  <c r="W22" i="10" l="1"/>
  <c r="AI22" i="10"/>
  <c r="P23" i="10"/>
  <c r="Q23" i="10"/>
  <c r="R23" i="10"/>
  <c r="V23" i="10"/>
  <c r="W23" i="10" l="1"/>
  <c r="AI23" i="10"/>
  <c r="P24" i="10"/>
  <c r="Q24" i="10"/>
  <c r="R24" i="10"/>
  <c r="V24" i="10"/>
  <c r="W24" i="10" l="1"/>
  <c r="AI24" i="10"/>
  <c r="P25" i="10"/>
  <c r="Q25" i="10"/>
  <c r="R25" i="10"/>
  <c r="V25" i="10"/>
  <c r="W25" i="10" l="1"/>
  <c r="AI25" i="10"/>
  <c r="P26" i="10"/>
  <c r="Q26" i="10"/>
  <c r="R26" i="10"/>
  <c r="V26" i="10"/>
  <c r="W26" i="10" l="1"/>
  <c r="AI26" i="10"/>
  <c r="P27" i="10"/>
  <c r="Q27" i="10"/>
  <c r="R27" i="10"/>
  <c r="V27" i="10"/>
  <c r="W27" i="10" l="1"/>
  <c r="AI27" i="10"/>
  <c r="P28" i="10"/>
  <c r="Q28" i="10"/>
  <c r="R28" i="10"/>
  <c r="V28" i="10"/>
  <c r="W28" i="10" l="1"/>
  <c r="AI28" i="10"/>
  <c r="P29" i="10"/>
  <c r="Q29" i="10"/>
  <c r="R29" i="10"/>
  <c r="V29" i="10"/>
  <c r="W29" i="10" l="1"/>
  <c r="AI29" i="10"/>
  <c r="P30" i="10"/>
  <c r="Q30" i="10"/>
  <c r="R30" i="10"/>
  <c r="V30" i="10"/>
  <c r="W30" i="10" l="1"/>
  <c r="AI30" i="10"/>
  <c r="P31" i="10"/>
  <c r="Q31" i="10"/>
  <c r="R31" i="10"/>
  <c r="V31" i="10"/>
  <c r="W31" i="10" l="1"/>
  <c r="AI31" i="10"/>
  <c r="P32" i="10"/>
  <c r="Q32" i="10"/>
  <c r="R32" i="10"/>
  <c r="V32" i="10"/>
  <c r="W32" i="10" l="1"/>
  <c r="AI32" i="10"/>
  <c r="P33" i="10"/>
  <c r="Q33" i="10"/>
  <c r="R33" i="10"/>
  <c r="V33" i="10"/>
  <c r="W33" i="10" l="1"/>
  <c r="AI33" i="10"/>
  <c r="P34" i="10"/>
  <c r="Q34" i="10"/>
  <c r="R34" i="10"/>
  <c r="V34" i="10"/>
  <c r="W34" i="10" l="1"/>
  <c r="AI34" i="10"/>
  <c r="P35" i="10"/>
  <c r="Q35" i="10"/>
  <c r="R35" i="10"/>
  <c r="V35" i="10"/>
  <c r="W35" i="10" l="1"/>
  <c r="AI35" i="10"/>
  <c r="P36" i="10"/>
  <c r="Q36" i="10"/>
  <c r="R36" i="10"/>
  <c r="V36" i="10"/>
  <c r="W36" i="10" l="1"/>
  <c r="AI36" i="10"/>
  <c r="P37" i="10"/>
  <c r="Q37" i="10"/>
  <c r="R37" i="10"/>
  <c r="V37" i="10"/>
  <c r="W37" i="10" l="1"/>
  <c r="AI37" i="10"/>
  <c r="P38" i="10"/>
  <c r="Q38" i="10"/>
  <c r="R38" i="10"/>
  <c r="V38" i="10"/>
  <c r="W38" i="10" l="1"/>
  <c r="AI38" i="10"/>
  <c r="P39" i="10"/>
  <c r="Q39" i="10"/>
  <c r="R39" i="10"/>
  <c r="V39" i="10"/>
  <c r="W39" i="10" l="1"/>
  <c r="AI39" i="10"/>
  <c r="P40" i="10"/>
  <c r="Q40" i="10"/>
  <c r="R40" i="10"/>
  <c r="V40" i="10"/>
  <c r="W40" i="10" l="1"/>
  <c r="AI40" i="10"/>
  <c r="P41" i="10"/>
  <c r="Q41" i="10"/>
  <c r="R41" i="10"/>
  <c r="V41" i="10"/>
  <c r="W41" i="10" l="1"/>
  <c r="AI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I42" i="10"/>
  <c r="P5" i="11" a="1"/>
  <c r="P5" i="11" s="1"/>
  <c r="Q5" i="11" a="1"/>
  <c r="Q5" i="11" s="1"/>
  <c r="V5" i="11"/>
  <c r="S4" i="11"/>
  <c r="R5" i="11" l="1"/>
  <c r="W5" i="11"/>
  <c r="P6" i="11"/>
  <c r="Q6" i="11"/>
  <c r="V6" i="11"/>
  <c r="R6" i="11" l="1"/>
  <c r="W6" i="11"/>
  <c r="P7" i="11"/>
  <c r="Q7" i="11"/>
  <c r="V7" i="11"/>
  <c r="R7" i="11" l="1"/>
  <c r="W7" i="11"/>
  <c r="P8" i="11"/>
  <c r="Q8" i="11"/>
  <c r="V8" i="11"/>
  <c r="R8" i="11" l="1"/>
  <c r="W8" i="11"/>
  <c r="P9" i="11"/>
  <c r="Q9" i="11"/>
  <c r="V9" i="11"/>
  <c r="R9" i="11" l="1"/>
  <c r="W9" i="11"/>
  <c r="P10" i="11"/>
  <c r="Q10" i="11"/>
  <c r="V10" i="11"/>
  <c r="R10" i="11" l="1"/>
  <c r="W10" i="11"/>
  <c r="P11" i="11"/>
  <c r="Q11" i="11"/>
  <c r="V11" i="11"/>
  <c r="R11" i="11" l="1"/>
  <c r="W11" i="11"/>
  <c r="P12" i="11"/>
  <c r="Q12" i="11"/>
  <c r="V12" i="11"/>
  <c r="R12" i="11" l="1"/>
  <c r="W12" i="11"/>
  <c r="P13" i="11"/>
  <c r="Q13" i="11"/>
  <c r="V13" i="11"/>
  <c r="R13" i="11" l="1"/>
  <c r="W13" i="11"/>
  <c r="P14" i="11"/>
  <c r="Q14" i="11"/>
  <c r="V14" i="11"/>
  <c r="R14" i="11" l="1"/>
  <c r="W14" i="11"/>
  <c r="P15" i="11"/>
  <c r="Q15" i="11"/>
  <c r="V15" i="11"/>
  <c r="R15" i="11" l="1"/>
  <c r="W15" i="11"/>
  <c r="P16" i="11"/>
  <c r="Q16" i="11"/>
  <c r="V16" i="11"/>
  <c r="R16" i="11" l="1"/>
  <c r="W16" i="11"/>
  <c r="P17" i="11"/>
  <c r="Q17" i="11"/>
  <c r="V17" i="11"/>
  <c r="R17" i="11" l="1"/>
  <c r="W17" i="11"/>
  <c r="P18" i="11"/>
  <c r="Q18" i="11"/>
  <c r="V18" i="11"/>
  <c r="R18" i="11" l="1"/>
  <c r="W18" i="11"/>
  <c r="P19" i="11"/>
  <c r="Q19" i="11"/>
  <c r="V19" i="11"/>
  <c r="R19" i="11" l="1"/>
  <c r="W19" i="11"/>
  <c r="P20" i="11"/>
  <c r="Q20" i="11"/>
  <c r="V20" i="11"/>
  <c r="R20" i="11" l="1"/>
  <c r="W20" i="11"/>
  <c r="P21" i="11"/>
  <c r="Q21" i="11"/>
  <c r="V21" i="11"/>
  <c r="R21" i="11" l="1"/>
  <c r="W21" i="11"/>
  <c r="P22" i="11"/>
  <c r="Q22" i="11"/>
  <c r="V22" i="11"/>
  <c r="R22" i="11" l="1"/>
  <c r="W22" i="11"/>
  <c r="P23" i="11"/>
  <c r="Q23" i="11"/>
  <c r="V23" i="11"/>
  <c r="R23" i="11" l="1"/>
  <c r="W23" i="11"/>
  <c r="P24" i="11"/>
  <c r="Q24" i="11"/>
  <c r="R24" i="11"/>
  <c r="V24" i="11"/>
  <c r="W24" i="11" l="1"/>
  <c r="P25" i="11"/>
  <c r="Q25" i="11"/>
  <c r="R25" i="11"/>
  <c r="V25" i="11"/>
  <c r="W25" i="11" l="1"/>
  <c r="P26" i="11"/>
  <c r="Q26" i="11"/>
  <c r="R26" i="11"/>
  <c r="V26" i="11"/>
  <c r="W26" i="11" l="1"/>
  <c r="P27" i="11"/>
  <c r="Q27" i="11"/>
  <c r="R27" i="11"/>
  <c r="V27" i="11"/>
  <c r="W27" i="11" l="1"/>
  <c r="P28" i="11"/>
  <c r="Q28" i="11"/>
  <c r="R28" i="11"/>
  <c r="V28" i="11"/>
  <c r="W28" i="11" l="1"/>
  <c r="P29" i="11"/>
  <c r="Q29" i="11"/>
  <c r="R29" i="11"/>
  <c r="V29" i="11"/>
  <c r="W29" i="11" l="1"/>
  <c r="P30" i="11"/>
  <c r="Q30" i="11"/>
  <c r="R30" i="11"/>
  <c r="V30" i="11"/>
  <c r="W30" i="11" l="1"/>
  <c r="P31" i="11"/>
  <c r="Q31" i="11"/>
  <c r="R31" i="11"/>
  <c r="V31" i="11"/>
  <c r="W31" i="11" l="1"/>
  <c r="P32" i="11"/>
  <c r="Q32" i="11"/>
  <c r="R32" i="11"/>
  <c r="V32" i="11"/>
  <c r="W32" i="11" l="1"/>
  <c r="P33" i="11"/>
  <c r="Q33" i="11"/>
  <c r="R33" i="11"/>
  <c r="V33" i="11"/>
  <c r="W33" i="11" l="1"/>
  <c r="P34" i="11"/>
  <c r="Q34" i="11"/>
  <c r="R34" i="11"/>
  <c r="V34" i="11"/>
  <c r="W34" i="11" l="1"/>
  <c r="P35" i="11"/>
  <c r="Q35" i="11"/>
  <c r="R35" i="11"/>
  <c r="V35" i="11"/>
  <c r="W35" i="11" l="1"/>
  <c r="P36" i="11"/>
  <c r="Q36" i="11"/>
  <c r="R36" i="11"/>
  <c r="V36" i="11"/>
  <c r="W36" i="11" l="1"/>
  <c r="P37" i="11"/>
  <c r="Q37" i="11"/>
  <c r="R37" i="11"/>
  <c r="V37" i="11"/>
  <c r="W37" i="11" l="1"/>
  <c r="P38" i="11"/>
  <c r="Q38" i="11"/>
  <c r="R38" i="11"/>
  <c r="V38" i="11"/>
  <c r="W38" i="11" l="1"/>
  <c r="P39" i="11"/>
  <c r="Q39" i="11"/>
  <c r="R39" i="11"/>
  <c r="V39" i="11"/>
  <c r="W39" i="11" l="1"/>
  <c r="P40" i="11"/>
  <c r="Q40" i="11"/>
  <c r="R40" i="11"/>
  <c r="V40" i="11"/>
  <c r="W40" i="11" l="1"/>
  <c r="P41" i="11"/>
  <c r="Q41" i="11"/>
  <c r="R41" i="11"/>
  <c r="V41" i="11"/>
  <c r="W41" i="11" l="1"/>
  <c r="P42" i="11"/>
  <c r="Q42" i="11"/>
  <c r="V42" i="11"/>
  <c r="R42" i="11" l="1"/>
  <c r="S5" i="11" s="1" a="1"/>
  <c r="S42" i="11" s="1"/>
  <c r="W42" i="11"/>
  <c r="S35" i="11" l="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3" i="20"/>
  <c r="T12" i="20"/>
  <c r="N14" i="20" l="1"/>
  <c r="N15" i="20"/>
  <c r="T15" i="20"/>
  <c r="T14" i="20"/>
  <c r="N16" i="20" l="1"/>
  <c r="T16" i="20"/>
  <c r="N17" i="20" l="1"/>
  <c r="N18" i="20"/>
  <c r="T17" i="20"/>
  <c r="T18" i="20"/>
  <c r="N19" i="20" l="1"/>
  <c r="N20" i="20"/>
  <c r="T19" i="20"/>
  <c r="T20" i="20"/>
  <c r="N21" i="20" l="1"/>
  <c r="N22" i="20"/>
  <c r="T22" i="20"/>
  <c r="T21" i="20"/>
  <c r="N23" i="20" l="1"/>
  <c r="N24" i="20"/>
  <c r="T24" i="20"/>
  <c r="T23" i="20"/>
  <c r="N25" i="20" l="1"/>
  <c r="T25" i="20"/>
  <c r="N26" i="20" l="1"/>
  <c r="N27" i="20"/>
  <c r="T27" i="20"/>
  <c r="T26" i="20"/>
  <c r="N28" i="20" l="1"/>
  <c r="N29" i="20"/>
  <c r="T29" i="20"/>
  <c r="T28" i="20"/>
  <c r="N30" i="20" l="1"/>
  <c r="N31" i="20"/>
  <c r="T31" i="20"/>
  <c r="T30" i="20"/>
  <c r="N32" i="20" l="1"/>
  <c r="N33" i="20"/>
  <c r="T32" i="20"/>
  <c r="T33" i="20"/>
  <c r="N34" i="20" l="1"/>
  <c r="N35" i="20"/>
  <c r="T34" i="20"/>
  <c r="T35" i="20"/>
  <c r="N36" i="20" l="1"/>
  <c r="N37" i="20"/>
  <c r="T36" i="20"/>
  <c r="T37" i="20"/>
  <c r="O5" i="20" l="1" a="1"/>
  <c r="O37" i="20" s="1"/>
  <c r="O26" i="20" l="1"/>
  <c r="O25" i="20"/>
  <c r="O9" i="20"/>
  <c r="O36" i="20"/>
  <c r="O28" i="20"/>
  <c r="O12" i="20"/>
  <c r="O35" i="20"/>
  <c r="O27" i="20"/>
  <c r="O19" i="20"/>
  <c r="O11" i="20"/>
  <c r="O34" i="20"/>
  <c r="O18" i="20"/>
  <c r="O10" i="20"/>
  <c r="O33" i="20"/>
  <c r="O17" i="20"/>
  <c r="O32" i="20"/>
  <c r="O24" i="20"/>
  <c r="O16" i="20"/>
  <c r="O8" i="20"/>
  <c r="O31" i="20"/>
  <c r="O23" i="20"/>
  <c r="O15" i="20"/>
  <c r="O7" i="20"/>
  <c r="O30" i="20"/>
  <c r="O22" i="20"/>
  <c r="O14" i="20"/>
  <c r="O6" i="20"/>
  <c r="O29" i="20"/>
  <c r="O21" i="20"/>
  <c r="O13" i="20"/>
  <c r="O5" i="20"/>
  <c r="O20" i="20"/>
  <c r="D13" i="62" l="1"/>
  <c r="AN6" i="15"/>
  <c r="D15" i="62" l="1"/>
  <c r="D16" i="62"/>
  <c r="D19" i="62"/>
  <c r="AO6" i="15"/>
  <c r="D31" i="62" l="1"/>
  <c r="E5" i="61"/>
  <c r="O5" i="61" s="1"/>
  <c r="E6" i="61"/>
  <c r="Q3" i="61"/>
  <c r="K6" i="61"/>
  <c r="K5" i="61"/>
  <c r="B1" i="62"/>
  <c r="F4" i="61"/>
  <c r="O6" i="61" l="1"/>
  <c r="E7" i="61"/>
  <c r="K7" i="61"/>
  <c r="O7" i="61" l="1"/>
  <c r="E8" i="61"/>
  <c r="K8" i="61"/>
  <c r="O8" i="61" l="1"/>
  <c r="E9" i="61"/>
  <c r="K9" i="61"/>
  <c r="O9" i="61" l="1"/>
  <c r="E10" i="61"/>
  <c r="F5" i="61" s="1" a="1"/>
  <c r="K10" i="61"/>
  <c r="F5" i="61" l="1"/>
  <c r="F6" i="61"/>
  <c r="F7" i="61"/>
  <c r="F8" i="61"/>
  <c r="F9" i="61"/>
  <c r="F10" i="61"/>
  <c r="O10" i="61"/>
  <c r="F4" i="60"/>
  <c r="E5" i="60" l="1"/>
  <c r="O5" i="60"/>
  <c r="E6" i="60"/>
  <c r="K5" i="60"/>
  <c r="K6" i="60"/>
  <c r="O6" i="60" l="1"/>
  <c r="E7" i="60"/>
  <c r="K7" i="60"/>
  <c r="O7" i="60" l="1"/>
  <c r="E8" i="60"/>
  <c r="K8" i="60"/>
  <c r="O8" i="60" l="1"/>
  <c r="E9" i="60"/>
  <c r="K9" i="60"/>
  <c r="O9" i="60" l="1"/>
  <c r="E10" i="60"/>
  <c r="F5" i="60" s="1" a="1"/>
  <c r="F10" i="60" s="1"/>
  <c r="K10" i="60"/>
  <c r="F5" i="60" l="1"/>
  <c r="F6" i="60"/>
  <c r="F7" i="60"/>
  <c r="F8" i="60"/>
  <c r="F9" i="60"/>
  <c r="O10" i="60"/>
  <c r="D2" i="44" l="1"/>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6" i="60"/>
  <c r="Q7" i="60"/>
  <c r="Q5" i="60"/>
  <c r="Q9" i="60"/>
  <c r="Q10" i="60"/>
  <c r="Q8" i="60"/>
  <c r="D3" i="43"/>
  <c r="D3" i="44"/>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N16" i="43"/>
  <c r="N18" i="43"/>
  <c r="K4" i="43"/>
  <c r="N12" i="44"/>
  <c r="N4" i="43"/>
  <c r="N11" i="43"/>
  <c r="K7" i="44"/>
  <c r="N7" i="44"/>
  <c r="N6" i="43"/>
  <c r="N10" i="44"/>
  <c r="K8" i="44"/>
  <c r="N17" i="43"/>
  <c r="K16" i="43"/>
  <c r="N10" i="43"/>
  <c r="K11" i="44"/>
  <c r="N12" i="43"/>
  <c r="K6" i="44"/>
  <c r="N14" i="43"/>
  <c r="N8" i="43"/>
  <c r="N8" i="44"/>
  <c r="K13" i="44"/>
  <c r="N5" i="43"/>
  <c r="K5" i="43"/>
  <c r="K7" i="43"/>
  <c r="N4" i="44"/>
  <c r="K18" i="44"/>
  <c r="N11" i="44"/>
  <c r="K11" i="43"/>
  <c r="K10" i="44"/>
  <c r="N16" i="44"/>
  <c r="K14" i="44"/>
  <c r="K14" i="43"/>
  <c r="K10" i="43"/>
  <c r="K8" i="43"/>
  <c r="K12" i="43"/>
  <c r="K5" i="44"/>
  <c r="K15" i="44"/>
  <c r="K18" i="43"/>
  <c r="N6" i="44"/>
  <c r="K17" i="43"/>
  <c r="K12" i="44"/>
  <c r="N13" i="43"/>
  <c r="K9" i="43"/>
  <c r="K13" i="43"/>
  <c r="K15" i="43"/>
  <c r="N5" i="44"/>
  <c r="N13" i="44"/>
  <c r="N15" i="44"/>
  <c r="N9" i="43"/>
  <c r="N17" i="44"/>
  <c r="K6" i="43"/>
  <c r="N18" i="44"/>
  <c r="N15" i="43"/>
  <c r="K4" i="44"/>
  <c r="K16" i="44"/>
  <c r="K17" i="44"/>
  <c r="N14" i="44"/>
  <c r="N7" i="43"/>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N17" i="40"/>
  <c r="K14" i="40"/>
  <c r="K15" i="40"/>
  <c r="N6" i="40"/>
  <c r="N9" i="40"/>
  <c r="K8" i="40"/>
  <c r="N11" i="40"/>
  <c r="K5" i="40"/>
  <c r="N21" i="40"/>
  <c r="K20" i="40"/>
  <c r="K16" i="40"/>
  <c r="N18" i="40"/>
  <c r="N12" i="40"/>
  <c r="K7" i="40"/>
  <c r="K21" i="40"/>
  <c r="K10" i="40"/>
  <c r="K17" i="40"/>
  <c r="K9" i="40"/>
  <c r="K6" i="40"/>
  <c r="N16" i="40"/>
  <c r="K13" i="40"/>
  <c r="K11" i="40"/>
  <c r="N8" i="40"/>
  <c r="N4" i="40"/>
  <c r="N5" i="40"/>
  <c r="N15" i="40"/>
  <c r="N20" i="40"/>
  <c r="K12" i="40"/>
  <c r="K18" i="40"/>
  <c r="K19" i="40"/>
  <c r="K4" i="40"/>
  <c r="N14" i="40"/>
  <c r="N10" i="40"/>
  <c r="N7" i="40"/>
  <c r="N13"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9" i="39"/>
  <c r="N11" i="39"/>
  <c r="N14" i="39"/>
  <c r="K7" i="39"/>
  <c r="K17" i="39"/>
  <c r="N6" i="39"/>
  <c r="K13" i="39"/>
  <c r="N8" i="39"/>
  <c r="K12" i="39"/>
  <c r="K18" i="39"/>
  <c r="N16" i="39"/>
  <c r="N4" i="39"/>
  <c r="K14" i="39"/>
  <c r="K21" i="39"/>
  <c r="K16" i="39"/>
  <c r="K8" i="39"/>
  <c r="K19" i="39"/>
  <c r="N10" i="39"/>
  <c r="N18" i="39"/>
  <c r="N17" i="39"/>
  <c r="K9" i="39"/>
  <c r="K6" i="39"/>
  <c r="N5" i="39"/>
  <c r="K5" i="39"/>
  <c r="K11" i="39"/>
  <c r="N12" i="39"/>
  <c r="K4" i="39"/>
  <c r="K15" i="39"/>
  <c r="N13" i="39"/>
  <c r="K20" i="39"/>
  <c r="N19" i="39"/>
  <c r="K10"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N21" i="39"/>
  <c r="N7" i="39"/>
  <c r="S20" i="39"/>
  <c r="S21" i="39"/>
  <c r="S12" i="39"/>
  <c r="N20" i="39"/>
  <c r="S14" i="39"/>
  <c r="S8" i="39"/>
  <c r="S13" i="39"/>
  <c r="S7" i="39"/>
  <c r="S4" i="39"/>
  <c r="S15" i="39"/>
  <c r="S9" i="39"/>
  <c r="S17" i="39"/>
  <c r="S11" i="39"/>
  <c r="S16" i="39"/>
  <c r="S18" i="39"/>
  <c r="N15" i="39"/>
  <c r="S19" i="39"/>
  <c r="S10" i="39"/>
  <c r="M15" i="39" l="1"/>
  <c r="O15" i="39" s="1"/>
  <c r="M21" i="39"/>
  <c r="O21" i="39" s="1"/>
  <c r="M2" i="39" l="1"/>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29" i="32"/>
  <c r="L21" i="33"/>
  <c r="L26" i="32"/>
  <c r="L4" i="33"/>
  <c r="L36" i="33"/>
  <c r="L30" i="33"/>
  <c r="L3" i="32"/>
  <c r="L20" i="33"/>
  <c r="L27" i="33"/>
  <c r="L34" i="33"/>
  <c r="L3" i="31"/>
  <c r="L21" i="32"/>
  <c r="L10" i="33"/>
  <c r="L10" i="32"/>
  <c r="L23" i="32"/>
  <c r="L18" i="32"/>
  <c r="L18" i="33"/>
  <c r="L26" i="33"/>
  <c r="L8" i="32"/>
  <c r="L33" i="33"/>
  <c r="L19" i="32"/>
  <c r="L12" i="33"/>
  <c r="L30" i="32"/>
  <c r="L27" i="32"/>
  <c r="L12" i="32"/>
  <c r="L7" i="33"/>
  <c r="L17" i="33"/>
  <c r="L8" i="33"/>
  <c r="L16" i="33"/>
  <c r="L17" i="32"/>
  <c r="L13" i="32"/>
  <c r="L6" i="32"/>
  <c r="L15" i="32"/>
  <c r="L14" i="33"/>
  <c r="L22" i="33"/>
  <c r="L20" i="32"/>
  <c r="L13" i="33"/>
  <c r="L3" i="34"/>
  <c r="L24" i="32"/>
  <c r="L5" i="33"/>
  <c r="L24" i="33"/>
  <c r="L11" i="32"/>
  <c r="L25" i="32"/>
  <c r="L19" i="33"/>
  <c r="L29" i="33"/>
  <c r="L34" i="32"/>
  <c r="L32" i="32"/>
  <c r="L22" i="32"/>
  <c r="L33" i="32"/>
  <c r="L32" i="33"/>
  <c r="L7" i="32"/>
  <c r="L15" i="33"/>
  <c r="L35" i="32"/>
  <c r="L9" i="33"/>
  <c r="L4" i="32"/>
  <c r="L35" i="33"/>
  <c r="L28" i="32"/>
  <c r="L23" i="33"/>
  <c r="L31" i="32"/>
  <c r="L36" i="32"/>
  <c r="L28" i="33"/>
  <c r="L11" i="33"/>
  <c r="L6" i="33"/>
  <c r="L5" i="32"/>
  <c r="L31" i="33"/>
  <c r="L3" i="33"/>
  <c r="L9" i="32"/>
  <c r="L16" i="32"/>
  <c r="L14" i="32"/>
  <c r="L25" i="33"/>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17" i="31"/>
  <c r="K31" i="34"/>
  <c r="K10" i="31"/>
  <c r="K36" i="34"/>
  <c r="K21" i="31"/>
  <c r="K19" i="31"/>
  <c r="K27" i="34"/>
  <c r="K29" i="34"/>
  <c r="K16" i="34"/>
  <c r="K16" i="31"/>
  <c r="K13" i="31"/>
  <c r="K34" i="34"/>
  <c r="K12" i="34"/>
  <c r="K32" i="34"/>
  <c r="K6" i="34"/>
  <c r="K25" i="34"/>
  <c r="K4" i="31"/>
  <c r="K8" i="31"/>
  <c r="K24" i="34"/>
  <c r="K23" i="31"/>
  <c r="K28" i="34"/>
  <c r="K27" i="31"/>
  <c r="K28" i="31"/>
  <c r="K6" i="31"/>
  <c r="K14" i="34"/>
  <c r="K5" i="34"/>
  <c r="K17" i="34"/>
  <c r="K22" i="31"/>
  <c r="K15" i="34"/>
  <c r="K13" i="34"/>
  <c r="K22" i="34"/>
  <c r="K12" i="31"/>
  <c r="K31" i="31"/>
  <c r="K7" i="34"/>
  <c r="K32" i="31"/>
  <c r="K26" i="34"/>
  <c r="K18" i="34"/>
  <c r="K20" i="34"/>
  <c r="K18" i="31"/>
  <c r="K11" i="31"/>
  <c r="K7" i="31"/>
  <c r="K29" i="31"/>
  <c r="K33" i="34"/>
  <c r="K26" i="31"/>
  <c r="K5" i="31"/>
  <c r="K10" i="34"/>
  <c r="K34" i="31"/>
  <c r="K11" i="34"/>
  <c r="K15" i="31"/>
  <c r="K9" i="31"/>
  <c r="K35" i="31"/>
  <c r="K14" i="31"/>
  <c r="K19" i="34"/>
  <c r="K24" i="31"/>
  <c r="K20" i="31"/>
  <c r="K23" i="34"/>
  <c r="K9" i="34"/>
  <c r="K25" i="31"/>
  <c r="K33" i="31"/>
  <c r="K35" i="34"/>
  <c r="K30" i="31"/>
  <c r="K4" i="34"/>
  <c r="K36" i="31"/>
  <c r="K21" i="34"/>
  <c r="K8" i="34"/>
  <c r="K30" i="34"/>
  <c r="K2" i="34"/>
  <c r="K2" i="33"/>
  <c r="K2" i="32"/>
  <c r="K2" i="31"/>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8"/>
  <c r="C1" i="29"/>
  <c r="L12" i="34"/>
  <c r="L28" i="34"/>
  <c r="L27" i="34"/>
  <c r="L27" i="31"/>
  <c r="L18" i="31"/>
  <c r="L18" i="34"/>
  <c r="L17" i="31"/>
  <c r="L35" i="34"/>
  <c r="L7" i="31"/>
  <c r="L14" i="31"/>
  <c r="L5" i="34"/>
  <c r="L15" i="31"/>
  <c r="L28" i="31"/>
  <c r="L11" i="34"/>
  <c r="L12" i="31"/>
  <c r="L35" i="31"/>
  <c r="L19" i="31"/>
  <c r="L23" i="34"/>
  <c r="L7" i="34"/>
  <c r="L4" i="34"/>
  <c r="L23" i="31"/>
  <c r="L13" i="34"/>
  <c r="L29" i="34"/>
  <c r="L14" i="34"/>
  <c r="L21" i="34"/>
  <c r="L16" i="34"/>
  <c r="L20" i="31"/>
  <c r="L17" i="34"/>
  <c r="L24" i="34"/>
  <c r="L32" i="31"/>
  <c r="L11" i="31"/>
  <c r="L15" i="34"/>
  <c r="L22" i="31"/>
  <c r="L33" i="31"/>
  <c r="L32" i="34"/>
  <c r="L2" i="33"/>
  <c r="L8" i="31"/>
  <c r="L25" i="34"/>
  <c r="L21" i="31"/>
  <c r="L34" i="31"/>
  <c r="L25" i="31"/>
  <c r="L10" i="34"/>
  <c r="L24" i="31"/>
  <c r="L26" i="31"/>
  <c r="L9" i="31"/>
  <c r="L2" i="31"/>
  <c r="L30" i="31"/>
  <c r="L8" i="34"/>
  <c r="L20" i="34"/>
  <c r="L19" i="34"/>
  <c r="L36" i="34"/>
  <c r="L29" i="31"/>
  <c r="L33" i="34"/>
  <c r="L34" i="34"/>
  <c r="L31" i="31"/>
  <c r="L31" i="34"/>
  <c r="L2" i="34"/>
  <c r="L26" i="34"/>
  <c r="L30" i="34"/>
  <c r="L2" i="32"/>
  <c r="L4" i="31"/>
  <c r="L16" i="31"/>
  <c r="L9" i="34"/>
  <c r="L6" i="31"/>
  <c r="L10" i="31"/>
  <c r="L36" i="31"/>
  <c r="L5" i="31"/>
  <c r="L6" i="34"/>
  <c r="L13" i="31"/>
  <c r="L22" i="34"/>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2" i="26"/>
  <c r="C1" i="27"/>
  <c r="D13" i="29"/>
  <c r="D20" i="28"/>
  <c r="D20" i="29"/>
  <c r="D13" i="28"/>
  <c r="D53" i="29"/>
  <c r="D37" i="29"/>
  <c r="D24" i="29"/>
  <c r="D15" i="29"/>
  <c r="D4" i="29"/>
  <c r="D39" i="29"/>
  <c r="D46" i="29"/>
  <c r="D29" i="28"/>
  <c r="D3" i="28"/>
  <c r="D27" i="28"/>
  <c r="D18" i="28"/>
  <c r="D52" i="29"/>
  <c r="D23" i="28"/>
  <c r="D3" i="29"/>
  <c r="D48" i="29"/>
  <c r="D12" i="28"/>
  <c r="D26" i="28"/>
  <c r="D50" i="29"/>
  <c r="D47" i="29"/>
  <c r="D29" i="29"/>
  <c r="D32" i="29"/>
  <c r="D22" i="28"/>
  <c r="D22" i="29"/>
  <c r="D54" i="29"/>
  <c r="D27" i="29"/>
  <c r="D63" i="29"/>
  <c r="D9" i="29"/>
  <c r="D7" i="28"/>
  <c r="D25" i="29"/>
  <c r="D35" i="29"/>
  <c r="D51" i="29"/>
  <c r="D14" i="29"/>
  <c r="D16" i="29"/>
  <c r="D21" i="28"/>
  <c r="D42" i="29"/>
  <c r="D28" i="28"/>
  <c r="D18" i="29"/>
  <c r="D10" i="29"/>
  <c r="D11" i="29"/>
  <c r="D5" i="29"/>
  <c r="D6" i="28"/>
  <c r="D28" i="29"/>
  <c r="D59" i="29"/>
  <c r="D7" i="29"/>
  <c r="D34" i="29"/>
  <c r="D26" i="29"/>
  <c r="D61" i="29"/>
  <c r="D8" i="28"/>
  <c r="D41" i="29"/>
  <c r="D11" i="28"/>
  <c r="D58" i="29"/>
  <c r="D45" i="29"/>
  <c r="D40" i="29"/>
  <c r="D8" i="29"/>
  <c r="D57" i="29"/>
  <c r="D17" i="28"/>
  <c r="D44" i="29"/>
  <c r="D9" i="28"/>
  <c r="D24" i="28"/>
  <c r="D49" i="29"/>
  <c r="D25" i="28"/>
  <c r="D36" i="29"/>
  <c r="D38" i="29"/>
  <c r="D15" i="28"/>
  <c r="D30" i="29"/>
  <c r="D16" i="28"/>
  <c r="D10" i="28"/>
  <c r="D17" i="29"/>
  <c r="D21" i="29"/>
  <c r="D19" i="29"/>
  <c r="D19" i="28"/>
  <c r="D56" i="29"/>
  <c r="D4" i="28"/>
  <c r="D43" i="29"/>
  <c r="D14" i="28"/>
  <c r="D55" i="29"/>
  <c r="D64" i="29"/>
  <c r="D5" i="28"/>
  <c r="D23" i="29"/>
  <c r="D6" i="29"/>
  <c r="D33" i="29"/>
  <c r="D12" i="29"/>
  <c r="D60" i="29"/>
  <c r="D62" i="29"/>
  <c r="D31" i="29"/>
  <c r="D2" i="29"/>
  <c r="C7" i="27" l="1"/>
  <c r="C2" i="27"/>
  <c r="C10" i="27"/>
  <c r="C5" i="27"/>
  <c r="C13" i="27"/>
  <c r="C8" i="27"/>
  <c r="C3" i="27"/>
  <c r="C11" i="27"/>
  <c r="C6" i="27"/>
  <c r="C9" i="27"/>
  <c r="C4" i="27"/>
  <c r="C12" i="27"/>
  <c r="C10" i="26"/>
  <c r="C5" i="26"/>
  <c r="C8" i="26"/>
  <c r="C3" i="26"/>
  <c r="C11" i="26"/>
  <c r="C6" i="26"/>
  <c r="C9" i="26"/>
  <c r="C4" i="26"/>
  <c r="C12" i="26"/>
  <c r="C7" i="26"/>
  <c r="E51" i="29"/>
  <c r="E29" i="29"/>
  <c r="E8" i="29"/>
  <c r="E25" i="29"/>
  <c r="E5" i="29"/>
  <c r="E12" i="28"/>
  <c r="E18" i="28"/>
  <c r="E22" i="28"/>
  <c r="E16" i="29"/>
  <c r="E52" i="29"/>
  <c r="E3" i="28"/>
  <c r="E26" i="28"/>
  <c r="E56" i="29"/>
  <c r="E38" i="29"/>
  <c r="E62" i="29"/>
  <c r="D12" i="27"/>
  <c r="E53" i="29"/>
  <c r="D6" i="27"/>
  <c r="E18" i="29"/>
  <c r="E3" i="29"/>
  <c r="E19" i="28"/>
  <c r="E9" i="29"/>
  <c r="D4" i="27"/>
  <c r="E64" i="29"/>
  <c r="D7" i="26"/>
  <c r="E47" i="29"/>
  <c r="E60" i="29"/>
  <c r="E59" i="29"/>
  <c r="D8" i="27"/>
  <c r="E4" i="29"/>
  <c r="E6" i="28"/>
  <c r="E28" i="28"/>
  <c r="D4" i="26"/>
  <c r="D6" i="26"/>
  <c r="E6" i="29"/>
  <c r="E31" i="29"/>
  <c r="E19" i="29"/>
  <c r="E28" i="29"/>
  <c r="E45" i="29"/>
  <c r="E21" i="28"/>
  <c r="E8" i="28"/>
  <c r="E4" i="28"/>
  <c r="E25" i="28"/>
  <c r="E34" i="29"/>
  <c r="D10" i="27"/>
  <c r="E57" i="29"/>
  <c r="D10" i="26"/>
  <c r="E50" i="29"/>
  <c r="E15" i="28"/>
  <c r="D11" i="26"/>
  <c r="E17" i="28"/>
  <c r="E17" i="29"/>
  <c r="E63" i="29"/>
  <c r="E21" i="29"/>
  <c r="E43" i="29"/>
  <c r="E23" i="29"/>
  <c r="D3" i="27"/>
  <c r="E44" i="29"/>
  <c r="E24" i="29"/>
  <c r="D8" i="26"/>
  <c r="E11" i="29"/>
  <c r="E7" i="28"/>
  <c r="E10" i="28"/>
  <c r="E54" i="29"/>
  <c r="E24" i="28"/>
  <c r="E46" i="29"/>
  <c r="D9" i="26"/>
  <c r="E58" i="29"/>
  <c r="E61" i="29"/>
  <c r="E14" i="28"/>
  <c r="E42" i="29"/>
  <c r="E16" i="28"/>
  <c r="E9" i="28"/>
  <c r="E37" i="29"/>
  <c r="E14" i="29"/>
  <c r="E13" i="28"/>
  <c r="E27" i="29"/>
  <c r="E49" i="29"/>
  <c r="E15" i="29"/>
  <c r="E33" i="29"/>
  <c r="E20" i="29"/>
  <c r="E27" i="28"/>
  <c r="E41" i="29"/>
  <c r="E55" i="29"/>
  <c r="E30" i="29"/>
  <c r="E26" i="29"/>
  <c r="E7" i="29"/>
  <c r="E48" i="29"/>
  <c r="D5" i="26"/>
  <c r="E22" i="29"/>
  <c r="E39" i="29"/>
  <c r="E36" i="29"/>
  <c r="E29" i="28"/>
  <c r="E11" i="28"/>
  <c r="E5" i="28"/>
  <c r="D7" i="27"/>
  <c r="D11" i="27"/>
  <c r="E13" i="29"/>
  <c r="E10" i="29"/>
  <c r="D9" i="27"/>
  <c r="D12" i="26"/>
  <c r="E32" i="29"/>
  <c r="D13" i="27"/>
  <c r="E20" i="28"/>
  <c r="E35" i="29"/>
  <c r="E23" i="28"/>
  <c r="E40" i="29"/>
  <c r="D5" i="27"/>
  <c r="E12" i="29"/>
  <c r="O10" i="28"/>
  <c r="O9" i="28"/>
  <c r="O6" i="28"/>
  <c r="O5" i="28"/>
  <c r="O12" i="28"/>
  <c r="O13" i="28"/>
  <c r="O7" i="28"/>
  <c r="O8" i="28"/>
  <c r="O14" i="28"/>
  <c r="O11" i="28"/>
  <c r="E2" i="29"/>
  <c r="D3" i="26"/>
  <c r="D2" i="27"/>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58" i="20"/>
  <c r="F51" i="20"/>
  <c r="F35" i="20"/>
  <c r="F57" i="20"/>
  <c r="F62" i="20"/>
  <c r="F50" i="20"/>
  <c r="F66" i="20"/>
  <c r="F17" i="20"/>
  <c r="F70" i="20"/>
  <c r="F22" i="20"/>
  <c r="E12" i="26"/>
  <c r="F18" i="20"/>
  <c r="F37" i="20"/>
  <c r="F10" i="20"/>
  <c r="F59" i="20"/>
  <c r="F48" i="20"/>
  <c r="F44" i="20"/>
  <c r="F53" i="20"/>
  <c r="F11" i="22"/>
  <c r="F9" i="21"/>
  <c r="F14" i="21"/>
  <c r="F64" i="20"/>
  <c r="F15" i="20"/>
  <c r="F27" i="20"/>
  <c r="F5" i="20"/>
  <c r="F39" i="20"/>
  <c r="F54" i="20"/>
  <c r="F40" i="20"/>
  <c r="E9" i="27"/>
  <c r="F49" i="20"/>
  <c r="F5" i="21"/>
  <c r="E13" i="27"/>
  <c r="F47" i="20"/>
  <c r="F60" i="20"/>
  <c r="F25" i="20"/>
  <c r="F29" i="20"/>
  <c r="F15" i="21"/>
  <c r="Y11" i="26"/>
  <c r="F14" i="20"/>
  <c r="Y12" i="26"/>
  <c r="F21" i="20"/>
  <c r="F67" i="20"/>
  <c r="E9" i="26"/>
  <c r="F16" i="20"/>
  <c r="F33" i="20"/>
  <c r="F7" i="22"/>
  <c r="F56" i="20"/>
  <c r="F13" i="21"/>
  <c r="F10" i="22"/>
  <c r="F42" i="20"/>
  <c r="F61" i="20"/>
  <c r="F63" i="20"/>
  <c r="E4" i="26"/>
  <c r="F30" i="20"/>
  <c r="F6" i="20"/>
  <c r="F55" i="20"/>
  <c r="F10" i="21"/>
  <c r="E3" i="27"/>
  <c r="E7" i="26"/>
  <c r="F9" i="22"/>
  <c r="F13" i="20"/>
  <c r="F31" i="20"/>
  <c r="F26" i="20"/>
  <c r="E11" i="26"/>
  <c r="E8" i="27"/>
  <c r="F8" i="20"/>
  <c r="F73" i="20"/>
  <c r="F24" i="20"/>
  <c r="F8" i="21"/>
  <c r="F68" i="20"/>
  <c r="F43" i="20"/>
  <c r="E5" i="26"/>
  <c r="E4" i="27"/>
  <c r="E12" i="27"/>
  <c r="F7" i="21"/>
  <c r="F69" i="20"/>
  <c r="E5" i="27"/>
  <c r="F19" i="20"/>
  <c r="F41" i="20"/>
  <c r="F7" i="20"/>
  <c r="F34" i="20"/>
  <c r="F11" i="21"/>
  <c r="F71" i="20"/>
  <c r="E10" i="26"/>
  <c r="F28" i="20"/>
  <c r="F74" i="20"/>
  <c r="F6" i="22"/>
  <c r="E7" i="27"/>
  <c r="F8" i="22"/>
  <c r="F11" i="20"/>
  <c r="F9" i="20"/>
  <c r="F32" i="20"/>
  <c r="F45" i="20"/>
  <c r="F5" i="22"/>
  <c r="E6" i="27"/>
  <c r="F72" i="20"/>
  <c r="E8" i="26"/>
  <c r="F6" i="21"/>
  <c r="F52" i="20"/>
  <c r="F36" i="20"/>
  <c r="E10" i="27"/>
  <c r="F46" i="20"/>
  <c r="F23" i="20"/>
  <c r="F12" i="20"/>
  <c r="E11" i="27"/>
  <c r="F65" i="20"/>
  <c r="F12" i="21"/>
  <c r="F20" i="20"/>
  <c r="E6" i="26"/>
  <c r="O11" i="27"/>
  <c r="O9" i="27"/>
  <c r="O10" i="27"/>
  <c r="O5" i="27"/>
  <c r="O6" i="27"/>
  <c r="O7" i="27"/>
  <c r="O8" i="27"/>
  <c r="O8" i="26"/>
  <c r="O10" i="26"/>
  <c r="O9" i="26"/>
  <c r="O6" i="26"/>
  <c r="O7" i="26"/>
  <c r="Y6" i="22"/>
  <c r="Y11" i="22"/>
  <c r="Y10" i="22"/>
  <c r="Y8" i="22"/>
  <c r="Y7" i="22"/>
  <c r="Y5" i="22"/>
  <c r="Y9" i="22"/>
  <c r="F4" i="20"/>
  <c r="E2" i="27"/>
  <c r="F4" i="22"/>
  <c r="E3" i="26"/>
  <c r="F4" i="21"/>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G21" i="20"/>
  <c r="F14" i="23"/>
  <c r="F12" i="23"/>
  <c r="G13" i="20"/>
  <c r="G5" i="22"/>
  <c r="F41" i="23"/>
  <c r="F9" i="23"/>
  <c r="G11" i="22"/>
  <c r="G13" i="21"/>
  <c r="G37" i="20"/>
  <c r="G26" i="20"/>
  <c r="G22" i="20"/>
  <c r="G6" i="22"/>
  <c r="G12" i="20"/>
  <c r="G9" i="21"/>
  <c r="G5" i="20"/>
  <c r="G11" i="21"/>
  <c r="F20" i="24"/>
  <c r="F17" i="23"/>
  <c r="G9" i="22"/>
  <c r="G29" i="20"/>
  <c r="G14" i="21"/>
  <c r="G23" i="20"/>
  <c r="G10" i="20"/>
  <c r="G31" i="20"/>
  <c r="G32" i="20"/>
  <c r="G20" i="20"/>
  <c r="G6" i="20"/>
  <c r="G33" i="20"/>
  <c r="G24" i="20"/>
  <c r="F25" i="23"/>
  <c r="G30" i="20"/>
  <c r="G15" i="20"/>
  <c r="G25" i="20"/>
  <c r="G12" i="21"/>
  <c r="F6" i="23"/>
  <c r="F28" i="23"/>
  <c r="G16" i="20"/>
  <c r="F12" i="24"/>
  <c r="G14" i="20"/>
  <c r="G7" i="21"/>
  <c r="G10" i="21"/>
  <c r="G7" i="20"/>
  <c r="G8" i="21"/>
  <c r="G7" i="22"/>
  <c r="G15" i="21"/>
  <c r="G36" i="20"/>
  <c r="G10" i="22"/>
  <c r="G17" i="20"/>
  <c r="G18" i="20"/>
  <c r="G5" i="21"/>
  <c r="F30" i="23"/>
  <c r="G8" i="22"/>
  <c r="G6" i="21"/>
  <c r="G19" i="20"/>
  <c r="F38" i="23"/>
  <c r="G28" i="20"/>
  <c r="F33" i="23"/>
  <c r="F28" i="24"/>
  <c r="G11" i="20"/>
  <c r="F36" i="23"/>
  <c r="G8" i="20"/>
  <c r="G35" i="20"/>
  <c r="G9" i="20"/>
  <c r="G34" i="20"/>
  <c r="F20" i="23"/>
  <c r="G27" i="20"/>
  <c r="AC17" i="23"/>
  <c r="AC25" i="23"/>
  <c r="AC6" i="23"/>
  <c r="AC28" i="23"/>
  <c r="AC14" i="23"/>
  <c r="AC41" i="23"/>
  <c r="AC36" i="23"/>
  <c r="AC30" i="23"/>
  <c r="AC20" i="23"/>
  <c r="AC38" i="23"/>
  <c r="AC12" i="23"/>
  <c r="AC9" i="23"/>
  <c r="AC33" i="23"/>
  <c r="Y11" i="21"/>
  <c r="Y9" i="21"/>
  <c r="Y6" i="21"/>
  <c r="Y15" i="21"/>
  <c r="Y8" i="21"/>
  <c r="Y12" i="21"/>
  <c r="Y7" i="21"/>
  <c r="Y10" i="21"/>
  <c r="Y13" i="21"/>
  <c r="Y14" i="21"/>
  <c r="Y5" i="21"/>
  <c r="Y31" i="20"/>
  <c r="Y16" i="20"/>
  <c r="Y14" i="20"/>
  <c r="Y28" i="20"/>
  <c r="Y37" i="20"/>
  <c r="Y12" i="20"/>
  <c r="Y10" i="20"/>
  <c r="Y13" i="20"/>
  <c r="Y33" i="20"/>
  <c r="Y35" i="20"/>
  <c r="Y22" i="20"/>
  <c r="Y18" i="20"/>
  <c r="Y29" i="20"/>
  <c r="Y25" i="20"/>
  <c r="Y20" i="20"/>
  <c r="Y7" i="20"/>
  <c r="Y9" i="20"/>
  <c r="Y6" i="20"/>
  <c r="Y5" i="20"/>
  <c r="Y21" i="20"/>
  <c r="Y19" i="20"/>
  <c r="Y32" i="20"/>
  <c r="Y27" i="20"/>
  <c r="Y36" i="20"/>
  <c r="Y17" i="20"/>
  <c r="Y34" i="20"/>
  <c r="Y26" i="20"/>
  <c r="Y11" i="20"/>
  <c r="Y24" i="20"/>
  <c r="Y23" i="20"/>
  <c r="Y15" i="20"/>
  <c r="Y30" i="20"/>
  <c r="Y8" i="20"/>
  <c r="G4" i="22"/>
  <c r="G4" i="20"/>
  <c r="G4" i="21"/>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G12" i="23"/>
  <c r="F39" i="24"/>
  <c r="F21" i="23"/>
  <c r="G17" i="23"/>
  <c r="F13" i="24"/>
  <c r="G14" i="23"/>
  <c r="F29" i="23"/>
  <c r="F15" i="24"/>
  <c r="G9" i="23"/>
  <c r="F9" i="24"/>
  <c r="F18" i="24"/>
  <c r="F37" i="23"/>
  <c r="F26" i="23"/>
  <c r="F23" i="24"/>
  <c r="F6" i="24"/>
  <c r="F7" i="23"/>
  <c r="G38" i="23"/>
  <c r="F36" i="24"/>
  <c r="G30" i="23"/>
  <c r="F32" i="24"/>
  <c r="F27" i="23"/>
  <c r="F19" i="23"/>
  <c r="G25" i="23"/>
  <c r="F10" i="24"/>
  <c r="F8" i="24"/>
  <c r="G28" i="24"/>
  <c r="F31" i="23"/>
  <c r="G20" i="23"/>
  <c r="F10" i="23"/>
  <c r="F18" i="23"/>
  <c r="F39" i="23"/>
  <c r="F29" i="24"/>
  <c r="F33" i="24"/>
  <c r="F40" i="23"/>
  <c r="G6" i="23"/>
  <c r="F25" i="24"/>
  <c r="F34" i="23"/>
  <c r="F8" i="23"/>
  <c r="F14" i="24"/>
  <c r="F13" i="23"/>
  <c r="F22" i="23"/>
  <c r="F16" i="23"/>
  <c r="F37" i="24"/>
  <c r="F41" i="24"/>
  <c r="F32" i="23"/>
  <c r="F26" i="24"/>
  <c r="F38" i="24"/>
  <c r="F30" i="24"/>
  <c r="F22" i="24"/>
  <c r="F23" i="23"/>
  <c r="F35" i="24"/>
  <c r="F16" i="24"/>
  <c r="F11" i="23"/>
  <c r="G41" i="23"/>
  <c r="F35" i="23"/>
  <c r="F40" i="24"/>
  <c r="G12" i="24"/>
  <c r="F42" i="23"/>
  <c r="F42" i="24"/>
  <c r="F19" i="24"/>
  <c r="F7" i="24"/>
  <c r="G28" i="23"/>
  <c r="F17" i="24"/>
  <c r="G36" i="23"/>
  <c r="F34" i="24"/>
  <c r="F15" i="23"/>
  <c r="F11" i="24"/>
  <c r="F31" i="24"/>
  <c r="F24" i="23"/>
  <c r="F24" i="24"/>
  <c r="F21" i="24"/>
  <c r="G20" i="24"/>
  <c r="G33" i="23"/>
  <c r="F27" i="24"/>
  <c r="AC28" i="24"/>
  <c r="AC20" i="24"/>
  <c r="AC12" i="24"/>
  <c r="AC19" i="23"/>
  <c r="AC22" i="23"/>
  <c r="AC27" i="23"/>
  <c r="AC16" i="23"/>
  <c r="AC32" i="23"/>
  <c r="AC29" i="23"/>
  <c r="AC7" i="23"/>
  <c r="AC26" i="23"/>
  <c r="AC40" i="23"/>
  <c r="AC34" i="23"/>
  <c r="AC21" i="23"/>
  <c r="AC11" i="23"/>
  <c r="AC35" i="23"/>
  <c r="AC31" i="23"/>
  <c r="AC10" i="23"/>
  <c r="AC18" i="23"/>
  <c r="AC39" i="23"/>
  <c r="AC37" i="23"/>
  <c r="AC42" i="23"/>
  <c r="AC24" i="23"/>
  <c r="AC8" i="23"/>
  <c r="AC15" i="23"/>
  <c r="AC13" i="23"/>
  <c r="AC23" i="23"/>
  <c r="F5" i="23"/>
  <c r="F5" i="24"/>
  <c r="B4" i="18" l="1"/>
  <c r="B5" i="18"/>
  <c r="B6" i="18"/>
  <c r="E4" i="17"/>
  <c r="E6" i="16"/>
  <c r="E6"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E24" i="14"/>
  <c r="D9" i="13"/>
  <c r="D11" i="13"/>
  <c r="D14" i="13"/>
  <c r="G26" i="24"/>
  <c r="D18" i="13"/>
  <c r="G31" i="23"/>
  <c r="G22" i="23"/>
  <c r="G19" i="23"/>
  <c r="D7" i="15" a="1"/>
  <c r="D17" i="13"/>
  <c r="C5" i="18"/>
  <c r="G16" i="24"/>
  <c r="G33" i="24"/>
  <c r="D19" i="13"/>
  <c r="E22" i="14"/>
  <c r="G34" i="24"/>
  <c r="G40" i="24"/>
  <c r="G14" i="24"/>
  <c r="G11" i="23"/>
  <c r="G37" i="24"/>
  <c r="G13" i="23"/>
  <c r="E26" i="14"/>
  <c r="G35" i="23"/>
  <c r="D5" i="17" a="1"/>
  <c r="G37" i="23"/>
  <c r="G24" i="24"/>
  <c r="E14" i="14"/>
  <c r="E3" i="14"/>
  <c r="G31" i="24"/>
  <c r="E17" i="14"/>
  <c r="E16" i="14"/>
  <c r="G30" i="24"/>
  <c r="G13" i="24"/>
  <c r="G42" i="23"/>
  <c r="E11" i="14"/>
  <c r="E12" i="14"/>
  <c r="C6" i="18"/>
  <c r="G24" i="23"/>
  <c r="G29" i="23"/>
  <c r="G7" i="24"/>
  <c r="G32" i="23"/>
  <c r="G38" i="24"/>
  <c r="G27" i="24"/>
  <c r="E20" i="14"/>
  <c r="E10" i="14"/>
  <c r="G26" i="23"/>
  <c r="E4" i="14"/>
  <c r="E23" i="14"/>
  <c r="G17" i="24"/>
  <c r="D8" i="13"/>
  <c r="G9" i="24"/>
  <c r="G40" i="23"/>
  <c r="G8" i="24"/>
  <c r="E13" i="14"/>
  <c r="G29" i="24"/>
  <c r="G32" i="24"/>
  <c r="D22" i="13"/>
  <c r="G15" i="23"/>
  <c r="E7" i="14"/>
  <c r="G10" i="23"/>
  <c r="G6" i="24"/>
  <c r="G18" i="23"/>
  <c r="E6" i="14"/>
  <c r="E25" i="14"/>
  <c r="G10" i="24"/>
  <c r="G22" i="24"/>
  <c r="G34" i="23"/>
  <c r="E21" i="14"/>
  <c r="G15" i="24"/>
  <c r="G39" i="23"/>
  <c r="G35" i="24"/>
  <c r="G27" i="23"/>
  <c r="D5" i="13"/>
  <c r="G11" i="24"/>
  <c r="D16" i="13"/>
  <c r="G8" i="23"/>
  <c r="D7" i="13"/>
  <c r="D6" i="13"/>
  <c r="G19" i="24"/>
  <c r="D20" i="13"/>
  <c r="D21" i="13"/>
  <c r="G41" i="24"/>
  <c r="D10" i="13"/>
  <c r="G18" i="24"/>
  <c r="G25" i="24"/>
  <c r="D13" i="13"/>
  <c r="G21" i="24"/>
  <c r="E19" i="14"/>
  <c r="G42" i="24"/>
  <c r="D12" i="13"/>
  <c r="G16" i="23"/>
  <c r="G39" i="24"/>
  <c r="E5" i="14"/>
  <c r="E9" i="14"/>
  <c r="G23" i="24"/>
  <c r="E18" i="14"/>
  <c r="G7" i="23"/>
  <c r="G21" i="23"/>
  <c r="E8" i="14"/>
  <c r="G23" i="23"/>
  <c r="D15" i="13"/>
  <c r="G36" i="24"/>
  <c r="E15" i="14"/>
  <c r="AC18" i="24"/>
  <c r="AC36" i="24"/>
  <c r="AC27" i="24"/>
  <c r="AC19" i="24"/>
  <c r="AC23" i="24"/>
  <c r="AC35" i="24"/>
  <c r="AC21" i="24"/>
  <c r="AC33" i="24"/>
  <c r="AC31" i="24"/>
  <c r="AC8" i="24"/>
  <c r="AC34" i="24"/>
  <c r="AC38" i="24"/>
  <c r="AC41" i="24"/>
  <c r="AC42" i="24"/>
  <c r="AC25" i="24"/>
  <c r="AC24" i="24"/>
  <c r="AC15" i="24"/>
  <c r="AC32" i="24"/>
  <c r="AC14" i="24"/>
  <c r="AC39" i="24"/>
  <c r="AC9" i="24"/>
  <c r="AC29" i="24"/>
  <c r="AC6" i="24"/>
  <c r="AC13" i="24"/>
  <c r="AC26" i="24"/>
  <c r="AC7" i="24"/>
  <c r="AC11" i="24"/>
  <c r="AC16" i="24"/>
  <c r="AC17" i="24"/>
  <c r="AC22" i="24"/>
  <c r="AC30" i="24"/>
  <c r="AC37" i="24"/>
  <c r="AC10" i="24"/>
  <c r="AC40" i="24"/>
  <c r="AC5" i="23"/>
  <c r="AC5" i="24"/>
  <c r="G5" i="23"/>
  <c r="G5" i="24"/>
  <c r="AM3" i="16" l="1"/>
  <c r="AM2" i="16"/>
  <c r="D6" i="17"/>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E8" i="16"/>
  <c r="E10" i="16"/>
  <c r="E12" i="16"/>
  <c r="E14" i="16"/>
  <c r="E16" i="16"/>
  <c r="E18" i="16"/>
  <c r="E20" i="16"/>
  <c r="E22" i="16"/>
  <c r="E24" i="16"/>
  <c r="E26" i="16"/>
  <c r="E28" i="16"/>
  <c r="E30" i="16"/>
  <c r="E32" i="16"/>
  <c r="E34" i="16"/>
  <c r="E36" i="16"/>
  <c r="E38" i="16"/>
  <c r="E40" i="16"/>
  <c r="E42" i="16"/>
  <c r="E44" i="16"/>
  <c r="E46" i="16"/>
  <c r="E48" i="16"/>
  <c r="E11" i="16"/>
  <c r="E27" i="16"/>
  <c r="E13" i="16"/>
  <c r="E17" i="16"/>
  <c r="E33" i="16"/>
  <c r="E37" i="16"/>
  <c r="E41" i="16"/>
  <c r="E45" i="16"/>
  <c r="E29" i="16"/>
  <c r="E7" i="16"/>
  <c r="E23" i="16"/>
  <c r="E9" i="16"/>
  <c r="E25" i="16"/>
  <c r="E35" i="16"/>
  <c r="E39" i="16"/>
  <c r="E43" i="16"/>
  <c r="E47" i="16"/>
  <c r="E15" i="16"/>
  <c r="E31" i="16"/>
  <c r="E21" i="16"/>
  <c r="E19" i="16"/>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124" i="15"/>
  <c r="E124" i="15" s="1"/>
  <c r="D126" i="15"/>
  <c r="E126" i="15" s="1"/>
  <c r="D11" i="15"/>
  <c r="E11" i="15" s="1"/>
  <c r="D75" i="15"/>
  <c r="E75" i="15" s="1"/>
  <c r="D17" i="15"/>
  <c r="E17" i="15" s="1"/>
  <c r="D33" i="15"/>
  <c r="E33" i="15" s="1"/>
  <c r="D49" i="15"/>
  <c r="E49" i="15" s="1"/>
  <c r="D65" i="15"/>
  <c r="E65" i="15" s="1"/>
  <c r="D81" i="15"/>
  <c r="E81" i="15" s="1"/>
  <c r="D85" i="15"/>
  <c r="E85" i="15" s="1"/>
  <c r="D89" i="15"/>
  <c r="E89" i="15" s="1"/>
  <c r="D93" i="15"/>
  <c r="E93" i="15" s="1"/>
  <c r="D97" i="15"/>
  <c r="E97" i="15" s="1"/>
  <c r="D101" i="15"/>
  <c r="E101" i="15" s="1"/>
  <c r="D105" i="15"/>
  <c r="E105" i="15" s="1"/>
  <c r="D109" i="15"/>
  <c r="E109" i="15" s="1"/>
  <c r="D113" i="15"/>
  <c r="E113" i="15" s="1"/>
  <c r="D117" i="15"/>
  <c r="E117" i="15" s="1"/>
  <c r="D7" i="15"/>
  <c r="E7" i="15" s="1"/>
  <c r="D23" i="15"/>
  <c r="E23" i="15" s="1"/>
  <c r="D39" i="15"/>
  <c r="E39" i="15" s="1"/>
  <c r="D55" i="15"/>
  <c r="E55" i="15" s="1"/>
  <c r="D71" i="15"/>
  <c r="E71" i="15" s="1"/>
  <c r="D121" i="15"/>
  <c r="E121" i="15" s="1"/>
  <c r="D13" i="15"/>
  <c r="E13" i="15" s="1"/>
  <c r="D29" i="15"/>
  <c r="E29" i="15" s="1"/>
  <c r="D45" i="15"/>
  <c r="E45" i="15" s="1"/>
  <c r="D61" i="15"/>
  <c r="E61" i="15" s="1"/>
  <c r="D77" i="15"/>
  <c r="E77" i="15" s="1"/>
  <c r="D19" i="15"/>
  <c r="E19" i="15" s="1"/>
  <c r="D35" i="15"/>
  <c r="E35" i="15" s="1"/>
  <c r="D51" i="15"/>
  <c r="E51" i="15" s="1"/>
  <c r="D67" i="15"/>
  <c r="E67" i="15" s="1"/>
  <c r="D125" i="15"/>
  <c r="E125" i="15" s="1"/>
  <c r="D9" i="15"/>
  <c r="E9" i="15" s="1"/>
  <c r="D25" i="15"/>
  <c r="E25" i="15" s="1"/>
  <c r="D41" i="15"/>
  <c r="E41" i="15" s="1"/>
  <c r="D57" i="15"/>
  <c r="E57" i="15" s="1"/>
  <c r="D73" i="15"/>
  <c r="E73" i="15" s="1"/>
  <c r="D83" i="15"/>
  <c r="E83" i="15" s="1"/>
  <c r="D87" i="15"/>
  <c r="E87" i="15" s="1"/>
  <c r="D91" i="15"/>
  <c r="E91" i="15" s="1"/>
  <c r="D95" i="15"/>
  <c r="E95" i="15" s="1"/>
  <c r="D99" i="15"/>
  <c r="E99" i="15" s="1"/>
  <c r="D103" i="15"/>
  <c r="E103" i="15" s="1"/>
  <c r="D107" i="15"/>
  <c r="E107" i="15" s="1"/>
  <c r="D111" i="15"/>
  <c r="E111" i="15" s="1"/>
  <c r="D115" i="15"/>
  <c r="E115" i="15" s="1"/>
  <c r="D119" i="15"/>
  <c r="E119" i="15" s="1"/>
  <c r="D15" i="15"/>
  <c r="E15" i="15" s="1"/>
  <c r="D31" i="15"/>
  <c r="E31" i="15" s="1"/>
  <c r="D47" i="15"/>
  <c r="E47" i="15" s="1"/>
  <c r="D63" i="15"/>
  <c r="E63" i="15" s="1"/>
  <c r="D79" i="15"/>
  <c r="E79" i="15" s="1"/>
  <c r="D21" i="15"/>
  <c r="E21" i="15" s="1"/>
  <c r="D37" i="15"/>
  <c r="E37" i="15" s="1"/>
  <c r="D53" i="15"/>
  <c r="E53" i="15" s="1"/>
  <c r="D69" i="15"/>
  <c r="E69" i="15" s="1"/>
  <c r="D123" i="15"/>
  <c r="E123" i="15" s="1"/>
  <c r="D27" i="15"/>
  <c r="E27" i="15" s="1"/>
  <c r="D43" i="15"/>
  <c r="E43" i="15" s="1"/>
  <c r="D59" i="15"/>
  <c r="E59" i="15" s="1"/>
  <c r="F38" i="16"/>
  <c r="F18" i="16"/>
  <c r="F116" i="17"/>
  <c r="F109" i="15"/>
  <c r="F120" i="15"/>
  <c r="F39" i="16"/>
  <c r="F29" i="17"/>
  <c r="F71" i="17"/>
  <c r="F52" i="17"/>
  <c r="F15" i="15"/>
  <c r="F75" i="15"/>
  <c r="F84" i="17"/>
  <c r="F41" i="17"/>
  <c r="F22" i="16"/>
  <c r="F99" i="17"/>
  <c r="F46" i="15"/>
  <c r="F53" i="17"/>
  <c r="F11" i="15"/>
  <c r="F30" i="17"/>
  <c r="F18" i="17"/>
  <c r="F26" i="16"/>
  <c r="F108" i="17"/>
  <c r="F19" i="14"/>
  <c r="F25" i="14"/>
  <c r="F103" i="17"/>
  <c r="F72" i="15"/>
  <c r="F47" i="17"/>
  <c r="F56" i="15"/>
  <c r="F38" i="15"/>
  <c r="F112" i="15"/>
  <c r="F17" i="16"/>
  <c r="F49" i="15"/>
  <c r="F66" i="17"/>
  <c r="F65" i="17"/>
  <c r="F26" i="17"/>
  <c r="F37" i="15"/>
  <c r="F52" i="15"/>
  <c r="F34" i="17"/>
  <c r="F77" i="17"/>
  <c r="F100" i="17"/>
  <c r="F27" i="15"/>
  <c r="F67" i="17"/>
  <c r="F10" i="14"/>
  <c r="E22" i="13"/>
  <c r="F11" i="14"/>
  <c r="F95" i="17"/>
  <c r="F35" i="17"/>
  <c r="F91" i="15"/>
  <c r="F97" i="15"/>
  <c r="F48" i="17"/>
  <c r="E5" i="13"/>
  <c r="F28" i="17"/>
  <c r="F47" i="16"/>
  <c r="F104" i="15"/>
  <c r="F23" i="16"/>
  <c r="F64" i="15"/>
  <c r="F87" i="15"/>
  <c r="F46" i="17"/>
  <c r="F42" i="17"/>
  <c r="F86" i="15"/>
  <c r="F17" i="17"/>
  <c r="F32" i="16"/>
  <c r="F83" i="15"/>
  <c r="F19" i="16"/>
  <c r="F122" i="17"/>
  <c r="F81" i="17"/>
  <c r="F16" i="17"/>
  <c r="F20" i="15"/>
  <c r="F110" i="17"/>
  <c r="F33" i="16"/>
  <c r="F74" i="15"/>
  <c r="F50" i="15"/>
  <c r="F9" i="15"/>
  <c r="F39" i="17"/>
  <c r="F64" i="17"/>
  <c r="F19" i="17"/>
  <c r="F97" i="17"/>
  <c r="F120" i="17"/>
  <c r="F80" i="17"/>
  <c r="F78" i="17"/>
  <c r="E6" i="13"/>
  <c r="F29" i="15"/>
  <c r="F90" i="15"/>
  <c r="F123" i="17"/>
  <c r="E19" i="13"/>
  <c r="F18" i="14"/>
  <c r="F80" i="15"/>
  <c r="F61" i="17"/>
  <c r="F100" i="15"/>
  <c r="F19" i="15"/>
  <c r="F124" i="15"/>
  <c r="F21" i="17"/>
  <c r="F22" i="15"/>
  <c r="F114" i="15"/>
  <c r="F94" i="15"/>
  <c r="F17" i="14"/>
  <c r="F121" i="17"/>
  <c r="F21" i="16"/>
  <c r="F21" i="14"/>
  <c r="F10" i="15"/>
  <c r="F72" i="17"/>
  <c r="F44" i="17"/>
  <c r="F93" i="15"/>
  <c r="F42" i="16"/>
  <c r="E18" i="13"/>
  <c r="E11" i="13"/>
  <c r="F44" i="15"/>
  <c r="F62" i="15"/>
  <c r="F86" i="17"/>
  <c r="F25" i="17"/>
  <c r="F21" i="15"/>
  <c r="F85" i="17"/>
  <c r="F55" i="17"/>
  <c r="F14" i="16"/>
  <c r="F12" i="15"/>
  <c r="E8" i="13"/>
  <c r="F106" i="15"/>
  <c r="F74" i="17"/>
  <c r="E16" i="13"/>
  <c r="F82" i="17"/>
  <c r="F27" i="17"/>
  <c r="F59" i="15"/>
  <c r="F40" i="16"/>
  <c r="F58" i="17"/>
  <c r="F10" i="16"/>
  <c r="F20" i="17"/>
  <c r="F20" i="16"/>
  <c r="F107" i="15"/>
  <c r="F73" i="17"/>
  <c r="F31" i="15"/>
  <c r="F14" i="15"/>
  <c r="F114" i="17"/>
  <c r="F89" i="17"/>
  <c r="F7" i="14"/>
  <c r="F56" i="17"/>
  <c r="F7" i="16"/>
  <c r="F119" i="15"/>
  <c r="F60" i="17"/>
  <c r="F37" i="17"/>
  <c r="F43" i="17"/>
  <c r="F45" i="15"/>
  <c r="F51" i="15"/>
  <c r="F34" i="16"/>
  <c r="F43" i="15"/>
  <c r="F110" i="15"/>
  <c r="F16" i="14"/>
  <c r="F98" i="15"/>
  <c r="E17" i="13"/>
  <c r="F70" i="15"/>
  <c r="F121" i="15"/>
  <c r="E14" i="13"/>
  <c r="F30" i="16"/>
  <c r="F96" i="15"/>
  <c r="F14" i="14"/>
  <c r="F102" i="15"/>
  <c r="F8" i="14"/>
  <c r="F31" i="16"/>
  <c r="F79" i="17"/>
  <c r="F75" i="17"/>
  <c r="F76" i="17"/>
  <c r="F66" i="15"/>
  <c r="F49" i="17"/>
  <c r="F35" i="15"/>
  <c r="F63" i="15"/>
  <c r="F39" i="15"/>
  <c r="F37" i="16"/>
  <c r="F55" i="15"/>
  <c r="F96" i="17"/>
  <c r="F31" i="17"/>
  <c r="F16" i="16"/>
  <c r="D6" i="18"/>
  <c r="F77" i="15"/>
  <c r="F7" i="17"/>
  <c r="F41" i="15"/>
  <c r="F23" i="15"/>
  <c r="F116" i="15"/>
  <c r="F69" i="15"/>
  <c r="F10" i="17"/>
  <c r="F91" i="17"/>
  <c r="F30" i="15"/>
  <c r="F101" i="17"/>
  <c r="F63" i="17"/>
  <c r="F18" i="15"/>
  <c r="F83" i="17"/>
  <c r="F13" i="15"/>
  <c r="F57" i="17"/>
  <c r="F28" i="16"/>
  <c r="F99" i="15"/>
  <c r="F93" i="17"/>
  <c r="F87" i="17"/>
  <c r="F26" i="14"/>
  <c r="F9" i="17"/>
  <c r="F109" i="17"/>
  <c r="F46" i="16"/>
  <c r="F48" i="15"/>
  <c r="F101" i="15"/>
  <c r="F24" i="14"/>
  <c r="F36" i="15"/>
  <c r="F62" i="17"/>
  <c r="F69" i="17"/>
  <c r="F23" i="14"/>
  <c r="E10" i="13"/>
  <c r="F12" i="17"/>
  <c r="F117" i="17"/>
  <c r="F126" i="15"/>
  <c r="F115" i="17"/>
  <c r="F70" i="17"/>
  <c r="F8" i="17"/>
  <c r="F15" i="17"/>
  <c r="F59" i="17"/>
  <c r="F47" i="15"/>
  <c r="F105" i="15"/>
  <c r="F71" i="15"/>
  <c r="F14" i="17"/>
  <c r="F113" i="17"/>
  <c r="F33" i="17"/>
  <c r="F9" i="16"/>
  <c r="F107" i="17"/>
  <c r="F5" i="14"/>
  <c r="F25" i="15"/>
  <c r="F36" i="17"/>
  <c r="F68" i="17"/>
  <c r="F54" i="15"/>
  <c r="F92" i="15"/>
  <c r="F113" i="15"/>
  <c r="D5" i="18"/>
  <c r="F50" i="17"/>
  <c r="F84" i="15"/>
  <c r="F123" i="15"/>
  <c r="F111" i="15"/>
  <c r="F11" i="16"/>
  <c r="F53" i="15"/>
  <c r="F34" i="15"/>
  <c r="F67" i="15"/>
  <c r="F13" i="16"/>
  <c r="F124" i="17"/>
  <c r="E15" i="13"/>
  <c r="F38" i="17"/>
  <c r="F12" i="16"/>
  <c r="F35" i="16"/>
  <c r="F22" i="17"/>
  <c r="F23" i="17"/>
  <c r="F13" i="17"/>
  <c r="E13" i="13"/>
  <c r="F40" i="17"/>
  <c r="F82" i="15"/>
  <c r="F106" i="17"/>
  <c r="E21" i="13"/>
  <c r="E9" i="13"/>
  <c r="F117" i="15"/>
  <c r="F17" i="15"/>
  <c r="F29" i="16"/>
  <c r="F125" i="15"/>
  <c r="F20" i="14"/>
  <c r="F45" i="16"/>
  <c r="F15" i="16"/>
  <c r="E7" i="13"/>
  <c r="F43" i="16"/>
  <c r="F68" i="15"/>
  <c r="F115" i="15"/>
  <c r="F7" i="15"/>
  <c r="F24" i="16"/>
  <c r="F103" i="15"/>
  <c r="F111" i="17"/>
  <c r="F58" i="15"/>
  <c r="F79" i="15"/>
  <c r="F48" i="16"/>
  <c r="F54" i="17"/>
  <c r="F12" i="14"/>
  <c r="F92" i="17"/>
  <c r="F78" i="15"/>
  <c r="F108" i="15"/>
  <c r="F88" i="17"/>
  <c r="F119" i="17"/>
  <c r="F9" i="14"/>
  <c r="F90" i="17"/>
  <c r="E12" i="13"/>
  <c r="F11" i="17"/>
  <c r="F24" i="15"/>
  <c r="F16" i="15"/>
  <c r="F85" i="15"/>
  <c r="F32" i="15"/>
  <c r="F60" i="15"/>
  <c r="F57" i="15"/>
  <c r="F25" i="16"/>
  <c r="F65" i="15"/>
  <c r="F26" i="15"/>
  <c r="F95" i="15"/>
  <c r="F89" i="15"/>
  <c r="F40" i="15"/>
  <c r="F28" i="15"/>
  <c r="F22" i="14"/>
  <c r="F98" i="17"/>
  <c r="F32" i="17"/>
  <c r="F81" i="15"/>
  <c r="F122" i="15"/>
  <c r="F13" i="14"/>
  <c r="F104" i="17"/>
  <c r="F61" i="15"/>
  <c r="F73" i="15"/>
  <c r="F3" i="14"/>
  <c r="F76" i="15"/>
  <c r="F27" i="16"/>
  <c r="F118" i="15"/>
  <c r="F6" i="14"/>
  <c r="F112" i="17"/>
  <c r="F8" i="16"/>
  <c r="F33" i="15"/>
  <c r="F88" i="15"/>
  <c r="F44" i="16"/>
  <c r="F102" i="17"/>
  <c r="F105" i="17"/>
  <c r="F118" i="17"/>
  <c r="F5" i="17"/>
  <c r="F94" i="17"/>
  <c r="F8" i="15"/>
  <c r="F45" i="17"/>
  <c r="F41" i="16"/>
  <c r="F24" i="17"/>
  <c r="F42" i="15"/>
  <c r="F36" i="16"/>
  <c r="F15" i="14"/>
  <c r="F4" i="14"/>
  <c r="E20" i="13"/>
  <c r="F51" i="17"/>
  <c r="F6" i="17"/>
  <c r="Q5" i="18"/>
  <c r="Q6" i="18"/>
  <c r="Z7" i="17"/>
  <c r="Z6" i="17"/>
  <c r="Z9" i="17"/>
  <c r="Z8" i="17"/>
  <c r="Z8" i="15"/>
  <c r="Z18" i="15"/>
  <c r="Z10" i="15"/>
  <c r="Z16" i="15"/>
  <c r="Z15" i="15"/>
  <c r="Z13" i="15"/>
  <c r="Z11" i="15"/>
  <c r="Z9" i="15"/>
  <c r="Z12" i="15"/>
  <c r="Z14" i="15"/>
  <c r="Z17" i="15"/>
  <c r="Z7" i="15"/>
  <c r="W10" i="14"/>
  <c r="W17" i="14"/>
  <c r="W24" i="14"/>
  <c r="W5" i="14"/>
  <c r="W7" i="14"/>
  <c r="W11" i="14"/>
  <c r="W21" i="14"/>
  <c r="W20" i="14"/>
  <c r="W9" i="14"/>
  <c r="W14" i="14"/>
  <c r="W13" i="14"/>
  <c r="W18" i="14"/>
  <c r="W15" i="14"/>
  <c r="W16" i="14"/>
  <c r="W12" i="14"/>
  <c r="W8" i="14"/>
  <c r="W6" i="14"/>
  <c r="W19" i="14"/>
  <c r="W23" i="14"/>
  <c r="W22" i="14"/>
  <c r="P14" i="13"/>
  <c r="P6" i="13"/>
  <c r="P22" i="13"/>
  <c r="P7" i="13"/>
  <c r="P17" i="13"/>
  <c r="P10" i="13"/>
  <c r="P8" i="13"/>
  <c r="P16" i="13"/>
  <c r="P12" i="13"/>
  <c r="P9" i="13"/>
  <c r="P11" i="13"/>
  <c r="P20" i="13"/>
  <c r="P19" i="13"/>
  <c r="P21" i="13"/>
  <c r="P18" i="13"/>
  <c r="P13" i="13"/>
  <c r="P15" i="13"/>
  <c r="P5" i="13"/>
  <c r="D4" i="13"/>
  <c r="E2" i="14"/>
  <c r="C4" i="18"/>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31" i="15"/>
  <c r="G115" i="15"/>
  <c r="G94" i="17"/>
  <c r="G99" i="17"/>
  <c r="G55" i="17"/>
  <c r="G100" i="17"/>
  <c r="G63" i="17"/>
  <c r="G64" i="15"/>
  <c r="G52" i="15"/>
  <c r="G65" i="17"/>
  <c r="G25" i="15"/>
  <c r="G29" i="17"/>
  <c r="G66" i="17"/>
  <c r="G11" i="15"/>
  <c r="G67" i="17"/>
  <c r="G90" i="17"/>
  <c r="G7" i="17"/>
  <c r="G45" i="15"/>
  <c r="G96" i="15"/>
  <c r="G88" i="17"/>
  <c r="G16" i="16"/>
  <c r="G84" i="17"/>
  <c r="G5" i="17"/>
  <c r="G29" i="15"/>
  <c r="G66" i="15"/>
  <c r="G47" i="17"/>
  <c r="G42" i="17"/>
  <c r="G113" i="17"/>
  <c r="G39" i="17"/>
  <c r="G112" i="17"/>
  <c r="G26" i="16"/>
  <c r="G40" i="15"/>
  <c r="G105" i="15"/>
  <c r="G15" i="17"/>
  <c r="G87" i="15"/>
  <c r="G37" i="16"/>
  <c r="G122" i="17"/>
  <c r="G10" i="16"/>
  <c r="G49" i="17"/>
  <c r="G126" i="15"/>
  <c r="G116" i="15"/>
  <c r="G23" i="16"/>
  <c r="G71" i="17"/>
  <c r="G10" i="17"/>
  <c r="G79" i="15"/>
  <c r="G41" i="17"/>
  <c r="G14" i="16"/>
  <c r="G56" i="15"/>
  <c r="G79" i="17"/>
  <c r="G36" i="16"/>
  <c r="G94" i="15"/>
  <c r="G78" i="17"/>
  <c r="G55" i="15"/>
  <c r="G115" i="17"/>
  <c r="G96" i="17"/>
  <c r="G47" i="15"/>
  <c r="G114" i="15"/>
  <c r="G114" i="17"/>
  <c r="G37" i="15"/>
  <c r="G32" i="15"/>
  <c r="G100" i="15"/>
  <c r="G121" i="17"/>
  <c r="G47" i="16"/>
  <c r="G51" i="15"/>
  <c r="G83" i="17"/>
  <c r="G119" i="17"/>
  <c r="G28" i="16"/>
  <c r="G24" i="16"/>
  <c r="G22" i="16"/>
  <c r="G73" i="15"/>
  <c r="G109" i="15"/>
  <c r="G34" i="17"/>
  <c r="G12" i="17"/>
  <c r="G99" i="15"/>
  <c r="G76" i="17"/>
  <c r="G113" i="15"/>
  <c r="G19" i="17"/>
  <c r="G68" i="17"/>
  <c r="G27" i="16"/>
  <c r="G78" i="15"/>
  <c r="G17" i="15"/>
  <c r="G87" i="17"/>
  <c r="G92" i="17"/>
  <c r="G90" i="15"/>
  <c r="G48" i="17"/>
  <c r="G7" i="16"/>
  <c r="G67" i="15"/>
  <c r="G106" i="15"/>
  <c r="G124" i="15"/>
  <c r="G26" i="17"/>
  <c r="G120" i="17"/>
  <c r="G65" i="15"/>
  <c r="G17" i="17"/>
  <c r="G108" i="15"/>
  <c r="G105" i="17"/>
  <c r="G32" i="16"/>
  <c r="G19" i="15"/>
  <c r="G111" i="15"/>
  <c r="G11" i="16"/>
  <c r="G116" i="17"/>
  <c r="G18" i="15"/>
  <c r="G60" i="15"/>
  <c r="G107" i="15"/>
  <c r="G32" i="17"/>
  <c r="G63" i="15"/>
  <c r="G15" i="16"/>
  <c r="G21" i="16"/>
  <c r="G39" i="16"/>
  <c r="G111" i="17"/>
  <c r="G42" i="16"/>
  <c r="G125" i="15"/>
  <c r="G18" i="17"/>
  <c r="G57" i="15"/>
  <c r="G89" i="15"/>
  <c r="G85" i="17"/>
  <c r="G36" i="15"/>
  <c r="G89" i="17"/>
  <c r="G122" i="15"/>
  <c r="G74" i="15"/>
  <c r="G31" i="16"/>
  <c r="G123" i="17"/>
  <c r="G16" i="17"/>
  <c r="G109" i="17"/>
  <c r="G14" i="17"/>
  <c r="G23" i="15"/>
  <c r="G37" i="17"/>
  <c r="G44" i="15"/>
  <c r="G50" i="15"/>
  <c r="G30" i="15"/>
  <c r="G95" i="15"/>
  <c r="G69" i="17"/>
  <c r="G33" i="16"/>
  <c r="G80" i="17"/>
  <c r="G81" i="17"/>
  <c r="G34" i="16"/>
  <c r="G108" i="17"/>
  <c r="G34" i="15"/>
  <c r="G58" i="17"/>
  <c r="G88" i="15"/>
  <c r="G10" i="15"/>
  <c r="G44" i="17"/>
  <c r="G53" i="17"/>
  <c r="G86" i="15"/>
  <c r="G38" i="17"/>
  <c r="G81" i="15"/>
  <c r="G77" i="15"/>
  <c r="G95" i="17"/>
  <c r="G16" i="15"/>
  <c r="G15" i="15"/>
  <c r="G58" i="15"/>
  <c r="G8" i="15"/>
  <c r="G98" i="15"/>
  <c r="G93" i="15"/>
  <c r="G110" i="15"/>
  <c r="G8" i="16"/>
  <c r="G70" i="15"/>
  <c r="G52" i="17"/>
  <c r="G39" i="15"/>
  <c r="G101" i="15"/>
  <c r="G38" i="15"/>
  <c r="G29" i="16"/>
  <c r="G118" i="15"/>
  <c r="G13" i="16"/>
  <c r="G54" i="15"/>
  <c r="G49" i="15"/>
  <c r="G91" i="15"/>
  <c r="G35" i="17"/>
  <c r="G91" i="17"/>
  <c r="G97" i="15"/>
  <c r="G46" i="15"/>
  <c r="G97" i="17"/>
  <c r="G120" i="15"/>
  <c r="G33" i="15"/>
  <c r="G20" i="17"/>
  <c r="G106" i="17"/>
  <c r="G43" i="16"/>
  <c r="G112" i="15"/>
  <c r="G82" i="17"/>
  <c r="G25" i="17"/>
  <c r="G21" i="15"/>
  <c r="G60" i="17"/>
  <c r="G121" i="15"/>
  <c r="G110" i="17"/>
  <c r="G123" i="15"/>
  <c r="G36" i="17"/>
  <c r="G13" i="17"/>
  <c r="G61" i="15"/>
  <c r="G71" i="15"/>
  <c r="G19" i="16"/>
  <c r="G12" i="16"/>
  <c r="G102" i="17"/>
  <c r="G85" i="15"/>
  <c r="G46" i="16"/>
  <c r="G62" i="15"/>
  <c r="G23" i="17"/>
  <c r="G20" i="16"/>
  <c r="G30" i="17"/>
  <c r="G92" i="15"/>
  <c r="G25" i="16"/>
  <c r="G48" i="15"/>
  <c r="G57" i="17"/>
  <c r="G73" i="17"/>
  <c r="G83" i="15"/>
  <c r="G64" i="17"/>
  <c r="G43" i="15"/>
  <c r="G102" i="15"/>
  <c r="G75" i="15"/>
  <c r="G40" i="16"/>
  <c r="G24" i="15"/>
  <c r="G72" i="17"/>
  <c r="G77" i="17"/>
  <c r="G8" i="17"/>
  <c r="G35" i="16"/>
  <c r="G62" i="17"/>
  <c r="G40" i="17"/>
  <c r="G12" i="15"/>
  <c r="G28" i="15"/>
  <c r="G45" i="16"/>
  <c r="G53" i="15"/>
  <c r="G17" i="16"/>
  <c r="G59" i="17"/>
  <c r="G103" i="15"/>
  <c r="G9" i="16"/>
  <c r="G6" i="17"/>
  <c r="G80" i="15"/>
  <c r="G117" i="15"/>
  <c r="G103" i="17"/>
  <c r="G51" i="17"/>
  <c r="G9" i="17"/>
  <c r="G46" i="17"/>
  <c r="G82" i="15"/>
  <c r="G75" i="17"/>
  <c r="G118" i="17"/>
  <c r="G84" i="15"/>
  <c r="G38" i="16"/>
  <c r="G42" i="15"/>
  <c r="G24" i="17"/>
  <c r="G98" i="17"/>
  <c r="G54" i="17"/>
  <c r="G70" i="17"/>
  <c r="G20" i="15"/>
  <c r="G27" i="17"/>
  <c r="G101" i="17"/>
  <c r="G28" i="17"/>
  <c r="G7" i="15"/>
  <c r="G26" i="15"/>
  <c r="G45" i="17"/>
  <c r="G119" i="15"/>
  <c r="G48" i="16"/>
  <c r="G18" i="16"/>
  <c r="G104" i="17"/>
  <c r="G59" i="15"/>
  <c r="G76" i="15"/>
  <c r="G50" i="17"/>
  <c r="G13" i="15"/>
  <c r="G117" i="17"/>
  <c r="G68" i="15"/>
  <c r="G31" i="17"/>
  <c r="G27" i="15"/>
  <c r="G22" i="15"/>
  <c r="G74" i="17"/>
  <c r="G30" i="16"/>
  <c r="G86" i="17"/>
  <c r="G43" i="17"/>
  <c r="G9" i="15"/>
  <c r="G61" i="17"/>
  <c r="G41" i="15"/>
  <c r="G21" i="17"/>
  <c r="G22" i="17"/>
  <c r="G35" i="15"/>
  <c r="G56" i="17"/>
  <c r="G72" i="15"/>
  <c r="G124" i="17"/>
  <c r="G44" i="16"/>
  <c r="G104" i="15"/>
  <c r="G69" i="15"/>
  <c r="G41" i="16"/>
  <c r="G107" i="17"/>
  <c r="G33" i="17"/>
  <c r="G11" i="17"/>
  <c r="G93" i="17"/>
  <c r="G14" i="15"/>
  <c r="Q3" i="18"/>
  <c r="Z19" i="16"/>
  <c r="Z42" i="16"/>
  <c r="Z35" i="16"/>
  <c r="Z27" i="16"/>
  <c r="Z9" i="16"/>
  <c r="Z39" i="16"/>
  <c r="Z36" i="16"/>
  <c r="Z22" i="16"/>
  <c r="Z15" i="16"/>
  <c r="Z16" i="16"/>
  <c r="Z12" i="16"/>
  <c r="Z46" i="16"/>
  <c r="Z11" i="16"/>
  <c r="Z37" i="16"/>
  <c r="Z30" i="16"/>
  <c r="Z47" i="16"/>
  <c r="Z13" i="16"/>
  <c r="Z38" i="16"/>
  <c r="Z25" i="16"/>
  <c r="Z29" i="16"/>
  <c r="Z24" i="16"/>
  <c r="Z40" i="16"/>
  <c r="Z43" i="16"/>
  <c r="Z10" i="16"/>
  <c r="Z44" i="16"/>
  <c r="Z48" i="16"/>
  <c r="Z21" i="16"/>
  <c r="Z17" i="16"/>
  <c r="Z20" i="16"/>
  <c r="Z34" i="16"/>
  <c r="Z14" i="16"/>
  <c r="Z31" i="16"/>
  <c r="Z32" i="16"/>
  <c r="Z28" i="16"/>
  <c r="Z18" i="16"/>
  <c r="Z45" i="16"/>
  <c r="Z33" i="16"/>
  <c r="Z23" i="16"/>
  <c r="Z41" i="16"/>
  <c r="Z26" i="16"/>
  <c r="Z7" i="16"/>
  <c r="Z8" i="16"/>
  <c r="D4" i="18"/>
  <c r="E4" i="13"/>
  <c r="F2" i="14"/>
  <c r="E5" i="10" l="1"/>
  <c r="E6" i="11"/>
  <c r="C7" i="11"/>
  <c r="E5" i="11"/>
  <c r="E4" i="10"/>
  <c r="C7" i="10"/>
  <c r="E6" i="10"/>
  <c r="E4" i="9"/>
  <c r="E6" i="9"/>
  <c r="C7" i="9"/>
  <c r="E5" i="9"/>
  <c r="F6" i="10"/>
  <c r="F5" i="10"/>
  <c r="F5" i="11"/>
  <c r="F5" i="9"/>
  <c r="F6" i="9"/>
  <c r="F6" i="11"/>
  <c r="C8" i="11" l="1"/>
  <c r="E7" i="11"/>
  <c r="E7" i="10"/>
  <c r="C8" i="10"/>
  <c r="C8" i="9"/>
  <c r="E7" i="9"/>
  <c r="F7" i="9"/>
  <c r="G5" i="9"/>
  <c r="F7" i="11"/>
  <c r="G5" i="11"/>
  <c r="G5" i="10"/>
  <c r="G6" i="11"/>
  <c r="G6" i="10"/>
  <c r="F7" i="10"/>
  <c r="G6" i="9"/>
  <c r="AC5" i="9"/>
  <c r="AC6" i="9"/>
  <c r="C9" i="11" l="1"/>
  <c r="E8" i="11"/>
  <c r="C9" i="10"/>
  <c r="E8" i="10"/>
  <c r="E8" i="9"/>
  <c r="C9" i="9"/>
  <c r="G7" i="10"/>
  <c r="G7" i="11"/>
  <c r="G7" i="9"/>
  <c r="F8" i="10"/>
  <c r="F8" i="9"/>
  <c r="F8" i="11"/>
  <c r="AC7" i="9"/>
  <c r="E4" i="11" l="1"/>
  <c r="E9" i="11"/>
  <c r="C10" i="11"/>
  <c r="E9" i="10"/>
  <c r="C10" i="10"/>
  <c r="E9" i="9"/>
  <c r="C10" i="9"/>
  <c r="F9" i="11"/>
  <c r="G8" i="9"/>
  <c r="G8" i="11"/>
  <c r="F9" i="9"/>
  <c r="F9" i="10"/>
  <c r="G8" i="10"/>
  <c r="AC8" i="9"/>
  <c r="C11" i="11" l="1"/>
  <c r="E10" i="11"/>
  <c r="E10" i="10"/>
  <c r="C11" i="10"/>
  <c r="C11" i="9"/>
  <c r="E10" i="9"/>
  <c r="G9" i="9"/>
  <c r="G9" i="10"/>
  <c r="F10" i="9"/>
  <c r="F10" i="10"/>
  <c r="F10" i="11"/>
  <c r="G9" i="11"/>
  <c r="AC9" i="9"/>
  <c r="C12" i="11" l="1"/>
  <c r="E11" i="11"/>
  <c r="C12" i="10"/>
  <c r="E11" i="10"/>
  <c r="C12" i="9"/>
  <c r="E11" i="9"/>
  <c r="F11" i="10"/>
  <c r="G10" i="11"/>
  <c r="F11" i="11"/>
  <c r="F11" i="9"/>
  <c r="G10" i="9"/>
  <c r="G10" i="10"/>
  <c r="AC10" i="9"/>
  <c r="C13" i="11" l="1"/>
  <c r="E12" i="11"/>
  <c r="E12" i="10"/>
  <c r="C13" i="10"/>
  <c r="E12" i="9"/>
  <c r="C13" i="9"/>
  <c r="F12" i="11"/>
  <c r="G11" i="11"/>
  <c r="G11" i="10"/>
  <c r="F12" i="9"/>
  <c r="F12" i="10"/>
  <c r="G11" i="9"/>
  <c r="AC11" i="9"/>
  <c r="C14" i="11" l="1"/>
  <c r="E13" i="11"/>
  <c r="C14" i="10"/>
  <c r="E13" i="10"/>
  <c r="C14" i="9"/>
  <c r="E13" i="9"/>
  <c r="F13" i="10"/>
  <c r="F13" i="11"/>
  <c r="G12" i="11"/>
  <c r="G12" i="9"/>
  <c r="F13" i="9"/>
  <c r="G12" i="10"/>
  <c r="AC12" i="9"/>
  <c r="E14" i="11" l="1"/>
  <c r="C15" i="11"/>
  <c r="C15" i="10"/>
  <c r="E14" i="10"/>
  <c r="E14" i="9"/>
  <c r="C15" i="9"/>
  <c r="F14" i="9"/>
  <c r="G13" i="9"/>
  <c r="F14" i="10"/>
  <c r="F14" i="11"/>
  <c r="G13" i="11"/>
  <c r="G13" i="10"/>
  <c r="AC13" i="9"/>
  <c r="C16" i="11" l="1"/>
  <c r="E15" i="11"/>
  <c r="E15" i="10"/>
  <c r="C16" i="10"/>
  <c r="C16" i="9"/>
  <c r="E15" i="9"/>
  <c r="G14" i="10"/>
  <c r="G14" i="9"/>
  <c r="F15" i="9"/>
  <c r="G14" i="11"/>
  <c r="F15" i="11"/>
  <c r="F15" i="10"/>
  <c r="AC14" i="9"/>
  <c r="C17" i="11" l="1"/>
  <c r="E16" i="11"/>
  <c r="E16" i="10"/>
  <c r="C17" i="10"/>
  <c r="C17" i="9"/>
  <c r="E16" i="9"/>
  <c r="F16" i="11"/>
  <c r="G15" i="9"/>
  <c r="G15" i="11"/>
  <c r="F16" i="10"/>
  <c r="G15" i="10"/>
  <c r="F16" i="9"/>
  <c r="AC15" i="9"/>
  <c r="E17" i="11" l="1"/>
  <c r="C18" i="11"/>
  <c r="E17" i="10"/>
  <c r="C18" i="10"/>
  <c r="C18" i="9"/>
  <c r="E17" i="9"/>
  <c r="G16" i="10"/>
  <c r="F17" i="10"/>
  <c r="G16" i="11"/>
  <c r="F17" i="11"/>
  <c r="G16" i="9"/>
  <c r="F17" i="9"/>
  <c r="AC16" i="9"/>
  <c r="C19" i="11" l="1"/>
  <c r="E18" i="11"/>
  <c r="C19" i="10"/>
  <c r="E18" i="10"/>
  <c r="C19" i="9"/>
  <c r="E18" i="9"/>
  <c r="F18" i="10"/>
  <c r="G17" i="10"/>
  <c r="F18" i="9"/>
  <c r="G17" i="9"/>
  <c r="F18" i="11"/>
  <c r="G17" i="11"/>
  <c r="AC17" i="9"/>
  <c r="E19" i="11" l="1"/>
  <c r="C20" i="11"/>
  <c r="C20" i="10"/>
  <c r="E19" i="10"/>
  <c r="E19" i="9"/>
  <c r="C20" i="9"/>
  <c r="G18" i="9"/>
  <c r="F19" i="11"/>
  <c r="F19" i="9"/>
  <c r="F19" i="10"/>
  <c r="G18" i="11"/>
  <c r="G18" i="10"/>
  <c r="AC18" i="9"/>
  <c r="C21" i="11" l="1"/>
  <c r="E20" i="11"/>
  <c r="E20" i="10"/>
  <c r="C21" i="10"/>
  <c r="E20" i="9"/>
  <c r="C21" i="9"/>
  <c r="F20" i="9"/>
  <c r="G19" i="11"/>
  <c r="F20" i="11"/>
  <c r="G19" i="10"/>
  <c r="G19" i="9"/>
  <c r="F20" i="10"/>
  <c r="AC19" i="9"/>
  <c r="C22" i="11" l="1"/>
  <c r="E21" i="11"/>
  <c r="C22" i="10"/>
  <c r="E21" i="10"/>
  <c r="C22" i="9"/>
  <c r="E21" i="9"/>
  <c r="G20" i="11"/>
  <c r="F21" i="11"/>
  <c r="G20" i="10"/>
  <c r="G20" i="9"/>
  <c r="F21" i="10"/>
  <c r="F21" i="9"/>
  <c r="AC20" i="9"/>
  <c r="E22" i="11" l="1"/>
  <c r="C23" i="11"/>
  <c r="C23" i="10"/>
  <c r="E22" i="10"/>
  <c r="E22" i="9"/>
  <c r="C23" i="9"/>
  <c r="G21" i="10"/>
  <c r="G21" i="11"/>
  <c r="F22" i="11"/>
  <c r="F22" i="9"/>
  <c r="F22" i="10"/>
  <c r="G21" i="9"/>
  <c r="AC21" i="9"/>
  <c r="C24" i="11" l="1"/>
  <c r="E23" i="11"/>
  <c r="C24" i="10"/>
  <c r="E23" i="10"/>
  <c r="C24" i="9"/>
  <c r="E23" i="9"/>
  <c r="G22" i="11"/>
  <c r="G22" i="10"/>
  <c r="F23" i="9"/>
  <c r="F23" i="10"/>
  <c r="G22" i="9"/>
  <c r="F23" i="11"/>
  <c r="AC22" i="9"/>
  <c r="C25" i="11" l="1"/>
  <c r="E24" i="11"/>
  <c r="C25" i="10"/>
  <c r="E24" i="10"/>
  <c r="C25" i="9"/>
  <c r="E24" i="9"/>
  <c r="G23" i="11"/>
  <c r="G23" i="9"/>
  <c r="F24" i="9"/>
  <c r="F24" i="11"/>
  <c r="F24" i="10"/>
  <c r="G23" i="10"/>
  <c r="AC23" i="9"/>
  <c r="E25" i="11" l="1"/>
  <c r="C26" i="11"/>
  <c r="E25" i="10"/>
  <c r="C26" i="10"/>
  <c r="E25" i="9"/>
  <c r="C26" i="9"/>
  <c r="G24" i="9"/>
  <c r="G24" i="11"/>
  <c r="F25" i="10"/>
  <c r="G24" i="10"/>
  <c r="F25" i="9"/>
  <c r="F25" i="11"/>
  <c r="AC24" i="9"/>
  <c r="E26" i="11" l="1"/>
  <c r="C27" i="11"/>
  <c r="E26" i="10"/>
  <c r="C27" i="10"/>
  <c r="C27" i="9"/>
  <c r="E26" i="9"/>
  <c r="G25" i="9"/>
  <c r="F26" i="10"/>
  <c r="G25" i="10"/>
  <c r="F26" i="11"/>
  <c r="G25" i="11"/>
  <c r="F26" i="9"/>
  <c r="AC25" i="9"/>
  <c r="C28" i="11" l="1"/>
  <c r="E27" i="11"/>
  <c r="C28" i="10"/>
  <c r="E27" i="10"/>
  <c r="E27" i="9"/>
  <c r="C28" i="9"/>
  <c r="F27" i="11"/>
  <c r="G26" i="11"/>
  <c r="G26" i="10"/>
  <c r="F27" i="10"/>
  <c r="G26" i="9"/>
  <c r="F27" i="9"/>
  <c r="AC26" i="9"/>
  <c r="C29" i="11" l="1"/>
  <c r="E28" i="11"/>
  <c r="E28" i="10"/>
  <c r="C29" i="10"/>
  <c r="E28" i="9"/>
  <c r="C29" i="9"/>
  <c r="F28" i="11"/>
  <c r="F28" i="10"/>
  <c r="G27" i="11"/>
  <c r="F28" i="9"/>
  <c r="G27" i="10"/>
  <c r="G27" i="9"/>
  <c r="AC27" i="9"/>
  <c r="C30" i="11" l="1"/>
  <c r="E29" i="11"/>
  <c r="C30" i="10"/>
  <c r="E29" i="10"/>
  <c r="C30" i="9"/>
  <c r="E29" i="9"/>
  <c r="F29" i="10"/>
  <c r="G28" i="9"/>
  <c r="G28" i="11"/>
  <c r="F29" i="9"/>
  <c r="F29" i="11"/>
  <c r="G28" i="10"/>
  <c r="AC28" i="9"/>
  <c r="E30" i="11" l="1"/>
  <c r="C31" i="11"/>
  <c r="C31" i="10"/>
  <c r="E30" i="10"/>
  <c r="E30" i="9"/>
  <c r="C31" i="9"/>
  <c r="F30" i="9"/>
  <c r="F30" i="10"/>
  <c r="G29" i="11"/>
  <c r="G29" i="10"/>
  <c r="G29" i="9"/>
  <c r="F30" i="11"/>
  <c r="AC29" i="9"/>
  <c r="C32" i="11" l="1"/>
  <c r="E31" i="11"/>
  <c r="E31" i="10"/>
  <c r="C32" i="10"/>
  <c r="C32" i="9"/>
  <c r="E31" i="9"/>
  <c r="G30" i="10"/>
  <c r="F31" i="11"/>
  <c r="G30" i="11"/>
  <c r="G30" i="9"/>
  <c r="F31" i="10"/>
  <c r="F31" i="9"/>
  <c r="AC30" i="9"/>
  <c r="C33" i="11" l="1"/>
  <c r="E32" i="11"/>
  <c r="E32" i="10"/>
  <c r="C33" i="10"/>
  <c r="C33" i="9"/>
  <c r="E32" i="9"/>
  <c r="F32" i="10"/>
  <c r="G31" i="11"/>
  <c r="F32" i="11"/>
  <c r="F32" i="9"/>
  <c r="G31" i="9"/>
  <c r="G31" i="10"/>
  <c r="AC31" i="9"/>
  <c r="E33" i="11" l="1"/>
  <c r="C34" i="11"/>
  <c r="C34" i="10"/>
  <c r="E33" i="10"/>
  <c r="E33" i="9"/>
  <c r="C34" i="9"/>
  <c r="F33" i="9"/>
  <c r="G32" i="11"/>
  <c r="F33" i="10"/>
  <c r="F33" i="11"/>
  <c r="G32" i="9"/>
  <c r="G32" i="10"/>
  <c r="AC32" i="9"/>
  <c r="E34" i="11" l="1"/>
  <c r="C35" i="11"/>
  <c r="C35" i="10"/>
  <c r="E34" i="10"/>
  <c r="C35" i="9"/>
  <c r="E34" i="9"/>
  <c r="G33" i="9"/>
  <c r="G33" i="11"/>
  <c r="F34" i="10"/>
  <c r="F34" i="9"/>
  <c r="G33" i="10"/>
  <c r="F34" i="11"/>
  <c r="AC33" i="9"/>
  <c r="E35" i="11" l="1"/>
  <c r="C36" i="11"/>
  <c r="E35" i="10"/>
  <c r="C36" i="10"/>
  <c r="E35" i="9"/>
  <c r="C36" i="9"/>
  <c r="G34" i="9"/>
  <c r="F35" i="9"/>
  <c r="F35" i="10"/>
  <c r="G34" i="11"/>
  <c r="F35" i="11"/>
  <c r="G34" i="10"/>
  <c r="AC34" i="9"/>
  <c r="C37" i="11" l="1"/>
  <c r="E36" i="11"/>
  <c r="E36" i="10"/>
  <c r="C37" i="10"/>
  <c r="E36" i="9"/>
  <c r="C37" i="9"/>
  <c r="F36" i="11"/>
  <c r="G35" i="9"/>
  <c r="F36" i="9"/>
  <c r="G35" i="11"/>
  <c r="G35" i="10"/>
  <c r="F36" i="10"/>
  <c r="AC35" i="9"/>
  <c r="E37" i="11" l="1"/>
  <c r="C38" i="11"/>
  <c r="C38" i="10"/>
  <c r="E37" i="10"/>
  <c r="C38" i="9"/>
  <c r="E37" i="9"/>
  <c r="F37" i="11"/>
  <c r="G36" i="9"/>
  <c r="G36" i="10"/>
  <c r="G36" i="11"/>
  <c r="F37" i="9"/>
  <c r="F37" i="10"/>
  <c r="AC36" i="9"/>
  <c r="E38" i="11" l="1"/>
  <c r="C39" i="11"/>
  <c r="C39" i="10"/>
  <c r="E38" i="10"/>
  <c r="E38" i="9"/>
  <c r="C39" i="9"/>
  <c r="G37" i="9"/>
  <c r="F38" i="11"/>
  <c r="G37" i="11"/>
  <c r="G37" i="10"/>
  <c r="F38" i="10"/>
  <c r="F38" i="9"/>
  <c r="AC37" i="9"/>
  <c r="C40" i="11" l="1"/>
  <c r="E39" i="11"/>
  <c r="C40" i="10"/>
  <c r="E39" i="10"/>
  <c r="C40" i="9"/>
  <c r="E39" i="9"/>
  <c r="G38" i="11"/>
  <c r="F39" i="10"/>
  <c r="F39" i="11"/>
  <c r="F39" i="9"/>
  <c r="G38" i="9"/>
  <c r="G38" i="10"/>
  <c r="AC38" i="9"/>
  <c r="C41" i="11" l="1"/>
  <c r="E40" i="11"/>
  <c r="E40" i="10"/>
  <c r="C41" i="10"/>
  <c r="C41" i="9"/>
  <c r="E40" i="9"/>
  <c r="F40" i="9"/>
  <c r="G39" i="9"/>
  <c r="G39" i="11"/>
  <c r="G39" i="10"/>
  <c r="F40" i="11"/>
  <c r="F40" i="10"/>
  <c r="AC39" i="9"/>
  <c r="E41" i="11" l="1"/>
  <c r="C42" i="11"/>
  <c r="E42" i="11" s="1"/>
  <c r="E41" i="10"/>
  <c r="C42" i="10"/>
  <c r="E42" i="10" s="1"/>
  <c r="E41" i="9"/>
  <c r="C42" i="9"/>
  <c r="E42" i="9" s="1"/>
  <c r="F41" i="11"/>
  <c r="F42" i="11"/>
  <c r="F42" i="9"/>
  <c r="G40" i="11"/>
  <c r="G40" i="9"/>
  <c r="F42" i="10"/>
  <c r="F41" i="10"/>
  <c r="F41" i="9"/>
  <c r="G40" i="10"/>
  <c r="AC40" i="9"/>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E21" i="7"/>
  <c r="G41" i="10"/>
  <c r="E20" i="7"/>
  <c r="E15" i="7"/>
  <c r="E6" i="7"/>
  <c r="E32" i="7"/>
  <c r="E26" i="7"/>
  <c r="E10" i="7"/>
  <c r="E17" i="7"/>
  <c r="E30" i="7"/>
  <c r="E11" i="7"/>
  <c r="E16" i="7"/>
  <c r="E24" i="7"/>
  <c r="E7" i="7"/>
  <c r="G42" i="9"/>
  <c r="G42" i="10"/>
  <c r="G41" i="9"/>
  <c r="G41" i="11"/>
  <c r="E29" i="7"/>
  <c r="E28" i="7"/>
  <c r="E8" i="7"/>
  <c r="E14" i="7"/>
  <c r="E13" i="7"/>
  <c r="G42" i="11"/>
  <c r="E27" i="7"/>
  <c r="E25" i="7"/>
  <c r="E9" i="7"/>
  <c r="E33" i="7"/>
  <c r="E12" i="7"/>
  <c r="E31" i="7"/>
  <c r="AC41" i="9"/>
  <c r="AC42" i="9"/>
  <c r="G4" i="10"/>
  <c r="E5" i="7"/>
  <c r="E23" i="7"/>
  <c r="G4" i="11"/>
  <c r="E19"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S3" i="11"/>
  <c r="F46" i="5"/>
  <c r="F12" i="5"/>
  <c r="F59" i="5"/>
  <c r="F18" i="4"/>
  <c r="F25" i="5"/>
  <c r="F15" i="5"/>
  <c r="F47" i="5"/>
  <c r="F14" i="4"/>
  <c r="F16" i="4"/>
  <c r="F28" i="5"/>
  <c r="F30" i="7"/>
  <c r="F13" i="4"/>
  <c r="F25" i="7"/>
  <c r="F20" i="4"/>
  <c r="F61" i="5"/>
  <c r="F14" i="5"/>
  <c r="F33" i="5"/>
  <c r="F11" i="4"/>
  <c r="F9" i="5"/>
  <c r="F10" i="7"/>
  <c r="F15" i="7"/>
  <c r="F21" i="7"/>
  <c r="F34" i="5"/>
  <c r="F11" i="7"/>
  <c r="F65" i="5"/>
  <c r="F62" i="5"/>
  <c r="F52" i="5"/>
  <c r="F31" i="7"/>
  <c r="F60" i="5"/>
  <c r="F26" i="5"/>
  <c r="F7" i="4"/>
  <c r="F63" i="5"/>
  <c r="F10" i="5"/>
  <c r="F21" i="5"/>
  <c r="F43" i="5"/>
  <c r="F20" i="5"/>
  <c r="F35" i="5"/>
  <c r="F20" i="7"/>
  <c r="F30" i="5"/>
  <c r="F16" i="7"/>
  <c r="F29" i="5"/>
  <c r="F33" i="7"/>
  <c r="F6" i="4"/>
  <c r="F51" i="5"/>
  <c r="F32" i="7"/>
  <c r="F28" i="7"/>
  <c r="F12" i="4"/>
  <c r="F19" i="4"/>
  <c r="F9" i="7"/>
  <c r="F15" i="4"/>
  <c r="F11" i="5"/>
  <c r="F9" i="4"/>
  <c r="F8" i="4"/>
  <c r="F37" i="5"/>
  <c r="F14" i="7"/>
  <c r="F27" i="7"/>
  <c r="F56" i="5"/>
  <c r="F29" i="7"/>
  <c r="F53" i="5"/>
  <c r="F24" i="7"/>
  <c r="F24" i="5"/>
  <c r="F55" i="5"/>
  <c r="F19" i="5"/>
  <c r="F17" i="7"/>
  <c r="F13" i="5"/>
  <c r="F32" i="5"/>
  <c r="F26" i="7"/>
  <c r="F21" i="4"/>
  <c r="F45" i="5"/>
  <c r="F58" i="5"/>
  <c r="F22" i="4"/>
  <c r="F27" i="5"/>
  <c r="F17" i="4"/>
  <c r="F54" i="5"/>
  <c r="F7" i="5"/>
  <c r="F13" i="7"/>
  <c r="F12" i="7"/>
  <c r="F42" i="5"/>
  <c r="F16" i="5"/>
  <c r="F40" i="5"/>
  <c r="F50" i="5"/>
  <c r="F31" i="5"/>
  <c r="F44" i="5"/>
  <c r="F64" i="5"/>
  <c r="F66" i="5"/>
  <c r="F8" i="5"/>
  <c r="F36" i="5"/>
  <c r="F22" i="5"/>
  <c r="G13" i="4"/>
  <c r="F49" i="5"/>
  <c r="F39" i="5"/>
  <c r="F6" i="7"/>
  <c r="F10" i="4"/>
  <c r="F48" i="5"/>
  <c r="F23" i="5"/>
  <c r="F38" i="5"/>
  <c r="F41" i="5"/>
  <c r="F57" i="5"/>
  <c r="F18" i="5"/>
  <c r="F17" i="5"/>
  <c r="Q3" i="60"/>
  <c r="Y3" i="20"/>
  <c r="F6" i="15"/>
  <c r="F4" i="9"/>
  <c r="F4" i="17"/>
  <c r="F23" i="7"/>
  <c r="F19" i="7"/>
  <c r="F6" i="16"/>
  <c r="F5" i="7"/>
  <c r="D2" i="28"/>
  <c r="F6" i="5"/>
  <c r="AM4" i="16" l="1"/>
  <c r="W17" i="4"/>
  <c r="W12" i="4"/>
  <c r="W19" i="4"/>
  <c r="W10" i="4"/>
  <c r="W16" i="4"/>
  <c r="W21" i="4"/>
  <c r="W8" i="4"/>
  <c r="W15" i="4"/>
  <c r="W20" i="4"/>
  <c r="W13" i="4"/>
  <c r="W14" i="4"/>
  <c r="W11" i="4"/>
  <c r="W22" i="4"/>
  <c r="W9" i="4"/>
  <c r="W18" i="4"/>
  <c r="X5" i="11" a="1"/>
  <c r="S3" i="10"/>
  <c r="G10" i="4"/>
  <c r="H16" i="4"/>
  <c r="X11" i="4"/>
  <c r="J37" i="5"/>
  <c r="G57" i="5"/>
  <c r="I10" i="4"/>
  <c r="G64" i="5"/>
  <c r="H18" i="4"/>
  <c r="G66" i="5"/>
  <c r="G65" i="5"/>
  <c r="G30" i="5"/>
  <c r="J47" i="5"/>
  <c r="X18" i="4"/>
  <c r="X16" i="4"/>
  <c r="J16" i="5"/>
  <c r="J17" i="5"/>
  <c r="G35" i="5"/>
  <c r="J34" i="5"/>
  <c r="J29" i="5"/>
  <c r="G16" i="4"/>
  <c r="X20" i="4"/>
  <c r="X12" i="4"/>
  <c r="L7" i="4"/>
  <c r="J66" i="5"/>
  <c r="J23" i="5"/>
  <c r="J52" i="5"/>
  <c r="H8" i="4"/>
  <c r="L12" i="4"/>
  <c r="H15" i="4"/>
  <c r="G55" i="5"/>
  <c r="J41" i="5"/>
  <c r="G17" i="4"/>
  <c r="G58" i="5"/>
  <c r="G6" i="4"/>
  <c r="G53" i="5"/>
  <c r="G27" i="5"/>
  <c r="J9" i="5"/>
  <c r="AA20" i="4"/>
  <c r="J46" i="5"/>
  <c r="J56" i="5"/>
  <c r="G22" i="4"/>
  <c r="L14" i="4"/>
  <c r="G54" i="5"/>
  <c r="J15" i="5"/>
  <c r="H14" i="4"/>
  <c r="J57" i="5"/>
  <c r="J25" i="5"/>
  <c r="J61" i="5"/>
  <c r="G56" i="5"/>
  <c r="L15" i="4"/>
  <c r="G34" i="5"/>
  <c r="AA19" i="4"/>
  <c r="J13" i="5"/>
  <c r="G32" i="5"/>
  <c r="G18" i="4"/>
  <c r="AA9" i="4"/>
  <c r="J54" i="5"/>
  <c r="X13" i="4"/>
  <c r="L16" i="4"/>
  <c r="L10" i="4"/>
  <c r="G52" i="5"/>
  <c r="G14" i="4"/>
  <c r="G48" i="5"/>
  <c r="G20" i="5"/>
  <c r="G9" i="4"/>
  <c r="G10" i="5"/>
  <c r="H7" i="4"/>
  <c r="H19" i="4"/>
  <c r="G51" i="5"/>
  <c r="G62" i="5"/>
  <c r="J35" i="5"/>
  <c r="G61" i="5"/>
  <c r="L22" i="4"/>
  <c r="G38" i="5"/>
  <c r="J30" i="5"/>
  <c r="J18" i="5"/>
  <c r="G24" i="5"/>
  <c r="J7" i="5"/>
  <c r="G9" i="5"/>
  <c r="G7" i="4"/>
  <c r="H10" i="4"/>
  <c r="G33" i="5"/>
  <c r="L8" i="4"/>
  <c r="J38" i="5"/>
  <c r="L21" i="4"/>
  <c r="J39" i="5"/>
  <c r="L17" i="4"/>
  <c r="H12" i="4"/>
  <c r="AA17" i="4"/>
  <c r="G37" i="5"/>
  <c r="H9" i="4"/>
  <c r="G23" i="5"/>
  <c r="G12" i="4"/>
  <c r="J32" i="5"/>
  <c r="G11" i="4"/>
  <c r="L6" i="4"/>
  <c r="G22" i="5"/>
  <c r="G36" i="5"/>
  <c r="G63" i="5"/>
  <c r="G8" i="4"/>
  <c r="J50" i="5"/>
  <c r="L13" i="4"/>
  <c r="G12" i="5"/>
  <c r="J28" i="5"/>
  <c r="G17" i="5"/>
  <c r="G15" i="4"/>
  <c r="H21" i="4"/>
  <c r="H6" i="4"/>
  <c r="J58" i="5"/>
  <c r="J33" i="5"/>
  <c r="G7" i="5"/>
  <c r="G11" i="5"/>
  <c r="G21" i="5"/>
  <c r="G21" i="4"/>
  <c r="G31" i="5"/>
  <c r="H17" i="4"/>
  <c r="G43" i="5"/>
  <c r="G45" i="5"/>
  <c r="G19" i="5"/>
  <c r="X22" i="4"/>
  <c r="G42" i="5"/>
  <c r="J14" i="5"/>
  <c r="J44" i="5"/>
  <c r="J43" i="5"/>
  <c r="J36" i="5"/>
  <c r="G50" i="5"/>
  <c r="J42" i="5"/>
  <c r="G8" i="5"/>
  <c r="J31" i="5"/>
  <c r="J8" i="5"/>
  <c r="J60" i="5"/>
  <c r="H20" i="4"/>
  <c r="G14" i="5"/>
  <c r="X9" i="4"/>
  <c r="J64" i="5"/>
  <c r="G19" i="4"/>
  <c r="J48" i="5"/>
  <c r="G28" i="5"/>
  <c r="J24" i="5"/>
  <c r="AA14" i="4"/>
  <c r="G20" i="4"/>
  <c r="H13" i="4"/>
  <c r="AA21" i="4"/>
  <c r="J45" i="5"/>
  <c r="G26" i="5"/>
  <c r="J55" i="5"/>
  <c r="G46" i="5"/>
  <c r="G41" i="5"/>
  <c r="J20" i="5"/>
  <c r="J11" i="5"/>
  <c r="G29" i="5"/>
  <c r="AA18" i="4"/>
  <c r="L18" i="4"/>
  <c r="H22" i="4"/>
  <c r="AA15" i="4"/>
  <c r="G15" i="5"/>
  <c r="J51" i="5"/>
  <c r="X15" i="4"/>
  <c r="G44" i="5"/>
  <c r="X8" i="4"/>
  <c r="J62" i="5"/>
  <c r="J10" i="5"/>
  <c r="G40" i="5"/>
  <c r="L20" i="4"/>
  <c r="J65" i="5"/>
  <c r="G25" i="5"/>
  <c r="G59" i="5"/>
  <c r="X21" i="4"/>
  <c r="H11" i="4"/>
  <c r="J53" i="5"/>
  <c r="L19" i="4"/>
  <c r="G47" i="5"/>
  <c r="J59" i="5"/>
  <c r="X17" i="4"/>
  <c r="I13" i="4"/>
  <c r="G60" i="5"/>
  <c r="J22" i="5"/>
  <c r="J12" i="5"/>
  <c r="J21" i="5"/>
  <c r="J63" i="5"/>
  <c r="J40" i="5"/>
  <c r="G39" i="5"/>
  <c r="J26" i="5"/>
  <c r="AA10" i="4"/>
  <c r="J19" i="5"/>
  <c r="X10" i="4"/>
  <c r="X14" i="4"/>
  <c r="X19" i="4"/>
  <c r="G13" i="5"/>
  <c r="J49" i="5"/>
  <c r="L11" i="4"/>
  <c r="G18" i="5"/>
  <c r="G16" i="5"/>
  <c r="J27" i="5"/>
  <c r="L9" i="4"/>
  <c r="G49" i="5"/>
  <c r="AM43" i="16"/>
  <c r="AM26" i="16"/>
  <c r="AM44" i="16"/>
  <c r="AM14" i="16"/>
  <c r="AM18" i="16"/>
  <c r="AM36" i="16"/>
  <c r="AM22" i="16"/>
  <c r="AM34" i="16"/>
  <c r="AM30" i="16"/>
  <c r="AM11" i="16"/>
  <c r="AM10" i="16"/>
  <c r="AM15" i="16"/>
  <c r="AM13" i="16"/>
  <c r="AM29" i="16"/>
  <c r="AM42" i="16"/>
  <c r="AM21" i="16"/>
  <c r="AM19" i="16"/>
  <c r="AM31" i="16"/>
  <c r="AM12" i="16"/>
  <c r="AM16" i="16"/>
  <c r="AM38" i="16"/>
  <c r="AM7" i="16"/>
  <c r="AM39" i="16"/>
  <c r="AM25" i="16"/>
  <c r="AM33" i="16"/>
  <c r="AM48" i="16"/>
  <c r="AM20" i="16"/>
  <c r="AM17" i="16"/>
  <c r="AM41" i="16"/>
  <c r="AM47" i="16"/>
  <c r="AM23" i="16"/>
  <c r="AM37" i="16"/>
  <c r="AM28" i="16"/>
  <c r="AM24" i="16"/>
  <c r="AM32" i="16"/>
  <c r="AM9" i="16"/>
  <c r="AM46" i="16"/>
  <c r="AM45" i="16"/>
  <c r="AM27" i="16"/>
  <c r="AM35" i="16"/>
  <c r="AM8" i="16"/>
  <c r="AM40" i="16"/>
  <c r="G4" i="17"/>
  <c r="G6" i="16"/>
  <c r="E2" i="28"/>
  <c r="G6" i="15"/>
  <c r="G4" i="9"/>
  <c r="F5" i="4"/>
  <c r="G6" i="5"/>
  <c r="X22" i="11" l="1"/>
  <c r="X24" i="11"/>
  <c r="X35" i="11"/>
  <c r="X18" i="11"/>
  <c r="X29" i="11"/>
  <c r="X15" i="11"/>
  <c r="X10" i="11"/>
  <c r="X36" i="11"/>
  <c r="X37" i="11"/>
  <c r="X26" i="11"/>
  <c r="X6" i="11"/>
  <c r="X11" i="11"/>
  <c r="X14" i="11"/>
  <c r="X16" i="11"/>
  <c r="X25" i="11"/>
  <c r="X5" i="11"/>
  <c r="X30" i="11"/>
  <c r="X9" i="11"/>
  <c r="X12" i="11"/>
  <c r="X34" i="11"/>
  <c r="X13" i="11"/>
  <c r="X38" i="11"/>
  <c r="X39" i="11" s="1"/>
  <c r="X40" i="11" s="1"/>
  <c r="X41" i="11" s="1"/>
  <c r="X42" i="11" s="1"/>
  <c r="X17" i="11"/>
  <c r="X20" i="11"/>
  <c r="X27" i="11"/>
  <c r="X21" i="11"/>
  <c r="X7" i="11"/>
  <c r="X33" i="11"/>
  <c r="X28" i="11"/>
  <c r="X23" i="11"/>
  <c r="X8" i="11"/>
  <c r="X31" i="11"/>
  <c r="X32" i="11"/>
  <c r="X19" i="11"/>
  <c r="Z15" i="4"/>
  <c r="AB15" i="4" s="1"/>
  <c r="Z10" i="4"/>
  <c r="AB10" i="4" s="1"/>
  <c r="Z9" i="4"/>
  <c r="AB9" i="4" s="1"/>
  <c r="Z17" i="4"/>
  <c r="AB17" i="4" s="1"/>
  <c r="Z20" i="4"/>
  <c r="AB20" i="4" s="1"/>
  <c r="Z14" i="4"/>
  <c r="AB14" i="4" s="1"/>
  <c r="Z18" i="4"/>
  <c r="AB18" i="4" s="1"/>
  <c r="Z21" i="4"/>
  <c r="AB21" i="4" s="1"/>
  <c r="Z19" i="4"/>
  <c r="AB19" i="4" s="1"/>
  <c r="X5" i="10" a="1"/>
  <c r="I19" i="4"/>
  <c r="I8" i="4"/>
  <c r="I6" i="4"/>
  <c r="U11" i="4"/>
  <c r="I22" i="4"/>
  <c r="I9" i="4"/>
  <c r="I16" i="4"/>
  <c r="U16" i="4"/>
  <c r="U13" i="4"/>
  <c r="I12" i="4"/>
  <c r="I11" i="4"/>
  <c r="U22" i="4"/>
  <c r="I7" i="4"/>
  <c r="U12" i="4"/>
  <c r="I17" i="4"/>
  <c r="I20" i="4"/>
  <c r="I15" i="4"/>
  <c r="U8" i="4"/>
  <c r="I18" i="4"/>
  <c r="I21" i="4"/>
  <c r="I14" i="4"/>
  <c r="AN28" i="16"/>
  <c r="AN11" i="16"/>
  <c r="AN22" i="16"/>
  <c r="AN35" i="16"/>
  <c r="AN29" i="16"/>
  <c r="AN21" i="16"/>
  <c r="AN7" i="16"/>
  <c r="AN32" i="16"/>
  <c r="AN19" i="16"/>
  <c r="AN34" i="16"/>
  <c r="AN23" i="16"/>
  <c r="AN26" i="16"/>
  <c r="AN16" i="16"/>
  <c r="AN13" i="16"/>
  <c r="AN39" i="16"/>
  <c r="AN43" i="16"/>
  <c r="AN44" i="16"/>
  <c r="AN25" i="16"/>
  <c r="AN37" i="16"/>
  <c r="AN41" i="16"/>
  <c r="AN48" i="16"/>
  <c r="AN17" i="16"/>
  <c r="AN36" i="16"/>
  <c r="AN45" i="16"/>
  <c r="AN40" i="16"/>
  <c r="AN8" i="16"/>
  <c r="AN20" i="16"/>
  <c r="AN12" i="16"/>
  <c r="AN42" i="16"/>
  <c r="AN9" i="16"/>
  <c r="AN47" i="16"/>
  <c r="AN15" i="16"/>
  <c r="AN38" i="16"/>
  <c r="AN24" i="16"/>
  <c r="AN27" i="16"/>
  <c r="AN18" i="16"/>
  <c r="AN10" i="16"/>
  <c r="AN31" i="16"/>
  <c r="AN46" i="16"/>
  <c r="AN33" i="16"/>
  <c r="AN30" i="16"/>
  <c r="AN14" i="16"/>
  <c r="H5" i="4"/>
  <c r="X8" i="10" l="1"/>
  <c r="X5" i="10"/>
  <c r="X6" i="10"/>
  <c r="X7" i="10"/>
  <c r="X9" i="10"/>
  <c r="X10" i="10"/>
  <c r="Y13" i="4"/>
  <c r="Y8" i="4"/>
  <c r="Y11" i="4"/>
  <c r="Y22" i="4"/>
  <c r="Y12" i="4"/>
  <c r="Y16" i="4"/>
  <c r="Z22" i="4" l="1"/>
  <c r="AB22" i="4" s="1"/>
  <c r="Z8" i="4"/>
  <c r="AB8" i="4" s="1"/>
  <c r="Z16" i="4"/>
  <c r="AB16" i="4" s="1"/>
  <c r="Z11" i="4"/>
  <c r="AB11" i="4" s="1"/>
  <c r="Z12" i="4"/>
  <c r="AB12" i="4" s="1"/>
  <c r="Z13" i="4"/>
  <c r="AB13" i="4" s="1"/>
  <c r="X11" i="10"/>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s="1"/>
  <c r="X40" i="10" s="1"/>
  <c r="X41" i="10" s="1"/>
  <c r="X42" i="10" s="1"/>
  <c r="AA12" i="4"/>
  <c r="AA16" i="4"/>
  <c r="AA22" i="4"/>
  <c r="AA13" i="4"/>
  <c r="AA8" i="4"/>
  <c r="AA11" i="4"/>
  <c r="AC5" i="11"/>
  <c r="AC12" i="11"/>
  <c r="AC14" i="11"/>
  <c r="AC38" i="11"/>
  <c r="AC36" i="11"/>
  <c r="AC27" i="11"/>
  <c r="AC15" i="11"/>
  <c r="AC18" i="11"/>
  <c r="AC40" i="11"/>
  <c r="AC29" i="11"/>
  <c r="AC22" i="11"/>
  <c r="AC37" i="11"/>
  <c r="AC34" i="11"/>
  <c r="AC26" i="11"/>
  <c r="AC32" i="11"/>
  <c r="AC31" i="11"/>
  <c r="AC6" i="11"/>
  <c r="AC11" i="11"/>
  <c r="AC42" i="11"/>
  <c r="AC33" i="11"/>
  <c r="AC30" i="11"/>
  <c r="AC8" i="11"/>
  <c r="AC13" i="11"/>
  <c r="AC41" i="11"/>
  <c r="AC23" i="11"/>
  <c r="AC39" i="11"/>
  <c r="AC25" i="11"/>
  <c r="AC7" i="11"/>
  <c r="AC21" i="11"/>
  <c r="AC19" i="11"/>
  <c r="AC24" i="11"/>
  <c r="AC17" i="11"/>
  <c r="AC35" i="11"/>
  <c r="AC10" i="11"/>
  <c r="AC16" i="11"/>
  <c r="AC9" i="11"/>
  <c r="AC28" i="11"/>
  <c r="AC20" i="11"/>
  <c r="Z3" i="4" l="1"/>
  <c r="AC5" i="10"/>
  <c r="AJ5" i="10" l="1"/>
  <c r="S3" i="9"/>
  <c r="AC18" i="10"/>
  <c r="AC13" i="10"/>
  <c r="AC41" i="10"/>
  <c r="AC42" i="10"/>
  <c r="AC19" i="10"/>
  <c r="AC16" i="10"/>
  <c r="AC33" i="10"/>
  <c r="AC30" i="10"/>
  <c r="AC11" i="10"/>
  <c r="AC35" i="10"/>
  <c r="AC15" i="10"/>
  <c r="AC23" i="10"/>
  <c r="AC14" i="10"/>
  <c r="AC27" i="10"/>
  <c r="AC32" i="10"/>
  <c r="AC17" i="10"/>
  <c r="AC28" i="10"/>
  <c r="AC25" i="10"/>
  <c r="AC10" i="10"/>
  <c r="AC24" i="10"/>
  <c r="AC37" i="10"/>
  <c r="AC36" i="10"/>
  <c r="AC20" i="10"/>
  <c r="AC7" i="10"/>
  <c r="AC31" i="10"/>
  <c r="AC40" i="10"/>
  <c r="AC9" i="10"/>
  <c r="AC39" i="10"/>
  <c r="AC34" i="10"/>
  <c r="AC38" i="10"/>
  <c r="AC26" i="10"/>
  <c r="AC21" i="10"/>
  <c r="AC8" i="10"/>
  <c r="AC22" i="10"/>
  <c r="AC6" i="10"/>
  <c r="AC29" i="10"/>
  <c r="AC12" i="10"/>
  <c r="AJ37" i="10" l="1"/>
  <c r="AJ23" i="10"/>
  <c r="AJ9" i="10"/>
  <c r="AJ28" i="10"/>
  <c r="AJ31" i="10"/>
  <c r="AJ17" i="10"/>
  <c r="AJ36" i="10"/>
  <c r="AJ14" i="10"/>
  <c r="AJ39" i="10"/>
  <c r="AJ25" i="10"/>
  <c r="AJ11" i="10"/>
  <c r="AJ30" i="10"/>
  <c r="AJ16" i="10"/>
  <c r="AJ34" i="10"/>
  <c r="AJ6" i="10"/>
  <c r="AJ22" i="10"/>
  <c r="AJ13" i="10"/>
  <c r="AJ38" i="10"/>
  <c r="AJ24" i="10"/>
  <c r="AJ10" i="10"/>
  <c r="AJ35" i="10"/>
  <c r="AJ21" i="10"/>
  <c r="AJ32" i="10"/>
  <c r="AJ18" i="10"/>
  <c r="AJ12" i="10"/>
  <c r="AJ29" i="10"/>
  <c r="AJ15" i="10"/>
  <c r="AJ40" i="10"/>
  <c r="AJ26" i="10"/>
  <c r="AJ19" i="10"/>
  <c r="AJ8" i="10"/>
  <c r="AJ27" i="10"/>
  <c r="AJ7" i="10"/>
  <c r="AJ20" i="10"/>
  <c r="AJ33" i="10"/>
  <c r="AJ41" i="10"/>
  <c r="AJ42" i="10"/>
  <c r="X5" i="9" a="1"/>
  <c r="M6" i="17" a="1"/>
  <c r="Y3" i="22"/>
  <c r="Y3" i="21"/>
  <c r="AC3" i="10"/>
  <c r="AC3" i="24"/>
  <c r="AC3" i="23"/>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M7" i="16" a="1"/>
  <c r="M7" i="16" l="1"/>
  <c r="M8" i="16"/>
  <c r="M9" i="16"/>
  <c r="M10" i="16"/>
  <c r="M11" i="16" l="1"/>
  <c r="M12" i="16"/>
  <c r="Z4" i="17"/>
  <c r="M13" i="16" l="1"/>
  <c r="M14" i="16"/>
  <c r="M15" i="16" l="1"/>
  <c r="M16" i="16"/>
  <c r="M17" i="16" l="1"/>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O7" i="16" l="1" a="1"/>
  <c r="O7" i="16" l="1"/>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M7" i="15" a="1"/>
  <c r="M7" i="15" l="1"/>
  <c r="M8" i="15"/>
  <c r="M9" i="15"/>
  <c r="M10" i="15"/>
  <c r="Z5" i="16"/>
  <c r="M11" i="15" l="1"/>
  <c r="M12" i="15"/>
  <c r="M13" i="15" l="1"/>
  <c r="M14" i="15"/>
  <c r="M15" i="15" l="1"/>
  <c r="M16" i="15"/>
  <c r="M17" i="15" l="1"/>
  <c r="M18" i="15"/>
  <c r="O7" i="15" l="1" a="1"/>
  <c r="O7" i="15" l="1"/>
  <c r="O8" i="15"/>
  <c r="O9" i="15"/>
  <c r="O10" i="15"/>
  <c r="O11" i="15"/>
  <c r="O12" i="15"/>
  <c r="O13" i="15"/>
  <c r="O14" i="15"/>
  <c r="O15" i="15"/>
  <c r="O16" i="15"/>
  <c r="O17" i="15"/>
  <c r="O18" i="15"/>
  <c r="Y9" i="26"/>
  <c r="O3" i="28"/>
  <c r="O3" i="27"/>
  <c r="O4" i="26"/>
  <c r="Z5" i="15"/>
  <c r="W3" i="14"/>
  <c r="P3" i="13"/>
  <c r="AC3" i="11"/>
  <c r="AC3" i="9"/>
  <c r="AM6" i="16"/>
  <c r="AN6" i="16"/>
</calcChain>
</file>

<file path=xl/sharedStrings.xml><?xml version="1.0" encoding="utf-8"?>
<sst xmlns="http://schemas.openxmlformats.org/spreadsheetml/2006/main" count="2863" uniqueCount="381">
  <si>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</si>
  <si>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</si>
  <si>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</si>
  <si>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</si>
  <si>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</si>
  <si>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</si>
  <si>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</si>
  <si>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</si>
  <si>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</si>
  <si>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</si>
  <si>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</si>
  <si>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</si>
  <si>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</si>
  <si>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</si>
  <si>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</si>
  <si>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</si>
  <si>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</si>
  <si>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</si>
  <si>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</si>
  <si>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</si>
  <si>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</si>
  <si>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</si>
  <si>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</si>
  <si>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</si>
  <si>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</si>
  <si>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</si>
  <si>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</si>
  <si>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</si>
  <si>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</si>
  <si>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</si>
  <si>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</si>
  <si>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</si>
  <si>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</si>
  <si>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</si>
  <si>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</si>
  <si>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</si>
  <si>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</si>
  <si>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</si>
  <si>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</si>
  <si>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</si>
  <si>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</si>
  <si>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</si>
  <si>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</si>
  <si>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</si>
  <si>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</si>
  <si>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</si>
  <si>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</si>
  <si>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</si>
  <si>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</si>
  <si>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</si>
  <si>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</si>
  <si>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</si>
  <si>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</si>
  <si>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</si>
  <si>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</si>
  <si>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</si>
  <si>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</si>
  <si>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</si>
  <si>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</si>
  <si>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</si>
  <si>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</si>
  <si>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</si>
  <si>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</si>
  <si>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</si>
  <si>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</si>
  <si>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</si>
  <si>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</si>
  <si>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</si>
  <si>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</si>
  <si>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</si>
  <si>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</si>
  <si>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</si>
  <si>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</si>
  <si>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</si>
  <si>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</si>
  <si>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</si>
  <si>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</si>
  <si>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</si>
  <si>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</si>
  <si>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</si>
  <si>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</si>
  <si>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</si>
  <si>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</si>
  <si>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</si>
  <si>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</si>
  <si>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</si>
  <si>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</si>
  <si>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</si>
  <si>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</si>
  <si>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</si>
  <si>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</si>
  <si>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</si>
  <si>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</si>
  <si>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</si>
  <si>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</si>
  <si>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</si>
  <si>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</si>
  <si>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</si>
  <si>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</si>
  <si>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</si>
  <si>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</si>
  <si>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</si>
  <si>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</si>
  <si>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</si>
  <si>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</si>
  <si>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</si>
  <si>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</si>
  <si>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</si>
  <si>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</si>
  <si>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</si>
  <si>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</si>
  <si>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</si>
  <si>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</si>
  <si>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</si>
  <si>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</si>
  <si>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</si>
  <si>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</si>
  <si>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</si>
  <si>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</si>
  <si>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</si>
  <si>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</si>
  <si>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</si>
  <si>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</si>
  <si>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</si>
  <si>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</si>
  <si>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</si>
  <si>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</si>
  <si>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</si>
  <si>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</si>
  <si>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</si>
  <si>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</si>
  <si>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</si>
  <si>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</si>
  <si>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</si>
  <si>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</si>
  <si>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</si>
  <si>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</si>
  <si>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</si>
  <si>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</si>
  <si>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</si>
  <si>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</si>
  <si>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</si>
  <si>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</si>
  <si>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</si>
  <si>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</si>
  <si>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</si>
  <si>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</si>
  <si>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</si>
  <si>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</si>
  <si>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</si>
  <si>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</si>
  <si>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</si>
  <si>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</si>
  <si>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</si>
  <si>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</si>
  <si>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</si>
  <si>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</si>
  <si>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</si>
  <si>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</si>
  <si>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</si>
  <si>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</si>
  <si>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</si>
  <si>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</si>
  <si>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</si>
  <si>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</si>
  <si>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</si>
  <si>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</si>
  <si>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</si>
  <si>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</si>
  <si>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</si>
  <si>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</si>
  <si>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</si>
  <si>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</si>
  <si>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</si>
  <si>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</si>
  <si>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</si>
  <si>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</si>
  <si>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</si>
  <si>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</si>
  <si>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</si>
  <si>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</si>
  <si>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</si>
  <si>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</si>
  <si>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</si>
  <si>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</si>
  <si>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</si>
  <si>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</si>
  <si>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</si>
  <si>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</si>
  <si>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</si>
  <si>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</si>
  <si>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</si>
  <si>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</si>
  <si>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</si>
  <si>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</si>
  <si>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</si>
  <si>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</si>
  <si>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</si>
  <si>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</si>
  <si>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</si>
  <si>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</si>
  <si>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</si>
  <si>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</si>
  <si>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</si>
  <si>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</si>
  <si>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</si>
  <si>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</si>
  <si>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</si>
  <si>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</si>
  <si>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</si>
  <si>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</si>
  <si>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</si>
  <si>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</si>
  <si>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</si>
  <si>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</si>
  <si>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</si>
  <si>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</si>
  <si>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</si>
  <si>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</si>
  <si>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</si>
  <si>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</si>
  <si>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</si>
  <si>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</si>
  <si>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</si>
  <si>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</si>
  <si>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</si>
  <si>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</si>
  <si>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</si>
  <si>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</si>
  <si>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</si>
  <si>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</si>
  <si>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</si>
  <si>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</si>
  <si>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</si>
  <si>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</si>
  <si>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</si>
  <si>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</si>
  <si>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</si>
  <si>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</si>
  <si>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</si>
  <si>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</si>
  <si>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</si>
  <si>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</si>
  <si>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</si>
  <si>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</si>
  <si>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</si>
  <si>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</si>
  <si>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</si>
  <si>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</si>
  <si>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</si>
  <si>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</si>
  <si>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</si>
  <si>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</si>
  <si>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</si>
  <si>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</si>
  <si>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</si>
  <si>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</si>
  <si>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</si>
  <si>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</si>
  <si>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</si>
  <si>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</si>
  <si>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</si>
  <si>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</si>
  <si>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</si>
  <si>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</si>
  <si>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</si>
  <si>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</si>
  <si>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</si>
  <si>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</si>
  <si>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</si>
  <si>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</si>
  <si>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</si>
  <si>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</si>
  <si>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</si>
  <si>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</si>
  <si>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</si>
  <si>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</si>
  <si>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</si>
  <si>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</si>
  <si>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</si>
  <si>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</si>
  <si>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</si>
  <si>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</si>
  <si>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</si>
  <si>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</si>
  <si>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</si>
  <si>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</si>
  <si>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Quote suffix</t>
  </si>
  <si>
    <t>ASK-BID</t>
  </si>
  <si>
    <t>Mid Safe</t>
  </si>
  <si>
    <t>HST_CLOSE</t>
  </si>
  <si>
    <t>BID</t>
  </si>
  <si>
    <t>EM</t>
  </si>
  <si>
    <t>CODES</t>
  </si>
  <si>
    <t>LIFFE</t>
  </si>
  <si>
    <t>EXPIRE DATE</t>
  </si>
  <si>
    <t>Effective Date</t>
  </si>
  <si>
    <t>ED</t>
  </si>
  <si>
    <t>FSS</t>
  </si>
  <si>
    <t>FEI</t>
  </si>
  <si>
    <t>FES</t>
  </si>
  <si>
    <t xml:space="preserve">           </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</si>
  <si>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</si>
  <si>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</si>
  <si>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</si>
  <si>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</si>
  <si>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</si>
  <si>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</si>
  <si>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</si>
  <si>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</si>
  <si>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</si>
  <si>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</si>
  <si>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</si>
  <si>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</si>
  <si>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</si>
  <si>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</si>
  <si>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</si>
  <si>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</si>
  <si>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</si>
  <si>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</si>
  <si>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</si>
  <si>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</si>
  <si>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</si>
  <si>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</si>
  <si>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</si>
  <si>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</si>
  <si>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</si>
  <si>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</si>
  <si>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</si>
  <si>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</si>
  <si>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</si>
  <si>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</si>
  <si>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</si>
  <si>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</si>
  <si>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</si>
  <si>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</si>
  <si>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</si>
  <si>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</si>
  <si>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</si>
  <si>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</si>
  <si>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</si>
  <si>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</si>
  <si>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</si>
  <si>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</si>
  <si>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</si>
  <si>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</si>
  <si>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</si>
  <si>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</si>
  <si>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</si>
  <si>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</si>
  <si>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</si>
  <si>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</si>
  <si>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</si>
  <si>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</si>
  <si>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</si>
  <si>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</si>
  <si>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</si>
  <si>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</si>
  <si>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</si>
  <si>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</si>
  <si>
    <t>GBP_TurnOfYearQuotesFeed</t>
  </si>
  <si>
    <t>='C:\Users\erik\Documents\repos\quantlib_nando\QuantLibXL\Workbooks\MarketData\ManualFeed\[GBP_TurnOfYearQuotesFeed.xls]6M'!TOY</t>
  </si>
  <si>
    <t>='C:\Users\erik\Documents\repos\quantlib_nando\QuantLibXL\Workbooks\MarketData\ManualFeed\[GBP_TurnOfYearQuotesFeed.xls]6M'!'TOY2'</t>
  </si>
  <si>
    <t>=qlIMMNextCodes(qlSettingsEvaluationDate(Trigger)-1,$C6:$C125)</t>
  </si>
  <si>
    <t>='C:\Users\erik\Documents\repos\quantlib_nando\QuantLibXL\Workbooks\MarketData\ManualFeed\[GBP_SynthDepoQuotesFeed.xls]Calculation'!H34</t>
  </si>
  <si>
    <t>='C:\Users\erik\Documents\repos\quantlib_nando\QuantLibXL\Workbooks\MarketData\ManualFeed\[GBP_SynthDepoQuotesFeed.xls]Calculation'!H35</t>
  </si>
  <si>
    <t>='C:\Users\erik\Documents\repos\quantlib_nando\QuantLibXL\Workbooks\MarketData\ManualFeed\[GBP_SynthDepoQuotesFeed.xls]Calculation'!H36</t>
  </si>
  <si>
    <t>='C:\Users\erik\Documents\repos\quantlib_nando\QuantLibXL\Workbooks\MarketData\ManualFeed\[GBP_SynthDepoQuotesFeed.xls]Calculation'!H37</t>
  </si>
  <si>
    <t>='C:\Users\erik\Documents\repos\quantlib_nando\QuantLibXL\Workbooks\MarketData\ManualFeed\[GBP_SynthDepoQuotesFeed.xls]Calculation'!H38</t>
  </si>
  <si>
    <t>='C:\Users\erik\Documents\repos\quantlib_nando\QuantLibXL\Workbooks\MarketData\ManualFeed\[GBP_SynthDepoQuotesFeed.xls]Calculation'!H39</t>
  </si>
  <si>
    <t>='C:\Users\erik\Documents\repos\quantlib_nando\QuantLibXL\Workbooks\MarketData\ManualFeed\[GBP_SynthDepoQuotesFeed.xls]Calculation'!H40</t>
  </si>
  <si>
    <t>=[GBP_SynthDepoQuotesFeed.xls]Calculation!I34</t>
  </si>
  <si>
    <t>=[GBP_SynthDepoQuotesFeed.xls]Calculation!I35</t>
  </si>
  <si>
    <t>=[GBP_SynthDepoQuotesFeed.xls]Calculation!I36</t>
  </si>
  <si>
    <t>=[GBP_SynthDepoQuotesFeed.xls]Calculation!I37</t>
  </si>
  <si>
    <t>=[GBP_SynthDepoQuotesFeed.xls]Calculation!I38</t>
  </si>
  <si>
    <t>=[GBP_SynthDepoQuotesFeed.xls]Calculation!I39</t>
  </si>
  <si>
    <t>=[GBP_SynthDepoQuotesFeed.xls]Calculation!I40</t>
  </si>
  <si>
    <t>=[GBP_SynthDepoQuotesFeed.xls]Calculation!I41</t>
  </si>
  <si>
    <t>=[GBP_SynthDepoQuotesFeed.xls]Calculation!I42</t>
  </si>
  <si>
    <t>=[GBP_SynthDepoQuotesFeed.xls]Calculation!I43</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</si>
</sst>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1"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
      <patternFill patternType="solid">
        <fgColor theme="0"/>
        <bgColor indexed="64"/>
      </patternFill>
    </fill>
  </fills>
  <borders count="30">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66">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8"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169" fontId="9" fillId="0" borderId="11" xfId="4" applyNumberFormat="1" applyFont="1" applyFill="1" applyBorder="1" applyAlignment="1">
      <alignment horizontal="center" vertical="center" wrapText="1"/>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2" fillId="3" borderId="29"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29"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xf numFmtId="170" fontId="2" fillId="10" borderId="20" xfId="4" applyNumberFormat="1" applyFont="1" applyFill="1" applyBorder="1" applyAlignment="1">
      <alignment horizontal="center"/>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xf numFmtId="0" fontId="12" fillId="3" borderId="1" xfId="12" applyFont="1" applyFill="1" applyBorder="1"/>
    <xf numFmtId="0" fontId="2" fillId="3" borderId="2" xfId="0" applyFont="1" applyFill="1" applyBorder="1"/>
    <xf numFmtId="0" fontId="2" fillId="3" borderId="3" xfId="0" applyFont="1" applyFill="1" applyBorder="1"/>
    <xf numFmtId="0" fontId="12" fillId="3" borderId="4" xfId="12" applyFont="1" applyFill="1" applyBorder="1"/>
    <xf numFmtId="0" fontId="2" fillId="3" borderId="0" xfId="0" applyFont="1" applyFill="1" applyBorder="1" applyAlignment="1">
      <alignment horizontal="center"/>
    </xf>
    <xf numFmtId="170" fontId="12" fillId="0" borderId="6" xfId="11" applyNumberFormat="1" applyFont="1" applyBorder="1" applyAlignment="1"/>
    <xf numFmtId="0" fontId="2" fillId="0" borderId="19" xfId="11" applyNumberFormat="1" applyFont="1" applyFill="1" applyBorder="1" applyAlignment="1"/>
    <xf numFmtId="0" fontId="2" fillId="3" borderId="10" xfId="0" applyFont="1" applyFill="1" applyBorder="1" applyAlignment="1">
      <alignment horizontal="center"/>
    </xf>
    <xf numFmtId="170" fontId="12" fillId="0" borderId="25" xfId="11" applyNumberFormat="1" applyFont="1" applyBorder="1" applyAlignment="1"/>
    <xf numFmtId="0" fontId="2" fillId="0" borderId="24" xfId="11" applyNumberFormat="1" applyFont="1" applyFill="1" applyBorder="1" applyAlignment="1"/>
    <xf numFmtId="0" fontId="2" fillId="3" borderId="4" xfId="0" applyFont="1" applyFill="1" applyBorder="1" applyAlignment="1">
      <alignment horizontal="center"/>
    </xf>
    <xf numFmtId="169" fontId="9" fillId="0" borderId="5" xfId="11" applyNumberFormat="1" applyFont="1" applyFill="1" applyBorder="1" applyAlignment="1">
      <alignment horizontal="center" vertical="center" wrapText="1"/>
    </xf>
    <xf numFmtId="0" fontId="2" fillId="0" borderId="0" xfId="0" applyFont="1" applyFill="1" applyBorder="1"/>
    <xf numFmtId="0" fontId="2" fillId="3" borderId="0" xfId="0" applyFont="1" applyFill="1" applyBorder="1"/>
    <xf numFmtId="0" fontId="2" fillId="3" borderId="4" xfId="0" applyFont="1" applyFill="1" applyBorder="1"/>
    <xf numFmtId="0" fontId="17" fillId="3" borderId="0" xfId="0" applyFont="1" applyFill="1" applyBorder="1"/>
    <xf numFmtId="0" fontId="2" fillId="3" borderId="10" xfId="0" applyFont="1" applyFill="1" applyBorder="1"/>
    <xf numFmtId="0" fontId="2" fillId="3" borderId="12" xfId="0" applyFont="1" applyFill="1" applyBorder="1"/>
    <xf numFmtId="0" fontId="2" fillId="3" borderId="13" xfId="0" applyFont="1" applyFill="1" applyBorder="1"/>
    <xf numFmtId="0" fontId="2" fillId="3" borderId="14" xfId="0" applyFont="1" applyFill="1" applyBorder="1"/>
    <xf numFmtId="170" fontId="2" fillId="10" borderId="24" xfId="11" applyNumberFormat="1" applyFont="1" applyFill="1" applyBorder="1" applyAlignment="1"/>
    <xf numFmtId="170" fontId="2" fillId="10" borderId="21" xfId="11" applyNumberFormat="1" applyFont="1" applyFill="1" applyBorder="1" applyAlignment="1"/>
    <xf numFmtId="0" fontId="12" fillId="0" borderId="0" xfId="1" quotePrefix="1" applyFont="1"/>
    <xf numFmtId="169" fontId="9" fillId="0" borderId="9" xfId="4" applyNumberFormat="1" applyFont="1" applyFill="1" applyBorder="1" applyAlignment="1">
      <alignment horizontal="center" vertical="center" wrapText="1"/>
    </xf>
    <xf numFmtId="0" fontId="12" fillId="11" borderId="14" xfId="1" applyFont="1" applyFill="1" applyBorder="1"/>
    <xf numFmtId="0" fontId="12" fillId="11" borderId="13" xfId="1" applyFont="1" applyFill="1" applyBorder="1"/>
    <xf numFmtId="0" fontId="12" fillId="11" borderId="12" xfId="1" applyFont="1" applyFill="1" applyBorder="1"/>
    <xf numFmtId="0" fontId="12" fillId="11" borderId="10" xfId="1" applyFont="1" applyFill="1" applyBorder="1"/>
    <xf numFmtId="0" fontId="12" fillId="11" borderId="0" xfId="1" applyFont="1" applyFill="1" applyBorder="1"/>
    <xf numFmtId="0" fontId="12" fillId="11" borderId="8" xfId="1" applyFont="1" applyFill="1" applyBorder="1" applyAlignment="1">
      <alignment horizontal="center"/>
    </xf>
    <xf numFmtId="0" fontId="12" fillId="11" borderId="8" xfId="1" applyFont="1" applyFill="1" applyBorder="1"/>
    <xf numFmtId="0" fontId="12" fillId="11" borderId="4" xfId="1" applyFont="1" applyFill="1" applyBorder="1"/>
    <xf numFmtId="0" fontId="12" fillId="11" borderId="0" xfId="1" applyFont="1" applyFill="1" applyBorder="1" applyAlignment="1">
      <alignment horizontal="center"/>
    </xf>
    <xf numFmtId="0" fontId="9" fillId="11" borderId="8" xfId="1" applyFont="1" applyFill="1" applyBorder="1" applyAlignment="1">
      <alignment horizontal="center" vertical="center" wrapText="1"/>
    </xf>
    <xf numFmtId="0" fontId="2" fillId="11" borderId="8" xfId="1" applyFont="1" applyFill="1" applyBorder="1" applyAlignment="1">
      <alignment horizontal="center" vertical="center" wrapText="1"/>
    </xf>
    <xf numFmtId="0" fontId="5" fillId="11" borderId="8" xfId="1" applyFont="1" applyFill="1" applyBorder="1" applyAlignment="1">
      <alignment vertical="center"/>
    </xf>
    <xf numFmtId="0" fontId="16" fillId="11" borderId="10" xfId="1" applyFont="1" applyFill="1" applyBorder="1"/>
    <xf numFmtId="0" fontId="9" fillId="11" borderId="6" xfId="1" applyFont="1" applyFill="1" applyBorder="1" applyAlignment="1">
      <alignment horizontal="center"/>
    </xf>
    <xf numFmtId="0" fontId="2" fillId="11" borderId="6" xfId="1" applyFont="1" applyFill="1" applyBorder="1" applyAlignment="1">
      <alignment horizontal="center"/>
    </xf>
    <xf numFmtId="171" fontId="2" fillId="11" borderId="6" xfId="4" applyNumberFormat="1" applyFont="1" applyFill="1" applyBorder="1" applyAlignment="1">
      <alignment horizontal="left"/>
    </xf>
    <xf numFmtId="171" fontId="2" fillId="11" borderId="6" xfId="4" applyNumberFormat="1" applyFont="1" applyFill="1" applyBorder="1" applyAlignment="1">
      <alignment horizontal="center"/>
    </xf>
    <xf numFmtId="0" fontId="9" fillId="11" borderId="8" xfId="1" applyFont="1" applyFill="1" applyBorder="1" applyAlignment="1">
      <alignment horizontal="center"/>
    </xf>
    <xf numFmtId="0" fontId="2" fillId="11" borderId="8" xfId="1" applyFont="1" applyFill="1" applyBorder="1" applyAlignment="1">
      <alignment horizontal="center"/>
    </xf>
    <xf numFmtId="0" fontId="12" fillId="11" borderId="3" xfId="1" applyFont="1" applyFill="1" applyBorder="1"/>
    <xf numFmtId="0" fontId="12" fillId="11" borderId="2" xfId="1" applyFont="1" applyFill="1" applyBorder="1"/>
    <xf numFmtId="0" fontId="12" fillId="11" borderId="1" xfId="1" applyFont="1" applyFill="1" applyBorder="1"/>
    <xf numFmtId="179" fontId="2" fillId="0" borderId="24" xfId="4" applyNumberFormat="1" applyFont="1" applyFill="1" applyBorder="1" applyAlignment="1"/>
    <xf numFmtId="178" fontId="2" fillId="0" borderId="19" xfId="4" applyNumberFormat="1" applyFont="1" applyFill="1" applyBorder="1" applyAlignment="1"/>
    <xf numFmtId="0" fontId="19" fillId="3" borderId="2" xfId="12" applyFont="1" applyFill="1" applyBorder="1"/>
    <xf numFmtId="0" fontId="19" fillId="3" borderId="3" xfId="12" applyFont="1" applyFill="1" applyBorder="1"/>
    <xf numFmtId="0" fontId="19" fillId="3" borderId="1" xfId="0" applyFont="1" applyFill="1" applyBorder="1"/>
    <xf numFmtId="0" fontId="19" fillId="3" borderId="4" xfId="0" applyFont="1" applyFill="1" applyBorder="1"/>
    <xf numFmtId="170" fontId="19" fillId="0" borderId="25" xfId="11" applyNumberFormat="1" applyFont="1" applyBorder="1" applyAlignment="1"/>
    <xf numFmtId="0" fontId="30" fillId="3" borderId="0" xfId="0" applyFont="1" applyFill="1" applyBorder="1"/>
    <xf numFmtId="0" fontId="19" fillId="3" borderId="12" xfId="0" applyFont="1" applyFill="1" applyBorder="1"/>
    <xf numFmtId="0" fontId="9" fillId="0" borderId="24" xfId="1" applyFont="1" applyFill="1" applyBorder="1" applyAlignment="1">
      <alignment horizontal="center" vertical="center" wrapText="1"/>
    </xf>
    <xf numFmtId="169" fontId="2" fillId="0" borderId="9" xfId="4" applyNumberFormat="1" applyFont="1" applyFill="1" applyBorder="1" applyAlignment="1">
      <alignment horizontal="center"/>
    </xf>
    <xf numFmtId="0" fontId="2" fillId="3" borderId="0" xfId="0" quotePrefix="1" applyFont="1" applyFill="1" applyBorder="1" applyAlignment="1">
      <alignment horizontal="center"/>
    </xf>
    <xf numFmtId="170" fontId="2" fillId="10" borderId="22" xfId="11" quotePrefix="1" applyNumberFormat="1" applyFont="1" applyFill="1" applyBorder="1" applyAlignment="1"/>
    <xf numFmtId="170" fontId="2" fillId="10" borderId="7" xfId="11" quotePrefix="1" applyNumberFormat="1" applyFont="1" applyFill="1" applyBorder="1" applyAlignment="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5">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dLbls>
          <c:showLegendKey val="0"/>
          <c:showVal val="0"/>
          <c:showCatName val="0"/>
          <c:showSerName val="0"/>
          <c:showPercent val="0"/>
          <c:showBubbleSize val="0"/>
        </c:dLbls>
        <c:axId val="381266944"/>
        <c:axId val="381273216"/>
      </c:scatterChart>
      <c:valAx>
        <c:axId val="38126694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81273216"/>
        <c:crosses val="autoZero"/>
        <c:crossBetween val="midCat"/>
      </c:valAx>
      <c:valAx>
        <c:axId val="381273216"/>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8126694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dLbls>
          <c:showLegendKey val="0"/>
          <c:showVal val="0"/>
          <c:showCatName val="0"/>
          <c:showSerName val="0"/>
          <c:showPercent val="0"/>
          <c:showBubbleSize val="0"/>
        </c:dLbls>
        <c:axId val="387991808"/>
        <c:axId val="387998080"/>
      </c:scatterChart>
      <c:valAx>
        <c:axId val="387991808"/>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7998080"/>
        <c:crosses val="autoZero"/>
        <c:crossBetween val="midCat"/>
      </c:valAx>
      <c:valAx>
        <c:axId val="38799808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79918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171450</xdr:colOff>
      <xdr:row>12</xdr:row>
      <xdr:rowOff>0</xdr:rowOff>
    </xdr:from>
    <xdr:to>
      <xdr:col>26</xdr:col>
      <xdr:colOff>0</xdr:colOff>
      <xdr:row>12</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tabSelected="1" workbookViewId="0"/>
  </sheetViews>
  <sheetFormatPr defaultRowHeight="12.75" x14ac:dyDescent="0.2"/>
  <cols>
    <col min="1" max="2" width="2.7109375" style="554" customWidth="1"/>
    <col min="3" max="3" width="12.7109375" style="554" bestFit="1" customWidth="1"/>
    <col min="4" max="4" width="53.7109375" style="554" bestFit="1" customWidth="1"/>
    <col min="5" max="5" width="2.7109375" style="554" customWidth="1"/>
    <col min="6" max="16384" width="9.140625" style="554"/>
  </cols>
  <sheetData>
    <row r="1" spans="2:5" ht="13.5" thickBot="1" x14ac:dyDescent="0.25">
      <c r="B1" s="554" t="str">
        <f>_xll.qlxlVersion(TRUE,Trigger)</f>
        <v>QuantLibXL 1.3.0 - MS VC++ 9.0 - Multithreaded Static Runtime library - Release Configuration - Dec  5 2013 11:03:51</v>
      </c>
    </row>
    <row r="2" spans="2:5" ht="15.75" x14ac:dyDescent="0.25">
      <c r="B2" s="661" t="s">
        <v>133</v>
      </c>
      <c r="C2" s="662"/>
      <c r="D2" s="662"/>
      <c r="E2" s="663"/>
    </row>
    <row r="3" spans="2:5" x14ac:dyDescent="0.2">
      <c r="B3" s="52"/>
      <c r="C3" s="55"/>
      <c r="D3" s="55"/>
      <c r="E3" s="6"/>
    </row>
    <row r="4" spans="2:5" x14ac:dyDescent="0.2">
      <c r="B4" s="52"/>
      <c r="C4" s="22" t="s">
        <v>98</v>
      </c>
      <c r="D4" s="51">
        <v>41666.649467592593</v>
      </c>
      <c r="E4" s="50"/>
    </row>
    <row r="5" spans="2:5" x14ac:dyDescent="0.2">
      <c r="B5" s="52"/>
      <c r="C5" s="55"/>
      <c r="D5" s="55"/>
      <c r="E5" s="50"/>
    </row>
    <row r="6" spans="2:5" x14ac:dyDescent="0.2">
      <c r="B6" s="52"/>
      <c r="C6" s="547" t="s">
        <v>337</v>
      </c>
      <c r="D6" s="548">
        <v>41600.703865740739</v>
      </c>
      <c r="E6" s="50"/>
    </row>
    <row r="7" spans="2:5" x14ac:dyDescent="0.2">
      <c r="B7" s="52"/>
      <c r="C7" s="547" t="s">
        <v>336</v>
      </c>
      <c r="D7" s="549" t="b">
        <v>0</v>
      </c>
      <c r="E7" s="50"/>
    </row>
    <row r="8" spans="2:5" x14ac:dyDescent="0.2">
      <c r="B8" s="52"/>
      <c r="C8" s="550"/>
      <c r="D8" s="551"/>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3"/>
      <c r="C19" s="334" t="s">
        <v>263</v>
      </c>
      <c r="D19" s="555">
        <f>_xll.qlSettingsEvaluationDate(Trigger)</f>
        <v>41656</v>
      </c>
      <c r="E19" s="332"/>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31"/>
      <c r="C25" s="546"/>
      <c r="D25" s="546"/>
      <c r="E25" s="545"/>
    </row>
    <row r="26" spans="2:5" x14ac:dyDescent="0.2">
      <c r="B26" s="531"/>
      <c r="C26" s="544" t="s">
        <v>342</v>
      </c>
      <c r="D26" s="552" t="s">
        <v>341</v>
      </c>
      <c r="E26" s="532"/>
    </row>
    <row r="27" spans="2:5" x14ac:dyDescent="0.2">
      <c r="B27" s="531"/>
      <c r="C27" s="543" t="s">
        <v>262</v>
      </c>
      <c r="D27" s="542">
        <v>9</v>
      </c>
      <c r="E27" s="532"/>
    </row>
    <row r="28" spans="2:5" x14ac:dyDescent="0.2">
      <c r="B28" s="531"/>
      <c r="C28" s="541" t="s">
        <v>340</v>
      </c>
      <c r="D28" s="540" t="s">
        <v>339</v>
      </c>
      <c r="E28" s="532"/>
    </row>
    <row r="29" spans="2:5" x14ac:dyDescent="0.2">
      <c r="B29" s="531"/>
      <c r="C29" s="537"/>
      <c r="D29" s="553"/>
      <c r="E29" s="532"/>
    </row>
    <row r="30" spans="2:5" x14ac:dyDescent="0.2">
      <c r="B30" s="531"/>
      <c r="C30" s="539" t="s">
        <v>283</v>
      </c>
      <c r="D30" s="538" t="s">
        <v>338</v>
      </c>
      <c r="E30" s="532"/>
    </row>
    <row r="31" spans="2:5" x14ac:dyDescent="0.2">
      <c r="B31" s="531"/>
      <c r="C31" s="536" t="s">
        <v>278</v>
      </c>
      <c r="D31" s="535" t="str">
        <f>""</f>
        <v/>
      </c>
      <c r="E31" s="532"/>
    </row>
    <row r="32" spans="2:5" x14ac:dyDescent="0.2">
      <c r="B32" s="531"/>
      <c r="C32" s="536" t="s">
        <v>277</v>
      </c>
      <c r="D32" s="535" t="s">
        <v>276</v>
      </c>
      <c r="E32" s="532"/>
    </row>
    <row r="33" spans="2:5" x14ac:dyDescent="0.2">
      <c r="B33" s="531"/>
      <c r="C33" s="536" t="s">
        <v>275</v>
      </c>
      <c r="D33" s="535" t="s">
        <v>275</v>
      </c>
      <c r="E33" s="532"/>
    </row>
    <row r="34" spans="2:5" x14ac:dyDescent="0.2">
      <c r="B34" s="531"/>
      <c r="C34" s="536" t="s">
        <v>273</v>
      </c>
      <c r="D34" s="535" t="s">
        <v>272</v>
      </c>
      <c r="E34" s="532"/>
    </row>
    <row r="35" spans="2:5" x14ac:dyDescent="0.2">
      <c r="B35" s="531"/>
      <c r="C35" s="536" t="s">
        <v>271</v>
      </c>
      <c r="D35" s="535" t="s">
        <v>270</v>
      </c>
      <c r="E35" s="532"/>
    </row>
    <row r="36" spans="2:5" x14ac:dyDescent="0.2">
      <c r="B36" s="531"/>
      <c r="C36" s="536" t="s">
        <v>269</v>
      </c>
      <c r="D36" s="535" t="s">
        <v>268</v>
      </c>
      <c r="E36" s="532"/>
    </row>
    <row r="37" spans="2:5" x14ac:dyDescent="0.2">
      <c r="B37" s="531"/>
      <c r="C37" s="534" t="s">
        <v>267</v>
      </c>
      <c r="D37" s="533" t="s">
        <v>265</v>
      </c>
      <c r="E37" s="532"/>
    </row>
    <row r="38" spans="2:5" ht="13.5" thickBot="1" x14ac:dyDescent="0.25">
      <c r="B38" s="530"/>
      <c r="C38" s="31"/>
      <c r="D38" s="31"/>
      <c r="E38" s="30"/>
    </row>
  </sheetData>
  <mergeCells count="1">
    <mergeCell ref="B2:E2"/>
  </mergeCells>
  <conditionalFormatting sqref="D7:D8">
    <cfRule type="cellIs" dxfId="44"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5</xdr:col>
                <xdr:colOff>9525</xdr:colOff>
                <xdr:row>3</xdr:row>
                <xdr:rowOff>152400</xdr:rowOff>
              </from>
              <to>
                <xdr:col>7</xdr:col>
                <xdr:colOff>171450</xdr:colOff>
                <xdr:row>5</xdr:row>
                <xdr:rowOff>142875</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5</xdr:col>
                <xdr:colOff>9525</xdr:colOff>
                <xdr:row>2</xdr:row>
                <xdr:rowOff>0</xdr:rowOff>
              </from>
              <to>
                <xdr:col>7</xdr:col>
                <xdr:colOff>171450</xdr:colOff>
                <xdr:row>3</xdr:row>
                <xdr:rowOff>152400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349</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GbpYC#0000</v>
      </c>
      <c r="F6" s="56" t="str">
        <f>_xll.ohRangeRetrieveError(E6)</f>
        <v/>
      </c>
      <c r="G6" s="6"/>
    </row>
    <row r="7" spans="1:7" x14ac:dyDescent="0.2">
      <c r="B7" s="52"/>
      <c r="C7" s="57" t="s">
        <v>111</v>
      </c>
      <c r="D7" s="57" t="str">
        <f t="shared" si="0"/>
        <v>GbpYCSTD</v>
      </c>
      <c r="E7" s="7" t="str">
        <f>_xll.qlRelinkableHandleYieldTermStructure(D7,,Permanent,Trigger,ObjectOverwrite)</f>
        <v>GbpYCSTD#0000</v>
      </c>
      <c r="F7" s="56"/>
      <c r="G7" s="6"/>
    </row>
    <row r="8" spans="1:7" x14ac:dyDescent="0.2">
      <c r="B8" s="52"/>
      <c r="C8" s="57" t="s">
        <v>17</v>
      </c>
      <c r="D8" s="57" t="str">
        <f t="shared" si="0"/>
        <v>GbpLiborYCON</v>
      </c>
      <c r="E8" s="7" t="str">
        <f>_xll.qlRelinkableHandleYieldTermStructure(D8,,Permanent,Trigger,ObjectOverwrite)</f>
        <v>GbpLiborYCON#0000</v>
      </c>
      <c r="F8" s="56"/>
      <c r="G8" s="6"/>
    </row>
    <row r="9" spans="1:7" x14ac:dyDescent="0.2">
      <c r="B9" s="52"/>
      <c r="C9" s="57" t="s">
        <v>14</v>
      </c>
      <c r="D9" s="57" t="str">
        <f t="shared" si="0"/>
        <v>GbpLiborYC1M</v>
      </c>
      <c r="E9" s="7" t="str">
        <f>_xll.qlRelinkableHandleYieldTermStructure(D9,,Permanent,Trigger,ObjectOverwrite)</f>
        <v>GbpLiborYC1M#0000</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GbpLiborYC3M#0000</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GbpLiborYC6M#0000</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GbpLiborYC1Y#0000</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GbpLiborYCON-Mx#0000</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GbpLiborYC1M-Mx#0000</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GbpLiborYC3M-Mx#0000</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GbpLiborYC6M-Mx#0000</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GbpLiborYC1Y-Mx#0000</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GbpSwaptionATMVol#0000</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GbpSwaptionVol#0000</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Gbp3MFutOptionVol#0000</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Gbp1MCapletVol#0000</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Gbp3MCapletVol#0000</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Gbp6MCapletVol#0000</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Gbp1YCapletVol#0000</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Gbp3MFutOptionVolEx#0000</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Gbp1MCapletVolEx#0000</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Gbp3MCapletVolEx#0000</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Gbp6MCapletVolEx#0000</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Gbp1YCapletVolEx#0000</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topLeftCell="I1" workbookViewId="0">
      <selection activeCell="AG1" sqref="AG1"/>
    </sheetView>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4.5703125" style="1" bestFit="1" customWidth="1"/>
    <col min="24" max="24" width="10.85546875" style="1" customWidth="1"/>
    <col min="25" max="28" width="9.140625" style="1"/>
    <col min="29" max="29" width="2.7109375" style="1" customWidth="1"/>
    <col min="30" max="16384" width="9.140625" style="1"/>
  </cols>
  <sheetData>
    <row r="1" spans="1:29" s="2" customFormat="1" ht="13.5" thickBot="1" x14ac:dyDescent="0.25">
      <c r="A1" s="2" t="s">
        <v>350</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1" t="s">
        <v>352</v>
      </c>
      <c r="O2" s="251"/>
      <c r="P2" s="251"/>
      <c r="Q2" s="256"/>
      <c r="R2" s="264"/>
      <c r="S2" s="314"/>
      <c r="T2" s="314"/>
      <c r="U2" s="251"/>
      <c r="V2" s="256"/>
      <c r="W2" s="251"/>
      <c r="X2" s="251"/>
      <c r="Y2" s="251"/>
      <c r="Z2" s="251"/>
      <c r="AA2" s="251"/>
      <c r="AB2" s="251"/>
      <c r="AC2" s="251"/>
    </row>
    <row r="3" spans="1:29" s="2" customFormat="1" ht="19.5" x14ac:dyDescent="0.4">
      <c r="B3" s="12"/>
      <c r="C3" s="21"/>
      <c r="D3" s="21"/>
      <c r="E3" s="22" t="s">
        <v>26</v>
      </c>
      <c r="F3" s="15" t="s">
        <v>25</v>
      </c>
      <c r="G3" s="20"/>
      <c r="H3" s="20"/>
      <c r="I3" s="20"/>
      <c r="J3" s="14"/>
      <c r="N3" s="251"/>
      <c r="O3" s="313"/>
      <c r="P3" s="307"/>
      <c r="Q3" s="312" t="str">
        <f>VLOOKUP(Currency,Traits,2,FALSE)</f>
        <v>FSR</v>
      </c>
      <c r="R3" s="311"/>
      <c r="S3" s="310"/>
      <c r="T3" s="310"/>
      <c r="U3" s="307"/>
      <c r="V3" s="307"/>
      <c r="W3" s="309" t="str">
        <f>VLOOKUP(Currency,Traits,3,FALSE)</f>
        <v>Libor</v>
      </c>
      <c r="X3" s="307"/>
      <c r="Y3" s="307"/>
      <c r="Z3" s="308">
        <f>MAX(AB5:AB22)</f>
        <v>0</v>
      </c>
      <c r="AA3" s="307"/>
      <c r="AB3" s="307"/>
      <c r="AC3" s="306"/>
    </row>
    <row r="4" spans="1:29" s="2" customFormat="1" ht="33.75" x14ac:dyDescent="0.2">
      <c r="B4" s="12"/>
      <c r="C4" s="21"/>
      <c r="D4" s="21"/>
      <c r="E4" s="20"/>
      <c r="F4" s="20"/>
      <c r="G4" s="20"/>
      <c r="H4" s="20"/>
      <c r="I4" s="20"/>
      <c r="J4" s="14"/>
      <c r="N4" s="251"/>
      <c r="O4" s="282"/>
      <c r="P4" s="304" t="s">
        <v>24</v>
      </c>
      <c r="Q4" s="303" t="e">
        <f ca="1">_xll.RData(Q5:Q22,R4:S4,"RTFEED:IDN",,,R5)</f>
        <v>#NAME?</v>
      </c>
      <c r="R4" s="303" t="s">
        <v>245</v>
      </c>
      <c r="S4" s="303" t="s">
        <v>244</v>
      </c>
      <c r="T4" s="303" t="s">
        <v>243</v>
      </c>
      <c r="U4" s="302" t="s">
        <v>242</v>
      </c>
      <c r="V4" s="305"/>
      <c r="W4" s="304" t="s">
        <v>241</v>
      </c>
      <c r="X4" s="303" t="s">
        <v>240</v>
      </c>
      <c r="Y4" s="303" t="s">
        <v>239</v>
      </c>
      <c r="Z4" s="303" t="s">
        <v>238</v>
      </c>
      <c r="AA4" s="302" t="s">
        <v>237</v>
      </c>
      <c r="AB4" s="301"/>
      <c r="AC4" s="272"/>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1"/>
      <c r="O5" s="282"/>
      <c r="P5" s="300" t="s">
        <v>236</v>
      </c>
      <c r="Q5" s="294" t="str">
        <f t="shared" ref="Q5:Q22" si="0">Currency&amp;$P5&amp;$Q$3&amp;"="</f>
        <v>GBPONFSR=</v>
      </c>
      <c r="R5" s="299">
        <v>41464</v>
      </c>
      <c r="S5" s="323">
        <v>0.47813</v>
      </c>
      <c r="T5" s="297" t="b">
        <f t="shared" ref="T5:T22" si="1">IF(AND(ISNUMBER($S5),$S5&lt;&gt;0%),TRUE,FALSE)</f>
        <v>1</v>
      </c>
      <c r="U5" s="296" t="e">
        <f>IF($T5,_xll.qlIndexAddFixings($W5,$R5,$S5/100,TRUE,ISERROR($X5)),NA())</f>
        <v>#NUM!</v>
      </c>
      <c r="V5" s="277"/>
      <c r="W5" s="621" t="str">
        <f t="shared" ref="W5:W7" si="2">PROPER(Currency)&amp;$W$3&amp;$P5</f>
        <v>GbpLiborON</v>
      </c>
      <c r="X5" s="322" t="e">
        <f>_xll.qlIndexFixing($W5,$R5,TRUE,$T5)</f>
        <v>#NUM!</v>
      </c>
      <c r="Y5" s="322" t="e">
        <f>IF($U5,_xll.qlIndexFixing($W5,$R5,FALSE,$T5),"-")</f>
        <v>#NUM!</v>
      </c>
      <c r="Z5" s="322" t="e">
        <f t="shared" ref="Z5:Z22" si="3">X5-Y5</f>
        <v>#NUM!</v>
      </c>
      <c r="AA5" s="321" t="e">
        <f>_xll.qlIndexFixing($W5,$R5,TRUE,$Y5)</f>
        <v>#NUM!</v>
      </c>
      <c r="AB5" s="292">
        <f>IF(ISERROR(Z5),0,ABS(Z5))</f>
        <v>0</v>
      </c>
      <c r="AC5" s="272"/>
    </row>
    <row r="6" spans="1:29" s="2" customFormat="1" x14ac:dyDescent="0.2">
      <c r="B6" s="12"/>
      <c r="C6" s="11" t="s">
        <v>21</v>
      </c>
      <c r="D6" s="10" t="s">
        <v>22</v>
      </c>
      <c r="E6" s="13" t="s">
        <v>21</v>
      </c>
      <c r="F6" s="8" t="str">
        <f>_xll.qlSonia($E6,Currency&amp;$D6,Permanent,Trigger,ObjectOverwrite)</f>
        <v>Sonia2#0000</v>
      </c>
      <c r="G6" s="8" t="str">
        <f>_xll.qlLastFixingQuote(E6&amp;"LastFixing_Quote",F6,Permanent,Trigger,ObjectOverwrite)</f>
        <v>Sonia2LastFixing_Quote#0000</v>
      </c>
      <c r="H6" s="7" t="str">
        <f>_xll.ohRangeRetrieveError(F6)</f>
        <v/>
      </c>
      <c r="I6" s="7" t="str">
        <f>_xll.ohRangeRetrieveError(G6)</f>
        <v/>
      </c>
      <c r="J6" s="14"/>
      <c r="L6" s="2">
        <f>_xll.qlInterestRateIndexFixingDays(F6)</f>
        <v>0</v>
      </c>
      <c r="N6" s="251"/>
      <c r="O6" s="282"/>
      <c r="P6" s="290" t="s">
        <v>235</v>
      </c>
      <c r="Q6" s="285" t="str">
        <f t="shared" si="0"/>
        <v>GBPTNFSR=</v>
      </c>
      <c r="R6" s="289" t="s">
        <v>233</v>
      </c>
      <c r="S6" s="320" t="s">
        <v>233</v>
      </c>
      <c r="T6" s="288" t="b">
        <f t="shared" si="1"/>
        <v>0</v>
      </c>
      <c r="U6" s="287" t="e">
        <f>IF($T6,_xll.qlIndexAddFixings($W6,$R6,$S6/100,TRUE,ISERROR($X6)),NA())</f>
        <v>#N/A</v>
      </c>
      <c r="V6" s="277"/>
      <c r="W6" s="622" t="str">
        <f t="shared" si="2"/>
        <v>GbpLiborTN</v>
      </c>
      <c r="X6" s="319" t="e">
        <f>_xll.qlIndexFixing($W6,$R6,TRUE,$T6)</f>
        <v>#NUM!</v>
      </c>
      <c r="Y6" s="319" t="e">
        <f>IF($U6,_xll.qlIndexFixing($W6,$R6,FALSE,$T6),"-")</f>
        <v>#N/A</v>
      </c>
      <c r="Z6" s="319" t="e">
        <f t="shared" si="3"/>
        <v>#NUM!</v>
      </c>
      <c r="AA6" s="318" t="e">
        <f>_xll.qlIndexFixing($W6,$R6,TRUE,$Y6)</f>
        <v>#NUM!</v>
      </c>
      <c r="AB6" s="283"/>
      <c r="AC6" s="272"/>
    </row>
    <row r="7" spans="1:29" s="2" customFormat="1" x14ac:dyDescent="0.2">
      <c r="B7" s="12"/>
      <c r="C7" s="11" t="s">
        <v>20</v>
      </c>
      <c r="D7" s="10" t="s">
        <v>17</v>
      </c>
      <c r="E7" s="13" t="s">
        <v>20</v>
      </c>
      <c r="F7" s="8" t="str">
        <f>_xll.qlSonia($E7,Currency&amp;$D7,Permanent,Trigger,ObjectOverwrite)</f>
        <v>Sonia#0000</v>
      </c>
      <c r="G7" s="8" t="str">
        <f>_xll.qlLastFixingQuote(E7&amp;"LastFixing_Quote",F7,Permanent,Trigger,ObjectOverwrite)</f>
        <v>SoniaLastFixing_Quote#0000</v>
      </c>
      <c r="H7" s="7" t="str">
        <f>_xll.ohRangeRetrieveError(F7)</f>
        <v/>
      </c>
      <c r="I7" s="7" t="str">
        <f>_xll.ohRangeRetrieveError(G7)</f>
        <v/>
      </c>
      <c r="J7" s="6"/>
      <c r="L7" s="2">
        <f>_xll.qlInterestRateIndexFixingDays(F7)</f>
        <v>0</v>
      </c>
      <c r="N7" s="251"/>
      <c r="O7" s="282"/>
      <c r="P7" s="290" t="s">
        <v>234</v>
      </c>
      <c r="Q7" s="285" t="str">
        <f t="shared" si="0"/>
        <v>GBPSNFSR=</v>
      </c>
      <c r="R7" s="289" t="s">
        <v>233</v>
      </c>
      <c r="S7" s="320" t="s">
        <v>233</v>
      </c>
      <c r="T7" s="288" t="b">
        <f t="shared" si="1"/>
        <v>0</v>
      </c>
      <c r="U7" s="287" t="e">
        <f>IF($T7,_xll.qlIndexAddFixings($W7,$R7,$S7/100,TRUE,ISERROR($X7)),NA())</f>
        <v>#N/A</v>
      </c>
      <c r="V7" s="277"/>
      <c r="W7" s="622" t="str">
        <f t="shared" si="2"/>
        <v>GbpLiborSN</v>
      </c>
      <c r="X7" s="319" t="e">
        <f>_xll.qlIndexFixing($W7,$R7,TRUE,$T7)</f>
        <v>#NUM!</v>
      </c>
      <c r="Y7" s="319" t="e">
        <f>IF($U7,_xll.qlIndexFixing($W7,$R7,FALSE,$T7),"-")</f>
        <v>#N/A</v>
      </c>
      <c r="Z7" s="319" t="e">
        <f t="shared" si="3"/>
        <v>#NUM!</v>
      </c>
      <c r="AA7" s="318" t="e">
        <f>_xll.qlIndexFixing($W7,$R7,TRUE,$Y7)</f>
        <v>#NUM!</v>
      </c>
      <c r="AB7" s="283"/>
      <c r="AC7" s="272"/>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GbpLiborSW#0000</v>
      </c>
      <c r="G8" s="8" t="str">
        <f>_xll.qlLastFixingQuote(E8&amp;"LastFixing_Quote",F8,Permanent,Trigger,ObjectOverwrite)</f>
        <v>GbpLiborSWLastFixing_Quote#0000</v>
      </c>
      <c r="H8" s="7" t="str">
        <f>_xll.ohRangeRetrieveError(F8)</f>
        <v/>
      </c>
      <c r="I8" s="7" t="str">
        <f>_xll.ohRangeRetrieveError(G8)</f>
        <v/>
      </c>
      <c r="J8" s="6"/>
      <c r="L8" s="2">
        <f>_xll.qlInterestRateIndexFixingDays(F8)</f>
        <v>0</v>
      </c>
      <c r="N8" s="251"/>
      <c r="O8" s="282"/>
      <c r="P8" s="290" t="s">
        <v>19</v>
      </c>
      <c r="Q8" s="285" t="str">
        <f t="shared" si="0"/>
        <v>GBPSWFSR=</v>
      </c>
      <c r="R8" s="289">
        <v>41464</v>
      </c>
      <c r="S8" s="320">
        <v>0.48687999999999998</v>
      </c>
      <c r="T8" s="288" t="b">
        <f t="shared" si="1"/>
        <v>1</v>
      </c>
      <c r="U8" s="287" t="b">
        <f>IF($T8,_xll.qlIndexAddFixings($W8,$R8,$S8/100,TRUE,ISERROR($X8)),NA())</f>
        <v>1</v>
      </c>
      <c r="V8" s="277"/>
      <c r="W8" s="286" t="str">
        <f>F8</f>
        <v>GbpLiborSW#0000</v>
      </c>
      <c r="X8" s="319" t="e">
        <f>_xll.qlIndexFixing($W8,$R8,TRUE,$T8)</f>
        <v>#NUM!</v>
      </c>
      <c r="Y8" s="319">
        <f>IF($U8,_xll.qlIndexFixing($W8,$R8,FALSE,$T8),"-")</f>
        <v>4.8687999999999995E-3</v>
      </c>
      <c r="Z8" s="319" t="e">
        <f t="shared" si="3"/>
        <v>#NUM!</v>
      </c>
      <c r="AA8" s="318">
        <f>_xll.qlIndexFixing($W8,$R8,TRUE,$Y8)</f>
        <v>4.8687999999999995E-3</v>
      </c>
      <c r="AB8" s="283">
        <f t="shared" ref="AB8:AB22" si="5">IF(ISERROR(Z8),0,ABS(Z8))</f>
        <v>0</v>
      </c>
      <c r="AC8" s="272"/>
    </row>
    <row r="9" spans="1:29" s="2" customFormat="1" x14ac:dyDescent="0.2">
      <c r="B9" s="12"/>
      <c r="C9" s="11" t="s">
        <v>18</v>
      </c>
      <c r="D9" s="10" t="s">
        <v>17</v>
      </c>
      <c r="E9" s="9" t="str">
        <f t="shared" si="4"/>
        <v>GbpLibor2W</v>
      </c>
      <c r="F9" s="8" t="str">
        <f>_xll.qlLibor($E9,Currency,$C9,Currency&amp;$D9,Permanent,Trigger,ObjectOverwrite)</f>
        <v>GbpLibor2W#0000</v>
      </c>
      <c r="G9" s="8" t="str">
        <f>_xll.qlLastFixingQuote(E9&amp;"LastFixing_Quote",F9,Permanent,Trigger,ObjectOverwrite)</f>
        <v>GbpLibor2WLastFixing_Quote#0000</v>
      </c>
      <c r="H9" s="7" t="str">
        <f>_xll.ohRangeRetrieveError(F9)</f>
        <v/>
      </c>
      <c r="I9" s="7" t="str">
        <f>_xll.ohRangeRetrieveError(G9)</f>
        <v/>
      </c>
      <c r="J9" s="6"/>
      <c r="L9" s="2">
        <f>_xll.qlInterestRateIndexFixingDays(F9)</f>
        <v>0</v>
      </c>
      <c r="N9" s="251"/>
      <c r="O9" s="282"/>
      <c r="P9" s="290" t="s">
        <v>18</v>
      </c>
      <c r="Q9" s="285" t="str">
        <f t="shared" si="0"/>
        <v>GBP2WFSR=</v>
      </c>
      <c r="R9" s="289">
        <v>41428</v>
      </c>
      <c r="S9" s="320">
        <v>0</v>
      </c>
      <c r="T9" s="288" t="b">
        <f t="shared" si="1"/>
        <v>0</v>
      </c>
      <c r="U9" s="287" t="e">
        <f>IF($T9,_xll.qlIndexAddFixings($W9,$R9,$S9/100,TRUE,ISERROR($X9)),NA())</f>
        <v>#N/A</v>
      </c>
      <c r="V9" s="277"/>
      <c r="W9" s="286" t="str">
        <f t="shared" ref="W9:W22" si="6">F9</f>
        <v>GbpLibor2W#0000</v>
      </c>
      <c r="X9" s="319" t="e">
        <f>_xll.qlIndexFixing($W9,$R9,TRUE,$T9)</f>
        <v>#NUM!</v>
      </c>
      <c r="Y9" s="319" t="e">
        <f>IF($U9,_xll.qlIndexFixing($W9,$R9,FALSE,$T9),"-")</f>
        <v>#N/A</v>
      </c>
      <c r="Z9" s="319" t="e">
        <f t="shared" si="3"/>
        <v>#NUM!</v>
      </c>
      <c r="AA9" s="318" t="e">
        <f>_xll.qlIndexFixing($W9,$R9,TRUE,$Y9)</f>
        <v>#NUM!</v>
      </c>
      <c r="AB9" s="283">
        <f t="shared" si="5"/>
        <v>0</v>
      </c>
      <c r="AC9" s="272"/>
    </row>
    <row r="10" spans="1:29" s="2" customFormat="1" x14ac:dyDescent="0.2">
      <c r="B10" s="12"/>
      <c r="C10" s="11" t="s">
        <v>16</v>
      </c>
      <c r="D10" s="10" t="s">
        <v>14</v>
      </c>
      <c r="E10" s="9" t="str">
        <f t="shared" si="4"/>
        <v>GbpLibor3W</v>
      </c>
      <c r="F10" s="8" t="str">
        <f>_xll.qlLibor($E10,Currency,$C10,Currency&amp;$D10,Permanent,Trigger,ObjectOverwrite)</f>
        <v>GbpLibor3W#0000</v>
      </c>
      <c r="G10" s="8" t="str">
        <f>_xll.qlLastFixingQuote(E10&amp;"LastFixing_Quote",F10,Permanent,Trigger,ObjectOverwrite)</f>
        <v>GbpLibor3WLastFixing_Quote#0000</v>
      </c>
      <c r="H10" s="7" t="str">
        <f>_xll.ohRangeRetrieveError(F10)</f>
        <v/>
      </c>
      <c r="I10" s="7" t="str">
        <f>_xll.ohRangeRetrieveError(G10)</f>
        <v/>
      </c>
      <c r="J10" s="6"/>
      <c r="L10" s="2">
        <f>_xll.qlInterestRateIndexFixingDays(F10)</f>
        <v>0</v>
      </c>
      <c r="N10" s="251"/>
      <c r="O10" s="282"/>
      <c r="P10" s="290" t="s">
        <v>16</v>
      </c>
      <c r="Q10" s="285" t="str">
        <f t="shared" si="0"/>
        <v>GBP3WFSR=</v>
      </c>
      <c r="R10" s="289" t="s">
        <v>233</v>
      </c>
      <c r="S10" s="320" t="s">
        <v>233</v>
      </c>
      <c r="T10" s="288" t="b">
        <f t="shared" si="1"/>
        <v>0</v>
      </c>
      <c r="U10" s="287" t="e">
        <f>IF($T10,_xll.qlIndexAddFixings($W10,$R10,$S10/100,TRUE,ISERROR($X10)),NA())</f>
        <v>#N/A</v>
      </c>
      <c r="V10" s="277"/>
      <c r="W10" s="286" t="str">
        <f t="shared" si="6"/>
        <v>GbpLibor3W#0000</v>
      </c>
      <c r="X10" s="319" t="e">
        <f>_xll.qlIndexFixing($W10,$R10,TRUE,$T10)</f>
        <v>#NUM!</v>
      </c>
      <c r="Y10" s="319" t="e">
        <f>IF($U10,_xll.qlIndexFixing($W10,$R10,FALSE,$T10),"-")</f>
        <v>#N/A</v>
      </c>
      <c r="Z10" s="319" t="e">
        <f t="shared" si="3"/>
        <v>#NUM!</v>
      </c>
      <c r="AA10" s="318" t="e">
        <f>_xll.qlIndexFixing($W10,$R10,TRUE,$Y10)</f>
        <v>#NUM!</v>
      </c>
      <c r="AB10" s="283">
        <f t="shared" si="5"/>
        <v>0</v>
      </c>
      <c r="AC10" s="272"/>
    </row>
    <row r="11" spans="1:29" s="2" customFormat="1" x14ac:dyDescent="0.2">
      <c r="B11" s="12"/>
      <c r="C11" s="11" t="s">
        <v>15</v>
      </c>
      <c r="D11" s="10" t="s">
        <v>14</v>
      </c>
      <c r="E11" s="9" t="str">
        <f t="shared" si="4"/>
        <v>GbpLibor1M</v>
      </c>
      <c r="F11" s="8" t="str">
        <f>_xll.qlLibor($E11,Currency,$C11,Currency&amp;$D11,Permanent,Trigger,ObjectOverwrite)</f>
        <v>GbpLibor1M#0000</v>
      </c>
      <c r="G11" s="8" t="str">
        <f>_xll.qlLastFixingQuote(E11&amp;"LastFixing_Quote",F11,Permanent,Trigger,ObjectOverwrite)</f>
        <v>GbpLibor1MLastFixing_Quote#0000</v>
      </c>
      <c r="H11" s="7" t="str">
        <f>_xll.ohRangeRetrieveError(F11)</f>
        <v/>
      </c>
      <c r="I11" s="7" t="str">
        <f>_xll.ohRangeRetrieveError(G11)</f>
        <v/>
      </c>
      <c r="J11" s="6"/>
      <c r="L11" s="2">
        <f>_xll.qlInterestRateIndexFixingDays(F11)</f>
        <v>0</v>
      </c>
      <c r="N11" s="251"/>
      <c r="O11" s="282"/>
      <c r="P11" s="290" t="s">
        <v>15</v>
      </c>
      <c r="Q11" s="285" t="str">
        <f t="shared" si="0"/>
        <v>GBP1MFSR=</v>
      </c>
      <c r="R11" s="289">
        <v>41464</v>
      </c>
      <c r="S11" s="320">
        <v>0.49249999999999999</v>
      </c>
      <c r="T11" s="288" t="b">
        <f t="shared" si="1"/>
        <v>1</v>
      </c>
      <c r="U11" s="287" t="b">
        <f>IF($T11,_xll.qlIndexAddFixings($W11,$R11,$S11/100,TRUE,ISERROR($X11)),NA())</f>
        <v>1</v>
      </c>
      <c r="V11" s="277"/>
      <c r="W11" s="286" t="str">
        <f t="shared" si="6"/>
        <v>GbpLibor1M#0000</v>
      </c>
      <c r="X11" s="319" t="e">
        <f>_xll.qlIndexFixing($W11,$R11,TRUE,$T11)</f>
        <v>#NUM!</v>
      </c>
      <c r="Y11" s="319">
        <f>IF($U11,_xll.qlIndexFixing($W11,$R11,FALSE,$T11),"-")</f>
        <v>4.9249999999999997E-3</v>
      </c>
      <c r="Z11" s="319" t="e">
        <f t="shared" si="3"/>
        <v>#NUM!</v>
      </c>
      <c r="AA11" s="318">
        <f>_xll.qlIndexFixing($W11,$R11,TRUE,$Y11)</f>
        <v>4.9249999999999997E-3</v>
      </c>
      <c r="AB11" s="283">
        <f t="shared" si="5"/>
        <v>0</v>
      </c>
      <c r="AC11" s="272"/>
    </row>
    <row r="12" spans="1:29" s="2" customFormat="1" x14ac:dyDescent="0.2">
      <c r="B12" s="12"/>
      <c r="C12" s="11" t="s">
        <v>13</v>
      </c>
      <c r="D12" s="10" t="s">
        <v>10</v>
      </c>
      <c r="E12" s="9" t="str">
        <f t="shared" si="4"/>
        <v>GbpLibor2M</v>
      </c>
      <c r="F12" s="8" t="str">
        <f>_xll.qlLibor($E12,Currency,$C12,Currency&amp;$D12,Permanent,Trigger,ObjectOverwrite)</f>
        <v>GbpLibor2M#0000</v>
      </c>
      <c r="G12" s="8" t="str">
        <f>_xll.qlLastFixingQuote(E12&amp;"LastFixing_Quote",F12,Permanent,Trigger,ObjectOverwrite)</f>
        <v>GbpLibor2MLastFixing_Quote#0000</v>
      </c>
      <c r="H12" s="7" t="str">
        <f>_xll.ohRangeRetrieveError(F12)</f>
        <v/>
      </c>
      <c r="I12" s="7" t="str">
        <f>_xll.ohRangeRetrieveError(G12)</f>
        <v/>
      </c>
      <c r="J12" s="6"/>
      <c r="L12" s="2">
        <f>_xll.qlInterestRateIndexFixingDays(F12)</f>
        <v>0</v>
      </c>
      <c r="N12" s="251"/>
      <c r="O12" s="282"/>
      <c r="P12" s="290" t="s">
        <v>13</v>
      </c>
      <c r="Q12" s="285" t="str">
        <f t="shared" si="0"/>
        <v>GBP2MFSR=</v>
      </c>
      <c r="R12" s="289">
        <v>41464</v>
      </c>
      <c r="S12" s="320">
        <v>0.49837999999999999</v>
      </c>
      <c r="T12" s="288" t="b">
        <f t="shared" si="1"/>
        <v>1</v>
      </c>
      <c r="U12" s="287" t="b">
        <f>IF($T12,_xll.qlIndexAddFixings($W12,$R12,$S12/100,TRUE,ISERROR($X12)),NA())</f>
        <v>1</v>
      </c>
      <c r="V12" s="277"/>
      <c r="W12" s="286" t="str">
        <f t="shared" si="6"/>
        <v>GbpLibor2M#0000</v>
      </c>
      <c r="X12" s="319" t="e">
        <f>_xll.qlIndexFixing($W12,$R12,TRUE,$T12)</f>
        <v>#NUM!</v>
      </c>
      <c r="Y12" s="319">
        <f>IF($U12,_xll.qlIndexFixing($W12,$R12,FALSE,$T12),"-")</f>
        <v>4.9838E-3</v>
      </c>
      <c r="Z12" s="319" t="e">
        <f t="shared" si="3"/>
        <v>#NUM!</v>
      </c>
      <c r="AA12" s="318">
        <f>_xll.qlIndexFixing($W12,$R12,TRUE,$Y12)</f>
        <v>4.9838E-3</v>
      </c>
      <c r="AB12" s="283">
        <f t="shared" si="5"/>
        <v>0</v>
      </c>
      <c r="AC12" s="272"/>
    </row>
    <row r="13" spans="1:29" s="2" customFormat="1" x14ac:dyDescent="0.2">
      <c r="B13" s="12"/>
      <c r="C13" s="11" t="s">
        <v>12</v>
      </c>
      <c r="D13" s="10" t="s">
        <v>10</v>
      </c>
      <c r="E13" s="9" t="str">
        <f t="shared" si="4"/>
        <v>GbpLibor3M</v>
      </c>
      <c r="F13" s="8" t="str">
        <f>_xll.qlLibor($E13,Currency,$C13,Currency&amp;$D13,Permanent,Trigger,ObjectOverwrite)</f>
        <v>GbpLibor3M#0000</v>
      </c>
      <c r="G13" s="8" t="str">
        <f>_xll.qlLastFixingQuote(E13&amp;"LastFixing_Quote",F13,Permanent,Trigger,ObjectOverwrite)</f>
        <v>GbpLibor3MLastFixing_Quote#0000</v>
      </c>
      <c r="H13" s="7" t="str">
        <f>_xll.ohRangeRetrieveError(F13)</f>
        <v/>
      </c>
      <c r="I13" s="7" t="str">
        <f>_xll.ohRangeRetrieveError(G13)</f>
        <v/>
      </c>
      <c r="J13" s="6"/>
      <c r="L13" s="2">
        <f>_xll.qlInterestRateIndexFixingDays(F13)</f>
        <v>0</v>
      </c>
      <c r="N13" s="251"/>
      <c r="O13" s="282"/>
      <c r="P13" s="290" t="s">
        <v>12</v>
      </c>
      <c r="Q13" s="285" t="str">
        <f t="shared" si="0"/>
        <v>GBP3MFSR=</v>
      </c>
      <c r="R13" s="289">
        <v>41464</v>
      </c>
      <c r="S13" s="320">
        <v>0.50812999999999997</v>
      </c>
      <c r="T13" s="288" t="b">
        <f t="shared" si="1"/>
        <v>1</v>
      </c>
      <c r="U13" s="287" t="b">
        <f>IF($T13,_xll.qlIndexAddFixings($W13,$R13,$S13/100,TRUE,ISERROR($X13)),NA())</f>
        <v>1</v>
      </c>
      <c r="V13" s="277"/>
      <c r="W13" s="286" t="str">
        <f t="shared" si="6"/>
        <v>GbpLibor3M#0000</v>
      </c>
      <c r="X13" s="319" t="e">
        <f>_xll.qlIndexFixing($W13,$R13,TRUE,$T13)</f>
        <v>#NUM!</v>
      </c>
      <c r="Y13" s="319">
        <f>IF($U13,_xll.qlIndexFixing($W13,$R13,FALSE,$T13),"-")</f>
        <v>5.0812999999999995E-3</v>
      </c>
      <c r="Z13" s="319" t="e">
        <f t="shared" si="3"/>
        <v>#NUM!</v>
      </c>
      <c r="AA13" s="318">
        <f>_xll.qlIndexFixing($W13,$R13,TRUE,$Y13)</f>
        <v>5.0812999999999995E-3</v>
      </c>
      <c r="AB13" s="283">
        <f t="shared" si="5"/>
        <v>0</v>
      </c>
      <c r="AC13" s="272"/>
    </row>
    <row r="14" spans="1:29" s="2" customFormat="1" x14ac:dyDescent="0.2">
      <c r="B14" s="12"/>
      <c r="C14" s="11" t="s">
        <v>11</v>
      </c>
      <c r="D14" s="10" t="s">
        <v>10</v>
      </c>
      <c r="E14" s="9" t="str">
        <f t="shared" si="4"/>
        <v>GbpLibor4M</v>
      </c>
      <c r="F14" s="8" t="str">
        <f>_xll.qlLibor($E14,Currency,$C14,Currency&amp;$D14,Permanent,Trigger,ObjectOverwrite)</f>
        <v>GbpLibor4M#0000</v>
      </c>
      <c r="G14" s="8" t="str">
        <f>_xll.qlLastFixingQuote(E14&amp;"LastFixing_Quote",F14,Permanent,Trigger,ObjectOverwrite)</f>
        <v>GbpLibor4MLastFixing_Quote#0000</v>
      </c>
      <c r="H14" s="7" t="str">
        <f>_xll.ohRangeRetrieveError(F14)</f>
        <v/>
      </c>
      <c r="I14" s="7" t="str">
        <f>_xll.ohRangeRetrieveError(G14)</f>
        <v/>
      </c>
      <c r="J14" s="6"/>
      <c r="L14" s="2">
        <f>_xll.qlInterestRateIndexFixingDays(F14)</f>
        <v>0</v>
      </c>
      <c r="N14" s="251"/>
      <c r="O14" s="282"/>
      <c r="P14" s="290" t="s">
        <v>11</v>
      </c>
      <c r="Q14" s="285" t="str">
        <f t="shared" si="0"/>
        <v>GBP4MFSR=</v>
      </c>
      <c r="R14" s="289">
        <v>41428</v>
      </c>
      <c r="S14" s="320">
        <v>0</v>
      </c>
      <c r="T14" s="288" t="b">
        <f t="shared" si="1"/>
        <v>0</v>
      </c>
      <c r="U14" s="287" t="e">
        <f>IF($T14,_xll.qlIndexAddFixings($W14,$R14,$S14/100,TRUE,ISERROR($X14)),NA())</f>
        <v>#N/A</v>
      </c>
      <c r="V14" s="277"/>
      <c r="W14" s="286" t="str">
        <f t="shared" si="6"/>
        <v>GbpLibor4M#0000</v>
      </c>
      <c r="X14" s="319" t="e">
        <f>_xll.qlIndexFixing($W14,$R14,TRUE,$T14)</f>
        <v>#NUM!</v>
      </c>
      <c r="Y14" s="319" t="e">
        <f>IF($U14,_xll.qlIndexFixing($W14,$R14,FALSE,$T14),"-")</f>
        <v>#N/A</v>
      </c>
      <c r="Z14" s="319" t="e">
        <f t="shared" si="3"/>
        <v>#NUM!</v>
      </c>
      <c r="AA14" s="318" t="e">
        <f>_xll.qlIndexFixing($W14,$R14,TRUE,$Y14)</f>
        <v>#NUM!</v>
      </c>
      <c r="AB14" s="283">
        <f t="shared" si="5"/>
        <v>0</v>
      </c>
      <c r="AC14" s="272"/>
    </row>
    <row r="15" spans="1:29" s="2" customFormat="1" x14ac:dyDescent="0.2">
      <c r="B15" s="12"/>
      <c r="C15" s="11" t="s">
        <v>9</v>
      </c>
      <c r="D15" s="10" t="s">
        <v>5</v>
      </c>
      <c r="E15" s="9" t="str">
        <f t="shared" si="4"/>
        <v>GbpLibor5M</v>
      </c>
      <c r="F15" s="8" t="str">
        <f>_xll.qlLibor($E15,Currency,$C15,Currency&amp;$D15,Permanent,Trigger,ObjectOverwrite)</f>
        <v>GbpLibor5M#0000</v>
      </c>
      <c r="G15" s="8" t="str">
        <f>_xll.qlLastFixingQuote(E15&amp;"LastFixing_Quote",F15,Permanent,Trigger,ObjectOverwrite)</f>
        <v>GbpLibor5MLastFixing_Quote#0000</v>
      </c>
      <c r="H15" s="7" t="str">
        <f>_xll.ohRangeRetrieveError(F15)</f>
        <v/>
      </c>
      <c r="I15" s="7" t="str">
        <f>_xll.ohRangeRetrieveError(G15)</f>
        <v/>
      </c>
      <c r="J15" s="6"/>
      <c r="L15" s="2">
        <f>_xll.qlInterestRateIndexFixingDays(F15)</f>
        <v>0</v>
      </c>
      <c r="N15" s="251"/>
      <c r="O15" s="282"/>
      <c r="P15" s="290" t="s">
        <v>9</v>
      </c>
      <c r="Q15" s="285" t="str">
        <f t="shared" si="0"/>
        <v>GBP5MFSR=</v>
      </c>
      <c r="R15" s="289">
        <v>41428</v>
      </c>
      <c r="S15" s="320">
        <v>0</v>
      </c>
      <c r="T15" s="288" t="b">
        <f t="shared" si="1"/>
        <v>0</v>
      </c>
      <c r="U15" s="287" t="e">
        <f>IF($T15,_xll.qlIndexAddFixings($W15,$R15,$S15/100,TRUE,ISERROR($X15)),NA())</f>
        <v>#N/A</v>
      </c>
      <c r="V15" s="277"/>
      <c r="W15" s="286" t="str">
        <f t="shared" si="6"/>
        <v>GbpLibor5M#0000</v>
      </c>
      <c r="X15" s="319" t="e">
        <f>_xll.qlIndexFixing($W15,$R15,TRUE,$T15)</f>
        <v>#NUM!</v>
      </c>
      <c r="Y15" s="319" t="e">
        <f>IF($U15,_xll.qlIndexFixing($W15,$R15,FALSE,$T15),"-")</f>
        <v>#N/A</v>
      </c>
      <c r="Z15" s="319" t="e">
        <f t="shared" si="3"/>
        <v>#NUM!</v>
      </c>
      <c r="AA15" s="318" t="e">
        <f>_xll.qlIndexFixing($W15,$R15,TRUE,$Y15)</f>
        <v>#NUM!</v>
      </c>
      <c r="AB15" s="283">
        <f t="shared" si="5"/>
        <v>0</v>
      </c>
      <c r="AC15" s="272"/>
    </row>
    <row r="16" spans="1:29" s="2" customFormat="1" x14ac:dyDescent="0.2">
      <c r="B16" s="12"/>
      <c r="C16" s="11" t="s">
        <v>8</v>
      </c>
      <c r="D16" s="10" t="s">
        <v>5</v>
      </c>
      <c r="E16" s="9" t="str">
        <f t="shared" si="4"/>
        <v>GbpLibor6M</v>
      </c>
      <c r="F16" s="8" t="str">
        <f>_xll.qlLibor($E16,Currency,$C16,Currency&amp;$D16,Permanent,Trigger,ObjectOverwrite)</f>
        <v>GbpLibor6M#0000</v>
      </c>
      <c r="G16" s="8" t="str">
        <f>_xll.qlLastFixingQuote(E16&amp;"LastFixing_Quote",F16,Permanent,Trigger,ObjectOverwrite)</f>
        <v>GbpLibor6MLastFixing_Quote#0000</v>
      </c>
      <c r="H16" s="7" t="str">
        <f>_xll.ohRangeRetrieveError(F16)</f>
        <v/>
      </c>
      <c r="I16" s="7" t="str">
        <f>_xll.ohRangeRetrieveError(G16)</f>
        <v/>
      </c>
      <c r="J16" s="6"/>
      <c r="L16" s="2">
        <f>_xll.qlInterestRateIndexFixingDays(F16)</f>
        <v>0</v>
      </c>
      <c r="N16" s="251"/>
      <c r="O16" s="282"/>
      <c r="P16" s="290" t="s">
        <v>8</v>
      </c>
      <c r="Q16" s="285" t="str">
        <f t="shared" si="0"/>
        <v>GBP6MFSR=</v>
      </c>
      <c r="R16" s="289">
        <v>41464</v>
      </c>
      <c r="S16" s="320">
        <v>0.59175</v>
      </c>
      <c r="T16" s="288" t="b">
        <f t="shared" si="1"/>
        <v>1</v>
      </c>
      <c r="U16" s="287" t="b">
        <f>IF($T16,_xll.qlIndexAddFixings($W16,$R16,$S16/100,TRUE,ISERROR($X16)),NA())</f>
        <v>1</v>
      </c>
      <c r="V16" s="277"/>
      <c r="W16" s="286" t="str">
        <f t="shared" si="6"/>
        <v>GbpLibor6M#0000</v>
      </c>
      <c r="X16" s="319" t="e">
        <f>_xll.qlIndexFixing($W16,$R16,TRUE,$T16)</f>
        <v>#NUM!</v>
      </c>
      <c r="Y16" s="319">
        <f>IF($U16,_xll.qlIndexFixing($W16,$R16,FALSE,$T16),"-")</f>
        <v>5.9175E-3</v>
      </c>
      <c r="Z16" s="319" t="e">
        <f t="shared" si="3"/>
        <v>#NUM!</v>
      </c>
      <c r="AA16" s="318">
        <f>_xll.qlIndexFixing($W16,$R16,TRUE,$Y16)</f>
        <v>5.9175E-3</v>
      </c>
      <c r="AB16" s="283">
        <f t="shared" si="5"/>
        <v>0</v>
      </c>
      <c r="AC16" s="272"/>
    </row>
    <row r="17" spans="2:29" s="2" customFormat="1" x14ac:dyDescent="0.2">
      <c r="B17" s="12"/>
      <c r="C17" s="11" t="s">
        <v>7</v>
      </c>
      <c r="D17" s="10" t="s">
        <v>5</v>
      </c>
      <c r="E17" s="9" t="str">
        <f t="shared" si="4"/>
        <v>GbpLibor7M</v>
      </c>
      <c r="F17" s="8" t="str">
        <f>_xll.qlLibor($E17,Currency,$C17,Currency&amp;$D17,Permanent,Trigger,ObjectOverwrite)</f>
        <v>GbpLibor7M#0000</v>
      </c>
      <c r="G17" s="8" t="str">
        <f>_xll.qlLastFixingQuote(E17&amp;"LastFixing_Quote",F17,Permanent,Trigger,ObjectOverwrite)</f>
        <v>GbpLibor7MLastFixing_Quote#0000</v>
      </c>
      <c r="H17" s="7" t="str">
        <f>_xll.ohRangeRetrieveError(F17)</f>
        <v/>
      </c>
      <c r="I17" s="7" t="str">
        <f>_xll.ohRangeRetrieveError(G17)</f>
        <v/>
      </c>
      <c r="J17" s="6"/>
      <c r="L17" s="2">
        <f>_xll.qlInterestRateIndexFixingDays(F17)</f>
        <v>0</v>
      </c>
      <c r="N17" s="251"/>
      <c r="O17" s="282"/>
      <c r="P17" s="290" t="s">
        <v>7</v>
      </c>
      <c r="Q17" s="285" t="str">
        <f t="shared" si="0"/>
        <v>GBP7MFSR=</v>
      </c>
      <c r="R17" s="289">
        <v>41428</v>
      </c>
      <c r="S17" s="320">
        <v>0</v>
      </c>
      <c r="T17" s="288" t="b">
        <f t="shared" si="1"/>
        <v>0</v>
      </c>
      <c r="U17" s="287" t="e">
        <f>IF($T17,_xll.qlIndexAddFixings($W17,$R17,$S17/100,TRUE,ISERROR($X17)),NA())</f>
        <v>#N/A</v>
      </c>
      <c r="V17" s="277"/>
      <c r="W17" s="286" t="str">
        <f t="shared" si="6"/>
        <v>GbpLibor7M#0000</v>
      </c>
      <c r="X17" s="319" t="e">
        <f>_xll.qlIndexFixing($W17,$R17,TRUE,$T17)</f>
        <v>#NUM!</v>
      </c>
      <c r="Y17" s="319" t="e">
        <f>IF($U17,_xll.qlIndexFixing($W17,$R17,FALSE,$T17),"-")</f>
        <v>#N/A</v>
      </c>
      <c r="Z17" s="319" t="e">
        <f t="shared" si="3"/>
        <v>#NUM!</v>
      </c>
      <c r="AA17" s="318" t="e">
        <f>_xll.qlIndexFixing($W17,$R17,TRUE,$Y17)</f>
        <v>#NUM!</v>
      </c>
      <c r="AB17" s="283">
        <f t="shared" si="5"/>
        <v>0</v>
      </c>
      <c r="AC17" s="272"/>
    </row>
    <row r="18" spans="2:29" s="2" customFormat="1" x14ac:dyDescent="0.2">
      <c r="B18" s="12"/>
      <c r="C18" s="11" t="s">
        <v>6</v>
      </c>
      <c r="D18" s="10" t="s">
        <v>5</v>
      </c>
      <c r="E18" s="9" t="str">
        <f t="shared" si="4"/>
        <v>GbpLibor8M</v>
      </c>
      <c r="F18" s="8" t="str">
        <f>_xll.qlLibor($E18,Currency,$C18,Currency&amp;$D18,Permanent,Trigger,ObjectOverwrite)</f>
        <v>GbpLibor8M#0000</v>
      </c>
      <c r="G18" s="8" t="str">
        <f>_xll.qlLastFixingQuote(E18&amp;"LastFixing_Quote",F18,Permanent,Trigger,ObjectOverwrite)</f>
        <v>GbpLibor8MLastFixing_Quote#0000</v>
      </c>
      <c r="H18" s="7" t="str">
        <f>_xll.ohRangeRetrieveError(F18)</f>
        <v/>
      </c>
      <c r="I18" s="7" t="str">
        <f>_xll.ohRangeRetrieveError(G18)</f>
        <v/>
      </c>
      <c r="J18" s="6"/>
      <c r="L18" s="2">
        <f>_xll.qlInterestRateIndexFixingDays(F18)</f>
        <v>0</v>
      </c>
      <c r="N18" s="251"/>
      <c r="O18" s="282"/>
      <c r="P18" s="290" t="s">
        <v>6</v>
      </c>
      <c r="Q18" s="285" t="str">
        <f t="shared" si="0"/>
        <v>GBP8MFSR=</v>
      </c>
      <c r="R18" s="289">
        <v>41428</v>
      </c>
      <c r="S18" s="320">
        <v>0</v>
      </c>
      <c r="T18" s="288" t="b">
        <f t="shared" si="1"/>
        <v>0</v>
      </c>
      <c r="U18" s="287" t="e">
        <f>IF($T18,_xll.qlIndexAddFixings($W18,$R18,$S18/100,TRUE,ISERROR($X18)),NA())</f>
        <v>#N/A</v>
      </c>
      <c r="V18" s="277"/>
      <c r="W18" s="286" t="str">
        <f t="shared" si="6"/>
        <v>GbpLibor8M#0000</v>
      </c>
      <c r="X18" s="319" t="e">
        <f>_xll.qlIndexFixing($W18,$R18,TRUE,$T18)</f>
        <v>#NUM!</v>
      </c>
      <c r="Y18" s="319" t="e">
        <f>IF($U18,_xll.qlIndexFixing($W18,$R18,FALSE,$T18),"-")</f>
        <v>#N/A</v>
      </c>
      <c r="Z18" s="319" t="e">
        <f t="shared" si="3"/>
        <v>#NUM!</v>
      </c>
      <c r="AA18" s="318" t="e">
        <f>_xll.qlIndexFixing($W18,$R18,TRUE,$Y18)</f>
        <v>#NUM!</v>
      </c>
      <c r="AB18" s="283">
        <f t="shared" si="5"/>
        <v>0</v>
      </c>
      <c r="AC18" s="272"/>
    </row>
    <row r="19" spans="2:29" s="2" customFormat="1" x14ac:dyDescent="0.2">
      <c r="B19" s="12"/>
      <c r="C19" s="11" t="s">
        <v>4</v>
      </c>
      <c r="D19" s="10" t="s">
        <v>0</v>
      </c>
      <c r="E19" s="9" t="str">
        <f t="shared" si="4"/>
        <v>GbpLibor9M</v>
      </c>
      <c r="F19" s="8" t="str">
        <f>_xll.qlLibor($E19,Currency,$C19,Currency&amp;$D19,Permanent,Trigger,ObjectOverwrite)</f>
        <v>GbpLibor9M#0000</v>
      </c>
      <c r="G19" s="8" t="str">
        <f>_xll.qlLastFixingQuote(E19&amp;"LastFixing_Quote",F19,Permanent,Trigger,ObjectOverwrite)</f>
        <v>GbpLibor9MLastFixing_Quote#0000</v>
      </c>
      <c r="H19" s="7" t="str">
        <f>_xll.ohRangeRetrieveError(F19)</f>
        <v/>
      </c>
      <c r="I19" s="7" t="str">
        <f>_xll.ohRangeRetrieveError(G19)</f>
        <v/>
      </c>
      <c r="J19" s="6"/>
      <c r="L19" s="2">
        <f>_xll.qlInterestRateIndexFixingDays(F19)</f>
        <v>0</v>
      </c>
      <c r="N19" s="251"/>
      <c r="O19" s="282"/>
      <c r="P19" s="290" t="s">
        <v>4</v>
      </c>
      <c r="Q19" s="285" t="str">
        <f t="shared" si="0"/>
        <v>GBP9MFSR=</v>
      </c>
      <c r="R19" s="289">
        <v>41428</v>
      </c>
      <c r="S19" s="320">
        <v>0</v>
      </c>
      <c r="T19" s="288" t="b">
        <f t="shared" si="1"/>
        <v>0</v>
      </c>
      <c r="U19" s="287" t="e">
        <f>IF($T19,_xll.qlIndexAddFixings($W19,$R19,$S19/100,TRUE,ISERROR($X19)),NA())</f>
        <v>#N/A</v>
      </c>
      <c r="V19" s="277"/>
      <c r="W19" s="286" t="str">
        <f t="shared" si="6"/>
        <v>GbpLibor9M#0000</v>
      </c>
      <c r="X19" s="319" t="e">
        <f>_xll.qlIndexFixing($W19,$R19,TRUE,$T19)</f>
        <v>#NUM!</v>
      </c>
      <c r="Y19" s="319" t="e">
        <f>IF($U19,_xll.qlIndexFixing($W19,$R19,FALSE,$T19),"-")</f>
        <v>#N/A</v>
      </c>
      <c r="Z19" s="319" t="e">
        <f t="shared" si="3"/>
        <v>#NUM!</v>
      </c>
      <c r="AA19" s="318" t="e">
        <f>_xll.qlIndexFixing($W19,$R19,TRUE,$Y19)</f>
        <v>#NUM!</v>
      </c>
      <c r="AB19" s="283">
        <f t="shared" si="5"/>
        <v>0</v>
      </c>
      <c r="AC19" s="272"/>
    </row>
    <row r="20" spans="2:29" s="2" customFormat="1" x14ac:dyDescent="0.2">
      <c r="B20" s="12"/>
      <c r="C20" s="11" t="s">
        <v>3</v>
      </c>
      <c r="D20" s="10" t="s">
        <v>0</v>
      </c>
      <c r="E20" s="9" t="str">
        <f t="shared" si="4"/>
        <v>GbpLibor10M</v>
      </c>
      <c r="F20" s="8" t="str">
        <f>_xll.qlLibor($E20,Currency,$C20,Currency&amp;$D20,Permanent,Trigger,ObjectOverwrite)</f>
        <v>GbpLibor10M#0000</v>
      </c>
      <c r="G20" s="8" t="str">
        <f>_xll.qlLastFixingQuote(E20&amp;"LastFixing_Quote",F20,Permanent,Trigger,ObjectOverwrite)</f>
        <v>GbpLibor10MLastFixing_Quote#0000</v>
      </c>
      <c r="H20" s="7" t="str">
        <f>_xll.ohRangeRetrieveError(F20)</f>
        <v/>
      </c>
      <c r="I20" s="7" t="str">
        <f>_xll.ohRangeRetrieveError(G20)</f>
        <v/>
      </c>
      <c r="J20" s="6"/>
      <c r="L20" s="2">
        <f>_xll.qlInterestRateIndexFixingDays(F20)</f>
        <v>0</v>
      </c>
      <c r="N20" s="251"/>
      <c r="O20" s="282"/>
      <c r="P20" s="290" t="s">
        <v>3</v>
      </c>
      <c r="Q20" s="285" t="str">
        <f t="shared" si="0"/>
        <v>GBP10MFSR=</v>
      </c>
      <c r="R20" s="289">
        <v>41428</v>
      </c>
      <c r="S20" s="320">
        <v>0</v>
      </c>
      <c r="T20" s="288" t="b">
        <f t="shared" si="1"/>
        <v>0</v>
      </c>
      <c r="U20" s="287" t="e">
        <f>IF($T20,_xll.qlIndexAddFixings($W20,$R20,$S20/100,TRUE,ISERROR($X20)),NA())</f>
        <v>#N/A</v>
      </c>
      <c r="V20" s="277"/>
      <c r="W20" s="286" t="str">
        <f t="shared" si="6"/>
        <v>GbpLibor10M#0000</v>
      </c>
      <c r="X20" s="319" t="e">
        <f>_xll.qlIndexFixing($W20,$R20,TRUE,$T20)</f>
        <v>#NUM!</v>
      </c>
      <c r="Y20" s="319" t="e">
        <f>IF($U20,_xll.qlIndexFixing($W20,$R20,FALSE,$T20),"-")</f>
        <v>#N/A</v>
      </c>
      <c r="Z20" s="319" t="e">
        <f t="shared" si="3"/>
        <v>#NUM!</v>
      </c>
      <c r="AA20" s="318" t="e">
        <f>_xll.qlIndexFixing($W20,$R20,TRUE,$Y20)</f>
        <v>#NUM!</v>
      </c>
      <c r="AB20" s="283">
        <f t="shared" si="5"/>
        <v>0</v>
      </c>
      <c r="AC20" s="272"/>
    </row>
    <row r="21" spans="2:29" s="2" customFormat="1" x14ac:dyDescent="0.2">
      <c r="B21" s="12"/>
      <c r="C21" s="11" t="s">
        <v>2</v>
      </c>
      <c r="D21" s="10" t="s">
        <v>0</v>
      </c>
      <c r="E21" s="9" t="str">
        <f t="shared" si="4"/>
        <v>GbpLibor11M</v>
      </c>
      <c r="F21" s="8" t="str">
        <f>_xll.qlLibor($E21,Currency,$C21,Currency&amp;$D21,Permanent,Trigger,ObjectOverwrite)</f>
        <v>GbpLibor11M#0000</v>
      </c>
      <c r="G21" s="8" t="str">
        <f>_xll.qlLastFixingQuote(E21&amp;"LastFixing_Quote",F21,Permanent,Trigger,ObjectOverwrite)</f>
        <v>GbpLibor11MLastFixing_Quote#0000</v>
      </c>
      <c r="H21" s="7" t="str">
        <f>_xll.ohRangeRetrieveError(F21)</f>
        <v/>
      </c>
      <c r="I21" s="7" t="str">
        <f>_xll.ohRangeRetrieveError(G21)</f>
        <v/>
      </c>
      <c r="J21" s="6"/>
      <c r="L21" s="2">
        <f>_xll.qlInterestRateIndexFixingDays(F21)</f>
        <v>0</v>
      </c>
      <c r="N21" s="251"/>
      <c r="O21" s="282"/>
      <c r="P21" s="290" t="s">
        <v>2</v>
      </c>
      <c r="Q21" s="285" t="str">
        <f t="shared" si="0"/>
        <v>GBP11MFSR=</v>
      </c>
      <c r="R21" s="289">
        <v>41428</v>
      </c>
      <c r="S21" s="320">
        <v>0</v>
      </c>
      <c r="T21" s="288" t="b">
        <f t="shared" si="1"/>
        <v>0</v>
      </c>
      <c r="U21" s="287" t="e">
        <f>IF($T21,_xll.qlIndexAddFixings($W21,$R21,$S21/100,TRUE,ISERROR($X21)),NA())</f>
        <v>#N/A</v>
      </c>
      <c r="V21" s="277"/>
      <c r="W21" s="286" t="str">
        <f t="shared" si="6"/>
        <v>GbpLibor11M#0000</v>
      </c>
      <c r="X21" s="319" t="e">
        <f>_xll.qlIndexFixing($W21,$R21,TRUE,$T21)</f>
        <v>#NUM!</v>
      </c>
      <c r="Y21" s="319" t="e">
        <f>IF($U21,_xll.qlIndexFixing($W21,$R21,FALSE,$T21),"-")</f>
        <v>#N/A</v>
      </c>
      <c r="Z21" s="319" t="e">
        <f t="shared" si="3"/>
        <v>#NUM!</v>
      </c>
      <c r="AA21" s="318" t="e">
        <f>_xll.qlIndexFixing($W21,$R21,TRUE,$Y21)</f>
        <v>#NUM!</v>
      </c>
      <c r="AB21" s="283">
        <f t="shared" si="5"/>
        <v>0</v>
      </c>
      <c r="AC21" s="272"/>
    </row>
    <row r="22" spans="2:29" s="2" customFormat="1" x14ac:dyDescent="0.2">
      <c r="B22" s="12"/>
      <c r="C22" s="11" t="s">
        <v>1</v>
      </c>
      <c r="D22" s="10" t="s">
        <v>0</v>
      </c>
      <c r="E22" s="9" t="str">
        <f t="shared" si="4"/>
        <v>GbpLibor1Y</v>
      </c>
      <c r="F22" s="8" t="str">
        <f>_xll.qlLibor($E22,Currency,$C22,Currency&amp;$D22,Permanent,Trigger,ObjectOverwrite)</f>
        <v>GbpLibor1Y#0000</v>
      </c>
      <c r="G22" s="8" t="str">
        <f>_xll.qlLastFixingQuote(E22&amp;"LastFixing_Quote",F22,Permanent,Trigger,ObjectOverwrite)</f>
        <v>GbpLibor1YLastFixing_Quote#0000</v>
      </c>
      <c r="H22" s="7" t="str">
        <f>_xll.ohRangeRetrieveError(F22)</f>
        <v/>
      </c>
      <c r="I22" s="7" t="str">
        <f>_xll.ohRangeRetrieveError(G22)</f>
        <v/>
      </c>
      <c r="J22" s="6"/>
      <c r="L22" s="2">
        <f>_xll.qlInterestRateIndexFixingDays(F22)</f>
        <v>0</v>
      </c>
      <c r="N22" s="251"/>
      <c r="O22" s="282"/>
      <c r="P22" s="281" t="s">
        <v>1</v>
      </c>
      <c r="Q22" s="275" t="str">
        <f t="shared" si="0"/>
        <v>GBP1YFSR=</v>
      </c>
      <c r="R22" s="280">
        <v>41464</v>
      </c>
      <c r="S22" s="317">
        <v>0.87938000000000005</v>
      </c>
      <c r="T22" s="279" t="b">
        <f t="shared" si="1"/>
        <v>1</v>
      </c>
      <c r="U22" s="278" t="b">
        <f>IF($T22,_xll.qlIndexAddFixings($W22,$R22,$S22/100,TRUE,ISERROR($X22)),NA())</f>
        <v>1</v>
      </c>
      <c r="V22" s="277"/>
      <c r="W22" s="276" t="str">
        <f t="shared" si="6"/>
        <v>GbpLibor1Y#0000</v>
      </c>
      <c r="X22" s="316" t="e">
        <f>_xll.qlIndexFixing($W22,$R22,TRUE,$T22)</f>
        <v>#NUM!</v>
      </c>
      <c r="Y22" s="316">
        <f>IF($U22,_xll.qlIndexFixing($W22,$R22,FALSE,$T22),"-")</f>
        <v>8.7938000000000009E-3</v>
      </c>
      <c r="Z22" s="316" t="e">
        <f t="shared" si="3"/>
        <v>#NUM!</v>
      </c>
      <c r="AA22" s="315">
        <f>_xll.qlIndexFixing($W22,$R22,TRUE,$Y22)</f>
        <v>8.7938000000000009E-3</v>
      </c>
      <c r="AB22" s="273">
        <f t="shared" si="5"/>
        <v>0</v>
      </c>
      <c r="AC22" s="272"/>
    </row>
    <row r="23" spans="2:29" s="2" customFormat="1" ht="12" thickBot="1" x14ac:dyDescent="0.25">
      <c r="B23" s="5"/>
      <c r="C23" s="4"/>
      <c r="D23" s="4"/>
      <c r="E23" s="4"/>
      <c r="F23" s="4"/>
      <c r="G23" s="4"/>
      <c r="H23" s="4"/>
      <c r="I23" s="4"/>
      <c r="J23" s="3"/>
      <c r="N23" s="251"/>
      <c r="O23" s="269"/>
      <c r="P23" s="266"/>
      <c r="Q23" s="266"/>
      <c r="R23" s="268"/>
      <c r="S23" s="267"/>
      <c r="T23" s="267"/>
      <c r="U23" s="266"/>
      <c r="V23" s="266"/>
      <c r="W23" s="266"/>
      <c r="X23" s="266"/>
      <c r="Y23" s="266"/>
      <c r="Z23" s="266"/>
      <c r="AA23" s="266"/>
      <c r="AB23" s="266"/>
      <c r="AC23" s="265"/>
    </row>
    <row r="24" spans="2:29" s="2" customFormat="1" ht="12" thickBot="1" x14ac:dyDescent="0.25">
      <c r="N24" s="251"/>
      <c r="O24" s="251"/>
      <c r="P24" s="251"/>
      <c r="Q24" s="251"/>
      <c r="R24" s="264"/>
      <c r="S24" s="263"/>
      <c r="T24" s="263"/>
      <c r="U24" s="251"/>
      <c r="V24" s="251"/>
      <c r="W24" s="251"/>
      <c r="X24" s="251"/>
      <c r="Y24" s="251"/>
      <c r="Z24" s="251"/>
      <c r="AA24" s="251"/>
      <c r="AB24" s="251"/>
      <c r="AC24" s="251"/>
    </row>
    <row r="25" spans="2:29" x14ac:dyDescent="0.2">
      <c r="N25" s="251"/>
      <c r="O25" s="251"/>
      <c r="P25" s="262" t="s">
        <v>121</v>
      </c>
      <c r="Q25" s="261" t="s">
        <v>248</v>
      </c>
      <c r="R25" s="260" t="s">
        <v>25</v>
      </c>
      <c r="S25" s="259"/>
      <c r="T25" s="251"/>
      <c r="U25" s="251"/>
      <c r="V25" s="251"/>
      <c r="W25" s="251"/>
      <c r="X25" s="251"/>
      <c r="Y25" s="251"/>
      <c r="Z25" s="251"/>
      <c r="AA25" s="251"/>
      <c r="AB25" s="251"/>
      <c r="AC25" s="251"/>
    </row>
    <row r="26" spans="2:29" x14ac:dyDescent="0.2">
      <c r="N26" s="251"/>
      <c r="O26" s="251"/>
      <c r="P26" s="257" t="s">
        <v>120</v>
      </c>
      <c r="Q26" s="256" t="s">
        <v>248</v>
      </c>
      <c r="R26" s="255" t="s">
        <v>25</v>
      </c>
      <c r="S26" s="251"/>
      <c r="T26" s="251"/>
      <c r="U26" s="251"/>
      <c r="V26" s="251"/>
      <c r="W26" s="258"/>
      <c r="X26" s="251"/>
      <c r="Y26" s="251"/>
      <c r="Z26" s="251"/>
      <c r="AA26" s="251"/>
      <c r="AB26" s="251"/>
      <c r="AC26" s="251"/>
    </row>
    <row r="27" spans="2:29" x14ac:dyDescent="0.2">
      <c r="N27" s="251"/>
      <c r="O27" s="251"/>
      <c r="P27" s="257" t="s">
        <v>230</v>
      </c>
      <c r="Q27" s="256" t="s">
        <v>248</v>
      </c>
      <c r="R27" s="255" t="s">
        <v>25</v>
      </c>
      <c r="S27" s="251"/>
      <c r="T27" s="251"/>
      <c r="U27" s="251"/>
      <c r="V27" s="251"/>
      <c r="W27" s="258"/>
      <c r="X27" s="251"/>
      <c r="Y27" s="251"/>
      <c r="Z27" s="251"/>
      <c r="AA27" s="251"/>
      <c r="AB27" s="251"/>
      <c r="AC27" s="251"/>
    </row>
    <row r="28" spans="2:29" x14ac:dyDescent="0.2">
      <c r="N28" s="251"/>
      <c r="O28" s="251"/>
      <c r="P28" s="257" t="s">
        <v>229</v>
      </c>
      <c r="Q28" s="256" t="s">
        <v>248</v>
      </c>
      <c r="R28" s="255" t="s">
        <v>25</v>
      </c>
      <c r="S28" s="251"/>
      <c r="T28" s="251"/>
      <c r="U28" s="251"/>
      <c r="V28" s="251"/>
      <c r="W28" s="258"/>
      <c r="X28" s="251"/>
      <c r="Y28" s="251"/>
      <c r="Z28" s="251"/>
      <c r="AA28" s="251"/>
      <c r="AB28" s="251"/>
      <c r="AC28" s="251"/>
    </row>
    <row r="29" spans="2:29" x14ac:dyDescent="0.2">
      <c r="N29" s="251"/>
      <c r="O29" s="251"/>
      <c r="P29" s="257" t="s">
        <v>96</v>
      </c>
      <c r="Q29" s="256" t="s">
        <v>248</v>
      </c>
      <c r="R29" s="255" t="s">
        <v>25</v>
      </c>
      <c r="S29" s="251"/>
      <c r="T29" s="251"/>
      <c r="U29" s="251"/>
      <c r="V29" s="251"/>
      <c r="W29" s="251"/>
      <c r="X29" s="251"/>
      <c r="Y29" s="251"/>
      <c r="Z29" s="251"/>
      <c r="AA29" s="251"/>
      <c r="AB29" s="251"/>
      <c r="AC29" s="251"/>
    </row>
    <row r="30" spans="2:29" x14ac:dyDescent="0.2">
      <c r="N30" s="251"/>
      <c r="O30" s="251"/>
      <c r="P30" s="257" t="s">
        <v>117</v>
      </c>
      <c r="Q30" s="256" t="s">
        <v>248</v>
      </c>
      <c r="R30" s="255" t="s">
        <v>25</v>
      </c>
      <c r="S30" s="251"/>
      <c r="T30" s="251"/>
      <c r="U30" s="251"/>
      <c r="V30" s="251"/>
      <c r="W30" s="251"/>
      <c r="X30" s="251"/>
      <c r="Y30" s="251"/>
      <c r="Z30" s="251"/>
      <c r="AA30" s="251"/>
      <c r="AB30" s="251"/>
      <c r="AC30" s="251"/>
    </row>
    <row r="31" spans="2:29" ht="13.5" thickBot="1" x14ac:dyDescent="0.25">
      <c r="N31" s="251"/>
      <c r="O31" s="251"/>
      <c r="P31" s="254" t="s">
        <v>115</v>
      </c>
      <c r="Q31" s="253" t="s">
        <v>248</v>
      </c>
      <c r="R31" s="252" t="s">
        <v>25</v>
      </c>
      <c r="S31" s="251"/>
      <c r="T31" s="251"/>
      <c r="U31" s="251"/>
      <c r="V31" s="251"/>
      <c r="W31" s="251"/>
      <c r="X31" s="251"/>
      <c r="Y31" s="251"/>
      <c r="Z31" s="251"/>
      <c r="AA31" s="251"/>
      <c r="AB31" s="251"/>
      <c r="AC31" s="251"/>
    </row>
  </sheetData>
  <conditionalFormatting sqref="Z5:Z22">
    <cfRule type="cellIs" dxfId="43" priority="1" stopIfTrue="1" operator="greaterThan">
      <formula>0</formula>
    </cfRule>
    <cfRule type="cellIs" dxfId="42"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topLeftCell="H1" workbookViewId="0">
      <selection activeCell="AG1" sqref="AG1"/>
    </sheetView>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350</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1" t="s">
        <v>352</v>
      </c>
      <c r="M4" s="251"/>
      <c r="N4" s="251"/>
      <c r="O4" s="256"/>
      <c r="P4" s="264"/>
      <c r="Q4" s="314"/>
      <c r="R4" s="314"/>
      <c r="S4" s="251"/>
      <c r="T4" s="256"/>
      <c r="U4" s="251"/>
      <c r="V4" s="251"/>
      <c r="W4" s="251"/>
      <c r="X4" s="251"/>
      <c r="Y4" s="251"/>
      <c r="Z4" s="251"/>
      <c r="AA4" s="251"/>
      <c r="AB4" s="251"/>
    </row>
    <row r="5" spans="1:28" s="29" customFormat="1" ht="19.5" x14ac:dyDescent="0.4">
      <c r="B5" s="39"/>
      <c r="C5" s="44"/>
      <c r="D5" s="44"/>
      <c r="E5" s="44"/>
      <c r="F5" s="44"/>
      <c r="G5" s="44"/>
      <c r="H5" s="41"/>
      <c r="L5" s="251"/>
      <c r="M5" s="313"/>
      <c r="N5" s="307"/>
      <c r="O5" s="312" t="str">
        <f>VLOOKUP(Currency,Traits,2,FALSE)</f>
        <v>SFIX</v>
      </c>
      <c r="P5" s="311"/>
      <c r="Q5" s="310"/>
      <c r="R5" s="310"/>
      <c r="S5" s="307"/>
      <c r="T5" s="307"/>
      <c r="U5" s="309" t="str">
        <f>VLOOKUP(Currency,Traits,3,FALSE)</f>
        <v>LiborSwapIsda</v>
      </c>
      <c r="V5" s="307"/>
      <c r="W5" s="307"/>
      <c r="X5" s="308">
        <f>MAX(Z7:Z22)</f>
        <v>0</v>
      </c>
      <c r="Y5" s="307"/>
      <c r="Z5" s="307"/>
      <c r="AA5" s="306"/>
      <c r="AB5" s="251"/>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1"/>
      <c r="M6" s="282"/>
      <c r="N6" s="304" t="s">
        <v>24</v>
      </c>
      <c r="O6" s="303" t="e">
        <f ca="1">_xll.RData(O7:O21,P6:Q6,"RTFEED:IDN",,,P7)</f>
        <v>#NAME?</v>
      </c>
      <c r="P6" s="303" t="s">
        <v>245</v>
      </c>
      <c r="Q6" s="303" t="s">
        <v>254</v>
      </c>
      <c r="R6" s="303" t="s">
        <v>243</v>
      </c>
      <c r="S6" s="302" t="s">
        <v>242</v>
      </c>
      <c r="T6" s="305"/>
      <c r="U6" s="304" t="s">
        <v>241</v>
      </c>
      <c r="V6" s="303" t="s">
        <v>240</v>
      </c>
      <c r="W6" s="303" t="s">
        <v>239</v>
      </c>
      <c r="X6" s="303" t="s">
        <v>238</v>
      </c>
      <c r="Y6" s="302" t="s">
        <v>237</v>
      </c>
      <c r="Z6" s="301"/>
      <c r="AA6" s="272"/>
      <c r="AB6" s="251"/>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GbpLiborSwapIsda1Y#0000</v>
      </c>
      <c r="G7" s="34" t="str">
        <f>_xll.ohRangeRetrieveError(F7)</f>
        <v/>
      </c>
      <c r="H7" s="33"/>
      <c r="J7" s="2">
        <f>_xll.qlInterestRateIndexFixingDays(F7)</f>
        <v>0</v>
      </c>
      <c r="L7" s="251"/>
      <c r="M7" s="282"/>
      <c r="N7" s="300" t="s">
        <v>1</v>
      </c>
      <c r="O7" s="294" t="str">
        <f t="shared" ref="O7:O21" si="1">Currency&amp;$O$5&amp;$N7&amp;"="</f>
        <v>GBPSFIX1Y=</v>
      </c>
      <c r="P7" s="299">
        <v>41464</v>
      </c>
      <c r="Q7" s="297">
        <v>0.54600000000000004</v>
      </c>
      <c r="R7" s="297" t="b">
        <f t="shared" ref="R7:R21" si="2">IF(AND(ISNUMBER($Q7),$Q7&lt;&gt;0%),TRUE,FALSE)</f>
        <v>1</v>
      </c>
      <c r="S7" s="296" t="b">
        <f>IF($R7,_xll.qlIndexAddFixings($U7,$P7,$Q7/100,TRUE,ISERROR($V7)),NA())</f>
        <v>1</v>
      </c>
      <c r="T7" s="277"/>
      <c r="U7" s="295" t="str">
        <f t="shared" ref="U7:U21" si="3">PROPER(Currency)&amp;$U$5&amp;$N7</f>
        <v>GbpLiborSwapIsda1Y</v>
      </c>
      <c r="V7" s="294" t="e">
        <f>_xll.qlIndexFixing($U7,$P7,TRUE,$R7)</f>
        <v>#NUM!</v>
      </c>
      <c r="W7" s="294">
        <f>IF($S7,_xll.qlIndexFixing($U7,$P7,FALSE,$R7),"-")</f>
        <v>5.4600000000000004E-3</v>
      </c>
      <c r="X7" s="294" t="e">
        <f t="shared" ref="X7:X21" si="4">V7-W7</f>
        <v>#NUM!</v>
      </c>
      <c r="Y7" s="293">
        <f>_xll.qlIndexFixing($U7,$P7,TRUE,$W7)</f>
        <v>5.4600000000000004E-3</v>
      </c>
      <c r="Z7" s="327">
        <f t="shared" ref="Z7:Z21" si="5">IF(ISERROR(X7),0,ABS(X7))</f>
        <v>0</v>
      </c>
      <c r="AA7" s="272"/>
      <c r="AB7" s="251"/>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GbpLiborSwapIsda2Y#0000</v>
      </c>
      <c r="G8" s="34" t="str">
        <f>_xll.ohRangeRetrieveError(F8)</f>
        <v/>
      </c>
      <c r="H8" s="33"/>
      <c r="J8" s="2">
        <f>_xll.qlInterestRateIndexFixingDays(F8)</f>
        <v>0</v>
      </c>
      <c r="L8" s="251"/>
      <c r="M8" s="282"/>
      <c r="N8" s="290" t="s">
        <v>85</v>
      </c>
      <c r="O8" s="285" t="str">
        <f t="shared" si="1"/>
        <v>GBPSFIX2Y=</v>
      </c>
      <c r="P8" s="289">
        <v>41464</v>
      </c>
      <c r="Q8" s="288">
        <v>0.71699999999999997</v>
      </c>
      <c r="R8" s="288" t="b">
        <f t="shared" si="2"/>
        <v>1</v>
      </c>
      <c r="S8" s="287" t="b">
        <f>IF($R8,_xll.qlIndexAddFixings($U8,$P8,$Q8/100,TRUE,ISERROR($V8)),NA())</f>
        <v>1</v>
      </c>
      <c r="T8" s="277"/>
      <c r="U8" s="286" t="str">
        <f t="shared" si="3"/>
        <v>GbpLiborSwapIsda2Y</v>
      </c>
      <c r="V8" s="285" t="e">
        <f>_xll.qlIndexFixing($U8,$P8,TRUE,$R8)</f>
        <v>#NUM!</v>
      </c>
      <c r="W8" s="285">
        <f>IF($S8,_xll.qlIndexFixing($U8,$P8,FALSE,$R8),"-")</f>
        <v>7.1699999999999993E-3</v>
      </c>
      <c r="X8" s="285" t="e">
        <f t="shared" si="4"/>
        <v>#NUM!</v>
      </c>
      <c r="Y8" s="284">
        <f>_xll.qlIndexFixing($U8,$P8,TRUE,$W8)</f>
        <v>7.1699999999999993E-3</v>
      </c>
      <c r="Z8" s="327">
        <f t="shared" si="5"/>
        <v>0</v>
      </c>
      <c r="AA8" s="272"/>
      <c r="AB8" s="251"/>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GbpLiborSwapIsda3Y#0000</v>
      </c>
      <c r="G9" s="34" t="str">
        <f>_xll.ohRangeRetrieveError(F9)</f>
        <v/>
      </c>
      <c r="H9" s="33"/>
      <c r="J9" s="2">
        <f>_xll.qlInterestRateIndexFixingDays(F9)</f>
        <v>0</v>
      </c>
      <c r="L9" s="251"/>
      <c r="M9" s="282"/>
      <c r="N9" s="290" t="s">
        <v>84</v>
      </c>
      <c r="O9" s="285" t="str">
        <f t="shared" si="1"/>
        <v>GBPSFIX3Y=</v>
      </c>
      <c r="P9" s="289">
        <v>41464</v>
      </c>
      <c r="Q9" s="288">
        <v>0.92300000000000004</v>
      </c>
      <c r="R9" s="288" t="b">
        <f t="shared" si="2"/>
        <v>1</v>
      </c>
      <c r="S9" s="287" t="b">
        <f>IF($R9,_xll.qlIndexAddFixings($U9,$P9,$Q9/100,TRUE,ISERROR($V9)),NA())</f>
        <v>1</v>
      </c>
      <c r="T9" s="277"/>
      <c r="U9" s="286" t="str">
        <f t="shared" si="3"/>
        <v>GbpLiborSwapIsda3Y</v>
      </c>
      <c r="V9" s="285" t="e">
        <f>_xll.qlIndexFixing($U9,$P9,TRUE,$R9)</f>
        <v>#NUM!</v>
      </c>
      <c r="W9" s="285">
        <f>IF($S9,_xll.qlIndexFixing($U9,$P9,FALSE,$R9),"-")</f>
        <v>9.2300000000000004E-3</v>
      </c>
      <c r="X9" s="285" t="e">
        <f t="shared" si="4"/>
        <v>#NUM!</v>
      </c>
      <c r="Y9" s="284">
        <f>_xll.qlIndexFixing($U9,$P9,TRUE,$W9)</f>
        <v>9.2300000000000004E-3</v>
      </c>
      <c r="Z9" s="327">
        <f t="shared" si="5"/>
        <v>0</v>
      </c>
      <c r="AA9" s="272"/>
      <c r="AB9" s="251"/>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GbpLiborSwapIsda4Y#0000</v>
      </c>
      <c r="G10" s="34" t="str">
        <f>_xll.ohRangeRetrieveError(F10)</f>
        <v/>
      </c>
      <c r="H10" s="33"/>
      <c r="J10" s="2">
        <f>_xll.qlInterestRateIndexFixingDays(F10)</f>
        <v>0</v>
      </c>
      <c r="L10" s="251"/>
      <c r="M10" s="282"/>
      <c r="N10" s="290" t="s">
        <v>83</v>
      </c>
      <c r="O10" s="285" t="str">
        <f t="shared" si="1"/>
        <v>GBPSFIX4Y=</v>
      </c>
      <c r="P10" s="289">
        <v>41464</v>
      </c>
      <c r="Q10" s="288">
        <v>1.22</v>
      </c>
      <c r="R10" s="288" t="b">
        <f t="shared" si="2"/>
        <v>1</v>
      </c>
      <c r="S10" s="287" t="b">
        <f>IF($R10,_xll.qlIndexAddFixings($U10,$P10,$Q10/100,TRUE,ISERROR($V10)),NA())</f>
        <v>1</v>
      </c>
      <c r="T10" s="277"/>
      <c r="U10" s="286" t="str">
        <f t="shared" si="3"/>
        <v>GbpLiborSwapIsda4Y</v>
      </c>
      <c r="V10" s="285" t="e">
        <f>_xll.qlIndexFixing($U10,$P10,TRUE,$R10)</f>
        <v>#NUM!</v>
      </c>
      <c r="W10" s="285">
        <f>IF($S10,_xll.qlIndexFixing($U10,$P10,FALSE,$R10),"-")</f>
        <v>1.2199999999999999E-2</v>
      </c>
      <c r="X10" s="285" t="e">
        <f t="shared" si="4"/>
        <v>#NUM!</v>
      </c>
      <c r="Y10" s="284">
        <f>_xll.qlIndexFixing($U10,$P10,TRUE,$W10)</f>
        <v>1.2199999999999999E-2</v>
      </c>
      <c r="Z10" s="327">
        <f t="shared" si="5"/>
        <v>0</v>
      </c>
      <c r="AA10" s="272"/>
      <c r="AB10" s="251"/>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GbpLiborSwapIsda5Y#0000</v>
      </c>
      <c r="G11" s="34" t="str">
        <f>_xll.ohRangeRetrieveError(F11)</f>
        <v/>
      </c>
      <c r="H11" s="33"/>
      <c r="J11" s="2">
        <f>_xll.qlInterestRateIndexFixingDays(F11)</f>
        <v>0</v>
      </c>
      <c r="L11" s="251"/>
      <c r="M11" s="282"/>
      <c r="N11" s="290" t="s">
        <v>82</v>
      </c>
      <c r="O11" s="285" t="str">
        <f t="shared" si="1"/>
        <v>GBPSFIX5Y=</v>
      </c>
      <c r="P11" s="289">
        <v>41464</v>
      </c>
      <c r="Q11" s="288">
        <v>1.5209999999999999</v>
      </c>
      <c r="R11" s="288" t="b">
        <f t="shared" si="2"/>
        <v>1</v>
      </c>
      <c r="S11" s="287" t="b">
        <f>IF($R11,_xll.qlIndexAddFixings($U11,$P11,$Q11/100,TRUE,ISERROR($V11)),NA())</f>
        <v>1</v>
      </c>
      <c r="T11" s="277"/>
      <c r="U11" s="286" t="str">
        <f t="shared" si="3"/>
        <v>GbpLiborSwapIsda5Y</v>
      </c>
      <c r="V11" s="285" t="e">
        <f>_xll.qlIndexFixing($U11,$P11,TRUE,$R11)</f>
        <v>#NUM!</v>
      </c>
      <c r="W11" s="285">
        <f>IF($S11,_xll.qlIndexFixing($U11,$P11,FALSE,$R11),"-")</f>
        <v>1.521E-2</v>
      </c>
      <c r="X11" s="285" t="e">
        <f t="shared" si="4"/>
        <v>#NUM!</v>
      </c>
      <c r="Y11" s="284">
        <f>_xll.qlIndexFixing($U11,$P11,TRUE,$W11)</f>
        <v>1.521E-2</v>
      </c>
      <c r="Z11" s="327">
        <f t="shared" si="5"/>
        <v>0</v>
      </c>
      <c r="AA11" s="272"/>
      <c r="AB11" s="251"/>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GbpLiborSwapIsda6Y#0000</v>
      </c>
      <c r="G12" s="34" t="str">
        <f>_xll.ohRangeRetrieveError(F12)</f>
        <v/>
      </c>
      <c r="H12" s="33"/>
      <c r="J12" s="2">
        <f>_xll.qlInterestRateIndexFixingDays(F12)</f>
        <v>0</v>
      </c>
      <c r="L12" s="251"/>
      <c r="M12" s="282"/>
      <c r="N12" s="290" t="s">
        <v>81</v>
      </c>
      <c r="O12" s="285" t="str">
        <f t="shared" si="1"/>
        <v>GBPSFIX6Y=</v>
      </c>
      <c r="P12" s="289">
        <v>41464</v>
      </c>
      <c r="Q12" s="288">
        <v>1.7869999999999999</v>
      </c>
      <c r="R12" s="288" t="b">
        <f t="shared" si="2"/>
        <v>1</v>
      </c>
      <c r="S12" s="287" t="b">
        <f>IF($R12,_xll.qlIndexAddFixings($U12,$P12,$Q12/100,TRUE,ISERROR($V12)),NA())</f>
        <v>1</v>
      </c>
      <c r="T12" s="277"/>
      <c r="U12" s="286" t="str">
        <f t="shared" si="3"/>
        <v>GbpLiborSwapIsda6Y</v>
      </c>
      <c r="V12" s="285" t="e">
        <f>_xll.qlIndexFixing($U12,$P12,TRUE,$R12)</f>
        <v>#NUM!</v>
      </c>
      <c r="W12" s="285">
        <f>IF($S12,_xll.qlIndexFixing($U12,$P12,FALSE,$R12),"-")</f>
        <v>1.787E-2</v>
      </c>
      <c r="X12" s="285" t="e">
        <f t="shared" si="4"/>
        <v>#NUM!</v>
      </c>
      <c r="Y12" s="284">
        <f>_xll.qlIndexFixing($U12,$P12,TRUE,$W12)</f>
        <v>1.787E-2</v>
      </c>
      <c r="Z12" s="327">
        <f t="shared" si="5"/>
        <v>0</v>
      </c>
      <c r="AA12" s="272"/>
      <c r="AB12" s="251"/>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GbpLiborSwapIsda7Y#0000</v>
      </c>
      <c r="G13" s="34" t="str">
        <f>_xll.ohRangeRetrieveError(F13)</f>
        <v/>
      </c>
      <c r="H13" s="33"/>
      <c r="J13" s="2">
        <f>_xll.qlInterestRateIndexFixingDays(F13)</f>
        <v>0</v>
      </c>
      <c r="L13" s="251"/>
      <c r="M13" s="282"/>
      <c r="N13" s="290" t="s">
        <v>80</v>
      </c>
      <c r="O13" s="285" t="str">
        <f t="shared" si="1"/>
        <v>GBPSFIX7Y=</v>
      </c>
      <c r="P13" s="289">
        <v>41464</v>
      </c>
      <c r="Q13" s="288">
        <v>2.028</v>
      </c>
      <c r="R13" s="288" t="b">
        <f t="shared" si="2"/>
        <v>1</v>
      </c>
      <c r="S13" s="287" t="b">
        <f>IF($R13,_xll.qlIndexAddFixings($U13,$P13,$Q13/100,TRUE,ISERROR($V13)),NA())</f>
        <v>1</v>
      </c>
      <c r="T13" s="277"/>
      <c r="U13" s="286" t="str">
        <f t="shared" si="3"/>
        <v>GbpLiborSwapIsda7Y</v>
      </c>
      <c r="V13" s="285" t="e">
        <f>_xll.qlIndexFixing($U13,$P13,TRUE,$R13)</f>
        <v>#NUM!</v>
      </c>
      <c r="W13" s="285">
        <f>IF($S13,_xll.qlIndexFixing($U13,$P13,FALSE,$R13),"-")</f>
        <v>2.0279999999999999E-2</v>
      </c>
      <c r="X13" s="285" t="e">
        <f t="shared" si="4"/>
        <v>#NUM!</v>
      </c>
      <c r="Y13" s="284">
        <f>_xll.qlIndexFixing($U13,$P13,TRUE,$W13)</f>
        <v>2.0279999999999999E-2</v>
      </c>
      <c r="Z13" s="327">
        <f t="shared" si="5"/>
        <v>0</v>
      </c>
      <c r="AA13" s="272"/>
      <c r="AB13" s="251"/>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GbpLiborSwapIsda8Y#0000</v>
      </c>
      <c r="G14" s="34" t="str">
        <f>_xll.ohRangeRetrieveError(F14)</f>
        <v/>
      </c>
      <c r="H14" s="33"/>
      <c r="J14" s="2">
        <f>_xll.qlInterestRateIndexFixingDays(F14)</f>
        <v>0</v>
      </c>
      <c r="L14" s="251"/>
      <c r="M14" s="282"/>
      <c r="N14" s="290" t="s">
        <v>79</v>
      </c>
      <c r="O14" s="285" t="str">
        <f t="shared" si="1"/>
        <v>GBPSFIX8Y=</v>
      </c>
      <c r="P14" s="289">
        <v>41464</v>
      </c>
      <c r="Q14" s="288">
        <v>2.238</v>
      </c>
      <c r="R14" s="288" t="b">
        <f t="shared" si="2"/>
        <v>1</v>
      </c>
      <c r="S14" s="287" t="b">
        <f>IF($R14,_xll.qlIndexAddFixings($U14,$P14,$Q14/100,TRUE,ISERROR($V14)),NA())</f>
        <v>1</v>
      </c>
      <c r="T14" s="277"/>
      <c r="U14" s="286" t="str">
        <f t="shared" si="3"/>
        <v>GbpLiborSwapIsda8Y</v>
      </c>
      <c r="V14" s="285" t="e">
        <f>_xll.qlIndexFixing($U14,$P14,TRUE,$R14)</f>
        <v>#NUM!</v>
      </c>
      <c r="W14" s="285">
        <f>IF($S14,_xll.qlIndexFixing($U14,$P14,FALSE,$R14),"-")</f>
        <v>2.2380000000000001E-2</v>
      </c>
      <c r="X14" s="285" t="e">
        <f t="shared" si="4"/>
        <v>#NUM!</v>
      </c>
      <c r="Y14" s="284">
        <f>_xll.qlIndexFixing($U14,$P14,TRUE,$W14)</f>
        <v>2.2380000000000001E-2</v>
      </c>
      <c r="Z14" s="327">
        <f t="shared" si="5"/>
        <v>0</v>
      </c>
      <c r="AA14" s="272"/>
      <c r="AB14" s="251"/>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GbpLiborSwapIsda9Y#0000</v>
      </c>
      <c r="G15" s="34" t="str">
        <f>_xll.ohRangeRetrieveError(F15)</f>
        <v/>
      </c>
      <c r="H15" s="33"/>
      <c r="J15" s="2">
        <f>_xll.qlInterestRateIndexFixingDays(F15)</f>
        <v>0</v>
      </c>
      <c r="L15" s="251"/>
      <c r="M15" s="282"/>
      <c r="N15" s="290" t="s">
        <v>78</v>
      </c>
      <c r="O15" s="285" t="str">
        <f t="shared" si="1"/>
        <v>GBPSFIX9Y=</v>
      </c>
      <c r="P15" s="289">
        <v>41464</v>
      </c>
      <c r="Q15" s="288">
        <v>2.4180000000000001</v>
      </c>
      <c r="R15" s="288" t="b">
        <f t="shared" si="2"/>
        <v>1</v>
      </c>
      <c r="S15" s="287" t="b">
        <f>IF($R15,_xll.qlIndexAddFixings($U15,$P15,$Q15/100,TRUE,ISERROR($V15)),NA())</f>
        <v>1</v>
      </c>
      <c r="T15" s="277"/>
      <c r="U15" s="286" t="str">
        <f t="shared" si="3"/>
        <v>GbpLiborSwapIsda9Y</v>
      </c>
      <c r="V15" s="285" t="e">
        <f>_xll.qlIndexFixing($U15,$P15,TRUE,$R15)</f>
        <v>#NUM!</v>
      </c>
      <c r="W15" s="285">
        <f>IF($S15,_xll.qlIndexFixing($U15,$P15,FALSE,$R15),"-")</f>
        <v>2.418E-2</v>
      </c>
      <c r="X15" s="285" t="e">
        <f t="shared" si="4"/>
        <v>#NUM!</v>
      </c>
      <c r="Y15" s="284">
        <f>_xll.qlIndexFixing($U15,$P15,TRUE,$W15)</f>
        <v>2.418E-2</v>
      </c>
      <c r="Z15" s="327">
        <f t="shared" si="5"/>
        <v>0</v>
      </c>
      <c r="AA15" s="272"/>
      <c r="AB15" s="251"/>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GbpLiborSwapIsda10Y#0000</v>
      </c>
      <c r="G16" s="34" t="str">
        <f>_xll.ohRangeRetrieveError(F16)</f>
        <v/>
      </c>
      <c r="H16" s="33"/>
      <c r="J16" s="2">
        <f>_xll.qlInterestRateIndexFixingDays(F16)</f>
        <v>0</v>
      </c>
      <c r="L16" s="251"/>
      <c r="M16" s="282"/>
      <c r="N16" s="290" t="s">
        <v>77</v>
      </c>
      <c r="O16" s="285" t="str">
        <f t="shared" si="1"/>
        <v>GBPSFIX10Y=</v>
      </c>
      <c r="P16" s="289">
        <v>41464</v>
      </c>
      <c r="Q16" s="288">
        <v>2.5670000000000002</v>
      </c>
      <c r="R16" s="288" t="b">
        <f t="shared" si="2"/>
        <v>1</v>
      </c>
      <c r="S16" s="287" t="b">
        <f>IF($R16,_xll.qlIndexAddFixings($U16,$P16,$Q16/100,TRUE,ISERROR($V16)),NA())</f>
        <v>1</v>
      </c>
      <c r="T16" s="277"/>
      <c r="U16" s="286" t="str">
        <f t="shared" si="3"/>
        <v>GbpLiborSwapIsda10Y</v>
      </c>
      <c r="V16" s="285" t="e">
        <f>_xll.qlIndexFixing($U16,$P16,TRUE,$R16)</f>
        <v>#NUM!</v>
      </c>
      <c r="W16" s="285">
        <f>IF($S16,_xll.qlIndexFixing($U16,$P16,FALSE,$R16),"-")</f>
        <v>2.5670000000000002E-2</v>
      </c>
      <c r="X16" s="285" t="e">
        <f t="shared" si="4"/>
        <v>#NUM!</v>
      </c>
      <c r="Y16" s="284">
        <f>_xll.qlIndexFixing($U16,$P16,TRUE,$W16)</f>
        <v>2.5670000000000002E-2</v>
      </c>
      <c r="Z16" s="327">
        <f t="shared" si="5"/>
        <v>0</v>
      </c>
      <c r="AA16" s="272"/>
      <c r="AB16" s="251"/>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GbpLiborSwapIsda11Y#0000</v>
      </c>
      <c r="G17" s="34" t="str">
        <f>_xll.ohRangeRetrieveError(F17)</f>
        <v/>
      </c>
      <c r="H17" s="33"/>
      <c r="J17" s="2">
        <f>_xll.qlInterestRateIndexFixingDays(F17)</f>
        <v>0</v>
      </c>
      <c r="L17" s="251"/>
      <c r="M17" s="282"/>
      <c r="N17" s="290" t="s">
        <v>75</v>
      </c>
      <c r="O17" s="285" t="str">
        <f t="shared" si="1"/>
        <v>GBPSFIX12Y=</v>
      </c>
      <c r="P17" s="289">
        <v>41464</v>
      </c>
      <c r="Q17" s="288">
        <v>2.7909999999999999</v>
      </c>
      <c r="R17" s="288" t="b">
        <f t="shared" si="2"/>
        <v>1</v>
      </c>
      <c r="S17" s="287" t="b">
        <f>IF($R17,_xll.qlIndexAddFixings($U17,$P17,$Q17/100,TRUE,ISERROR($V17)),NA())</f>
        <v>1</v>
      </c>
      <c r="T17" s="277"/>
      <c r="U17" s="286" t="str">
        <f t="shared" si="3"/>
        <v>GbpLiborSwapIsda12Y</v>
      </c>
      <c r="V17" s="285" t="e">
        <f>_xll.qlIndexFixing($U17,$P17,TRUE,$R17)</f>
        <v>#NUM!</v>
      </c>
      <c r="W17" s="285">
        <f>IF($S17,_xll.qlIndexFixing($U17,$P17,FALSE,$R17),"-")</f>
        <v>2.7910000000000001E-2</v>
      </c>
      <c r="X17" s="285" t="e">
        <f t="shared" si="4"/>
        <v>#NUM!</v>
      </c>
      <c r="Y17" s="284">
        <f>_xll.qlIndexFixing($U17,$P17,TRUE,$W17)</f>
        <v>2.7910000000000001E-2</v>
      </c>
      <c r="Z17" s="327">
        <f t="shared" si="5"/>
        <v>0</v>
      </c>
      <c r="AA17" s="272"/>
      <c r="AB17" s="251"/>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GbpLiborSwapIsda12Y#0000</v>
      </c>
      <c r="G18" s="34" t="str">
        <f>_xll.ohRangeRetrieveError(F18)</f>
        <v/>
      </c>
      <c r="H18" s="33"/>
      <c r="J18" s="2">
        <f>_xll.qlInterestRateIndexFixingDays(F18)</f>
        <v>0</v>
      </c>
      <c r="L18" s="251"/>
      <c r="M18" s="282"/>
      <c r="N18" s="290" t="s">
        <v>72</v>
      </c>
      <c r="O18" s="285" t="str">
        <f t="shared" si="1"/>
        <v>GBPSFIX15Y=</v>
      </c>
      <c r="P18" s="289">
        <v>41464</v>
      </c>
      <c r="Q18" s="288">
        <v>3.0190000000000001</v>
      </c>
      <c r="R18" s="288" t="b">
        <f t="shared" si="2"/>
        <v>1</v>
      </c>
      <c r="S18" s="287" t="b">
        <f>IF($R18,_xll.qlIndexAddFixings($U18,$P18,$Q18/100,TRUE,ISERROR($V18)),NA())</f>
        <v>1</v>
      </c>
      <c r="T18" s="277"/>
      <c r="U18" s="286" t="str">
        <f t="shared" si="3"/>
        <v>GbpLiborSwapIsda15Y</v>
      </c>
      <c r="V18" s="285" t="e">
        <f>_xll.qlIndexFixing($U18,$P18,TRUE,$R18)</f>
        <v>#NUM!</v>
      </c>
      <c r="W18" s="285">
        <f>IF($S18,_xll.qlIndexFixing($U18,$P18,FALSE,$R18),"-")</f>
        <v>3.0190000000000002E-2</v>
      </c>
      <c r="X18" s="285" t="e">
        <f t="shared" si="4"/>
        <v>#NUM!</v>
      </c>
      <c r="Y18" s="284">
        <f>_xll.qlIndexFixing($U18,$P18,TRUE,$W18)</f>
        <v>3.0190000000000002E-2</v>
      </c>
      <c r="Z18" s="327">
        <f t="shared" si="5"/>
        <v>0</v>
      </c>
      <c r="AA18" s="272"/>
      <c r="AB18" s="251"/>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GbpLiborSwapIsda13Y#0000</v>
      </c>
      <c r="G19" s="34" t="str">
        <f>_xll.ohRangeRetrieveError(F19)</f>
        <v/>
      </c>
      <c r="H19" s="33"/>
      <c r="J19" s="2">
        <f>_xll.qlInterestRateIndexFixingDays(F19)</f>
        <v>0</v>
      </c>
      <c r="L19" s="251"/>
      <c r="M19" s="282"/>
      <c r="N19" s="290" t="s">
        <v>67</v>
      </c>
      <c r="O19" s="285" t="str">
        <f t="shared" si="1"/>
        <v>GBPSFIX20Y=</v>
      </c>
      <c r="P19" s="289">
        <v>41464</v>
      </c>
      <c r="Q19" s="288">
        <v>3.2389999999999999</v>
      </c>
      <c r="R19" s="288" t="b">
        <f t="shared" si="2"/>
        <v>1</v>
      </c>
      <c r="S19" s="287" t="b">
        <f>IF($R19,_xll.qlIndexAddFixings($U19,$P19,$Q19/100,TRUE,ISERROR($V19)),NA())</f>
        <v>1</v>
      </c>
      <c r="T19" s="277"/>
      <c r="U19" s="286" t="str">
        <f t="shared" si="3"/>
        <v>GbpLiborSwapIsda20Y</v>
      </c>
      <c r="V19" s="285" t="e">
        <f>_xll.qlIndexFixing($U19,$P19,TRUE,$R19)</f>
        <v>#NUM!</v>
      </c>
      <c r="W19" s="285">
        <f>IF($S19,_xll.qlIndexFixing($U19,$P19,FALSE,$R19),"-")</f>
        <v>3.2390000000000002E-2</v>
      </c>
      <c r="X19" s="285" t="e">
        <f t="shared" si="4"/>
        <v>#NUM!</v>
      </c>
      <c r="Y19" s="284">
        <f>_xll.qlIndexFixing($U19,$P19,TRUE,$W19)</f>
        <v>3.2390000000000002E-2</v>
      </c>
      <c r="Z19" s="327">
        <f t="shared" si="5"/>
        <v>0</v>
      </c>
      <c r="AA19" s="272"/>
      <c r="AB19" s="251"/>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GbpLiborSwapIsda14Y#0000</v>
      </c>
      <c r="G20" s="34" t="str">
        <f>_xll.ohRangeRetrieveError(F20)</f>
        <v/>
      </c>
      <c r="H20" s="33"/>
      <c r="J20" s="2">
        <f>_xll.qlInterestRateIndexFixingDays(F20)</f>
        <v>0</v>
      </c>
      <c r="L20" s="251"/>
      <c r="M20" s="282"/>
      <c r="N20" s="290" t="s">
        <v>62</v>
      </c>
      <c r="O20" s="285" t="str">
        <f t="shared" si="1"/>
        <v>GBPSFIX25Y=</v>
      </c>
      <c r="P20" s="289">
        <v>41464</v>
      </c>
      <c r="Q20" s="288">
        <v>3.3420000000000001</v>
      </c>
      <c r="R20" s="288" t="b">
        <f t="shared" si="2"/>
        <v>1</v>
      </c>
      <c r="S20" s="287" t="b">
        <f>IF($R20,_xll.qlIndexAddFixings($U20,$P20,$Q20/100,TRUE,ISERROR($V20)),NA())</f>
        <v>1</v>
      </c>
      <c r="T20" s="277"/>
      <c r="U20" s="286" t="str">
        <f t="shared" si="3"/>
        <v>GbpLiborSwapIsda25Y</v>
      </c>
      <c r="V20" s="285" t="e">
        <f>_xll.qlIndexFixing($U20,$P20,TRUE,$R20)</f>
        <v>#NUM!</v>
      </c>
      <c r="W20" s="285">
        <f>IF($S20,_xll.qlIndexFixing($U20,$P20,FALSE,$R20),"-")</f>
        <v>3.3419999999999998E-2</v>
      </c>
      <c r="X20" s="285" t="e">
        <f t="shared" si="4"/>
        <v>#NUM!</v>
      </c>
      <c r="Y20" s="284">
        <f>_xll.qlIndexFixing($U20,$P20,TRUE,$W20)</f>
        <v>3.3419999999999998E-2</v>
      </c>
      <c r="Z20" s="327">
        <f t="shared" si="5"/>
        <v>0</v>
      </c>
      <c r="AA20" s="272"/>
      <c r="AB20" s="251"/>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GbpLiborSwapIsda15Y#0000</v>
      </c>
      <c r="G21" s="34" t="str">
        <f>_xll.ohRangeRetrieveError(F21)</f>
        <v/>
      </c>
      <c r="H21" s="33"/>
      <c r="J21" s="2">
        <f>_xll.qlInterestRateIndexFixingDays(F21)</f>
        <v>0</v>
      </c>
      <c r="L21" s="251"/>
      <c r="M21" s="282"/>
      <c r="N21" s="281" t="s">
        <v>57</v>
      </c>
      <c r="O21" s="275" t="str">
        <f t="shared" si="1"/>
        <v>GBPSFIX30Y=</v>
      </c>
      <c r="P21" s="280">
        <v>41464</v>
      </c>
      <c r="Q21" s="279">
        <v>3.3820000000000001</v>
      </c>
      <c r="R21" s="279" t="b">
        <f t="shared" si="2"/>
        <v>1</v>
      </c>
      <c r="S21" s="278" t="b">
        <f>IF($R21,_xll.qlIndexAddFixings($U21,$P21,$Q21/100,TRUE,ISERROR($V21)),NA())</f>
        <v>1</v>
      </c>
      <c r="T21" s="277"/>
      <c r="U21" s="276" t="str">
        <f t="shared" si="3"/>
        <v>GbpLiborSwapIsda30Y</v>
      </c>
      <c r="V21" s="275" t="e">
        <f>_xll.qlIndexFixing($U21,$P21,TRUE,$R21)</f>
        <v>#NUM!</v>
      </c>
      <c r="W21" s="275">
        <f>IF($S21,_xll.qlIndexFixing($U21,$P21,FALSE,$R21),"-")</f>
        <v>3.3820000000000003E-2</v>
      </c>
      <c r="X21" s="275" t="e">
        <f t="shared" si="4"/>
        <v>#NUM!</v>
      </c>
      <c r="Y21" s="274">
        <f>_xll.qlIndexFixing($U21,$P21,TRUE,$W21)</f>
        <v>3.3820000000000003E-2</v>
      </c>
      <c r="Z21" s="326">
        <f t="shared" si="5"/>
        <v>0</v>
      </c>
      <c r="AA21" s="272"/>
      <c r="AB21" s="251"/>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GbpLiborSwapIsda16Y#0000</v>
      </c>
      <c r="G22" s="34" t="str">
        <f>_xll.ohRangeRetrieveError(F22)</f>
        <v/>
      </c>
      <c r="H22" s="33"/>
      <c r="J22" s="2">
        <f>_xll.qlInterestRateIndexFixingDays(F22)</f>
        <v>0</v>
      </c>
      <c r="L22" s="251"/>
      <c r="M22" s="269"/>
      <c r="N22" s="267"/>
      <c r="O22" s="267"/>
      <c r="P22" s="267"/>
      <c r="Q22" s="267"/>
      <c r="R22" s="267"/>
      <c r="S22" s="267"/>
      <c r="T22" s="266"/>
      <c r="U22" s="266"/>
      <c r="V22" s="266"/>
      <c r="W22" s="266"/>
      <c r="X22" s="266"/>
      <c r="Y22" s="266"/>
      <c r="Z22" s="266"/>
      <c r="AA22" s="265"/>
      <c r="AB22" s="251"/>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GbpLiborSwapIsda17Y#0000</v>
      </c>
      <c r="G23" s="34" t="str">
        <f>_xll.ohRangeRetrieveError(F23)</f>
        <v/>
      </c>
      <c r="H23" s="33"/>
      <c r="J23" s="2">
        <f>_xll.qlInterestRateIndexFixingDays(F23)</f>
        <v>0</v>
      </c>
      <c r="L23" s="251"/>
      <c r="M23" s="251"/>
      <c r="N23" s="251"/>
      <c r="O23" s="251"/>
      <c r="P23" s="264"/>
      <c r="Q23" s="263"/>
      <c r="R23" s="263"/>
      <c r="S23" s="251"/>
      <c r="T23" s="251"/>
      <c r="U23" s="251"/>
      <c r="V23" s="251"/>
      <c r="W23" s="251"/>
      <c r="X23" s="251"/>
      <c r="Y23" s="251"/>
      <c r="Z23" s="251"/>
      <c r="AA23" s="251"/>
      <c r="AB23" s="251"/>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GbpLiborSwapIsda18Y#0000</v>
      </c>
      <c r="G24" s="34" t="str">
        <f>_xll.ohRangeRetrieveError(F24)</f>
        <v/>
      </c>
      <c r="H24" s="33"/>
      <c r="J24" s="2">
        <f>_xll.qlInterestRateIndexFixingDays(F24)</f>
        <v>0</v>
      </c>
      <c r="L24" s="251"/>
      <c r="M24" s="251"/>
      <c r="N24" s="262" t="s">
        <v>121</v>
      </c>
      <c r="O24" s="261" t="s">
        <v>250</v>
      </c>
      <c r="P24" s="260" t="s">
        <v>251</v>
      </c>
      <c r="Q24" s="251"/>
      <c r="R24" s="251"/>
      <c r="S24" s="251"/>
      <c r="T24" s="251"/>
      <c r="U24" s="251"/>
      <c r="V24" s="251"/>
      <c r="W24" s="251"/>
      <c r="X24" s="251"/>
      <c r="Y24" s="251"/>
      <c r="Z24" s="251"/>
      <c r="AA24" s="251"/>
      <c r="AB24" s="251"/>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GbpLiborSwapIsda19Y#0000</v>
      </c>
      <c r="G25" s="34" t="str">
        <f>_xll.ohRangeRetrieveError(F25)</f>
        <v/>
      </c>
      <c r="H25" s="33"/>
      <c r="J25" s="2">
        <f>_xll.qlInterestRateIndexFixingDays(F25)</f>
        <v>0</v>
      </c>
      <c r="L25" s="251"/>
      <c r="M25" s="251"/>
      <c r="N25" s="257" t="s">
        <v>120</v>
      </c>
      <c r="O25" s="256" t="s">
        <v>253</v>
      </c>
      <c r="P25" s="255" t="s">
        <v>252</v>
      </c>
      <c r="Q25" s="251"/>
      <c r="R25" s="251"/>
      <c r="S25" s="251"/>
      <c r="T25" s="251"/>
      <c r="U25" s="251"/>
      <c r="V25" s="251"/>
      <c r="W25" s="251"/>
      <c r="X25" s="251"/>
      <c r="Y25" s="251"/>
      <c r="Z25" s="251"/>
      <c r="AA25" s="251"/>
      <c r="AB25" s="251"/>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GbpLiborSwapIsda20Y#0000</v>
      </c>
      <c r="G26" s="34" t="str">
        <f>_xll.ohRangeRetrieveError(F26)</f>
        <v/>
      </c>
      <c r="H26" s="33"/>
      <c r="J26" s="2">
        <f>_xll.qlInterestRateIndexFixingDays(F26)</f>
        <v>0</v>
      </c>
      <c r="L26" s="251"/>
      <c r="M26" s="251"/>
      <c r="N26" s="257" t="s">
        <v>230</v>
      </c>
      <c r="O26" s="256" t="s">
        <v>250</v>
      </c>
      <c r="P26" s="255" t="s">
        <v>249</v>
      </c>
      <c r="Q26" s="251"/>
      <c r="R26" s="251"/>
      <c r="S26" s="251"/>
      <c r="T26" s="251"/>
      <c r="U26" s="251"/>
      <c r="V26" s="251"/>
      <c r="W26" s="251"/>
      <c r="X26" s="251"/>
      <c r="Y26" s="251"/>
      <c r="Z26" s="251"/>
      <c r="AA26" s="251"/>
      <c r="AB26" s="251"/>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GbpLiborSwapIsda21Y#0000</v>
      </c>
      <c r="G27" s="34" t="str">
        <f>_xll.ohRangeRetrieveError(F27)</f>
        <v/>
      </c>
      <c r="H27" s="33"/>
      <c r="J27" s="2">
        <f>_xll.qlInterestRateIndexFixingDays(F27)</f>
        <v>0</v>
      </c>
      <c r="L27" s="251"/>
      <c r="M27" s="251"/>
      <c r="N27" s="257" t="s">
        <v>229</v>
      </c>
      <c r="O27" s="256" t="s">
        <v>250</v>
      </c>
      <c r="P27" s="255" t="s">
        <v>251</v>
      </c>
      <c r="Q27" s="251"/>
      <c r="R27" s="251"/>
      <c r="S27" s="251"/>
      <c r="T27" s="251"/>
      <c r="U27" s="251"/>
      <c r="V27" s="251"/>
      <c r="W27" s="251"/>
      <c r="X27" s="251"/>
      <c r="Y27" s="251"/>
      <c r="Z27" s="251"/>
      <c r="AA27" s="251"/>
      <c r="AB27" s="251"/>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GbpLiborSwapIsda22Y#0000</v>
      </c>
      <c r="G28" s="34" t="str">
        <f>_xll.ohRangeRetrieveError(F28)</f>
        <v/>
      </c>
      <c r="H28" s="33"/>
      <c r="J28" s="2">
        <f>_xll.qlInterestRateIndexFixingDays(F28)</f>
        <v>0</v>
      </c>
      <c r="L28" s="251"/>
      <c r="M28" s="251"/>
      <c r="N28" s="257" t="s">
        <v>96</v>
      </c>
      <c r="O28" s="256" t="s">
        <v>250</v>
      </c>
      <c r="P28" s="255" t="s">
        <v>251</v>
      </c>
      <c r="Q28" s="251"/>
      <c r="R28" s="251"/>
      <c r="S28" s="251"/>
      <c r="T28" s="251"/>
      <c r="U28" s="251"/>
      <c r="V28" s="251"/>
      <c r="W28" s="251"/>
      <c r="X28" s="251"/>
      <c r="Y28" s="251"/>
      <c r="Z28" s="251"/>
      <c r="AA28" s="251"/>
      <c r="AB28" s="251"/>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GbpLiborSwapIsda23Y#0000</v>
      </c>
      <c r="G29" s="34" t="str">
        <f>_xll.ohRangeRetrieveError(F29)</f>
        <v/>
      </c>
      <c r="H29" s="33"/>
      <c r="J29" s="2">
        <f>_xll.qlInterestRateIndexFixingDays(F29)</f>
        <v>0</v>
      </c>
      <c r="L29" s="251"/>
      <c r="M29" s="251"/>
      <c r="N29" s="257" t="s">
        <v>117</v>
      </c>
      <c r="O29" s="256" t="s">
        <v>250</v>
      </c>
      <c r="P29" s="255" t="s">
        <v>249</v>
      </c>
      <c r="Q29" s="251"/>
      <c r="R29" s="251"/>
      <c r="S29" s="251"/>
      <c r="T29" s="251"/>
      <c r="U29" s="251"/>
      <c r="V29" s="251"/>
      <c r="W29" s="251"/>
      <c r="X29" s="251"/>
      <c r="Y29" s="251"/>
      <c r="Z29" s="251"/>
      <c r="AA29" s="251"/>
      <c r="AB29" s="251"/>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GbpLiborSwapIsda24Y#0000</v>
      </c>
      <c r="G30" s="34" t="str">
        <f>_xll.ohRangeRetrieveError(F30)</f>
        <v/>
      </c>
      <c r="H30" s="33"/>
      <c r="J30" s="2">
        <f>_xll.qlInterestRateIndexFixingDays(F30)</f>
        <v>0</v>
      </c>
      <c r="L30" s="251"/>
      <c r="M30" s="251"/>
      <c r="N30" s="254" t="s">
        <v>115</v>
      </c>
      <c r="O30" s="325" t="s">
        <v>250</v>
      </c>
      <c r="P30" s="324" t="s">
        <v>249</v>
      </c>
      <c r="Q30" s="251"/>
      <c r="R30" s="251"/>
      <c r="S30" s="251"/>
      <c r="T30" s="251"/>
      <c r="U30" s="251"/>
      <c r="V30" s="251"/>
      <c r="W30" s="251"/>
      <c r="X30" s="251"/>
      <c r="Y30" s="251"/>
      <c r="Z30" s="251"/>
      <c r="AA30" s="251"/>
      <c r="AB30" s="251"/>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GbpLiborSwapIsda25Y#0000</v>
      </c>
      <c r="G31" s="34" t="str">
        <f>_xll.ohRangeRetrieveError(F31)</f>
        <v/>
      </c>
      <c r="H31" s="33"/>
      <c r="J31" s="2">
        <f>_xll.qlInterestRateIndexFixingDays(F31)</f>
        <v>0</v>
      </c>
      <c r="L31" s="251"/>
      <c r="M31" s="251"/>
      <c r="N31" s="251"/>
      <c r="O31" s="251"/>
      <c r="P31" s="251"/>
      <c r="Q31" s="251"/>
      <c r="R31" s="251"/>
      <c r="S31" s="251"/>
      <c r="T31" s="251"/>
      <c r="U31" s="251"/>
      <c r="V31" s="251"/>
      <c r="W31" s="251"/>
      <c r="X31" s="251"/>
      <c r="Y31" s="251"/>
      <c r="Z31" s="251"/>
      <c r="AA31" s="251"/>
      <c r="AB31" s="251"/>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GbpLiborSwapIsda26Y#0000</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GbpLiborSwapIsda27Y#0000</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GbpLiborSwapIsda28Y#0000</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GbpLiborSwapIsda29Y#0000</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GbpLiborSwapIsda30Y#0000</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GbpLiborSwapIsda31Y#0000</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GbpLiborSwapIsda32Y#0000</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GbpLiborSwapIsda33Y#0000</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GbpLiborSwapIsda34Y#0000</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GbpLiborSwapIsda35Y#0000</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GbpLiborSwapIsda36Y#0000</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GbpLiborSwapIsda37Y#0000</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GbpLiborSwapIsda38Y#0000</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GbpLiborSwapIsda39Y#0000</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GbpLiborSwapIsda40Y#0000</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GbpLiborSwapIsda41Y#0000</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GbpLiborSwapIsda42Y#0000</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GbpLiborSwapIsda43Y#0000</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GbpLiborSwapIsda44Y#0000</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GbpLiborSwapIsda45Y#0000</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GbpLiborSwapIsda46Y#0000</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GbpLiborSwapIsda47Y#0000</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GbpLiborSwapIsda48Y#0000</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GbpLiborSwapIsda49Y#0000</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GbpLiborSwapIsda50Y#0000</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GbpLiborSwapIsda51Y#0000</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GbpLiborSwapIsda52Y#0000</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GbpLiborSwapIsda53Y#0000</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GbpLiborSwapIsda54Y#0000</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GbpLiborSwapIsda55Y#0000</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GbpLiborSwapIsda56Y#0000</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GbpLiborSwapIsda57Y#0000</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GbpLiborSwapIsda58Y#0000</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GbpLiborSwapIsda59Y#0000</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GbpLiborSwapIsda60Y#0000</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41" priority="1" stopIfTrue="1" operator="greaterThan">
      <formula>0</formula>
    </cfRule>
    <cfRule type="cellIs" dxfId="40"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topLeftCell="F1" workbookViewId="0">
      <selection activeCell="AB5" sqref="AB5:AB42"/>
    </sheetView>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01" t="s">
        <v>351</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337"/>
      <c r="P2" s="337"/>
      <c r="Q2" s="337"/>
      <c r="R2" s="337"/>
      <c r="S2" s="140" t="s">
        <v>275</v>
      </c>
      <c r="T2" s="337"/>
      <c r="U2" s="337"/>
      <c r="V2" s="337"/>
      <c r="W2" s="337"/>
      <c r="X2" s="133"/>
      <c r="Y2" s="337"/>
      <c r="Z2" s="337"/>
      <c r="AA2" s="337"/>
      <c r="AB2" s="133"/>
      <c r="AC2" s="133"/>
      <c r="AD2" s="33"/>
      <c r="AE2" s="64"/>
      <c r="AF2" s="64"/>
      <c r="AG2" s="64"/>
      <c r="AH2" s="64"/>
    </row>
    <row r="3" spans="1:34" x14ac:dyDescent="0.2">
      <c r="A3" s="557" t="s">
        <v>345</v>
      </c>
      <c r="B3" s="95"/>
      <c r="C3" s="95"/>
      <c r="D3" s="95"/>
      <c r="E3" s="93"/>
      <c r="F3" s="94"/>
      <c r="G3" s="93"/>
      <c r="H3" s="92"/>
      <c r="N3" s="118"/>
      <c r="O3" s="337"/>
      <c r="P3" s="133"/>
      <c r="Q3" s="133"/>
      <c r="R3" s="133"/>
      <c r="S3" s="133" t="str">
        <f>_xll.qlInterpolation(,InterpolationType,_xll.ohFilter(N5:N42,W5:W42),_xll.ohFilter(V5:V42,W5:W42))</f>
        <v>obj_00496#0000</v>
      </c>
      <c r="T3" s="133"/>
      <c r="U3" s="133"/>
      <c r="V3" s="133"/>
      <c r="W3" s="133"/>
      <c r="X3" s="133"/>
      <c r="Y3" s="337"/>
      <c r="Z3" s="337"/>
      <c r="AA3" s="337"/>
      <c r="AB3" s="133"/>
      <c r="AC3" s="366">
        <f>_xll.ohTrigger(AC5:AC42)</f>
        <v>1</v>
      </c>
      <c r="AD3" s="213"/>
      <c r="AE3" s="64"/>
      <c r="AF3" s="64"/>
      <c r="AG3" s="64"/>
      <c r="AH3" s="64"/>
    </row>
    <row r="4" spans="1:34"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3" t="s">
        <v>285</v>
      </c>
      <c r="AC4" s="91" t="s">
        <v>284</v>
      </c>
      <c r="AD4" s="213"/>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GBP1L6L6M_Quote#0000</v>
      </c>
      <c r="G5" s="72" t="str">
        <f>_xll.ohRangeRetrieveError(F5)</f>
        <v/>
      </c>
      <c r="H5" s="71"/>
      <c r="I5" s="65"/>
      <c r="J5" s="65"/>
      <c r="K5" s="65"/>
      <c r="L5" s="65"/>
      <c r="M5" s="65"/>
      <c r="N5" s="492">
        <v>0.5</v>
      </c>
      <c r="O5" s="386" t="s">
        <v>8</v>
      </c>
      <c r="P5" s="389" t="str">
        <f t="array" ref="P5:P42">VLOOKUP(Currency,Conventions,2)</f>
        <v>1L</v>
      </c>
      <c r="Q5" s="389" t="str">
        <f t="array" ref="Q5:Q42">VLOOKUP(Currency,Conventions,3)</f>
        <v>6L</v>
      </c>
      <c r="R5" s="387" t="str">
        <f t="shared" ref="R5:R42" si="1">Currency&amp;$P5&amp;$Q5&amp;$O5</f>
        <v>GBP1L6L6M</v>
      </c>
      <c r="S5" s="346" t="str">
        <f t="array" ref="S5:S42">Instruments&amp;"="&amp;VLOOKUP(Contributor,ContributorTable,2,FALSE)</f>
        <v>GBP1L6L6M=ICAP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9" t="e">
        <f t="array" ref="AB5:AB42">QuoteStatic</f>
        <v>#NUM!</v>
      </c>
      <c r="AC5" s="342" t="e">
        <f>_xll.qlSimpleQuoteSetValue(F5,AB5/10000,Trigger)</f>
        <v>#NUM!</v>
      </c>
      <c r="AD5" s="213"/>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GBP1L6L1Y_Quote#0000</v>
      </c>
      <c r="G6" s="72" t="str">
        <f>_xll.ohRangeRetrieveError(F6)</f>
        <v/>
      </c>
      <c r="H6" s="71"/>
      <c r="I6" s="65"/>
      <c r="J6" s="65"/>
      <c r="K6" s="65"/>
      <c r="L6" s="65"/>
      <c r="M6" s="65"/>
      <c r="N6" s="492">
        <v>1</v>
      </c>
      <c r="O6" s="386" t="s">
        <v>1</v>
      </c>
      <c r="P6" s="389" t="str">
        <v>1L</v>
      </c>
      <c r="Q6" s="389" t="str">
        <v>6L</v>
      </c>
      <c r="R6" s="387" t="str">
        <f t="shared" si="1"/>
        <v>GBP1L6L1Y</v>
      </c>
      <c r="S6" s="346" t="str">
        <v>GBP1L6L1Y=ICAP</v>
      </c>
      <c r="T6" s="490">
        <v>15.5</v>
      </c>
      <c r="U6" s="490">
        <v>19.5</v>
      </c>
      <c r="V6" s="490">
        <f>_xll.qlMidEquivalent(T6,U6)</f>
        <v>17.5</v>
      </c>
      <c r="W6" s="343" t="b">
        <f t="shared" si="2"/>
        <v>1</v>
      </c>
      <c r="X6" s="491">
        <v>17.5</v>
      </c>
      <c r="Y6" s="337"/>
      <c r="Z6" s="488">
        <v>19.25</v>
      </c>
      <c r="AA6" s="337"/>
      <c r="AB6" s="599">
        <v>19.25</v>
      </c>
      <c r="AC6" s="342" t="e">
        <f>_xll.qlSimpleQuoteSetValue(F6,AB6/10000,Trigger)</f>
        <v>#N/A</v>
      </c>
      <c r="AD6" s="213"/>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GBP1L6L15M_Quote#0000</v>
      </c>
      <c r="G7" s="72" t="str">
        <f>_xll.ohRangeRetrieveError(F7)</f>
        <v/>
      </c>
      <c r="H7" s="71"/>
      <c r="N7" s="492">
        <v>1.25</v>
      </c>
      <c r="O7" s="386" t="s">
        <v>124</v>
      </c>
      <c r="P7" s="389" t="str">
        <v>1L</v>
      </c>
      <c r="Q7" s="389" t="str">
        <v>6L</v>
      </c>
      <c r="R7" s="387" t="str">
        <f t="shared" si="1"/>
        <v>GBP1L6L15M</v>
      </c>
      <c r="S7" s="346" t="str">
        <v>GBP1L6L15M=ICAP</v>
      </c>
      <c r="T7" s="490" t="s">
        <v>233</v>
      </c>
      <c r="U7" s="490" t="s">
        <v>233</v>
      </c>
      <c r="V7" s="490" t="e">
        <f>_xll.qlMidEquivalent(T7,U7)</f>
        <v>#NUM!</v>
      </c>
      <c r="W7" s="343" t="b">
        <f t="shared" si="2"/>
        <v>0</v>
      </c>
      <c r="X7" s="491">
        <v>18.108387336351491</v>
      </c>
      <c r="Y7" s="337"/>
      <c r="Z7" s="488">
        <v>19.333728096048311</v>
      </c>
      <c r="AA7" s="337"/>
      <c r="AB7" s="599">
        <v>19.333728096048311</v>
      </c>
      <c r="AC7" s="342" t="e">
        <f>_xll.qlSimpleQuoteSetValue(F7,AB7/10000,Trigger)</f>
        <v>#N/A</v>
      </c>
      <c r="AD7" s="213"/>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GBP1L6L18M_Quote#0000</v>
      </c>
      <c r="G8" s="72" t="str">
        <f>_xll.ohRangeRetrieveError(F8)</f>
        <v/>
      </c>
      <c r="H8" s="71"/>
      <c r="I8" s="63"/>
      <c r="J8" s="63"/>
      <c r="K8" s="63"/>
      <c r="L8" s="63"/>
      <c r="M8" s="63"/>
      <c r="N8" s="492">
        <v>1.5</v>
      </c>
      <c r="O8" s="386" t="s">
        <v>123</v>
      </c>
      <c r="P8" s="389" t="str">
        <v>1L</v>
      </c>
      <c r="Q8" s="389" t="str">
        <v>6L</v>
      </c>
      <c r="R8" s="387" t="str">
        <f t="shared" si="1"/>
        <v>GBP1L6L18M</v>
      </c>
      <c r="S8" s="346" t="str">
        <v>GBP1L6L18M=ICAP</v>
      </c>
      <c r="T8" s="490" t="s">
        <v>233</v>
      </c>
      <c r="U8" s="490" t="s">
        <v>233</v>
      </c>
      <c r="V8" s="490" t="e">
        <f>_xll.qlMidEquivalent(T8,U8)</f>
        <v>#NUM!</v>
      </c>
      <c r="W8" s="343" t="b">
        <f t="shared" si="2"/>
        <v>0</v>
      </c>
      <c r="X8" s="491">
        <v>18.673419738162387</v>
      </c>
      <c r="Y8" s="337"/>
      <c r="Z8" s="488">
        <v>19.414702752042945</v>
      </c>
      <c r="AA8" s="337"/>
      <c r="AB8" s="599">
        <v>19.414702752042945</v>
      </c>
      <c r="AC8" s="342" t="e">
        <f>_xll.qlSimpleQuoteSetValue(F8,AB8/10000,Trigger)</f>
        <v>#N/A</v>
      </c>
      <c r="AD8" s="213"/>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GBP1L6L21M_Quote#0000</v>
      </c>
      <c r="G9" s="72" t="str">
        <f>_xll.ohRangeRetrieveError(F9)</f>
        <v/>
      </c>
      <c r="H9" s="71"/>
      <c r="I9" s="63"/>
      <c r="J9" s="63"/>
      <c r="K9" s="63"/>
      <c r="L9" s="63"/>
      <c r="M9" s="63"/>
      <c r="N9" s="492">
        <v>1.75</v>
      </c>
      <c r="O9" s="386" t="s">
        <v>122</v>
      </c>
      <c r="P9" s="389" t="str">
        <v>1L</v>
      </c>
      <c r="Q9" s="389" t="str">
        <v>6L</v>
      </c>
      <c r="R9" s="387" t="str">
        <f t="shared" si="1"/>
        <v>GBP1L6L21M</v>
      </c>
      <c r="S9" s="346" t="str">
        <v>GBP1L6L21M=ICAP</v>
      </c>
      <c r="T9" s="490" t="s">
        <v>233</v>
      </c>
      <c r="U9" s="490" t="s">
        <v>233</v>
      </c>
      <c r="V9" s="490" t="e">
        <f>_xll.qlMidEquivalent(T9,U9)</f>
        <v>#NUM!</v>
      </c>
      <c r="W9" s="343" t="b">
        <f t="shared" si="2"/>
        <v>0</v>
      </c>
      <c r="X9" s="491">
        <v>19.15174227089209</v>
      </c>
      <c r="Y9" s="337"/>
      <c r="Z9" s="488">
        <v>19.475826032016105</v>
      </c>
      <c r="AA9" s="337"/>
      <c r="AB9" s="599">
        <v>19.475826032016105</v>
      </c>
      <c r="AC9" s="342" t="e">
        <f>_xll.qlSimpleQuoteSetValue(F9,AB9/10000,Trigger)</f>
        <v>#N/A</v>
      </c>
      <c r="AD9" s="213"/>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GBP1L6L2Y_Quote#0000</v>
      </c>
      <c r="G10" s="72" t="str">
        <f>_xll.ohRangeRetrieveError(F10)</f>
        <v/>
      </c>
      <c r="H10" s="71"/>
      <c r="J10" s="86" t="s">
        <v>121</v>
      </c>
      <c r="K10" s="85" t="s">
        <v>113</v>
      </c>
      <c r="L10" s="84" t="s">
        <v>116</v>
      </c>
      <c r="N10" s="118">
        <v>2</v>
      </c>
      <c r="O10" s="386" t="s">
        <v>85</v>
      </c>
      <c r="P10" s="389" t="str">
        <v>1L</v>
      </c>
      <c r="Q10" s="389" t="str">
        <v>6L</v>
      </c>
      <c r="R10" s="387" t="str">
        <f t="shared" si="1"/>
        <v>GBP1L6L2Y</v>
      </c>
      <c r="S10" s="346" t="str">
        <v>GBP1L6L2Y=ICAP</v>
      </c>
      <c r="T10" s="490">
        <v>17.5</v>
      </c>
      <c r="U10" s="490">
        <v>21.5</v>
      </c>
      <c r="V10" s="490">
        <f>_xll.qlMidEquivalent(T10,U10)</f>
        <v>19.5</v>
      </c>
      <c r="W10" s="343" t="b">
        <f t="shared" si="2"/>
        <v>1</v>
      </c>
      <c r="X10" s="491">
        <v>19.5</v>
      </c>
      <c r="Y10" s="337"/>
      <c r="Z10" s="488">
        <v>19.5</v>
      </c>
      <c r="AA10" s="337"/>
      <c r="AB10" s="599">
        <v>19.5</v>
      </c>
      <c r="AC10" s="342" t="e">
        <f>_xll.qlSimpleQuoteSetValue(F10,AB10/10000,Trigger)</f>
        <v>#N/A</v>
      </c>
      <c r="AD10" s="213"/>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GBP1L6L3Y_Quote#0000</v>
      </c>
      <c r="G11" s="72" t="str">
        <f>_xll.ohRangeRetrieveError(F11)</f>
        <v/>
      </c>
      <c r="H11" s="71"/>
      <c r="J11" s="83" t="s">
        <v>120</v>
      </c>
      <c r="K11" s="82" t="s">
        <v>119</v>
      </c>
      <c r="L11" s="81" t="s">
        <v>118</v>
      </c>
      <c r="N11" s="118">
        <v>3</v>
      </c>
      <c r="O11" s="386" t="s">
        <v>84</v>
      </c>
      <c r="P11" s="389" t="str">
        <v>1L</v>
      </c>
      <c r="Q11" s="389" t="str">
        <v>6L</v>
      </c>
      <c r="R11" s="387" t="str">
        <f t="shared" si="1"/>
        <v>GBP1L6L3Y</v>
      </c>
      <c r="S11" s="346" t="str">
        <v>GBP1L6L3Y=ICAP</v>
      </c>
      <c r="T11" s="490">
        <v>17.875</v>
      </c>
      <c r="U11" s="490">
        <v>21.875</v>
      </c>
      <c r="V11" s="490">
        <f>_xll.qlMidEquivalent(T11,U11)</f>
        <v>19.875</v>
      </c>
      <c r="W11" s="343" t="b">
        <f t="shared" si="2"/>
        <v>1</v>
      </c>
      <c r="X11" s="491">
        <v>19.875</v>
      </c>
      <c r="Y11" s="337"/>
      <c r="Z11" s="488">
        <v>19.5</v>
      </c>
      <c r="AA11" s="337"/>
      <c r="AB11" s="599">
        <v>19.5</v>
      </c>
      <c r="AC11" s="342" t="e">
        <f>_xll.qlSimpleQuoteSetValue(F11,AB11/10000,Trigger)</f>
        <v>#N/A</v>
      </c>
      <c r="AD11" s="213"/>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GBP1L6L4Y_Quote#0000</v>
      </c>
      <c r="G12" s="72" t="str">
        <f>_xll.ohRangeRetrieveError(F12)</f>
        <v/>
      </c>
      <c r="H12" s="71"/>
      <c r="J12" s="83" t="s">
        <v>96</v>
      </c>
      <c r="K12" s="82" t="s">
        <v>113</v>
      </c>
      <c r="L12" s="81" t="s">
        <v>116</v>
      </c>
      <c r="N12" s="118">
        <v>4</v>
      </c>
      <c r="O12" s="386" t="s">
        <v>83</v>
      </c>
      <c r="P12" s="389" t="str">
        <v>1L</v>
      </c>
      <c r="Q12" s="389" t="str">
        <v>6L</v>
      </c>
      <c r="R12" s="387" t="str">
        <f t="shared" si="1"/>
        <v>GBP1L6L4Y</v>
      </c>
      <c r="S12" s="346" t="str">
        <v>GBP1L6L4Y=ICAP</v>
      </c>
      <c r="T12" s="490">
        <v>18.5</v>
      </c>
      <c r="U12" s="490">
        <v>22.5</v>
      </c>
      <c r="V12" s="490">
        <f>_xll.qlMidEquivalent(T12,U12)</f>
        <v>20.5</v>
      </c>
      <c r="W12" s="343" t="b">
        <f t="shared" si="2"/>
        <v>1</v>
      </c>
      <c r="X12" s="491">
        <v>20.5</v>
      </c>
      <c r="Y12" s="337"/>
      <c r="Z12" s="488">
        <v>19.5</v>
      </c>
      <c r="AA12" s="337"/>
      <c r="AB12" s="599">
        <v>19.5</v>
      </c>
      <c r="AC12" s="342" t="e">
        <f>_xll.qlSimpleQuoteSetValue(F12,AB12/10000,Trigger)</f>
        <v>#N/A</v>
      </c>
      <c r="AD12" s="213"/>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GBP1L6L5Y_Quote#0000</v>
      </c>
      <c r="G13" s="72" t="str">
        <f>_xll.ohRangeRetrieveError(F13)</f>
        <v/>
      </c>
      <c r="H13" s="71"/>
      <c r="J13" s="83" t="s">
        <v>117</v>
      </c>
      <c r="K13" s="82" t="s">
        <v>113</v>
      </c>
      <c r="L13" s="81" t="s">
        <v>116</v>
      </c>
      <c r="N13" s="118">
        <v>5</v>
      </c>
      <c r="O13" s="386" t="s">
        <v>82</v>
      </c>
      <c r="P13" s="389" t="str">
        <v>1L</v>
      </c>
      <c r="Q13" s="389" t="str">
        <v>6L</v>
      </c>
      <c r="R13" s="387" t="str">
        <f t="shared" si="1"/>
        <v>GBP1L6L5Y</v>
      </c>
      <c r="S13" s="346" t="str">
        <v>GBP1L6L5Y=ICAP</v>
      </c>
      <c r="T13" s="490">
        <v>18.625</v>
      </c>
      <c r="U13" s="490">
        <v>22.625</v>
      </c>
      <c r="V13" s="490">
        <f>_xll.qlMidEquivalent(T13,U13)</f>
        <v>20.625</v>
      </c>
      <c r="W13" s="343" t="b">
        <f t="shared" si="2"/>
        <v>1</v>
      </c>
      <c r="X13" s="491">
        <v>20.625</v>
      </c>
      <c r="Y13" s="337"/>
      <c r="Z13" s="488">
        <v>19.5</v>
      </c>
      <c r="AA13" s="337"/>
      <c r="AB13" s="599">
        <v>19.5</v>
      </c>
      <c r="AC13" s="342" t="e">
        <f>_xll.qlSimpleQuoteSetValue(F13,AB13/10000,Trigger)</f>
        <v>#N/A</v>
      </c>
      <c r="AD13" s="213"/>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GBP1L6L6Y_Quote#0000</v>
      </c>
      <c r="G14" s="72" t="str">
        <f>_xll.ohRangeRetrieveError(F14)</f>
        <v/>
      </c>
      <c r="H14" s="71"/>
      <c r="J14" s="80" t="s">
        <v>115</v>
      </c>
      <c r="K14" s="79" t="s">
        <v>114</v>
      </c>
      <c r="L14" s="78" t="s">
        <v>113</v>
      </c>
      <c r="N14" s="118">
        <v>6</v>
      </c>
      <c r="O14" s="386" t="s">
        <v>81</v>
      </c>
      <c r="P14" s="389" t="str">
        <v>1L</v>
      </c>
      <c r="Q14" s="389" t="str">
        <v>6L</v>
      </c>
      <c r="R14" s="387" t="str">
        <f t="shared" si="1"/>
        <v>GBP1L6L6Y</v>
      </c>
      <c r="S14" s="346" t="str">
        <v>GBP1L6L6Y=ICAP</v>
      </c>
      <c r="T14" s="490">
        <v>18.625</v>
      </c>
      <c r="U14" s="490">
        <v>22.625</v>
      </c>
      <c r="V14" s="490">
        <f>_xll.qlMidEquivalent(T14,U14)</f>
        <v>20.625</v>
      </c>
      <c r="W14" s="343" t="b">
        <f t="shared" si="2"/>
        <v>1</v>
      </c>
      <c r="X14" s="491">
        <v>20.625</v>
      </c>
      <c r="Y14" s="337"/>
      <c r="Z14" s="488">
        <v>19.5</v>
      </c>
      <c r="AA14" s="337"/>
      <c r="AB14" s="599">
        <v>19.5</v>
      </c>
      <c r="AC14" s="342" t="e">
        <f>_xll.qlSimpleQuoteSetValue(F14,AB14/10000,Trigger)</f>
        <v>#N/A</v>
      </c>
      <c r="AD14" s="213"/>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GBP1L6L7Y_Quote#0000</v>
      </c>
      <c r="G15" s="72" t="str">
        <f>_xll.ohRangeRetrieveError(F15)</f>
        <v/>
      </c>
      <c r="H15" s="71"/>
      <c r="N15" s="118">
        <v>7</v>
      </c>
      <c r="O15" s="386" t="s">
        <v>80</v>
      </c>
      <c r="P15" s="389" t="str">
        <v>1L</v>
      </c>
      <c r="Q15" s="389" t="str">
        <v>6L</v>
      </c>
      <c r="R15" s="387" t="str">
        <f t="shared" si="1"/>
        <v>GBP1L6L7Y</v>
      </c>
      <c r="S15" s="346" t="str">
        <v>GBP1L6L7Y=ICAP</v>
      </c>
      <c r="T15" s="490">
        <v>18.5</v>
      </c>
      <c r="U15" s="490">
        <v>22.5</v>
      </c>
      <c r="V15" s="490">
        <f>_xll.qlMidEquivalent(T15,U15)</f>
        <v>20.5</v>
      </c>
      <c r="W15" s="343" t="b">
        <f t="shared" si="2"/>
        <v>1</v>
      </c>
      <c r="X15" s="491">
        <v>20.5</v>
      </c>
      <c r="Y15" s="337"/>
      <c r="Z15" s="488">
        <v>19</v>
      </c>
      <c r="AA15" s="337"/>
      <c r="AB15" s="599">
        <v>19</v>
      </c>
      <c r="AC15" s="342" t="e">
        <f>_xll.qlSimpleQuoteSetValue(F15,AB15/10000,Trigger)</f>
        <v>#N/A</v>
      </c>
      <c r="AD15" s="213"/>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GBP1L6L8Y_Quote#0000</v>
      </c>
      <c r="G16" s="72" t="str">
        <f>_xll.ohRangeRetrieveError(F16)</f>
        <v/>
      </c>
      <c r="H16" s="71"/>
      <c r="N16" s="118">
        <v>8</v>
      </c>
      <c r="O16" s="386" t="s">
        <v>79</v>
      </c>
      <c r="P16" s="389" t="str">
        <v>1L</v>
      </c>
      <c r="Q16" s="389" t="str">
        <v>6L</v>
      </c>
      <c r="R16" s="387" t="str">
        <f t="shared" si="1"/>
        <v>GBP1L6L8Y</v>
      </c>
      <c r="S16" s="346" t="str">
        <v>GBP1L6L8Y=ICAP</v>
      </c>
      <c r="T16" s="490">
        <v>18.25</v>
      </c>
      <c r="U16" s="490">
        <v>22.25</v>
      </c>
      <c r="V16" s="490">
        <f>_xll.qlMidEquivalent(T16,U16)</f>
        <v>20.25</v>
      </c>
      <c r="W16" s="343" t="b">
        <f t="shared" si="2"/>
        <v>1</v>
      </c>
      <c r="X16" s="491">
        <v>20.25</v>
      </c>
      <c r="Y16" s="337"/>
      <c r="Z16" s="488">
        <v>18.5</v>
      </c>
      <c r="AA16" s="337"/>
      <c r="AB16" s="599">
        <v>18.5</v>
      </c>
      <c r="AC16" s="342" t="e">
        <f>_xll.qlSimpleQuoteSetValue(F16,AB16/10000,Trigger)</f>
        <v>#N/A</v>
      </c>
      <c r="AD16" s="213"/>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GBP1L6L9Y_Quote#0000</v>
      </c>
      <c r="G17" s="72" t="str">
        <f>_xll.ohRangeRetrieveError(F17)</f>
        <v/>
      </c>
      <c r="H17" s="71"/>
      <c r="N17" s="118">
        <v>9</v>
      </c>
      <c r="O17" s="386" t="s">
        <v>78</v>
      </c>
      <c r="P17" s="389" t="str">
        <v>1L</v>
      </c>
      <c r="Q17" s="389" t="str">
        <v>6L</v>
      </c>
      <c r="R17" s="387" t="str">
        <f t="shared" si="1"/>
        <v>GBP1L6L9Y</v>
      </c>
      <c r="S17" s="346" t="str">
        <v>GBP1L6L9Y=ICAP</v>
      </c>
      <c r="T17" s="490">
        <v>18.125</v>
      </c>
      <c r="U17" s="490">
        <v>22.125</v>
      </c>
      <c r="V17" s="490">
        <f>_xll.qlMidEquivalent(T17,U17)</f>
        <v>20.125</v>
      </c>
      <c r="W17" s="343" t="b">
        <f t="shared" si="2"/>
        <v>1</v>
      </c>
      <c r="X17" s="491">
        <v>20.125</v>
      </c>
      <c r="Y17" s="337"/>
      <c r="Z17" s="488">
        <v>18.5</v>
      </c>
      <c r="AA17" s="337"/>
      <c r="AB17" s="599">
        <v>18.5</v>
      </c>
      <c r="AC17" s="342" t="e">
        <f>_xll.qlSimpleQuoteSetValue(F17,AB17/10000,Trigger)</f>
        <v>#N/A</v>
      </c>
      <c r="AD17" s="213"/>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GBP1L6L10Y_Quote#0000</v>
      </c>
      <c r="G18" s="72" t="str">
        <f>_xll.ohRangeRetrieveError(F18)</f>
        <v/>
      </c>
      <c r="H18" s="71"/>
      <c r="N18" s="118">
        <v>10</v>
      </c>
      <c r="O18" s="386" t="s">
        <v>77</v>
      </c>
      <c r="P18" s="389" t="str">
        <v>1L</v>
      </c>
      <c r="Q18" s="389" t="str">
        <v>6L</v>
      </c>
      <c r="R18" s="387" t="str">
        <f t="shared" si="1"/>
        <v>GBP1L6L10Y</v>
      </c>
      <c r="S18" s="346" t="str">
        <v>GBP1L6L10Y=ICAP</v>
      </c>
      <c r="T18" s="490">
        <v>17.875</v>
      </c>
      <c r="U18" s="490">
        <v>21.875</v>
      </c>
      <c r="V18" s="490">
        <f>_xll.qlMidEquivalent(T18,U18)</f>
        <v>19.875</v>
      </c>
      <c r="W18" s="343" t="b">
        <f t="shared" si="2"/>
        <v>1</v>
      </c>
      <c r="X18" s="491">
        <v>19.875</v>
      </c>
      <c r="Y18" s="337"/>
      <c r="Z18" s="488">
        <v>18.25</v>
      </c>
      <c r="AA18" s="337"/>
      <c r="AB18" s="599">
        <v>18.25</v>
      </c>
      <c r="AC18" s="342" t="e">
        <f>_xll.qlSimpleQuoteSetValue(F18,AB18/10000,Trigger)</f>
        <v>#N/A</v>
      </c>
      <c r="AD18" s="213"/>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GBP1L6L11Y_Quote#0000</v>
      </c>
      <c r="G19" s="72" t="str">
        <f>_xll.ohRangeRetrieveError(F19)</f>
        <v/>
      </c>
      <c r="H19" s="71"/>
      <c r="N19" s="118">
        <v>11</v>
      </c>
      <c r="O19" s="386" t="s">
        <v>76</v>
      </c>
      <c r="P19" s="389" t="str">
        <v>1L</v>
      </c>
      <c r="Q19" s="389" t="str">
        <v>6L</v>
      </c>
      <c r="R19" s="387" t="str">
        <f t="shared" si="1"/>
        <v>GBP1L6L11Y</v>
      </c>
      <c r="S19" s="346" t="str">
        <v>GBP1L6L11Y=ICAP</v>
      </c>
      <c r="T19" s="490" t="s">
        <v>233</v>
      </c>
      <c r="U19" s="490" t="s">
        <v>233</v>
      </c>
      <c r="V19" s="490" t="e">
        <f>_xll.qlMidEquivalent(T19,U19)</f>
        <v>#NUM!</v>
      </c>
      <c r="W19" s="343" t="b">
        <f t="shared" si="2"/>
        <v>0</v>
      </c>
      <c r="X19" s="491">
        <v>19.512800440333137</v>
      </c>
      <c r="Y19" s="337"/>
      <c r="Z19" s="488">
        <v>17.967731218694958</v>
      </c>
      <c r="AA19" s="337"/>
      <c r="AB19" s="599">
        <v>17.967731218694958</v>
      </c>
      <c r="AC19" s="342" t="e">
        <f>_xll.qlSimpleQuoteSetValue(F19,AB19/10000,Trigger)</f>
        <v>#N/A</v>
      </c>
      <c r="AD19" s="213"/>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GBP1L6L12Y_Quote#0000</v>
      </c>
      <c r="G20" s="72" t="str">
        <f>_xll.ohRangeRetrieveError(F20)</f>
        <v/>
      </c>
      <c r="H20" s="71"/>
      <c r="N20" s="118">
        <v>12</v>
      </c>
      <c r="O20" s="386" t="s">
        <v>75</v>
      </c>
      <c r="P20" s="389" t="str">
        <v>1L</v>
      </c>
      <c r="Q20" s="389" t="str">
        <v>6L</v>
      </c>
      <c r="R20" s="387" t="str">
        <f t="shared" si="1"/>
        <v>GBP1L6L12Y</v>
      </c>
      <c r="S20" s="346" t="str">
        <v>GBP1L6L12Y=ICAP</v>
      </c>
      <c r="T20" s="490">
        <v>17.125</v>
      </c>
      <c r="U20" s="490">
        <v>21.125</v>
      </c>
      <c r="V20" s="490">
        <f>_xll.qlMidEquivalent(T20,U20)</f>
        <v>19.125</v>
      </c>
      <c r="W20" s="343" t="b">
        <f t="shared" si="2"/>
        <v>1</v>
      </c>
      <c r="X20" s="491">
        <v>19.125</v>
      </c>
      <c r="Y20" s="337"/>
      <c r="Z20" s="488">
        <v>17.75</v>
      </c>
      <c r="AA20" s="337"/>
      <c r="AB20" s="599">
        <v>17.75</v>
      </c>
      <c r="AC20" s="342" t="e">
        <f>_xll.qlSimpleQuoteSetValue(F20,AB20/10000,Trigger)</f>
        <v>#N/A</v>
      </c>
      <c r="AD20" s="213"/>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GBP1L6L13Y_Quote#0000</v>
      </c>
      <c r="G21" s="72" t="str">
        <f>_xll.ohRangeRetrieveError(F21)</f>
        <v/>
      </c>
      <c r="H21" s="71"/>
      <c r="N21" s="118">
        <v>13</v>
      </c>
      <c r="O21" s="386" t="s">
        <v>74</v>
      </c>
      <c r="P21" s="389" t="str">
        <v>1L</v>
      </c>
      <c r="Q21" s="389" t="str">
        <v>6L</v>
      </c>
      <c r="R21" s="387" t="str">
        <f t="shared" si="1"/>
        <v>GBP1L6L13Y</v>
      </c>
      <c r="S21" s="346" t="str">
        <v>GBP1L6L13Y=ICAP</v>
      </c>
      <c r="T21" s="490" t="s">
        <v>233</v>
      </c>
      <c r="U21" s="490" t="s">
        <v>233</v>
      </c>
      <c r="V21" s="490" t="e">
        <f>_xll.qlMidEquivalent(T21,U21)</f>
        <v>#NUM!</v>
      </c>
      <c r="W21" s="343" t="b">
        <f t="shared" si="2"/>
        <v>0</v>
      </c>
      <c r="X21" s="491">
        <v>18.771783256869682</v>
      </c>
      <c r="Y21" s="337"/>
      <c r="Z21" s="488">
        <v>17.570794384566103</v>
      </c>
      <c r="AA21" s="337"/>
      <c r="AB21" s="599">
        <v>17.570794384566103</v>
      </c>
      <c r="AC21" s="342" t="e">
        <f>_xll.qlSimpleQuoteSetValue(F21,AB21/10000,Trigger)</f>
        <v>#N/A</v>
      </c>
      <c r="AD21" s="213"/>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GBP1L6L14Y_Quote#0000</v>
      </c>
      <c r="G22" s="72" t="str">
        <f>_xll.ohRangeRetrieveError(F22)</f>
        <v/>
      </c>
      <c r="H22" s="71"/>
      <c r="N22" s="118">
        <v>14</v>
      </c>
      <c r="O22" s="386" t="s">
        <v>73</v>
      </c>
      <c r="P22" s="389" t="str">
        <v>1L</v>
      </c>
      <c r="Q22" s="389" t="str">
        <v>6L</v>
      </c>
      <c r="R22" s="387" t="str">
        <f t="shared" si="1"/>
        <v>GBP1L6L14Y</v>
      </c>
      <c r="S22" s="346" t="str">
        <v>GBP1L6L14Y=ICAP</v>
      </c>
      <c r="T22" s="490" t="s">
        <v>233</v>
      </c>
      <c r="U22" s="490" t="s">
        <v>233</v>
      </c>
      <c r="V22" s="490" t="e">
        <f>_xll.qlMidEquivalent(T22,U22)</f>
        <v>#NUM!</v>
      </c>
      <c r="W22" s="343" t="b">
        <f t="shared" si="2"/>
        <v>0</v>
      </c>
      <c r="X22" s="491">
        <v>18.446313806765662</v>
      </c>
      <c r="Y22" s="337"/>
      <c r="Z22" s="488">
        <v>17.410240736318265</v>
      </c>
      <c r="AA22" s="337"/>
      <c r="AB22" s="599">
        <v>17.410240736318265</v>
      </c>
      <c r="AC22" s="342" t="e">
        <f>_xll.qlSimpleQuoteSetValue(F22,AB22/10000,Trigger)</f>
        <v>#N/A</v>
      </c>
      <c r="AD22" s="213"/>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GBP1L6L15Y_Quote#0000</v>
      </c>
      <c r="G23" s="72" t="str">
        <f>_xll.ohRangeRetrieveError(F23)</f>
        <v/>
      </c>
      <c r="H23" s="71"/>
      <c r="N23" s="118">
        <v>15</v>
      </c>
      <c r="O23" s="386" t="s">
        <v>72</v>
      </c>
      <c r="P23" s="389" t="str">
        <v>1L</v>
      </c>
      <c r="Q23" s="389" t="str">
        <v>6L</v>
      </c>
      <c r="R23" s="387" t="str">
        <f t="shared" si="1"/>
        <v>GBP1L6L15Y</v>
      </c>
      <c r="S23" s="346" t="str">
        <v>GBP1L6L15Y=ICAP</v>
      </c>
      <c r="T23" s="490">
        <v>16.125</v>
      </c>
      <c r="U23" s="490">
        <v>20.125</v>
      </c>
      <c r="V23" s="490">
        <f>_xll.qlMidEquivalent(T23,U23)</f>
        <v>18.125</v>
      </c>
      <c r="W23" s="343" t="b">
        <f t="shared" si="2"/>
        <v>1</v>
      </c>
      <c r="X23" s="491">
        <v>18.125</v>
      </c>
      <c r="Y23" s="337"/>
      <c r="Z23" s="488">
        <v>17.25</v>
      </c>
      <c r="AA23" s="337"/>
      <c r="AB23" s="599">
        <v>17.25</v>
      </c>
      <c r="AC23" s="342" t="e">
        <f>_xll.qlSimpleQuoteSetValue(F23,AB23/10000,Trigger)</f>
        <v>#N/A</v>
      </c>
      <c r="AD23" s="213"/>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GBP1L6L16Y_Quote#0000</v>
      </c>
      <c r="G24" s="72" t="str">
        <f>_xll.ohRangeRetrieveError(F24)</f>
        <v/>
      </c>
      <c r="H24" s="71"/>
      <c r="N24" s="118">
        <v>16</v>
      </c>
      <c r="O24" s="386" t="s">
        <v>71</v>
      </c>
      <c r="P24" s="389" t="str">
        <v>1L</v>
      </c>
      <c r="Q24" s="389" t="str">
        <v>6L</v>
      </c>
      <c r="R24" s="387" t="str">
        <f t="shared" si="1"/>
        <v>GBP1L6L16Y</v>
      </c>
      <c r="S24" s="346" t="str">
        <v>GBP1L6L16Y=ICAP</v>
      </c>
      <c r="T24" s="490" t="s">
        <v>233</v>
      </c>
      <c r="U24" s="490" t="s">
        <v>233</v>
      </c>
      <c r="V24" s="490" t="e">
        <f>_xll.qlMidEquivalent(T24,U24)</f>
        <v>#NUM!</v>
      </c>
      <c r="W24" s="343" t="b">
        <f t="shared" si="2"/>
        <v>0</v>
      </c>
      <c r="X24" s="491">
        <v>17.789209723867408</v>
      </c>
      <c r="Y24" s="337"/>
      <c r="Z24" s="488">
        <v>17.07524013584781</v>
      </c>
      <c r="AA24" s="337"/>
      <c r="AB24" s="599">
        <v>17.07524013584781</v>
      </c>
      <c r="AC24" s="342" t="e">
        <f>_xll.qlSimpleQuoteSetValue(F24,AB24/10000,Trigger)</f>
        <v>#N/A</v>
      </c>
      <c r="AD24" s="213"/>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GBP1L6L17Y_Quote#0000</v>
      </c>
      <c r="G25" s="72" t="str">
        <f>_xll.ohRangeRetrieveError(F25)</f>
        <v/>
      </c>
      <c r="H25" s="71"/>
      <c r="N25" s="118">
        <v>17</v>
      </c>
      <c r="O25" s="386" t="s">
        <v>70</v>
      </c>
      <c r="P25" s="389" t="str">
        <v>1L</v>
      </c>
      <c r="Q25" s="389" t="str">
        <v>6L</v>
      </c>
      <c r="R25" s="387" t="str">
        <f t="shared" si="1"/>
        <v>GBP1L6L17Y</v>
      </c>
      <c r="S25" s="346" t="str">
        <v>GBP1L6L17Y=ICAP</v>
      </c>
      <c r="T25" s="490" t="s">
        <v>233</v>
      </c>
      <c r="U25" s="490" t="s">
        <v>233</v>
      </c>
      <c r="V25" s="490" t="e">
        <f>_xll.qlMidEquivalent(T25,U25)</f>
        <v>#NUM!</v>
      </c>
      <c r="W25" s="343" t="b">
        <f t="shared" si="2"/>
        <v>0</v>
      </c>
      <c r="X25" s="491">
        <v>17.440149013593178</v>
      </c>
      <c r="Y25" s="337"/>
      <c r="Z25" s="488">
        <v>16.885157166070208</v>
      </c>
      <c r="AA25" s="337"/>
      <c r="AB25" s="599">
        <v>16.885157166070208</v>
      </c>
      <c r="AC25" s="342" t="e">
        <f>_xll.qlSimpleQuoteSetValue(F25,AB25/10000,Trigger)</f>
        <v>#N/A</v>
      </c>
      <c r="AD25" s="213"/>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GBP1L6L18Y_Quote#0000</v>
      </c>
      <c r="G26" s="72" t="str">
        <f>_xll.ohRangeRetrieveError(F26)</f>
        <v/>
      </c>
      <c r="H26" s="71"/>
      <c r="N26" s="118">
        <v>18</v>
      </c>
      <c r="O26" s="386" t="s">
        <v>69</v>
      </c>
      <c r="P26" s="389" t="str">
        <v>1L</v>
      </c>
      <c r="Q26" s="389" t="str">
        <v>6L</v>
      </c>
      <c r="R26" s="387" t="str">
        <f t="shared" si="1"/>
        <v>GBP1L6L18Y</v>
      </c>
      <c r="S26" s="346" t="str">
        <v>GBP1L6L18Y=ICAP</v>
      </c>
      <c r="T26" s="490" t="s">
        <v>233</v>
      </c>
      <c r="U26" s="490" t="s">
        <v>233</v>
      </c>
      <c r="V26" s="490" t="e">
        <f>_xll.qlMidEquivalent(T26,U26)</f>
        <v>#NUM!</v>
      </c>
      <c r="W26" s="343" t="b">
        <f t="shared" si="2"/>
        <v>0</v>
      </c>
      <c r="X26" s="491">
        <v>17.083983441385243</v>
      </c>
      <c r="Y26" s="337"/>
      <c r="Z26" s="488">
        <v>16.682454128368697</v>
      </c>
      <c r="AA26" s="337"/>
      <c r="AB26" s="599">
        <v>16.682454128368697</v>
      </c>
      <c r="AC26" s="342" t="e">
        <f>_xll.qlSimpleQuoteSetValue(F26,AB26/10000,Trigger)</f>
        <v>#N/A</v>
      </c>
      <c r="AD26" s="213"/>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GBP1L6L19Y_Quote#0000</v>
      </c>
      <c r="G27" s="72" t="str">
        <f>_xll.ohRangeRetrieveError(F27)</f>
        <v/>
      </c>
      <c r="H27" s="71"/>
      <c r="N27" s="118">
        <v>19</v>
      </c>
      <c r="O27" s="386" t="s">
        <v>68</v>
      </c>
      <c r="P27" s="389" t="str">
        <v>1L</v>
      </c>
      <c r="Q27" s="389" t="str">
        <v>6L</v>
      </c>
      <c r="R27" s="387" t="str">
        <f t="shared" si="1"/>
        <v>GBP1L6L19Y</v>
      </c>
      <c r="S27" s="346" t="str">
        <v>GBP1L6L19Y=ICAP</v>
      </c>
      <c r="T27" s="490" t="s">
        <v>233</v>
      </c>
      <c r="U27" s="490" t="s">
        <v>233</v>
      </c>
      <c r="V27" s="490" t="e">
        <f>_xll.qlMidEquivalent(T27,U27)</f>
        <v>#NUM!</v>
      </c>
      <c r="W27" s="343" t="b">
        <f t="shared" si="2"/>
        <v>0</v>
      </c>
      <c r="X27" s="491">
        <v>16.72687857945154</v>
      </c>
      <c r="Y27" s="337"/>
      <c r="Z27" s="488">
        <v>16.469834060444793</v>
      </c>
      <c r="AA27" s="337"/>
      <c r="AB27" s="599">
        <v>16.469834060444793</v>
      </c>
      <c r="AC27" s="342" t="e">
        <f>_xll.qlSimpleQuoteSetValue(F27,AB27/10000,Trigger)</f>
        <v>#N/A</v>
      </c>
      <c r="AD27" s="213"/>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GBP1L6L20Y_Quote#0000</v>
      </c>
      <c r="G28" s="72" t="str">
        <f>_xll.ohRangeRetrieveError(F28)</f>
        <v/>
      </c>
      <c r="H28" s="71"/>
      <c r="N28" s="118">
        <v>20</v>
      </c>
      <c r="O28" s="386" t="s">
        <v>67</v>
      </c>
      <c r="P28" s="389" t="str">
        <v>1L</v>
      </c>
      <c r="Q28" s="389" t="str">
        <v>6L</v>
      </c>
      <c r="R28" s="387" t="str">
        <f t="shared" si="1"/>
        <v>GBP1L6L20Y</v>
      </c>
      <c r="S28" s="346" t="str">
        <v>GBP1L6L20Y=ICAP</v>
      </c>
      <c r="T28" s="490">
        <v>14.375</v>
      </c>
      <c r="U28" s="490">
        <v>18.375</v>
      </c>
      <c r="V28" s="490">
        <f>_xll.qlMidEquivalent(T28,U28)</f>
        <v>16.375</v>
      </c>
      <c r="W28" s="343" t="b">
        <f t="shared" si="2"/>
        <v>1</v>
      </c>
      <c r="X28" s="491">
        <v>16.375</v>
      </c>
      <c r="Y28" s="337"/>
      <c r="Z28" s="488">
        <v>16.25</v>
      </c>
      <c r="AA28" s="337"/>
      <c r="AB28" s="599">
        <v>16.25</v>
      </c>
      <c r="AC28" s="342" t="e">
        <f>_xll.qlSimpleQuoteSetValue(F28,AB28/10000,Trigger)</f>
        <v>#N/A</v>
      </c>
      <c r="AD28" s="213"/>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GBP1L6L21Y_Quote#0000</v>
      </c>
      <c r="G29" s="72" t="str">
        <f>_xll.ohRangeRetrieveError(F29)</f>
        <v/>
      </c>
      <c r="H29" s="71"/>
      <c r="N29" s="118">
        <v>21</v>
      </c>
      <c r="O29" s="386" t="s">
        <v>66</v>
      </c>
      <c r="P29" s="389" t="str">
        <v>1L</v>
      </c>
      <c r="Q29" s="389" t="str">
        <v>6L</v>
      </c>
      <c r="R29" s="387" t="str">
        <f t="shared" si="1"/>
        <v>GBP1L6L21Y</v>
      </c>
      <c r="S29" s="346" t="str">
        <v>GBP1L6L21Y=ICAP</v>
      </c>
      <c r="T29" s="490" t="s">
        <v>233</v>
      </c>
      <c r="U29" s="490" t="s">
        <v>233</v>
      </c>
      <c r="V29" s="490" t="e">
        <f>_xll.qlMidEquivalent(T29,U29)</f>
        <v>#NUM!</v>
      </c>
      <c r="W29" s="343" t="b">
        <f t="shared" si="2"/>
        <v>0</v>
      </c>
      <c r="X29" s="491">
        <v>16.03423490430054</v>
      </c>
      <c r="Y29" s="337"/>
      <c r="Z29" s="488">
        <v>16.026557175699704</v>
      </c>
      <c r="AA29" s="337"/>
      <c r="AB29" s="599">
        <v>16.026557175699704</v>
      </c>
      <c r="AC29" s="342" t="e">
        <f>_xll.qlSimpleQuoteSetValue(F29,AB29/10000,Trigger)</f>
        <v>#N/A</v>
      </c>
      <c r="AD29" s="213"/>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GBP1L6L22Y_Quote#0000</v>
      </c>
      <c r="G30" s="72" t="str">
        <f>_xll.ohRangeRetrieveError(F30)</f>
        <v/>
      </c>
      <c r="H30" s="71"/>
      <c r="N30" s="118">
        <v>22</v>
      </c>
      <c r="O30" s="386" t="s">
        <v>65</v>
      </c>
      <c r="P30" s="389" t="str">
        <v>1L</v>
      </c>
      <c r="Q30" s="389" t="str">
        <v>6L</v>
      </c>
      <c r="R30" s="387" t="str">
        <f t="shared" si="1"/>
        <v>GBP1L6L22Y</v>
      </c>
      <c r="S30" s="346" t="str">
        <v>GBP1L6L22Y=ICAP</v>
      </c>
      <c r="T30" s="490" t="s">
        <v>233</v>
      </c>
      <c r="U30" s="490" t="s">
        <v>233</v>
      </c>
      <c r="V30" s="490" t="e">
        <f>_xll.qlMidEquivalent(T30,U30)</f>
        <v>#NUM!</v>
      </c>
      <c r="W30" s="343" t="b">
        <f t="shared" si="2"/>
        <v>0</v>
      </c>
      <c r="X30" s="491">
        <v>15.709357009870995</v>
      </c>
      <c r="Y30" s="337"/>
      <c r="Z30" s="488">
        <v>15.806719580064794</v>
      </c>
      <c r="AA30" s="337"/>
      <c r="AB30" s="599">
        <v>15.806719580064794</v>
      </c>
      <c r="AC30" s="342" t="e">
        <f>_xll.qlSimpleQuoteSetValue(F30,AB30/10000,Trigger)</f>
        <v>#N/A</v>
      </c>
      <c r="AD30" s="213"/>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GBP1L6L23Y_Quote#0000</v>
      </c>
      <c r="G31" s="72" t="str">
        <f>_xll.ohRangeRetrieveError(F31)</f>
        <v/>
      </c>
      <c r="H31" s="71"/>
      <c r="N31" s="118">
        <v>23</v>
      </c>
      <c r="O31" s="386" t="s">
        <v>64</v>
      </c>
      <c r="P31" s="389" t="str">
        <v>1L</v>
      </c>
      <c r="Q31" s="389" t="str">
        <v>6L</v>
      </c>
      <c r="R31" s="387" t="str">
        <f t="shared" si="1"/>
        <v>GBP1L6L23Y</v>
      </c>
      <c r="S31" s="346" t="str">
        <v>GBP1L6L23Y=ICAP</v>
      </c>
      <c r="T31" s="490" t="s">
        <v>233</v>
      </c>
      <c r="U31" s="490" t="s">
        <v>233</v>
      </c>
      <c r="V31" s="490" t="e">
        <f>_xll.qlMidEquivalent(T31,U31)</f>
        <v>#NUM!</v>
      </c>
      <c r="W31" s="343" t="b">
        <f t="shared" si="2"/>
        <v>0</v>
      </c>
      <c r="X31" s="491">
        <v>15.404861663291181</v>
      </c>
      <c r="Y31" s="337"/>
      <c r="Z31" s="488">
        <v>15.59860339658003</v>
      </c>
      <c r="AA31" s="337"/>
      <c r="AB31" s="599">
        <v>15.59860339658003</v>
      </c>
      <c r="AC31" s="342" t="e">
        <f>_xll.qlSimpleQuoteSetValue(F31,AB31/10000,Trigger)</f>
        <v>#N/A</v>
      </c>
      <c r="AD31" s="213"/>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GBP1L6L24Y_Quote#0000</v>
      </c>
      <c r="G32" s="72" t="str">
        <f>_xll.ohRangeRetrieveError(F32)</f>
        <v/>
      </c>
      <c r="H32" s="71"/>
      <c r="N32" s="118">
        <v>24</v>
      </c>
      <c r="O32" s="386" t="s">
        <v>63</v>
      </c>
      <c r="P32" s="389" t="str">
        <v>1L</v>
      </c>
      <c r="Q32" s="389" t="str">
        <v>6L</v>
      </c>
      <c r="R32" s="387" t="str">
        <f t="shared" si="1"/>
        <v>GBP1L6L24Y</v>
      </c>
      <c r="S32" s="346" t="str">
        <v>GBP1L6L24Y=ICAP</v>
      </c>
      <c r="T32" s="490" t="s">
        <v>233</v>
      </c>
      <c r="U32" s="490" t="s">
        <v>233</v>
      </c>
      <c r="V32" s="490" t="e">
        <f>_xll.qlMidEquivalent(T32,U32)</f>
        <v>#NUM!</v>
      </c>
      <c r="W32" s="343" t="b">
        <f t="shared" si="2"/>
        <v>0</v>
      </c>
      <c r="X32" s="491">
        <v>15.12524421114091</v>
      </c>
      <c r="Y32" s="337"/>
      <c r="Z32" s="488">
        <v>15.410324808730177</v>
      </c>
      <c r="AA32" s="337"/>
      <c r="AB32" s="599">
        <v>15.410324808730177</v>
      </c>
      <c r="AC32" s="342" t="e">
        <f>_xll.qlSimpleQuoteSetValue(F32,AB32/10000,Trigger)</f>
        <v>#N/A</v>
      </c>
      <c r="AD32" s="213"/>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GBP1L6L25Y_Quote#0000</v>
      </c>
      <c r="G33" s="72" t="str">
        <f>_xll.ohRangeRetrieveError(F33)</f>
        <v/>
      </c>
      <c r="H33" s="71"/>
      <c r="N33" s="118">
        <v>25</v>
      </c>
      <c r="O33" s="386" t="s">
        <v>62</v>
      </c>
      <c r="P33" s="389" t="str">
        <v>1L</v>
      </c>
      <c r="Q33" s="389" t="str">
        <v>6L</v>
      </c>
      <c r="R33" s="387" t="str">
        <f t="shared" si="1"/>
        <v>GBP1L6L25Y</v>
      </c>
      <c r="S33" s="346" t="str">
        <v>GBP1L6L25Y=ICAP</v>
      </c>
      <c r="T33" s="490">
        <v>12.875</v>
      </c>
      <c r="U33" s="490">
        <v>16.875</v>
      </c>
      <c r="V33" s="490">
        <f>_xll.qlMidEquivalent(T33,U33)</f>
        <v>14.875</v>
      </c>
      <c r="W33" s="343" t="b">
        <f t="shared" si="2"/>
        <v>1</v>
      </c>
      <c r="X33" s="491">
        <v>14.875</v>
      </c>
      <c r="Y33" s="337"/>
      <c r="Z33" s="488">
        <v>15.25</v>
      </c>
      <c r="AA33" s="337"/>
      <c r="AB33" s="599">
        <v>15.25</v>
      </c>
      <c r="AC33" s="342" t="e">
        <f>_xll.qlSimpleQuoteSetValue(F33,AB33/10000,Trigger)</f>
        <v>#N/A</v>
      </c>
      <c r="AD33" s="213"/>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GBP1L6L26Y_Quote#0000</v>
      </c>
      <c r="G34" s="72" t="str">
        <f>_xll.ohRangeRetrieveError(F34)</f>
        <v/>
      </c>
      <c r="H34" s="71"/>
      <c r="N34" s="118">
        <v>26</v>
      </c>
      <c r="O34" s="386" t="s">
        <v>61</v>
      </c>
      <c r="P34" s="389" t="str">
        <v>1L</v>
      </c>
      <c r="Q34" s="389" t="str">
        <v>6L</v>
      </c>
      <c r="R34" s="387" t="str">
        <f t="shared" si="1"/>
        <v>GBP1L6L26Y</v>
      </c>
      <c r="S34" s="346" t="str">
        <v>GBP1L6L26Y=ICAP</v>
      </c>
      <c r="T34" s="490" t="s">
        <v>233</v>
      </c>
      <c r="U34" s="490" t="s">
        <v>233</v>
      </c>
      <c r="V34" s="490" t="e">
        <f>_xll.qlMidEquivalent(T34,U34)</f>
        <v>#NUM!</v>
      </c>
      <c r="W34" s="343" t="b">
        <f t="shared" si="2"/>
        <v>0</v>
      </c>
      <c r="X34" s="491">
        <v>14.656850658930431</v>
      </c>
      <c r="Y34" s="337"/>
      <c r="Z34" s="488">
        <v>15.122531161353372</v>
      </c>
      <c r="AA34" s="337"/>
      <c r="AB34" s="599">
        <v>15.122531161353372</v>
      </c>
      <c r="AC34" s="342" t="e">
        <f>_xll.qlSimpleQuoteSetValue(F34,AB34/10000,Trigger)</f>
        <v>#N/A</v>
      </c>
      <c r="AD34" s="213"/>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GBP1L6L27Y_Quote#0000</v>
      </c>
      <c r="G35" s="72" t="str">
        <f>_xll.ohRangeRetrieveError(F35)</f>
        <v/>
      </c>
      <c r="H35" s="71"/>
      <c r="N35" s="118">
        <v>27</v>
      </c>
      <c r="O35" s="386" t="s">
        <v>60</v>
      </c>
      <c r="P35" s="389" t="str">
        <v>1L</v>
      </c>
      <c r="Q35" s="389" t="str">
        <v>6L</v>
      </c>
      <c r="R35" s="387" t="str">
        <f t="shared" si="1"/>
        <v>GBP1L6L27Y</v>
      </c>
      <c r="S35" s="346" t="str">
        <v>GBP1L6L27Y=ICAP</v>
      </c>
      <c r="T35" s="490" t="s">
        <v>233</v>
      </c>
      <c r="U35" s="490" t="s">
        <v>233</v>
      </c>
      <c r="V35" s="490" t="e">
        <f>_xll.qlMidEquivalent(T35,U35)</f>
        <v>#NUM!</v>
      </c>
      <c r="W35" s="343" t="b">
        <f t="shared" si="2"/>
        <v>0</v>
      </c>
      <c r="X35" s="491">
        <v>14.46642294692284</v>
      </c>
      <c r="Y35" s="337"/>
      <c r="Z35" s="488">
        <v>15.019964513670621</v>
      </c>
      <c r="AA35" s="337"/>
      <c r="AB35" s="599">
        <v>15.019964513670621</v>
      </c>
      <c r="AC35" s="342" t="e">
        <f>_xll.qlSimpleQuoteSetValue(F35,AB35/10000,Trigger)</f>
        <v>#N/A</v>
      </c>
      <c r="AD35" s="213"/>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GBP1L6L28Y_Quote#0000</v>
      </c>
      <c r="G36" s="72" t="str">
        <f>_xll.ohRangeRetrieveError(F36)</f>
        <v/>
      </c>
      <c r="H36" s="71"/>
      <c r="N36" s="118">
        <v>28</v>
      </c>
      <c r="O36" s="386" t="s">
        <v>59</v>
      </c>
      <c r="P36" s="389" t="str">
        <v>1L</v>
      </c>
      <c r="Q36" s="389" t="str">
        <v>6L</v>
      </c>
      <c r="R36" s="387" t="str">
        <f t="shared" si="1"/>
        <v>GBP1L6L28Y</v>
      </c>
      <c r="S36" s="346" t="str">
        <v>GBP1L6L28Y=ICAP</v>
      </c>
      <c r="T36" s="490" t="s">
        <v>233</v>
      </c>
      <c r="U36" s="490" t="s">
        <v>233</v>
      </c>
      <c r="V36" s="490" t="e">
        <f>_xll.qlMidEquivalent(T36,U36)</f>
        <v>#NUM!</v>
      </c>
      <c r="W36" s="343" t="b">
        <f t="shared" si="2"/>
        <v>0</v>
      </c>
      <c r="X36" s="491">
        <v>14.297569905450036</v>
      </c>
      <c r="Y36" s="337"/>
      <c r="Z36" s="488">
        <v>14.931132285311183</v>
      </c>
      <c r="AA36" s="337"/>
      <c r="AB36" s="599">
        <v>14.931132285311183</v>
      </c>
      <c r="AC36" s="342" t="e">
        <f>_xll.qlSimpleQuoteSetValue(F36,AB36/10000,Trigger)</f>
        <v>#N/A</v>
      </c>
      <c r="AD36" s="213"/>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GBP1L6L29Y_Quote#0000</v>
      </c>
      <c r="G37" s="72" t="str">
        <f>_xll.ohRangeRetrieveError(F37)</f>
        <v/>
      </c>
      <c r="H37" s="71"/>
      <c r="N37" s="118">
        <v>29</v>
      </c>
      <c r="O37" s="386" t="s">
        <v>58</v>
      </c>
      <c r="P37" s="389" t="str">
        <v>1L</v>
      </c>
      <c r="Q37" s="389" t="str">
        <v>6L</v>
      </c>
      <c r="R37" s="387" t="str">
        <f t="shared" si="1"/>
        <v>GBP1L6L29Y</v>
      </c>
      <c r="S37" s="346" t="str">
        <v>GBP1L6L29Y=ICAP</v>
      </c>
      <c r="T37" s="490" t="s">
        <v>233</v>
      </c>
      <c r="U37" s="490" t="s">
        <v>233</v>
      </c>
      <c r="V37" s="490" t="e">
        <f>_xll.qlMidEquivalent(T37,U37)</f>
        <v>#NUM!</v>
      </c>
      <c r="W37" s="343" t="b">
        <f t="shared" si="2"/>
        <v>0</v>
      </c>
      <c r="X37" s="491">
        <v>14.14414457598482</v>
      </c>
      <c r="Y37" s="337"/>
      <c r="Z37" s="488">
        <v>14.844866704634496</v>
      </c>
      <c r="AA37" s="337"/>
      <c r="AB37" s="599">
        <v>14.844866704634496</v>
      </c>
      <c r="AC37" s="342" t="e">
        <f>_xll.qlSimpleQuoteSetValue(F37,AB37/10000,Trigger)</f>
        <v>#N/A</v>
      </c>
      <c r="AD37" s="213"/>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GBP1L6L30Y_Quote#0000</v>
      </c>
      <c r="G38" s="72" t="str">
        <f>_xll.ohRangeRetrieveError(F38)</f>
        <v/>
      </c>
      <c r="H38" s="71"/>
      <c r="N38" s="118">
        <v>30</v>
      </c>
      <c r="O38" s="386" t="s">
        <v>57</v>
      </c>
      <c r="P38" s="389" t="str">
        <v>1L</v>
      </c>
      <c r="Q38" s="389" t="str">
        <v>6L</v>
      </c>
      <c r="R38" s="387" t="str">
        <f t="shared" si="1"/>
        <v>GBP1L6L30Y</v>
      </c>
      <c r="S38" s="346" t="str">
        <v>GBP1L6L30Y=ICAP</v>
      </c>
      <c r="T38" s="490">
        <v>12</v>
      </c>
      <c r="U38" s="490">
        <v>16</v>
      </c>
      <c r="V38" s="490">
        <f>_xll.qlMidEquivalent(T38,U38)</f>
        <v>14</v>
      </c>
      <c r="W38" s="343" t="b">
        <f t="shared" si="2"/>
        <v>1</v>
      </c>
      <c r="X38" s="491">
        <v>14</v>
      </c>
      <c r="Y38" s="337"/>
      <c r="Z38" s="488">
        <v>14.75</v>
      </c>
      <c r="AA38" s="337"/>
      <c r="AB38" s="599">
        <v>14.75</v>
      </c>
      <c r="AC38" s="342" t="e">
        <f>_xll.qlSimpleQuoteSetValue(F38,AB38/10000,Trigger)</f>
        <v>#N/A</v>
      </c>
      <c r="AD38" s="213"/>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GBP1L6L35Y_Quote#0000</v>
      </c>
      <c r="G39" s="72" t="str">
        <f>_xll.ohRangeRetrieveError(F39)</f>
        <v/>
      </c>
      <c r="H39" s="71"/>
      <c r="N39" s="118">
        <v>35</v>
      </c>
      <c r="O39" s="386" t="s">
        <v>52</v>
      </c>
      <c r="P39" s="389" t="str">
        <v>1L</v>
      </c>
      <c r="Q39" s="389" t="str">
        <v>6L</v>
      </c>
      <c r="R39" s="387" t="str">
        <f t="shared" si="1"/>
        <v>GBP1L6L35Y</v>
      </c>
      <c r="S39" s="346" t="str">
        <v>GBP1L6L35Y=ICAP</v>
      </c>
      <c r="T39" s="490" t="s">
        <v>233</v>
      </c>
      <c r="U39" s="490" t="s">
        <v>233</v>
      </c>
      <c r="V39" s="490" t="e">
        <f>_xll.qlMidEquivalent(T39,U39)</f>
        <v>#NUM!</v>
      </c>
      <c r="W39" s="343" t="b">
        <f t="shared" si="2"/>
        <v>0</v>
      </c>
      <c r="X39" s="489">
        <f>X38</f>
        <v>14</v>
      </c>
      <c r="Y39" s="337"/>
      <c r="Z39" s="488">
        <v>14.75</v>
      </c>
      <c r="AA39" s="337"/>
      <c r="AB39" s="599">
        <v>14.75</v>
      </c>
      <c r="AC39" s="342" t="e">
        <f>_xll.qlSimpleQuoteSetValue(F39,AB39/10000,Trigger)</f>
        <v>#N/A</v>
      </c>
      <c r="AD39" s="213"/>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GBP1L6L40Y_Quote#0000</v>
      </c>
      <c r="G40" s="72" t="str">
        <f>_xll.ohRangeRetrieveError(F40)</f>
        <v/>
      </c>
      <c r="H40" s="71"/>
      <c r="N40" s="118">
        <v>40</v>
      </c>
      <c r="O40" s="386" t="s">
        <v>47</v>
      </c>
      <c r="P40" s="389" t="str">
        <v>1L</v>
      </c>
      <c r="Q40" s="389" t="str">
        <v>6L</v>
      </c>
      <c r="R40" s="387" t="str">
        <f t="shared" si="1"/>
        <v>GBP1L6L40Y</v>
      </c>
      <c r="S40" s="346" t="str">
        <v>GBP1L6L40Y=ICAP</v>
      </c>
      <c r="T40" s="490">
        <v>10.75</v>
      </c>
      <c r="U40" s="490">
        <v>14.75</v>
      </c>
      <c r="V40" s="490">
        <f>_xll.qlMidEquivalent(T40,U40)</f>
        <v>12.75</v>
      </c>
      <c r="W40" s="343" t="b">
        <f t="shared" si="2"/>
        <v>1</v>
      </c>
      <c r="X40" s="489">
        <f>X39</f>
        <v>14</v>
      </c>
      <c r="Y40" s="337"/>
      <c r="Z40" s="488">
        <v>14.75</v>
      </c>
      <c r="AA40" s="337"/>
      <c r="AB40" s="599">
        <v>14.75</v>
      </c>
      <c r="AC40" s="342" t="e">
        <f>_xll.qlSimpleQuoteSetValue(F40,AB40/10000,Trigger)</f>
        <v>#N/A</v>
      </c>
      <c r="AD40" s="213"/>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GBP1L6L50Y_Quote#0000</v>
      </c>
      <c r="G41" s="72" t="str">
        <f>_xll.ohRangeRetrieveError(F41)</f>
        <v/>
      </c>
      <c r="H41" s="71"/>
      <c r="N41" s="118">
        <v>50</v>
      </c>
      <c r="O41" s="386" t="s">
        <v>37</v>
      </c>
      <c r="P41" s="389" t="str">
        <v>1L</v>
      </c>
      <c r="Q41" s="389" t="str">
        <v>6L</v>
      </c>
      <c r="R41" s="387" t="str">
        <f t="shared" si="1"/>
        <v>GBP1L6L50Y</v>
      </c>
      <c r="S41" s="346" t="str">
        <v>GBP1L6L50Y=ICAP</v>
      </c>
      <c r="T41" s="490">
        <v>9.375</v>
      </c>
      <c r="U41" s="490">
        <v>14.375</v>
      </c>
      <c r="V41" s="490">
        <f>_xll.qlMidEquivalent(T41,U41)</f>
        <v>11.875</v>
      </c>
      <c r="W41" s="343" t="b">
        <f t="shared" si="2"/>
        <v>1</v>
      </c>
      <c r="X41" s="489">
        <f>X40</f>
        <v>14</v>
      </c>
      <c r="Y41" s="337"/>
      <c r="Z41" s="488">
        <v>14.75</v>
      </c>
      <c r="AA41" s="337"/>
      <c r="AB41" s="599">
        <v>14.75</v>
      </c>
      <c r="AC41" s="342" t="e">
        <f>_xll.qlSimpleQuoteSetValue(F41,AB41/10000,Trigger)</f>
        <v>#N/A</v>
      </c>
      <c r="AD41" s="213"/>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GBP1L6L60Y_Quote#0000</v>
      </c>
      <c r="G42" s="72" t="str">
        <f>_xll.ohRangeRetrieveError(F42)</f>
        <v/>
      </c>
      <c r="H42" s="71"/>
      <c r="N42" s="118">
        <v>60</v>
      </c>
      <c r="O42" s="396" t="s">
        <v>27</v>
      </c>
      <c r="P42" s="385" t="str">
        <v>1L</v>
      </c>
      <c r="Q42" s="385" t="str">
        <v>6L</v>
      </c>
      <c r="R42" s="383" t="str">
        <f t="shared" si="1"/>
        <v>GBP1L6L60Y</v>
      </c>
      <c r="S42" s="340" t="str">
        <v>GBP1L6L60Y=ICAP</v>
      </c>
      <c r="T42" s="487">
        <v>8.375</v>
      </c>
      <c r="U42" s="487">
        <v>14.375</v>
      </c>
      <c r="V42" s="487">
        <f>_xll.qlMidEquivalent(T42,U42)</f>
        <v>11.375</v>
      </c>
      <c r="W42" s="336" t="b">
        <f t="shared" si="2"/>
        <v>1</v>
      </c>
      <c r="X42" s="486">
        <f>X41</f>
        <v>14</v>
      </c>
      <c r="Y42" s="337"/>
      <c r="Z42" s="485">
        <v>14.75</v>
      </c>
      <c r="AA42" s="337"/>
      <c r="AB42" s="600">
        <v>14.75</v>
      </c>
      <c r="AC42" s="335" t="e">
        <f>_xll.qlSimpleQuoteSetValue(F42,AB42/10000,Trigger)</f>
        <v>#N/A</v>
      </c>
      <c r="AD42" s="213"/>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9" priority="1" stopIfTrue="1" operator="greaterThan">
      <formula>0</formula>
    </cfRule>
    <cfRule type="cellIs" dxfId="38"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J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37"/>
      <c r="Q2" s="337"/>
      <c r="R2" s="337"/>
      <c r="S2" s="140" t="s">
        <v>275</v>
      </c>
      <c r="T2" s="337"/>
      <c r="U2" s="337"/>
      <c r="V2" s="337"/>
      <c r="W2" s="337"/>
      <c r="X2" s="133"/>
      <c r="Y2" s="337"/>
      <c r="Z2" s="337"/>
      <c r="AA2" s="337"/>
      <c r="AB2" s="337"/>
      <c r="AC2" s="133"/>
      <c r="AD2" s="33"/>
      <c r="AE2" s="64"/>
      <c r="AF2" s="64"/>
      <c r="AG2" s="64"/>
      <c r="AH2" s="64"/>
      <c r="AI2" s="64"/>
      <c r="AJ2" s="64"/>
    </row>
    <row r="3" spans="1:36" x14ac:dyDescent="0.2">
      <c r="A3" s="557" t="s">
        <v>345</v>
      </c>
      <c r="B3" s="95"/>
      <c r="C3" s="95"/>
      <c r="D3" s="95"/>
      <c r="E3" s="96"/>
      <c r="F3" s="97"/>
      <c r="G3" s="96"/>
      <c r="H3" s="92"/>
      <c r="N3" s="118"/>
      <c r="O3" s="337"/>
      <c r="P3" s="133"/>
      <c r="Q3" s="133"/>
      <c r="R3" s="133"/>
      <c r="S3" s="133" t="str">
        <f>_xll.qlInterpolation(,InterpolationType,_xll.ohFilter(N5:N42,W5:W42),_xll.ohFilter(V5:V42,W5:W42))</f>
        <v>obj_00501#0000</v>
      </c>
      <c r="T3" s="133"/>
      <c r="U3" s="133"/>
      <c r="V3" s="133"/>
      <c r="W3" s="133"/>
      <c r="X3" s="133"/>
      <c r="Y3" s="337"/>
      <c r="Z3" s="337"/>
      <c r="AA3" s="337"/>
      <c r="AB3" s="133"/>
      <c r="AC3" s="366">
        <f>_xll.ohTrigger(AC5:AC42)</f>
        <v>1</v>
      </c>
      <c r="AD3" s="213"/>
      <c r="AE3" s="64"/>
      <c r="AF3" s="64"/>
      <c r="AG3" s="64"/>
      <c r="AH3" s="64"/>
      <c r="AI3" s="64"/>
      <c r="AJ3" s="64"/>
    </row>
    <row r="4" spans="1:36"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3" t="s">
        <v>285</v>
      </c>
      <c r="AC4" s="91" t="s">
        <v>284</v>
      </c>
      <c r="AD4" s="213"/>
      <c r="AE4" s="64"/>
      <c r="AF4" s="64"/>
      <c r="AG4" s="64"/>
      <c r="AH4" s="64"/>
      <c r="AI4" s="64"/>
      <c r="AJ4" s="399" t="s">
        <v>314</v>
      </c>
    </row>
    <row r="5" spans="1:36"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GBP3L6L6M_Quote#0000</v>
      </c>
      <c r="G5" s="72" t="str">
        <f>_xll.ohRangeRetrieveError(F5)</f>
        <v/>
      </c>
      <c r="H5" s="71"/>
      <c r="N5" s="492">
        <v>0.5</v>
      </c>
      <c r="O5" s="386" t="s">
        <v>8</v>
      </c>
      <c r="P5" s="389" t="str">
        <f t="array" ref="P5:P42">VLOOKUP(Currency,Conventions,2)</f>
        <v>3L</v>
      </c>
      <c r="Q5" s="389" t="str">
        <f t="array" ref="Q5:Q42">VLOOKUP(Currency,Conventions,3)</f>
        <v>6L</v>
      </c>
      <c r="R5" s="387" t="str">
        <f t="shared" ref="R5:R42" si="1">Currency&amp;$P5&amp;$Q5&amp;$O5</f>
        <v>GBP3L6L6M</v>
      </c>
      <c r="S5" s="346" t="str">
        <f t="array" ref="S5:S42">Instruments&amp;"="&amp;VLOOKUP(Contributor,ContributorTable,2,FALSE)</f>
        <v>GBP3L6L6M=ICAP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9" t="e">
        <f t="array" ref="AB5:AB42">QuoteStatic</f>
        <v>#NUM!</v>
      </c>
      <c r="AC5" s="342" t="e">
        <f>_xll.qlSimpleQuoteSetValue(F5,AB5/10000,Trigger)</f>
        <v>#NUM!</v>
      </c>
      <c r="AD5" s="213"/>
      <c r="AE5" s="64"/>
      <c r="AF5" s="86" t="s">
        <v>121</v>
      </c>
      <c r="AG5" s="85" t="s">
        <v>114</v>
      </c>
      <c r="AH5" s="84" t="s">
        <v>116</v>
      </c>
      <c r="AI5" s="64" t="str">
        <f t="shared" ref="AI5:AI42" si="3">O5</f>
        <v>6M</v>
      </c>
      <c r="AJ5" s="484" t="e">
        <f>((Swap6M!AB5-Swap3M!AB5)*100-AB5)/10000</f>
        <v>#NUM!</v>
      </c>
    </row>
    <row r="6" spans="1:36" x14ac:dyDescent="0.2">
      <c r="A6" s="77"/>
      <c r="B6" s="87" t="s">
        <v>1</v>
      </c>
      <c r="C6" s="75" t="str">
        <f t="shared" ref="C6:C42" si="4">C5</f>
        <v>3L</v>
      </c>
      <c r="D6" s="74" t="str">
        <f t="shared" ref="D6:D42" si="5">D5</f>
        <v>6L</v>
      </c>
      <c r="E6" s="73" t="str">
        <f t="shared" si="0"/>
        <v>GBP3L6L1Y_Quote</v>
      </c>
      <c r="F6" s="73" t="str">
        <f>_xll.qlSimpleQuote(E6,,RateTickValue,Permanent,Trigger,ObjectOverwrite)</f>
        <v>GBP3L6L1Y_Quote#0000</v>
      </c>
      <c r="G6" s="72" t="str">
        <f>_xll.ohRangeRetrieveError(F6)</f>
        <v/>
      </c>
      <c r="H6" s="71"/>
      <c r="N6" s="492">
        <v>1</v>
      </c>
      <c r="O6" s="386" t="s">
        <v>1</v>
      </c>
      <c r="P6" s="389" t="str">
        <v>3L</v>
      </c>
      <c r="Q6" s="389" t="str">
        <v>6L</v>
      </c>
      <c r="R6" s="387" t="str">
        <f t="shared" si="1"/>
        <v>GBP3L6L1Y</v>
      </c>
      <c r="S6" s="346" t="str">
        <v>GBP3L6L1Y=ICAP</v>
      </c>
      <c r="T6" s="490">
        <v>10.125</v>
      </c>
      <c r="U6" s="490">
        <v>15.125</v>
      </c>
      <c r="V6" s="490">
        <f>_xll.qlMidEquivalent(T6,U6)</f>
        <v>12.625</v>
      </c>
      <c r="W6" s="343" t="b">
        <f t="shared" si="2"/>
        <v>1</v>
      </c>
      <c r="X6" s="491">
        <v>12.625</v>
      </c>
      <c r="Y6" s="337"/>
      <c r="Z6" s="488">
        <v>14.25</v>
      </c>
      <c r="AA6" s="337"/>
      <c r="AB6" s="599">
        <v>14.25</v>
      </c>
      <c r="AC6" s="342" t="e">
        <f>_xll.qlSimpleQuoteSetValue(F6,AB6/10000,Trigger)</f>
        <v>#N/A</v>
      </c>
      <c r="AD6" s="213"/>
      <c r="AE6" s="64"/>
      <c r="AF6" s="83" t="s">
        <v>120</v>
      </c>
      <c r="AG6" s="82" t="s">
        <v>126</v>
      </c>
      <c r="AH6" s="81" t="s">
        <v>118</v>
      </c>
      <c r="AI6" s="64" t="str">
        <f t="shared" si="3"/>
        <v>1Y</v>
      </c>
      <c r="AJ6" s="484" t="e">
        <f>((Swap6M!AB6-Swap3M!AB6)*100-AB6)/10000</f>
        <v>#NUM!</v>
      </c>
    </row>
    <row r="7" spans="1:36" x14ac:dyDescent="0.2">
      <c r="A7" s="77"/>
      <c r="B7" s="87" t="s">
        <v>124</v>
      </c>
      <c r="C7" s="75" t="str">
        <f t="shared" si="4"/>
        <v>3L</v>
      </c>
      <c r="D7" s="74" t="str">
        <f t="shared" si="5"/>
        <v>6L</v>
      </c>
      <c r="E7" s="73" t="str">
        <f t="shared" si="0"/>
        <v>GBP3L6L15M_Quote</v>
      </c>
      <c r="F7" s="73" t="str">
        <f>_xll.qlSimpleQuote(E7,,RateTickValue,Permanent,Trigger,ObjectOverwrite)</f>
        <v>GBP3L6L15M_Quote#0000</v>
      </c>
      <c r="G7" s="72" t="str">
        <f>_xll.ohRangeRetrieveError(F7)</f>
        <v/>
      </c>
      <c r="H7" s="71"/>
      <c r="N7" s="492">
        <v>1.25</v>
      </c>
      <c r="O7" s="386" t="s">
        <v>124</v>
      </c>
      <c r="P7" s="389" t="str">
        <v>3L</v>
      </c>
      <c r="Q7" s="389" t="str">
        <v>6L</v>
      </c>
      <c r="R7" s="387" t="str">
        <f t="shared" si="1"/>
        <v>GBP3L6L15M</v>
      </c>
      <c r="S7" s="346" t="str">
        <v>GBP3L6L15M=ICAP</v>
      </c>
      <c r="T7" s="490" t="s">
        <v>233</v>
      </c>
      <c r="U7" s="490" t="s">
        <v>233</v>
      </c>
      <c r="V7" s="490" t="e">
        <f>_xll.qlMidEquivalent(T7,U7)</f>
        <v>#NUM!</v>
      </c>
      <c r="W7" s="343" t="b">
        <f t="shared" si="2"/>
        <v>0</v>
      </c>
      <c r="X7" s="491">
        <v>12.594340279296567</v>
      </c>
      <c r="Y7" s="337"/>
      <c r="Z7" s="488">
        <v>13.967554953708214</v>
      </c>
      <c r="AA7" s="337"/>
      <c r="AB7" s="599">
        <v>13.967554953708214</v>
      </c>
      <c r="AC7" s="342" t="e">
        <f>_xll.qlSimpleQuoteSetValue(F7,AB7/10000,Trigger)</f>
        <v>#N/A</v>
      </c>
      <c r="AD7" s="213"/>
      <c r="AE7" s="64"/>
      <c r="AF7" s="83" t="s">
        <v>96</v>
      </c>
      <c r="AG7" s="82" t="s">
        <v>114</v>
      </c>
      <c r="AH7" s="81" t="s">
        <v>116</v>
      </c>
      <c r="AI7" s="64" t="str">
        <f t="shared" si="3"/>
        <v>15M</v>
      </c>
      <c r="AJ7" s="484" t="e">
        <f>((Swap6M!AB7-Swap3M!AB7)*100-AB7)/10000</f>
        <v>#NUM!</v>
      </c>
    </row>
    <row r="8" spans="1:36" x14ac:dyDescent="0.2">
      <c r="A8" s="77"/>
      <c r="B8" s="87" t="s">
        <v>123</v>
      </c>
      <c r="C8" s="75" t="str">
        <f t="shared" si="4"/>
        <v>3L</v>
      </c>
      <c r="D8" s="74" t="str">
        <f t="shared" si="5"/>
        <v>6L</v>
      </c>
      <c r="E8" s="73" t="str">
        <f t="shared" si="0"/>
        <v>GBP3L6L18M_Quote</v>
      </c>
      <c r="F8" s="73" t="str">
        <f>_xll.qlSimpleQuote(E8,,RateTickValue,Permanent,Trigger,ObjectOverwrite)</f>
        <v>GBP3L6L18M_Quote#0000</v>
      </c>
      <c r="G8" s="72" t="str">
        <f>_xll.ohRangeRetrieveError(F8)</f>
        <v/>
      </c>
      <c r="H8" s="71"/>
      <c r="N8" s="492">
        <v>1.5</v>
      </c>
      <c r="O8" s="386" t="s">
        <v>123</v>
      </c>
      <c r="P8" s="389" t="str">
        <v>3L</v>
      </c>
      <c r="Q8" s="389" t="str">
        <v>6L</v>
      </c>
      <c r="R8" s="387" t="str">
        <f t="shared" si="1"/>
        <v>GBP3L6L18M</v>
      </c>
      <c r="S8" s="346" t="str">
        <v>GBP3L6L18M=ICAP</v>
      </c>
      <c r="T8" s="490" t="s">
        <v>233</v>
      </c>
      <c r="U8" s="490" t="s">
        <v>233</v>
      </c>
      <c r="V8" s="490" t="e">
        <f>_xll.qlMidEquivalent(T8,U8)</f>
        <v>#NUM!</v>
      </c>
      <c r="W8" s="343" t="b">
        <f t="shared" si="2"/>
        <v>0</v>
      </c>
      <c r="X8" s="491">
        <v>12.563444446874508</v>
      </c>
      <c r="Y8" s="337"/>
      <c r="Z8" s="488">
        <v>13.698087925933141</v>
      </c>
      <c r="AA8" s="337"/>
      <c r="AB8" s="599">
        <v>13.698087925933141</v>
      </c>
      <c r="AC8" s="342" t="e">
        <f>_xll.qlSimpleQuoteSetValue(F8,AB8/10000,Trigger)</f>
        <v>#N/A</v>
      </c>
      <c r="AD8" s="213"/>
      <c r="AE8" s="64"/>
      <c r="AF8" s="83" t="s">
        <v>117</v>
      </c>
      <c r="AG8" s="82" t="s">
        <v>114</v>
      </c>
      <c r="AH8" s="81" t="s">
        <v>116</v>
      </c>
      <c r="AI8" s="64" t="str">
        <f t="shared" si="3"/>
        <v>18M</v>
      </c>
      <c r="AJ8" s="484">
        <f>((Swap6M!AB8-Swap3M!AB8)*100-AB8)/10000</f>
        <v>-1.9808792593314095E-5</v>
      </c>
    </row>
    <row r="9" spans="1:36" ht="13.5" thickBot="1" x14ac:dyDescent="0.25">
      <c r="A9" s="77"/>
      <c r="B9" s="87" t="s">
        <v>122</v>
      </c>
      <c r="C9" s="75" t="str">
        <f t="shared" si="4"/>
        <v>3L</v>
      </c>
      <c r="D9" s="74" t="str">
        <f t="shared" si="5"/>
        <v>6L</v>
      </c>
      <c r="E9" s="73" t="str">
        <f t="shared" si="0"/>
        <v>GBP3L6L21M_Quote</v>
      </c>
      <c r="F9" s="73" t="str">
        <f>_xll.qlSimpleQuote(E9,,RateTickValue,Permanent,Trigger,ObjectOverwrite)</f>
        <v>GBP3L6L21M_Quote#0000</v>
      </c>
      <c r="G9" s="72" t="str">
        <f>_xll.ohRangeRetrieveError(F9)</f>
        <v/>
      </c>
      <c r="H9" s="71"/>
      <c r="N9" s="492">
        <v>1.75</v>
      </c>
      <c r="O9" s="386" t="s">
        <v>122</v>
      </c>
      <c r="P9" s="389" t="str">
        <v>3L</v>
      </c>
      <c r="Q9" s="389" t="str">
        <v>6L</v>
      </c>
      <c r="R9" s="387" t="str">
        <f t="shared" si="1"/>
        <v>GBP3L6L21M</v>
      </c>
      <c r="S9" s="346" t="str">
        <v>GBP3L6L21M=ICAP</v>
      </c>
      <c r="T9" s="490" t="s">
        <v>233</v>
      </c>
      <c r="U9" s="490" t="s">
        <v>233</v>
      </c>
      <c r="V9" s="490" t="e">
        <f>_xll.qlMidEquivalent(T9,U9)</f>
        <v>#NUM!</v>
      </c>
      <c r="W9" s="343" t="b">
        <f t="shared" si="2"/>
        <v>0</v>
      </c>
      <c r="X9" s="491">
        <v>12.532076391015194</v>
      </c>
      <c r="Y9" s="337"/>
      <c r="Z9" s="488">
        <v>13.454576935191499</v>
      </c>
      <c r="AA9" s="337"/>
      <c r="AB9" s="599">
        <v>13.454576935191499</v>
      </c>
      <c r="AC9" s="342" t="e">
        <f>_xll.qlSimpleQuoteSetValue(F9,AB9/10000,Trigger)</f>
        <v>#N/A</v>
      </c>
      <c r="AD9" s="213"/>
      <c r="AE9" s="64"/>
      <c r="AF9" s="80" t="s">
        <v>115</v>
      </c>
      <c r="AG9" s="79" t="s">
        <v>116</v>
      </c>
      <c r="AH9" s="78" t="s">
        <v>114</v>
      </c>
      <c r="AI9" s="64" t="str">
        <f t="shared" si="3"/>
        <v>21M</v>
      </c>
      <c r="AJ9" s="484" t="e">
        <f>((Swap6M!AB9-Swap3M!AB9)*100-AB9)/10000</f>
        <v>#NUM!</v>
      </c>
    </row>
    <row r="10" spans="1:36" x14ac:dyDescent="0.2">
      <c r="A10" s="77"/>
      <c r="B10" s="76" t="s">
        <v>85</v>
      </c>
      <c r="C10" s="75" t="str">
        <f t="shared" si="4"/>
        <v>3L</v>
      </c>
      <c r="D10" s="74" t="str">
        <f t="shared" si="5"/>
        <v>6L</v>
      </c>
      <c r="E10" s="73" t="str">
        <f t="shared" si="0"/>
        <v>GBP3L6L2Y_Quote</v>
      </c>
      <c r="F10" s="73" t="str">
        <f>_xll.qlSimpleQuote(E10,,RateTickValue,Permanent,Trigger,ObjectOverwrite)</f>
        <v>GBP3L6L2Y_Quote#0000</v>
      </c>
      <c r="G10" s="72" t="str">
        <f>_xll.ohRangeRetrieveError(F10)</f>
        <v/>
      </c>
      <c r="H10" s="71"/>
      <c r="J10" s="86" t="s">
        <v>121</v>
      </c>
      <c r="K10" s="85" t="s">
        <v>114</v>
      </c>
      <c r="L10" s="84" t="s">
        <v>116</v>
      </c>
      <c r="N10" s="118">
        <v>2</v>
      </c>
      <c r="O10" s="386" t="s">
        <v>85</v>
      </c>
      <c r="P10" s="389" t="str">
        <v>3L</v>
      </c>
      <c r="Q10" s="389" t="str">
        <v>6L</v>
      </c>
      <c r="R10" s="387" t="str">
        <f t="shared" si="1"/>
        <v>GBP3L6L2Y</v>
      </c>
      <c r="S10" s="346" t="str">
        <v>GBP3L6L2Y=ICAP</v>
      </c>
      <c r="T10" s="490">
        <v>10.5</v>
      </c>
      <c r="U10" s="490">
        <v>14.5</v>
      </c>
      <c r="V10" s="490">
        <f>_xll.qlMidEquivalent(T10,U10)</f>
        <v>12.5</v>
      </c>
      <c r="W10" s="343" t="b">
        <f t="shared" si="2"/>
        <v>1</v>
      </c>
      <c r="X10" s="491">
        <v>12.5</v>
      </c>
      <c r="Y10" s="337"/>
      <c r="Z10" s="488">
        <v>13.25</v>
      </c>
      <c r="AA10" s="337"/>
      <c r="AB10" s="599">
        <v>13.25</v>
      </c>
      <c r="AC10" s="342" t="e">
        <f>_xll.qlSimpleQuoteSetValue(F10,AB10/10000,Trigger)</f>
        <v>#N/A</v>
      </c>
      <c r="AD10" s="213"/>
      <c r="AE10" s="64"/>
      <c r="AF10" s="64"/>
      <c r="AG10" s="64"/>
      <c r="AH10" s="64"/>
      <c r="AI10" s="64" t="str">
        <f t="shared" si="3"/>
        <v>2Y</v>
      </c>
      <c r="AJ10" s="484" t="e">
        <f>((Swap6M!AB10-Swap3M!AB10)*100-AB10)/10000</f>
        <v>#NUM!</v>
      </c>
    </row>
    <row r="11" spans="1:36" x14ac:dyDescent="0.2">
      <c r="A11" s="77"/>
      <c r="B11" s="76" t="s">
        <v>84</v>
      </c>
      <c r="C11" s="75" t="str">
        <f t="shared" si="4"/>
        <v>3L</v>
      </c>
      <c r="D11" s="74" t="str">
        <f t="shared" si="5"/>
        <v>6L</v>
      </c>
      <c r="E11" s="73" t="str">
        <f t="shared" si="0"/>
        <v>GBP3L6L3Y_Quote</v>
      </c>
      <c r="F11" s="73" t="str">
        <f>_xll.qlSimpleQuote(E11,,RateTickValue,Permanent,Trigger,ObjectOverwrite)</f>
        <v>GBP3L6L3Y_Quote#0000</v>
      </c>
      <c r="G11" s="72" t="str">
        <f>_xll.ohRangeRetrieveError(F11)</f>
        <v/>
      </c>
      <c r="H11" s="71"/>
      <c r="J11" s="83" t="s">
        <v>120</v>
      </c>
      <c r="K11" s="82" t="s">
        <v>126</v>
      </c>
      <c r="L11" s="81" t="s">
        <v>118</v>
      </c>
      <c r="N11" s="118">
        <v>3</v>
      </c>
      <c r="O11" s="386" t="s">
        <v>84</v>
      </c>
      <c r="P11" s="389" t="str">
        <v>3L</v>
      </c>
      <c r="Q11" s="389" t="str">
        <v>6L</v>
      </c>
      <c r="R11" s="387" t="str">
        <f t="shared" si="1"/>
        <v>GBP3L6L3Y</v>
      </c>
      <c r="S11" s="346" t="str">
        <v>GBP3L6L3Y=ICAP</v>
      </c>
      <c r="T11" s="490">
        <v>10.375</v>
      </c>
      <c r="U11" s="490">
        <v>14.375</v>
      </c>
      <c r="V11" s="490">
        <f>_xll.qlMidEquivalent(T11,U11)</f>
        <v>12.375</v>
      </c>
      <c r="W11" s="343" t="b">
        <f t="shared" si="2"/>
        <v>1</v>
      </c>
      <c r="X11" s="491">
        <v>12.375</v>
      </c>
      <c r="Y11" s="337"/>
      <c r="Z11" s="488">
        <v>12.75</v>
      </c>
      <c r="AA11" s="337"/>
      <c r="AB11" s="599">
        <v>12.75</v>
      </c>
      <c r="AC11" s="342" t="e">
        <f>_xll.qlSimpleQuoteSetValue(F11,AB11/10000,Trigger)</f>
        <v>#N/A</v>
      </c>
      <c r="AD11" s="213"/>
      <c r="AE11" s="64"/>
      <c r="AF11" s="64"/>
      <c r="AG11" s="64"/>
      <c r="AH11" s="64"/>
      <c r="AI11" s="64" t="str">
        <f t="shared" si="3"/>
        <v>3Y</v>
      </c>
      <c r="AJ11" s="484" t="e">
        <f>((Swap6M!AB11-Swap3M!AB11)*100-AB11)/10000</f>
        <v>#NUM!</v>
      </c>
    </row>
    <row r="12" spans="1:36" x14ac:dyDescent="0.2">
      <c r="A12" s="77"/>
      <c r="B12" s="76" t="s">
        <v>83</v>
      </c>
      <c r="C12" s="75" t="str">
        <f t="shared" si="4"/>
        <v>3L</v>
      </c>
      <c r="D12" s="74" t="str">
        <f t="shared" si="5"/>
        <v>6L</v>
      </c>
      <c r="E12" s="73" t="str">
        <f t="shared" si="0"/>
        <v>GBP3L6L4Y_Quote</v>
      </c>
      <c r="F12" s="73" t="str">
        <f>_xll.qlSimpleQuote(E12,,RateTickValue,Permanent,Trigger,ObjectOverwrite)</f>
        <v>GBP3L6L4Y_Quote#0000</v>
      </c>
      <c r="G12" s="72" t="str">
        <f>_xll.ohRangeRetrieveError(F12)</f>
        <v/>
      </c>
      <c r="H12" s="71"/>
      <c r="J12" s="83" t="s">
        <v>96</v>
      </c>
      <c r="K12" s="82" t="s">
        <v>114</v>
      </c>
      <c r="L12" s="81" t="s">
        <v>116</v>
      </c>
      <c r="N12" s="118">
        <v>4</v>
      </c>
      <c r="O12" s="386" t="s">
        <v>83</v>
      </c>
      <c r="P12" s="389" t="str">
        <v>3L</v>
      </c>
      <c r="Q12" s="389" t="str">
        <v>6L</v>
      </c>
      <c r="R12" s="387" t="str">
        <f t="shared" si="1"/>
        <v>GBP3L6L4Y</v>
      </c>
      <c r="S12" s="346" t="str">
        <v>GBP3L6L4Y=ICAP</v>
      </c>
      <c r="T12" s="490">
        <v>10.25</v>
      </c>
      <c r="U12" s="490">
        <v>14.25</v>
      </c>
      <c r="V12" s="490">
        <f>_xll.qlMidEquivalent(T12,U12)</f>
        <v>12.25</v>
      </c>
      <c r="W12" s="343" t="b">
        <f t="shared" si="2"/>
        <v>1</v>
      </c>
      <c r="X12" s="491">
        <v>12.25</v>
      </c>
      <c r="Y12" s="337"/>
      <c r="Z12" s="488">
        <v>12.25</v>
      </c>
      <c r="AA12" s="337"/>
      <c r="AB12" s="599">
        <v>12.25</v>
      </c>
      <c r="AC12" s="342" t="e">
        <f>_xll.qlSimpleQuoteSetValue(F12,AB12/10000,Trigger)</f>
        <v>#N/A</v>
      </c>
      <c r="AD12" s="213"/>
      <c r="AE12" s="64"/>
      <c r="AF12" s="64"/>
      <c r="AG12" s="64"/>
      <c r="AH12" s="64"/>
      <c r="AI12" s="64" t="str">
        <f t="shared" si="3"/>
        <v>4Y</v>
      </c>
      <c r="AJ12" s="484" t="e">
        <f>((Swap6M!AB12-Swap3M!AB12)*100-AB12)/10000</f>
        <v>#NUM!</v>
      </c>
    </row>
    <row r="13" spans="1:36" x14ac:dyDescent="0.2">
      <c r="A13" s="77"/>
      <c r="B13" s="76" t="s">
        <v>82</v>
      </c>
      <c r="C13" s="75" t="str">
        <f t="shared" si="4"/>
        <v>3L</v>
      </c>
      <c r="D13" s="74" t="str">
        <f t="shared" si="5"/>
        <v>6L</v>
      </c>
      <c r="E13" s="73" t="str">
        <f t="shared" si="0"/>
        <v>GBP3L6L5Y_Quote</v>
      </c>
      <c r="F13" s="73" t="str">
        <f>_xll.qlSimpleQuote(E13,,RateTickValue,Permanent,Trigger,ObjectOverwrite)</f>
        <v>GBP3L6L5Y_Quote#0000</v>
      </c>
      <c r="G13" s="72" t="str">
        <f>_xll.ohRangeRetrieveError(F13)</f>
        <v/>
      </c>
      <c r="H13" s="71"/>
      <c r="J13" s="83" t="s">
        <v>117</v>
      </c>
      <c r="K13" s="82" t="s">
        <v>114</v>
      </c>
      <c r="L13" s="81" t="s">
        <v>116</v>
      </c>
      <c r="N13" s="118">
        <v>5</v>
      </c>
      <c r="O13" s="386" t="s">
        <v>82</v>
      </c>
      <c r="P13" s="389" t="str">
        <v>3L</v>
      </c>
      <c r="Q13" s="389" t="str">
        <v>6L</v>
      </c>
      <c r="R13" s="387" t="str">
        <f t="shared" si="1"/>
        <v>GBP3L6L5Y</v>
      </c>
      <c r="S13" s="346" t="str">
        <v>GBP3L6L5Y=ICAP</v>
      </c>
      <c r="T13" s="490">
        <v>10</v>
      </c>
      <c r="U13" s="490">
        <v>14</v>
      </c>
      <c r="V13" s="490">
        <f>_xll.qlMidEquivalent(T13,U13)</f>
        <v>12</v>
      </c>
      <c r="W13" s="343" t="b">
        <f t="shared" si="2"/>
        <v>1</v>
      </c>
      <c r="X13" s="491">
        <v>12</v>
      </c>
      <c r="Y13" s="337"/>
      <c r="Z13" s="488">
        <v>12</v>
      </c>
      <c r="AA13" s="337"/>
      <c r="AB13" s="599">
        <v>12</v>
      </c>
      <c r="AC13" s="342" t="e">
        <f>_xll.qlSimpleQuoteSetValue(F13,AB13/10000,Trigger)</f>
        <v>#N/A</v>
      </c>
      <c r="AD13" s="213"/>
      <c r="AE13" s="64"/>
      <c r="AF13" s="64"/>
      <c r="AG13" s="64"/>
      <c r="AH13" s="64"/>
      <c r="AI13" s="64" t="str">
        <f t="shared" si="3"/>
        <v>5Y</v>
      </c>
      <c r="AJ13" s="484" t="e">
        <f>((Swap6M!AB13-Swap3M!AB13)*100-AB13)/10000</f>
        <v>#NUM!</v>
      </c>
    </row>
    <row r="14" spans="1:36" ht="13.5" thickBot="1" x14ac:dyDescent="0.25">
      <c r="A14" s="77"/>
      <c r="B14" s="76" t="s">
        <v>81</v>
      </c>
      <c r="C14" s="75" t="str">
        <f t="shared" si="4"/>
        <v>3L</v>
      </c>
      <c r="D14" s="74" t="str">
        <f t="shared" si="5"/>
        <v>6L</v>
      </c>
      <c r="E14" s="73" t="str">
        <f t="shared" si="0"/>
        <v>GBP3L6L6Y_Quote</v>
      </c>
      <c r="F14" s="73" t="str">
        <f>_xll.qlSimpleQuote(E14,,RateTickValue,Permanent,Trigger,ObjectOverwrite)</f>
        <v>GBP3L6L6Y_Quote#0000</v>
      </c>
      <c r="G14" s="72" t="str">
        <f>_xll.ohRangeRetrieveError(F14)</f>
        <v/>
      </c>
      <c r="H14" s="71"/>
      <c r="J14" s="80" t="s">
        <v>115</v>
      </c>
      <c r="K14" s="79" t="s">
        <v>116</v>
      </c>
      <c r="L14" s="78" t="s">
        <v>114</v>
      </c>
      <c r="N14" s="118">
        <v>6</v>
      </c>
      <c r="O14" s="386" t="s">
        <v>81</v>
      </c>
      <c r="P14" s="389" t="str">
        <v>3L</v>
      </c>
      <c r="Q14" s="389" t="str">
        <v>6L</v>
      </c>
      <c r="R14" s="387" t="str">
        <f t="shared" si="1"/>
        <v>GBP3L6L6Y</v>
      </c>
      <c r="S14" s="346" t="str">
        <v>GBP3L6L6Y=ICAP</v>
      </c>
      <c r="T14" s="490">
        <v>10.25</v>
      </c>
      <c r="U14" s="490">
        <v>13.25</v>
      </c>
      <c r="V14" s="490">
        <f>_xll.qlMidEquivalent(T14,U14)</f>
        <v>11.75</v>
      </c>
      <c r="W14" s="343" t="b">
        <f t="shared" si="2"/>
        <v>1</v>
      </c>
      <c r="X14" s="491">
        <v>11.75</v>
      </c>
      <c r="Y14" s="337"/>
      <c r="Z14" s="488">
        <v>11.75</v>
      </c>
      <c r="AA14" s="337"/>
      <c r="AB14" s="599">
        <v>11.75</v>
      </c>
      <c r="AC14" s="342" t="e">
        <f>_xll.qlSimpleQuoteSetValue(F14,AB14/10000,Trigger)</f>
        <v>#N/A</v>
      </c>
      <c r="AD14" s="213"/>
      <c r="AE14" s="64"/>
      <c r="AF14" s="64"/>
      <c r="AG14" s="64"/>
      <c r="AH14" s="64"/>
      <c r="AI14" s="64" t="str">
        <f t="shared" si="3"/>
        <v>6Y</v>
      </c>
      <c r="AJ14" s="484" t="e">
        <f>((Swap6M!AB14-Swap3M!AB14)*100-AB14)/10000</f>
        <v>#NUM!</v>
      </c>
    </row>
    <row r="15" spans="1:36" x14ac:dyDescent="0.2">
      <c r="A15" s="77"/>
      <c r="B15" s="76" t="s">
        <v>80</v>
      </c>
      <c r="C15" s="75" t="str">
        <f t="shared" si="4"/>
        <v>3L</v>
      </c>
      <c r="D15" s="74" t="str">
        <f t="shared" si="5"/>
        <v>6L</v>
      </c>
      <c r="E15" s="73" t="str">
        <f t="shared" si="0"/>
        <v>GBP3L6L7Y_Quote</v>
      </c>
      <c r="F15" s="73" t="str">
        <f>_xll.qlSimpleQuote(E15,,RateTickValue,Permanent,Trigger,ObjectOverwrite)</f>
        <v>GBP3L6L7Y_Quote#0000</v>
      </c>
      <c r="G15" s="72" t="str">
        <f>_xll.ohRangeRetrieveError(F15)</f>
        <v/>
      </c>
      <c r="H15" s="71"/>
      <c r="N15" s="118">
        <v>7</v>
      </c>
      <c r="O15" s="386" t="s">
        <v>80</v>
      </c>
      <c r="P15" s="389" t="str">
        <v>3L</v>
      </c>
      <c r="Q15" s="389" t="str">
        <v>6L</v>
      </c>
      <c r="R15" s="387" t="str">
        <f t="shared" si="1"/>
        <v>GBP3L6L7Y</v>
      </c>
      <c r="S15" s="346" t="str">
        <v>GBP3L6L7Y=ICAP</v>
      </c>
      <c r="T15" s="490">
        <v>9.875</v>
      </c>
      <c r="U15" s="490">
        <v>12.875</v>
      </c>
      <c r="V15" s="490">
        <f>_xll.qlMidEquivalent(T15,U15)</f>
        <v>11.375</v>
      </c>
      <c r="W15" s="343" t="b">
        <f t="shared" si="2"/>
        <v>1</v>
      </c>
      <c r="X15" s="491">
        <v>11.375</v>
      </c>
      <c r="Y15" s="337"/>
      <c r="Z15" s="488">
        <v>11.25</v>
      </c>
      <c r="AA15" s="337"/>
      <c r="AB15" s="599">
        <v>11.25</v>
      </c>
      <c r="AC15" s="342" t="e">
        <f>_xll.qlSimpleQuoteSetValue(F15,AB15/10000,Trigger)</f>
        <v>#N/A</v>
      </c>
      <c r="AD15" s="213"/>
      <c r="AE15" s="64"/>
      <c r="AF15" s="64"/>
      <c r="AG15" s="64"/>
      <c r="AH15" s="64"/>
      <c r="AI15" s="64" t="str">
        <f t="shared" si="3"/>
        <v>7Y</v>
      </c>
      <c r="AJ15" s="484" t="e">
        <f>((Swap6M!AB15-Swap3M!AB15)*100-AB15)/10000</f>
        <v>#NUM!</v>
      </c>
    </row>
    <row r="16" spans="1:36" x14ac:dyDescent="0.2">
      <c r="A16" s="77"/>
      <c r="B16" s="76" t="s">
        <v>79</v>
      </c>
      <c r="C16" s="75" t="str">
        <f t="shared" si="4"/>
        <v>3L</v>
      </c>
      <c r="D16" s="74" t="str">
        <f t="shared" si="5"/>
        <v>6L</v>
      </c>
      <c r="E16" s="73" t="str">
        <f t="shared" si="0"/>
        <v>GBP3L6L8Y_Quote</v>
      </c>
      <c r="F16" s="73" t="str">
        <f>_xll.qlSimpleQuote(E16,,RateTickValue,Permanent,Trigger,ObjectOverwrite)</f>
        <v>GBP3L6L8Y_Quote#0000</v>
      </c>
      <c r="G16" s="72" t="str">
        <f>_xll.ohRangeRetrieveError(F16)</f>
        <v/>
      </c>
      <c r="H16" s="71"/>
      <c r="N16" s="118">
        <v>8</v>
      </c>
      <c r="O16" s="386" t="s">
        <v>79</v>
      </c>
      <c r="P16" s="389" t="str">
        <v>3L</v>
      </c>
      <c r="Q16" s="389" t="str">
        <v>6L</v>
      </c>
      <c r="R16" s="387" t="str">
        <f t="shared" si="1"/>
        <v>GBP3L6L8Y</v>
      </c>
      <c r="S16" s="346" t="str">
        <v>GBP3L6L8Y=ICAP</v>
      </c>
      <c r="T16" s="490">
        <v>9.375</v>
      </c>
      <c r="U16" s="490">
        <v>12.375</v>
      </c>
      <c r="V16" s="490">
        <f>_xll.qlMidEquivalent(T16,U16)</f>
        <v>10.875</v>
      </c>
      <c r="W16" s="343" t="b">
        <f t="shared" si="2"/>
        <v>1</v>
      </c>
      <c r="X16" s="491">
        <v>10.875</v>
      </c>
      <c r="Y16" s="337"/>
      <c r="Z16" s="488">
        <v>10.75</v>
      </c>
      <c r="AA16" s="337"/>
      <c r="AB16" s="599">
        <v>10.75</v>
      </c>
      <c r="AC16" s="342" t="e">
        <f>_xll.qlSimpleQuoteSetValue(F16,AB16/10000,Trigger)</f>
        <v>#N/A</v>
      </c>
      <c r="AD16" s="213"/>
      <c r="AE16" s="64"/>
      <c r="AF16" s="64"/>
      <c r="AG16" s="64"/>
      <c r="AH16" s="64"/>
      <c r="AI16" s="64" t="str">
        <f t="shared" si="3"/>
        <v>8Y</v>
      </c>
      <c r="AJ16" s="484" t="e">
        <f>((Swap6M!AB16-Swap3M!AB16)*100-AB16)/10000</f>
        <v>#NUM!</v>
      </c>
    </row>
    <row r="17" spans="1:36" x14ac:dyDescent="0.2">
      <c r="A17" s="77"/>
      <c r="B17" s="76" t="s">
        <v>78</v>
      </c>
      <c r="C17" s="75" t="str">
        <f t="shared" si="4"/>
        <v>3L</v>
      </c>
      <c r="D17" s="74" t="str">
        <f t="shared" si="5"/>
        <v>6L</v>
      </c>
      <c r="E17" s="73" t="str">
        <f t="shared" si="0"/>
        <v>GBP3L6L9Y_Quote</v>
      </c>
      <c r="F17" s="73" t="str">
        <f>_xll.qlSimpleQuote(E17,,RateTickValue,Permanent,Trigger,ObjectOverwrite)</f>
        <v>GBP3L6L9Y_Quote#0000</v>
      </c>
      <c r="G17" s="72" t="str">
        <f>_xll.ohRangeRetrieveError(F17)</f>
        <v/>
      </c>
      <c r="H17" s="71"/>
      <c r="N17" s="118">
        <v>9</v>
      </c>
      <c r="O17" s="386" t="s">
        <v>78</v>
      </c>
      <c r="P17" s="389" t="str">
        <v>3L</v>
      </c>
      <c r="Q17" s="389" t="str">
        <v>6L</v>
      </c>
      <c r="R17" s="387" t="str">
        <f t="shared" si="1"/>
        <v>GBP3L6L9Y</v>
      </c>
      <c r="S17" s="346" t="str">
        <v>GBP3L6L9Y=ICAP</v>
      </c>
      <c r="T17" s="490">
        <v>9</v>
      </c>
      <c r="U17" s="490">
        <v>12</v>
      </c>
      <c r="V17" s="490">
        <f>_xll.qlMidEquivalent(T17,U17)</f>
        <v>10.5</v>
      </c>
      <c r="W17" s="343" t="b">
        <f t="shared" si="2"/>
        <v>1</v>
      </c>
      <c r="X17" s="491">
        <v>10.5</v>
      </c>
      <c r="Y17" s="337"/>
      <c r="Z17" s="488">
        <v>10.25</v>
      </c>
      <c r="AA17" s="337"/>
      <c r="AB17" s="599">
        <v>10.25</v>
      </c>
      <c r="AC17" s="342" t="e">
        <f>_xll.qlSimpleQuoteSetValue(F17,AB17/10000,Trigger)</f>
        <v>#N/A</v>
      </c>
      <c r="AD17" s="213"/>
      <c r="AE17" s="64"/>
      <c r="AF17" s="64"/>
      <c r="AG17" s="64"/>
      <c r="AH17" s="64"/>
      <c r="AI17" s="64" t="str">
        <f t="shared" si="3"/>
        <v>9Y</v>
      </c>
      <c r="AJ17" s="484" t="e">
        <f>((Swap6M!AB17-Swap3M!AB17)*100-AB17)/10000</f>
        <v>#NUM!</v>
      </c>
    </row>
    <row r="18" spans="1:36" x14ac:dyDescent="0.2">
      <c r="A18" s="77"/>
      <c r="B18" s="76" t="s">
        <v>77</v>
      </c>
      <c r="C18" s="75" t="str">
        <f t="shared" si="4"/>
        <v>3L</v>
      </c>
      <c r="D18" s="74" t="str">
        <f t="shared" si="5"/>
        <v>6L</v>
      </c>
      <c r="E18" s="73" t="str">
        <f t="shared" si="0"/>
        <v>GBP3L6L10Y_Quote</v>
      </c>
      <c r="F18" s="73" t="str">
        <f>_xll.qlSimpleQuote(E18,,RateTickValue,Permanent,Trigger,ObjectOverwrite)</f>
        <v>GBP3L6L10Y_Quote#0000</v>
      </c>
      <c r="G18" s="72" t="str">
        <f>_xll.ohRangeRetrieveError(F18)</f>
        <v/>
      </c>
      <c r="H18" s="71"/>
      <c r="N18" s="118">
        <v>10</v>
      </c>
      <c r="O18" s="386" t="s">
        <v>77</v>
      </c>
      <c r="P18" s="389" t="str">
        <v>3L</v>
      </c>
      <c r="Q18" s="389" t="str">
        <v>6L</v>
      </c>
      <c r="R18" s="387" t="str">
        <f t="shared" si="1"/>
        <v>GBP3L6L10Y</v>
      </c>
      <c r="S18" s="346" t="str">
        <v>GBP3L6L10Y=ICAP</v>
      </c>
      <c r="T18" s="490">
        <v>8.625</v>
      </c>
      <c r="U18" s="490">
        <v>11.625</v>
      </c>
      <c r="V18" s="490">
        <f>_xll.qlMidEquivalent(T18,U18)</f>
        <v>10.125</v>
      </c>
      <c r="W18" s="343" t="b">
        <f t="shared" si="2"/>
        <v>1</v>
      </c>
      <c r="X18" s="491">
        <v>10.125</v>
      </c>
      <c r="Y18" s="337"/>
      <c r="Z18" s="488">
        <v>10</v>
      </c>
      <c r="AA18" s="337"/>
      <c r="AB18" s="599">
        <v>10</v>
      </c>
      <c r="AC18" s="342" t="e">
        <f>_xll.qlSimpleQuoteSetValue(F18,AB18/10000,Trigger)</f>
        <v>#N/A</v>
      </c>
      <c r="AD18" s="213"/>
      <c r="AE18" s="64"/>
      <c r="AF18" s="64"/>
      <c r="AG18" s="64"/>
      <c r="AH18" s="64"/>
      <c r="AI18" s="64" t="str">
        <f t="shared" si="3"/>
        <v>10Y</v>
      </c>
      <c r="AJ18" s="484" t="e">
        <f>((Swap6M!AB18-Swap3M!AB18)*100-AB18)/10000</f>
        <v>#NUM!</v>
      </c>
    </row>
    <row r="19" spans="1:36" x14ac:dyDescent="0.2">
      <c r="A19" s="77"/>
      <c r="B19" s="76" t="s">
        <v>76</v>
      </c>
      <c r="C19" s="75" t="str">
        <f t="shared" si="4"/>
        <v>3L</v>
      </c>
      <c r="D19" s="74" t="str">
        <f t="shared" si="5"/>
        <v>6L</v>
      </c>
      <c r="E19" s="73" t="str">
        <f t="shared" si="0"/>
        <v>GBP3L6L11Y_Quote</v>
      </c>
      <c r="F19" s="73" t="str">
        <f>_xll.qlSimpleQuote(E19,,RateTickValue,Permanent,Trigger,ObjectOverwrite)</f>
        <v>GBP3L6L11Y_Quote#0000</v>
      </c>
      <c r="G19" s="72" t="str">
        <f>_xll.ohRangeRetrieveError(F19)</f>
        <v/>
      </c>
      <c r="H19" s="71"/>
      <c r="N19" s="118">
        <v>11</v>
      </c>
      <c r="O19" s="386" t="s">
        <v>76</v>
      </c>
      <c r="P19" s="389" t="str">
        <v>3L</v>
      </c>
      <c r="Q19" s="389" t="str">
        <v>6L</v>
      </c>
      <c r="R19" s="387" t="str">
        <f t="shared" si="1"/>
        <v>GBP3L6L11Y</v>
      </c>
      <c r="S19" s="346" t="str">
        <v>GBP3L6L11Y=ICAP</v>
      </c>
      <c r="T19" s="490" t="s">
        <v>233</v>
      </c>
      <c r="U19" s="490" t="s">
        <v>233</v>
      </c>
      <c r="V19" s="490" t="e">
        <f>_xll.qlMidEquivalent(T19,U19)</f>
        <v>#NUM!</v>
      </c>
      <c r="W19" s="343" t="b">
        <f t="shared" si="2"/>
        <v>0</v>
      </c>
      <c r="X19" s="491">
        <v>9.7895284739868771</v>
      </c>
      <c r="Y19" s="337"/>
      <c r="Z19" s="488">
        <v>9.754799001465372</v>
      </c>
      <c r="AA19" s="337"/>
      <c r="AB19" s="599">
        <v>9.754799001465372</v>
      </c>
      <c r="AC19" s="342" t="e">
        <f>_xll.qlSimpleQuoteSetValue(F19,AB19/10000,Trigger)</f>
        <v>#N/A</v>
      </c>
      <c r="AD19" s="213"/>
      <c r="AE19" s="64"/>
      <c r="AF19" s="64"/>
      <c r="AG19" s="64"/>
      <c r="AH19" s="64"/>
      <c r="AI19" s="64" t="str">
        <f t="shared" si="3"/>
        <v>11Y</v>
      </c>
      <c r="AJ19" s="484" t="e">
        <f>((Swap6M!AB19-Swap3M!AB19)*100-AB19)/10000</f>
        <v>#NUM!</v>
      </c>
    </row>
    <row r="20" spans="1:36" x14ac:dyDescent="0.2">
      <c r="A20" s="77"/>
      <c r="B20" s="76" t="s">
        <v>75</v>
      </c>
      <c r="C20" s="75" t="str">
        <f t="shared" si="4"/>
        <v>3L</v>
      </c>
      <c r="D20" s="74" t="str">
        <f t="shared" si="5"/>
        <v>6L</v>
      </c>
      <c r="E20" s="73" t="str">
        <f t="shared" si="0"/>
        <v>GBP3L6L12Y_Quote</v>
      </c>
      <c r="F20" s="73" t="str">
        <f>_xll.qlSimpleQuote(E20,,RateTickValue,Permanent,Trigger,ObjectOverwrite)</f>
        <v>GBP3L6L12Y_Quote#0000</v>
      </c>
      <c r="G20" s="72" t="str">
        <f>_xll.ohRangeRetrieveError(F20)</f>
        <v/>
      </c>
      <c r="H20" s="71"/>
      <c r="N20" s="118">
        <v>12</v>
      </c>
      <c r="O20" s="386" t="s">
        <v>75</v>
      </c>
      <c r="P20" s="389" t="str">
        <v>3L</v>
      </c>
      <c r="Q20" s="389" t="str">
        <v>6L</v>
      </c>
      <c r="R20" s="387" t="str">
        <f t="shared" si="1"/>
        <v>GBP3L6L12Y</v>
      </c>
      <c r="S20" s="346" t="str">
        <v>GBP3L6L12Y=ICAP</v>
      </c>
      <c r="T20" s="490">
        <v>8</v>
      </c>
      <c r="U20" s="490">
        <v>11</v>
      </c>
      <c r="V20" s="490">
        <f>_xll.qlMidEquivalent(T20,U20)</f>
        <v>9.5</v>
      </c>
      <c r="W20" s="343" t="b">
        <f t="shared" si="2"/>
        <v>1</v>
      </c>
      <c r="X20" s="491">
        <v>9.5</v>
      </c>
      <c r="Y20" s="337"/>
      <c r="Z20" s="488">
        <v>9.5</v>
      </c>
      <c r="AA20" s="337"/>
      <c r="AB20" s="599">
        <v>9.5</v>
      </c>
      <c r="AC20" s="342" t="e">
        <f>_xll.qlSimpleQuoteSetValue(F20,AB20/10000,Trigger)</f>
        <v>#N/A</v>
      </c>
      <c r="AD20" s="213"/>
      <c r="AE20" s="64"/>
      <c r="AF20" s="64"/>
      <c r="AG20" s="64"/>
      <c r="AH20" s="64"/>
      <c r="AI20" s="64" t="str">
        <f t="shared" si="3"/>
        <v>12Y</v>
      </c>
      <c r="AJ20" s="484" t="e">
        <f>((Swap6M!AB20-Swap3M!AB20)*100-AB20)/10000</f>
        <v>#NUM!</v>
      </c>
    </row>
    <row r="21" spans="1:36" x14ac:dyDescent="0.2">
      <c r="A21" s="77"/>
      <c r="B21" s="76" t="s">
        <v>74</v>
      </c>
      <c r="C21" s="75" t="str">
        <f t="shared" si="4"/>
        <v>3L</v>
      </c>
      <c r="D21" s="74" t="str">
        <f t="shared" si="5"/>
        <v>6L</v>
      </c>
      <c r="E21" s="73" t="str">
        <f t="shared" si="0"/>
        <v>GBP3L6L13Y_Quote</v>
      </c>
      <c r="F21" s="73" t="str">
        <f>_xll.qlSimpleQuote(E21,,RateTickValue,Permanent,Trigger,ObjectOverwrite)</f>
        <v>GBP3L6L13Y_Quote#0000</v>
      </c>
      <c r="G21" s="72" t="str">
        <f>_xll.ohRangeRetrieveError(F21)</f>
        <v/>
      </c>
      <c r="H21" s="71"/>
      <c r="N21" s="118">
        <v>13</v>
      </c>
      <c r="O21" s="386" t="s">
        <v>74</v>
      </c>
      <c r="P21" s="389" t="str">
        <v>3L</v>
      </c>
      <c r="Q21" s="389" t="str">
        <v>6L</v>
      </c>
      <c r="R21" s="387" t="str">
        <f t="shared" si="1"/>
        <v>GBP3L6L13Y</v>
      </c>
      <c r="S21" s="346" t="str">
        <v>GBP3L6L13Y=ICAP</v>
      </c>
      <c r="T21" s="490" t="s">
        <v>233</v>
      </c>
      <c r="U21" s="490" t="s">
        <v>233</v>
      </c>
      <c r="V21" s="490" t="e">
        <f>_xll.qlMidEquivalent(T21,U21)</f>
        <v>#NUM!</v>
      </c>
      <c r="W21" s="343" t="b">
        <f t="shared" si="2"/>
        <v>0</v>
      </c>
      <c r="X21" s="491">
        <v>9.236442663780295</v>
      </c>
      <c r="Y21" s="337"/>
      <c r="Z21" s="488">
        <v>9.3040145468121018</v>
      </c>
      <c r="AA21" s="337"/>
      <c r="AB21" s="599">
        <v>9.3040145468121018</v>
      </c>
      <c r="AC21" s="342" t="e">
        <f>_xll.qlSimpleQuoteSetValue(F21,AB21/10000,Trigger)</f>
        <v>#N/A</v>
      </c>
      <c r="AD21" s="213"/>
      <c r="AE21" s="64"/>
      <c r="AF21" s="64"/>
      <c r="AG21" s="64"/>
      <c r="AH21" s="64"/>
      <c r="AI21" s="64" t="str">
        <f t="shared" si="3"/>
        <v>13Y</v>
      </c>
      <c r="AJ21" s="484" t="e">
        <f>((Swap6M!AB21-Swap3M!AB21)*100-AB21)/10000</f>
        <v>#NUM!</v>
      </c>
    </row>
    <row r="22" spans="1:36" x14ac:dyDescent="0.2">
      <c r="A22" s="77"/>
      <c r="B22" s="76" t="s">
        <v>73</v>
      </c>
      <c r="C22" s="75" t="str">
        <f t="shared" si="4"/>
        <v>3L</v>
      </c>
      <c r="D22" s="74" t="str">
        <f t="shared" si="5"/>
        <v>6L</v>
      </c>
      <c r="E22" s="73" t="str">
        <f t="shared" si="0"/>
        <v>GBP3L6L14Y_Quote</v>
      </c>
      <c r="F22" s="73" t="str">
        <f>_xll.qlSimpleQuote(E22,,RateTickValue,Permanent,Trigger,ObjectOverwrite)</f>
        <v>GBP3L6L14Y_Quote#0000</v>
      </c>
      <c r="G22" s="72" t="str">
        <f>_xll.ohRangeRetrieveError(F22)</f>
        <v/>
      </c>
      <c r="H22" s="71"/>
      <c r="N22" s="118">
        <v>14</v>
      </c>
      <c r="O22" s="386" t="s">
        <v>73</v>
      </c>
      <c r="P22" s="389" t="str">
        <v>3L</v>
      </c>
      <c r="Q22" s="389" t="str">
        <v>6L</v>
      </c>
      <c r="R22" s="387" t="str">
        <f t="shared" si="1"/>
        <v>GBP3L6L14Y</v>
      </c>
      <c r="S22" s="346" t="str">
        <v>GBP3L6L14Y=ICAP</v>
      </c>
      <c r="T22" s="490" t="s">
        <v>233</v>
      </c>
      <c r="U22" s="490" t="s">
        <v>233</v>
      </c>
      <c r="V22" s="490" t="e">
        <f>_xll.qlMidEquivalent(T22,U22)</f>
        <v>#NUM!</v>
      </c>
      <c r="W22" s="343" t="b">
        <f t="shared" si="2"/>
        <v>0</v>
      </c>
      <c r="X22" s="491">
        <v>8.9889189633966637</v>
      </c>
      <c r="Y22" s="337"/>
      <c r="Z22" s="488">
        <v>9.1500470189683423</v>
      </c>
      <c r="AA22" s="337"/>
      <c r="AB22" s="599">
        <v>9.1500470189683423</v>
      </c>
      <c r="AC22" s="342" t="e">
        <f>_xll.qlSimpleQuoteSetValue(F22,AB22/10000,Trigger)</f>
        <v>#N/A</v>
      </c>
      <c r="AD22" s="213"/>
      <c r="AE22" s="64"/>
      <c r="AF22" s="64"/>
      <c r="AG22" s="64"/>
      <c r="AH22" s="64"/>
      <c r="AI22" s="64" t="str">
        <f t="shared" si="3"/>
        <v>14Y</v>
      </c>
      <c r="AJ22" s="484" t="e">
        <f>((Swap6M!AB22-Swap3M!AB22)*100-AB22)/10000</f>
        <v>#NUM!</v>
      </c>
    </row>
    <row r="23" spans="1:36" x14ac:dyDescent="0.2">
      <c r="A23" s="77"/>
      <c r="B23" s="76" t="s">
        <v>72</v>
      </c>
      <c r="C23" s="75" t="str">
        <f t="shared" si="4"/>
        <v>3L</v>
      </c>
      <c r="D23" s="74" t="str">
        <f t="shared" si="5"/>
        <v>6L</v>
      </c>
      <c r="E23" s="73" t="str">
        <f t="shared" si="0"/>
        <v>GBP3L6L15Y_Quote</v>
      </c>
      <c r="F23" s="73" t="str">
        <f>_xll.qlSimpleQuote(E23,,RateTickValue,Permanent,Trigger,ObjectOverwrite)</f>
        <v>GBP3L6L15Y_Quote#0000</v>
      </c>
      <c r="G23" s="72" t="str">
        <f>_xll.ohRangeRetrieveError(F23)</f>
        <v/>
      </c>
      <c r="H23" s="71"/>
      <c r="N23" s="118">
        <v>15</v>
      </c>
      <c r="O23" s="386" t="s">
        <v>72</v>
      </c>
      <c r="P23" s="389" t="str">
        <v>3L</v>
      </c>
      <c r="Q23" s="389" t="str">
        <v>6L</v>
      </c>
      <c r="R23" s="387" t="str">
        <f t="shared" si="1"/>
        <v>GBP3L6L15Y</v>
      </c>
      <c r="S23" s="346" t="str">
        <v>GBP3L6L15Y=ICAP</v>
      </c>
      <c r="T23" s="490">
        <v>7.25</v>
      </c>
      <c r="U23" s="490">
        <v>10.25</v>
      </c>
      <c r="V23" s="490">
        <f>_xll.qlMidEquivalent(T23,U23)</f>
        <v>8.75</v>
      </c>
      <c r="W23" s="343" t="b">
        <f t="shared" si="2"/>
        <v>1</v>
      </c>
      <c r="X23" s="491">
        <v>8.75</v>
      </c>
      <c r="Y23" s="337"/>
      <c r="Z23" s="488">
        <v>9</v>
      </c>
      <c r="AA23" s="337"/>
      <c r="AB23" s="599">
        <v>9</v>
      </c>
      <c r="AC23" s="342" t="e">
        <f>_xll.qlSimpleQuoteSetValue(F23,AB23/10000,Trigger)</f>
        <v>#N/A</v>
      </c>
      <c r="AD23" s="213"/>
      <c r="AE23" s="64"/>
      <c r="AF23" s="64"/>
      <c r="AG23" s="64"/>
      <c r="AH23" s="64"/>
      <c r="AI23" s="64" t="str">
        <f t="shared" si="3"/>
        <v>15Y</v>
      </c>
      <c r="AJ23" s="484" t="e">
        <f>((Swap6M!AB23-Swap3M!AB23)*100-AB23)/10000</f>
        <v>#NUM!</v>
      </c>
    </row>
    <row r="24" spans="1:36" x14ac:dyDescent="0.2">
      <c r="A24" s="77"/>
      <c r="B24" s="76" t="s">
        <v>71</v>
      </c>
      <c r="C24" s="75" t="str">
        <f t="shared" si="4"/>
        <v>3L</v>
      </c>
      <c r="D24" s="74" t="str">
        <f t="shared" si="5"/>
        <v>6L</v>
      </c>
      <c r="E24" s="73" t="str">
        <f t="shared" si="0"/>
        <v>GBP3L6L16Y_Quote</v>
      </c>
      <c r="F24" s="73" t="str">
        <f>_xll.qlSimpleQuote(E24,,RateTickValue,Permanent,Trigger,ObjectOverwrite)</f>
        <v>GBP3L6L16Y_Quote#0000</v>
      </c>
      <c r="G24" s="72" t="str">
        <f>_xll.ohRangeRetrieveError(F24)</f>
        <v/>
      </c>
      <c r="H24" s="71"/>
      <c r="N24" s="118">
        <v>16</v>
      </c>
      <c r="O24" s="386" t="s">
        <v>71</v>
      </c>
      <c r="P24" s="389" t="str">
        <v>3L</v>
      </c>
      <c r="Q24" s="389" t="str">
        <v>6L</v>
      </c>
      <c r="R24" s="387" t="str">
        <f t="shared" si="1"/>
        <v>GBP3L6L16Y</v>
      </c>
      <c r="S24" s="346" t="str">
        <v>GBP3L6L16Y=ICAP</v>
      </c>
      <c r="T24" s="490" t="s">
        <v>233</v>
      </c>
      <c r="U24" s="490" t="s">
        <v>233</v>
      </c>
      <c r="V24" s="490" t="e">
        <f>_xll.qlMidEquivalent(T24,U24)</f>
        <v>#NUM!</v>
      </c>
      <c r="W24" s="343" t="b">
        <f t="shared" si="2"/>
        <v>0</v>
      </c>
      <c r="X24" s="491">
        <v>8.5138611565163789</v>
      </c>
      <c r="Y24" s="337"/>
      <c r="Z24" s="488">
        <v>8.8239747697432787</v>
      </c>
      <c r="AA24" s="337"/>
      <c r="AB24" s="599">
        <v>8.8239747697432787</v>
      </c>
      <c r="AC24" s="342" t="e">
        <f>_xll.qlSimpleQuoteSetValue(F24,AB24/10000,Trigger)</f>
        <v>#N/A</v>
      </c>
      <c r="AD24" s="213"/>
      <c r="AE24" s="64"/>
      <c r="AF24" s="64"/>
      <c r="AG24" s="64"/>
      <c r="AH24" s="64"/>
      <c r="AI24" s="64" t="str">
        <f t="shared" si="3"/>
        <v>16Y</v>
      </c>
      <c r="AJ24" s="484" t="e">
        <f>((Swap6M!AB24-Swap3M!AB24)*100-AB24)/10000</f>
        <v>#NUM!</v>
      </c>
    </row>
    <row r="25" spans="1:36" x14ac:dyDescent="0.2">
      <c r="A25" s="77"/>
      <c r="B25" s="76" t="s">
        <v>70</v>
      </c>
      <c r="C25" s="75" t="str">
        <f t="shared" si="4"/>
        <v>3L</v>
      </c>
      <c r="D25" s="74" t="str">
        <f t="shared" si="5"/>
        <v>6L</v>
      </c>
      <c r="E25" s="73" t="str">
        <f t="shared" si="0"/>
        <v>GBP3L6L17Y_Quote</v>
      </c>
      <c r="F25" s="73" t="str">
        <f>_xll.qlSimpleQuote(E25,,RateTickValue,Permanent,Trigger,ObjectOverwrite)</f>
        <v>GBP3L6L17Y_Quote#0000</v>
      </c>
      <c r="G25" s="72" t="str">
        <f>_xll.ohRangeRetrieveError(F25)</f>
        <v/>
      </c>
      <c r="H25" s="71"/>
      <c r="N25" s="118">
        <v>17</v>
      </c>
      <c r="O25" s="386" t="s">
        <v>70</v>
      </c>
      <c r="P25" s="389" t="str">
        <v>3L</v>
      </c>
      <c r="Q25" s="389" t="str">
        <v>6L</v>
      </c>
      <c r="R25" s="387" t="str">
        <f t="shared" si="1"/>
        <v>GBP3L6L17Y</v>
      </c>
      <c r="S25" s="346" t="str">
        <v>GBP3L6L17Y=ICAP</v>
      </c>
      <c r="T25" s="490" t="s">
        <v>233</v>
      </c>
      <c r="U25" s="490" t="s">
        <v>233</v>
      </c>
      <c r="V25" s="490" t="e">
        <f>_xll.qlMidEquivalent(T25,U25)</f>
        <v>#NUM!</v>
      </c>
      <c r="W25" s="343" t="b">
        <f t="shared" si="2"/>
        <v>0</v>
      </c>
      <c r="X25" s="491">
        <v>8.2810949429725937</v>
      </c>
      <c r="Y25" s="337"/>
      <c r="Z25" s="488">
        <v>8.6248673932540854</v>
      </c>
      <c r="AA25" s="337"/>
      <c r="AB25" s="599">
        <v>8.6248673932540854</v>
      </c>
      <c r="AC25" s="342" t="e">
        <f>_xll.qlSimpleQuoteSetValue(F25,AB25/10000,Trigger)</f>
        <v>#N/A</v>
      </c>
      <c r="AD25" s="213"/>
      <c r="AE25" s="64"/>
      <c r="AF25" s="64"/>
      <c r="AG25" s="64"/>
      <c r="AH25" s="64"/>
      <c r="AI25" s="64" t="str">
        <f t="shared" si="3"/>
        <v>17Y</v>
      </c>
      <c r="AJ25" s="484" t="e">
        <f>((Swap6M!AB25-Swap3M!AB25)*100-AB25)/10000</f>
        <v>#NUM!</v>
      </c>
    </row>
    <row r="26" spans="1:36" x14ac:dyDescent="0.2">
      <c r="A26" s="77"/>
      <c r="B26" s="76" t="s">
        <v>69</v>
      </c>
      <c r="C26" s="75" t="str">
        <f t="shared" si="4"/>
        <v>3L</v>
      </c>
      <c r="D26" s="74" t="str">
        <f t="shared" si="5"/>
        <v>6L</v>
      </c>
      <c r="E26" s="73" t="str">
        <f t="shared" si="0"/>
        <v>GBP3L6L18Y_Quote</v>
      </c>
      <c r="F26" s="73" t="str">
        <f>_xll.qlSimpleQuote(E26,,RateTickValue,Permanent,Trigger,ObjectOverwrite)</f>
        <v>GBP3L6L18Y_Quote#0000</v>
      </c>
      <c r="G26" s="72" t="str">
        <f>_xll.ohRangeRetrieveError(F26)</f>
        <v/>
      </c>
      <c r="H26" s="71"/>
      <c r="N26" s="118">
        <v>18</v>
      </c>
      <c r="O26" s="386" t="s">
        <v>69</v>
      </c>
      <c r="P26" s="389" t="str">
        <v>3L</v>
      </c>
      <c r="Q26" s="389" t="str">
        <v>6L</v>
      </c>
      <c r="R26" s="387" t="str">
        <f t="shared" si="1"/>
        <v>GBP3L6L18Y</v>
      </c>
      <c r="S26" s="346" t="str">
        <v>GBP3L6L18Y=ICAP</v>
      </c>
      <c r="T26" s="490" t="s">
        <v>233</v>
      </c>
      <c r="U26" s="490" t="s">
        <v>233</v>
      </c>
      <c r="V26" s="490" t="e">
        <f>_xll.qlMidEquivalent(T26,U26)</f>
        <v>#NUM!</v>
      </c>
      <c r="W26" s="343" t="b">
        <f t="shared" si="2"/>
        <v>0</v>
      </c>
      <c r="X26" s="491">
        <v>8.0538981511706176</v>
      </c>
      <c r="Y26" s="337"/>
      <c r="Z26" s="488">
        <v>8.4137726318932522</v>
      </c>
      <c r="AA26" s="337"/>
      <c r="AB26" s="599">
        <v>8.4137726318932522</v>
      </c>
      <c r="AC26" s="342" t="e">
        <f>_xll.qlSimpleQuoteSetValue(F26,AB26/10000,Trigger)</f>
        <v>#N/A</v>
      </c>
      <c r="AD26" s="213"/>
      <c r="AE26" s="64"/>
      <c r="AF26" s="64"/>
      <c r="AG26" s="64"/>
      <c r="AH26" s="64"/>
      <c r="AI26" s="64" t="str">
        <f t="shared" si="3"/>
        <v>18Y</v>
      </c>
      <c r="AJ26" s="484" t="e">
        <f>((Swap6M!AB26-Swap3M!AB26)*100-AB26)/10000</f>
        <v>#NUM!</v>
      </c>
    </row>
    <row r="27" spans="1:36" x14ac:dyDescent="0.2">
      <c r="A27" s="77"/>
      <c r="B27" s="76" t="s">
        <v>68</v>
      </c>
      <c r="C27" s="75" t="str">
        <f t="shared" si="4"/>
        <v>3L</v>
      </c>
      <c r="D27" s="74" t="str">
        <f t="shared" si="5"/>
        <v>6L</v>
      </c>
      <c r="E27" s="73" t="str">
        <f t="shared" si="0"/>
        <v>GBP3L6L19Y_Quote</v>
      </c>
      <c r="F27" s="73" t="str">
        <f>_xll.qlSimpleQuote(E27,,RateTickValue,Permanent,Trigger,ObjectOverwrite)</f>
        <v>GBP3L6L19Y_Quote#0000</v>
      </c>
      <c r="G27" s="72" t="str">
        <f>_xll.ohRangeRetrieveError(F27)</f>
        <v/>
      </c>
      <c r="H27" s="71"/>
      <c r="N27" s="118">
        <v>19</v>
      </c>
      <c r="O27" s="386" t="s">
        <v>68</v>
      </c>
      <c r="P27" s="389" t="str">
        <v>3L</v>
      </c>
      <c r="Q27" s="389" t="str">
        <v>6L</v>
      </c>
      <c r="R27" s="387" t="str">
        <f t="shared" si="1"/>
        <v>GBP3L6L19Y</v>
      </c>
      <c r="S27" s="346" t="str">
        <v>GBP3L6L19Y=ICAP</v>
      </c>
      <c r="T27" s="490" t="s">
        <v>233</v>
      </c>
      <c r="U27" s="490" t="s">
        <v>233</v>
      </c>
      <c r="V27" s="490" t="e">
        <f>_xll.qlMidEquivalent(T27,U27)</f>
        <v>#NUM!</v>
      </c>
      <c r="W27" s="343" t="b">
        <f t="shared" si="2"/>
        <v>0</v>
      </c>
      <c r="X27" s="491">
        <v>7.8344675729124287</v>
      </c>
      <c r="Y27" s="337"/>
      <c r="Z27" s="488">
        <v>8.201785247021613</v>
      </c>
      <c r="AA27" s="337"/>
      <c r="AB27" s="599">
        <v>8.201785247021613</v>
      </c>
      <c r="AC27" s="342" t="e">
        <f>_xll.qlSimpleQuoteSetValue(F27,AB27/10000,Trigger)</f>
        <v>#N/A</v>
      </c>
      <c r="AD27" s="213"/>
      <c r="AE27" s="64"/>
      <c r="AF27" s="64"/>
      <c r="AG27" s="64"/>
      <c r="AH27" s="64"/>
      <c r="AI27" s="64" t="str">
        <f t="shared" si="3"/>
        <v>19Y</v>
      </c>
      <c r="AJ27" s="484" t="e">
        <f>((Swap6M!AB27-Swap3M!AB27)*100-AB27)/10000</f>
        <v>#NUM!</v>
      </c>
    </row>
    <row r="28" spans="1:36" x14ac:dyDescent="0.2">
      <c r="A28" s="77"/>
      <c r="B28" s="76" t="s">
        <v>67</v>
      </c>
      <c r="C28" s="75" t="str">
        <f t="shared" si="4"/>
        <v>3L</v>
      </c>
      <c r="D28" s="74" t="str">
        <f t="shared" si="5"/>
        <v>6L</v>
      </c>
      <c r="E28" s="73" t="str">
        <f t="shared" si="0"/>
        <v>GBP3L6L20Y_Quote</v>
      </c>
      <c r="F28" s="73" t="str">
        <f>_xll.qlSimpleQuote(E28,,RateTickValue,Permanent,Trigger,ObjectOverwrite)</f>
        <v>GBP3L6L20Y_Quote#0000</v>
      </c>
      <c r="G28" s="72" t="str">
        <f>_xll.ohRangeRetrieveError(F28)</f>
        <v/>
      </c>
      <c r="H28" s="71"/>
      <c r="N28" s="118">
        <v>20</v>
      </c>
      <c r="O28" s="386" t="s">
        <v>67</v>
      </c>
      <c r="P28" s="389" t="str">
        <v>3L</v>
      </c>
      <c r="Q28" s="389" t="str">
        <v>6L</v>
      </c>
      <c r="R28" s="387" t="str">
        <f t="shared" si="1"/>
        <v>GBP3L6L20Y</v>
      </c>
      <c r="S28" s="346" t="str">
        <v>GBP3L6L20Y=ICAP</v>
      </c>
      <c r="T28" s="490">
        <v>6.125</v>
      </c>
      <c r="U28" s="490">
        <v>9.125</v>
      </c>
      <c r="V28" s="490">
        <f>_xll.qlMidEquivalent(T28,U28)</f>
        <v>7.625</v>
      </c>
      <c r="W28" s="343" t="b">
        <f t="shared" si="2"/>
        <v>1</v>
      </c>
      <c r="X28" s="491">
        <v>7.625</v>
      </c>
      <c r="Y28" s="337"/>
      <c r="Z28" s="488">
        <v>8</v>
      </c>
      <c r="AA28" s="337"/>
      <c r="AB28" s="599">
        <v>8</v>
      </c>
      <c r="AC28" s="342" t="e">
        <f>_xll.qlSimpleQuoteSetValue(F28,AB28/10000,Trigger)</f>
        <v>#N/A</v>
      </c>
      <c r="AD28" s="213"/>
      <c r="AE28" s="64"/>
      <c r="AF28" s="64"/>
      <c r="AG28" s="64"/>
      <c r="AH28" s="64"/>
      <c r="AI28" s="64" t="str">
        <f t="shared" si="3"/>
        <v>20Y</v>
      </c>
      <c r="AJ28" s="484" t="e">
        <f>((Swap6M!AB28-Swap3M!AB28)*100-AB28)/10000</f>
        <v>#NUM!</v>
      </c>
    </row>
    <row r="29" spans="1:36" x14ac:dyDescent="0.2">
      <c r="A29" s="77"/>
      <c r="B29" s="76" t="s">
        <v>66</v>
      </c>
      <c r="C29" s="75" t="str">
        <f t="shared" si="4"/>
        <v>3L</v>
      </c>
      <c r="D29" s="74" t="str">
        <f t="shared" si="5"/>
        <v>6L</v>
      </c>
      <c r="E29" s="73" t="str">
        <f t="shared" si="0"/>
        <v>GBP3L6L21Y_Quote</v>
      </c>
      <c r="F29" s="73" t="str">
        <f>_xll.qlSimpleQuote(E29,,RateTickValue,Permanent,Trigger,ObjectOverwrite)</f>
        <v>GBP3L6L21Y_Quote#0000</v>
      </c>
      <c r="G29" s="72" t="str">
        <f>_xll.ohRangeRetrieveError(F29)</f>
        <v/>
      </c>
      <c r="H29" s="71"/>
      <c r="N29" s="118">
        <v>21</v>
      </c>
      <c r="O29" s="386" t="s">
        <v>66</v>
      </c>
      <c r="P29" s="389" t="str">
        <v>3L</v>
      </c>
      <c r="Q29" s="389" t="str">
        <v>6L</v>
      </c>
      <c r="R29" s="387" t="str">
        <f t="shared" si="1"/>
        <v>GBP3L6L21Y</v>
      </c>
      <c r="S29" s="346" t="str">
        <v>GBP3L6L21Y=ICAP</v>
      </c>
      <c r="T29" s="490" t="s">
        <v>233</v>
      </c>
      <c r="U29" s="490" t="s">
        <v>233</v>
      </c>
      <c r="V29" s="490" t="e">
        <f>_xll.qlMidEquivalent(T29,U29)</f>
        <v>#NUM!</v>
      </c>
      <c r="W29" s="343" t="b">
        <f t="shared" si="2"/>
        <v>0</v>
      </c>
      <c r="X29" s="491">
        <v>7.4272602648057582</v>
      </c>
      <c r="Y29" s="337"/>
      <c r="Z29" s="488">
        <v>7.8172522723470728</v>
      </c>
      <c r="AA29" s="337"/>
      <c r="AB29" s="599">
        <v>7.8172522723470728</v>
      </c>
      <c r="AC29" s="342" t="e">
        <f>_xll.qlSimpleQuoteSetValue(F29,AB29/10000,Trigger)</f>
        <v>#N/A</v>
      </c>
      <c r="AD29" s="213"/>
      <c r="AE29" s="64"/>
      <c r="AF29" s="64"/>
      <c r="AG29" s="64"/>
      <c r="AH29" s="64"/>
      <c r="AI29" s="64" t="str">
        <f t="shared" si="3"/>
        <v>21Y</v>
      </c>
      <c r="AJ29" s="484" t="e">
        <f>((Swap6M!AB29-Swap3M!AB29)*100-AB29)/10000</f>
        <v>#NUM!</v>
      </c>
    </row>
    <row r="30" spans="1:36" x14ac:dyDescent="0.2">
      <c r="A30" s="77"/>
      <c r="B30" s="76" t="s">
        <v>65</v>
      </c>
      <c r="C30" s="75" t="str">
        <f t="shared" si="4"/>
        <v>3L</v>
      </c>
      <c r="D30" s="74" t="str">
        <f t="shared" si="5"/>
        <v>6L</v>
      </c>
      <c r="E30" s="73" t="str">
        <f t="shared" si="0"/>
        <v>GBP3L6L22Y_Quote</v>
      </c>
      <c r="F30" s="73" t="str">
        <f>_xll.qlSimpleQuote(E30,,RateTickValue,Permanent,Trigger,ObjectOverwrite)</f>
        <v>GBP3L6L22Y_Quote#0000</v>
      </c>
      <c r="G30" s="72" t="str">
        <f>_xll.ohRangeRetrieveError(F30)</f>
        <v/>
      </c>
      <c r="H30" s="71"/>
      <c r="N30" s="118">
        <v>22</v>
      </c>
      <c r="O30" s="386" t="s">
        <v>65</v>
      </c>
      <c r="P30" s="389" t="str">
        <v>3L</v>
      </c>
      <c r="Q30" s="389" t="str">
        <v>6L</v>
      </c>
      <c r="R30" s="387" t="str">
        <f t="shared" si="1"/>
        <v>GBP3L6L22Y</v>
      </c>
      <c r="S30" s="346" t="str">
        <v>GBP3L6L22Y=ICAP</v>
      </c>
      <c r="T30" s="490" t="s">
        <v>233</v>
      </c>
      <c r="U30" s="490" t="s">
        <v>233</v>
      </c>
      <c r="V30" s="490" t="e">
        <f>_xll.qlMidEquivalent(T30,U30)</f>
        <v>#NUM!</v>
      </c>
      <c r="W30" s="343" t="b">
        <f t="shared" si="2"/>
        <v>0</v>
      </c>
      <c r="X30" s="491">
        <v>7.2412853619839446</v>
      </c>
      <c r="Y30" s="337"/>
      <c r="Z30" s="488">
        <v>7.6533399262128068</v>
      </c>
      <c r="AA30" s="337"/>
      <c r="AB30" s="599">
        <v>7.6533399262128068</v>
      </c>
      <c r="AC30" s="342" t="e">
        <f>_xll.qlSimpleQuoteSetValue(F30,AB30/10000,Trigger)</f>
        <v>#N/A</v>
      </c>
      <c r="AD30" s="213"/>
      <c r="AE30" s="64"/>
      <c r="AF30" s="64"/>
      <c r="AG30" s="64"/>
      <c r="AH30" s="64"/>
      <c r="AI30" s="64" t="str">
        <f t="shared" si="3"/>
        <v>22Y</v>
      </c>
      <c r="AJ30" s="484" t="e">
        <f>((Swap6M!AB30-Swap3M!AB30)*100-AB30)/10000</f>
        <v>#NUM!</v>
      </c>
    </row>
    <row r="31" spans="1:36" x14ac:dyDescent="0.2">
      <c r="A31" s="77"/>
      <c r="B31" s="76" t="s">
        <v>64</v>
      </c>
      <c r="C31" s="75" t="str">
        <f t="shared" si="4"/>
        <v>3L</v>
      </c>
      <c r="D31" s="74" t="str">
        <f t="shared" si="5"/>
        <v>6L</v>
      </c>
      <c r="E31" s="73" t="str">
        <f t="shared" si="0"/>
        <v>GBP3L6L23Y_Quote</v>
      </c>
      <c r="F31" s="73" t="str">
        <f>_xll.qlSimpleQuote(E31,,RateTickValue,Permanent,Trigger,ObjectOverwrite)</f>
        <v>GBP3L6L23Y_Quote#0000</v>
      </c>
      <c r="G31" s="72" t="str">
        <f>_xll.ohRangeRetrieveError(F31)</f>
        <v/>
      </c>
      <c r="H31" s="71"/>
      <c r="N31" s="118">
        <v>23</v>
      </c>
      <c r="O31" s="386" t="s">
        <v>64</v>
      </c>
      <c r="P31" s="389" t="str">
        <v>3L</v>
      </c>
      <c r="Q31" s="389" t="str">
        <v>6L</v>
      </c>
      <c r="R31" s="387" t="str">
        <f t="shared" si="1"/>
        <v>GBP3L6L23Y</v>
      </c>
      <c r="S31" s="346" t="str">
        <v>GBP3L6L23Y=ICAP</v>
      </c>
      <c r="T31" s="490" t="s">
        <v>233</v>
      </c>
      <c r="U31" s="490" t="s">
        <v>233</v>
      </c>
      <c r="V31" s="490" t="e">
        <f>_xll.qlMidEquivalent(T31,U31)</f>
        <v>#NUM!</v>
      </c>
      <c r="W31" s="343" t="b">
        <f t="shared" si="2"/>
        <v>0</v>
      </c>
      <c r="X31" s="491">
        <v>7.0666803267592506</v>
      </c>
      <c r="Y31" s="337"/>
      <c r="Z31" s="488">
        <v>7.5058014439050051</v>
      </c>
      <c r="AA31" s="337"/>
      <c r="AB31" s="599">
        <v>7.5058014439050051</v>
      </c>
      <c r="AC31" s="342" t="e">
        <f>_xll.qlSimpleQuoteSetValue(F31,AB31/10000,Trigger)</f>
        <v>#N/A</v>
      </c>
      <c r="AD31" s="213"/>
      <c r="AE31" s="64"/>
      <c r="AF31" s="64"/>
      <c r="AG31" s="64"/>
      <c r="AH31" s="64"/>
      <c r="AI31" s="64" t="str">
        <f t="shared" si="3"/>
        <v>23Y</v>
      </c>
      <c r="AJ31" s="484" t="e">
        <f>((Swap6M!AB31-Swap3M!AB31)*100-AB31)/10000</f>
        <v>#NUM!</v>
      </c>
    </row>
    <row r="32" spans="1:36" x14ac:dyDescent="0.2">
      <c r="A32" s="77"/>
      <c r="B32" s="76" t="s">
        <v>63</v>
      </c>
      <c r="C32" s="75" t="str">
        <f t="shared" si="4"/>
        <v>3L</v>
      </c>
      <c r="D32" s="74" t="str">
        <f t="shared" si="5"/>
        <v>6L</v>
      </c>
      <c r="E32" s="73" t="str">
        <f t="shared" si="0"/>
        <v>GBP3L6L24Y_Quote</v>
      </c>
      <c r="F32" s="73" t="str">
        <f>_xll.qlSimpleQuote(E32,,RateTickValue,Permanent,Trigger,ObjectOverwrite)</f>
        <v>GBP3L6L24Y_Quote#0000</v>
      </c>
      <c r="G32" s="72" t="str">
        <f>_xll.ohRangeRetrieveError(F32)</f>
        <v/>
      </c>
      <c r="H32" s="71"/>
      <c r="N32" s="118">
        <v>24</v>
      </c>
      <c r="O32" s="386" t="s">
        <v>63</v>
      </c>
      <c r="P32" s="389" t="str">
        <v>3L</v>
      </c>
      <c r="Q32" s="389" t="str">
        <v>6L</v>
      </c>
      <c r="R32" s="387" t="str">
        <f t="shared" si="1"/>
        <v>GBP3L6L24Y</v>
      </c>
      <c r="S32" s="346" t="str">
        <v>GBP3L6L24Y=ICAP</v>
      </c>
      <c r="T32" s="490" t="s">
        <v>233</v>
      </c>
      <c r="U32" s="490" t="s">
        <v>233</v>
      </c>
      <c r="V32" s="490" t="e">
        <f>_xll.qlMidEquivalent(T32,U32)</f>
        <v>#NUM!</v>
      </c>
      <c r="W32" s="343" t="b">
        <f t="shared" si="2"/>
        <v>0</v>
      </c>
      <c r="X32" s="491">
        <v>6.9030501943563722</v>
      </c>
      <c r="Y32" s="337"/>
      <c r="Z32" s="488">
        <v>7.3721753077314682</v>
      </c>
      <c r="AA32" s="337"/>
      <c r="AB32" s="599">
        <v>7.3721753077314682</v>
      </c>
      <c r="AC32" s="342" t="e">
        <f>_xll.qlSimpleQuoteSetValue(F32,AB32/10000,Trigger)</f>
        <v>#N/A</v>
      </c>
      <c r="AD32" s="213"/>
      <c r="AE32" s="64"/>
      <c r="AF32" s="64"/>
      <c r="AG32" s="64"/>
      <c r="AH32" s="64"/>
      <c r="AI32" s="64" t="str">
        <f t="shared" si="3"/>
        <v>24Y</v>
      </c>
      <c r="AJ32" s="484" t="e">
        <f>((Swap6M!AB32-Swap3M!AB32)*100-AB32)/10000</f>
        <v>#NUM!</v>
      </c>
    </row>
    <row r="33" spans="1:36" x14ac:dyDescent="0.2">
      <c r="A33" s="77"/>
      <c r="B33" s="76" t="s">
        <v>62</v>
      </c>
      <c r="C33" s="75" t="str">
        <f t="shared" si="4"/>
        <v>3L</v>
      </c>
      <c r="D33" s="74" t="str">
        <f t="shared" si="5"/>
        <v>6L</v>
      </c>
      <c r="E33" s="73" t="str">
        <f t="shared" si="0"/>
        <v>GBP3L6L25Y_Quote</v>
      </c>
      <c r="F33" s="73" t="str">
        <f>_xll.qlSimpleQuote(E33,,RateTickValue,Permanent,Trigger,ObjectOverwrite)</f>
        <v>GBP3L6L25Y_Quote#0000</v>
      </c>
      <c r="G33" s="72" t="str">
        <f>_xll.ohRangeRetrieveError(F33)</f>
        <v/>
      </c>
      <c r="H33" s="71"/>
      <c r="N33" s="118">
        <v>25</v>
      </c>
      <c r="O33" s="386" t="s">
        <v>62</v>
      </c>
      <c r="P33" s="389" t="str">
        <v>3L</v>
      </c>
      <c r="Q33" s="389" t="str">
        <v>6L</v>
      </c>
      <c r="R33" s="387" t="str">
        <f t="shared" si="1"/>
        <v>GBP3L6L25Y</v>
      </c>
      <c r="S33" s="346" t="str">
        <v>GBP3L6L25Y=ICAP</v>
      </c>
      <c r="T33" s="490">
        <v>5.25</v>
      </c>
      <c r="U33" s="490">
        <v>8.25</v>
      </c>
      <c r="V33" s="490">
        <f>_xll.qlMidEquivalent(T33,U33)</f>
        <v>6.75</v>
      </c>
      <c r="W33" s="343" t="b">
        <f t="shared" si="2"/>
        <v>1</v>
      </c>
      <c r="X33" s="491">
        <v>6.75</v>
      </c>
      <c r="Y33" s="337"/>
      <c r="Z33" s="488">
        <v>7.25</v>
      </c>
      <c r="AA33" s="337"/>
      <c r="AB33" s="599">
        <v>7.25</v>
      </c>
      <c r="AC33" s="342" t="e">
        <f>_xll.qlSimpleQuoteSetValue(F33,AB33/10000,Trigger)</f>
        <v>#N/A</v>
      </c>
      <c r="AD33" s="213"/>
      <c r="AE33" s="64"/>
      <c r="AF33" s="64"/>
      <c r="AG33" s="64"/>
      <c r="AH33" s="64"/>
      <c r="AI33" s="64" t="str">
        <f t="shared" si="3"/>
        <v>25Y</v>
      </c>
      <c r="AJ33" s="484" t="e">
        <f>((Swap6M!AB33-Swap3M!AB33)*100-AB33)/10000</f>
        <v>#NUM!</v>
      </c>
    </row>
    <row r="34" spans="1:36" x14ac:dyDescent="0.2">
      <c r="A34" s="77"/>
      <c r="B34" s="76" t="s">
        <v>61</v>
      </c>
      <c r="C34" s="75" t="str">
        <f t="shared" si="4"/>
        <v>3L</v>
      </c>
      <c r="D34" s="74" t="str">
        <f t="shared" si="5"/>
        <v>6L</v>
      </c>
      <c r="E34" s="73" t="str">
        <f t="shared" si="0"/>
        <v>GBP3L6L26Y_Quote</v>
      </c>
      <c r="F34" s="73" t="str">
        <f>_xll.qlSimpleQuote(E34,,RateTickValue,Permanent,Trigger,ObjectOverwrite)</f>
        <v>GBP3L6L26Y_Quote#0000</v>
      </c>
      <c r="G34" s="72" t="str">
        <f>_xll.ohRangeRetrieveError(F34)</f>
        <v/>
      </c>
      <c r="H34" s="71"/>
      <c r="N34" s="118">
        <v>26</v>
      </c>
      <c r="O34" s="386" t="s">
        <v>61</v>
      </c>
      <c r="P34" s="389" t="str">
        <v>3L</v>
      </c>
      <c r="Q34" s="389" t="str">
        <v>6L</v>
      </c>
      <c r="R34" s="387" t="str">
        <f t="shared" si="1"/>
        <v>GBP3L6L26Y</v>
      </c>
      <c r="S34" s="346" t="str">
        <v>GBP3L6L26Y=ICAP</v>
      </c>
      <c r="T34" s="490" t="s">
        <v>233</v>
      </c>
      <c r="U34" s="490" t="s">
        <v>233</v>
      </c>
      <c r="V34" s="490" t="e">
        <f>_xll.qlMidEquivalent(T34,U34)</f>
        <v>#NUM!</v>
      </c>
      <c r="W34" s="343" t="b">
        <f t="shared" si="2"/>
        <v>0</v>
      </c>
      <c r="X34" s="491">
        <v>6.6070977842605885</v>
      </c>
      <c r="Y34" s="337"/>
      <c r="Z34" s="488">
        <v>7.1370161408684289</v>
      </c>
      <c r="AA34" s="337"/>
      <c r="AB34" s="599">
        <v>7.1370161408684289</v>
      </c>
      <c r="AC34" s="342" t="e">
        <f>_xll.qlSimpleQuoteSetValue(F34,AB34/10000,Trigger)</f>
        <v>#N/A</v>
      </c>
      <c r="AD34" s="213"/>
      <c r="AE34" s="64"/>
      <c r="AF34" s="64"/>
      <c r="AG34" s="64"/>
      <c r="AH34" s="64"/>
      <c r="AI34" s="64" t="str">
        <f t="shared" si="3"/>
        <v>26Y</v>
      </c>
      <c r="AJ34" s="484" t="e">
        <f>((Swap6M!AB34-Swap3M!AB34)*100-AB34)/10000</f>
        <v>#NUM!</v>
      </c>
    </row>
    <row r="35" spans="1:36" x14ac:dyDescent="0.2">
      <c r="A35" s="77"/>
      <c r="B35" s="76" t="s">
        <v>60</v>
      </c>
      <c r="C35" s="75" t="str">
        <f t="shared" si="4"/>
        <v>3L</v>
      </c>
      <c r="D35" s="74" t="str">
        <f t="shared" si="5"/>
        <v>6L</v>
      </c>
      <c r="E35" s="73" t="str">
        <f t="shared" si="0"/>
        <v>GBP3L6L27Y_Quote</v>
      </c>
      <c r="F35" s="73" t="str">
        <f>_xll.qlSimpleQuote(E35,,RateTickValue,Permanent,Trigger,ObjectOverwrite)</f>
        <v>GBP3L6L27Y_Quote#0000</v>
      </c>
      <c r="G35" s="72" t="str">
        <f>_xll.ohRangeRetrieveError(F35)</f>
        <v/>
      </c>
      <c r="H35" s="71"/>
      <c r="N35" s="118">
        <v>27</v>
      </c>
      <c r="O35" s="386" t="s">
        <v>60</v>
      </c>
      <c r="P35" s="389" t="str">
        <v>3L</v>
      </c>
      <c r="Q35" s="389" t="str">
        <v>6L</v>
      </c>
      <c r="R35" s="387" t="str">
        <f t="shared" si="1"/>
        <v>GBP3L6L27Y</v>
      </c>
      <c r="S35" s="346" t="str">
        <v>GBP3L6L27Y=ICAP</v>
      </c>
      <c r="T35" s="490" t="s">
        <v>233</v>
      </c>
      <c r="U35" s="490" t="s">
        <v>233</v>
      </c>
      <c r="V35" s="490" t="e">
        <f>_xll.qlMidEquivalent(T35,U35)</f>
        <v>#NUM!</v>
      </c>
      <c r="W35" s="343" t="b">
        <f t="shared" si="2"/>
        <v>0</v>
      </c>
      <c r="X35" s="491">
        <v>6.4737636090916304</v>
      </c>
      <c r="Y35" s="337"/>
      <c r="Z35" s="488">
        <v>7.0317729018946853</v>
      </c>
      <c r="AA35" s="337"/>
      <c r="AB35" s="599">
        <v>7.0317729018946853</v>
      </c>
      <c r="AC35" s="342" t="e">
        <f>_xll.qlSimpleQuoteSetValue(F35,AB35/10000,Trigger)</f>
        <v>#N/A</v>
      </c>
      <c r="AD35" s="213"/>
      <c r="AE35" s="64"/>
      <c r="AF35" s="64"/>
      <c r="AG35" s="64"/>
      <c r="AH35" s="64"/>
      <c r="AI35" s="64" t="str">
        <f t="shared" si="3"/>
        <v>27Y</v>
      </c>
      <c r="AJ35" s="484" t="e">
        <f>((Swap6M!AB35-Swap3M!AB35)*100-AB35)/10000</f>
        <v>#NUM!</v>
      </c>
    </row>
    <row r="36" spans="1:36" x14ac:dyDescent="0.2">
      <c r="A36" s="77"/>
      <c r="B36" s="76" t="s">
        <v>59</v>
      </c>
      <c r="C36" s="75" t="str">
        <f t="shared" si="4"/>
        <v>3L</v>
      </c>
      <c r="D36" s="74" t="str">
        <f t="shared" si="5"/>
        <v>6L</v>
      </c>
      <c r="E36" s="73" t="str">
        <f t="shared" si="0"/>
        <v>GBP3L6L28Y_Quote</v>
      </c>
      <c r="F36" s="73" t="str">
        <f>_xll.qlSimpleQuote(E36,,RateTickValue,Permanent,Trigger,ObjectOverwrite)</f>
        <v>GBP3L6L28Y_Quote#0000</v>
      </c>
      <c r="G36" s="72" t="str">
        <f>_xll.ohRangeRetrieveError(F36)</f>
        <v/>
      </c>
      <c r="H36" s="71"/>
      <c r="N36" s="118">
        <v>28</v>
      </c>
      <c r="O36" s="386" t="s">
        <v>59</v>
      </c>
      <c r="P36" s="389" t="str">
        <v>3L</v>
      </c>
      <c r="Q36" s="389" t="str">
        <v>6L</v>
      </c>
      <c r="R36" s="387" t="str">
        <f t="shared" si="1"/>
        <v>GBP3L6L28Y</v>
      </c>
      <c r="S36" s="346" t="str">
        <v>GBP3L6L28Y=ICAP</v>
      </c>
      <c r="T36" s="490" t="s">
        <v>233</v>
      </c>
      <c r="U36" s="490" t="s">
        <v>233</v>
      </c>
      <c r="V36" s="490" t="e">
        <f>_xll.qlMidEquivalent(T36,U36)</f>
        <v>#NUM!</v>
      </c>
      <c r="W36" s="343" t="b">
        <f t="shared" si="2"/>
        <v>0</v>
      </c>
      <c r="X36" s="491">
        <v>6.3493805417923781</v>
      </c>
      <c r="Y36" s="337"/>
      <c r="Z36" s="488">
        <v>6.9330215924867282</v>
      </c>
      <c r="AA36" s="337"/>
      <c r="AB36" s="599">
        <v>6.9330215924867282</v>
      </c>
      <c r="AC36" s="342" t="e">
        <f>_xll.qlSimpleQuoteSetValue(F36,AB36/10000,Trigger)</f>
        <v>#N/A</v>
      </c>
      <c r="AD36" s="213"/>
      <c r="AE36" s="64"/>
      <c r="AF36" s="64"/>
      <c r="AG36" s="64"/>
      <c r="AH36" s="64"/>
      <c r="AI36" s="64" t="str">
        <f t="shared" si="3"/>
        <v>28Y</v>
      </c>
      <c r="AJ36" s="484" t="e">
        <f>((Swap6M!AB36-Swap3M!AB36)*100-AB36)/10000</f>
        <v>#NUM!</v>
      </c>
    </row>
    <row r="37" spans="1:36" x14ac:dyDescent="0.2">
      <c r="A37" s="77"/>
      <c r="B37" s="76" t="s">
        <v>58</v>
      </c>
      <c r="C37" s="75" t="str">
        <f t="shared" si="4"/>
        <v>3L</v>
      </c>
      <c r="D37" s="74" t="str">
        <f t="shared" si="5"/>
        <v>6L</v>
      </c>
      <c r="E37" s="73" t="str">
        <f t="shared" si="0"/>
        <v>GBP3L6L29Y_Quote</v>
      </c>
      <c r="F37" s="73" t="str">
        <f>_xll.qlSimpleQuote(E37,,RateTickValue,Permanent,Trigger,ObjectOverwrite)</f>
        <v>GBP3L6L29Y_Quote#0000</v>
      </c>
      <c r="G37" s="72" t="str">
        <f>_xll.ohRangeRetrieveError(F37)</f>
        <v/>
      </c>
      <c r="H37" s="71"/>
      <c r="N37" s="118">
        <v>29</v>
      </c>
      <c r="O37" s="386" t="s">
        <v>58</v>
      </c>
      <c r="P37" s="389" t="str">
        <v>3L</v>
      </c>
      <c r="Q37" s="389" t="str">
        <v>6L</v>
      </c>
      <c r="R37" s="387" t="str">
        <f t="shared" si="1"/>
        <v>GBP3L6L29Y</v>
      </c>
      <c r="S37" s="346" t="str">
        <v>GBP3L6L29Y=ICAP</v>
      </c>
      <c r="T37" s="490" t="s">
        <v>233</v>
      </c>
      <c r="U37" s="490" t="s">
        <v>233</v>
      </c>
      <c r="V37" s="490" t="e">
        <f>_xll.qlMidEquivalent(T37,U37)</f>
        <v>#NUM!</v>
      </c>
      <c r="W37" s="343" t="b">
        <f t="shared" si="2"/>
        <v>0</v>
      </c>
      <c r="X37" s="491">
        <v>6.2333316496620839</v>
      </c>
      <c r="Y37" s="337"/>
      <c r="Z37" s="488">
        <v>6.8395135220525134</v>
      </c>
      <c r="AA37" s="337"/>
      <c r="AB37" s="599">
        <v>6.8395135220525134</v>
      </c>
      <c r="AC37" s="342" t="e">
        <f>_xll.qlSimpleQuoteSetValue(F37,AB37/10000,Trigger)</f>
        <v>#N/A</v>
      </c>
      <c r="AD37" s="213"/>
      <c r="AE37" s="64"/>
      <c r="AF37" s="64"/>
      <c r="AG37" s="64"/>
      <c r="AH37" s="64"/>
      <c r="AI37" s="64" t="str">
        <f t="shared" si="3"/>
        <v>29Y</v>
      </c>
      <c r="AJ37" s="484" t="e">
        <f>((Swap6M!AB37-Swap3M!AB37)*100-AB37)/10000</f>
        <v>#NUM!</v>
      </c>
    </row>
    <row r="38" spans="1:36" x14ac:dyDescent="0.2">
      <c r="A38" s="77"/>
      <c r="B38" s="76" t="s">
        <v>57</v>
      </c>
      <c r="C38" s="75" t="str">
        <f t="shared" si="4"/>
        <v>3L</v>
      </c>
      <c r="D38" s="74" t="str">
        <f t="shared" si="5"/>
        <v>6L</v>
      </c>
      <c r="E38" s="73" t="str">
        <f t="shared" si="0"/>
        <v>GBP3L6L30Y_Quote</v>
      </c>
      <c r="F38" s="73" t="str">
        <f>_xll.qlSimpleQuote(E38,,RateTickValue,Permanent,Trigger,ObjectOverwrite)</f>
        <v>GBP3L6L30Y_Quote#0000</v>
      </c>
      <c r="G38" s="72" t="str">
        <f>_xll.ohRangeRetrieveError(F38)</f>
        <v/>
      </c>
      <c r="H38" s="71"/>
      <c r="N38" s="118">
        <v>30</v>
      </c>
      <c r="O38" s="386" t="s">
        <v>57</v>
      </c>
      <c r="P38" s="389" t="str">
        <v>3L</v>
      </c>
      <c r="Q38" s="389" t="str">
        <v>6L</v>
      </c>
      <c r="R38" s="387" t="str">
        <f t="shared" si="1"/>
        <v>GBP3L6L30Y</v>
      </c>
      <c r="S38" s="346" t="str">
        <v>GBP3L6L30Y=ICAP</v>
      </c>
      <c r="T38" s="490">
        <v>4.625</v>
      </c>
      <c r="U38" s="490">
        <v>7.625</v>
      </c>
      <c r="V38" s="490">
        <f>_xll.qlMidEquivalent(T38,U38)</f>
        <v>6.125</v>
      </c>
      <c r="W38" s="343" t="b">
        <f t="shared" si="2"/>
        <v>1</v>
      </c>
      <c r="X38" s="491">
        <v>6.125</v>
      </c>
      <c r="Y38" s="337"/>
      <c r="Z38" s="488">
        <v>6.75</v>
      </c>
      <c r="AA38" s="337"/>
      <c r="AB38" s="599">
        <v>6.75</v>
      </c>
      <c r="AC38" s="342" t="e">
        <f>_xll.qlSimpleQuoteSetValue(F38,AB38/10000,Trigger)</f>
        <v>#N/A</v>
      </c>
      <c r="AD38" s="213"/>
      <c r="AE38" s="64"/>
      <c r="AF38" s="64"/>
      <c r="AG38" s="64"/>
      <c r="AH38" s="64"/>
      <c r="AI38" s="64" t="str">
        <f t="shared" si="3"/>
        <v>30Y</v>
      </c>
      <c r="AJ38" s="484" t="e">
        <f>((Swap6M!AB38-Swap3M!AB38)*100-AB38)/10000</f>
        <v>#NUM!</v>
      </c>
    </row>
    <row r="39" spans="1:36" x14ac:dyDescent="0.2">
      <c r="A39" s="77"/>
      <c r="B39" s="76" t="s">
        <v>52</v>
      </c>
      <c r="C39" s="75" t="str">
        <f t="shared" si="4"/>
        <v>3L</v>
      </c>
      <c r="D39" s="74" t="str">
        <f t="shared" si="5"/>
        <v>6L</v>
      </c>
      <c r="E39" s="73" t="str">
        <f t="shared" si="0"/>
        <v>GBP3L6L35Y_Quote</v>
      </c>
      <c r="F39" s="73" t="str">
        <f>_xll.qlSimpleQuote(E39,,RateTickValue,Permanent,Trigger,ObjectOverwrite)</f>
        <v>GBP3L6L35Y_Quote#0000</v>
      </c>
      <c r="G39" s="72" t="str">
        <f>_xll.ohRangeRetrieveError(F39)</f>
        <v/>
      </c>
      <c r="H39" s="71"/>
      <c r="N39" s="118">
        <v>35</v>
      </c>
      <c r="O39" s="386" t="s">
        <v>52</v>
      </c>
      <c r="P39" s="389" t="str">
        <v>3L</v>
      </c>
      <c r="Q39" s="389" t="str">
        <v>6L</v>
      </c>
      <c r="R39" s="387" t="str">
        <f t="shared" si="1"/>
        <v>GBP3L6L35Y</v>
      </c>
      <c r="S39" s="346" t="str">
        <v>GBP3L6L35Y=ICAP</v>
      </c>
      <c r="T39" s="490" t="s">
        <v>233</v>
      </c>
      <c r="U39" s="490" t="s">
        <v>233</v>
      </c>
      <c r="V39" s="490" t="e">
        <f>_xll.qlMidEquivalent(T39,U39)</f>
        <v>#NUM!</v>
      </c>
      <c r="W39" s="343" t="b">
        <f t="shared" si="2"/>
        <v>0</v>
      </c>
      <c r="X39" s="489">
        <f>X38</f>
        <v>6.125</v>
      </c>
      <c r="Y39" s="337"/>
      <c r="Z39" s="488">
        <v>6.75</v>
      </c>
      <c r="AA39" s="337"/>
      <c r="AB39" s="599">
        <v>6.75</v>
      </c>
      <c r="AC39" s="342" t="e">
        <f>_xll.qlSimpleQuoteSetValue(F39,AB39/10000,Trigger)</f>
        <v>#N/A</v>
      </c>
      <c r="AD39" s="213"/>
      <c r="AE39" s="64"/>
      <c r="AF39" s="64"/>
      <c r="AG39" s="64"/>
      <c r="AH39" s="64"/>
      <c r="AI39" s="64" t="str">
        <f t="shared" si="3"/>
        <v>35Y</v>
      </c>
      <c r="AJ39" s="484" t="e">
        <f>((Swap6M!AB39-Swap3M!AB39)*100-AB39)/10000</f>
        <v>#NUM!</v>
      </c>
    </row>
    <row r="40" spans="1:36" x14ac:dyDescent="0.2">
      <c r="A40" s="77"/>
      <c r="B40" s="76" t="s">
        <v>47</v>
      </c>
      <c r="C40" s="75" t="str">
        <f t="shared" si="4"/>
        <v>3L</v>
      </c>
      <c r="D40" s="74" t="str">
        <f t="shared" si="5"/>
        <v>6L</v>
      </c>
      <c r="E40" s="73" t="str">
        <f t="shared" si="0"/>
        <v>GBP3L6L40Y_Quote</v>
      </c>
      <c r="F40" s="73" t="str">
        <f>_xll.qlSimpleQuote(E40,,RateTickValue,Permanent,Trigger,ObjectOverwrite)</f>
        <v>GBP3L6L40Y_Quote#0000</v>
      </c>
      <c r="G40" s="72" t="str">
        <f>_xll.ohRangeRetrieveError(F40)</f>
        <v/>
      </c>
      <c r="H40" s="71"/>
      <c r="N40" s="118">
        <v>40</v>
      </c>
      <c r="O40" s="386" t="s">
        <v>47</v>
      </c>
      <c r="P40" s="389" t="str">
        <v>3L</v>
      </c>
      <c r="Q40" s="389" t="str">
        <v>6L</v>
      </c>
      <c r="R40" s="387" t="str">
        <f t="shared" si="1"/>
        <v>GBP3L6L40Y</v>
      </c>
      <c r="S40" s="346" t="str">
        <v>GBP3L6L40Y=ICAP</v>
      </c>
      <c r="T40" s="490">
        <v>3.875</v>
      </c>
      <c r="U40" s="490">
        <v>6.875</v>
      </c>
      <c r="V40" s="490">
        <f>_xll.qlMidEquivalent(T40,U40)</f>
        <v>5.375</v>
      </c>
      <c r="W40" s="343" t="b">
        <f t="shared" si="2"/>
        <v>1</v>
      </c>
      <c r="X40" s="489">
        <f>X39</f>
        <v>6.125</v>
      </c>
      <c r="Y40" s="337"/>
      <c r="Z40" s="488">
        <v>6.75</v>
      </c>
      <c r="AA40" s="337"/>
      <c r="AB40" s="599">
        <v>6.75</v>
      </c>
      <c r="AC40" s="342" t="e">
        <f>_xll.qlSimpleQuoteSetValue(F40,AB40/10000,Trigger)</f>
        <v>#N/A</v>
      </c>
      <c r="AD40" s="213"/>
      <c r="AE40" s="64"/>
      <c r="AF40" s="64"/>
      <c r="AG40" s="64"/>
      <c r="AH40" s="64"/>
      <c r="AI40" s="64" t="str">
        <f t="shared" si="3"/>
        <v>40Y</v>
      </c>
      <c r="AJ40" s="484" t="e">
        <f>((Swap6M!AB40-Swap3M!AB40)*100-AB40)/10000</f>
        <v>#NUM!</v>
      </c>
    </row>
    <row r="41" spans="1:36" x14ac:dyDescent="0.2">
      <c r="A41" s="77"/>
      <c r="B41" s="76" t="s">
        <v>37</v>
      </c>
      <c r="C41" s="75" t="str">
        <f t="shared" si="4"/>
        <v>3L</v>
      </c>
      <c r="D41" s="74" t="str">
        <f t="shared" si="5"/>
        <v>6L</v>
      </c>
      <c r="E41" s="73" t="str">
        <f t="shared" si="0"/>
        <v>GBP3L6L50Y_Quote</v>
      </c>
      <c r="F41" s="73" t="str">
        <f>_xll.qlSimpleQuote(E41,,RateTickValue,Permanent,Trigger,ObjectOverwrite)</f>
        <v>GBP3L6L50Y_Quote#0000</v>
      </c>
      <c r="G41" s="72" t="str">
        <f>_xll.ohRangeRetrieveError(F41)</f>
        <v/>
      </c>
      <c r="H41" s="71"/>
      <c r="N41" s="118">
        <v>50</v>
      </c>
      <c r="O41" s="386" t="s">
        <v>37</v>
      </c>
      <c r="P41" s="389" t="str">
        <v>3L</v>
      </c>
      <c r="Q41" s="389" t="str">
        <v>6L</v>
      </c>
      <c r="R41" s="387" t="str">
        <f t="shared" si="1"/>
        <v>GBP3L6L50Y</v>
      </c>
      <c r="S41" s="346" t="str">
        <v>GBP3L6L50Y=ICAP</v>
      </c>
      <c r="T41" s="490">
        <v>3</v>
      </c>
      <c r="U41" s="490">
        <v>7</v>
      </c>
      <c r="V41" s="490">
        <f>_xll.qlMidEquivalent(T41,U41)</f>
        <v>5</v>
      </c>
      <c r="W41" s="343" t="b">
        <f t="shared" si="2"/>
        <v>1</v>
      </c>
      <c r="X41" s="489">
        <f>X40</f>
        <v>6.125</v>
      </c>
      <c r="Y41" s="337"/>
      <c r="Z41" s="488">
        <v>6.75</v>
      </c>
      <c r="AA41" s="337"/>
      <c r="AB41" s="599">
        <v>6.75</v>
      </c>
      <c r="AC41" s="342" t="e">
        <f>_xll.qlSimpleQuoteSetValue(F41,AB41/10000,Trigger)</f>
        <v>#N/A</v>
      </c>
      <c r="AD41" s="213"/>
      <c r="AE41" s="64"/>
      <c r="AF41" s="64"/>
      <c r="AG41" s="64"/>
      <c r="AH41" s="64"/>
      <c r="AI41" s="64" t="str">
        <f t="shared" si="3"/>
        <v>50Y</v>
      </c>
      <c r="AJ41" s="484" t="e">
        <f>((Swap6M!AB41-Swap3M!AB41)*100-AB41)/10000</f>
        <v>#NUM!</v>
      </c>
    </row>
    <row r="42" spans="1:36" x14ac:dyDescent="0.2">
      <c r="A42" s="77"/>
      <c r="B42" s="76" t="s">
        <v>27</v>
      </c>
      <c r="C42" s="75" t="str">
        <f t="shared" si="4"/>
        <v>3L</v>
      </c>
      <c r="D42" s="74" t="str">
        <f t="shared" si="5"/>
        <v>6L</v>
      </c>
      <c r="E42" s="73" t="str">
        <f t="shared" si="0"/>
        <v>GBP3L6L60Y_Quote</v>
      </c>
      <c r="F42" s="73" t="str">
        <f>_xll.qlSimpleQuote(E42,,RateTickValue,Permanent,Trigger,ObjectOverwrite)</f>
        <v>GBP3L6L60Y_Quote#0000</v>
      </c>
      <c r="G42" s="72" t="str">
        <f>_xll.ohRangeRetrieveError(F42)</f>
        <v/>
      </c>
      <c r="H42" s="71"/>
      <c r="N42" s="118">
        <v>60</v>
      </c>
      <c r="O42" s="396" t="s">
        <v>27</v>
      </c>
      <c r="P42" s="385" t="str">
        <v>3L</v>
      </c>
      <c r="Q42" s="385" t="str">
        <v>6L</v>
      </c>
      <c r="R42" s="383" t="str">
        <f t="shared" si="1"/>
        <v>GBP3L6L60Y</v>
      </c>
      <c r="S42" s="340" t="str">
        <v>GBP3L6L60Y=ICAP</v>
      </c>
      <c r="T42" s="487">
        <v>2.25</v>
      </c>
      <c r="U42" s="487">
        <v>7.25</v>
      </c>
      <c r="V42" s="487">
        <f>_xll.qlMidEquivalent(T42,U42)</f>
        <v>4.75</v>
      </c>
      <c r="W42" s="336" t="b">
        <f t="shared" si="2"/>
        <v>1</v>
      </c>
      <c r="X42" s="486">
        <f>X41</f>
        <v>6.125</v>
      </c>
      <c r="Y42" s="337"/>
      <c r="Z42" s="485">
        <v>6.75</v>
      </c>
      <c r="AA42" s="337"/>
      <c r="AB42" s="600">
        <v>6.75</v>
      </c>
      <c r="AC42" s="335" t="e">
        <f>_xll.qlSimpleQuoteSetValue(F42,AB42/10000,Trigger)</f>
        <v>#N/A</v>
      </c>
      <c r="AD42" s="213"/>
      <c r="AE42" s="64"/>
      <c r="AF42" s="64"/>
      <c r="AG42" s="64"/>
      <c r="AH42" s="64"/>
      <c r="AI42" s="64" t="str">
        <f t="shared" si="3"/>
        <v>60Y</v>
      </c>
      <c r="AJ42" s="484" t="e">
        <f>((Swap6M!AB42-Swap3M!AB42)*100-AB42)/10000</f>
        <v>#NUM!</v>
      </c>
    </row>
    <row r="43" spans="1:36"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37" priority="1" stopIfTrue="1" operator="greaterThan">
      <formula>0</formula>
    </cfRule>
    <cfRule type="cellIs" dxfId="36"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4" x14ac:dyDescent="0.2">
      <c r="N1" s="401" t="s">
        <v>351</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133"/>
      <c r="P2" s="337"/>
      <c r="Q2" s="337"/>
      <c r="R2" s="337"/>
      <c r="S2" s="140" t="s">
        <v>275</v>
      </c>
      <c r="T2" s="337"/>
      <c r="U2" s="337"/>
      <c r="V2" s="337"/>
      <c r="W2" s="337"/>
      <c r="X2" s="133"/>
      <c r="Y2" s="337"/>
      <c r="Z2" s="337"/>
      <c r="AA2" s="337"/>
      <c r="AB2" s="337"/>
      <c r="AC2" s="133"/>
      <c r="AD2" s="33"/>
      <c r="AE2" s="64"/>
      <c r="AF2" s="64"/>
      <c r="AG2" s="64"/>
      <c r="AH2" s="64"/>
    </row>
    <row r="3" spans="1:34" x14ac:dyDescent="0.2">
      <c r="A3" s="557" t="s">
        <v>345</v>
      </c>
      <c r="B3" s="95"/>
      <c r="C3" s="95"/>
      <c r="D3" s="95"/>
      <c r="E3" s="96"/>
      <c r="F3" s="97"/>
      <c r="G3" s="96"/>
      <c r="H3" s="92"/>
      <c r="N3" s="118"/>
      <c r="O3" s="337"/>
      <c r="P3" s="133"/>
      <c r="Q3" s="133"/>
      <c r="R3" s="133"/>
      <c r="S3" s="133" t="str">
        <f>_xll.qlInterpolation(,InterpolationType,_xll.ohFilter(N5:N42,W5:W42),_xll.ohFilter(V5:V42,W5:W42))</f>
        <v>obj_00502#0000</v>
      </c>
      <c r="T3" s="133"/>
      <c r="U3" s="133"/>
      <c r="V3" s="133"/>
      <c r="W3" s="133"/>
      <c r="X3" s="133"/>
      <c r="Y3" s="337"/>
      <c r="Z3" s="337"/>
      <c r="AA3" s="337"/>
      <c r="AB3" s="133"/>
      <c r="AC3" s="366">
        <f>_xll.ohTrigger(AC5:AC42)</f>
        <v>1</v>
      </c>
      <c r="AD3" s="213"/>
      <c r="AE3" s="64"/>
      <c r="AF3" s="64"/>
      <c r="AG3" s="64"/>
      <c r="AH3" s="64"/>
    </row>
    <row r="4" spans="1:34"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3" t="s">
        <v>285</v>
      </c>
      <c r="AC4" s="91" t="s">
        <v>284</v>
      </c>
      <c r="AD4" s="213"/>
      <c r="AE4" s="64"/>
      <c r="AF4" s="64"/>
      <c r="AG4" s="64"/>
      <c r="AH4" s="64"/>
    </row>
    <row r="5" spans="1:34"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GBP6L12L6M_Quote#0000</v>
      </c>
      <c r="G5" s="72" t="str">
        <f>_xll.ohRangeRetrieveError(F5)</f>
        <v/>
      </c>
      <c r="H5" s="71"/>
      <c r="N5" s="492">
        <v>0.5</v>
      </c>
      <c r="O5" s="386" t="s">
        <v>8</v>
      </c>
      <c r="P5" s="389" t="str">
        <f t="array" ref="P5:P42">VLOOKUP(Currency,Conventions,2)</f>
        <v>6L</v>
      </c>
      <c r="Q5" s="389" t="str">
        <f t="array" ref="Q5:Q42">VLOOKUP(Currency,Conventions,3)</f>
        <v>12L</v>
      </c>
      <c r="R5" s="387" t="str">
        <f t="shared" ref="R5:R42" si="1">Currency&amp;$P5&amp;$Q5&amp;$O5</f>
        <v>GBP6L12L6M</v>
      </c>
      <c r="S5" s="346" t="str">
        <f t="array" ref="S5:S42">Instruments&amp;"="&amp;VLOOKUP(Contributor,ContributorTable,2,FALSE)</f>
        <v>GBP6L12L6M=ICAP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9" t="e">
        <f t="array" ref="AB5:AB42">QuoteStatic</f>
        <v>#NUM!</v>
      </c>
      <c r="AC5" s="342" t="e">
        <f>_xll.qlSimpleQuoteSetValue(F5,AB5/10000,Trigger)</f>
        <v>#NUM!</v>
      </c>
      <c r="AD5" s="213"/>
      <c r="AE5" s="64"/>
      <c r="AF5" s="86" t="s">
        <v>121</v>
      </c>
      <c r="AG5" s="85" t="s">
        <v>116</v>
      </c>
      <c r="AH5" s="84" t="s">
        <v>127</v>
      </c>
    </row>
    <row r="6" spans="1:34" x14ac:dyDescent="0.2">
      <c r="A6" s="77"/>
      <c r="B6" s="87" t="s">
        <v>1</v>
      </c>
      <c r="C6" s="75" t="str">
        <f t="shared" ref="C6:C42" si="3">C5</f>
        <v>6L</v>
      </c>
      <c r="D6" s="74" t="str">
        <f t="shared" ref="D6:D42" si="4">D5</f>
        <v>12L</v>
      </c>
      <c r="E6" s="73" t="str">
        <f t="shared" si="0"/>
        <v>GBP6L12L1Y_Quote</v>
      </c>
      <c r="F6" s="73" t="str">
        <f>_xll.qlSimpleQuote(E6,,RateTickValue,Permanent,Trigger,ObjectOverwrite)</f>
        <v>GBP6L12L1Y_Quote#0000</v>
      </c>
      <c r="G6" s="72" t="str">
        <f>_xll.ohRangeRetrieveError(F6)</f>
        <v/>
      </c>
      <c r="H6" s="71"/>
      <c r="N6" s="492">
        <v>1</v>
      </c>
      <c r="O6" s="386" t="s">
        <v>1</v>
      </c>
      <c r="P6" s="389" t="str">
        <v>6L</v>
      </c>
      <c r="Q6" s="389" t="str">
        <v>12L</v>
      </c>
      <c r="R6" s="387" t="str">
        <f t="shared" si="1"/>
        <v>GBP6L12L1Y</v>
      </c>
      <c r="S6" s="346" t="str">
        <v>GBP6L12L1Y=ICAP</v>
      </c>
      <c r="T6" s="490">
        <v>25.75</v>
      </c>
      <c r="U6" s="490">
        <v>37.75</v>
      </c>
      <c r="V6" s="490">
        <f>_xll.qlMidEquivalent(T6,U6)</f>
        <v>31.75</v>
      </c>
      <c r="W6" s="343" t="b">
        <f t="shared" si="2"/>
        <v>1</v>
      </c>
      <c r="X6" s="491">
        <v>31.75</v>
      </c>
      <c r="Y6" s="337"/>
      <c r="Z6" s="488">
        <v>36</v>
      </c>
      <c r="AA6" s="337"/>
      <c r="AB6" s="599">
        <v>36</v>
      </c>
      <c r="AC6" s="342" t="e">
        <f>_xll.qlSimpleQuoteSetValue(F6,AB6/10000,Trigger)</f>
        <v>#N/A</v>
      </c>
      <c r="AD6" s="213"/>
      <c r="AE6" s="64"/>
      <c r="AF6" s="83" t="s">
        <v>120</v>
      </c>
      <c r="AG6" s="82" t="s">
        <v>118</v>
      </c>
      <c r="AH6" s="81" t="s">
        <v>128</v>
      </c>
    </row>
    <row r="7" spans="1:34" x14ac:dyDescent="0.2">
      <c r="A7" s="77"/>
      <c r="B7" s="87" t="s">
        <v>124</v>
      </c>
      <c r="C7" s="75" t="str">
        <f t="shared" si="3"/>
        <v>6L</v>
      </c>
      <c r="D7" s="74" t="str">
        <f t="shared" si="4"/>
        <v>12L</v>
      </c>
      <c r="E7" s="73" t="str">
        <f t="shared" si="0"/>
        <v>GBP6L12L15M_Quote</v>
      </c>
      <c r="F7" s="73" t="str">
        <f>_xll.qlSimpleQuote(E7,,RateTickValue,Permanent,Trigger,ObjectOverwrite)</f>
        <v>GBP6L12L15M_Quote#0000</v>
      </c>
      <c r="G7" s="72" t="str">
        <f>_xll.ohRangeRetrieveError(F7)</f>
        <v/>
      </c>
      <c r="H7" s="71"/>
      <c r="N7" s="492">
        <v>1.25</v>
      </c>
      <c r="O7" s="386" t="s">
        <v>124</v>
      </c>
      <c r="P7" s="389" t="str">
        <v>6L</v>
      </c>
      <c r="Q7" s="389" t="str">
        <v>12L</v>
      </c>
      <c r="R7" s="387" t="str">
        <f t="shared" si="1"/>
        <v>GBP6L12L15M</v>
      </c>
      <c r="S7" s="346" t="str">
        <v>GBP6L12L15M=ICAP</v>
      </c>
      <c r="T7" s="490" t="s">
        <v>233</v>
      </c>
      <c r="U7" s="490" t="s">
        <v>233</v>
      </c>
      <c r="V7" s="490" t="e">
        <f>_xll.qlMidEquivalent(T7,U7)</f>
        <v>#NUM!</v>
      </c>
      <c r="W7" s="343" t="b">
        <f t="shared" si="2"/>
        <v>0</v>
      </c>
      <c r="X7" s="491">
        <v>30.919812795686951</v>
      </c>
      <c r="Y7" s="337"/>
      <c r="Z7" s="488">
        <v>35.507718501858129</v>
      </c>
      <c r="AA7" s="337"/>
      <c r="AB7" s="599">
        <v>35.507718501858129</v>
      </c>
      <c r="AC7" s="342" t="e">
        <f>_xll.qlSimpleQuoteSetValue(F7,AB7/10000,Trigger)</f>
        <v>#N/A</v>
      </c>
      <c r="AD7" s="213"/>
      <c r="AE7" s="64"/>
      <c r="AF7" s="83" t="s">
        <v>96</v>
      </c>
      <c r="AG7" s="82" t="s">
        <v>116</v>
      </c>
      <c r="AH7" s="81" t="s">
        <v>127</v>
      </c>
    </row>
    <row r="8" spans="1:34" x14ac:dyDescent="0.2">
      <c r="A8" s="77"/>
      <c r="B8" s="87" t="s">
        <v>123</v>
      </c>
      <c r="C8" s="75" t="str">
        <f t="shared" si="3"/>
        <v>6L</v>
      </c>
      <c r="D8" s="74" t="str">
        <f t="shared" si="4"/>
        <v>12L</v>
      </c>
      <c r="E8" s="73" t="str">
        <f t="shared" si="0"/>
        <v>GBP6L12L18M_Quote</v>
      </c>
      <c r="F8" s="73" t="str">
        <f>_xll.qlSimpleQuote(E8,,RateTickValue,Permanent,Trigger,ObjectOverwrite)</f>
        <v>GBP6L12L18M_Quote#0000</v>
      </c>
      <c r="G8" s="72" t="str">
        <f>_xll.ohRangeRetrieveError(F8)</f>
        <v/>
      </c>
      <c r="H8" s="71"/>
      <c r="N8" s="492">
        <v>1.5</v>
      </c>
      <c r="O8" s="386" t="s">
        <v>123</v>
      </c>
      <c r="P8" s="389" t="str">
        <v>6L</v>
      </c>
      <c r="Q8" s="389" t="str">
        <v>12L</v>
      </c>
      <c r="R8" s="387" t="str">
        <f t="shared" si="1"/>
        <v>GBP6L12L18M</v>
      </c>
      <c r="S8" s="346" t="str">
        <v>GBP6L12L18M=ICAP</v>
      </c>
      <c r="T8" s="490" t="s">
        <v>233</v>
      </c>
      <c r="U8" s="490" t="s">
        <v>233</v>
      </c>
      <c r="V8" s="490" t="e">
        <f>_xll.qlMidEquivalent(T8,U8)</f>
        <v>#NUM!</v>
      </c>
      <c r="W8" s="343" t="b">
        <f t="shared" si="2"/>
        <v>0</v>
      </c>
      <c r="X8" s="491">
        <v>30.134200473099121</v>
      </c>
      <c r="Y8" s="337"/>
      <c r="Z8" s="488">
        <v>35.012349602973011</v>
      </c>
      <c r="AA8" s="337"/>
      <c r="AB8" s="599">
        <v>35.012349602973011</v>
      </c>
      <c r="AC8" s="342" t="e">
        <f>_xll.qlSimpleQuoteSetValue(F8,AB8/10000,Trigger)</f>
        <v>#N/A</v>
      </c>
      <c r="AD8" s="213"/>
      <c r="AE8" s="64"/>
      <c r="AF8" s="83" t="s">
        <v>117</v>
      </c>
      <c r="AG8" s="82" t="s">
        <v>116</v>
      </c>
      <c r="AH8" s="81" t="s">
        <v>127</v>
      </c>
    </row>
    <row r="9" spans="1:34" ht="13.5" thickBot="1" x14ac:dyDescent="0.25">
      <c r="A9" s="77"/>
      <c r="B9" s="87" t="s">
        <v>122</v>
      </c>
      <c r="C9" s="75" t="str">
        <f t="shared" si="3"/>
        <v>6L</v>
      </c>
      <c r="D9" s="74" t="str">
        <f t="shared" si="4"/>
        <v>12L</v>
      </c>
      <c r="E9" s="73" t="str">
        <f t="shared" si="0"/>
        <v>GBP6L12L21M_Quote</v>
      </c>
      <c r="F9" s="73" t="str">
        <f>_xll.qlSimpleQuote(E9,,RateTickValue,Permanent,Trigger,ObjectOverwrite)</f>
        <v>GBP6L12L21M_Quote#0000</v>
      </c>
      <c r="G9" s="72" t="str">
        <f>_xll.ohRangeRetrieveError(F9)</f>
        <v/>
      </c>
      <c r="H9" s="71"/>
      <c r="N9" s="492">
        <v>1.75</v>
      </c>
      <c r="O9" s="386" t="s">
        <v>122</v>
      </c>
      <c r="P9" s="389" t="str">
        <v>6L</v>
      </c>
      <c r="Q9" s="389" t="str">
        <v>12L</v>
      </c>
      <c r="R9" s="387" t="str">
        <f t="shared" si="1"/>
        <v>GBP6L12L21M</v>
      </c>
      <c r="S9" s="346" t="str">
        <v>GBP6L12L21M=ICAP</v>
      </c>
      <c r="T9" s="490" t="s">
        <v>233</v>
      </c>
      <c r="U9" s="490" t="s">
        <v>233</v>
      </c>
      <c r="V9" s="490" t="e">
        <f>_xll.qlMidEquivalent(T9,U9)</f>
        <v>#NUM!</v>
      </c>
      <c r="W9" s="343" t="b">
        <f t="shared" si="2"/>
        <v>0</v>
      </c>
      <c r="X9" s="491">
        <v>29.437737913961733</v>
      </c>
      <c r="Y9" s="337"/>
      <c r="Z9" s="488">
        <v>34.510805902601383</v>
      </c>
      <c r="AA9" s="337"/>
      <c r="AB9" s="599">
        <v>34.510805902601383</v>
      </c>
      <c r="AC9" s="342" t="e">
        <f>_xll.qlSimpleQuoteSetValue(F9,AB9/10000,Trigger)</f>
        <v>#N/A</v>
      </c>
      <c r="AD9" s="213"/>
      <c r="AE9" s="64"/>
      <c r="AF9" s="80" t="s">
        <v>115</v>
      </c>
      <c r="AG9" s="79" t="s">
        <v>127</v>
      </c>
      <c r="AH9" s="78" t="s">
        <v>114</v>
      </c>
    </row>
    <row r="10" spans="1:34" x14ac:dyDescent="0.2">
      <c r="A10" s="77"/>
      <c r="B10" s="76" t="s">
        <v>85</v>
      </c>
      <c r="C10" s="75" t="str">
        <f t="shared" si="3"/>
        <v>6L</v>
      </c>
      <c r="D10" s="74" t="str">
        <f t="shared" si="4"/>
        <v>12L</v>
      </c>
      <c r="E10" s="73" t="str">
        <f t="shared" si="0"/>
        <v>GBP6L12L2Y_Quote</v>
      </c>
      <c r="F10" s="73" t="str">
        <f>_xll.qlSimpleQuote(E10,,RateTickValue,Permanent,Trigger,ObjectOverwrite)</f>
        <v>GBP6L12L2Y_Quote#0000</v>
      </c>
      <c r="G10" s="72" t="str">
        <f>_xll.ohRangeRetrieveError(F10)</f>
        <v/>
      </c>
      <c r="H10" s="71"/>
      <c r="J10" s="86" t="s">
        <v>121</v>
      </c>
      <c r="K10" s="85" t="s">
        <v>116</v>
      </c>
      <c r="L10" s="84" t="s">
        <v>127</v>
      </c>
      <c r="N10" s="118">
        <v>2</v>
      </c>
      <c r="O10" s="386" t="s">
        <v>85</v>
      </c>
      <c r="P10" s="389" t="str">
        <v>6L</v>
      </c>
      <c r="Q10" s="389" t="str">
        <v>12L</v>
      </c>
      <c r="R10" s="387" t="str">
        <f t="shared" si="1"/>
        <v>GBP6L12L2Y</v>
      </c>
      <c r="S10" s="346" t="str">
        <v>GBP6L12L2Y=ICAP</v>
      </c>
      <c r="T10" s="490">
        <v>22.875</v>
      </c>
      <c r="U10" s="490">
        <v>34.875</v>
      </c>
      <c r="V10" s="490">
        <f>_xll.qlMidEquivalent(T10,U10)</f>
        <v>28.875</v>
      </c>
      <c r="W10" s="343" t="b">
        <f t="shared" si="2"/>
        <v>1</v>
      </c>
      <c r="X10" s="491">
        <v>28.875</v>
      </c>
      <c r="Y10" s="337"/>
      <c r="Z10" s="488">
        <v>34</v>
      </c>
      <c r="AA10" s="337"/>
      <c r="AB10" s="599">
        <v>34</v>
      </c>
      <c r="AC10" s="342" t="e">
        <f>_xll.qlSimpleQuoteSetValue(F10,AB10/10000,Trigger)</f>
        <v>#N/A</v>
      </c>
      <c r="AD10" s="213"/>
      <c r="AE10" s="64"/>
      <c r="AF10" s="64"/>
      <c r="AG10" s="64"/>
      <c r="AH10" s="64"/>
    </row>
    <row r="11" spans="1:34" x14ac:dyDescent="0.2">
      <c r="A11" s="77"/>
      <c r="B11" s="76" t="s">
        <v>84</v>
      </c>
      <c r="C11" s="75" t="str">
        <f t="shared" si="3"/>
        <v>6L</v>
      </c>
      <c r="D11" s="74" t="str">
        <f t="shared" si="4"/>
        <v>12L</v>
      </c>
      <c r="E11" s="73" t="str">
        <f t="shared" si="0"/>
        <v>GBP6L12L3Y_Quote</v>
      </c>
      <c r="F11" s="73" t="str">
        <f>_xll.qlSimpleQuote(E11,,RateTickValue,Permanent,Trigger,ObjectOverwrite)</f>
        <v>GBP6L12L3Y_Quote#0000</v>
      </c>
      <c r="G11" s="72" t="str">
        <f>_xll.ohRangeRetrieveError(F11)</f>
        <v/>
      </c>
      <c r="H11" s="71"/>
      <c r="J11" s="83" t="s">
        <v>120</v>
      </c>
      <c r="K11" s="82" t="s">
        <v>118</v>
      </c>
      <c r="L11" s="81" t="s">
        <v>128</v>
      </c>
      <c r="N11" s="118">
        <v>3</v>
      </c>
      <c r="O11" s="386" t="s">
        <v>84</v>
      </c>
      <c r="P11" s="389" t="str">
        <v>6L</v>
      </c>
      <c r="Q11" s="389" t="str">
        <v>12L</v>
      </c>
      <c r="R11" s="387" t="str">
        <f t="shared" si="1"/>
        <v>GBP6L12L3Y</v>
      </c>
      <c r="S11" s="346" t="str">
        <v>GBP6L12L3Y=ICAP</v>
      </c>
      <c r="T11" s="490">
        <v>21.875</v>
      </c>
      <c r="U11" s="490">
        <v>33.875</v>
      </c>
      <c r="V11" s="490">
        <f>_xll.qlMidEquivalent(T11,U11)</f>
        <v>27.875</v>
      </c>
      <c r="W11" s="343" t="b">
        <f t="shared" si="2"/>
        <v>1</v>
      </c>
      <c r="X11" s="491">
        <v>27.875</v>
      </c>
      <c r="Y11" s="337"/>
      <c r="Z11" s="488">
        <v>32</v>
      </c>
      <c r="AA11" s="337"/>
      <c r="AB11" s="599">
        <v>32</v>
      </c>
      <c r="AC11" s="342" t="e">
        <f>_xll.qlSimpleQuoteSetValue(F11,AB11/10000,Trigger)</f>
        <v>#N/A</v>
      </c>
      <c r="AD11" s="213"/>
      <c r="AE11" s="64"/>
      <c r="AF11" s="64"/>
      <c r="AG11" s="64"/>
      <c r="AH11" s="64"/>
    </row>
    <row r="12" spans="1:34" x14ac:dyDescent="0.2">
      <c r="A12" s="77"/>
      <c r="B12" s="76" t="s">
        <v>83</v>
      </c>
      <c r="C12" s="75" t="str">
        <f t="shared" si="3"/>
        <v>6L</v>
      </c>
      <c r="D12" s="74" t="str">
        <f t="shared" si="4"/>
        <v>12L</v>
      </c>
      <c r="E12" s="73" t="str">
        <f t="shared" si="0"/>
        <v>GBP6L12L4Y_Quote</v>
      </c>
      <c r="F12" s="73" t="str">
        <f>_xll.qlSimpleQuote(E12,,RateTickValue,Permanent,Trigger,ObjectOverwrite)</f>
        <v>GBP6L12L4Y_Quote#0000</v>
      </c>
      <c r="G12" s="72" t="str">
        <f>_xll.ohRangeRetrieveError(F12)</f>
        <v/>
      </c>
      <c r="H12" s="71"/>
      <c r="J12" s="83" t="s">
        <v>96</v>
      </c>
      <c r="K12" s="82" t="s">
        <v>116</v>
      </c>
      <c r="L12" s="81" t="s">
        <v>127</v>
      </c>
      <c r="N12" s="118">
        <v>4</v>
      </c>
      <c r="O12" s="386" t="s">
        <v>83</v>
      </c>
      <c r="P12" s="389" t="str">
        <v>6L</v>
      </c>
      <c r="Q12" s="389" t="str">
        <v>12L</v>
      </c>
      <c r="R12" s="387" t="str">
        <f t="shared" si="1"/>
        <v>GBP6L12L4Y</v>
      </c>
      <c r="S12" s="346" t="str">
        <v>GBP6L12L4Y=ICAP</v>
      </c>
      <c r="T12" s="490">
        <v>21.25</v>
      </c>
      <c r="U12" s="490">
        <v>33.25</v>
      </c>
      <c r="V12" s="490">
        <f>_xll.qlMidEquivalent(T12,U12)</f>
        <v>27.25</v>
      </c>
      <c r="W12" s="343" t="b">
        <f t="shared" si="2"/>
        <v>1</v>
      </c>
      <c r="X12" s="491">
        <v>27.25</v>
      </c>
      <c r="Y12" s="337"/>
      <c r="Z12" s="488">
        <v>30.5</v>
      </c>
      <c r="AA12" s="337"/>
      <c r="AB12" s="599">
        <v>30.5</v>
      </c>
      <c r="AC12" s="342" t="e">
        <f>_xll.qlSimpleQuoteSetValue(F12,AB12/10000,Trigger)</f>
        <v>#N/A</v>
      </c>
      <c r="AD12" s="213"/>
      <c r="AE12" s="64"/>
      <c r="AF12" s="64"/>
      <c r="AG12" s="64"/>
      <c r="AH12" s="64"/>
    </row>
    <row r="13" spans="1:34" x14ac:dyDescent="0.2">
      <c r="A13" s="77"/>
      <c r="B13" s="76" t="s">
        <v>82</v>
      </c>
      <c r="C13" s="75" t="str">
        <f t="shared" si="3"/>
        <v>6L</v>
      </c>
      <c r="D13" s="74" t="str">
        <f t="shared" si="4"/>
        <v>12L</v>
      </c>
      <c r="E13" s="73" t="str">
        <f t="shared" si="0"/>
        <v>GBP6L12L5Y_Quote</v>
      </c>
      <c r="F13" s="73" t="str">
        <f>_xll.qlSimpleQuote(E13,,RateTickValue,Permanent,Trigger,ObjectOverwrite)</f>
        <v>GBP6L12L5Y_Quote#0000</v>
      </c>
      <c r="G13" s="72" t="str">
        <f>_xll.ohRangeRetrieveError(F13)</f>
        <v/>
      </c>
      <c r="H13" s="71"/>
      <c r="J13" s="83" t="s">
        <v>117</v>
      </c>
      <c r="K13" s="82" t="s">
        <v>116</v>
      </c>
      <c r="L13" s="81" t="s">
        <v>127</v>
      </c>
      <c r="N13" s="118">
        <v>5</v>
      </c>
      <c r="O13" s="386" t="s">
        <v>82</v>
      </c>
      <c r="P13" s="389" t="str">
        <v>6L</v>
      </c>
      <c r="Q13" s="389" t="str">
        <v>12L</v>
      </c>
      <c r="R13" s="387" t="str">
        <f t="shared" si="1"/>
        <v>GBP6L12L5Y</v>
      </c>
      <c r="S13" s="346" t="str">
        <v>GBP6L12L5Y=ICAP</v>
      </c>
      <c r="T13" s="490">
        <v>20.625</v>
      </c>
      <c r="U13" s="490">
        <v>32.625</v>
      </c>
      <c r="V13" s="490">
        <f>_xll.qlMidEquivalent(T13,U13)</f>
        <v>26.625</v>
      </c>
      <c r="W13" s="343" t="b">
        <f t="shared" si="2"/>
        <v>1</v>
      </c>
      <c r="X13" s="491">
        <v>26.625</v>
      </c>
      <c r="Y13" s="337"/>
      <c r="Z13" s="488">
        <v>29.25</v>
      </c>
      <c r="AA13" s="337"/>
      <c r="AB13" s="599">
        <v>29.25</v>
      </c>
      <c r="AC13" s="342" t="e">
        <f>_xll.qlSimpleQuoteSetValue(F13,AB13/10000,Trigger)</f>
        <v>#N/A</v>
      </c>
      <c r="AD13" s="213"/>
      <c r="AE13" s="64"/>
      <c r="AF13" s="64"/>
      <c r="AG13" s="64"/>
      <c r="AH13" s="64"/>
    </row>
    <row r="14" spans="1:34" ht="13.5" thickBot="1" x14ac:dyDescent="0.25">
      <c r="A14" s="77"/>
      <c r="B14" s="76" t="s">
        <v>81</v>
      </c>
      <c r="C14" s="75" t="str">
        <f t="shared" si="3"/>
        <v>6L</v>
      </c>
      <c r="D14" s="74" t="str">
        <f t="shared" si="4"/>
        <v>12L</v>
      </c>
      <c r="E14" s="73" t="str">
        <f t="shared" si="0"/>
        <v>GBP6L12L6Y_Quote</v>
      </c>
      <c r="F14" s="73" t="str">
        <f>_xll.qlSimpleQuote(E14,,RateTickValue,Permanent,Trigger,ObjectOverwrite)</f>
        <v>GBP6L12L6Y_Quote#0000</v>
      </c>
      <c r="G14" s="72" t="str">
        <f>_xll.ohRangeRetrieveError(F14)</f>
        <v/>
      </c>
      <c r="H14" s="71"/>
      <c r="J14" s="80" t="s">
        <v>115</v>
      </c>
      <c r="K14" s="79" t="s">
        <v>127</v>
      </c>
      <c r="L14" s="78" t="s">
        <v>114</v>
      </c>
      <c r="N14" s="118">
        <v>6</v>
      </c>
      <c r="O14" s="386" t="s">
        <v>81</v>
      </c>
      <c r="P14" s="389" t="str">
        <v>6L</v>
      </c>
      <c r="Q14" s="389" t="str">
        <v>12L</v>
      </c>
      <c r="R14" s="387" t="str">
        <f t="shared" si="1"/>
        <v>GBP6L12L6Y</v>
      </c>
      <c r="S14" s="346" t="str">
        <v>GBP6L12L6Y=ICAP</v>
      </c>
      <c r="T14" s="490">
        <v>20</v>
      </c>
      <c r="U14" s="490">
        <v>32</v>
      </c>
      <c r="V14" s="490">
        <f>_xll.qlMidEquivalent(T14,U14)</f>
        <v>26</v>
      </c>
      <c r="W14" s="343" t="b">
        <f t="shared" si="2"/>
        <v>1</v>
      </c>
      <c r="X14" s="491">
        <v>26</v>
      </c>
      <c r="Y14" s="337"/>
      <c r="Z14" s="488">
        <v>28.25</v>
      </c>
      <c r="AA14" s="337"/>
      <c r="AB14" s="599">
        <v>28.25</v>
      </c>
      <c r="AC14" s="342" t="e">
        <f>_xll.qlSimpleQuoteSetValue(F14,AB14/10000,Trigger)</f>
        <v>#N/A</v>
      </c>
      <c r="AD14" s="213"/>
      <c r="AE14" s="64"/>
      <c r="AF14" s="64"/>
      <c r="AG14" s="64"/>
      <c r="AH14" s="64"/>
    </row>
    <row r="15" spans="1:34" x14ac:dyDescent="0.2">
      <c r="A15" s="77"/>
      <c r="B15" s="76" t="s">
        <v>80</v>
      </c>
      <c r="C15" s="75" t="str">
        <f t="shared" si="3"/>
        <v>6L</v>
      </c>
      <c r="D15" s="74" t="str">
        <f t="shared" si="4"/>
        <v>12L</v>
      </c>
      <c r="E15" s="73" t="str">
        <f t="shared" si="0"/>
        <v>GBP6L12L7Y_Quote</v>
      </c>
      <c r="F15" s="73" t="str">
        <f>_xll.qlSimpleQuote(E15,,RateTickValue,Permanent,Trigger,ObjectOverwrite)</f>
        <v>GBP6L12L7Y_Quote#0000</v>
      </c>
      <c r="G15" s="72" t="str">
        <f>_xll.ohRangeRetrieveError(F15)</f>
        <v/>
      </c>
      <c r="H15" s="71"/>
      <c r="N15" s="118">
        <v>7</v>
      </c>
      <c r="O15" s="386" t="s">
        <v>80</v>
      </c>
      <c r="P15" s="389" t="str">
        <v>6L</v>
      </c>
      <c r="Q15" s="389" t="str">
        <v>12L</v>
      </c>
      <c r="R15" s="387" t="str">
        <f t="shared" si="1"/>
        <v>GBP6L12L7Y</v>
      </c>
      <c r="S15" s="346" t="str">
        <v>GBP6L12L7Y=ICAP</v>
      </c>
      <c r="T15" s="490">
        <v>19.375</v>
      </c>
      <c r="U15" s="490">
        <v>31.375</v>
      </c>
      <c r="V15" s="490">
        <f>_xll.qlMidEquivalent(T15,U15)</f>
        <v>25.375</v>
      </c>
      <c r="W15" s="343" t="b">
        <f t="shared" si="2"/>
        <v>1</v>
      </c>
      <c r="X15" s="491">
        <v>25.375</v>
      </c>
      <c r="Y15" s="337"/>
      <c r="Z15" s="488">
        <v>27</v>
      </c>
      <c r="AA15" s="337"/>
      <c r="AB15" s="599">
        <v>27</v>
      </c>
      <c r="AC15" s="342" t="e">
        <f>_xll.qlSimpleQuoteSetValue(F15,AB15/10000,Trigger)</f>
        <v>#N/A</v>
      </c>
      <c r="AD15" s="213"/>
      <c r="AE15" s="64"/>
      <c r="AF15" s="64"/>
      <c r="AG15" s="64"/>
      <c r="AH15" s="64"/>
    </row>
    <row r="16" spans="1:34" x14ac:dyDescent="0.2">
      <c r="A16" s="77"/>
      <c r="B16" s="76" t="s">
        <v>79</v>
      </c>
      <c r="C16" s="75" t="str">
        <f t="shared" si="3"/>
        <v>6L</v>
      </c>
      <c r="D16" s="74" t="str">
        <f t="shared" si="4"/>
        <v>12L</v>
      </c>
      <c r="E16" s="73" t="str">
        <f t="shared" si="0"/>
        <v>GBP6L12L8Y_Quote</v>
      </c>
      <c r="F16" s="73" t="str">
        <f>_xll.qlSimpleQuote(E16,,RateTickValue,Permanent,Trigger,ObjectOverwrite)</f>
        <v>GBP6L12L8Y_Quote#0000</v>
      </c>
      <c r="G16" s="72" t="str">
        <f>_xll.ohRangeRetrieveError(F16)</f>
        <v/>
      </c>
      <c r="H16" s="71"/>
      <c r="N16" s="118">
        <v>8</v>
      </c>
      <c r="O16" s="386" t="s">
        <v>79</v>
      </c>
      <c r="P16" s="389" t="str">
        <v>6L</v>
      </c>
      <c r="Q16" s="389" t="str">
        <v>12L</v>
      </c>
      <c r="R16" s="387" t="str">
        <f t="shared" si="1"/>
        <v>GBP6L12L8Y</v>
      </c>
      <c r="S16" s="346" t="str">
        <v>GBP6L12L8Y=ICAP</v>
      </c>
      <c r="T16" s="490">
        <v>18.75</v>
      </c>
      <c r="U16" s="490">
        <v>30.75</v>
      </c>
      <c r="V16" s="490">
        <f>_xll.qlMidEquivalent(T16,U16)</f>
        <v>24.75</v>
      </c>
      <c r="W16" s="343" t="b">
        <f t="shared" si="2"/>
        <v>1</v>
      </c>
      <c r="X16" s="491">
        <v>24.75</v>
      </c>
      <c r="Y16" s="337"/>
      <c r="Z16" s="488">
        <v>26.25</v>
      </c>
      <c r="AA16" s="337"/>
      <c r="AB16" s="599">
        <v>26.25</v>
      </c>
      <c r="AC16" s="342" t="e">
        <f>_xll.qlSimpleQuoteSetValue(F16,AB16/10000,Trigger)</f>
        <v>#N/A</v>
      </c>
      <c r="AD16" s="213"/>
      <c r="AE16" s="64"/>
      <c r="AF16" s="64"/>
      <c r="AG16" s="64"/>
      <c r="AH16" s="64"/>
    </row>
    <row r="17" spans="1:34" x14ac:dyDescent="0.2">
      <c r="A17" s="77"/>
      <c r="B17" s="76" t="s">
        <v>78</v>
      </c>
      <c r="C17" s="75" t="str">
        <f t="shared" si="3"/>
        <v>6L</v>
      </c>
      <c r="D17" s="74" t="str">
        <f t="shared" si="4"/>
        <v>12L</v>
      </c>
      <c r="E17" s="73" t="str">
        <f t="shared" si="0"/>
        <v>GBP6L12L9Y_Quote</v>
      </c>
      <c r="F17" s="73" t="str">
        <f>_xll.qlSimpleQuote(E17,,RateTickValue,Permanent,Trigger,ObjectOverwrite)</f>
        <v>GBP6L12L9Y_Quote#0000</v>
      </c>
      <c r="G17" s="72" t="str">
        <f>_xll.ohRangeRetrieveError(F17)</f>
        <v/>
      </c>
      <c r="H17" s="71"/>
      <c r="N17" s="118">
        <v>9</v>
      </c>
      <c r="O17" s="386" t="s">
        <v>78</v>
      </c>
      <c r="P17" s="389" t="str">
        <v>6L</v>
      </c>
      <c r="Q17" s="389" t="str">
        <v>12L</v>
      </c>
      <c r="R17" s="387" t="str">
        <f t="shared" si="1"/>
        <v>GBP6L12L9Y</v>
      </c>
      <c r="S17" s="346" t="str">
        <v>GBP6L12L9Y=ICAP</v>
      </c>
      <c r="T17" s="490">
        <v>18</v>
      </c>
      <c r="U17" s="490">
        <v>30</v>
      </c>
      <c r="V17" s="490">
        <f>_xll.qlMidEquivalent(T17,U17)</f>
        <v>24</v>
      </c>
      <c r="W17" s="343" t="b">
        <f t="shared" si="2"/>
        <v>1</v>
      </c>
      <c r="X17" s="491">
        <v>24</v>
      </c>
      <c r="Y17" s="337"/>
      <c r="Z17" s="488">
        <v>25.25</v>
      </c>
      <c r="AA17" s="337"/>
      <c r="AB17" s="599">
        <v>25.25</v>
      </c>
      <c r="AC17" s="342" t="e">
        <f>_xll.qlSimpleQuoteSetValue(F17,AB17/10000,Trigger)</f>
        <v>#N/A</v>
      </c>
      <c r="AD17" s="213"/>
      <c r="AE17" s="64"/>
      <c r="AF17" s="64"/>
      <c r="AG17" s="64"/>
      <c r="AH17" s="64"/>
    </row>
    <row r="18" spans="1:34" x14ac:dyDescent="0.2">
      <c r="A18" s="77"/>
      <c r="B18" s="76" t="s">
        <v>77</v>
      </c>
      <c r="C18" s="75" t="str">
        <f t="shared" si="3"/>
        <v>6L</v>
      </c>
      <c r="D18" s="74" t="str">
        <f t="shared" si="4"/>
        <v>12L</v>
      </c>
      <c r="E18" s="73" t="str">
        <f t="shared" si="0"/>
        <v>GBP6L12L10Y_Quote</v>
      </c>
      <c r="F18" s="73" t="str">
        <f>_xll.qlSimpleQuote(E18,,RateTickValue,Permanent,Trigger,ObjectOverwrite)</f>
        <v>GBP6L12L10Y_Quote#0000</v>
      </c>
      <c r="G18" s="72" t="str">
        <f>_xll.ohRangeRetrieveError(F18)</f>
        <v/>
      </c>
      <c r="H18" s="71"/>
      <c r="N18" s="118">
        <v>10</v>
      </c>
      <c r="O18" s="386" t="s">
        <v>77</v>
      </c>
      <c r="P18" s="389" t="str">
        <v>6L</v>
      </c>
      <c r="Q18" s="389" t="str">
        <v>12L</v>
      </c>
      <c r="R18" s="387" t="str">
        <f t="shared" si="1"/>
        <v>GBP6L12L10Y</v>
      </c>
      <c r="S18" s="346" t="str">
        <v>GBP6L12L10Y=ICAP</v>
      </c>
      <c r="T18" s="490">
        <v>17.375</v>
      </c>
      <c r="U18" s="490">
        <v>29.375</v>
      </c>
      <c r="V18" s="490">
        <f>_xll.qlMidEquivalent(T18,U18)</f>
        <v>23.375</v>
      </c>
      <c r="W18" s="343" t="b">
        <f t="shared" si="2"/>
        <v>1</v>
      </c>
      <c r="X18" s="491">
        <v>23.375</v>
      </c>
      <c r="Y18" s="337"/>
      <c r="Z18" s="488">
        <v>24.25</v>
      </c>
      <c r="AA18" s="337"/>
      <c r="AB18" s="599">
        <v>24.25</v>
      </c>
      <c r="AC18" s="342" t="e">
        <f>_xll.qlSimpleQuoteSetValue(F18,AB18/10000,Trigger)</f>
        <v>#N/A</v>
      </c>
      <c r="AD18" s="213"/>
      <c r="AE18" s="64"/>
      <c r="AF18" s="64"/>
      <c r="AG18" s="64"/>
      <c r="AH18" s="64"/>
    </row>
    <row r="19" spans="1:34" x14ac:dyDescent="0.2">
      <c r="A19" s="77"/>
      <c r="B19" s="76" t="s">
        <v>76</v>
      </c>
      <c r="C19" s="75" t="str">
        <f t="shared" si="3"/>
        <v>6L</v>
      </c>
      <c r="D19" s="74" t="str">
        <f t="shared" si="4"/>
        <v>12L</v>
      </c>
      <c r="E19" s="73" t="str">
        <f t="shared" si="0"/>
        <v>GBP6L12L11Y_Quote</v>
      </c>
      <c r="F19" s="73" t="str">
        <f>_xll.qlSimpleQuote(E19,,RateTickValue,Permanent,Trigger,ObjectOverwrite)</f>
        <v>GBP6L12L11Y_Quote#0000</v>
      </c>
      <c r="G19" s="72" t="str">
        <f>_xll.ohRangeRetrieveError(F19)</f>
        <v/>
      </c>
      <c r="H19" s="71"/>
      <c r="N19" s="118">
        <v>11</v>
      </c>
      <c r="O19" s="386" t="s">
        <v>76</v>
      </c>
      <c r="P19" s="389" t="str">
        <v>6L</v>
      </c>
      <c r="Q19" s="389" t="str">
        <v>12L</v>
      </c>
      <c r="R19" s="387" t="str">
        <f t="shared" si="1"/>
        <v>GBP6L12L11Y</v>
      </c>
      <c r="S19" s="346" t="str">
        <v>GBP6L12L11Y=ICAP</v>
      </c>
      <c r="T19" s="490" t="s">
        <v>233</v>
      </c>
      <c r="U19" s="490" t="s">
        <v>233</v>
      </c>
      <c r="V19" s="490" t="e">
        <f>_xll.qlMidEquivalent(T19,U19)</f>
        <v>#NUM!</v>
      </c>
      <c r="W19" s="343" t="b">
        <f t="shared" si="2"/>
        <v>0</v>
      </c>
      <c r="X19" s="491">
        <v>22.767425066641273</v>
      </c>
      <c r="Y19" s="337"/>
      <c r="Z19" s="488">
        <v>23.333703072317427</v>
      </c>
      <c r="AA19" s="337"/>
      <c r="AB19" s="599">
        <v>23.333703072317427</v>
      </c>
      <c r="AC19" s="342" t="e">
        <f>_xll.qlSimpleQuoteSetValue(F19,AB19/10000,Trigger)</f>
        <v>#N/A</v>
      </c>
      <c r="AD19" s="213"/>
      <c r="AE19" s="64"/>
      <c r="AF19" s="64"/>
      <c r="AG19" s="64"/>
      <c r="AH19" s="64"/>
    </row>
    <row r="20" spans="1:34" x14ac:dyDescent="0.2">
      <c r="A20" s="77"/>
      <c r="B20" s="76" t="s">
        <v>75</v>
      </c>
      <c r="C20" s="75" t="str">
        <f t="shared" si="3"/>
        <v>6L</v>
      </c>
      <c r="D20" s="74" t="str">
        <f t="shared" si="4"/>
        <v>12L</v>
      </c>
      <c r="E20" s="73" t="str">
        <f t="shared" si="0"/>
        <v>GBP6L12L12Y_Quote</v>
      </c>
      <c r="F20" s="73" t="str">
        <f>_xll.qlSimpleQuote(E20,,RateTickValue,Permanent,Trigger,ObjectOverwrite)</f>
        <v>GBP6L12L12Y_Quote#0000</v>
      </c>
      <c r="G20" s="72" t="str">
        <f>_xll.ohRangeRetrieveError(F20)</f>
        <v/>
      </c>
      <c r="H20" s="71"/>
      <c r="N20" s="118">
        <v>12</v>
      </c>
      <c r="O20" s="386" t="s">
        <v>75</v>
      </c>
      <c r="P20" s="389" t="str">
        <v>6L</v>
      </c>
      <c r="Q20" s="389" t="str">
        <v>12L</v>
      </c>
      <c r="R20" s="387" t="str">
        <f t="shared" si="1"/>
        <v>GBP6L12L12Y</v>
      </c>
      <c r="S20" s="346" t="str">
        <v>GBP6L12L12Y=ICAP</v>
      </c>
      <c r="T20" s="490">
        <v>14.125</v>
      </c>
      <c r="U20" s="490">
        <v>30.125</v>
      </c>
      <c r="V20" s="490">
        <f>_xll.qlMidEquivalent(T20,U20)</f>
        <v>22.125</v>
      </c>
      <c r="W20" s="343" t="b">
        <f t="shared" si="2"/>
        <v>1</v>
      </c>
      <c r="X20" s="491">
        <v>22.125</v>
      </c>
      <c r="Y20" s="337"/>
      <c r="Z20" s="488">
        <v>22.5</v>
      </c>
      <c r="AA20" s="337"/>
      <c r="AB20" s="599">
        <v>22.5</v>
      </c>
      <c r="AC20" s="342" t="e">
        <f>_xll.qlSimpleQuoteSetValue(F20,AB20/10000,Trigger)</f>
        <v>#N/A</v>
      </c>
      <c r="AD20" s="213"/>
      <c r="AE20" s="64"/>
      <c r="AF20" s="64"/>
      <c r="AG20" s="64"/>
      <c r="AH20" s="64"/>
    </row>
    <row r="21" spans="1:34" x14ac:dyDescent="0.2">
      <c r="A21" s="77"/>
      <c r="B21" s="76" t="s">
        <v>74</v>
      </c>
      <c r="C21" s="75" t="str">
        <f t="shared" si="3"/>
        <v>6L</v>
      </c>
      <c r="D21" s="74" t="str">
        <f t="shared" si="4"/>
        <v>12L</v>
      </c>
      <c r="E21" s="73" t="str">
        <f t="shared" si="0"/>
        <v>GBP6L12L13Y_Quote</v>
      </c>
      <c r="F21" s="73" t="str">
        <f>_xll.qlSimpleQuote(E21,,RateTickValue,Permanent,Trigger,ObjectOverwrite)</f>
        <v>GBP6L12L13Y_Quote#0000</v>
      </c>
      <c r="G21" s="72" t="str">
        <f>_xll.ohRangeRetrieveError(F21)</f>
        <v/>
      </c>
      <c r="H21" s="71"/>
      <c r="N21" s="118">
        <v>13</v>
      </c>
      <c r="O21" s="386" t="s">
        <v>74</v>
      </c>
      <c r="P21" s="389" t="str">
        <v>6L</v>
      </c>
      <c r="Q21" s="389" t="str">
        <v>12L</v>
      </c>
      <c r="R21" s="387" t="str">
        <f t="shared" si="1"/>
        <v>GBP6L12L13Y</v>
      </c>
      <c r="S21" s="346" t="str">
        <v>GBP6L12L13Y=ICAP</v>
      </c>
      <c r="T21" s="490" t="s">
        <v>233</v>
      </c>
      <c r="U21" s="490" t="s">
        <v>233</v>
      </c>
      <c r="V21" s="490" t="e">
        <f>_xll.qlMidEquivalent(T21,U21)</f>
        <v>#NUM!</v>
      </c>
      <c r="W21" s="343" t="b">
        <f t="shared" si="2"/>
        <v>0</v>
      </c>
      <c r="X21" s="491">
        <v>21.450294221938027</v>
      </c>
      <c r="Y21" s="337"/>
      <c r="Z21" s="488">
        <v>21.759821623180205</v>
      </c>
      <c r="AA21" s="337"/>
      <c r="AB21" s="599">
        <v>21.759821623180205</v>
      </c>
      <c r="AC21" s="342" t="e">
        <f>_xll.qlSimpleQuoteSetValue(F21,AB21/10000,Trigger)</f>
        <v>#N/A</v>
      </c>
      <c r="AD21" s="213"/>
      <c r="AE21" s="64"/>
      <c r="AF21" s="64"/>
      <c r="AG21" s="64"/>
      <c r="AH21" s="64"/>
    </row>
    <row r="22" spans="1:34" x14ac:dyDescent="0.2">
      <c r="A22" s="77"/>
      <c r="B22" s="76" t="s">
        <v>73</v>
      </c>
      <c r="C22" s="75" t="str">
        <f t="shared" si="3"/>
        <v>6L</v>
      </c>
      <c r="D22" s="74" t="str">
        <f t="shared" si="4"/>
        <v>12L</v>
      </c>
      <c r="E22" s="73" t="str">
        <f t="shared" si="0"/>
        <v>GBP6L12L14Y_Quote</v>
      </c>
      <c r="F22" s="73" t="str">
        <f>_xll.qlSimpleQuote(E22,,RateTickValue,Permanent,Trigger,ObjectOverwrite)</f>
        <v>GBP6L12L14Y_Quote#0000</v>
      </c>
      <c r="G22" s="72" t="str">
        <f>_xll.ohRangeRetrieveError(F22)</f>
        <v/>
      </c>
      <c r="H22" s="71"/>
      <c r="N22" s="118">
        <v>14</v>
      </c>
      <c r="O22" s="386" t="s">
        <v>73</v>
      </c>
      <c r="P22" s="389" t="str">
        <v>6L</v>
      </c>
      <c r="Q22" s="389" t="str">
        <v>12L</v>
      </c>
      <c r="R22" s="387" t="str">
        <f t="shared" si="1"/>
        <v>GBP6L12L14Y</v>
      </c>
      <c r="S22" s="346" t="str">
        <v>GBP6L12L14Y=ICAP</v>
      </c>
      <c r="T22" s="490" t="s">
        <v>233</v>
      </c>
      <c r="U22" s="490" t="s">
        <v>233</v>
      </c>
      <c r="V22" s="490" t="e">
        <f>_xll.qlMidEquivalent(T22,U22)</f>
        <v>#NUM!</v>
      </c>
      <c r="W22" s="343" t="b">
        <f t="shared" si="2"/>
        <v>0</v>
      </c>
      <c r="X22" s="491">
        <v>20.771919926317349</v>
      </c>
      <c r="Y22" s="337"/>
      <c r="Z22" s="488">
        <v>21.099684119269718</v>
      </c>
      <c r="AA22" s="337"/>
      <c r="AB22" s="599">
        <v>21.099684119269718</v>
      </c>
      <c r="AC22" s="342" t="e">
        <f>_xll.qlSimpleQuoteSetValue(F22,AB22/10000,Trigger)</f>
        <v>#N/A</v>
      </c>
      <c r="AD22" s="213"/>
      <c r="AE22" s="64"/>
      <c r="AF22" s="64"/>
      <c r="AG22" s="64"/>
      <c r="AH22" s="64"/>
    </row>
    <row r="23" spans="1:34" x14ac:dyDescent="0.2">
      <c r="A23" s="77"/>
      <c r="B23" s="76" t="s">
        <v>72</v>
      </c>
      <c r="C23" s="75" t="str">
        <f t="shared" si="3"/>
        <v>6L</v>
      </c>
      <c r="D23" s="74" t="str">
        <f t="shared" si="4"/>
        <v>12L</v>
      </c>
      <c r="E23" s="73" t="str">
        <f t="shared" si="0"/>
        <v>GBP6L12L15Y_Quote</v>
      </c>
      <c r="F23" s="73" t="str">
        <f>_xll.qlSimpleQuote(E23,,RateTickValue,Permanent,Trigger,ObjectOverwrite)</f>
        <v>GBP6L12L15Y_Quote#0000</v>
      </c>
      <c r="G23" s="72" t="str">
        <f>_xll.ohRangeRetrieveError(F23)</f>
        <v/>
      </c>
      <c r="H23" s="71"/>
      <c r="N23" s="118">
        <v>15</v>
      </c>
      <c r="O23" s="386" t="s">
        <v>72</v>
      </c>
      <c r="P23" s="389" t="str">
        <v>6L</v>
      </c>
      <c r="Q23" s="389" t="str">
        <v>12L</v>
      </c>
      <c r="R23" s="387" t="str">
        <f t="shared" si="1"/>
        <v>GBP6L12L15Y</v>
      </c>
      <c r="S23" s="346" t="str">
        <v>GBP6L12L15Y=ICAP</v>
      </c>
      <c r="T23" s="490">
        <v>12.125</v>
      </c>
      <c r="U23" s="490">
        <v>28.125</v>
      </c>
      <c r="V23" s="490">
        <f>_xll.qlMidEquivalent(T23,U23)</f>
        <v>20.125</v>
      </c>
      <c r="W23" s="343" t="b">
        <f t="shared" si="2"/>
        <v>1</v>
      </c>
      <c r="X23" s="491">
        <v>20.125</v>
      </c>
      <c r="Y23" s="337"/>
      <c r="Z23" s="488">
        <v>20.5</v>
      </c>
      <c r="AA23" s="337"/>
      <c r="AB23" s="599">
        <v>20.5</v>
      </c>
      <c r="AC23" s="342" t="e">
        <f>_xll.qlSimpleQuoteSetValue(F23,AB23/10000,Trigger)</f>
        <v>#N/A</v>
      </c>
      <c r="AD23" s="213"/>
      <c r="AE23" s="64"/>
      <c r="AF23" s="64"/>
      <c r="AG23" s="64"/>
      <c r="AH23" s="64"/>
    </row>
    <row r="24" spans="1:34" x14ac:dyDescent="0.2">
      <c r="A24" s="77"/>
      <c r="B24" s="76" t="s">
        <v>71</v>
      </c>
      <c r="C24" s="75" t="str">
        <f t="shared" si="3"/>
        <v>6L</v>
      </c>
      <c r="D24" s="74" t="str">
        <f t="shared" si="4"/>
        <v>12L</v>
      </c>
      <c r="E24" s="73" t="str">
        <f t="shared" si="0"/>
        <v>GBP6L12L16Y_Quote</v>
      </c>
      <c r="F24" s="73" t="str">
        <f>_xll.qlSimpleQuote(E24,,RateTickValue,Permanent,Trigger,ObjectOverwrite)</f>
        <v>GBP6L12L16Y_Quote#0000</v>
      </c>
      <c r="G24" s="72" t="str">
        <f>_xll.ohRangeRetrieveError(F24)</f>
        <v/>
      </c>
      <c r="H24" s="71"/>
      <c r="N24" s="118">
        <v>16</v>
      </c>
      <c r="O24" s="386" t="s">
        <v>71</v>
      </c>
      <c r="P24" s="389" t="str">
        <v>6L</v>
      </c>
      <c r="Q24" s="389" t="str">
        <v>12L</v>
      </c>
      <c r="R24" s="387" t="str">
        <f t="shared" si="1"/>
        <v>GBP6L12L16Y</v>
      </c>
      <c r="S24" s="346" t="str">
        <v>GBP6L12L16Y=ICAP</v>
      </c>
      <c r="T24" s="490" t="s">
        <v>233</v>
      </c>
      <c r="U24" s="490" t="s">
        <v>233</v>
      </c>
      <c r="V24" s="490" t="e">
        <f>_xll.qlMidEquivalent(T24,U24)</f>
        <v>#NUM!</v>
      </c>
      <c r="W24" s="343" t="b">
        <f t="shared" si="2"/>
        <v>0</v>
      </c>
      <c r="X24" s="491">
        <v>19.536925194262938</v>
      </c>
      <c r="Y24" s="337"/>
      <c r="Z24" s="488">
        <v>19.943399232431609</v>
      </c>
      <c r="AA24" s="337"/>
      <c r="AB24" s="599">
        <v>19.943399232431609</v>
      </c>
      <c r="AC24" s="342" t="e">
        <f>_xll.qlSimpleQuoteSetValue(F24,AB24/10000,Trigger)</f>
        <v>#N/A</v>
      </c>
      <c r="AD24" s="213"/>
      <c r="AE24" s="64"/>
      <c r="AF24" s="64"/>
      <c r="AG24" s="64"/>
      <c r="AH24" s="64"/>
    </row>
    <row r="25" spans="1:34" x14ac:dyDescent="0.2">
      <c r="A25" s="77"/>
      <c r="B25" s="76" t="s">
        <v>70</v>
      </c>
      <c r="C25" s="75" t="str">
        <f t="shared" si="3"/>
        <v>6L</v>
      </c>
      <c r="D25" s="74" t="str">
        <f t="shared" si="4"/>
        <v>12L</v>
      </c>
      <c r="E25" s="73" t="str">
        <f t="shared" si="0"/>
        <v>GBP6L12L17Y_Quote</v>
      </c>
      <c r="F25" s="73" t="str">
        <f>_xll.qlSimpleQuote(E25,,RateTickValue,Permanent,Trigger,ObjectOverwrite)</f>
        <v>GBP6L12L17Y_Quote#0000</v>
      </c>
      <c r="G25" s="72" t="str">
        <f>_xll.ohRangeRetrieveError(F25)</f>
        <v/>
      </c>
      <c r="H25" s="71"/>
      <c r="N25" s="118">
        <v>17</v>
      </c>
      <c r="O25" s="386" t="s">
        <v>70</v>
      </c>
      <c r="P25" s="389" t="str">
        <v>6L</v>
      </c>
      <c r="Q25" s="389" t="str">
        <v>12L</v>
      </c>
      <c r="R25" s="387" t="str">
        <f t="shared" si="1"/>
        <v>GBP6L12L17Y</v>
      </c>
      <c r="S25" s="346" t="str">
        <v>GBP6L12L17Y=ICAP</v>
      </c>
      <c r="T25" s="490" t="s">
        <v>233</v>
      </c>
      <c r="U25" s="490" t="s">
        <v>233</v>
      </c>
      <c r="V25" s="490" t="e">
        <f>_xll.qlMidEquivalent(T25,U25)</f>
        <v>#NUM!</v>
      </c>
      <c r="W25" s="343" t="b">
        <f t="shared" si="2"/>
        <v>0</v>
      </c>
      <c r="X25" s="491">
        <v>19.004157718042823</v>
      </c>
      <c r="Y25" s="337"/>
      <c r="Z25" s="488">
        <v>19.421381604941438</v>
      </c>
      <c r="AA25" s="337"/>
      <c r="AB25" s="599">
        <v>19.421381604941438</v>
      </c>
      <c r="AC25" s="342" t="e">
        <f>_xll.qlSimpleQuoteSetValue(F25,AB25/10000,Trigger)</f>
        <v>#N/A</v>
      </c>
      <c r="AD25" s="213"/>
      <c r="AE25" s="64"/>
      <c r="AF25" s="64"/>
      <c r="AG25" s="64"/>
      <c r="AH25" s="64"/>
    </row>
    <row r="26" spans="1:34" x14ac:dyDescent="0.2">
      <c r="A26" s="77"/>
      <c r="B26" s="76" t="s">
        <v>69</v>
      </c>
      <c r="C26" s="75" t="str">
        <f t="shared" si="3"/>
        <v>6L</v>
      </c>
      <c r="D26" s="74" t="str">
        <f t="shared" si="4"/>
        <v>12L</v>
      </c>
      <c r="E26" s="73" t="str">
        <f t="shared" si="0"/>
        <v>GBP6L12L18Y_Quote</v>
      </c>
      <c r="F26" s="73" t="str">
        <f>_xll.qlSimpleQuote(E26,,RateTickValue,Permanent,Trigger,ObjectOverwrite)</f>
        <v>GBP6L12L18Y_Quote#0000</v>
      </c>
      <c r="G26" s="72" t="str">
        <f>_xll.ohRangeRetrieveError(F26)</f>
        <v/>
      </c>
      <c r="H26" s="71"/>
      <c r="N26" s="118">
        <v>18</v>
      </c>
      <c r="O26" s="386" t="s">
        <v>69</v>
      </c>
      <c r="P26" s="389" t="str">
        <v>6L</v>
      </c>
      <c r="Q26" s="389" t="str">
        <v>12L</v>
      </c>
      <c r="R26" s="387" t="str">
        <f t="shared" si="1"/>
        <v>GBP6L12L18Y</v>
      </c>
      <c r="S26" s="346" t="str">
        <v>GBP6L12L18Y=ICAP</v>
      </c>
      <c r="T26" s="490" t="s">
        <v>233</v>
      </c>
      <c r="U26" s="490" t="s">
        <v>233</v>
      </c>
      <c r="V26" s="490" t="e">
        <f>_xll.qlMidEquivalent(T26,U26)</f>
        <v>#NUM!</v>
      </c>
      <c r="W26" s="343" t="b">
        <f t="shared" si="2"/>
        <v>0</v>
      </c>
      <c r="X26" s="491">
        <v>18.51542764469124</v>
      </c>
      <c r="Y26" s="337"/>
      <c r="Z26" s="488">
        <v>18.927664361235458</v>
      </c>
      <c r="AA26" s="337"/>
      <c r="AB26" s="599">
        <v>18.927664361235458</v>
      </c>
      <c r="AC26" s="342" t="e">
        <f>_xll.qlSimpleQuoteSetValue(F26,AB26/10000,Trigger)</f>
        <v>#N/A</v>
      </c>
      <c r="AD26" s="213"/>
      <c r="AE26" s="64"/>
      <c r="AF26" s="64"/>
      <c r="AG26" s="64"/>
      <c r="AH26" s="64"/>
    </row>
    <row r="27" spans="1:34" x14ac:dyDescent="0.2">
      <c r="A27" s="77"/>
      <c r="B27" s="76" t="s">
        <v>68</v>
      </c>
      <c r="C27" s="75" t="str">
        <f t="shared" si="3"/>
        <v>6L</v>
      </c>
      <c r="D27" s="74" t="str">
        <f t="shared" si="4"/>
        <v>12L</v>
      </c>
      <c r="E27" s="73" t="str">
        <f t="shared" si="0"/>
        <v>GBP6L12L19Y_Quote</v>
      </c>
      <c r="F27" s="73" t="str">
        <f>_xll.qlSimpleQuote(E27,,RateTickValue,Permanent,Trigger,ObjectOverwrite)</f>
        <v>GBP6L12L19Y_Quote#0000</v>
      </c>
      <c r="G27" s="72" t="str">
        <f>_xll.ohRangeRetrieveError(F27)</f>
        <v/>
      </c>
      <c r="H27" s="71"/>
      <c r="N27" s="118">
        <v>19</v>
      </c>
      <c r="O27" s="386" t="s">
        <v>68</v>
      </c>
      <c r="P27" s="389" t="str">
        <v>6L</v>
      </c>
      <c r="Q27" s="389" t="str">
        <v>12L</v>
      </c>
      <c r="R27" s="387" t="str">
        <f t="shared" si="1"/>
        <v>GBP6L12L19Y</v>
      </c>
      <c r="S27" s="346" t="str">
        <v>GBP6L12L19Y=ICAP</v>
      </c>
      <c r="T27" s="490" t="s">
        <v>233</v>
      </c>
      <c r="U27" s="490" t="s">
        <v>233</v>
      </c>
      <c r="V27" s="490" t="e">
        <f>_xll.qlMidEquivalent(T27,U27)</f>
        <v>#NUM!</v>
      </c>
      <c r="W27" s="343" t="b">
        <f t="shared" si="2"/>
        <v>0</v>
      </c>
      <c r="X27" s="491">
        <v>18.059465047559769</v>
      </c>
      <c r="Y27" s="337"/>
      <c r="Z27" s="488">
        <v>18.455964745019656</v>
      </c>
      <c r="AA27" s="337"/>
      <c r="AB27" s="599">
        <v>18.455964745019656</v>
      </c>
      <c r="AC27" s="342" t="e">
        <f>_xll.qlSimpleQuoteSetValue(F27,AB27/10000,Trigger)</f>
        <v>#N/A</v>
      </c>
      <c r="AD27" s="213"/>
      <c r="AE27" s="64"/>
      <c r="AF27" s="64"/>
      <c r="AG27" s="64"/>
      <c r="AH27" s="64"/>
    </row>
    <row r="28" spans="1:34" x14ac:dyDescent="0.2">
      <c r="A28" s="77"/>
      <c r="B28" s="76" t="s">
        <v>67</v>
      </c>
      <c r="C28" s="75" t="str">
        <f t="shared" si="3"/>
        <v>6L</v>
      </c>
      <c r="D28" s="74" t="str">
        <f t="shared" si="4"/>
        <v>12L</v>
      </c>
      <c r="E28" s="73" t="str">
        <f t="shared" si="0"/>
        <v>GBP6L12L20Y_Quote</v>
      </c>
      <c r="F28" s="73" t="str">
        <f>_xll.qlSimpleQuote(E28,,RateTickValue,Permanent,Trigger,ObjectOverwrite)</f>
        <v>GBP6L12L20Y_Quote#0000</v>
      </c>
      <c r="G28" s="72" t="str">
        <f>_xll.ohRangeRetrieveError(F28)</f>
        <v/>
      </c>
      <c r="H28" s="71"/>
      <c r="N28" s="118">
        <v>20</v>
      </c>
      <c r="O28" s="386" t="s">
        <v>67</v>
      </c>
      <c r="P28" s="389" t="str">
        <v>6L</v>
      </c>
      <c r="Q28" s="389" t="str">
        <v>12L</v>
      </c>
      <c r="R28" s="387" t="str">
        <f t="shared" si="1"/>
        <v>GBP6L12L20Y</v>
      </c>
      <c r="S28" s="346" t="str">
        <v>GBP6L12L20Y=ICAP</v>
      </c>
      <c r="T28" s="490">
        <v>9.625</v>
      </c>
      <c r="U28" s="490">
        <v>25.625</v>
      </c>
      <c r="V28" s="490">
        <f>_xll.qlMidEquivalent(T28,U28)</f>
        <v>17.625</v>
      </c>
      <c r="W28" s="343" t="b">
        <f t="shared" si="2"/>
        <v>1</v>
      </c>
      <c r="X28" s="491">
        <v>17.625</v>
      </c>
      <c r="Y28" s="337"/>
      <c r="Z28" s="488">
        <v>18</v>
      </c>
      <c r="AA28" s="337"/>
      <c r="AB28" s="599">
        <v>18</v>
      </c>
      <c r="AC28" s="342" t="e">
        <f>_xll.qlSimpleQuoteSetValue(F28,AB28/10000,Trigger)</f>
        <v>#N/A</v>
      </c>
      <c r="AD28" s="213"/>
      <c r="AE28" s="64"/>
      <c r="AF28" s="64"/>
      <c r="AG28" s="64"/>
      <c r="AH28" s="64"/>
    </row>
    <row r="29" spans="1:34" x14ac:dyDescent="0.2">
      <c r="A29" s="77"/>
      <c r="B29" s="76" t="s">
        <v>66</v>
      </c>
      <c r="C29" s="75" t="str">
        <f t="shared" si="3"/>
        <v>6L</v>
      </c>
      <c r="D29" s="74" t="str">
        <f t="shared" si="4"/>
        <v>12L</v>
      </c>
      <c r="E29" s="73" t="str">
        <f t="shared" si="0"/>
        <v>GBP6L12L21Y_Quote</v>
      </c>
      <c r="F29" s="73" t="str">
        <f>_xll.qlSimpleQuote(E29,,RateTickValue,Permanent,Trigger,ObjectOverwrite)</f>
        <v>GBP6L12L21Y_Quote#0000</v>
      </c>
      <c r="G29" s="72" t="str">
        <f>_xll.ohRangeRetrieveError(F29)</f>
        <v/>
      </c>
      <c r="H29" s="71"/>
      <c r="N29" s="118">
        <v>21</v>
      </c>
      <c r="O29" s="386" t="s">
        <v>66</v>
      </c>
      <c r="P29" s="389" t="str">
        <v>6L</v>
      </c>
      <c r="Q29" s="389" t="str">
        <v>12L</v>
      </c>
      <c r="R29" s="387" t="str">
        <f t="shared" si="1"/>
        <v>GBP6L12L21Y</v>
      </c>
      <c r="S29" s="346" t="str">
        <v>GBP6L12L21Y=ICAP</v>
      </c>
      <c r="T29" s="490" t="s">
        <v>233</v>
      </c>
      <c r="U29" s="490" t="s">
        <v>233</v>
      </c>
      <c r="V29" s="490" t="e">
        <f>_xll.qlMidEquivalent(T29,U29)</f>
        <v>#NUM!</v>
      </c>
      <c r="W29" s="343" t="b">
        <f t="shared" si="2"/>
        <v>0</v>
      </c>
      <c r="X29" s="491">
        <v>17.203717050778856</v>
      </c>
      <c r="Y29" s="337"/>
      <c r="Z29" s="488">
        <v>17.555596946902046</v>
      </c>
      <c r="AA29" s="337"/>
      <c r="AB29" s="599">
        <v>17.555596946902046</v>
      </c>
      <c r="AC29" s="342" t="e">
        <f>_xll.qlSimpleQuoteSetValue(F29,AB29/10000,Trigger)</f>
        <v>#N/A</v>
      </c>
      <c r="AD29" s="213"/>
      <c r="AE29" s="64"/>
      <c r="AF29" s="64"/>
      <c r="AG29" s="64"/>
      <c r="AH29" s="64"/>
    </row>
    <row r="30" spans="1:34" x14ac:dyDescent="0.2">
      <c r="A30" s="77"/>
      <c r="B30" s="76" t="s">
        <v>65</v>
      </c>
      <c r="C30" s="75" t="str">
        <f t="shared" si="3"/>
        <v>6L</v>
      </c>
      <c r="D30" s="74" t="str">
        <f t="shared" si="4"/>
        <v>12L</v>
      </c>
      <c r="E30" s="73" t="str">
        <f t="shared" si="0"/>
        <v>GBP6L12L22Y_Quote</v>
      </c>
      <c r="F30" s="73" t="str">
        <f>_xll.qlSimpleQuote(E30,,RateTickValue,Permanent,Trigger,ObjectOverwrite)</f>
        <v>GBP6L12L22Y_Quote#0000</v>
      </c>
      <c r="G30" s="72" t="str">
        <f>_xll.ohRangeRetrieveError(F30)</f>
        <v/>
      </c>
      <c r="H30" s="71"/>
      <c r="N30" s="118">
        <v>22</v>
      </c>
      <c r="O30" s="386" t="s">
        <v>65</v>
      </c>
      <c r="P30" s="389" t="str">
        <v>6L</v>
      </c>
      <c r="Q30" s="389" t="str">
        <v>12L</v>
      </c>
      <c r="R30" s="387" t="str">
        <f t="shared" si="1"/>
        <v>GBP6L12L22Y</v>
      </c>
      <c r="S30" s="346" t="str">
        <v>GBP6L12L22Y=ICAP</v>
      </c>
      <c r="T30" s="490" t="s">
        <v>233</v>
      </c>
      <c r="U30" s="490" t="s">
        <v>233</v>
      </c>
      <c r="V30" s="490" t="e">
        <f>_xll.qlMidEquivalent(T30,U30)</f>
        <v>#NUM!</v>
      </c>
      <c r="W30" s="343" t="b">
        <f t="shared" si="2"/>
        <v>0</v>
      </c>
      <c r="X30" s="491">
        <v>16.79911865032464</v>
      </c>
      <c r="Y30" s="337"/>
      <c r="Z30" s="488">
        <v>17.127020714529646</v>
      </c>
      <c r="AA30" s="337"/>
      <c r="AB30" s="599">
        <v>17.127020714529646</v>
      </c>
      <c r="AC30" s="342" t="e">
        <f>_xll.qlSimpleQuoteSetValue(F30,AB30/10000,Trigger)</f>
        <v>#N/A</v>
      </c>
      <c r="AD30" s="213"/>
      <c r="AE30" s="64"/>
      <c r="AF30" s="64"/>
      <c r="AG30" s="64"/>
      <c r="AH30" s="64"/>
    </row>
    <row r="31" spans="1:34" x14ac:dyDescent="0.2">
      <c r="A31" s="77"/>
      <c r="B31" s="76" t="s">
        <v>64</v>
      </c>
      <c r="C31" s="75" t="str">
        <f t="shared" si="3"/>
        <v>6L</v>
      </c>
      <c r="D31" s="74" t="str">
        <f t="shared" si="4"/>
        <v>12L</v>
      </c>
      <c r="E31" s="73" t="str">
        <f t="shared" si="0"/>
        <v>GBP6L12L23Y_Quote</v>
      </c>
      <c r="F31" s="73" t="str">
        <f>_xll.qlSimpleQuote(E31,,RateTickValue,Permanent,Trigger,ObjectOverwrite)</f>
        <v>GBP6L12L23Y_Quote#0000</v>
      </c>
      <c r="G31" s="72" t="str">
        <f>_xll.ohRangeRetrieveError(F31)</f>
        <v/>
      </c>
      <c r="H31" s="71"/>
      <c r="N31" s="118">
        <v>23</v>
      </c>
      <c r="O31" s="386" t="s">
        <v>64</v>
      </c>
      <c r="P31" s="389" t="str">
        <v>6L</v>
      </c>
      <c r="Q31" s="389" t="str">
        <v>12L</v>
      </c>
      <c r="R31" s="387" t="str">
        <f t="shared" si="1"/>
        <v>GBP6L12L23Y</v>
      </c>
      <c r="S31" s="346" t="str">
        <v>GBP6L12L23Y=ICAP</v>
      </c>
      <c r="T31" s="490" t="s">
        <v>233</v>
      </c>
      <c r="U31" s="490" t="s">
        <v>233</v>
      </c>
      <c r="V31" s="490" t="e">
        <f>_xll.qlMidEquivalent(T31,U31)</f>
        <v>#NUM!</v>
      </c>
      <c r="W31" s="343" t="b">
        <f t="shared" si="2"/>
        <v>0</v>
      </c>
      <c r="X31" s="491">
        <v>16.417661724480997</v>
      </c>
      <c r="Y31" s="337"/>
      <c r="Z31" s="488">
        <v>16.720646008706218</v>
      </c>
      <c r="AA31" s="337"/>
      <c r="AB31" s="599">
        <v>16.720646008706218</v>
      </c>
      <c r="AC31" s="342" t="e">
        <f>_xll.qlSimpleQuoteSetValue(F31,AB31/10000,Trigger)</f>
        <v>#N/A</v>
      </c>
      <c r="AD31" s="213"/>
      <c r="AE31" s="64"/>
      <c r="AF31" s="64"/>
      <c r="AG31" s="64"/>
      <c r="AH31" s="64"/>
    </row>
    <row r="32" spans="1:34" x14ac:dyDescent="0.2">
      <c r="A32" s="77"/>
      <c r="B32" s="76" t="s">
        <v>63</v>
      </c>
      <c r="C32" s="75" t="str">
        <f t="shared" si="3"/>
        <v>6L</v>
      </c>
      <c r="D32" s="74" t="str">
        <f t="shared" si="4"/>
        <v>12L</v>
      </c>
      <c r="E32" s="73" t="str">
        <f t="shared" si="0"/>
        <v>GBP6L12L24Y_Quote</v>
      </c>
      <c r="F32" s="73" t="str">
        <f>_xll.qlSimpleQuote(E32,,RateTickValue,Permanent,Trigger,ObjectOverwrite)</f>
        <v>GBP6L12L24Y_Quote#0000</v>
      </c>
      <c r="G32" s="72" t="str">
        <f>_xll.ohRangeRetrieveError(F32)</f>
        <v/>
      </c>
      <c r="H32" s="71"/>
      <c r="N32" s="118">
        <v>24</v>
      </c>
      <c r="O32" s="386" t="s">
        <v>63</v>
      </c>
      <c r="P32" s="389" t="str">
        <v>6L</v>
      </c>
      <c r="Q32" s="389" t="str">
        <v>12L</v>
      </c>
      <c r="R32" s="387" t="str">
        <f t="shared" si="1"/>
        <v>GBP6L12L24Y</v>
      </c>
      <c r="S32" s="346" t="str">
        <v>GBP6L12L24Y=ICAP</v>
      </c>
      <c r="T32" s="490" t="s">
        <v>233</v>
      </c>
      <c r="U32" s="490" t="s">
        <v>233</v>
      </c>
      <c r="V32" s="490" t="e">
        <f>_xll.qlMidEquivalent(T32,U32)</f>
        <v>#NUM!</v>
      </c>
      <c r="W32" s="343" t="b">
        <f t="shared" si="2"/>
        <v>0</v>
      </c>
      <c r="X32" s="491">
        <v>16.065803199091569</v>
      </c>
      <c r="Y32" s="337"/>
      <c r="Z32" s="488">
        <v>16.342847535255196</v>
      </c>
      <c r="AA32" s="337"/>
      <c r="AB32" s="599">
        <v>16.342847535255196</v>
      </c>
      <c r="AC32" s="342" t="e">
        <f>_xll.qlSimpleQuoteSetValue(F32,AB32/10000,Trigger)</f>
        <v>#N/A</v>
      </c>
      <c r="AD32" s="213"/>
      <c r="AE32" s="64"/>
      <c r="AF32" s="64"/>
      <c r="AG32" s="64"/>
      <c r="AH32" s="64"/>
    </row>
    <row r="33" spans="1:34" x14ac:dyDescent="0.2">
      <c r="A33" s="77"/>
      <c r="B33" s="76" t="s">
        <v>62</v>
      </c>
      <c r="C33" s="75" t="str">
        <f t="shared" si="3"/>
        <v>6L</v>
      </c>
      <c r="D33" s="74" t="str">
        <f t="shared" si="4"/>
        <v>12L</v>
      </c>
      <c r="E33" s="73" t="str">
        <f t="shared" si="0"/>
        <v>GBP6L12L25Y_Quote</v>
      </c>
      <c r="F33" s="73" t="str">
        <f>_xll.qlSimpleQuote(E33,,RateTickValue,Permanent,Trigger,ObjectOverwrite)</f>
        <v>GBP6L12L25Y_Quote#0000</v>
      </c>
      <c r="G33" s="72" t="str">
        <f>_xll.ohRangeRetrieveError(F33)</f>
        <v/>
      </c>
      <c r="H33" s="71"/>
      <c r="N33" s="118">
        <v>25</v>
      </c>
      <c r="O33" s="386" t="s">
        <v>62</v>
      </c>
      <c r="P33" s="389" t="str">
        <v>6L</v>
      </c>
      <c r="Q33" s="389" t="str">
        <v>12L</v>
      </c>
      <c r="R33" s="387" t="str">
        <f t="shared" si="1"/>
        <v>GBP6L12L25Y</v>
      </c>
      <c r="S33" s="346" t="str">
        <v>GBP6L12L25Y=ICAP</v>
      </c>
      <c r="T33" s="490">
        <v>7.75</v>
      </c>
      <c r="U33" s="490">
        <v>23.75</v>
      </c>
      <c r="V33" s="490">
        <f>_xll.qlMidEquivalent(T33,U33)</f>
        <v>15.75</v>
      </c>
      <c r="W33" s="343" t="b">
        <f t="shared" si="2"/>
        <v>1</v>
      </c>
      <c r="X33" s="491">
        <v>15.75</v>
      </c>
      <c r="Y33" s="337"/>
      <c r="Z33" s="488">
        <v>16</v>
      </c>
      <c r="AA33" s="337"/>
      <c r="AB33" s="599">
        <v>16</v>
      </c>
      <c r="AC33" s="342" t="e">
        <f>_xll.qlSimpleQuoteSetValue(F33,AB33/10000,Trigger)</f>
        <v>#N/A</v>
      </c>
      <c r="AD33" s="213"/>
      <c r="AE33" s="64"/>
      <c r="AF33" s="64"/>
      <c r="AG33" s="64"/>
      <c r="AH33" s="64"/>
    </row>
    <row r="34" spans="1:34" x14ac:dyDescent="0.2">
      <c r="A34" s="77"/>
      <c r="B34" s="76" t="s">
        <v>61</v>
      </c>
      <c r="C34" s="75" t="str">
        <f t="shared" si="3"/>
        <v>6L</v>
      </c>
      <c r="D34" s="74" t="str">
        <f t="shared" si="4"/>
        <v>12L</v>
      </c>
      <c r="E34" s="73" t="str">
        <f t="shared" si="0"/>
        <v>GBP6L12L26Y_Quote</v>
      </c>
      <c r="F34" s="73" t="str">
        <f>_xll.qlSimpleQuote(E34,,RateTickValue,Permanent,Trigger,ObjectOverwrite)</f>
        <v>GBP6L12L26Y_Quote#0000</v>
      </c>
      <c r="G34" s="72" t="str">
        <f>_xll.ohRangeRetrieveError(F34)</f>
        <v/>
      </c>
      <c r="H34" s="71"/>
      <c r="N34" s="118">
        <v>26</v>
      </c>
      <c r="O34" s="386" t="s">
        <v>61</v>
      </c>
      <c r="P34" s="389" t="str">
        <v>6L</v>
      </c>
      <c r="Q34" s="389" t="str">
        <v>12L</v>
      </c>
      <c r="R34" s="387" t="str">
        <f t="shared" si="1"/>
        <v>GBP6L12L26Y</v>
      </c>
      <c r="S34" s="346" t="str">
        <v>GBP6L12L26Y=ICAP</v>
      </c>
      <c r="T34" s="490" t="s">
        <v>233</v>
      </c>
      <c r="U34" s="490" t="s">
        <v>233</v>
      </c>
      <c r="V34" s="490" t="e">
        <f>_xll.qlMidEquivalent(T34,U34)</f>
        <v>#NUM!</v>
      </c>
      <c r="W34" s="343" t="b">
        <f t="shared" si="2"/>
        <v>0</v>
      </c>
      <c r="X34" s="491">
        <v>15.474206602621635</v>
      </c>
      <c r="Y34" s="337"/>
      <c r="Z34" s="488">
        <v>15.696212979960205</v>
      </c>
      <c r="AA34" s="337"/>
      <c r="AB34" s="599">
        <v>15.696212979960205</v>
      </c>
      <c r="AC34" s="342" t="e">
        <f>_xll.qlSimpleQuoteSetValue(F34,AB34/10000,Trigger)</f>
        <v>#N/A</v>
      </c>
      <c r="AD34" s="213"/>
      <c r="AE34" s="64"/>
      <c r="AF34" s="64"/>
      <c r="AG34" s="64"/>
      <c r="AH34" s="64"/>
    </row>
    <row r="35" spans="1:34" x14ac:dyDescent="0.2">
      <c r="A35" s="77"/>
      <c r="B35" s="76" t="s">
        <v>60</v>
      </c>
      <c r="C35" s="75" t="str">
        <f t="shared" si="3"/>
        <v>6L</v>
      </c>
      <c r="D35" s="74" t="str">
        <f t="shared" si="4"/>
        <v>12L</v>
      </c>
      <c r="E35" s="73" t="str">
        <f t="shared" si="0"/>
        <v>GBP6L12L27Y_Quote</v>
      </c>
      <c r="F35" s="73" t="str">
        <f>_xll.qlSimpleQuote(E35,,RateTickValue,Permanent,Trigger,ObjectOverwrite)</f>
        <v>GBP6L12L27Y_Quote#0000</v>
      </c>
      <c r="G35" s="72" t="str">
        <f>_xll.ohRangeRetrieveError(F35)</f>
        <v/>
      </c>
      <c r="H35" s="71"/>
      <c r="N35" s="118">
        <v>27</v>
      </c>
      <c r="O35" s="386" t="s">
        <v>60</v>
      </c>
      <c r="P35" s="389" t="str">
        <v>6L</v>
      </c>
      <c r="Q35" s="389" t="str">
        <v>12L</v>
      </c>
      <c r="R35" s="387" t="str">
        <f t="shared" si="1"/>
        <v>GBP6L12L27Y</v>
      </c>
      <c r="S35" s="346" t="str">
        <v>GBP6L12L27Y=ICAP</v>
      </c>
      <c r="T35" s="490" t="s">
        <v>233</v>
      </c>
      <c r="U35" s="490" t="s">
        <v>233</v>
      </c>
      <c r="V35" s="490" t="e">
        <f>_xll.qlMidEquivalent(T35,U35)</f>
        <v>#NUM!</v>
      </c>
      <c r="W35" s="343" t="b">
        <f t="shared" si="2"/>
        <v>0</v>
      </c>
      <c r="X35" s="491">
        <v>15.232367680658612</v>
      </c>
      <c r="Y35" s="337"/>
      <c r="Z35" s="488">
        <v>15.426535536939982</v>
      </c>
      <c r="AA35" s="337"/>
      <c r="AB35" s="599">
        <v>15.426535536939982</v>
      </c>
      <c r="AC35" s="342" t="e">
        <f>_xll.qlSimpleQuoteSetValue(F35,AB35/10000,Trigger)</f>
        <v>#N/A</v>
      </c>
      <c r="AD35" s="213"/>
      <c r="AE35" s="64"/>
      <c r="AF35" s="64"/>
      <c r="AG35" s="64"/>
      <c r="AH35" s="64"/>
    </row>
    <row r="36" spans="1:34" x14ac:dyDescent="0.2">
      <c r="A36" s="77"/>
      <c r="B36" s="76" t="s">
        <v>59</v>
      </c>
      <c r="C36" s="75" t="str">
        <f t="shared" si="3"/>
        <v>6L</v>
      </c>
      <c r="D36" s="74" t="str">
        <f t="shared" si="4"/>
        <v>12L</v>
      </c>
      <c r="E36" s="73" t="str">
        <f t="shared" si="0"/>
        <v>GBP6L12L28Y_Quote</v>
      </c>
      <c r="F36" s="73" t="str">
        <f>_xll.qlSimpleQuote(E36,,RateTickValue,Permanent,Trigger,ObjectOverwrite)</f>
        <v>GBP6L12L28Y_Quote#0000</v>
      </c>
      <c r="G36" s="72" t="str">
        <f>_xll.ohRangeRetrieveError(F36)</f>
        <v/>
      </c>
      <c r="H36" s="71"/>
      <c r="N36" s="118">
        <v>28</v>
      </c>
      <c r="O36" s="386" t="s">
        <v>59</v>
      </c>
      <c r="P36" s="389" t="str">
        <v>6L</v>
      </c>
      <c r="Q36" s="389" t="str">
        <v>12L</v>
      </c>
      <c r="R36" s="387" t="str">
        <f t="shared" si="1"/>
        <v>GBP6L12L28Y</v>
      </c>
      <c r="S36" s="346" t="str">
        <v>GBP6L12L28Y=ICAP</v>
      </c>
      <c r="T36" s="490" t="s">
        <v>233</v>
      </c>
      <c r="U36" s="490" t="s">
        <v>233</v>
      </c>
      <c r="V36" s="490" t="e">
        <f>_xll.qlMidEquivalent(T36,U36)</f>
        <v>#NUM!</v>
      </c>
      <c r="W36" s="343" t="b">
        <f t="shared" si="2"/>
        <v>0</v>
      </c>
      <c r="X36" s="491">
        <v>15.015925457384773</v>
      </c>
      <c r="Y36" s="337"/>
      <c r="Z36" s="488">
        <v>15.183751603939658</v>
      </c>
      <c r="AA36" s="337"/>
      <c r="AB36" s="599">
        <v>15.183751603939658</v>
      </c>
      <c r="AC36" s="342" t="e">
        <f>_xll.qlSimpleQuoteSetValue(F36,AB36/10000,Trigger)</f>
        <v>#N/A</v>
      </c>
      <c r="AD36" s="213"/>
      <c r="AE36" s="64"/>
      <c r="AF36" s="64"/>
      <c r="AG36" s="64"/>
      <c r="AH36" s="64"/>
    </row>
    <row r="37" spans="1:34" x14ac:dyDescent="0.2">
      <c r="A37" s="77"/>
      <c r="B37" s="76" t="s">
        <v>58</v>
      </c>
      <c r="C37" s="75" t="str">
        <f t="shared" si="3"/>
        <v>6L</v>
      </c>
      <c r="D37" s="74" t="str">
        <f t="shared" si="4"/>
        <v>12L</v>
      </c>
      <c r="E37" s="73" t="str">
        <f t="shared" si="0"/>
        <v>GBP6L12L29Y_Quote</v>
      </c>
      <c r="F37" s="73" t="str">
        <f>_xll.qlSimpleQuote(E37,,RateTickValue,Permanent,Trigger,ObjectOverwrite)</f>
        <v>GBP6L12L29Y_Quote#0000</v>
      </c>
      <c r="G37" s="72" t="str">
        <f>_xll.ohRangeRetrieveError(F37)</f>
        <v/>
      </c>
      <c r="H37" s="71"/>
      <c r="N37" s="118">
        <v>29</v>
      </c>
      <c r="O37" s="386" t="s">
        <v>58</v>
      </c>
      <c r="P37" s="389" t="str">
        <v>6L</v>
      </c>
      <c r="Q37" s="389" t="str">
        <v>12L</v>
      </c>
      <c r="R37" s="387" t="str">
        <f t="shared" si="1"/>
        <v>GBP6L12L29Y</v>
      </c>
      <c r="S37" s="346" t="str">
        <v>GBP6L12L29Y=ICAP</v>
      </c>
      <c r="T37" s="490" t="s">
        <v>233</v>
      </c>
      <c r="U37" s="490" t="s">
        <v>233</v>
      </c>
      <c r="V37" s="490" t="e">
        <f>_xll.qlMidEquivalent(T37,U37)</f>
        <v>#NUM!</v>
      </c>
      <c r="W37" s="343" t="b">
        <f t="shared" si="2"/>
        <v>0</v>
      </c>
      <c r="X37" s="491">
        <v>14.816322156073955</v>
      </c>
      <c r="Y37" s="337"/>
      <c r="Z37" s="488">
        <v>14.960645113959556</v>
      </c>
      <c r="AA37" s="337"/>
      <c r="AB37" s="599">
        <v>14.960645113959556</v>
      </c>
      <c r="AC37" s="342" t="e">
        <f>_xll.qlSimpleQuoteSetValue(F37,AB37/10000,Trigger)</f>
        <v>#N/A</v>
      </c>
      <c r="AD37" s="213"/>
      <c r="AE37" s="64"/>
      <c r="AF37" s="64"/>
      <c r="AG37" s="64"/>
      <c r="AH37" s="64"/>
    </row>
    <row r="38" spans="1:34" x14ac:dyDescent="0.2">
      <c r="A38" s="77"/>
      <c r="B38" s="76" t="s">
        <v>57</v>
      </c>
      <c r="C38" s="75" t="str">
        <f t="shared" si="3"/>
        <v>6L</v>
      </c>
      <c r="D38" s="74" t="str">
        <f t="shared" si="4"/>
        <v>12L</v>
      </c>
      <c r="E38" s="73" t="str">
        <f t="shared" si="0"/>
        <v>GBP6L12L30Y_Quote</v>
      </c>
      <c r="F38" s="73" t="str">
        <f>_xll.qlSimpleQuote(E38,,RateTickValue,Permanent,Trigger,ObjectOverwrite)</f>
        <v>GBP6L12L30Y_Quote#0000</v>
      </c>
      <c r="G38" s="72" t="str">
        <f>_xll.ohRangeRetrieveError(F38)</f>
        <v/>
      </c>
      <c r="H38" s="71"/>
      <c r="N38" s="118">
        <v>30</v>
      </c>
      <c r="O38" s="386" t="s">
        <v>57</v>
      </c>
      <c r="P38" s="389" t="str">
        <v>6L</v>
      </c>
      <c r="Q38" s="389" t="str">
        <v>12L</v>
      </c>
      <c r="R38" s="387" t="str">
        <f t="shared" si="1"/>
        <v>GBP6L12L30Y</v>
      </c>
      <c r="S38" s="346" t="str">
        <v>GBP6L12L30Y=ICAP</v>
      </c>
      <c r="T38" s="490">
        <v>6.625</v>
      </c>
      <c r="U38" s="490">
        <v>22.625</v>
      </c>
      <c r="V38" s="490">
        <f>_xll.qlMidEquivalent(T38,U38)</f>
        <v>14.625</v>
      </c>
      <c r="W38" s="343" t="b">
        <f t="shared" si="2"/>
        <v>1</v>
      </c>
      <c r="X38" s="491">
        <v>14.625</v>
      </c>
      <c r="Y38" s="337"/>
      <c r="Z38" s="488">
        <v>14.75</v>
      </c>
      <c r="AA38" s="337"/>
      <c r="AB38" s="599">
        <v>14.75</v>
      </c>
      <c r="AC38" s="342" t="e">
        <f>_xll.qlSimpleQuoteSetValue(F38,AB38/10000,Trigger)</f>
        <v>#N/A</v>
      </c>
      <c r="AD38" s="213"/>
      <c r="AE38" s="64"/>
      <c r="AF38" s="64"/>
      <c r="AG38" s="64"/>
      <c r="AH38" s="64"/>
    </row>
    <row r="39" spans="1:34" x14ac:dyDescent="0.2">
      <c r="A39" s="77"/>
      <c r="B39" s="76" t="s">
        <v>52</v>
      </c>
      <c r="C39" s="75" t="str">
        <f t="shared" si="3"/>
        <v>6L</v>
      </c>
      <c r="D39" s="74" t="str">
        <f t="shared" si="4"/>
        <v>12L</v>
      </c>
      <c r="E39" s="73" t="str">
        <f t="shared" si="0"/>
        <v>GBP6L12L35Y_Quote</v>
      </c>
      <c r="F39" s="73" t="str">
        <f>_xll.qlSimpleQuote(E39,,RateTickValue,Permanent,Trigger,ObjectOverwrite)</f>
        <v>GBP6L12L35Y_Quote#0000</v>
      </c>
      <c r="G39" s="72" t="str">
        <f>_xll.ohRangeRetrieveError(F39)</f>
        <v/>
      </c>
      <c r="H39" s="71"/>
      <c r="N39" s="118">
        <v>35</v>
      </c>
      <c r="O39" s="386" t="s">
        <v>52</v>
      </c>
      <c r="P39" s="389" t="str">
        <v>6L</v>
      </c>
      <c r="Q39" s="389" t="str">
        <v>12L</v>
      </c>
      <c r="R39" s="387" t="str">
        <f t="shared" si="1"/>
        <v>GBP6L12L35Y</v>
      </c>
      <c r="S39" s="346" t="str">
        <v>GBP6L12L35Y=ICAP</v>
      </c>
      <c r="T39" s="490" t="s">
        <v>233</v>
      </c>
      <c r="U39" s="490" t="s">
        <v>233</v>
      </c>
      <c r="V39" s="490" t="e">
        <f>_xll.qlMidEquivalent(T39,U39)</f>
        <v>#NUM!</v>
      </c>
      <c r="W39" s="343" t="b">
        <f t="shared" si="2"/>
        <v>0</v>
      </c>
      <c r="X39" s="489">
        <f>X38</f>
        <v>14.625</v>
      </c>
      <c r="Y39" s="337"/>
      <c r="Z39" s="488">
        <v>14.75</v>
      </c>
      <c r="AA39" s="337"/>
      <c r="AB39" s="599">
        <v>14.75</v>
      </c>
      <c r="AC39" s="342" t="e">
        <f>_xll.qlSimpleQuoteSetValue(F39,AB39/10000,Trigger)</f>
        <v>#N/A</v>
      </c>
      <c r="AD39" s="213"/>
      <c r="AE39" s="64"/>
      <c r="AF39" s="64"/>
      <c r="AG39" s="64"/>
      <c r="AH39" s="64"/>
    </row>
    <row r="40" spans="1:34" x14ac:dyDescent="0.2">
      <c r="A40" s="77"/>
      <c r="B40" s="76" t="s">
        <v>47</v>
      </c>
      <c r="C40" s="75" t="str">
        <f t="shared" si="3"/>
        <v>6L</v>
      </c>
      <c r="D40" s="74" t="str">
        <f t="shared" si="4"/>
        <v>12L</v>
      </c>
      <c r="E40" s="73" t="str">
        <f t="shared" si="0"/>
        <v>GBP6L12L40Y_Quote</v>
      </c>
      <c r="F40" s="73" t="str">
        <f>_xll.qlSimpleQuote(E40,,RateTickValue,Permanent,Trigger,ObjectOverwrite)</f>
        <v>GBP6L12L40Y_Quote#0000</v>
      </c>
      <c r="G40" s="72" t="str">
        <f>_xll.ohRangeRetrieveError(F40)</f>
        <v/>
      </c>
      <c r="H40" s="71"/>
      <c r="N40" s="118">
        <v>40</v>
      </c>
      <c r="O40" s="386" t="s">
        <v>47</v>
      </c>
      <c r="P40" s="389" t="str">
        <v>6L</v>
      </c>
      <c r="Q40" s="389" t="str">
        <v>12L</v>
      </c>
      <c r="R40" s="387" t="str">
        <f t="shared" si="1"/>
        <v>GBP6L12L40Y</v>
      </c>
      <c r="S40" s="346" t="str">
        <v>GBP6L12L40Y=ICAP</v>
      </c>
      <c r="T40" s="490">
        <v>2.875</v>
      </c>
      <c r="U40" s="490">
        <v>22.875</v>
      </c>
      <c r="V40" s="490">
        <f>_xll.qlMidEquivalent(T40,U40)</f>
        <v>12.875</v>
      </c>
      <c r="W40" s="343" t="b">
        <f t="shared" si="2"/>
        <v>1</v>
      </c>
      <c r="X40" s="489">
        <f>X39</f>
        <v>14.625</v>
      </c>
      <c r="Y40" s="337"/>
      <c r="Z40" s="488">
        <v>14.75</v>
      </c>
      <c r="AA40" s="337"/>
      <c r="AB40" s="599">
        <v>14.75</v>
      </c>
      <c r="AC40" s="342" t="e">
        <f>_xll.qlSimpleQuoteSetValue(F40,AB40/10000,Trigger)</f>
        <v>#N/A</v>
      </c>
      <c r="AD40" s="213"/>
      <c r="AE40" s="64"/>
      <c r="AF40" s="64"/>
      <c r="AG40" s="64"/>
      <c r="AH40" s="64"/>
    </row>
    <row r="41" spans="1:34" x14ac:dyDescent="0.2">
      <c r="A41" s="77"/>
      <c r="B41" s="76" t="s">
        <v>37</v>
      </c>
      <c r="C41" s="75" t="str">
        <f t="shared" si="3"/>
        <v>6L</v>
      </c>
      <c r="D41" s="74" t="str">
        <f t="shared" si="4"/>
        <v>12L</v>
      </c>
      <c r="E41" s="73" t="str">
        <f t="shared" si="0"/>
        <v>GBP6L12L50Y_Quote</v>
      </c>
      <c r="F41" s="73" t="str">
        <f>_xll.qlSimpleQuote(E41,,RateTickValue,Permanent,Trigger,ObjectOverwrite)</f>
        <v>GBP6L12L50Y_Quote#0000</v>
      </c>
      <c r="G41" s="72" t="str">
        <f>_xll.ohRangeRetrieveError(F41)</f>
        <v/>
      </c>
      <c r="H41" s="71"/>
      <c r="N41" s="118">
        <v>50</v>
      </c>
      <c r="O41" s="386" t="s">
        <v>37</v>
      </c>
      <c r="P41" s="389" t="str">
        <v>6L</v>
      </c>
      <c r="Q41" s="389" t="str">
        <v>12L</v>
      </c>
      <c r="R41" s="387" t="str">
        <f t="shared" si="1"/>
        <v>GBP6L12L50Y</v>
      </c>
      <c r="S41" s="346" t="str">
        <v>GBP6L12L50Y=ICAP</v>
      </c>
      <c r="T41" s="490">
        <v>1.875</v>
      </c>
      <c r="U41" s="490">
        <v>21.875</v>
      </c>
      <c r="V41" s="490">
        <f>_xll.qlMidEquivalent(T41,U41)</f>
        <v>11.875</v>
      </c>
      <c r="W41" s="343" t="b">
        <f t="shared" si="2"/>
        <v>1</v>
      </c>
      <c r="X41" s="489">
        <f>X40</f>
        <v>14.625</v>
      </c>
      <c r="Y41" s="337"/>
      <c r="Z41" s="488">
        <v>14.75</v>
      </c>
      <c r="AA41" s="337"/>
      <c r="AB41" s="599">
        <v>14.75</v>
      </c>
      <c r="AC41" s="342" t="e">
        <f>_xll.qlSimpleQuoteSetValue(F41,AB41/10000,Trigger)</f>
        <v>#N/A</v>
      </c>
      <c r="AD41" s="213"/>
      <c r="AE41" s="64"/>
      <c r="AF41" s="64"/>
      <c r="AG41" s="64"/>
      <c r="AH41" s="64"/>
    </row>
    <row r="42" spans="1:34" x14ac:dyDescent="0.2">
      <c r="A42" s="77"/>
      <c r="B42" s="76" t="s">
        <v>27</v>
      </c>
      <c r="C42" s="75" t="str">
        <f t="shared" si="3"/>
        <v>6L</v>
      </c>
      <c r="D42" s="74" t="str">
        <f t="shared" si="4"/>
        <v>12L</v>
      </c>
      <c r="E42" s="73" t="str">
        <f t="shared" si="0"/>
        <v>GBP6L12L60Y_Quote</v>
      </c>
      <c r="F42" s="73" t="str">
        <f>_xll.qlSimpleQuote(E42,,RateTickValue,Permanent,Trigger,ObjectOverwrite)</f>
        <v>GBP6L12L60Y_Quote#0000</v>
      </c>
      <c r="G42" s="72" t="str">
        <f>_xll.ohRangeRetrieveError(F42)</f>
        <v/>
      </c>
      <c r="H42" s="71"/>
      <c r="N42" s="118">
        <v>60</v>
      </c>
      <c r="O42" s="396" t="s">
        <v>27</v>
      </c>
      <c r="P42" s="385" t="str">
        <v>6L</v>
      </c>
      <c r="Q42" s="385" t="str">
        <v>12L</v>
      </c>
      <c r="R42" s="383" t="str">
        <f t="shared" si="1"/>
        <v>GBP6L12L60Y</v>
      </c>
      <c r="S42" s="340" t="str">
        <v>GBP6L12L60Y=ICAP</v>
      </c>
      <c r="T42" s="487">
        <v>1.5</v>
      </c>
      <c r="U42" s="487">
        <v>21.5</v>
      </c>
      <c r="V42" s="487">
        <f>_xll.qlMidEquivalent(T42,U42)</f>
        <v>11.5</v>
      </c>
      <c r="W42" s="336" t="b">
        <f t="shared" si="2"/>
        <v>1</v>
      </c>
      <c r="X42" s="486">
        <f>X41</f>
        <v>14.625</v>
      </c>
      <c r="Y42" s="337"/>
      <c r="Z42" s="485">
        <v>14.75</v>
      </c>
      <c r="AA42" s="337"/>
      <c r="AB42" s="600">
        <v>14.75</v>
      </c>
      <c r="AC42" s="335" t="e">
        <f>_xll.qlSimpleQuoteSetValue(F42,AB42/10000,Trigger)</f>
        <v>#N/A</v>
      </c>
      <c r="AD42" s="213"/>
      <c r="AE42" s="64"/>
      <c r="AF42" s="64"/>
      <c r="AG42" s="64"/>
      <c r="AH42" s="64"/>
    </row>
    <row r="43" spans="1:34"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6" width="9.140625" style="65"/>
    <col min="17" max="18" width="2.7109375" style="65" customWidth="1"/>
    <col min="19" max="16384" width="9.140625" style="65"/>
  </cols>
  <sheetData>
    <row r="1" spans="1:23" x14ac:dyDescent="0.2">
      <c r="H1" s="370" t="s">
        <v>351</v>
      </c>
      <c r="I1" s="196"/>
      <c r="J1" s="196"/>
      <c r="K1" s="196"/>
      <c r="L1" s="196"/>
      <c r="M1" s="196"/>
      <c r="N1" s="196"/>
      <c r="O1" s="196"/>
      <c r="P1" s="196"/>
      <c r="Q1" s="193"/>
      <c r="R1" s="64"/>
      <c r="S1" s="64"/>
      <c r="T1" s="64"/>
      <c r="U1" s="64"/>
      <c r="V1" s="64"/>
      <c r="W1" s="64"/>
    </row>
    <row r="2" spans="1:23" ht="21" customHeight="1" x14ac:dyDescent="0.2">
      <c r="H2" s="369"/>
      <c r="I2" s="368"/>
      <c r="J2" s="140" t="s">
        <v>25</v>
      </c>
      <c r="K2" s="337"/>
      <c r="L2" s="337"/>
      <c r="M2" s="337"/>
      <c r="N2" s="337"/>
      <c r="O2" s="337"/>
      <c r="P2" s="367"/>
      <c r="Q2" s="33"/>
      <c r="R2" s="64"/>
      <c r="S2" s="64"/>
      <c r="T2" s="64"/>
      <c r="U2" s="64"/>
      <c r="V2" s="64"/>
      <c r="W2" s="64"/>
    </row>
    <row r="3" spans="1:23" x14ac:dyDescent="0.2">
      <c r="A3" s="109" t="s">
        <v>344</v>
      </c>
      <c r="B3" s="108"/>
      <c r="C3" s="108"/>
      <c r="D3" s="108"/>
      <c r="E3" s="108"/>
      <c r="F3" s="107"/>
      <c r="H3" s="118"/>
      <c r="I3" s="367"/>
      <c r="J3" s="367"/>
      <c r="K3" s="367"/>
      <c r="L3" s="337"/>
      <c r="M3" s="337"/>
      <c r="N3" s="337"/>
      <c r="O3" s="367"/>
      <c r="P3" s="366">
        <f>_xll.ohTrigger(P5:P22)</f>
        <v>1</v>
      </c>
      <c r="Q3" s="213"/>
      <c r="R3" s="64"/>
      <c r="S3" s="64"/>
      <c r="T3" s="64"/>
      <c r="U3" s="64"/>
      <c r="V3" s="64"/>
      <c r="W3" s="64"/>
    </row>
    <row r="4" spans="1:23"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62"/>
      <c r="J4" s="365" t="e">
        <f ca="1">_xll.RData(J5:J22,K4:K4,"RTFEED:IDN",ReutersRtMode,,K5)</f>
        <v>#NAME?</v>
      </c>
      <c r="K4" s="364" t="e">
        <f>VLOOKUP(Contributor,ContributorTable,5,FALSE)</f>
        <v>#N/A</v>
      </c>
      <c r="L4" s="337"/>
      <c r="M4" s="363" t="s">
        <v>286</v>
      </c>
      <c r="N4" s="337"/>
      <c r="O4" s="362" t="s">
        <v>285</v>
      </c>
      <c r="P4" s="361" t="s">
        <v>284</v>
      </c>
      <c r="Q4" s="213"/>
      <c r="R4" s="64"/>
      <c r="S4" s="360" t="s">
        <v>283</v>
      </c>
      <c r="T4" s="359" t="s">
        <v>282</v>
      </c>
      <c r="U4" s="359" t="s">
        <v>281</v>
      </c>
      <c r="V4" s="359" t="s">
        <v>280</v>
      </c>
      <c r="W4" s="358" t="s">
        <v>279</v>
      </c>
    </row>
    <row r="5" spans="1:23" x14ac:dyDescent="0.2">
      <c r="A5" s="77"/>
      <c r="B5" s="103" t="s">
        <v>151</v>
      </c>
      <c r="C5" s="102" t="str">
        <f t="shared" ref="C5:C22" si="0">Currency&amp;$B5&amp;QuoteSuffix</f>
        <v>GBPOND_Quote</v>
      </c>
      <c r="D5" s="102" t="str">
        <f>_xll.qlSimpleQuote(C5,,RateTickValue,Permanent,Trigger,ObjectOverwrite)</f>
        <v>GBPOND_Quote#0000</v>
      </c>
      <c r="E5" s="101" t="str">
        <f>_xll.ohRangeRetrieveError(D5)</f>
        <v/>
      </c>
      <c r="F5" s="100"/>
      <c r="H5" s="118"/>
      <c r="I5" s="357" t="s">
        <v>236</v>
      </c>
      <c r="J5" s="346" t="e">
        <f t="shared" ref="J5:J22" si="1">Currency&amp;VLOOKUP(Contributor,ContributorTable,2,FALSE)&amp;I5&amp;VLOOKUP(Contributor,ContributorTable,3,FALSE)&amp;"="&amp;VLOOKUP(Contributor,ContributorTable,4,FALSE)</f>
        <v>#N/A</v>
      </c>
      <c r="K5" s="356">
        <v>0.47625000000000001</v>
      </c>
      <c r="L5" s="337"/>
      <c r="M5" s="355">
        <v>0.48</v>
      </c>
      <c r="N5" s="337"/>
      <c r="O5" s="564">
        <f t="array" ref="O5:O22">QuoteStatic</f>
        <v>0.48</v>
      </c>
      <c r="P5" s="353" t="e">
        <f>_xll.qlSimpleQuoteSetValue(D5,O5/100,Trigger)</f>
        <v>#N/A</v>
      </c>
      <c r="Q5" s="213"/>
      <c r="R5" s="64"/>
      <c r="S5" s="352" t="s">
        <v>231</v>
      </c>
      <c r="T5" s="82" t="s">
        <v>232</v>
      </c>
      <c r="U5" s="82" t="s">
        <v>266</v>
      </c>
      <c r="V5" s="82" t="str">
        <f>""</f>
        <v/>
      </c>
      <c r="W5" s="351" t="s">
        <v>244</v>
      </c>
    </row>
    <row r="6" spans="1:23" x14ac:dyDescent="0.2">
      <c r="A6" s="77"/>
      <c r="B6" s="103" t="s">
        <v>150</v>
      </c>
      <c r="C6" s="102" t="str">
        <f t="shared" si="0"/>
        <v>GBPTND_Quote</v>
      </c>
      <c r="D6" s="102" t="str">
        <f>_xll.qlSimpleQuote(C6,,RateTickValue,Permanent,Trigger,ObjectOverwrite)</f>
        <v>GBPTND_Quote#0000</v>
      </c>
      <c r="E6" s="101" t="str">
        <f>_xll.ohRangeRetrieveError(D6)</f>
        <v/>
      </c>
      <c r="F6" s="100"/>
      <c r="H6" s="118"/>
      <c r="I6" s="347" t="s">
        <v>235</v>
      </c>
      <c r="J6" s="346" t="e">
        <f t="shared" si="1"/>
        <v>#N/A</v>
      </c>
      <c r="K6" s="345" t="s">
        <v>233</v>
      </c>
      <c r="L6" s="337"/>
      <c r="M6" s="344" t="s">
        <v>274</v>
      </c>
      <c r="N6" s="337"/>
      <c r="O6" s="565" t="str">
        <v>#N/A The record could not be found</v>
      </c>
      <c r="P6" s="342" t="e">
        <f>_xll.qlSimpleQuoteSetValue(D6,O6/100,Trigger)</f>
        <v>#NUM!</v>
      </c>
      <c r="Q6" s="213"/>
      <c r="R6" s="64"/>
      <c r="S6" s="352" t="s">
        <v>25</v>
      </c>
      <c r="T6" s="82"/>
      <c r="U6" s="82" t="s">
        <v>248</v>
      </c>
      <c r="V6" s="82"/>
      <c r="W6" s="351" t="s">
        <v>244</v>
      </c>
    </row>
    <row r="7" spans="1:23" x14ac:dyDescent="0.2">
      <c r="A7" s="77"/>
      <c r="B7" s="103" t="s">
        <v>149</v>
      </c>
      <c r="C7" s="102" t="str">
        <f t="shared" si="0"/>
        <v>GBPSND_Quote</v>
      </c>
      <c r="D7" s="102" t="str">
        <f>_xll.qlSimpleQuote(C7,,RateTickValue,Permanent,Trigger,ObjectOverwrite)</f>
        <v>GBPSND_Quote#0000</v>
      </c>
      <c r="E7" s="101" t="str">
        <f>_xll.ohRangeRetrieveError(D7)</f>
        <v/>
      </c>
      <c r="F7" s="100"/>
      <c r="H7" s="118"/>
      <c r="I7" s="347" t="s">
        <v>234</v>
      </c>
      <c r="J7" s="346" t="e">
        <f t="shared" si="1"/>
        <v>#N/A</v>
      </c>
      <c r="K7" s="345" t="s">
        <v>233</v>
      </c>
      <c r="L7" s="337"/>
      <c r="M7" s="344" t="s">
        <v>274</v>
      </c>
      <c r="N7" s="337"/>
      <c r="O7" s="565" t="str">
        <v>#N/A The record could not be found</v>
      </c>
      <c r="P7" s="342" t="e">
        <f>_xll.qlSimpleQuoteSetValue(D7,O7/100,Trigger)</f>
        <v>#NUM!</v>
      </c>
      <c r="Q7" s="213"/>
      <c r="R7" s="64"/>
      <c r="S7" s="352" t="s">
        <v>278</v>
      </c>
      <c r="T7" s="82"/>
      <c r="U7" s="82" t="s">
        <v>266</v>
      </c>
      <c r="V7" s="82"/>
      <c r="W7" s="351" t="s">
        <v>264</v>
      </c>
    </row>
    <row r="8" spans="1:23" x14ac:dyDescent="0.2">
      <c r="A8" s="77"/>
      <c r="B8" s="103" t="s">
        <v>148</v>
      </c>
      <c r="C8" s="102" t="str">
        <f t="shared" si="0"/>
        <v>GBPSWD_Quote</v>
      </c>
      <c r="D8" s="102" t="str">
        <f>_xll.qlSimpleQuote(C8,,RateTickValue,Permanent,Trigger,ObjectOverwrite)</f>
        <v>GBPSWD_Quote#0000</v>
      </c>
      <c r="E8" s="101" t="str">
        <f>_xll.ohRangeRetrieveError(D8)</f>
        <v/>
      </c>
      <c r="F8" s="100"/>
      <c r="H8" s="118"/>
      <c r="I8" s="347" t="s">
        <v>19</v>
      </c>
      <c r="J8" s="346" t="e">
        <f t="shared" si="1"/>
        <v>#N/A</v>
      </c>
      <c r="K8" s="345">
        <v>0.48125000000000001</v>
      </c>
      <c r="L8" s="337"/>
      <c r="M8" s="344">
        <v>0.48438000000000009</v>
      </c>
      <c r="N8" s="337"/>
      <c r="O8" s="565">
        <v>0.48438000000000009</v>
      </c>
      <c r="P8" s="342" t="e">
        <f>_xll.qlSimpleQuoteSetValue(D8,O8/100,Trigger)</f>
        <v>#N/A</v>
      </c>
      <c r="Q8" s="213"/>
      <c r="R8" s="64"/>
      <c r="S8" s="352" t="s">
        <v>277</v>
      </c>
      <c r="T8" s="82"/>
      <c r="U8" s="82" t="s">
        <v>266</v>
      </c>
      <c r="V8" s="82" t="s">
        <v>276</v>
      </c>
      <c r="W8" s="351" t="s">
        <v>264</v>
      </c>
    </row>
    <row r="9" spans="1:23" x14ac:dyDescent="0.2">
      <c r="A9" s="77"/>
      <c r="B9" s="103" t="s">
        <v>147</v>
      </c>
      <c r="C9" s="102" t="str">
        <f t="shared" si="0"/>
        <v>GBP2WD_Quote</v>
      </c>
      <c r="D9" s="102" t="str">
        <f>_xll.qlSimpleQuote(C9,,RateTickValue,Permanent,Trigger,ObjectOverwrite)</f>
        <v>GBP2WD_Quote#0000</v>
      </c>
      <c r="E9" s="101" t="str">
        <f>_xll.ohRangeRetrieveError(D9)</f>
        <v/>
      </c>
      <c r="F9" s="100"/>
      <c r="H9" s="118"/>
      <c r="I9" s="347" t="s">
        <v>18</v>
      </c>
      <c r="J9" s="346" t="e">
        <f t="shared" si="1"/>
        <v>#N/A</v>
      </c>
      <c r="K9" s="345">
        <v>0.48749999999999999</v>
      </c>
      <c r="L9" s="337"/>
      <c r="M9" s="344">
        <v>0.49249999999999999</v>
      </c>
      <c r="N9" s="337"/>
      <c r="O9" s="565">
        <v>0.49249999999999999</v>
      </c>
      <c r="P9" s="342" t="e">
        <f>_xll.qlSimpleQuoteSetValue(D9,O9/100,Trigger)</f>
        <v>#N/A</v>
      </c>
      <c r="Q9" s="213"/>
      <c r="R9" s="64"/>
      <c r="S9" s="352" t="s">
        <v>275</v>
      </c>
      <c r="T9" s="82"/>
      <c r="U9" s="82" t="s">
        <v>266</v>
      </c>
      <c r="V9" s="82" t="s">
        <v>275</v>
      </c>
      <c r="W9" s="351" t="s">
        <v>264</v>
      </c>
    </row>
    <row r="10" spans="1:23" x14ac:dyDescent="0.2">
      <c r="A10" s="77"/>
      <c r="B10" s="103" t="s">
        <v>146</v>
      </c>
      <c r="C10" s="102" t="str">
        <f t="shared" si="0"/>
        <v>GBP3WD_Quote</v>
      </c>
      <c r="D10" s="102" t="str">
        <f>_xll.qlSimpleQuote(C10,,RateTickValue,Permanent,Trigger,ObjectOverwrite)</f>
        <v>GBP3WD_Quote#0000</v>
      </c>
      <c r="E10" s="101" t="str">
        <f>_xll.ohRangeRetrieveError(D10)</f>
        <v/>
      </c>
      <c r="F10" s="100"/>
      <c r="H10" s="118"/>
      <c r="I10" s="347" t="s">
        <v>16</v>
      </c>
      <c r="J10" s="346" t="e">
        <f t="shared" si="1"/>
        <v>#N/A</v>
      </c>
      <c r="K10" s="345" t="s">
        <v>233</v>
      </c>
      <c r="L10" s="337"/>
      <c r="M10" s="344" t="s">
        <v>274</v>
      </c>
      <c r="N10" s="337"/>
      <c r="O10" s="565" t="str">
        <v>#N/A The record could not be found</v>
      </c>
      <c r="P10" s="342" t="e">
        <f>_xll.qlSimpleQuoteSetValue(D10,O10/100,Trigger)</f>
        <v>#NUM!</v>
      </c>
      <c r="Q10" s="213"/>
      <c r="R10" s="64"/>
      <c r="S10" s="352" t="s">
        <v>273</v>
      </c>
      <c r="T10" s="82"/>
      <c r="U10" s="82" t="s">
        <v>266</v>
      </c>
      <c r="V10" s="82" t="s">
        <v>272</v>
      </c>
      <c r="W10" s="351" t="s">
        <v>264</v>
      </c>
    </row>
    <row r="11" spans="1:23" x14ac:dyDescent="0.2">
      <c r="A11" s="77"/>
      <c r="B11" s="103" t="s">
        <v>145</v>
      </c>
      <c r="C11" s="102" t="str">
        <f t="shared" si="0"/>
        <v>GBP1MD_Quote</v>
      </c>
      <c r="D11" s="102" t="str">
        <f>_xll.qlSimpleQuote(C11,,RateTickValue,Permanent,Trigger,ObjectOverwrite)</f>
        <v>GBP1MD_Quote#0000</v>
      </c>
      <c r="E11" s="101" t="str">
        <f>_xll.ohRangeRetrieveError(D11)</f>
        <v/>
      </c>
      <c r="F11" s="100"/>
      <c r="H11" s="118"/>
      <c r="I11" s="347" t="s">
        <v>15</v>
      </c>
      <c r="J11" s="346" t="e">
        <f t="shared" si="1"/>
        <v>#N/A</v>
      </c>
      <c r="K11" s="345">
        <v>0.49187999999999998</v>
      </c>
      <c r="L11" s="337"/>
      <c r="M11" s="344">
        <v>0.49438000000000004</v>
      </c>
      <c r="N11" s="337"/>
      <c r="O11" s="565">
        <v>0.49438000000000004</v>
      </c>
      <c r="P11" s="342" t="e">
        <f>_xll.qlSimpleQuoteSetValue(D11,O11/100,Trigger)</f>
        <v>#N/A</v>
      </c>
      <c r="Q11" s="213"/>
      <c r="R11" s="64"/>
      <c r="S11" s="352" t="s">
        <v>271</v>
      </c>
      <c r="T11" s="82"/>
      <c r="U11" s="82" t="s">
        <v>266</v>
      </c>
      <c r="V11" s="82" t="s">
        <v>270</v>
      </c>
      <c r="W11" s="351" t="s">
        <v>264</v>
      </c>
    </row>
    <row r="12" spans="1:23" x14ac:dyDescent="0.2">
      <c r="A12" s="77"/>
      <c r="B12" s="103" t="s">
        <v>144</v>
      </c>
      <c r="C12" s="102" t="str">
        <f t="shared" si="0"/>
        <v>GBP2MD_Quote</v>
      </c>
      <c r="D12" s="102" t="str">
        <f>_xll.qlSimpleQuote(C12,,RateTickValue,Permanent,Trigger,ObjectOverwrite)</f>
        <v>GBP2MD_Quote#0000</v>
      </c>
      <c r="E12" s="101" t="str">
        <f>_xll.ohRangeRetrieveError(D12)</f>
        <v/>
      </c>
      <c r="F12" s="100"/>
      <c r="H12" s="118"/>
      <c r="I12" s="347" t="s">
        <v>13</v>
      </c>
      <c r="J12" s="346" t="e">
        <f t="shared" si="1"/>
        <v>#N/A</v>
      </c>
      <c r="K12" s="345">
        <v>0.50063000000000002</v>
      </c>
      <c r="L12" s="337"/>
      <c r="M12" s="344">
        <v>0.51</v>
      </c>
      <c r="N12" s="337"/>
      <c r="O12" s="565">
        <v>0.51</v>
      </c>
      <c r="P12" s="342" t="e">
        <f>_xll.qlSimpleQuoteSetValue(D12,O12/100,Trigger)</f>
        <v>#N/A</v>
      </c>
      <c r="Q12" s="213"/>
      <c r="R12" s="64"/>
      <c r="S12" s="352" t="s">
        <v>269</v>
      </c>
      <c r="T12" s="82"/>
      <c r="U12" s="82" t="s">
        <v>266</v>
      </c>
      <c r="V12" s="82" t="s">
        <v>268</v>
      </c>
      <c r="W12" s="351" t="s">
        <v>264</v>
      </c>
    </row>
    <row r="13" spans="1:23" x14ac:dyDescent="0.2">
      <c r="A13" s="77"/>
      <c r="B13" s="103" t="s">
        <v>143</v>
      </c>
      <c r="C13" s="102" t="str">
        <f t="shared" si="0"/>
        <v>GBP3MD_Quote</v>
      </c>
      <c r="D13" s="102" t="str">
        <f>_xll.qlSimpleQuote(C13,,RateTickValue,Permanent,Trigger,ObjectOverwrite)</f>
        <v>GBP3MD_Quote#0000</v>
      </c>
      <c r="E13" s="101" t="str">
        <f>_xll.ohRangeRetrieveError(D13)</f>
        <v/>
      </c>
      <c r="F13" s="100"/>
      <c r="H13" s="118"/>
      <c r="I13" s="347" t="s">
        <v>12</v>
      </c>
      <c r="J13" s="346" t="e">
        <f t="shared" si="1"/>
        <v>#N/A</v>
      </c>
      <c r="K13" s="345">
        <v>0.51124999999999998</v>
      </c>
      <c r="L13" s="337"/>
      <c r="M13" s="344">
        <v>0.51875000000000004</v>
      </c>
      <c r="N13" s="337"/>
      <c r="O13" s="565">
        <v>0.51875000000000004</v>
      </c>
      <c r="P13" s="342" t="e">
        <f>_xll.qlSimpleQuoteSetValue(D13,O13/100,Trigger)</f>
        <v>#N/A</v>
      </c>
      <c r="Q13" s="213"/>
      <c r="R13" s="64"/>
      <c r="S13" s="350" t="s">
        <v>267</v>
      </c>
      <c r="T13" s="349"/>
      <c r="U13" s="349" t="s">
        <v>266</v>
      </c>
      <c r="V13" s="349" t="s">
        <v>265</v>
      </c>
      <c r="W13" s="348" t="s">
        <v>264</v>
      </c>
    </row>
    <row r="14" spans="1:23" x14ac:dyDescent="0.2">
      <c r="A14" s="77"/>
      <c r="B14" s="103" t="s">
        <v>142</v>
      </c>
      <c r="C14" s="102" t="str">
        <f t="shared" si="0"/>
        <v>GBP4MD_Quote</v>
      </c>
      <c r="D14" s="102" t="str">
        <f>_xll.qlSimpleQuote(C14,,RateTickValue,Permanent,Trigger,ObjectOverwrite)</f>
        <v>GBP4MD_Quote#0000</v>
      </c>
      <c r="E14" s="101" t="str">
        <f>_xll.ohRangeRetrieveError(D14)</f>
        <v/>
      </c>
      <c r="F14" s="100"/>
      <c r="H14" s="118"/>
      <c r="I14" s="347" t="s">
        <v>11</v>
      </c>
      <c r="J14" s="346" t="e">
        <f t="shared" si="1"/>
        <v>#N/A</v>
      </c>
      <c r="K14" s="345">
        <v>0.54500000000000004</v>
      </c>
      <c r="L14" s="337"/>
      <c r="M14" s="344">
        <v>0.56000000000000005</v>
      </c>
      <c r="N14" s="337"/>
      <c r="O14" s="565">
        <v>0.56000000000000005</v>
      </c>
      <c r="P14" s="342" t="e">
        <f>_xll.qlSimpleQuoteSetValue(D14,O14/100,Trigger)</f>
        <v>#N/A</v>
      </c>
      <c r="Q14" s="213"/>
      <c r="R14" s="64"/>
      <c r="S14" s="64"/>
      <c r="T14" s="64"/>
      <c r="U14" s="64"/>
      <c r="V14" s="64"/>
      <c r="W14" s="64"/>
    </row>
    <row r="15" spans="1:23" x14ac:dyDescent="0.2">
      <c r="A15" s="77"/>
      <c r="B15" s="103" t="s">
        <v>141</v>
      </c>
      <c r="C15" s="102" t="str">
        <f t="shared" si="0"/>
        <v>GBP5MD_Quote</v>
      </c>
      <c r="D15" s="102" t="str">
        <f>_xll.qlSimpleQuote(C15,,RateTickValue,Permanent,Trigger,ObjectOverwrite)</f>
        <v>GBP5MD_Quote#0000</v>
      </c>
      <c r="E15" s="101" t="str">
        <f>_xll.ohRangeRetrieveError(D15)</f>
        <v/>
      </c>
      <c r="F15" s="100"/>
      <c r="H15" s="118"/>
      <c r="I15" s="347" t="s">
        <v>9</v>
      </c>
      <c r="J15" s="346" t="e">
        <f t="shared" si="1"/>
        <v>#N/A</v>
      </c>
      <c r="K15" s="345">
        <v>0.60687999999999998</v>
      </c>
      <c r="L15" s="337"/>
      <c r="M15" s="344">
        <v>0.62937999999999994</v>
      </c>
      <c r="N15" s="337"/>
      <c r="O15" s="565">
        <v>0.62937999999999994</v>
      </c>
      <c r="P15" s="342" t="e">
        <f>_xll.qlSimpleQuoteSetValue(D15,O15/100,Trigger)</f>
        <v>#N/A</v>
      </c>
      <c r="Q15" s="213"/>
      <c r="R15" s="64"/>
      <c r="S15" s="64"/>
      <c r="T15" s="64"/>
      <c r="U15" s="64"/>
      <c r="V15" s="64"/>
      <c r="W15" s="64"/>
    </row>
    <row r="16" spans="1:23" x14ac:dyDescent="0.2">
      <c r="A16" s="77"/>
      <c r="B16" s="103" t="s">
        <v>140</v>
      </c>
      <c r="C16" s="102" t="str">
        <f t="shared" si="0"/>
        <v>GBP6MD_Quote</v>
      </c>
      <c r="D16" s="102" t="str">
        <f>_xll.qlSimpleQuote(C16,,RateTickValue,Permanent,Trigger,ObjectOverwrite)</f>
        <v>GBP6MD_Quote#0000</v>
      </c>
      <c r="E16" s="101" t="str">
        <f>_xll.ohRangeRetrieveError(D16)</f>
        <v/>
      </c>
      <c r="F16" s="100"/>
      <c r="H16" s="118"/>
      <c r="I16" s="347" t="s">
        <v>8</v>
      </c>
      <c r="J16" s="346" t="e">
        <f t="shared" si="1"/>
        <v>#N/A</v>
      </c>
      <c r="K16" s="345">
        <v>0.64375000000000004</v>
      </c>
      <c r="L16" s="337"/>
      <c r="M16" s="344">
        <v>0.66874999999999996</v>
      </c>
      <c r="N16" s="337"/>
      <c r="O16" s="565">
        <v>0.66874999999999996</v>
      </c>
      <c r="P16" s="342" t="e">
        <f>_xll.qlSimpleQuoteSetValue(D16,O16/100,Trigger)</f>
        <v>#N/A</v>
      </c>
      <c r="Q16" s="213"/>
      <c r="R16" s="64"/>
      <c r="S16" s="64"/>
      <c r="T16" s="64"/>
      <c r="U16" s="64"/>
      <c r="V16" s="64"/>
      <c r="W16" s="64"/>
    </row>
    <row r="17" spans="1:23" x14ac:dyDescent="0.2">
      <c r="A17" s="77"/>
      <c r="B17" s="103" t="s">
        <v>139</v>
      </c>
      <c r="C17" s="102" t="str">
        <f t="shared" si="0"/>
        <v>GBP7MD_Quote</v>
      </c>
      <c r="D17" s="102" t="str">
        <f>_xll.qlSimpleQuote(C17,,RateTickValue,Permanent,Trigger,ObjectOverwrite)</f>
        <v>GBP7MD_Quote#0000</v>
      </c>
      <c r="E17" s="101" t="str">
        <f>_xll.ohRangeRetrieveError(D17)</f>
        <v/>
      </c>
      <c r="F17" s="100"/>
      <c r="H17" s="118"/>
      <c r="I17" s="347" t="s">
        <v>7</v>
      </c>
      <c r="J17" s="346" t="e">
        <f t="shared" si="1"/>
        <v>#N/A</v>
      </c>
      <c r="K17" s="345">
        <v>0.69374999999999998</v>
      </c>
      <c r="L17" s="337"/>
      <c r="M17" s="344">
        <v>0.71812999999999994</v>
      </c>
      <c r="N17" s="337"/>
      <c r="O17" s="565">
        <v>0.71812999999999994</v>
      </c>
      <c r="P17" s="342" t="e">
        <f>_xll.qlSimpleQuoteSetValue(D17,O17/100,Trigger)</f>
        <v>#N/A</v>
      </c>
      <c r="Q17" s="213"/>
      <c r="R17" s="64"/>
      <c r="S17" s="64"/>
      <c r="T17" s="64"/>
      <c r="U17" s="64"/>
      <c r="V17" s="64"/>
      <c r="W17" s="64"/>
    </row>
    <row r="18" spans="1:23" x14ac:dyDescent="0.2">
      <c r="A18" s="77"/>
      <c r="B18" s="103" t="s">
        <v>138</v>
      </c>
      <c r="C18" s="102" t="str">
        <f t="shared" si="0"/>
        <v>GBP8MD_Quote</v>
      </c>
      <c r="D18" s="102" t="str">
        <f>_xll.qlSimpleQuote(C18,,RateTickValue,Permanent,Trigger,ObjectOverwrite)</f>
        <v>GBP8MD_Quote#0000</v>
      </c>
      <c r="E18" s="101" t="str">
        <f>_xll.ohRangeRetrieveError(D18)</f>
        <v/>
      </c>
      <c r="F18" s="100"/>
      <c r="H18" s="118"/>
      <c r="I18" s="347" t="s">
        <v>6</v>
      </c>
      <c r="J18" s="346" t="e">
        <f t="shared" si="1"/>
        <v>#N/A</v>
      </c>
      <c r="K18" s="345">
        <v>0.76</v>
      </c>
      <c r="L18" s="337"/>
      <c r="M18" s="344">
        <v>0.78874999999999995</v>
      </c>
      <c r="N18" s="337"/>
      <c r="O18" s="565">
        <v>0.78874999999999995</v>
      </c>
      <c r="P18" s="342" t="e">
        <f>_xll.qlSimpleQuoteSetValue(D18,O18/100,Trigger)</f>
        <v>#N/A</v>
      </c>
      <c r="Q18" s="213"/>
      <c r="R18" s="64"/>
      <c r="S18" s="64"/>
      <c r="T18" s="64"/>
      <c r="U18" s="64"/>
      <c r="V18" s="64"/>
      <c r="W18" s="64"/>
    </row>
    <row r="19" spans="1:23" x14ac:dyDescent="0.2">
      <c r="A19" s="77"/>
      <c r="B19" s="103" t="s">
        <v>137</v>
      </c>
      <c r="C19" s="102" t="str">
        <f t="shared" si="0"/>
        <v>GBP9MD_Quote</v>
      </c>
      <c r="D19" s="102" t="str">
        <f>_xll.qlSimpleQuote(C19,,RateTickValue,Permanent,Trigger,ObjectOverwrite)</f>
        <v>GBP9MD_Quote#0000</v>
      </c>
      <c r="E19" s="101" t="str">
        <f>_xll.ohRangeRetrieveError(D19)</f>
        <v/>
      </c>
      <c r="F19" s="100"/>
      <c r="H19" s="118"/>
      <c r="I19" s="347" t="s">
        <v>4</v>
      </c>
      <c r="J19" s="346" t="e">
        <f t="shared" si="1"/>
        <v>#N/A</v>
      </c>
      <c r="K19" s="345">
        <v>0.81188000000000005</v>
      </c>
      <c r="L19" s="337"/>
      <c r="M19" s="344">
        <v>0.84125000000000005</v>
      </c>
      <c r="N19" s="337"/>
      <c r="O19" s="565">
        <v>0.84125000000000005</v>
      </c>
      <c r="P19" s="342" t="e">
        <f>_xll.qlSimpleQuoteSetValue(D19,O19/100,Trigger)</f>
        <v>#N/A</v>
      </c>
      <c r="Q19" s="213"/>
      <c r="R19" s="64"/>
      <c r="S19" s="64"/>
      <c r="T19" s="64"/>
      <c r="U19" s="64"/>
      <c r="V19" s="64"/>
      <c r="W19" s="64"/>
    </row>
    <row r="20" spans="1:23" x14ac:dyDescent="0.2">
      <c r="A20" s="77"/>
      <c r="B20" s="103" t="s">
        <v>136</v>
      </c>
      <c r="C20" s="102" t="str">
        <f t="shared" si="0"/>
        <v>GBP10MD_Quote</v>
      </c>
      <c r="D20" s="102" t="str">
        <f>_xll.qlSimpleQuote(C20,,RateTickValue,Permanent,Trigger,ObjectOverwrite)</f>
        <v>GBP10MD_Quote#0000</v>
      </c>
      <c r="E20" s="101" t="str">
        <f>_xll.ohRangeRetrieveError(D20)</f>
        <v/>
      </c>
      <c r="F20" s="100"/>
      <c r="H20" s="118"/>
      <c r="I20" s="347" t="s">
        <v>3</v>
      </c>
      <c r="J20" s="346" t="e">
        <f t="shared" si="1"/>
        <v>#N/A</v>
      </c>
      <c r="K20" s="345">
        <v>0.86312999999999995</v>
      </c>
      <c r="L20" s="337"/>
      <c r="M20" s="344">
        <v>0.89312999999999998</v>
      </c>
      <c r="N20" s="337"/>
      <c r="O20" s="565">
        <v>0.89312999999999998</v>
      </c>
      <c r="P20" s="342" t="e">
        <f>_xll.qlSimpleQuoteSetValue(D20,O20/100,Trigger)</f>
        <v>#N/A</v>
      </c>
      <c r="Q20" s="213"/>
      <c r="R20" s="64"/>
      <c r="S20" s="64"/>
      <c r="T20" s="64"/>
      <c r="U20" s="64"/>
      <c r="V20" s="64"/>
      <c r="W20" s="64"/>
    </row>
    <row r="21" spans="1:23" x14ac:dyDescent="0.2">
      <c r="A21" s="77"/>
      <c r="B21" s="103" t="s">
        <v>135</v>
      </c>
      <c r="C21" s="102" t="str">
        <f t="shared" si="0"/>
        <v>GBP11MD_Quote</v>
      </c>
      <c r="D21" s="102" t="str">
        <f>_xll.qlSimpleQuote(C21,,RateTickValue,Permanent,Trigger,ObjectOverwrite)</f>
        <v>GBP11MD_Quote#0000</v>
      </c>
      <c r="E21" s="101" t="str">
        <f>_xll.ohRangeRetrieveError(D21)</f>
        <v/>
      </c>
      <c r="F21" s="100"/>
      <c r="H21" s="118"/>
      <c r="I21" s="347" t="s">
        <v>2</v>
      </c>
      <c r="J21" s="346" t="e">
        <f t="shared" si="1"/>
        <v>#N/A</v>
      </c>
      <c r="K21" s="345">
        <v>0.92062999999999995</v>
      </c>
      <c r="L21" s="337"/>
      <c r="M21" s="344">
        <v>0.95313000000000003</v>
      </c>
      <c r="N21" s="337"/>
      <c r="O21" s="565">
        <v>0.95313000000000003</v>
      </c>
      <c r="P21" s="342" t="e">
        <f>_xll.qlSimpleQuoteSetValue(D21,O21/100,Trigger)</f>
        <v>#N/A</v>
      </c>
      <c r="Q21" s="213"/>
      <c r="R21" s="64"/>
      <c r="S21" s="64"/>
      <c r="T21" s="64"/>
      <c r="U21" s="64"/>
      <c r="V21" s="64"/>
      <c r="W21" s="64"/>
    </row>
    <row r="22" spans="1:23" x14ac:dyDescent="0.2">
      <c r="A22" s="77"/>
      <c r="B22" s="103" t="s">
        <v>134</v>
      </c>
      <c r="C22" s="102" t="str">
        <f t="shared" si="0"/>
        <v>GBP1YD_Quote</v>
      </c>
      <c r="D22" s="102" t="str">
        <f>_xll.qlSimpleQuote(C22,,RateTickValue,Permanent,Trigger,ObjectOverwrite)</f>
        <v>GBP1YD_Quote#0000</v>
      </c>
      <c r="E22" s="101" t="str">
        <f>_xll.ohRangeRetrieveError(D22)</f>
        <v/>
      </c>
      <c r="F22" s="100"/>
      <c r="H22" s="118"/>
      <c r="I22" s="341" t="s">
        <v>1</v>
      </c>
      <c r="J22" s="340" t="e">
        <f t="shared" si="1"/>
        <v>#N/A</v>
      </c>
      <c r="K22" s="339">
        <v>0.97438000000000002</v>
      </c>
      <c r="L22" s="337"/>
      <c r="M22" s="338">
        <v>1.0131299999999999</v>
      </c>
      <c r="N22" s="337"/>
      <c r="O22" s="566">
        <v>1.0131299999999999</v>
      </c>
      <c r="P22" s="335" t="e">
        <f>_xll.qlSimpleQuoteSetValue(D22,O22/100,Trigger)</f>
        <v>#N/A</v>
      </c>
      <c r="Q22" s="213"/>
      <c r="R22" s="64"/>
      <c r="S22" s="64"/>
      <c r="T22" s="64"/>
      <c r="U22" s="64"/>
      <c r="V22" s="64"/>
      <c r="W22" s="64"/>
    </row>
    <row r="23" spans="1:23" ht="12" thickBot="1" x14ac:dyDescent="0.25">
      <c r="A23" s="70"/>
      <c r="B23" s="69"/>
      <c r="C23" s="69"/>
      <c r="D23" s="69"/>
      <c r="E23" s="69"/>
      <c r="F23" s="67"/>
      <c r="H23" s="32"/>
      <c r="I23" s="31"/>
      <c r="J23" s="31"/>
      <c r="K23" s="31"/>
      <c r="L23" s="31"/>
      <c r="M23" s="31"/>
      <c r="N23" s="31"/>
      <c r="O23" s="31"/>
      <c r="P23" s="31"/>
      <c r="Q23" s="30"/>
      <c r="R23" s="64"/>
      <c r="S23" s="64"/>
      <c r="T23" s="64"/>
      <c r="U23" s="64"/>
      <c r="V23" s="64"/>
      <c r="W23" s="64"/>
    </row>
  </sheetData>
  <conditionalFormatting sqref="P5:P22">
    <cfRule type="cellIs" dxfId="33" priority="1" stopIfTrue="1" operator="greaterThan">
      <formula>0</formula>
    </cfRule>
    <cfRule type="cellIs" dxfId="32"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27"/>
  <sheetViews>
    <sheetView workbookViewId="0">
      <selection activeCell="V5" sqref="V5:V24"/>
    </sheetView>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21.5703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3" width="9.140625" style="63"/>
    <col min="24" max="24" width="2.7109375" style="63" customWidth="1"/>
    <col min="25" max="16384" width="9.140625" style="63"/>
  </cols>
  <sheetData>
    <row r="1" spans="1:30" x14ac:dyDescent="0.2">
      <c r="A1" s="109" t="s">
        <v>344</v>
      </c>
      <c r="B1" s="133"/>
      <c r="C1" s="133"/>
      <c r="D1" s="63"/>
      <c r="E1" s="110"/>
      <c r="F1" s="63"/>
      <c r="G1" s="33"/>
      <c r="I1" s="401" t="s">
        <v>351</v>
      </c>
      <c r="J1" s="196"/>
      <c r="K1" s="196"/>
      <c r="L1" s="196"/>
      <c r="M1" s="196"/>
      <c r="N1" s="196"/>
      <c r="O1" s="196"/>
      <c r="P1" s="196"/>
      <c r="Q1" s="196"/>
      <c r="R1" s="196"/>
      <c r="S1" s="196"/>
      <c r="T1" s="196"/>
      <c r="U1" s="196"/>
      <c r="V1" s="196"/>
      <c r="W1" s="196"/>
      <c r="X1" s="193"/>
      <c r="Y1" s="64"/>
      <c r="Z1" s="64"/>
      <c r="AA1" s="64"/>
      <c r="AB1" s="64"/>
      <c r="AC1" s="64"/>
      <c r="AD1" s="64"/>
    </row>
    <row r="2" spans="1:30"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69"/>
      <c r="J2" s="64"/>
      <c r="K2" s="133"/>
      <c r="L2" s="133"/>
      <c r="M2" s="140" t="s">
        <v>275</v>
      </c>
      <c r="N2" s="133"/>
      <c r="O2" s="133"/>
      <c r="P2" s="133"/>
      <c r="Q2" s="133"/>
      <c r="R2" s="337"/>
      <c r="S2" s="337"/>
      <c r="T2" s="337"/>
      <c r="U2" s="337"/>
      <c r="V2" s="337"/>
      <c r="W2" s="133"/>
      <c r="X2" s="33"/>
      <c r="Y2" s="64"/>
      <c r="Z2" s="64"/>
      <c r="AA2" s="64"/>
      <c r="AB2" s="64"/>
      <c r="AC2" s="64"/>
      <c r="AD2" s="64"/>
    </row>
    <row r="3" spans="1:30" x14ac:dyDescent="0.2">
      <c r="A3" s="118"/>
      <c r="B3" s="122" t="s">
        <v>172</v>
      </c>
      <c r="C3" s="123" t="s">
        <v>153</v>
      </c>
      <c r="D3" s="122" t="str">
        <f t="shared" ref="D3:D26" si="0">Currency&amp;$B3&amp;$C3&amp;QuoteSuffix</f>
        <v>GBPT1F1_Quote</v>
      </c>
      <c r="E3" s="121" t="str">
        <f>_xll.qlSimpleQuote(D3,,RateTickValue,Permanent,Trigger,ObjectOverwrite)</f>
        <v>GBPT1F1_Quote#0000</v>
      </c>
      <c r="F3" s="120" t="str">
        <f>_xll.ohRangeRetrieveError(E3)</f>
        <v/>
      </c>
      <c r="G3" s="33"/>
      <c r="I3" s="118"/>
      <c r="J3" s="133"/>
      <c r="K3" s="337"/>
      <c r="L3" s="133"/>
      <c r="M3" s="133"/>
      <c r="N3" s="133"/>
      <c r="O3" s="133"/>
      <c r="P3" s="133"/>
      <c r="Q3" s="133"/>
      <c r="R3" s="133"/>
      <c r="S3" s="337"/>
      <c r="T3" s="337"/>
      <c r="U3" s="337"/>
      <c r="V3" s="133"/>
      <c r="W3" s="366">
        <f>_xll.ohTrigger(W5:W24)</f>
        <v>1</v>
      </c>
      <c r="X3" s="213"/>
      <c r="Y3" s="64"/>
      <c r="Z3" s="64"/>
      <c r="AA3" s="64"/>
      <c r="AB3" s="64"/>
      <c r="AC3" s="64"/>
      <c r="AD3" s="64"/>
    </row>
    <row r="4" spans="1:30" ht="22.5" x14ac:dyDescent="0.2">
      <c r="A4" s="118"/>
      <c r="B4" s="115" t="s">
        <v>171</v>
      </c>
      <c r="C4" s="119" t="s">
        <v>153</v>
      </c>
      <c r="D4" s="115" t="str">
        <f t="shared" si="0"/>
        <v>GBPTOM1F1_Quote</v>
      </c>
      <c r="E4" s="114" t="str">
        <f>_xll.qlSimpleQuote(D4,,RateTickValue,Permanent,Trigger,ObjectOverwrite)</f>
        <v>GBPTOM1F1_Quote#0000</v>
      </c>
      <c r="F4" s="113" t="str">
        <f>_xll.ohRangeRetrieveError(E4)</f>
        <v/>
      </c>
      <c r="G4" s="33"/>
      <c r="I4" s="118"/>
      <c r="J4" s="199"/>
      <c r="K4" s="141"/>
      <c r="L4" s="191"/>
      <c r="M4" s="365" t="e">
        <f ca="1">_xll.RData(M5:M24,N4:Q4,"RTFEED:IDN",ReutersRtMode,,N5)</f>
        <v>#NAME?</v>
      </c>
      <c r="N4" s="400" t="s">
        <v>291</v>
      </c>
      <c r="O4" s="400" t="s">
        <v>264</v>
      </c>
      <c r="P4" s="400" t="s">
        <v>244</v>
      </c>
      <c r="Q4" s="400" t="s">
        <v>290</v>
      </c>
      <c r="R4" s="361" t="s">
        <v>289</v>
      </c>
      <c r="S4" s="337"/>
      <c r="T4" s="363" t="s">
        <v>286</v>
      </c>
      <c r="U4" s="337"/>
      <c r="V4" s="656" t="s">
        <v>285</v>
      </c>
      <c r="W4" s="241" t="s">
        <v>284</v>
      </c>
      <c r="X4" s="213"/>
      <c r="Y4" s="64"/>
      <c r="Z4" s="64"/>
      <c r="AA4" s="64"/>
      <c r="AB4" s="64"/>
      <c r="AC4" s="64"/>
      <c r="AD4" s="399" t="s">
        <v>288</v>
      </c>
    </row>
    <row r="5" spans="1:30" x14ac:dyDescent="0.2">
      <c r="A5" s="118"/>
      <c r="B5" s="122" t="s">
        <v>170</v>
      </c>
      <c r="C5" s="123" t="s">
        <v>153</v>
      </c>
      <c r="D5" s="122" t="str">
        <f t="shared" si="0"/>
        <v>GBPT3F1_Quote</v>
      </c>
      <c r="E5" s="121" t="str">
        <f>_xll.qlSimpleQuote(D5,,RateTickValue,Permanent,Trigger,ObjectOverwrite)</f>
        <v>GBPT3F1_Quote#0000</v>
      </c>
      <c r="F5" s="120" t="str">
        <f>_xll.ohRangeRetrieveError(E5)</f>
        <v/>
      </c>
      <c r="G5" s="33"/>
      <c r="I5" s="118"/>
      <c r="J5" s="393" t="s">
        <v>170</v>
      </c>
      <c r="K5" s="392" t="s">
        <v>153</v>
      </c>
      <c r="L5" s="390" t="str">
        <f t="shared" ref="L5:L24" si="1">Currency&amp;$J5&amp;$K5</f>
        <v>GBPT3F1</v>
      </c>
      <c r="M5" s="390" t="str">
        <f t="array" ref="M5:M24">UPPER(Instruments)&amp;"="&amp;VLOOKUP(Contributor,ContributorTable,2,FALSE)</f>
        <v>GBPT3F1=ICAP</v>
      </c>
      <c r="N5" s="391" t="s">
        <v>233</v>
      </c>
      <c r="O5" s="391" t="s">
        <v>233</v>
      </c>
      <c r="P5" s="390" t="s">
        <v>233</v>
      </c>
      <c r="Q5" s="390" t="s">
        <v>233</v>
      </c>
      <c r="R5" s="356" t="e">
        <f>_xll.qlMidSafe($N5,$O5)</f>
        <v>#NUM!</v>
      </c>
      <c r="S5" s="337"/>
      <c r="T5" s="398" t="e">
        <v>#NUM!</v>
      </c>
      <c r="U5" s="337"/>
      <c r="V5" s="564" t="e">
        <f t="array" ref="V5:V24">QuoteStatic</f>
        <v>#NUM!</v>
      </c>
      <c r="W5" s="353" t="e">
        <f>_xll.qlSimpleQuoteSetValue(E5,V5/100,Trigger)</f>
        <v>#NUM!</v>
      </c>
      <c r="X5" s="213"/>
      <c r="Y5" s="64"/>
      <c r="Z5" s="372"/>
      <c r="AA5" s="64"/>
      <c r="AB5" s="64"/>
      <c r="AC5" s="64"/>
      <c r="AD5" s="371" t="e">
        <f t="shared" ref="AD5:AD19" si="2">(O5-R5)/50</f>
        <v>#VALUE!</v>
      </c>
    </row>
    <row r="6" spans="1:30" x14ac:dyDescent="0.2">
      <c r="A6" s="118"/>
      <c r="B6" s="115" t="s">
        <v>169</v>
      </c>
      <c r="C6" s="119" t="s">
        <v>153</v>
      </c>
      <c r="D6" s="115" t="str">
        <f t="shared" si="0"/>
        <v>GBPTOM3F1_Quote</v>
      </c>
      <c r="E6" s="114" t="str">
        <f>_xll.qlSimpleQuote(D6,,RateTickValue,Permanent,Trigger,ObjectOverwrite)</f>
        <v>GBPTOM3F1_Quote#0000</v>
      </c>
      <c r="F6" s="113" t="str">
        <f>_xll.ohRangeRetrieveError(E6)</f>
        <v/>
      </c>
      <c r="G6" s="33"/>
      <c r="I6" s="118"/>
      <c r="J6" s="396" t="s">
        <v>169</v>
      </c>
      <c r="K6" s="385" t="s">
        <v>153</v>
      </c>
      <c r="L6" s="383" t="str">
        <f t="shared" si="1"/>
        <v>GBPTOM3F1</v>
      </c>
      <c r="M6" s="383" t="str">
        <v>GBPTOM3F1=ICAP</v>
      </c>
      <c r="N6" s="384" t="s">
        <v>233</v>
      </c>
      <c r="O6" s="384" t="s">
        <v>233</v>
      </c>
      <c r="P6" s="383" t="s">
        <v>233</v>
      </c>
      <c r="Q6" s="383" t="s">
        <v>233</v>
      </c>
      <c r="R6" s="339" t="e">
        <f>_xll.qlMidSafe($N6,$O6)</f>
        <v>#NUM!</v>
      </c>
      <c r="S6" s="337"/>
      <c r="T6" s="395" t="e">
        <v>#NUM!</v>
      </c>
      <c r="U6" s="337"/>
      <c r="V6" s="566" t="e">
        <v>#NUM!</v>
      </c>
      <c r="W6" s="335" t="e">
        <f>_xll.qlSimpleQuoteSetValue(E6,V6/100,Trigger)</f>
        <v>#NUM!</v>
      </c>
      <c r="X6" s="213"/>
      <c r="Y6" s="64"/>
      <c r="Z6" s="372"/>
      <c r="AA6" s="64"/>
      <c r="AB6" s="64"/>
      <c r="AC6" s="64"/>
      <c r="AD6" s="371" t="e">
        <f t="shared" si="2"/>
        <v>#VALUE!</v>
      </c>
    </row>
    <row r="7" spans="1:30" x14ac:dyDescent="0.2">
      <c r="A7" s="118"/>
      <c r="B7" s="122">
        <v>1</v>
      </c>
      <c r="C7" s="123" t="s">
        <v>168</v>
      </c>
      <c r="D7" s="122" t="str">
        <f t="shared" si="0"/>
        <v>GBP1x4F_Quote</v>
      </c>
      <c r="E7" s="121" t="str">
        <f>_xll.qlSimpleQuote(D7,,RateTickValue,Permanent,Trigger,ObjectOverwrite)</f>
        <v>GBP1x4F_Quote#0000</v>
      </c>
      <c r="F7" s="120" t="str">
        <f>_xll.ohRangeRetrieveError(E7)</f>
        <v/>
      </c>
      <c r="G7" s="33"/>
      <c r="I7" s="118"/>
      <c r="J7" s="393">
        <v>1</v>
      </c>
      <c r="K7" s="392" t="s">
        <v>168</v>
      </c>
      <c r="L7" s="390" t="str">
        <f t="shared" si="1"/>
        <v>GBP1x4F</v>
      </c>
      <c r="M7" s="390" t="str">
        <v>GBP1X4F=ICAP</v>
      </c>
      <c r="N7" s="391">
        <v>0.48499999999999999</v>
      </c>
      <c r="O7" s="391">
        <v>0.53500000000000003</v>
      </c>
      <c r="P7" s="390">
        <v>0</v>
      </c>
      <c r="Q7" s="390">
        <v>0</v>
      </c>
      <c r="R7" s="356">
        <f>_xll.qlMidSafe($N7,$O7)</f>
        <v>0.51</v>
      </c>
      <c r="S7" s="337"/>
      <c r="T7" s="382">
        <v>0.51500000000000001</v>
      </c>
      <c r="U7" s="337"/>
      <c r="V7" s="565">
        <v>0.51500000000000001</v>
      </c>
      <c r="W7" s="342" t="e">
        <f>_xll.qlSimpleQuoteSetValue(E7,V7/100,Trigger)</f>
        <v>#N/A</v>
      </c>
      <c r="X7" s="213"/>
      <c r="Y7" s="64"/>
      <c r="Z7" s="372"/>
      <c r="AA7" s="64"/>
      <c r="AB7" s="64"/>
      <c r="AC7" s="64"/>
      <c r="AD7" s="371">
        <f t="shared" si="2"/>
        <v>5.0000000000000044E-4</v>
      </c>
    </row>
    <row r="8" spans="1:30" x14ac:dyDescent="0.2">
      <c r="A8" s="118"/>
      <c r="B8" s="126">
        <v>2</v>
      </c>
      <c r="C8" s="127" t="s">
        <v>167</v>
      </c>
      <c r="D8" s="126" t="str">
        <f t="shared" si="0"/>
        <v>GBP2x5F_Quote</v>
      </c>
      <c r="E8" s="125" t="str">
        <f>_xll.qlSimpleQuote(D8,,RateTickValue,Permanent,Trigger,ObjectOverwrite)</f>
        <v>GBP2x5F_Quote#0000</v>
      </c>
      <c r="F8" s="124" t="str">
        <f>_xll.ohRangeRetrieveError(E8)</f>
        <v/>
      </c>
      <c r="G8" s="33"/>
      <c r="I8" s="118"/>
      <c r="J8" s="386">
        <v>2</v>
      </c>
      <c r="K8" s="389" t="s">
        <v>167</v>
      </c>
      <c r="L8" s="387" t="str">
        <f t="shared" si="1"/>
        <v>GBP2x5F</v>
      </c>
      <c r="M8" s="387" t="str">
        <v>GBP2X5F=ICAP</v>
      </c>
      <c r="N8" s="388">
        <v>0.49</v>
      </c>
      <c r="O8" s="388">
        <v>0.54</v>
      </c>
      <c r="P8" s="387">
        <v>0</v>
      </c>
      <c r="Q8" s="387">
        <v>0</v>
      </c>
      <c r="R8" s="345">
        <f>_xll.qlMidSafe($N8,$O8)</f>
        <v>0.51500000000000001</v>
      </c>
      <c r="S8" s="337"/>
      <c r="T8" s="382">
        <v>0.51</v>
      </c>
      <c r="U8" s="337"/>
      <c r="V8" s="565">
        <v>0.51</v>
      </c>
      <c r="W8" s="342" t="e">
        <f>_xll.qlSimpleQuoteSetValue(E8,V8/100,Trigger)</f>
        <v>#N/A</v>
      </c>
      <c r="X8" s="213"/>
      <c r="Y8" s="64"/>
      <c r="Z8" s="372"/>
      <c r="AA8" s="64"/>
      <c r="AB8" s="64"/>
      <c r="AC8" s="64"/>
      <c r="AD8" s="371">
        <f t="shared" si="2"/>
        <v>5.0000000000000044E-4</v>
      </c>
    </row>
    <row r="9" spans="1:30" x14ac:dyDescent="0.2">
      <c r="A9" s="118"/>
      <c r="B9" s="126">
        <v>3</v>
      </c>
      <c r="C9" s="127" t="s">
        <v>166</v>
      </c>
      <c r="D9" s="126" t="str">
        <f t="shared" si="0"/>
        <v>GBP3x6F_Quote</v>
      </c>
      <c r="E9" s="125" t="str">
        <f>_xll.qlSimpleQuote(D9,,RateTickValue,Permanent,Trigger,ObjectOverwrite)</f>
        <v>GBP3x6F_Quote#0000</v>
      </c>
      <c r="F9" s="124" t="str">
        <f>_xll.ohRangeRetrieveError(E9)</f>
        <v/>
      </c>
      <c r="G9" s="33"/>
      <c r="I9" s="118"/>
      <c r="J9" s="386">
        <v>3</v>
      </c>
      <c r="K9" s="389" t="s">
        <v>166</v>
      </c>
      <c r="L9" s="387" t="str">
        <f t="shared" si="1"/>
        <v>GBP3x6F</v>
      </c>
      <c r="M9" s="387" t="str">
        <v>GBP3X6F=ICAP</v>
      </c>
      <c r="N9" s="388">
        <v>0.495</v>
      </c>
      <c r="O9" s="388">
        <v>0.54500000000000004</v>
      </c>
      <c r="P9" s="387">
        <v>0</v>
      </c>
      <c r="Q9" s="387">
        <v>0</v>
      </c>
      <c r="R9" s="345">
        <f>_xll.qlMidSafe($N9,$O9)</f>
        <v>0.52</v>
      </c>
      <c r="S9" s="337"/>
      <c r="T9" s="382">
        <v>0.51</v>
      </c>
      <c r="U9" s="337"/>
      <c r="V9" s="565">
        <v>0.51</v>
      </c>
      <c r="W9" s="342" t="e">
        <f>_xll.qlSimpleQuoteSetValue(E9,V9/100,Trigger)</f>
        <v>#N/A</v>
      </c>
      <c r="X9" s="213"/>
      <c r="Y9" s="64"/>
      <c r="Z9" s="372"/>
      <c r="AA9" s="64"/>
      <c r="AB9" s="64"/>
      <c r="AC9" s="64"/>
      <c r="AD9" s="371">
        <f t="shared" si="2"/>
        <v>5.0000000000000044E-4</v>
      </c>
    </row>
    <row r="10" spans="1:30" x14ac:dyDescent="0.2">
      <c r="A10" s="118"/>
      <c r="B10" s="126">
        <v>4</v>
      </c>
      <c r="C10" s="127" t="s">
        <v>163</v>
      </c>
      <c r="D10" s="126" t="str">
        <f t="shared" si="0"/>
        <v>GBP4x7F_Quote</v>
      </c>
      <c r="E10" s="125" t="str">
        <f>_xll.qlSimpleQuote(D10,,RateTickValue,Permanent,Trigger,ObjectOverwrite)</f>
        <v>GBP4x7F_Quote#0000</v>
      </c>
      <c r="F10" s="124" t="str">
        <f>_xll.ohRangeRetrieveError(E10)</f>
        <v/>
      </c>
      <c r="G10" s="33"/>
      <c r="I10" s="118"/>
      <c r="J10" s="386">
        <v>4</v>
      </c>
      <c r="K10" s="389" t="s">
        <v>163</v>
      </c>
      <c r="L10" s="387" t="str">
        <f t="shared" si="1"/>
        <v>GBP4x7F</v>
      </c>
      <c r="M10" s="387" t="str">
        <v>GBP4X7F=ICAP</v>
      </c>
      <c r="N10" s="388">
        <v>0.5</v>
      </c>
      <c r="O10" s="388">
        <v>0.55000000000000004</v>
      </c>
      <c r="P10" s="387">
        <v>0</v>
      </c>
      <c r="Q10" s="387">
        <v>0</v>
      </c>
      <c r="R10" s="345">
        <f>_xll.qlMidSafe($N10,$O10)</f>
        <v>0.52500000000000002</v>
      </c>
      <c r="S10" s="337"/>
      <c r="T10" s="382">
        <v>0.505</v>
      </c>
      <c r="U10" s="337"/>
      <c r="V10" s="565">
        <v>0.505</v>
      </c>
      <c r="W10" s="342" t="e">
        <f>_xll.qlSimpleQuoteSetValue(E10,V10/100,Trigger)</f>
        <v>#N/A</v>
      </c>
      <c r="X10" s="213"/>
      <c r="Y10" s="64"/>
      <c r="Z10" s="372"/>
      <c r="AA10" s="64"/>
      <c r="AB10" s="64"/>
      <c r="AC10" s="64"/>
      <c r="AD10" s="371">
        <f t="shared" si="2"/>
        <v>5.0000000000000044E-4</v>
      </c>
    </row>
    <row r="11" spans="1:30" x14ac:dyDescent="0.2">
      <c r="A11" s="118"/>
      <c r="B11" s="126">
        <v>5</v>
      </c>
      <c r="C11" s="127" t="s">
        <v>162</v>
      </c>
      <c r="D11" s="126" t="str">
        <f t="shared" si="0"/>
        <v>GBP5x8F_Quote</v>
      </c>
      <c r="E11" s="125" t="str">
        <f>_xll.qlSimpleQuote(D11,,RateTickValue,Permanent,Trigger,ObjectOverwrite)</f>
        <v>GBP5x8F_Quote#0000</v>
      </c>
      <c r="F11" s="124" t="str">
        <f>_xll.ohRangeRetrieveError(E11)</f>
        <v/>
      </c>
      <c r="G11" s="33"/>
      <c r="I11" s="118"/>
      <c r="J11" s="386">
        <v>5</v>
      </c>
      <c r="K11" s="389" t="s">
        <v>162</v>
      </c>
      <c r="L11" s="387" t="str">
        <f t="shared" si="1"/>
        <v>GBP5x8F</v>
      </c>
      <c r="M11" s="387" t="str">
        <v>GBP5X8F=ICAP</v>
      </c>
      <c r="N11" s="388">
        <v>0.505</v>
      </c>
      <c r="O11" s="388">
        <v>0.55500000000000005</v>
      </c>
      <c r="P11" s="387">
        <v>0</v>
      </c>
      <c r="Q11" s="387">
        <v>0</v>
      </c>
      <c r="R11" s="345">
        <f>_xll.qlMidSafe($N11,$O11)</f>
        <v>0.53</v>
      </c>
      <c r="S11" s="337"/>
      <c r="T11" s="382">
        <v>0.505</v>
      </c>
      <c r="U11" s="337"/>
      <c r="V11" s="565">
        <v>0.505</v>
      </c>
      <c r="W11" s="342" t="e">
        <f>_xll.qlSimpleQuoteSetValue(E11,V11/100,Trigger)</f>
        <v>#N/A</v>
      </c>
      <c r="X11" s="213"/>
      <c r="Y11" s="64"/>
      <c r="Z11" s="372"/>
      <c r="AA11" s="64"/>
      <c r="AB11" s="64"/>
      <c r="AC11" s="64"/>
      <c r="AD11" s="371">
        <f t="shared" si="2"/>
        <v>5.0000000000000044E-4</v>
      </c>
    </row>
    <row r="12" spans="1:30" x14ac:dyDescent="0.2">
      <c r="A12" s="118"/>
      <c r="B12" s="115">
        <v>6</v>
      </c>
      <c r="C12" s="119" t="s">
        <v>161</v>
      </c>
      <c r="D12" s="115" t="str">
        <f t="shared" si="0"/>
        <v>GBP6x9F_Quote</v>
      </c>
      <c r="E12" s="114" t="str">
        <f>_xll.qlSimpleQuote(D12,,RateTickValue,Permanent,Trigger,ObjectOverwrite)</f>
        <v>GBP6x9F_Quote#0000</v>
      </c>
      <c r="F12" s="113" t="str">
        <f>_xll.ohRangeRetrieveError(E12)</f>
        <v/>
      </c>
      <c r="G12" s="33"/>
      <c r="I12" s="118"/>
      <c r="J12" s="396">
        <v>6</v>
      </c>
      <c r="K12" s="385" t="s">
        <v>161</v>
      </c>
      <c r="L12" s="383" t="str">
        <f t="shared" si="1"/>
        <v>GBP6x9F</v>
      </c>
      <c r="M12" s="383" t="str">
        <v>GBP6X9F=ICAP</v>
      </c>
      <c r="N12" s="384">
        <v>0.51</v>
      </c>
      <c r="O12" s="384">
        <v>0.56000000000000005</v>
      </c>
      <c r="P12" s="383">
        <v>0</v>
      </c>
      <c r="Q12" s="383">
        <v>0</v>
      </c>
      <c r="R12" s="339">
        <f>_xll.qlMidSafe($N12,$O12)</f>
        <v>0.53500000000000003</v>
      </c>
      <c r="S12" s="337"/>
      <c r="T12" s="395">
        <v>0.5</v>
      </c>
      <c r="U12" s="337"/>
      <c r="V12" s="565">
        <v>0.5</v>
      </c>
      <c r="W12" s="342" t="e">
        <f>_xll.qlSimpleQuoteSetValue(E12,V12/100,Trigger)</f>
        <v>#N/A</v>
      </c>
      <c r="X12" s="213"/>
      <c r="Y12" s="64"/>
      <c r="Z12" s="372"/>
      <c r="AA12" s="64"/>
      <c r="AB12" s="64"/>
      <c r="AC12" s="64"/>
      <c r="AD12" s="371">
        <f t="shared" si="2"/>
        <v>5.0000000000000044E-4</v>
      </c>
    </row>
    <row r="13" spans="1:30" x14ac:dyDescent="0.2">
      <c r="A13" s="118"/>
      <c r="B13" s="122" t="s">
        <v>165</v>
      </c>
      <c r="C13" s="123" t="s">
        <v>153</v>
      </c>
      <c r="D13" s="122" t="str">
        <f t="shared" si="0"/>
        <v>GBPT6F1_Quote</v>
      </c>
      <c r="E13" s="121" t="str">
        <f>_xll.qlSimpleQuote(D13,,RateTickValue,Permanent,Trigger,ObjectOverwrite)</f>
        <v>GBPT6F1_Quote#0000</v>
      </c>
      <c r="F13" s="120" t="str">
        <f>_xll.ohRangeRetrieveError(E13)</f>
        <v/>
      </c>
      <c r="G13" s="33"/>
      <c r="I13" s="118"/>
      <c r="J13" s="393" t="s">
        <v>165</v>
      </c>
      <c r="K13" s="392" t="s">
        <v>153</v>
      </c>
      <c r="L13" s="390" t="str">
        <f t="shared" si="1"/>
        <v>GBPT6F1</v>
      </c>
      <c r="M13" s="390" t="str">
        <v>GBPT6F1=ICAP</v>
      </c>
      <c r="N13" s="391" t="s">
        <v>233</v>
      </c>
      <c r="O13" s="391" t="s">
        <v>233</v>
      </c>
      <c r="P13" s="390" t="s">
        <v>233</v>
      </c>
      <c r="Q13" s="390" t="s">
        <v>233</v>
      </c>
      <c r="R13" s="356" t="e">
        <f>_xll.qlMidSafe($N13,$O13)</f>
        <v>#NUM!</v>
      </c>
      <c r="S13" s="337"/>
      <c r="T13" s="398" t="e">
        <v>#NUM!</v>
      </c>
      <c r="U13" s="337"/>
      <c r="V13" s="564" t="e">
        <v>#NUM!</v>
      </c>
      <c r="W13" s="353" t="e">
        <f>_xll.qlSimpleQuoteSetValue(E13,V13/100,Trigger)</f>
        <v>#NUM!</v>
      </c>
      <c r="X13" s="213"/>
      <c r="Y13" s="64"/>
      <c r="Z13" s="372"/>
      <c r="AA13" s="64"/>
      <c r="AB13" s="64"/>
      <c r="AC13" s="64"/>
      <c r="AD13" s="371" t="e">
        <f t="shared" si="2"/>
        <v>#VALUE!</v>
      </c>
    </row>
    <row r="14" spans="1:30" x14ac:dyDescent="0.2">
      <c r="A14" s="118"/>
      <c r="B14" s="115" t="s">
        <v>164</v>
      </c>
      <c r="C14" s="119" t="s">
        <v>153</v>
      </c>
      <c r="D14" s="115" t="str">
        <f t="shared" si="0"/>
        <v>GBPTOM6F1_Quote</v>
      </c>
      <c r="E14" s="114" t="str">
        <f>_xll.qlSimpleQuote(D14,,RateTickValue,Permanent,Trigger,ObjectOverwrite)</f>
        <v>GBPTOM6F1_Quote#0000</v>
      </c>
      <c r="F14" s="113" t="str">
        <f>_xll.ohRangeRetrieveError(E14)</f>
        <v/>
      </c>
      <c r="G14" s="33"/>
      <c r="I14" s="118"/>
      <c r="J14" s="396" t="s">
        <v>164</v>
      </c>
      <c r="K14" s="385" t="s">
        <v>153</v>
      </c>
      <c r="L14" s="383" t="str">
        <f t="shared" si="1"/>
        <v>GBPTOM6F1</v>
      </c>
      <c r="M14" s="383" t="str">
        <v>GBPTOM6F1=ICAP</v>
      </c>
      <c r="N14" s="384" t="s">
        <v>233</v>
      </c>
      <c r="O14" s="384" t="s">
        <v>233</v>
      </c>
      <c r="P14" s="383" t="s">
        <v>233</v>
      </c>
      <c r="Q14" s="383" t="s">
        <v>233</v>
      </c>
      <c r="R14" s="339" t="e">
        <f>_xll.qlMidSafe($N14,$O14)</f>
        <v>#NUM!</v>
      </c>
      <c r="S14" s="337"/>
      <c r="T14" s="395" t="e">
        <v>#NUM!</v>
      </c>
      <c r="U14" s="337"/>
      <c r="V14" s="566" t="e">
        <v>#NUM!</v>
      </c>
      <c r="W14" s="335" t="e">
        <f>_xll.qlSimpleQuoteSetValue(E14,V14/100,Trigger)</f>
        <v>#NUM!</v>
      </c>
      <c r="X14" s="213"/>
      <c r="Y14" s="64"/>
      <c r="Z14" s="372"/>
      <c r="AA14" s="64"/>
      <c r="AB14" s="64"/>
      <c r="AC14" s="64"/>
      <c r="AD14" s="371" t="e">
        <f t="shared" si="2"/>
        <v>#VALUE!</v>
      </c>
    </row>
    <row r="15" spans="1:30" x14ac:dyDescent="0.2">
      <c r="A15" s="118"/>
      <c r="B15" s="122">
        <v>1</v>
      </c>
      <c r="C15" s="123" t="s">
        <v>163</v>
      </c>
      <c r="D15" s="122" t="str">
        <f t="shared" si="0"/>
        <v>GBP1x7F_Quote</v>
      </c>
      <c r="E15" s="121" t="str">
        <f>_xll.qlSimpleQuote(D15,,RateTickValue,Permanent,Trigger,ObjectOverwrite)</f>
        <v>GBP1x7F_Quote#0000</v>
      </c>
      <c r="F15" s="120" t="str">
        <f>_xll.ohRangeRetrieveError(E15)</f>
        <v/>
      </c>
      <c r="G15" s="33"/>
      <c r="I15" s="118"/>
      <c r="J15" s="393">
        <v>1</v>
      </c>
      <c r="K15" s="392" t="str">
        <f t="shared" ref="K15:K23" si="3">"x"&amp;J15+6&amp;"F"</f>
        <v>x7F</v>
      </c>
      <c r="L15" s="390" t="str">
        <f t="shared" si="1"/>
        <v>GBP1x7F</v>
      </c>
      <c r="M15" s="390" t="str">
        <v>GBP1X7F=ICAP</v>
      </c>
      <c r="N15" s="391">
        <v>0.62</v>
      </c>
      <c r="O15" s="391">
        <v>0.67</v>
      </c>
      <c r="P15" s="390">
        <v>0</v>
      </c>
      <c r="Q15" s="390">
        <v>0</v>
      </c>
      <c r="R15" s="356">
        <f>_xll.qlMidSafe($N15,$O15)</f>
        <v>0.64500000000000002</v>
      </c>
      <c r="S15" s="337"/>
      <c r="T15" s="382">
        <v>0.65</v>
      </c>
      <c r="U15" s="337"/>
      <c r="V15" s="565">
        <v>0.65</v>
      </c>
      <c r="W15" s="342" t="e">
        <f>_xll.qlSimpleQuoteSetValue(E15,V15/100,Trigger)</f>
        <v>#N/A</v>
      </c>
      <c r="X15" s="213"/>
      <c r="Y15" s="64"/>
      <c r="Z15" s="372"/>
      <c r="AA15" s="64"/>
      <c r="AB15" s="64"/>
      <c r="AC15" s="64"/>
      <c r="AD15" s="371">
        <f t="shared" si="2"/>
        <v>5.0000000000000044E-4</v>
      </c>
    </row>
    <row r="16" spans="1:30" x14ac:dyDescent="0.2">
      <c r="A16" s="118"/>
      <c r="B16" s="126">
        <v>2</v>
      </c>
      <c r="C16" s="127" t="s">
        <v>162</v>
      </c>
      <c r="D16" s="126" t="str">
        <f t="shared" si="0"/>
        <v>GBP2x8F_Quote</v>
      </c>
      <c r="E16" s="125" t="str">
        <f>_xll.qlSimpleQuote(D16,,RateTickValue,Permanent,Trigger,ObjectOverwrite)</f>
        <v>GBP2x8F_Quote#0000</v>
      </c>
      <c r="F16" s="124" t="str">
        <f>_xll.ohRangeRetrieveError(E16)</f>
        <v/>
      </c>
      <c r="G16" s="33"/>
      <c r="I16" s="118"/>
      <c r="J16" s="386">
        <v>2</v>
      </c>
      <c r="K16" s="389" t="str">
        <f t="shared" si="3"/>
        <v>x8F</v>
      </c>
      <c r="L16" s="387" t="str">
        <f t="shared" si="1"/>
        <v>GBP2x8F</v>
      </c>
      <c r="M16" s="387" t="str">
        <v>GBP2X8F=ICAP</v>
      </c>
      <c r="N16" s="388">
        <v>0.625</v>
      </c>
      <c r="O16" s="388">
        <v>0.67500000000000004</v>
      </c>
      <c r="P16" s="387">
        <v>0</v>
      </c>
      <c r="Q16" s="387">
        <v>0</v>
      </c>
      <c r="R16" s="345">
        <f>_xll.qlMidSafe($N16,$O16)</f>
        <v>0.65</v>
      </c>
      <c r="S16" s="337"/>
      <c r="T16" s="382">
        <v>0.64500000000000002</v>
      </c>
      <c r="U16" s="337"/>
      <c r="V16" s="565">
        <v>0.64500000000000002</v>
      </c>
      <c r="W16" s="342" t="e">
        <f>_xll.qlSimpleQuoteSetValue(E16,V16/100,Trigger)</f>
        <v>#N/A</v>
      </c>
      <c r="X16" s="213"/>
      <c r="Y16" s="64"/>
      <c r="Z16" s="372"/>
      <c r="AA16" s="64"/>
      <c r="AB16" s="64"/>
      <c r="AC16" s="64"/>
      <c r="AD16" s="371">
        <f t="shared" si="2"/>
        <v>5.0000000000000044E-4</v>
      </c>
    </row>
    <row r="17" spans="1:30" x14ac:dyDescent="0.2">
      <c r="A17" s="118"/>
      <c r="B17" s="126">
        <v>3</v>
      </c>
      <c r="C17" s="127" t="s">
        <v>161</v>
      </c>
      <c r="D17" s="126" t="str">
        <f t="shared" si="0"/>
        <v>GBP3x9F_Quote</v>
      </c>
      <c r="E17" s="125" t="str">
        <f>_xll.qlSimpleQuote(D17,,RateTickValue,Permanent,Trigger,ObjectOverwrite)</f>
        <v>GBP3x9F_Quote#0000</v>
      </c>
      <c r="F17" s="124" t="str">
        <f>_xll.ohRangeRetrieveError(E17)</f>
        <v/>
      </c>
      <c r="G17" s="33"/>
      <c r="I17" s="118"/>
      <c r="J17" s="386">
        <v>3</v>
      </c>
      <c r="K17" s="389" t="str">
        <f t="shared" si="3"/>
        <v>x9F</v>
      </c>
      <c r="L17" s="387" t="str">
        <f t="shared" si="1"/>
        <v>GBP3x9F</v>
      </c>
      <c r="M17" s="387" t="str">
        <v>GBP3X9F=ICAP</v>
      </c>
      <c r="N17" s="388">
        <v>0.63</v>
      </c>
      <c r="O17" s="388">
        <v>0.68</v>
      </c>
      <c r="P17" s="387">
        <v>0</v>
      </c>
      <c r="Q17" s="387">
        <v>0</v>
      </c>
      <c r="R17" s="345">
        <f>_xll.qlMidSafe($N17,$O17)</f>
        <v>0.65500000000000003</v>
      </c>
      <c r="S17" s="337"/>
      <c r="T17" s="382">
        <v>0.64</v>
      </c>
      <c r="U17" s="337"/>
      <c r="V17" s="565">
        <v>0.64</v>
      </c>
      <c r="W17" s="342" t="e">
        <f>_xll.qlSimpleQuoteSetValue(E17,V17/100,Trigger)</f>
        <v>#N/A</v>
      </c>
      <c r="X17" s="213"/>
      <c r="Y17" s="64"/>
      <c r="Z17" s="372"/>
      <c r="AA17" s="64"/>
      <c r="AB17" s="64"/>
      <c r="AC17" s="64"/>
      <c r="AD17" s="371">
        <f t="shared" si="2"/>
        <v>5.0000000000000044E-4</v>
      </c>
    </row>
    <row r="18" spans="1:30" x14ac:dyDescent="0.2">
      <c r="A18" s="118"/>
      <c r="B18" s="126">
        <v>4</v>
      </c>
      <c r="C18" s="127" t="s">
        <v>160</v>
      </c>
      <c r="D18" s="126" t="str">
        <f t="shared" si="0"/>
        <v>GBP4x10F_Quote</v>
      </c>
      <c r="E18" s="125" t="str">
        <f>_xll.qlSimpleQuote(D18,,RateTickValue,Permanent,Trigger,ObjectOverwrite)</f>
        <v>GBP4x10F_Quote#0000</v>
      </c>
      <c r="F18" s="124" t="str">
        <f>_xll.ohRangeRetrieveError(E18)</f>
        <v/>
      </c>
      <c r="G18" s="33"/>
      <c r="I18" s="118"/>
      <c r="J18" s="386">
        <v>4</v>
      </c>
      <c r="K18" s="389" t="str">
        <f t="shared" si="3"/>
        <v>x10F</v>
      </c>
      <c r="L18" s="387" t="str">
        <f t="shared" si="1"/>
        <v>GBP4x10F</v>
      </c>
      <c r="M18" s="387" t="str">
        <v>GBP4X10F=ICAP</v>
      </c>
      <c r="N18" s="388">
        <v>0.63500000000000001</v>
      </c>
      <c r="O18" s="388">
        <v>0.68500000000000005</v>
      </c>
      <c r="P18" s="387">
        <v>0</v>
      </c>
      <c r="Q18" s="387">
        <v>0</v>
      </c>
      <c r="R18" s="345">
        <f>_xll.qlMidSafe($N18,$O18)</f>
        <v>0.66</v>
      </c>
      <c r="S18" s="337"/>
      <c r="T18" s="382">
        <v>0.63500000000000001</v>
      </c>
      <c r="U18" s="337"/>
      <c r="V18" s="565">
        <v>0.63500000000000001</v>
      </c>
      <c r="W18" s="342" t="e">
        <f>_xll.qlSimpleQuoteSetValue(E18,V18/100,Trigger)</f>
        <v>#N/A</v>
      </c>
      <c r="X18" s="213"/>
      <c r="Y18" s="64"/>
      <c r="Z18" s="372"/>
      <c r="AA18" s="64"/>
      <c r="AB18" s="64"/>
      <c r="AC18" s="64"/>
      <c r="AD18" s="371">
        <f t="shared" si="2"/>
        <v>5.0000000000000044E-4</v>
      </c>
    </row>
    <row r="19" spans="1:30" x14ac:dyDescent="0.2">
      <c r="A19" s="118"/>
      <c r="B19" s="126">
        <v>5</v>
      </c>
      <c r="C19" s="127" t="s">
        <v>159</v>
      </c>
      <c r="D19" s="126" t="str">
        <f t="shared" si="0"/>
        <v>GBP5x11F_Quote</v>
      </c>
      <c r="E19" s="125" t="str">
        <f>_xll.qlSimpleQuote(D19,,RateTickValue,Permanent,Trigger,ObjectOverwrite)</f>
        <v>GBP5x11F_Quote#0000</v>
      </c>
      <c r="F19" s="124" t="str">
        <f>_xll.ohRangeRetrieveError(E19)</f>
        <v/>
      </c>
      <c r="G19" s="33"/>
      <c r="I19" s="118"/>
      <c r="J19" s="386">
        <v>5</v>
      </c>
      <c r="K19" s="389" t="str">
        <f t="shared" si="3"/>
        <v>x11F</v>
      </c>
      <c r="L19" s="387" t="str">
        <f t="shared" si="1"/>
        <v>GBP5x11F</v>
      </c>
      <c r="M19" s="387" t="str">
        <v>GBP5X11F=ICAP</v>
      </c>
      <c r="N19" s="388">
        <v>0.64</v>
      </c>
      <c r="O19" s="388">
        <v>0.69</v>
      </c>
      <c r="P19" s="387">
        <v>0</v>
      </c>
      <c r="Q19" s="387">
        <v>0</v>
      </c>
      <c r="R19" s="345">
        <f>_xll.qlMidSafe($N19,$O19)</f>
        <v>0.66500000000000004</v>
      </c>
      <c r="S19" s="337"/>
      <c r="T19" s="382">
        <v>0.63500000000000001</v>
      </c>
      <c r="U19" s="337"/>
      <c r="V19" s="565">
        <v>0.63500000000000001</v>
      </c>
      <c r="W19" s="342" t="e">
        <f>_xll.qlSimpleQuoteSetValue(E19,V19/100,Trigger)</f>
        <v>#N/A</v>
      </c>
      <c r="X19" s="213"/>
      <c r="Y19" s="64"/>
      <c r="Z19" s="372"/>
      <c r="AA19" s="64"/>
      <c r="AB19" s="64"/>
      <c r="AC19" s="64"/>
      <c r="AD19" s="371">
        <f t="shared" si="2"/>
        <v>4.9999999999999828E-4</v>
      </c>
    </row>
    <row r="20" spans="1:30" x14ac:dyDescent="0.2">
      <c r="A20" s="118"/>
      <c r="B20" s="126">
        <v>6</v>
      </c>
      <c r="C20" s="127" t="s">
        <v>158</v>
      </c>
      <c r="D20" s="126" t="str">
        <f t="shared" si="0"/>
        <v>GBP6x12F_Quote</v>
      </c>
      <c r="E20" s="125" t="str">
        <f>_xll.qlSimpleQuote(D20,,RateTickValue,Permanent,Trigger,ObjectOverwrite)</f>
        <v>GBP6x12F_Quote#0000</v>
      </c>
      <c r="F20" s="124" t="str">
        <f>_xll.ohRangeRetrieveError(E20)</f>
        <v/>
      </c>
      <c r="G20" s="33"/>
      <c r="I20" s="118"/>
      <c r="J20" s="386">
        <v>6</v>
      </c>
      <c r="K20" s="389" t="str">
        <f t="shared" si="3"/>
        <v>x12F</v>
      </c>
      <c r="L20" s="387" t="str">
        <f t="shared" si="1"/>
        <v>GBP6x12F</v>
      </c>
      <c r="M20" s="387" t="str">
        <v>GBP6X12F=ICAP</v>
      </c>
      <c r="N20" s="388">
        <v>0.64</v>
      </c>
      <c r="O20" s="388">
        <v>0.69</v>
      </c>
      <c r="P20" s="387">
        <v>0</v>
      </c>
      <c r="Q20" s="387">
        <v>0</v>
      </c>
      <c r="R20" s="345">
        <f>_xll.qlMidSafe($N20,$O20)</f>
        <v>0.66500000000000004</v>
      </c>
      <c r="S20" s="337"/>
      <c r="T20" s="382">
        <v>0.63500000000000001</v>
      </c>
      <c r="U20" s="337"/>
      <c r="V20" s="565">
        <v>0.63500000000000001</v>
      </c>
      <c r="W20" s="342" t="e">
        <f>_xll.qlSimpleQuoteSetValue(E20,V20/100,Trigger)</f>
        <v>#N/A</v>
      </c>
      <c r="X20" s="213"/>
      <c r="Y20" s="64"/>
      <c r="Z20" s="372"/>
      <c r="AA20" s="64"/>
      <c r="AB20" s="64"/>
      <c r="AC20" s="64"/>
      <c r="AD20" s="371"/>
    </row>
    <row r="21" spans="1:30" x14ac:dyDescent="0.2">
      <c r="A21" s="118"/>
      <c r="B21" s="126">
        <v>9</v>
      </c>
      <c r="C21" s="127" t="s">
        <v>157</v>
      </c>
      <c r="D21" s="126" t="str">
        <f t="shared" si="0"/>
        <v>GBP9x15F_Quote</v>
      </c>
      <c r="E21" s="125" t="str">
        <f>_xll.qlSimpleQuote(D21,,RateTickValue,Permanent,Trigger,ObjectOverwrite)</f>
        <v>GBP9x15F_Quote#0000</v>
      </c>
      <c r="F21" s="124" t="str">
        <f>_xll.ohRangeRetrieveError(E21)</f>
        <v/>
      </c>
      <c r="G21" s="33"/>
      <c r="I21" s="118"/>
      <c r="J21" s="386">
        <v>9</v>
      </c>
      <c r="K21" s="389" t="str">
        <f t="shared" si="3"/>
        <v>x15F</v>
      </c>
      <c r="L21" s="387" t="str">
        <f t="shared" si="1"/>
        <v>GBP9x15F</v>
      </c>
      <c r="M21" s="387" t="str">
        <v>GBP9X15F=ICAP</v>
      </c>
      <c r="N21" s="388">
        <v>0.66</v>
      </c>
      <c r="O21" s="388">
        <v>0.71</v>
      </c>
      <c r="P21" s="387">
        <v>0</v>
      </c>
      <c r="Q21" s="387">
        <v>0</v>
      </c>
      <c r="R21" s="345">
        <f>_xll.qlMidSafe($N21,$O21)</f>
        <v>0.68500000000000005</v>
      </c>
      <c r="S21" s="337"/>
      <c r="T21" s="382">
        <v>0.64</v>
      </c>
      <c r="U21" s="337"/>
      <c r="V21" s="565">
        <v>0.64</v>
      </c>
      <c r="W21" s="342" t="e">
        <f>_xll.qlSimpleQuoteSetValue(E21,V21/100,Trigger)</f>
        <v>#N/A</v>
      </c>
      <c r="X21" s="213"/>
      <c r="Y21" s="64"/>
      <c r="Z21" s="372"/>
      <c r="AA21" s="64"/>
      <c r="AB21" s="64"/>
      <c r="AC21" s="64"/>
      <c r="AD21" s="371"/>
    </row>
    <row r="22" spans="1:30" x14ac:dyDescent="0.2">
      <c r="A22" s="118"/>
      <c r="B22" s="126">
        <v>12</v>
      </c>
      <c r="C22" s="127" t="s">
        <v>156</v>
      </c>
      <c r="D22" s="126" t="str">
        <f t="shared" si="0"/>
        <v>GBP12x18F_Quote</v>
      </c>
      <c r="E22" s="125" t="str">
        <f>_xll.qlSimpleQuote(D22,,RateTickValue,Permanent,Trigger,ObjectOverwrite)</f>
        <v>GBP12x18F_Quote#0000</v>
      </c>
      <c r="F22" s="124" t="str">
        <f>_xll.ohRangeRetrieveError(E22)</f>
        <v/>
      </c>
      <c r="G22" s="33"/>
      <c r="I22" s="118"/>
      <c r="J22" s="386">
        <v>12</v>
      </c>
      <c r="K22" s="389" t="str">
        <f t="shared" si="3"/>
        <v>x18F</v>
      </c>
      <c r="L22" s="387" t="str">
        <f t="shared" si="1"/>
        <v>GBP12x18F</v>
      </c>
      <c r="M22" s="387" t="str">
        <v>GBP12X18F=ICAP</v>
      </c>
      <c r="N22" s="388">
        <v>0.69499999999999995</v>
      </c>
      <c r="O22" s="388">
        <v>0.745</v>
      </c>
      <c r="P22" s="387">
        <v>0</v>
      </c>
      <c r="Q22" s="387">
        <v>0</v>
      </c>
      <c r="R22" s="345">
        <f>_xll.qlMidSafe($N22,$O22)</f>
        <v>0.72</v>
      </c>
      <c r="S22" s="337"/>
      <c r="T22" s="382">
        <v>0.65500000000000003</v>
      </c>
      <c r="U22" s="337"/>
      <c r="V22" s="565">
        <v>0.65500000000000003</v>
      </c>
      <c r="W22" s="342" t="e">
        <f>_xll.qlSimpleQuoteSetValue(E22,V22/100,Trigger)</f>
        <v>#N/A</v>
      </c>
      <c r="X22" s="213"/>
      <c r="Y22" s="64"/>
      <c r="Z22" s="372"/>
      <c r="AA22" s="64"/>
      <c r="AB22" s="64"/>
      <c r="AC22" s="64"/>
      <c r="AD22" s="371">
        <f>(O22-R22)/50</f>
        <v>5.0000000000000044E-4</v>
      </c>
    </row>
    <row r="23" spans="1:30" x14ac:dyDescent="0.2">
      <c r="A23" s="118"/>
      <c r="B23" s="115">
        <v>18</v>
      </c>
      <c r="C23" s="119" t="s">
        <v>152</v>
      </c>
      <c r="D23" s="115" t="str">
        <f t="shared" si="0"/>
        <v>GBP18x24F_Quote</v>
      </c>
      <c r="E23" s="114" t="str">
        <f>_xll.qlSimpleQuote(D23,,RateTickValue,Permanent,Trigger,ObjectOverwrite)</f>
        <v>GBP18x24F_Quote#0000</v>
      </c>
      <c r="F23" s="113" t="str">
        <f>_xll.ohRangeRetrieveError(E23)</f>
        <v/>
      </c>
      <c r="G23" s="33"/>
      <c r="I23" s="118"/>
      <c r="J23" s="386">
        <v>18</v>
      </c>
      <c r="K23" s="385" t="str">
        <f t="shared" si="3"/>
        <v>x24F</v>
      </c>
      <c r="L23" s="383" t="str">
        <f t="shared" si="1"/>
        <v>GBP18x24F</v>
      </c>
      <c r="M23" s="383" t="str">
        <v>GBP18X24F=ICAP</v>
      </c>
      <c r="N23" s="384" t="s">
        <v>233</v>
      </c>
      <c r="O23" s="384" t="s">
        <v>233</v>
      </c>
      <c r="P23" s="383" t="s">
        <v>233</v>
      </c>
      <c r="Q23" s="383" t="s">
        <v>233</v>
      </c>
      <c r="R23" s="339" t="e">
        <f>_xll.qlMidSafe($N23,$O23)</f>
        <v>#NUM!</v>
      </c>
      <c r="S23" s="337"/>
      <c r="T23" s="382" t="e">
        <v>#NUM!</v>
      </c>
      <c r="U23" s="337"/>
      <c r="V23" s="565" t="e">
        <v>#NUM!</v>
      </c>
      <c r="W23" s="342" t="e">
        <f>_xll.qlSimpleQuoteSetValue(E23,V23/100,Trigger)</f>
        <v>#NUM!</v>
      </c>
      <c r="X23" s="213"/>
      <c r="Y23" s="64"/>
      <c r="Z23" s="372"/>
      <c r="AA23" s="64"/>
      <c r="AB23" s="64"/>
      <c r="AC23" s="64"/>
      <c r="AD23" s="371" t="e">
        <f>(O23-R23)/50</f>
        <v>#VALUE!</v>
      </c>
    </row>
    <row r="24" spans="1:30" x14ac:dyDescent="0.2">
      <c r="A24" s="118"/>
      <c r="B24" s="122" t="s">
        <v>155</v>
      </c>
      <c r="C24" s="123" t="s">
        <v>153</v>
      </c>
      <c r="D24" s="122" t="str">
        <f t="shared" si="0"/>
        <v>GBPT12F1_Quote</v>
      </c>
      <c r="E24" s="121" t="str">
        <f>_xll.qlSimpleQuote(D24,,RateTickValue,Permanent,Trigger,ObjectOverwrite)</f>
        <v>GBPT12F1_Quote#0000</v>
      </c>
      <c r="F24" s="120" t="str">
        <f>_xll.ohRangeRetrieveError(E24)</f>
        <v/>
      </c>
      <c r="G24" s="33"/>
      <c r="I24" s="118"/>
      <c r="J24" s="380">
        <v>12</v>
      </c>
      <c r="K24" s="379" t="s">
        <v>152</v>
      </c>
      <c r="L24" s="377" t="str">
        <f t="shared" si="1"/>
        <v>GBP12x24F</v>
      </c>
      <c r="M24" s="377" t="str">
        <v>GBP12X24F=ICAP</v>
      </c>
      <c r="N24" s="378">
        <v>0.98499999999999999</v>
      </c>
      <c r="O24" s="378">
        <v>1.085</v>
      </c>
      <c r="P24" s="377">
        <v>0</v>
      </c>
      <c r="Q24" s="377">
        <v>0</v>
      </c>
      <c r="R24" s="376">
        <f>_xll.qlMidSafe($N24,$O24)</f>
        <v>1.0349999999999999</v>
      </c>
      <c r="S24" s="337"/>
      <c r="T24" s="375">
        <v>1</v>
      </c>
      <c r="U24" s="337"/>
      <c r="V24" s="657">
        <v>1</v>
      </c>
      <c r="W24" s="374" t="e">
        <f>_xll.qlSimpleQuoteSetValue(E24,V24/100,Trigger)</f>
        <v>#N/A</v>
      </c>
      <c r="X24" s="213"/>
      <c r="Y24" s="64"/>
      <c r="Z24" s="372"/>
      <c r="AA24" s="64"/>
      <c r="AB24" s="64"/>
      <c r="AC24" s="64"/>
      <c r="AD24" s="371">
        <f>(O24-R24)/50</f>
        <v>1.0000000000000009E-3</v>
      </c>
    </row>
    <row r="25" spans="1:30" ht="13.5" thickBot="1" x14ac:dyDescent="0.25">
      <c r="A25" s="118"/>
      <c r="B25" s="115" t="s">
        <v>154</v>
      </c>
      <c r="C25" s="119" t="s">
        <v>153</v>
      </c>
      <c r="D25" s="115" t="str">
        <f t="shared" si="0"/>
        <v>GBPTOM12F1_Quote</v>
      </c>
      <c r="E25" s="114" t="str">
        <f>_xll.qlSimpleQuote(D25,,RateTickValue,Permanent,Trigger,ObjectOverwrite)</f>
        <v>GBPTOM12F1_Quote#0000</v>
      </c>
      <c r="F25" s="113" t="str">
        <f>_xll.ohRangeRetrieveError(E25)</f>
        <v/>
      </c>
      <c r="G25" s="33"/>
      <c r="I25" s="32"/>
      <c r="J25" s="31"/>
      <c r="K25" s="31"/>
      <c r="L25" s="31"/>
      <c r="M25" s="31"/>
      <c r="N25" s="31"/>
      <c r="O25" s="31"/>
      <c r="P25" s="31"/>
      <c r="Q25" s="31"/>
      <c r="R25" s="31"/>
      <c r="S25" s="31"/>
      <c r="T25" s="31"/>
      <c r="U25" s="31"/>
      <c r="V25" s="31"/>
      <c r="W25" s="31"/>
      <c r="X25" s="373"/>
      <c r="Y25" s="64"/>
      <c r="Z25" s="372"/>
      <c r="AA25" s="64"/>
      <c r="AB25" s="64"/>
      <c r="AC25" s="64"/>
      <c r="AD25" s="371"/>
    </row>
    <row r="26" spans="1:30" x14ac:dyDescent="0.2">
      <c r="A26" s="118"/>
      <c r="B26" s="117">
        <v>12</v>
      </c>
      <c r="C26" s="116" t="s">
        <v>152</v>
      </c>
      <c r="D26" s="115" t="str">
        <f t="shared" si="0"/>
        <v>GBP12x24F_Quote</v>
      </c>
      <c r="E26" s="114" t="str">
        <f>_xll.qlSimpleQuote(D26,,RateTickValue,Permanent,Trigger,ObjectOverwrite)</f>
        <v>GBP12x24F_Quote#0000</v>
      </c>
      <c r="F26" s="113" t="str">
        <f>_xll.ohRangeRetrieveError(E26)</f>
        <v/>
      </c>
      <c r="G26" s="33"/>
    </row>
    <row r="27" spans="1:30" ht="13.5" thickBot="1" x14ac:dyDescent="0.25">
      <c r="A27" s="32"/>
      <c r="B27" s="31"/>
      <c r="C27" s="31"/>
      <c r="D27" s="31"/>
      <c r="E27" s="112"/>
      <c r="F27" s="112"/>
      <c r="G27" s="30"/>
    </row>
  </sheetData>
  <conditionalFormatting sqref="W5:W24">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O127"/>
  <sheetViews>
    <sheetView topLeftCell="F1" workbookViewId="0">
      <selection activeCell="Y7" sqref="Y7:Y18"/>
    </sheetView>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11.2851562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16384" width="9.140625" style="65"/>
  </cols>
  <sheetData>
    <row r="1" spans="1:41" ht="12" thickBot="1" x14ac:dyDescent="0.25">
      <c r="AH1" s="65" t="s">
        <v>348</v>
      </c>
    </row>
    <row r="2" spans="1:41" x14ac:dyDescent="0.2">
      <c r="J2" s="154" t="s">
        <v>351</v>
      </c>
      <c r="K2" s="224"/>
      <c r="L2" s="224"/>
      <c r="M2" s="224"/>
      <c r="N2" s="224"/>
      <c r="O2" s="224"/>
      <c r="P2" s="224"/>
      <c r="Q2" s="224"/>
      <c r="R2" s="224"/>
      <c r="S2" s="224"/>
      <c r="T2" s="224"/>
      <c r="U2" s="224"/>
      <c r="V2" s="225"/>
      <c r="W2" s="225"/>
      <c r="X2" s="224"/>
      <c r="Y2" s="224"/>
      <c r="Z2" s="224"/>
      <c r="AA2" s="150"/>
      <c r="AL2" s="249" t="s">
        <v>227</v>
      </c>
      <c r="AM2" s="248" t="str">
        <f>PROPER(Currency)&amp;"HW_Volatility_Quote"</f>
        <v>GbpHW_Volatility_Quote</v>
      </c>
    </row>
    <row r="3" spans="1:41" x14ac:dyDescent="0.2">
      <c r="J3" s="149"/>
      <c r="K3" s="233"/>
      <c r="L3" s="443"/>
      <c r="M3" s="443"/>
      <c r="N3" s="233"/>
      <c r="O3" s="233"/>
      <c r="P3" s="233"/>
      <c r="Q3" s="233"/>
      <c r="R3" s="233"/>
      <c r="S3" s="233"/>
      <c r="T3" s="233"/>
      <c r="U3" s="233"/>
      <c r="V3" s="406"/>
      <c r="W3" s="406"/>
      <c r="X3" s="233"/>
      <c r="Y3" s="406"/>
      <c r="Z3" s="233"/>
      <c r="AA3" s="441"/>
      <c r="AL3" s="249" t="s">
        <v>226</v>
      </c>
      <c r="AM3" s="248" t="str">
        <f>PROPER(Currency)&amp;"HW_MeanReversion_Quote"</f>
        <v>GbpHW_MeanReversion_Quote</v>
      </c>
    </row>
    <row r="4" spans="1:41" ht="12" thickBot="1" x14ac:dyDescent="0.25">
      <c r="J4" s="149"/>
      <c r="K4" s="233"/>
      <c r="L4" s="233"/>
      <c r="M4" s="233"/>
      <c r="N4" s="233"/>
      <c r="O4" s="233"/>
      <c r="P4" s="233"/>
      <c r="Q4" s="233"/>
      <c r="R4" s="233"/>
      <c r="S4" s="233"/>
      <c r="T4" s="233"/>
      <c r="U4" s="233"/>
      <c r="V4" s="406"/>
      <c r="W4" s="406"/>
      <c r="X4" s="233"/>
      <c r="Y4" s="233"/>
      <c r="Z4" s="233"/>
      <c r="AA4" s="441"/>
      <c r="AL4" s="249" t="s">
        <v>225</v>
      </c>
      <c r="AM4" s="248" t="str">
        <f>PROPER(Currency)&amp;FamilyName&amp;$AN$4</f>
        <v>GbpLibor1M</v>
      </c>
      <c r="AN4" s="247" t="s">
        <v>15</v>
      </c>
    </row>
    <row r="5" spans="1:41" x14ac:dyDescent="0.2">
      <c r="A5" s="109" t="s">
        <v>344</v>
      </c>
      <c r="B5" s="153"/>
      <c r="C5" s="153"/>
      <c r="D5" s="152" t="s">
        <v>176</v>
      </c>
      <c r="E5" s="152" t="s">
        <v>15</v>
      </c>
      <c r="F5" s="151"/>
      <c r="G5" s="151"/>
      <c r="H5" s="150"/>
      <c r="J5" s="149"/>
      <c r="K5" s="233"/>
      <c r="L5" s="233"/>
      <c r="M5" s="233"/>
      <c r="N5" s="233"/>
      <c r="O5" s="233"/>
      <c r="P5" s="233"/>
      <c r="Q5" s="233"/>
      <c r="R5" s="233"/>
      <c r="S5" s="233"/>
      <c r="T5" s="233"/>
      <c r="U5" s="233"/>
      <c r="V5" s="406"/>
      <c r="W5" s="406"/>
      <c r="X5" s="233"/>
      <c r="Y5" s="233"/>
      <c r="Z5" s="442">
        <f>_xll.ohTrigger(Z7:Z18)</f>
        <v>1</v>
      </c>
      <c r="AA5" s="441"/>
      <c r="AC5" s="434" t="s">
        <v>294</v>
      </c>
      <c r="AD5" s="433" t="s">
        <v>293</v>
      </c>
      <c r="AF5" s="399" t="s">
        <v>288</v>
      </c>
    </row>
    <row r="6" spans="1:41" ht="22.5" x14ac:dyDescent="0.2">
      <c r="A6" s="149"/>
      <c r="B6" s="90" t="s">
        <v>175</v>
      </c>
      <c r="C6" s="91" t="s">
        <v>174</v>
      </c>
      <c r="D6" s="91" t="s">
        <v>173</v>
      </c>
      <c r="E6" s="89" t="str">
        <f>Currency&amp;"_010_"&amp;$D$5&amp;$E$5&amp;".xml"</f>
        <v>GBP_010_FUT1M.xml</v>
      </c>
      <c r="F6" s="88">
        <f ca="1">IF(Serialize,_xll.ohObjectSave(F7:F126,SerializationPath&amp;E6,FileOverwrite,Serialize),"---")</f>
        <v>120</v>
      </c>
      <c r="G6" s="104" t="str">
        <f ca="1">_xll.ohRangeRetrieveError(F6)</f>
        <v/>
      </c>
      <c r="H6" s="137"/>
      <c r="J6" s="149"/>
      <c r="K6" s="440" t="s">
        <v>175</v>
      </c>
      <c r="L6" s="436" t="s">
        <v>174</v>
      </c>
      <c r="M6" s="436" t="s">
        <v>173</v>
      </c>
      <c r="N6" s="436" t="s">
        <v>296</v>
      </c>
      <c r="O6" s="439" t="e">
        <f ca="1">_xll.RData(O7:O18,P6:T6,"RTFEED:IDN",ReutersRtMode,,P7)</f>
        <v>#NAME?</v>
      </c>
      <c r="P6" s="436" t="s">
        <v>295</v>
      </c>
      <c r="Q6" s="436" t="s">
        <v>291</v>
      </c>
      <c r="R6" s="436" t="s">
        <v>264</v>
      </c>
      <c r="S6" s="436" t="s">
        <v>244</v>
      </c>
      <c r="T6" s="436" t="s">
        <v>290</v>
      </c>
      <c r="U6" s="438" t="s">
        <v>289</v>
      </c>
      <c r="V6" s="406"/>
      <c r="W6" s="437" t="s">
        <v>286</v>
      </c>
      <c r="X6" s="406"/>
      <c r="Y6" s="440" t="s">
        <v>285</v>
      </c>
      <c r="Z6" s="435" t="s">
        <v>284</v>
      </c>
      <c r="AA6" s="137"/>
      <c r="AC6" s="423" t="s">
        <v>121</v>
      </c>
      <c r="AD6" s="422"/>
      <c r="AF6" s="402" t="e">
        <f t="shared" ref="AF6:AF17" si="0">(R7-U7)/50</f>
        <v>#VALUE!</v>
      </c>
      <c r="AH6" s="149"/>
      <c r="AI6" s="90" t="s">
        <v>175</v>
      </c>
      <c r="AJ6" s="192" t="s">
        <v>174</v>
      </c>
      <c r="AK6" s="192" t="s">
        <v>173</v>
      </c>
      <c r="AL6" s="192" t="s">
        <v>224</v>
      </c>
      <c r="AM6" s="89" t="str">
        <f>Currency&amp;"_020_Futures"&amp;AN4&amp;"ConvAdj.xml"</f>
        <v>GBP_020_Futures1MConvAdj.xml</v>
      </c>
      <c r="AN6" s="105" t="e">
        <f ca="1">IF(Serialize,_xll.ohObjectSave(AN7:AN126,SerializationPath&amp;AM6,FileOverwrite,Serialize),"---")</f>
        <v>#NUM!</v>
      </c>
      <c r="AO6" s="72" t="str">
        <f ca="1">_xll.ohRangeRetrieveError(AN6)</f>
        <v>ohObjectSave - operToVectorImpl: error converting parameter 'ObjectList' to type 'class std::basic_string&lt;char,struct std::char_traits&lt;char&gt;,class std::allocator&lt;char&gt; &gt;' : Unable to convert type 'struct ObjectHandler::empty_property_tag' to type 'class s</v>
      </c>
    </row>
    <row r="7" spans="1:41" x14ac:dyDescent="0.2">
      <c r="A7" s="143"/>
      <c r="B7" s="148">
        <v>1</v>
      </c>
      <c r="C7" s="147" t="b">
        <v>0</v>
      </c>
      <c r="D7" s="146" t="str">
        <f t="array" ref="D7:D126">_xll.qlIMMNextCodes(_xll.qlSettingsEvaluationDate(Trigger)-1,$C7:$C126)</f>
        <v>G4</v>
      </c>
      <c r="E7" s="139" t="str">
        <f t="shared" ref="E7:E38" si="1">Currency&amp;$D$5&amp;$E$5&amp;$D7&amp;QuoteSuffix</f>
        <v>GBPFUT1MG4_Quote</v>
      </c>
      <c r="F7" s="145" t="str">
        <f>_xll.qlSimpleQuote(E7,,PriceTickValue,Permanent,Trigger,ObjectOverwrite)</f>
        <v>GBPFUT1MG4_Quote#0000</v>
      </c>
      <c r="G7" s="144" t="str">
        <f>_xll.ohRangeRetrieveError(F7)</f>
        <v/>
      </c>
      <c r="H7" s="137"/>
      <c r="J7" s="143"/>
      <c r="K7" s="432">
        <v>1</v>
      </c>
      <c r="L7" s="431" t="b">
        <v>0</v>
      </c>
      <c r="M7" s="426" t="str">
        <f t="array" ref="M7:M18">_xll.qlIMMcode(FuturesDates)</f>
        <v>G4</v>
      </c>
      <c r="N7" s="430">
        <f t="array" ref="N7:N18">_xll.qlIMMNextDates(_xll.qlSettingsEvaluationDate(Trigger)-1,$L7:$L18)</f>
        <v>41689</v>
      </c>
      <c r="O7" s="426" t="str">
        <f t="array" ref="O7:O18">VLOOKUP(Currency,LiffeCodes,2)&amp;FuturesCodes</f>
        <v>G4</v>
      </c>
      <c r="P7" s="429" t="s">
        <v>233</v>
      </c>
      <c r="Q7" s="426" t="s">
        <v>233</v>
      </c>
      <c r="R7" s="426" t="s">
        <v>233</v>
      </c>
      <c r="S7" s="426" t="s">
        <v>233</v>
      </c>
      <c r="T7" s="426" t="s">
        <v>233</v>
      </c>
      <c r="U7" s="425" t="e">
        <f>_xll.qlMidSafe($Q7,$R7)</f>
        <v>#NUM!</v>
      </c>
      <c r="V7" s="406"/>
      <c r="W7" s="428">
        <v>0</v>
      </c>
      <c r="X7" s="406"/>
      <c r="Y7" s="427">
        <f t="array" ref="Y7:Y18">QuoteStatic</f>
        <v>0</v>
      </c>
      <c r="Z7" s="425" t="e">
        <f>_xll.qlSimpleQuoteSetValue(F7,Y7,Trigger)</f>
        <v>#N/A</v>
      </c>
      <c r="AA7" s="137"/>
      <c r="AC7" s="423" t="s">
        <v>120</v>
      </c>
      <c r="AD7" s="422"/>
      <c r="AF7" s="402" t="e">
        <f t="shared" si="0"/>
        <v>#VALUE!</v>
      </c>
      <c r="AH7" s="143"/>
      <c r="AI7" s="148">
        <v>1</v>
      </c>
      <c r="AJ7" s="146" t="b">
        <v>0</v>
      </c>
      <c r="AK7" s="146" t="str">
        <f t="array" ref="AK7:AK126">_xll.qlIMMNextCodes(_xll.qlSettingsEvaluationDate(Trigger)-1,$AJ7:$AJ126)</f>
        <v>G4</v>
      </c>
      <c r="AL7" s="245" t="str">
        <f t="shared" ref="AL7:AL38" si="2">Currency&amp;"FUT"&amp;$AN$4&amp;$AK7&amp;QuoteSuffix</f>
        <v>GBPFUT1MG4_Quote</v>
      </c>
      <c r="AM7" s="246" t="str">
        <f t="shared" ref="AM7:AM38" si="3">Currency&amp;"FUT"&amp;$AN$4&amp;$AK7&amp;"ConvAdj"&amp;QuoteSuffix</f>
        <v>GBPFUT1MG4ConvAdj_Quote</v>
      </c>
      <c r="AN7" s="245" t="e">
        <f>_xll.qlFuturesConvAdjustmentQuote($AM7,IborIndex,$AK7,$AL7,Volatility,MeanReversion,Permanent,Trigger,ObjectOverwrite)</f>
        <v>#NUM!</v>
      </c>
      <c r="AO7" s="72" t="str">
        <f ca="1">_xll.ohRangeRetrieveError(AN7)</f>
        <v>qlFuturesConvAdjustmentQuote - ObjectHandler error: attempt to retrieve object with unknown ID 'GbpLibor1M'</v>
      </c>
    </row>
    <row r="8" spans="1:41" x14ac:dyDescent="0.2">
      <c r="A8" s="143"/>
      <c r="B8" s="142">
        <v>2</v>
      </c>
      <c r="C8" s="141" t="b">
        <v>0</v>
      </c>
      <c r="D8" s="140" t="str">
        <v>H4</v>
      </c>
      <c r="E8" s="139" t="str">
        <f t="shared" si="1"/>
        <v>GBPFUT1MH4_Quote</v>
      </c>
      <c r="F8" s="138" t="str">
        <f>_xll.qlSimpleQuote(E8,,PriceTickValue,Permanent,Trigger,ObjectOverwrite)</f>
        <v>GBPFUT1MH4_Quote#0000</v>
      </c>
      <c r="G8" s="101" t="str">
        <f>_xll.ohRangeRetrieveError(F8)</f>
        <v/>
      </c>
      <c r="H8" s="137"/>
      <c r="J8" s="143"/>
      <c r="K8" s="419">
        <v>2</v>
      </c>
      <c r="L8" s="418" t="b">
        <v>0</v>
      </c>
      <c r="M8" s="413" t="str">
        <v>H4</v>
      </c>
      <c r="N8" s="417">
        <v>41717</v>
      </c>
      <c r="O8" s="413" t="str">
        <v>H4</v>
      </c>
      <c r="P8" s="416" t="s">
        <v>233</v>
      </c>
      <c r="Q8" s="413" t="s">
        <v>233</v>
      </c>
      <c r="R8" s="413" t="s">
        <v>233</v>
      </c>
      <c r="S8" s="413" t="s">
        <v>233</v>
      </c>
      <c r="T8" s="413" t="s">
        <v>233</v>
      </c>
      <c r="U8" s="412" t="e">
        <f>_xll.qlMidSafe($Q8,$R8)</f>
        <v>#NUM!</v>
      </c>
      <c r="V8" s="406"/>
      <c r="W8" s="424">
        <v>0</v>
      </c>
      <c r="X8" s="406"/>
      <c r="Y8" s="414">
        <v>0</v>
      </c>
      <c r="Z8" s="412" t="e">
        <f>_xll.qlSimpleQuoteSetValue(F8,Y8,Trigger)</f>
        <v>#N/A</v>
      </c>
      <c r="AA8" s="137"/>
      <c r="AC8" s="423" t="s">
        <v>96</v>
      </c>
      <c r="AD8" s="422"/>
      <c r="AF8" s="402" t="e">
        <f t="shared" si="0"/>
        <v>#VALUE!</v>
      </c>
      <c r="AH8" s="143"/>
      <c r="AI8" s="142">
        <v>2</v>
      </c>
      <c r="AJ8" s="140" t="b">
        <v>0</v>
      </c>
      <c r="AK8" s="140" t="str">
        <v>H4</v>
      </c>
      <c r="AL8" s="245" t="str">
        <f t="shared" si="2"/>
        <v>GBPFUT1MH4_Quote</v>
      </c>
      <c r="AM8" s="246" t="str">
        <f t="shared" si="3"/>
        <v>GBPFUT1MH4ConvAdj_Quote</v>
      </c>
      <c r="AN8" s="245" t="e">
        <f>_xll.qlFuturesConvAdjustmentQuote($AM8,IborIndex,$AK8,$AL8,Volatility,MeanReversion,Permanent,Trigger,ObjectOverwrite)</f>
        <v>#NUM!</v>
      </c>
      <c r="AO8" s="72" t="str">
        <f ca="1">_xll.ohRangeRetrieveError(AN8)</f>
        <v>qlFuturesConvAdjustmentQuote - ObjectHandler error: attempt to retrieve object with unknown ID 'GbpLibor1M'</v>
      </c>
    </row>
    <row r="9" spans="1:41" x14ac:dyDescent="0.2">
      <c r="A9" s="143"/>
      <c r="B9" s="142">
        <v>3</v>
      </c>
      <c r="C9" s="141" t="b">
        <v>0</v>
      </c>
      <c r="D9" s="140" t="str">
        <v>J4</v>
      </c>
      <c r="E9" s="139" t="str">
        <f t="shared" si="1"/>
        <v>GBPFUT1MJ4_Quote</v>
      </c>
      <c r="F9" s="138" t="str">
        <f>_xll.qlSimpleQuote(E9,,PriceTickValue,Permanent,Trigger,ObjectOverwrite)</f>
        <v>GBPFUT1MJ4_Quote#0000</v>
      </c>
      <c r="G9" s="101" t="str">
        <f>_xll.ohRangeRetrieveError(F9)</f>
        <v/>
      </c>
      <c r="H9" s="137"/>
      <c r="J9" s="143"/>
      <c r="K9" s="419">
        <v>3</v>
      </c>
      <c r="L9" s="418" t="b">
        <v>0</v>
      </c>
      <c r="M9" s="413" t="str">
        <v>J4</v>
      </c>
      <c r="N9" s="417">
        <v>41745</v>
      </c>
      <c r="O9" s="413" t="str">
        <v>J4</v>
      </c>
      <c r="P9" s="416" t="s">
        <v>233</v>
      </c>
      <c r="Q9" s="413" t="s">
        <v>233</v>
      </c>
      <c r="R9" s="413" t="s">
        <v>233</v>
      </c>
      <c r="S9" s="413" t="s">
        <v>233</v>
      </c>
      <c r="T9" s="413" t="s">
        <v>233</v>
      </c>
      <c r="U9" s="412" t="e">
        <f>_xll.qlMidSafe($Q9,$R9)</f>
        <v>#NUM!</v>
      </c>
      <c r="V9" s="406"/>
      <c r="W9" s="424">
        <v>0</v>
      </c>
      <c r="X9" s="406"/>
      <c r="Y9" s="414">
        <v>0</v>
      </c>
      <c r="Z9" s="412" t="e">
        <f>_xll.qlSimpleQuoteSetValue(F9,Y9,Trigger)</f>
        <v>#N/A</v>
      </c>
      <c r="AA9" s="137"/>
      <c r="AC9" s="423" t="s">
        <v>117</v>
      </c>
      <c r="AD9" s="422"/>
      <c r="AF9" s="402" t="e">
        <f t="shared" si="0"/>
        <v>#VALUE!</v>
      </c>
      <c r="AH9" s="143"/>
      <c r="AI9" s="142">
        <v>3</v>
      </c>
      <c r="AJ9" s="140" t="b">
        <v>0</v>
      </c>
      <c r="AK9" s="140" t="str">
        <v>J4</v>
      </c>
      <c r="AL9" s="245" t="str">
        <f t="shared" si="2"/>
        <v>GBPFUT1MJ4_Quote</v>
      </c>
      <c r="AM9" s="246" t="str">
        <f t="shared" si="3"/>
        <v>GBPFUT1MJ4ConvAdj_Quote</v>
      </c>
      <c r="AN9" s="245" t="e">
        <f>_xll.qlFuturesConvAdjustmentQuote($AM9,IborIndex,$AK9,$AL9,Volatility,MeanReversion,Permanent,Trigger,ObjectOverwrite)</f>
        <v>#NUM!</v>
      </c>
      <c r="AO9" s="72" t="str">
        <f ca="1">_xll.ohRangeRetrieveError(AN9)</f>
        <v>qlFuturesConvAdjustmentQuote - ObjectHandler error: attempt to retrieve object with unknown ID 'GbpLibor1M'</v>
      </c>
    </row>
    <row r="10" spans="1:41" ht="12" thickBot="1" x14ac:dyDescent="0.25">
      <c r="A10" s="143"/>
      <c r="B10" s="142">
        <v>4</v>
      </c>
      <c r="C10" s="141" t="b">
        <v>0</v>
      </c>
      <c r="D10" s="140" t="str">
        <v>K4</v>
      </c>
      <c r="E10" s="139" t="str">
        <f t="shared" si="1"/>
        <v>GBPFUT1MK4_Quote</v>
      </c>
      <c r="F10" s="138" t="str">
        <f>_xll.qlSimpleQuote(E10,,PriceTickValue,Permanent,Trigger,ObjectOverwrite)</f>
        <v>GBPFUT1MK4_Quote#0000</v>
      </c>
      <c r="G10" s="101" t="str">
        <f>_xll.ohRangeRetrieveError(F10)</f>
        <v/>
      </c>
      <c r="H10" s="137"/>
      <c r="J10" s="143"/>
      <c r="K10" s="419">
        <v>4</v>
      </c>
      <c r="L10" s="418" t="b">
        <v>0</v>
      </c>
      <c r="M10" s="413" t="str">
        <v>K4</v>
      </c>
      <c r="N10" s="417">
        <v>41780</v>
      </c>
      <c r="O10" s="413" t="str">
        <v>K4</v>
      </c>
      <c r="P10" s="416" t="s">
        <v>233</v>
      </c>
      <c r="Q10" s="413" t="s">
        <v>233</v>
      </c>
      <c r="R10" s="413" t="s">
        <v>233</v>
      </c>
      <c r="S10" s="413" t="s">
        <v>233</v>
      </c>
      <c r="T10" s="413" t="s">
        <v>233</v>
      </c>
      <c r="U10" s="412" t="e">
        <f>_xll.qlMidSafe($Q10,$R10)</f>
        <v>#NUM!</v>
      </c>
      <c r="V10" s="406"/>
      <c r="W10" s="424">
        <v>0</v>
      </c>
      <c r="X10" s="406"/>
      <c r="Y10" s="414">
        <v>0</v>
      </c>
      <c r="Z10" s="412" t="e">
        <f>_xll.qlSimpleQuoteSetValue(F10,Y10,Trigger)</f>
        <v>#N/A</v>
      </c>
      <c r="AA10" s="137"/>
      <c r="AC10" s="421" t="s">
        <v>115</v>
      </c>
      <c r="AD10" s="420" t="s">
        <v>292</v>
      </c>
      <c r="AF10" s="402" t="e">
        <f t="shared" si="0"/>
        <v>#VALUE!</v>
      </c>
      <c r="AH10" s="143"/>
      <c r="AI10" s="142">
        <v>4</v>
      </c>
      <c r="AJ10" s="140" t="b">
        <v>0</v>
      </c>
      <c r="AK10" s="140" t="str">
        <v>K4</v>
      </c>
      <c r="AL10" s="245" t="str">
        <f t="shared" si="2"/>
        <v>GBPFUT1MK4_Quote</v>
      </c>
      <c r="AM10" s="246" t="str">
        <f t="shared" si="3"/>
        <v>GBPFUT1MK4ConvAdj_Quote</v>
      </c>
      <c r="AN10" s="245" t="e">
        <f>_xll.qlFuturesConvAdjustmentQuote($AM10,IborIndex,$AK10,$AL10,Volatility,MeanReversion,Permanent,Trigger,ObjectOverwrite)</f>
        <v>#NUM!</v>
      </c>
      <c r="AO10" s="72" t="str">
        <f ca="1">_xll.ohRangeRetrieveError(AN10)</f>
        <v>qlFuturesConvAdjustmentQuote - ObjectHandler error: attempt to retrieve object with unknown ID 'GbpLibor1M'</v>
      </c>
    </row>
    <row r="11" spans="1:41" x14ac:dyDescent="0.2">
      <c r="A11" s="143"/>
      <c r="B11" s="142">
        <v>5</v>
      </c>
      <c r="C11" s="141" t="b">
        <v>0</v>
      </c>
      <c r="D11" s="140" t="str">
        <v>M4</v>
      </c>
      <c r="E11" s="139" t="str">
        <f t="shared" si="1"/>
        <v>GBPFUT1MM4_Quote</v>
      </c>
      <c r="F11" s="138" t="str">
        <f>_xll.qlSimpleQuote(E11,,PriceTickValue,Permanent,Trigger,ObjectOverwrite)</f>
        <v>GBPFUT1MM4_Quote#0000</v>
      </c>
      <c r="G11" s="101" t="str">
        <f>_xll.ohRangeRetrieveError(F11)</f>
        <v/>
      </c>
      <c r="H11" s="137"/>
      <c r="J11" s="143"/>
      <c r="K11" s="419">
        <v>5</v>
      </c>
      <c r="L11" s="418" t="b">
        <v>0</v>
      </c>
      <c r="M11" s="413" t="str">
        <v>M4</v>
      </c>
      <c r="N11" s="417">
        <v>41808</v>
      </c>
      <c r="O11" s="413" t="str">
        <v>M4</v>
      </c>
      <c r="P11" s="416" t="s">
        <v>233</v>
      </c>
      <c r="Q11" s="413" t="s">
        <v>233</v>
      </c>
      <c r="R11" s="413" t="s">
        <v>233</v>
      </c>
      <c r="S11" s="413" t="s">
        <v>233</v>
      </c>
      <c r="T11" s="413" t="s">
        <v>233</v>
      </c>
      <c r="U11" s="412" t="e">
        <f>_xll.qlMidSafe($Q11,$R11)</f>
        <v>#NUM!</v>
      </c>
      <c r="V11" s="406"/>
      <c r="W11" s="415">
        <v>0</v>
      </c>
      <c r="X11" s="406"/>
      <c r="Y11" s="414">
        <v>0</v>
      </c>
      <c r="Z11" s="412" t="e">
        <f>_xll.qlSimpleQuoteSetValue(F11,Y11,Trigger)</f>
        <v>#N/A</v>
      </c>
      <c r="AA11" s="137"/>
      <c r="AF11" s="402" t="e">
        <f t="shared" si="0"/>
        <v>#VALUE!</v>
      </c>
      <c r="AH11" s="143"/>
      <c r="AI11" s="142">
        <v>5</v>
      </c>
      <c r="AJ11" s="140" t="b">
        <v>0</v>
      </c>
      <c r="AK11" s="140" t="str">
        <v>M4</v>
      </c>
      <c r="AL11" s="245" t="str">
        <f t="shared" si="2"/>
        <v>GBPFUT1MM4_Quote</v>
      </c>
      <c r="AM11" s="246" t="str">
        <f t="shared" si="3"/>
        <v>GBPFUT1MM4ConvAdj_Quote</v>
      </c>
      <c r="AN11" s="245" t="e">
        <f>_xll.qlFuturesConvAdjustmentQuote($AM11,IborIndex,$AK11,$AL11,Volatility,MeanReversion,Permanent,Trigger,ObjectOverwrite)</f>
        <v>#NUM!</v>
      </c>
      <c r="AO11" s="72" t="str">
        <f ca="1">_xll.ohRangeRetrieveError(AN11)</f>
        <v>qlFuturesConvAdjustmentQuote - ObjectHandler error: attempt to retrieve object with unknown ID 'GbpLibor1M'</v>
      </c>
    </row>
    <row r="12" spans="1:41" x14ac:dyDescent="0.2">
      <c r="A12" s="143"/>
      <c r="B12" s="142">
        <v>6</v>
      </c>
      <c r="C12" s="141" t="b">
        <v>0</v>
      </c>
      <c r="D12" s="140" t="str">
        <v>N4</v>
      </c>
      <c r="E12" s="139" t="str">
        <f t="shared" si="1"/>
        <v>GBPFUT1MN4_Quote</v>
      </c>
      <c r="F12" s="138" t="str">
        <f>_xll.qlSimpleQuote(E12,,PriceTickValue,Permanent,Trigger,ObjectOverwrite)</f>
        <v>GBPFUT1MN4_Quote#0000</v>
      </c>
      <c r="G12" s="101" t="str">
        <f>_xll.ohRangeRetrieveError(F12)</f>
        <v/>
      </c>
      <c r="H12" s="137"/>
      <c r="J12" s="143"/>
      <c r="K12" s="419">
        <v>6</v>
      </c>
      <c r="L12" s="418" t="b">
        <v>0</v>
      </c>
      <c r="M12" s="413" t="str">
        <v>N4</v>
      </c>
      <c r="N12" s="417">
        <v>41836</v>
      </c>
      <c r="O12" s="413" t="str">
        <v>N4</v>
      </c>
      <c r="P12" s="416" t="s">
        <v>233</v>
      </c>
      <c r="Q12" s="413" t="s">
        <v>233</v>
      </c>
      <c r="R12" s="413" t="s">
        <v>233</v>
      </c>
      <c r="S12" s="413" t="s">
        <v>233</v>
      </c>
      <c r="T12" s="413" t="s">
        <v>233</v>
      </c>
      <c r="U12" s="412" t="e">
        <f>_xll.qlMidSafe($Q12,$R12)</f>
        <v>#NUM!</v>
      </c>
      <c r="V12" s="406"/>
      <c r="W12" s="415">
        <v>0</v>
      </c>
      <c r="X12" s="406"/>
      <c r="Y12" s="414">
        <v>0</v>
      </c>
      <c r="Z12" s="412" t="e">
        <f>_xll.qlSimpleQuoteSetValue(F12,Y12,Trigger)</f>
        <v>#N/A</v>
      </c>
      <c r="AA12" s="137"/>
      <c r="AF12" s="402" t="e">
        <f t="shared" si="0"/>
        <v>#VALUE!</v>
      </c>
      <c r="AH12" s="143"/>
      <c r="AI12" s="142">
        <v>6</v>
      </c>
      <c r="AJ12" s="140" t="b">
        <v>0</v>
      </c>
      <c r="AK12" s="140" t="str">
        <v>N4</v>
      </c>
      <c r="AL12" s="245" t="str">
        <f t="shared" si="2"/>
        <v>GBPFUT1MN4_Quote</v>
      </c>
      <c r="AM12" s="246" t="str">
        <f t="shared" si="3"/>
        <v>GBPFUT1MN4ConvAdj_Quote</v>
      </c>
      <c r="AN12" s="245" t="e">
        <f>_xll.qlFuturesConvAdjustmentQuote($AM12,IborIndex,$AK12,$AL12,Volatility,MeanReversion,Permanent,Trigger,ObjectOverwrite)</f>
        <v>#NUM!</v>
      </c>
      <c r="AO12" s="72" t="str">
        <f ca="1">_xll.ohRangeRetrieveError(AN12)</f>
        <v>qlFuturesConvAdjustmentQuote - ObjectHandler error: attempt to retrieve object with unknown ID 'GbpLibor1M'</v>
      </c>
    </row>
    <row r="13" spans="1:41" x14ac:dyDescent="0.2">
      <c r="A13" s="143"/>
      <c r="B13" s="142">
        <v>7</v>
      </c>
      <c r="C13" s="141" t="b">
        <v>0</v>
      </c>
      <c r="D13" s="140" t="str">
        <v>Q4</v>
      </c>
      <c r="E13" s="139" t="str">
        <f t="shared" si="1"/>
        <v>GBPFUT1MQ4_Quote</v>
      </c>
      <c r="F13" s="138" t="str">
        <f>_xll.qlSimpleQuote(E13,,PriceTickValue,Permanent,Trigger,ObjectOverwrite)</f>
        <v>GBPFUT1MQ4_Quote#0000</v>
      </c>
      <c r="G13" s="101" t="str">
        <f>_xll.ohRangeRetrieveError(F13)</f>
        <v/>
      </c>
      <c r="H13" s="137"/>
      <c r="J13" s="143"/>
      <c r="K13" s="419">
        <v>7</v>
      </c>
      <c r="L13" s="418" t="b">
        <v>0</v>
      </c>
      <c r="M13" s="413" t="str">
        <v>Q4</v>
      </c>
      <c r="N13" s="417">
        <v>41871</v>
      </c>
      <c r="O13" s="413" t="str">
        <v>Q4</v>
      </c>
      <c r="P13" s="416" t="s">
        <v>233</v>
      </c>
      <c r="Q13" s="413" t="s">
        <v>233</v>
      </c>
      <c r="R13" s="413" t="s">
        <v>233</v>
      </c>
      <c r="S13" s="413" t="s">
        <v>233</v>
      </c>
      <c r="T13" s="413" t="s">
        <v>233</v>
      </c>
      <c r="U13" s="412" t="e">
        <f>_xll.qlMidSafe($Q13,$R13)</f>
        <v>#NUM!</v>
      </c>
      <c r="V13" s="406"/>
      <c r="W13" s="415">
        <v>0</v>
      </c>
      <c r="X13" s="406"/>
      <c r="Y13" s="414">
        <v>0</v>
      </c>
      <c r="Z13" s="412" t="e">
        <f>_xll.qlSimpleQuoteSetValue(F13,Y13,Trigger)</f>
        <v>#N/A</v>
      </c>
      <c r="AA13" s="137"/>
      <c r="AF13" s="402" t="e">
        <f t="shared" si="0"/>
        <v>#VALUE!</v>
      </c>
      <c r="AH13" s="143"/>
      <c r="AI13" s="142">
        <v>7</v>
      </c>
      <c r="AJ13" s="140" t="b">
        <v>0</v>
      </c>
      <c r="AK13" s="140" t="str">
        <v>Q4</v>
      </c>
      <c r="AL13" s="245" t="str">
        <f t="shared" si="2"/>
        <v>GBPFUT1MQ4_Quote</v>
      </c>
      <c r="AM13" s="246" t="str">
        <f t="shared" si="3"/>
        <v>GBPFUT1MQ4ConvAdj_Quote</v>
      </c>
      <c r="AN13" s="245" t="e">
        <f>_xll.qlFuturesConvAdjustmentQuote($AM13,IborIndex,$AK13,$AL13,Volatility,MeanReversion,Permanent,Trigger,ObjectOverwrite)</f>
        <v>#NUM!</v>
      </c>
      <c r="AO13" s="72" t="str">
        <f ca="1">_xll.ohRangeRetrieveError(AN13)</f>
        <v>qlFuturesConvAdjustmentQuote - ObjectHandler error: attempt to retrieve object with unknown ID 'GbpLibor1M'</v>
      </c>
    </row>
    <row r="14" spans="1:41" x14ac:dyDescent="0.2">
      <c r="A14" s="143"/>
      <c r="B14" s="142">
        <v>8</v>
      </c>
      <c r="C14" s="141" t="b">
        <v>0</v>
      </c>
      <c r="D14" s="140" t="str">
        <v>U4</v>
      </c>
      <c r="E14" s="139" t="str">
        <f t="shared" si="1"/>
        <v>GBPFUT1MU4_Quote</v>
      </c>
      <c r="F14" s="138" t="str">
        <f>_xll.qlSimpleQuote(E14,,PriceTickValue,Permanent,Trigger,ObjectOverwrite)</f>
        <v>GBPFUT1MU4_Quote#0000</v>
      </c>
      <c r="G14" s="101" t="str">
        <f>_xll.ohRangeRetrieveError(F14)</f>
        <v/>
      </c>
      <c r="H14" s="137"/>
      <c r="J14" s="143"/>
      <c r="K14" s="419">
        <v>8</v>
      </c>
      <c r="L14" s="418" t="b">
        <v>0</v>
      </c>
      <c r="M14" s="413" t="str">
        <v>U4</v>
      </c>
      <c r="N14" s="417">
        <v>41899</v>
      </c>
      <c r="O14" s="413" t="str">
        <v>U4</v>
      </c>
      <c r="P14" s="416" t="s">
        <v>233</v>
      </c>
      <c r="Q14" s="413" t="s">
        <v>233</v>
      </c>
      <c r="R14" s="413" t="s">
        <v>233</v>
      </c>
      <c r="S14" s="413" t="s">
        <v>233</v>
      </c>
      <c r="T14" s="413" t="s">
        <v>233</v>
      </c>
      <c r="U14" s="412" t="e">
        <f>_xll.qlMidSafe($Q14,$R14)</f>
        <v>#NUM!</v>
      </c>
      <c r="V14" s="406"/>
      <c r="W14" s="415">
        <v>0</v>
      </c>
      <c r="X14" s="406"/>
      <c r="Y14" s="414">
        <v>0</v>
      </c>
      <c r="Z14" s="412" t="e">
        <f>_xll.qlSimpleQuoteSetValue(F14,Y14,Trigger)</f>
        <v>#N/A</v>
      </c>
      <c r="AA14" s="137"/>
      <c r="AF14" s="402" t="e">
        <f t="shared" si="0"/>
        <v>#VALUE!</v>
      </c>
      <c r="AH14" s="143"/>
      <c r="AI14" s="142">
        <v>8</v>
      </c>
      <c r="AJ14" s="140" t="b">
        <v>0</v>
      </c>
      <c r="AK14" s="140" t="str">
        <v>U4</v>
      </c>
      <c r="AL14" s="245" t="str">
        <f t="shared" si="2"/>
        <v>GBPFUT1MU4_Quote</v>
      </c>
      <c r="AM14" s="246" t="str">
        <f t="shared" si="3"/>
        <v>GBPFUT1MU4ConvAdj_Quote</v>
      </c>
      <c r="AN14" s="245" t="e">
        <f>_xll.qlFuturesConvAdjustmentQuote($AM14,IborIndex,$AK14,$AL14,Volatility,MeanReversion,Permanent,Trigger,ObjectOverwrite)</f>
        <v>#NUM!</v>
      </c>
      <c r="AO14" s="72" t="str">
        <f ca="1">_xll.ohRangeRetrieveError(AN14)</f>
        <v>qlFuturesConvAdjustmentQuote - ObjectHandler error: attempt to retrieve object with unknown ID 'GbpLibor1M'</v>
      </c>
    </row>
    <row r="15" spans="1:41" x14ac:dyDescent="0.2">
      <c r="A15" s="143"/>
      <c r="B15" s="142">
        <v>9</v>
      </c>
      <c r="C15" s="141" t="b">
        <v>0</v>
      </c>
      <c r="D15" s="140" t="str">
        <v>V4</v>
      </c>
      <c r="E15" s="139" t="str">
        <f t="shared" si="1"/>
        <v>GBPFUT1MV4_Quote</v>
      </c>
      <c r="F15" s="138" t="str">
        <f>_xll.qlSimpleQuote(E15,,PriceTickValue,Permanent,Trigger,ObjectOverwrite)</f>
        <v>GBPFUT1MV4_Quote#0000</v>
      </c>
      <c r="G15" s="101" t="str">
        <f>_xll.ohRangeRetrieveError(F15)</f>
        <v/>
      </c>
      <c r="H15" s="137"/>
      <c r="J15" s="143"/>
      <c r="K15" s="419">
        <v>9</v>
      </c>
      <c r="L15" s="418" t="b">
        <v>0</v>
      </c>
      <c r="M15" s="413" t="str">
        <v>V4</v>
      </c>
      <c r="N15" s="417">
        <v>41927</v>
      </c>
      <c r="O15" s="413" t="str">
        <v>V4</v>
      </c>
      <c r="P15" s="416" t="s">
        <v>233</v>
      </c>
      <c r="Q15" s="413" t="s">
        <v>233</v>
      </c>
      <c r="R15" s="413" t="s">
        <v>233</v>
      </c>
      <c r="S15" s="413" t="s">
        <v>233</v>
      </c>
      <c r="T15" s="413" t="s">
        <v>233</v>
      </c>
      <c r="U15" s="412" t="e">
        <f>_xll.qlMidSafe($Q15,$R15)</f>
        <v>#NUM!</v>
      </c>
      <c r="V15" s="406"/>
      <c r="W15" s="415">
        <v>0</v>
      </c>
      <c r="X15" s="406"/>
      <c r="Y15" s="414">
        <v>0</v>
      </c>
      <c r="Z15" s="412" t="e">
        <f>_xll.qlSimpleQuoteSetValue(F15,Y15,Trigger)</f>
        <v>#N/A</v>
      </c>
      <c r="AA15" s="137"/>
      <c r="AF15" s="402" t="e">
        <f t="shared" si="0"/>
        <v>#VALUE!</v>
      </c>
      <c r="AH15" s="143"/>
      <c r="AI15" s="142">
        <v>9</v>
      </c>
      <c r="AJ15" s="140" t="b">
        <v>0</v>
      </c>
      <c r="AK15" s="140" t="str">
        <v>V4</v>
      </c>
      <c r="AL15" s="245" t="str">
        <f t="shared" si="2"/>
        <v>GBPFUT1MV4_Quote</v>
      </c>
      <c r="AM15" s="246" t="str">
        <f t="shared" si="3"/>
        <v>GBPFUT1MV4ConvAdj_Quote</v>
      </c>
      <c r="AN15" s="245" t="e">
        <f>_xll.qlFuturesConvAdjustmentQuote($AM15,IborIndex,$AK15,$AL15,Volatility,MeanReversion,Permanent,Trigger,ObjectOverwrite)</f>
        <v>#NUM!</v>
      </c>
      <c r="AO15" s="72" t="str">
        <f ca="1">_xll.ohRangeRetrieveError(AN15)</f>
        <v>qlFuturesConvAdjustmentQuote - ObjectHandler error: attempt to retrieve object with unknown ID 'GbpLibor1M'</v>
      </c>
    </row>
    <row r="16" spans="1:41" x14ac:dyDescent="0.2">
      <c r="A16" s="143"/>
      <c r="B16" s="142">
        <v>10</v>
      </c>
      <c r="C16" s="141" t="b">
        <v>0</v>
      </c>
      <c r="D16" s="140" t="str">
        <v>X4</v>
      </c>
      <c r="E16" s="139" t="str">
        <f t="shared" si="1"/>
        <v>GBPFUT1MX4_Quote</v>
      </c>
      <c r="F16" s="138" t="str">
        <f>_xll.qlSimpleQuote(E16,,PriceTickValue,Permanent,Trigger,ObjectOverwrite)</f>
        <v>GBPFUT1MX4_Quote#0000</v>
      </c>
      <c r="G16" s="101" t="str">
        <f>_xll.ohRangeRetrieveError(F16)</f>
        <v/>
      </c>
      <c r="H16" s="137"/>
      <c r="J16" s="143"/>
      <c r="K16" s="419">
        <v>10</v>
      </c>
      <c r="L16" s="418" t="b">
        <v>0</v>
      </c>
      <c r="M16" s="413" t="str">
        <v>X4</v>
      </c>
      <c r="N16" s="417">
        <v>41962</v>
      </c>
      <c r="O16" s="413" t="str">
        <v>X4</v>
      </c>
      <c r="P16" s="416" t="s">
        <v>233</v>
      </c>
      <c r="Q16" s="413" t="s">
        <v>233</v>
      </c>
      <c r="R16" s="413" t="s">
        <v>233</v>
      </c>
      <c r="S16" s="413" t="s">
        <v>233</v>
      </c>
      <c r="T16" s="413" t="s">
        <v>233</v>
      </c>
      <c r="U16" s="412" t="e">
        <f>_xll.qlMidSafe($Q16,$R16)</f>
        <v>#NUM!</v>
      </c>
      <c r="V16" s="406"/>
      <c r="W16" s="415">
        <v>0</v>
      </c>
      <c r="X16" s="406"/>
      <c r="Y16" s="414">
        <v>0</v>
      </c>
      <c r="Z16" s="412" t="e">
        <f>_xll.qlSimpleQuoteSetValue(F16,Y16,Trigger)</f>
        <v>#N/A</v>
      </c>
      <c r="AA16" s="137"/>
      <c r="AF16" s="402" t="e">
        <f t="shared" si="0"/>
        <v>#VALUE!</v>
      </c>
      <c r="AH16" s="143"/>
      <c r="AI16" s="142">
        <v>10</v>
      </c>
      <c r="AJ16" s="140" t="b">
        <v>0</v>
      </c>
      <c r="AK16" s="140" t="str">
        <v>X4</v>
      </c>
      <c r="AL16" s="245" t="str">
        <f t="shared" si="2"/>
        <v>GBPFUT1MX4_Quote</v>
      </c>
      <c r="AM16" s="246" t="str">
        <f t="shared" si="3"/>
        <v>GBPFUT1MX4ConvAdj_Quote</v>
      </c>
      <c r="AN16" s="245" t="e">
        <f>_xll.qlFuturesConvAdjustmentQuote($AM16,IborIndex,$AK16,$AL16,Volatility,MeanReversion,Permanent,Trigger,ObjectOverwrite)</f>
        <v>#NUM!</v>
      </c>
      <c r="AO16" s="72" t="str">
        <f ca="1">_xll.ohRangeRetrieveError(AN16)</f>
        <v>qlFuturesConvAdjustmentQuote - ObjectHandler error: attempt to retrieve object with unknown ID 'GbpLibor1M'</v>
      </c>
    </row>
    <row r="17" spans="1:41" x14ac:dyDescent="0.2">
      <c r="A17" s="143"/>
      <c r="B17" s="142">
        <v>11</v>
      </c>
      <c r="C17" s="141" t="b">
        <v>0</v>
      </c>
      <c r="D17" s="140" t="str">
        <v>Z4</v>
      </c>
      <c r="E17" s="139" t="str">
        <f t="shared" si="1"/>
        <v>GBPFUT1MZ4_Quote</v>
      </c>
      <c r="F17" s="138" t="str">
        <f>_xll.qlSimpleQuote(E17,,PriceTickValue,Permanent,Trigger,ObjectOverwrite)</f>
        <v>GBPFUT1MZ4_Quote#0000</v>
      </c>
      <c r="G17" s="101" t="str">
        <f>_xll.ohRangeRetrieveError(F17)</f>
        <v/>
      </c>
      <c r="H17" s="137"/>
      <c r="J17" s="143"/>
      <c r="K17" s="419">
        <v>11</v>
      </c>
      <c r="L17" s="418" t="b">
        <v>0</v>
      </c>
      <c r="M17" s="413" t="str">
        <v>Z4</v>
      </c>
      <c r="N17" s="417">
        <v>41990</v>
      </c>
      <c r="O17" s="413" t="str">
        <v>Z4</v>
      </c>
      <c r="P17" s="416" t="s">
        <v>233</v>
      </c>
      <c r="Q17" s="413" t="s">
        <v>233</v>
      </c>
      <c r="R17" s="413" t="s">
        <v>233</v>
      </c>
      <c r="S17" s="413" t="s">
        <v>233</v>
      </c>
      <c r="T17" s="413" t="s">
        <v>233</v>
      </c>
      <c r="U17" s="412" t="e">
        <f>_xll.qlMidSafe($Q17,$R17)</f>
        <v>#NUM!</v>
      </c>
      <c r="V17" s="406"/>
      <c r="W17" s="415">
        <v>0</v>
      </c>
      <c r="X17" s="406"/>
      <c r="Y17" s="414">
        <v>0</v>
      </c>
      <c r="Z17" s="412" t="e">
        <f>_xll.qlSimpleQuoteSetValue(F17,Y17,Trigger)</f>
        <v>#N/A</v>
      </c>
      <c r="AA17" s="137"/>
      <c r="AF17" s="402" t="e">
        <f t="shared" si="0"/>
        <v>#VALUE!</v>
      </c>
      <c r="AH17" s="143"/>
      <c r="AI17" s="142">
        <v>11</v>
      </c>
      <c r="AJ17" s="140" t="b">
        <v>0</v>
      </c>
      <c r="AK17" s="140" t="str">
        <v>Z4</v>
      </c>
      <c r="AL17" s="245" t="str">
        <f t="shared" si="2"/>
        <v>GBPFUT1MZ4_Quote</v>
      </c>
      <c r="AM17" s="246" t="str">
        <f t="shared" si="3"/>
        <v>GBPFUT1MZ4ConvAdj_Quote</v>
      </c>
      <c r="AN17" s="245" t="e">
        <f>_xll.qlFuturesConvAdjustmentQuote($AM17,IborIndex,$AK17,$AL17,Volatility,MeanReversion,Permanent,Trigger,ObjectOverwrite)</f>
        <v>#NUM!</v>
      </c>
      <c r="AO17" s="72" t="str">
        <f ca="1">_xll.ohRangeRetrieveError(AN17)</f>
        <v>qlFuturesConvAdjustmentQuote - ObjectHandler error: attempt to retrieve object with unknown ID 'GbpLibor1M'</v>
      </c>
    </row>
    <row r="18" spans="1:41" x14ac:dyDescent="0.2">
      <c r="A18" s="143"/>
      <c r="B18" s="142">
        <v>12</v>
      </c>
      <c r="C18" s="141" t="b">
        <v>0</v>
      </c>
      <c r="D18" s="140" t="str">
        <v>F5</v>
      </c>
      <c r="E18" s="139" t="str">
        <f t="shared" si="1"/>
        <v>GBPFUT1MF5_Quote</v>
      </c>
      <c r="F18" s="138" t="str">
        <f>_xll.qlSimpleQuote(E18,,PriceTickValue,Permanent,Trigger,ObjectOverwrite)</f>
        <v>GBPFUT1MF5_Quote#0000</v>
      </c>
      <c r="G18" s="101" t="str">
        <f>_xll.ohRangeRetrieveError(F18)</f>
        <v/>
      </c>
      <c r="H18" s="137"/>
      <c r="J18" s="143"/>
      <c r="K18" s="411">
        <v>12</v>
      </c>
      <c r="L18" s="410" t="b">
        <v>0</v>
      </c>
      <c r="M18" s="404" t="str">
        <v>F5</v>
      </c>
      <c r="N18" s="409">
        <v>42025</v>
      </c>
      <c r="O18" s="404" t="str">
        <v>F5</v>
      </c>
      <c r="P18" s="408" t="s">
        <v>233</v>
      </c>
      <c r="Q18" s="404" t="s">
        <v>233</v>
      </c>
      <c r="R18" s="404" t="s">
        <v>233</v>
      </c>
      <c r="S18" s="404" t="s">
        <v>233</v>
      </c>
      <c r="T18" s="404" t="s">
        <v>233</v>
      </c>
      <c r="U18" s="403" t="e">
        <f>_xll.qlMidSafe($Q18,$R18)</f>
        <v>#NUM!</v>
      </c>
      <c r="V18" s="406"/>
      <c r="W18" s="407">
        <v>0</v>
      </c>
      <c r="X18" s="406"/>
      <c r="Y18" s="405">
        <v>0</v>
      </c>
      <c r="Z18" s="403" t="e">
        <f>_xll.qlSimpleQuoteSetValue(F18,Y18,Trigger)</f>
        <v>#N/A</v>
      </c>
      <c r="AA18" s="137"/>
      <c r="AH18" s="143"/>
      <c r="AI18" s="142">
        <v>12</v>
      </c>
      <c r="AJ18" s="140" t="b">
        <v>0</v>
      </c>
      <c r="AK18" s="140" t="str">
        <v>F5</v>
      </c>
      <c r="AL18" s="245" t="str">
        <f t="shared" si="2"/>
        <v>GBPFUT1MF5_Quote</v>
      </c>
      <c r="AM18" s="246" t="str">
        <f t="shared" si="3"/>
        <v>GBPFUT1MF5ConvAdj_Quote</v>
      </c>
      <c r="AN18" s="245" t="e">
        <f>_xll.qlFuturesConvAdjustmentQuote($AM18,IborIndex,$AK18,$AL18,Volatility,MeanReversion,Permanent,Trigger,ObjectOverwrite)</f>
        <v>#NUM!</v>
      </c>
      <c r="AO18" s="72" t="str">
        <f ca="1">_xll.ohRangeRetrieveError(AN18)</f>
        <v>qlFuturesConvAdjustmentQuote - ObjectHandler error: attempt to retrieve object with unknown ID 'GbpLibor1M'</v>
      </c>
    </row>
    <row r="19" spans="1:41" ht="12" thickBot="1" x14ac:dyDescent="0.25">
      <c r="A19" s="143"/>
      <c r="B19" s="142">
        <v>13</v>
      </c>
      <c r="C19" s="141" t="b">
        <v>0</v>
      </c>
      <c r="D19" s="140" t="str">
        <v>G5</v>
      </c>
      <c r="E19" s="139" t="str">
        <f t="shared" si="1"/>
        <v>GBPFUT1MG5_Quote</v>
      </c>
      <c r="F19" s="138" t="str">
        <f>_xll.qlSimpleQuote(E19,,PriceTickValue,Permanent,Trigger,ObjectOverwrite)</f>
        <v>GBPFUT1MG5_Quote#0000</v>
      </c>
      <c r="G19" s="101" t="str">
        <f>_xll.ohRangeRetrieveError(F19)</f>
        <v/>
      </c>
      <c r="H19" s="137"/>
      <c r="J19" s="136"/>
      <c r="K19" s="135"/>
      <c r="L19" s="135"/>
      <c r="M19" s="135"/>
      <c r="N19" s="135"/>
      <c r="O19" s="135"/>
      <c r="P19" s="135"/>
      <c r="Q19" s="135"/>
      <c r="R19" s="135"/>
      <c r="S19" s="135"/>
      <c r="T19" s="135"/>
      <c r="U19" s="135"/>
      <c r="V19" s="135"/>
      <c r="W19" s="135"/>
      <c r="X19" s="135"/>
      <c r="Y19" s="135"/>
      <c r="Z19" s="135"/>
      <c r="AA19" s="134"/>
      <c r="AH19" s="143"/>
      <c r="AI19" s="142">
        <v>13</v>
      </c>
      <c r="AJ19" s="140" t="b">
        <v>0</v>
      </c>
      <c r="AK19" s="140" t="str">
        <v>G5</v>
      </c>
      <c r="AL19" s="245" t="str">
        <f t="shared" si="2"/>
        <v>GBPFUT1MG5_Quote</v>
      </c>
      <c r="AM19" s="246" t="str">
        <f t="shared" si="3"/>
        <v>GBPFUT1MG5ConvAdj_Quote</v>
      </c>
      <c r="AN19" s="245" t="e">
        <f>_xll.qlFuturesConvAdjustmentQuote($AM19,IborIndex,$AK19,$AL19,Volatility,MeanReversion,Permanent,Trigger,ObjectOverwrite)</f>
        <v>#NUM!</v>
      </c>
      <c r="AO19" s="72" t="str">
        <f ca="1">_xll.ohRangeRetrieveError(AN19)</f>
        <v>qlFuturesConvAdjustmentQuote - ObjectHandler error: attempt to retrieve object with unknown ID 'GbpLibor1M'</v>
      </c>
    </row>
    <row r="20" spans="1:41" x14ac:dyDescent="0.2">
      <c r="A20" s="143"/>
      <c r="B20" s="142">
        <v>14</v>
      </c>
      <c r="C20" s="141" t="b">
        <v>0</v>
      </c>
      <c r="D20" s="140" t="str">
        <v>H5</v>
      </c>
      <c r="E20" s="139" t="str">
        <f t="shared" si="1"/>
        <v>GBPFUT1MH5_Quote</v>
      </c>
      <c r="F20" s="138" t="str">
        <f>_xll.qlSimpleQuote(E20,,PriceTickValue,Permanent,Trigger,ObjectOverwrite)</f>
        <v>GBPFUT1MH5_Quote#0000</v>
      </c>
      <c r="G20" s="101" t="str">
        <f>_xll.ohRangeRetrieveError(F20)</f>
        <v/>
      </c>
      <c r="H20" s="137"/>
      <c r="AH20" s="143"/>
      <c r="AI20" s="142">
        <v>14</v>
      </c>
      <c r="AJ20" s="140" t="b">
        <v>0</v>
      </c>
      <c r="AK20" s="140" t="str">
        <v>H5</v>
      </c>
      <c r="AL20" s="245" t="str">
        <f t="shared" si="2"/>
        <v>GBPFUT1MH5_Quote</v>
      </c>
      <c r="AM20" s="246" t="str">
        <f t="shared" si="3"/>
        <v>GBPFUT1MH5ConvAdj_Quote</v>
      </c>
      <c r="AN20" s="245" t="e">
        <f>_xll.qlFuturesConvAdjustmentQuote($AM20,IborIndex,$AK20,$AL20,Volatility,MeanReversion,Permanent,Trigger,ObjectOverwrite)</f>
        <v>#NUM!</v>
      </c>
      <c r="AO20" s="72" t="str">
        <f ca="1">_xll.ohRangeRetrieveError(AN20)</f>
        <v>qlFuturesConvAdjustmentQuote - ObjectHandler error: attempt to retrieve object with unknown ID 'GbpLibor1M'</v>
      </c>
    </row>
    <row r="21" spans="1:41" x14ac:dyDescent="0.2">
      <c r="A21" s="143"/>
      <c r="B21" s="142">
        <v>15</v>
      </c>
      <c r="C21" s="141" t="b">
        <v>0</v>
      </c>
      <c r="D21" s="140" t="str">
        <v>J5</v>
      </c>
      <c r="E21" s="139" t="str">
        <f t="shared" si="1"/>
        <v>GBPFUT1MJ5_Quote</v>
      </c>
      <c r="F21" s="138" t="str">
        <f>_xll.qlSimpleQuote(E21,,PriceTickValue,Permanent,Trigger,ObjectOverwrite)</f>
        <v>GBPFUT1MJ5_Quote#0000</v>
      </c>
      <c r="G21" s="101" t="str">
        <f>_xll.ohRangeRetrieveError(F21)</f>
        <v/>
      </c>
      <c r="H21" s="137"/>
      <c r="AH21" s="143"/>
      <c r="AI21" s="142">
        <v>15</v>
      </c>
      <c r="AJ21" s="140" t="b">
        <v>0</v>
      </c>
      <c r="AK21" s="140" t="str">
        <v>J5</v>
      </c>
      <c r="AL21" s="245" t="str">
        <f t="shared" si="2"/>
        <v>GBPFUT1MJ5_Quote</v>
      </c>
      <c r="AM21" s="246" t="str">
        <f t="shared" si="3"/>
        <v>GBPFUT1MJ5ConvAdj_Quote</v>
      </c>
      <c r="AN21" s="245" t="e">
        <f>_xll.qlFuturesConvAdjustmentQuote($AM21,IborIndex,$AK21,$AL21,Volatility,MeanReversion,Permanent,Trigger,ObjectOverwrite)</f>
        <v>#NUM!</v>
      </c>
      <c r="AO21" s="72" t="str">
        <f ca="1">_xll.ohRangeRetrieveError(AN21)</f>
        <v>qlFuturesConvAdjustmentQuote - ObjectHandler error: attempt to retrieve object with unknown ID 'GbpLibor1M'</v>
      </c>
    </row>
    <row r="22" spans="1:41" x14ac:dyDescent="0.2">
      <c r="A22" s="143"/>
      <c r="B22" s="142">
        <v>16</v>
      </c>
      <c r="C22" s="141" t="b">
        <v>0</v>
      </c>
      <c r="D22" s="140" t="str">
        <v>K5</v>
      </c>
      <c r="E22" s="139" t="str">
        <f t="shared" si="1"/>
        <v>GBPFUT1MK5_Quote</v>
      </c>
      <c r="F22" s="138" t="str">
        <f>_xll.qlSimpleQuote(E22,,PriceTickValue,Permanent,Trigger,ObjectOverwrite)</f>
        <v>GBPFUT1MK5_Quote#0000</v>
      </c>
      <c r="G22" s="101" t="str">
        <f>_xll.ohRangeRetrieveError(F22)</f>
        <v/>
      </c>
      <c r="H22" s="137"/>
      <c r="AH22" s="143"/>
      <c r="AI22" s="142">
        <v>16</v>
      </c>
      <c r="AJ22" s="140" t="b">
        <v>0</v>
      </c>
      <c r="AK22" s="140" t="str">
        <v>K5</v>
      </c>
      <c r="AL22" s="245" t="str">
        <f t="shared" si="2"/>
        <v>GBPFUT1MK5_Quote</v>
      </c>
      <c r="AM22" s="246" t="str">
        <f t="shared" si="3"/>
        <v>GBPFUT1MK5ConvAdj_Quote</v>
      </c>
      <c r="AN22" s="245" t="e">
        <f>_xll.qlFuturesConvAdjustmentQuote($AM22,IborIndex,$AK22,$AL22,Volatility,MeanReversion,Permanent,Trigger,ObjectOverwrite)</f>
        <v>#NUM!</v>
      </c>
      <c r="AO22" s="72" t="str">
        <f ca="1">_xll.ohRangeRetrieveError(AN22)</f>
        <v>qlFuturesConvAdjustmentQuote - ObjectHandler error: attempt to retrieve object with unknown ID 'GbpLibor1M'</v>
      </c>
    </row>
    <row r="23" spans="1:41" x14ac:dyDescent="0.2">
      <c r="A23" s="143"/>
      <c r="B23" s="142">
        <v>17</v>
      </c>
      <c r="C23" s="141" t="b">
        <v>0</v>
      </c>
      <c r="D23" s="140" t="str">
        <v>M5</v>
      </c>
      <c r="E23" s="139" t="str">
        <f t="shared" si="1"/>
        <v>GBPFUT1MM5_Quote</v>
      </c>
      <c r="F23" s="138" t="str">
        <f>_xll.qlSimpleQuote(E23,,PriceTickValue,Permanent,Trigger,ObjectOverwrite)</f>
        <v>GBPFUT1MM5_Quote#0000</v>
      </c>
      <c r="G23" s="101" t="str">
        <f>_xll.ohRangeRetrieveError(F23)</f>
        <v/>
      </c>
      <c r="H23" s="137"/>
      <c r="AH23" s="143"/>
      <c r="AI23" s="142">
        <v>17</v>
      </c>
      <c r="AJ23" s="140" t="b">
        <v>0</v>
      </c>
      <c r="AK23" s="140" t="str">
        <v>M5</v>
      </c>
      <c r="AL23" s="245" t="str">
        <f t="shared" si="2"/>
        <v>GBPFUT1MM5_Quote</v>
      </c>
      <c r="AM23" s="246" t="str">
        <f t="shared" si="3"/>
        <v>GBPFUT1MM5ConvAdj_Quote</v>
      </c>
      <c r="AN23" s="245" t="e">
        <f>_xll.qlFuturesConvAdjustmentQuote($AM23,IborIndex,$AK23,$AL23,Volatility,MeanReversion,Permanent,Trigger,ObjectOverwrite)</f>
        <v>#NUM!</v>
      </c>
      <c r="AO23" s="72" t="str">
        <f ca="1">_xll.ohRangeRetrieveError(AN23)</f>
        <v>qlFuturesConvAdjustmentQuote - ObjectHandler error: attempt to retrieve object with unknown ID 'GbpLibor1M'</v>
      </c>
    </row>
    <row r="24" spans="1:41" x14ac:dyDescent="0.2">
      <c r="A24" s="143"/>
      <c r="B24" s="142">
        <v>18</v>
      </c>
      <c r="C24" s="141" t="b">
        <v>0</v>
      </c>
      <c r="D24" s="140" t="str">
        <v>N5</v>
      </c>
      <c r="E24" s="139" t="str">
        <f t="shared" si="1"/>
        <v>GBPFUT1MN5_Quote</v>
      </c>
      <c r="F24" s="138" t="str">
        <f>_xll.qlSimpleQuote(E24,,PriceTickValue,Permanent,Trigger,ObjectOverwrite)</f>
        <v>GBPFUT1MN5_Quote#0000</v>
      </c>
      <c r="G24" s="101" t="str">
        <f>_xll.ohRangeRetrieveError(F24)</f>
        <v/>
      </c>
      <c r="H24" s="137"/>
      <c r="AH24" s="143"/>
      <c r="AI24" s="142">
        <v>18</v>
      </c>
      <c r="AJ24" s="140" t="b">
        <v>0</v>
      </c>
      <c r="AK24" s="140" t="str">
        <v>N5</v>
      </c>
      <c r="AL24" s="245" t="str">
        <f t="shared" si="2"/>
        <v>GBPFUT1MN5_Quote</v>
      </c>
      <c r="AM24" s="246" t="str">
        <f t="shared" si="3"/>
        <v>GBPFUT1MN5ConvAdj_Quote</v>
      </c>
      <c r="AN24" s="245" t="e">
        <f>_xll.qlFuturesConvAdjustmentQuote($AM24,IborIndex,$AK24,$AL24,Volatility,MeanReversion,Permanent,Trigger,ObjectOverwrite)</f>
        <v>#NUM!</v>
      </c>
      <c r="AO24" s="72" t="str">
        <f ca="1">_xll.ohRangeRetrieveError(AN24)</f>
        <v>qlFuturesConvAdjustmentQuote - ObjectHandler error: attempt to retrieve object with unknown ID 'GbpLibor1M'</v>
      </c>
    </row>
    <row r="25" spans="1:41" x14ac:dyDescent="0.2">
      <c r="A25" s="143"/>
      <c r="B25" s="142">
        <v>19</v>
      </c>
      <c r="C25" s="141" t="b">
        <v>0</v>
      </c>
      <c r="D25" s="140" t="str">
        <v>Q5</v>
      </c>
      <c r="E25" s="139" t="str">
        <f t="shared" si="1"/>
        <v>GBPFUT1MQ5_Quote</v>
      </c>
      <c r="F25" s="138" t="str">
        <f>_xll.qlSimpleQuote(E25,,PriceTickValue,Permanent,Trigger,ObjectOverwrite)</f>
        <v>GBPFUT1MQ5_Quote#0000</v>
      </c>
      <c r="G25" s="101" t="str">
        <f>_xll.ohRangeRetrieveError(F25)</f>
        <v/>
      </c>
      <c r="H25" s="137"/>
      <c r="AH25" s="143"/>
      <c r="AI25" s="142">
        <v>19</v>
      </c>
      <c r="AJ25" s="140" t="b">
        <v>0</v>
      </c>
      <c r="AK25" s="140" t="str">
        <v>Q5</v>
      </c>
      <c r="AL25" s="245" t="str">
        <f t="shared" si="2"/>
        <v>GBPFUT1MQ5_Quote</v>
      </c>
      <c r="AM25" s="246" t="str">
        <f t="shared" si="3"/>
        <v>GBPFUT1MQ5ConvAdj_Quote</v>
      </c>
      <c r="AN25" s="245" t="e">
        <f>_xll.qlFuturesConvAdjustmentQuote($AM25,IborIndex,$AK25,$AL25,Volatility,MeanReversion,Permanent,Trigger,ObjectOverwrite)</f>
        <v>#NUM!</v>
      </c>
      <c r="AO25" s="72" t="str">
        <f ca="1">_xll.ohRangeRetrieveError(AN25)</f>
        <v>qlFuturesConvAdjustmentQuote - ObjectHandler error: attempt to retrieve object with unknown ID 'GbpLibor1M'</v>
      </c>
    </row>
    <row r="26" spans="1:41" x14ac:dyDescent="0.2">
      <c r="A26" s="143"/>
      <c r="B26" s="142">
        <v>20</v>
      </c>
      <c r="C26" s="141" t="b">
        <v>0</v>
      </c>
      <c r="D26" s="140" t="str">
        <v>U5</v>
      </c>
      <c r="E26" s="139" t="str">
        <f t="shared" si="1"/>
        <v>GBPFUT1MU5_Quote</v>
      </c>
      <c r="F26" s="138" t="str">
        <f>_xll.qlSimpleQuote(E26,,PriceTickValue,Permanent,Trigger,ObjectOverwrite)</f>
        <v>GBPFUT1MU5_Quote#0000</v>
      </c>
      <c r="G26" s="101" t="str">
        <f>_xll.ohRangeRetrieveError(F26)</f>
        <v/>
      </c>
      <c r="H26" s="137"/>
      <c r="AH26" s="143"/>
      <c r="AI26" s="142">
        <v>20</v>
      </c>
      <c r="AJ26" s="140" t="b">
        <v>0</v>
      </c>
      <c r="AK26" s="140" t="str">
        <v>U5</v>
      </c>
      <c r="AL26" s="245" t="str">
        <f t="shared" si="2"/>
        <v>GBPFUT1MU5_Quote</v>
      </c>
      <c r="AM26" s="246" t="str">
        <f t="shared" si="3"/>
        <v>GBPFUT1MU5ConvAdj_Quote</v>
      </c>
      <c r="AN26" s="245" t="e">
        <f>_xll.qlFuturesConvAdjustmentQuote($AM26,IborIndex,$AK26,$AL26,Volatility,MeanReversion,Permanent,Trigger,ObjectOverwrite)</f>
        <v>#NUM!</v>
      </c>
      <c r="AO26" s="72" t="str">
        <f ca="1">_xll.ohRangeRetrieveError(AN26)</f>
        <v>qlFuturesConvAdjustmentQuote - ObjectHandler error: attempt to retrieve object with unknown ID 'GbpLibor1M'</v>
      </c>
    </row>
    <row r="27" spans="1:41" x14ac:dyDescent="0.2">
      <c r="A27" s="143"/>
      <c r="B27" s="142">
        <v>21</v>
      </c>
      <c r="C27" s="141" t="b">
        <v>0</v>
      </c>
      <c r="D27" s="140" t="str">
        <v>V5</v>
      </c>
      <c r="E27" s="139" t="str">
        <f t="shared" si="1"/>
        <v>GBPFUT1MV5_Quote</v>
      </c>
      <c r="F27" s="138" t="str">
        <f>_xll.qlSimpleQuote(E27,,PriceTickValue,Permanent,Trigger,ObjectOverwrite)</f>
        <v>GBPFUT1MV5_Quote#0000</v>
      </c>
      <c r="G27" s="101" t="str">
        <f>_xll.ohRangeRetrieveError(F27)</f>
        <v/>
      </c>
      <c r="H27" s="137"/>
      <c r="AH27" s="143"/>
      <c r="AI27" s="142">
        <v>21</v>
      </c>
      <c r="AJ27" s="140" t="b">
        <v>0</v>
      </c>
      <c r="AK27" s="140" t="str">
        <v>V5</v>
      </c>
      <c r="AL27" s="245" t="str">
        <f t="shared" si="2"/>
        <v>GBPFUT1MV5_Quote</v>
      </c>
      <c r="AM27" s="246" t="str">
        <f t="shared" si="3"/>
        <v>GBPFUT1MV5ConvAdj_Quote</v>
      </c>
      <c r="AN27" s="245" t="e">
        <f>_xll.qlFuturesConvAdjustmentQuote($AM27,IborIndex,$AK27,$AL27,Volatility,MeanReversion,Permanent,Trigger,ObjectOverwrite)</f>
        <v>#NUM!</v>
      </c>
      <c r="AO27" s="72" t="str">
        <f ca="1">_xll.ohRangeRetrieveError(AN27)</f>
        <v>qlFuturesConvAdjustmentQuote - ObjectHandler error: attempt to retrieve object with unknown ID 'GbpLibor1M'</v>
      </c>
    </row>
    <row r="28" spans="1:41" x14ac:dyDescent="0.2">
      <c r="A28" s="143"/>
      <c r="B28" s="142">
        <v>22</v>
      </c>
      <c r="C28" s="141" t="b">
        <v>0</v>
      </c>
      <c r="D28" s="140" t="str">
        <v>X5</v>
      </c>
      <c r="E28" s="139" t="str">
        <f t="shared" si="1"/>
        <v>GBPFUT1MX5_Quote</v>
      </c>
      <c r="F28" s="138" t="str">
        <f>_xll.qlSimpleQuote(E28,,PriceTickValue,Permanent,Trigger,ObjectOverwrite)</f>
        <v>GBPFUT1MX5_Quote#0000</v>
      </c>
      <c r="G28" s="101" t="str">
        <f>_xll.ohRangeRetrieveError(F28)</f>
        <v/>
      </c>
      <c r="H28" s="137"/>
      <c r="AH28" s="143"/>
      <c r="AI28" s="142">
        <v>22</v>
      </c>
      <c r="AJ28" s="140" t="b">
        <v>0</v>
      </c>
      <c r="AK28" s="140" t="str">
        <v>X5</v>
      </c>
      <c r="AL28" s="245" t="str">
        <f t="shared" si="2"/>
        <v>GBPFUT1MX5_Quote</v>
      </c>
      <c r="AM28" s="246" t="str">
        <f t="shared" si="3"/>
        <v>GBPFUT1MX5ConvAdj_Quote</v>
      </c>
      <c r="AN28" s="245" t="e">
        <f>_xll.qlFuturesConvAdjustmentQuote($AM28,IborIndex,$AK28,$AL28,Volatility,MeanReversion,Permanent,Trigger,ObjectOverwrite)</f>
        <v>#NUM!</v>
      </c>
      <c r="AO28" s="72" t="str">
        <f ca="1">_xll.ohRangeRetrieveError(AN28)</f>
        <v>qlFuturesConvAdjustmentQuote - ObjectHandler error: attempt to retrieve object with unknown ID 'GbpLibor1M'</v>
      </c>
    </row>
    <row r="29" spans="1:41" x14ac:dyDescent="0.2">
      <c r="A29" s="143"/>
      <c r="B29" s="142">
        <v>23</v>
      </c>
      <c r="C29" s="141" t="b">
        <v>0</v>
      </c>
      <c r="D29" s="140" t="str">
        <v>Z5</v>
      </c>
      <c r="E29" s="139" t="str">
        <f t="shared" si="1"/>
        <v>GBPFUT1MZ5_Quote</v>
      </c>
      <c r="F29" s="138" t="str">
        <f>_xll.qlSimpleQuote(E29,,PriceTickValue,Permanent,Trigger,ObjectOverwrite)</f>
        <v>GBPFUT1MZ5_Quote#0000</v>
      </c>
      <c r="G29" s="101" t="str">
        <f>_xll.ohRangeRetrieveError(F29)</f>
        <v/>
      </c>
      <c r="H29" s="137"/>
      <c r="AH29" s="143"/>
      <c r="AI29" s="142">
        <v>23</v>
      </c>
      <c r="AJ29" s="140" t="b">
        <v>0</v>
      </c>
      <c r="AK29" s="140" t="str">
        <v>Z5</v>
      </c>
      <c r="AL29" s="245" t="str">
        <f t="shared" si="2"/>
        <v>GBPFUT1MZ5_Quote</v>
      </c>
      <c r="AM29" s="246" t="str">
        <f t="shared" si="3"/>
        <v>GBPFUT1MZ5ConvAdj_Quote</v>
      </c>
      <c r="AN29" s="245" t="e">
        <f>_xll.qlFuturesConvAdjustmentQuote($AM29,IborIndex,$AK29,$AL29,Volatility,MeanReversion,Permanent,Trigger,ObjectOverwrite)</f>
        <v>#NUM!</v>
      </c>
      <c r="AO29" s="72" t="str">
        <f ca="1">_xll.ohRangeRetrieveError(AN29)</f>
        <v>qlFuturesConvAdjustmentQuote - ObjectHandler error: attempt to retrieve object with unknown ID 'GbpLibor1M'</v>
      </c>
    </row>
    <row r="30" spans="1:41" x14ac:dyDescent="0.2">
      <c r="A30" s="143"/>
      <c r="B30" s="142">
        <v>24</v>
      </c>
      <c r="C30" s="141" t="b">
        <v>0</v>
      </c>
      <c r="D30" s="140" t="str">
        <v>F6</v>
      </c>
      <c r="E30" s="139" t="str">
        <f t="shared" si="1"/>
        <v>GBPFUT1MF6_Quote</v>
      </c>
      <c r="F30" s="138" t="str">
        <f>_xll.qlSimpleQuote(E30,,PriceTickValue,Permanent,Trigger,ObjectOverwrite)</f>
        <v>GBPFUT1MF6_Quote#0000</v>
      </c>
      <c r="G30" s="101" t="str">
        <f>_xll.ohRangeRetrieveError(F30)</f>
        <v/>
      </c>
      <c r="H30" s="137"/>
      <c r="AH30" s="143"/>
      <c r="AI30" s="142">
        <v>24</v>
      </c>
      <c r="AJ30" s="140" t="b">
        <v>0</v>
      </c>
      <c r="AK30" s="140" t="str">
        <v>F6</v>
      </c>
      <c r="AL30" s="245" t="str">
        <f t="shared" si="2"/>
        <v>GBPFUT1MF6_Quote</v>
      </c>
      <c r="AM30" s="246" t="str">
        <f t="shared" si="3"/>
        <v>GBPFUT1MF6ConvAdj_Quote</v>
      </c>
      <c r="AN30" s="245" t="e">
        <f>_xll.qlFuturesConvAdjustmentQuote($AM30,IborIndex,$AK30,$AL30,Volatility,MeanReversion,Permanent,Trigger,ObjectOverwrite)</f>
        <v>#NUM!</v>
      </c>
      <c r="AO30" s="72" t="str">
        <f ca="1">_xll.ohRangeRetrieveError(AN30)</f>
        <v>qlFuturesConvAdjustmentQuote - ObjectHandler error: attempt to retrieve object with unknown ID 'GbpLibor1M'</v>
      </c>
    </row>
    <row r="31" spans="1:41" x14ac:dyDescent="0.2">
      <c r="A31" s="143"/>
      <c r="B31" s="142">
        <v>25</v>
      </c>
      <c r="C31" s="141" t="b">
        <v>0</v>
      </c>
      <c r="D31" s="140" t="str">
        <v>G6</v>
      </c>
      <c r="E31" s="139" t="str">
        <f t="shared" si="1"/>
        <v>GBPFUT1MG6_Quote</v>
      </c>
      <c r="F31" s="138" t="str">
        <f>_xll.qlSimpleQuote(E31,,PriceTickValue,Permanent,Trigger,ObjectOverwrite)</f>
        <v>GBPFUT1MG6_Quote#0000</v>
      </c>
      <c r="G31" s="101" t="str">
        <f>_xll.ohRangeRetrieveError(F31)</f>
        <v/>
      </c>
      <c r="H31" s="137"/>
      <c r="AH31" s="143"/>
      <c r="AI31" s="142">
        <v>25</v>
      </c>
      <c r="AJ31" s="140" t="b">
        <v>0</v>
      </c>
      <c r="AK31" s="140" t="str">
        <v>G6</v>
      </c>
      <c r="AL31" s="245" t="str">
        <f t="shared" si="2"/>
        <v>GBPFUT1MG6_Quote</v>
      </c>
      <c r="AM31" s="246" t="str">
        <f t="shared" si="3"/>
        <v>GBPFUT1MG6ConvAdj_Quote</v>
      </c>
      <c r="AN31" s="245" t="e">
        <f>_xll.qlFuturesConvAdjustmentQuote($AM31,IborIndex,$AK31,$AL31,Volatility,MeanReversion,Permanent,Trigger,ObjectOverwrite)</f>
        <v>#NUM!</v>
      </c>
      <c r="AO31" s="72" t="str">
        <f ca="1">_xll.ohRangeRetrieveError(AN31)</f>
        <v>qlFuturesConvAdjustmentQuote - ObjectHandler error: attempt to retrieve object with unknown ID 'GbpLibor1M'</v>
      </c>
    </row>
    <row r="32" spans="1:41" x14ac:dyDescent="0.2">
      <c r="A32" s="143"/>
      <c r="B32" s="142">
        <v>26</v>
      </c>
      <c r="C32" s="141" t="b">
        <v>0</v>
      </c>
      <c r="D32" s="140" t="str">
        <v>H6</v>
      </c>
      <c r="E32" s="139" t="str">
        <f t="shared" si="1"/>
        <v>GBPFUT1MH6_Quote</v>
      </c>
      <c r="F32" s="138" t="str">
        <f>_xll.qlSimpleQuote(E32,,PriceTickValue,Permanent,Trigger,ObjectOverwrite)</f>
        <v>GBPFUT1MH6_Quote#0000</v>
      </c>
      <c r="G32" s="101" t="str">
        <f>_xll.ohRangeRetrieveError(F32)</f>
        <v/>
      </c>
      <c r="H32" s="137"/>
      <c r="AH32" s="143"/>
      <c r="AI32" s="142">
        <v>26</v>
      </c>
      <c r="AJ32" s="140" t="b">
        <v>0</v>
      </c>
      <c r="AK32" s="140" t="str">
        <v>H6</v>
      </c>
      <c r="AL32" s="245" t="str">
        <f t="shared" si="2"/>
        <v>GBPFUT1MH6_Quote</v>
      </c>
      <c r="AM32" s="246" t="str">
        <f t="shared" si="3"/>
        <v>GBPFUT1MH6ConvAdj_Quote</v>
      </c>
      <c r="AN32" s="245" t="e">
        <f>_xll.qlFuturesConvAdjustmentQuote($AM32,IborIndex,$AK32,$AL32,Volatility,MeanReversion,Permanent,Trigger,ObjectOverwrite)</f>
        <v>#NUM!</v>
      </c>
      <c r="AO32" s="72" t="str">
        <f ca="1">_xll.ohRangeRetrieveError(AN32)</f>
        <v>qlFuturesConvAdjustmentQuote - ObjectHandler error: attempt to retrieve object with unknown ID 'GbpLibor1M'</v>
      </c>
    </row>
    <row r="33" spans="1:41" x14ac:dyDescent="0.2">
      <c r="A33" s="143"/>
      <c r="B33" s="142">
        <v>27</v>
      </c>
      <c r="C33" s="141" t="b">
        <v>0</v>
      </c>
      <c r="D33" s="140" t="str">
        <v>J6</v>
      </c>
      <c r="E33" s="139" t="str">
        <f t="shared" si="1"/>
        <v>GBPFUT1MJ6_Quote</v>
      </c>
      <c r="F33" s="138" t="str">
        <f>_xll.qlSimpleQuote(E33,,PriceTickValue,Permanent,Trigger,ObjectOverwrite)</f>
        <v>GBPFUT1MJ6_Quote#0000</v>
      </c>
      <c r="G33" s="101" t="str">
        <f>_xll.ohRangeRetrieveError(F33)</f>
        <v/>
      </c>
      <c r="H33" s="137"/>
      <c r="AH33" s="143"/>
      <c r="AI33" s="142">
        <v>27</v>
      </c>
      <c r="AJ33" s="140" t="b">
        <v>0</v>
      </c>
      <c r="AK33" s="140" t="str">
        <v>J6</v>
      </c>
      <c r="AL33" s="245" t="str">
        <f t="shared" si="2"/>
        <v>GBPFUT1MJ6_Quote</v>
      </c>
      <c r="AM33" s="246" t="str">
        <f t="shared" si="3"/>
        <v>GBPFUT1MJ6ConvAdj_Quote</v>
      </c>
      <c r="AN33" s="245" t="e">
        <f>_xll.qlFuturesConvAdjustmentQuote($AM33,IborIndex,$AK33,$AL33,Volatility,MeanReversion,Permanent,Trigger,ObjectOverwrite)</f>
        <v>#NUM!</v>
      </c>
      <c r="AO33" s="72" t="str">
        <f ca="1">_xll.ohRangeRetrieveError(AN33)</f>
        <v>qlFuturesConvAdjustmentQuote - ObjectHandler error: attempt to retrieve object with unknown ID 'GbpLibor1M'</v>
      </c>
    </row>
    <row r="34" spans="1:41" x14ac:dyDescent="0.2">
      <c r="A34" s="143"/>
      <c r="B34" s="142">
        <v>28</v>
      </c>
      <c r="C34" s="141" t="b">
        <v>0</v>
      </c>
      <c r="D34" s="140" t="str">
        <v>K6</v>
      </c>
      <c r="E34" s="139" t="str">
        <f t="shared" si="1"/>
        <v>GBPFUT1MK6_Quote</v>
      </c>
      <c r="F34" s="138" t="str">
        <f>_xll.qlSimpleQuote(E34,,PriceTickValue,Permanent,Trigger,ObjectOverwrite)</f>
        <v>GBPFUT1MK6_Quote#0000</v>
      </c>
      <c r="G34" s="101" t="str">
        <f>_xll.ohRangeRetrieveError(F34)</f>
        <v/>
      </c>
      <c r="H34" s="137"/>
      <c r="AH34" s="143"/>
      <c r="AI34" s="142">
        <v>28</v>
      </c>
      <c r="AJ34" s="140" t="b">
        <v>0</v>
      </c>
      <c r="AK34" s="140" t="str">
        <v>K6</v>
      </c>
      <c r="AL34" s="245" t="str">
        <f t="shared" si="2"/>
        <v>GBPFUT1MK6_Quote</v>
      </c>
      <c r="AM34" s="246" t="str">
        <f t="shared" si="3"/>
        <v>GBPFUT1MK6ConvAdj_Quote</v>
      </c>
      <c r="AN34" s="245" t="e">
        <f>_xll.qlFuturesConvAdjustmentQuote($AM34,IborIndex,$AK34,$AL34,Volatility,MeanReversion,Permanent,Trigger,ObjectOverwrite)</f>
        <v>#NUM!</v>
      </c>
      <c r="AO34" s="72" t="str">
        <f ca="1">_xll.ohRangeRetrieveError(AN34)</f>
        <v>qlFuturesConvAdjustmentQuote - ObjectHandler error: attempt to retrieve object with unknown ID 'GbpLibor1M'</v>
      </c>
    </row>
    <row r="35" spans="1:41" x14ac:dyDescent="0.2">
      <c r="A35" s="143"/>
      <c r="B35" s="142">
        <v>29</v>
      </c>
      <c r="C35" s="141" t="b">
        <v>0</v>
      </c>
      <c r="D35" s="140" t="str">
        <v>M6</v>
      </c>
      <c r="E35" s="139" t="str">
        <f t="shared" si="1"/>
        <v>GBPFUT1MM6_Quote</v>
      </c>
      <c r="F35" s="138" t="str">
        <f>_xll.qlSimpleQuote(E35,,PriceTickValue,Permanent,Trigger,ObjectOverwrite)</f>
        <v>GBPFUT1MM6_Quote#0000</v>
      </c>
      <c r="G35" s="101" t="str">
        <f>_xll.ohRangeRetrieveError(F35)</f>
        <v/>
      </c>
      <c r="H35" s="137"/>
      <c r="AH35" s="143"/>
      <c r="AI35" s="142">
        <v>29</v>
      </c>
      <c r="AJ35" s="140" t="b">
        <v>0</v>
      </c>
      <c r="AK35" s="140" t="str">
        <v>M6</v>
      </c>
      <c r="AL35" s="245" t="str">
        <f t="shared" si="2"/>
        <v>GBPFUT1MM6_Quote</v>
      </c>
      <c r="AM35" s="246" t="str">
        <f t="shared" si="3"/>
        <v>GBPFUT1MM6ConvAdj_Quote</v>
      </c>
      <c r="AN35" s="245" t="e">
        <f>_xll.qlFuturesConvAdjustmentQuote($AM35,IborIndex,$AK35,$AL35,Volatility,MeanReversion,Permanent,Trigger,ObjectOverwrite)</f>
        <v>#NUM!</v>
      </c>
      <c r="AO35" s="72" t="str">
        <f ca="1">_xll.ohRangeRetrieveError(AN35)</f>
        <v>qlFuturesConvAdjustmentQuote - ObjectHandler error: attempt to retrieve object with unknown ID 'GbpLibor1M'</v>
      </c>
    </row>
    <row r="36" spans="1:41" x14ac:dyDescent="0.2">
      <c r="A36" s="143"/>
      <c r="B36" s="142">
        <v>30</v>
      </c>
      <c r="C36" s="141" t="b">
        <v>0</v>
      </c>
      <c r="D36" s="140" t="str">
        <v>N6</v>
      </c>
      <c r="E36" s="139" t="str">
        <f t="shared" si="1"/>
        <v>GBPFUT1MN6_Quote</v>
      </c>
      <c r="F36" s="138" t="str">
        <f>_xll.qlSimpleQuote(E36,,PriceTickValue,Permanent,Trigger,ObjectOverwrite)</f>
        <v>GBPFUT1MN6_Quote#0000</v>
      </c>
      <c r="G36" s="101" t="str">
        <f>_xll.ohRangeRetrieveError(F36)</f>
        <v/>
      </c>
      <c r="H36" s="137"/>
      <c r="AH36" s="143"/>
      <c r="AI36" s="142">
        <v>30</v>
      </c>
      <c r="AJ36" s="140" t="b">
        <v>0</v>
      </c>
      <c r="AK36" s="140" t="str">
        <v>N6</v>
      </c>
      <c r="AL36" s="245" t="str">
        <f t="shared" si="2"/>
        <v>GBPFUT1MN6_Quote</v>
      </c>
      <c r="AM36" s="246" t="str">
        <f t="shared" si="3"/>
        <v>GBPFUT1MN6ConvAdj_Quote</v>
      </c>
      <c r="AN36" s="245" t="e">
        <f>_xll.qlFuturesConvAdjustmentQuote($AM36,IborIndex,$AK36,$AL36,Volatility,MeanReversion,Permanent,Trigger,ObjectOverwrite)</f>
        <v>#NUM!</v>
      </c>
      <c r="AO36" s="72" t="str">
        <f ca="1">_xll.ohRangeRetrieveError(AN36)</f>
        <v>qlFuturesConvAdjustmentQuote - ObjectHandler error: attempt to retrieve object with unknown ID 'GbpLibor1M'</v>
      </c>
    </row>
    <row r="37" spans="1:41" x14ac:dyDescent="0.2">
      <c r="A37" s="143"/>
      <c r="B37" s="142">
        <v>31</v>
      </c>
      <c r="C37" s="141" t="b">
        <v>0</v>
      </c>
      <c r="D37" s="140" t="str">
        <v>Q6</v>
      </c>
      <c r="E37" s="139" t="str">
        <f t="shared" si="1"/>
        <v>GBPFUT1MQ6_Quote</v>
      </c>
      <c r="F37" s="138" t="str">
        <f>_xll.qlSimpleQuote(E37,,PriceTickValue,Permanent,Trigger,ObjectOverwrite)</f>
        <v>GBPFUT1MQ6_Quote#0000</v>
      </c>
      <c r="G37" s="101" t="str">
        <f>_xll.ohRangeRetrieveError(F37)</f>
        <v/>
      </c>
      <c r="H37" s="137"/>
      <c r="AH37" s="143"/>
      <c r="AI37" s="142">
        <v>31</v>
      </c>
      <c r="AJ37" s="140" t="b">
        <v>0</v>
      </c>
      <c r="AK37" s="140" t="str">
        <v>Q6</v>
      </c>
      <c r="AL37" s="245" t="str">
        <f t="shared" si="2"/>
        <v>GBPFUT1MQ6_Quote</v>
      </c>
      <c r="AM37" s="246" t="str">
        <f t="shared" si="3"/>
        <v>GBPFUT1MQ6ConvAdj_Quote</v>
      </c>
      <c r="AN37" s="245" t="e">
        <f>_xll.qlFuturesConvAdjustmentQuote($AM37,IborIndex,$AK37,$AL37,Volatility,MeanReversion,Permanent,Trigger,ObjectOverwrite)</f>
        <v>#NUM!</v>
      </c>
      <c r="AO37" s="72" t="str">
        <f ca="1">_xll.ohRangeRetrieveError(AN37)</f>
        <v>qlFuturesConvAdjustmentQuote - ObjectHandler error: attempt to retrieve object with unknown ID 'GbpLibor1M'</v>
      </c>
    </row>
    <row r="38" spans="1:41" x14ac:dyDescent="0.2">
      <c r="A38" s="143"/>
      <c r="B38" s="142">
        <v>32</v>
      </c>
      <c r="C38" s="141" t="b">
        <v>0</v>
      </c>
      <c r="D38" s="140" t="str">
        <v>U6</v>
      </c>
      <c r="E38" s="139" t="str">
        <f t="shared" si="1"/>
        <v>GBPFUT1MU6_Quote</v>
      </c>
      <c r="F38" s="138" t="str">
        <f>_xll.qlSimpleQuote(E38,,PriceTickValue,Permanent,Trigger,ObjectOverwrite)</f>
        <v>GBPFUT1MU6_Quote#0000</v>
      </c>
      <c r="G38" s="101" t="str">
        <f>_xll.ohRangeRetrieveError(F38)</f>
        <v/>
      </c>
      <c r="H38" s="137"/>
      <c r="AH38" s="143"/>
      <c r="AI38" s="142">
        <v>32</v>
      </c>
      <c r="AJ38" s="140" t="b">
        <v>0</v>
      </c>
      <c r="AK38" s="140" t="str">
        <v>U6</v>
      </c>
      <c r="AL38" s="245" t="str">
        <f t="shared" si="2"/>
        <v>GBPFUT1MU6_Quote</v>
      </c>
      <c r="AM38" s="246" t="str">
        <f t="shared" si="3"/>
        <v>GBPFUT1MU6ConvAdj_Quote</v>
      </c>
      <c r="AN38" s="245" t="e">
        <f>_xll.qlFuturesConvAdjustmentQuote($AM38,IborIndex,$AK38,$AL38,Volatility,MeanReversion,Permanent,Trigger,ObjectOverwrite)</f>
        <v>#NUM!</v>
      </c>
      <c r="AO38" s="72" t="str">
        <f ca="1">_xll.ohRangeRetrieveError(AN38)</f>
        <v>qlFuturesConvAdjustmentQuote - ObjectHandler error: attempt to retrieve object with unknown ID 'GbpLibor1M'</v>
      </c>
    </row>
    <row r="39" spans="1:41" x14ac:dyDescent="0.2">
      <c r="A39" s="143"/>
      <c r="B39" s="142">
        <v>33</v>
      </c>
      <c r="C39" s="141" t="b">
        <v>0</v>
      </c>
      <c r="D39" s="140" t="str">
        <v>V6</v>
      </c>
      <c r="E39" s="139" t="str">
        <f t="shared" ref="E39:E70" si="4">Currency&amp;$D$5&amp;$E$5&amp;$D39&amp;QuoteSuffix</f>
        <v>GBPFUT1MV6_Quote</v>
      </c>
      <c r="F39" s="138" t="str">
        <f>_xll.qlSimpleQuote(E39,,PriceTickValue,Permanent,Trigger,ObjectOverwrite)</f>
        <v>GBPFUT1MV6_Quote#0000</v>
      </c>
      <c r="G39" s="101" t="str">
        <f>_xll.ohRangeRetrieveError(F39)</f>
        <v/>
      </c>
      <c r="H39" s="137"/>
      <c r="AH39" s="143"/>
      <c r="AI39" s="142">
        <v>33</v>
      </c>
      <c r="AJ39" s="140" t="b">
        <v>0</v>
      </c>
      <c r="AK39" s="140" t="str">
        <v>V6</v>
      </c>
      <c r="AL39" s="245" t="str">
        <f t="shared" ref="AL39:AL70" si="5">Currency&amp;"FUT"&amp;$AN$4&amp;$AK39&amp;QuoteSuffix</f>
        <v>GBPFUT1MV6_Quote</v>
      </c>
      <c r="AM39" s="246" t="str">
        <f t="shared" ref="AM39:AM70" si="6">Currency&amp;"FUT"&amp;$AN$4&amp;$AK39&amp;"ConvAdj"&amp;QuoteSuffix</f>
        <v>GBPFUT1MV6ConvAdj_Quote</v>
      </c>
      <c r="AN39" s="245" t="e">
        <f>_xll.qlFuturesConvAdjustmentQuote($AM39,IborIndex,$AK39,$AL39,Volatility,MeanReversion,Permanent,Trigger,ObjectOverwrite)</f>
        <v>#NUM!</v>
      </c>
      <c r="AO39" s="72" t="str">
        <f ca="1">_xll.ohRangeRetrieveError(AN39)</f>
        <v>qlFuturesConvAdjustmentQuote - ObjectHandler error: attempt to retrieve object with unknown ID 'GbpLibor1M'</v>
      </c>
    </row>
    <row r="40" spans="1:41" x14ac:dyDescent="0.2">
      <c r="A40" s="143"/>
      <c r="B40" s="142">
        <v>34</v>
      </c>
      <c r="C40" s="141" t="b">
        <v>0</v>
      </c>
      <c r="D40" s="140" t="str">
        <v>X6</v>
      </c>
      <c r="E40" s="139" t="str">
        <f t="shared" si="4"/>
        <v>GBPFUT1MX6_Quote</v>
      </c>
      <c r="F40" s="138" t="str">
        <f>_xll.qlSimpleQuote(E40,,PriceTickValue,Permanent,Trigger,ObjectOverwrite)</f>
        <v>GBPFUT1MX6_Quote#0000</v>
      </c>
      <c r="G40" s="101" t="str">
        <f>_xll.ohRangeRetrieveError(F40)</f>
        <v/>
      </c>
      <c r="H40" s="137"/>
      <c r="AH40" s="143"/>
      <c r="AI40" s="142">
        <v>34</v>
      </c>
      <c r="AJ40" s="140" t="b">
        <v>0</v>
      </c>
      <c r="AK40" s="140" t="str">
        <v>X6</v>
      </c>
      <c r="AL40" s="245" t="str">
        <f t="shared" si="5"/>
        <v>GBPFUT1MX6_Quote</v>
      </c>
      <c r="AM40" s="246" t="str">
        <f t="shared" si="6"/>
        <v>GBPFUT1MX6ConvAdj_Quote</v>
      </c>
      <c r="AN40" s="245" t="e">
        <f>_xll.qlFuturesConvAdjustmentQuote($AM40,IborIndex,$AK40,$AL40,Volatility,MeanReversion,Permanent,Trigger,ObjectOverwrite)</f>
        <v>#NUM!</v>
      </c>
      <c r="AO40" s="72" t="str">
        <f ca="1">_xll.ohRangeRetrieveError(AN40)</f>
        <v>qlFuturesConvAdjustmentQuote - ObjectHandler error: attempt to retrieve object with unknown ID 'GbpLibor1M'</v>
      </c>
    </row>
    <row r="41" spans="1:41" x14ac:dyDescent="0.2">
      <c r="A41" s="143"/>
      <c r="B41" s="142">
        <v>35</v>
      </c>
      <c r="C41" s="141" t="b">
        <v>0</v>
      </c>
      <c r="D41" s="140" t="str">
        <v>Z6</v>
      </c>
      <c r="E41" s="139" t="str">
        <f t="shared" si="4"/>
        <v>GBPFUT1MZ6_Quote</v>
      </c>
      <c r="F41" s="138" t="str">
        <f>_xll.qlSimpleQuote(E41,,PriceTickValue,Permanent,Trigger,ObjectOverwrite)</f>
        <v>GBPFUT1MZ6_Quote#0000</v>
      </c>
      <c r="G41" s="101" t="str">
        <f>_xll.ohRangeRetrieveError(F41)</f>
        <v/>
      </c>
      <c r="H41" s="137"/>
      <c r="AH41" s="143"/>
      <c r="AI41" s="142">
        <v>35</v>
      </c>
      <c r="AJ41" s="140" t="b">
        <v>0</v>
      </c>
      <c r="AK41" s="140" t="str">
        <v>Z6</v>
      </c>
      <c r="AL41" s="245" t="str">
        <f t="shared" si="5"/>
        <v>GBPFUT1MZ6_Quote</v>
      </c>
      <c r="AM41" s="246" t="str">
        <f t="shared" si="6"/>
        <v>GBPFUT1MZ6ConvAdj_Quote</v>
      </c>
      <c r="AN41" s="245" t="e">
        <f>_xll.qlFuturesConvAdjustmentQuote($AM41,IborIndex,$AK41,$AL41,Volatility,MeanReversion,Permanent,Trigger,ObjectOverwrite)</f>
        <v>#NUM!</v>
      </c>
      <c r="AO41" s="72" t="str">
        <f ca="1">_xll.ohRangeRetrieveError(AN41)</f>
        <v>qlFuturesConvAdjustmentQuote - ObjectHandler error: attempt to retrieve object with unknown ID 'GbpLibor1M'</v>
      </c>
    </row>
    <row r="42" spans="1:41" x14ac:dyDescent="0.2">
      <c r="A42" s="143"/>
      <c r="B42" s="142">
        <v>36</v>
      </c>
      <c r="C42" s="141" t="b">
        <v>0</v>
      </c>
      <c r="D42" s="140" t="str">
        <v>F7</v>
      </c>
      <c r="E42" s="139" t="str">
        <f t="shared" si="4"/>
        <v>GBPFUT1MF7_Quote</v>
      </c>
      <c r="F42" s="138" t="str">
        <f>_xll.qlSimpleQuote(E42,,PriceTickValue,Permanent,Trigger,ObjectOverwrite)</f>
        <v>GBPFUT1MF7_Quote#0000</v>
      </c>
      <c r="G42" s="101" t="str">
        <f>_xll.ohRangeRetrieveError(F42)</f>
        <v/>
      </c>
      <c r="H42" s="137"/>
      <c r="AH42" s="143"/>
      <c r="AI42" s="142">
        <v>36</v>
      </c>
      <c r="AJ42" s="140" t="b">
        <v>0</v>
      </c>
      <c r="AK42" s="140" t="str">
        <v>F7</v>
      </c>
      <c r="AL42" s="245" t="str">
        <f t="shared" si="5"/>
        <v>GBPFUT1MF7_Quote</v>
      </c>
      <c r="AM42" s="246" t="str">
        <f t="shared" si="6"/>
        <v>GBPFUT1MF7ConvAdj_Quote</v>
      </c>
      <c r="AN42" s="245" t="e">
        <f>_xll.qlFuturesConvAdjustmentQuote($AM42,IborIndex,$AK42,$AL42,Volatility,MeanReversion,Permanent,Trigger,ObjectOverwrite)</f>
        <v>#NUM!</v>
      </c>
      <c r="AO42" s="72" t="str">
        <f ca="1">_xll.ohRangeRetrieveError(AN42)</f>
        <v>qlFuturesConvAdjustmentQuote - ObjectHandler error: attempt to retrieve object with unknown ID 'GbpLibor1M'</v>
      </c>
    </row>
    <row r="43" spans="1:41" x14ac:dyDescent="0.2">
      <c r="A43" s="143"/>
      <c r="B43" s="142">
        <v>37</v>
      </c>
      <c r="C43" s="141" t="b">
        <v>0</v>
      </c>
      <c r="D43" s="140" t="str">
        <v>G7</v>
      </c>
      <c r="E43" s="139" t="str">
        <f t="shared" si="4"/>
        <v>GBPFUT1MG7_Quote</v>
      </c>
      <c r="F43" s="138" t="str">
        <f>_xll.qlSimpleQuote(E43,,PriceTickValue,Permanent,Trigger,ObjectOverwrite)</f>
        <v>GBPFUT1MG7_Quote#0000</v>
      </c>
      <c r="G43" s="101" t="str">
        <f>_xll.ohRangeRetrieveError(F43)</f>
        <v/>
      </c>
      <c r="H43" s="137"/>
      <c r="AH43" s="143"/>
      <c r="AI43" s="142">
        <v>37</v>
      </c>
      <c r="AJ43" s="140" t="b">
        <v>0</v>
      </c>
      <c r="AK43" s="140" t="str">
        <v>G7</v>
      </c>
      <c r="AL43" s="245" t="str">
        <f t="shared" si="5"/>
        <v>GBPFUT1MG7_Quote</v>
      </c>
      <c r="AM43" s="246" t="str">
        <f t="shared" si="6"/>
        <v>GBPFUT1MG7ConvAdj_Quote</v>
      </c>
      <c r="AN43" s="245" t="e">
        <f>_xll.qlFuturesConvAdjustmentQuote($AM43,IborIndex,$AK43,$AL43,Volatility,MeanReversion,Permanent,Trigger,ObjectOverwrite)</f>
        <v>#NUM!</v>
      </c>
      <c r="AO43" s="72" t="str">
        <f ca="1">_xll.ohRangeRetrieveError(AN43)</f>
        <v>qlFuturesConvAdjustmentQuote - ObjectHandler error: attempt to retrieve object with unknown ID 'GbpLibor1M'</v>
      </c>
    </row>
    <row r="44" spans="1:41" x14ac:dyDescent="0.2">
      <c r="A44" s="143"/>
      <c r="B44" s="142">
        <v>38</v>
      </c>
      <c r="C44" s="141" t="b">
        <v>0</v>
      </c>
      <c r="D44" s="140" t="str">
        <v>H7</v>
      </c>
      <c r="E44" s="139" t="str">
        <f t="shared" si="4"/>
        <v>GBPFUT1MH7_Quote</v>
      </c>
      <c r="F44" s="138" t="str">
        <f>_xll.qlSimpleQuote(E44,,PriceTickValue,Permanent,Trigger,ObjectOverwrite)</f>
        <v>GBPFUT1MH7_Quote#0000</v>
      </c>
      <c r="G44" s="101" t="str">
        <f>_xll.ohRangeRetrieveError(F44)</f>
        <v/>
      </c>
      <c r="H44" s="137"/>
      <c r="AH44" s="143"/>
      <c r="AI44" s="142">
        <v>38</v>
      </c>
      <c r="AJ44" s="140" t="b">
        <v>0</v>
      </c>
      <c r="AK44" s="140" t="str">
        <v>H7</v>
      </c>
      <c r="AL44" s="245" t="str">
        <f t="shared" si="5"/>
        <v>GBPFUT1MH7_Quote</v>
      </c>
      <c r="AM44" s="246" t="str">
        <f t="shared" si="6"/>
        <v>GBPFUT1MH7ConvAdj_Quote</v>
      </c>
      <c r="AN44" s="245" t="e">
        <f>_xll.qlFuturesConvAdjustmentQuote($AM44,IborIndex,$AK44,$AL44,Volatility,MeanReversion,Permanent,Trigger,ObjectOverwrite)</f>
        <v>#NUM!</v>
      </c>
      <c r="AO44" s="72" t="str">
        <f ca="1">_xll.ohRangeRetrieveError(AN44)</f>
        <v>qlFuturesConvAdjustmentQuote - ObjectHandler error: attempt to retrieve object with unknown ID 'GbpLibor1M'</v>
      </c>
    </row>
    <row r="45" spans="1:41" x14ac:dyDescent="0.2">
      <c r="A45" s="143"/>
      <c r="B45" s="142">
        <v>39</v>
      </c>
      <c r="C45" s="141" t="b">
        <v>0</v>
      </c>
      <c r="D45" s="140" t="str">
        <v>J7</v>
      </c>
      <c r="E45" s="139" t="str">
        <f t="shared" si="4"/>
        <v>GBPFUT1MJ7_Quote</v>
      </c>
      <c r="F45" s="138" t="str">
        <f>_xll.qlSimpleQuote(E45,,PriceTickValue,Permanent,Trigger,ObjectOverwrite)</f>
        <v>GBPFUT1MJ7_Quote#0000</v>
      </c>
      <c r="G45" s="101" t="str">
        <f>_xll.ohRangeRetrieveError(F45)</f>
        <v/>
      </c>
      <c r="H45" s="137"/>
      <c r="AH45" s="143"/>
      <c r="AI45" s="142">
        <v>39</v>
      </c>
      <c r="AJ45" s="140" t="b">
        <v>0</v>
      </c>
      <c r="AK45" s="140" t="str">
        <v>J7</v>
      </c>
      <c r="AL45" s="245" t="str">
        <f t="shared" si="5"/>
        <v>GBPFUT1MJ7_Quote</v>
      </c>
      <c r="AM45" s="246" t="str">
        <f t="shared" si="6"/>
        <v>GBPFUT1MJ7ConvAdj_Quote</v>
      </c>
      <c r="AN45" s="245" t="e">
        <f>_xll.qlFuturesConvAdjustmentQuote($AM45,IborIndex,$AK45,$AL45,Volatility,MeanReversion,Permanent,Trigger,ObjectOverwrite)</f>
        <v>#NUM!</v>
      </c>
      <c r="AO45" s="72" t="str">
        <f ca="1">_xll.ohRangeRetrieveError(AN45)</f>
        <v>qlFuturesConvAdjustmentQuote - ObjectHandler error: attempt to retrieve object with unknown ID 'GbpLibor1M'</v>
      </c>
    </row>
    <row r="46" spans="1:41" x14ac:dyDescent="0.2">
      <c r="A46" s="143"/>
      <c r="B46" s="142">
        <v>40</v>
      </c>
      <c r="C46" s="141" t="b">
        <v>0</v>
      </c>
      <c r="D46" s="140" t="str">
        <v>K7</v>
      </c>
      <c r="E46" s="139" t="str">
        <f t="shared" si="4"/>
        <v>GBPFUT1MK7_Quote</v>
      </c>
      <c r="F46" s="138" t="str">
        <f>_xll.qlSimpleQuote(E46,,PriceTickValue,Permanent,Trigger,ObjectOverwrite)</f>
        <v>GBPFUT1MK7_Quote#0000</v>
      </c>
      <c r="G46" s="101" t="str">
        <f>_xll.ohRangeRetrieveError(F46)</f>
        <v/>
      </c>
      <c r="H46" s="137"/>
      <c r="AH46" s="143"/>
      <c r="AI46" s="142">
        <v>40</v>
      </c>
      <c r="AJ46" s="140" t="b">
        <v>0</v>
      </c>
      <c r="AK46" s="140" t="str">
        <v>K7</v>
      </c>
      <c r="AL46" s="245" t="str">
        <f t="shared" si="5"/>
        <v>GBPFUT1MK7_Quote</v>
      </c>
      <c r="AM46" s="246" t="str">
        <f t="shared" si="6"/>
        <v>GBPFUT1MK7ConvAdj_Quote</v>
      </c>
      <c r="AN46" s="245" t="e">
        <f>_xll.qlFuturesConvAdjustmentQuote($AM46,IborIndex,$AK46,$AL46,Volatility,MeanReversion,Permanent,Trigger,ObjectOverwrite)</f>
        <v>#NUM!</v>
      </c>
      <c r="AO46" s="72" t="str">
        <f ca="1">_xll.ohRangeRetrieveError(AN46)</f>
        <v>qlFuturesConvAdjustmentQuote - ObjectHandler error: attempt to retrieve object with unknown ID 'GbpLibor1M'</v>
      </c>
    </row>
    <row r="47" spans="1:41" x14ac:dyDescent="0.2">
      <c r="A47" s="143"/>
      <c r="B47" s="142">
        <v>41</v>
      </c>
      <c r="C47" s="141" t="b">
        <v>0</v>
      </c>
      <c r="D47" s="140" t="str">
        <v>M7</v>
      </c>
      <c r="E47" s="139" t="str">
        <f t="shared" si="4"/>
        <v>GBPFUT1MM7_Quote</v>
      </c>
      <c r="F47" s="138" t="str">
        <f>_xll.qlSimpleQuote(E47,,PriceTickValue,Permanent,Trigger,ObjectOverwrite)</f>
        <v>GBPFUT1MM7_Quote#0000</v>
      </c>
      <c r="G47" s="101" t="str">
        <f>_xll.ohRangeRetrieveError(F47)</f>
        <v/>
      </c>
      <c r="H47" s="137"/>
      <c r="AH47" s="143"/>
      <c r="AI47" s="142">
        <v>41</v>
      </c>
      <c r="AJ47" s="140" t="b">
        <v>0</v>
      </c>
      <c r="AK47" s="140" t="str">
        <v>M7</v>
      </c>
      <c r="AL47" s="245" t="str">
        <f t="shared" si="5"/>
        <v>GBPFUT1MM7_Quote</v>
      </c>
      <c r="AM47" s="246" t="str">
        <f t="shared" si="6"/>
        <v>GBPFUT1MM7ConvAdj_Quote</v>
      </c>
      <c r="AN47" s="245" t="e">
        <f>_xll.qlFuturesConvAdjustmentQuote($AM47,IborIndex,$AK47,$AL47,Volatility,MeanReversion,Permanent,Trigger,ObjectOverwrite)</f>
        <v>#NUM!</v>
      </c>
      <c r="AO47" s="72" t="str">
        <f ca="1">_xll.ohRangeRetrieveError(AN47)</f>
        <v>qlFuturesConvAdjustmentQuote - ObjectHandler error: attempt to retrieve object with unknown ID 'GbpLibor1M'</v>
      </c>
    </row>
    <row r="48" spans="1:41" x14ac:dyDescent="0.2">
      <c r="A48" s="143"/>
      <c r="B48" s="142">
        <v>42</v>
      </c>
      <c r="C48" s="141" t="b">
        <v>0</v>
      </c>
      <c r="D48" s="140" t="str">
        <v>N7</v>
      </c>
      <c r="E48" s="139" t="str">
        <f t="shared" si="4"/>
        <v>GBPFUT1MN7_Quote</v>
      </c>
      <c r="F48" s="138" t="str">
        <f>_xll.qlSimpleQuote(E48,,PriceTickValue,Permanent,Trigger,ObjectOverwrite)</f>
        <v>GBPFUT1MN7_Quote#0000</v>
      </c>
      <c r="G48" s="101" t="str">
        <f>_xll.ohRangeRetrieveError(F48)</f>
        <v/>
      </c>
      <c r="H48" s="137"/>
      <c r="AH48" s="143"/>
      <c r="AI48" s="142">
        <v>42</v>
      </c>
      <c r="AJ48" s="140" t="b">
        <v>0</v>
      </c>
      <c r="AK48" s="140" t="str">
        <v>N7</v>
      </c>
      <c r="AL48" s="245" t="str">
        <f t="shared" si="5"/>
        <v>GBPFUT1MN7_Quote</v>
      </c>
      <c r="AM48" s="246" t="str">
        <f t="shared" si="6"/>
        <v>GBPFUT1MN7ConvAdj_Quote</v>
      </c>
      <c r="AN48" s="245" t="e">
        <f>_xll.qlFuturesConvAdjustmentQuote($AM48,IborIndex,$AK48,$AL48,Volatility,MeanReversion,Permanent,Trigger,ObjectOverwrite)</f>
        <v>#NUM!</v>
      </c>
      <c r="AO48" s="72" t="str">
        <f ca="1">_xll.ohRangeRetrieveError(AN48)</f>
        <v>qlFuturesConvAdjustmentQuote - ObjectHandler error: attempt to retrieve object with unknown ID 'GbpLibor1M'</v>
      </c>
    </row>
    <row r="49" spans="1:41" x14ac:dyDescent="0.2">
      <c r="A49" s="143"/>
      <c r="B49" s="142">
        <v>43</v>
      </c>
      <c r="C49" s="141" t="b">
        <v>0</v>
      </c>
      <c r="D49" s="140" t="str">
        <v>Q7</v>
      </c>
      <c r="E49" s="139" t="str">
        <f t="shared" si="4"/>
        <v>GBPFUT1MQ7_Quote</v>
      </c>
      <c r="F49" s="138" t="str">
        <f>_xll.qlSimpleQuote(E49,,PriceTickValue,Permanent,Trigger,ObjectOverwrite)</f>
        <v>GBPFUT1MQ7_Quote#0000</v>
      </c>
      <c r="G49" s="101" t="str">
        <f>_xll.ohRangeRetrieveError(F49)</f>
        <v/>
      </c>
      <c r="H49" s="137"/>
      <c r="AH49" s="143"/>
      <c r="AI49" s="142">
        <v>43</v>
      </c>
      <c r="AJ49" s="140" t="b">
        <v>0</v>
      </c>
      <c r="AK49" s="140" t="str">
        <v>Q7</v>
      </c>
      <c r="AL49" s="245" t="str">
        <f t="shared" si="5"/>
        <v>GBPFUT1MQ7_Quote</v>
      </c>
      <c r="AM49" s="246" t="str">
        <f t="shared" si="6"/>
        <v>GBPFUT1MQ7ConvAdj_Quote</v>
      </c>
      <c r="AN49" s="245" t="e">
        <f>_xll.qlFuturesConvAdjustmentQuote($AM49,IborIndex,$AK49,$AL49,Volatility,MeanReversion,Permanent,Trigger,ObjectOverwrite)</f>
        <v>#NUM!</v>
      </c>
      <c r="AO49" s="72" t="str">
        <f ca="1">_xll.ohRangeRetrieveError(AN49)</f>
        <v>qlFuturesConvAdjustmentQuote - ObjectHandler error: attempt to retrieve object with unknown ID 'GbpLibor1M'</v>
      </c>
    </row>
    <row r="50" spans="1:41" x14ac:dyDescent="0.2">
      <c r="A50" s="143"/>
      <c r="B50" s="142">
        <v>44</v>
      </c>
      <c r="C50" s="141" t="b">
        <v>0</v>
      </c>
      <c r="D50" s="140" t="str">
        <v>U7</v>
      </c>
      <c r="E50" s="139" t="str">
        <f t="shared" si="4"/>
        <v>GBPFUT1MU7_Quote</v>
      </c>
      <c r="F50" s="138" t="str">
        <f>_xll.qlSimpleQuote(E50,,PriceTickValue,Permanent,Trigger,ObjectOverwrite)</f>
        <v>GBPFUT1MU7_Quote#0000</v>
      </c>
      <c r="G50" s="101" t="str">
        <f>_xll.ohRangeRetrieveError(F50)</f>
        <v/>
      </c>
      <c r="H50" s="137"/>
      <c r="AH50" s="143"/>
      <c r="AI50" s="142">
        <v>44</v>
      </c>
      <c r="AJ50" s="140" t="b">
        <v>0</v>
      </c>
      <c r="AK50" s="140" t="str">
        <v>U7</v>
      </c>
      <c r="AL50" s="245" t="str">
        <f t="shared" si="5"/>
        <v>GBPFUT1MU7_Quote</v>
      </c>
      <c r="AM50" s="246" t="str">
        <f t="shared" si="6"/>
        <v>GBPFUT1MU7ConvAdj_Quote</v>
      </c>
      <c r="AN50" s="245" t="e">
        <f>_xll.qlFuturesConvAdjustmentQuote($AM50,IborIndex,$AK50,$AL50,Volatility,MeanReversion,Permanent,Trigger,ObjectOverwrite)</f>
        <v>#NUM!</v>
      </c>
      <c r="AO50" s="72" t="str">
        <f ca="1">_xll.ohRangeRetrieveError(AN50)</f>
        <v>qlFuturesConvAdjustmentQuote - ObjectHandler error: attempt to retrieve object with unknown ID 'GbpLibor1M'</v>
      </c>
    </row>
    <row r="51" spans="1:41" x14ac:dyDescent="0.2">
      <c r="A51" s="143"/>
      <c r="B51" s="142">
        <v>45</v>
      </c>
      <c r="C51" s="141" t="b">
        <v>0</v>
      </c>
      <c r="D51" s="140" t="str">
        <v>V7</v>
      </c>
      <c r="E51" s="139" t="str">
        <f t="shared" si="4"/>
        <v>GBPFUT1MV7_Quote</v>
      </c>
      <c r="F51" s="138" t="str">
        <f>_xll.qlSimpleQuote(E51,,PriceTickValue,Permanent,Trigger,ObjectOverwrite)</f>
        <v>GBPFUT1MV7_Quote#0000</v>
      </c>
      <c r="G51" s="101" t="str">
        <f>_xll.ohRangeRetrieveError(F51)</f>
        <v/>
      </c>
      <c r="H51" s="137"/>
      <c r="AH51" s="143"/>
      <c r="AI51" s="142">
        <v>45</v>
      </c>
      <c r="AJ51" s="140" t="b">
        <v>0</v>
      </c>
      <c r="AK51" s="140" t="str">
        <v>V7</v>
      </c>
      <c r="AL51" s="245" t="str">
        <f t="shared" si="5"/>
        <v>GBPFUT1MV7_Quote</v>
      </c>
      <c r="AM51" s="246" t="str">
        <f t="shared" si="6"/>
        <v>GBPFUT1MV7ConvAdj_Quote</v>
      </c>
      <c r="AN51" s="245" t="e">
        <f>_xll.qlFuturesConvAdjustmentQuote($AM51,IborIndex,$AK51,$AL51,Volatility,MeanReversion,Permanent,Trigger,ObjectOverwrite)</f>
        <v>#NUM!</v>
      </c>
      <c r="AO51" s="72" t="str">
        <f ca="1">_xll.ohRangeRetrieveError(AN51)</f>
        <v>qlFuturesConvAdjustmentQuote - ObjectHandler error: attempt to retrieve object with unknown ID 'GbpLibor1M'</v>
      </c>
    </row>
    <row r="52" spans="1:41" x14ac:dyDescent="0.2">
      <c r="A52" s="143"/>
      <c r="B52" s="142">
        <v>46</v>
      </c>
      <c r="C52" s="141" t="b">
        <v>0</v>
      </c>
      <c r="D52" s="140" t="str">
        <v>X7</v>
      </c>
      <c r="E52" s="139" t="str">
        <f t="shared" si="4"/>
        <v>GBPFUT1MX7_Quote</v>
      </c>
      <c r="F52" s="138" t="str">
        <f>_xll.qlSimpleQuote(E52,,PriceTickValue,Permanent,Trigger,ObjectOverwrite)</f>
        <v>GBPFUT1MX7_Quote#0000</v>
      </c>
      <c r="G52" s="101" t="str">
        <f>_xll.ohRangeRetrieveError(F52)</f>
        <v/>
      </c>
      <c r="H52" s="137"/>
      <c r="AH52" s="143"/>
      <c r="AI52" s="142">
        <v>46</v>
      </c>
      <c r="AJ52" s="140" t="b">
        <v>0</v>
      </c>
      <c r="AK52" s="140" t="str">
        <v>X7</v>
      </c>
      <c r="AL52" s="245" t="str">
        <f t="shared" si="5"/>
        <v>GBPFUT1MX7_Quote</v>
      </c>
      <c r="AM52" s="246" t="str">
        <f t="shared" si="6"/>
        <v>GBPFUT1MX7ConvAdj_Quote</v>
      </c>
      <c r="AN52" s="245" t="e">
        <f>_xll.qlFuturesConvAdjustmentQuote($AM52,IborIndex,$AK52,$AL52,Volatility,MeanReversion,Permanent,Trigger,ObjectOverwrite)</f>
        <v>#NUM!</v>
      </c>
      <c r="AO52" s="72" t="str">
        <f ca="1">_xll.ohRangeRetrieveError(AN52)</f>
        <v>qlFuturesConvAdjustmentQuote - ObjectHandler error: attempt to retrieve object with unknown ID 'GbpLibor1M'</v>
      </c>
    </row>
    <row r="53" spans="1:41" x14ac:dyDescent="0.2">
      <c r="A53" s="143"/>
      <c r="B53" s="142">
        <v>47</v>
      </c>
      <c r="C53" s="141" t="b">
        <v>0</v>
      </c>
      <c r="D53" s="140" t="str">
        <v>Z7</v>
      </c>
      <c r="E53" s="139" t="str">
        <f t="shared" si="4"/>
        <v>GBPFUT1MZ7_Quote</v>
      </c>
      <c r="F53" s="138" t="str">
        <f>_xll.qlSimpleQuote(E53,,PriceTickValue,Permanent,Trigger,ObjectOverwrite)</f>
        <v>GBPFUT1MZ7_Quote#0000</v>
      </c>
      <c r="G53" s="101" t="str">
        <f>_xll.ohRangeRetrieveError(F53)</f>
        <v/>
      </c>
      <c r="H53" s="137"/>
      <c r="AH53" s="143"/>
      <c r="AI53" s="142">
        <v>47</v>
      </c>
      <c r="AJ53" s="140" t="b">
        <v>0</v>
      </c>
      <c r="AK53" s="140" t="str">
        <v>Z7</v>
      </c>
      <c r="AL53" s="245" t="str">
        <f t="shared" si="5"/>
        <v>GBPFUT1MZ7_Quote</v>
      </c>
      <c r="AM53" s="246" t="str">
        <f t="shared" si="6"/>
        <v>GBPFUT1MZ7ConvAdj_Quote</v>
      </c>
      <c r="AN53" s="245" t="e">
        <f>_xll.qlFuturesConvAdjustmentQuote($AM53,IborIndex,$AK53,$AL53,Volatility,MeanReversion,Permanent,Trigger,ObjectOverwrite)</f>
        <v>#NUM!</v>
      </c>
      <c r="AO53" s="72" t="str">
        <f ca="1">_xll.ohRangeRetrieveError(AN53)</f>
        <v>qlFuturesConvAdjustmentQuote - ObjectHandler error: attempt to retrieve object with unknown ID 'GbpLibor1M'</v>
      </c>
    </row>
    <row r="54" spans="1:41" x14ac:dyDescent="0.2">
      <c r="A54" s="143"/>
      <c r="B54" s="142">
        <v>48</v>
      </c>
      <c r="C54" s="141" t="b">
        <v>0</v>
      </c>
      <c r="D54" s="140" t="str">
        <v>F8</v>
      </c>
      <c r="E54" s="139" t="str">
        <f t="shared" si="4"/>
        <v>GBPFUT1MF8_Quote</v>
      </c>
      <c r="F54" s="138" t="str">
        <f>_xll.qlSimpleQuote(E54,,PriceTickValue,Permanent,Trigger,ObjectOverwrite)</f>
        <v>GBPFUT1MF8_Quote#0000</v>
      </c>
      <c r="G54" s="101" t="str">
        <f>_xll.ohRangeRetrieveError(F54)</f>
        <v/>
      </c>
      <c r="H54" s="137"/>
      <c r="AH54" s="143"/>
      <c r="AI54" s="142">
        <v>48</v>
      </c>
      <c r="AJ54" s="140" t="b">
        <v>0</v>
      </c>
      <c r="AK54" s="140" t="str">
        <v>F8</v>
      </c>
      <c r="AL54" s="245" t="str">
        <f t="shared" si="5"/>
        <v>GBPFUT1MF8_Quote</v>
      </c>
      <c r="AM54" s="246" t="str">
        <f t="shared" si="6"/>
        <v>GBPFUT1MF8ConvAdj_Quote</v>
      </c>
      <c r="AN54" s="245" t="e">
        <f>_xll.qlFuturesConvAdjustmentQuote($AM54,IborIndex,$AK54,$AL54,Volatility,MeanReversion,Permanent,Trigger,ObjectOverwrite)</f>
        <v>#NUM!</v>
      </c>
      <c r="AO54" s="72" t="str">
        <f ca="1">_xll.ohRangeRetrieveError(AN54)</f>
        <v>qlFuturesConvAdjustmentQuote - ObjectHandler error: attempt to retrieve object with unknown ID 'GbpLibor1M'</v>
      </c>
    </row>
    <row r="55" spans="1:41" x14ac:dyDescent="0.2">
      <c r="A55" s="143"/>
      <c r="B55" s="142">
        <v>49</v>
      </c>
      <c r="C55" s="141" t="b">
        <v>0</v>
      </c>
      <c r="D55" s="140" t="str">
        <v>G8</v>
      </c>
      <c r="E55" s="139" t="str">
        <f t="shared" si="4"/>
        <v>GBPFUT1MG8_Quote</v>
      </c>
      <c r="F55" s="138" t="str">
        <f>_xll.qlSimpleQuote(E55,,PriceTickValue,Permanent,Trigger,ObjectOverwrite)</f>
        <v>GBPFUT1MG8_Quote#0000</v>
      </c>
      <c r="G55" s="101" t="str">
        <f>_xll.ohRangeRetrieveError(F55)</f>
        <v/>
      </c>
      <c r="H55" s="137"/>
      <c r="AH55" s="143"/>
      <c r="AI55" s="142">
        <v>49</v>
      </c>
      <c r="AJ55" s="140" t="b">
        <v>0</v>
      </c>
      <c r="AK55" s="140" t="str">
        <v>G8</v>
      </c>
      <c r="AL55" s="245" t="str">
        <f t="shared" si="5"/>
        <v>GBPFUT1MG8_Quote</v>
      </c>
      <c r="AM55" s="246" t="str">
        <f t="shared" si="6"/>
        <v>GBPFUT1MG8ConvAdj_Quote</v>
      </c>
      <c r="AN55" s="245" t="e">
        <f>_xll.qlFuturesConvAdjustmentQuote($AM55,IborIndex,$AK55,$AL55,Volatility,MeanReversion,Permanent,Trigger,ObjectOverwrite)</f>
        <v>#NUM!</v>
      </c>
      <c r="AO55" s="72" t="str">
        <f ca="1">_xll.ohRangeRetrieveError(AN55)</f>
        <v>qlFuturesConvAdjustmentQuote - ObjectHandler error: attempt to retrieve object with unknown ID 'GbpLibor1M'</v>
      </c>
    </row>
    <row r="56" spans="1:41" x14ac:dyDescent="0.2">
      <c r="A56" s="143"/>
      <c r="B56" s="142">
        <v>50</v>
      </c>
      <c r="C56" s="141" t="b">
        <v>0</v>
      </c>
      <c r="D56" s="140" t="str">
        <v>H8</v>
      </c>
      <c r="E56" s="139" t="str">
        <f t="shared" si="4"/>
        <v>GBPFUT1MH8_Quote</v>
      </c>
      <c r="F56" s="138" t="str">
        <f>_xll.qlSimpleQuote(E56,,PriceTickValue,Permanent,Trigger,ObjectOverwrite)</f>
        <v>GBPFUT1MH8_Quote#0000</v>
      </c>
      <c r="G56" s="101" t="str">
        <f>_xll.ohRangeRetrieveError(F56)</f>
        <v/>
      </c>
      <c r="H56" s="137"/>
      <c r="AH56" s="143"/>
      <c r="AI56" s="142">
        <v>50</v>
      </c>
      <c r="AJ56" s="140" t="b">
        <v>0</v>
      </c>
      <c r="AK56" s="140" t="str">
        <v>H8</v>
      </c>
      <c r="AL56" s="245" t="str">
        <f t="shared" si="5"/>
        <v>GBPFUT1MH8_Quote</v>
      </c>
      <c r="AM56" s="246" t="str">
        <f t="shared" si="6"/>
        <v>GBPFUT1MH8ConvAdj_Quote</v>
      </c>
      <c r="AN56" s="245" t="e">
        <f>_xll.qlFuturesConvAdjustmentQuote($AM56,IborIndex,$AK56,$AL56,Volatility,MeanReversion,Permanent,Trigger,ObjectOverwrite)</f>
        <v>#NUM!</v>
      </c>
      <c r="AO56" s="72" t="str">
        <f ca="1">_xll.ohRangeRetrieveError(AN56)</f>
        <v>qlFuturesConvAdjustmentQuote - ObjectHandler error: attempt to retrieve object with unknown ID 'GbpLibor1M'</v>
      </c>
    </row>
    <row r="57" spans="1:41" x14ac:dyDescent="0.2">
      <c r="A57" s="143"/>
      <c r="B57" s="142">
        <v>51</v>
      </c>
      <c r="C57" s="141" t="b">
        <v>0</v>
      </c>
      <c r="D57" s="140" t="str">
        <v>J8</v>
      </c>
      <c r="E57" s="139" t="str">
        <f t="shared" si="4"/>
        <v>GBPFUT1MJ8_Quote</v>
      </c>
      <c r="F57" s="138" t="str">
        <f>_xll.qlSimpleQuote(E57,,PriceTickValue,Permanent,Trigger,ObjectOverwrite)</f>
        <v>GBPFUT1MJ8_Quote#0000</v>
      </c>
      <c r="G57" s="101" t="str">
        <f>_xll.ohRangeRetrieveError(F57)</f>
        <v/>
      </c>
      <c r="H57" s="137"/>
      <c r="AH57" s="143"/>
      <c r="AI57" s="142">
        <v>51</v>
      </c>
      <c r="AJ57" s="140" t="b">
        <v>0</v>
      </c>
      <c r="AK57" s="140" t="str">
        <v>J8</v>
      </c>
      <c r="AL57" s="245" t="str">
        <f t="shared" si="5"/>
        <v>GBPFUT1MJ8_Quote</v>
      </c>
      <c r="AM57" s="246" t="str">
        <f t="shared" si="6"/>
        <v>GBPFUT1MJ8ConvAdj_Quote</v>
      </c>
      <c r="AN57" s="245" t="e">
        <f>_xll.qlFuturesConvAdjustmentQuote($AM57,IborIndex,$AK57,$AL57,Volatility,MeanReversion,Permanent,Trigger,ObjectOverwrite)</f>
        <v>#NUM!</v>
      </c>
      <c r="AO57" s="72" t="str">
        <f ca="1">_xll.ohRangeRetrieveError(AN57)</f>
        <v>qlFuturesConvAdjustmentQuote - ObjectHandler error: attempt to retrieve object with unknown ID 'GbpLibor1M'</v>
      </c>
    </row>
    <row r="58" spans="1:41" x14ac:dyDescent="0.2">
      <c r="A58" s="143"/>
      <c r="B58" s="142">
        <v>52</v>
      </c>
      <c r="C58" s="141" t="b">
        <v>0</v>
      </c>
      <c r="D58" s="140" t="str">
        <v>K8</v>
      </c>
      <c r="E58" s="139" t="str">
        <f t="shared" si="4"/>
        <v>GBPFUT1MK8_Quote</v>
      </c>
      <c r="F58" s="138" t="str">
        <f>_xll.qlSimpleQuote(E58,,PriceTickValue,Permanent,Trigger,ObjectOverwrite)</f>
        <v>GBPFUT1MK8_Quote#0000</v>
      </c>
      <c r="G58" s="101" t="str">
        <f>_xll.ohRangeRetrieveError(F58)</f>
        <v/>
      </c>
      <c r="H58" s="137"/>
      <c r="AH58" s="143"/>
      <c r="AI58" s="142">
        <v>52</v>
      </c>
      <c r="AJ58" s="140" t="b">
        <v>0</v>
      </c>
      <c r="AK58" s="140" t="str">
        <v>K8</v>
      </c>
      <c r="AL58" s="245" t="str">
        <f t="shared" si="5"/>
        <v>GBPFUT1MK8_Quote</v>
      </c>
      <c r="AM58" s="246" t="str">
        <f t="shared" si="6"/>
        <v>GBPFUT1MK8ConvAdj_Quote</v>
      </c>
      <c r="AN58" s="245" t="e">
        <f>_xll.qlFuturesConvAdjustmentQuote($AM58,IborIndex,$AK58,$AL58,Volatility,MeanReversion,Permanent,Trigger,ObjectOverwrite)</f>
        <v>#NUM!</v>
      </c>
      <c r="AO58" s="72" t="str">
        <f ca="1">_xll.ohRangeRetrieveError(AN58)</f>
        <v>qlFuturesConvAdjustmentQuote - ObjectHandler error: attempt to retrieve object with unknown ID 'GbpLibor1M'</v>
      </c>
    </row>
    <row r="59" spans="1:41" x14ac:dyDescent="0.2">
      <c r="A59" s="143"/>
      <c r="B59" s="142">
        <v>53</v>
      </c>
      <c r="C59" s="141" t="b">
        <v>0</v>
      </c>
      <c r="D59" s="140" t="str">
        <v>M8</v>
      </c>
      <c r="E59" s="139" t="str">
        <f t="shared" si="4"/>
        <v>GBPFUT1MM8_Quote</v>
      </c>
      <c r="F59" s="138" t="str">
        <f>_xll.qlSimpleQuote(E59,,PriceTickValue,Permanent,Trigger,ObjectOverwrite)</f>
        <v>GBPFUT1MM8_Quote#0000</v>
      </c>
      <c r="G59" s="101" t="str">
        <f>_xll.ohRangeRetrieveError(F59)</f>
        <v/>
      </c>
      <c r="H59" s="137"/>
      <c r="AH59" s="143"/>
      <c r="AI59" s="142">
        <v>53</v>
      </c>
      <c r="AJ59" s="140" t="b">
        <v>0</v>
      </c>
      <c r="AK59" s="140" t="str">
        <v>M8</v>
      </c>
      <c r="AL59" s="245" t="str">
        <f t="shared" si="5"/>
        <v>GBPFUT1MM8_Quote</v>
      </c>
      <c r="AM59" s="246" t="str">
        <f t="shared" si="6"/>
        <v>GBPFUT1MM8ConvAdj_Quote</v>
      </c>
      <c r="AN59" s="245" t="e">
        <f>_xll.qlFuturesConvAdjustmentQuote($AM59,IborIndex,$AK59,$AL59,Volatility,MeanReversion,Permanent,Trigger,ObjectOverwrite)</f>
        <v>#NUM!</v>
      </c>
      <c r="AO59" s="72" t="str">
        <f ca="1">_xll.ohRangeRetrieveError(AN59)</f>
        <v>qlFuturesConvAdjustmentQuote - ObjectHandler error: attempt to retrieve object with unknown ID 'GbpLibor1M'</v>
      </c>
    </row>
    <row r="60" spans="1:41" x14ac:dyDescent="0.2">
      <c r="A60" s="143"/>
      <c r="B60" s="142">
        <v>54</v>
      </c>
      <c r="C60" s="141" t="b">
        <v>0</v>
      </c>
      <c r="D60" s="140" t="str">
        <v>N8</v>
      </c>
      <c r="E60" s="139" t="str">
        <f t="shared" si="4"/>
        <v>GBPFUT1MN8_Quote</v>
      </c>
      <c r="F60" s="138" t="str">
        <f>_xll.qlSimpleQuote(E60,,PriceTickValue,Permanent,Trigger,ObjectOverwrite)</f>
        <v>GBPFUT1MN8_Quote#0000</v>
      </c>
      <c r="G60" s="101" t="str">
        <f>_xll.ohRangeRetrieveError(F60)</f>
        <v/>
      </c>
      <c r="H60" s="137"/>
      <c r="AH60" s="143"/>
      <c r="AI60" s="142">
        <v>54</v>
      </c>
      <c r="AJ60" s="140" t="b">
        <v>0</v>
      </c>
      <c r="AK60" s="140" t="str">
        <v>N8</v>
      </c>
      <c r="AL60" s="245" t="str">
        <f t="shared" si="5"/>
        <v>GBPFUT1MN8_Quote</v>
      </c>
      <c r="AM60" s="246" t="str">
        <f t="shared" si="6"/>
        <v>GBPFUT1MN8ConvAdj_Quote</v>
      </c>
      <c r="AN60" s="245" t="e">
        <f>_xll.qlFuturesConvAdjustmentQuote($AM60,IborIndex,$AK60,$AL60,Volatility,MeanReversion,Permanent,Trigger,ObjectOverwrite)</f>
        <v>#NUM!</v>
      </c>
      <c r="AO60" s="72" t="str">
        <f ca="1">_xll.ohRangeRetrieveError(AN60)</f>
        <v>qlFuturesConvAdjustmentQuote - ObjectHandler error: attempt to retrieve object with unknown ID 'GbpLibor1M'</v>
      </c>
    </row>
    <row r="61" spans="1:41" x14ac:dyDescent="0.2">
      <c r="A61" s="143"/>
      <c r="B61" s="142">
        <v>55</v>
      </c>
      <c r="C61" s="141" t="b">
        <v>0</v>
      </c>
      <c r="D61" s="140" t="str">
        <v>Q8</v>
      </c>
      <c r="E61" s="139" t="str">
        <f t="shared" si="4"/>
        <v>GBPFUT1MQ8_Quote</v>
      </c>
      <c r="F61" s="138" t="str">
        <f>_xll.qlSimpleQuote(E61,,PriceTickValue,Permanent,Trigger,ObjectOverwrite)</f>
        <v>GBPFUT1MQ8_Quote#0000</v>
      </c>
      <c r="G61" s="101" t="str">
        <f>_xll.ohRangeRetrieveError(F61)</f>
        <v/>
      </c>
      <c r="H61" s="137"/>
      <c r="AH61" s="143"/>
      <c r="AI61" s="142">
        <v>55</v>
      </c>
      <c r="AJ61" s="140" t="b">
        <v>0</v>
      </c>
      <c r="AK61" s="140" t="str">
        <v>Q8</v>
      </c>
      <c r="AL61" s="245" t="str">
        <f t="shared" si="5"/>
        <v>GBPFUT1MQ8_Quote</v>
      </c>
      <c r="AM61" s="246" t="str">
        <f t="shared" si="6"/>
        <v>GBPFUT1MQ8ConvAdj_Quote</v>
      </c>
      <c r="AN61" s="245" t="e">
        <f>_xll.qlFuturesConvAdjustmentQuote($AM61,IborIndex,$AK61,$AL61,Volatility,MeanReversion,Permanent,Trigger,ObjectOverwrite)</f>
        <v>#NUM!</v>
      </c>
      <c r="AO61" s="72" t="str">
        <f ca="1">_xll.ohRangeRetrieveError(AN61)</f>
        <v>qlFuturesConvAdjustmentQuote - ObjectHandler error: attempt to retrieve object with unknown ID 'GbpLibor1M'</v>
      </c>
    </row>
    <row r="62" spans="1:41" x14ac:dyDescent="0.2">
      <c r="A62" s="143"/>
      <c r="B62" s="142">
        <v>56</v>
      </c>
      <c r="C62" s="141" t="b">
        <v>0</v>
      </c>
      <c r="D62" s="140" t="str">
        <v>U8</v>
      </c>
      <c r="E62" s="139" t="str">
        <f t="shared" si="4"/>
        <v>GBPFUT1MU8_Quote</v>
      </c>
      <c r="F62" s="138" t="str">
        <f>_xll.qlSimpleQuote(E62,,PriceTickValue,Permanent,Trigger,ObjectOverwrite)</f>
        <v>GBPFUT1MU8_Quote#0000</v>
      </c>
      <c r="G62" s="101" t="str">
        <f>_xll.ohRangeRetrieveError(F62)</f>
        <v/>
      </c>
      <c r="H62" s="137"/>
      <c r="AH62" s="143"/>
      <c r="AI62" s="142">
        <v>56</v>
      </c>
      <c r="AJ62" s="140" t="b">
        <v>0</v>
      </c>
      <c r="AK62" s="140" t="str">
        <v>U8</v>
      </c>
      <c r="AL62" s="245" t="str">
        <f t="shared" si="5"/>
        <v>GBPFUT1MU8_Quote</v>
      </c>
      <c r="AM62" s="246" t="str">
        <f t="shared" si="6"/>
        <v>GBPFUT1MU8ConvAdj_Quote</v>
      </c>
      <c r="AN62" s="245" t="e">
        <f>_xll.qlFuturesConvAdjustmentQuote($AM62,IborIndex,$AK62,$AL62,Volatility,MeanReversion,Permanent,Trigger,ObjectOverwrite)</f>
        <v>#NUM!</v>
      </c>
      <c r="AO62" s="72" t="str">
        <f ca="1">_xll.ohRangeRetrieveError(AN62)</f>
        <v>qlFuturesConvAdjustmentQuote - ObjectHandler error: attempt to retrieve object with unknown ID 'GbpLibor1M'</v>
      </c>
    </row>
    <row r="63" spans="1:41" x14ac:dyDescent="0.2">
      <c r="A63" s="143"/>
      <c r="B63" s="142">
        <v>57</v>
      </c>
      <c r="C63" s="141" t="b">
        <v>0</v>
      </c>
      <c r="D63" s="140" t="str">
        <v>V8</v>
      </c>
      <c r="E63" s="139" t="str">
        <f t="shared" si="4"/>
        <v>GBPFUT1MV8_Quote</v>
      </c>
      <c r="F63" s="138" t="str">
        <f>_xll.qlSimpleQuote(E63,,PriceTickValue,Permanent,Trigger,ObjectOverwrite)</f>
        <v>GBPFUT1MV8_Quote#0000</v>
      </c>
      <c r="G63" s="101" t="str">
        <f>_xll.ohRangeRetrieveError(F63)</f>
        <v/>
      </c>
      <c r="H63" s="137"/>
      <c r="AH63" s="143"/>
      <c r="AI63" s="142">
        <v>57</v>
      </c>
      <c r="AJ63" s="140" t="b">
        <v>0</v>
      </c>
      <c r="AK63" s="140" t="str">
        <v>V8</v>
      </c>
      <c r="AL63" s="245" t="str">
        <f t="shared" si="5"/>
        <v>GBPFUT1MV8_Quote</v>
      </c>
      <c r="AM63" s="246" t="str">
        <f t="shared" si="6"/>
        <v>GBPFUT1MV8ConvAdj_Quote</v>
      </c>
      <c r="AN63" s="245" t="e">
        <f>_xll.qlFuturesConvAdjustmentQuote($AM63,IborIndex,$AK63,$AL63,Volatility,MeanReversion,Permanent,Trigger,ObjectOverwrite)</f>
        <v>#NUM!</v>
      </c>
      <c r="AO63" s="72" t="str">
        <f ca="1">_xll.ohRangeRetrieveError(AN63)</f>
        <v>qlFuturesConvAdjustmentQuote - ObjectHandler error: attempt to retrieve object with unknown ID 'GbpLibor1M'</v>
      </c>
    </row>
    <row r="64" spans="1:41" x14ac:dyDescent="0.2">
      <c r="A64" s="143"/>
      <c r="B64" s="142">
        <v>58</v>
      </c>
      <c r="C64" s="141" t="b">
        <v>0</v>
      </c>
      <c r="D64" s="140" t="str">
        <v>X8</v>
      </c>
      <c r="E64" s="139" t="str">
        <f t="shared" si="4"/>
        <v>GBPFUT1MX8_Quote</v>
      </c>
      <c r="F64" s="138" t="str">
        <f>_xll.qlSimpleQuote(E64,,PriceTickValue,Permanent,Trigger,ObjectOverwrite)</f>
        <v>GBPFUT1MX8_Quote#0000</v>
      </c>
      <c r="G64" s="101" t="str">
        <f>_xll.ohRangeRetrieveError(F64)</f>
        <v/>
      </c>
      <c r="H64" s="137"/>
      <c r="AH64" s="143"/>
      <c r="AI64" s="142">
        <v>58</v>
      </c>
      <c r="AJ64" s="140" t="b">
        <v>0</v>
      </c>
      <c r="AK64" s="140" t="str">
        <v>X8</v>
      </c>
      <c r="AL64" s="245" t="str">
        <f t="shared" si="5"/>
        <v>GBPFUT1MX8_Quote</v>
      </c>
      <c r="AM64" s="246" t="str">
        <f t="shared" si="6"/>
        <v>GBPFUT1MX8ConvAdj_Quote</v>
      </c>
      <c r="AN64" s="245" t="e">
        <f>_xll.qlFuturesConvAdjustmentQuote($AM64,IborIndex,$AK64,$AL64,Volatility,MeanReversion,Permanent,Trigger,ObjectOverwrite)</f>
        <v>#NUM!</v>
      </c>
      <c r="AO64" s="72" t="str">
        <f ca="1">_xll.ohRangeRetrieveError(AN64)</f>
        <v>qlFuturesConvAdjustmentQuote - ObjectHandler error: attempt to retrieve object with unknown ID 'GbpLibor1M'</v>
      </c>
    </row>
    <row r="65" spans="1:41" x14ac:dyDescent="0.2">
      <c r="A65" s="143"/>
      <c r="B65" s="142">
        <v>59</v>
      </c>
      <c r="C65" s="141" t="b">
        <v>0</v>
      </c>
      <c r="D65" s="140" t="str">
        <v>Z8</v>
      </c>
      <c r="E65" s="139" t="str">
        <f t="shared" si="4"/>
        <v>GBPFUT1MZ8_Quote</v>
      </c>
      <c r="F65" s="138" t="str">
        <f>_xll.qlSimpleQuote(E65,,PriceTickValue,Permanent,Trigger,ObjectOverwrite)</f>
        <v>GBPFUT1MZ8_Quote#0000</v>
      </c>
      <c r="G65" s="101" t="str">
        <f>_xll.ohRangeRetrieveError(F65)</f>
        <v/>
      </c>
      <c r="H65" s="137"/>
      <c r="AH65" s="143"/>
      <c r="AI65" s="142">
        <v>59</v>
      </c>
      <c r="AJ65" s="140" t="b">
        <v>0</v>
      </c>
      <c r="AK65" s="140" t="str">
        <v>Z8</v>
      </c>
      <c r="AL65" s="245" t="str">
        <f t="shared" si="5"/>
        <v>GBPFUT1MZ8_Quote</v>
      </c>
      <c r="AM65" s="246" t="str">
        <f t="shared" si="6"/>
        <v>GBPFUT1MZ8ConvAdj_Quote</v>
      </c>
      <c r="AN65" s="245" t="e">
        <f>_xll.qlFuturesConvAdjustmentQuote($AM65,IborIndex,$AK65,$AL65,Volatility,MeanReversion,Permanent,Trigger,ObjectOverwrite)</f>
        <v>#NUM!</v>
      </c>
      <c r="AO65" s="72" t="str">
        <f ca="1">_xll.ohRangeRetrieveError(AN65)</f>
        <v>qlFuturesConvAdjustmentQuote - ObjectHandler error: attempt to retrieve object with unknown ID 'GbpLibor1M'</v>
      </c>
    </row>
    <row r="66" spans="1:41" x14ac:dyDescent="0.2">
      <c r="A66" s="143"/>
      <c r="B66" s="142">
        <v>60</v>
      </c>
      <c r="C66" s="141" t="b">
        <v>0</v>
      </c>
      <c r="D66" s="140" t="str">
        <v>F9</v>
      </c>
      <c r="E66" s="139" t="str">
        <f t="shared" si="4"/>
        <v>GBPFUT1MF9_Quote</v>
      </c>
      <c r="F66" s="138" t="str">
        <f>_xll.qlSimpleQuote(E66,,PriceTickValue,Permanent,Trigger,ObjectOverwrite)</f>
        <v>GBPFUT1MF9_Quote#0000</v>
      </c>
      <c r="G66" s="101" t="str">
        <f>_xll.ohRangeRetrieveError(F66)</f>
        <v/>
      </c>
      <c r="H66" s="137"/>
      <c r="AH66" s="143"/>
      <c r="AI66" s="142">
        <v>60</v>
      </c>
      <c r="AJ66" s="140" t="b">
        <v>0</v>
      </c>
      <c r="AK66" s="140" t="str">
        <v>F9</v>
      </c>
      <c r="AL66" s="245" t="str">
        <f t="shared" si="5"/>
        <v>GBPFUT1MF9_Quote</v>
      </c>
      <c r="AM66" s="246" t="str">
        <f t="shared" si="6"/>
        <v>GBPFUT1MF9ConvAdj_Quote</v>
      </c>
      <c r="AN66" s="245" t="e">
        <f>_xll.qlFuturesConvAdjustmentQuote($AM66,IborIndex,$AK66,$AL66,Volatility,MeanReversion,Permanent,Trigger,ObjectOverwrite)</f>
        <v>#NUM!</v>
      </c>
      <c r="AO66" s="72" t="str">
        <f ca="1">_xll.ohRangeRetrieveError(AN66)</f>
        <v>qlFuturesConvAdjustmentQuote - ObjectHandler error: attempt to retrieve object with unknown ID 'GbpLibor1M'</v>
      </c>
    </row>
    <row r="67" spans="1:41" x14ac:dyDescent="0.2">
      <c r="A67" s="143"/>
      <c r="B67" s="142">
        <v>61</v>
      </c>
      <c r="C67" s="141" t="b">
        <v>0</v>
      </c>
      <c r="D67" s="140" t="str">
        <v>G9</v>
      </c>
      <c r="E67" s="139" t="str">
        <f t="shared" si="4"/>
        <v>GBPFUT1MG9_Quote</v>
      </c>
      <c r="F67" s="138" t="str">
        <f>_xll.qlSimpleQuote(E67,,PriceTickValue,Permanent,Trigger,ObjectOverwrite)</f>
        <v>GBPFUT1MG9_Quote#0000</v>
      </c>
      <c r="G67" s="101" t="str">
        <f>_xll.ohRangeRetrieveError(F67)</f>
        <v/>
      </c>
      <c r="H67" s="137"/>
      <c r="AH67" s="143"/>
      <c r="AI67" s="142">
        <v>61</v>
      </c>
      <c r="AJ67" s="140" t="b">
        <v>0</v>
      </c>
      <c r="AK67" s="140" t="str">
        <v>G9</v>
      </c>
      <c r="AL67" s="245" t="str">
        <f t="shared" si="5"/>
        <v>GBPFUT1MG9_Quote</v>
      </c>
      <c r="AM67" s="246" t="str">
        <f t="shared" si="6"/>
        <v>GBPFUT1MG9ConvAdj_Quote</v>
      </c>
      <c r="AN67" s="245" t="e">
        <f>_xll.qlFuturesConvAdjustmentQuote($AM67,IborIndex,$AK67,$AL67,Volatility,MeanReversion,Permanent,Trigger,ObjectOverwrite)</f>
        <v>#NUM!</v>
      </c>
      <c r="AO67" s="72" t="str">
        <f ca="1">_xll.ohRangeRetrieveError(AN67)</f>
        <v>qlFuturesConvAdjustmentQuote - ObjectHandler error: attempt to retrieve object with unknown ID 'GbpLibor1M'</v>
      </c>
    </row>
    <row r="68" spans="1:41" x14ac:dyDescent="0.2">
      <c r="A68" s="143"/>
      <c r="B68" s="142">
        <v>62</v>
      </c>
      <c r="C68" s="141" t="b">
        <v>0</v>
      </c>
      <c r="D68" s="140" t="str">
        <v>H9</v>
      </c>
      <c r="E68" s="139" t="str">
        <f t="shared" si="4"/>
        <v>GBPFUT1MH9_Quote</v>
      </c>
      <c r="F68" s="138" t="str">
        <f>_xll.qlSimpleQuote(E68,,PriceTickValue,Permanent,Trigger,ObjectOverwrite)</f>
        <v>GBPFUT1MH9_Quote#0000</v>
      </c>
      <c r="G68" s="101" t="str">
        <f>_xll.ohRangeRetrieveError(F68)</f>
        <v/>
      </c>
      <c r="H68" s="137"/>
      <c r="AH68" s="143"/>
      <c r="AI68" s="142">
        <v>62</v>
      </c>
      <c r="AJ68" s="140" t="b">
        <v>0</v>
      </c>
      <c r="AK68" s="140" t="str">
        <v>H9</v>
      </c>
      <c r="AL68" s="245" t="str">
        <f t="shared" si="5"/>
        <v>GBPFUT1MH9_Quote</v>
      </c>
      <c r="AM68" s="246" t="str">
        <f t="shared" si="6"/>
        <v>GBPFUT1MH9ConvAdj_Quote</v>
      </c>
      <c r="AN68" s="245" t="e">
        <f>_xll.qlFuturesConvAdjustmentQuote($AM68,IborIndex,$AK68,$AL68,Volatility,MeanReversion,Permanent,Trigger,ObjectOverwrite)</f>
        <v>#NUM!</v>
      </c>
      <c r="AO68" s="72" t="str">
        <f ca="1">_xll.ohRangeRetrieveError(AN68)</f>
        <v>qlFuturesConvAdjustmentQuote - ObjectHandler error: attempt to retrieve object with unknown ID 'GbpLibor1M'</v>
      </c>
    </row>
    <row r="69" spans="1:41" x14ac:dyDescent="0.2">
      <c r="A69" s="143"/>
      <c r="B69" s="142">
        <v>63</v>
      </c>
      <c r="C69" s="141" t="b">
        <v>0</v>
      </c>
      <c r="D69" s="140" t="str">
        <v>J9</v>
      </c>
      <c r="E69" s="139" t="str">
        <f t="shared" si="4"/>
        <v>GBPFUT1MJ9_Quote</v>
      </c>
      <c r="F69" s="138" t="str">
        <f>_xll.qlSimpleQuote(E69,,PriceTickValue,Permanent,Trigger,ObjectOverwrite)</f>
        <v>GBPFUT1MJ9_Quote#0000</v>
      </c>
      <c r="G69" s="101" t="str">
        <f>_xll.ohRangeRetrieveError(F69)</f>
        <v/>
      </c>
      <c r="H69" s="137"/>
      <c r="AH69" s="143"/>
      <c r="AI69" s="142">
        <v>63</v>
      </c>
      <c r="AJ69" s="140" t="b">
        <v>0</v>
      </c>
      <c r="AK69" s="140" t="str">
        <v>J9</v>
      </c>
      <c r="AL69" s="245" t="str">
        <f t="shared" si="5"/>
        <v>GBPFUT1MJ9_Quote</v>
      </c>
      <c r="AM69" s="246" t="str">
        <f t="shared" si="6"/>
        <v>GBPFUT1MJ9ConvAdj_Quote</v>
      </c>
      <c r="AN69" s="245" t="e">
        <f>_xll.qlFuturesConvAdjustmentQuote($AM69,IborIndex,$AK69,$AL69,Volatility,MeanReversion,Permanent,Trigger,ObjectOverwrite)</f>
        <v>#NUM!</v>
      </c>
      <c r="AO69" s="72" t="str">
        <f ca="1">_xll.ohRangeRetrieveError(AN69)</f>
        <v>qlFuturesConvAdjustmentQuote - ObjectHandler error: attempt to retrieve object with unknown ID 'GbpLibor1M'</v>
      </c>
    </row>
    <row r="70" spans="1:41" x14ac:dyDescent="0.2">
      <c r="A70" s="143"/>
      <c r="B70" s="142">
        <v>64</v>
      </c>
      <c r="C70" s="141" t="b">
        <v>0</v>
      </c>
      <c r="D70" s="140" t="str">
        <v>K9</v>
      </c>
      <c r="E70" s="139" t="str">
        <f t="shared" si="4"/>
        <v>GBPFUT1MK9_Quote</v>
      </c>
      <c r="F70" s="138" t="str">
        <f>_xll.qlSimpleQuote(E70,,PriceTickValue,Permanent,Trigger,ObjectOverwrite)</f>
        <v>GBPFUT1MK9_Quote#0000</v>
      </c>
      <c r="G70" s="101" t="str">
        <f>_xll.ohRangeRetrieveError(F70)</f>
        <v/>
      </c>
      <c r="H70" s="137"/>
      <c r="AH70" s="143"/>
      <c r="AI70" s="142">
        <v>64</v>
      </c>
      <c r="AJ70" s="140" t="b">
        <v>0</v>
      </c>
      <c r="AK70" s="140" t="str">
        <v>K9</v>
      </c>
      <c r="AL70" s="245" t="str">
        <f t="shared" si="5"/>
        <v>GBPFUT1MK9_Quote</v>
      </c>
      <c r="AM70" s="246" t="str">
        <f t="shared" si="6"/>
        <v>GBPFUT1MK9ConvAdj_Quote</v>
      </c>
      <c r="AN70" s="245" t="e">
        <f>_xll.qlFuturesConvAdjustmentQuote($AM70,IborIndex,$AK70,$AL70,Volatility,MeanReversion,Permanent,Trigger,ObjectOverwrite)</f>
        <v>#NUM!</v>
      </c>
      <c r="AO70" s="72" t="str">
        <f ca="1">_xll.ohRangeRetrieveError(AN70)</f>
        <v>qlFuturesConvAdjustmentQuote - ObjectHandler error: attempt to retrieve object with unknown ID 'GbpLibor1M'</v>
      </c>
    </row>
    <row r="71" spans="1:41" x14ac:dyDescent="0.2">
      <c r="A71" s="143"/>
      <c r="B71" s="142">
        <v>65</v>
      </c>
      <c r="C71" s="141" t="b">
        <v>0</v>
      </c>
      <c r="D71" s="140" t="str">
        <v>M9</v>
      </c>
      <c r="E71" s="139" t="str">
        <f t="shared" ref="E71:E102" si="7">Currency&amp;$D$5&amp;$E$5&amp;$D71&amp;QuoteSuffix</f>
        <v>GBPFUT1MM9_Quote</v>
      </c>
      <c r="F71" s="138" t="str">
        <f>_xll.qlSimpleQuote(E71,,PriceTickValue,Permanent,Trigger,ObjectOverwrite)</f>
        <v>GBPFUT1MM9_Quote#0000</v>
      </c>
      <c r="G71" s="101" t="str">
        <f>_xll.ohRangeRetrieveError(F71)</f>
        <v/>
      </c>
      <c r="H71" s="137"/>
      <c r="AH71" s="143"/>
      <c r="AI71" s="142">
        <v>65</v>
      </c>
      <c r="AJ71" s="140" t="b">
        <v>0</v>
      </c>
      <c r="AK71" s="140" t="str">
        <v>M9</v>
      </c>
      <c r="AL71" s="245" t="str">
        <f t="shared" ref="AL71:AL102" si="8">Currency&amp;"FUT"&amp;$AN$4&amp;$AK71&amp;QuoteSuffix</f>
        <v>GBPFUT1MM9_Quote</v>
      </c>
      <c r="AM71" s="246" t="str">
        <f t="shared" ref="AM71:AM102" si="9">Currency&amp;"FUT"&amp;$AN$4&amp;$AK71&amp;"ConvAdj"&amp;QuoteSuffix</f>
        <v>GBPFUT1MM9ConvAdj_Quote</v>
      </c>
      <c r="AN71" s="245" t="e">
        <f>_xll.qlFuturesConvAdjustmentQuote($AM71,IborIndex,$AK71,$AL71,Volatility,MeanReversion,Permanent,Trigger,ObjectOverwrite)</f>
        <v>#NUM!</v>
      </c>
      <c r="AO71" s="72" t="str">
        <f ca="1">_xll.ohRangeRetrieveError(AN71)</f>
        <v>qlFuturesConvAdjustmentQuote - ObjectHandler error: attempt to retrieve object with unknown ID 'GbpLibor1M'</v>
      </c>
    </row>
    <row r="72" spans="1:41" x14ac:dyDescent="0.2">
      <c r="A72" s="143"/>
      <c r="B72" s="142">
        <v>66</v>
      </c>
      <c r="C72" s="141" t="b">
        <v>0</v>
      </c>
      <c r="D72" s="140" t="str">
        <v>N9</v>
      </c>
      <c r="E72" s="139" t="str">
        <f t="shared" si="7"/>
        <v>GBPFUT1MN9_Quote</v>
      </c>
      <c r="F72" s="138" t="str">
        <f>_xll.qlSimpleQuote(E72,,PriceTickValue,Permanent,Trigger,ObjectOverwrite)</f>
        <v>GBPFUT1MN9_Quote#0000</v>
      </c>
      <c r="G72" s="101" t="str">
        <f>_xll.ohRangeRetrieveError(F72)</f>
        <v/>
      </c>
      <c r="H72" s="137"/>
      <c r="AH72" s="143"/>
      <c r="AI72" s="142">
        <v>66</v>
      </c>
      <c r="AJ72" s="140" t="b">
        <v>0</v>
      </c>
      <c r="AK72" s="140" t="str">
        <v>N9</v>
      </c>
      <c r="AL72" s="245" t="str">
        <f t="shared" si="8"/>
        <v>GBPFUT1MN9_Quote</v>
      </c>
      <c r="AM72" s="246" t="str">
        <f t="shared" si="9"/>
        <v>GBPFUT1MN9ConvAdj_Quote</v>
      </c>
      <c r="AN72" s="245" t="e">
        <f>_xll.qlFuturesConvAdjustmentQuote($AM72,IborIndex,$AK72,$AL72,Volatility,MeanReversion,Permanent,Trigger,ObjectOverwrite)</f>
        <v>#NUM!</v>
      </c>
      <c r="AO72" s="72" t="str">
        <f ca="1">_xll.ohRangeRetrieveError(AN72)</f>
        <v>qlFuturesConvAdjustmentQuote - ObjectHandler error: attempt to retrieve object with unknown ID 'GbpLibor1M'</v>
      </c>
    </row>
    <row r="73" spans="1:41" x14ac:dyDescent="0.2">
      <c r="A73" s="143"/>
      <c r="B73" s="142">
        <v>67</v>
      </c>
      <c r="C73" s="141" t="b">
        <v>0</v>
      </c>
      <c r="D73" s="140" t="str">
        <v>Q9</v>
      </c>
      <c r="E73" s="139" t="str">
        <f t="shared" si="7"/>
        <v>GBPFUT1MQ9_Quote</v>
      </c>
      <c r="F73" s="138" t="str">
        <f>_xll.qlSimpleQuote(E73,,PriceTickValue,Permanent,Trigger,ObjectOverwrite)</f>
        <v>GBPFUT1MQ9_Quote#0000</v>
      </c>
      <c r="G73" s="101" t="str">
        <f>_xll.ohRangeRetrieveError(F73)</f>
        <v/>
      </c>
      <c r="H73" s="137"/>
      <c r="AH73" s="143"/>
      <c r="AI73" s="142">
        <v>67</v>
      </c>
      <c r="AJ73" s="140" t="b">
        <v>0</v>
      </c>
      <c r="AK73" s="140" t="str">
        <v>Q9</v>
      </c>
      <c r="AL73" s="245" t="str">
        <f t="shared" si="8"/>
        <v>GBPFUT1MQ9_Quote</v>
      </c>
      <c r="AM73" s="246" t="str">
        <f t="shared" si="9"/>
        <v>GBPFUT1MQ9ConvAdj_Quote</v>
      </c>
      <c r="AN73" s="245" t="e">
        <f>_xll.qlFuturesConvAdjustmentQuote($AM73,IborIndex,$AK73,$AL73,Volatility,MeanReversion,Permanent,Trigger,ObjectOverwrite)</f>
        <v>#NUM!</v>
      </c>
      <c r="AO73" s="72" t="str">
        <f ca="1">_xll.ohRangeRetrieveError(AN73)</f>
        <v>qlFuturesConvAdjustmentQuote - ObjectHandler error: attempt to retrieve object with unknown ID 'GbpLibor1M'</v>
      </c>
    </row>
    <row r="74" spans="1:41" x14ac:dyDescent="0.2">
      <c r="A74" s="143"/>
      <c r="B74" s="142">
        <v>68</v>
      </c>
      <c r="C74" s="141" t="b">
        <v>0</v>
      </c>
      <c r="D74" s="140" t="str">
        <v>U9</v>
      </c>
      <c r="E74" s="139" t="str">
        <f t="shared" si="7"/>
        <v>GBPFUT1MU9_Quote</v>
      </c>
      <c r="F74" s="138" t="str">
        <f>_xll.qlSimpleQuote(E74,,PriceTickValue,Permanent,Trigger,ObjectOverwrite)</f>
        <v>GBPFUT1MU9_Quote#0000</v>
      </c>
      <c r="G74" s="101" t="str">
        <f>_xll.ohRangeRetrieveError(F74)</f>
        <v/>
      </c>
      <c r="H74" s="137"/>
      <c r="AH74" s="143"/>
      <c r="AI74" s="142">
        <v>68</v>
      </c>
      <c r="AJ74" s="140" t="b">
        <v>0</v>
      </c>
      <c r="AK74" s="140" t="str">
        <v>U9</v>
      </c>
      <c r="AL74" s="245" t="str">
        <f t="shared" si="8"/>
        <v>GBPFUT1MU9_Quote</v>
      </c>
      <c r="AM74" s="246" t="str">
        <f t="shared" si="9"/>
        <v>GBPFUT1MU9ConvAdj_Quote</v>
      </c>
      <c r="AN74" s="245" t="e">
        <f>_xll.qlFuturesConvAdjustmentQuote($AM74,IborIndex,$AK74,$AL74,Volatility,MeanReversion,Permanent,Trigger,ObjectOverwrite)</f>
        <v>#NUM!</v>
      </c>
      <c r="AO74" s="72" t="str">
        <f ca="1">_xll.ohRangeRetrieveError(AN74)</f>
        <v>qlFuturesConvAdjustmentQuote - ObjectHandler error: attempt to retrieve object with unknown ID 'GbpLibor1M'</v>
      </c>
    </row>
    <row r="75" spans="1:41" x14ac:dyDescent="0.2">
      <c r="A75" s="143"/>
      <c r="B75" s="142">
        <v>69</v>
      </c>
      <c r="C75" s="141" t="b">
        <v>0</v>
      </c>
      <c r="D75" s="140" t="str">
        <v>V9</v>
      </c>
      <c r="E75" s="139" t="str">
        <f t="shared" si="7"/>
        <v>GBPFUT1MV9_Quote</v>
      </c>
      <c r="F75" s="138" t="str">
        <f>_xll.qlSimpleQuote(E75,,PriceTickValue,Permanent,Trigger,ObjectOverwrite)</f>
        <v>GBPFUT1MV9_Quote#0000</v>
      </c>
      <c r="G75" s="101" t="str">
        <f>_xll.ohRangeRetrieveError(F75)</f>
        <v/>
      </c>
      <c r="H75" s="137"/>
      <c r="AH75" s="143"/>
      <c r="AI75" s="142">
        <v>69</v>
      </c>
      <c r="AJ75" s="140" t="b">
        <v>0</v>
      </c>
      <c r="AK75" s="140" t="str">
        <v>V9</v>
      </c>
      <c r="AL75" s="245" t="str">
        <f t="shared" si="8"/>
        <v>GBPFUT1MV9_Quote</v>
      </c>
      <c r="AM75" s="246" t="str">
        <f t="shared" si="9"/>
        <v>GBPFUT1MV9ConvAdj_Quote</v>
      </c>
      <c r="AN75" s="245" t="e">
        <f>_xll.qlFuturesConvAdjustmentQuote($AM75,IborIndex,$AK75,$AL75,Volatility,MeanReversion,Permanent,Trigger,ObjectOverwrite)</f>
        <v>#NUM!</v>
      </c>
      <c r="AO75" s="72" t="str">
        <f ca="1">_xll.ohRangeRetrieveError(AN75)</f>
        <v>qlFuturesConvAdjustmentQuote - ObjectHandler error: attempt to retrieve object with unknown ID 'GbpLibor1M'</v>
      </c>
    </row>
    <row r="76" spans="1:41" x14ac:dyDescent="0.2">
      <c r="A76" s="143"/>
      <c r="B76" s="142">
        <v>70</v>
      </c>
      <c r="C76" s="141" t="b">
        <v>0</v>
      </c>
      <c r="D76" s="140" t="str">
        <v>X9</v>
      </c>
      <c r="E76" s="139" t="str">
        <f t="shared" si="7"/>
        <v>GBPFUT1MX9_Quote</v>
      </c>
      <c r="F76" s="138" t="str">
        <f>_xll.qlSimpleQuote(E76,,PriceTickValue,Permanent,Trigger,ObjectOverwrite)</f>
        <v>GBPFUT1MX9_Quote#0000</v>
      </c>
      <c r="G76" s="101" t="str">
        <f>_xll.ohRangeRetrieveError(F76)</f>
        <v/>
      </c>
      <c r="H76" s="137"/>
      <c r="AH76" s="143"/>
      <c r="AI76" s="142">
        <v>70</v>
      </c>
      <c r="AJ76" s="140" t="b">
        <v>0</v>
      </c>
      <c r="AK76" s="140" t="str">
        <v>X9</v>
      </c>
      <c r="AL76" s="245" t="str">
        <f t="shared" si="8"/>
        <v>GBPFUT1MX9_Quote</v>
      </c>
      <c r="AM76" s="246" t="str">
        <f t="shared" si="9"/>
        <v>GBPFUT1MX9ConvAdj_Quote</v>
      </c>
      <c r="AN76" s="245" t="e">
        <f>_xll.qlFuturesConvAdjustmentQuote($AM76,IborIndex,$AK76,$AL76,Volatility,MeanReversion,Permanent,Trigger,ObjectOverwrite)</f>
        <v>#NUM!</v>
      </c>
      <c r="AO76" s="72" t="str">
        <f ca="1">_xll.ohRangeRetrieveError(AN76)</f>
        <v>qlFuturesConvAdjustmentQuote - ObjectHandler error: attempt to retrieve object with unknown ID 'GbpLibor1M'</v>
      </c>
    </row>
    <row r="77" spans="1:41" x14ac:dyDescent="0.2">
      <c r="A77" s="143"/>
      <c r="B77" s="142">
        <v>71</v>
      </c>
      <c r="C77" s="141" t="b">
        <v>0</v>
      </c>
      <c r="D77" s="140" t="str">
        <v>Z9</v>
      </c>
      <c r="E77" s="139" t="str">
        <f t="shared" si="7"/>
        <v>GBPFUT1MZ9_Quote</v>
      </c>
      <c r="F77" s="138" t="str">
        <f>_xll.qlSimpleQuote(E77,,PriceTickValue,Permanent,Trigger,ObjectOverwrite)</f>
        <v>GBPFUT1MZ9_Quote#0000</v>
      </c>
      <c r="G77" s="101" t="str">
        <f>_xll.ohRangeRetrieveError(F77)</f>
        <v/>
      </c>
      <c r="H77" s="137"/>
      <c r="AH77" s="143"/>
      <c r="AI77" s="142">
        <v>71</v>
      </c>
      <c r="AJ77" s="140" t="b">
        <v>0</v>
      </c>
      <c r="AK77" s="140" t="str">
        <v>Z9</v>
      </c>
      <c r="AL77" s="245" t="str">
        <f t="shared" si="8"/>
        <v>GBPFUT1MZ9_Quote</v>
      </c>
      <c r="AM77" s="246" t="str">
        <f t="shared" si="9"/>
        <v>GBPFUT1MZ9ConvAdj_Quote</v>
      </c>
      <c r="AN77" s="245" t="e">
        <f>_xll.qlFuturesConvAdjustmentQuote($AM77,IborIndex,$AK77,$AL77,Volatility,MeanReversion,Permanent,Trigger,ObjectOverwrite)</f>
        <v>#NUM!</v>
      </c>
      <c r="AO77" s="72" t="str">
        <f ca="1">_xll.ohRangeRetrieveError(AN77)</f>
        <v>qlFuturesConvAdjustmentQuote - ObjectHandler error: attempt to retrieve object with unknown ID 'GbpLibor1M'</v>
      </c>
    </row>
    <row r="78" spans="1:41" x14ac:dyDescent="0.2">
      <c r="A78" s="143"/>
      <c r="B78" s="142">
        <v>72</v>
      </c>
      <c r="C78" s="141" t="b">
        <v>0</v>
      </c>
      <c r="D78" s="140" t="str">
        <v>F0</v>
      </c>
      <c r="E78" s="139" t="str">
        <f t="shared" si="7"/>
        <v>GBPFUT1MF0_Quote</v>
      </c>
      <c r="F78" s="138" t="str">
        <f>_xll.qlSimpleQuote(E78,,PriceTickValue,Permanent,Trigger,ObjectOverwrite)</f>
        <v>GBPFUT1MF0_Quote#0000</v>
      </c>
      <c r="G78" s="101" t="str">
        <f>_xll.ohRangeRetrieveError(F78)</f>
        <v/>
      </c>
      <c r="H78" s="137"/>
      <c r="AH78" s="143"/>
      <c r="AI78" s="142">
        <v>72</v>
      </c>
      <c r="AJ78" s="140" t="b">
        <v>0</v>
      </c>
      <c r="AK78" s="140" t="str">
        <v>F0</v>
      </c>
      <c r="AL78" s="245" t="str">
        <f t="shared" si="8"/>
        <v>GBPFUT1MF0_Quote</v>
      </c>
      <c r="AM78" s="246" t="str">
        <f t="shared" si="9"/>
        <v>GBPFUT1MF0ConvAdj_Quote</v>
      </c>
      <c r="AN78" s="245" t="e">
        <f>_xll.qlFuturesConvAdjustmentQuote($AM78,IborIndex,$AK78,$AL78,Volatility,MeanReversion,Permanent,Trigger,ObjectOverwrite)</f>
        <v>#NUM!</v>
      </c>
      <c r="AO78" s="72" t="str">
        <f ca="1">_xll.ohRangeRetrieveError(AN78)</f>
        <v>qlFuturesConvAdjustmentQuote - ObjectHandler error: attempt to retrieve object with unknown ID 'GbpLibor1M'</v>
      </c>
    </row>
    <row r="79" spans="1:41" x14ac:dyDescent="0.2">
      <c r="A79" s="143"/>
      <c r="B79" s="142">
        <v>73</v>
      </c>
      <c r="C79" s="141" t="b">
        <v>0</v>
      </c>
      <c r="D79" s="140" t="str">
        <v>G0</v>
      </c>
      <c r="E79" s="139" t="str">
        <f t="shared" si="7"/>
        <v>GBPFUT1MG0_Quote</v>
      </c>
      <c r="F79" s="138" t="str">
        <f>_xll.qlSimpleQuote(E79,,PriceTickValue,Permanent,Trigger,ObjectOverwrite)</f>
        <v>GBPFUT1MG0_Quote#0000</v>
      </c>
      <c r="G79" s="101" t="str">
        <f>_xll.ohRangeRetrieveError(F79)</f>
        <v/>
      </c>
      <c r="H79" s="137"/>
      <c r="AH79" s="143"/>
      <c r="AI79" s="142">
        <v>73</v>
      </c>
      <c r="AJ79" s="140" t="b">
        <v>0</v>
      </c>
      <c r="AK79" s="140" t="str">
        <v>G0</v>
      </c>
      <c r="AL79" s="245" t="str">
        <f t="shared" si="8"/>
        <v>GBPFUT1MG0_Quote</v>
      </c>
      <c r="AM79" s="246" t="str">
        <f t="shared" si="9"/>
        <v>GBPFUT1MG0ConvAdj_Quote</v>
      </c>
      <c r="AN79" s="245" t="e">
        <f>_xll.qlFuturesConvAdjustmentQuote($AM79,IborIndex,$AK79,$AL79,Volatility,MeanReversion,Permanent,Trigger,ObjectOverwrite)</f>
        <v>#NUM!</v>
      </c>
      <c r="AO79" s="72" t="str">
        <f ca="1">_xll.ohRangeRetrieveError(AN79)</f>
        <v>qlFuturesConvAdjustmentQuote - ObjectHandler error: attempt to retrieve object with unknown ID 'GbpLibor1M'</v>
      </c>
    </row>
    <row r="80" spans="1:41" x14ac:dyDescent="0.2">
      <c r="A80" s="143"/>
      <c r="B80" s="142">
        <v>74</v>
      </c>
      <c r="C80" s="141" t="b">
        <v>0</v>
      </c>
      <c r="D80" s="140" t="str">
        <v>H0</v>
      </c>
      <c r="E80" s="139" t="str">
        <f t="shared" si="7"/>
        <v>GBPFUT1MH0_Quote</v>
      </c>
      <c r="F80" s="138" t="str">
        <f>_xll.qlSimpleQuote(E80,,PriceTickValue,Permanent,Trigger,ObjectOverwrite)</f>
        <v>GBPFUT1MH0_Quote#0000</v>
      </c>
      <c r="G80" s="101" t="str">
        <f>_xll.ohRangeRetrieveError(F80)</f>
        <v/>
      </c>
      <c r="H80" s="137"/>
      <c r="AH80" s="143"/>
      <c r="AI80" s="142">
        <v>74</v>
      </c>
      <c r="AJ80" s="140" t="b">
        <v>0</v>
      </c>
      <c r="AK80" s="140" t="str">
        <v>H0</v>
      </c>
      <c r="AL80" s="245" t="str">
        <f t="shared" si="8"/>
        <v>GBPFUT1MH0_Quote</v>
      </c>
      <c r="AM80" s="246" t="str">
        <f t="shared" si="9"/>
        <v>GBPFUT1MH0ConvAdj_Quote</v>
      </c>
      <c r="AN80" s="245" t="e">
        <f>_xll.qlFuturesConvAdjustmentQuote($AM80,IborIndex,$AK80,$AL80,Volatility,MeanReversion,Permanent,Trigger,ObjectOverwrite)</f>
        <v>#NUM!</v>
      </c>
      <c r="AO80" s="72" t="str">
        <f ca="1">_xll.ohRangeRetrieveError(AN80)</f>
        <v>qlFuturesConvAdjustmentQuote - ObjectHandler error: attempt to retrieve object with unknown ID 'GbpLibor1M'</v>
      </c>
    </row>
    <row r="81" spans="1:41" x14ac:dyDescent="0.2">
      <c r="A81" s="143"/>
      <c r="B81" s="142">
        <v>75</v>
      </c>
      <c r="C81" s="141" t="b">
        <v>0</v>
      </c>
      <c r="D81" s="140" t="str">
        <v>J0</v>
      </c>
      <c r="E81" s="139" t="str">
        <f t="shared" si="7"/>
        <v>GBPFUT1MJ0_Quote</v>
      </c>
      <c r="F81" s="138" t="str">
        <f>_xll.qlSimpleQuote(E81,,PriceTickValue,Permanent,Trigger,ObjectOverwrite)</f>
        <v>GBPFUT1MJ0_Quote#0000</v>
      </c>
      <c r="G81" s="101" t="str">
        <f>_xll.ohRangeRetrieveError(F81)</f>
        <v/>
      </c>
      <c r="H81" s="137"/>
      <c r="AH81" s="143"/>
      <c r="AI81" s="142">
        <v>75</v>
      </c>
      <c r="AJ81" s="140" t="b">
        <v>0</v>
      </c>
      <c r="AK81" s="140" t="str">
        <v>J0</v>
      </c>
      <c r="AL81" s="245" t="str">
        <f t="shared" si="8"/>
        <v>GBPFUT1MJ0_Quote</v>
      </c>
      <c r="AM81" s="246" t="str">
        <f t="shared" si="9"/>
        <v>GBPFUT1MJ0ConvAdj_Quote</v>
      </c>
      <c r="AN81" s="245" t="e">
        <f>_xll.qlFuturesConvAdjustmentQuote($AM81,IborIndex,$AK81,$AL81,Volatility,MeanReversion,Permanent,Trigger,ObjectOverwrite)</f>
        <v>#NUM!</v>
      </c>
      <c r="AO81" s="72" t="str">
        <f ca="1">_xll.ohRangeRetrieveError(AN81)</f>
        <v>qlFuturesConvAdjustmentQuote - ObjectHandler error: attempt to retrieve object with unknown ID 'GbpLibor1M'</v>
      </c>
    </row>
    <row r="82" spans="1:41" x14ac:dyDescent="0.2">
      <c r="A82" s="143"/>
      <c r="B82" s="142">
        <v>76</v>
      </c>
      <c r="C82" s="141" t="b">
        <v>0</v>
      </c>
      <c r="D82" s="140" t="str">
        <v>K0</v>
      </c>
      <c r="E82" s="139" t="str">
        <f t="shared" si="7"/>
        <v>GBPFUT1MK0_Quote</v>
      </c>
      <c r="F82" s="138" t="str">
        <f>_xll.qlSimpleQuote(E82,,PriceTickValue,Permanent,Trigger,ObjectOverwrite)</f>
        <v>GBPFUT1MK0_Quote#0000</v>
      </c>
      <c r="G82" s="101" t="str">
        <f>_xll.ohRangeRetrieveError(F82)</f>
        <v/>
      </c>
      <c r="H82" s="137"/>
      <c r="AH82" s="143"/>
      <c r="AI82" s="142">
        <v>76</v>
      </c>
      <c r="AJ82" s="140" t="b">
        <v>0</v>
      </c>
      <c r="AK82" s="140" t="str">
        <v>K0</v>
      </c>
      <c r="AL82" s="245" t="str">
        <f t="shared" si="8"/>
        <v>GBPFUT1MK0_Quote</v>
      </c>
      <c r="AM82" s="246" t="str">
        <f t="shared" si="9"/>
        <v>GBPFUT1MK0ConvAdj_Quote</v>
      </c>
      <c r="AN82" s="245" t="e">
        <f>_xll.qlFuturesConvAdjustmentQuote($AM82,IborIndex,$AK82,$AL82,Volatility,MeanReversion,Permanent,Trigger,ObjectOverwrite)</f>
        <v>#NUM!</v>
      </c>
      <c r="AO82" s="72" t="str">
        <f ca="1">_xll.ohRangeRetrieveError(AN82)</f>
        <v>qlFuturesConvAdjustmentQuote - ObjectHandler error: attempt to retrieve object with unknown ID 'GbpLibor1M'</v>
      </c>
    </row>
    <row r="83" spans="1:41" x14ac:dyDescent="0.2">
      <c r="A83" s="143"/>
      <c r="B83" s="142">
        <v>77</v>
      </c>
      <c r="C83" s="141" t="b">
        <v>0</v>
      </c>
      <c r="D83" s="140" t="str">
        <v>M0</v>
      </c>
      <c r="E83" s="139" t="str">
        <f t="shared" si="7"/>
        <v>GBPFUT1MM0_Quote</v>
      </c>
      <c r="F83" s="138" t="str">
        <f>_xll.qlSimpleQuote(E83,,PriceTickValue,Permanent,Trigger,ObjectOverwrite)</f>
        <v>GBPFUT1MM0_Quote#0000</v>
      </c>
      <c r="G83" s="101" t="str">
        <f>_xll.ohRangeRetrieveError(F83)</f>
        <v/>
      </c>
      <c r="H83" s="137"/>
      <c r="AH83" s="143"/>
      <c r="AI83" s="142">
        <v>77</v>
      </c>
      <c r="AJ83" s="140" t="b">
        <v>0</v>
      </c>
      <c r="AK83" s="140" t="str">
        <v>M0</v>
      </c>
      <c r="AL83" s="245" t="str">
        <f t="shared" si="8"/>
        <v>GBPFUT1MM0_Quote</v>
      </c>
      <c r="AM83" s="246" t="str">
        <f t="shared" si="9"/>
        <v>GBPFUT1MM0ConvAdj_Quote</v>
      </c>
      <c r="AN83" s="245" t="e">
        <f>_xll.qlFuturesConvAdjustmentQuote($AM83,IborIndex,$AK83,$AL83,Volatility,MeanReversion,Permanent,Trigger,ObjectOverwrite)</f>
        <v>#NUM!</v>
      </c>
      <c r="AO83" s="72" t="str">
        <f ca="1">_xll.ohRangeRetrieveError(AN83)</f>
        <v>qlFuturesConvAdjustmentQuote - ObjectHandler error: attempt to retrieve object with unknown ID 'GbpLibor1M'</v>
      </c>
    </row>
    <row r="84" spans="1:41" x14ac:dyDescent="0.2">
      <c r="A84" s="143"/>
      <c r="B84" s="142">
        <v>78</v>
      </c>
      <c r="C84" s="141" t="b">
        <v>0</v>
      </c>
      <c r="D84" s="140" t="str">
        <v>N0</v>
      </c>
      <c r="E84" s="139" t="str">
        <f t="shared" si="7"/>
        <v>GBPFUT1MN0_Quote</v>
      </c>
      <c r="F84" s="138" t="str">
        <f>_xll.qlSimpleQuote(E84,,PriceTickValue,Permanent,Trigger,ObjectOverwrite)</f>
        <v>GBPFUT1MN0_Quote#0000</v>
      </c>
      <c r="G84" s="101" t="str">
        <f>_xll.ohRangeRetrieveError(F84)</f>
        <v/>
      </c>
      <c r="H84" s="137"/>
      <c r="AH84" s="143"/>
      <c r="AI84" s="142">
        <v>78</v>
      </c>
      <c r="AJ84" s="140" t="b">
        <v>0</v>
      </c>
      <c r="AK84" s="140" t="str">
        <v>N0</v>
      </c>
      <c r="AL84" s="245" t="str">
        <f t="shared" si="8"/>
        <v>GBPFUT1MN0_Quote</v>
      </c>
      <c r="AM84" s="246" t="str">
        <f t="shared" si="9"/>
        <v>GBPFUT1MN0ConvAdj_Quote</v>
      </c>
      <c r="AN84" s="245" t="e">
        <f>_xll.qlFuturesConvAdjustmentQuote($AM84,IborIndex,$AK84,$AL84,Volatility,MeanReversion,Permanent,Trigger,ObjectOverwrite)</f>
        <v>#NUM!</v>
      </c>
      <c r="AO84" s="72" t="str">
        <f ca="1">_xll.ohRangeRetrieveError(AN84)</f>
        <v>qlFuturesConvAdjustmentQuote - ObjectHandler error: attempt to retrieve object with unknown ID 'GbpLibor1M'</v>
      </c>
    </row>
    <row r="85" spans="1:41" x14ac:dyDescent="0.2">
      <c r="A85" s="143"/>
      <c r="B85" s="142">
        <v>79</v>
      </c>
      <c r="C85" s="141" t="b">
        <v>0</v>
      </c>
      <c r="D85" s="140" t="str">
        <v>Q0</v>
      </c>
      <c r="E85" s="139" t="str">
        <f t="shared" si="7"/>
        <v>GBPFUT1MQ0_Quote</v>
      </c>
      <c r="F85" s="138" t="str">
        <f>_xll.qlSimpleQuote(E85,,PriceTickValue,Permanent,Trigger,ObjectOverwrite)</f>
        <v>GBPFUT1MQ0_Quote#0000</v>
      </c>
      <c r="G85" s="101" t="str">
        <f>_xll.ohRangeRetrieveError(F85)</f>
        <v/>
      </c>
      <c r="H85" s="137"/>
      <c r="AH85" s="143"/>
      <c r="AI85" s="142">
        <v>79</v>
      </c>
      <c r="AJ85" s="140" t="b">
        <v>0</v>
      </c>
      <c r="AK85" s="140" t="str">
        <v>Q0</v>
      </c>
      <c r="AL85" s="245" t="str">
        <f t="shared" si="8"/>
        <v>GBPFUT1MQ0_Quote</v>
      </c>
      <c r="AM85" s="246" t="str">
        <f t="shared" si="9"/>
        <v>GBPFUT1MQ0ConvAdj_Quote</v>
      </c>
      <c r="AN85" s="245" t="e">
        <f>_xll.qlFuturesConvAdjustmentQuote($AM85,IborIndex,$AK85,$AL85,Volatility,MeanReversion,Permanent,Trigger,ObjectOverwrite)</f>
        <v>#NUM!</v>
      </c>
      <c r="AO85" s="72" t="str">
        <f ca="1">_xll.ohRangeRetrieveError(AN85)</f>
        <v>qlFuturesConvAdjustmentQuote - ObjectHandler error: attempt to retrieve object with unknown ID 'GbpLibor1M'</v>
      </c>
    </row>
    <row r="86" spans="1:41" x14ac:dyDescent="0.2">
      <c r="A86" s="143"/>
      <c r="B86" s="142">
        <v>80</v>
      </c>
      <c r="C86" s="141" t="b">
        <v>0</v>
      </c>
      <c r="D86" s="140" t="str">
        <v>U0</v>
      </c>
      <c r="E86" s="139" t="str">
        <f t="shared" si="7"/>
        <v>GBPFUT1MU0_Quote</v>
      </c>
      <c r="F86" s="138" t="str">
        <f>_xll.qlSimpleQuote(E86,,PriceTickValue,Permanent,Trigger,ObjectOverwrite)</f>
        <v>GBPFUT1MU0_Quote#0000</v>
      </c>
      <c r="G86" s="101" t="str">
        <f>_xll.ohRangeRetrieveError(F86)</f>
        <v/>
      </c>
      <c r="H86" s="137"/>
      <c r="AH86" s="143"/>
      <c r="AI86" s="142">
        <v>80</v>
      </c>
      <c r="AJ86" s="140" t="b">
        <v>0</v>
      </c>
      <c r="AK86" s="140" t="str">
        <v>U0</v>
      </c>
      <c r="AL86" s="245" t="str">
        <f t="shared" si="8"/>
        <v>GBPFUT1MU0_Quote</v>
      </c>
      <c r="AM86" s="246" t="str">
        <f t="shared" si="9"/>
        <v>GBPFUT1MU0ConvAdj_Quote</v>
      </c>
      <c r="AN86" s="245" t="e">
        <f>_xll.qlFuturesConvAdjustmentQuote($AM86,IborIndex,$AK86,$AL86,Volatility,MeanReversion,Permanent,Trigger,ObjectOverwrite)</f>
        <v>#NUM!</v>
      </c>
      <c r="AO86" s="72" t="str">
        <f ca="1">_xll.ohRangeRetrieveError(AN86)</f>
        <v>qlFuturesConvAdjustmentQuote - ObjectHandler error: attempt to retrieve object with unknown ID 'GbpLibor1M'</v>
      </c>
    </row>
    <row r="87" spans="1:41" x14ac:dyDescent="0.2">
      <c r="A87" s="143"/>
      <c r="B87" s="142">
        <v>81</v>
      </c>
      <c r="C87" s="141" t="b">
        <v>0</v>
      </c>
      <c r="D87" s="140" t="str">
        <v>V0</v>
      </c>
      <c r="E87" s="139" t="str">
        <f t="shared" si="7"/>
        <v>GBPFUT1MV0_Quote</v>
      </c>
      <c r="F87" s="138" t="str">
        <f>_xll.qlSimpleQuote(E87,,PriceTickValue,Permanent,Trigger,ObjectOverwrite)</f>
        <v>GBPFUT1MV0_Quote#0000</v>
      </c>
      <c r="G87" s="101" t="str">
        <f>_xll.ohRangeRetrieveError(F87)</f>
        <v/>
      </c>
      <c r="H87" s="137"/>
      <c r="AH87" s="143"/>
      <c r="AI87" s="142">
        <v>81</v>
      </c>
      <c r="AJ87" s="140" t="b">
        <v>0</v>
      </c>
      <c r="AK87" s="140" t="str">
        <v>V0</v>
      </c>
      <c r="AL87" s="245" t="str">
        <f t="shared" si="8"/>
        <v>GBPFUT1MV0_Quote</v>
      </c>
      <c r="AM87" s="246" t="str">
        <f t="shared" si="9"/>
        <v>GBPFUT1MV0ConvAdj_Quote</v>
      </c>
      <c r="AN87" s="245" t="e">
        <f>_xll.qlFuturesConvAdjustmentQuote($AM87,IborIndex,$AK87,$AL87,Volatility,MeanReversion,Permanent,Trigger,ObjectOverwrite)</f>
        <v>#NUM!</v>
      </c>
      <c r="AO87" s="72" t="str">
        <f ca="1">_xll.ohRangeRetrieveError(AN87)</f>
        <v>qlFuturesConvAdjustmentQuote - ObjectHandler error: attempt to retrieve object with unknown ID 'GbpLibor1M'</v>
      </c>
    </row>
    <row r="88" spans="1:41" x14ac:dyDescent="0.2">
      <c r="A88" s="143"/>
      <c r="B88" s="142">
        <v>82</v>
      </c>
      <c r="C88" s="141" t="b">
        <v>0</v>
      </c>
      <c r="D88" s="140" t="str">
        <v>X0</v>
      </c>
      <c r="E88" s="139" t="str">
        <f t="shared" si="7"/>
        <v>GBPFUT1MX0_Quote</v>
      </c>
      <c r="F88" s="138" t="str">
        <f>_xll.qlSimpleQuote(E88,,PriceTickValue,Permanent,Trigger,ObjectOverwrite)</f>
        <v>GBPFUT1MX0_Quote#0000</v>
      </c>
      <c r="G88" s="101" t="str">
        <f>_xll.ohRangeRetrieveError(F88)</f>
        <v/>
      </c>
      <c r="H88" s="137"/>
      <c r="AH88" s="143"/>
      <c r="AI88" s="142">
        <v>82</v>
      </c>
      <c r="AJ88" s="140" t="b">
        <v>0</v>
      </c>
      <c r="AK88" s="140" t="str">
        <v>X0</v>
      </c>
      <c r="AL88" s="245" t="str">
        <f t="shared" si="8"/>
        <v>GBPFUT1MX0_Quote</v>
      </c>
      <c r="AM88" s="246" t="str">
        <f t="shared" si="9"/>
        <v>GBPFUT1MX0ConvAdj_Quote</v>
      </c>
      <c r="AN88" s="245" t="e">
        <f>_xll.qlFuturesConvAdjustmentQuote($AM88,IborIndex,$AK88,$AL88,Volatility,MeanReversion,Permanent,Trigger,ObjectOverwrite)</f>
        <v>#NUM!</v>
      </c>
      <c r="AO88" s="72" t="str">
        <f ca="1">_xll.ohRangeRetrieveError(AN88)</f>
        <v>qlFuturesConvAdjustmentQuote - ObjectHandler error: attempt to retrieve object with unknown ID 'GbpLibor1M'</v>
      </c>
    </row>
    <row r="89" spans="1:41" x14ac:dyDescent="0.2">
      <c r="A89" s="143"/>
      <c r="B89" s="142">
        <v>83</v>
      </c>
      <c r="C89" s="141" t="b">
        <v>0</v>
      </c>
      <c r="D89" s="140" t="str">
        <v>Z0</v>
      </c>
      <c r="E89" s="139" t="str">
        <f t="shared" si="7"/>
        <v>GBPFUT1MZ0_Quote</v>
      </c>
      <c r="F89" s="138" t="str">
        <f>_xll.qlSimpleQuote(E89,,PriceTickValue,Permanent,Trigger,ObjectOverwrite)</f>
        <v>GBPFUT1MZ0_Quote#0000</v>
      </c>
      <c r="G89" s="101" t="str">
        <f>_xll.ohRangeRetrieveError(F89)</f>
        <v/>
      </c>
      <c r="H89" s="137"/>
      <c r="AH89" s="143"/>
      <c r="AI89" s="142">
        <v>83</v>
      </c>
      <c r="AJ89" s="140" t="b">
        <v>0</v>
      </c>
      <c r="AK89" s="140" t="str">
        <v>Z0</v>
      </c>
      <c r="AL89" s="245" t="str">
        <f t="shared" si="8"/>
        <v>GBPFUT1MZ0_Quote</v>
      </c>
      <c r="AM89" s="246" t="str">
        <f t="shared" si="9"/>
        <v>GBPFUT1MZ0ConvAdj_Quote</v>
      </c>
      <c r="AN89" s="245" t="e">
        <f>_xll.qlFuturesConvAdjustmentQuote($AM89,IborIndex,$AK89,$AL89,Volatility,MeanReversion,Permanent,Trigger,ObjectOverwrite)</f>
        <v>#NUM!</v>
      </c>
      <c r="AO89" s="72" t="str">
        <f ca="1">_xll.ohRangeRetrieveError(AN89)</f>
        <v>qlFuturesConvAdjustmentQuote - ObjectHandler error: attempt to retrieve object with unknown ID 'GbpLibor1M'</v>
      </c>
    </row>
    <row r="90" spans="1:41" x14ac:dyDescent="0.2">
      <c r="A90" s="143"/>
      <c r="B90" s="142">
        <v>84</v>
      </c>
      <c r="C90" s="141" t="b">
        <v>0</v>
      </c>
      <c r="D90" s="140" t="str">
        <v>F1</v>
      </c>
      <c r="E90" s="139" t="str">
        <f t="shared" si="7"/>
        <v>GBPFUT1MF1_Quote</v>
      </c>
      <c r="F90" s="138" t="str">
        <f>_xll.qlSimpleQuote(E90,,PriceTickValue,Permanent,Trigger,ObjectOverwrite)</f>
        <v>GBPFUT1MF1_Quote#0000</v>
      </c>
      <c r="G90" s="101" t="str">
        <f>_xll.ohRangeRetrieveError(F90)</f>
        <v/>
      </c>
      <c r="H90" s="137"/>
      <c r="AH90" s="143"/>
      <c r="AI90" s="142">
        <v>84</v>
      </c>
      <c r="AJ90" s="140" t="b">
        <v>0</v>
      </c>
      <c r="AK90" s="140" t="str">
        <v>F1</v>
      </c>
      <c r="AL90" s="245" t="str">
        <f t="shared" si="8"/>
        <v>GBPFUT1MF1_Quote</v>
      </c>
      <c r="AM90" s="246" t="str">
        <f t="shared" si="9"/>
        <v>GBPFUT1MF1ConvAdj_Quote</v>
      </c>
      <c r="AN90" s="245" t="e">
        <f>_xll.qlFuturesConvAdjustmentQuote($AM90,IborIndex,$AK90,$AL90,Volatility,MeanReversion,Permanent,Trigger,ObjectOverwrite)</f>
        <v>#NUM!</v>
      </c>
      <c r="AO90" s="72" t="str">
        <f ca="1">_xll.ohRangeRetrieveError(AN90)</f>
        <v>qlFuturesConvAdjustmentQuote - ObjectHandler error: attempt to retrieve object with unknown ID 'GbpLibor1M'</v>
      </c>
    </row>
    <row r="91" spans="1:41" x14ac:dyDescent="0.2">
      <c r="A91" s="143"/>
      <c r="B91" s="142">
        <v>85</v>
      </c>
      <c r="C91" s="141" t="b">
        <v>0</v>
      </c>
      <c r="D91" s="140" t="str">
        <v>G1</v>
      </c>
      <c r="E91" s="139" t="str">
        <f t="shared" si="7"/>
        <v>GBPFUT1MG1_Quote</v>
      </c>
      <c r="F91" s="138" t="str">
        <f>_xll.qlSimpleQuote(E91,,PriceTickValue,Permanent,Trigger,ObjectOverwrite)</f>
        <v>GBPFUT1MG1_Quote#0000</v>
      </c>
      <c r="G91" s="101" t="str">
        <f>_xll.ohRangeRetrieveError(F91)</f>
        <v/>
      </c>
      <c r="H91" s="137"/>
      <c r="AH91" s="143"/>
      <c r="AI91" s="142">
        <v>85</v>
      </c>
      <c r="AJ91" s="140" t="b">
        <v>0</v>
      </c>
      <c r="AK91" s="140" t="str">
        <v>G1</v>
      </c>
      <c r="AL91" s="245" t="str">
        <f t="shared" si="8"/>
        <v>GBPFUT1MG1_Quote</v>
      </c>
      <c r="AM91" s="246" t="str">
        <f t="shared" si="9"/>
        <v>GBPFUT1MG1ConvAdj_Quote</v>
      </c>
      <c r="AN91" s="245" t="e">
        <f>_xll.qlFuturesConvAdjustmentQuote($AM91,IborIndex,$AK91,$AL91,Volatility,MeanReversion,Permanent,Trigger,ObjectOverwrite)</f>
        <v>#NUM!</v>
      </c>
      <c r="AO91" s="72" t="str">
        <f ca="1">_xll.ohRangeRetrieveError(AN91)</f>
        <v>qlFuturesConvAdjustmentQuote - ObjectHandler error: attempt to retrieve object with unknown ID 'GbpLibor1M'</v>
      </c>
    </row>
    <row r="92" spans="1:41" x14ac:dyDescent="0.2">
      <c r="A92" s="143"/>
      <c r="B92" s="142">
        <v>86</v>
      </c>
      <c r="C92" s="141" t="b">
        <v>0</v>
      </c>
      <c r="D92" s="140" t="str">
        <v>H1</v>
      </c>
      <c r="E92" s="139" t="str">
        <f t="shared" si="7"/>
        <v>GBPFUT1MH1_Quote</v>
      </c>
      <c r="F92" s="138" t="str">
        <f>_xll.qlSimpleQuote(E92,,PriceTickValue,Permanent,Trigger,ObjectOverwrite)</f>
        <v>GBPFUT1MH1_Quote#0000</v>
      </c>
      <c r="G92" s="101" t="str">
        <f>_xll.ohRangeRetrieveError(F92)</f>
        <v/>
      </c>
      <c r="H92" s="137"/>
      <c r="AH92" s="143"/>
      <c r="AI92" s="142">
        <v>86</v>
      </c>
      <c r="AJ92" s="140" t="b">
        <v>0</v>
      </c>
      <c r="AK92" s="140" t="str">
        <v>H1</v>
      </c>
      <c r="AL92" s="245" t="str">
        <f t="shared" si="8"/>
        <v>GBPFUT1MH1_Quote</v>
      </c>
      <c r="AM92" s="246" t="str">
        <f t="shared" si="9"/>
        <v>GBPFUT1MH1ConvAdj_Quote</v>
      </c>
      <c r="AN92" s="245" t="e">
        <f>_xll.qlFuturesConvAdjustmentQuote($AM92,IborIndex,$AK92,$AL92,Volatility,MeanReversion,Permanent,Trigger,ObjectOverwrite)</f>
        <v>#NUM!</v>
      </c>
      <c r="AO92" s="72" t="str">
        <f ca="1">_xll.ohRangeRetrieveError(AN92)</f>
        <v>qlFuturesConvAdjustmentQuote - ObjectHandler error: attempt to retrieve object with unknown ID 'GbpLibor1M'</v>
      </c>
    </row>
    <row r="93" spans="1:41" x14ac:dyDescent="0.2">
      <c r="A93" s="143"/>
      <c r="B93" s="142">
        <v>87</v>
      </c>
      <c r="C93" s="141" t="b">
        <v>0</v>
      </c>
      <c r="D93" s="140" t="str">
        <v>J1</v>
      </c>
      <c r="E93" s="139" t="str">
        <f t="shared" si="7"/>
        <v>GBPFUT1MJ1_Quote</v>
      </c>
      <c r="F93" s="138" t="str">
        <f>_xll.qlSimpleQuote(E93,,PriceTickValue,Permanent,Trigger,ObjectOverwrite)</f>
        <v>GBPFUT1MJ1_Quote#0000</v>
      </c>
      <c r="G93" s="101" t="str">
        <f>_xll.ohRangeRetrieveError(F93)</f>
        <v/>
      </c>
      <c r="H93" s="137"/>
      <c r="AH93" s="143"/>
      <c r="AI93" s="142">
        <v>87</v>
      </c>
      <c r="AJ93" s="140" t="b">
        <v>0</v>
      </c>
      <c r="AK93" s="140" t="str">
        <v>J1</v>
      </c>
      <c r="AL93" s="245" t="str">
        <f t="shared" si="8"/>
        <v>GBPFUT1MJ1_Quote</v>
      </c>
      <c r="AM93" s="246" t="str">
        <f t="shared" si="9"/>
        <v>GBPFUT1MJ1ConvAdj_Quote</v>
      </c>
      <c r="AN93" s="245" t="e">
        <f>_xll.qlFuturesConvAdjustmentQuote($AM93,IborIndex,$AK93,$AL93,Volatility,MeanReversion,Permanent,Trigger,ObjectOverwrite)</f>
        <v>#NUM!</v>
      </c>
      <c r="AO93" s="72" t="str">
        <f ca="1">_xll.ohRangeRetrieveError(AN93)</f>
        <v>qlFuturesConvAdjustmentQuote - ObjectHandler error: attempt to retrieve object with unknown ID 'GbpLibor1M'</v>
      </c>
    </row>
    <row r="94" spans="1:41" x14ac:dyDescent="0.2">
      <c r="A94" s="143"/>
      <c r="B94" s="142">
        <v>88</v>
      </c>
      <c r="C94" s="141" t="b">
        <v>0</v>
      </c>
      <c r="D94" s="140" t="str">
        <v>K1</v>
      </c>
      <c r="E94" s="139" t="str">
        <f t="shared" si="7"/>
        <v>GBPFUT1MK1_Quote</v>
      </c>
      <c r="F94" s="138" t="str">
        <f>_xll.qlSimpleQuote(E94,,PriceTickValue,Permanent,Trigger,ObjectOverwrite)</f>
        <v>GBPFUT1MK1_Quote#0000</v>
      </c>
      <c r="G94" s="101" t="str">
        <f>_xll.ohRangeRetrieveError(F94)</f>
        <v/>
      </c>
      <c r="H94" s="137"/>
      <c r="AH94" s="143"/>
      <c r="AI94" s="142">
        <v>88</v>
      </c>
      <c r="AJ94" s="140" t="b">
        <v>0</v>
      </c>
      <c r="AK94" s="140" t="str">
        <v>K1</v>
      </c>
      <c r="AL94" s="245" t="str">
        <f t="shared" si="8"/>
        <v>GBPFUT1MK1_Quote</v>
      </c>
      <c r="AM94" s="246" t="str">
        <f t="shared" si="9"/>
        <v>GBPFUT1MK1ConvAdj_Quote</v>
      </c>
      <c r="AN94" s="245" t="e">
        <f>_xll.qlFuturesConvAdjustmentQuote($AM94,IborIndex,$AK94,$AL94,Volatility,MeanReversion,Permanent,Trigger,ObjectOverwrite)</f>
        <v>#NUM!</v>
      </c>
      <c r="AO94" s="72" t="str">
        <f ca="1">_xll.ohRangeRetrieveError(AN94)</f>
        <v>qlFuturesConvAdjustmentQuote - ObjectHandler error: attempt to retrieve object with unknown ID 'GbpLibor1M'</v>
      </c>
    </row>
    <row r="95" spans="1:41" x14ac:dyDescent="0.2">
      <c r="A95" s="143"/>
      <c r="B95" s="142">
        <v>89</v>
      </c>
      <c r="C95" s="141" t="b">
        <v>0</v>
      </c>
      <c r="D95" s="140" t="str">
        <v>M1</v>
      </c>
      <c r="E95" s="139" t="str">
        <f t="shared" si="7"/>
        <v>GBPFUT1MM1_Quote</v>
      </c>
      <c r="F95" s="138" t="str">
        <f>_xll.qlSimpleQuote(E95,,PriceTickValue,Permanent,Trigger,ObjectOverwrite)</f>
        <v>GBPFUT1MM1_Quote#0000</v>
      </c>
      <c r="G95" s="101" t="str">
        <f>_xll.ohRangeRetrieveError(F95)</f>
        <v/>
      </c>
      <c r="H95" s="137"/>
      <c r="AH95" s="143"/>
      <c r="AI95" s="142">
        <v>89</v>
      </c>
      <c r="AJ95" s="140" t="b">
        <v>0</v>
      </c>
      <c r="AK95" s="140" t="str">
        <v>M1</v>
      </c>
      <c r="AL95" s="245" t="str">
        <f t="shared" si="8"/>
        <v>GBPFUT1MM1_Quote</v>
      </c>
      <c r="AM95" s="246" t="str">
        <f t="shared" si="9"/>
        <v>GBPFUT1MM1ConvAdj_Quote</v>
      </c>
      <c r="AN95" s="245" t="e">
        <f>_xll.qlFuturesConvAdjustmentQuote($AM95,IborIndex,$AK95,$AL95,Volatility,MeanReversion,Permanent,Trigger,ObjectOverwrite)</f>
        <v>#NUM!</v>
      </c>
      <c r="AO95" s="72" t="str">
        <f ca="1">_xll.ohRangeRetrieveError(AN95)</f>
        <v>qlFuturesConvAdjustmentQuote - ObjectHandler error: attempt to retrieve object with unknown ID 'GbpLibor1M'</v>
      </c>
    </row>
    <row r="96" spans="1:41" x14ac:dyDescent="0.2">
      <c r="A96" s="143"/>
      <c r="B96" s="142">
        <v>90</v>
      </c>
      <c r="C96" s="141" t="b">
        <v>0</v>
      </c>
      <c r="D96" s="140" t="str">
        <v>N1</v>
      </c>
      <c r="E96" s="139" t="str">
        <f t="shared" si="7"/>
        <v>GBPFUT1MN1_Quote</v>
      </c>
      <c r="F96" s="138" t="str">
        <f>_xll.qlSimpleQuote(E96,,PriceTickValue,Permanent,Trigger,ObjectOverwrite)</f>
        <v>GBPFUT1MN1_Quote#0000</v>
      </c>
      <c r="G96" s="101" t="str">
        <f>_xll.ohRangeRetrieveError(F96)</f>
        <v/>
      </c>
      <c r="H96" s="137"/>
      <c r="AH96" s="143"/>
      <c r="AI96" s="142">
        <v>90</v>
      </c>
      <c r="AJ96" s="140" t="b">
        <v>0</v>
      </c>
      <c r="AK96" s="140" t="str">
        <v>N1</v>
      </c>
      <c r="AL96" s="245" t="str">
        <f t="shared" si="8"/>
        <v>GBPFUT1MN1_Quote</v>
      </c>
      <c r="AM96" s="246" t="str">
        <f t="shared" si="9"/>
        <v>GBPFUT1MN1ConvAdj_Quote</v>
      </c>
      <c r="AN96" s="245" t="e">
        <f>_xll.qlFuturesConvAdjustmentQuote($AM96,IborIndex,$AK96,$AL96,Volatility,MeanReversion,Permanent,Trigger,ObjectOverwrite)</f>
        <v>#NUM!</v>
      </c>
      <c r="AO96" s="72" t="str">
        <f ca="1">_xll.ohRangeRetrieveError(AN96)</f>
        <v>qlFuturesConvAdjustmentQuote - ObjectHandler error: attempt to retrieve object with unknown ID 'GbpLibor1M'</v>
      </c>
    </row>
    <row r="97" spans="1:41" x14ac:dyDescent="0.2">
      <c r="A97" s="143"/>
      <c r="B97" s="142">
        <v>91</v>
      </c>
      <c r="C97" s="141" t="b">
        <v>0</v>
      </c>
      <c r="D97" s="140" t="str">
        <v>Q1</v>
      </c>
      <c r="E97" s="139" t="str">
        <f t="shared" si="7"/>
        <v>GBPFUT1MQ1_Quote</v>
      </c>
      <c r="F97" s="138" t="str">
        <f>_xll.qlSimpleQuote(E97,,PriceTickValue,Permanent,Trigger,ObjectOverwrite)</f>
        <v>GBPFUT1MQ1_Quote#0000</v>
      </c>
      <c r="G97" s="101" t="str">
        <f>_xll.ohRangeRetrieveError(F97)</f>
        <v/>
      </c>
      <c r="H97" s="137"/>
      <c r="AH97" s="143"/>
      <c r="AI97" s="142">
        <v>91</v>
      </c>
      <c r="AJ97" s="140" t="b">
        <v>0</v>
      </c>
      <c r="AK97" s="140" t="str">
        <v>Q1</v>
      </c>
      <c r="AL97" s="245" t="str">
        <f t="shared" si="8"/>
        <v>GBPFUT1MQ1_Quote</v>
      </c>
      <c r="AM97" s="246" t="str">
        <f t="shared" si="9"/>
        <v>GBPFUT1MQ1ConvAdj_Quote</v>
      </c>
      <c r="AN97" s="245" t="e">
        <f>_xll.qlFuturesConvAdjustmentQuote($AM97,IborIndex,$AK97,$AL97,Volatility,MeanReversion,Permanent,Trigger,ObjectOverwrite)</f>
        <v>#NUM!</v>
      </c>
      <c r="AO97" s="72" t="str">
        <f ca="1">_xll.ohRangeRetrieveError(AN97)</f>
        <v>qlFuturesConvAdjustmentQuote - ObjectHandler error: attempt to retrieve object with unknown ID 'GbpLibor1M'</v>
      </c>
    </row>
    <row r="98" spans="1:41" x14ac:dyDescent="0.2">
      <c r="A98" s="143"/>
      <c r="B98" s="142">
        <v>92</v>
      </c>
      <c r="C98" s="141" t="b">
        <v>0</v>
      </c>
      <c r="D98" s="140" t="str">
        <v>U1</v>
      </c>
      <c r="E98" s="139" t="str">
        <f t="shared" si="7"/>
        <v>GBPFUT1MU1_Quote</v>
      </c>
      <c r="F98" s="138" t="str">
        <f>_xll.qlSimpleQuote(E98,,PriceTickValue,Permanent,Trigger,ObjectOverwrite)</f>
        <v>GBPFUT1MU1_Quote#0000</v>
      </c>
      <c r="G98" s="101" t="str">
        <f>_xll.ohRangeRetrieveError(F98)</f>
        <v/>
      </c>
      <c r="H98" s="137"/>
      <c r="AH98" s="143"/>
      <c r="AI98" s="142">
        <v>92</v>
      </c>
      <c r="AJ98" s="140" t="b">
        <v>0</v>
      </c>
      <c r="AK98" s="140" t="str">
        <v>U1</v>
      </c>
      <c r="AL98" s="245" t="str">
        <f t="shared" si="8"/>
        <v>GBPFUT1MU1_Quote</v>
      </c>
      <c r="AM98" s="246" t="str">
        <f t="shared" si="9"/>
        <v>GBPFUT1MU1ConvAdj_Quote</v>
      </c>
      <c r="AN98" s="245" t="e">
        <f>_xll.qlFuturesConvAdjustmentQuote($AM98,IborIndex,$AK98,$AL98,Volatility,MeanReversion,Permanent,Trigger,ObjectOverwrite)</f>
        <v>#NUM!</v>
      </c>
      <c r="AO98" s="72" t="str">
        <f ca="1">_xll.ohRangeRetrieveError(AN98)</f>
        <v>qlFuturesConvAdjustmentQuote - ObjectHandler error: attempt to retrieve object with unknown ID 'GbpLibor1M'</v>
      </c>
    </row>
    <row r="99" spans="1:41" x14ac:dyDescent="0.2">
      <c r="A99" s="143"/>
      <c r="B99" s="142">
        <v>93</v>
      </c>
      <c r="C99" s="141" t="b">
        <v>0</v>
      </c>
      <c r="D99" s="140" t="str">
        <v>V1</v>
      </c>
      <c r="E99" s="139" t="str">
        <f t="shared" si="7"/>
        <v>GBPFUT1MV1_Quote</v>
      </c>
      <c r="F99" s="138" t="str">
        <f>_xll.qlSimpleQuote(E99,,PriceTickValue,Permanent,Trigger,ObjectOverwrite)</f>
        <v>GBPFUT1MV1_Quote#0000</v>
      </c>
      <c r="G99" s="101" t="str">
        <f>_xll.ohRangeRetrieveError(F99)</f>
        <v/>
      </c>
      <c r="H99" s="137"/>
      <c r="AH99" s="143"/>
      <c r="AI99" s="142">
        <v>93</v>
      </c>
      <c r="AJ99" s="140" t="b">
        <v>0</v>
      </c>
      <c r="AK99" s="140" t="str">
        <v>V1</v>
      </c>
      <c r="AL99" s="245" t="str">
        <f t="shared" si="8"/>
        <v>GBPFUT1MV1_Quote</v>
      </c>
      <c r="AM99" s="246" t="str">
        <f t="shared" si="9"/>
        <v>GBPFUT1MV1ConvAdj_Quote</v>
      </c>
      <c r="AN99" s="245" t="e">
        <f>_xll.qlFuturesConvAdjustmentQuote($AM99,IborIndex,$AK99,$AL99,Volatility,MeanReversion,Permanent,Trigger,ObjectOverwrite)</f>
        <v>#NUM!</v>
      </c>
      <c r="AO99" s="72" t="str">
        <f ca="1">_xll.ohRangeRetrieveError(AN99)</f>
        <v>qlFuturesConvAdjustmentQuote - ObjectHandler error: attempt to retrieve object with unknown ID 'GbpLibor1M'</v>
      </c>
    </row>
    <row r="100" spans="1:41" x14ac:dyDescent="0.2">
      <c r="A100" s="143"/>
      <c r="B100" s="142">
        <v>94</v>
      </c>
      <c r="C100" s="141" t="b">
        <v>0</v>
      </c>
      <c r="D100" s="140" t="str">
        <v>X1</v>
      </c>
      <c r="E100" s="139" t="str">
        <f t="shared" si="7"/>
        <v>GBPFUT1MX1_Quote</v>
      </c>
      <c r="F100" s="138" t="str">
        <f>_xll.qlSimpleQuote(E100,,PriceTickValue,Permanent,Trigger,ObjectOverwrite)</f>
        <v>GBPFUT1MX1_Quote#0000</v>
      </c>
      <c r="G100" s="101" t="str">
        <f>_xll.ohRangeRetrieveError(F100)</f>
        <v/>
      </c>
      <c r="H100" s="137"/>
      <c r="AH100" s="143"/>
      <c r="AI100" s="142">
        <v>94</v>
      </c>
      <c r="AJ100" s="140" t="b">
        <v>0</v>
      </c>
      <c r="AK100" s="140" t="str">
        <v>X1</v>
      </c>
      <c r="AL100" s="245" t="str">
        <f t="shared" si="8"/>
        <v>GBPFUT1MX1_Quote</v>
      </c>
      <c r="AM100" s="246" t="str">
        <f t="shared" si="9"/>
        <v>GBPFUT1MX1ConvAdj_Quote</v>
      </c>
      <c r="AN100" s="245" t="e">
        <f>_xll.qlFuturesConvAdjustmentQuote($AM100,IborIndex,$AK100,$AL100,Volatility,MeanReversion,Permanent,Trigger,ObjectOverwrite)</f>
        <v>#NUM!</v>
      </c>
      <c r="AO100" s="72" t="str">
        <f ca="1">_xll.ohRangeRetrieveError(AN100)</f>
        <v>qlFuturesConvAdjustmentQuote - ObjectHandler error: attempt to retrieve object with unknown ID 'GbpLibor1M'</v>
      </c>
    </row>
    <row r="101" spans="1:41" x14ac:dyDescent="0.2">
      <c r="A101" s="143"/>
      <c r="B101" s="142">
        <v>95</v>
      </c>
      <c r="C101" s="141" t="b">
        <v>0</v>
      </c>
      <c r="D101" s="140" t="str">
        <v>Z1</v>
      </c>
      <c r="E101" s="139" t="str">
        <f t="shared" si="7"/>
        <v>GBPFUT1MZ1_Quote</v>
      </c>
      <c r="F101" s="138" t="str">
        <f>_xll.qlSimpleQuote(E101,,PriceTickValue,Permanent,Trigger,ObjectOverwrite)</f>
        <v>GBPFUT1MZ1_Quote#0000</v>
      </c>
      <c r="G101" s="101" t="str">
        <f>_xll.ohRangeRetrieveError(F101)</f>
        <v/>
      </c>
      <c r="H101" s="137"/>
      <c r="AH101" s="143"/>
      <c r="AI101" s="142">
        <v>95</v>
      </c>
      <c r="AJ101" s="140" t="b">
        <v>0</v>
      </c>
      <c r="AK101" s="140" t="str">
        <v>Z1</v>
      </c>
      <c r="AL101" s="245" t="str">
        <f t="shared" si="8"/>
        <v>GBPFUT1MZ1_Quote</v>
      </c>
      <c r="AM101" s="246" t="str">
        <f t="shared" si="9"/>
        <v>GBPFUT1MZ1ConvAdj_Quote</v>
      </c>
      <c r="AN101" s="245" t="e">
        <f>_xll.qlFuturesConvAdjustmentQuote($AM101,IborIndex,$AK101,$AL101,Volatility,MeanReversion,Permanent,Trigger,ObjectOverwrite)</f>
        <v>#NUM!</v>
      </c>
      <c r="AO101" s="72" t="str">
        <f ca="1">_xll.ohRangeRetrieveError(AN101)</f>
        <v>qlFuturesConvAdjustmentQuote - ObjectHandler error: attempt to retrieve object with unknown ID 'GbpLibor1M'</v>
      </c>
    </row>
    <row r="102" spans="1:41" x14ac:dyDescent="0.2">
      <c r="A102" s="143"/>
      <c r="B102" s="142">
        <v>96</v>
      </c>
      <c r="C102" s="141" t="b">
        <v>0</v>
      </c>
      <c r="D102" s="140" t="str">
        <v>F2</v>
      </c>
      <c r="E102" s="139" t="str">
        <f t="shared" si="7"/>
        <v>GBPFUT1MF2_Quote</v>
      </c>
      <c r="F102" s="138" t="str">
        <f>_xll.qlSimpleQuote(E102,,PriceTickValue,Permanent,Trigger,ObjectOverwrite)</f>
        <v>GBPFUT1MF2_Quote#0000</v>
      </c>
      <c r="G102" s="101" t="str">
        <f>_xll.ohRangeRetrieveError(F102)</f>
        <v/>
      </c>
      <c r="H102" s="137"/>
      <c r="AH102" s="143"/>
      <c r="AI102" s="142">
        <v>96</v>
      </c>
      <c r="AJ102" s="140" t="b">
        <v>0</v>
      </c>
      <c r="AK102" s="140" t="str">
        <v>F2</v>
      </c>
      <c r="AL102" s="245" t="str">
        <f t="shared" si="8"/>
        <v>GBPFUT1MF2_Quote</v>
      </c>
      <c r="AM102" s="246" t="str">
        <f t="shared" si="9"/>
        <v>GBPFUT1MF2ConvAdj_Quote</v>
      </c>
      <c r="AN102" s="245" t="e">
        <f>_xll.qlFuturesConvAdjustmentQuote($AM102,IborIndex,$AK102,$AL102,Volatility,MeanReversion,Permanent,Trigger,ObjectOverwrite)</f>
        <v>#NUM!</v>
      </c>
      <c r="AO102" s="72" t="str">
        <f ca="1">_xll.ohRangeRetrieveError(AN102)</f>
        <v>qlFuturesConvAdjustmentQuote - ObjectHandler error: attempt to retrieve object with unknown ID 'GbpLibor1M'</v>
      </c>
    </row>
    <row r="103" spans="1:41" x14ac:dyDescent="0.2">
      <c r="A103" s="143"/>
      <c r="B103" s="142">
        <v>97</v>
      </c>
      <c r="C103" s="141" t="b">
        <v>0</v>
      </c>
      <c r="D103" s="140" t="str">
        <v>G2</v>
      </c>
      <c r="E103" s="139" t="str">
        <f t="shared" ref="E103:E126" si="10">Currency&amp;$D$5&amp;$E$5&amp;$D103&amp;QuoteSuffix</f>
        <v>GBPFUT1MG2_Quote</v>
      </c>
      <c r="F103" s="138" t="str">
        <f>_xll.qlSimpleQuote(E103,,PriceTickValue,Permanent,Trigger,ObjectOverwrite)</f>
        <v>GBPFUT1MG2_Quote#0000</v>
      </c>
      <c r="G103" s="101" t="str">
        <f>_xll.ohRangeRetrieveError(F103)</f>
        <v/>
      </c>
      <c r="H103" s="137"/>
      <c r="AH103" s="143"/>
      <c r="AI103" s="142">
        <v>97</v>
      </c>
      <c r="AJ103" s="140" t="b">
        <v>0</v>
      </c>
      <c r="AK103" s="140" t="str">
        <v>G2</v>
      </c>
      <c r="AL103" s="245" t="str">
        <f t="shared" ref="AL103:AL126" si="11">Currency&amp;"FUT"&amp;$AN$4&amp;$AK103&amp;QuoteSuffix</f>
        <v>GBPFUT1MG2_Quote</v>
      </c>
      <c r="AM103" s="246" t="str">
        <f t="shared" ref="AM103:AM126" si="12">Currency&amp;"FUT"&amp;$AN$4&amp;$AK103&amp;"ConvAdj"&amp;QuoteSuffix</f>
        <v>GBPFUT1MG2ConvAdj_Quote</v>
      </c>
      <c r="AN103" s="245" t="e">
        <f>_xll.qlFuturesConvAdjustmentQuote($AM103,IborIndex,$AK103,$AL103,Volatility,MeanReversion,Permanent,Trigger,ObjectOverwrite)</f>
        <v>#NUM!</v>
      </c>
      <c r="AO103" s="72" t="str">
        <f ca="1">_xll.ohRangeRetrieveError(AN103)</f>
        <v>qlFuturesConvAdjustmentQuote - ObjectHandler error: attempt to retrieve object with unknown ID 'GbpLibor1M'</v>
      </c>
    </row>
    <row r="104" spans="1:41" x14ac:dyDescent="0.2">
      <c r="A104" s="143"/>
      <c r="B104" s="142">
        <v>98</v>
      </c>
      <c r="C104" s="141" t="b">
        <v>0</v>
      </c>
      <c r="D104" s="140" t="str">
        <v>H2</v>
      </c>
      <c r="E104" s="139" t="str">
        <f t="shared" si="10"/>
        <v>GBPFUT1MH2_Quote</v>
      </c>
      <c r="F104" s="138" t="str">
        <f>_xll.qlSimpleQuote(E104,,PriceTickValue,Permanent,Trigger,ObjectOverwrite)</f>
        <v>GBPFUT1MH2_Quote#0000</v>
      </c>
      <c r="G104" s="101" t="str">
        <f>_xll.ohRangeRetrieveError(F104)</f>
        <v/>
      </c>
      <c r="H104" s="137"/>
      <c r="AH104" s="143"/>
      <c r="AI104" s="142">
        <v>98</v>
      </c>
      <c r="AJ104" s="140" t="b">
        <v>0</v>
      </c>
      <c r="AK104" s="140" t="str">
        <v>H2</v>
      </c>
      <c r="AL104" s="245" t="str">
        <f t="shared" si="11"/>
        <v>GBPFUT1MH2_Quote</v>
      </c>
      <c r="AM104" s="246" t="str">
        <f t="shared" si="12"/>
        <v>GBPFUT1MH2ConvAdj_Quote</v>
      </c>
      <c r="AN104" s="245" t="e">
        <f>_xll.qlFuturesConvAdjustmentQuote($AM104,IborIndex,$AK104,$AL104,Volatility,MeanReversion,Permanent,Trigger,ObjectOverwrite)</f>
        <v>#NUM!</v>
      </c>
      <c r="AO104" s="72" t="str">
        <f ca="1">_xll.ohRangeRetrieveError(AN104)</f>
        <v>qlFuturesConvAdjustmentQuote - ObjectHandler error: attempt to retrieve object with unknown ID 'GbpLibor1M'</v>
      </c>
    </row>
    <row r="105" spans="1:41" x14ac:dyDescent="0.2">
      <c r="A105" s="143"/>
      <c r="B105" s="142">
        <v>99</v>
      </c>
      <c r="C105" s="141" t="b">
        <v>0</v>
      </c>
      <c r="D105" s="140" t="str">
        <v>J2</v>
      </c>
      <c r="E105" s="139" t="str">
        <f t="shared" si="10"/>
        <v>GBPFUT1MJ2_Quote</v>
      </c>
      <c r="F105" s="138" t="str">
        <f>_xll.qlSimpleQuote(E105,,PriceTickValue,Permanent,Trigger,ObjectOverwrite)</f>
        <v>GBPFUT1MJ2_Quote#0000</v>
      </c>
      <c r="G105" s="101" t="str">
        <f>_xll.ohRangeRetrieveError(F105)</f>
        <v/>
      </c>
      <c r="H105" s="137"/>
      <c r="AH105" s="143"/>
      <c r="AI105" s="142">
        <v>99</v>
      </c>
      <c r="AJ105" s="140" t="b">
        <v>0</v>
      </c>
      <c r="AK105" s="140" t="str">
        <v>J2</v>
      </c>
      <c r="AL105" s="245" t="str">
        <f t="shared" si="11"/>
        <v>GBPFUT1MJ2_Quote</v>
      </c>
      <c r="AM105" s="246" t="str">
        <f t="shared" si="12"/>
        <v>GBPFUT1MJ2ConvAdj_Quote</v>
      </c>
      <c r="AN105" s="245" t="e">
        <f>_xll.qlFuturesConvAdjustmentQuote($AM105,IborIndex,$AK105,$AL105,Volatility,MeanReversion,Permanent,Trigger,ObjectOverwrite)</f>
        <v>#NUM!</v>
      </c>
      <c r="AO105" s="72" t="str">
        <f ca="1">_xll.ohRangeRetrieveError(AN105)</f>
        <v>qlFuturesConvAdjustmentQuote - ObjectHandler error: attempt to retrieve object with unknown ID 'GbpLibor1M'</v>
      </c>
    </row>
    <row r="106" spans="1:41" x14ac:dyDescent="0.2">
      <c r="A106" s="143"/>
      <c r="B106" s="142">
        <v>100</v>
      </c>
      <c r="C106" s="141" t="b">
        <v>0</v>
      </c>
      <c r="D106" s="140" t="str">
        <v>K2</v>
      </c>
      <c r="E106" s="139" t="str">
        <f t="shared" si="10"/>
        <v>GBPFUT1MK2_Quote</v>
      </c>
      <c r="F106" s="138" t="str">
        <f>_xll.qlSimpleQuote(E106,,PriceTickValue,Permanent,Trigger,ObjectOverwrite)</f>
        <v>GBPFUT1MK2_Quote#0000</v>
      </c>
      <c r="G106" s="101" t="str">
        <f>_xll.ohRangeRetrieveError(F106)</f>
        <v/>
      </c>
      <c r="H106" s="137"/>
      <c r="AH106" s="143"/>
      <c r="AI106" s="142">
        <v>100</v>
      </c>
      <c r="AJ106" s="140" t="b">
        <v>0</v>
      </c>
      <c r="AK106" s="140" t="str">
        <v>K2</v>
      </c>
      <c r="AL106" s="245" t="str">
        <f t="shared" si="11"/>
        <v>GBPFUT1MK2_Quote</v>
      </c>
      <c r="AM106" s="246" t="str">
        <f t="shared" si="12"/>
        <v>GBPFUT1MK2ConvAdj_Quote</v>
      </c>
      <c r="AN106" s="245" t="e">
        <f>_xll.qlFuturesConvAdjustmentQuote($AM106,IborIndex,$AK106,$AL106,Volatility,MeanReversion,Permanent,Trigger,ObjectOverwrite)</f>
        <v>#NUM!</v>
      </c>
      <c r="AO106" s="72" t="str">
        <f ca="1">_xll.ohRangeRetrieveError(AN106)</f>
        <v>qlFuturesConvAdjustmentQuote - ObjectHandler error: attempt to retrieve object with unknown ID 'GbpLibor1M'</v>
      </c>
    </row>
    <row r="107" spans="1:41" x14ac:dyDescent="0.2">
      <c r="A107" s="143"/>
      <c r="B107" s="142">
        <v>101</v>
      </c>
      <c r="C107" s="141" t="b">
        <v>0</v>
      </c>
      <c r="D107" s="140" t="str">
        <v>M2</v>
      </c>
      <c r="E107" s="139" t="str">
        <f t="shared" si="10"/>
        <v>GBPFUT1MM2_Quote</v>
      </c>
      <c r="F107" s="138" t="str">
        <f>_xll.qlSimpleQuote(E107,,PriceTickValue,Permanent,Trigger,ObjectOverwrite)</f>
        <v>GBPFUT1MM2_Quote#0000</v>
      </c>
      <c r="G107" s="101" t="str">
        <f>_xll.ohRangeRetrieveError(F107)</f>
        <v/>
      </c>
      <c r="H107" s="137"/>
      <c r="AH107" s="143"/>
      <c r="AI107" s="142">
        <v>101</v>
      </c>
      <c r="AJ107" s="140" t="b">
        <v>0</v>
      </c>
      <c r="AK107" s="140" t="str">
        <v>M2</v>
      </c>
      <c r="AL107" s="245" t="str">
        <f t="shared" si="11"/>
        <v>GBPFUT1MM2_Quote</v>
      </c>
      <c r="AM107" s="246" t="str">
        <f t="shared" si="12"/>
        <v>GBPFUT1MM2ConvAdj_Quote</v>
      </c>
      <c r="AN107" s="245" t="e">
        <f>_xll.qlFuturesConvAdjustmentQuote($AM107,IborIndex,$AK107,$AL107,Volatility,MeanReversion,Permanent,Trigger,ObjectOverwrite)</f>
        <v>#NUM!</v>
      </c>
      <c r="AO107" s="72" t="str">
        <f ca="1">_xll.ohRangeRetrieveError(AN107)</f>
        <v>qlFuturesConvAdjustmentQuote - ObjectHandler error: attempt to retrieve object with unknown ID 'GbpLibor1M'</v>
      </c>
    </row>
    <row r="108" spans="1:41" x14ac:dyDescent="0.2">
      <c r="A108" s="143"/>
      <c r="B108" s="142">
        <v>102</v>
      </c>
      <c r="C108" s="141" t="b">
        <v>0</v>
      </c>
      <c r="D108" s="140" t="str">
        <v>N2</v>
      </c>
      <c r="E108" s="139" t="str">
        <f t="shared" si="10"/>
        <v>GBPFUT1MN2_Quote</v>
      </c>
      <c r="F108" s="138" t="str">
        <f>_xll.qlSimpleQuote(E108,,PriceTickValue,Permanent,Trigger,ObjectOverwrite)</f>
        <v>GBPFUT1MN2_Quote#0000</v>
      </c>
      <c r="G108" s="101" t="str">
        <f>_xll.ohRangeRetrieveError(F108)</f>
        <v/>
      </c>
      <c r="H108" s="137"/>
      <c r="AH108" s="143"/>
      <c r="AI108" s="142">
        <v>102</v>
      </c>
      <c r="AJ108" s="140" t="b">
        <v>0</v>
      </c>
      <c r="AK108" s="140" t="str">
        <v>N2</v>
      </c>
      <c r="AL108" s="245" t="str">
        <f t="shared" si="11"/>
        <v>GBPFUT1MN2_Quote</v>
      </c>
      <c r="AM108" s="246" t="str">
        <f t="shared" si="12"/>
        <v>GBPFUT1MN2ConvAdj_Quote</v>
      </c>
      <c r="AN108" s="245" t="e">
        <f>_xll.qlFuturesConvAdjustmentQuote($AM108,IborIndex,$AK108,$AL108,Volatility,MeanReversion,Permanent,Trigger,ObjectOverwrite)</f>
        <v>#NUM!</v>
      </c>
      <c r="AO108" s="72" t="str">
        <f ca="1">_xll.ohRangeRetrieveError(AN108)</f>
        <v>qlFuturesConvAdjustmentQuote - ObjectHandler error: attempt to retrieve object with unknown ID 'GbpLibor1M'</v>
      </c>
    </row>
    <row r="109" spans="1:41" x14ac:dyDescent="0.2">
      <c r="A109" s="143"/>
      <c r="B109" s="142">
        <v>103</v>
      </c>
      <c r="C109" s="141" t="b">
        <v>0</v>
      </c>
      <c r="D109" s="140" t="str">
        <v>Q2</v>
      </c>
      <c r="E109" s="139" t="str">
        <f t="shared" si="10"/>
        <v>GBPFUT1MQ2_Quote</v>
      </c>
      <c r="F109" s="138" t="str">
        <f>_xll.qlSimpleQuote(E109,,PriceTickValue,Permanent,Trigger,ObjectOverwrite)</f>
        <v>GBPFUT1MQ2_Quote#0000</v>
      </c>
      <c r="G109" s="101" t="str">
        <f>_xll.ohRangeRetrieveError(F109)</f>
        <v/>
      </c>
      <c r="H109" s="137"/>
      <c r="AH109" s="143"/>
      <c r="AI109" s="142">
        <v>103</v>
      </c>
      <c r="AJ109" s="140" t="b">
        <v>0</v>
      </c>
      <c r="AK109" s="140" t="str">
        <v>Q2</v>
      </c>
      <c r="AL109" s="245" t="str">
        <f t="shared" si="11"/>
        <v>GBPFUT1MQ2_Quote</v>
      </c>
      <c r="AM109" s="246" t="str">
        <f t="shared" si="12"/>
        <v>GBPFUT1MQ2ConvAdj_Quote</v>
      </c>
      <c r="AN109" s="245" t="e">
        <f>_xll.qlFuturesConvAdjustmentQuote($AM109,IborIndex,$AK109,$AL109,Volatility,MeanReversion,Permanent,Trigger,ObjectOverwrite)</f>
        <v>#NUM!</v>
      </c>
      <c r="AO109" s="72" t="str">
        <f ca="1">_xll.ohRangeRetrieveError(AN109)</f>
        <v>qlFuturesConvAdjustmentQuote - ObjectHandler error: attempt to retrieve object with unknown ID 'GbpLibor1M'</v>
      </c>
    </row>
    <row r="110" spans="1:41" x14ac:dyDescent="0.2">
      <c r="A110" s="143"/>
      <c r="B110" s="142">
        <v>104</v>
      </c>
      <c r="C110" s="141" t="b">
        <v>0</v>
      </c>
      <c r="D110" s="140" t="str">
        <v>U2</v>
      </c>
      <c r="E110" s="139" t="str">
        <f t="shared" si="10"/>
        <v>GBPFUT1MU2_Quote</v>
      </c>
      <c r="F110" s="138" t="str">
        <f>_xll.qlSimpleQuote(E110,,PriceTickValue,Permanent,Trigger,ObjectOverwrite)</f>
        <v>GBPFUT1MU2_Quote#0000</v>
      </c>
      <c r="G110" s="101" t="str">
        <f>_xll.ohRangeRetrieveError(F110)</f>
        <v/>
      </c>
      <c r="H110" s="137"/>
      <c r="AH110" s="143"/>
      <c r="AI110" s="142">
        <v>104</v>
      </c>
      <c r="AJ110" s="140" t="b">
        <v>0</v>
      </c>
      <c r="AK110" s="140" t="str">
        <v>U2</v>
      </c>
      <c r="AL110" s="245" t="str">
        <f t="shared" si="11"/>
        <v>GBPFUT1MU2_Quote</v>
      </c>
      <c r="AM110" s="246" t="str">
        <f t="shared" si="12"/>
        <v>GBPFUT1MU2ConvAdj_Quote</v>
      </c>
      <c r="AN110" s="245" t="e">
        <f>_xll.qlFuturesConvAdjustmentQuote($AM110,IborIndex,$AK110,$AL110,Volatility,MeanReversion,Permanent,Trigger,ObjectOverwrite)</f>
        <v>#NUM!</v>
      </c>
      <c r="AO110" s="72" t="str">
        <f ca="1">_xll.ohRangeRetrieveError(AN110)</f>
        <v>qlFuturesConvAdjustmentQuote - ObjectHandler error: attempt to retrieve object with unknown ID 'GbpLibor1M'</v>
      </c>
    </row>
    <row r="111" spans="1:41" x14ac:dyDescent="0.2">
      <c r="A111" s="143"/>
      <c r="B111" s="142">
        <v>105</v>
      </c>
      <c r="C111" s="141" t="b">
        <v>0</v>
      </c>
      <c r="D111" s="140" t="str">
        <v>V2</v>
      </c>
      <c r="E111" s="139" t="str">
        <f t="shared" si="10"/>
        <v>GBPFUT1MV2_Quote</v>
      </c>
      <c r="F111" s="138" t="str">
        <f>_xll.qlSimpleQuote(E111,,PriceTickValue,Permanent,Trigger,ObjectOverwrite)</f>
        <v>GBPFUT1MV2_Quote#0000</v>
      </c>
      <c r="G111" s="101" t="str">
        <f>_xll.ohRangeRetrieveError(F111)</f>
        <v/>
      </c>
      <c r="H111" s="137"/>
      <c r="AH111" s="143"/>
      <c r="AI111" s="142">
        <v>105</v>
      </c>
      <c r="AJ111" s="140" t="b">
        <v>0</v>
      </c>
      <c r="AK111" s="140" t="str">
        <v>V2</v>
      </c>
      <c r="AL111" s="245" t="str">
        <f t="shared" si="11"/>
        <v>GBPFUT1MV2_Quote</v>
      </c>
      <c r="AM111" s="246" t="str">
        <f t="shared" si="12"/>
        <v>GBPFUT1MV2ConvAdj_Quote</v>
      </c>
      <c r="AN111" s="245" t="e">
        <f>_xll.qlFuturesConvAdjustmentQuote($AM111,IborIndex,$AK111,$AL111,Volatility,MeanReversion,Permanent,Trigger,ObjectOverwrite)</f>
        <v>#NUM!</v>
      </c>
      <c r="AO111" s="72" t="str">
        <f ca="1">_xll.ohRangeRetrieveError(AN111)</f>
        <v>qlFuturesConvAdjustmentQuote - ObjectHandler error: attempt to retrieve object with unknown ID 'GbpLibor1M'</v>
      </c>
    </row>
    <row r="112" spans="1:41" x14ac:dyDescent="0.2">
      <c r="A112" s="143"/>
      <c r="B112" s="142">
        <v>106</v>
      </c>
      <c r="C112" s="141" t="b">
        <v>0</v>
      </c>
      <c r="D112" s="140" t="str">
        <v>X2</v>
      </c>
      <c r="E112" s="139" t="str">
        <f t="shared" si="10"/>
        <v>GBPFUT1MX2_Quote</v>
      </c>
      <c r="F112" s="138" t="str">
        <f>_xll.qlSimpleQuote(E112,,PriceTickValue,Permanent,Trigger,ObjectOverwrite)</f>
        <v>GBPFUT1MX2_Quote#0000</v>
      </c>
      <c r="G112" s="101" t="str">
        <f>_xll.ohRangeRetrieveError(F112)</f>
        <v/>
      </c>
      <c r="H112" s="137"/>
      <c r="AH112" s="143"/>
      <c r="AI112" s="142">
        <v>106</v>
      </c>
      <c r="AJ112" s="140" t="b">
        <v>0</v>
      </c>
      <c r="AK112" s="140" t="str">
        <v>X2</v>
      </c>
      <c r="AL112" s="245" t="str">
        <f t="shared" si="11"/>
        <v>GBPFUT1MX2_Quote</v>
      </c>
      <c r="AM112" s="246" t="str">
        <f t="shared" si="12"/>
        <v>GBPFUT1MX2ConvAdj_Quote</v>
      </c>
      <c r="AN112" s="245" t="e">
        <f>_xll.qlFuturesConvAdjustmentQuote($AM112,IborIndex,$AK112,$AL112,Volatility,MeanReversion,Permanent,Trigger,ObjectOverwrite)</f>
        <v>#NUM!</v>
      </c>
      <c r="AO112" s="72" t="str">
        <f ca="1">_xll.ohRangeRetrieveError(AN112)</f>
        <v>qlFuturesConvAdjustmentQuote - ObjectHandler error: attempt to retrieve object with unknown ID 'GbpLibor1M'</v>
      </c>
    </row>
    <row r="113" spans="1:41" x14ac:dyDescent="0.2">
      <c r="A113" s="143"/>
      <c r="B113" s="142">
        <v>107</v>
      </c>
      <c r="C113" s="141" t="b">
        <v>0</v>
      </c>
      <c r="D113" s="140" t="str">
        <v>Z2</v>
      </c>
      <c r="E113" s="139" t="str">
        <f t="shared" si="10"/>
        <v>GBPFUT1MZ2_Quote</v>
      </c>
      <c r="F113" s="138" t="str">
        <f>_xll.qlSimpleQuote(E113,,PriceTickValue,Permanent,Trigger,ObjectOverwrite)</f>
        <v>GBPFUT1MZ2_Quote#0000</v>
      </c>
      <c r="G113" s="101" t="str">
        <f>_xll.ohRangeRetrieveError(F113)</f>
        <v/>
      </c>
      <c r="H113" s="137"/>
      <c r="AH113" s="143"/>
      <c r="AI113" s="142">
        <v>107</v>
      </c>
      <c r="AJ113" s="140" t="b">
        <v>0</v>
      </c>
      <c r="AK113" s="140" t="str">
        <v>Z2</v>
      </c>
      <c r="AL113" s="245" t="str">
        <f t="shared" si="11"/>
        <v>GBPFUT1MZ2_Quote</v>
      </c>
      <c r="AM113" s="246" t="str">
        <f t="shared" si="12"/>
        <v>GBPFUT1MZ2ConvAdj_Quote</v>
      </c>
      <c r="AN113" s="245" t="e">
        <f>_xll.qlFuturesConvAdjustmentQuote($AM113,IborIndex,$AK113,$AL113,Volatility,MeanReversion,Permanent,Trigger,ObjectOverwrite)</f>
        <v>#NUM!</v>
      </c>
      <c r="AO113" s="72" t="str">
        <f ca="1">_xll.ohRangeRetrieveError(AN113)</f>
        <v>qlFuturesConvAdjustmentQuote - ObjectHandler error: attempt to retrieve object with unknown ID 'GbpLibor1M'</v>
      </c>
    </row>
    <row r="114" spans="1:41" x14ac:dyDescent="0.2">
      <c r="A114" s="143"/>
      <c r="B114" s="142">
        <v>108</v>
      </c>
      <c r="C114" s="141" t="b">
        <v>0</v>
      </c>
      <c r="D114" s="140" t="str">
        <v>F3</v>
      </c>
      <c r="E114" s="139" t="str">
        <f t="shared" si="10"/>
        <v>GBPFUT1MF3_Quote</v>
      </c>
      <c r="F114" s="138" t="str">
        <f>_xll.qlSimpleQuote(E114,,PriceTickValue,Permanent,Trigger,ObjectOverwrite)</f>
        <v>GBPFUT1MF3_Quote#0000</v>
      </c>
      <c r="G114" s="101" t="str">
        <f>_xll.ohRangeRetrieveError(F114)</f>
        <v/>
      </c>
      <c r="H114" s="137"/>
      <c r="AH114" s="143"/>
      <c r="AI114" s="142">
        <v>108</v>
      </c>
      <c r="AJ114" s="140" t="b">
        <v>0</v>
      </c>
      <c r="AK114" s="140" t="str">
        <v>F3</v>
      </c>
      <c r="AL114" s="245" t="str">
        <f t="shared" si="11"/>
        <v>GBPFUT1MF3_Quote</v>
      </c>
      <c r="AM114" s="246" t="str">
        <f t="shared" si="12"/>
        <v>GBPFUT1MF3ConvAdj_Quote</v>
      </c>
      <c r="AN114" s="245" t="e">
        <f>_xll.qlFuturesConvAdjustmentQuote($AM114,IborIndex,$AK114,$AL114,Volatility,MeanReversion,Permanent,Trigger,ObjectOverwrite)</f>
        <v>#NUM!</v>
      </c>
      <c r="AO114" s="72" t="str">
        <f ca="1">_xll.ohRangeRetrieveError(AN114)</f>
        <v>qlFuturesConvAdjustmentQuote - ObjectHandler error: attempt to retrieve object with unknown ID 'GbpLibor1M'</v>
      </c>
    </row>
    <row r="115" spans="1:41" x14ac:dyDescent="0.2">
      <c r="A115" s="143"/>
      <c r="B115" s="142">
        <v>109</v>
      </c>
      <c r="C115" s="141" t="b">
        <v>0</v>
      </c>
      <c r="D115" s="140" t="str">
        <v>G3</v>
      </c>
      <c r="E115" s="139" t="str">
        <f t="shared" si="10"/>
        <v>GBPFUT1MG3_Quote</v>
      </c>
      <c r="F115" s="138" t="str">
        <f>_xll.qlSimpleQuote(E115,,PriceTickValue,Permanent,Trigger,ObjectOverwrite)</f>
        <v>GBPFUT1MG3_Quote#0000</v>
      </c>
      <c r="G115" s="101" t="str">
        <f>_xll.ohRangeRetrieveError(F115)</f>
        <v/>
      </c>
      <c r="H115" s="137"/>
      <c r="AH115" s="143"/>
      <c r="AI115" s="142">
        <v>109</v>
      </c>
      <c r="AJ115" s="140" t="b">
        <v>0</v>
      </c>
      <c r="AK115" s="140" t="str">
        <v>G3</v>
      </c>
      <c r="AL115" s="245" t="str">
        <f t="shared" si="11"/>
        <v>GBPFUT1MG3_Quote</v>
      </c>
      <c r="AM115" s="246" t="str">
        <f t="shared" si="12"/>
        <v>GBPFUT1MG3ConvAdj_Quote</v>
      </c>
      <c r="AN115" s="245" t="e">
        <f>_xll.qlFuturesConvAdjustmentQuote($AM115,IborIndex,$AK115,$AL115,Volatility,MeanReversion,Permanent,Trigger,ObjectOverwrite)</f>
        <v>#NUM!</v>
      </c>
      <c r="AO115" s="72" t="str">
        <f ca="1">_xll.ohRangeRetrieveError(AN115)</f>
        <v>qlFuturesConvAdjustmentQuote - ObjectHandler error: attempt to retrieve object with unknown ID 'GbpLibor1M'</v>
      </c>
    </row>
    <row r="116" spans="1:41" x14ac:dyDescent="0.2">
      <c r="A116" s="143"/>
      <c r="B116" s="142">
        <v>110</v>
      </c>
      <c r="C116" s="141" t="b">
        <v>0</v>
      </c>
      <c r="D116" s="140" t="str">
        <v>H3</v>
      </c>
      <c r="E116" s="139" t="str">
        <f t="shared" si="10"/>
        <v>GBPFUT1MH3_Quote</v>
      </c>
      <c r="F116" s="138" t="str">
        <f>_xll.qlSimpleQuote(E116,,PriceTickValue,Permanent,Trigger,ObjectOverwrite)</f>
        <v>GBPFUT1MH3_Quote#0000</v>
      </c>
      <c r="G116" s="101" t="str">
        <f>_xll.ohRangeRetrieveError(F116)</f>
        <v/>
      </c>
      <c r="H116" s="137"/>
      <c r="AH116" s="143"/>
      <c r="AI116" s="142">
        <v>110</v>
      </c>
      <c r="AJ116" s="140" t="b">
        <v>0</v>
      </c>
      <c r="AK116" s="140" t="str">
        <v>H3</v>
      </c>
      <c r="AL116" s="245" t="str">
        <f t="shared" si="11"/>
        <v>GBPFUT1MH3_Quote</v>
      </c>
      <c r="AM116" s="246" t="str">
        <f t="shared" si="12"/>
        <v>GBPFUT1MH3ConvAdj_Quote</v>
      </c>
      <c r="AN116" s="245" t="e">
        <f>_xll.qlFuturesConvAdjustmentQuote($AM116,IborIndex,$AK116,$AL116,Volatility,MeanReversion,Permanent,Trigger,ObjectOverwrite)</f>
        <v>#NUM!</v>
      </c>
      <c r="AO116" s="72" t="str">
        <f ca="1">_xll.ohRangeRetrieveError(AN116)</f>
        <v>qlFuturesConvAdjustmentQuote - ObjectHandler error: attempt to retrieve object with unknown ID 'GbpLibor1M'</v>
      </c>
    </row>
    <row r="117" spans="1:41" x14ac:dyDescent="0.2">
      <c r="A117" s="143"/>
      <c r="B117" s="142">
        <v>111</v>
      </c>
      <c r="C117" s="141" t="b">
        <v>0</v>
      </c>
      <c r="D117" s="140" t="str">
        <v>J3</v>
      </c>
      <c r="E117" s="139" t="str">
        <f t="shared" si="10"/>
        <v>GBPFUT1MJ3_Quote</v>
      </c>
      <c r="F117" s="138" t="str">
        <f>_xll.qlSimpleQuote(E117,,PriceTickValue,Permanent,Trigger,ObjectOverwrite)</f>
        <v>GBPFUT1MJ3_Quote#0000</v>
      </c>
      <c r="G117" s="101" t="str">
        <f>_xll.ohRangeRetrieveError(F117)</f>
        <v/>
      </c>
      <c r="H117" s="137"/>
      <c r="AH117" s="143"/>
      <c r="AI117" s="142">
        <v>111</v>
      </c>
      <c r="AJ117" s="140" t="b">
        <v>0</v>
      </c>
      <c r="AK117" s="140" t="str">
        <v>J3</v>
      </c>
      <c r="AL117" s="245" t="str">
        <f t="shared" si="11"/>
        <v>GBPFUT1MJ3_Quote</v>
      </c>
      <c r="AM117" s="246" t="str">
        <f t="shared" si="12"/>
        <v>GBPFUT1MJ3ConvAdj_Quote</v>
      </c>
      <c r="AN117" s="245" t="e">
        <f>_xll.qlFuturesConvAdjustmentQuote($AM117,IborIndex,$AK117,$AL117,Volatility,MeanReversion,Permanent,Trigger,ObjectOverwrite)</f>
        <v>#NUM!</v>
      </c>
      <c r="AO117" s="72" t="str">
        <f ca="1">_xll.ohRangeRetrieveError(AN117)</f>
        <v>qlFuturesConvAdjustmentQuote - ObjectHandler error: attempt to retrieve object with unknown ID 'GbpLibor1M'</v>
      </c>
    </row>
    <row r="118" spans="1:41" x14ac:dyDescent="0.2">
      <c r="A118" s="143"/>
      <c r="B118" s="142">
        <v>112</v>
      </c>
      <c r="C118" s="141" t="b">
        <v>0</v>
      </c>
      <c r="D118" s="140" t="str">
        <v>K3</v>
      </c>
      <c r="E118" s="139" t="str">
        <f t="shared" si="10"/>
        <v>GBPFUT1MK3_Quote</v>
      </c>
      <c r="F118" s="138" t="str">
        <f>_xll.qlSimpleQuote(E118,,PriceTickValue,Permanent,Trigger,ObjectOverwrite)</f>
        <v>GBPFUT1MK3_Quote#0000</v>
      </c>
      <c r="G118" s="101" t="str">
        <f>_xll.ohRangeRetrieveError(F118)</f>
        <v/>
      </c>
      <c r="H118" s="137"/>
      <c r="AH118" s="143"/>
      <c r="AI118" s="142">
        <v>112</v>
      </c>
      <c r="AJ118" s="140" t="b">
        <v>0</v>
      </c>
      <c r="AK118" s="140" t="str">
        <v>K3</v>
      </c>
      <c r="AL118" s="245" t="str">
        <f t="shared" si="11"/>
        <v>GBPFUT1MK3_Quote</v>
      </c>
      <c r="AM118" s="246" t="str">
        <f t="shared" si="12"/>
        <v>GBPFUT1MK3ConvAdj_Quote</v>
      </c>
      <c r="AN118" s="245" t="e">
        <f>_xll.qlFuturesConvAdjustmentQuote($AM118,IborIndex,$AK118,$AL118,Volatility,MeanReversion,Permanent,Trigger,ObjectOverwrite)</f>
        <v>#NUM!</v>
      </c>
      <c r="AO118" s="72" t="str">
        <f ca="1">_xll.ohRangeRetrieveError(AN118)</f>
        <v>qlFuturesConvAdjustmentQuote - ObjectHandler error: attempt to retrieve object with unknown ID 'GbpLibor1M'</v>
      </c>
    </row>
    <row r="119" spans="1:41" x14ac:dyDescent="0.2">
      <c r="A119" s="143"/>
      <c r="B119" s="142">
        <v>113</v>
      </c>
      <c r="C119" s="141" t="b">
        <v>0</v>
      </c>
      <c r="D119" s="140" t="str">
        <v>M3</v>
      </c>
      <c r="E119" s="139" t="str">
        <f t="shared" si="10"/>
        <v>GBPFUT1MM3_Quote</v>
      </c>
      <c r="F119" s="138" t="str">
        <f>_xll.qlSimpleQuote(E119,,PriceTickValue,Permanent,Trigger,ObjectOverwrite)</f>
        <v>GBPFUT1MM3_Quote#0000</v>
      </c>
      <c r="G119" s="101" t="str">
        <f>_xll.ohRangeRetrieveError(F119)</f>
        <v/>
      </c>
      <c r="H119" s="137"/>
      <c r="AH119" s="143"/>
      <c r="AI119" s="142">
        <v>113</v>
      </c>
      <c r="AJ119" s="140" t="b">
        <v>0</v>
      </c>
      <c r="AK119" s="140" t="str">
        <v>M3</v>
      </c>
      <c r="AL119" s="245" t="str">
        <f t="shared" si="11"/>
        <v>GBPFUT1MM3_Quote</v>
      </c>
      <c r="AM119" s="246" t="str">
        <f t="shared" si="12"/>
        <v>GBPFUT1MM3ConvAdj_Quote</v>
      </c>
      <c r="AN119" s="245" t="e">
        <f>_xll.qlFuturesConvAdjustmentQuote($AM119,IborIndex,$AK119,$AL119,Volatility,MeanReversion,Permanent,Trigger,ObjectOverwrite)</f>
        <v>#NUM!</v>
      </c>
      <c r="AO119" s="72" t="str">
        <f ca="1">_xll.ohRangeRetrieveError(AN119)</f>
        <v>qlFuturesConvAdjustmentQuote - ObjectHandler error: attempt to retrieve object with unknown ID 'GbpLibor1M'</v>
      </c>
    </row>
    <row r="120" spans="1:41" x14ac:dyDescent="0.2">
      <c r="A120" s="143"/>
      <c r="B120" s="142">
        <v>114</v>
      </c>
      <c r="C120" s="141" t="b">
        <v>0</v>
      </c>
      <c r="D120" s="140" t="str">
        <v>N3</v>
      </c>
      <c r="E120" s="139" t="str">
        <f t="shared" si="10"/>
        <v>GBPFUT1MN3_Quote</v>
      </c>
      <c r="F120" s="138" t="str">
        <f>_xll.qlSimpleQuote(E120,,PriceTickValue,Permanent,Trigger,ObjectOverwrite)</f>
        <v>GBPFUT1MN3_Quote#0000</v>
      </c>
      <c r="G120" s="101" t="str">
        <f>_xll.ohRangeRetrieveError(F120)</f>
        <v/>
      </c>
      <c r="H120" s="137"/>
      <c r="AH120" s="143"/>
      <c r="AI120" s="142">
        <v>114</v>
      </c>
      <c r="AJ120" s="140" t="b">
        <v>0</v>
      </c>
      <c r="AK120" s="140" t="str">
        <v>N3</v>
      </c>
      <c r="AL120" s="245" t="str">
        <f t="shared" si="11"/>
        <v>GBPFUT1MN3_Quote</v>
      </c>
      <c r="AM120" s="246" t="str">
        <f t="shared" si="12"/>
        <v>GBPFUT1MN3ConvAdj_Quote</v>
      </c>
      <c r="AN120" s="245" t="e">
        <f>_xll.qlFuturesConvAdjustmentQuote($AM120,IborIndex,$AK120,$AL120,Volatility,MeanReversion,Permanent,Trigger,ObjectOverwrite)</f>
        <v>#NUM!</v>
      </c>
      <c r="AO120" s="72" t="str">
        <f ca="1">_xll.ohRangeRetrieveError(AN120)</f>
        <v>qlFuturesConvAdjustmentQuote - ObjectHandler error: attempt to retrieve object with unknown ID 'GbpLibor1M'</v>
      </c>
    </row>
    <row r="121" spans="1:41" x14ac:dyDescent="0.2">
      <c r="A121" s="143"/>
      <c r="B121" s="142">
        <v>115</v>
      </c>
      <c r="C121" s="141" t="b">
        <v>0</v>
      </c>
      <c r="D121" s="140" t="str">
        <v>Q3</v>
      </c>
      <c r="E121" s="139" t="str">
        <f t="shared" si="10"/>
        <v>GBPFUT1MQ3_Quote</v>
      </c>
      <c r="F121" s="138" t="str">
        <f>_xll.qlSimpleQuote(E121,,PriceTickValue,Permanent,Trigger,ObjectOverwrite)</f>
        <v>GBPFUT1MQ3_Quote#0000</v>
      </c>
      <c r="G121" s="101" t="str">
        <f>_xll.ohRangeRetrieveError(F121)</f>
        <v/>
      </c>
      <c r="H121" s="137"/>
      <c r="AH121" s="143"/>
      <c r="AI121" s="142">
        <v>115</v>
      </c>
      <c r="AJ121" s="140" t="b">
        <v>0</v>
      </c>
      <c r="AK121" s="140" t="str">
        <v>Q3</v>
      </c>
      <c r="AL121" s="245" t="str">
        <f t="shared" si="11"/>
        <v>GBPFUT1MQ3_Quote</v>
      </c>
      <c r="AM121" s="246" t="str">
        <f t="shared" si="12"/>
        <v>GBPFUT1MQ3ConvAdj_Quote</v>
      </c>
      <c r="AN121" s="245" t="e">
        <f>_xll.qlFuturesConvAdjustmentQuote($AM121,IborIndex,$AK121,$AL121,Volatility,MeanReversion,Permanent,Trigger,ObjectOverwrite)</f>
        <v>#NUM!</v>
      </c>
      <c r="AO121" s="72" t="str">
        <f ca="1">_xll.ohRangeRetrieveError(AN121)</f>
        <v>qlFuturesConvAdjustmentQuote - ObjectHandler error: attempt to retrieve object with unknown ID 'GbpLibor1M'</v>
      </c>
    </row>
    <row r="122" spans="1:41" x14ac:dyDescent="0.2">
      <c r="A122" s="143"/>
      <c r="B122" s="142">
        <v>116</v>
      </c>
      <c r="C122" s="141" t="b">
        <v>0</v>
      </c>
      <c r="D122" s="140" t="str">
        <v>U3</v>
      </c>
      <c r="E122" s="139" t="str">
        <f t="shared" si="10"/>
        <v>GBPFUT1MU3_Quote</v>
      </c>
      <c r="F122" s="138" t="str">
        <f>_xll.qlSimpleQuote(E122,,PriceTickValue,Permanent,Trigger,ObjectOverwrite)</f>
        <v>GBPFUT1MU3_Quote#0000</v>
      </c>
      <c r="G122" s="101" t="str">
        <f>_xll.ohRangeRetrieveError(F122)</f>
        <v/>
      </c>
      <c r="H122" s="137"/>
      <c r="AH122" s="143"/>
      <c r="AI122" s="142">
        <v>116</v>
      </c>
      <c r="AJ122" s="140" t="b">
        <v>0</v>
      </c>
      <c r="AK122" s="140" t="str">
        <v>U3</v>
      </c>
      <c r="AL122" s="245" t="str">
        <f t="shared" si="11"/>
        <v>GBPFUT1MU3_Quote</v>
      </c>
      <c r="AM122" s="246" t="str">
        <f t="shared" si="12"/>
        <v>GBPFUT1MU3ConvAdj_Quote</v>
      </c>
      <c r="AN122" s="245" t="e">
        <f>_xll.qlFuturesConvAdjustmentQuote($AM122,IborIndex,$AK122,$AL122,Volatility,MeanReversion,Permanent,Trigger,ObjectOverwrite)</f>
        <v>#NUM!</v>
      </c>
      <c r="AO122" s="72" t="str">
        <f ca="1">_xll.ohRangeRetrieveError(AN122)</f>
        <v>qlFuturesConvAdjustmentQuote - ObjectHandler error: attempt to retrieve object with unknown ID 'GbpLibor1M'</v>
      </c>
    </row>
    <row r="123" spans="1:41" x14ac:dyDescent="0.2">
      <c r="A123" s="143"/>
      <c r="B123" s="142">
        <v>117</v>
      </c>
      <c r="C123" s="141" t="b">
        <v>0</v>
      </c>
      <c r="D123" s="140" t="str">
        <v>V3</v>
      </c>
      <c r="E123" s="139" t="str">
        <f t="shared" si="10"/>
        <v>GBPFUT1MV3_Quote</v>
      </c>
      <c r="F123" s="138" t="str">
        <f>_xll.qlSimpleQuote(E123,,PriceTickValue,Permanent,Trigger,ObjectOverwrite)</f>
        <v>GBPFUT1MV3_Quote#0000</v>
      </c>
      <c r="G123" s="101" t="str">
        <f>_xll.ohRangeRetrieveError(F123)</f>
        <v/>
      </c>
      <c r="H123" s="137"/>
      <c r="AH123" s="143"/>
      <c r="AI123" s="142">
        <v>117</v>
      </c>
      <c r="AJ123" s="140" t="b">
        <v>0</v>
      </c>
      <c r="AK123" s="140" t="str">
        <v>V3</v>
      </c>
      <c r="AL123" s="245" t="str">
        <f t="shared" si="11"/>
        <v>GBPFUT1MV3_Quote</v>
      </c>
      <c r="AM123" s="246" t="str">
        <f t="shared" si="12"/>
        <v>GBPFUT1MV3ConvAdj_Quote</v>
      </c>
      <c r="AN123" s="245" t="e">
        <f>_xll.qlFuturesConvAdjustmentQuote($AM123,IborIndex,$AK123,$AL123,Volatility,MeanReversion,Permanent,Trigger,ObjectOverwrite)</f>
        <v>#NUM!</v>
      </c>
      <c r="AO123" s="72" t="str">
        <f ca="1">_xll.ohRangeRetrieveError(AN123)</f>
        <v>qlFuturesConvAdjustmentQuote - ObjectHandler error: attempt to retrieve object with unknown ID 'GbpLibor1M'</v>
      </c>
    </row>
    <row r="124" spans="1:41" x14ac:dyDescent="0.2">
      <c r="A124" s="143"/>
      <c r="B124" s="142">
        <v>118</v>
      </c>
      <c r="C124" s="141" t="b">
        <v>0</v>
      </c>
      <c r="D124" s="140" t="str">
        <v>X3</v>
      </c>
      <c r="E124" s="139" t="str">
        <f t="shared" si="10"/>
        <v>GBPFUT1MX3_Quote</v>
      </c>
      <c r="F124" s="138" t="str">
        <f>_xll.qlSimpleQuote(E124,,PriceTickValue,Permanent,Trigger,ObjectOverwrite)</f>
        <v>GBPFUT1MX3_Quote#0000</v>
      </c>
      <c r="G124" s="101" t="str">
        <f>_xll.ohRangeRetrieveError(F124)</f>
        <v/>
      </c>
      <c r="H124" s="137"/>
      <c r="AH124" s="143"/>
      <c r="AI124" s="142">
        <v>118</v>
      </c>
      <c r="AJ124" s="140" t="b">
        <v>0</v>
      </c>
      <c r="AK124" s="140" t="str">
        <v>X3</v>
      </c>
      <c r="AL124" s="245" t="str">
        <f t="shared" si="11"/>
        <v>GBPFUT1MX3_Quote</v>
      </c>
      <c r="AM124" s="246" t="str">
        <f t="shared" si="12"/>
        <v>GBPFUT1MX3ConvAdj_Quote</v>
      </c>
      <c r="AN124" s="245" t="e">
        <f>_xll.qlFuturesConvAdjustmentQuote($AM124,IborIndex,$AK124,$AL124,Volatility,MeanReversion,Permanent,Trigger,ObjectOverwrite)</f>
        <v>#NUM!</v>
      </c>
      <c r="AO124" s="72" t="str">
        <f ca="1">_xll.ohRangeRetrieveError(AN124)</f>
        <v>qlFuturesConvAdjustmentQuote - ObjectHandler error: attempt to retrieve object with unknown ID 'GbpLibor1M'</v>
      </c>
    </row>
    <row r="125" spans="1:41" x14ac:dyDescent="0.2">
      <c r="A125" s="143"/>
      <c r="B125" s="142">
        <v>119</v>
      </c>
      <c r="C125" s="141" t="b">
        <v>0</v>
      </c>
      <c r="D125" s="140" t="str">
        <v>Z3</v>
      </c>
      <c r="E125" s="139" t="str">
        <f t="shared" si="10"/>
        <v>GBPFUT1MZ3_Quote</v>
      </c>
      <c r="F125" s="138" t="str">
        <f>_xll.qlSimpleQuote(E125,,PriceTickValue,Permanent,Trigger,ObjectOverwrite)</f>
        <v>GBPFUT1MZ3_Quote#0000</v>
      </c>
      <c r="G125" s="101" t="str">
        <f>_xll.ohRangeRetrieveError(F125)</f>
        <v/>
      </c>
      <c r="H125" s="137"/>
      <c r="AH125" s="143"/>
      <c r="AI125" s="142">
        <v>119</v>
      </c>
      <c r="AJ125" s="140" t="b">
        <v>0</v>
      </c>
      <c r="AK125" s="140" t="str">
        <v>Z3</v>
      </c>
      <c r="AL125" s="245" t="str">
        <f t="shared" si="11"/>
        <v>GBPFUT1MZ3_Quote</v>
      </c>
      <c r="AM125" s="246" t="str">
        <f t="shared" si="12"/>
        <v>GBPFUT1MZ3ConvAdj_Quote</v>
      </c>
      <c r="AN125" s="245" t="e">
        <f>_xll.qlFuturesConvAdjustmentQuote($AM125,IborIndex,$AK125,$AL125,Volatility,MeanReversion,Permanent,Trigger,ObjectOverwrite)</f>
        <v>#NUM!</v>
      </c>
      <c r="AO125" s="72" t="str">
        <f ca="1">_xll.ohRangeRetrieveError(AN125)</f>
        <v>qlFuturesConvAdjustmentQuote - ObjectHandler error: attempt to retrieve object with unknown ID 'GbpLibor1M'</v>
      </c>
    </row>
    <row r="126" spans="1:41" ht="12" thickBot="1" x14ac:dyDescent="0.25">
      <c r="A126" s="143"/>
      <c r="B126" s="142">
        <v>120</v>
      </c>
      <c r="C126" s="141" t="b">
        <v>0</v>
      </c>
      <c r="D126" s="140" t="str">
        <v>F4</v>
      </c>
      <c r="E126" s="139" t="str">
        <f t="shared" si="10"/>
        <v>GBPFUT1MF4_Quote</v>
      </c>
      <c r="F126" s="138" t="str">
        <f>_xll.qlSimpleQuote(E126,,PriceTickValue,Permanent,Trigger,ObjectOverwrite)</f>
        <v>GBPFUT1MF4_Quote#0000</v>
      </c>
      <c r="G126" s="101" t="str">
        <f>_xll.ohRangeRetrieveError(F126)</f>
        <v/>
      </c>
      <c r="H126" s="137"/>
      <c r="AH126" s="136"/>
      <c r="AI126" s="142">
        <v>120</v>
      </c>
      <c r="AJ126" s="140" t="b">
        <v>0</v>
      </c>
      <c r="AK126" s="140" t="str">
        <v>F4</v>
      </c>
      <c r="AL126" s="245" t="str">
        <f t="shared" si="11"/>
        <v>GBPFUT1MF4_Quote</v>
      </c>
      <c r="AM126" s="246" t="str">
        <f t="shared" si="12"/>
        <v>GBPFUT1MF4ConvAdj_Quote</v>
      </c>
      <c r="AN126" s="245" t="e">
        <f>_xll.qlFuturesConvAdjustmentQuote($AM126,IborIndex,$AK126,$AL126,Volatility,MeanReversion,Permanent,Trigger,ObjectOverwrite)</f>
        <v>#NUM!</v>
      </c>
      <c r="AO126" s="72" t="str">
        <f ca="1">_xll.ohRangeRetrieveError(AN126)</f>
        <v>qlFuturesConvAdjustmentQuote - ObjectHandler error: attempt to retrieve object with unknown ID 'GbpLibor1M'</v>
      </c>
    </row>
    <row r="127" spans="1:41" ht="12" thickBot="1" x14ac:dyDescent="0.25">
      <c r="A127" s="136"/>
      <c r="B127" s="135"/>
      <c r="C127" s="135"/>
      <c r="D127" s="135"/>
      <c r="E127" s="135"/>
      <c r="F127" s="135"/>
      <c r="G127" s="135"/>
      <c r="H127" s="134"/>
    </row>
  </sheetData>
  <conditionalFormatting sqref="Z7:Z18">
    <cfRule type="cellIs" dxfId="29" priority="1" stopIfTrue="1" operator="greaterThan">
      <formula>0</formula>
    </cfRule>
    <cfRule type="cellIs" dxfId="28"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5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9.8554687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30" width="9.140625" style="65"/>
    <col min="31" max="31" width="2.7109375" style="65" customWidth="1"/>
    <col min="32" max="32" width="9.140625" style="65"/>
    <col min="33" max="34" width="2.7109375" style="65" customWidth="1"/>
    <col min="35" max="37" width="9.140625" style="65"/>
    <col min="38" max="38" width="24.85546875" style="65" bestFit="1" customWidth="1"/>
    <col min="39" max="39" width="27.85546875" style="65" bestFit="1" customWidth="1"/>
    <col min="40" max="40" width="9.140625" style="65"/>
    <col min="41" max="41" width="2.7109375" style="65" customWidth="1"/>
    <col min="42" max="16384" width="9.140625" style="65"/>
  </cols>
  <sheetData>
    <row r="1" spans="1:41" ht="12" thickBot="1" x14ac:dyDescent="0.25">
      <c r="AH1" s="625" t="s">
        <v>348</v>
      </c>
      <c r="AI1" s="626"/>
      <c r="AJ1" s="626"/>
      <c r="AK1" s="626"/>
      <c r="AL1" s="626"/>
      <c r="AM1" s="626"/>
      <c r="AN1" s="626"/>
      <c r="AO1" s="627"/>
    </row>
    <row r="2" spans="1:41" x14ac:dyDescent="0.2">
      <c r="J2" s="154" t="s">
        <v>351</v>
      </c>
      <c r="K2" s="224"/>
      <c r="L2" s="224"/>
      <c r="M2" s="224"/>
      <c r="N2" s="224"/>
      <c r="O2" s="224"/>
      <c r="P2" s="224"/>
      <c r="Q2" s="224"/>
      <c r="R2" s="224"/>
      <c r="S2" s="224"/>
      <c r="T2" s="224"/>
      <c r="U2" s="224"/>
      <c r="V2" s="225"/>
      <c r="W2" s="225"/>
      <c r="X2" s="224"/>
      <c r="Y2" s="224"/>
      <c r="Z2" s="224"/>
      <c r="AA2" s="150"/>
      <c r="AH2" s="628"/>
      <c r="AI2" s="629"/>
      <c r="AJ2" s="629"/>
      <c r="AK2" s="629"/>
      <c r="AL2" s="630" t="s">
        <v>227</v>
      </c>
      <c r="AM2" s="631" t="str">
        <f>FuturesHWConvAdj!C5</f>
        <v>GBPHW_Volatility_Quote#0000</v>
      </c>
      <c r="AN2" s="629"/>
      <c r="AO2" s="632"/>
    </row>
    <row r="3" spans="1:41" x14ac:dyDescent="0.2">
      <c r="J3" s="149"/>
      <c r="K3" s="233"/>
      <c r="L3" s="443"/>
      <c r="M3" s="443"/>
      <c r="N3" s="233"/>
      <c r="O3" s="233"/>
      <c r="P3" s="233"/>
      <c r="Q3" s="233"/>
      <c r="R3" s="233"/>
      <c r="S3" s="233"/>
      <c r="T3" s="233"/>
      <c r="U3" s="233"/>
      <c r="V3" s="406"/>
      <c r="W3" s="406"/>
      <c r="X3" s="233"/>
      <c r="Y3" s="406"/>
      <c r="Z3" s="233"/>
      <c r="AA3" s="441"/>
      <c r="AH3" s="628"/>
      <c r="AI3" s="629"/>
      <c r="AJ3" s="629"/>
      <c r="AK3" s="629"/>
      <c r="AL3" s="630" t="s">
        <v>226</v>
      </c>
      <c r="AM3" s="631" t="str">
        <f>FuturesHWConvAdj!C6</f>
        <v>GBPHW_MeanReversion_Quote#0000</v>
      </c>
      <c r="AN3" s="629"/>
      <c r="AO3" s="632"/>
    </row>
    <row r="4" spans="1:41" ht="12" thickBot="1" x14ac:dyDescent="0.25">
      <c r="J4" s="149"/>
      <c r="K4" s="233"/>
      <c r="L4" s="233"/>
      <c r="M4" s="233"/>
      <c r="N4" s="233"/>
      <c r="O4" s="233"/>
      <c r="P4" s="233"/>
      <c r="Q4" s="233"/>
      <c r="R4" s="233"/>
      <c r="S4" s="233"/>
      <c r="T4" s="233"/>
      <c r="U4" s="233"/>
      <c r="V4" s="406"/>
      <c r="W4" s="406"/>
      <c r="X4" s="233"/>
      <c r="Y4" s="233"/>
      <c r="Z4" s="233"/>
      <c r="AA4" s="441"/>
      <c r="AH4" s="628"/>
      <c r="AI4" s="629"/>
      <c r="AJ4" s="629"/>
      <c r="AK4" s="629"/>
      <c r="AL4" s="630" t="s">
        <v>225</v>
      </c>
      <c r="AM4" s="631" t="str">
        <f>Libor!F13</f>
        <v>GbpLibor3M#0000</v>
      </c>
      <c r="AN4" s="633" t="s">
        <v>12</v>
      </c>
      <c r="AO4" s="632"/>
    </row>
    <row r="5" spans="1:41" ht="12" thickBot="1" x14ac:dyDescent="0.25">
      <c r="A5" s="154" t="s">
        <v>344</v>
      </c>
      <c r="B5" s="153"/>
      <c r="C5" s="153"/>
      <c r="D5" s="152" t="s">
        <v>176</v>
      </c>
      <c r="E5" s="152" t="s">
        <v>12</v>
      </c>
      <c r="F5" s="151"/>
      <c r="G5" s="151"/>
      <c r="H5" s="150"/>
      <c r="J5" s="149"/>
      <c r="K5" s="233"/>
      <c r="L5" s="233"/>
      <c r="M5" s="233"/>
      <c r="N5" s="233"/>
      <c r="O5" s="233"/>
      <c r="P5" s="233"/>
      <c r="Q5" s="233"/>
      <c r="R5" s="233"/>
      <c r="S5" s="233"/>
      <c r="T5" s="233"/>
      <c r="U5" s="233"/>
      <c r="V5" s="406"/>
      <c r="W5" s="406"/>
      <c r="X5" s="233"/>
      <c r="Y5" s="233"/>
      <c r="Z5" s="442">
        <f>_xll.ohTrigger(Z7:Z48)</f>
        <v>1</v>
      </c>
      <c r="AA5" s="441"/>
      <c r="AF5" s="399" t="s">
        <v>288</v>
      </c>
      <c r="AH5" s="628"/>
      <c r="AI5" s="629"/>
      <c r="AJ5" s="629"/>
      <c r="AK5" s="629"/>
      <c r="AL5" s="629"/>
      <c r="AM5" s="629"/>
      <c r="AN5" s="629"/>
      <c r="AO5" s="632"/>
    </row>
    <row r="6" spans="1:41" ht="22.5" x14ac:dyDescent="0.2">
      <c r="A6" s="149"/>
      <c r="B6" s="90" t="s">
        <v>175</v>
      </c>
      <c r="C6" s="91" t="s">
        <v>174</v>
      </c>
      <c r="D6" s="91" t="s">
        <v>173</v>
      </c>
      <c r="E6" s="89" t="str">
        <f>Currency&amp;"_010_"&amp;$D$5&amp;$E$5&amp;".xml"</f>
        <v>GBP_010_FUT3M.xml</v>
      </c>
      <c r="F6" s="88">
        <f ca="1">IF(Serialize,_xll.ohObjectSave(F7:F48,SerializationPath&amp;E6,FileOverwrite,Serialize),"---")</f>
        <v>42</v>
      </c>
      <c r="G6" s="104" t="str">
        <f ca="1">_xll.ohRangeRetrieveError(F6)</f>
        <v/>
      </c>
      <c r="H6" s="137"/>
      <c r="J6" s="149"/>
      <c r="K6" s="449" t="s">
        <v>175</v>
      </c>
      <c r="L6" s="445" t="s">
        <v>174</v>
      </c>
      <c r="M6" s="445" t="s">
        <v>173</v>
      </c>
      <c r="N6" s="445" t="s">
        <v>296</v>
      </c>
      <c r="O6" s="448" t="e">
        <f ca="1">_xll.RData(O7:O48,P6:T6,"RTFEED:IDN",ReutersRtMode,,P7)</f>
        <v>#NAME?</v>
      </c>
      <c r="P6" s="445" t="s">
        <v>295</v>
      </c>
      <c r="Q6" s="445" t="s">
        <v>291</v>
      </c>
      <c r="R6" s="445" t="s">
        <v>264</v>
      </c>
      <c r="S6" s="445" t="s">
        <v>244</v>
      </c>
      <c r="T6" s="445" t="s">
        <v>290</v>
      </c>
      <c r="U6" s="447" t="s">
        <v>289</v>
      </c>
      <c r="V6" s="406"/>
      <c r="W6" s="446" t="s">
        <v>286</v>
      </c>
      <c r="X6" s="406"/>
      <c r="Y6" s="449" t="s">
        <v>285</v>
      </c>
      <c r="Z6" s="444" t="s">
        <v>284</v>
      </c>
      <c r="AA6" s="137"/>
      <c r="AC6" s="434" t="s">
        <v>294</v>
      </c>
      <c r="AD6" s="433" t="s">
        <v>293</v>
      </c>
      <c r="AF6" s="402" t="e">
        <f t="shared" ref="AF6:AF47" si="0">(R7-U7)/50</f>
        <v>#NUM!</v>
      </c>
      <c r="AH6" s="628"/>
      <c r="AI6" s="634" t="s">
        <v>175</v>
      </c>
      <c r="AJ6" s="635" t="s">
        <v>174</v>
      </c>
      <c r="AK6" s="635" t="s">
        <v>173</v>
      </c>
      <c r="AL6" s="636" t="str">
        <f>Currency&amp;"_020_Futures"&amp;AN4&amp;"ConvAdj.xml"</f>
        <v>GBP_020_Futures3MConvAdj.xml</v>
      </c>
      <c r="AM6" s="105">
        <f ca="1">IF(Serialize,_xll.ohObjectSave(AM7:AM48,SerializationPath&amp;AL6,FileOverwrite,Serialize),"---")</f>
        <v>42</v>
      </c>
      <c r="AN6" s="72" t="str">
        <f ca="1">_xll.ohRangeRetrieveError(AM6)</f>
        <v/>
      </c>
      <c r="AO6" s="632"/>
    </row>
    <row r="7" spans="1:41" x14ac:dyDescent="0.2">
      <c r="A7" s="143"/>
      <c r="B7" s="148">
        <v>1</v>
      </c>
      <c r="C7" s="147" t="b">
        <v>0</v>
      </c>
      <c r="D7" s="146" t="str">
        <f t="array" ref="D7:D48">_xll.qlIMMNextCodes(_xll.qlSettingsEvaluationDate(Trigger)-1,$C7:$C48)</f>
        <v>G4</v>
      </c>
      <c r="E7" s="139" t="str">
        <f t="shared" ref="E7:E38" si="1">Currency&amp;$D$5&amp;$E$5&amp;$D7&amp;QuoteSuffix</f>
        <v>GBPFUT3MG4_Quote</v>
      </c>
      <c r="F7" s="145" t="str">
        <f>_xll.qlSimpleQuote(E7,,PriceTickValue,Permanent,Trigger,ObjectOverwrite)</f>
        <v>GBPFUT3MG4_Quote#0000</v>
      </c>
      <c r="G7" s="144" t="str">
        <f>_xll.ohRangeRetrieveError(F7)</f>
        <v/>
      </c>
      <c r="H7" s="137"/>
      <c r="J7" s="143"/>
      <c r="K7" s="432">
        <v>1</v>
      </c>
      <c r="L7" s="431" t="b">
        <v>0</v>
      </c>
      <c r="M7" s="426" t="str">
        <f t="array" ref="M7:M48">_xll.qlIMMcode(FuturesDates)</f>
        <v>G4</v>
      </c>
      <c r="N7" s="430">
        <f t="array" ref="N7:N48">_xll.qlIMMNextDates(_xll.qlSettingsEvaluationDate(Trigger)-1,$L7:$L48)</f>
        <v>41689</v>
      </c>
      <c r="O7" s="426" t="str">
        <f t="array" ref="O7:O48">VLOOKUP(Currency,LiffeCodes,2)&amp;FuturesCodes</f>
        <v>FSSG4</v>
      </c>
      <c r="P7" s="429">
        <v>41325</v>
      </c>
      <c r="Q7" s="426">
        <v>0</v>
      </c>
      <c r="R7" s="426">
        <v>0</v>
      </c>
      <c r="S7" s="426">
        <v>0</v>
      </c>
      <c r="T7" s="426">
        <v>99.45</v>
      </c>
      <c r="U7" s="425" t="e">
        <f>_xll.qlMidSafe($Q7,$R7)</f>
        <v>#NUM!</v>
      </c>
      <c r="V7" s="406"/>
      <c r="W7" s="428">
        <v>99.484999999999999</v>
      </c>
      <c r="X7" s="406"/>
      <c r="Y7" s="427">
        <f t="array" ref="Y7:Y48">QuoteStatic</f>
        <v>99.484999999999999</v>
      </c>
      <c r="Z7" s="425" t="e">
        <f>_xll.qlSimpleQuoteSetValue(F7,Y7,Trigger)</f>
        <v>#N/A</v>
      </c>
      <c r="AA7" s="137"/>
      <c r="AC7" s="423" t="s">
        <v>121</v>
      </c>
      <c r="AD7" s="422" t="s">
        <v>300</v>
      </c>
      <c r="AF7" s="402">
        <f t="shared" si="0"/>
        <v>9.9999999999909054E-5</v>
      </c>
      <c r="AH7" s="637"/>
      <c r="AI7" s="638">
        <v>1</v>
      </c>
      <c r="AJ7" s="639" t="b">
        <v>0</v>
      </c>
      <c r="AK7" s="639" t="str">
        <f t="array" ref="AK7:AK48">_xll.qlIMMNextCodes(_xll.qlSettingsEvaluationDate(Trigger)-1,$AJ7:$AJ48)</f>
        <v>G4</v>
      </c>
      <c r="AL7" s="640" t="str">
        <f t="shared" ref="AL7:AL48" si="2">Currency&amp;"FUT"&amp;$AN$4&amp;$AK7&amp;"ConvAdj"&amp;QuoteSuffix</f>
        <v>GBPFUT3MG4ConvAdj_Quote</v>
      </c>
      <c r="AM7" s="641" t="str">
        <f>_xll.qlFuturesConvAdjustmentQuote(AL7,IborIndex,AK7,F7,Volatility,MeanReversion,Permanent,OR(ISERROR(Z7),ISERROR(FuturesHWConvAdj!Q5:Q6)),ObjectOverwrite)</f>
        <v>GBPFUT3MG4ConvAdj_Quote#0000</v>
      </c>
      <c r="AN7" s="72" t="str">
        <f>_xll.ohRangeRetrieveError(AM7)</f>
        <v/>
      </c>
      <c r="AO7" s="632"/>
    </row>
    <row r="8" spans="1:41" x14ac:dyDescent="0.2">
      <c r="A8" s="143"/>
      <c r="B8" s="142">
        <v>2</v>
      </c>
      <c r="C8" s="141" t="b">
        <v>0</v>
      </c>
      <c r="D8" s="140" t="str">
        <v>H4</v>
      </c>
      <c r="E8" s="139" t="str">
        <f t="shared" si="1"/>
        <v>GBPFUT3MH4_Quote</v>
      </c>
      <c r="F8" s="138" t="str">
        <f>_xll.qlSimpleQuote(E8,,PriceTickValue,Permanent,Trigger,ObjectOverwrite)</f>
        <v>GBPFUT3MH4_Quote#0000</v>
      </c>
      <c r="G8" s="101" t="str">
        <f>_xll.ohRangeRetrieveError(F8)</f>
        <v/>
      </c>
      <c r="H8" s="137"/>
      <c r="J8" s="143"/>
      <c r="K8" s="419">
        <v>2</v>
      </c>
      <c r="L8" s="418" t="b">
        <v>0</v>
      </c>
      <c r="M8" s="413" t="str">
        <v>H4</v>
      </c>
      <c r="N8" s="417">
        <v>41717</v>
      </c>
      <c r="O8" s="413" t="str">
        <v>FSSH4</v>
      </c>
      <c r="P8" s="416">
        <v>41353</v>
      </c>
      <c r="Q8" s="413">
        <v>99.48</v>
      </c>
      <c r="R8" s="413">
        <v>99.49</v>
      </c>
      <c r="S8" s="413">
        <v>99.48</v>
      </c>
      <c r="T8" s="413">
        <v>99.49</v>
      </c>
      <c r="U8" s="412">
        <f>_xll.qlMidSafe($Q8,$R8)</f>
        <v>99.484999999999999</v>
      </c>
      <c r="V8" s="406"/>
      <c r="W8" s="424" t="e">
        <v>#NUM!</v>
      </c>
      <c r="X8" s="406"/>
      <c r="Y8" s="414" t="e">
        <v>#NUM!</v>
      </c>
      <c r="Z8" s="412" t="e">
        <f>_xll.qlSimpleQuoteSetValue(F8,Y8,Trigger)</f>
        <v>#NUM!</v>
      </c>
      <c r="AA8" s="137"/>
      <c r="AC8" s="423" t="s">
        <v>120</v>
      </c>
      <c r="AD8" s="422" t="s">
        <v>299</v>
      </c>
      <c r="AF8" s="402" t="e">
        <f t="shared" si="0"/>
        <v>#NUM!</v>
      </c>
      <c r="AH8" s="637"/>
      <c r="AI8" s="642">
        <v>2</v>
      </c>
      <c r="AJ8" s="643" t="b">
        <v>0</v>
      </c>
      <c r="AK8" s="643" t="str">
        <v>H4</v>
      </c>
      <c r="AL8" s="640" t="str">
        <f t="shared" si="2"/>
        <v>GBPFUT3MH4ConvAdj_Quote</v>
      </c>
      <c r="AM8" s="641" t="str">
        <f>_xll.qlFuturesConvAdjustmentQuote(AL8,IborIndex,AK8,F8,Volatility,MeanReversion,Permanent,OR(ISERROR(Z8),ISERROR(FuturesHWConvAdj!Q6:Q7)),ObjectOverwrite)</f>
        <v>GBPFUT3MH4ConvAdj_Quote#0000</v>
      </c>
      <c r="AN8" s="72" t="str">
        <f>_xll.ohRangeRetrieveError(AM8)</f>
        <v/>
      </c>
      <c r="AO8" s="632"/>
    </row>
    <row r="9" spans="1:41" x14ac:dyDescent="0.2">
      <c r="A9" s="143"/>
      <c r="B9" s="142">
        <v>3</v>
      </c>
      <c r="C9" s="141" t="b">
        <v>0</v>
      </c>
      <c r="D9" s="140" t="str">
        <v>J4</v>
      </c>
      <c r="E9" s="139" t="str">
        <f t="shared" si="1"/>
        <v>GBPFUT3MJ4_Quote</v>
      </c>
      <c r="F9" s="138" t="str">
        <f>_xll.qlSimpleQuote(E9,,PriceTickValue,Permanent,Trigger,ObjectOverwrite)</f>
        <v>GBPFUT3MJ4_Quote#0000</v>
      </c>
      <c r="G9" s="101" t="str">
        <f>_xll.ohRangeRetrieveError(F9)</f>
        <v/>
      </c>
      <c r="H9" s="137"/>
      <c r="J9" s="143"/>
      <c r="K9" s="419">
        <v>3</v>
      </c>
      <c r="L9" s="418" t="b">
        <v>0</v>
      </c>
      <c r="M9" s="413" t="str">
        <v>J4</v>
      </c>
      <c r="N9" s="417">
        <v>41745</v>
      </c>
      <c r="O9" s="413" t="str">
        <v>FSSJ4</v>
      </c>
      <c r="P9" s="416">
        <v>41381</v>
      </c>
      <c r="Q9" s="413">
        <v>0</v>
      </c>
      <c r="R9" s="413">
        <v>0</v>
      </c>
      <c r="S9" s="413">
        <v>0</v>
      </c>
      <c r="T9" s="413">
        <v>99.5</v>
      </c>
      <c r="U9" s="412" t="e">
        <f>_xll.qlMidSafe($Q9,$R9)</f>
        <v>#NUM!</v>
      </c>
      <c r="V9" s="406"/>
      <c r="W9" s="424" t="e">
        <v>#NUM!</v>
      </c>
      <c r="X9" s="406"/>
      <c r="Y9" s="414" t="e">
        <v>#NUM!</v>
      </c>
      <c r="Z9" s="412" t="e">
        <f>_xll.qlSimpleQuoteSetValue(F9,Y9,Trigger)</f>
        <v>#NUM!</v>
      </c>
      <c r="AA9" s="137"/>
      <c r="AC9" s="423" t="s">
        <v>96</v>
      </c>
      <c r="AD9" s="422" t="s">
        <v>298</v>
      </c>
      <c r="AF9" s="402" t="e">
        <f t="shared" si="0"/>
        <v>#VALUE!</v>
      </c>
      <c r="AH9" s="637"/>
      <c r="AI9" s="642">
        <v>3</v>
      </c>
      <c r="AJ9" s="643" t="b">
        <v>0</v>
      </c>
      <c r="AK9" s="643" t="str">
        <v>J4</v>
      </c>
      <c r="AL9" s="640" t="str">
        <f t="shared" si="2"/>
        <v>GBPFUT3MJ4ConvAdj_Quote</v>
      </c>
      <c r="AM9" s="641" t="str">
        <f>_xll.qlFuturesConvAdjustmentQuote(AL9,IborIndex,AK9,F9,Volatility,MeanReversion,Permanent,OR(ISERROR(Z9),ISERROR(FuturesHWConvAdj!Q7:Q8)),ObjectOverwrite)</f>
        <v>GBPFUT3MJ4ConvAdj_Quote#0000</v>
      </c>
      <c r="AN9" s="72" t="str">
        <f>_xll.ohRangeRetrieveError(AM9)</f>
        <v/>
      </c>
      <c r="AO9" s="632"/>
    </row>
    <row r="10" spans="1:41" x14ac:dyDescent="0.2">
      <c r="A10" s="143"/>
      <c r="B10" s="142">
        <v>4</v>
      </c>
      <c r="C10" s="141" t="b">
        <v>0</v>
      </c>
      <c r="D10" s="140" t="str">
        <v>K4</v>
      </c>
      <c r="E10" s="139" t="str">
        <f t="shared" si="1"/>
        <v>GBPFUT3MK4_Quote</v>
      </c>
      <c r="F10" s="138" t="str">
        <f>_xll.qlSimpleQuote(E10,,PriceTickValue,Permanent,Trigger,ObjectOverwrite)</f>
        <v>GBPFUT3MK4_Quote#0000</v>
      </c>
      <c r="G10" s="101" t="str">
        <f>_xll.ohRangeRetrieveError(F10)</f>
        <v/>
      </c>
      <c r="H10" s="137"/>
      <c r="J10" s="143"/>
      <c r="K10" s="419">
        <v>4</v>
      </c>
      <c r="L10" s="418" t="b">
        <v>0</v>
      </c>
      <c r="M10" s="413" t="str">
        <v>K4</v>
      </c>
      <c r="N10" s="417">
        <v>41780</v>
      </c>
      <c r="O10" s="413" t="str">
        <v>FSSK4</v>
      </c>
      <c r="P10" s="416" t="s">
        <v>233</v>
      </c>
      <c r="Q10" s="413" t="s">
        <v>233</v>
      </c>
      <c r="R10" s="413" t="s">
        <v>233</v>
      </c>
      <c r="S10" s="413" t="s">
        <v>233</v>
      </c>
      <c r="T10" s="413" t="s">
        <v>233</v>
      </c>
      <c r="U10" s="412" t="e">
        <f>_xll.qlMidSafe($Q10,$R10)</f>
        <v>#NUM!</v>
      </c>
      <c r="V10" s="406"/>
      <c r="W10" s="424">
        <v>99.495000000000005</v>
      </c>
      <c r="X10" s="406"/>
      <c r="Y10" s="414">
        <v>99.495000000000005</v>
      </c>
      <c r="Z10" s="412" t="e">
        <f>_xll.qlSimpleQuoteSetValue(F10,Y10,Trigger)</f>
        <v>#N/A</v>
      </c>
      <c r="AA10" s="137"/>
      <c r="AC10" s="423" t="s">
        <v>117</v>
      </c>
      <c r="AD10" s="422"/>
      <c r="AF10" s="402">
        <f t="shared" si="0"/>
        <v>9.9999999999909054E-5</v>
      </c>
      <c r="AH10" s="637"/>
      <c r="AI10" s="642">
        <v>4</v>
      </c>
      <c r="AJ10" s="643" t="b">
        <v>0</v>
      </c>
      <c r="AK10" s="643" t="str">
        <v>K4</v>
      </c>
      <c r="AL10" s="640" t="str">
        <f t="shared" si="2"/>
        <v>GBPFUT3MK4ConvAdj_Quote</v>
      </c>
      <c r="AM10" s="641" t="str">
        <f>_xll.qlFuturesConvAdjustmentQuote(AL10,IborIndex,AK10,F10,Volatility,MeanReversion,Permanent,OR(ISERROR(Z10),ISERROR(FuturesHWConvAdj!Q8:Q9)),ObjectOverwrite)</f>
        <v>GBPFUT3MK4ConvAdj_Quote#0000</v>
      </c>
      <c r="AN10" s="72" t="str">
        <f>_xll.ohRangeRetrieveError(AM10)</f>
        <v/>
      </c>
      <c r="AO10" s="632"/>
    </row>
    <row r="11" spans="1:41" ht="12" thickBot="1" x14ac:dyDescent="0.25">
      <c r="A11" s="143"/>
      <c r="B11" s="142">
        <v>5</v>
      </c>
      <c r="C11" s="141" t="b">
        <v>0</v>
      </c>
      <c r="D11" s="140" t="str">
        <v>M4</v>
      </c>
      <c r="E11" s="139" t="str">
        <f t="shared" si="1"/>
        <v>GBPFUT3MM4_Quote</v>
      </c>
      <c r="F11" s="138" t="str">
        <f>_xll.qlSimpleQuote(E11,,PriceTickValue,Permanent,Trigger,ObjectOverwrite)</f>
        <v>GBPFUT3MM4_Quote#0000</v>
      </c>
      <c r="G11" s="101" t="str">
        <f>_xll.ohRangeRetrieveError(F11)</f>
        <v/>
      </c>
      <c r="H11" s="137"/>
      <c r="J11" s="143"/>
      <c r="K11" s="419">
        <v>5</v>
      </c>
      <c r="L11" s="418" t="b">
        <v>0</v>
      </c>
      <c r="M11" s="413" t="str">
        <v>M4</v>
      </c>
      <c r="N11" s="417">
        <v>41808</v>
      </c>
      <c r="O11" s="413" t="str">
        <v>FSSM4</v>
      </c>
      <c r="P11" s="416">
        <v>41444</v>
      </c>
      <c r="Q11" s="413">
        <v>99.46</v>
      </c>
      <c r="R11" s="413">
        <v>99.47</v>
      </c>
      <c r="S11" s="413">
        <v>99.47</v>
      </c>
      <c r="T11" s="413">
        <v>99.48</v>
      </c>
      <c r="U11" s="412">
        <f>_xll.qlMidSafe($Q11,$R11)</f>
        <v>99.465000000000003</v>
      </c>
      <c r="V11" s="406"/>
      <c r="W11" s="415" t="e">
        <v>#NUM!</v>
      </c>
      <c r="X11" s="406"/>
      <c r="Y11" s="414" t="e">
        <v>#NUM!</v>
      </c>
      <c r="Z11" s="412" t="e">
        <f>_xll.qlSimpleQuoteSetValue(F11,Y11,Trigger)</f>
        <v>#NUM!</v>
      </c>
      <c r="AA11" s="137"/>
      <c r="AC11" s="421" t="s">
        <v>115</v>
      </c>
      <c r="AD11" s="420" t="s">
        <v>297</v>
      </c>
      <c r="AF11" s="402" t="e">
        <f t="shared" si="0"/>
        <v>#VALUE!</v>
      </c>
      <c r="AH11" s="637"/>
      <c r="AI11" s="642">
        <v>5</v>
      </c>
      <c r="AJ11" s="643" t="b">
        <v>0</v>
      </c>
      <c r="AK11" s="643" t="str">
        <v>M4</v>
      </c>
      <c r="AL11" s="640" t="str">
        <f t="shared" si="2"/>
        <v>GBPFUT3MM4ConvAdj_Quote</v>
      </c>
      <c r="AM11" s="641" t="str">
        <f>_xll.qlFuturesConvAdjustmentQuote(AL11,IborIndex,AK11,F11,Volatility,MeanReversion,Permanent,OR(ISERROR(Z11),ISERROR(FuturesHWConvAdj!Q9:Q10)),ObjectOverwrite)</f>
        <v>GBPFUT3MM4ConvAdj_Quote#0000</v>
      </c>
      <c r="AN11" s="72" t="str">
        <f>_xll.ohRangeRetrieveError(AM11)</f>
        <v/>
      </c>
      <c r="AO11" s="632"/>
    </row>
    <row r="12" spans="1:41" x14ac:dyDescent="0.2">
      <c r="A12" s="143"/>
      <c r="B12" s="142">
        <v>6</v>
      </c>
      <c r="C12" s="141" t="b">
        <v>0</v>
      </c>
      <c r="D12" s="140" t="str">
        <v>N4</v>
      </c>
      <c r="E12" s="139" t="str">
        <f t="shared" si="1"/>
        <v>GBPFUT3MN4_Quote</v>
      </c>
      <c r="F12" s="138" t="str">
        <f>_xll.qlSimpleQuote(E12,,PriceTickValue,Permanent,Trigger,ObjectOverwrite)</f>
        <v>GBPFUT3MN4_Quote#0000</v>
      </c>
      <c r="G12" s="101" t="str">
        <f>_xll.ohRangeRetrieveError(F12)</f>
        <v/>
      </c>
      <c r="H12" s="137"/>
      <c r="J12" s="143"/>
      <c r="K12" s="419">
        <v>6</v>
      </c>
      <c r="L12" s="418" t="b">
        <v>0</v>
      </c>
      <c r="M12" s="413" t="str">
        <v>N4</v>
      </c>
      <c r="N12" s="417">
        <v>41836</v>
      </c>
      <c r="O12" s="413" t="str">
        <v>FSSN4</v>
      </c>
      <c r="P12" s="416" t="s">
        <v>233</v>
      </c>
      <c r="Q12" s="413" t="s">
        <v>233</v>
      </c>
      <c r="R12" s="413" t="s">
        <v>233</v>
      </c>
      <c r="S12" s="413" t="s">
        <v>233</v>
      </c>
      <c r="T12" s="413" t="s">
        <v>233</v>
      </c>
      <c r="U12" s="412" t="e">
        <f>_xll.qlMidSafe($Q12,$R12)</f>
        <v>#NUM!</v>
      </c>
      <c r="V12" s="406"/>
      <c r="W12" s="415" t="e">
        <v>#NUM!</v>
      </c>
      <c r="X12" s="406"/>
      <c r="Y12" s="414" t="e">
        <v>#NUM!</v>
      </c>
      <c r="Z12" s="412" t="e">
        <f>_xll.qlSimpleQuoteSetValue(F12,Y12,Trigger)</f>
        <v>#NUM!</v>
      </c>
      <c r="AA12" s="137"/>
      <c r="AF12" s="402" t="e">
        <f t="shared" si="0"/>
        <v>#VALUE!</v>
      </c>
      <c r="AH12" s="637"/>
      <c r="AI12" s="642">
        <v>6</v>
      </c>
      <c r="AJ12" s="643" t="b">
        <v>0</v>
      </c>
      <c r="AK12" s="643" t="str">
        <v>N4</v>
      </c>
      <c r="AL12" s="640" t="str">
        <f t="shared" si="2"/>
        <v>GBPFUT3MN4ConvAdj_Quote</v>
      </c>
      <c r="AM12" s="641" t="str">
        <f>_xll.qlFuturesConvAdjustmentQuote(AL12,IborIndex,AK12,F12,Volatility,MeanReversion,Permanent,OR(ISERROR(Z12),ISERROR(FuturesHWConvAdj!Q10:Q11)),ObjectOverwrite)</f>
        <v>GBPFUT3MN4ConvAdj_Quote#0000</v>
      </c>
      <c r="AN12" s="72" t="str">
        <f>_xll.ohRangeRetrieveError(AM12)</f>
        <v/>
      </c>
      <c r="AO12" s="632"/>
    </row>
    <row r="13" spans="1:41" x14ac:dyDescent="0.2">
      <c r="A13" s="143"/>
      <c r="B13" s="142">
        <v>7</v>
      </c>
      <c r="C13" s="141" t="b">
        <v>0</v>
      </c>
      <c r="D13" s="140" t="str">
        <v>Q4</v>
      </c>
      <c r="E13" s="139" t="str">
        <f t="shared" si="1"/>
        <v>GBPFUT3MQ4_Quote</v>
      </c>
      <c r="F13" s="138" t="str">
        <f>_xll.qlSimpleQuote(E13,,PriceTickValue,Permanent,Trigger,ObjectOverwrite)</f>
        <v>GBPFUT3MQ4_Quote#0000</v>
      </c>
      <c r="G13" s="101" t="str">
        <f>_xll.ohRangeRetrieveError(F13)</f>
        <v/>
      </c>
      <c r="H13" s="137"/>
      <c r="J13" s="143"/>
      <c r="K13" s="419">
        <v>7</v>
      </c>
      <c r="L13" s="418" t="b">
        <v>0</v>
      </c>
      <c r="M13" s="413" t="str">
        <v>Q4</v>
      </c>
      <c r="N13" s="417">
        <v>41871</v>
      </c>
      <c r="O13" s="413" t="str">
        <v>FSSQ4</v>
      </c>
      <c r="P13" s="416" t="s">
        <v>233</v>
      </c>
      <c r="Q13" s="413" t="s">
        <v>233</v>
      </c>
      <c r="R13" s="413" t="s">
        <v>233</v>
      </c>
      <c r="S13" s="413" t="s">
        <v>233</v>
      </c>
      <c r="T13" s="413" t="s">
        <v>233</v>
      </c>
      <c r="U13" s="412" t="e">
        <f>_xll.qlMidSafe($Q13,$R13)</f>
        <v>#NUM!</v>
      </c>
      <c r="V13" s="406"/>
      <c r="W13" s="415">
        <v>99.495000000000005</v>
      </c>
      <c r="X13" s="406"/>
      <c r="Y13" s="414">
        <v>99.495000000000005</v>
      </c>
      <c r="Z13" s="412" t="e">
        <f>_xll.qlSimpleQuoteSetValue(F13,Y13,Trigger)</f>
        <v>#N/A</v>
      </c>
      <c r="AA13" s="137"/>
      <c r="AF13" s="402">
        <f t="shared" si="0"/>
        <v>1.9999999999981811E-4</v>
      </c>
      <c r="AH13" s="637"/>
      <c r="AI13" s="642">
        <v>7</v>
      </c>
      <c r="AJ13" s="643" t="b">
        <v>0</v>
      </c>
      <c r="AK13" s="643" t="str">
        <v>Q4</v>
      </c>
      <c r="AL13" s="640" t="str">
        <f t="shared" si="2"/>
        <v>GBPFUT3MQ4ConvAdj_Quote</v>
      </c>
      <c r="AM13" s="641" t="str">
        <f>_xll.qlFuturesConvAdjustmentQuote(AL13,IborIndex,AK13,F13,Volatility,MeanReversion,Permanent,OR(ISERROR(Z13),ISERROR(FuturesHWConvAdj!Q11:Q12)),ObjectOverwrite)</f>
        <v>GBPFUT3MQ4ConvAdj_Quote#0000</v>
      </c>
      <c r="AN13" s="72" t="str">
        <f>_xll.ohRangeRetrieveError(AM13)</f>
        <v/>
      </c>
      <c r="AO13" s="632"/>
    </row>
    <row r="14" spans="1:41" x14ac:dyDescent="0.2">
      <c r="A14" s="143"/>
      <c r="B14" s="142">
        <v>8</v>
      </c>
      <c r="C14" s="141" t="b">
        <v>0</v>
      </c>
      <c r="D14" s="140" t="str">
        <v>U4</v>
      </c>
      <c r="E14" s="139" t="str">
        <f t="shared" si="1"/>
        <v>GBPFUT3MU4_Quote</v>
      </c>
      <c r="F14" s="138" t="str">
        <f>_xll.qlSimpleQuote(E14,,PriceTickValue,Permanent,Trigger,ObjectOverwrite)</f>
        <v>GBPFUT3MU4_Quote#0000</v>
      </c>
      <c r="G14" s="101" t="str">
        <f>_xll.ohRangeRetrieveError(F14)</f>
        <v/>
      </c>
      <c r="H14" s="137"/>
      <c r="J14" s="143"/>
      <c r="K14" s="419">
        <v>8</v>
      </c>
      <c r="L14" s="418" t="b">
        <v>0</v>
      </c>
      <c r="M14" s="413" t="str">
        <v>U4</v>
      </c>
      <c r="N14" s="417">
        <v>41899</v>
      </c>
      <c r="O14" s="413" t="str">
        <v>FSSU4</v>
      </c>
      <c r="P14" s="416">
        <v>41535</v>
      </c>
      <c r="Q14" s="413">
        <v>99.45</v>
      </c>
      <c r="R14" s="413">
        <v>99.47</v>
      </c>
      <c r="S14" s="413">
        <v>99.46</v>
      </c>
      <c r="T14" s="413">
        <v>99.47</v>
      </c>
      <c r="U14" s="412">
        <f>_xll.qlMidSafe($Q14,$R14)</f>
        <v>99.460000000000008</v>
      </c>
      <c r="V14" s="406"/>
      <c r="W14" s="415" t="e">
        <v>#NUM!</v>
      </c>
      <c r="X14" s="406"/>
      <c r="Y14" s="414" t="e">
        <v>#NUM!</v>
      </c>
      <c r="Z14" s="412" t="e">
        <f>_xll.qlSimpleQuoteSetValue(F14,Y14,Trigger)</f>
        <v>#NUM!</v>
      </c>
      <c r="AA14" s="137"/>
      <c r="AF14" s="402" t="e">
        <f t="shared" si="0"/>
        <v>#VALUE!</v>
      </c>
      <c r="AH14" s="637"/>
      <c r="AI14" s="642">
        <v>8</v>
      </c>
      <c r="AJ14" s="643" t="b">
        <v>0</v>
      </c>
      <c r="AK14" s="643" t="str">
        <v>U4</v>
      </c>
      <c r="AL14" s="640" t="str">
        <f t="shared" si="2"/>
        <v>GBPFUT3MU4ConvAdj_Quote</v>
      </c>
      <c r="AM14" s="641" t="str">
        <f>_xll.qlFuturesConvAdjustmentQuote(AL14,IborIndex,AK14,F14,Volatility,MeanReversion,Permanent,OR(ISERROR(Z14),ISERROR(FuturesHWConvAdj!Q12:Q13)),ObjectOverwrite)</f>
        <v>GBPFUT3MU4ConvAdj_Quote#0000</v>
      </c>
      <c r="AN14" s="72" t="str">
        <f>_xll.ohRangeRetrieveError(AM14)</f>
        <v/>
      </c>
      <c r="AO14" s="632"/>
    </row>
    <row r="15" spans="1:41" x14ac:dyDescent="0.2">
      <c r="A15" s="143"/>
      <c r="B15" s="142">
        <v>9</v>
      </c>
      <c r="C15" s="141" t="b">
        <v>0</v>
      </c>
      <c r="D15" s="140" t="str">
        <v>V4</v>
      </c>
      <c r="E15" s="139" t="str">
        <f t="shared" si="1"/>
        <v>GBPFUT3MV4_Quote</v>
      </c>
      <c r="F15" s="138" t="str">
        <f>_xll.qlSimpleQuote(E15,,PriceTickValue,Permanent,Trigger,ObjectOverwrite)</f>
        <v>GBPFUT3MV4_Quote#0000</v>
      </c>
      <c r="G15" s="101" t="str">
        <f>_xll.ohRangeRetrieveError(F15)</f>
        <v/>
      </c>
      <c r="H15" s="137"/>
      <c r="J15" s="143"/>
      <c r="K15" s="419">
        <v>9</v>
      </c>
      <c r="L15" s="418" t="b">
        <v>0</v>
      </c>
      <c r="M15" s="413" t="str">
        <v>V4</v>
      </c>
      <c r="N15" s="417">
        <v>41927</v>
      </c>
      <c r="O15" s="413" t="str">
        <v>FSSV4</v>
      </c>
      <c r="P15" s="416" t="s">
        <v>233</v>
      </c>
      <c r="Q15" s="413" t="s">
        <v>233</v>
      </c>
      <c r="R15" s="413" t="s">
        <v>233</v>
      </c>
      <c r="S15" s="413" t="s">
        <v>233</v>
      </c>
      <c r="T15" s="413" t="s">
        <v>233</v>
      </c>
      <c r="U15" s="412" t="e">
        <f>_xll.qlMidSafe($Q15,$R15)</f>
        <v>#NUM!</v>
      </c>
      <c r="V15" s="406"/>
      <c r="W15" s="415" t="e">
        <v>#NUM!</v>
      </c>
      <c r="X15" s="406"/>
      <c r="Y15" s="414" t="e">
        <v>#NUM!</v>
      </c>
      <c r="Z15" s="412" t="e">
        <f>_xll.qlSimpleQuoteSetValue(F15,Y15,Trigger)</f>
        <v>#NUM!</v>
      </c>
      <c r="AA15" s="137"/>
      <c r="AF15" s="402" t="e">
        <f t="shared" si="0"/>
        <v>#VALUE!</v>
      </c>
      <c r="AH15" s="637"/>
      <c r="AI15" s="642">
        <v>9</v>
      </c>
      <c r="AJ15" s="643" t="b">
        <v>0</v>
      </c>
      <c r="AK15" s="643" t="str">
        <v>V4</v>
      </c>
      <c r="AL15" s="640" t="str">
        <f t="shared" si="2"/>
        <v>GBPFUT3MV4ConvAdj_Quote</v>
      </c>
      <c r="AM15" s="641" t="str">
        <f>_xll.qlFuturesConvAdjustmentQuote(AL15,IborIndex,AK15,F15,Volatility,MeanReversion,Permanent,OR(ISERROR(Z15),ISERROR(FuturesHWConvAdj!Q13:Q14)),ObjectOverwrite)</f>
        <v>GBPFUT3MV4ConvAdj_Quote#0000</v>
      </c>
      <c r="AN15" s="72" t="str">
        <f>_xll.ohRangeRetrieveError(AM15)</f>
        <v/>
      </c>
      <c r="AO15" s="632"/>
    </row>
    <row r="16" spans="1:41" x14ac:dyDescent="0.2">
      <c r="A16" s="143"/>
      <c r="B16" s="142">
        <v>10</v>
      </c>
      <c r="C16" s="141" t="b">
        <v>0</v>
      </c>
      <c r="D16" s="140" t="str">
        <v>X4</v>
      </c>
      <c r="E16" s="139" t="str">
        <f t="shared" si="1"/>
        <v>GBPFUT3MX4_Quote</v>
      </c>
      <c r="F16" s="138" t="str">
        <f>_xll.qlSimpleQuote(E16,,PriceTickValue,Permanent,Trigger,ObjectOverwrite)</f>
        <v>GBPFUT3MX4_Quote#0000</v>
      </c>
      <c r="G16" s="101" t="str">
        <f>_xll.ohRangeRetrieveError(F16)</f>
        <v/>
      </c>
      <c r="H16" s="137"/>
      <c r="J16" s="143"/>
      <c r="K16" s="419">
        <v>10</v>
      </c>
      <c r="L16" s="418" t="b">
        <v>0</v>
      </c>
      <c r="M16" s="413" t="str">
        <v>X4</v>
      </c>
      <c r="N16" s="417">
        <v>41962</v>
      </c>
      <c r="O16" s="413" t="str">
        <v>FSSX4</v>
      </c>
      <c r="P16" s="416" t="s">
        <v>233</v>
      </c>
      <c r="Q16" s="413" t="s">
        <v>233</v>
      </c>
      <c r="R16" s="413" t="s">
        <v>233</v>
      </c>
      <c r="S16" s="413" t="s">
        <v>233</v>
      </c>
      <c r="T16" s="413" t="s">
        <v>233</v>
      </c>
      <c r="U16" s="412" t="e">
        <f>_xll.qlMidSafe($Q16,$R16)</f>
        <v>#NUM!</v>
      </c>
      <c r="V16" s="406"/>
      <c r="W16" s="415">
        <v>99.484999999999999</v>
      </c>
      <c r="X16" s="406"/>
      <c r="Y16" s="414">
        <v>99.484999999999999</v>
      </c>
      <c r="Z16" s="412" t="e">
        <f>_xll.qlSimpleQuoteSetValue(F16,Y16,Trigger)</f>
        <v>#N/A</v>
      </c>
      <c r="AA16" s="137"/>
      <c r="AF16" s="402">
        <f t="shared" si="0"/>
        <v>9.9999999999909054E-5</v>
      </c>
      <c r="AH16" s="637"/>
      <c r="AI16" s="642">
        <v>10</v>
      </c>
      <c r="AJ16" s="643" t="b">
        <v>0</v>
      </c>
      <c r="AK16" s="643" t="str">
        <v>X4</v>
      </c>
      <c r="AL16" s="640" t="str">
        <f t="shared" si="2"/>
        <v>GBPFUT3MX4ConvAdj_Quote</v>
      </c>
      <c r="AM16" s="641" t="str">
        <f>_xll.qlFuturesConvAdjustmentQuote(AL16,IborIndex,AK16,F16,Volatility,MeanReversion,Permanent,OR(ISERROR(Z16),ISERROR(FuturesHWConvAdj!Q14:Q15)),ObjectOverwrite)</f>
        <v>GBPFUT3MX4ConvAdj_Quote#0000</v>
      </c>
      <c r="AN16" s="72" t="str">
        <f>_xll.ohRangeRetrieveError(AM16)</f>
        <v/>
      </c>
      <c r="AO16" s="632"/>
    </row>
    <row r="17" spans="1:41" x14ac:dyDescent="0.2">
      <c r="A17" s="143"/>
      <c r="B17" s="142">
        <v>11</v>
      </c>
      <c r="C17" s="141" t="b">
        <v>0</v>
      </c>
      <c r="D17" s="140" t="str">
        <v>Z4</v>
      </c>
      <c r="E17" s="139" t="str">
        <f t="shared" si="1"/>
        <v>GBPFUT3MZ4_Quote</v>
      </c>
      <c r="F17" s="138" t="str">
        <f>_xll.qlSimpleQuote(E17,,PriceTickValue,Permanent,Trigger,ObjectOverwrite)</f>
        <v>GBPFUT3MZ4_Quote#0000</v>
      </c>
      <c r="G17" s="101" t="str">
        <f>_xll.ohRangeRetrieveError(F17)</f>
        <v/>
      </c>
      <c r="H17" s="137"/>
      <c r="J17" s="143"/>
      <c r="K17" s="419">
        <v>11</v>
      </c>
      <c r="L17" s="418" t="b">
        <v>0</v>
      </c>
      <c r="M17" s="413" t="str">
        <v>Z4</v>
      </c>
      <c r="N17" s="417">
        <v>41990</v>
      </c>
      <c r="O17" s="413" t="str">
        <v>FSSZ4</v>
      </c>
      <c r="P17" s="416">
        <v>41626</v>
      </c>
      <c r="Q17" s="413">
        <v>99.43</v>
      </c>
      <c r="R17" s="413">
        <v>99.44</v>
      </c>
      <c r="S17" s="413">
        <v>99.43</v>
      </c>
      <c r="T17" s="413">
        <v>99.444999999999993</v>
      </c>
      <c r="U17" s="412">
        <f>_xll.qlMidSafe($Q17,$R17)</f>
        <v>99.435000000000002</v>
      </c>
      <c r="V17" s="406"/>
      <c r="W17" s="415" t="e">
        <v>#NUM!</v>
      </c>
      <c r="X17" s="406"/>
      <c r="Y17" s="414" t="e">
        <v>#NUM!</v>
      </c>
      <c r="Z17" s="412" t="e">
        <f>_xll.qlSimpleQuoteSetValue(F17,Y17,Trigger)</f>
        <v>#NUM!</v>
      </c>
      <c r="AA17" s="137"/>
      <c r="AF17" s="402" t="e">
        <f t="shared" si="0"/>
        <v>#VALUE!</v>
      </c>
      <c r="AH17" s="637"/>
      <c r="AI17" s="642">
        <v>11</v>
      </c>
      <c r="AJ17" s="643" t="b">
        <v>0</v>
      </c>
      <c r="AK17" s="643" t="str">
        <v>Z4</v>
      </c>
      <c r="AL17" s="640" t="str">
        <f t="shared" si="2"/>
        <v>GBPFUT3MZ4ConvAdj_Quote</v>
      </c>
      <c r="AM17" s="641" t="str">
        <f>_xll.qlFuturesConvAdjustmentQuote(AL17,IborIndex,AK17,F17,Volatility,MeanReversion,Permanent,OR(ISERROR(Z17),ISERROR(FuturesHWConvAdj!Q15:Q16)),ObjectOverwrite)</f>
        <v>GBPFUT3MZ4ConvAdj_Quote#0000</v>
      </c>
      <c r="AN17" s="72" t="str">
        <f>_xll.ohRangeRetrieveError(AM17)</f>
        <v/>
      </c>
      <c r="AO17" s="632"/>
    </row>
    <row r="18" spans="1:41" x14ac:dyDescent="0.2">
      <c r="A18" s="143"/>
      <c r="B18" s="142">
        <v>12</v>
      </c>
      <c r="C18" s="141" t="b">
        <v>0</v>
      </c>
      <c r="D18" s="140" t="str">
        <v>F5</v>
      </c>
      <c r="E18" s="139" t="str">
        <f t="shared" si="1"/>
        <v>GBPFUT3MF5_Quote</v>
      </c>
      <c r="F18" s="138" t="str">
        <f>_xll.qlSimpleQuote(E18,,PriceTickValue,Permanent,Trigger,ObjectOverwrite)</f>
        <v>GBPFUT3MF5_Quote#0000</v>
      </c>
      <c r="G18" s="101" t="str">
        <f>_xll.ohRangeRetrieveError(F18)</f>
        <v/>
      </c>
      <c r="H18" s="137"/>
      <c r="J18" s="143"/>
      <c r="K18" s="419">
        <v>12</v>
      </c>
      <c r="L18" s="418" t="b">
        <v>0</v>
      </c>
      <c r="M18" s="413" t="str">
        <v>F5</v>
      </c>
      <c r="N18" s="417">
        <v>42025</v>
      </c>
      <c r="O18" s="413" t="str">
        <v>FSSF5</v>
      </c>
      <c r="P18" s="416" t="s">
        <v>233</v>
      </c>
      <c r="Q18" s="413" t="s">
        <v>233</v>
      </c>
      <c r="R18" s="413" t="s">
        <v>233</v>
      </c>
      <c r="S18" s="413" t="s">
        <v>233</v>
      </c>
      <c r="T18" s="413" t="s">
        <v>233</v>
      </c>
      <c r="U18" s="412" t="e">
        <f>_xll.qlMidSafe($Q18,$R18)</f>
        <v>#NUM!</v>
      </c>
      <c r="V18" s="406"/>
      <c r="W18" s="415" t="e">
        <v>#NUM!</v>
      </c>
      <c r="X18" s="406"/>
      <c r="Y18" s="414" t="e">
        <v>#NUM!</v>
      </c>
      <c r="Z18" s="412" t="e">
        <f>_xll.qlSimpleQuoteSetValue(F18,Y18,Trigger)</f>
        <v>#NUM!</v>
      </c>
      <c r="AA18" s="137"/>
      <c r="AF18" s="402">
        <f t="shared" si="0"/>
        <v>9.9999999999909054E-5</v>
      </c>
      <c r="AH18" s="637"/>
      <c r="AI18" s="642">
        <v>12</v>
      </c>
      <c r="AJ18" s="643" t="b">
        <v>0</v>
      </c>
      <c r="AK18" s="643" t="str">
        <v>F5</v>
      </c>
      <c r="AL18" s="640" t="str">
        <f t="shared" si="2"/>
        <v>GBPFUT3MF5ConvAdj_Quote</v>
      </c>
      <c r="AM18" s="641" t="str">
        <f>_xll.qlFuturesConvAdjustmentQuote(AL18,IborIndex,AK18,F18,Volatility,MeanReversion,Permanent,OR(ISERROR(Z18),ISERROR(FuturesHWConvAdj!Q16:Q17)),ObjectOverwrite)</f>
        <v>GBPFUT3MF5ConvAdj_Quote#0000</v>
      </c>
      <c r="AN18" s="72" t="str">
        <f>_xll.ohRangeRetrieveError(AM18)</f>
        <v/>
      </c>
      <c r="AO18" s="632"/>
    </row>
    <row r="19" spans="1:41" x14ac:dyDescent="0.2">
      <c r="A19" s="143"/>
      <c r="B19" s="142">
        <v>13</v>
      </c>
      <c r="C19" s="141" t="b">
        <v>1</v>
      </c>
      <c r="D19" s="140" t="str">
        <v>H5</v>
      </c>
      <c r="E19" s="139" t="str">
        <f t="shared" si="1"/>
        <v>GBPFUT3MH5_Quote</v>
      </c>
      <c r="F19" s="138" t="str">
        <f>_xll.qlSimpleQuote(E19,,PriceTickValue,Permanent,Trigger,ObjectOverwrite)</f>
        <v>GBPFUT3MH5_Quote#0000</v>
      </c>
      <c r="G19" s="101" t="str">
        <f>_xll.ohRangeRetrieveError(F19)</f>
        <v/>
      </c>
      <c r="H19" s="137"/>
      <c r="J19" s="143"/>
      <c r="K19" s="419">
        <v>13</v>
      </c>
      <c r="L19" s="418" t="b">
        <v>1</v>
      </c>
      <c r="M19" s="413" t="str">
        <v>H5</v>
      </c>
      <c r="N19" s="417">
        <v>42081</v>
      </c>
      <c r="O19" s="413" t="str">
        <v>FSSH5</v>
      </c>
      <c r="P19" s="416">
        <v>41717</v>
      </c>
      <c r="Q19" s="413">
        <v>99.4</v>
      </c>
      <c r="R19" s="413">
        <v>99.41</v>
      </c>
      <c r="S19" s="413">
        <v>99.41</v>
      </c>
      <c r="T19" s="413">
        <v>99.415000000000006</v>
      </c>
      <c r="U19" s="412">
        <f>_xll.qlMidSafe($Q19,$R19)</f>
        <v>99.405000000000001</v>
      </c>
      <c r="V19" s="406"/>
      <c r="W19" s="415">
        <v>99.474999999999994</v>
      </c>
      <c r="X19" s="406"/>
      <c r="Y19" s="414">
        <v>99.474999999999994</v>
      </c>
      <c r="Z19" s="412" t="e">
        <f>_xll.qlSimpleQuoteSetValue(F19,Y19,Trigger)</f>
        <v>#N/A</v>
      </c>
      <c r="AA19" s="137"/>
      <c r="AF19" s="402">
        <f t="shared" si="0"/>
        <v>1.0000000000019326E-4</v>
      </c>
      <c r="AH19" s="637"/>
      <c r="AI19" s="642">
        <v>13</v>
      </c>
      <c r="AJ19" s="643" t="b">
        <v>1</v>
      </c>
      <c r="AK19" s="643" t="str">
        <v>H5</v>
      </c>
      <c r="AL19" s="640" t="str">
        <f t="shared" si="2"/>
        <v>GBPFUT3MH5ConvAdj_Quote</v>
      </c>
      <c r="AM19" s="641" t="str">
        <f>_xll.qlFuturesConvAdjustmentQuote(AL19,IborIndex,AK19,F19,Volatility,MeanReversion,Permanent,OR(ISERROR(Z19),ISERROR(FuturesHWConvAdj!Q17:Q18)),ObjectOverwrite)</f>
        <v>GBPFUT3MH5ConvAdj_Quote#0000</v>
      </c>
      <c r="AN19" s="72" t="str">
        <f>_xll.ohRangeRetrieveError(AM19)</f>
        <v/>
      </c>
      <c r="AO19" s="632"/>
    </row>
    <row r="20" spans="1:41" x14ac:dyDescent="0.2">
      <c r="A20" s="143"/>
      <c r="B20" s="142">
        <v>14</v>
      </c>
      <c r="C20" s="141" t="b">
        <v>1</v>
      </c>
      <c r="D20" s="140" t="str">
        <v>M5</v>
      </c>
      <c r="E20" s="139" t="str">
        <f t="shared" si="1"/>
        <v>GBPFUT3MM5_Quote</v>
      </c>
      <c r="F20" s="138" t="str">
        <f>_xll.qlSimpleQuote(E20,,PriceTickValue,Permanent,Trigger,ObjectOverwrite)</f>
        <v>GBPFUT3MM5_Quote#0000</v>
      </c>
      <c r="G20" s="101" t="str">
        <f>_xll.ohRangeRetrieveError(F20)</f>
        <v/>
      </c>
      <c r="H20" s="137"/>
      <c r="J20" s="143"/>
      <c r="K20" s="419">
        <v>14</v>
      </c>
      <c r="L20" s="418" t="b">
        <v>1</v>
      </c>
      <c r="M20" s="413" t="str">
        <v>M5</v>
      </c>
      <c r="N20" s="417">
        <v>42172</v>
      </c>
      <c r="O20" s="413" t="str">
        <v>FSSM5</v>
      </c>
      <c r="P20" s="416">
        <v>41808</v>
      </c>
      <c r="Q20" s="413">
        <v>99.35</v>
      </c>
      <c r="R20" s="413">
        <v>99.36</v>
      </c>
      <c r="S20" s="413">
        <v>99.36</v>
      </c>
      <c r="T20" s="413">
        <v>99.364999999999995</v>
      </c>
      <c r="U20" s="412">
        <f>_xll.qlMidSafe($Q20,$R20)</f>
        <v>99.35499999999999</v>
      </c>
      <c r="V20" s="406"/>
      <c r="W20" s="415">
        <v>99.454999999999998</v>
      </c>
      <c r="X20" s="406"/>
      <c r="Y20" s="414">
        <v>99.454999999999998</v>
      </c>
      <c r="Z20" s="412" t="e">
        <f>_xll.qlSimpleQuoteSetValue(F20,Y20,Trigger)</f>
        <v>#N/A</v>
      </c>
      <c r="AA20" s="137"/>
      <c r="AF20" s="402">
        <f t="shared" si="0"/>
        <v>9.9999999999909054E-5</v>
      </c>
      <c r="AH20" s="637"/>
      <c r="AI20" s="642">
        <v>14</v>
      </c>
      <c r="AJ20" s="643" t="b">
        <v>1</v>
      </c>
      <c r="AK20" s="643" t="str">
        <v>M5</v>
      </c>
      <c r="AL20" s="640" t="str">
        <f t="shared" si="2"/>
        <v>GBPFUT3MM5ConvAdj_Quote</v>
      </c>
      <c r="AM20" s="641" t="str">
        <f>_xll.qlFuturesConvAdjustmentQuote(AL20,IborIndex,AK20,F20,Volatility,MeanReversion,Permanent,OR(ISERROR(Z20),ISERROR(FuturesHWConvAdj!Q18:Q19)),ObjectOverwrite)</f>
        <v>GBPFUT3MM5ConvAdj_Quote#0000</v>
      </c>
      <c r="AN20" s="72" t="str">
        <f>_xll.ohRangeRetrieveError(AM20)</f>
        <v/>
      </c>
      <c r="AO20" s="632"/>
    </row>
    <row r="21" spans="1:41" x14ac:dyDescent="0.2">
      <c r="A21" s="143"/>
      <c r="B21" s="142">
        <v>15</v>
      </c>
      <c r="C21" s="141" t="b">
        <v>1</v>
      </c>
      <c r="D21" s="140" t="str">
        <v>U5</v>
      </c>
      <c r="E21" s="139" t="str">
        <f t="shared" si="1"/>
        <v>GBPFUT3MU5_Quote</v>
      </c>
      <c r="F21" s="138" t="str">
        <f>_xll.qlSimpleQuote(E21,,PriceTickValue,Permanent,Trigger,ObjectOverwrite)</f>
        <v>GBPFUT3MU5_Quote#0000</v>
      </c>
      <c r="G21" s="101" t="str">
        <f>_xll.ohRangeRetrieveError(F21)</f>
        <v/>
      </c>
      <c r="H21" s="137"/>
      <c r="J21" s="143"/>
      <c r="K21" s="419">
        <v>15</v>
      </c>
      <c r="L21" s="418" t="b">
        <v>1</v>
      </c>
      <c r="M21" s="413" t="str">
        <v>U5</v>
      </c>
      <c r="N21" s="417">
        <v>42263</v>
      </c>
      <c r="O21" s="413" t="str">
        <v>FSSU5</v>
      </c>
      <c r="P21" s="416">
        <v>41899</v>
      </c>
      <c r="Q21" s="413">
        <v>99.3</v>
      </c>
      <c r="R21" s="413">
        <v>99.31</v>
      </c>
      <c r="S21" s="413">
        <v>99.3</v>
      </c>
      <c r="T21" s="413">
        <v>99.31</v>
      </c>
      <c r="U21" s="412">
        <f>_xll.qlMidSafe($Q21,$R21)</f>
        <v>99.305000000000007</v>
      </c>
      <c r="V21" s="406"/>
      <c r="W21" s="415">
        <v>99.415000000000006</v>
      </c>
      <c r="X21" s="406"/>
      <c r="Y21" s="414">
        <v>99.415000000000006</v>
      </c>
      <c r="Z21" s="412" t="e">
        <f>_xll.qlSimpleQuoteSetValue(F21,Y21,Trigger)</f>
        <v>#N/A</v>
      </c>
      <c r="AA21" s="137"/>
      <c r="AF21" s="402">
        <f t="shared" si="0"/>
        <v>9.9999999999909054E-5</v>
      </c>
      <c r="AH21" s="637"/>
      <c r="AI21" s="642">
        <v>15</v>
      </c>
      <c r="AJ21" s="643" t="b">
        <v>1</v>
      </c>
      <c r="AK21" s="643" t="str">
        <v>U5</v>
      </c>
      <c r="AL21" s="640" t="str">
        <f t="shared" si="2"/>
        <v>GBPFUT3MU5ConvAdj_Quote</v>
      </c>
      <c r="AM21" s="641" t="str">
        <f>_xll.qlFuturesConvAdjustmentQuote(AL21,IborIndex,AK21,F21,Volatility,MeanReversion,Permanent,OR(ISERROR(Z21),ISERROR(FuturesHWConvAdj!Q19:Q20)),ObjectOverwrite)</f>
        <v>GBPFUT3MU5ConvAdj_Quote#0000</v>
      </c>
      <c r="AN21" s="72" t="str">
        <f>_xll.ohRangeRetrieveError(AM21)</f>
        <v/>
      </c>
      <c r="AO21" s="632"/>
    </row>
    <row r="22" spans="1:41" x14ac:dyDescent="0.2">
      <c r="A22" s="143"/>
      <c r="B22" s="142">
        <v>16</v>
      </c>
      <c r="C22" s="141" t="b">
        <v>1</v>
      </c>
      <c r="D22" s="140" t="str">
        <v>Z5</v>
      </c>
      <c r="E22" s="139" t="str">
        <f t="shared" si="1"/>
        <v>GBPFUT3MZ5_Quote</v>
      </c>
      <c r="F22" s="138" t="str">
        <f>_xll.qlSimpleQuote(E22,,PriceTickValue,Permanent,Trigger,ObjectOverwrite)</f>
        <v>GBPFUT3MZ5_Quote#0000</v>
      </c>
      <c r="G22" s="101" t="str">
        <f>_xll.ohRangeRetrieveError(F22)</f>
        <v/>
      </c>
      <c r="H22" s="137"/>
      <c r="J22" s="143"/>
      <c r="K22" s="419">
        <v>16</v>
      </c>
      <c r="L22" s="418" t="b">
        <v>1</v>
      </c>
      <c r="M22" s="413" t="str">
        <v>Z5</v>
      </c>
      <c r="N22" s="417">
        <v>42354</v>
      </c>
      <c r="O22" s="413" t="str">
        <v>FSSZ5</v>
      </c>
      <c r="P22" s="416">
        <v>41990</v>
      </c>
      <c r="Q22" s="413">
        <v>99.23</v>
      </c>
      <c r="R22" s="413">
        <v>99.24</v>
      </c>
      <c r="S22" s="413">
        <v>99.23</v>
      </c>
      <c r="T22" s="413">
        <v>99.245000000000005</v>
      </c>
      <c r="U22" s="412">
        <f>_xll.qlMidSafe($Q22,$R22)</f>
        <v>99.234999999999999</v>
      </c>
      <c r="V22" s="406"/>
      <c r="W22" s="415">
        <v>99.375</v>
      </c>
      <c r="X22" s="406"/>
      <c r="Y22" s="414">
        <v>99.375</v>
      </c>
      <c r="Z22" s="412" t="e">
        <f>_xll.qlSimpleQuoteSetValue(F22,Y22,Trigger)</f>
        <v>#N/A</v>
      </c>
      <c r="AA22" s="137"/>
      <c r="AF22" s="402">
        <f t="shared" si="0"/>
        <v>1.0000000000019326E-4</v>
      </c>
      <c r="AH22" s="637"/>
      <c r="AI22" s="642">
        <v>16</v>
      </c>
      <c r="AJ22" s="643" t="b">
        <v>1</v>
      </c>
      <c r="AK22" s="643" t="str">
        <v>Z5</v>
      </c>
      <c r="AL22" s="640" t="str">
        <f t="shared" si="2"/>
        <v>GBPFUT3MZ5ConvAdj_Quote</v>
      </c>
      <c r="AM22" s="641" t="str">
        <f>_xll.qlFuturesConvAdjustmentQuote(AL22,IborIndex,AK22,F22,Volatility,MeanReversion,Permanent,OR(ISERROR(Z22),ISERROR(FuturesHWConvAdj!Q20:Q21)),ObjectOverwrite)</f>
        <v>GBPFUT3MZ5ConvAdj_Quote#0000</v>
      </c>
      <c r="AN22" s="72" t="str">
        <f>_xll.ohRangeRetrieveError(AM22)</f>
        <v/>
      </c>
      <c r="AO22" s="632"/>
    </row>
    <row r="23" spans="1:41" x14ac:dyDescent="0.2">
      <c r="A23" s="143"/>
      <c r="B23" s="142">
        <v>17</v>
      </c>
      <c r="C23" s="141" t="b">
        <v>1</v>
      </c>
      <c r="D23" s="140" t="str">
        <v>H6</v>
      </c>
      <c r="E23" s="139" t="str">
        <f t="shared" si="1"/>
        <v>GBPFUT3MH6_Quote</v>
      </c>
      <c r="F23" s="138" t="str">
        <f>_xll.qlSimpleQuote(E23,,PriceTickValue,Permanent,Trigger,ObjectOverwrite)</f>
        <v>GBPFUT3MH6_Quote#0000</v>
      </c>
      <c r="G23" s="101" t="str">
        <f>_xll.ohRangeRetrieveError(F23)</f>
        <v/>
      </c>
      <c r="H23" s="137"/>
      <c r="J23" s="143"/>
      <c r="K23" s="419">
        <v>17</v>
      </c>
      <c r="L23" s="418" t="b">
        <v>1</v>
      </c>
      <c r="M23" s="413" t="str">
        <v>H6</v>
      </c>
      <c r="N23" s="417">
        <v>42445</v>
      </c>
      <c r="O23" s="413" t="str">
        <v>FSSH6</v>
      </c>
      <c r="P23" s="416">
        <v>42081</v>
      </c>
      <c r="Q23" s="413">
        <v>99.16</v>
      </c>
      <c r="R23" s="413">
        <v>99.17</v>
      </c>
      <c r="S23" s="413">
        <v>99.16</v>
      </c>
      <c r="T23" s="413">
        <v>99.17</v>
      </c>
      <c r="U23" s="412">
        <f>_xll.qlMidSafe($Q23,$R23)</f>
        <v>99.164999999999992</v>
      </c>
      <c r="V23" s="406"/>
      <c r="W23" s="415">
        <v>99.325000000000003</v>
      </c>
      <c r="X23" s="406"/>
      <c r="Y23" s="414">
        <v>99.325000000000003</v>
      </c>
      <c r="Z23" s="412" t="e">
        <f>_xll.qlSimpleQuoteSetValue(F23,Y23,Trigger)</f>
        <v>#N/A</v>
      </c>
      <c r="AA23" s="137"/>
      <c r="AF23" s="402">
        <f t="shared" si="0"/>
        <v>1.0000000000019326E-4</v>
      </c>
      <c r="AH23" s="637"/>
      <c r="AI23" s="642">
        <v>17</v>
      </c>
      <c r="AJ23" s="643" t="b">
        <v>1</v>
      </c>
      <c r="AK23" s="643" t="str">
        <v>H6</v>
      </c>
      <c r="AL23" s="640" t="str">
        <f t="shared" si="2"/>
        <v>GBPFUT3MH6ConvAdj_Quote</v>
      </c>
      <c r="AM23" s="641" t="str">
        <f>_xll.qlFuturesConvAdjustmentQuote(AL23,IborIndex,AK23,F23,Volatility,MeanReversion,Permanent,OR(ISERROR(Z23),ISERROR(FuturesHWConvAdj!Q21:Q22)),ObjectOverwrite)</f>
        <v>GBPFUT3MH6ConvAdj_Quote#0000</v>
      </c>
      <c r="AN23" s="72" t="str">
        <f>_xll.ohRangeRetrieveError(AM23)</f>
        <v/>
      </c>
      <c r="AO23" s="632"/>
    </row>
    <row r="24" spans="1:41" x14ac:dyDescent="0.2">
      <c r="A24" s="143"/>
      <c r="B24" s="142">
        <v>18</v>
      </c>
      <c r="C24" s="141" t="b">
        <v>1</v>
      </c>
      <c r="D24" s="140" t="str">
        <v>M6</v>
      </c>
      <c r="E24" s="139" t="str">
        <f t="shared" si="1"/>
        <v>GBPFUT3MM6_Quote</v>
      </c>
      <c r="F24" s="138" t="str">
        <f>_xll.qlSimpleQuote(E24,,PriceTickValue,Permanent,Trigger,ObjectOverwrite)</f>
        <v>GBPFUT3MM6_Quote#0000</v>
      </c>
      <c r="G24" s="101" t="str">
        <f>_xll.ohRangeRetrieveError(F24)</f>
        <v/>
      </c>
      <c r="H24" s="137"/>
      <c r="J24" s="143"/>
      <c r="K24" s="419">
        <v>18</v>
      </c>
      <c r="L24" s="418" t="b">
        <v>1</v>
      </c>
      <c r="M24" s="413" t="str">
        <v>M6</v>
      </c>
      <c r="N24" s="417">
        <v>42536</v>
      </c>
      <c r="O24" s="413" t="str">
        <v>FSSM6</v>
      </c>
      <c r="P24" s="416">
        <v>42172</v>
      </c>
      <c r="Q24" s="413">
        <v>99.07</v>
      </c>
      <c r="R24" s="413">
        <v>99.08</v>
      </c>
      <c r="S24" s="413">
        <v>99.08</v>
      </c>
      <c r="T24" s="413">
        <v>99.084999999999994</v>
      </c>
      <c r="U24" s="412">
        <f>_xll.qlMidSafe($Q24,$R24)</f>
        <v>99.074999999999989</v>
      </c>
      <c r="V24" s="406"/>
      <c r="W24" s="415">
        <v>99.275000000000006</v>
      </c>
      <c r="X24" s="406"/>
      <c r="Y24" s="414">
        <v>99.275000000000006</v>
      </c>
      <c r="Z24" s="412" t="e">
        <f>_xll.qlSimpleQuoteSetValue(F24,Y24,Trigger)</f>
        <v>#N/A</v>
      </c>
      <c r="AA24" s="137"/>
      <c r="AF24" s="402">
        <f t="shared" si="0"/>
        <v>1.0000000000019326E-4</v>
      </c>
      <c r="AH24" s="637"/>
      <c r="AI24" s="642">
        <v>18</v>
      </c>
      <c r="AJ24" s="643" t="b">
        <v>1</v>
      </c>
      <c r="AK24" s="643" t="str">
        <v>M6</v>
      </c>
      <c r="AL24" s="640" t="str">
        <f t="shared" si="2"/>
        <v>GBPFUT3MM6ConvAdj_Quote</v>
      </c>
      <c r="AM24" s="641" t="str">
        <f>_xll.qlFuturesConvAdjustmentQuote(AL24,IborIndex,AK24,F24,Volatility,MeanReversion,Permanent,OR(ISERROR(Z24),ISERROR(FuturesHWConvAdj!Q22:Q23)),ObjectOverwrite)</f>
        <v>GBPFUT3MM6ConvAdj_Quote#0000</v>
      </c>
      <c r="AN24" s="72" t="str">
        <f>_xll.ohRangeRetrieveError(AM24)</f>
        <v/>
      </c>
      <c r="AO24" s="632"/>
    </row>
    <row r="25" spans="1:41" x14ac:dyDescent="0.2">
      <c r="A25" s="143"/>
      <c r="B25" s="142">
        <v>19</v>
      </c>
      <c r="C25" s="141" t="b">
        <v>1</v>
      </c>
      <c r="D25" s="140" t="str">
        <v>U6</v>
      </c>
      <c r="E25" s="139" t="str">
        <f t="shared" si="1"/>
        <v>GBPFUT3MU6_Quote</v>
      </c>
      <c r="F25" s="138" t="str">
        <f>_xll.qlSimpleQuote(E25,,PriceTickValue,Permanent,Trigger,ObjectOverwrite)</f>
        <v>GBPFUT3MU6_Quote#0000</v>
      </c>
      <c r="G25" s="101" t="str">
        <f>_xll.ohRangeRetrieveError(F25)</f>
        <v/>
      </c>
      <c r="H25" s="137"/>
      <c r="J25" s="143"/>
      <c r="K25" s="419">
        <v>19</v>
      </c>
      <c r="L25" s="418" t="b">
        <v>1</v>
      </c>
      <c r="M25" s="413" t="str">
        <v>U6</v>
      </c>
      <c r="N25" s="417">
        <v>42634</v>
      </c>
      <c r="O25" s="413" t="str">
        <v>FSSU6</v>
      </c>
      <c r="P25" s="416">
        <v>42263</v>
      </c>
      <c r="Q25" s="413">
        <v>98.97</v>
      </c>
      <c r="R25" s="413">
        <v>98.98</v>
      </c>
      <c r="S25" s="413">
        <v>98.98</v>
      </c>
      <c r="T25" s="413">
        <v>98.99</v>
      </c>
      <c r="U25" s="412">
        <f>_xll.qlMidSafe($Q25,$R25)</f>
        <v>98.974999999999994</v>
      </c>
      <c r="V25" s="406"/>
      <c r="W25" s="415">
        <v>99.204999999999998</v>
      </c>
      <c r="X25" s="406"/>
      <c r="Y25" s="414">
        <v>99.204999999999998</v>
      </c>
      <c r="Z25" s="412" t="e">
        <f>_xll.qlSimpleQuoteSetValue(F25,Y25,Trigger)</f>
        <v>#N/A</v>
      </c>
      <c r="AA25" s="137"/>
      <c r="AF25" s="402">
        <f t="shared" si="0"/>
        <v>9.9999999999909054E-5</v>
      </c>
      <c r="AH25" s="637"/>
      <c r="AI25" s="642">
        <v>19</v>
      </c>
      <c r="AJ25" s="643" t="b">
        <v>1</v>
      </c>
      <c r="AK25" s="643" t="str">
        <v>U6</v>
      </c>
      <c r="AL25" s="640" t="str">
        <f t="shared" si="2"/>
        <v>GBPFUT3MU6ConvAdj_Quote</v>
      </c>
      <c r="AM25" s="641" t="str">
        <f>_xll.qlFuturesConvAdjustmentQuote(AL25,IborIndex,AK25,F25,Volatility,MeanReversion,Permanent,OR(ISERROR(Z25),ISERROR(FuturesHWConvAdj!Q23:Q24)),ObjectOverwrite)</f>
        <v>GBPFUT3MU6ConvAdj_Quote#0000</v>
      </c>
      <c r="AN25" s="72" t="str">
        <f>_xll.ohRangeRetrieveError(AM25)</f>
        <v/>
      </c>
      <c r="AO25" s="632"/>
    </row>
    <row r="26" spans="1:41" x14ac:dyDescent="0.2">
      <c r="A26" s="143"/>
      <c r="B26" s="142">
        <v>20</v>
      </c>
      <c r="C26" s="141" t="b">
        <v>1</v>
      </c>
      <c r="D26" s="140" t="str">
        <v>Z6</v>
      </c>
      <c r="E26" s="139" t="str">
        <f t="shared" si="1"/>
        <v>GBPFUT3MZ6_Quote</v>
      </c>
      <c r="F26" s="138" t="str">
        <f>_xll.qlSimpleQuote(E26,,PriceTickValue,Permanent,Trigger,ObjectOverwrite)</f>
        <v>GBPFUT3MZ6_Quote#0000</v>
      </c>
      <c r="G26" s="101" t="str">
        <f>_xll.ohRangeRetrieveError(F26)</f>
        <v/>
      </c>
      <c r="H26" s="137"/>
      <c r="J26" s="143"/>
      <c r="K26" s="419">
        <v>20</v>
      </c>
      <c r="L26" s="418" t="b">
        <v>1</v>
      </c>
      <c r="M26" s="413" t="str">
        <v>Z6</v>
      </c>
      <c r="N26" s="417">
        <v>42725</v>
      </c>
      <c r="O26" s="413" t="str">
        <v>FSSZ6</v>
      </c>
      <c r="P26" s="416">
        <v>42354</v>
      </c>
      <c r="Q26" s="413">
        <v>98.86</v>
      </c>
      <c r="R26" s="413">
        <v>98.87</v>
      </c>
      <c r="S26" s="413">
        <v>98.87</v>
      </c>
      <c r="T26" s="413">
        <v>98.875</v>
      </c>
      <c r="U26" s="412">
        <f>_xll.qlMidSafe($Q26,$R26)</f>
        <v>98.865000000000009</v>
      </c>
      <c r="V26" s="406"/>
      <c r="W26" s="415">
        <v>99.135000000000005</v>
      </c>
      <c r="X26" s="406"/>
      <c r="Y26" s="414">
        <v>99.135000000000005</v>
      </c>
      <c r="Z26" s="412" t="e">
        <f>_xll.qlSimpleQuoteSetValue(F26,Y26,Trigger)</f>
        <v>#N/A</v>
      </c>
      <c r="AA26" s="137"/>
      <c r="AF26" s="402">
        <f t="shared" si="0"/>
        <v>1.0000000000019326E-4</v>
      </c>
      <c r="AH26" s="637"/>
      <c r="AI26" s="642">
        <v>20</v>
      </c>
      <c r="AJ26" s="643" t="b">
        <v>1</v>
      </c>
      <c r="AK26" s="643" t="str">
        <v>Z6</v>
      </c>
      <c r="AL26" s="640" t="str">
        <f t="shared" si="2"/>
        <v>GBPFUT3MZ6ConvAdj_Quote</v>
      </c>
      <c r="AM26" s="641" t="str">
        <f>_xll.qlFuturesConvAdjustmentQuote(AL26,IborIndex,AK26,F26,Volatility,MeanReversion,Permanent,OR(ISERROR(Z26),ISERROR(FuturesHWConvAdj!Q24:Q25)),ObjectOverwrite)</f>
        <v>GBPFUT3MZ6ConvAdj_Quote#0000</v>
      </c>
      <c r="AN26" s="72" t="str">
        <f>_xll.ohRangeRetrieveError(AM26)</f>
        <v/>
      </c>
      <c r="AO26" s="632"/>
    </row>
    <row r="27" spans="1:41" x14ac:dyDescent="0.2">
      <c r="A27" s="143"/>
      <c r="B27" s="142">
        <v>21</v>
      </c>
      <c r="C27" s="141" t="b">
        <v>1</v>
      </c>
      <c r="D27" s="140" t="str">
        <v>H7</v>
      </c>
      <c r="E27" s="139" t="str">
        <f t="shared" si="1"/>
        <v>GBPFUT3MH7_Quote</v>
      </c>
      <c r="F27" s="138" t="str">
        <f>_xll.qlSimpleQuote(E27,,PriceTickValue,Permanent,Trigger,ObjectOverwrite)</f>
        <v>GBPFUT3MH7_Quote#0000</v>
      </c>
      <c r="G27" s="101" t="str">
        <f>_xll.ohRangeRetrieveError(F27)</f>
        <v/>
      </c>
      <c r="H27" s="137"/>
      <c r="J27" s="143"/>
      <c r="K27" s="419">
        <v>21</v>
      </c>
      <c r="L27" s="418" t="b">
        <v>1</v>
      </c>
      <c r="M27" s="413" t="str">
        <v>H7</v>
      </c>
      <c r="N27" s="417">
        <v>42809</v>
      </c>
      <c r="O27" s="413" t="str">
        <v>FSSH7</v>
      </c>
      <c r="P27" s="416">
        <v>42445</v>
      </c>
      <c r="Q27" s="413">
        <v>98.75</v>
      </c>
      <c r="R27" s="413">
        <v>98.76</v>
      </c>
      <c r="S27" s="413">
        <v>98.76</v>
      </c>
      <c r="T27" s="413">
        <v>98.77</v>
      </c>
      <c r="U27" s="412">
        <f>_xll.qlMidSafe($Q27,$R27)</f>
        <v>98.754999999999995</v>
      </c>
      <c r="V27" s="406"/>
      <c r="W27" s="415">
        <v>99.04</v>
      </c>
      <c r="X27" s="406"/>
      <c r="Y27" s="414">
        <v>99.04</v>
      </c>
      <c r="Z27" s="412" t="e">
        <f>_xll.qlSimpleQuoteSetValue(F27,Y27,Trigger)</f>
        <v>#N/A</v>
      </c>
      <c r="AA27" s="137"/>
      <c r="AF27" s="402">
        <f t="shared" si="0"/>
        <v>1.0000000000019326E-4</v>
      </c>
      <c r="AH27" s="637"/>
      <c r="AI27" s="642">
        <v>21</v>
      </c>
      <c r="AJ27" s="643" t="b">
        <v>1</v>
      </c>
      <c r="AK27" s="643" t="str">
        <v>H7</v>
      </c>
      <c r="AL27" s="640" t="str">
        <f t="shared" si="2"/>
        <v>GBPFUT3MH7ConvAdj_Quote</v>
      </c>
      <c r="AM27" s="641" t="str">
        <f>_xll.qlFuturesConvAdjustmentQuote(AL27,IborIndex,AK27,F27,Volatility,MeanReversion,Permanent,OR(ISERROR(Z27),ISERROR(FuturesHWConvAdj!Q25:Q26)),ObjectOverwrite)</f>
        <v>GBPFUT3MH7ConvAdj_Quote#0000</v>
      </c>
      <c r="AN27" s="72" t="str">
        <f>_xll.ohRangeRetrieveError(AM27)</f>
        <v/>
      </c>
      <c r="AO27" s="632"/>
    </row>
    <row r="28" spans="1:41" x14ac:dyDescent="0.2">
      <c r="A28" s="143"/>
      <c r="B28" s="142">
        <v>22</v>
      </c>
      <c r="C28" s="141" t="b">
        <v>1</v>
      </c>
      <c r="D28" s="140" t="str">
        <v>M7</v>
      </c>
      <c r="E28" s="139" t="str">
        <f t="shared" si="1"/>
        <v>GBPFUT3MM7_Quote</v>
      </c>
      <c r="F28" s="138" t="str">
        <f>_xll.qlSimpleQuote(E28,,PriceTickValue,Permanent,Trigger,ObjectOverwrite)</f>
        <v>GBPFUT3MM7_Quote#0000</v>
      </c>
      <c r="G28" s="101" t="str">
        <f>_xll.ohRangeRetrieveError(F28)</f>
        <v/>
      </c>
      <c r="H28" s="137"/>
      <c r="J28" s="143"/>
      <c r="K28" s="419">
        <v>22</v>
      </c>
      <c r="L28" s="418" t="b">
        <v>1</v>
      </c>
      <c r="M28" s="413" t="str">
        <v>M7</v>
      </c>
      <c r="N28" s="417">
        <v>42907</v>
      </c>
      <c r="O28" s="413" t="str">
        <v>FSSM7</v>
      </c>
      <c r="P28" s="416">
        <v>42536</v>
      </c>
      <c r="Q28" s="413">
        <v>98.63</v>
      </c>
      <c r="R28" s="413">
        <v>98.64</v>
      </c>
      <c r="S28" s="413">
        <v>98.64</v>
      </c>
      <c r="T28" s="413">
        <v>98.65</v>
      </c>
      <c r="U28" s="412">
        <f>_xll.qlMidSafe($Q28,$R28)</f>
        <v>98.634999999999991</v>
      </c>
      <c r="V28" s="406"/>
      <c r="W28" s="415">
        <v>98.95</v>
      </c>
      <c r="X28" s="406"/>
      <c r="Y28" s="414">
        <v>98.95</v>
      </c>
      <c r="Z28" s="412" t="e">
        <f>_xll.qlSimpleQuoteSetValue(F28,Y28,Trigger)</f>
        <v>#N/A</v>
      </c>
      <c r="AA28" s="137"/>
      <c r="AF28" s="402">
        <f t="shared" si="0"/>
        <v>1.9999999999981811E-4</v>
      </c>
      <c r="AH28" s="637"/>
      <c r="AI28" s="642">
        <v>22</v>
      </c>
      <c r="AJ28" s="643" t="b">
        <v>1</v>
      </c>
      <c r="AK28" s="643" t="str">
        <v>M7</v>
      </c>
      <c r="AL28" s="640" t="str">
        <f t="shared" si="2"/>
        <v>GBPFUT3MM7ConvAdj_Quote</v>
      </c>
      <c r="AM28" s="641" t="str">
        <f>_xll.qlFuturesConvAdjustmentQuote(AL28,IborIndex,AK28,F28,Volatility,MeanReversion,Permanent,OR(ISERROR(Z28),ISERROR(FuturesHWConvAdj!Q26:Q27)),ObjectOverwrite)</f>
        <v>GBPFUT3MM7ConvAdj_Quote#0000</v>
      </c>
      <c r="AN28" s="72" t="str">
        <f>_xll.ohRangeRetrieveError(AM28)</f>
        <v/>
      </c>
      <c r="AO28" s="632"/>
    </row>
    <row r="29" spans="1:41" x14ac:dyDescent="0.2">
      <c r="A29" s="143"/>
      <c r="B29" s="142">
        <v>23</v>
      </c>
      <c r="C29" s="141" t="b">
        <v>1</v>
      </c>
      <c r="D29" s="140" t="str">
        <v>U7</v>
      </c>
      <c r="E29" s="139" t="str">
        <f t="shared" si="1"/>
        <v>GBPFUT3MU7_Quote</v>
      </c>
      <c r="F29" s="138" t="str">
        <f>_xll.qlSimpleQuote(E29,,PriceTickValue,Permanent,Trigger,ObjectOverwrite)</f>
        <v>GBPFUT3MU7_Quote#0000</v>
      </c>
      <c r="G29" s="101" t="str">
        <f>_xll.ohRangeRetrieveError(F29)</f>
        <v/>
      </c>
      <c r="H29" s="137"/>
      <c r="J29" s="143"/>
      <c r="K29" s="419">
        <v>23</v>
      </c>
      <c r="L29" s="418" t="b">
        <v>1</v>
      </c>
      <c r="M29" s="413" t="str">
        <v>U7</v>
      </c>
      <c r="N29" s="417">
        <v>42998</v>
      </c>
      <c r="O29" s="413" t="str">
        <v>FSSU7</v>
      </c>
      <c r="P29" s="416">
        <v>42634</v>
      </c>
      <c r="Q29" s="413">
        <v>98.51</v>
      </c>
      <c r="R29" s="413">
        <v>98.53</v>
      </c>
      <c r="S29" s="413">
        <v>98.53</v>
      </c>
      <c r="T29" s="413">
        <v>98.525000000000006</v>
      </c>
      <c r="U29" s="412">
        <f>_xll.qlMidSafe($Q29,$R29)</f>
        <v>98.52000000000001</v>
      </c>
      <c r="V29" s="406"/>
      <c r="W29" s="415">
        <v>98.84</v>
      </c>
      <c r="X29" s="406"/>
      <c r="Y29" s="414">
        <v>98.84</v>
      </c>
      <c r="Z29" s="412" t="e">
        <f>_xll.qlSimpleQuoteSetValue(F29,Y29,Trigger)</f>
        <v>#N/A</v>
      </c>
      <c r="AA29" s="137"/>
      <c r="AF29" s="402">
        <f t="shared" si="0"/>
        <v>2.0000000000010233E-4</v>
      </c>
      <c r="AH29" s="637"/>
      <c r="AI29" s="642">
        <v>23</v>
      </c>
      <c r="AJ29" s="643" t="b">
        <v>1</v>
      </c>
      <c r="AK29" s="643" t="str">
        <v>U7</v>
      </c>
      <c r="AL29" s="640" t="str">
        <f t="shared" si="2"/>
        <v>GBPFUT3MU7ConvAdj_Quote</v>
      </c>
      <c r="AM29" s="641" t="str">
        <f>_xll.qlFuturesConvAdjustmentQuote(AL29,IborIndex,AK29,F29,Volatility,MeanReversion,Permanent,OR(ISERROR(Z29),ISERROR(FuturesHWConvAdj!Q27:Q28)),ObjectOverwrite)</f>
        <v>GBPFUT3MU7ConvAdj_Quote#0000</v>
      </c>
      <c r="AN29" s="72" t="str">
        <f>_xll.ohRangeRetrieveError(AM29)</f>
        <v/>
      </c>
      <c r="AO29" s="632"/>
    </row>
    <row r="30" spans="1:41" x14ac:dyDescent="0.2">
      <c r="A30" s="143"/>
      <c r="B30" s="142">
        <v>24</v>
      </c>
      <c r="C30" s="141" t="b">
        <v>1</v>
      </c>
      <c r="D30" s="140" t="str">
        <v>Z7</v>
      </c>
      <c r="E30" s="139" t="str">
        <f t="shared" si="1"/>
        <v>GBPFUT3MZ7_Quote</v>
      </c>
      <c r="F30" s="138" t="str">
        <f>_xll.qlSimpleQuote(E30,,PriceTickValue,Permanent,Trigger,ObjectOverwrite)</f>
        <v>GBPFUT3MZ7_Quote#0000</v>
      </c>
      <c r="G30" s="101" t="str">
        <f>_xll.ohRangeRetrieveError(F30)</f>
        <v/>
      </c>
      <c r="H30" s="137"/>
      <c r="J30" s="143"/>
      <c r="K30" s="419">
        <v>24</v>
      </c>
      <c r="L30" s="418" t="b">
        <v>1</v>
      </c>
      <c r="M30" s="413" t="str">
        <v>Z7</v>
      </c>
      <c r="N30" s="417">
        <v>43089</v>
      </c>
      <c r="O30" s="413" t="str">
        <v>FSSZ7</v>
      </c>
      <c r="P30" s="416">
        <v>42725</v>
      </c>
      <c r="Q30" s="413">
        <v>98.37</v>
      </c>
      <c r="R30" s="413">
        <v>98.39</v>
      </c>
      <c r="S30" s="413">
        <v>98.36</v>
      </c>
      <c r="T30" s="413">
        <v>98.385000000000005</v>
      </c>
      <c r="U30" s="412">
        <f>_xll.qlMidSafe($Q30,$R30)</f>
        <v>98.38</v>
      </c>
      <c r="V30" s="406"/>
      <c r="W30" s="415">
        <v>98.724999999999994</v>
      </c>
      <c r="X30" s="406"/>
      <c r="Y30" s="414">
        <v>98.724999999999994</v>
      </c>
      <c r="Z30" s="412" t="e">
        <f>_xll.qlSimpleQuoteSetValue(F30,Y30,Trigger)</f>
        <v>#N/A</v>
      </c>
      <c r="AA30" s="137"/>
      <c r="AF30" s="402">
        <f t="shared" si="0"/>
        <v>4.0000000000020466E-4</v>
      </c>
      <c r="AH30" s="637"/>
      <c r="AI30" s="642">
        <v>24</v>
      </c>
      <c r="AJ30" s="643" t="b">
        <v>1</v>
      </c>
      <c r="AK30" s="643" t="str">
        <v>Z7</v>
      </c>
      <c r="AL30" s="640" t="str">
        <f t="shared" si="2"/>
        <v>GBPFUT3MZ7ConvAdj_Quote</v>
      </c>
      <c r="AM30" s="641" t="str">
        <f>_xll.qlFuturesConvAdjustmentQuote(AL30,IborIndex,AK30,F30,Volatility,MeanReversion,Permanent,OR(ISERROR(Z30),ISERROR(FuturesHWConvAdj!Q28:Q29)),ObjectOverwrite)</f>
        <v>GBPFUT3MZ7ConvAdj_Quote#0000</v>
      </c>
      <c r="AN30" s="72" t="str">
        <f>_xll.ohRangeRetrieveError(AM30)</f>
        <v/>
      </c>
      <c r="AO30" s="632"/>
    </row>
    <row r="31" spans="1:41" x14ac:dyDescent="0.2">
      <c r="A31" s="143"/>
      <c r="B31" s="142">
        <v>25</v>
      </c>
      <c r="C31" s="141" t="b">
        <v>1</v>
      </c>
      <c r="D31" s="140" t="str">
        <v>H8</v>
      </c>
      <c r="E31" s="139" t="str">
        <f t="shared" si="1"/>
        <v>GBPFUT3MH8_Quote</v>
      </c>
      <c r="F31" s="138" t="str">
        <f>_xll.qlSimpleQuote(E31,,PriceTickValue,Permanent,Trigger,ObjectOverwrite)</f>
        <v>GBPFUT3MH8_Quote#0000</v>
      </c>
      <c r="G31" s="101" t="str">
        <f>_xll.ohRangeRetrieveError(F31)</f>
        <v/>
      </c>
      <c r="H31" s="137"/>
      <c r="J31" s="143"/>
      <c r="K31" s="419">
        <v>25</v>
      </c>
      <c r="L31" s="418" t="b">
        <v>1</v>
      </c>
      <c r="M31" s="413" t="str">
        <v>H8</v>
      </c>
      <c r="N31" s="417">
        <v>43180</v>
      </c>
      <c r="O31" s="413" t="str">
        <v>FSSH8</v>
      </c>
      <c r="P31" s="416">
        <v>42809</v>
      </c>
      <c r="Q31" s="413">
        <v>98.24</v>
      </c>
      <c r="R31" s="413">
        <v>98.28</v>
      </c>
      <c r="S31" s="413">
        <v>98.26</v>
      </c>
      <c r="T31" s="413">
        <v>98.265000000000001</v>
      </c>
      <c r="U31" s="412">
        <f>_xll.qlMidSafe($Q31,$R31)</f>
        <v>98.259999999999991</v>
      </c>
      <c r="V31" s="406"/>
      <c r="W31" s="415">
        <v>98.59</v>
      </c>
      <c r="X31" s="406"/>
      <c r="Y31" s="414">
        <v>98.59</v>
      </c>
      <c r="Z31" s="412" t="e">
        <f>_xll.qlSimpleQuoteSetValue(F31,Y31,Trigger)</f>
        <v>#N/A</v>
      </c>
      <c r="AA31" s="137"/>
      <c r="AF31" s="402">
        <f t="shared" si="0"/>
        <v>6.0000000000002272E-4</v>
      </c>
      <c r="AH31" s="637"/>
      <c r="AI31" s="642">
        <v>25</v>
      </c>
      <c r="AJ31" s="643" t="b">
        <v>1</v>
      </c>
      <c r="AK31" s="643" t="str">
        <v>H8</v>
      </c>
      <c r="AL31" s="640" t="str">
        <f t="shared" si="2"/>
        <v>GBPFUT3MH8ConvAdj_Quote</v>
      </c>
      <c r="AM31" s="641" t="str">
        <f>_xll.qlFuturesConvAdjustmentQuote(AL31,IborIndex,AK31,F31,Volatility,MeanReversion,Permanent,OR(ISERROR(Z31),ISERROR(FuturesHWConvAdj!Q29:Q30)),ObjectOverwrite)</f>
        <v>GBPFUT3MH8ConvAdj_Quote#0000</v>
      </c>
      <c r="AN31" s="72" t="str">
        <f>_xll.ohRangeRetrieveError(AM31)</f>
        <v/>
      </c>
      <c r="AO31" s="632"/>
    </row>
    <row r="32" spans="1:41" x14ac:dyDescent="0.2">
      <c r="A32" s="143"/>
      <c r="B32" s="142">
        <v>26</v>
      </c>
      <c r="C32" s="141" t="b">
        <v>1</v>
      </c>
      <c r="D32" s="140" t="str">
        <v>M8</v>
      </c>
      <c r="E32" s="139" t="str">
        <f t="shared" si="1"/>
        <v>GBPFUT3MM8_Quote</v>
      </c>
      <c r="F32" s="138" t="str">
        <f>_xll.qlSimpleQuote(E32,,PriceTickValue,Permanent,Trigger,ObjectOverwrite)</f>
        <v>GBPFUT3MM8_Quote#0000</v>
      </c>
      <c r="G32" s="101" t="str">
        <f>_xll.ohRangeRetrieveError(F32)</f>
        <v/>
      </c>
      <c r="H32" s="137"/>
      <c r="J32" s="143"/>
      <c r="K32" s="419">
        <v>26</v>
      </c>
      <c r="L32" s="418" t="b">
        <v>1</v>
      </c>
      <c r="M32" s="413" t="str">
        <v>M8</v>
      </c>
      <c r="N32" s="417">
        <v>43271</v>
      </c>
      <c r="O32" s="413" t="str">
        <v>FSSM8</v>
      </c>
      <c r="P32" s="416">
        <v>42907</v>
      </c>
      <c r="Q32" s="413">
        <v>98.11</v>
      </c>
      <c r="R32" s="413">
        <v>98.17</v>
      </c>
      <c r="S32" s="413">
        <v>0</v>
      </c>
      <c r="T32" s="413">
        <v>98.125</v>
      </c>
      <c r="U32" s="412">
        <f>_xll.qlMidSafe($Q32,$R32)</f>
        <v>98.14</v>
      </c>
      <c r="V32" s="406"/>
      <c r="W32" s="415">
        <v>98.474999999999994</v>
      </c>
      <c r="X32" s="406"/>
      <c r="Y32" s="414">
        <v>98.474999999999994</v>
      </c>
      <c r="Z32" s="412" t="e">
        <f>_xll.qlSimpleQuoteSetValue(F32,Y32,Trigger)</f>
        <v>#N/A</v>
      </c>
      <c r="AA32" s="137"/>
      <c r="AF32" s="402" t="e">
        <f t="shared" si="0"/>
        <v>#NUM!</v>
      </c>
      <c r="AH32" s="637"/>
      <c r="AI32" s="642">
        <v>26</v>
      </c>
      <c r="AJ32" s="643" t="b">
        <v>1</v>
      </c>
      <c r="AK32" s="643" t="str">
        <v>M8</v>
      </c>
      <c r="AL32" s="640" t="str">
        <f t="shared" si="2"/>
        <v>GBPFUT3MM8ConvAdj_Quote</v>
      </c>
      <c r="AM32" s="641" t="str">
        <f>_xll.qlFuturesConvAdjustmentQuote(AL32,IborIndex,AK32,F32,Volatility,MeanReversion,Permanent,OR(ISERROR(Z32),ISERROR(FuturesHWConvAdj!Q30:Q31)),ObjectOverwrite)</f>
        <v>GBPFUT3MM8ConvAdj_Quote#0000</v>
      </c>
      <c r="AN32" s="72" t="str">
        <f>_xll.ohRangeRetrieveError(AM32)</f>
        <v/>
      </c>
      <c r="AO32" s="632"/>
    </row>
    <row r="33" spans="1:41" x14ac:dyDescent="0.2">
      <c r="A33" s="143"/>
      <c r="B33" s="142">
        <v>27</v>
      </c>
      <c r="C33" s="141" t="b">
        <v>1</v>
      </c>
      <c r="D33" s="140" t="str">
        <v>U8</v>
      </c>
      <c r="E33" s="139" t="str">
        <f t="shared" si="1"/>
        <v>GBPFUT3MU8_Quote</v>
      </c>
      <c r="F33" s="138" t="str">
        <f>_xll.qlSimpleQuote(E33,,PriceTickValue,Permanent,Trigger,ObjectOverwrite)</f>
        <v>GBPFUT3MU8_Quote#0000</v>
      </c>
      <c r="G33" s="101" t="str">
        <f>_xll.ohRangeRetrieveError(F33)</f>
        <v/>
      </c>
      <c r="H33" s="137"/>
      <c r="J33" s="143"/>
      <c r="K33" s="419">
        <v>27</v>
      </c>
      <c r="L33" s="418" t="b">
        <v>1</v>
      </c>
      <c r="M33" s="413" t="str">
        <v>U8</v>
      </c>
      <c r="N33" s="417">
        <v>43362</v>
      </c>
      <c r="O33" s="413" t="str">
        <v>FSSU8</v>
      </c>
      <c r="P33" s="416">
        <v>42998</v>
      </c>
      <c r="Q33" s="413">
        <v>0</v>
      </c>
      <c r="R33" s="413">
        <v>0</v>
      </c>
      <c r="S33" s="413">
        <v>0</v>
      </c>
      <c r="T33" s="413">
        <v>97.99</v>
      </c>
      <c r="U33" s="412" t="e">
        <f>_xll.qlMidSafe($Q33,$R33)</f>
        <v>#NUM!</v>
      </c>
      <c r="V33" s="406"/>
      <c r="W33" s="415" t="e">
        <v>#NUM!</v>
      </c>
      <c r="X33" s="406"/>
      <c r="Y33" s="414" t="e">
        <v>#NUM!</v>
      </c>
      <c r="Z33" s="412" t="e">
        <f>_xll.qlSimpleQuoteSetValue(F33,Y33,Trigger)</f>
        <v>#NUM!</v>
      </c>
      <c r="AA33" s="137"/>
      <c r="AF33" s="402" t="e">
        <f t="shared" si="0"/>
        <v>#NUM!</v>
      </c>
      <c r="AH33" s="637"/>
      <c r="AI33" s="642">
        <v>27</v>
      </c>
      <c r="AJ33" s="643" t="b">
        <v>1</v>
      </c>
      <c r="AK33" s="643" t="str">
        <v>U8</v>
      </c>
      <c r="AL33" s="640" t="str">
        <f t="shared" si="2"/>
        <v>GBPFUT3MU8ConvAdj_Quote</v>
      </c>
      <c r="AM33" s="641" t="str">
        <f>_xll.qlFuturesConvAdjustmentQuote(AL33,IborIndex,AK33,F33,Volatility,MeanReversion,Permanent,OR(ISERROR(Z33),ISERROR(FuturesHWConvAdj!Q31:Q32)),ObjectOverwrite)</f>
        <v>GBPFUT3MU8ConvAdj_Quote#0000</v>
      </c>
      <c r="AN33" s="72" t="str">
        <f>_xll.ohRangeRetrieveError(AM33)</f>
        <v/>
      </c>
      <c r="AO33" s="632"/>
    </row>
    <row r="34" spans="1:41" x14ac:dyDescent="0.2">
      <c r="A34" s="143"/>
      <c r="B34" s="142">
        <v>28</v>
      </c>
      <c r="C34" s="141" t="b">
        <v>1</v>
      </c>
      <c r="D34" s="140" t="str">
        <v>Z8</v>
      </c>
      <c r="E34" s="139" t="str">
        <f t="shared" si="1"/>
        <v>GBPFUT3MZ8_Quote</v>
      </c>
      <c r="F34" s="138" t="str">
        <f>_xll.qlSimpleQuote(E34,,PriceTickValue,Permanent,Trigger,ObjectOverwrite)</f>
        <v>GBPFUT3MZ8_Quote#0000</v>
      </c>
      <c r="G34" s="101" t="str">
        <f>_xll.ohRangeRetrieveError(F34)</f>
        <v/>
      </c>
      <c r="H34" s="137"/>
      <c r="J34" s="143"/>
      <c r="K34" s="419">
        <v>28</v>
      </c>
      <c r="L34" s="418" t="b">
        <v>1</v>
      </c>
      <c r="M34" s="413" t="str">
        <v>Z8</v>
      </c>
      <c r="N34" s="417">
        <v>43453</v>
      </c>
      <c r="O34" s="413" t="str">
        <v>FSSZ8</v>
      </c>
      <c r="P34" s="416">
        <v>43089</v>
      </c>
      <c r="Q34" s="413">
        <v>0</v>
      </c>
      <c r="R34" s="413">
        <v>0</v>
      </c>
      <c r="S34" s="413">
        <v>0</v>
      </c>
      <c r="T34" s="413">
        <v>97.85</v>
      </c>
      <c r="U34" s="412" t="e">
        <f>_xll.qlMidSafe($Q34,$R34)</f>
        <v>#NUM!</v>
      </c>
      <c r="V34" s="406"/>
      <c r="W34" s="415" t="e">
        <v>#NUM!</v>
      </c>
      <c r="X34" s="406"/>
      <c r="Y34" s="414" t="e">
        <v>#NUM!</v>
      </c>
      <c r="Z34" s="412" t="e">
        <f>_xll.qlSimpleQuoteSetValue(F34,Y34,Trigger)</f>
        <v>#NUM!</v>
      </c>
      <c r="AA34" s="137"/>
      <c r="AF34" s="402" t="e">
        <f t="shared" si="0"/>
        <v>#NUM!</v>
      </c>
      <c r="AH34" s="637"/>
      <c r="AI34" s="642">
        <v>28</v>
      </c>
      <c r="AJ34" s="643" t="b">
        <v>1</v>
      </c>
      <c r="AK34" s="643" t="str">
        <v>Z8</v>
      </c>
      <c r="AL34" s="640" t="str">
        <f t="shared" si="2"/>
        <v>GBPFUT3MZ8ConvAdj_Quote</v>
      </c>
      <c r="AM34" s="641" t="str">
        <f>_xll.qlFuturesConvAdjustmentQuote(AL34,IborIndex,AK34,F34,Volatility,MeanReversion,Permanent,OR(ISERROR(Z34),ISERROR(FuturesHWConvAdj!Q32:Q33)),ObjectOverwrite)</f>
        <v>GBPFUT3MZ8ConvAdj_Quote#0000</v>
      </c>
      <c r="AN34" s="72" t="str">
        <f>_xll.ohRangeRetrieveError(AM34)</f>
        <v/>
      </c>
      <c r="AO34" s="632"/>
    </row>
    <row r="35" spans="1:41" x14ac:dyDescent="0.2">
      <c r="A35" s="143"/>
      <c r="B35" s="142">
        <v>29</v>
      </c>
      <c r="C35" s="141" t="b">
        <v>1</v>
      </c>
      <c r="D35" s="140" t="str">
        <v>H9</v>
      </c>
      <c r="E35" s="139" t="str">
        <f t="shared" si="1"/>
        <v>GBPFUT3MH9_Quote</v>
      </c>
      <c r="F35" s="138" t="str">
        <f>_xll.qlSimpleQuote(E35,,PriceTickValue,Permanent,Trigger,ObjectOverwrite)</f>
        <v>GBPFUT3MH9_Quote#0000</v>
      </c>
      <c r="G35" s="101" t="str">
        <f>_xll.ohRangeRetrieveError(F35)</f>
        <v/>
      </c>
      <c r="H35" s="137"/>
      <c r="J35" s="143"/>
      <c r="K35" s="419">
        <v>29</v>
      </c>
      <c r="L35" s="418" t="b">
        <v>1</v>
      </c>
      <c r="M35" s="413" t="str">
        <v>H9</v>
      </c>
      <c r="N35" s="417">
        <v>43544</v>
      </c>
      <c r="O35" s="413" t="str">
        <v>FSSH9</v>
      </c>
      <c r="P35" s="416">
        <v>43180</v>
      </c>
      <c r="Q35" s="413">
        <v>0</v>
      </c>
      <c r="R35" s="413">
        <v>0</v>
      </c>
      <c r="S35" s="413">
        <v>0</v>
      </c>
      <c r="T35" s="413">
        <v>97.71</v>
      </c>
      <c r="U35" s="412" t="e">
        <f>_xll.qlMidSafe($Q35,$R35)</f>
        <v>#NUM!</v>
      </c>
      <c r="V35" s="406"/>
      <c r="W35" s="415" t="e">
        <v>#NUM!</v>
      </c>
      <c r="X35" s="406"/>
      <c r="Y35" s="414" t="e">
        <v>#NUM!</v>
      </c>
      <c r="Z35" s="412" t="e">
        <f>_xll.qlSimpleQuoteSetValue(F35,Y35,Trigger)</f>
        <v>#NUM!</v>
      </c>
      <c r="AA35" s="137"/>
      <c r="AF35" s="402" t="e">
        <f t="shared" si="0"/>
        <v>#NUM!</v>
      </c>
      <c r="AH35" s="637"/>
      <c r="AI35" s="642">
        <v>29</v>
      </c>
      <c r="AJ35" s="643" t="b">
        <v>1</v>
      </c>
      <c r="AK35" s="643" t="str">
        <v>H9</v>
      </c>
      <c r="AL35" s="640" t="str">
        <f t="shared" si="2"/>
        <v>GBPFUT3MH9ConvAdj_Quote</v>
      </c>
      <c r="AM35" s="641" t="str">
        <f>_xll.qlFuturesConvAdjustmentQuote(AL35,IborIndex,AK35,F35,Volatility,MeanReversion,Permanent,OR(ISERROR(Z35),ISERROR(FuturesHWConvAdj!Q33:Q34)),ObjectOverwrite)</f>
        <v>GBPFUT3MH9ConvAdj_Quote#0000</v>
      </c>
      <c r="AN35" s="72" t="str">
        <f>_xll.ohRangeRetrieveError(AM35)</f>
        <v/>
      </c>
      <c r="AO35" s="632"/>
    </row>
    <row r="36" spans="1:41" x14ac:dyDescent="0.2">
      <c r="A36" s="143"/>
      <c r="B36" s="142">
        <v>30</v>
      </c>
      <c r="C36" s="141" t="b">
        <v>1</v>
      </c>
      <c r="D36" s="140" t="str">
        <v>M9</v>
      </c>
      <c r="E36" s="139" t="str">
        <f t="shared" si="1"/>
        <v>GBPFUT3MM9_Quote</v>
      </c>
      <c r="F36" s="138" t="str">
        <f>_xll.qlSimpleQuote(E36,,PriceTickValue,Permanent,Trigger,ObjectOverwrite)</f>
        <v>GBPFUT3MM9_Quote#0000</v>
      </c>
      <c r="G36" s="101" t="str">
        <f>_xll.ohRangeRetrieveError(F36)</f>
        <v/>
      </c>
      <c r="H36" s="137"/>
      <c r="J36" s="143"/>
      <c r="K36" s="419">
        <v>30</v>
      </c>
      <c r="L36" s="418" t="b">
        <v>1</v>
      </c>
      <c r="M36" s="413" t="str">
        <v>M9</v>
      </c>
      <c r="N36" s="417">
        <v>43635</v>
      </c>
      <c r="O36" s="413" t="str">
        <v>FSSM9</v>
      </c>
      <c r="P36" s="416">
        <v>43271</v>
      </c>
      <c r="Q36" s="413">
        <v>0</v>
      </c>
      <c r="R36" s="413">
        <v>0</v>
      </c>
      <c r="S36" s="413">
        <v>0</v>
      </c>
      <c r="T36" s="413">
        <v>97.57</v>
      </c>
      <c r="U36" s="412" t="e">
        <f>_xll.qlMidSafe($Q36,$R36)</f>
        <v>#NUM!</v>
      </c>
      <c r="V36" s="406"/>
      <c r="W36" s="415" t="e">
        <v>#NUM!</v>
      </c>
      <c r="X36" s="406"/>
      <c r="Y36" s="414" t="e">
        <v>#NUM!</v>
      </c>
      <c r="Z36" s="412" t="e">
        <f>_xll.qlSimpleQuoteSetValue(F36,Y36,Trigger)</f>
        <v>#NUM!</v>
      </c>
      <c r="AA36" s="137"/>
      <c r="AF36" s="402" t="e">
        <f t="shared" si="0"/>
        <v>#NUM!</v>
      </c>
      <c r="AH36" s="637"/>
      <c r="AI36" s="642">
        <v>30</v>
      </c>
      <c r="AJ36" s="643" t="b">
        <v>1</v>
      </c>
      <c r="AK36" s="643" t="str">
        <v>M9</v>
      </c>
      <c r="AL36" s="640" t="str">
        <f t="shared" si="2"/>
        <v>GBPFUT3MM9ConvAdj_Quote</v>
      </c>
      <c r="AM36" s="641" t="str">
        <f>_xll.qlFuturesConvAdjustmentQuote(AL36,IborIndex,AK36,F36,Volatility,MeanReversion,Permanent,OR(ISERROR(Z36),ISERROR(FuturesHWConvAdj!Q34:Q35)),ObjectOverwrite)</f>
        <v>GBPFUT3MM9ConvAdj_Quote#0000</v>
      </c>
      <c r="AN36" s="72" t="str">
        <f>_xll.ohRangeRetrieveError(AM36)</f>
        <v/>
      </c>
      <c r="AO36" s="632"/>
    </row>
    <row r="37" spans="1:41" x14ac:dyDescent="0.2">
      <c r="A37" s="143"/>
      <c r="B37" s="142">
        <v>31</v>
      </c>
      <c r="C37" s="141" t="b">
        <v>1</v>
      </c>
      <c r="D37" s="140" t="str">
        <v>U9</v>
      </c>
      <c r="E37" s="139" t="str">
        <f t="shared" si="1"/>
        <v>GBPFUT3MU9_Quote</v>
      </c>
      <c r="F37" s="138" t="str">
        <f>_xll.qlSimpleQuote(E37,,PriceTickValue,Permanent,Trigger,ObjectOverwrite)</f>
        <v>GBPFUT3MU9_Quote#0000</v>
      </c>
      <c r="G37" s="101" t="str">
        <f>_xll.ohRangeRetrieveError(F37)</f>
        <v/>
      </c>
      <c r="H37" s="137"/>
      <c r="J37" s="143"/>
      <c r="K37" s="419">
        <v>31</v>
      </c>
      <c r="L37" s="418" t="b">
        <v>1</v>
      </c>
      <c r="M37" s="413" t="str">
        <v>U9</v>
      </c>
      <c r="N37" s="417">
        <v>43726</v>
      </c>
      <c r="O37" s="413" t="str">
        <v>FSSU9</v>
      </c>
      <c r="P37" s="416">
        <v>43362</v>
      </c>
      <c r="Q37" s="413">
        <v>0</v>
      </c>
      <c r="R37" s="413">
        <v>0</v>
      </c>
      <c r="S37" s="413">
        <v>0</v>
      </c>
      <c r="T37" s="413">
        <v>97.44</v>
      </c>
      <c r="U37" s="412" t="e">
        <f>_xll.qlMidSafe($Q37,$R37)</f>
        <v>#NUM!</v>
      </c>
      <c r="V37" s="406"/>
      <c r="W37" s="415" t="e">
        <v>#NUM!</v>
      </c>
      <c r="X37" s="406"/>
      <c r="Y37" s="414" t="e">
        <v>#NUM!</v>
      </c>
      <c r="Z37" s="412" t="e">
        <f>_xll.qlSimpleQuoteSetValue(F37,Y37,Trigger)</f>
        <v>#NUM!</v>
      </c>
      <c r="AA37" s="137"/>
      <c r="AF37" s="402" t="e">
        <f t="shared" si="0"/>
        <v>#NUM!</v>
      </c>
      <c r="AH37" s="637"/>
      <c r="AI37" s="642">
        <v>31</v>
      </c>
      <c r="AJ37" s="643" t="b">
        <v>1</v>
      </c>
      <c r="AK37" s="643" t="str">
        <v>U9</v>
      </c>
      <c r="AL37" s="640" t="str">
        <f t="shared" si="2"/>
        <v>GBPFUT3MU9ConvAdj_Quote</v>
      </c>
      <c r="AM37" s="641" t="str">
        <f>_xll.qlFuturesConvAdjustmentQuote(AL37,IborIndex,AK37,F37,Volatility,MeanReversion,Permanent,OR(ISERROR(Z37),ISERROR(FuturesHWConvAdj!Q35:Q36)),ObjectOverwrite)</f>
        <v>GBPFUT3MU9ConvAdj_Quote#0000</v>
      </c>
      <c r="AN37" s="72" t="str">
        <f>_xll.ohRangeRetrieveError(AM37)</f>
        <v/>
      </c>
      <c r="AO37" s="632"/>
    </row>
    <row r="38" spans="1:41" x14ac:dyDescent="0.2">
      <c r="A38" s="143"/>
      <c r="B38" s="142">
        <v>32</v>
      </c>
      <c r="C38" s="141" t="b">
        <v>1</v>
      </c>
      <c r="D38" s="140" t="str">
        <v>Z9</v>
      </c>
      <c r="E38" s="139" t="str">
        <f t="shared" si="1"/>
        <v>GBPFUT3MZ9_Quote</v>
      </c>
      <c r="F38" s="138" t="str">
        <f>_xll.qlSimpleQuote(E38,,PriceTickValue,Permanent,Trigger,ObjectOverwrite)</f>
        <v>GBPFUT3MZ9_Quote#0000</v>
      </c>
      <c r="G38" s="101" t="str">
        <f>_xll.ohRangeRetrieveError(F38)</f>
        <v/>
      </c>
      <c r="H38" s="137"/>
      <c r="J38" s="143"/>
      <c r="K38" s="419">
        <v>32</v>
      </c>
      <c r="L38" s="418" t="b">
        <v>1</v>
      </c>
      <c r="M38" s="413" t="str">
        <v>Z9</v>
      </c>
      <c r="N38" s="417">
        <v>43817</v>
      </c>
      <c r="O38" s="413" t="str">
        <v>FSSZ9</v>
      </c>
      <c r="P38" s="416">
        <v>43453</v>
      </c>
      <c r="Q38" s="413">
        <v>0</v>
      </c>
      <c r="R38" s="413">
        <v>0</v>
      </c>
      <c r="S38" s="413">
        <v>0</v>
      </c>
      <c r="T38" s="413">
        <v>97.44</v>
      </c>
      <c r="U38" s="412" t="e">
        <f>_xll.qlMidSafe($Q38,$R38)</f>
        <v>#NUM!</v>
      </c>
      <c r="V38" s="406"/>
      <c r="W38" s="415" t="e">
        <v>#NUM!</v>
      </c>
      <c r="X38" s="406"/>
      <c r="Y38" s="414" t="e">
        <v>#NUM!</v>
      </c>
      <c r="Z38" s="412" t="e">
        <f>_xll.qlSimpleQuoteSetValue(F38,Y38,Trigger)</f>
        <v>#NUM!</v>
      </c>
      <c r="AA38" s="137"/>
      <c r="AF38" s="402" t="e">
        <f t="shared" si="0"/>
        <v>#VALUE!</v>
      </c>
      <c r="AH38" s="637"/>
      <c r="AI38" s="642">
        <v>32</v>
      </c>
      <c r="AJ38" s="643" t="b">
        <v>1</v>
      </c>
      <c r="AK38" s="643" t="str">
        <v>Z9</v>
      </c>
      <c r="AL38" s="640" t="str">
        <f t="shared" si="2"/>
        <v>GBPFUT3MZ9ConvAdj_Quote</v>
      </c>
      <c r="AM38" s="641" t="str">
        <f>_xll.qlFuturesConvAdjustmentQuote(AL38,IborIndex,AK38,F38,Volatility,MeanReversion,Permanent,OR(ISERROR(Z38),ISERROR(FuturesHWConvAdj!Q36:Q37)),ObjectOverwrite)</f>
        <v>GBPFUT3MZ9ConvAdj_Quote#0000</v>
      </c>
      <c r="AN38" s="72" t="str">
        <f>_xll.ohRangeRetrieveError(AM38)</f>
        <v/>
      </c>
      <c r="AO38" s="632"/>
    </row>
    <row r="39" spans="1:41" x14ac:dyDescent="0.2">
      <c r="A39" s="143"/>
      <c r="B39" s="142">
        <v>33</v>
      </c>
      <c r="C39" s="141" t="b">
        <v>1</v>
      </c>
      <c r="D39" s="140" t="str">
        <v>H0</v>
      </c>
      <c r="E39" s="139" t="str">
        <f t="shared" ref="E39:E48" si="3">Currency&amp;$D$5&amp;$E$5&amp;$D39&amp;QuoteSuffix</f>
        <v>GBPFUT3MH0_Quote</v>
      </c>
      <c r="F39" s="138" t="str">
        <f>_xll.qlSimpleQuote(E39,,PriceTickValue,Permanent,Trigger,ObjectOverwrite)</f>
        <v>GBPFUT3MH0_Quote#0000</v>
      </c>
      <c r="G39" s="101" t="str">
        <f>_xll.ohRangeRetrieveError(F39)</f>
        <v/>
      </c>
      <c r="H39" s="137"/>
      <c r="J39" s="143"/>
      <c r="K39" s="419">
        <v>33</v>
      </c>
      <c r="L39" s="418" t="b">
        <v>1</v>
      </c>
      <c r="M39" s="413" t="str">
        <v>H0</v>
      </c>
      <c r="N39" s="417">
        <v>43908</v>
      </c>
      <c r="O39" s="413" t="str">
        <v>FSSH0</v>
      </c>
      <c r="P39" s="416" t="s">
        <v>233</v>
      </c>
      <c r="Q39" s="413" t="s">
        <v>233</v>
      </c>
      <c r="R39" s="413" t="s">
        <v>233</v>
      </c>
      <c r="S39" s="413" t="s">
        <v>233</v>
      </c>
      <c r="T39" s="413" t="s">
        <v>233</v>
      </c>
      <c r="U39" s="412" t="e">
        <f>_xll.qlMidSafe($Q39,$R39)</f>
        <v>#NUM!</v>
      </c>
      <c r="V39" s="406"/>
      <c r="W39" s="415" t="e">
        <v>#NUM!</v>
      </c>
      <c r="X39" s="406"/>
      <c r="Y39" s="414" t="e">
        <v>#NUM!</v>
      </c>
      <c r="Z39" s="412" t="e">
        <f>_xll.qlSimpleQuoteSetValue(F39,Y39,Trigger)</f>
        <v>#NUM!</v>
      </c>
      <c r="AA39" s="137"/>
      <c r="AF39" s="402" t="e">
        <f t="shared" si="0"/>
        <v>#VALUE!</v>
      </c>
      <c r="AH39" s="637"/>
      <c r="AI39" s="642">
        <v>33</v>
      </c>
      <c r="AJ39" s="643" t="b">
        <v>1</v>
      </c>
      <c r="AK39" s="643" t="str">
        <v>H0</v>
      </c>
      <c r="AL39" s="640" t="str">
        <f t="shared" si="2"/>
        <v>GBPFUT3MH0ConvAdj_Quote</v>
      </c>
      <c r="AM39" s="641" t="str">
        <f>_xll.qlFuturesConvAdjustmentQuote(AL39,IborIndex,AK39,F39,Volatility,MeanReversion,Permanent,OR(ISERROR(Z39),ISERROR(FuturesHWConvAdj!Q37:Q38)),ObjectOverwrite)</f>
        <v>GBPFUT3MH0ConvAdj_Quote#0000</v>
      </c>
      <c r="AN39" s="72" t="str">
        <f>_xll.ohRangeRetrieveError(AM39)</f>
        <v/>
      </c>
      <c r="AO39" s="632"/>
    </row>
    <row r="40" spans="1:41" x14ac:dyDescent="0.2">
      <c r="A40" s="143"/>
      <c r="B40" s="142">
        <v>34</v>
      </c>
      <c r="C40" s="141" t="b">
        <v>1</v>
      </c>
      <c r="D40" s="140" t="str">
        <v>M0</v>
      </c>
      <c r="E40" s="139" t="str">
        <f t="shared" si="3"/>
        <v>GBPFUT3MM0_Quote</v>
      </c>
      <c r="F40" s="138" t="str">
        <f>_xll.qlSimpleQuote(E40,,PriceTickValue,Permanent,Trigger,ObjectOverwrite)</f>
        <v>GBPFUT3MM0_Quote#0000</v>
      </c>
      <c r="G40" s="101" t="str">
        <f>_xll.ohRangeRetrieveError(F40)</f>
        <v/>
      </c>
      <c r="H40" s="137"/>
      <c r="J40" s="143"/>
      <c r="K40" s="419">
        <v>34</v>
      </c>
      <c r="L40" s="418" t="b">
        <v>1</v>
      </c>
      <c r="M40" s="413" t="str">
        <v>M0</v>
      </c>
      <c r="N40" s="417">
        <v>43999</v>
      </c>
      <c r="O40" s="413" t="str">
        <v>FSSM0</v>
      </c>
      <c r="P40" s="416" t="s">
        <v>233</v>
      </c>
      <c r="Q40" s="413" t="s">
        <v>233</v>
      </c>
      <c r="R40" s="413" t="s">
        <v>233</v>
      </c>
      <c r="S40" s="413" t="s">
        <v>233</v>
      </c>
      <c r="T40" s="413" t="s">
        <v>233</v>
      </c>
      <c r="U40" s="412" t="e">
        <f>_xll.qlMidSafe($Q40,$R40)</f>
        <v>#NUM!</v>
      </c>
      <c r="V40" s="406"/>
      <c r="W40" s="415" t="e">
        <v>#NUM!</v>
      </c>
      <c r="X40" s="406"/>
      <c r="Y40" s="414" t="e">
        <v>#NUM!</v>
      </c>
      <c r="Z40" s="412" t="e">
        <f>_xll.qlSimpleQuoteSetValue(F40,Y40,Trigger)</f>
        <v>#NUM!</v>
      </c>
      <c r="AA40" s="137"/>
      <c r="AF40" s="402" t="e">
        <f t="shared" si="0"/>
        <v>#VALUE!</v>
      </c>
      <c r="AH40" s="637"/>
      <c r="AI40" s="642">
        <v>34</v>
      </c>
      <c r="AJ40" s="643" t="b">
        <v>1</v>
      </c>
      <c r="AK40" s="643" t="str">
        <v>M0</v>
      </c>
      <c r="AL40" s="640" t="str">
        <f t="shared" si="2"/>
        <v>GBPFUT3MM0ConvAdj_Quote</v>
      </c>
      <c r="AM40" s="641" t="str">
        <f>_xll.qlFuturesConvAdjustmentQuote(AL40,IborIndex,AK40,F40,Volatility,MeanReversion,Permanent,OR(ISERROR(Z40),ISERROR(FuturesHWConvAdj!Q38:Q39)),ObjectOverwrite)</f>
        <v>GBPFUT3MM0ConvAdj_Quote#0000</v>
      </c>
      <c r="AN40" s="72" t="str">
        <f>_xll.ohRangeRetrieveError(AM40)</f>
        <v/>
      </c>
      <c r="AO40" s="632"/>
    </row>
    <row r="41" spans="1:41" x14ac:dyDescent="0.2">
      <c r="A41" s="143"/>
      <c r="B41" s="142">
        <v>35</v>
      </c>
      <c r="C41" s="141" t="b">
        <v>1</v>
      </c>
      <c r="D41" s="140" t="str">
        <v>U0</v>
      </c>
      <c r="E41" s="139" t="str">
        <f t="shared" si="3"/>
        <v>GBPFUT3MU0_Quote</v>
      </c>
      <c r="F41" s="138" t="str">
        <f>_xll.qlSimpleQuote(E41,,PriceTickValue,Permanent,Trigger,ObjectOverwrite)</f>
        <v>GBPFUT3MU0_Quote#0000</v>
      </c>
      <c r="G41" s="101" t="str">
        <f>_xll.ohRangeRetrieveError(F41)</f>
        <v/>
      </c>
      <c r="H41" s="137"/>
      <c r="J41" s="143"/>
      <c r="K41" s="419">
        <v>35</v>
      </c>
      <c r="L41" s="418" t="b">
        <v>1</v>
      </c>
      <c r="M41" s="413" t="str">
        <v>U0</v>
      </c>
      <c r="N41" s="417">
        <v>44090</v>
      </c>
      <c r="O41" s="413" t="str">
        <v>FSSU0</v>
      </c>
      <c r="P41" s="416" t="s">
        <v>233</v>
      </c>
      <c r="Q41" s="413" t="s">
        <v>233</v>
      </c>
      <c r="R41" s="413" t="s">
        <v>233</v>
      </c>
      <c r="S41" s="413" t="s">
        <v>233</v>
      </c>
      <c r="T41" s="413" t="s">
        <v>233</v>
      </c>
      <c r="U41" s="412" t="e">
        <f>_xll.qlMidSafe($Q41,$R41)</f>
        <v>#NUM!</v>
      </c>
      <c r="V41" s="406"/>
      <c r="W41" s="415" t="e">
        <v>#NUM!</v>
      </c>
      <c r="X41" s="406"/>
      <c r="Y41" s="414" t="e">
        <v>#NUM!</v>
      </c>
      <c r="Z41" s="412" t="e">
        <f>_xll.qlSimpleQuoteSetValue(F41,Y41,Trigger)</f>
        <v>#NUM!</v>
      </c>
      <c r="AA41" s="137"/>
      <c r="AF41" s="402" t="e">
        <f t="shared" si="0"/>
        <v>#VALUE!</v>
      </c>
      <c r="AH41" s="637"/>
      <c r="AI41" s="642">
        <v>35</v>
      </c>
      <c r="AJ41" s="643" t="b">
        <v>1</v>
      </c>
      <c r="AK41" s="643" t="str">
        <v>U0</v>
      </c>
      <c r="AL41" s="640" t="str">
        <f t="shared" si="2"/>
        <v>GBPFUT3MU0ConvAdj_Quote</v>
      </c>
      <c r="AM41" s="641" t="str">
        <f>_xll.qlFuturesConvAdjustmentQuote(AL41,IborIndex,AK41,F41,Volatility,MeanReversion,Permanent,OR(ISERROR(Z41),ISERROR(FuturesHWConvAdj!Q39:Q40)),ObjectOverwrite)</f>
        <v>GBPFUT3MU0ConvAdj_Quote#0000</v>
      </c>
      <c r="AN41" s="72" t="str">
        <f>_xll.ohRangeRetrieveError(AM41)</f>
        <v/>
      </c>
      <c r="AO41" s="632"/>
    </row>
    <row r="42" spans="1:41" x14ac:dyDescent="0.2">
      <c r="A42" s="143"/>
      <c r="B42" s="142">
        <v>36</v>
      </c>
      <c r="C42" s="141" t="b">
        <v>1</v>
      </c>
      <c r="D42" s="140" t="str">
        <v>Z0</v>
      </c>
      <c r="E42" s="139" t="str">
        <f t="shared" si="3"/>
        <v>GBPFUT3MZ0_Quote</v>
      </c>
      <c r="F42" s="138" t="str">
        <f>_xll.qlSimpleQuote(E42,,PriceTickValue,Permanent,Trigger,ObjectOverwrite)</f>
        <v>GBPFUT3MZ0_Quote#0000</v>
      </c>
      <c r="G42" s="101" t="str">
        <f>_xll.ohRangeRetrieveError(F42)</f>
        <v/>
      </c>
      <c r="H42" s="137"/>
      <c r="J42" s="143"/>
      <c r="K42" s="419">
        <v>36</v>
      </c>
      <c r="L42" s="418" t="b">
        <v>1</v>
      </c>
      <c r="M42" s="413" t="str">
        <v>Z0</v>
      </c>
      <c r="N42" s="417">
        <v>44181</v>
      </c>
      <c r="O42" s="413" t="str">
        <v>FSSZ0</v>
      </c>
      <c r="P42" s="416" t="s">
        <v>233</v>
      </c>
      <c r="Q42" s="413" t="s">
        <v>233</v>
      </c>
      <c r="R42" s="413" t="s">
        <v>233</v>
      </c>
      <c r="S42" s="413" t="s">
        <v>233</v>
      </c>
      <c r="T42" s="413" t="s">
        <v>233</v>
      </c>
      <c r="U42" s="412" t="e">
        <f>_xll.qlMidSafe($Q42,$R42)</f>
        <v>#NUM!</v>
      </c>
      <c r="V42" s="406"/>
      <c r="W42" s="415" t="e">
        <v>#NUM!</v>
      </c>
      <c r="X42" s="406"/>
      <c r="Y42" s="414" t="e">
        <v>#NUM!</v>
      </c>
      <c r="Z42" s="412" t="e">
        <f>_xll.qlSimpleQuoteSetValue(F42,Y42,Trigger)</f>
        <v>#NUM!</v>
      </c>
      <c r="AA42" s="137"/>
      <c r="AF42" s="402" t="e">
        <f t="shared" si="0"/>
        <v>#VALUE!</v>
      </c>
      <c r="AH42" s="637"/>
      <c r="AI42" s="642">
        <v>36</v>
      </c>
      <c r="AJ42" s="643" t="b">
        <v>1</v>
      </c>
      <c r="AK42" s="643" t="str">
        <v>Z0</v>
      </c>
      <c r="AL42" s="640" t="str">
        <f t="shared" si="2"/>
        <v>GBPFUT3MZ0ConvAdj_Quote</v>
      </c>
      <c r="AM42" s="641" t="str">
        <f>_xll.qlFuturesConvAdjustmentQuote(AL42,IborIndex,AK42,F42,Volatility,MeanReversion,Permanent,OR(ISERROR(Z42),ISERROR(FuturesHWConvAdj!Q40:Q41)),ObjectOverwrite)</f>
        <v>GBPFUT3MZ0ConvAdj_Quote#0000</v>
      </c>
      <c r="AN42" s="72" t="str">
        <f>_xll.ohRangeRetrieveError(AM42)</f>
        <v/>
      </c>
      <c r="AO42" s="632"/>
    </row>
    <row r="43" spans="1:41" x14ac:dyDescent="0.2">
      <c r="A43" s="143"/>
      <c r="B43" s="142">
        <v>37</v>
      </c>
      <c r="C43" s="141" t="b">
        <v>1</v>
      </c>
      <c r="D43" s="140" t="str">
        <v>H1</v>
      </c>
      <c r="E43" s="139" t="str">
        <f t="shared" si="3"/>
        <v>GBPFUT3MH1_Quote</v>
      </c>
      <c r="F43" s="138" t="str">
        <f>_xll.qlSimpleQuote(E43,,PriceTickValue,Permanent,Trigger,ObjectOverwrite)</f>
        <v>GBPFUT3MH1_Quote#0000</v>
      </c>
      <c r="G43" s="101" t="str">
        <f>_xll.ohRangeRetrieveError(F43)</f>
        <v/>
      </c>
      <c r="H43" s="137"/>
      <c r="J43" s="143"/>
      <c r="K43" s="419">
        <v>37</v>
      </c>
      <c r="L43" s="418" t="b">
        <v>1</v>
      </c>
      <c r="M43" s="413" t="str">
        <v>H1</v>
      </c>
      <c r="N43" s="417">
        <v>44272</v>
      </c>
      <c r="O43" s="413" t="str">
        <v>FSSH1</v>
      </c>
      <c r="P43" s="416" t="s">
        <v>233</v>
      </c>
      <c r="Q43" s="413" t="s">
        <v>233</v>
      </c>
      <c r="R43" s="413" t="s">
        <v>233</v>
      </c>
      <c r="S43" s="413" t="s">
        <v>233</v>
      </c>
      <c r="T43" s="413" t="s">
        <v>233</v>
      </c>
      <c r="U43" s="412" t="e">
        <f>_xll.qlMidSafe($Q43,$R43)</f>
        <v>#NUM!</v>
      </c>
      <c r="V43" s="406"/>
      <c r="W43" s="415" t="e">
        <v>#NUM!</v>
      </c>
      <c r="X43" s="406"/>
      <c r="Y43" s="414" t="e">
        <v>#NUM!</v>
      </c>
      <c r="Z43" s="412" t="e">
        <f>_xll.qlSimpleQuoteSetValue(F43,Y43,Trigger)</f>
        <v>#NUM!</v>
      </c>
      <c r="AA43" s="137"/>
      <c r="AF43" s="402" t="e">
        <f t="shared" si="0"/>
        <v>#VALUE!</v>
      </c>
      <c r="AH43" s="637"/>
      <c r="AI43" s="642">
        <v>37</v>
      </c>
      <c r="AJ43" s="643" t="b">
        <v>1</v>
      </c>
      <c r="AK43" s="643" t="str">
        <v>H1</v>
      </c>
      <c r="AL43" s="640" t="str">
        <f t="shared" si="2"/>
        <v>GBPFUT3MH1ConvAdj_Quote</v>
      </c>
      <c r="AM43" s="641" t="str">
        <f>_xll.qlFuturesConvAdjustmentQuote(AL43,IborIndex,AK43,F43,Volatility,MeanReversion,Permanent,OR(ISERROR(Z43),ISERROR(FuturesHWConvAdj!Q41:Q42)),ObjectOverwrite)</f>
        <v>GBPFUT3MH1ConvAdj_Quote#0000</v>
      </c>
      <c r="AN43" s="72" t="str">
        <f>_xll.ohRangeRetrieveError(AM43)</f>
        <v/>
      </c>
      <c r="AO43" s="632"/>
    </row>
    <row r="44" spans="1:41" x14ac:dyDescent="0.2">
      <c r="A44" s="143"/>
      <c r="B44" s="142">
        <v>38</v>
      </c>
      <c r="C44" s="141" t="b">
        <v>1</v>
      </c>
      <c r="D44" s="140" t="str">
        <v>M1</v>
      </c>
      <c r="E44" s="139" t="str">
        <f t="shared" si="3"/>
        <v>GBPFUT3MM1_Quote</v>
      </c>
      <c r="F44" s="138" t="str">
        <f>_xll.qlSimpleQuote(E44,,PriceTickValue,Permanent,Trigger,ObjectOverwrite)</f>
        <v>GBPFUT3MM1_Quote#0000</v>
      </c>
      <c r="G44" s="101" t="str">
        <f>_xll.ohRangeRetrieveError(F44)</f>
        <v/>
      </c>
      <c r="H44" s="137"/>
      <c r="J44" s="143"/>
      <c r="K44" s="419">
        <v>38</v>
      </c>
      <c r="L44" s="418" t="b">
        <v>1</v>
      </c>
      <c r="M44" s="413" t="str">
        <v>M1</v>
      </c>
      <c r="N44" s="417">
        <v>44363</v>
      </c>
      <c r="O44" s="413" t="str">
        <v>FSSM1</v>
      </c>
      <c r="P44" s="416" t="s">
        <v>233</v>
      </c>
      <c r="Q44" s="413" t="s">
        <v>233</v>
      </c>
      <c r="R44" s="413" t="s">
        <v>233</v>
      </c>
      <c r="S44" s="413" t="s">
        <v>233</v>
      </c>
      <c r="T44" s="413" t="s">
        <v>233</v>
      </c>
      <c r="U44" s="412" t="e">
        <f>_xll.qlMidSafe($Q44,$R44)</f>
        <v>#NUM!</v>
      </c>
      <c r="V44" s="406"/>
      <c r="W44" s="415" t="e">
        <v>#NUM!</v>
      </c>
      <c r="X44" s="406"/>
      <c r="Y44" s="414" t="e">
        <v>#NUM!</v>
      </c>
      <c r="Z44" s="412" t="e">
        <f>_xll.qlSimpleQuoteSetValue(F44,Y44,Trigger)</f>
        <v>#NUM!</v>
      </c>
      <c r="AA44" s="137"/>
      <c r="AF44" s="402" t="e">
        <f t="shared" si="0"/>
        <v>#VALUE!</v>
      </c>
      <c r="AH44" s="637"/>
      <c r="AI44" s="642">
        <v>38</v>
      </c>
      <c r="AJ44" s="643" t="b">
        <v>1</v>
      </c>
      <c r="AK44" s="643" t="str">
        <v>M1</v>
      </c>
      <c r="AL44" s="640" t="str">
        <f t="shared" si="2"/>
        <v>GBPFUT3MM1ConvAdj_Quote</v>
      </c>
      <c r="AM44" s="641" t="str">
        <f>_xll.qlFuturesConvAdjustmentQuote(AL44,IborIndex,AK44,F44,Volatility,MeanReversion,Permanent,OR(ISERROR(Z44),ISERROR(FuturesHWConvAdj!Q42:Q43)),ObjectOverwrite)</f>
        <v>GBPFUT3MM1ConvAdj_Quote#0000</v>
      </c>
      <c r="AN44" s="72" t="str">
        <f>_xll.ohRangeRetrieveError(AM44)</f>
        <v/>
      </c>
      <c r="AO44" s="632"/>
    </row>
    <row r="45" spans="1:41" x14ac:dyDescent="0.2">
      <c r="A45" s="143"/>
      <c r="B45" s="142">
        <v>39</v>
      </c>
      <c r="C45" s="141" t="b">
        <v>1</v>
      </c>
      <c r="D45" s="140" t="str">
        <v>U1</v>
      </c>
      <c r="E45" s="139" t="str">
        <f t="shared" si="3"/>
        <v>GBPFUT3MU1_Quote</v>
      </c>
      <c r="F45" s="138" t="str">
        <f>_xll.qlSimpleQuote(E45,,PriceTickValue,Permanent,Trigger,ObjectOverwrite)</f>
        <v>GBPFUT3MU1_Quote#0000</v>
      </c>
      <c r="G45" s="101" t="str">
        <f>_xll.ohRangeRetrieveError(F45)</f>
        <v/>
      </c>
      <c r="H45" s="137"/>
      <c r="J45" s="143"/>
      <c r="K45" s="419">
        <v>39</v>
      </c>
      <c r="L45" s="418" t="b">
        <v>1</v>
      </c>
      <c r="M45" s="413" t="str">
        <v>U1</v>
      </c>
      <c r="N45" s="417">
        <v>44454</v>
      </c>
      <c r="O45" s="413" t="str">
        <v>FSSU1</v>
      </c>
      <c r="P45" s="416" t="s">
        <v>233</v>
      </c>
      <c r="Q45" s="413" t="s">
        <v>233</v>
      </c>
      <c r="R45" s="413" t="s">
        <v>233</v>
      </c>
      <c r="S45" s="413" t="s">
        <v>233</v>
      </c>
      <c r="T45" s="413" t="s">
        <v>233</v>
      </c>
      <c r="U45" s="412" t="e">
        <f>_xll.qlMidSafe($Q45,$R45)</f>
        <v>#NUM!</v>
      </c>
      <c r="V45" s="406"/>
      <c r="W45" s="415" t="e">
        <v>#NUM!</v>
      </c>
      <c r="X45" s="406"/>
      <c r="Y45" s="414" t="e">
        <v>#NUM!</v>
      </c>
      <c r="Z45" s="412" t="e">
        <f>_xll.qlSimpleQuoteSetValue(F45,Y45,Trigger)</f>
        <v>#NUM!</v>
      </c>
      <c r="AA45" s="137"/>
      <c r="AF45" s="402" t="e">
        <f t="shared" si="0"/>
        <v>#VALUE!</v>
      </c>
      <c r="AH45" s="637"/>
      <c r="AI45" s="642">
        <v>39</v>
      </c>
      <c r="AJ45" s="643" t="b">
        <v>1</v>
      </c>
      <c r="AK45" s="643" t="str">
        <v>U1</v>
      </c>
      <c r="AL45" s="640" t="str">
        <f t="shared" si="2"/>
        <v>GBPFUT3MU1ConvAdj_Quote</v>
      </c>
      <c r="AM45" s="641" t="str">
        <f>_xll.qlFuturesConvAdjustmentQuote(AL45,IborIndex,AK45,F45,Volatility,MeanReversion,Permanent,OR(ISERROR(Z45),ISERROR(FuturesHWConvAdj!Q43:Q44)),ObjectOverwrite)</f>
        <v>GBPFUT3MU1ConvAdj_Quote#0000</v>
      </c>
      <c r="AN45" s="72" t="str">
        <f>_xll.ohRangeRetrieveError(AM45)</f>
        <v/>
      </c>
      <c r="AO45" s="632"/>
    </row>
    <row r="46" spans="1:41" x14ac:dyDescent="0.2">
      <c r="A46" s="143"/>
      <c r="B46" s="142">
        <v>40</v>
      </c>
      <c r="C46" s="141" t="b">
        <v>1</v>
      </c>
      <c r="D46" s="140" t="str">
        <v>Z1</v>
      </c>
      <c r="E46" s="139" t="str">
        <f t="shared" si="3"/>
        <v>GBPFUT3MZ1_Quote</v>
      </c>
      <c r="F46" s="138" t="str">
        <f>_xll.qlSimpleQuote(E46,,PriceTickValue,Permanent,Trigger,ObjectOverwrite)</f>
        <v>GBPFUT3MZ1_Quote#0000</v>
      </c>
      <c r="G46" s="101" t="str">
        <f>_xll.ohRangeRetrieveError(F46)</f>
        <v/>
      </c>
      <c r="H46" s="137"/>
      <c r="J46" s="143"/>
      <c r="K46" s="419">
        <v>40</v>
      </c>
      <c r="L46" s="418" t="b">
        <v>1</v>
      </c>
      <c r="M46" s="413" t="str">
        <v>Z1</v>
      </c>
      <c r="N46" s="417">
        <v>44545</v>
      </c>
      <c r="O46" s="413" t="str">
        <v>FSSZ1</v>
      </c>
      <c r="P46" s="416" t="s">
        <v>233</v>
      </c>
      <c r="Q46" s="413" t="s">
        <v>233</v>
      </c>
      <c r="R46" s="413" t="s">
        <v>233</v>
      </c>
      <c r="S46" s="413" t="s">
        <v>233</v>
      </c>
      <c r="T46" s="413" t="s">
        <v>233</v>
      </c>
      <c r="U46" s="412" t="e">
        <f>_xll.qlMidSafe($Q46,$R46)</f>
        <v>#NUM!</v>
      </c>
      <c r="V46" s="406"/>
      <c r="W46" s="415" t="e">
        <v>#NUM!</v>
      </c>
      <c r="X46" s="406"/>
      <c r="Y46" s="414" t="e">
        <v>#NUM!</v>
      </c>
      <c r="Z46" s="412" t="e">
        <f>_xll.qlSimpleQuoteSetValue(F46,Y46,Trigger)</f>
        <v>#NUM!</v>
      </c>
      <c r="AA46" s="137"/>
      <c r="AF46" s="402" t="e">
        <f t="shared" si="0"/>
        <v>#VALUE!</v>
      </c>
      <c r="AH46" s="637"/>
      <c r="AI46" s="642">
        <v>40</v>
      </c>
      <c r="AJ46" s="643" t="b">
        <v>1</v>
      </c>
      <c r="AK46" s="643" t="str">
        <v>Z1</v>
      </c>
      <c r="AL46" s="640" t="str">
        <f t="shared" si="2"/>
        <v>GBPFUT3MZ1ConvAdj_Quote</v>
      </c>
      <c r="AM46" s="641" t="str">
        <f>_xll.qlFuturesConvAdjustmentQuote(AL46,IborIndex,AK46,F46,Volatility,MeanReversion,Permanent,OR(ISERROR(Z46),ISERROR(FuturesHWConvAdj!Q44:Q45)),ObjectOverwrite)</f>
        <v>GBPFUT3MZ1ConvAdj_Quote#0000</v>
      </c>
      <c r="AN46" s="72" t="str">
        <f>_xll.ohRangeRetrieveError(AM46)</f>
        <v/>
      </c>
      <c r="AO46" s="632"/>
    </row>
    <row r="47" spans="1:41" x14ac:dyDescent="0.2">
      <c r="A47" s="143"/>
      <c r="B47" s="142">
        <v>41</v>
      </c>
      <c r="C47" s="141" t="b">
        <v>1</v>
      </c>
      <c r="D47" s="140" t="str">
        <v>H2</v>
      </c>
      <c r="E47" s="139" t="str">
        <f t="shared" si="3"/>
        <v>GBPFUT3MH2_Quote</v>
      </c>
      <c r="F47" s="138" t="str">
        <f>_xll.qlSimpleQuote(E47,,PriceTickValue,Permanent,Trigger,ObjectOverwrite)</f>
        <v>GBPFUT3MH2_Quote#0000</v>
      </c>
      <c r="G47" s="101" t="str">
        <f>_xll.ohRangeRetrieveError(F47)</f>
        <v/>
      </c>
      <c r="H47" s="137"/>
      <c r="J47" s="143"/>
      <c r="K47" s="419">
        <v>41</v>
      </c>
      <c r="L47" s="418" t="b">
        <v>1</v>
      </c>
      <c r="M47" s="413" t="str">
        <v>H2</v>
      </c>
      <c r="N47" s="417">
        <v>44636</v>
      </c>
      <c r="O47" s="413" t="str">
        <v>FSSH2</v>
      </c>
      <c r="P47" s="416" t="s">
        <v>233</v>
      </c>
      <c r="Q47" s="413" t="s">
        <v>233</v>
      </c>
      <c r="R47" s="413" t="s">
        <v>233</v>
      </c>
      <c r="S47" s="413" t="s">
        <v>233</v>
      </c>
      <c r="T47" s="413" t="s">
        <v>233</v>
      </c>
      <c r="U47" s="412" t="e">
        <f>_xll.qlMidSafe($Q47,$R47)</f>
        <v>#NUM!</v>
      </c>
      <c r="V47" s="406"/>
      <c r="W47" s="415" t="e">
        <v>#NUM!</v>
      </c>
      <c r="X47" s="406"/>
      <c r="Y47" s="414" t="e">
        <v>#NUM!</v>
      </c>
      <c r="Z47" s="412" t="e">
        <f>_xll.qlSimpleQuoteSetValue(F47,Y47,Trigger)</f>
        <v>#NUM!</v>
      </c>
      <c r="AA47" s="137"/>
      <c r="AF47" s="402" t="e">
        <f t="shared" si="0"/>
        <v>#VALUE!</v>
      </c>
      <c r="AH47" s="637"/>
      <c r="AI47" s="642">
        <v>41</v>
      </c>
      <c r="AJ47" s="643" t="b">
        <v>1</v>
      </c>
      <c r="AK47" s="643" t="str">
        <v>H2</v>
      </c>
      <c r="AL47" s="640" t="str">
        <f t="shared" si="2"/>
        <v>GBPFUT3MH2ConvAdj_Quote</v>
      </c>
      <c r="AM47" s="641" t="str">
        <f>_xll.qlFuturesConvAdjustmentQuote(AL47,IborIndex,AK47,F47,Volatility,MeanReversion,Permanent,OR(ISERROR(Z47),ISERROR(FuturesHWConvAdj!Q45:Q46)),ObjectOverwrite)</f>
        <v>GBPFUT3MH2ConvAdj_Quote#0000</v>
      </c>
      <c r="AN47" s="72" t="str">
        <f>_xll.ohRangeRetrieveError(AM47)</f>
        <v/>
      </c>
      <c r="AO47" s="632"/>
    </row>
    <row r="48" spans="1:41" x14ac:dyDescent="0.2">
      <c r="A48" s="143"/>
      <c r="B48" s="142">
        <v>42</v>
      </c>
      <c r="C48" s="141" t="b">
        <v>1</v>
      </c>
      <c r="D48" s="140" t="str">
        <v>M2</v>
      </c>
      <c r="E48" s="139" t="str">
        <f t="shared" si="3"/>
        <v>GBPFUT3MM2_Quote</v>
      </c>
      <c r="F48" s="138" t="str">
        <f>_xll.qlSimpleQuote(E48,,PriceTickValue,Permanent,Trigger,ObjectOverwrite)</f>
        <v>GBPFUT3MM2_Quote#0000</v>
      </c>
      <c r="G48" s="101" t="str">
        <f>_xll.ohRangeRetrieveError(F48)</f>
        <v/>
      </c>
      <c r="H48" s="137"/>
      <c r="J48" s="143"/>
      <c r="K48" s="411">
        <v>42</v>
      </c>
      <c r="L48" s="410" t="b">
        <v>1</v>
      </c>
      <c r="M48" s="404" t="str">
        <v>M2</v>
      </c>
      <c r="N48" s="409">
        <v>44727</v>
      </c>
      <c r="O48" s="404" t="str">
        <v>FSSM2</v>
      </c>
      <c r="P48" s="408" t="s">
        <v>233</v>
      </c>
      <c r="Q48" s="404" t="s">
        <v>233</v>
      </c>
      <c r="R48" s="404" t="s">
        <v>233</v>
      </c>
      <c r="S48" s="404" t="s">
        <v>233</v>
      </c>
      <c r="T48" s="404" t="s">
        <v>233</v>
      </c>
      <c r="U48" s="403" t="e">
        <f>_xll.qlMidSafe($Q48,$R48)</f>
        <v>#NUM!</v>
      </c>
      <c r="V48" s="406"/>
      <c r="W48" s="407" t="e">
        <v>#NUM!</v>
      </c>
      <c r="X48" s="406"/>
      <c r="Y48" s="405" t="e">
        <v>#NUM!</v>
      </c>
      <c r="Z48" s="403" t="e">
        <f>_xll.qlSimpleQuoteSetValue(F48,Y48,Trigger)</f>
        <v>#NUM!</v>
      </c>
      <c r="AA48" s="137"/>
      <c r="AH48" s="637"/>
      <c r="AI48" s="642">
        <v>42</v>
      </c>
      <c r="AJ48" s="643" t="b">
        <v>1</v>
      </c>
      <c r="AK48" s="643" t="str">
        <v>M2</v>
      </c>
      <c r="AL48" s="640" t="str">
        <f t="shared" si="2"/>
        <v>GBPFUT3MM2ConvAdj_Quote</v>
      </c>
      <c r="AM48" s="641" t="str">
        <f>_xll.qlFuturesConvAdjustmentQuote(AL48,IborIndex,AK48,F48,Volatility,MeanReversion,Permanent,OR(ISERROR(Z48),ISERROR(FuturesHWConvAdj!Q46:Q47)),ObjectOverwrite)</f>
        <v>GBPFUT3MM2ConvAdj_Quote#0000</v>
      </c>
      <c r="AN48" s="72" t="str">
        <f>_xll.ohRangeRetrieveError(AM48)</f>
        <v/>
      </c>
      <c r="AO48" s="632"/>
    </row>
    <row r="49" spans="1:41" ht="12" thickBot="1" x14ac:dyDescent="0.25">
      <c r="A49" s="136"/>
      <c r="B49" s="135"/>
      <c r="C49" s="135"/>
      <c r="D49" s="135"/>
      <c r="E49" s="135"/>
      <c r="F49" s="135"/>
      <c r="G49" s="135"/>
      <c r="H49" s="134"/>
      <c r="J49" s="136"/>
      <c r="K49" s="135"/>
      <c r="L49" s="135"/>
      <c r="M49" s="135"/>
      <c r="N49" s="135"/>
      <c r="O49" s="135"/>
      <c r="P49" s="135"/>
      <c r="Q49" s="135"/>
      <c r="R49" s="135"/>
      <c r="S49" s="135"/>
      <c r="T49" s="135"/>
      <c r="U49" s="135"/>
      <c r="V49" s="135"/>
      <c r="W49" s="135"/>
      <c r="X49" s="135"/>
      <c r="Y49" s="135"/>
      <c r="Z49" s="135"/>
      <c r="AA49" s="134"/>
      <c r="AH49" s="644"/>
      <c r="AI49" s="645"/>
      <c r="AJ49" s="645"/>
      <c r="AK49" s="645"/>
      <c r="AL49" s="645"/>
      <c r="AM49" s="645"/>
      <c r="AN49" s="645"/>
      <c r="AO49" s="646"/>
    </row>
    <row r="57" spans="1:41" x14ac:dyDescent="0.2">
      <c r="U57" s="623" t="s">
        <v>363</v>
      </c>
    </row>
  </sheetData>
  <conditionalFormatting sqref="Z7:Z48">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F125"/>
  <sheetViews>
    <sheetView workbookViewId="0">
      <selection activeCell="Y6" sqref="Y6:Y9"/>
    </sheetView>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19" width="9.140625" style="65"/>
    <col min="20" max="20" width="10.140625" style="65" customWidth="1"/>
    <col min="21" max="21" width="9.140625" style="65"/>
    <col min="22" max="22" width="2.7109375" style="65" customWidth="1"/>
    <col min="23" max="23" width="9.140625" style="65"/>
    <col min="24" max="24" width="2.7109375" style="65" customWidth="1"/>
    <col min="25" max="26" width="9.140625" style="65"/>
    <col min="27" max="27" width="2.7109375" style="65" customWidth="1"/>
    <col min="28" max="16384" width="9.140625" style="65"/>
  </cols>
  <sheetData>
    <row r="1" spans="1:32" x14ac:dyDescent="0.2">
      <c r="J1" s="154" t="s">
        <v>351</v>
      </c>
      <c r="K1" s="224"/>
      <c r="L1" s="224"/>
      <c r="M1" s="224"/>
      <c r="N1" s="224"/>
      <c r="O1" s="224"/>
      <c r="P1" s="224"/>
      <c r="Q1" s="224"/>
      <c r="R1" s="224"/>
      <c r="S1" s="224"/>
      <c r="T1" s="224"/>
      <c r="U1" s="224"/>
      <c r="V1" s="225"/>
      <c r="W1" s="225"/>
      <c r="X1" s="224"/>
      <c r="Y1" s="224"/>
      <c r="Z1" s="224"/>
      <c r="AA1" s="150"/>
    </row>
    <row r="2" spans="1:32" ht="12" thickBot="1" x14ac:dyDescent="0.25">
      <c r="J2" s="149"/>
      <c r="K2" s="233"/>
      <c r="L2" s="443"/>
      <c r="M2" s="443"/>
      <c r="O2" s="140" t="s">
        <v>275</v>
      </c>
      <c r="P2" s="233"/>
      <c r="Q2" s="233"/>
      <c r="R2" s="233"/>
      <c r="S2" s="233"/>
      <c r="T2" s="233"/>
      <c r="U2" s="233"/>
      <c r="V2" s="406"/>
      <c r="W2" s="406"/>
      <c r="X2" s="233"/>
      <c r="Y2" s="406"/>
      <c r="Z2" s="233"/>
      <c r="AA2" s="441"/>
    </row>
    <row r="3" spans="1:32" x14ac:dyDescent="0.2">
      <c r="A3" s="109" t="s">
        <v>344</v>
      </c>
      <c r="B3" s="153"/>
      <c r="C3" s="153"/>
      <c r="D3" s="152" t="s">
        <v>177</v>
      </c>
      <c r="E3" s="152" t="s">
        <v>8</v>
      </c>
      <c r="F3" s="151"/>
      <c r="G3" s="151"/>
      <c r="H3" s="150"/>
      <c r="J3" s="149"/>
      <c r="K3" s="233"/>
      <c r="L3" s="233"/>
      <c r="M3" s="233"/>
      <c r="N3" s="233"/>
      <c r="O3" s="233"/>
      <c r="P3" s="233"/>
      <c r="Q3" s="233"/>
      <c r="R3" s="233"/>
      <c r="S3" s="233"/>
      <c r="T3" s="233"/>
      <c r="U3" s="233"/>
      <c r="V3" s="406"/>
      <c r="W3" s="406"/>
      <c r="X3" s="233"/>
      <c r="Y3" s="233"/>
      <c r="Z3" s="233"/>
      <c r="AA3" s="441"/>
    </row>
    <row r="4" spans="1:32"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3"/>
      <c r="L4" s="233"/>
      <c r="M4" s="233"/>
      <c r="N4" s="451">
        <f>_xll.qlCalendarEndOfMonth("TARGET",_xll.qlCalendarAdvance("TARGET",_xll.qlSettingsEvaluationDate(Trigger),"2d"))</f>
        <v>41670</v>
      </c>
      <c r="O4" s="233"/>
      <c r="P4" s="233"/>
      <c r="Q4" s="233"/>
      <c r="R4" s="233"/>
      <c r="S4" s="233"/>
      <c r="T4" s="233"/>
      <c r="U4" s="233"/>
      <c r="V4" s="406"/>
      <c r="W4" s="406"/>
      <c r="X4" s="233"/>
      <c r="Y4" s="233"/>
      <c r="Z4" s="442">
        <f>_xll.ohTrigger(Z6:Z9)</f>
        <v>1</v>
      </c>
      <c r="AA4" s="441"/>
    </row>
    <row r="5" spans="1:32" ht="22.5" x14ac:dyDescent="0.2">
      <c r="A5" s="143"/>
      <c r="B5" s="148">
        <v>1</v>
      </c>
      <c r="C5" s="147" t="b">
        <v>0</v>
      </c>
      <c r="D5" s="146" t="str">
        <f t="array" ref="D5:D124">_xll.qlIMMNextCodes(_xll.qlSettingsEvaluationDate(Trigger)-1,$C5:$C124)</f>
        <v>G4</v>
      </c>
      <c r="E5" s="139" t="str">
        <f t="shared" ref="E5:E36" si="0">Currency&amp;$D$3&amp;$E$3&amp;$D5&amp;QuoteSuffix</f>
        <v>GBPIMMFRA6MG4_Quote</v>
      </c>
      <c r="F5" s="145" t="str">
        <f>_xll.qlSimpleQuote(E5,,PriceTickValue,Permanent,Trigger,ObjectOverwrite)</f>
        <v>GBPIMMFRA6MG4_Quote#0000</v>
      </c>
      <c r="G5" s="144" t="str">
        <f>_xll.ohRangeRetrieveError(F5)</f>
        <v/>
      </c>
      <c r="H5" s="137"/>
      <c r="J5" s="149"/>
      <c r="K5" s="449" t="s">
        <v>175</v>
      </c>
      <c r="L5" s="445" t="s">
        <v>174</v>
      </c>
      <c r="M5" s="445" t="s">
        <v>173</v>
      </c>
      <c r="N5" s="445" t="s">
        <v>296</v>
      </c>
      <c r="O5" s="448" t="e">
        <f ca="1">_xll.RData(O6:O9,P5:T5,"RTFEED:IDN",ReutersRtMode,,P6)</f>
        <v>#NAME?</v>
      </c>
      <c r="P5" s="445" t="s">
        <v>295</v>
      </c>
      <c r="Q5" s="445" t="s">
        <v>291</v>
      </c>
      <c r="R5" s="445" t="s">
        <v>264</v>
      </c>
      <c r="S5" s="445" t="s">
        <v>244</v>
      </c>
      <c r="T5" s="445" t="s">
        <v>290</v>
      </c>
      <c r="U5" s="447" t="s">
        <v>289</v>
      </c>
      <c r="V5" s="406"/>
      <c r="W5" s="446" t="s">
        <v>286</v>
      </c>
      <c r="X5" s="406"/>
      <c r="Y5" s="449" t="s">
        <v>285</v>
      </c>
      <c r="Z5" s="444" t="s">
        <v>284</v>
      </c>
      <c r="AA5" s="137"/>
      <c r="AF5" s="399" t="s">
        <v>288</v>
      </c>
    </row>
    <row r="6" spans="1:32" x14ac:dyDescent="0.2">
      <c r="A6" s="143"/>
      <c r="B6" s="142">
        <v>2</v>
      </c>
      <c r="C6" s="141" t="b">
        <v>0</v>
      </c>
      <c r="D6" s="140" t="str">
        <v>H4</v>
      </c>
      <c r="E6" s="139" t="str">
        <f t="shared" si="0"/>
        <v>GBPIMMFRA6MH4_Quote</v>
      </c>
      <c r="F6" s="138" t="str">
        <f>_xll.qlSimpleQuote(E6,,PriceTickValue,Permanent,Trigger,ObjectOverwrite)</f>
        <v>GBPIMMFRA6MH4_Quote#0000</v>
      </c>
      <c r="G6" s="101" t="str">
        <f>_xll.ohRangeRetrieveError(F6)</f>
        <v/>
      </c>
      <c r="H6" s="137"/>
      <c r="J6" s="143"/>
      <c r="K6" s="432">
        <v>1</v>
      </c>
      <c r="L6" s="431" t="b">
        <v>0</v>
      </c>
      <c r="M6" s="426" t="str">
        <f t="array" ref="M6:M9">_xll.qlIMMcode(FuturesDates)</f>
        <v>G4</v>
      </c>
      <c r="N6" s="430">
        <f t="array" ref="N6:N9">_xll.qlIMMNextDates(N4,$L6:$L9)</f>
        <v>41689</v>
      </c>
      <c r="O6" s="426" t="str">
        <f t="array" ref="O6:O9">Currency&amp;"6F"&amp;K6:K9&amp;"="&amp;VLOOKUP(Contributor,ContributorTable,2,FALSE)</f>
        <v>GBP6F1=ICAP</v>
      </c>
      <c r="P6" s="429" t="s">
        <v>301</v>
      </c>
      <c r="Q6" s="426">
        <v>0.61499999999999999</v>
      </c>
      <c r="R6" s="426">
        <v>0.67500000000000004</v>
      </c>
      <c r="S6" s="426">
        <v>0</v>
      </c>
      <c r="T6" s="426">
        <v>0</v>
      </c>
      <c r="U6" s="425">
        <f>100-_xll.qlMidSafe($Q6,$R6)</f>
        <v>99.355000000000004</v>
      </c>
      <c r="V6" s="406"/>
      <c r="W6" s="428">
        <v>99.344999999999999</v>
      </c>
      <c r="X6" s="406"/>
      <c r="Y6" s="427">
        <f t="array" ref="Y6:Y9">QuoteStatic</f>
        <v>99.344999999999999</v>
      </c>
      <c r="Z6" s="425" t="e">
        <f>_xll.qlSimpleQuoteSetValue(F6,Y6,Trigger)</f>
        <v>#N/A</v>
      </c>
      <c r="AA6" s="137"/>
      <c r="AF6" s="402">
        <f>(R6-Q6)/100</f>
        <v>6.0000000000000049E-4</v>
      </c>
    </row>
    <row r="7" spans="1:32" x14ac:dyDescent="0.2">
      <c r="A7" s="143"/>
      <c r="B7" s="142">
        <v>3</v>
      </c>
      <c r="C7" s="141" t="b">
        <v>0</v>
      </c>
      <c r="D7" s="140" t="str">
        <v>J4</v>
      </c>
      <c r="E7" s="139" t="str">
        <f t="shared" si="0"/>
        <v>GBPIMMFRA6MJ4_Quote</v>
      </c>
      <c r="F7" s="138" t="str">
        <f>_xll.qlSimpleQuote(E7,,PriceTickValue,Permanent,Trigger,ObjectOverwrite)</f>
        <v>GBPIMMFRA6MJ4_Quote#0000</v>
      </c>
      <c r="G7" s="101" t="str">
        <f>_xll.ohRangeRetrieveError(F7)</f>
        <v/>
      </c>
      <c r="H7" s="137"/>
      <c r="J7" s="143"/>
      <c r="K7" s="419">
        <v>2</v>
      </c>
      <c r="L7" s="418" t="b">
        <v>0</v>
      </c>
      <c r="M7" s="413" t="str">
        <v>H4</v>
      </c>
      <c r="N7" s="417">
        <v>41717</v>
      </c>
      <c r="O7" s="413" t="str">
        <v>GBP6F2=ICAP</v>
      </c>
      <c r="P7" s="416" t="s">
        <v>301</v>
      </c>
      <c r="Q7" s="413">
        <v>0.63</v>
      </c>
      <c r="R7" s="413">
        <v>0.69</v>
      </c>
      <c r="S7" s="413">
        <v>0</v>
      </c>
      <c r="T7" s="413">
        <v>0</v>
      </c>
      <c r="U7" s="412">
        <f>100-_xll.qlMidSafe($Q7,$R7)</f>
        <v>99.34</v>
      </c>
      <c r="V7" s="406"/>
      <c r="W7" s="424">
        <v>99.36</v>
      </c>
      <c r="X7" s="406"/>
      <c r="Y7" s="414">
        <v>99.36</v>
      </c>
      <c r="Z7" s="412" t="e">
        <f>_xll.qlSimpleQuoteSetValue(F7,Y7,Trigger)</f>
        <v>#N/A</v>
      </c>
      <c r="AA7" s="137"/>
      <c r="AF7" s="402">
        <f>(R7-Q7)/100</f>
        <v>5.9999999999999941E-4</v>
      </c>
    </row>
    <row r="8" spans="1:32" x14ac:dyDescent="0.2">
      <c r="A8" s="143"/>
      <c r="B8" s="142">
        <v>4</v>
      </c>
      <c r="C8" s="141" t="b">
        <v>0</v>
      </c>
      <c r="D8" s="140" t="str">
        <v>K4</v>
      </c>
      <c r="E8" s="139" t="str">
        <f t="shared" si="0"/>
        <v>GBPIMMFRA6MK4_Quote</v>
      </c>
      <c r="F8" s="138" t="str">
        <f>_xll.qlSimpleQuote(E8,,PriceTickValue,Permanent,Trigger,ObjectOverwrite)</f>
        <v>GBPIMMFRA6MK4_Quote#0000</v>
      </c>
      <c r="G8" s="101" t="str">
        <f>_xll.ohRangeRetrieveError(F8)</f>
        <v/>
      </c>
      <c r="H8" s="137"/>
      <c r="J8" s="143"/>
      <c r="K8" s="419">
        <v>3</v>
      </c>
      <c r="L8" s="418" t="b">
        <v>0</v>
      </c>
      <c r="M8" s="413" t="str">
        <v>J4</v>
      </c>
      <c r="N8" s="417">
        <v>41745</v>
      </c>
      <c r="O8" s="413" t="str">
        <v>GBP6F3=ICAP</v>
      </c>
      <c r="P8" s="416" t="s">
        <v>301</v>
      </c>
      <c r="Q8" s="413">
        <v>0.64</v>
      </c>
      <c r="R8" s="413">
        <v>0.7</v>
      </c>
      <c r="S8" s="413">
        <v>0</v>
      </c>
      <c r="T8" s="413">
        <v>0</v>
      </c>
      <c r="U8" s="412">
        <f>100-_xll.qlMidSafe($Q8,$R8)</f>
        <v>99.33</v>
      </c>
      <c r="V8" s="406"/>
      <c r="W8" s="424">
        <v>99.364999999999995</v>
      </c>
      <c r="X8" s="406"/>
      <c r="Y8" s="414">
        <v>99.364999999999995</v>
      </c>
      <c r="Z8" s="412" t="e">
        <f>_xll.qlSimpleQuoteSetValue(F8,Y8,Trigger)</f>
        <v>#N/A</v>
      </c>
      <c r="AA8" s="137"/>
      <c r="AF8" s="402">
        <f>(R8-Q8)/100</f>
        <v>5.9999999999999941E-4</v>
      </c>
    </row>
    <row r="9" spans="1:32" x14ac:dyDescent="0.2">
      <c r="A9" s="143"/>
      <c r="B9" s="142">
        <v>5</v>
      </c>
      <c r="C9" s="141" t="b">
        <v>0</v>
      </c>
      <c r="D9" s="140" t="str">
        <v>M4</v>
      </c>
      <c r="E9" s="139" t="str">
        <f t="shared" si="0"/>
        <v>GBPIMMFRA6MM4_Quote</v>
      </c>
      <c r="F9" s="138" t="str">
        <f>_xll.qlSimpleQuote(E9,,PriceTickValue,Permanent,Trigger,ObjectOverwrite)</f>
        <v>GBPIMMFRA6MM4_Quote#0000</v>
      </c>
      <c r="G9" s="101" t="str">
        <f>_xll.ohRangeRetrieveError(F9)</f>
        <v/>
      </c>
      <c r="H9" s="137"/>
      <c r="J9" s="143"/>
      <c r="K9" s="411">
        <v>4</v>
      </c>
      <c r="L9" s="410" t="b">
        <v>0</v>
      </c>
      <c r="M9" s="404" t="str">
        <v>K4</v>
      </c>
      <c r="N9" s="409">
        <v>41780</v>
      </c>
      <c r="O9" s="404" t="str">
        <v>GBP6F4=ICAP</v>
      </c>
      <c r="P9" s="408" t="s">
        <v>301</v>
      </c>
      <c r="Q9" s="404">
        <v>0.67</v>
      </c>
      <c r="R9" s="404">
        <v>0.73</v>
      </c>
      <c r="S9" s="404">
        <v>0</v>
      </c>
      <c r="T9" s="404">
        <v>0</v>
      </c>
      <c r="U9" s="403">
        <f>100-_xll.qlMidSafe($Q9,$R9)</f>
        <v>99.3</v>
      </c>
      <c r="V9" s="406"/>
      <c r="W9" s="450">
        <v>99.36</v>
      </c>
      <c r="X9" s="406"/>
      <c r="Y9" s="405">
        <v>99.36</v>
      </c>
      <c r="Z9" s="403" t="e">
        <f>_xll.qlSimpleQuoteSetValue(F9,Y9,Trigger)</f>
        <v>#N/A</v>
      </c>
      <c r="AA9" s="137"/>
      <c r="AF9" s="402">
        <f>(R9-Q9)/100</f>
        <v>5.9999999999999941E-4</v>
      </c>
    </row>
    <row r="10" spans="1:32" ht="12" thickBot="1" x14ac:dyDescent="0.25">
      <c r="A10" s="143"/>
      <c r="B10" s="142">
        <v>6</v>
      </c>
      <c r="C10" s="141" t="b">
        <v>0</v>
      </c>
      <c r="D10" s="140" t="str">
        <v>N4</v>
      </c>
      <c r="E10" s="139" t="str">
        <f t="shared" si="0"/>
        <v>GBPIMMFRA6MN4_Quote</v>
      </c>
      <c r="F10" s="138" t="str">
        <f>_xll.qlSimpleQuote(E10,,PriceTickValue,Permanent,Trigger,ObjectOverwrite)</f>
        <v>GBPIMMFRA6MN4_Quote#0000</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4"/>
    </row>
    <row r="11" spans="1:32" x14ac:dyDescent="0.2">
      <c r="A11" s="143"/>
      <c r="B11" s="142">
        <v>7</v>
      </c>
      <c r="C11" s="141" t="b">
        <v>0</v>
      </c>
      <c r="D11" s="140" t="str">
        <v>Q4</v>
      </c>
      <c r="E11" s="139" t="str">
        <f t="shared" si="0"/>
        <v>GBPIMMFRA6MQ4_Quote</v>
      </c>
      <c r="F11" s="138" t="str">
        <f>_xll.qlSimpleQuote(E11,,PriceTickValue,Permanent,Trigger,ObjectOverwrite)</f>
        <v>GBPIMMFRA6MQ4_Quote#0000</v>
      </c>
      <c r="G11" s="101" t="str">
        <f>_xll.ohRangeRetrieveError(F11)</f>
        <v/>
      </c>
      <c r="H11" s="137"/>
    </row>
    <row r="12" spans="1:32" x14ac:dyDescent="0.2">
      <c r="A12" s="143"/>
      <c r="B12" s="142">
        <v>8</v>
      </c>
      <c r="C12" s="141" t="b">
        <v>0</v>
      </c>
      <c r="D12" s="140" t="str">
        <v>U4</v>
      </c>
      <c r="E12" s="139" t="str">
        <f t="shared" si="0"/>
        <v>GBPIMMFRA6MU4_Quote</v>
      </c>
      <c r="F12" s="138" t="str">
        <f>_xll.qlSimpleQuote(E12,,PriceTickValue,Permanent,Trigger,ObjectOverwrite)</f>
        <v>GBPIMMFRA6MU4_Quote#0000</v>
      </c>
      <c r="G12" s="101" t="str">
        <f>_xll.ohRangeRetrieveError(F12)</f>
        <v/>
      </c>
      <c r="H12" s="137"/>
    </row>
    <row r="13" spans="1:32" x14ac:dyDescent="0.2">
      <c r="A13" s="143"/>
      <c r="B13" s="142">
        <v>9</v>
      </c>
      <c r="C13" s="141" t="b">
        <v>0</v>
      </c>
      <c r="D13" s="140" t="str">
        <v>V4</v>
      </c>
      <c r="E13" s="139" t="str">
        <f t="shared" si="0"/>
        <v>GBPIMMFRA6MV4_Quote</v>
      </c>
      <c r="F13" s="138" t="str">
        <f>_xll.qlSimpleQuote(E13,,PriceTickValue,Permanent,Trigger,ObjectOverwrite)</f>
        <v>GBPIMMFRA6MV4_Quote#0000</v>
      </c>
      <c r="G13" s="101" t="str">
        <f>_xll.ohRangeRetrieveError(F13)</f>
        <v/>
      </c>
      <c r="H13" s="137"/>
    </row>
    <row r="14" spans="1:32" x14ac:dyDescent="0.2">
      <c r="A14" s="143"/>
      <c r="B14" s="142">
        <v>10</v>
      </c>
      <c r="C14" s="141" t="b">
        <v>0</v>
      </c>
      <c r="D14" s="140" t="str">
        <v>X4</v>
      </c>
      <c r="E14" s="139" t="str">
        <f t="shared" si="0"/>
        <v>GBPIMMFRA6MX4_Quote</v>
      </c>
      <c r="F14" s="138" t="str">
        <f>_xll.qlSimpleQuote(E14,,PriceTickValue,Permanent,Trigger,ObjectOverwrite)</f>
        <v>GBPIMMFRA6MX4_Quote#0000</v>
      </c>
      <c r="G14" s="101" t="str">
        <f>_xll.ohRangeRetrieveError(F14)</f>
        <v/>
      </c>
      <c r="H14" s="137"/>
    </row>
    <row r="15" spans="1:32" x14ac:dyDescent="0.2">
      <c r="A15" s="143"/>
      <c r="B15" s="142">
        <v>11</v>
      </c>
      <c r="C15" s="141" t="b">
        <v>0</v>
      </c>
      <c r="D15" s="140" t="str">
        <v>Z4</v>
      </c>
      <c r="E15" s="139" t="str">
        <f t="shared" si="0"/>
        <v>GBPIMMFRA6MZ4_Quote</v>
      </c>
      <c r="F15" s="138" t="str">
        <f>_xll.qlSimpleQuote(E15,,PriceTickValue,Permanent,Trigger,ObjectOverwrite)</f>
        <v>GBPIMMFRA6MZ4_Quote#0000</v>
      </c>
      <c r="G15" s="101" t="str">
        <f>_xll.ohRangeRetrieveError(F15)</f>
        <v/>
      </c>
      <c r="H15" s="137"/>
    </row>
    <row r="16" spans="1:32" x14ac:dyDescent="0.2">
      <c r="A16" s="143"/>
      <c r="B16" s="142">
        <v>12</v>
      </c>
      <c r="C16" s="141" t="b">
        <v>0</v>
      </c>
      <c r="D16" s="140" t="str">
        <v>F5</v>
      </c>
      <c r="E16" s="139" t="str">
        <f t="shared" si="0"/>
        <v>GBPIMMFRA6MF5_Quote</v>
      </c>
      <c r="F16" s="138" t="str">
        <f>_xll.qlSimpleQuote(E16,,PriceTickValue,Permanent,Trigger,ObjectOverwrite)</f>
        <v>GBPIMMFRA6MF5_Quote#0000</v>
      </c>
      <c r="G16" s="101" t="str">
        <f>_xll.ohRangeRetrieveError(F16)</f>
        <v/>
      </c>
      <c r="H16" s="137"/>
    </row>
    <row r="17" spans="1:8" x14ac:dyDescent="0.2">
      <c r="A17" s="143"/>
      <c r="B17" s="142">
        <v>13</v>
      </c>
      <c r="C17" s="141" t="b">
        <v>0</v>
      </c>
      <c r="D17" s="140" t="str">
        <v>G5</v>
      </c>
      <c r="E17" s="139" t="str">
        <f t="shared" si="0"/>
        <v>GBPIMMFRA6MG5_Quote</v>
      </c>
      <c r="F17" s="138" t="str">
        <f>_xll.qlSimpleQuote(E17,,PriceTickValue,Permanent,Trigger,ObjectOverwrite)</f>
        <v>GBPIMMFRA6MG5_Quote#0000</v>
      </c>
      <c r="G17" s="101" t="str">
        <f>_xll.ohRangeRetrieveError(F17)</f>
        <v/>
      </c>
      <c r="H17" s="137"/>
    </row>
    <row r="18" spans="1:8" x14ac:dyDescent="0.2">
      <c r="A18" s="143"/>
      <c r="B18" s="142">
        <v>14</v>
      </c>
      <c r="C18" s="141" t="b">
        <v>0</v>
      </c>
      <c r="D18" s="140" t="str">
        <v>H5</v>
      </c>
      <c r="E18" s="139" t="str">
        <f t="shared" si="0"/>
        <v>GBPIMMFRA6MH5_Quote</v>
      </c>
      <c r="F18" s="138" t="str">
        <f>_xll.qlSimpleQuote(E18,,PriceTickValue,Permanent,Trigger,ObjectOverwrite)</f>
        <v>GBPIMMFRA6MH5_Quote#0000</v>
      </c>
      <c r="G18" s="101" t="str">
        <f>_xll.ohRangeRetrieveError(F18)</f>
        <v/>
      </c>
      <c r="H18" s="137"/>
    </row>
    <row r="19" spans="1:8" x14ac:dyDescent="0.2">
      <c r="A19" s="143"/>
      <c r="B19" s="142">
        <v>15</v>
      </c>
      <c r="C19" s="141" t="b">
        <v>0</v>
      </c>
      <c r="D19" s="140" t="str">
        <v>J5</v>
      </c>
      <c r="E19" s="139" t="str">
        <f t="shared" si="0"/>
        <v>GBPIMMFRA6MJ5_Quote</v>
      </c>
      <c r="F19" s="138" t="str">
        <f>_xll.qlSimpleQuote(E19,,PriceTickValue,Permanent,Trigger,ObjectOverwrite)</f>
        <v>GBPIMMFRA6MJ5_Quote#0000</v>
      </c>
      <c r="G19" s="101" t="str">
        <f>_xll.ohRangeRetrieveError(F19)</f>
        <v/>
      </c>
      <c r="H19" s="137"/>
    </row>
    <row r="20" spans="1:8" x14ac:dyDescent="0.2">
      <c r="A20" s="143"/>
      <c r="B20" s="142">
        <v>16</v>
      </c>
      <c r="C20" s="141" t="b">
        <v>0</v>
      </c>
      <c r="D20" s="140" t="str">
        <v>K5</v>
      </c>
      <c r="E20" s="139" t="str">
        <f t="shared" si="0"/>
        <v>GBPIMMFRA6MK5_Quote</v>
      </c>
      <c r="F20" s="138" t="str">
        <f>_xll.qlSimpleQuote(E20,,PriceTickValue,Permanent,Trigger,ObjectOverwrite)</f>
        <v>GBPIMMFRA6MK5_Quote#0000</v>
      </c>
      <c r="G20" s="101" t="str">
        <f>_xll.ohRangeRetrieveError(F20)</f>
        <v/>
      </c>
      <c r="H20" s="137"/>
    </row>
    <row r="21" spans="1:8" x14ac:dyDescent="0.2">
      <c r="A21" s="143"/>
      <c r="B21" s="142">
        <v>17</v>
      </c>
      <c r="C21" s="141" t="b">
        <v>0</v>
      </c>
      <c r="D21" s="140" t="str">
        <v>M5</v>
      </c>
      <c r="E21" s="139" t="str">
        <f t="shared" si="0"/>
        <v>GBPIMMFRA6MM5_Quote</v>
      </c>
      <c r="F21" s="138" t="str">
        <f>_xll.qlSimpleQuote(E21,,PriceTickValue,Permanent,Trigger,ObjectOverwrite)</f>
        <v>GBPIMMFRA6MM5_Quote#0000</v>
      </c>
      <c r="G21" s="101" t="str">
        <f>_xll.ohRangeRetrieveError(F21)</f>
        <v/>
      </c>
      <c r="H21" s="137"/>
    </row>
    <row r="22" spans="1:8" x14ac:dyDescent="0.2">
      <c r="A22" s="143"/>
      <c r="B22" s="142">
        <v>18</v>
      </c>
      <c r="C22" s="141" t="b">
        <v>0</v>
      </c>
      <c r="D22" s="140" t="str">
        <v>N5</v>
      </c>
      <c r="E22" s="139" t="str">
        <f t="shared" si="0"/>
        <v>GBPIMMFRA6MN5_Quote</v>
      </c>
      <c r="F22" s="138" t="str">
        <f>_xll.qlSimpleQuote(E22,,PriceTickValue,Permanent,Trigger,ObjectOverwrite)</f>
        <v>GBPIMMFRA6MN5_Quote#0000</v>
      </c>
      <c r="G22" s="101" t="str">
        <f>_xll.ohRangeRetrieveError(F22)</f>
        <v/>
      </c>
      <c r="H22" s="137"/>
    </row>
    <row r="23" spans="1:8" x14ac:dyDescent="0.2">
      <c r="A23" s="143"/>
      <c r="B23" s="142">
        <v>19</v>
      </c>
      <c r="C23" s="141" t="b">
        <v>0</v>
      </c>
      <c r="D23" s="140" t="str">
        <v>Q5</v>
      </c>
      <c r="E23" s="139" t="str">
        <f t="shared" si="0"/>
        <v>GBPIMMFRA6MQ5_Quote</v>
      </c>
      <c r="F23" s="138" t="str">
        <f>_xll.qlSimpleQuote(E23,,PriceTickValue,Permanent,Trigger,ObjectOverwrite)</f>
        <v>GBPIMMFRA6MQ5_Quote#0000</v>
      </c>
      <c r="G23" s="101" t="str">
        <f>_xll.ohRangeRetrieveError(F23)</f>
        <v/>
      </c>
      <c r="H23" s="137"/>
    </row>
    <row r="24" spans="1:8" x14ac:dyDescent="0.2">
      <c r="A24" s="143"/>
      <c r="B24" s="142">
        <v>20</v>
      </c>
      <c r="C24" s="141" t="b">
        <v>0</v>
      </c>
      <c r="D24" s="140" t="str">
        <v>U5</v>
      </c>
      <c r="E24" s="139" t="str">
        <f t="shared" si="0"/>
        <v>GBPIMMFRA6MU5_Quote</v>
      </c>
      <c r="F24" s="138" t="str">
        <f>_xll.qlSimpleQuote(E24,,PriceTickValue,Permanent,Trigger,ObjectOverwrite)</f>
        <v>GBPIMMFRA6MU5_Quote#0000</v>
      </c>
      <c r="G24" s="101" t="str">
        <f>_xll.ohRangeRetrieveError(F24)</f>
        <v/>
      </c>
      <c r="H24" s="137"/>
    </row>
    <row r="25" spans="1:8" x14ac:dyDescent="0.2">
      <c r="A25" s="143"/>
      <c r="B25" s="142">
        <v>21</v>
      </c>
      <c r="C25" s="141" t="b">
        <v>0</v>
      </c>
      <c r="D25" s="140" t="str">
        <v>V5</v>
      </c>
      <c r="E25" s="139" t="str">
        <f t="shared" si="0"/>
        <v>GBPIMMFRA6MV5_Quote</v>
      </c>
      <c r="F25" s="138" t="str">
        <f>_xll.qlSimpleQuote(E25,,PriceTickValue,Permanent,Trigger,ObjectOverwrite)</f>
        <v>GBPIMMFRA6MV5_Quote#0000</v>
      </c>
      <c r="G25" s="101" t="str">
        <f>_xll.ohRangeRetrieveError(F25)</f>
        <v/>
      </c>
      <c r="H25" s="137"/>
    </row>
    <row r="26" spans="1:8" x14ac:dyDescent="0.2">
      <c r="A26" s="143"/>
      <c r="B26" s="142">
        <v>22</v>
      </c>
      <c r="C26" s="141" t="b">
        <v>0</v>
      </c>
      <c r="D26" s="140" t="str">
        <v>X5</v>
      </c>
      <c r="E26" s="139" t="str">
        <f t="shared" si="0"/>
        <v>GBPIMMFRA6MX5_Quote</v>
      </c>
      <c r="F26" s="138" t="str">
        <f>_xll.qlSimpleQuote(E26,,PriceTickValue,Permanent,Trigger,ObjectOverwrite)</f>
        <v>GBPIMMFRA6MX5_Quote#0000</v>
      </c>
      <c r="G26" s="101" t="str">
        <f>_xll.ohRangeRetrieveError(F26)</f>
        <v/>
      </c>
      <c r="H26" s="137"/>
    </row>
    <row r="27" spans="1:8" x14ac:dyDescent="0.2">
      <c r="A27" s="143"/>
      <c r="B27" s="142">
        <v>23</v>
      </c>
      <c r="C27" s="141" t="b">
        <v>0</v>
      </c>
      <c r="D27" s="140" t="str">
        <v>Z5</v>
      </c>
      <c r="E27" s="139" t="str">
        <f t="shared" si="0"/>
        <v>GBPIMMFRA6MZ5_Quote</v>
      </c>
      <c r="F27" s="138" t="str">
        <f>_xll.qlSimpleQuote(E27,,PriceTickValue,Permanent,Trigger,ObjectOverwrite)</f>
        <v>GBPIMMFRA6MZ5_Quote#0000</v>
      </c>
      <c r="G27" s="101" t="str">
        <f>_xll.ohRangeRetrieveError(F27)</f>
        <v/>
      </c>
      <c r="H27" s="137"/>
    </row>
    <row r="28" spans="1:8" x14ac:dyDescent="0.2">
      <c r="A28" s="143"/>
      <c r="B28" s="142">
        <v>24</v>
      </c>
      <c r="C28" s="141" t="b">
        <v>0</v>
      </c>
      <c r="D28" s="140" t="str">
        <v>F6</v>
      </c>
      <c r="E28" s="139" t="str">
        <f t="shared" si="0"/>
        <v>GBPIMMFRA6MF6_Quote</v>
      </c>
      <c r="F28" s="138" t="str">
        <f>_xll.qlSimpleQuote(E28,,PriceTickValue,Permanent,Trigger,ObjectOverwrite)</f>
        <v>GBPIMMFRA6MF6_Quote#0000</v>
      </c>
      <c r="G28" s="101" t="str">
        <f>_xll.ohRangeRetrieveError(F28)</f>
        <v/>
      </c>
      <c r="H28" s="137"/>
    </row>
    <row r="29" spans="1:8" x14ac:dyDescent="0.2">
      <c r="A29" s="143"/>
      <c r="B29" s="142">
        <v>25</v>
      </c>
      <c r="C29" s="141" t="b">
        <v>0</v>
      </c>
      <c r="D29" s="140" t="str">
        <v>G6</v>
      </c>
      <c r="E29" s="139" t="str">
        <f t="shared" si="0"/>
        <v>GBPIMMFRA6MG6_Quote</v>
      </c>
      <c r="F29" s="138" t="str">
        <f>_xll.qlSimpleQuote(E29,,PriceTickValue,Permanent,Trigger,ObjectOverwrite)</f>
        <v>GBPIMMFRA6MG6_Quote#0000</v>
      </c>
      <c r="G29" s="101" t="str">
        <f>_xll.ohRangeRetrieveError(F29)</f>
        <v/>
      </c>
      <c r="H29" s="137"/>
    </row>
    <row r="30" spans="1:8" x14ac:dyDescent="0.2">
      <c r="A30" s="143"/>
      <c r="B30" s="142">
        <v>26</v>
      </c>
      <c r="C30" s="141" t="b">
        <v>0</v>
      </c>
      <c r="D30" s="140" t="str">
        <v>H6</v>
      </c>
      <c r="E30" s="139" t="str">
        <f t="shared" si="0"/>
        <v>GBPIMMFRA6MH6_Quote</v>
      </c>
      <c r="F30" s="138" t="str">
        <f>_xll.qlSimpleQuote(E30,,PriceTickValue,Permanent,Trigger,ObjectOverwrite)</f>
        <v>GBPIMMFRA6MH6_Quote#0000</v>
      </c>
      <c r="G30" s="101" t="str">
        <f>_xll.ohRangeRetrieveError(F30)</f>
        <v/>
      </c>
      <c r="H30" s="137"/>
    </row>
    <row r="31" spans="1:8" x14ac:dyDescent="0.2">
      <c r="A31" s="143"/>
      <c r="B31" s="142">
        <v>27</v>
      </c>
      <c r="C31" s="141" t="b">
        <v>0</v>
      </c>
      <c r="D31" s="140" t="str">
        <v>J6</v>
      </c>
      <c r="E31" s="139" t="str">
        <f t="shared" si="0"/>
        <v>GBPIMMFRA6MJ6_Quote</v>
      </c>
      <c r="F31" s="138" t="str">
        <f>_xll.qlSimpleQuote(E31,,PriceTickValue,Permanent,Trigger,ObjectOverwrite)</f>
        <v>GBPIMMFRA6MJ6_Quote#0000</v>
      </c>
      <c r="G31" s="101" t="str">
        <f>_xll.ohRangeRetrieveError(F31)</f>
        <v/>
      </c>
      <c r="H31" s="137"/>
    </row>
    <row r="32" spans="1:8" x14ac:dyDescent="0.2">
      <c r="A32" s="143"/>
      <c r="B32" s="142">
        <v>28</v>
      </c>
      <c r="C32" s="141" t="b">
        <v>0</v>
      </c>
      <c r="D32" s="140" t="str">
        <v>K6</v>
      </c>
      <c r="E32" s="139" t="str">
        <f t="shared" si="0"/>
        <v>GBPIMMFRA6MK6_Quote</v>
      </c>
      <c r="F32" s="138" t="str">
        <f>_xll.qlSimpleQuote(E32,,PriceTickValue,Permanent,Trigger,ObjectOverwrite)</f>
        <v>GBPIMMFRA6MK6_Quote#0000</v>
      </c>
      <c r="G32" s="101" t="str">
        <f>_xll.ohRangeRetrieveError(F32)</f>
        <v/>
      </c>
      <c r="H32" s="137"/>
    </row>
    <row r="33" spans="1:8" x14ac:dyDescent="0.2">
      <c r="A33" s="143"/>
      <c r="B33" s="142">
        <v>29</v>
      </c>
      <c r="C33" s="141" t="b">
        <v>0</v>
      </c>
      <c r="D33" s="140" t="str">
        <v>M6</v>
      </c>
      <c r="E33" s="139" t="str">
        <f t="shared" si="0"/>
        <v>GBPIMMFRA6MM6_Quote</v>
      </c>
      <c r="F33" s="138" t="str">
        <f>_xll.qlSimpleQuote(E33,,PriceTickValue,Permanent,Trigger,ObjectOverwrite)</f>
        <v>GBPIMMFRA6MM6_Quote#0000</v>
      </c>
      <c r="G33" s="101" t="str">
        <f>_xll.ohRangeRetrieveError(F33)</f>
        <v/>
      </c>
      <c r="H33" s="137"/>
    </row>
    <row r="34" spans="1:8" x14ac:dyDescent="0.2">
      <c r="A34" s="143"/>
      <c r="B34" s="142">
        <v>30</v>
      </c>
      <c r="C34" s="141" t="b">
        <v>0</v>
      </c>
      <c r="D34" s="140" t="str">
        <v>N6</v>
      </c>
      <c r="E34" s="139" t="str">
        <f t="shared" si="0"/>
        <v>GBPIMMFRA6MN6_Quote</v>
      </c>
      <c r="F34" s="138" t="str">
        <f>_xll.qlSimpleQuote(E34,,PriceTickValue,Permanent,Trigger,ObjectOverwrite)</f>
        <v>GBPIMMFRA6MN6_Quote#0000</v>
      </c>
      <c r="G34" s="101" t="str">
        <f>_xll.ohRangeRetrieveError(F34)</f>
        <v/>
      </c>
      <c r="H34" s="137"/>
    </row>
    <row r="35" spans="1:8" x14ac:dyDescent="0.2">
      <c r="A35" s="143"/>
      <c r="B35" s="142">
        <v>31</v>
      </c>
      <c r="C35" s="141" t="b">
        <v>0</v>
      </c>
      <c r="D35" s="140" t="str">
        <v>Q6</v>
      </c>
      <c r="E35" s="139" t="str">
        <f t="shared" si="0"/>
        <v>GBPIMMFRA6MQ6_Quote</v>
      </c>
      <c r="F35" s="138" t="str">
        <f>_xll.qlSimpleQuote(E35,,PriceTickValue,Permanent,Trigger,ObjectOverwrite)</f>
        <v>GBPIMMFRA6MQ6_Quote#0000</v>
      </c>
      <c r="G35" s="101" t="str">
        <f>_xll.ohRangeRetrieveError(F35)</f>
        <v/>
      </c>
      <c r="H35" s="137"/>
    </row>
    <row r="36" spans="1:8" x14ac:dyDescent="0.2">
      <c r="A36" s="143"/>
      <c r="B36" s="142">
        <v>32</v>
      </c>
      <c r="C36" s="141" t="b">
        <v>0</v>
      </c>
      <c r="D36" s="140" t="str">
        <v>U6</v>
      </c>
      <c r="E36" s="139" t="str">
        <f t="shared" si="0"/>
        <v>GBPIMMFRA6MU6_Quote</v>
      </c>
      <c r="F36" s="138" t="str">
        <f>_xll.qlSimpleQuote(E36,,PriceTickValue,Permanent,Trigger,ObjectOverwrite)</f>
        <v>GBPIMMFRA6MU6_Quote#0000</v>
      </c>
      <c r="G36" s="101" t="str">
        <f>_xll.ohRangeRetrieveError(F36)</f>
        <v/>
      </c>
      <c r="H36" s="137"/>
    </row>
    <row r="37" spans="1:8" x14ac:dyDescent="0.2">
      <c r="A37" s="143"/>
      <c r="B37" s="142">
        <v>33</v>
      </c>
      <c r="C37" s="141" t="b">
        <v>0</v>
      </c>
      <c r="D37" s="140" t="str">
        <v>V6</v>
      </c>
      <c r="E37" s="139" t="str">
        <f t="shared" ref="E37:E68" si="1">Currency&amp;$D$3&amp;$E$3&amp;$D37&amp;QuoteSuffix</f>
        <v>GBPIMMFRA6MV6_Quote</v>
      </c>
      <c r="F37" s="138" t="str">
        <f>_xll.qlSimpleQuote(E37,,PriceTickValue,Permanent,Trigger,ObjectOverwrite)</f>
        <v>GBPIMMFRA6MV6_Quote#0000</v>
      </c>
      <c r="G37" s="101" t="str">
        <f>_xll.ohRangeRetrieveError(F37)</f>
        <v/>
      </c>
      <c r="H37" s="137"/>
    </row>
    <row r="38" spans="1:8" x14ac:dyDescent="0.2">
      <c r="A38" s="143"/>
      <c r="B38" s="142">
        <v>34</v>
      </c>
      <c r="C38" s="141" t="b">
        <v>0</v>
      </c>
      <c r="D38" s="140" t="str">
        <v>X6</v>
      </c>
      <c r="E38" s="139" t="str">
        <f t="shared" si="1"/>
        <v>GBPIMMFRA6MX6_Quote</v>
      </c>
      <c r="F38" s="138" t="str">
        <f>_xll.qlSimpleQuote(E38,,PriceTickValue,Permanent,Trigger,ObjectOverwrite)</f>
        <v>GBPIMMFRA6MX6_Quote#0000</v>
      </c>
      <c r="G38" s="101" t="str">
        <f>_xll.ohRangeRetrieveError(F38)</f>
        <v/>
      </c>
      <c r="H38" s="137"/>
    </row>
    <row r="39" spans="1:8" x14ac:dyDescent="0.2">
      <c r="A39" s="143"/>
      <c r="B39" s="142">
        <v>35</v>
      </c>
      <c r="C39" s="141" t="b">
        <v>0</v>
      </c>
      <c r="D39" s="140" t="str">
        <v>Z6</v>
      </c>
      <c r="E39" s="139" t="str">
        <f t="shared" si="1"/>
        <v>GBPIMMFRA6MZ6_Quote</v>
      </c>
      <c r="F39" s="138" t="str">
        <f>_xll.qlSimpleQuote(E39,,PriceTickValue,Permanent,Trigger,ObjectOverwrite)</f>
        <v>GBPIMMFRA6MZ6_Quote#0000</v>
      </c>
      <c r="G39" s="101" t="str">
        <f>_xll.ohRangeRetrieveError(F39)</f>
        <v/>
      </c>
      <c r="H39" s="137"/>
    </row>
    <row r="40" spans="1:8" x14ac:dyDescent="0.2">
      <c r="A40" s="143"/>
      <c r="B40" s="142">
        <v>36</v>
      </c>
      <c r="C40" s="141" t="b">
        <v>0</v>
      </c>
      <c r="D40" s="140" t="str">
        <v>F7</v>
      </c>
      <c r="E40" s="139" t="str">
        <f t="shared" si="1"/>
        <v>GBPIMMFRA6MF7_Quote</v>
      </c>
      <c r="F40" s="138" t="str">
        <f>_xll.qlSimpleQuote(E40,,PriceTickValue,Permanent,Trigger,ObjectOverwrite)</f>
        <v>GBPIMMFRA6MF7_Quote#0000</v>
      </c>
      <c r="G40" s="101" t="str">
        <f>_xll.ohRangeRetrieveError(F40)</f>
        <v/>
      </c>
      <c r="H40" s="137"/>
    </row>
    <row r="41" spans="1:8" x14ac:dyDescent="0.2">
      <c r="A41" s="143"/>
      <c r="B41" s="142">
        <v>37</v>
      </c>
      <c r="C41" s="141" t="b">
        <v>0</v>
      </c>
      <c r="D41" s="140" t="str">
        <v>G7</v>
      </c>
      <c r="E41" s="139" t="str">
        <f t="shared" si="1"/>
        <v>GBPIMMFRA6MG7_Quote</v>
      </c>
      <c r="F41" s="138" t="str">
        <f>_xll.qlSimpleQuote(E41,,PriceTickValue,Permanent,Trigger,ObjectOverwrite)</f>
        <v>GBPIMMFRA6MG7_Quote#0000</v>
      </c>
      <c r="G41" s="101" t="str">
        <f>_xll.ohRangeRetrieveError(F41)</f>
        <v/>
      </c>
      <c r="H41" s="137"/>
    </row>
    <row r="42" spans="1:8" x14ac:dyDescent="0.2">
      <c r="A42" s="143"/>
      <c r="B42" s="142">
        <v>38</v>
      </c>
      <c r="C42" s="141" t="b">
        <v>0</v>
      </c>
      <c r="D42" s="140" t="str">
        <v>H7</v>
      </c>
      <c r="E42" s="139" t="str">
        <f t="shared" si="1"/>
        <v>GBPIMMFRA6MH7_Quote</v>
      </c>
      <c r="F42" s="138" t="str">
        <f>_xll.qlSimpleQuote(E42,,PriceTickValue,Permanent,Trigger,ObjectOverwrite)</f>
        <v>GBPIMMFRA6MH7_Quote#0000</v>
      </c>
      <c r="G42" s="101" t="str">
        <f>_xll.ohRangeRetrieveError(F42)</f>
        <v/>
      </c>
      <c r="H42" s="137"/>
    </row>
    <row r="43" spans="1:8" x14ac:dyDescent="0.2">
      <c r="A43" s="143"/>
      <c r="B43" s="142">
        <v>39</v>
      </c>
      <c r="C43" s="141" t="b">
        <v>0</v>
      </c>
      <c r="D43" s="140" t="str">
        <v>J7</v>
      </c>
      <c r="E43" s="139" t="str">
        <f t="shared" si="1"/>
        <v>GBPIMMFRA6MJ7_Quote</v>
      </c>
      <c r="F43" s="138" t="str">
        <f>_xll.qlSimpleQuote(E43,,PriceTickValue,Permanent,Trigger,ObjectOverwrite)</f>
        <v>GBPIMMFRA6MJ7_Quote#0000</v>
      </c>
      <c r="G43" s="101" t="str">
        <f>_xll.ohRangeRetrieveError(F43)</f>
        <v/>
      </c>
      <c r="H43" s="137"/>
    </row>
    <row r="44" spans="1:8" x14ac:dyDescent="0.2">
      <c r="A44" s="143"/>
      <c r="B44" s="142">
        <v>40</v>
      </c>
      <c r="C44" s="141" t="b">
        <v>0</v>
      </c>
      <c r="D44" s="140" t="str">
        <v>K7</v>
      </c>
      <c r="E44" s="139" t="str">
        <f t="shared" si="1"/>
        <v>GBPIMMFRA6MK7_Quote</v>
      </c>
      <c r="F44" s="138" t="str">
        <f>_xll.qlSimpleQuote(E44,,PriceTickValue,Permanent,Trigger,ObjectOverwrite)</f>
        <v>GBPIMMFRA6MK7_Quote#0000</v>
      </c>
      <c r="G44" s="101" t="str">
        <f>_xll.ohRangeRetrieveError(F44)</f>
        <v/>
      </c>
      <c r="H44" s="137"/>
    </row>
    <row r="45" spans="1:8" x14ac:dyDescent="0.2">
      <c r="A45" s="143"/>
      <c r="B45" s="142">
        <v>41</v>
      </c>
      <c r="C45" s="141" t="b">
        <v>0</v>
      </c>
      <c r="D45" s="140" t="str">
        <v>M7</v>
      </c>
      <c r="E45" s="139" t="str">
        <f t="shared" si="1"/>
        <v>GBPIMMFRA6MM7_Quote</v>
      </c>
      <c r="F45" s="138" t="str">
        <f>_xll.qlSimpleQuote(E45,,PriceTickValue,Permanent,Trigger,ObjectOverwrite)</f>
        <v>GBPIMMFRA6MM7_Quote#0000</v>
      </c>
      <c r="G45" s="101" t="str">
        <f>_xll.ohRangeRetrieveError(F45)</f>
        <v/>
      </c>
      <c r="H45" s="137"/>
    </row>
    <row r="46" spans="1:8" x14ac:dyDescent="0.2">
      <c r="A46" s="143"/>
      <c r="B46" s="142">
        <v>42</v>
      </c>
      <c r="C46" s="141" t="b">
        <v>0</v>
      </c>
      <c r="D46" s="140" t="str">
        <v>N7</v>
      </c>
      <c r="E46" s="139" t="str">
        <f t="shared" si="1"/>
        <v>GBPIMMFRA6MN7_Quote</v>
      </c>
      <c r="F46" s="138" t="str">
        <f>_xll.qlSimpleQuote(E46,,PriceTickValue,Permanent,Trigger,ObjectOverwrite)</f>
        <v>GBPIMMFRA6MN7_Quote#0000</v>
      </c>
      <c r="G46" s="101" t="str">
        <f>_xll.ohRangeRetrieveError(F46)</f>
        <v/>
      </c>
      <c r="H46" s="137"/>
    </row>
    <row r="47" spans="1:8" x14ac:dyDescent="0.2">
      <c r="A47" s="143"/>
      <c r="B47" s="142">
        <v>43</v>
      </c>
      <c r="C47" s="141" t="b">
        <v>0</v>
      </c>
      <c r="D47" s="140" t="str">
        <v>Q7</v>
      </c>
      <c r="E47" s="139" t="str">
        <f t="shared" si="1"/>
        <v>GBPIMMFRA6MQ7_Quote</v>
      </c>
      <c r="F47" s="138" t="str">
        <f>_xll.qlSimpleQuote(E47,,PriceTickValue,Permanent,Trigger,ObjectOverwrite)</f>
        <v>GBPIMMFRA6MQ7_Quote#0000</v>
      </c>
      <c r="G47" s="101" t="str">
        <f>_xll.ohRangeRetrieveError(F47)</f>
        <v/>
      </c>
      <c r="H47" s="137"/>
    </row>
    <row r="48" spans="1:8" x14ac:dyDescent="0.2">
      <c r="A48" s="143"/>
      <c r="B48" s="142">
        <v>44</v>
      </c>
      <c r="C48" s="141" t="b">
        <v>0</v>
      </c>
      <c r="D48" s="140" t="str">
        <v>U7</v>
      </c>
      <c r="E48" s="139" t="str">
        <f t="shared" si="1"/>
        <v>GBPIMMFRA6MU7_Quote</v>
      </c>
      <c r="F48" s="138" t="str">
        <f>_xll.qlSimpleQuote(E48,,PriceTickValue,Permanent,Trigger,ObjectOverwrite)</f>
        <v>GBPIMMFRA6MU7_Quote#0000</v>
      </c>
      <c r="G48" s="101" t="str">
        <f>_xll.ohRangeRetrieveError(F48)</f>
        <v/>
      </c>
      <c r="H48" s="137"/>
    </row>
    <row r="49" spans="1:8" x14ac:dyDescent="0.2">
      <c r="A49" s="143"/>
      <c r="B49" s="142">
        <v>45</v>
      </c>
      <c r="C49" s="141" t="b">
        <v>0</v>
      </c>
      <c r="D49" s="140" t="str">
        <v>V7</v>
      </c>
      <c r="E49" s="139" t="str">
        <f t="shared" si="1"/>
        <v>GBPIMMFRA6MV7_Quote</v>
      </c>
      <c r="F49" s="138" t="str">
        <f>_xll.qlSimpleQuote(E49,,PriceTickValue,Permanent,Trigger,ObjectOverwrite)</f>
        <v>GBPIMMFRA6MV7_Quote#0000</v>
      </c>
      <c r="G49" s="101" t="str">
        <f>_xll.ohRangeRetrieveError(F49)</f>
        <v/>
      </c>
      <c r="H49" s="137"/>
    </row>
    <row r="50" spans="1:8" x14ac:dyDescent="0.2">
      <c r="A50" s="143"/>
      <c r="B50" s="142">
        <v>46</v>
      </c>
      <c r="C50" s="141" t="b">
        <v>0</v>
      </c>
      <c r="D50" s="140" t="str">
        <v>X7</v>
      </c>
      <c r="E50" s="139" t="str">
        <f t="shared" si="1"/>
        <v>GBPIMMFRA6MX7_Quote</v>
      </c>
      <c r="F50" s="138" t="str">
        <f>_xll.qlSimpleQuote(E50,,PriceTickValue,Permanent,Trigger,ObjectOverwrite)</f>
        <v>GBPIMMFRA6MX7_Quote#0000</v>
      </c>
      <c r="G50" s="101" t="str">
        <f>_xll.ohRangeRetrieveError(F50)</f>
        <v/>
      </c>
      <c r="H50" s="137"/>
    </row>
    <row r="51" spans="1:8" x14ac:dyDescent="0.2">
      <c r="A51" s="143"/>
      <c r="B51" s="142">
        <v>47</v>
      </c>
      <c r="C51" s="141" t="b">
        <v>0</v>
      </c>
      <c r="D51" s="140" t="str">
        <v>Z7</v>
      </c>
      <c r="E51" s="139" t="str">
        <f t="shared" si="1"/>
        <v>GBPIMMFRA6MZ7_Quote</v>
      </c>
      <c r="F51" s="138" t="str">
        <f>_xll.qlSimpleQuote(E51,,PriceTickValue,Permanent,Trigger,ObjectOverwrite)</f>
        <v>GBPIMMFRA6MZ7_Quote#0000</v>
      </c>
      <c r="G51" s="101" t="str">
        <f>_xll.ohRangeRetrieveError(F51)</f>
        <v/>
      </c>
      <c r="H51" s="137"/>
    </row>
    <row r="52" spans="1:8" x14ac:dyDescent="0.2">
      <c r="A52" s="143"/>
      <c r="B52" s="142">
        <v>48</v>
      </c>
      <c r="C52" s="141" t="b">
        <v>0</v>
      </c>
      <c r="D52" s="140" t="str">
        <v>F8</v>
      </c>
      <c r="E52" s="139" t="str">
        <f t="shared" si="1"/>
        <v>GBPIMMFRA6MF8_Quote</v>
      </c>
      <c r="F52" s="138" t="str">
        <f>_xll.qlSimpleQuote(E52,,PriceTickValue,Permanent,Trigger,ObjectOverwrite)</f>
        <v>GBPIMMFRA6MF8_Quote#0000</v>
      </c>
      <c r="G52" s="101" t="str">
        <f>_xll.ohRangeRetrieveError(F52)</f>
        <v/>
      </c>
      <c r="H52" s="137"/>
    </row>
    <row r="53" spans="1:8" x14ac:dyDescent="0.2">
      <c r="A53" s="143"/>
      <c r="B53" s="142">
        <v>49</v>
      </c>
      <c r="C53" s="141" t="b">
        <v>0</v>
      </c>
      <c r="D53" s="140" t="str">
        <v>G8</v>
      </c>
      <c r="E53" s="139" t="str">
        <f t="shared" si="1"/>
        <v>GBPIMMFRA6MG8_Quote</v>
      </c>
      <c r="F53" s="138" t="str">
        <f>_xll.qlSimpleQuote(E53,,PriceTickValue,Permanent,Trigger,ObjectOverwrite)</f>
        <v>GBPIMMFRA6MG8_Quote#0000</v>
      </c>
      <c r="G53" s="101" t="str">
        <f>_xll.ohRangeRetrieveError(F53)</f>
        <v/>
      </c>
      <c r="H53" s="137"/>
    </row>
    <row r="54" spans="1:8" x14ac:dyDescent="0.2">
      <c r="A54" s="143"/>
      <c r="B54" s="142">
        <v>50</v>
      </c>
      <c r="C54" s="141" t="b">
        <v>0</v>
      </c>
      <c r="D54" s="140" t="str">
        <v>H8</v>
      </c>
      <c r="E54" s="139" t="str">
        <f t="shared" si="1"/>
        <v>GBPIMMFRA6MH8_Quote</v>
      </c>
      <c r="F54" s="138" t="str">
        <f>_xll.qlSimpleQuote(E54,,PriceTickValue,Permanent,Trigger,ObjectOverwrite)</f>
        <v>GBPIMMFRA6MH8_Quote#0000</v>
      </c>
      <c r="G54" s="101" t="str">
        <f>_xll.ohRangeRetrieveError(F54)</f>
        <v/>
      </c>
      <c r="H54" s="137"/>
    </row>
    <row r="55" spans="1:8" x14ac:dyDescent="0.2">
      <c r="A55" s="143"/>
      <c r="B55" s="142">
        <v>51</v>
      </c>
      <c r="C55" s="141" t="b">
        <v>0</v>
      </c>
      <c r="D55" s="140" t="str">
        <v>J8</v>
      </c>
      <c r="E55" s="139" t="str">
        <f t="shared" si="1"/>
        <v>GBPIMMFRA6MJ8_Quote</v>
      </c>
      <c r="F55" s="138" t="str">
        <f>_xll.qlSimpleQuote(E55,,PriceTickValue,Permanent,Trigger,ObjectOverwrite)</f>
        <v>GBPIMMFRA6MJ8_Quote#0000</v>
      </c>
      <c r="G55" s="101" t="str">
        <f>_xll.ohRangeRetrieveError(F55)</f>
        <v/>
      </c>
      <c r="H55" s="137"/>
    </row>
    <row r="56" spans="1:8" x14ac:dyDescent="0.2">
      <c r="A56" s="143"/>
      <c r="B56" s="142">
        <v>52</v>
      </c>
      <c r="C56" s="141" t="b">
        <v>0</v>
      </c>
      <c r="D56" s="140" t="str">
        <v>K8</v>
      </c>
      <c r="E56" s="139" t="str">
        <f t="shared" si="1"/>
        <v>GBPIMMFRA6MK8_Quote</v>
      </c>
      <c r="F56" s="138" t="str">
        <f>_xll.qlSimpleQuote(E56,,PriceTickValue,Permanent,Trigger,ObjectOverwrite)</f>
        <v>GBPIMMFRA6MK8_Quote#0000</v>
      </c>
      <c r="G56" s="101" t="str">
        <f>_xll.ohRangeRetrieveError(F56)</f>
        <v/>
      </c>
      <c r="H56" s="137"/>
    </row>
    <row r="57" spans="1:8" x14ac:dyDescent="0.2">
      <c r="A57" s="143"/>
      <c r="B57" s="142">
        <v>53</v>
      </c>
      <c r="C57" s="141" t="b">
        <v>0</v>
      </c>
      <c r="D57" s="140" t="str">
        <v>M8</v>
      </c>
      <c r="E57" s="139" t="str">
        <f t="shared" si="1"/>
        <v>GBPIMMFRA6MM8_Quote</v>
      </c>
      <c r="F57" s="138" t="str">
        <f>_xll.qlSimpleQuote(E57,,PriceTickValue,Permanent,Trigger,ObjectOverwrite)</f>
        <v>GBPIMMFRA6MM8_Quote#0000</v>
      </c>
      <c r="G57" s="101" t="str">
        <f>_xll.ohRangeRetrieveError(F57)</f>
        <v/>
      </c>
      <c r="H57" s="137"/>
    </row>
    <row r="58" spans="1:8" x14ac:dyDescent="0.2">
      <c r="A58" s="143"/>
      <c r="B58" s="142">
        <v>54</v>
      </c>
      <c r="C58" s="141" t="b">
        <v>0</v>
      </c>
      <c r="D58" s="140" t="str">
        <v>N8</v>
      </c>
      <c r="E58" s="139" t="str">
        <f t="shared" si="1"/>
        <v>GBPIMMFRA6MN8_Quote</v>
      </c>
      <c r="F58" s="138" t="str">
        <f>_xll.qlSimpleQuote(E58,,PriceTickValue,Permanent,Trigger,ObjectOverwrite)</f>
        <v>GBPIMMFRA6MN8_Quote#0000</v>
      </c>
      <c r="G58" s="101" t="str">
        <f>_xll.ohRangeRetrieveError(F58)</f>
        <v/>
      </c>
      <c r="H58" s="137"/>
    </row>
    <row r="59" spans="1:8" x14ac:dyDescent="0.2">
      <c r="A59" s="143"/>
      <c r="B59" s="142">
        <v>55</v>
      </c>
      <c r="C59" s="141" t="b">
        <v>0</v>
      </c>
      <c r="D59" s="140" t="str">
        <v>Q8</v>
      </c>
      <c r="E59" s="139" t="str">
        <f t="shared" si="1"/>
        <v>GBPIMMFRA6MQ8_Quote</v>
      </c>
      <c r="F59" s="138" t="str">
        <f>_xll.qlSimpleQuote(E59,,PriceTickValue,Permanent,Trigger,ObjectOverwrite)</f>
        <v>GBPIMMFRA6MQ8_Quote#0000</v>
      </c>
      <c r="G59" s="101" t="str">
        <f>_xll.ohRangeRetrieveError(F59)</f>
        <v/>
      </c>
      <c r="H59" s="137"/>
    </row>
    <row r="60" spans="1:8" x14ac:dyDescent="0.2">
      <c r="A60" s="143"/>
      <c r="B60" s="142">
        <v>56</v>
      </c>
      <c r="C60" s="141" t="b">
        <v>0</v>
      </c>
      <c r="D60" s="140" t="str">
        <v>U8</v>
      </c>
      <c r="E60" s="139" t="str">
        <f t="shared" si="1"/>
        <v>GBPIMMFRA6MU8_Quote</v>
      </c>
      <c r="F60" s="138" t="str">
        <f>_xll.qlSimpleQuote(E60,,PriceTickValue,Permanent,Trigger,ObjectOverwrite)</f>
        <v>GBPIMMFRA6MU8_Quote#0000</v>
      </c>
      <c r="G60" s="101" t="str">
        <f>_xll.ohRangeRetrieveError(F60)</f>
        <v/>
      </c>
      <c r="H60" s="137"/>
    </row>
    <row r="61" spans="1:8" x14ac:dyDescent="0.2">
      <c r="A61" s="143"/>
      <c r="B61" s="142">
        <v>57</v>
      </c>
      <c r="C61" s="141" t="b">
        <v>0</v>
      </c>
      <c r="D61" s="140" t="str">
        <v>V8</v>
      </c>
      <c r="E61" s="139" t="str">
        <f t="shared" si="1"/>
        <v>GBPIMMFRA6MV8_Quote</v>
      </c>
      <c r="F61" s="138" t="str">
        <f>_xll.qlSimpleQuote(E61,,PriceTickValue,Permanent,Trigger,ObjectOverwrite)</f>
        <v>GBPIMMFRA6MV8_Quote#0000</v>
      </c>
      <c r="G61" s="101" t="str">
        <f>_xll.ohRangeRetrieveError(F61)</f>
        <v/>
      </c>
      <c r="H61" s="137"/>
    </row>
    <row r="62" spans="1:8" x14ac:dyDescent="0.2">
      <c r="A62" s="143"/>
      <c r="B62" s="142">
        <v>58</v>
      </c>
      <c r="C62" s="141" t="b">
        <v>0</v>
      </c>
      <c r="D62" s="140" t="str">
        <v>X8</v>
      </c>
      <c r="E62" s="139" t="str">
        <f t="shared" si="1"/>
        <v>GBPIMMFRA6MX8_Quote</v>
      </c>
      <c r="F62" s="138" t="str">
        <f>_xll.qlSimpleQuote(E62,,PriceTickValue,Permanent,Trigger,ObjectOverwrite)</f>
        <v>GBPIMMFRA6MX8_Quote#0000</v>
      </c>
      <c r="G62" s="101" t="str">
        <f>_xll.ohRangeRetrieveError(F62)</f>
        <v/>
      </c>
      <c r="H62" s="137"/>
    </row>
    <row r="63" spans="1:8" x14ac:dyDescent="0.2">
      <c r="A63" s="143"/>
      <c r="B63" s="142">
        <v>59</v>
      </c>
      <c r="C63" s="141" t="b">
        <v>0</v>
      </c>
      <c r="D63" s="140" t="str">
        <v>Z8</v>
      </c>
      <c r="E63" s="139" t="str">
        <f t="shared" si="1"/>
        <v>GBPIMMFRA6MZ8_Quote</v>
      </c>
      <c r="F63" s="138" t="str">
        <f>_xll.qlSimpleQuote(E63,,PriceTickValue,Permanent,Trigger,ObjectOverwrite)</f>
        <v>GBPIMMFRA6MZ8_Quote#0000</v>
      </c>
      <c r="G63" s="101" t="str">
        <f>_xll.ohRangeRetrieveError(F63)</f>
        <v/>
      </c>
      <c r="H63" s="137"/>
    </row>
    <row r="64" spans="1:8" x14ac:dyDescent="0.2">
      <c r="A64" s="143"/>
      <c r="B64" s="142">
        <v>60</v>
      </c>
      <c r="C64" s="141" t="b">
        <v>0</v>
      </c>
      <c r="D64" s="140" t="str">
        <v>F9</v>
      </c>
      <c r="E64" s="139" t="str">
        <f t="shared" si="1"/>
        <v>GBPIMMFRA6MF9_Quote</v>
      </c>
      <c r="F64" s="138" t="str">
        <f>_xll.qlSimpleQuote(E64,,PriceTickValue,Permanent,Trigger,ObjectOverwrite)</f>
        <v>GBPIMMFRA6MF9_Quote#0000</v>
      </c>
      <c r="G64" s="101" t="str">
        <f>_xll.ohRangeRetrieveError(F64)</f>
        <v/>
      </c>
      <c r="H64" s="137"/>
    </row>
    <row r="65" spans="1:8" x14ac:dyDescent="0.2">
      <c r="A65" s="143"/>
      <c r="B65" s="142">
        <v>61</v>
      </c>
      <c r="C65" s="141" t="b">
        <v>0</v>
      </c>
      <c r="D65" s="140" t="str">
        <v>G9</v>
      </c>
      <c r="E65" s="139" t="str">
        <f t="shared" si="1"/>
        <v>GBPIMMFRA6MG9_Quote</v>
      </c>
      <c r="F65" s="138" t="str">
        <f>_xll.qlSimpleQuote(E65,,PriceTickValue,Permanent,Trigger,ObjectOverwrite)</f>
        <v>GBPIMMFRA6MG9_Quote#0000</v>
      </c>
      <c r="G65" s="101" t="str">
        <f>_xll.ohRangeRetrieveError(F65)</f>
        <v/>
      </c>
      <c r="H65" s="137"/>
    </row>
    <row r="66" spans="1:8" x14ac:dyDescent="0.2">
      <c r="A66" s="143"/>
      <c r="B66" s="142">
        <v>62</v>
      </c>
      <c r="C66" s="141" t="b">
        <v>0</v>
      </c>
      <c r="D66" s="140" t="str">
        <v>H9</v>
      </c>
      <c r="E66" s="139" t="str">
        <f t="shared" si="1"/>
        <v>GBPIMMFRA6MH9_Quote</v>
      </c>
      <c r="F66" s="138" t="str">
        <f>_xll.qlSimpleQuote(E66,,PriceTickValue,Permanent,Trigger,ObjectOverwrite)</f>
        <v>GBPIMMFRA6MH9_Quote#0000</v>
      </c>
      <c r="G66" s="101" t="str">
        <f>_xll.ohRangeRetrieveError(F66)</f>
        <v/>
      </c>
      <c r="H66" s="137"/>
    </row>
    <row r="67" spans="1:8" x14ac:dyDescent="0.2">
      <c r="A67" s="143"/>
      <c r="B67" s="142">
        <v>63</v>
      </c>
      <c r="C67" s="141" t="b">
        <v>0</v>
      </c>
      <c r="D67" s="140" t="str">
        <v>J9</v>
      </c>
      <c r="E67" s="139" t="str">
        <f t="shared" si="1"/>
        <v>GBPIMMFRA6MJ9_Quote</v>
      </c>
      <c r="F67" s="138" t="str">
        <f>_xll.qlSimpleQuote(E67,,PriceTickValue,Permanent,Trigger,ObjectOverwrite)</f>
        <v>GBPIMMFRA6MJ9_Quote#0000</v>
      </c>
      <c r="G67" s="101" t="str">
        <f>_xll.ohRangeRetrieveError(F67)</f>
        <v/>
      </c>
      <c r="H67" s="137"/>
    </row>
    <row r="68" spans="1:8" x14ac:dyDescent="0.2">
      <c r="A68" s="143"/>
      <c r="B68" s="142">
        <v>64</v>
      </c>
      <c r="C68" s="141" t="b">
        <v>0</v>
      </c>
      <c r="D68" s="140" t="str">
        <v>K9</v>
      </c>
      <c r="E68" s="139" t="str">
        <f t="shared" si="1"/>
        <v>GBPIMMFRA6MK9_Quote</v>
      </c>
      <c r="F68" s="138" t="str">
        <f>_xll.qlSimpleQuote(E68,,PriceTickValue,Permanent,Trigger,ObjectOverwrite)</f>
        <v>GBPIMMFRA6MK9_Quote#0000</v>
      </c>
      <c r="G68" s="101" t="str">
        <f>_xll.ohRangeRetrieveError(F68)</f>
        <v/>
      </c>
      <c r="H68" s="137"/>
    </row>
    <row r="69" spans="1:8" x14ac:dyDescent="0.2">
      <c r="A69" s="143"/>
      <c r="B69" s="142">
        <v>65</v>
      </c>
      <c r="C69" s="141" t="b">
        <v>0</v>
      </c>
      <c r="D69" s="140" t="str">
        <v>M9</v>
      </c>
      <c r="E69" s="139" t="str">
        <f t="shared" ref="E69:E100" si="2">Currency&amp;$D$3&amp;$E$3&amp;$D69&amp;QuoteSuffix</f>
        <v>GBPIMMFRA6MM9_Quote</v>
      </c>
      <c r="F69" s="138" t="str">
        <f>_xll.qlSimpleQuote(E69,,PriceTickValue,Permanent,Trigger,ObjectOverwrite)</f>
        <v>GBPIMMFRA6MM9_Quote#0000</v>
      </c>
      <c r="G69" s="101" t="str">
        <f>_xll.ohRangeRetrieveError(F69)</f>
        <v/>
      </c>
      <c r="H69" s="137"/>
    </row>
    <row r="70" spans="1:8" x14ac:dyDescent="0.2">
      <c r="A70" s="143"/>
      <c r="B70" s="142">
        <v>66</v>
      </c>
      <c r="C70" s="141" t="b">
        <v>0</v>
      </c>
      <c r="D70" s="140" t="str">
        <v>N9</v>
      </c>
      <c r="E70" s="139" t="str">
        <f t="shared" si="2"/>
        <v>GBPIMMFRA6MN9_Quote</v>
      </c>
      <c r="F70" s="138" t="str">
        <f>_xll.qlSimpleQuote(E70,,PriceTickValue,Permanent,Trigger,ObjectOverwrite)</f>
        <v>GBPIMMFRA6MN9_Quote#0000</v>
      </c>
      <c r="G70" s="101" t="str">
        <f>_xll.ohRangeRetrieveError(F70)</f>
        <v/>
      </c>
      <c r="H70" s="137"/>
    </row>
    <row r="71" spans="1:8" x14ac:dyDescent="0.2">
      <c r="A71" s="143"/>
      <c r="B71" s="142">
        <v>67</v>
      </c>
      <c r="C71" s="141" t="b">
        <v>0</v>
      </c>
      <c r="D71" s="140" t="str">
        <v>Q9</v>
      </c>
      <c r="E71" s="139" t="str">
        <f t="shared" si="2"/>
        <v>GBPIMMFRA6MQ9_Quote</v>
      </c>
      <c r="F71" s="138" t="str">
        <f>_xll.qlSimpleQuote(E71,,PriceTickValue,Permanent,Trigger,ObjectOverwrite)</f>
        <v>GBPIMMFRA6MQ9_Quote#0000</v>
      </c>
      <c r="G71" s="101" t="str">
        <f>_xll.ohRangeRetrieveError(F71)</f>
        <v/>
      </c>
      <c r="H71" s="137"/>
    </row>
    <row r="72" spans="1:8" x14ac:dyDescent="0.2">
      <c r="A72" s="143"/>
      <c r="B72" s="142">
        <v>68</v>
      </c>
      <c r="C72" s="141" t="b">
        <v>0</v>
      </c>
      <c r="D72" s="140" t="str">
        <v>U9</v>
      </c>
      <c r="E72" s="139" t="str">
        <f t="shared" si="2"/>
        <v>GBPIMMFRA6MU9_Quote</v>
      </c>
      <c r="F72" s="138" t="str">
        <f>_xll.qlSimpleQuote(E72,,PriceTickValue,Permanent,Trigger,ObjectOverwrite)</f>
        <v>GBPIMMFRA6MU9_Quote#0000</v>
      </c>
      <c r="G72" s="101" t="str">
        <f>_xll.ohRangeRetrieveError(F72)</f>
        <v/>
      </c>
      <c r="H72" s="137"/>
    </row>
    <row r="73" spans="1:8" x14ac:dyDescent="0.2">
      <c r="A73" s="143"/>
      <c r="B73" s="142">
        <v>69</v>
      </c>
      <c r="C73" s="141" t="b">
        <v>0</v>
      </c>
      <c r="D73" s="140" t="str">
        <v>V9</v>
      </c>
      <c r="E73" s="139" t="str">
        <f t="shared" si="2"/>
        <v>GBPIMMFRA6MV9_Quote</v>
      </c>
      <c r="F73" s="138" t="str">
        <f>_xll.qlSimpleQuote(E73,,PriceTickValue,Permanent,Trigger,ObjectOverwrite)</f>
        <v>GBPIMMFRA6MV9_Quote#0000</v>
      </c>
      <c r="G73" s="101" t="str">
        <f>_xll.ohRangeRetrieveError(F73)</f>
        <v/>
      </c>
      <c r="H73" s="137"/>
    </row>
    <row r="74" spans="1:8" x14ac:dyDescent="0.2">
      <c r="A74" s="143"/>
      <c r="B74" s="142">
        <v>70</v>
      </c>
      <c r="C74" s="141" t="b">
        <v>0</v>
      </c>
      <c r="D74" s="140" t="str">
        <v>X9</v>
      </c>
      <c r="E74" s="139" t="str">
        <f t="shared" si="2"/>
        <v>GBPIMMFRA6MX9_Quote</v>
      </c>
      <c r="F74" s="138" t="str">
        <f>_xll.qlSimpleQuote(E74,,PriceTickValue,Permanent,Trigger,ObjectOverwrite)</f>
        <v>GBPIMMFRA6MX9_Quote#0000</v>
      </c>
      <c r="G74" s="101" t="str">
        <f>_xll.ohRangeRetrieveError(F74)</f>
        <v/>
      </c>
      <c r="H74" s="137"/>
    </row>
    <row r="75" spans="1:8" x14ac:dyDescent="0.2">
      <c r="A75" s="143"/>
      <c r="B75" s="142">
        <v>71</v>
      </c>
      <c r="C75" s="141" t="b">
        <v>0</v>
      </c>
      <c r="D75" s="140" t="str">
        <v>Z9</v>
      </c>
      <c r="E75" s="139" t="str">
        <f t="shared" si="2"/>
        <v>GBPIMMFRA6MZ9_Quote</v>
      </c>
      <c r="F75" s="138" t="str">
        <f>_xll.qlSimpleQuote(E75,,PriceTickValue,Permanent,Trigger,ObjectOverwrite)</f>
        <v>GBPIMMFRA6MZ9_Quote#0000</v>
      </c>
      <c r="G75" s="101" t="str">
        <f>_xll.ohRangeRetrieveError(F75)</f>
        <v/>
      </c>
      <c r="H75" s="137"/>
    </row>
    <row r="76" spans="1:8" x14ac:dyDescent="0.2">
      <c r="A76" s="143"/>
      <c r="B76" s="142">
        <v>72</v>
      </c>
      <c r="C76" s="141" t="b">
        <v>0</v>
      </c>
      <c r="D76" s="140" t="str">
        <v>F0</v>
      </c>
      <c r="E76" s="139" t="str">
        <f t="shared" si="2"/>
        <v>GBPIMMFRA6MF0_Quote</v>
      </c>
      <c r="F76" s="138" t="str">
        <f>_xll.qlSimpleQuote(E76,,PriceTickValue,Permanent,Trigger,ObjectOverwrite)</f>
        <v>GBPIMMFRA6MF0_Quote#0000</v>
      </c>
      <c r="G76" s="101" t="str">
        <f>_xll.ohRangeRetrieveError(F76)</f>
        <v/>
      </c>
      <c r="H76" s="137"/>
    </row>
    <row r="77" spans="1:8" x14ac:dyDescent="0.2">
      <c r="A77" s="143"/>
      <c r="B77" s="142">
        <v>73</v>
      </c>
      <c r="C77" s="141" t="b">
        <v>0</v>
      </c>
      <c r="D77" s="140" t="str">
        <v>G0</v>
      </c>
      <c r="E77" s="139" t="str">
        <f t="shared" si="2"/>
        <v>GBPIMMFRA6MG0_Quote</v>
      </c>
      <c r="F77" s="138" t="str">
        <f>_xll.qlSimpleQuote(E77,,PriceTickValue,Permanent,Trigger,ObjectOverwrite)</f>
        <v>GBPIMMFRA6MG0_Quote#0000</v>
      </c>
      <c r="G77" s="101" t="str">
        <f>_xll.ohRangeRetrieveError(F77)</f>
        <v/>
      </c>
      <c r="H77" s="137"/>
    </row>
    <row r="78" spans="1:8" x14ac:dyDescent="0.2">
      <c r="A78" s="143"/>
      <c r="B78" s="142">
        <v>74</v>
      </c>
      <c r="C78" s="141" t="b">
        <v>0</v>
      </c>
      <c r="D78" s="140" t="str">
        <v>H0</v>
      </c>
      <c r="E78" s="139" t="str">
        <f t="shared" si="2"/>
        <v>GBPIMMFRA6MH0_Quote</v>
      </c>
      <c r="F78" s="138" t="str">
        <f>_xll.qlSimpleQuote(E78,,PriceTickValue,Permanent,Trigger,ObjectOverwrite)</f>
        <v>GBPIMMFRA6MH0_Quote#0000</v>
      </c>
      <c r="G78" s="101" t="str">
        <f>_xll.ohRangeRetrieveError(F78)</f>
        <v/>
      </c>
      <c r="H78" s="137"/>
    </row>
    <row r="79" spans="1:8" x14ac:dyDescent="0.2">
      <c r="A79" s="143"/>
      <c r="B79" s="142">
        <v>75</v>
      </c>
      <c r="C79" s="141" t="b">
        <v>0</v>
      </c>
      <c r="D79" s="140" t="str">
        <v>J0</v>
      </c>
      <c r="E79" s="139" t="str">
        <f t="shared" si="2"/>
        <v>GBPIMMFRA6MJ0_Quote</v>
      </c>
      <c r="F79" s="138" t="str">
        <f>_xll.qlSimpleQuote(E79,,PriceTickValue,Permanent,Trigger,ObjectOverwrite)</f>
        <v>GBPIMMFRA6MJ0_Quote#0000</v>
      </c>
      <c r="G79" s="101" t="str">
        <f>_xll.ohRangeRetrieveError(F79)</f>
        <v/>
      </c>
      <c r="H79" s="137"/>
    </row>
    <row r="80" spans="1:8" x14ac:dyDescent="0.2">
      <c r="A80" s="143"/>
      <c r="B80" s="142">
        <v>76</v>
      </c>
      <c r="C80" s="141" t="b">
        <v>0</v>
      </c>
      <c r="D80" s="140" t="str">
        <v>K0</v>
      </c>
      <c r="E80" s="139" t="str">
        <f t="shared" si="2"/>
        <v>GBPIMMFRA6MK0_Quote</v>
      </c>
      <c r="F80" s="138" t="str">
        <f>_xll.qlSimpleQuote(E80,,PriceTickValue,Permanent,Trigger,ObjectOverwrite)</f>
        <v>GBPIMMFRA6MK0_Quote#0000</v>
      </c>
      <c r="G80" s="101" t="str">
        <f>_xll.ohRangeRetrieveError(F80)</f>
        <v/>
      </c>
      <c r="H80" s="137"/>
    </row>
    <row r="81" spans="1:8" x14ac:dyDescent="0.2">
      <c r="A81" s="143"/>
      <c r="B81" s="142">
        <v>77</v>
      </c>
      <c r="C81" s="141" t="b">
        <v>0</v>
      </c>
      <c r="D81" s="140" t="str">
        <v>M0</v>
      </c>
      <c r="E81" s="139" t="str">
        <f t="shared" si="2"/>
        <v>GBPIMMFRA6MM0_Quote</v>
      </c>
      <c r="F81" s="138" t="str">
        <f>_xll.qlSimpleQuote(E81,,PriceTickValue,Permanent,Trigger,ObjectOverwrite)</f>
        <v>GBPIMMFRA6MM0_Quote#0000</v>
      </c>
      <c r="G81" s="101" t="str">
        <f>_xll.ohRangeRetrieveError(F81)</f>
        <v/>
      </c>
      <c r="H81" s="137"/>
    </row>
    <row r="82" spans="1:8" x14ac:dyDescent="0.2">
      <c r="A82" s="143"/>
      <c r="B82" s="142">
        <v>78</v>
      </c>
      <c r="C82" s="141" t="b">
        <v>0</v>
      </c>
      <c r="D82" s="140" t="str">
        <v>N0</v>
      </c>
      <c r="E82" s="139" t="str">
        <f t="shared" si="2"/>
        <v>GBPIMMFRA6MN0_Quote</v>
      </c>
      <c r="F82" s="138" t="str">
        <f>_xll.qlSimpleQuote(E82,,PriceTickValue,Permanent,Trigger,ObjectOverwrite)</f>
        <v>GBPIMMFRA6MN0_Quote#0000</v>
      </c>
      <c r="G82" s="101" t="str">
        <f>_xll.ohRangeRetrieveError(F82)</f>
        <v/>
      </c>
      <c r="H82" s="137"/>
    </row>
    <row r="83" spans="1:8" x14ac:dyDescent="0.2">
      <c r="A83" s="143"/>
      <c r="B83" s="142">
        <v>79</v>
      </c>
      <c r="C83" s="141" t="b">
        <v>0</v>
      </c>
      <c r="D83" s="140" t="str">
        <v>Q0</v>
      </c>
      <c r="E83" s="139" t="str">
        <f t="shared" si="2"/>
        <v>GBPIMMFRA6MQ0_Quote</v>
      </c>
      <c r="F83" s="138" t="str">
        <f>_xll.qlSimpleQuote(E83,,PriceTickValue,Permanent,Trigger,ObjectOverwrite)</f>
        <v>GBPIMMFRA6MQ0_Quote#0000</v>
      </c>
      <c r="G83" s="101" t="str">
        <f>_xll.ohRangeRetrieveError(F83)</f>
        <v/>
      </c>
      <c r="H83" s="137"/>
    </row>
    <row r="84" spans="1:8" x14ac:dyDescent="0.2">
      <c r="A84" s="143"/>
      <c r="B84" s="142">
        <v>80</v>
      </c>
      <c r="C84" s="141" t="b">
        <v>0</v>
      </c>
      <c r="D84" s="140" t="str">
        <v>U0</v>
      </c>
      <c r="E84" s="139" t="str">
        <f t="shared" si="2"/>
        <v>GBPIMMFRA6MU0_Quote</v>
      </c>
      <c r="F84" s="138" t="str">
        <f>_xll.qlSimpleQuote(E84,,PriceTickValue,Permanent,Trigger,ObjectOverwrite)</f>
        <v>GBPIMMFRA6MU0_Quote#0000</v>
      </c>
      <c r="G84" s="101" t="str">
        <f>_xll.ohRangeRetrieveError(F84)</f>
        <v/>
      </c>
      <c r="H84" s="137"/>
    </row>
    <row r="85" spans="1:8" x14ac:dyDescent="0.2">
      <c r="A85" s="143"/>
      <c r="B85" s="142">
        <v>81</v>
      </c>
      <c r="C85" s="141" t="b">
        <v>0</v>
      </c>
      <c r="D85" s="140" t="str">
        <v>V0</v>
      </c>
      <c r="E85" s="139" t="str">
        <f t="shared" si="2"/>
        <v>GBPIMMFRA6MV0_Quote</v>
      </c>
      <c r="F85" s="138" t="str">
        <f>_xll.qlSimpleQuote(E85,,PriceTickValue,Permanent,Trigger,ObjectOverwrite)</f>
        <v>GBPIMMFRA6MV0_Quote#0000</v>
      </c>
      <c r="G85" s="101" t="str">
        <f>_xll.ohRangeRetrieveError(F85)</f>
        <v/>
      </c>
      <c r="H85" s="137"/>
    </row>
    <row r="86" spans="1:8" x14ac:dyDescent="0.2">
      <c r="A86" s="143"/>
      <c r="B86" s="142">
        <v>82</v>
      </c>
      <c r="C86" s="141" t="b">
        <v>0</v>
      </c>
      <c r="D86" s="140" t="str">
        <v>X0</v>
      </c>
      <c r="E86" s="139" t="str">
        <f t="shared" si="2"/>
        <v>GBPIMMFRA6MX0_Quote</v>
      </c>
      <c r="F86" s="138" t="str">
        <f>_xll.qlSimpleQuote(E86,,PriceTickValue,Permanent,Trigger,ObjectOverwrite)</f>
        <v>GBPIMMFRA6MX0_Quote#0000</v>
      </c>
      <c r="G86" s="101" t="str">
        <f>_xll.ohRangeRetrieveError(F86)</f>
        <v/>
      </c>
      <c r="H86" s="137"/>
    </row>
    <row r="87" spans="1:8" x14ac:dyDescent="0.2">
      <c r="A87" s="143"/>
      <c r="B87" s="142">
        <v>83</v>
      </c>
      <c r="C87" s="141" t="b">
        <v>0</v>
      </c>
      <c r="D87" s="140" t="str">
        <v>Z0</v>
      </c>
      <c r="E87" s="139" t="str">
        <f t="shared" si="2"/>
        <v>GBPIMMFRA6MZ0_Quote</v>
      </c>
      <c r="F87" s="138" t="str">
        <f>_xll.qlSimpleQuote(E87,,PriceTickValue,Permanent,Trigger,ObjectOverwrite)</f>
        <v>GBPIMMFRA6MZ0_Quote#0000</v>
      </c>
      <c r="G87" s="101" t="str">
        <f>_xll.ohRangeRetrieveError(F87)</f>
        <v/>
      </c>
      <c r="H87" s="137"/>
    </row>
    <row r="88" spans="1:8" x14ac:dyDescent="0.2">
      <c r="A88" s="143"/>
      <c r="B88" s="142">
        <v>84</v>
      </c>
      <c r="C88" s="141" t="b">
        <v>0</v>
      </c>
      <c r="D88" s="140" t="str">
        <v>F1</v>
      </c>
      <c r="E88" s="139" t="str">
        <f t="shared" si="2"/>
        <v>GBPIMMFRA6MF1_Quote</v>
      </c>
      <c r="F88" s="138" t="str">
        <f>_xll.qlSimpleQuote(E88,,PriceTickValue,Permanent,Trigger,ObjectOverwrite)</f>
        <v>GBPIMMFRA6MF1_Quote#0000</v>
      </c>
      <c r="G88" s="101" t="str">
        <f>_xll.ohRangeRetrieveError(F88)</f>
        <v/>
      </c>
      <c r="H88" s="137"/>
    </row>
    <row r="89" spans="1:8" x14ac:dyDescent="0.2">
      <c r="A89" s="143"/>
      <c r="B89" s="142">
        <v>85</v>
      </c>
      <c r="C89" s="141" t="b">
        <v>0</v>
      </c>
      <c r="D89" s="140" t="str">
        <v>G1</v>
      </c>
      <c r="E89" s="139" t="str">
        <f t="shared" si="2"/>
        <v>GBPIMMFRA6MG1_Quote</v>
      </c>
      <c r="F89" s="138" t="str">
        <f>_xll.qlSimpleQuote(E89,,PriceTickValue,Permanent,Trigger,ObjectOverwrite)</f>
        <v>GBPIMMFRA6MG1_Quote#0000</v>
      </c>
      <c r="G89" s="101" t="str">
        <f>_xll.ohRangeRetrieveError(F89)</f>
        <v/>
      </c>
      <c r="H89" s="137"/>
    </row>
    <row r="90" spans="1:8" x14ac:dyDescent="0.2">
      <c r="A90" s="143"/>
      <c r="B90" s="142">
        <v>86</v>
      </c>
      <c r="C90" s="141" t="b">
        <v>0</v>
      </c>
      <c r="D90" s="140" t="str">
        <v>H1</v>
      </c>
      <c r="E90" s="139" t="str">
        <f t="shared" si="2"/>
        <v>GBPIMMFRA6MH1_Quote</v>
      </c>
      <c r="F90" s="138" t="str">
        <f>_xll.qlSimpleQuote(E90,,PriceTickValue,Permanent,Trigger,ObjectOverwrite)</f>
        <v>GBPIMMFRA6MH1_Quote#0000</v>
      </c>
      <c r="G90" s="101" t="str">
        <f>_xll.ohRangeRetrieveError(F90)</f>
        <v/>
      </c>
      <c r="H90" s="137"/>
    </row>
    <row r="91" spans="1:8" x14ac:dyDescent="0.2">
      <c r="A91" s="143"/>
      <c r="B91" s="142">
        <v>87</v>
      </c>
      <c r="C91" s="141" t="b">
        <v>0</v>
      </c>
      <c r="D91" s="140" t="str">
        <v>J1</v>
      </c>
      <c r="E91" s="139" t="str">
        <f t="shared" si="2"/>
        <v>GBPIMMFRA6MJ1_Quote</v>
      </c>
      <c r="F91" s="138" t="str">
        <f>_xll.qlSimpleQuote(E91,,PriceTickValue,Permanent,Trigger,ObjectOverwrite)</f>
        <v>GBPIMMFRA6MJ1_Quote#0000</v>
      </c>
      <c r="G91" s="101" t="str">
        <f>_xll.ohRangeRetrieveError(F91)</f>
        <v/>
      </c>
      <c r="H91" s="137"/>
    </row>
    <row r="92" spans="1:8" x14ac:dyDescent="0.2">
      <c r="A92" s="143"/>
      <c r="B92" s="142">
        <v>88</v>
      </c>
      <c r="C92" s="141" t="b">
        <v>0</v>
      </c>
      <c r="D92" s="140" t="str">
        <v>K1</v>
      </c>
      <c r="E92" s="139" t="str">
        <f t="shared" si="2"/>
        <v>GBPIMMFRA6MK1_Quote</v>
      </c>
      <c r="F92" s="138" t="str">
        <f>_xll.qlSimpleQuote(E92,,PriceTickValue,Permanent,Trigger,ObjectOverwrite)</f>
        <v>GBPIMMFRA6MK1_Quote#0000</v>
      </c>
      <c r="G92" s="101" t="str">
        <f>_xll.ohRangeRetrieveError(F92)</f>
        <v/>
      </c>
      <c r="H92" s="137"/>
    </row>
    <row r="93" spans="1:8" x14ac:dyDescent="0.2">
      <c r="A93" s="143"/>
      <c r="B93" s="142">
        <v>89</v>
      </c>
      <c r="C93" s="141" t="b">
        <v>0</v>
      </c>
      <c r="D93" s="140" t="str">
        <v>M1</v>
      </c>
      <c r="E93" s="139" t="str">
        <f t="shared" si="2"/>
        <v>GBPIMMFRA6MM1_Quote</v>
      </c>
      <c r="F93" s="138" t="str">
        <f>_xll.qlSimpleQuote(E93,,PriceTickValue,Permanent,Trigger,ObjectOverwrite)</f>
        <v>GBPIMMFRA6MM1_Quote#0000</v>
      </c>
      <c r="G93" s="101" t="str">
        <f>_xll.ohRangeRetrieveError(F93)</f>
        <v/>
      </c>
      <c r="H93" s="137"/>
    </row>
    <row r="94" spans="1:8" x14ac:dyDescent="0.2">
      <c r="A94" s="143"/>
      <c r="B94" s="142">
        <v>90</v>
      </c>
      <c r="C94" s="141" t="b">
        <v>0</v>
      </c>
      <c r="D94" s="140" t="str">
        <v>N1</v>
      </c>
      <c r="E94" s="139" t="str">
        <f t="shared" si="2"/>
        <v>GBPIMMFRA6MN1_Quote</v>
      </c>
      <c r="F94" s="138" t="str">
        <f>_xll.qlSimpleQuote(E94,,PriceTickValue,Permanent,Trigger,ObjectOverwrite)</f>
        <v>GBPIMMFRA6MN1_Quote#0000</v>
      </c>
      <c r="G94" s="101" t="str">
        <f>_xll.ohRangeRetrieveError(F94)</f>
        <v/>
      </c>
      <c r="H94" s="137"/>
    </row>
    <row r="95" spans="1:8" x14ac:dyDescent="0.2">
      <c r="A95" s="143"/>
      <c r="B95" s="142">
        <v>91</v>
      </c>
      <c r="C95" s="141" t="b">
        <v>0</v>
      </c>
      <c r="D95" s="140" t="str">
        <v>Q1</v>
      </c>
      <c r="E95" s="139" t="str">
        <f t="shared" si="2"/>
        <v>GBPIMMFRA6MQ1_Quote</v>
      </c>
      <c r="F95" s="138" t="str">
        <f>_xll.qlSimpleQuote(E95,,PriceTickValue,Permanent,Trigger,ObjectOverwrite)</f>
        <v>GBPIMMFRA6MQ1_Quote#0000</v>
      </c>
      <c r="G95" s="101" t="str">
        <f>_xll.ohRangeRetrieveError(F95)</f>
        <v/>
      </c>
      <c r="H95" s="137"/>
    </row>
    <row r="96" spans="1:8" x14ac:dyDescent="0.2">
      <c r="A96" s="143"/>
      <c r="B96" s="142">
        <v>92</v>
      </c>
      <c r="C96" s="141" t="b">
        <v>0</v>
      </c>
      <c r="D96" s="140" t="str">
        <v>U1</v>
      </c>
      <c r="E96" s="139" t="str">
        <f t="shared" si="2"/>
        <v>GBPIMMFRA6MU1_Quote</v>
      </c>
      <c r="F96" s="138" t="str">
        <f>_xll.qlSimpleQuote(E96,,PriceTickValue,Permanent,Trigger,ObjectOverwrite)</f>
        <v>GBPIMMFRA6MU1_Quote#0000</v>
      </c>
      <c r="G96" s="101" t="str">
        <f>_xll.ohRangeRetrieveError(F96)</f>
        <v/>
      </c>
      <c r="H96" s="137"/>
    </row>
    <row r="97" spans="1:8" x14ac:dyDescent="0.2">
      <c r="A97" s="143"/>
      <c r="B97" s="142">
        <v>93</v>
      </c>
      <c r="C97" s="141" t="b">
        <v>0</v>
      </c>
      <c r="D97" s="140" t="str">
        <v>V1</v>
      </c>
      <c r="E97" s="139" t="str">
        <f t="shared" si="2"/>
        <v>GBPIMMFRA6MV1_Quote</v>
      </c>
      <c r="F97" s="138" t="str">
        <f>_xll.qlSimpleQuote(E97,,PriceTickValue,Permanent,Trigger,ObjectOverwrite)</f>
        <v>GBPIMMFRA6MV1_Quote#0000</v>
      </c>
      <c r="G97" s="101" t="str">
        <f>_xll.ohRangeRetrieveError(F97)</f>
        <v/>
      </c>
      <c r="H97" s="137"/>
    </row>
    <row r="98" spans="1:8" x14ac:dyDescent="0.2">
      <c r="A98" s="143"/>
      <c r="B98" s="142">
        <v>94</v>
      </c>
      <c r="C98" s="141" t="b">
        <v>0</v>
      </c>
      <c r="D98" s="140" t="str">
        <v>X1</v>
      </c>
      <c r="E98" s="139" t="str">
        <f t="shared" si="2"/>
        <v>GBPIMMFRA6MX1_Quote</v>
      </c>
      <c r="F98" s="138" t="str">
        <f>_xll.qlSimpleQuote(E98,,PriceTickValue,Permanent,Trigger,ObjectOverwrite)</f>
        <v>GBPIMMFRA6MX1_Quote#0000</v>
      </c>
      <c r="G98" s="101" t="str">
        <f>_xll.ohRangeRetrieveError(F98)</f>
        <v/>
      </c>
      <c r="H98" s="137"/>
    </row>
    <row r="99" spans="1:8" x14ac:dyDescent="0.2">
      <c r="A99" s="143"/>
      <c r="B99" s="142">
        <v>95</v>
      </c>
      <c r="C99" s="141" t="b">
        <v>0</v>
      </c>
      <c r="D99" s="140" t="str">
        <v>Z1</v>
      </c>
      <c r="E99" s="139" t="str">
        <f t="shared" si="2"/>
        <v>GBPIMMFRA6MZ1_Quote</v>
      </c>
      <c r="F99" s="138" t="str">
        <f>_xll.qlSimpleQuote(E99,,PriceTickValue,Permanent,Trigger,ObjectOverwrite)</f>
        <v>GBPIMMFRA6MZ1_Quote#0000</v>
      </c>
      <c r="G99" s="101" t="str">
        <f>_xll.ohRangeRetrieveError(F99)</f>
        <v/>
      </c>
      <c r="H99" s="137"/>
    </row>
    <row r="100" spans="1:8" x14ac:dyDescent="0.2">
      <c r="A100" s="143"/>
      <c r="B100" s="142">
        <v>96</v>
      </c>
      <c r="C100" s="141" t="b">
        <v>0</v>
      </c>
      <c r="D100" s="140" t="str">
        <v>F2</v>
      </c>
      <c r="E100" s="139" t="str">
        <f t="shared" si="2"/>
        <v>GBPIMMFRA6MF2_Quote</v>
      </c>
      <c r="F100" s="138" t="str">
        <f>_xll.qlSimpleQuote(E100,,PriceTickValue,Permanent,Trigger,ObjectOverwrite)</f>
        <v>GBPIMMFRA6MF2_Quote#0000</v>
      </c>
      <c r="G100" s="101" t="str">
        <f>_xll.ohRangeRetrieveError(F100)</f>
        <v/>
      </c>
      <c r="H100" s="137"/>
    </row>
    <row r="101" spans="1:8" x14ac:dyDescent="0.2">
      <c r="A101" s="143"/>
      <c r="B101" s="142">
        <v>97</v>
      </c>
      <c r="C101" s="141" t="b">
        <v>0</v>
      </c>
      <c r="D101" s="140" t="str">
        <v>G2</v>
      </c>
      <c r="E101" s="139" t="str">
        <f t="shared" ref="E101:E124" si="3">Currency&amp;$D$3&amp;$E$3&amp;$D101&amp;QuoteSuffix</f>
        <v>GBPIMMFRA6MG2_Quote</v>
      </c>
      <c r="F101" s="138" t="str">
        <f>_xll.qlSimpleQuote(E101,,PriceTickValue,Permanent,Trigger,ObjectOverwrite)</f>
        <v>GBPIMMFRA6MG2_Quote#0000</v>
      </c>
      <c r="G101" s="101" t="str">
        <f>_xll.ohRangeRetrieveError(F101)</f>
        <v/>
      </c>
      <c r="H101" s="137"/>
    </row>
    <row r="102" spans="1:8" x14ac:dyDescent="0.2">
      <c r="A102" s="143"/>
      <c r="B102" s="142">
        <v>98</v>
      </c>
      <c r="C102" s="141" t="b">
        <v>0</v>
      </c>
      <c r="D102" s="140" t="str">
        <v>H2</v>
      </c>
      <c r="E102" s="139" t="str">
        <f t="shared" si="3"/>
        <v>GBPIMMFRA6MH2_Quote</v>
      </c>
      <c r="F102" s="138" t="str">
        <f>_xll.qlSimpleQuote(E102,,PriceTickValue,Permanent,Trigger,ObjectOverwrite)</f>
        <v>GBPIMMFRA6MH2_Quote#0000</v>
      </c>
      <c r="G102" s="101" t="str">
        <f>_xll.ohRangeRetrieveError(F102)</f>
        <v/>
      </c>
      <c r="H102" s="137"/>
    </row>
    <row r="103" spans="1:8" x14ac:dyDescent="0.2">
      <c r="A103" s="143"/>
      <c r="B103" s="142">
        <v>99</v>
      </c>
      <c r="C103" s="141" t="b">
        <v>0</v>
      </c>
      <c r="D103" s="140" t="str">
        <v>J2</v>
      </c>
      <c r="E103" s="139" t="str">
        <f t="shared" si="3"/>
        <v>GBPIMMFRA6MJ2_Quote</v>
      </c>
      <c r="F103" s="138" t="str">
        <f>_xll.qlSimpleQuote(E103,,PriceTickValue,Permanent,Trigger,ObjectOverwrite)</f>
        <v>GBPIMMFRA6MJ2_Quote#0000</v>
      </c>
      <c r="G103" s="101" t="str">
        <f>_xll.ohRangeRetrieveError(F103)</f>
        <v/>
      </c>
      <c r="H103" s="137"/>
    </row>
    <row r="104" spans="1:8" x14ac:dyDescent="0.2">
      <c r="A104" s="143"/>
      <c r="B104" s="142">
        <v>100</v>
      </c>
      <c r="C104" s="141" t="b">
        <v>0</v>
      </c>
      <c r="D104" s="140" t="str">
        <v>K2</v>
      </c>
      <c r="E104" s="139" t="str">
        <f t="shared" si="3"/>
        <v>GBPIMMFRA6MK2_Quote</v>
      </c>
      <c r="F104" s="138" t="str">
        <f>_xll.qlSimpleQuote(E104,,PriceTickValue,Permanent,Trigger,ObjectOverwrite)</f>
        <v>GBPIMMFRA6MK2_Quote#0000</v>
      </c>
      <c r="G104" s="101" t="str">
        <f>_xll.ohRangeRetrieveError(F104)</f>
        <v/>
      </c>
      <c r="H104" s="137"/>
    </row>
    <row r="105" spans="1:8" x14ac:dyDescent="0.2">
      <c r="A105" s="143"/>
      <c r="B105" s="142">
        <v>101</v>
      </c>
      <c r="C105" s="141" t="b">
        <v>0</v>
      </c>
      <c r="D105" s="140" t="str">
        <v>M2</v>
      </c>
      <c r="E105" s="139" t="str">
        <f t="shared" si="3"/>
        <v>GBPIMMFRA6MM2_Quote</v>
      </c>
      <c r="F105" s="138" t="str">
        <f>_xll.qlSimpleQuote(E105,,PriceTickValue,Permanent,Trigger,ObjectOverwrite)</f>
        <v>GBPIMMFRA6MM2_Quote#0000</v>
      </c>
      <c r="G105" s="101" t="str">
        <f>_xll.ohRangeRetrieveError(F105)</f>
        <v/>
      </c>
      <c r="H105" s="137"/>
    </row>
    <row r="106" spans="1:8" x14ac:dyDescent="0.2">
      <c r="A106" s="143"/>
      <c r="B106" s="142">
        <v>102</v>
      </c>
      <c r="C106" s="141" t="b">
        <v>0</v>
      </c>
      <c r="D106" s="140" t="str">
        <v>N2</v>
      </c>
      <c r="E106" s="139" t="str">
        <f t="shared" si="3"/>
        <v>GBPIMMFRA6MN2_Quote</v>
      </c>
      <c r="F106" s="138" t="str">
        <f>_xll.qlSimpleQuote(E106,,PriceTickValue,Permanent,Trigger,ObjectOverwrite)</f>
        <v>GBPIMMFRA6MN2_Quote#0000</v>
      </c>
      <c r="G106" s="101" t="str">
        <f>_xll.ohRangeRetrieveError(F106)</f>
        <v/>
      </c>
      <c r="H106" s="137"/>
    </row>
    <row r="107" spans="1:8" x14ac:dyDescent="0.2">
      <c r="A107" s="143"/>
      <c r="B107" s="142">
        <v>103</v>
      </c>
      <c r="C107" s="141" t="b">
        <v>0</v>
      </c>
      <c r="D107" s="140" t="str">
        <v>Q2</v>
      </c>
      <c r="E107" s="139" t="str">
        <f t="shared" si="3"/>
        <v>GBPIMMFRA6MQ2_Quote</v>
      </c>
      <c r="F107" s="138" t="str">
        <f>_xll.qlSimpleQuote(E107,,PriceTickValue,Permanent,Trigger,ObjectOverwrite)</f>
        <v>GBPIMMFRA6MQ2_Quote#0000</v>
      </c>
      <c r="G107" s="101" t="str">
        <f>_xll.ohRangeRetrieveError(F107)</f>
        <v/>
      </c>
      <c r="H107" s="137"/>
    </row>
    <row r="108" spans="1:8" x14ac:dyDescent="0.2">
      <c r="A108" s="143"/>
      <c r="B108" s="142">
        <v>104</v>
      </c>
      <c r="C108" s="141" t="b">
        <v>0</v>
      </c>
      <c r="D108" s="140" t="str">
        <v>U2</v>
      </c>
      <c r="E108" s="139" t="str">
        <f t="shared" si="3"/>
        <v>GBPIMMFRA6MU2_Quote</v>
      </c>
      <c r="F108" s="138" t="str">
        <f>_xll.qlSimpleQuote(E108,,PriceTickValue,Permanent,Trigger,ObjectOverwrite)</f>
        <v>GBPIMMFRA6MU2_Quote#0000</v>
      </c>
      <c r="G108" s="101" t="str">
        <f>_xll.ohRangeRetrieveError(F108)</f>
        <v/>
      </c>
      <c r="H108" s="137"/>
    </row>
    <row r="109" spans="1:8" x14ac:dyDescent="0.2">
      <c r="A109" s="143"/>
      <c r="B109" s="142">
        <v>105</v>
      </c>
      <c r="C109" s="141" t="b">
        <v>0</v>
      </c>
      <c r="D109" s="140" t="str">
        <v>V2</v>
      </c>
      <c r="E109" s="139" t="str">
        <f t="shared" si="3"/>
        <v>GBPIMMFRA6MV2_Quote</v>
      </c>
      <c r="F109" s="138" t="str">
        <f>_xll.qlSimpleQuote(E109,,PriceTickValue,Permanent,Trigger,ObjectOverwrite)</f>
        <v>GBPIMMFRA6MV2_Quote#0000</v>
      </c>
      <c r="G109" s="101" t="str">
        <f>_xll.ohRangeRetrieveError(F109)</f>
        <v/>
      </c>
      <c r="H109" s="137"/>
    </row>
    <row r="110" spans="1:8" x14ac:dyDescent="0.2">
      <c r="A110" s="143"/>
      <c r="B110" s="142">
        <v>106</v>
      </c>
      <c r="C110" s="141" t="b">
        <v>0</v>
      </c>
      <c r="D110" s="140" t="str">
        <v>X2</v>
      </c>
      <c r="E110" s="139" t="str">
        <f t="shared" si="3"/>
        <v>GBPIMMFRA6MX2_Quote</v>
      </c>
      <c r="F110" s="138" t="str">
        <f>_xll.qlSimpleQuote(E110,,PriceTickValue,Permanent,Trigger,ObjectOverwrite)</f>
        <v>GBPIMMFRA6MX2_Quote#0000</v>
      </c>
      <c r="G110" s="101" t="str">
        <f>_xll.ohRangeRetrieveError(F110)</f>
        <v/>
      </c>
      <c r="H110" s="137"/>
    </row>
    <row r="111" spans="1:8" x14ac:dyDescent="0.2">
      <c r="A111" s="143"/>
      <c r="B111" s="142">
        <v>107</v>
      </c>
      <c r="C111" s="141" t="b">
        <v>0</v>
      </c>
      <c r="D111" s="140" t="str">
        <v>Z2</v>
      </c>
      <c r="E111" s="139" t="str">
        <f t="shared" si="3"/>
        <v>GBPIMMFRA6MZ2_Quote</v>
      </c>
      <c r="F111" s="138" t="str">
        <f>_xll.qlSimpleQuote(E111,,PriceTickValue,Permanent,Trigger,ObjectOverwrite)</f>
        <v>GBPIMMFRA6MZ2_Quote#0000</v>
      </c>
      <c r="G111" s="101" t="str">
        <f>_xll.ohRangeRetrieveError(F111)</f>
        <v/>
      </c>
      <c r="H111" s="137"/>
    </row>
    <row r="112" spans="1:8" x14ac:dyDescent="0.2">
      <c r="A112" s="143"/>
      <c r="B112" s="142">
        <v>108</v>
      </c>
      <c r="C112" s="141" t="b">
        <v>0</v>
      </c>
      <c r="D112" s="140" t="str">
        <v>F3</v>
      </c>
      <c r="E112" s="139" t="str">
        <f t="shared" si="3"/>
        <v>GBPIMMFRA6MF3_Quote</v>
      </c>
      <c r="F112" s="138" t="str">
        <f>_xll.qlSimpleQuote(E112,,PriceTickValue,Permanent,Trigger,ObjectOverwrite)</f>
        <v>GBPIMMFRA6MF3_Quote#0000</v>
      </c>
      <c r="G112" s="101" t="str">
        <f>_xll.ohRangeRetrieveError(F112)</f>
        <v/>
      </c>
      <c r="H112" s="137"/>
    </row>
    <row r="113" spans="1:8" x14ac:dyDescent="0.2">
      <c r="A113" s="143"/>
      <c r="B113" s="142">
        <v>109</v>
      </c>
      <c r="C113" s="141" t="b">
        <v>0</v>
      </c>
      <c r="D113" s="140" t="str">
        <v>G3</v>
      </c>
      <c r="E113" s="139" t="str">
        <f t="shared" si="3"/>
        <v>GBPIMMFRA6MG3_Quote</v>
      </c>
      <c r="F113" s="138" t="str">
        <f>_xll.qlSimpleQuote(E113,,PriceTickValue,Permanent,Trigger,ObjectOverwrite)</f>
        <v>GBPIMMFRA6MG3_Quote#0000</v>
      </c>
      <c r="G113" s="101" t="str">
        <f>_xll.ohRangeRetrieveError(F113)</f>
        <v/>
      </c>
      <c r="H113" s="137"/>
    </row>
    <row r="114" spans="1:8" x14ac:dyDescent="0.2">
      <c r="A114" s="143"/>
      <c r="B114" s="142">
        <v>110</v>
      </c>
      <c r="C114" s="141" t="b">
        <v>0</v>
      </c>
      <c r="D114" s="140" t="str">
        <v>H3</v>
      </c>
      <c r="E114" s="139" t="str">
        <f t="shared" si="3"/>
        <v>GBPIMMFRA6MH3_Quote</v>
      </c>
      <c r="F114" s="138" t="str">
        <f>_xll.qlSimpleQuote(E114,,PriceTickValue,Permanent,Trigger,ObjectOverwrite)</f>
        <v>GBPIMMFRA6MH3_Quote#0000</v>
      </c>
      <c r="G114" s="101" t="str">
        <f>_xll.ohRangeRetrieveError(F114)</f>
        <v/>
      </c>
      <c r="H114" s="137"/>
    </row>
    <row r="115" spans="1:8" x14ac:dyDescent="0.2">
      <c r="A115" s="143"/>
      <c r="B115" s="142">
        <v>111</v>
      </c>
      <c r="C115" s="141" t="b">
        <v>0</v>
      </c>
      <c r="D115" s="140" t="str">
        <v>J3</v>
      </c>
      <c r="E115" s="139" t="str">
        <f t="shared" si="3"/>
        <v>GBPIMMFRA6MJ3_Quote</v>
      </c>
      <c r="F115" s="138" t="str">
        <f>_xll.qlSimpleQuote(E115,,PriceTickValue,Permanent,Trigger,ObjectOverwrite)</f>
        <v>GBPIMMFRA6MJ3_Quote#0000</v>
      </c>
      <c r="G115" s="101" t="str">
        <f>_xll.ohRangeRetrieveError(F115)</f>
        <v/>
      </c>
      <c r="H115" s="137"/>
    </row>
    <row r="116" spans="1:8" x14ac:dyDescent="0.2">
      <c r="A116" s="143"/>
      <c r="B116" s="142">
        <v>112</v>
      </c>
      <c r="C116" s="141" t="b">
        <v>0</v>
      </c>
      <c r="D116" s="140" t="str">
        <v>K3</v>
      </c>
      <c r="E116" s="139" t="str">
        <f t="shared" si="3"/>
        <v>GBPIMMFRA6MK3_Quote</v>
      </c>
      <c r="F116" s="138" t="str">
        <f>_xll.qlSimpleQuote(E116,,PriceTickValue,Permanent,Trigger,ObjectOverwrite)</f>
        <v>GBPIMMFRA6MK3_Quote#0000</v>
      </c>
      <c r="G116" s="101" t="str">
        <f>_xll.ohRangeRetrieveError(F116)</f>
        <v/>
      </c>
      <c r="H116" s="137"/>
    </row>
    <row r="117" spans="1:8" x14ac:dyDescent="0.2">
      <c r="A117" s="143"/>
      <c r="B117" s="142">
        <v>113</v>
      </c>
      <c r="C117" s="141" t="b">
        <v>0</v>
      </c>
      <c r="D117" s="140" t="str">
        <v>M3</v>
      </c>
      <c r="E117" s="139" t="str">
        <f t="shared" si="3"/>
        <v>GBPIMMFRA6MM3_Quote</v>
      </c>
      <c r="F117" s="138" t="str">
        <f>_xll.qlSimpleQuote(E117,,PriceTickValue,Permanent,Trigger,ObjectOverwrite)</f>
        <v>GBPIMMFRA6MM3_Quote#0000</v>
      </c>
      <c r="G117" s="101" t="str">
        <f>_xll.ohRangeRetrieveError(F117)</f>
        <v/>
      </c>
      <c r="H117" s="137"/>
    </row>
    <row r="118" spans="1:8" x14ac:dyDescent="0.2">
      <c r="A118" s="143"/>
      <c r="B118" s="142">
        <v>114</v>
      </c>
      <c r="C118" s="141" t="b">
        <v>0</v>
      </c>
      <c r="D118" s="140" t="str">
        <v>N3</v>
      </c>
      <c r="E118" s="139" t="str">
        <f t="shared" si="3"/>
        <v>GBPIMMFRA6MN3_Quote</v>
      </c>
      <c r="F118" s="138" t="str">
        <f>_xll.qlSimpleQuote(E118,,PriceTickValue,Permanent,Trigger,ObjectOverwrite)</f>
        <v>GBPIMMFRA6MN3_Quote#0000</v>
      </c>
      <c r="G118" s="101" t="str">
        <f>_xll.ohRangeRetrieveError(F118)</f>
        <v/>
      </c>
      <c r="H118" s="137"/>
    </row>
    <row r="119" spans="1:8" x14ac:dyDescent="0.2">
      <c r="A119" s="143"/>
      <c r="B119" s="142">
        <v>115</v>
      </c>
      <c r="C119" s="141" t="b">
        <v>0</v>
      </c>
      <c r="D119" s="140" t="str">
        <v>Q3</v>
      </c>
      <c r="E119" s="139" t="str">
        <f t="shared" si="3"/>
        <v>GBPIMMFRA6MQ3_Quote</v>
      </c>
      <c r="F119" s="138" t="str">
        <f>_xll.qlSimpleQuote(E119,,PriceTickValue,Permanent,Trigger,ObjectOverwrite)</f>
        <v>GBPIMMFRA6MQ3_Quote#0000</v>
      </c>
      <c r="G119" s="101" t="str">
        <f>_xll.ohRangeRetrieveError(F119)</f>
        <v/>
      </c>
      <c r="H119" s="137"/>
    </row>
    <row r="120" spans="1:8" x14ac:dyDescent="0.2">
      <c r="A120" s="143"/>
      <c r="B120" s="142">
        <v>116</v>
      </c>
      <c r="C120" s="141" t="b">
        <v>0</v>
      </c>
      <c r="D120" s="140" t="str">
        <v>U3</v>
      </c>
      <c r="E120" s="139" t="str">
        <f t="shared" si="3"/>
        <v>GBPIMMFRA6MU3_Quote</v>
      </c>
      <c r="F120" s="138" t="str">
        <f>_xll.qlSimpleQuote(E120,,PriceTickValue,Permanent,Trigger,ObjectOverwrite)</f>
        <v>GBPIMMFRA6MU3_Quote#0000</v>
      </c>
      <c r="G120" s="101" t="str">
        <f>_xll.ohRangeRetrieveError(F120)</f>
        <v/>
      </c>
      <c r="H120" s="137"/>
    </row>
    <row r="121" spans="1:8" x14ac:dyDescent="0.2">
      <c r="A121" s="143"/>
      <c r="B121" s="142">
        <v>117</v>
      </c>
      <c r="C121" s="141" t="b">
        <v>0</v>
      </c>
      <c r="D121" s="140" t="str">
        <v>V3</v>
      </c>
      <c r="E121" s="139" t="str">
        <f t="shared" si="3"/>
        <v>GBPIMMFRA6MV3_Quote</v>
      </c>
      <c r="F121" s="138" t="str">
        <f>_xll.qlSimpleQuote(E121,,PriceTickValue,Permanent,Trigger,ObjectOverwrite)</f>
        <v>GBPIMMFRA6MV3_Quote#0000</v>
      </c>
      <c r="G121" s="101" t="str">
        <f>_xll.ohRangeRetrieveError(F121)</f>
        <v/>
      </c>
      <c r="H121" s="137"/>
    </row>
    <row r="122" spans="1:8" x14ac:dyDescent="0.2">
      <c r="A122" s="143"/>
      <c r="B122" s="142">
        <v>118</v>
      </c>
      <c r="C122" s="141" t="b">
        <v>0</v>
      </c>
      <c r="D122" s="140" t="str">
        <v>X3</v>
      </c>
      <c r="E122" s="139" t="str">
        <f t="shared" si="3"/>
        <v>GBPIMMFRA6MX3_Quote</v>
      </c>
      <c r="F122" s="138" t="str">
        <f>_xll.qlSimpleQuote(E122,,PriceTickValue,Permanent,Trigger,ObjectOverwrite)</f>
        <v>GBPIMMFRA6MX3_Quote#0000</v>
      </c>
      <c r="G122" s="101" t="str">
        <f>_xll.ohRangeRetrieveError(F122)</f>
        <v/>
      </c>
      <c r="H122" s="137"/>
    </row>
    <row r="123" spans="1:8" x14ac:dyDescent="0.2">
      <c r="A123" s="143"/>
      <c r="B123" s="142">
        <v>119</v>
      </c>
      <c r="C123" s="141" t="b">
        <v>0</v>
      </c>
      <c r="D123" s="140" t="str">
        <v>Z3</v>
      </c>
      <c r="E123" s="139" t="str">
        <f t="shared" si="3"/>
        <v>GBPIMMFRA6MZ3_Quote</v>
      </c>
      <c r="F123" s="138" t="str">
        <f>_xll.qlSimpleQuote(E123,,PriceTickValue,Permanent,Trigger,ObjectOverwrite)</f>
        <v>GBPIMMFRA6MZ3_Quote#0000</v>
      </c>
      <c r="G123" s="101" t="str">
        <f>_xll.ohRangeRetrieveError(F123)</f>
        <v/>
      </c>
      <c r="H123" s="137"/>
    </row>
    <row r="124" spans="1:8" x14ac:dyDescent="0.2">
      <c r="A124" s="143"/>
      <c r="B124" s="142">
        <v>120</v>
      </c>
      <c r="C124" s="141" t="b">
        <v>0</v>
      </c>
      <c r="D124" s="140" t="str">
        <v>F4</v>
      </c>
      <c r="E124" s="139" t="str">
        <f t="shared" si="3"/>
        <v>GBPIMMFRA6MF4_Quote</v>
      </c>
      <c r="F124" s="138" t="str">
        <f>_xll.qlSimpleQuote(E124,,PriceTickValue,Permanent,Trigger,ObjectOverwrite)</f>
        <v>GBPIMMFRA6MF4_Quote#0000</v>
      </c>
      <c r="G124" s="101" t="str">
        <f>_xll.ohRangeRetrieveError(F124)</f>
        <v/>
      </c>
      <c r="H124" s="137"/>
    </row>
    <row r="125" spans="1:8" ht="12" thickBot="1" x14ac:dyDescent="0.25">
      <c r="A125" s="136"/>
      <c r="B125" s="135"/>
      <c r="C125" s="135"/>
      <c r="D125" s="135"/>
      <c r="E125" s="135"/>
      <c r="F125" s="135"/>
      <c r="G125" s="135"/>
      <c r="H125" s="134"/>
    </row>
  </sheetData>
  <conditionalFormatting sqref="Z6:Z9">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8" width="14.28515625" style="65" bestFit="1" customWidth="1"/>
    <col min="9" max="9" width="9.140625" style="65"/>
    <col min="10" max="10" width="2.7109375" style="65" customWidth="1"/>
    <col min="11" max="11" width="11.7109375" style="65" bestFit="1" customWidth="1"/>
    <col min="12" max="12" width="9.140625" style="65"/>
    <col min="13" max="13" width="2.7109375" style="65" customWidth="1"/>
    <col min="14" max="14" width="9.140625" style="65"/>
    <col min="15" max="15" width="2.7109375" style="65" customWidth="1"/>
    <col min="16" max="17" width="9.140625" style="65"/>
    <col min="18" max="19" width="2.7109375" style="65" customWidth="1"/>
    <col min="20" max="16384" width="9.140625" style="65"/>
  </cols>
  <sheetData>
    <row r="1" spans="1:22" x14ac:dyDescent="0.2">
      <c r="G1" s="154" t="s">
        <v>351</v>
      </c>
      <c r="H1" s="224"/>
      <c r="I1" s="224"/>
      <c r="J1" s="224"/>
      <c r="K1" s="224"/>
      <c r="L1" s="224"/>
      <c r="M1" s="224"/>
      <c r="N1" s="224"/>
      <c r="O1" s="224"/>
      <c r="P1" s="224"/>
      <c r="Q1" s="224"/>
      <c r="R1" s="223"/>
    </row>
    <row r="2" spans="1:22" ht="12" thickBot="1" x14ac:dyDescent="0.25">
      <c r="G2" s="149"/>
      <c r="H2" s="140" t="s">
        <v>275</v>
      </c>
      <c r="I2" s="233"/>
      <c r="J2" s="233"/>
      <c r="K2" s="233"/>
      <c r="L2" s="233"/>
      <c r="M2" s="233"/>
      <c r="N2" s="233"/>
      <c r="O2" s="233"/>
      <c r="P2" s="233"/>
      <c r="Q2" s="233"/>
      <c r="R2" s="137"/>
    </row>
    <row r="3" spans="1:22" x14ac:dyDescent="0.2">
      <c r="A3" s="154" t="s">
        <v>344</v>
      </c>
      <c r="B3" s="224"/>
      <c r="C3" s="224"/>
      <c r="D3" s="224"/>
      <c r="E3" s="223"/>
      <c r="G3" s="149"/>
      <c r="H3" s="233"/>
      <c r="I3" s="233"/>
      <c r="J3" s="233"/>
      <c r="K3" s="233"/>
      <c r="L3" s="233"/>
      <c r="M3" s="233"/>
      <c r="N3" s="233"/>
      <c r="O3" s="233"/>
      <c r="P3" s="233"/>
      <c r="Q3" s="442">
        <f>_xll.ohTrigger(Q5:Q9)</f>
        <v>1</v>
      </c>
      <c r="R3" s="137"/>
      <c r="U3" s="65" t="s">
        <v>83</v>
      </c>
    </row>
    <row r="4" spans="1:22" ht="13.5" thickBot="1" x14ac:dyDescent="0.25">
      <c r="A4" s="149"/>
      <c r="B4" s="18" t="str">
        <f>Currency&amp;"_010_"&amp;"FuturesHWConvAdj.xml"</f>
        <v>GBP_010_FuturesHWConvAdj.xml</v>
      </c>
      <c r="C4" s="16">
        <f ca="1">IF(Serialize,_xll.ohObjectSave(C5:C6,SerializationPath&amp;B4,FileOverwrite,Serialize),"---")</f>
        <v>2</v>
      </c>
      <c r="D4" s="101" t="str">
        <f ca="1">_xll.ohRangeRetrieveError(C4)</f>
        <v/>
      </c>
      <c r="E4" s="137"/>
      <c r="G4" s="149"/>
      <c r="H4" s="469" t="e">
        <f ca="1">_xll.RData(H5,I4,"RTFEED:IDN",ReutersRtMode,,I5)</f>
        <v>#NAME?</v>
      </c>
      <c r="I4" s="470" t="s">
        <v>291</v>
      </c>
      <c r="J4" s="460"/>
      <c r="K4" s="664" t="s">
        <v>309</v>
      </c>
      <c r="L4" s="665"/>
      <c r="M4" s="460"/>
      <c r="N4" s="363" t="s">
        <v>286</v>
      </c>
      <c r="O4" s="458"/>
      <c r="P4" s="624" t="s">
        <v>285</v>
      </c>
      <c r="Q4" s="364" t="s">
        <v>284</v>
      </c>
      <c r="R4" s="137"/>
    </row>
    <row r="5" spans="1:22" x14ac:dyDescent="0.2">
      <c r="A5" s="149"/>
      <c r="B5" s="155" t="str">
        <f>Currency&amp;"HW_Volatility"&amp;QuoteSuffix</f>
        <v>GBPHW_Volatility_Quote</v>
      </c>
      <c r="C5" s="155" t="str">
        <f>_xll.qlSimpleQuote(B5,,,Permanent,Trigger,ObjectOverwrite)</f>
        <v>GBPHW_Volatility_Quote#0000</v>
      </c>
      <c r="D5" s="101" t="str">
        <f>_xll.ohRangeRetrieveError(C5)</f>
        <v/>
      </c>
      <c r="E5" s="137"/>
      <c r="G5" s="149"/>
      <c r="H5" s="468" t="str">
        <f>VLOOKUP(Currency,$T$5:$V$9,2)&amp;U3&amp;VLOOKUP(Currency,$T$5:$V$9,3)&amp;"ATM="&amp;VLOOKUP(Contributor,ContributorTable,2,FALSE)</f>
        <v>GB4Y3LATM=ICAP</v>
      </c>
      <c r="I5" s="467">
        <v>66.069999999999993</v>
      </c>
      <c r="J5" s="460"/>
      <c r="K5" s="357" t="s">
        <v>308</v>
      </c>
      <c r="L5" s="465">
        <f>I5/100*IF(ISNUMBER(Swap3M4Y),Swap3M4Y/100,Swap6M4Y/100)</f>
        <v>5.5829149999999991E-3</v>
      </c>
      <c r="M5" s="460"/>
      <c r="N5" s="466">
        <v>5.7561399999999999E-3</v>
      </c>
      <c r="O5" s="458"/>
      <c r="P5" s="647">
        <f t="array" ref="P5:P6">QuoteStatic</f>
        <v>5.7561399999999999E-3</v>
      </c>
      <c r="Q5" s="465" t="e">
        <f>_xll.qlSimpleQuoteSetValue(C5,P5,Trigger)</f>
        <v>#N/A</v>
      </c>
      <c r="R5" s="137"/>
      <c r="T5" s="464" t="s">
        <v>121</v>
      </c>
      <c r="U5" s="151" t="s">
        <v>307</v>
      </c>
      <c r="V5" s="463" t="s">
        <v>116</v>
      </c>
    </row>
    <row r="6" spans="1:22" x14ac:dyDescent="0.2">
      <c r="A6" s="149"/>
      <c r="B6" s="155" t="str">
        <f>Currency&amp;"HW_MeanReversion"&amp;QuoteSuffix</f>
        <v>GBPHW_MeanReversion_Quote</v>
      </c>
      <c r="C6" s="155" t="str">
        <f>_xll.qlSimpleQuote(B6,,,Permanent,Trigger,ObjectOverwrite)</f>
        <v>GBPHW_MeanReversion_Quote#0000</v>
      </c>
      <c r="D6" s="101" t="str">
        <f>_xll.ohRangeRetrieveError(C6)</f>
        <v/>
      </c>
      <c r="E6" s="137"/>
      <c r="G6" s="149"/>
      <c r="H6" s="457"/>
      <c r="I6" s="462"/>
      <c r="J6" s="460"/>
      <c r="K6" s="461" t="s">
        <v>306</v>
      </c>
      <c r="L6" s="456">
        <v>0.03</v>
      </c>
      <c r="M6" s="460"/>
      <c r="N6" s="459">
        <v>0.03</v>
      </c>
      <c r="O6" s="458"/>
      <c r="P6" s="648">
        <v>0.03</v>
      </c>
      <c r="Q6" s="456" t="e">
        <f>_xll.qlSimpleQuoteSetValue(C6,P6,Trigger)</f>
        <v>#N/A</v>
      </c>
      <c r="R6" s="137"/>
      <c r="T6" s="423" t="s">
        <v>120</v>
      </c>
      <c r="U6" s="455" t="s">
        <v>305</v>
      </c>
      <c r="V6" s="454" t="s">
        <v>116</v>
      </c>
    </row>
    <row r="7" spans="1:22" ht="12" thickBot="1" x14ac:dyDescent="0.25">
      <c r="A7" s="232"/>
      <c r="B7" s="135"/>
      <c r="C7" s="135"/>
      <c r="D7" s="135"/>
      <c r="E7" s="134"/>
      <c r="G7" s="232"/>
      <c r="H7" s="135"/>
      <c r="I7" s="135"/>
      <c r="J7" s="135"/>
      <c r="K7" s="135"/>
      <c r="L7" s="135"/>
      <c r="M7" s="135"/>
      <c r="N7" s="135"/>
      <c r="O7" s="135"/>
      <c r="P7" s="135"/>
      <c r="Q7" s="135"/>
      <c r="R7" s="134"/>
      <c r="T7" s="423" t="s">
        <v>96</v>
      </c>
      <c r="U7" s="455" t="s">
        <v>304</v>
      </c>
      <c r="V7" s="454" t="s">
        <v>114</v>
      </c>
    </row>
    <row r="8" spans="1:22" x14ac:dyDescent="0.2">
      <c r="T8" s="423" t="s">
        <v>117</v>
      </c>
      <c r="U8" s="455" t="s">
        <v>303</v>
      </c>
      <c r="V8" s="454" t="s">
        <v>116</v>
      </c>
    </row>
    <row r="9" spans="1:22" ht="12" thickBot="1" x14ac:dyDescent="0.25">
      <c r="T9" s="421" t="s">
        <v>115</v>
      </c>
      <c r="U9" s="453" t="s">
        <v>302</v>
      </c>
      <c r="V9" s="452"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2.7109375" style="156" customWidth="1"/>
    <col min="2" max="2" width="6.140625" style="156" bestFit="1" customWidth="1"/>
    <col min="3" max="3" width="6" style="156" bestFit="1" customWidth="1"/>
    <col min="4" max="4" width="4" style="156" bestFit="1" customWidth="1"/>
    <col min="5" max="5" width="21.42578125" style="156" bestFit="1" customWidth="1"/>
    <col min="6" max="6" width="26.5703125" style="157" bestFit="1" customWidth="1"/>
    <col min="7" max="7" width="38.28515625" style="156" customWidth="1"/>
    <col min="8" max="10" width="2.7109375" style="156" customWidth="1"/>
    <col min="11" max="18" width="9.140625" style="156"/>
    <col min="19" max="19" width="10" style="156" customWidth="1"/>
    <col min="20" max="20" width="9.140625" style="156"/>
    <col min="21" max="21" width="2.7109375" style="156" customWidth="1"/>
    <col min="22" max="22" width="9.140625" style="156"/>
    <col min="23" max="23" width="2.7109375" style="156" customWidth="1"/>
    <col min="24" max="25" width="9.140625" style="156"/>
    <col min="26" max="26" width="2.7109375" style="156" customWidth="1"/>
    <col min="27" max="16384" width="9.140625" style="156"/>
  </cols>
  <sheetData>
    <row r="1" spans="1:26" x14ac:dyDescent="0.25">
      <c r="A1" s="558" t="s">
        <v>346</v>
      </c>
      <c r="B1" s="185"/>
      <c r="C1" s="185"/>
      <c r="D1" s="185"/>
      <c r="E1" s="183"/>
      <c r="F1" s="184"/>
      <c r="G1" s="183"/>
      <c r="H1" s="182"/>
      <c r="J1" s="401" t="s">
        <v>351</v>
      </c>
      <c r="K1" s="196"/>
      <c r="L1" s="196"/>
      <c r="M1" s="196"/>
      <c r="N1" s="196"/>
      <c r="O1" s="196"/>
      <c r="P1" s="196"/>
      <c r="Q1" s="196"/>
      <c r="R1" s="196"/>
      <c r="S1" s="196"/>
      <c r="T1" s="196"/>
      <c r="U1" s="196"/>
      <c r="V1" s="196"/>
      <c r="W1" s="196"/>
      <c r="X1" s="196"/>
      <c r="Y1" s="196"/>
      <c r="Z1" s="193"/>
    </row>
    <row r="2" spans="1:26" x14ac:dyDescent="0.25">
      <c r="A2" s="560"/>
      <c r="B2" s="525"/>
      <c r="C2" s="525"/>
      <c r="D2" s="525"/>
      <c r="E2" s="561"/>
      <c r="F2" s="562"/>
      <c r="G2" s="561"/>
      <c r="H2" s="162"/>
      <c r="J2" s="369"/>
      <c r="K2" s="133"/>
      <c r="L2" s="133"/>
      <c r="M2" s="133"/>
      <c r="N2" s="133"/>
      <c r="O2" s="140" t="s">
        <v>275</v>
      </c>
      <c r="P2" s="133"/>
      <c r="Q2" s="133"/>
      <c r="R2" s="133"/>
      <c r="S2" s="133"/>
      <c r="T2" s="133"/>
      <c r="U2" s="337"/>
      <c r="V2" s="337"/>
      <c r="W2" s="337"/>
      <c r="X2" s="337"/>
      <c r="Y2" s="133"/>
      <c r="Z2" s="33"/>
    </row>
    <row r="3" spans="1:26" x14ac:dyDescent="0.25">
      <c r="A3" s="560"/>
      <c r="B3" s="525"/>
      <c r="C3" s="525"/>
      <c r="D3" s="525"/>
      <c r="E3" s="561"/>
      <c r="F3" s="562"/>
      <c r="G3" s="561"/>
      <c r="H3" s="162"/>
      <c r="J3" s="118"/>
      <c r="K3" s="337"/>
      <c r="L3" s="133"/>
      <c r="M3" s="133"/>
      <c r="N3" s="133"/>
      <c r="O3" s="133"/>
      <c r="P3" s="133"/>
      <c r="Q3" s="133"/>
      <c r="R3" s="133"/>
      <c r="S3" s="133"/>
      <c r="T3" s="133"/>
      <c r="U3" s="337"/>
      <c r="V3" s="337"/>
      <c r="W3" s="337"/>
      <c r="X3" s="133"/>
      <c r="Y3" s="442">
        <f>_xll.ohTrigger(Y5:Y24)</f>
        <v>1</v>
      </c>
      <c r="Z3" s="213"/>
    </row>
    <row r="4" spans="1:26" ht="22.5" x14ac:dyDescent="0.25">
      <c r="A4" s="167"/>
      <c r="B4" s="181"/>
      <c r="C4" s="180"/>
      <c r="D4" s="179"/>
      <c r="E4" s="178" t="str">
        <f>Currency&amp;"_010_"&amp;"OIS.xml"</f>
        <v>GBP_010_OIS.xml</v>
      </c>
      <c r="F4" s="177">
        <f ca="1">IF(Serialize,_xll.ohObjectSave(_xll.ohPack(F5:F74),SerializationPath&amp;E4,FileOverwrite,Serialize),"---")</f>
        <v>57</v>
      </c>
      <c r="G4" s="176" t="str">
        <f ca="1">_xll.ohRangeRetrieveError(F4)</f>
        <v/>
      </c>
      <c r="H4" s="162"/>
      <c r="J4" s="118"/>
      <c r="K4" s="477"/>
      <c r="L4" s="191"/>
      <c r="M4" s="191"/>
      <c r="N4" s="191"/>
      <c r="O4" s="365" t="e">
        <f ca="1">_xll.RData(O5:O37,P4:S4,"RTFEED:IDN",ReutersRtMode,,P5)</f>
        <v>#NAME?</v>
      </c>
      <c r="P4" s="400" t="s">
        <v>291</v>
      </c>
      <c r="Q4" s="400" t="s">
        <v>264</v>
      </c>
      <c r="R4" s="400" t="s">
        <v>244</v>
      </c>
      <c r="S4" s="400" t="s">
        <v>290</v>
      </c>
      <c r="T4" s="361" t="s">
        <v>313</v>
      </c>
      <c r="U4" s="337"/>
      <c r="V4" s="363" t="s">
        <v>286</v>
      </c>
      <c r="W4" s="337"/>
      <c r="X4" s="563" t="s">
        <v>285</v>
      </c>
      <c r="Y4" s="91" t="s">
        <v>284</v>
      </c>
      <c r="Z4" s="213"/>
    </row>
    <row r="5" spans="1:26" x14ac:dyDescent="0.25">
      <c r="A5" s="167"/>
      <c r="B5" s="173"/>
      <c r="C5" s="174" t="s">
        <v>19</v>
      </c>
      <c r="D5" s="173" t="s">
        <v>179</v>
      </c>
      <c r="E5" s="164" t="str">
        <f t="shared" ref="E5:E37" si="0">Currency&amp;$B5&amp;$C5&amp;$D5&amp;QuoteSuffix</f>
        <v>GBPSWOIS_Quote</v>
      </c>
      <c r="F5" s="164" t="str">
        <f>_xll.qlSimpleQuote(E5,,RateTickValue,Permanent,Trigger,ObjectOverwrite)</f>
        <v>GBPSWOIS_Quote#0000</v>
      </c>
      <c r="G5" s="175" t="str">
        <f>_xll.ohRangeRetrieveError(F5)</f>
        <v/>
      </c>
      <c r="H5" s="162"/>
      <c r="J5" s="118"/>
      <c r="K5" s="393" t="s">
        <v>19</v>
      </c>
      <c r="L5" s="392"/>
      <c r="M5" s="392" t="s">
        <v>179</v>
      </c>
      <c r="N5" s="390" t="str">
        <f t="shared" ref="N5:N37" si="1">Currency&amp;$L5&amp;$K5&amp;$M5</f>
        <v>GBPSWOIS</v>
      </c>
      <c r="O5" s="390" t="str">
        <f t="array" ref="O5:O37">Instruments&amp;"="&amp;VLOOKUP(Contributor,ContributorTable,2,FALSE)</f>
        <v>GBPSWOIS=ICAP</v>
      </c>
      <c r="P5" s="354">
        <v>0.38500000000000001</v>
      </c>
      <c r="Q5" s="354">
        <v>0.44500000000000001</v>
      </c>
      <c r="R5" s="354">
        <v>0</v>
      </c>
      <c r="S5" s="354">
        <v>0</v>
      </c>
      <c r="T5" s="356">
        <f>_xll.qlMidEquivalent($P5,$Q5,$R5,$S5)</f>
        <v>0.41500000000000004</v>
      </c>
      <c r="U5" s="337"/>
      <c r="V5" s="494">
        <v>0.41749999999999998</v>
      </c>
      <c r="W5" s="337"/>
      <c r="X5" s="564">
        <f t="array" ref="X5:X37">QuoteStatic</f>
        <v>0.41749999999999998</v>
      </c>
      <c r="Y5" s="353" t="e">
        <f>_xll.qlSimpleQuoteSetValue(E5,X5/100,ISERROR(F5))</f>
        <v>#N/A</v>
      </c>
      <c r="Z5" s="213"/>
    </row>
    <row r="6" spans="1:26" x14ac:dyDescent="0.25">
      <c r="A6" s="167"/>
      <c r="B6" s="173"/>
      <c r="C6" s="174" t="s">
        <v>18</v>
      </c>
      <c r="D6" s="173" t="s">
        <v>179</v>
      </c>
      <c r="E6" s="164" t="str">
        <f t="shared" si="0"/>
        <v>GBP2WOIS_Quote</v>
      </c>
      <c r="F6" s="164" t="str">
        <f>_xll.qlSimpleQuote(E6,,RateTickValue,Permanent,Trigger,ObjectOverwrite)</f>
        <v>GBP2WOIS_Quote#0000</v>
      </c>
      <c r="G6" s="163" t="str">
        <f>_xll.ohRangeRetrieveError(F6)</f>
        <v/>
      </c>
      <c r="H6" s="162"/>
      <c r="J6" s="118"/>
      <c r="K6" s="386" t="s">
        <v>18</v>
      </c>
      <c r="L6" s="389"/>
      <c r="M6" s="389" t="s">
        <v>179</v>
      </c>
      <c r="N6" s="387" t="str">
        <f t="shared" si="1"/>
        <v>GBP2WOIS</v>
      </c>
      <c r="O6" s="387" t="str">
        <v>GBP2WOIS=ICAP</v>
      </c>
      <c r="P6" s="343">
        <v>0.39624999999999999</v>
      </c>
      <c r="Q6" s="343">
        <v>0.43625000000000003</v>
      </c>
      <c r="R6" s="343">
        <v>0</v>
      </c>
      <c r="S6" s="343">
        <v>0</v>
      </c>
      <c r="T6" s="345">
        <f>_xll.qlMidEquivalent($P6,$Q6,$R6,$S6)</f>
        <v>0.41625000000000001</v>
      </c>
      <c r="U6" s="337"/>
      <c r="V6" s="474">
        <v>0.41749999999999998</v>
      </c>
      <c r="W6" s="337"/>
      <c r="X6" s="565">
        <v>0.41749999999999998</v>
      </c>
      <c r="Y6" s="342" t="e">
        <f>_xll.qlSimpleQuoteSetValue(E6,X6/100,ISERROR(F6))</f>
        <v>#N/A</v>
      </c>
      <c r="Z6" s="213"/>
    </row>
    <row r="7" spans="1:26" x14ac:dyDescent="0.25">
      <c r="A7" s="167"/>
      <c r="B7" s="173"/>
      <c r="C7" s="174" t="s">
        <v>16</v>
      </c>
      <c r="D7" s="173" t="s">
        <v>179</v>
      </c>
      <c r="E7" s="164" t="str">
        <f t="shared" si="0"/>
        <v>GBP3WOIS_Quote</v>
      </c>
      <c r="F7" s="164" t="str">
        <f>_xll.qlSimpleQuote(E7,,RateTickValue,Permanent,Trigger,ObjectOverwrite)</f>
        <v>GBP3WOIS_Quote#0000</v>
      </c>
      <c r="G7" s="163" t="str">
        <f>_xll.ohRangeRetrieveError(F7)</f>
        <v/>
      </c>
      <c r="H7" s="162"/>
      <c r="J7" s="118"/>
      <c r="K7" s="386" t="s">
        <v>16</v>
      </c>
      <c r="L7" s="389"/>
      <c r="M7" s="389" t="s">
        <v>179</v>
      </c>
      <c r="N7" s="387" t="str">
        <f t="shared" si="1"/>
        <v>GBP3WOIS</v>
      </c>
      <c r="O7" s="387" t="str">
        <v>GBP3WOIS=ICAP</v>
      </c>
      <c r="P7" s="343" t="s">
        <v>233</v>
      </c>
      <c r="Q7" s="343" t="s">
        <v>233</v>
      </c>
      <c r="R7" s="343" t="s">
        <v>233</v>
      </c>
      <c r="S7" s="343" t="s">
        <v>233</v>
      </c>
      <c r="T7" s="345" t="e">
        <f>_xll.qlMidEquivalent($P7,$Q7,$R7,$S7)</f>
        <v>#NUM!</v>
      </c>
      <c r="U7" s="337"/>
      <c r="V7" s="474" t="e">
        <v>#NUM!</v>
      </c>
      <c r="W7" s="337"/>
      <c r="X7" s="565" t="e">
        <v>#NUM!</v>
      </c>
      <c r="Y7" s="342" t="e">
        <f>_xll.qlSimpleQuoteSetValue(E7,X7/100,ISERROR(F7))</f>
        <v>#NUM!</v>
      </c>
      <c r="Z7" s="213"/>
    </row>
    <row r="8" spans="1:26" x14ac:dyDescent="0.25">
      <c r="A8" s="167"/>
      <c r="B8" s="173"/>
      <c r="C8" s="174" t="s">
        <v>15</v>
      </c>
      <c r="D8" s="173" t="s">
        <v>179</v>
      </c>
      <c r="E8" s="164" t="str">
        <f t="shared" si="0"/>
        <v>GBP1MOIS_Quote</v>
      </c>
      <c r="F8" s="164" t="str">
        <f>_xll.qlSimpleQuote(E8,,RateTickValue,Permanent,Trigger,ObjectOverwrite)</f>
        <v>GBP1MOIS_Quote#0000</v>
      </c>
      <c r="G8" s="163" t="str">
        <f>_xll.ohRangeRetrieveError(F8)</f>
        <v/>
      </c>
      <c r="H8" s="162"/>
      <c r="J8" s="118"/>
      <c r="K8" s="386" t="s">
        <v>15</v>
      </c>
      <c r="L8" s="389"/>
      <c r="M8" s="389" t="s">
        <v>179</v>
      </c>
      <c r="N8" s="387" t="str">
        <f t="shared" si="1"/>
        <v>GBP1MOIS</v>
      </c>
      <c r="O8" s="387" t="str">
        <v>GBP1MOIS=ICAP</v>
      </c>
      <c r="P8" s="343">
        <v>0.39624999999999999</v>
      </c>
      <c r="Q8" s="343">
        <v>0.43625000000000003</v>
      </c>
      <c r="R8" s="343">
        <v>0</v>
      </c>
      <c r="S8" s="343">
        <v>0</v>
      </c>
      <c r="T8" s="345">
        <f>_xll.qlMidEquivalent($P8,$Q8,$R8,$S8)</f>
        <v>0.41625000000000001</v>
      </c>
      <c r="U8" s="337"/>
      <c r="V8" s="474">
        <v>0.41749999999999998</v>
      </c>
      <c r="W8" s="337"/>
      <c r="X8" s="565">
        <v>0.41749999999999998</v>
      </c>
      <c r="Y8" s="342" t="e">
        <f>_xll.qlSimpleQuoteSetValue(E8,X8/100,ISERROR(F8))</f>
        <v>#N/A</v>
      </c>
      <c r="Z8" s="213"/>
    </row>
    <row r="9" spans="1:26" x14ac:dyDescent="0.25">
      <c r="A9" s="167"/>
      <c r="B9" s="173"/>
      <c r="C9" s="174" t="s">
        <v>13</v>
      </c>
      <c r="D9" s="173" t="s">
        <v>179</v>
      </c>
      <c r="E9" s="164" t="str">
        <f t="shared" si="0"/>
        <v>GBP2MOIS_Quote</v>
      </c>
      <c r="F9" s="164" t="str">
        <f>_xll.qlSimpleQuote(E9,,RateTickValue,Permanent,Trigger,ObjectOverwrite)</f>
        <v>GBP2MOIS_Quote#0000</v>
      </c>
      <c r="G9" s="163" t="str">
        <f>_xll.ohRangeRetrieveError(F9)</f>
        <v/>
      </c>
      <c r="H9" s="162"/>
      <c r="J9" s="118"/>
      <c r="K9" s="386" t="s">
        <v>13</v>
      </c>
      <c r="L9" s="389"/>
      <c r="M9" s="389" t="s">
        <v>179</v>
      </c>
      <c r="N9" s="387" t="str">
        <f t="shared" si="1"/>
        <v>GBP2MOIS</v>
      </c>
      <c r="O9" s="387" t="str">
        <v>GBP2MOIS=ICAP</v>
      </c>
      <c r="P9" s="343">
        <v>0.39250000000000002</v>
      </c>
      <c r="Q9" s="343">
        <v>0.4325</v>
      </c>
      <c r="R9" s="343">
        <v>0</v>
      </c>
      <c r="S9" s="343">
        <v>0</v>
      </c>
      <c r="T9" s="345">
        <f>_xll.qlMidEquivalent($P9,$Q9,$R9,$S9)</f>
        <v>0.41249999999999998</v>
      </c>
      <c r="U9" s="337"/>
      <c r="V9" s="474">
        <v>0.41249999999999998</v>
      </c>
      <c r="W9" s="337"/>
      <c r="X9" s="565">
        <v>0.41249999999999998</v>
      </c>
      <c r="Y9" s="342" t="e">
        <f>_xll.qlSimpleQuoteSetValue(E9,X9/100,ISERROR(F9))</f>
        <v>#N/A</v>
      </c>
      <c r="Z9" s="213"/>
    </row>
    <row r="10" spans="1:26" x14ac:dyDescent="0.25">
      <c r="A10" s="167"/>
      <c r="B10" s="173"/>
      <c r="C10" s="174" t="s">
        <v>12</v>
      </c>
      <c r="D10" s="173" t="s">
        <v>179</v>
      </c>
      <c r="E10" s="164" t="str">
        <f t="shared" si="0"/>
        <v>GBP3MOIS_Quote</v>
      </c>
      <c r="F10" s="164" t="str">
        <f>_xll.qlSimpleQuote(E10,,RateTickValue,Permanent,Trigger,ObjectOverwrite)</f>
        <v>GBP3MOIS_Quote#0000</v>
      </c>
      <c r="G10" s="163" t="str">
        <f>_xll.ohRangeRetrieveError(F10)</f>
        <v/>
      </c>
      <c r="H10" s="162"/>
      <c r="J10" s="118"/>
      <c r="K10" s="386" t="s">
        <v>12</v>
      </c>
      <c r="L10" s="389"/>
      <c r="M10" s="389" t="s">
        <v>179</v>
      </c>
      <c r="N10" s="387" t="str">
        <f t="shared" si="1"/>
        <v>GBP3MOIS</v>
      </c>
      <c r="O10" s="387" t="str">
        <v>GBP3MOIS=ICAP</v>
      </c>
      <c r="P10" s="343">
        <v>0.38874999999999998</v>
      </c>
      <c r="Q10" s="343">
        <v>0.42875000000000002</v>
      </c>
      <c r="R10" s="343">
        <v>0</v>
      </c>
      <c r="S10" s="343">
        <v>0</v>
      </c>
      <c r="T10" s="345">
        <f>_xll.qlMidEquivalent($P10,$Q10,$R10,$S10)</f>
        <v>0.40875</v>
      </c>
      <c r="U10" s="337"/>
      <c r="V10" s="474">
        <v>0.40749999999999997</v>
      </c>
      <c r="W10" s="337"/>
      <c r="X10" s="565">
        <v>0.40749999999999997</v>
      </c>
      <c r="Y10" s="342" t="e">
        <f>_xll.qlSimpleQuoteSetValue(E10,X10/100,ISERROR(F10))</f>
        <v>#N/A</v>
      </c>
      <c r="Z10" s="213"/>
    </row>
    <row r="11" spans="1:26" x14ac:dyDescent="0.25">
      <c r="A11" s="167"/>
      <c r="B11" s="173"/>
      <c r="C11" s="174" t="s">
        <v>11</v>
      </c>
      <c r="D11" s="173" t="s">
        <v>179</v>
      </c>
      <c r="E11" s="164" t="str">
        <f t="shared" si="0"/>
        <v>GBP4MOIS_Quote</v>
      </c>
      <c r="F11" s="164" t="str">
        <f>_xll.qlSimpleQuote(E11,,RateTickValue,Permanent,Trigger,ObjectOverwrite)</f>
        <v>GBP4MOIS_Quote#0000</v>
      </c>
      <c r="G11" s="163" t="str">
        <f>_xll.ohRangeRetrieveError(F11)</f>
        <v/>
      </c>
      <c r="H11" s="162"/>
      <c r="J11" s="118"/>
      <c r="K11" s="386" t="s">
        <v>11</v>
      </c>
      <c r="L11" s="389"/>
      <c r="M11" s="389" t="s">
        <v>179</v>
      </c>
      <c r="N11" s="387" t="str">
        <f t="shared" si="1"/>
        <v>GBP4MOIS</v>
      </c>
      <c r="O11" s="387" t="str">
        <v>GBP4MOIS=ICAP</v>
      </c>
      <c r="P11" s="343">
        <v>0.38374999999999998</v>
      </c>
      <c r="Q11" s="343">
        <v>0.42375000000000002</v>
      </c>
      <c r="R11" s="343">
        <v>0</v>
      </c>
      <c r="S11" s="343">
        <v>0</v>
      </c>
      <c r="T11" s="345">
        <f>_xll.qlMidEquivalent($P11,$Q11,$R11,$S11)</f>
        <v>0.40375</v>
      </c>
      <c r="U11" s="337"/>
      <c r="V11" s="474">
        <v>0.4</v>
      </c>
      <c r="W11" s="337"/>
      <c r="X11" s="565">
        <v>0.4</v>
      </c>
      <c r="Y11" s="342" t="e">
        <f>_xll.qlSimpleQuoteSetValue(E11,X11/100,ISERROR(F11))</f>
        <v>#N/A</v>
      </c>
      <c r="Z11" s="213"/>
    </row>
    <row r="12" spans="1:26" x14ac:dyDescent="0.25">
      <c r="A12" s="167"/>
      <c r="B12" s="173"/>
      <c r="C12" s="174" t="s">
        <v>9</v>
      </c>
      <c r="D12" s="173" t="s">
        <v>179</v>
      </c>
      <c r="E12" s="164" t="str">
        <f t="shared" si="0"/>
        <v>GBP5MOIS_Quote</v>
      </c>
      <c r="F12" s="164" t="str">
        <f>_xll.qlSimpleQuote(E12,,RateTickValue,Permanent,Trigger,ObjectOverwrite)</f>
        <v>GBP5MOIS_Quote#0000</v>
      </c>
      <c r="G12" s="163" t="str">
        <f>_xll.ohRangeRetrieveError(F12)</f>
        <v/>
      </c>
      <c r="H12" s="162"/>
      <c r="J12" s="118"/>
      <c r="K12" s="386" t="s">
        <v>9</v>
      </c>
      <c r="L12" s="389"/>
      <c r="M12" s="389" t="s">
        <v>179</v>
      </c>
      <c r="N12" s="387" t="str">
        <f t="shared" si="1"/>
        <v>GBP5MOIS</v>
      </c>
      <c r="O12" s="387" t="str">
        <v>GBP5MOIS=ICAP</v>
      </c>
      <c r="P12" s="343">
        <v>0.38</v>
      </c>
      <c r="Q12" s="343">
        <v>0.42</v>
      </c>
      <c r="R12" s="343">
        <v>0</v>
      </c>
      <c r="S12" s="343">
        <v>0</v>
      </c>
      <c r="T12" s="345">
        <f>_xll.qlMidEquivalent($P12,$Q12,$R12,$S12)</f>
        <v>0.4</v>
      </c>
      <c r="U12" s="337"/>
      <c r="V12" s="474">
        <v>0.39500000000000002</v>
      </c>
      <c r="W12" s="337"/>
      <c r="X12" s="565">
        <v>0.39500000000000002</v>
      </c>
      <c r="Y12" s="342" t="e">
        <f>_xll.qlSimpleQuoteSetValue(E12,X12/100,ISERROR(F12))</f>
        <v>#N/A</v>
      </c>
      <c r="Z12" s="213"/>
    </row>
    <row r="13" spans="1:26" x14ac:dyDescent="0.25">
      <c r="A13" s="167"/>
      <c r="B13" s="173"/>
      <c r="C13" s="174" t="s">
        <v>8</v>
      </c>
      <c r="D13" s="173" t="s">
        <v>179</v>
      </c>
      <c r="E13" s="164" t="str">
        <f t="shared" si="0"/>
        <v>GBP6MOIS_Quote</v>
      </c>
      <c r="F13" s="164" t="str">
        <f>_xll.qlSimpleQuote(E13,,RateTickValue,Permanent,Trigger,ObjectOverwrite)</f>
        <v>GBP6MOIS_Quote#0000</v>
      </c>
      <c r="G13" s="163" t="str">
        <f>_xll.ohRangeRetrieveError(F13)</f>
        <v/>
      </c>
      <c r="H13" s="162"/>
      <c r="J13" s="118"/>
      <c r="K13" s="386" t="s">
        <v>8</v>
      </c>
      <c r="L13" s="389"/>
      <c r="M13" s="389" t="s">
        <v>179</v>
      </c>
      <c r="N13" s="387" t="str">
        <f t="shared" si="1"/>
        <v>GBP6MOIS</v>
      </c>
      <c r="O13" s="387" t="str">
        <v>GBP6MOIS=ICAP</v>
      </c>
      <c r="P13" s="343">
        <v>0.37624999999999997</v>
      </c>
      <c r="Q13" s="343">
        <v>0.41625000000000001</v>
      </c>
      <c r="R13" s="343">
        <v>0</v>
      </c>
      <c r="S13" s="343">
        <v>0</v>
      </c>
      <c r="T13" s="345">
        <f>_xll.qlMidEquivalent($P13,$Q13,$R13,$S13)</f>
        <v>0.39624999999999999</v>
      </c>
      <c r="U13" s="337"/>
      <c r="V13" s="474">
        <v>0.39</v>
      </c>
      <c r="W13" s="337"/>
      <c r="X13" s="565">
        <v>0.39</v>
      </c>
      <c r="Y13" s="342" t="e">
        <f>_xll.qlSimpleQuoteSetValue(E13,X13/100,ISERROR(F13))</f>
        <v>#N/A</v>
      </c>
      <c r="Z13" s="213"/>
    </row>
    <row r="14" spans="1:26" x14ac:dyDescent="0.25">
      <c r="A14" s="167"/>
      <c r="B14" s="173"/>
      <c r="C14" s="174" t="s">
        <v>7</v>
      </c>
      <c r="D14" s="173" t="s">
        <v>179</v>
      </c>
      <c r="E14" s="164" t="str">
        <f t="shared" si="0"/>
        <v>GBP7MOIS_Quote</v>
      </c>
      <c r="F14" s="164" t="str">
        <f>_xll.qlSimpleQuote(E14,,RateTickValue,Permanent,Trigger,ObjectOverwrite)</f>
        <v>GBP7MOIS_Quote#0000</v>
      </c>
      <c r="G14" s="163" t="str">
        <f>_xll.ohRangeRetrieveError(F14)</f>
        <v/>
      </c>
      <c r="H14" s="162"/>
      <c r="J14" s="118"/>
      <c r="K14" s="386" t="s">
        <v>7</v>
      </c>
      <c r="L14" s="389"/>
      <c r="M14" s="389" t="s">
        <v>179</v>
      </c>
      <c r="N14" s="387" t="str">
        <f t="shared" si="1"/>
        <v>GBP7MOIS</v>
      </c>
      <c r="O14" s="387" t="str">
        <v>GBP7MOIS=ICAP</v>
      </c>
      <c r="P14" s="343">
        <v>0.3725</v>
      </c>
      <c r="Q14" s="343">
        <v>0.41249999999999998</v>
      </c>
      <c r="R14" s="343">
        <v>0</v>
      </c>
      <c r="S14" s="343">
        <v>0</v>
      </c>
      <c r="T14" s="345">
        <f>_xll.qlMidEquivalent($P14,$Q14,$R14,$S14)</f>
        <v>0.39249999999999996</v>
      </c>
      <c r="U14" s="337"/>
      <c r="V14" s="474">
        <v>0.38250000000000001</v>
      </c>
      <c r="W14" s="337"/>
      <c r="X14" s="565">
        <v>0.38250000000000001</v>
      </c>
      <c r="Y14" s="342" t="e">
        <f>_xll.qlSimpleQuoteSetValue(E14,X14/100,ISERROR(F14))</f>
        <v>#N/A</v>
      </c>
      <c r="Z14" s="213"/>
    </row>
    <row r="15" spans="1:26" x14ac:dyDescent="0.25">
      <c r="A15" s="167"/>
      <c r="B15" s="173"/>
      <c r="C15" s="174" t="s">
        <v>6</v>
      </c>
      <c r="D15" s="173" t="s">
        <v>179</v>
      </c>
      <c r="E15" s="164" t="str">
        <f t="shared" si="0"/>
        <v>GBP8MOIS_Quote</v>
      </c>
      <c r="F15" s="164" t="str">
        <f>_xll.qlSimpleQuote(E15,,RateTickValue,Permanent,Trigger,ObjectOverwrite)</f>
        <v>GBP8MOIS_Quote#0000</v>
      </c>
      <c r="G15" s="163" t="str">
        <f>_xll.ohRangeRetrieveError(F15)</f>
        <v/>
      </c>
      <c r="H15" s="162"/>
      <c r="J15" s="118"/>
      <c r="K15" s="386" t="s">
        <v>6</v>
      </c>
      <c r="L15" s="389"/>
      <c r="M15" s="389" t="s">
        <v>179</v>
      </c>
      <c r="N15" s="387" t="str">
        <f t="shared" si="1"/>
        <v>GBP8MOIS</v>
      </c>
      <c r="O15" s="387" t="str">
        <v>GBP8MOIS=ICAP</v>
      </c>
      <c r="P15" s="343">
        <v>0.37</v>
      </c>
      <c r="Q15" s="343">
        <v>0.41</v>
      </c>
      <c r="R15" s="343">
        <v>0</v>
      </c>
      <c r="S15" s="343">
        <v>0</v>
      </c>
      <c r="T15" s="345">
        <f>_xll.qlMidEquivalent($P15,$Q15,$R15,$S15)</f>
        <v>0.39</v>
      </c>
      <c r="U15" s="337"/>
      <c r="V15" s="474">
        <v>0.375</v>
      </c>
      <c r="W15" s="337"/>
      <c r="X15" s="565">
        <v>0.375</v>
      </c>
      <c r="Y15" s="342" t="e">
        <f>_xll.qlSimpleQuoteSetValue(E15,X15/100,ISERROR(F15))</f>
        <v>#N/A</v>
      </c>
      <c r="Z15" s="213"/>
    </row>
    <row r="16" spans="1:26" x14ac:dyDescent="0.25">
      <c r="A16" s="167"/>
      <c r="B16" s="173"/>
      <c r="C16" s="174" t="s">
        <v>4</v>
      </c>
      <c r="D16" s="173" t="s">
        <v>179</v>
      </c>
      <c r="E16" s="164" t="str">
        <f t="shared" si="0"/>
        <v>GBP9MOIS_Quote</v>
      </c>
      <c r="F16" s="164" t="str">
        <f>_xll.qlSimpleQuote(E16,,RateTickValue,Permanent,Trigger,ObjectOverwrite)</f>
        <v>GBP9MOIS_Quote#0000</v>
      </c>
      <c r="G16" s="163" t="str">
        <f>_xll.ohRangeRetrieveError(F16)</f>
        <v/>
      </c>
      <c r="H16" s="162"/>
      <c r="J16" s="118"/>
      <c r="K16" s="386" t="s">
        <v>4</v>
      </c>
      <c r="L16" s="389"/>
      <c r="M16" s="389" t="s">
        <v>179</v>
      </c>
      <c r="N16" s="387" t="str">
        <f t="shared" si="1"/>
        <v>GBP9MOIS</v>
      </c>
      <c r="O16" s="387" t="str">
        <v>GBP9MOIS=ICAP</v>
      </c>
      <c r="P16" s="343">
        <v>0.36625000000000002</v>
      </c>
      <c r="Q16" s="343">
        <v>0.40625</v>
      </c>
      <c r="R16" s="343">
        <v>0</v>
      </c>
      <c r="S16" s="343">
        <v>0</v>
      </c>
      <c r="T16" s="345">
        <f>_xll.qlMidEquivalent($P16,$Q16,$R16,$S16)</f>
        <v>0.38624999999999998</v>
      </c>
      <c r="U16" s="337"/>
      <c r="V16" s="474">
        <v>0.37</v>
      </c>
      <c r="W16" s="337"/>
      <c r="X16" s="565">
        <v>0.37</v>
      </c>
      <c r="Y16" s="342" t="e">
        <f>_xll.qlSimpleQuoteSetValue(E16,X16/100,ISERROR(F16))</f>
        <v>#N/A</v>
      </c>
      <c r="Z16" s="213"/>
    </row>
    <row r="17" spans="1:26" x14ac:dyDescent="0.25">
      <c r="A17" s="167"/>
      <c r="B17" s="173"/>
      <c r="C17" s="174" t="s">
        <v>3</v>
      </c>
      <c r="D17" s="173" t="s">
        <v>179</v>
      </c>
      <c r="E17" s="164" t="str">
        <f t="shared" si="0"/>
        <v>GBP10MOIS_Quote</v>
      </c>
      <c r="F17" s="164" t="str">
        <f>_xll.qlSimpleQuote(E17,,RateTickValue,Permanent,Trigger,ObjectOverwrite)</f>
        <v>GBP10MOIS_Quote#0000</v>
      </c>
      <c r="G17" s="163" t="str">
        <f>_xll.ohRangeRetrieveError(F17)</f>
        <v/>
      </c>
      <c r="H17" s="162"/>
      <c r="J17" s="118"/>
      <c r="K17" s="386" t="s">
        <v>3</v>
      </c>
      <c r="L17" s="389"/>
      <c r="M17" s="389" t="s">
        <v>179</v>
      </c>
      <c r="N17" s="387" t="str">
        <f t="shared" si="1"/>
        <v>GBP10MOIS</v>
      </c>
      <c r="O17" s="387" t="str">
        <v>GBP10MOIS=ICAP</v>
      </c>
      <c r="P17" s="343">
        <v>0.36249999999999999</v>
      </c>
      <c r="Q17" s="343">
        <v>0.40250000000000002</v>
      </c>
      <c r="R17" s="343">
        <v>0</v>
      </c>
      <c r="S17" s="343">
        <v>0</v>
      </c>
      <c r="T17" s="345">
        <f>_xll.qlMidEquivalent($P17,$Q17,$R17,$S17)</f>
        <v>0.38250000000000001</v>
      </c>
      <c r="U17" s="337"/>
      <c r="V17" s="474">
        <v>0.36499999999999999</v>
      </c>
      <c r="W17" s="337"/>
      <c r="X17" s="565">
        <v>0.36499999999999999</v>
      </c>
      <c r="Y17" s="342" t="e">
        <f>_xll.qlSimpleQuoteSetValue(E17,X17/100,ISERROR(F17))</f>
        <v>#N/A</v>
      </c>
      <c r="Z17" s="213"/>
    </row>
    <row r="18" spans="1:26" x14ac:dyDescent="0.25">
      <c r="A18" s="167"/>
      <c r="B18" s="173"/>
      <c r="C18" s="174" t="s">
        <v>2</v>
      </c>
      <c r="D18" s="173" t="s">
        <v>179</v>
      </c>
      <c r="E18" s="164" t="str">
        <f t="shared" si="0"/>
        <v>GBP11MOIS_Quote</v>
      </c>
      <c r="F18" s="164" t="str">
        <f>_xll.qlSimpleQuote(E18,,RateTickValue,Permanent,Trigger,ObjectOverwrite)</f>
        <v>GBP11MOIS_Quote#0000</v>
      </c>
      <c r="G18" s="163" t="str">
        <f>_xll.ohRangeRetrieveError(F18)</f>
        <v/>
      </c>
      <c r="H18" s="162"/>
      <c r="J18" s="118"/>
      <c r="K18" s="386" t="s">
        <v>2</v>
      </c>
      <c r="L18" s="389"/>
      <c r="M18" s="389" t="s">
        <v>179</v>
      </c>
      <c r="N18" s="387" t="str">
        <f t="shared" si="1"/>
        <v>GBP11MOIS</v>
      </c>
      <c r="O18" s="387" t="str">
        <v>GBP11MOIS=ICAP</v>
      </c>
      <c r="P18" s="343">
        <v>0.36</v>
      </c>
      <c r="Q18" s="343">
        <v>0.4</v>
      </c>
      <c r="R18" s="343">
        <v>0</v>
      </c>
      <c r="S18" s="343">
        <v>0</v>
      </c>
      <c r="T18" s="345">
        <f>_xll.qlMidEquivalent($P18,$Q18,$R18,$S18)</f>
        <v>0.38</v>
      </c>
      <c r="U18" s="337"/>
      <c r="V18" s="474">
        <v>0.36</v>
      </c>
      <c r="W18" s="337"/>
      <c r="X18" s="565">
        <v>0.36</v>
      </c>
      <c r="Y18" s="342" t="e">
        <f>_xll.qlSimpleQuoteSetValue(E18,X18/100,ISERROR(F18))</f>
        <v>#N/A</v>
      </c>
      <c r="Z18" s="213"/>
    </row>
    <row r="19" spans="1:26" x14ac:dyDescent="0.25">
      <c r="A19" s="167"/>
      <c r="B19" s="173"/>
      <c r="C19" s="174" t="s">
        <v>1</v>
      </c>
      <c r="D19" s="173" t="s">
        <v>179</v>
      </c>
      <c r="E19" s="164" t="str">
        <f t="shared" si="0"/>
        <v>GBP1YOIS_Quote</v>
      </c>
      <c r="F19" s="164" t="str">
        <f>_xll.qlSimpleQuote(E19,,RateTickValue,Permanent,Trigger,ObjectOverwrite)</f>
        <v>GBP1YOIS_Quote#0000</v>
      </c>
      <c r="G19" s="163" t="str">
        <f>_xll.ohRangeRetrieveError(F19)</f>
        <v/>
      </c>
      <c r="H19" s="162"/>
      <c r="J19" s="118"/>
      <c r="K19" s="386" t="s">
        <v>1</v>
      </c>
      <c r="L19" s="389"/>
      <c r="M19" s="389" t="s">
        <v>179</v>
      </c>
      <c r="N19" s="387" t="str">
        <f t="shared" si="1"/>
        <v>GBP1YOIS</v>
      </c>
      <c r="O19" s="387" t="str">
        <v>GBP1YOIS=ICAP</v>
      </c>
      <c r="P19" s="343">
        <v>0.35749999999999998</v>
      </c>
      <c r="Q19" s="343">
        <v>0.39750000000000002</v>
      </c>
      <c r="R19" s="343">
        <v>0</v>
      </c>
      <c r="S19" s="343">
        <v>0</v>
      </c>
      <c r="T19" s="345">
        <f>_xll.qlMidEquivalent($P19,$Q19,$R19,$S19)</f>
        <v>0.3775</v>
      </c>
      <c r="U19" s="337"/>
      <c r="V19" s="474">
        <v>0.35749999999999998</v>
      </c>
      <c r="W19" s="337"/>
      <c r="X19" s="565">
        <v>0.35749999999999998</v>
      </c>
      <c r="Y19" s="342" t="e">
        <f>_xll.qlSimpleQuoteSetValue(E19,X19/100,ISERROR(F19))</f>
        <v>#N/A</v>
      </c>
      <c r="Z19" s="213"/>
    </row>
    <row r="20" spans="1:26" x14ac:dyDescent="0.25">
      <c r="A20" s="167"/>
      <c r="B20" s="173"/>
      <c r="C20" s="174" t="s">
        <v>124</v>
      </c>
      <c r="D20" s="173" t="s">
        <v>179</v>
      </c>
      <c r="E20" s="164" t="str">
        <f t="shared" si="0"/>
        <v>GBP15MOIS_Quote</v>
      </c>
      <c r="F20" s="164" t="str">
        <f>_xll.qlSimpleQuote(E20,,RateTickValue,Permanent,Trigger,ObjectOverwrite)</f>
        <v>GBP15MOIS_Quote#0000</v>
      </c>
      <c r="G20" s="163" t="str">
        <f>_xll.ohRangeRetrieveError(F20)</f>
        <v/>
      </c>
      <c r="H20" s="162"/>
      <c r="J20" s="118"/>
      <c r="K20" s="386" t="s">
        <v>124</v>
      </c>
      <c r="L20" s="389"/>
      <c r="M20" s="389" t="s">
        <v>179</v>
      </c>
      <c r="N20" s="387" t="str">
        <f t="shared" si="1"/>
        <v>GBP15MOIS</v>
      </c>
      <c r="O20" s="387" t="str">
        <v>GBP15MOIS=ICAP</v>
      </c>
      <c r="P20" s="343">
        <v>0.35375000000000001</v>
      </c>
      <c r="Q20" s="343">
        <v>0.39374999999999999</v>
      </c>
      <c r="R20" s="343">
        <v>0</v>
      </c>
      <c r="S20" s="343">
        <v>0</v>
      </c>
      <c r="T20" s="345">
        <f>_xll.qlMidEquivalent($P20,$Q20,$R20,$S20)</f>
        <v>0.37375000000000003</v>
      </c>
      <c r="U20" s="337"/>
      <c r="V20" s="474">
        <v>0.34749999999999998</v>
      </c>
      <c r="W20" s="337"/>
      <c r="X20" s="565">
        <v>0.34749999999999998</v>
      </c>
      <c r="Y20" s="342" t="e">
        <f>_xll.qlSimpleQuoteSetValue(E20,X20/100,ISERROR(F20))</f>
        <v>#N/A</v>
      </c>
      <c r="Z20" s="213"/>
    </row>
    <row r="21" spans="1:26" x14ac:dyDescent="0.25">
      <c r="A21" s="167"/>
      <c r="B21" s="173"/>
      <c r="C21" s="174" t="s">
        <v>123</v>
      </c>
      <c r="D21" s="173" t="s">
        <v>179</v>
      </c>
      <c r="E21" s="164" t="str">
        <f t="shared" si="0"/>
        <v>GBP18MOIS_Quote</v>
      </c>
      <c r="F21" s="164" t="str">
        <f>_xll.qlSimpleQuote(E21,,RateTickValue,Permanent,Trigger,ObjectOverwrite)</f>
        <v>GBP18MOIS_Quote#0000</v>
      </c>
      <c r="G21" s="163" t="str">
        <f>_xll.ohRangeRetrieveError(F21)</f>
        <v/>
      </c>
      <c r="H21" s="162"/>
      <c r="J21" s="118"/>
      <c r="K21" s="386" t="s">
        <v>123</v>
      </c>
      <c r="L21" s="389"/>
      <c r="M21" s="389" t="s">
        <v>179</v>
      </c>
      <c r="N21" s="387" t="str">
        <f t="shared" si="1"/>
        <v>GBP18MOIS</v>
      </c>
      <c r="O21" s="387" t="str">
        <v>GBP18MOIS=ICAP</v>
      </c>
      <c r="P21" s="343">
        <v>0.36</v>
      </c>
      <c r="Q21" s="343">
        <v>0.39</v>
      </c>
      <c r="R21" s="343">
        <v>0</v>
      </c>
      <c r="S21" s="343">
        <v>0</v>
      </c>
      <c r="T21" s="345">
        <f>_xll.qlMidEquivalent($P21,$Q21,$R21,$S21)</f>
        <v>0.375</v>
      </c>
      <c r="U21" s="337"/>
      <c r="V21" s="474">
        <v>0.34499999999999997</v>
      </c>
      <c r="W21" s="337"/>
      <c r="X21" s="565">
        <v>0.34499999999999997</v>
      </c>
      <c r="Y21" s="342" t="e">
        <f>_xll.qlSimpleQuoteSetValue(E21,X21/100,ISERROR(F21))</f>
        <v>#N/A</v>
      </c>
      <c r="Z21" s="213"/>
    </row>
    <row r="22" spans="1:26" x14ac:dyDescent="0.25">
      <c r="A22" s="167"/>
      <c r="B22" s="173"/>
      <c r="C22" s="174" t="s">
        <v>122</v>
      </c>
      <c r="D22" s="173" t="s">
        <v>179</v>
      </c>
      <c r="E22" s="164" t="str">
        <f t="shared" si="0"/>
        <v>GBP21MOIS_Quote</v>
      </c>
      <c r="F22" s="164" t="str">
        <f>_xll.qlSimpleQuote(E22,,RateTickValue,Permanent,Trigger,ObjectOverwrite)</f>
        <v>GBP21MOIS_Quote#0000</v>
      </c>
      <c r="G22" s="163" t="str">
        <f>_xll.ohRangeRetrieveError(F22)</f>
        <v/>
      </c>
      <c r="H22" s="162"/>
      <c r="J22" s="118"/>
      <c r="K22" s="386" t="s">
        <v>122</v>
      </c>
      <c r="L22" s="389"/>
      <c r="M22" s="389" t="s">
        <v>179</v>
      </c>
      <c r="N22" s="387" t="str">
        <f t="shared" si="1"/>
        <v>GBP21MOIS</v>
      </c>
      <c r="O22" s="387" t="str">
        <v>GBP21MOIS=ICAP</v>
      </c>
      <c r="P22" s="343" t="s">
        <v>233</v>
      </c>
      <c r="Q22" s="343" t="s">
        <v>233</v>
      </c>
      <c r="R22" s="343" t="s">
        <v>233</v>
      </c>
      <c r="S22" s="343" t="s">
        <v>233</v>
      </c>
      <c r="T22" s="345" t="e">
        <f>_xll.qlMidEquivalent($P22,$Q22,$R22,$S22)</f>
        <v>#NUM!</v>
      </c>
      <c r="U22" s="337"/>
      <c r="V22" s="474" t="e">
        <v>#NUM!</v>
      </c>
      <c r="W22" s="337"/>
      <c r="X22" s="565" t="e">
        <v>#NUM!</v>
      </c>
      <c r="Y22" s="342" t="e">
        <f>_xll.qlSimpleQuoteSetValue(E22,X22/100,ISERROR(F22))</f>
        <v>#NUM!</v>
      </c>
      <c r="Z22" s="213"/>
    </row>
    <row r="23" spans="1:26" x14ac:dyDescent="0.25">
      <c r="A23" s="167"/>
      <c r="B23" s="173"/>
      <c r="C23" s="174" t="s">
        <v>85</v>
      </c>
      <c r="D23" s="173" t="s">
        <v>179</v>
      </c>
      <c r="E23" s="164" t="str">
        <f t="shared" si="0"/>
        <v>GBP2YOIS_Quote</v>
      </c>
      <c r="F23" s="164" t="str">
        <f>_xll.qlSimpleQuote(E23,,RateTickValue,Permanent,Trigger,ObjectOverwrite)</f>
        <v>GBP2YOIS_Quote#0000</v>
      </c>
      <c r="G23" s="163" t="str">
        <f>_xll.ohRangeRetrieveError(F23)</f>
        <v/>
      </c>
      <c r="H23" s="162"/>
      <c r="J23" s="118"/>
      <c r="K23" s="386" t="s">
        <v>85</v>
      </c>
      <c r="L23" s="389"/>
      <c r="M23" s="389" t="s">
        <v>179</v>
      </c>
      <c r="N23" s="387" t="str">
        <f t="shared" si="1"/>
        <v>GBP2YOIS</v>
      </c>
      <c r="O23" s="387" t="str">
        <v>GBP2YOIS=ICAP</v>
      </c>
      <c r="P23" s="343">
        <v>0.3775</v>
      </c>
      <c r="Q23" s="343">
        <v>0.40749999999999997</v>
      </c>
      <c r="R23" s="343">
        <v>0</v>
      </c>
      <c r="S23" s="343">
        <v>0</v>
      </c>
      <c r="T23" s="345">
        <f>_xll.qlMidEquivalent($P23,$Q23,$R23,$S23)</f>
        <v>0.39249999999999996</v>
      </c>
      <c r="U23" s="337"/>
      <c r="V23" s="474">
        <v>0.34749999999999998</v>
      </c>
      <c r="W23" s="337"/>
      <c r="X23" s="565">
        <v>0.34749999999999998</v>
      </c>
      <c r="Y23" s="342" t="e">
        <f>_xll.qlSimpleQuoteSetValue(E23,X23/100,ISERROR(F23))</f>
        <v>#N/A</v>
      </c>
      <c r="Z23" s="213"/>
    </row>
    <row r="24" spans="1:26" x14ac:dyDescent="0.25">
      <c r="A24" s="167"/>
      <c r="B24" s="173"/>
      <c r="C24" s="174" t="s">
        <v>84</v>
      </c>
      <c r="D24" s="173" t="s">
        <v>179</v>
      </c>
      <c r="E24" s="164" t="str">
        <f t="shared" si="0"/>
        <v>GBP3YOIS_Quote</v>
      </c>
      <c r="F24" s="164" t="str">
        <f>_xll.qlSimpleQuote(E24,,RateTickValue,Permanent,Trigger,ObjectOverwrite)</f>
        <v>GBP3YOIS_Quote#0000</v>
      </c>
      <c r="G24" s="163" t="str">
        <f>_xll.ohRangeRetrieveError(F24)</f>
        <v/>
      </c>
      <c r="H24" s="162"/>
      <c r="J24" s="118"/>
      <c r="K24" s="386" t="s">
        <v>84</v>
      </c>
      <c r="L24" s="389"/>
      <c r="M24" s="389" t="s">
        <v>179</v>
      </c>
      <c r="N24" s="387" t="str">
        <f t="shared" si="1"/>
        <v>GBP3YOIS</v>
      </c>
      <c r="O24" s="387" t="str">
        <v>GBP3YOIS=ICAP</v>
      </c>
      <c r="P24" s="343">
        <v>0.46875</v>
      </c>
      <c r="Q24" s="343">
        <v>0.49875000000000003</v>
      </c>
      <c r="R24" s="343">
        <v>0</v>
      </c>
      <c r="S24" s="343">
        <v>0</v>
      </c>
      <c r="T24" s="345">
        <f>_xll.qlMidEquivalent($P24,$Q24,$R24,$S24)</f>
        <v>0.48375000000000001</v>
      </c>
      <c r="U24" s="337"/>
      <c r="V24" s="474">
        <v>0.40500000000000003</v>
      </c>
      <c r="W24" s="337"/>
      <c r="X24" s="565">
        <v>0.40500000000000003</v>
      </c>
      <c r="Y24" s="342" t="e">
        <f>_xll.qlSimpleQuoteSetValue(E24,X24/100,ISERROR(F24))</f>
        <v>#N/A</v>
      </c>
      <c r="Z24" s="213"/>
    </row>
    <row r="25" spans="1:26" x14ac:dyDescent="0.25">
      <c r="A25" s="167"/>
      <c r="B25" s="173"/>
      <c r="C25" s="174" t="s">
        <v>83</v>
      </c>
      <c r="D25" s="173" t="s">
        <v>179</v>
      </c>
      <c r="E25" s="164" t="str">
        <f t="shared" si="0"/>
        <v>GBP4YOIS_Quote</v>
      </c>
      <c r="F25" s="164" t="str">
        <f>_xll.qlSimpleQuote(E25,,RateTickValue,Permanent,Trigger,ObjectOverwrite)</f>
        <v>GBP4YOIS_Quote#0000</v>
      </c>
      <c r="G25" s="163" t="str">
        <f>_xll.ohRangeRetrieveError(F25)</f>
        <v/>
      </c>
      <c r="H25" s="162"/>
      <c r="J25" s="118"/>
      <c r="K25" s="386" t="s">
        <v>83</v>
      </c>
      <c r="L25" s="389"/>
      <c r="M25" s="389" t="s">
        <v>179</v>
      </c>
      <c r="N25" s="387" t="str">
        <f t="shared" si="1"/>
        <v>GBP4YOIS</v>
      </c>
      <c r="O25" s="387" t="str">
        <v>GBP4YOIS=ICAP</v>
      </c>
      <c r="P25" s="343">
        <v>0.61624999999999996</v>
      </c>
      <c r="Q25" s="343">
        <v>0.66625000000000001</v>
      </c>
      <c r="R25" s="343">
        <v>0</v>
      </c>
      <c r="S25" s="343">
        <v>0</v>
      </c>
      <c r="T25" s="345">
        <f>_xll.qlMidEquivalent($P25,$Q25,$R25,$S25)</f>
        <v>0.64124999999999999</v>
      </c>
      <c r="U25" s="337"/>
      <c r="V25" s="474">
        <v>0.51749999999999996</v>
      </c>
      <c r="W25" s="337"/>
      <c r="X25" s="565">
        <v>0.51749999999999996</v>
      </c>
      <c r="Y25" s="342" t="e">
        <f>_xll.qlSimpleQuoteSetValue(E25,X25/100,ISERROR(F25))</f>
        <v>#N/A</v>
      </c>
      <c r="Z25" s="213"/>
    </row>
    <row r="26" spans="1:26" x14ac:dyDescent="0.25">
      <c r="A26" s="167"/>
      <c r="B26" s="173"/>
      <c r="C26" s="174" t="s">
        <v>82</v>
      </c>
      <c r="D26" s="173" t="s">
        <v>179</v>
      </c>
      <c r="E26" s="164" t="str">
        <f t="shared" si="0"/>
        <v>GBP5YOIS_Quote</v>
      </c>
      <c r="F26" s="164" t="str">
        <f>_xll.qlSimpleQuote(E26,,RateTickValue,Permanent,Trigger,ObjectOverwrite)</f>
        <v>GBP5YOIS_Quote#0000</v>
      </c>
      <c r="G26" s="163" t="str">
        <f>_xll.ohRangeRetrieveError(F26)</f>
        <v/>
      </c>
      <c r="H26" s="162"/>
      <c r="J26" s="118"/>
      <c r="K26" s="386" t="s">
        <v>82</v>
      </c>
      <c r="L26" s="389"/>
      <c r="M26" s="389" t="s">
        <v>179</v>
      </c>
      <c r="N26" s="387" t="str">
        <f t="shared" si="1"/>
        <v>GBP5YOIS</v>
      </c>
      <c r="O26" s="387" t="str">
        <v>GBP5YOIS=ICAP</v>
      </c>
      <c r="P26" s="343">
        <v>0.81</v>
      </c>
      <c r="Q26" s="343">
        <v>0.86</v>
      </c>
      <c r="R26" s="343">
        <v>0</v>
      </c>
      <c r="S26" s="343">
        <v>0</v>
      </c>
      <c r="T26" s="345">
        <f>_xll.qlMidEquivalent($P26,$Q26,$R26,$S26)</f>
        <v>0.83499999999999996</v>
      </c>
      <c r="U26" s="337"/>
      <c r="V26" s="474">
        <v>0.67</v>
      </c>
      <c r="W26" s="337"/>
      <c r="X26" s="565">
        <v>0.67</v>
      </c>
      <c r="Y26" s="342" t="e">
        <f>_xll.qlSimpleQuoteSetValue(E26,X26/100,ISERROR(F26))</f>
        <v>#N/A</v>
      </c>
      <c r="Z26" s="213"/>
    </row>
    <row r="27" spans="1:26" x14ac:dyDescent="0.25">
      <c r="A27" s="167"/>
      <c r="B27" s="173"/>
      <c r="C27" s="174" t="s">
        <v>81</v>
      </c>
      <c r="D27" s="173" t="s">
        <v>179</v>
      </c>
      <c r="E27" s="164" t="str">
        <f t="shared" si="0"/>
        <v>GBP6YOIS_Quote</v>
      </c>
      <c r="F27" s="164" t="str">
        <f>_xll.qlSimpleQuote(E27,,RateTickValue,Permanent,Trigger,ObjectOverwrite)</f>
        <v>GBP6YOIS_Quote#0000</v>
      </c>
      <c r="G27" s="163" t="str">
        <f>_xll.ohRangeRetrieveError(F27)</f>
        <v/>
      </c>
      <c r="H27" s="162"/>
      <c r="J27" s="118"/>
      <c r="K27" s="386" t="s">
        <v>81</v>
      </c>
      <c r="L27" s="389"/>
      <c r="M27" s="389" t="s">
        <v>179</v>
      </c>
      <c r="N27" s="387" t="str">
        <f t="shared" si="1"/>
        <v>GBP6YOIS</v>
      </c>
      <c r="O27" s="387" t="str">
        <v>GBP6YOIS=ICAP</v>
      </c>
      <c r="P27" s="343">
        <v>1.0137499999999999</v>
      </c>
      <c r="Q27" s="343">
        <v>1.06375</v>
      </c>
      <c r="R27" s="343">
        <v>0</v>
      </c>
      <c r="S27" s="343">
        <v>0</v>
      </c>
      <c r="T27" s="345">
        <f>_xll.qlMidEquivalent($P27,$Q27,$R27,$S27)</f>
        <v>1.0387499999999998</v>
      </c>
      <c r="U27" s="337"/>
      <c r="V27" s="474">
        <v>0.84250000000000003</v>
      </c>
      <c r="W27" s="337"/>
      <c r="X27" s="565">
        <v>0.84250000000000003</v>
      </c>
      <c r="Y27" s="342" t="e">
        <f>_xll.qlSimpleQuoteSetValue(E27,X27/100,ISERROR(F27))</f>
        <v>#N/A</v>
      </c>
      <c r="Z27" s="213"/>
    </row>
    <row r="28" spans="1:26" x14ac:dyDescent="0.25">
      <c r="A28" s="167"/>
      <c r="B28" s="173"/>
      <c r="C28" s="174" t="s">
        <v>80</v>
      </c>
      <c r="D28" s="173" t="s">
        <v>179</v>
      </c>
      <c r="E28" s="164" t="str">
        <f t="shared" si="0"/>
        <v>GBP7YOIS_Quote</v>
      </c>
      <c r="F28" s="164" t="str">
        <f>_xll.qlSimpleQuote(E28,,RateTickValue,Permanent,Trigger,ObjectOverwrite)</f>
        <v>GBP7YOIS_Quote#0000</v>
      </c>
      <c r="G28" s="163" t="str">
        <f>_xll.ohRangeRetrieveError(F28)</f>
        <v/>
      </c>
      <c r="H28" s="162"/>
      <c r="J28" s="118"/>
      <c r="K28" s="386" t="s">
        <v>80</v>
      </c>
      <c r="L28" s="389"/>
      <c r="M28" s="389" t="s">
        <v>179</v>
      </c>
      <c r="N28" s="387" t="str">
        <f t="shared" si="1"/>
        <v>GBP7YOIS</v>
      </c>
      <c r="O28" s="387" t="str">
        <v>GBP7YOIS=ICAP</v>
      </c>
      <c r="P28" s="343">
        <v>1.2250000000000001</v>
      </c>
      <c r="Q28" s="343">
        <v>1.2749999999999999</v>
      </c>
      <c r="R28" s="343">
        <v>0</v>
      </c>
      <c r="S28" s="343">
        <v>0</v>
      </c>
      <c r="T28" s="345">
        <f>_xll.qlMidEquivalent($P28,$Q28,$R28,$S28)</f>
        <v>1.25</v>
      </c>
      <c r="U28" s="337"/>
      <c r="V28" s="474">
        <v>1.03</v>
      </c>
      <c r="W28" s="337"/>
      <c r="X28" s="565">
        <v>1.03</v>
      </c>
      <c r="Y28" s="342" t="e">
        <f>_xll.qlSimpleQuoteSetValue(E28,X28/100,ISERROR(F28))</f>
        <v>#N/A</v>
      </c>
      <c r="Z28" s="213"/>
    </row>
    <row r="29" spans="1:26" x14ac:dyDescent="0.25">
      <c r="A29" s="167"/>
      <c r="B29" s="173"/>
      <c r="C29" s="174" t="s">
        <v>79</v>
      </c>
      <c r="D29" s="173" t="s">
        <v>179</v>
      </c>
      <c r="E29" s="164" t="str">
        <f t="shared" si="0"/>
        <v>GBP8YOIS_Quote</v>
      </c>
      <c r="F29" s="164" t="str">
        <f>_xll.qlSimpleQuote(E29,,RateTickValue,Permanent,Trigger,ObjectOverwrite)</f>
        <v>GBP8YOIS_Quote#0000</v>
      </c>
      <c r="G29" s="163" t="str">
        <f>_xll.ohRangeRetrieveError(F29)</f>
        <v/>
      </c>
      <c r="H29" s="162"/>
      <c r="J29" s="118"/>
      <c r="K29" s="386" t="s">
        <v>79</v>
      </c>
      <c r="L29" s="389"/>
      <c r="M29" s="389" t="s">
        <v>179</v>
      </c>
      <c r="N29" s="387" t="str">
        <f t="shared" si="1"/>
        <v>GBP8YOIS</v>
      </c>
      <c r="O29" s="387" t="str">
        <v>GBP8YOIS=ICAP</v>
      </c>
      <c r="P29" s="343">
        <v>1.4312499999999999</v>
      </c>
      <c r="Q29" s="343">
        <v>1.48125</v>
      </c>
      <c r="R29" s="343">
        <v>0</v>
      </c>
      <c r="S29" s="343">
        <v>0</v>
      </c>
      <c r="T29" s="345">
        <f>_xll.qlMidEquivalent($P29,$Q29,$R29,$S29)</f>
        <v>1.4562499999999998</v>
      </c>
      <c r="U29" s="337"/>
      <c r="V29" s="474">
        <v>1.22</v>
      </c>
      <c r="W29" s="337"/>
      <c r="X29" s="565">
        <v>1.22</v>
      </c>
      <c r="Y29" s="342" t="e">
        <f>_xll.qlSimpleQuoteSetValue(E29,X29/100,ISERROR(F29))</f>
        <v>#N/A</v>
      </c>
      <c r="Z29" s="213"/>
    </row>
    <row r="30" spans="1:26" x14ac:dyDescent="0.25">
      <c r="A30" s="167"/>
      <c r="B30" s="173"/>
      <c r="C30" s="174" t="s">
        <v>78</v>
      </c>
      <c r="D30" s="173" t="s">
        <v>179</v>
      </c>
      <c r="E30" s="164" t="str">
        <f t="shared" si="0"/>
        <v>GBP9YOIS_Quote</v>
      </c>
      <c r="F30" s="164" t="str">
        <f>_xll.qlSimpleQuote(E30,,RateTickValue,Permanent,Trigger,ObjectOverwrite)</f>
        <v>GBP9YOIS_Quote#0000</v>
      </c>
      <c r="G30" s="163" t="str">
        <f>_xll.ohRangeRetrieveError(F30)</f>
        <v/>
      </c>
      <c r="H30" s="162"/>
      <c r="J30" s="118"/>
      <c r="K30" s="386" t="s">
        <v>78</v>
      </c>
      <c r="L30" s="389"/>
      <c r="M30" s="389" t="s">
        <v>179</v>
      </c>
      <c r="N30" s="387" t="str">
        <f t="shared" si="1"/>
        <v>GBP9YOIS</v>
      </c>
      <c r="O30" s="387" t="str">
        <v>GBP9YOIS=ICAP</v>
      </c>
      <c r="P30" s="343">
        <v>1.62375</v>
      </c>
      <c r="Q30" s="343">
        <v>1.6737500000000001</v>
      </c>
      <c r="R30" s="343">
        <v>0</v>
      </c>
      <c r="S30" s="343">
        <v>0</v>
      </c>
      <c r="T30" s="345">
        <f>_xll.qlMidEquivalent($P30,$Q30,$R30,$S30)</f>
        <v>1.6487500000000002</v>
      </c>
      <c r="U30" s="337"/>
      <c r="V30" s="474">
        <v>1.405</v>
      </c>
      <c r="W30" s="337"/>
      <c r="X30" s="565">
        <v>1.405</v>
      </c>
      <c r="Y30" s="342" t="e">
        <f>_xll.qlSimpleQuoteSetValue(E30,X30/100,ISERROR(F30))</f>
        <v>#N/A</v>
      </c>
      <c r="Z30" s="213"/>
    </row>
    <row r="31" spans="1:26" x14ac:dyDescent="0.25">
      <c r="A31" s="167"/>
      <c r="B31" s="173"/>
      <c r="C31" s="174" t="s">
        <v>77</v>
      </c>
      <c r="D31" s="173" t="s">
        <v>179</v>
      </c>
      <c r="E31" s="164" t="str">
        <f t="shared" si="0"/>
        <v>GBP10YOIS_Quote</v>
      </c>
      <c r="F31" s="164" t="str">
        <f>_xll.qlSimpleQuote(E31,,RateTickValue,Permanent,Trigger,ObjectOverwrite)</f>
        <v>GBP10YOIS_Quote#0000</v>
      </c>
      <c r="G31" s="163" t="str">
        <f>_xll.ohRangeRetrieveError(F31)</f>
        <v/>
      </c>
      <c r="H31" s="162"/>
      <c r="J31" s="118"/>
      <c r="K31" s="386" t="s">
        <v>77</v>
      </c>
      <c r="L31" s="389"/>
      <c r="M31" s="389" t="s">
        <v>179</v>
      </c>
      <c r="N31" s="387" t="str">
        <f t="shared" si="1"/>
        <v>GBP10YOIS</v>
      </c>
      <c r="O31" s="387" t="str">
        <v>GBP10YOIS=ICAP</v>
      </c>
      <c r="P31" s="343">
        <v>1.7962499999999999</v>
      </c>
      <c r="Q31" s="343">
        <v>1.8462499999999999</v>
      </c>
      <c r="R31" s="343">
        <v>0</v>
      </c>
      <c r="S31" s="343">
        <v>0</v>
      </c>
      <c r="T31" s="345">
        <f>_xll.qlMidEquivalent($P31,$Q31,$R31,$S31)</f>
        <v>1.82125</v>
      </c>
      <c r="U31" s="337"/>
      <c r="V31" s="474">
        <v>1.575</v>
      </c>
      <c r="W31" s="337"/>
      <c r="X31" s="565">
        <v>1.575</v>
      </c>
      <c r="Y31" s="342" t="e">
        <f>_xll.qlSimpleQuoteSetValue(E31,X31/100,ISERROR(F31))</f>
        <v>#N/A</v>
      </c>
      <c r="Z31" s="213"/>
    </row>
    <row r="32" spans="1:26" x14ac:dyDescent="0.25">
      <c r="A32" s="167"/>
      <c r="B32" s="173"/>
      <c r="C32" s="174" t="s">
        <v>76</v>
      </c>
      <c r="D32" s="173" t="s">
        <v>179</v>
      </c>
      <c r="E32" s="164" t="str">
        <f t="shared" si="0"/>
        <v>GBP11YOIS_Quote</v>
      </c>
      <c r="F32" s="164" t="str">
        <f>_xll.qlSimpleQuote(E32,,RateTickValue,Permanent,Trigger,ObjectOverwrite)</f>
        <v>GBP11YOIS_Quote#0000</v>
      </c>
      <c r="G32" s="163" t="str">
        <f>_xll.ohRangeRetrieveError(F32)</f>
        <v/>
      </c>
      <c r="H32" s="162"/>
      <c r="J32" s="118"/>
      <c r="K32" s="386" t="s">
        <v>76</v>
      </c>
      <c r="L32" s="389"/>
      <c r="M32" s="389" t="s">
        <v>179</v>
      </c>
      <c r="N32" s="387" t="str">
        <f t="shared" si="1"/>
        <v>GBP11YOIS</v>
      </c>
      <c r="O32" s="387" t="str">
        <v>GBP11YOIS=ICAP</v>
      </c>
      <c r="P32" s="343" t="s">
        <v>233</v>
      </c>
      <c r="Q32" s="343" t="s">
        <v>233</v>
      </c>
      <c r="R32" s="343" t="s">
        <v>233</v>
      </c>
      <c r="S32" s="343" t="s">
        <v>233</v>
      </c>
      <c r="T32" s="345" t="e">
        <f>_xll.qlMidEquivalent($P32,$Q32,$R32,$S32)</f>
        <v>#NUM!</v>
      </c>
      <c r="U32" s="337"/>
      <c r="V32" s="474" t="e">
        <v>#NUM!</v>
      </c>
      <c r="W32" s="337"/>
      <c r="X32" s="565" t="e">
        <v>#NUM!</v>
      </c>
      <c r="Y32" s="342" t="e">
        <f>_xll.qlSimpleQuoteSetValue(E32,X32/100,ISERROR(F32))</f>
        <v>#NUM!</v>
      </c>
      <c r="Z32" s="213"/>
    </row>
    <row r="33" spans="1:26" x14ac:dyDescent="0.25">
      <c r="A33" s="167"/>
      <c r="B33" s="173"/>
      <c r="C33" s="174" t="s">
        <v>75</v>
      </c>
      <c r="D33" s="173" t="s">
        <v>179</v>
      </c>
      <c r="E33" s="164" t="str">
        <f t="shared" si="0"/>
        <v>GBP12YOIS_Quote</v>
      </c>
      <c r="F33" s="164" t="str">
        <f>_xll.qlSimpleQuote(E33,,RateTickValue,Permanent,Trigger,ObjectOverwrite)</f>
        <v>GBP12YOIS_Quote#0000</v>
      </c>
      <c r="G33" s="163" t="str">
        <f>_xll.ohRangeRetrieveError(F33)</f>
        <v/>
      </c>
      <c r="H33" s="162"/>
      <c r="J33" s="118"/>
      <c r="K33" s="386" t="s">
        <v>75</v>
      </c>
      <c r="L33" s="389"/>
      <c r="M33" s="389" t="s">
        <v>179</v>
      </c>
      <c r="N33" s="387" t="str">
        <f t="shared" si="1"/>
        <v>GBP12YOIS</v>
      </c>
      <c r="O33" s="387" t="str">
        <v>GBP12YOIS=ICAP</v>
      </c>
      <c r="P33" s="343">
        <v>2.0750000000000002</v>
      </c>
      <c r="Q33" s="343">
        <v>2.125</v>
      </c>
      <c r="R33" s="343">
        <v>0</v>
      </c>
      <c r="S33" s="343">
        <v>0</v>
      </c>
      <c r="T33" s="345">
        <f>_xll.qlMidEquivalent($P33,$Q33,$R33,$S33)</f>
        <v>2.1</v>
      </c>
      <c r="U33" s="337"/>
      <c r="V33" s="474">
        <v>1.8574999999999999</v>
      </c>
      <c r="W33" s="337"/>
      <c r="X33" s="565">
        <v>1.8574999999999999</v>
      </c>
      <c r="Y33" s="342" t="e">
        <f>_xll.qlSimpleQuoteSetValue(E33,X33/100,ISERROR(F33))</f>
        <v>#N/A</v>
      </c>
      <c r="Z33" s="213"/>
    </row>
    <row r="34" spans="1:26" x14ac:dyDescent="0.25">
      <c r="A34" s="167"/>
      <c r="B34" s="173"/>
      <c r="C34" s="174" t="s">
        <v>72</v>
      </c>
      <c r="D34" s="173" t="s">
        <v>179</v>
      </c>
      <c r="E34" s="164" t="str">
        <f t="shared" si="0"/>
        <v>GBP15YOIS_Quote</v>
      </c>
      <c r="F34" s="164" t="str">
        <f>_xll.qlSimpleQuote(E34,,RateTickValue,Permanent,Trigger,ObjectOverwrite)</f>
        <v>GBP15YOIS_Quote#0000</v>
      </c>
      <c r="G34" s="163" t="str">
        <f>_xll.ohRangeRetrieveError(F34)</f>
        <v/>
      </c>
      <c r="H34" s="162"/>
      <c r="J34" s="118"/>
      <c r="K34" s="386" t="s">
        <v>72</v>
      </c>
      <c r="L34" s="389"/>
      <c r="M34" s="389" t="s">
        <v>179</v>
      </c>
      <c r="N34" s="387" t="str">
        <f t="shared" si="1"/>
        <v>GBP15YOIS</v>
      </c>
      <c r="O34" s="387" t="str">
        <v>GBP15YOIS=ICAP</v>
      </c>
      <c r="P34" s="343">
        <v>2.37</v>
      </c>
      <c r="Q34" s="343">
        <v>2.42</v>
      </c>
      <c r="R34" s="343">
        <v>0</v>
      </c>
      <c r="S34" s="343">
        <v>0</v>
      </c>
      <c r="T34" s="345">
        <f>_xll.qlMidEquivalent($P34,$Q34,$R34,$S34)</f>
        <v>2.395</v>
      </c>
      <c r="U34" s="337"/>
      <c r="V34" s="474">
        <v>2.1625000000000001</v>
      </c>
      <c r="W34" s="337"/>
      <c r="X34" s="565">
        <v>2.1625000000000001</v>
      </c>
      <c r="Y34" s="342" t="e">
        <f>_xll.qlSimpleQuoteSetValue(E34,X34/100,ISERROR(F34))</f>
        <v>#N/A</v>
      </c>
      <c r="Z34" s="213"/>
    </row>
    <row r="35" spans="1:26" x14ac:dyDescent="0.25">
      <c r="A35" s="167"/>
      <c r="B35" s="173"/>
      <c r="C35" s="174" t="s">
        <v>67</v>
      </c>
      <c r="D35" s="173" t="s">
        <v>179</v>
      </c>
      <c r="E35" s="164" t="str">
        <f t="shared" si="0"/>
        <v>GBP20YOIS_Quote</v>
      </c>
      <c r="F35" s="164" t="str">
        <f>_xll.qlSimpleQuote(E35,,RateTickValue,Permanent,Trigger,ObjectOverwrite)</f>
        <v>GBP20YOIS_Quote#0000</v>
      </c>
      <c r="G35" s="163" t="str">
        <f>_xll.ohRangeRetrieveError(F35)</f>
        <v/>
      </c>
      <c r="H35" s="162"/>
      <c r="J35" s="118"/>
      <c r="K35" s="386" t="s">
        <v>67</v>
      </c>
      <c r="L35" s="389"/>
      <c r="M35" s="389" t="s">
        <v>179</v>
      </c>
      <c r="N35" s="387" t="str">
        <f t="shared" si="1"/>
        <v>GBP20YOIS</v>
      </c>
      <c r="O35" s="387" t="str">
        <v>GBP20YOIS=ICAP</v>
      </c>
      <c r="P35" s="343">
        <v>2.6850000000000001</v>
      </c>
      <c r="Q35" s="343">
        <v>2.7349999999999999</v>
      </c>
      <c r="R35" s="343">
        <v>0</v>
      </c>
      <c r="S35" s="343">
        <v>0</v>
      </c>
      <c r="T35" s="345">
        <f>_xll.qlMidEquivalent($P35,$Q35,$R35,$S35)</f>
        <v>2.71</v>
      </c>
      <c r="U35" s="337"/>
      <c r="V35" s="474">
        <v>2.4874999999999998</v>
      </c>
      <c r="W35" s="337"/>
      <c r="X35" s="565">
        <v>2.4874999999999998</v>
      </c>
      <c r="Y35" s="342" t="e">
        <f>_xll.qlSimpleQuoteSetValue(E35,X35/100,ISERROR(F35))</f>
        <v>#N/A</v>
      </c>
      <c r="Z35" s="213"/>
    </row>
    <row r="36" spans="1:26" x14ac:dyDescent="0.25">
      <c r="A36" s="167"/>
      <c r="B36" s="173"/>
      <c r="C36" s="174" t="s">
        <v>62</v>
      </c>
      <c r="D36" s="173" t="s">
        <v>179</v>
      </c>
      <c r="E36" s="164" t="str">
        <f t="shared" si="0"/>
        <v>GBP25YOIS_Quote</v>
      </c>
      <c r="F36" s="164" t="str">
        <f>_xll.qlSimpleQuote(E36,,RateTickValue,Permanent,Trigger,ObjectOverwrite)</f>
        <v>GBP25YOIS_Quote#0000</v>
      </c>
      <c r="G36" s="163" t="str">
        <f>_xll.ohRangeRetrieveError(F36)</f>
        <v/>
      </c>
      <c r="H36" s="162"/>
      <c r="J36" s="118"/>
      <c r="K36" s="386" t="s">
        <v>62</v>
      </c>
      <c r="L36" s="389"/>
      <c r="M36" s="389" t="s">
        <v>179</v>
      </c>
      <c r="N36" s="387" t="str">
        <f t="shared" si="1"/>
        <v>GBP25YOIS</v>
      </c>
      <c r="O36" s="387" t="str">
        <v>GBP25YOIS=ICAP</v>
      </c>
      <c r="P36" s="343">
        <v>2.855</v>
      </c>
      <c r="Q36" s="343">
        <v>2.9049999999999998</v>
      </c>
      <c r="R36" s="343">
        <v>0</v>
      </c>
      <c r="S36" s="343">
        <v>0</v>
      </c>
      <c r="T36" s="345">
        <f>_xll.qlMidEquivalent($P36,$Q36,$R36,$S36)</f>
        <v>2.88</v>
      </c>
      <c r="U36" s="337"/>
      <c r="V36" s="474">
        <v>2.665</v>
      </c>
      <c r="W36" s="337"/>
      <c r="X36" s="565">
        <v>2.665</v>
      </c>
      <c r="Y36" s="342" t="e">
        <f>_xll.qlSimpleQuoteSetValue(E36,X36/100,ISERROR(F36))</f>
        <v>#N/A</v>
      </c>
      <c r="Z36" s="213"/>
    </row>
    <row r="37" spans="1:26" x14ac:dyDescent="0.25">
      <c r="A37" s="167"/>
      <c r="B37" s="173"/>
      <c r="C37" s="174" t="s">
        <v>57</v>
      </c>
      <c r="D37" s="173" t="s">
        <v>179</v>
      </c>
      <c r="E37" s="164" t="str">
        <f t="shared" si="0"/>
        <v>GBP30YOIS_Quote</v>
      </c>
      <c r="F37" s="164" t="str">
        <f>_xll.qlSimpleQuote(E37,,RateTickValue,Permanent,Trigger,ObjectOverwrite)</f>
        <v>GBP30YOIS_Quote#0000</v>
      </c>
      <c r="G37" s="163" t="str">
        <f>_xll.ohRangeRetrieveError(F37)</f>
        <v/>
      </c>
      <c r="H37" s="162"/>
      <c r="J37" s="118"/>
      <c r="K37" s="386" t="s">
        <v>57</v>
      </c>
      <c r="L37" s="389"/>
      <c r="M37" s="389" t="s">
        <v>179</v>
      </c>
      <c r="N37" s="387" t="str">
        <f t="shared" si="1"/>
        <v>GBP30YOIS</v>
      </c>
      <c r="O37" s="387" t="str">
        <v>GBP30YOIS=ICAP</v>
      </c>
      <c r="P37" s="343">
        <v>2.9049999999999998</v>
      </c>
      <c r="Q37" s="343">
        <v>3.0350000000000001</v>
      </c>
      <c r="R37" s="343">
        <v>0</v>
      </c>
      <c r="S37" s="343">
        <v>0</v>
      </c>
      <c r="T37" s="345">
        <f>_xll.qlMidEquivalent($P37,$Q37,$R37,$S37)</f>
        <v>2.9699999999999998</v>
      </c>
      <c r="U37" s="337"/>
      <c r="V37" s="474">
        <v>2.7524999999999999</v>
      </c>
      <c r="W37" s="337"/>
      <c r="X37" s="566">
        <v>2.7524999999999999</v>
      </c>
      <c r="Y37" s="335" t="e">
        <f>_xll.qlSimpleQuoteSetValue(E37,X37/100,ISERROR(F37))</f>
        <v>#N/A</v>
      </c>
      <c r="Z37" s="213"/>
    </row>
    <row r="38" spans="1:26" ht="14.25" thickBot="1" x14ac:dyDescent="0.3">
      <c r="A38" s="167"/>
      <c r="B38" s="171"/>
      <c r="C38" s="172"/>
      <c r="D38" s="171"/>
      <c r="E38" s="170"/>
      <c r="F38" s="170"/>
      <c r="G38" s="169"/>
      <c r="H38" s="162"/>
      <c r="J38" s="32"/>
      <c r="K38" s="493"/>
      <c r="L38" s="493"/>
      <c r="M38" s="493"/>
      <c r="N38" s="493"/>
      <c r="O38" s="493"/>
      <c r="P38" s="493"/>
      <c r="Q38" s="493"/>
      <c r="R38" s="493"/>
      <c r="S38" s="493"/>
      <c r="T38" s="493"/>
      <c r="U38" s="31"/>
      <c r="V38" s="493"/>
      <c r="W38" s="31"/>
      <c r="X38" s="493"/>
      <c r="Y38" s="493"/>
      <c r="Z38" s="373"/>
    </row>
    <row r="39" spans="1:26" x14ac:dyDescent="0.25">
      <c r="A39" s="167"/>
      <c r="B39" s="165" t="s">
        <v>180</v>
      </c>
      <c r="C39" s="166" t="s">
        <v>204</v>
      </c>
      <c r="D39" s="165" t="s">
        <v>179</v>
      </c>
      <c r="E39" s="168" t="str">
        <f t="shared" ref="E39:E74" si="2">Currency&amp;$B39&amp;$C39&amp;$D39&amp;QuoteSuffix</f>
        <v>GBPMPCJAN11OIS_Quote</v>
      </c>
      <c r="F39" s="168" t="str">
        <f>_xll.qlSimpleQuote(E39,,RateTickValue,Permanent,Trigger,ObjectOverwrite)</f>
        <v>GBPMPCJAN11OIS_Quote#0000</v>
      </c>
      <c r="G39" s="163" t="s">
        <v>178</v>
      </c>
      <c r="H39" s="162"/>
    </row>
    <row r="40" spans="1:26" x14ac:dyDescent="0.25">
      <c r="A40" s="167"/>
      <c r="B40" s="165" t="s">
        <v>180</v>
      </c>
      <c r="C40" s="166" t="s">
        <v>203</v>
      </c>
      <c r="D40" s="165" t="s">
        <v>179</v>
      </c>
      <c r="E40" s="164" t="str">
        <f t="shared" si="2"/>
        <v>GBPMPCFEB11OIS_Quote</v>
      </c>
      <c r="F40" s="164" t="str">
        <f>_xll.qlSimpleQuote(E40,,RateTickValue,Permanent,Trigger,ObjectOverwrite)</f>
        <v>GBPMPCFEB11OIS_Quote#0000</v>
      </c>
      <c r="G40" s="163" t="s">
        <v>178</v>
      </c>
      <c r="H40" s="162"/>
    </row>
    <row r="41" spans="1:26" x14ac:dyDescent="0.25">
      <c r="A41" s="167"/>
      <c r="B41" s="165" t="s">
        <v>180</v>
      </c>
      <c r="C41" s="166" t="s">
        <v>202</v>
      </c>
      <c r="D41" s="165" t="s">
        <v>179</v>
      </c>
      <c r="E41" s="164" t="str">
        <f t="shared" si="2"/>
        <v>GBPMPCMAR11OIS_Quote</v>
      </c>
      <c r="F41" s="164" t="str">
        <f>_xll.qlSimpleQuote(E41,,RateTickValue,Permanent,Trigger,ObjectOverwrite)</f>
        <v>GBPMPCMAR11OIS_Quote#0000</v>
      </c>
      <c r="G41" s="163" t="s">
        <v>178</v>
      </c>
      <c r="H41" s="162"/>
    </row>
    <row r="42" spans="1:26" x14ac:dyDescent="0.25">
      <c r="A42" s="167"/>
      <c r="B42" s="165" t="s">
        <v>180</v>
      </c>
      <c r="C42" s="166" t="s">
        <v>201</v>
      </c>
      <c r="D42" s="165" t="s">
        <v>179</v>
      </c>
      <c r="E42" s="164" t="str">
        <f t="shared" si="2"/>
        <v>GBPMPCAPR11OIS_Quote</v>
      </c>
      <c r="F42" s="164" t="str">
        <f>_xll.qlSimpleQuote(E42,,RateTickValue,Permanent,Trigger,ObjectOverwrite)</f>
        <v>GBPMPCAPR11OIS_Quote#0000</v>
      </c>
      <c r="G42" s="163" t="s">
        <v>178</v>
      </c>
      <c r="H42" s="162"/>
    </row>
    <row r="43" spans="1:26" x14ac:dyDescent="0.25">
      <c r="A43" s="167"/>
      <c r="B43" s="165" t="s">
        <v>180</v>
      </c>
      <c r="C43" s="166" t="s">
        <v>200</v>
      </c>
      <c r="D43" s="165" t="s">
        <v>179</v>
      </c>
      <c r="E43" s="164" t="str">
        <f t="shared" si="2"/>
        <v>GBPMPCMAY11OIS_Quote</v>
      </c>
      <c r="F43" s="164" t="str">
        <f>_xll.qlSimpleQuote(E43,,RateTickValue,Permanent,Trigger,ObjectOverwrite)</f>
        <v>GBPMPCMAY11OIS_Quote#0000</v>
      </c>
      <c r="G43" s="163" t="s">
        <v>178</v>
      </c>
      <c r="H43" s="162"/>
    </row>
    <row r="44" spans="1:26" x14ac:dyDescent="0.25">
      <c r="A44" s="167"/>
      <c r="B44" s="165" t="s">
        <v>180</v>
      </c>
      <c r="C44" s="166" t="s">
        <v>199</v>
      </c>
      <c r="D44" s="165" t="s">
        <v>179</v>
      </c>
      <c r="E44" s="164" t="str">
        <f t="shared" si="2"/>
        <v>GBPMPCJUN11OIS_Quote</v>
      </c>
      <c r="F44" s="164" t="str">
        <f>_xll.qlSimpleQuote(E44,,RateTickValue,Permanent,Trigger,ObjectOverwrite)</f>
        <v>GBPMPCJUN11OIS_Quote#0000</v>
      </c>
      <c r="G44" s="163" t="s">
        <v>178</v>
      </c>
      <c r="H44" s="162"/>
    </row>
    <row r="45" spans="1:26" x14ac:dyDescent="0.25">
      <c r="A45" s="167"/>
      <c r="B45" s="165" t="s">
        <v>180</v>
      </c>
      <c r="C45" s="166" t="s">
        <v>198</v>
      </c>
      <c r="D45" s="165" t="s">
        <v>179</v>
      </c>
      <c r="E45" s="164" t="str">
        <f t="shared" si="2"/>
        <v>GBPMPCJUL11OIS_Quote</v>
      </c>
      <c r="F45" s="164" t="str">
        <f>_xll.qlSimpleQuote(E45,,RateTickValue,Permanent,Trigger,ObjectOverwrite)</f>
        <v>GBPMPCJUL11OIS_Quote#0000</v>
      </c>
      <c r="G45" s="163" t="s">
        <v>178</v>
      </c>
      <c r="H45" s="162"/>
    </row>
    <row r="46" spans="1:26" x14ac:dyDescent="0.25">
      <c r="A46" s="167"/>
      <c r="B46" s="165" t="s">
        <v>180</v>
      </c>
      <c r="C46" s="166" t="s">
        <v>197</v>
      </c>
      <c r="D46" s="165" t="s">
        <v>179</v>
      </c>
      <c r="E46" s="164" t="str">
        <f t="shared" si="2"/>
        <v>GBPMPCAUG11OIS_Quote</v>
      </c>
      <c r="F46" s="164" t="str">
        <f>_xll.qlSimpleQuote(E46,,RateTickValue,Permanent,Trigger,ObjectOverwrite)</f>
        <v>GBPMPCAUG11OIS_Quote#0000</v>
      </c>
      <c r="G46" s="163" t="s">
        <v>178</v>
      </c>
      <c r="H46" s="162"/>
    </row>
    <row r="47" spans="1:26" x14ac:dyDescent="0.25">
      <c r="A47" s="167"/>
      <c r="B47" s="165" t="s">
        <v>180</v>
      </c>
      <c r="C47" s="166" t="s">
        <v>196</v>
      </c>
      <c r="D47" s="165" t="s">
        <v>179</v>
      </c>
      <c r="E47" s="164" t="str">
        <f t="shared" si="2"/>
        <v>GBPMPCSEP11OIS_Quote</v>
      </c>
      <c r="F47" s="164" t="str">
        <f>_xll.qlSimpleQuote(E47,,RateTickValue,Permanent,Trigger,ObjectOverwrite)</f>
        <v>GBPMPCSEP11OIS_Quote#0000</v>
      </c>
      <c r="G47" s="163" t="s">
        <v>178</v>
      </c>
      <c r="H47" s="162"/>
    </row>
    <row r="48" spans="1:26" x14ac:dyDescent="0.25">
      <c r="A48" s="167"/>
      <c r="B48" s="165" t="s">
        <v>180</v>
      </c>
      <c r="C48" s="166" t="s">
        <v>195</v>
      </c>
      <c r="D48" s="165" t="s">
        <v>179</v>
      </c>
      <c r="E48" s="164" t="str">
        <f t="shared" si="2"/>
        <v>GBPMPCOCT11OIS_Quote</v>
      </c>
      <c r="F48" s="164" t="str">
        <f>_xll.qlSimpleQuote(E48,,RateTickValue,Permanent,Trigger,ObjectOverwrite)</f>
        <v>GBPMPCOCT11OIS_Quote#0000</v>
      </c>
      <c r="G48" s="163" t="s">
        <v>178</v>
      </c>
      <c r="H48" s="162"/>
    </row>
    <row r="49" spans="1:8" x14ac:dyDescent="0.25">
      <c r="A49" s="167"/>
      <c r="B49" s="165" t="s">
        <v>180</v>
      </c>
      <c r="C49" s="166" t="s">
        <v>194</v>
      </c>
      <c r="D49" s="165" t="s">
        <v>179</v>
      </c>
      <c r="E49" s="164" t="str">
        <f t="shared" si="2"/>
        <v>GBPMPCNOV11OIS_Quote</v>
      </c>
      <c r="F49" s="164" t="str">
        <f>_xll.qlSimpleQuote(E49,,RateTickValue,Permanent,Trigger,ObjectOverwrite)</f>
        <v>GBPMPCNOV11OIS_Quote#0000</v>
      </c>
      <c r="G49" s="163" t="s">
        <v>178</v>
      </c>
      <c r="H49" s="162"/>
    </row>
    <row r="50" spans="1:8" x14ac:dyDescent="0.25">
      <c r="A50" s="167"/>
      <c r="B50" s="165" t="s">
        <v>180</v>
      </c>
      <c r="C50" s="166" t="s">
        <v>193</v>
      </c>
      <c r="D50" s="165" t="s">
        <v>179</v>
      </c>
      <c r="E50" s="164" t="str">
        <f t="shared" si="2"/>
        <v>GBPMPCDEC11OIS_Quote</v>
      </c>
      <c r="F50" s="164" t="str">
        <f>_xll.qlSimpleQuote(E50,,RateTickValue,Permanent,Trigger,ObjectOverwrite)</f>
        <v>GBPMPCDEC11OIS_Quote#0000</v>
      </c>
      <c r="G50" s="163" t="s">
        <v>178</v>
      </c>
      <c r="H50" s="162"/>
    </row>
    <row r="51" spans="1:8" x14ac:dyDescent="0.25">
      <c r="A51" s="167"/>
      <c r="B51" s="165" t="s">
        <v>180</v>
      </c>
      <c r="C51" s="166" t="s">
        <v>192</v>
      </c>
      <c r="D51" s="165" t="s">
        <v>179</v>
      </c>
      <c r="E51" s="164" t="str">
        <f t="shared" si="2"/>
        <v>GBPMPCJAN12OIS_Quote</v>
      </c>
      <c r="F51" s="164" t="str">
        <f>_xll.qlSimpleQuote(E51,,RateTickValue,Permanent,Trigger,ObjectOverwrite)</f>
        <v>GBPMPCJAN12OIS_Quote#0000</v>
      </c>
      <c r="G51" s="163" t="s">
        <v>178</v>
      </c>
      <c r="H51" s="162"/>
    </row>
    <row r="52" spans="1:8" x14ac:dyDescent="0.25">
      <c r="A52" s="167"/>
      <c r="B52" s="165" t="s">
        <v>180</v>
      </c>
      <c r="C52" s="166" t="s">
        <v>191</v>
      </c>
      <c r="D52" s="165" t="s">
        <v>179</v>
      </c>
      <c r="E52" s="164" t="str">
        <f t="shared" si="2"/>
        <v>GBPMPCFEB12OIS_Quote</v>
      </c>
      <c r="F52" s="164" t="str">
        <f>_xll.qlSimpleQuote(E52,,RateTickValue,Permanent,Trigger,ObjectOverwrite)</f>
        <v>GBPMPCFEB12OIS_Quote#0000</v>
      </c>
      <c r="G52" s="163" t="s">
        <v>178</v>
      </c>
      <c r="H52" s="162"/>
    </row>
    <row r="53" spans="1:8" x14ac:dyDescent="0.25">
      <c r="A53" s="167"/>
      <c r="B53" s="165" t="s">
        <v>180</v>
      </c>
      <c r="C53" s="166" t="s">
        <v>190</v>
      </c>
      <c r="D53" s="165" t="s">
        <v>179</v>
      </c>
      <c r="E53" s="164" t="str">
        <f t="shared" si="2"/>
        <v>GBPMPCMAR12OIS_Quote</v>
      </c>
      <c r="F53" s="164" t="str">
        <f>_xll.qlSimpleQuote(E53,,RateTickValue,Permanent,Trigger,ObjectOverwrite)</f>
        <v>GBPMPCMAR12OIS_Quote#0000</v>
      </c>
      <c r="G53" s="163" t="s">
        <v>178</v>
      </c>
      <c r="H53" s="162"/>
    </row>
    <row r="54" spans="1:8" x14ac:dyDescent="0.25">
      <c r="A54" s="167"/>
      <c r="B54" s="165" t="s">
        <v>180</v>
      </c>
      <c r="C54" s="166" t="s">
        <v>189</v>
      </c>
      <c r="D54" s="165" t="s">
        <v>179</v>
      </c>
      <c r="E54" s="164" t="str">
        <f t="shared" si="2"/>
        <v>GBPMPCAPR12OIS_Quote</v>
      </c>
      <c r="F54" s="164" t="str">
        <f>_xll.qlSimpleQuote(E54,,RateTickValue,Permanent,Trigger,ObjectOverwrite)</f>
        <v>GBPMPCAPR12OIS_Quote#0000</v>
      </c>
      <c r="G54" s="163" t="s">
        <v>178</v>
      </c>
      <c r="H54" s="162"/>
    </row>
    <row r="55" spans="1:8" x14ac:dyDescent="0.25">
      <c r="A55" s="167"/>
      <c r="B55" s="165" t="s">
        <v>180</v>
      </c>
      <c r="C55" s="166" t="s">
        <v>188</v>
      </c>
      <c r="D55" s="165" t="s">
        <v>179</v>
      </c>
      <c r="E55" s="164" t="str">
        <f t="shared" si="2"/>
        <v>GBPMPCMAY12OIS_Quote</v>
      </c>
      <c r="F55" s="164" t="str">
        <f>_xll.qlSimpleQuote(E55,,RateTickValue,Permanent,Trigger,ObjectOverwrite)</f>
        <v>GBPMPCMAY12OIS_Quote#0000</v>
      </c>
      <c r="G55" s="163" t="s">
        <v>178</v>
      </c>
      <c r="H55" s="162"/>
    </row>
    <row r="56" spans="1:8" x14ac:dyDescent="0.25">
      <c r="A56" s="167"/>
      <c r="B56" s="165" t="s">
        <v>180</v>
      </c>
      <c r="C56" s="166" t="s">
        <v>187</v>
      </c>
      <c r="D56" s="165" t="s">
        <v>179</v>
      </c>
      <c r="E56" s="164" t="str">
        <f t="shared" si="2"/>
        <v>GBPMPCJUN12OIS_Quote</v>
      </c>
      <c r="F56" s="164" t="str">
        <f>_xll.qlSimpleQuote(E56,,RateTickValue,Permanent,Trigger,ObjectOverwrite)</f>
        <v>GBPMPCJUN12OIS_Quote#0000</v>
      </c>
      <c r="G56" s="163" t="s">
        <v>178</v>
      </c>
      <c r="H56" s="162"/>
    </row>
    <row r="57" spans="1:8" x14ac:dyDescent="0.25">
      <c r="A57" s="167"/>
      <c r="B57" s="165" t="s">
        <v>180</v>
      </c>
      <c r="C57" s="166" t="s">
        <v>186</v>
      </c>
      <c r="D57" s="165" t="s">
        <v>179</v>
      </c>
      <c r="E57" s="164" t="str">
        <f t="shared" si="2"/>
        <v>GBPMPCJUL12OIS_Quote</v>
      </c>
      <c r="F57" s="164" t="str">
        <f>_xll.qlSimpleQuote(E57,,RateTickValue,Permanent,Trigger,ObjectOverwrite)</f>
        <v>GBPMPCJUL12OIS_Quote#0000</v>
      </c>
      <c r="G57" s="163" t="s">
        <v>178</v>
      </c>
      <c r="H57" s="162"/>
    </row>
    <row r="58" spans="1:8" x14ac:dyDescent="0.25">
      <c r="A58" s="167"/>
      <c r="B58" s="165" t="s">
        <v>180</v>
      </c>
      <c r="C58" s="166" t="s">
        <v>185</v>
      </c>
      <c r="D58" s="165" t="s">
        <v>179</v>
      </c>
      <c r="E58" s="164" t="str">
        <f t="shared" si="2"/>
        <v>GBPMPCAUG12OIS_Quote</v>
      </c>
      <c r="F58" s="164" t="str">
        <f>_xll.qlSimpleQuote(E58,,RateTickValue,Permanent,Trigger,ObjectOverwrite)</f>
        <v>GBPMPCAUG12OIS_Quote#0000</v>
      </c>
      <c r="G58" s="163" t="s">
        <v>178</v>
      </c>
      <c r="H58" s="162"/>
    </row>
    <row r="59" spans="1:8" x14ac:dyDescent="0.25">
      <c r="A59" s="167"/>
      <c r="B59" s="165" t="s">
        <v>180</v>
      </c>
      <c r="C59" s="166" t="s">
        <v>184</v>
      </c>
      <c r="D59" s="165" t="s">
        <v>179</v>
      </c>
      <c r="E59" s="164" t="str">
        <f t="shared" si="2"/>
        <v>GBPMPCSEP12OIS_Quote</v>
      </c>
      <c r="F59" s="164" t="str">
        <f>_xll.qlSimpleQuote(E59,,RateTickValue,Permanent,Trigger,ObjectOverwrite)</f>
        <v>GBPMPCSEP12OIS_Quote#0000</v>
      </c>
      <c r="G59" s="163" t="s">
        <v>178</v>
      </c>
      <c r="H59" s="162"/>
    </row>
    <row r="60" spans="1:8" x14ac:dyDescent="0.25">
      <c r="A60" s="167"/>
      <c r="B60" s="165" t="s">
        <v>180</v>
      </c>
      <c r="C60" s="166" t="s">
        <v>183</v>
      </c>
      <c r="D60" s="165" t="s">
        <v>179</v>
      </c>
      <c r="E60" s="164" t="str">
        <f t="shared" si="2"/>
        <v>GBPMPCOCT12OIS_Quote</v>
      </c>
      <c r="F60" s="164" t="str">
        <f>_xll.qlSimpleQuote(E60,,RateTickValue,Permanent,Trigger,ObjectOverwrite)</f>
        <v>GBPMPCOCT12OIS_Quote#0000</v>
      </c>
      <c r="G60" s="163" t="s">
        <v>178</v>
      </c>
      <c r="H60" s="162"/>
    </row>
    <row r="61" spans="1:8" x14ac:dyDescent="0.25">
      <c r="A61" s="167"/>
      <c r="B61" s="165" t="s">
        <v>180</v>
      </c>
      <c r="C61" s="166" t="s">
        <v>182</v>
      </c>
      <c r="D61" s="165" t="s">
        <v>179</v>
      </c>
      <c r="E61" s="164" t="str">
        <f t="shared" si="2"/>
        <v>GBPMPCNOV12OIS_Quote</v>
      </c>
      <c r="F61" s="164" t="str">
        <f>_xll.qlSimpleQuote(E61,,RateTickValue,Permanent,Trigger,ObjectOverwrite)</f>
        <v>GBPMPCNOV12OIS_Quote#0000</v>
      </c>
      <c r="G61" s="163" t="s">
        <v>178</v>
      </c>
      <c r="H61" s="162"/>
    </row>
    <row r="62" spans="1:8" x14ac:dyDescent="0.25">
      <c r="A62" s="167"/>
      <c r="B62" s="165" t="s">
        <v>180</v>
      </c>
      <c r="C62" s="166" t="s">
        <v>181</v>
      </c>
      <c r="D62" s="165" t="s">
        <v>179</v>
      </c>
      <c r="E62" s="164" t="str">
        <f t="shared" si="2"/>
        <v>GBPMPCDEC12OIS_Quote</v>
      </c>
      <c r="F62" s="164" t="str">
        <f>_xll.qlSimpleQuote(E62,,RateTickValue,Permanent,Trigger,ObjectOverwrite)</f>
        <v>GBPMPCDEC12OIS_Quote#0000</v>
      </c>
      <c r="G62" s="163" t="s">
        <v>178</v>
      </c>
      <c r="H62" s="162"/>
    </row>
    <row r="63" spans="1:8" x14ac:dyDescent="0.25">
      <c r="A63" s="167"/>
      <c r="B63" s="165" t="s">
        <v>180</v>
      </c>
      <c r="C63" s="166" t="e">
        <v>#NUM!</v>
      </c>
      <c r="D63" s="165" t="s">
        <v>179</v>
      </c>
      <c r="E63" s="164" t="e">
        <f t="shared" si="2"/>
        <v>#NUM!</v>
      </c>
      <c r="F63" s="164" t="e">
        <f>_xll.qlSimpleQuote(E63,,RateTickValue,Permanent,Trigger,ObjectOverwrite)</f>
        <v>#VALUE!</v>
      </c>
      <c r="G63" s="163" t="s">
        <v>178</v>
      </c>
      <c r="H63" s="162"/>
    </row>
    <row r="64" spans="1:8" x14ac:dyDescent="0.25">
      <c r="A64" s="167"/>
      <c r="B64" s="165" t="s">
        <v>180</v>
      </c>
      <c r="C64" s="166" t="e">
        <v>#NUM!</v>
      </c>
      <c r="D64" s="165" t="s">
        <v>179</v>
      </c>
      <c r="E64" s="164" t="e">
        <f t="shared" si="2"/>
        <v>#NUM!</v>
      </c>
      <c r="F64" s="164" t="e">
        <f>_xll.qlSimpleQuote(E64,,RateTickValue,Permanent,Trigger,ObjectOverwrite)</f>
        <v>#VALUE!</v>
      </c>
      <c r="G64" s="163" t="s">
        <v>178</v>
      </c>
      <c r="H64" s="162"/>
    </row>
    <row r="65" spans="1:8" x14ac:dyDescent="0.25">
      <c r="A65" s="167"/>
      <c r="B65" s="165" t="s">
        <v>180</v>
      </c>
      <c r="C65" s="166" t="e">
        <v>#NUM!</v>
      </c>
      <c r="D65" s="165" t="s">
        <v>179</v>
      </c>
      <c r="E65" s="164" t="e">
        <f t="shared" si="2"/>
        <v>#NUM!</v>
      </c>
      <c r="F65" s="164" t="e">
        <f>_xll.qlSimpleQuote(E65,,RateTickValue,Permanent,Trigger,ObjectOverwrite)</f>
        <v>#VALUE!</v>
      </c>
      <c r="G65" s="163" t="s">
        <v>178</v>
      </c>
      <c r="H65" s="162"/>
    </row>
    <row r="66" spans="1:8" x14ac:dyDescent="0.25">
      <c r="A66" s="167"/>
      <c r="B66" s="165" t="s">
        <v>180</v>
      </c>
      <c r="C66" s="166" t="e">
        <v>#NUM!</v>
      </c>
      <c r="D66" s="165" t="s">
        <v>179</v>
      </c>
      <c r="E66" s="164" t="e">
        <f t="shared" si="2"/>
        <v>#NUM!</v>
      </c>
      <c r="F66" s="164" t="e">
        <f>_xll.qlSimpleQuote(E66,,RateTickValue,Permanent,Trigger,ObjectOverwrite)</f>
        <v>#VALUE!</v>
      </c>
      <c r="G66" s="163" t="s">
        <v>178</v>
      </c>
      <c r="H66" s="162"/>
    </row>
    <row r="67" spans="1:8" x14ac:dyDescent="0.25">
      <c r="A67" s="167"/>
      <c r="B67" s="165" t="s">
        <v>180</v>
      </c>
      <c r="C67" s="166" t="e">
        <v>#NUM!</v>
      </c>
      <c r="D67" s="165" t="s">
        <v>179</v>
      </c>
      <c r="E67" s="164" t="e">
        <f t="shared" si="2"/>
        <v>#NUM!</v>
      </c>
      <c r="F67" s="164" t="e">
        <f>_xll.qlSimpleQuote(E67,,RateTickValue,Permanent,Trigger,ObjectOverwrite)</f>
        <v>#VALUE!</v>
      </c>
      <c r="G67" s="163" t="s">
        <v>178</v>
      </c>
      <c r="H67" s="162"/>
    </row>
    <row r="68" spans="1:8" x14ac:dyDescent="0.25">
      <c r="A68" s="167"/>
      <c r="B68" s="165" t="s">
        <v>180</v>
      </c>
      <c r="C68" s="166" t="e">
        <v>#NUM!</v>
      </c>
      <c r="D68" s="165" t="s">
        <v>179</v>
      </c>
      <c r="E68" s="164" t="e">
        <f t="shared" si="2"/>
        <v>#NUM!</v>
      </c>
      <c r="F68" s="164" t="e">
        <f>_xll.qlSimpleQuote(E68,,RateTickValue,Permanent,Trigger,ObjectOverwrite)</f>
        <v>#VALUE!</v>
      </c>
      <c r="G68" s="163" t="s">
        <v>178</v>
      </c>
      <c r="H68" s="162"/>
    </row>
    <row r="69" spans="1:8" x14ac:dyDescent="0.25">
      <c r="A69" s="167"/>
      <c r="B69" s="165" t="s">
        <v>180</v>
      </c>
      <c r="C69" s="166" t="e">
        <v>#NUM!</v>
      </c>
      <c r="D69" s="165" t="s">
        <v>179</v>
      </c>
      <c r="E69" s="164" t="e">
        <f t="shared" si="2"/>
        <v>#NUM!</v>
      </c>
      <c r="F69" s="164" t="e">
        <f>_xll.qlSimpleQuote(E69,,RateTickValue,Permanent,Trigger,ObjectOverwrite)</f>
        <v>#VALUE!</v>
      </c>
      <c r="G69" s="163" t="s">
        <v>178</v>
      </c>
      <c r="H69" s="162"/>
    </row>
    <row r="70" spans="1:8" x14ac:dyDescent="0.25">
      <c r="A70" s="167"/>
      <c r="B70" s="165" t="s">
        <v>180</v>
      </c>
      <c r="C70" s="166" t="e">
        <v>#NUM!</v>
      </c>
      <c r="D70" s="165" t="s">
        <v>179</v>
      </c>
      <c r="E70" s="164" t="e">
        <f t="shared" si="2"/>
        <v>#NUM!</v>
      </c>
      <c r="F70" s="164" t="e">
        <f>_xll.qlSimpleQuote(E70,,RateTickValue,Permanent,Trigger,ObjectOverwrite)</f>
        <v>#VALUE!</v>
      </c>
      <c r="G70" s="163" t="s">
        <v>178</v>
      </c>
      <c r="H70" s="162"/>
    </row>
    <row r="71" spans="1:8" x14ac:dyDescent="0.25">
      <c r="A71" s="167"/>
      <c r="B71" s="165" t="s">
        <v>180</v>
      </c>
      <c r="C71" s="166" t="e">
        <v>#NUM!</v>
      </c>
      <c r="D71" s="165" t="s">
        <v>179</v>
      </c>
      <c r="E71" s="164" t="e">
        <f t="shared" si="2"/>
        <v>#NUM!</v>
      </c>
      <c r="F71" s="164" t="e">
        <f>_xll.qlSimpleQuote(E71,,RateTickValue,Permanent,Trigger,ObjectOverwrite)</f>
        <v>#VALUE!</v>
      </c>
      <c r="G71" s="163" t="s">
        <v>178</v>
      </c>
      <c r="H71" s="162"/>
    </row>
    <row r="72" spans="1:8" x14ac:dyDescent="0.25">
      <c r="A72" s="167"/>
      <c r="B72" s="165" t="s">
        <v>180</v>
      </c>
      <c r="C72" s="166" t="e">
        <v>#NUM!</v>
      </c>
      <c r="D72" s="165" t="s">
        <v>179</v>
      </c>
      <c r="E72" s="164" t="e">
        <f t="shared" si="2"/>
        <v>#NUM!</v>
      </c>
      <c r="F72" s="164" t="e">
        <f>_xll.qlSimpleQuote(E72,,RateTickValue,Permanent,Trigger,ObjectOverwrite)</f>
        <v>#VALUE!</v>
      </c>
      <c r="G72" s="163" t="s">
        <v>178</v>
      </c>
      <c r="H72" s="162"/>
    </row>
    <row r="73" spans="1:8" x14ac:dyDescent="0.25">
      <c r="A73" s="167"/>
      <c r="B73" s="165" t="s">
        <v>180</v>
      </c>
      <c r="C73" s="166" t="e">
        <v>#NUM!</v>
      </c>
      <c r="D73" s="165" t="s">
        <v>179</v>
      </c>
      <c r="E73" s="164" t="e">
        <f t="shared" si="2"/>
        <v>#NUM!</v>
      </c>
      <c r="F73" s="164" t="e">
        <f>_xll.qlSimpleQuote(E73,,RateTickValue,Permanent,Trigger,ObjectOverwrite)</f>
        <v>#VALUE!</v>
      </c>
      <c r="G73" s="163" t="s">
        <v>178</v>
      </c>
      <c r="H73" s="162"/>
    </row>
    <row r="74" spans="1:8" x14ac:dyDescent="0.25">
      <c r="A74" s="167"/>
      <c r="B74" s="165" t="s">
        <v>180</v>
      </c>
      <c r="C74" s="166" t="e">
        <v>#NUM!</v>
      </c>
      <c r="D74" s="165" t="s">
        <v>179</v>
      </c>
      <c r="E74" s="164" t="e">
        <f t="shared" si="2"/>
        <v>#NUM!</v>
      </c>
      <c r="F74" s="164" t="e">
        <f>_xll.qlSimpleQuote(E74,,RateTickValue,Permanent,Trigger,ObjectOverwrite)</f>
        <v>#VALUE!</v>
      </c>
      <c r="G74" s="163" t="s">
        <v>178</v>
      </c>
      <c r="H74" s="162"/>
    </row>
    <row r="75" spans="1:8" ht="14.25" thickBot="1" x14ac:dyDescent="0.3">
      <c r="A75" s="161"/>
      <c r="B75" s="160"/>
      <c r="C75" s="160"/>
      <c r="D75" s="160"/>
      <c r="E75" s="160"/>
      <c r="F75" s="159"/>
      <c r="G75" s="159"/>
      <c r="H75" s="158"/>
    </row>
  </sheetData>
  <conditionalFormatting sqref="Y5:Y37">
    <cfRule type="cellIs" dxfId="23" priority="1" stopIfTrue="1" operator="greaterThan">
      <formula>0</formula>
    </cfRule>
    <cfRule type="cellIs" dxfId="22"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1" t="s">
        <v>351</v>
      </c>
      <c r="K1" s="196"/>
      <c r="L1" s="196"/>
      <c r="M1" s="196"/>
      <c r="N1" s="196"/>
      <c r="O1" s="196"/>
      <c r="P1" s="196"/>
      <c r="Q1" s="196"/>
      <c r="R1" s="196"/>
      <c r="S1" s="196"/>
      <c r="T1" s="196"/>
      <c r="U1" s="196"/>
      <c r="V1" s="196"/>
      <c r="W1" s="196"/>
      <c r="X1" s="196"/>
      <c r="Y1" s="196"/>
      <c r="Z1" s="193"/>
    </row>
    <row r="2" spans="1:32" ht="13.5" thickBot="1" x14ac:dyDescent="0.25">
      <c r="J2" s="369"/>
      <c r="K2" s="337"/>
      <c r="L2" s="337"/>
      <c r="M2" s="337"/>
      <c r="N2" s="337"/>
      <c r="O2" s="140" t="s">
        <v>275</v>
      </c>
      <c r="P2" s="337"/>
      <c r="Q2" s="337"/>
      <c r="R2" s="337"/>
      <c r="S2" s="337"/>
      <c r="T2" s="133"/>
      <c r="U2" s="337"/>
      <c r="V2" s="337"/>
      <c r="W2" s="337"/>
      <c r="X2" s="133"/>
      <c r="Y2" s="133"/>
      <c r="Z2" s="33"/>
    </row>
    <row r="3" spans="1:32" x14ac:dyDescent="0.2">
      <c r="A3" s="558" t="s">
        <v>346</v>
      </c>
      <c r="B3" s="196"/>
      <c r="C3" s="196"/>
      <c r="D3" s="196"/>
      <c r="E3" s="194"/>
      <c r="F3" s="195"/>
      <c r="G3" s="194"/>
      <c r="H3" s="193"/>
      <c r="J3" s="118"/>
      <c r="K3" s="337"/>
      <c r="L3" s="133"/>
      <c r="M3" s="133"/>
      <c r="N3" s="133"/>
      <c r="O3" s="133"/>
      <c r="P3" s="133"/>
      <c r="Q3" s="133"/>
      <c r="R3" s="133"/>
      <c r="S3" s="133"/>
      <c r="T3" s="133"/>
      <c r="U3" s="337"/>
      <c r="V3" s="337"/>
      <c r="W3" s="337"/>
      <c r="X3" s="133"/>
      <c r="Y3" s="442">
        <f>_xll.ohTrigger(Y5:Y15)</f>
        <v>1</v>
      </c>
      <c r="Z3" s="213"/>
    </row>
    <row r="4" spans="1:32" x14ac:dyDescent="0.2">
      <c r="A4" s="118"/>
      <c r="B4" s="192"/>
      <c r="C4" s="191"/>
      <c r="D4" s="90"/>
      <c r="E4" s="89" t="str">
        <f>Currency&amp;"_010_Sw"&amp;"1M.xml"</f>
        <v>GBP_010_Sw1M.xml</v>
      </c>
      <c r="F4" s="88">
        <f ca="1">IF(Serialize,_xll.ohObjectSave(F5:F15,SerializationPath&amp;E4,FileOverwrite,Serialize),"---")</f>
        <v>11</v>
      </c>
      <c r="G4" s="72" t="str">
        <f ca="1">_xll.ohRangeRetrieveError(F4)</f>
        <v/>
      </c>
      <c r="H4" s="33"/>
      <c r="J4" s="118"/>
      <c r="K4" s="477"/>
      <c r="L4" s="191"/>
      <c r="M4" s="191"/>
      <c r="N4" s="191"/>
      <c r="O4" s="365" t="e">
        <f ca="1">_xll.RData(O5:O15,P4:S4,"RTFEED:IDN",ReutersRtMode,,P5)</f>
        <v>#NAME?</v>
      </c>
      <c r="P4" s="400" t="s">
        <v>291</v>
      </c>
      <c r="Q4" s="400" t="s">
        <v>264</v>
      </c>
      <c r="R4" s="400" t="s">
        <v>244</v>
      </c>
      <c r="S4" s="400" t="s">
        <v>290</v>
      </c>
      <c r="T4" s="361" t="s">
        <v>289</v>
      </c>
      <c r="U4" s="337"/>
      <c r="V4" s="363" t="s">
        <v>286</v>
      </c>
      <c r="W4" s="337"/>
      <c r="X4" s="563" t="s">
        <v>285</v>
      </c>
      <c r="Y4" s="91" t="s">
        <v>284</v>
      </c>
      <c r="Z4" s="213"/>
      <c r="AF4" s="399" t="s">
        <v>288</v>
      </c>
    </row>
    <row r="5" spans="1:32" x14ac:dyDescent="0.2">
      <c r="A5" s="118"/>
      <c r="B5" s="190"/>
      <c r="C5" s="75">
        <v>2</v>
      </c>
      <c r="D5" s="74" t="s">
        <v>205</v>
      </c>
      <c r="E5" s="73" t="str">
        <f t="shared" ref="E5:E15" si="0">Currency&amp;$C5&amp;$D5&amp;$B5&amp;QuoteSuffix</f>
        <v>GBP2X1S_Quote</v>
      </c>
      <c r="F5" s="73" t="str">
        <f>_xll.qlSimpleQuote(Currency&amp;$C5&amp;$D5&amp;$B5&amp;QuoteSuffix,,RateTickValue,Permanent,Trigger,ObjectOverwrite)</f>
        <v>GBP2X1S_Quote#0000</v>
      </c>
      <c r="G5" s="8" t="str">
        <f>_xll.ohRangeRetrieveError(F5)</f>
        <v/>
      </c>
      <c r="H5" s="33"/>
      <c r="J5" s="118"/>
      <c r="K5" s="381"/>
      <c r="L5" s="387">
        <v>2</v>
      </c>
      <c r="M5" s="387" t="s">
        <v>205</v>
      </c>
      <c r="N5" s="346" t="str">
        <f t="shared" ref="N5:N15" si="1">Currency&amp;$L5&amp;$M5&amp;$K5</f>
        <v>GBP2X1S</v>
      </c>
      <c r="O5" s="346" t="str">
        <f t="array" ref="O5:O15">Instruments&amp;"="&amp;VLOOKUP(Contributor,ContributorTable,2,FALSE)</f>
        <v>GBP2X1S=ICAP</v>
      </c>
      <c r="P5" s="388">
        <v>0.43874999999999997</v>
      </c>
      <c r="Q5" s="388">
        <v>0.53874999999999995</v>
      </c>
      <c r="R5" s="388">
        <v>0</v>
      </c>
      <c r="S5" s="388">
        <v>0</v>
      </c>
      <c r="T5" s="475">
        <f>_xll.qlMidSafe($P5,$Q5)</f>
        <v>0.48874999999999996</v>
      </c>
      <c r="U5" s="337"/>
      <c r="V5" s="474">
        <v>0.49</v>
      </c>
      <c r="W5" s="337"/>
      <c r="X5" s="565">
        <f t="array" ref="X5:X15">QuoteStatic</f>
        <v>0.49</v>
      </c>
      <c r="Y5" s="342" t="e">
        <f>_xll.qlSimpleQuoteSetValue(F5,X5/100,Trigger)</f>
        <v>#N/A</v>
      </c>
      <c r="Z5" s="213"/>
      <c r="AB5" s="471"/>
      <c r="AF5" s="371">
        <f t="shared" ref="AF5:AF15" si="2">(Q5-T5)/50</f>
        <v>9.999999999999998E-4</v>
      </c>
    </row>
    <row r="6" spans="1:32" x14ac:dyDescent="0.2">
      <c r="A6" s="118"/>
      <c r="B6" s="189"/>
      <c r="C6" s="188">
        <v>3</v>
      </c>
      <c r="D6" s="187" t="s">
        <v>205</v>
      </c>
      <c r="E6" s="73" t="str">
        <f t="shared" si="0"/>
        <v>GBP3X1S_Quote</v>
      </c>
      <c r="F6" s="73" t="str">
        <f>_xll.qlSimpleQuote(Currency&amp;$C6&amp;$D6&amp;$B6&amp;QuoteSuffix,,RateTickValue,Permanent,Trigger,ObjectOverwrite)</f>
        <v>GBP3X1S_Quote#0000</v>
      </c>
      <c r="G6" s="186" t="str">
        <f>_xll.ohRangeRetrieveError(F6)</f>
        <v/>
      </c>
      <c r="H6" s="33"/>
      <c r="J6" s="118"/>
      <c r="K6" s="381"/>
      <c r="L6" s="387">
        <v>3</v>
      </c>
      <c r="M6" s="387" t="s">
        <v>205</v>
      </c>
      <c r="N6" s="346" t="str">
        <f t="shared" si="1"/>
        <v>GBP3X1S</v>
      </c>
      <c r="O6" s="346" t="str">
        <v>GBP3X1S=ICAP</v>
      </c>
      <c r="P6" s="388">
        <v>0.4375</v>
      </c>
      <c r="Q6" s="388">
        <v>0.53749999999999998</v>
      </c>
      <c r="R6" s="388">
        <v>0</v>
      </c>
      <c r="S6" s="388">
        <v>0</v>
      </c>
      <c r="T6" s="475">
        <f>_xll.qlMidSafe($P6,$Q6)</f>
        <v>0.48749999999999999</v>
      </c>
      <c r="U6" s="337"/>
      <c r="V6" s="474">
        <v>0.48499999999999999</v>
      </c>
      <c r="W6" s="337"/>
      <c r="X6" s="565">
        <v>0.48499999999999999</v>
      </c>
      <c r="Y6" s="342" t="e">
        <f>_xll.qlSimpleQuoteSetValue(F6,X6/100,Trigger)</f>
        <v>#N/A</v>
      </c>
      <c r="Z6" s="213"/>
      <c r="AB6" s="471"/>
      <c r="AF6" s="371">
        <f t="shared" si="2"/>
        <v>9.999999999999998E-4</v>
      </c>
    </row>
    <row r="7" spans="1:32" x14ac:dyDescent="0.2">
      <c r="A7" s="118"/>
      <c r="B7" s="189"/>
      <c r="C7" s="188">
        <v>4</v>
      </c>
      <c r="D7" s="187" t="s">
        <v>205</v>
      </c>
      <c r="E7" s="73" t="str">
        <f t="shared" si="0"/>
        <v>GBP4X1S_Quote</v>
      </c>
      <c r="F7" s="73" t="str">
        <f>_xll.qlSimpleQuote(Currency&amp;$C7&amp;$D7&amp;$B7&amp;QuoteSuffix,,RateTickValue,Permanent,Trigger,ObjectOverwrite)</f>
        <v>GBP4X1S_Quote#0000</v>
      </c>
      <c r="G7" s="186" t="str">
        <f>_xll.ohRangeRetrieveError(F7)</f>
        <v/>
      </c>
      <c r="H7" s="33"/>
      <c r="J7" s="118"/>
      <c r="K7" s="381"/>
      <c r="L7" s="387">
        <v>4</v>
      </c>
      <c r="M7" s="387" t="s">
        <v>205</v>
      </c>
      <c r="N7" s="346" t="str">
        <f t="shared" si="1"/>
        <v>GBP4X1S</v>
      </c>
      <c r="O7" s="346" t="str">
        <v>GBP4X1S=ICAP</v>
      </c>
      <c r="P7" s="388">
        <v>0.43625000000000003</v>
      </c>
      <c r="Q7" s="388">
        <v>0.53625</v>
      </c>
      <c r="R7" s="388">
        <v>0</v>
      </c>
      <c r="S7" s="388">
        <v>0</v>
      </c>
      <c r="T7" s="475">
        <f>_xll.qlMidSafe($P7,$Q7)</f>
        <v>0.48625000000000002</v>
      </c>
      <c r="U7" s="337"/>
      <c r="V7" s="474">
        <v>0.48</v>
      </c>
      <c r="W7" s="337"/>
      <c r="X7" s="565">
        <v>0.48</v>
      </c>
      <c r="Y7" s="342" t="e">
        <f>_xll.qlSimpleQuoteSetValue(F7,X7/100,Trigger)</f>
        <v>#N/A</v>
      </c>
      <c r="Z7" s="213"/>
      <c r="AB7" s="471"/>
      <c r="AF7" s="371">
        <f t="shared" si="2"/>
        <v>9.999999999999998E-4</v>
      </c>
    </row>
    <row r="8" spans="1:32" x14ac:dyDescent="0.2">
      <c r="A8" s="118"/>
      <c r="B8" s="189"/>
      <c r="C8" s="188">
        <v>5</v>
      </c>
      <c r="D8" s="187" t="s">
        <v>205</v>
      </c>
      <c r="E8" s="73" t="str">
        <f t="shared" si="0"/>
        <v>GBP5X1S_Quote</v>
      </c>
      <c r="F8" s="73" t="str">
        <f>_xll.qlSimpleQuote(Currency&amp;$C8&amp;$D8&amp;$B8&amp;QuoteSuffix,,RateTickValue,Permanent,Trigger,ObjectOverwrite)</f>
        <v>GBP5X1S_Quote#0000</v>
      </c>
      <c r="G8" s="186" t="str">
        <f>_xll.ohRangeRetrieveError(F8)</f>
        <v/>
      </c>
      <c r="H8" s="33"/>
      <c r="J8" s="118"/>
      <c r="K8" s="381"/>
      <c r="L8" s="387">
        <v>5</v>
      </c>
      <c r="M8" s="387" t="s">
        <v>205</v>
      </c>
      <c r="N8" s="346" t="str">
        <f t="shared" si="1"/>
        <v>GBP5X1S</v>
      </c>
      <c r="O8" s="346" t="str">
        <v>GBP5X1S=ICAP</v>
      </c>
      <c r="P8" s="388">
        <v>0.435</v>
      </c>
      <c r="Q8" s="388">
        <v>0.53500000000000003</v>
      </c>
      <c r="R8" s="388">
        <v>0</v>
      </c>
      <c r="S8" s="388">
        <v>0</v>
      </c>
      <c r="T8" s="475">
        <f>_xll.qlMidSafe($P8,$Q8)</f>
        <v>0.48499999999999999</v>
      </c>
      <c r="U8" s="337"/>
      <c r="V8" s="474">
        <v>0.47499999999999998</v>
      </c>
      <c r="W8" s="337"/>
      <c r="X8" s="565">
        <v>0.47499999999999998</v>
      </c>
      <c r="Y8" s="342" t="e">
        <f>_xll.qlSimpleQuoteSetValue(F8,X8/100,Trigger)</f>
        <v>#N/A</v>
      </c>
      <c r="Z8" s="213"/>
      <c r="AB8" s="471"/>
      <c r="AF8" s="371">
        <f t="shared" si="2"/>
        <v>1.0000000000000009E-3</v>
      </c>
    </row>
    <row r="9" spans="1:32" x14ac:dyDescent="0.2">
      <c r="A9" s="118"/>
      <c r="B9" s="189"/>
      <c r="C9" s="188">
        <v>6</v>
      </c>
      <c r="D9" s="187" t="s">
        <v>205</v>
      </c>
      <c r="E9" s="73" t="str">
        <f t="shared" si="0"/>
        <v>GBP6X1S_Quote</v>
      </c>
      <c r="F9" s="73" t="str">
        <f>_xll.qlSimpleQuote(Currency&amp;$C9&amp;$D9&amp;$B9&amp;QuoteSuffix,,RateTickValue,Permanent,Trigger,ObjectOverwrite)</f>
        <v>GBP6X1S_Quote#0000</v>
      </c>
      <c r="G9" s="186" t="str">
        <f>_xll.ohRangeRetrieveError(F9)</f>
        <v/>
      </c>
      <c r="H9" s="33"/>
      <c r="J9" s="118"/>
      <c r="K9" s="381"/>
      <c r="L9" s="387">
        <v>6</v>
      </c>
      <c r="M9" s="387" t="s">
        <v>205</v>
      </c>
      <c r="N9" s="346" t="str">
        <f t="shared" si="1"/>
        <v>GBP6X1S</v>
      </c>
      <c r="O9" s="346" t="str">
        <v>GBP6X1S=ICAP</v>
      </c>
      <c r="P9" s="388">
        <v>0.43375000000000002</v>
      </c>
      <c r="Q9" s="388">
        <v>0.53374999999999995</v>
      </c>
      <c r="R9" s="388">
        <v>0</v>
      </c>
      <c r="S9" s="388">
        <v>0</v>
      </c>
      <c r="T9" s="475">
        <f>_xll.qlMidSafe($P9,$Q9)</f>
        <v>0.48375000000000001</v>
      </c>
      <c r="U9" s="337"/>
      <c r="V9" s="474">
        <v>0.47</v>
      </c>
      <c r="W9" s="337"/>
      <c r="X9" s="565">
        <v>0.47</v>
      </c>
      <c r="Y9" s="342" t="e">
        <f>_xll.qlSimpleQuoteSetValue(F9,X9/100,Trigger)</f>
        <v>#N/A</v>
      </c>
      <c r="Z9" s="213"/>
      <c r="AB9" s="471"/>
      <c r="AF9" s="371">
        <f t="shared" si="2"/>
        <v>9.9999999999999872E-4</v>
      </c>
    </row>
    <row r="10" spans="1:32" x14ac:dyDescent="0.2">
      <c r="A10" s="118"/>
      <c r="B10" s="189"/>
      <c r="C10" s="188">
        <v>7</v>
      </c>
      <c r="D10" s="187" t="s">
        <v>205</v>
      </c>
      <c r="E10" s="73" t="str">
        <f t="shared" si="0"/>
        <v>GBP7X1S_Quote</v>
      </c>
      <c r="F10" s="73" t="str">
        <f>_xll.qlSimpleQuote(Currency&amp;$C10&amp;$D10&amp;$B10&amp;QuoteSuffix,,RateTickValue,Permanent,Trigger,ObjectOverwrite)</f>
        <v>GBP7X1S_Quote#0000</v>
      </c>
      <c r="G10" s="186" t="str">
        <f>_xll.ohRangeRetrieveError(F10)</f>
        <v/>
      </c>
      <c r="H10" s="33"/>
      <c r="J10" s="118"/>
      <c r="K10" s="381"/>
      <c r="L10" s="387">
        <v>7</v>
      </c>
      <c r="M10" s="387" t="s">
        <v>205</v>
      </c>
      <c r="N10" s="346" t="str">
        <f t="shared" si="1"/>
        <v>GBP7X1S</v>
      </c>
      <c r="O10" s="346" t="str">
        <v>GBP7X1S=ICAP</v>
      </c>
      <c r="P10" s="388">
        <v>0.4325</v>
      </c>
      <c r="Q10" s="388">
        <v>0.53249999999999997</v>
      </c>
      <c r="R10" s="388">
        <v>0</v>
      </c>
      <c r="S10" s="388">
        <v>0</v>
      </c>
      <c r="T10" s="475">
        <f>_xll.qlMidSafe($P10,$Q10)</f>
        <v>0.48249999999999998</v>
      </c>
      <c r="U10" s="337"/>
      <c r="V10" s="474">
        <v>0.46500000000000002</v>
      </c>
      <c r="W10" s="337"/>
      <c r="X10" s="565">
        <v>0.46500000000000002</v>
      </c>
      <c r="Y10" s="342" t="e">
        <f>_xll.qlSimpleQuoteSetValue(F10,X10/100,Trigger)</f>
        <v>#N/A</v>
      </c>
      <c r="Z10" s="213"/>
      <c r="AB10" s="471"/>
      <c r="AF10" s="371">
        <f t="shared" si="2"/>
        <v>9.999999999999998E-4</v>
      </c>
    </row>
    <row r="11" spans="1:32" x14ac:dyDescent="0.2">
      <c r="A11" s="118"/>
      <c r="B11" s="189"/>
      <c r="C11" s="188">
        <v>8</v>
      </c>
      <c r="D11" s="187" t="s">
        <v>205</v>
      </c>
      <c r="E11" s="73" t="str">
        <f t="shared" si="0"/>
        <v>GBP8X1S_Quote</v>
      </c>
      <c r="F11" s="73" t="str">
        <f>_xll.qlSimpleQuote(Currency&amp;$C11&amp;$D11&amp;$B11&amp;QuoteSuffix,,RateTickValue,Permanent,Trigger,ObjectOverwrite)</f>
        <v>GBP8X1S_Quote#0000</v>
      </c>
      <c r="G11" s="186" t="str">
        <f>_xll.ohRangeRetrieveError(F11)</f>
        <v/>
      </c>
      <c r="H11" s="33"/>
      <c r="J11" s="118"/>
      <c r="K11" s="381"/>
      <c r="L11" s="387">
        <v>8</v>
      </c>
      <c r="M11" s="387" t="s">
        <v>205</v>
      </c>
      <c r="N11" s="346" t="str">
        <f t="shared" si="1"/>
        <v>GBP8X1S</v>
      </c>
      <c r="O11" s="346" t="str">
        <v>GBP8X1S=ICAP</v>
      </c>
      <c r="P11" s="388">
        <v>0.43125000000000002</v>
      </c>
      <c r="Q11" s="388">
        <v>0.53125</v>
      </c>
      <c r="R11" s="388">
        <v>0</v>
      </c>
      <c r="S11" s="388">
        <v>0</v>
      </c>
      <c r="T11" s="475">
        <f>_xll.qlMidSafe($P11,$Q11)</f>
        <v>0.48125000000000001</v>
      </c>
      <c r="U11" s="337"/>
      <c r="V11" s="474">
        <v>0.46500000000000002</v>
      </c>
      <c r="W11" s="337"/>
      <c r="X11" s="565">
        <v>0.46500000000000002</v>
      </c>
      <c r="Y11" s="342" t="e">
        <f>_xll.qlSimpleQuoteSetValue(F11,X11/100,Trigger)</f>
        <v>#N/A</v>
      </c>
      <c r="Z11" s="213"/>
      <c r="AB11" s="471"/>
      <c r="AF11" s="371">
        <f t="shared" si="2"/>
        <v>9.999999999999998E-4</v>
      </c>
    </row>
    <row r="12" spans="1:32" x14ac:dyDescent="0.2">
      <c r="A12" s="118"/>
      <c r="B12" s="189"/>
      <c r="C12" s="188">
        <v>9</v>
      </c>
      <c r="D12" s="187" t="s">
        <v>205</v>
      </c>
      <c r="E12" s="73" t="str">
        <f t="shared" si="0"/>
        <v>GBP9X1S_Quote</v>
      </c>
      <c r="F12" s="73" t="str">
        <f>_xll.qlSimpleQuote(Currency&amp;$C12&amp;$D12&amp;$B12&amp;QuoteSuffix,,RateTickValue,Permanent,Trigger,ObjectOverwrite)</f>
        <v>GBP9X1S_Quote#0000</v>
      </c>
      <c r="G12" s="186" t="str">
        <f>_xll.ohRangeRetrieveError(F12)</f>
        <v/>
      </c>
      <c r="H12" s="33"/>
      <c r="J12" s="118"/>
      <c r="K12" s="381"/>
      <c r="L12" s="387">
        <v>9</v>
      </c>
      <c r="M12" s="387" t="s">
        <v>205</v>
      </c>
      <c r="N12" s="346" t="str">
        <f t="shared" si="1"/>
        <v>GBP9X1S</v>
      </c>
      <c r="O12" s="346" t="str">
        <v>GBP9X1S=ICAP</v>
      </c>
      <c r="P12" s="388">
        <v>0.43125000000000002</v>
      </c>
      <c r="Q12" s="388">
        <v>0.53125</v>
      </c>
      <c r="R12" s="388">
        <v>0</v>
      </c>
      <c r="S12" s="388">
        <v>0</v>
      </c>
      <c r="T12" s="475">
        <f>_xll.qlMidSafe($P12,$Q12)</f>
        <v>0.48125000000000001</v>
      </c>
      <c r="U12" s="337"/>
      <c r="V12" s="474">
        <v>0.46</v>
      </c>
      <c r="W12" s="337"/>
      <c r="X12" s="565">
        <v>0.46</v>
      </c>
      <c r="Y12" s="342" t="e">
        <f>_xll.qlSimpleQuoteSetValue(F12,X12/100,Trigger)</f>
        <v>#N/A</v>
      </c>
      <c r="Z12" s="213"/>
      <c r="AB12" s="471"/>
      <c r="AF12" s="371">
        <f t="shared" si="2"/>
        <v>9.999999999999998E-4</v>
      </c>
    </row>
    <row r="13" spans="1:32" x14ac:dyDescent="0.2">
      <c r="A13" s="118"/>
      <c r="B13" s="189"/>
      <c r="C13" s="188">
        <v>10</v>
      </c>
      <c r="D13" s="187" t="s">
        <v>205</v>
      </c>
      <c r="E13" s="73" t="str">
        <f t="shared" si="0"/>
        <v>GBP10X1S_Quote</v>
      </c>
      <c r="F13" s="73" t="str">
        <f>_xll.qlSimpleQuote(Currency&amp;$C13&amp;$D13&amp;$B13&amp;QuoteSuffix,,RateTickValue,Permanent,Trigger,ObjectOverwrite)</f>
        <v>GBP10X1S_Quote#0000</v>
      </c>
      <c r="G13" s="186" t="str">
        <f>_xll.ohRangeRetrieveError(F13)</f>
        <v/>
      </c>
      <c r="H13" s="33"/>
      <c r="J13" s="118"/>
      <c r="K13" s="381"/>
      <c r="L13" s="387">
        <v>10</v>
      </c>
      <c r="M13" s="387" t="s">
        <v>205</v>
      </c>
      <c r="N13" s="346" t="str">
        <f t="shared" si="1"/>
        <v>GBP10X1S</v>
      </c>
      <c r="O13" s="346" t="str">
        <v>GBP10X1S=ICAP</v>
      </c>
      <c r="P13" s="388">
        <v>0.43</v>
      </c>
      <c r="Q13" s="388">
        <v>0.53</v>
      </c>
      <c r="R13" s="388">
        <v>0</v>
      </c>
      <c r="S13" s="388">
        <v>0</v>
      </c>
      <c r="T13" s="475">
        <f>_xll.qlMidSafe($P13,$Q13)</f>
        <v>0.48</v>
      </c>
      <c r="U13" s="337"/>
      <c r="V13" s="474">
        <v>0.46</v>
      </c>
      <c r="W13" s="337"/>
      <c r="X13" s="565">
        <v>0.46</v>
      </c>
      <c r="Y13" s="342" t="e">
        <f>_xll.qlSimpleQuoteSetValue(F13,X13/100,Trigger)</f>
        <v>#N/A</v>
      </c>
      <c r="Z13" s="213"/>
      <c r="AB13" s="471"/>
      <c r="AF13" s="371">
        <f t="shared" si="2"/>
        <v>1.0000000000000009E-3</v>
      </c>
    </row>
    <row r="14" spans="1:32" x14ac:dyDescent="0.2">
      <c r="A14" s="118"/>
      <c r="B14" s="189"/>
      <c r="C14" s="188">
        <v>11</v>
      </c>
      <c r="D14" s="187" t="s">
        <v>205</v>
      </c>
      <c r="E14" s="73" t="str">
        <f t="shared" si="0"/>
        <v>GBP11X1S_Quote</v>
      </c>
      <c r="F14" s="73" t="str">
        <f>_xll.qlSimpleQuote(Currency&amp;$C14&amp;$D14&amp;$B14&amp;QuoteSuffix,,RateTickValue,Permanent,Trigger,ObjectOverwrite)</f>
        <v>GBP11X1S_Quote#0000</v>
      </c>
      <c r="G14" s="186" t="str">
        <f>_xll.ohRangeRetrieveError(F14)</f>
        <v/>
      </c>
      <c r="H14" s="33"/>
      <c r="J14" s="118"/>
      <c r="K14" s="381"/>
      <c r="L14" s="387">
        <v>11</v>
      </c>
      <c r="M14" s="387" t="s">
        <v>205</v>
      </c>
      <c r="N14" s="346" t="str">
        <f t="shared" si="1"/>
        <v>GBP11X1S</v>
      </c>
      <c r="O14" s="346" t="str">
        <v>GBP11X1S=ICAP</v>
      </c>
      <c r="P14" s="388">
        <v>0.43</v>
      </c>
      <c r="Q14" s="388">
        <v>0.53</v>
      </c>
      <c r="R14" s="388">
        <v>0</v>
      </c>
      <c r="S14" s="388">
        <v>0</v>
      </c>
      <c r="T14" s="475">
        <f>_xll.qlMidSafe($P14,$Q14)</f>
        <v>0.48</v>
      </c>
      <c r="U14" s="337"/>
      <c r="V14" s="474">
        <v>0.46</v>
      </c>
      <c r="W14" s="337"/>
      <c r="X14" s="565">
        <v>0.46</v>
      </c>
      <c r="Y14" s="342" t="e">
        <f>_xll.qlSimpleQuoteSetValue(F14,X14/100,Trigger)</f>
        <v>#N/A</v>
      </c>
      <c r="Z14" s="213"/>
      <c r="AB14" s="471"/>
      <c r="AF14" s="371">
        <f t="shared" si="2"/>
        <v>1.0000000000000009E-3</v>
      </c>
    </row>
    <row r="15" spans="1:32" x14ac:dyDescent="0.2">
      <c r="A15" s="118"/>
      <c r="B15" s="189"/>
      <c r="C15" s="188">
        <v>12</v>
      </c>
      <c r="D15" s="187" t="s">
        <v>205</v>
      </c>
      <c r="E15" s="73" t="str">
        <f t="shared" si="0"/>
        <v>GBP12X1S_Quote</v>
      </c>
      <c r="F15" s="73" t="str">
        <f>_xll.qlSimpleQuote(Currency&amp;$C15&amp;$D15&amp;$B15&amp;QuoteSuffix,,RateTickValue,Permanent,Trigger,ObjectOverwrite)</f>
        <v>GBP12X1S_Quote#0000</v>
      </c>
      <c r="G15" s="186" t="str">
        <f>_xll.ohRangeRetrieveError(F15)</f>
        <v/>
      </c>
      <c r="H15" s="33"/>
      <c r="J15" s="118"/>
      <c r="K15" s="394"/>
      <c r="L15" s="383">
        <v>12</v>
      </c>
      <c r="M15" s="383" t="s">
        <v>205</v>
      </c>
      <c r="N15" s="340" t="str">
        <f t="shared" si="1"/>
        <v>GBP12X1S</v>
      </c>
      <c r="O15" s="340" t="str">
        <v>GBP12X1S=ICAP</v>
      </c>
      <c r="P15" s="384">
        <v>0.43125000000000002</v>
      </c>
      <c r="Q15" s="384">
        <v>0.53125</v>
      </c>
      <c r="R15" s="384">
        <v>0</v>
      </c>
      <c r="S15" s="384">
        <v>0</v>
      </c>
      <c r="T15" s="473">
        <f>_xll.qlMidSafe($P15,$Q15)</f>
        <v>0.48125000000000001</v>
      </c>
      <c r="U15" s="337"/>
      <c r="V15" s="472">
        <v>0.46</v>
      </c>
      <c r="W15" s="337"/>
      <c r="X15" s="566">
        <v>0.46</v>
      </c>
      <c r="Y15" s="335" t="e">
        <f>_xll.qlSimpleQuoteSetValue(F15,X15/100,Trigger)</f>
        <v>#N/A</v>
      </c>
      <c r="Z15" s="213"/>
      <c r="AB15" s="471"/>
      <c r="AF15" s="371">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73"/>
    </row>
  </sheetData>
  <conditionalFormatting sqref="Y5:Y15">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F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18" width="9.140625" style="63"/>
    <col min="19" max="19" width="10.1406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1" t="s">
        <v>351</v>
      </c>
      <c r="K1" s="196"/>
      <c r="L1" s="196"/>
      <c r="M1" s="196"/>
      <c r="N1" s="196"/>
      <c r="O1" s="196"/>
      <c r="P1" s="196"/>
      <c r="Q1" s="196"/>
      <c r="R1" s="196"/>
      <c r="S1" s="196"/>
      <c r="T1" s="196"/>
      <c r="U1" s="196"/>
      <c r="V1" s="196"/>
      <c r="W1" s="196"/>
      <c r="X1" s="196"/>
      <c r="Y1" s="196"/>
      <c r="Z1" s="193"/>
    </row>
    <row r="2" spans="1:32" ht="13.5" thickBot="1" x14ac:dyDescent="0.25">
      <c r="J2" s="369"/>
      <c r="K2" s="133"/>
      <c r="L2" s="337"/>
      <c r="M2" s="337"/>
      <c r="N2" s="337"/>
      <c r="O2" s="140" t="s">
        <v>275</v>
      </c>
      <c r="P2" s="337"/>
      <c r="Q2" s="337"/>
      <c r="R2" s="337"/>
      <c r="S2" s="337"/>
      <c r="T2" s="133"/>
      <c r="U2" s="337"/>
      <c r="V2" s="337"/>
      <c r="W2" s="337"/>
      <c r="X2" s="337"/>
      <c r="Y2" s="133"/>
      <c r="Z2" s="33"/>
    </row>
    <row r="3" spans="1:32" x14ac:dyDescent="0.2">
      <c r="A3" s="558" t="s">
        <v>346</v>
      </c>
      <c r="B3" s="196"/>
      <c r="C3" s="196"/>
      <c r="D3" s="196"/>
      <c r="E3" s="194"/>
      <c r="F3" s="195"/>
      <c r="G3" s="194"/>
      <c r="H3" s="193"/>
      <c r="J3" s="118"/>
      <c r="K3" s="337"/>
      <c r="L3" s="133"/>
      <c r="M3" s="133"/>
      <c r="N3" s="133"/>
      <c r="O3" s="133"/>
      <c r="P3" s="133"/>
      <c r="Q3" s="133"/>
      <c r="R3" s="133"/>
      <c r="S3" s="133"/>
      <c r="T3" s="133"/>
      <c r="U3" s="337"/>
      <c r="V3" s="337"/>
      <c r="W3" s="337"/>
      <c r="X3" s="133"/>
      <c r="Y3" s="442">
        <f>_xll.ohTrigger(Y5:Y11)</f>
        <v>1</v>
      </c>
      <c r="Z3" s="213"/>
    </row>
    <row r="4" spans="1:32" ht="22.5" x14ac:dyDescent="0.2">
      <c r="A4" s="118"/>
      <c r="B4" s="200"/>
      <c r="C4" s="199"/>
      <c r="D4" s="90"/>
      <c r="E4" s="89" t="str">
        <f>Currency&amp;"_010_Sw"&amp;"IMM.xml"</f>
        <v>GBP_010_SwIMM.xml</v>
      </c>
      <c r="F4" s="88">
        <f ca="1">IF(Serialize,_xll.ohObjectSave(F5:F11,SerializationPath&amp;E4,FileOverwrite,Serialize),"---")</f>
        <v>7</v>
      </c>
      <c r="G4" s="72" t="str">
        <f ca="1">_xll.ohRangeRetrieveError(F4)</f>
        <v/>
      </c>
      <c r="H4" s="33"/>
      <c r="J4" s="118"/>
      <c r="K4" s="477"/>
      <c r="L4" s="191"/>
      <c r="M4" s="191"/>
      <c r="N4" s="191"/>
      <c r="O4" s="365" t="e">
        <f ca="1">_xll.RData(O5:O11,P4:S4,"RTFEED:IDN",ReutersRtMode,,P5)</f>
        <v>#NAME?</v>
      </c>
      <c r="P4" s="400" t="s">
        <v>291</v>
      </c>
      <c r="Q4" s="400" t="s">
        <v>264</v>
      </c>
      <c r="R4" s="400" t="s">
        <v>244</v>
      </c>
      <c r="S4" s="400" t="s">
        <v>290</v>
      </c>
      <c r="T4" s="361" t="s">
        <v>289</v>
      </c>
      <c r="U4" s="337"/>
      <c r="V4" s="363" t="s">
        <v>286</v>
      </c>
      <c r="W4" s="337"/>
      <c r="X4" s="563" t="s">
        <v>285</v>
      </c>
      <c r="Y4" s="91" t="s">
        <v>284</v>
      </c>
      <c r="Z4" s="213"/>
      <c r="AF4" s="399" t="s">
        <v>288</v>
      </c>
    </row>
    <row r="5" spans="1:32" x14ac:dyDescent="0.2">
      <c r="A5" s="118"/>
      <c r="B5" s="198"/>
      <c r="C5" s="74" t="s">
        <v>206</v>
      </c>
      <c r="D5" s="74">
        <v>12</v>
      </c>
      <c r="E5" s="73" t="str">
        <f t="shared" ref="E5:E11" si="0">Currency&amp;$C5&amp;$D5&amp;$B5&amp;QuoteSuffix</f>
        <v>GBP1S12_Quote</v>
      </c>
      <c r="F5" s="73" t="str">
        <f>_xll.qlSimpleQuote(Currency&amp;$C5&amp;$D5&amp;$B5&amp;QuoteSuffix,,RateTickValue,Permanent,Trigger,ObjectOverwrite)</f>
        <v>GBP1S12_Quote#0000</v>
      </c>
      <c r="G5" s="8" t="str">
        <f>_xll.ohRangeRetrieveError(F5)</f>
        <v/>
      </c>
      <c r="H5" s="33"/>
      <c r="J5" s="118"/>
      <c r="K5" s="381"/>
      <c r="L5" s="387" t="s">
        <v>206</v>
      </c>
      <c r="M5" s="387">
        <v>12</v>
      </c>
      <c r="N5" s="346" t="str">
        <f t="shared" ref="N5:N11" si="1">Currency&amp;$L5&amp;$M5&amp;$K5</f>
        <v>GBP1S12</v>
      </c>
      <c r="O5" s="346" t="str">
        <f t="array" ref="O5:O11">Instruments&amp;"="&amp;VLOOKUP(Contributor,ContributorTable,2,FALSE)</f>
        <v>GBP1S12=ICAP</v>
      </c>
      <c r="P5" s="388">
        <v>0.52500000000000002</v>
      </c>
      <c r="Q5" s="388">
        <v>0.54500000000000004</v>
      </c>
      <c r="R5" s="388">
        <v>0</v>
      </c>
      <c r="S5" s="388">
        <v>0</v>
      </c>
      <c r="T5" s="475">
        <f>_xll.qlMidSafe($P5,$Q5)</f>
        <v>0.53500000000000003</v>
      </c>
      <c r="U5" s="337"/>
      <c r="V5" s="474">
        <v>0.51</v>
      </c>
      <c r="W5" s="337"/>
      <c r="X5" s="565">
        <f t="array" ref="X5:X11">QuoteStatic</f>
        <v>0.51</v>
      </c>
      <c r="Y5" s="342" t="e">
        <f>_xll.qlSimpleQuoteSetValue(F5,X5/100,Trigger)</f>
        <v>#N/A</v>
      </c>
      <c r="Z5" s="213"/>
      <c r="AF5" s="371">
        <f t="shared" ref="AF5:AF11" si="2">(Q5-T5)/50</f>
        <v>2.0000000000000017E-4</v>
      </c>
    </row>
    <row r="6" spans="1:32" x14ac:dyDescent="0.2">
      <c r="A6" s="118"/>
      <c r="B6" s="197"/>
      <c r="C6" s="187" t="s">
        <v>207</v>
      </c>
      <c r="D6" s="187">
        <v>12</v>
      </c>
      <c r="E6" s="73" t="str">
        <f t="shared" si="0"/>
        <v>GBP2S12_Quote</v>
      </c>
      <c r="F6" s="73" t="str">
        <f>_xll.qlSimpleQuote(Currency&amp;$C6&amp;$D6&amp;$B6&amp;QuoteSuffix,,RateTickValue,Permanent,Trigger,ObjectOverwrite)</f>
        <v>GBP2S12_Quote#0000</v>
      </c>
      <c r="G6" s="186" t="str">
        <f>_xll.ohRangeRetrieveError(F6)</f>
        <v/>
      </c>
      <c r="H6" s="33"/>
      <c r="J6" s="118"/>
      <c r="K6" s="381"/>
      <c r="L6" s="387" t="s">
        <v>207</v>
      </c>
      <c r="M6" s="387">
        <v>12</v>
      </c>
      <c r="N6" s="346" t="str">
        <f t="shared" si="1"/>
        <v>GBP2S12</v>
      </c>
      <c r="O6" s="346" t="str">
        <v>GBP2S12=ICAP</v>
      </c>
      <c r="P6" s="388">
        <v>0.54500000000000004</v>
      </c>
      <c r="Q6" s="388">
        <v>0.56499999999999995</v>
      </c>
      <c r="R6" s="388">
        <v>0</v>
      </c>
      <c r="S6" s="388">
        <v>0</v>
      </c>
      <c r="T6" s="475">
        <f>_xll.qlMidSafe($P6,$Q6)</f>
        <v>0.55499999999999994</v>
      </c>
      <c r="U6" s="337"/>
      <c r="V6" s="474">
        <v>0.51</v>
      </c>
      <c r="W6" s="337"/>
      <c r="X6" s="565">
        <v>0.51</v>
      </c>
      <c r="Y6" s="342" t="e">
        <f>_xll.qlSimpleQuoteSetValue(F6,X6/100,Trigger)</f>
        <v>#N/A</v>
      </c>
      <c r="Z6" s="213"/>
      <c r="AF6" s="371">
        <f t="shared" si="2"/>
        <v>2.0000000000000017E-4</v>
      </c>
    </row>
    <row r="7" spans="1:32" x14ac:dyDescent="0.2">
      <c r="A7" s="118"/>
      <c r="B7" s="197"/>
      <c r="C7" s="187" t="s">
        <v>209</v>
      </c>
      <c r="D7" s="187">
        <v>12</v>
      </c>
      <c r="E7" s="73" t="str">
        <f t="shared" si="0"/>
        <v>GBP3S12_Quote</v>
      </c>
      <c r="F7" s="73" t="str">
        <f>_xll.qlSimpleQuote(Currency&amp;$C7&amp;$D7&amp;$B7&amp;QuoteSuffix,,RateTickValue,Permanent,Trigger,ObjectOverwrite)</f>
        <v>GBP3S12_Quote#0000</v>
      </c>
      <c r="G7" s="186" t="str">
        <f>_xll.ohRangeRetrieveError(F7)</f>
        <v/>
      </c>
      <c r="H7" s="33"/>
      <c r="J7" s="118"/>
      <c r="K7" s="381"/>
      <c r="L7" s="387" t="s">
        <v>209</v>
      </c>
      <c r="M7" s="387">
        <v>12</v>
      </c>
      <c r="N7" s="346" t="str">
        <f t="shared" si="1"/>
        <v>GBP3S12</v>
      </c>
      <c r="O7" s="346" t="str">
        <v>GBP3S12=ICAP</v>
      </c>
      <c r="P7" s="388">
        <v>0.56999999999999995</v>
      </c>
      <c r="Q7" s="388">
        <v>0.59</v>
      </c>
      <c r="R7" s="388">
        <v>0</v>
      </c>
      <c r="S7" s="388">
        <v>0</v>
      </c>
      <c r="T7" s="475">
        <f>_xll.qlMidSafe($P7,$Q7)</f>
        <v>0.57999999999999996</v>
      </c>
      <c r="U7" s="337"/>
      <c r="V7" s="474">
        <v>0.52</v>
      </c>
      <c r="W7" s="337"/>
      <c r="X7" s="565">
        <v>0.52</v>
      </c>
      <c r="Y7" s="342" t="e">
        <f>_xll.qlSimpleQuoteSetValue(F7,X7/100,Trigger)</f>
        <v>#N/A</v>
      </c>
      <c r="Z7" s="213"/>
      <c r="AF7" s="371">
        <f t="shared" si="2"/>
        <v>2.0000000000000017E-4</v>
      </c>
    </row>
    <row r="8" spans="1:32" x14ac:dyDescent="0.2">
      <c r="A8" s="118"/>
      <c r="B8" s="197"/>
      <c r="C8" s="187" t="s">
        <v>208</v>
      </c>
      <c r="D8" s="187">
        <v>12</v>
      </c>
      <c r="E8" s="73" t="str">
        <f t="shared" si="0"/>
        <v>GBP4S12_Quote</v>
      </c>
      <c r="F8" s="73" t="str">
        <f>_xll.qlSimpleQuote(Currency&amp;$C8&amp;$D8&amp;$B8&amp;QuoteSuffix,,RateTickValue,Permanent,Trigger,ObjectOverwrite)</f>
        <v>GBP4S12_Quote#0000</v>
      </c>
      <c r="G8" s="186" t="str">
        <f>_xll.ohRangeRetrieveError(F8)</f>
        <v/>
      </c>
      <c r="H8" s="33"/>
      <c r="J8" s="118"/>
      <c r="K8" s="381"/>
      <c r="L8" s="387" t="s">
        <v>208</v>
      </c>
      <c r="M8" s="387">
        <v>12</v>
      </c>
      <c r="N8" s="346" t="str">
        <f t="shared" si="1"/>
        <v>GBP4S12</v>
      </c>
      <c r="O8" s="346" t="str">
        <v>GBP4S12=ICAP</v>
      </c>
      <c r="P8" s="388">
        <v>0.61</v>
      </c>
      <c r="Q8" s="388">
        <v>0.63</v>
      </c>
      <c r="R8" s="388">
        <v>0</v>
      </c>
      <c r="S8" s="388">
        <v>0</v>
      </c>
      <c r="T8" s="475">
        <f>_xll.qlMidSafe($P8,$Q8)</f>
        <v>0.62</v>
      </c>
      <c r="U8" s="337"/>
      <c r="V8" s="474">
        <v>0.54</v>
      </c>
      <c r="W8" s="337"/>
      <c r="X8" s="565">
        <v>0.54</v>
      </c>
      <c r="Y8" s="342" t="e">
        <f>_xll.qlSimpleQuoteSetValue(F8,X8/100,Trigger)</f>
        <v>#N/A</v>
      </c>
      <c r="Z8" s="213"/>
      <c r="AF8" s="371">
        <f t="shared" si="2"/>
        <v>2.0000000000000017E-4</v>
      </c>
    </row>
    <row r="9" spans="1:32" x14ac:dyDescent="0.2">
      <c r="A9" s="118"/>
      <c r="B9" s="197"/>
      <c r="C9" s="187" t="s">
        <v>206</v>
      </c>
      <c r="D9" s="187">
        <v>24</v>
      </c>
      <c r="E9" s="73" t="str">
        <f t="shared" si="0"/>
        <v>GBP1S24_Quote</v>
      </c>
      <c r="F9" s="73" t="str">
        <f>_xll.qlSimpleQuote(Currency&amp;$C9&amp;$D9&amp;$B9&amp;QuoteSuffix,,RateTickValue,Permanent,Trigger,ObjectOverwrite)</f>
        <v>GBP1S24_Quote#0000</v>
      </c>
      <c r="G9" s="186" t="str">
        <f>_xll.ohRangeRetrieveError(F9)</f>
        <v/>
      </c>
      <c r="H9" s="33"/>
      <c r="J9" s="118"/>
      <c r="K9" s="381"/>
      <c r="L9" s="387" t="s">
        <v>206</v>
      </c>
      <c r="M9" s="387">
        <v>24</v>
      </c>
      <c r="N9" s="346" t="str">
        <f t="shared" si="1"/>
        <v>GBP1S24</v>
      </c>
      <c r="O9" s="346" t="str">
        <v>GBP1S24=ICAP</v>
      </c>
      <c r="P9" s="388">
        <v>0.59</v>
      </c>
      <c r="Q9" s="388">
        <v>0.61</v>
      </c>
      <c r="R9" s="388">
        <v>0</v>
      </c>
      <c r="S9" s="388">
        <v>0</v>
      </c>
      <c r="T9" s="475">
        <f>_xll.qlMidSafe($P9,$Q9)</f>
        <v>0.6</v>
      </c>
      <c r="U9" s="337"/>
      <c r="V9" s="474">
        <v>0.53500000000000003</v>
      </c>
      <c r="W9" s="337"/>
      <c r="X9" s="565">
        <v>0.53500000000000003</v>
      </c>
      <c r="Y9" s="342" t="e">
        <f>_xll.qlSimpleQuoteSetValue(F9,X9/100,Trigger)</f>
        <v>#N/A</v>
      </c>
      <c r="Z9" s="213"/>
      <c r="AF9" s="371">
        <f t="shared" si="2"/>
        <v>2.0000000000000017E-4</v>
      </c>
    </row>
    <row r="10" spans="1:32" x14ac:dyDescent="0.2">
      <c r="A10" s="118"/>
      <c r="B10" s="197"/>
      <c r="C10" s="187" t="s">
        <v>207</v>
      </c>
      <c r="D10" s="187">
        <v>24</v>
      </c>
      <c r="E10" s="73" t="str">
        <f t="shared" si="0"/>
        <v>GBP2S24_Quote</v>
      </c>
      <c r="F10" s="73" t="str">
        <f>_xll.qlSimpleQuote(Currency&amp;$C10&amp;$D10&amp;$B10&amp;QuoteSuffix,,RateTickValue,Permanent,Trigger,ObjectOverwrite)</f>
        <v>GBP2S24_Quote#0000</v>
      </c>
      <c r="G10" s="186" t="str">
        <f>_xll.ohRangeRetrieveError(F10)</f>
        <v/>
      </c>
      <c r="H10" s="33"/>
      <c r="J10" s="118"/>
      <c r="K10" s="381"/>
      <c r="L10" s="387" t="s">
        <v>207</v>
      </c>
      <c r="M10" s="387">
        <v>24</v>
      </c>
      <c r="N10" s="346" t="str">
        <f t="shared" si="1"/>
        <v>GBP2S24</v>
      </c>
      <c r="O10" s="346" t="str">
        <v>GBP2S24=ICAP</v>
      </c>
      <c r="P10" s="388">
        <v>0.63</v>
      </c>
      <c r="Q10" s="388">
        <v>0.65</v>
      </c>
      <c r="R10" s="388">
        <v>0</v>
      </c>
      <c r="S10" s="388">
        <v>0</v>
      </c>
      <c r="T10" s="475">
        <f>_xll.qlMidSafe($P10,$Q10)</f>
        <v>0.64</v>
      </c>
      <c r="U10" s="337"/>
      <c r="V10" s="474">
        <v>0.55500000000000005</v>
      </c>
      <c r="W10" s="337"/>
      <c r="X10" s="565">
        <v>0.55500000000000005</v>
      </c>
      <c r="Y10" s="342" t="e">
        <f>_xll.qlSimpleQuoteSetValue(F10,X10/100,Trigger)</f>
        <v>#N/A</v>
      </c>
      <c r="Z10" s="213"/>
      <c r="AF10" s="371">
        <f t="shared" si="2"/>
        <v>2.0000000000000017E-4</v>
      </c>
    </row>
    <row r="11" spans="1:32" x14ac:dyDescent="0.2">
      <c r="A11" s="118"/>
      <c r="B11" s="197"/>
      <c r="C11" s="187" t="s">
        <v>206</v>
      </c>
      <c r="D11" s="187">
        <v>36</v>
      </c>
      <c r="E11" s="73" t="str">
        <f t="shared" si="0"/>
        <v>GBP1S36_Quote</v>
      </c>
      <c r="F11" s="73" t="str">
        <f>_xll.qlSimpleQuote(Currency&amp;$C11&amp;$D11&amp;$B11&amp;QuoteSuffix,,RateTickValue,Permanent,Trigger,ObjectOverwrite)</f>
        <v>GBP1S36_Quote#0000</v>
      </c>
      <c r="G11" s="186" t="str">
        <f>_xll.ohRangeRetrieveError(F11)</f>
        <v/>
      </c>
      <c r="H11" s="33"/>
      <c r="J11" s="118"/>
      <c r="K11" s="394"/>
      <c r="L11" s="383" t="s">
        <v>206</v>
      </c>
      <c r="M11" s="383">
        <v>36</v>
      </c>
      <c r="N11" s="340" t="str">
        <f t="shared" si="1"/>
        <v>GBP1S36</v>
      </c>
      <c r="O11" s="340" t="str">
        <v>GBP1S36=ICAP</v>
      </c>
      <c r="P11" s="384" t="s">
        <v>233</v>
      </c>
      <c r="Q11" s="384" t="s">
        <v>233</v>
      </c>
      <c r="R11" s="384" t="s">
        <v>233</v>
      </c>
      <c r="S11" s="384" t="s">
        <v>233</v>
      </c>
      <c r="T11" s="473" t="e">
        <f>_xll.qlMidSafe($P11,$Q11)</f>
        <v>#NUM!</v>
      </c>
      <c r="U11" s="337"/>
      <c r="V11" s="472" t="e">
        <v>#NUM!</v>
      </c>
      <c r="W11" s="337"/>
      <c r="X11" s="566" t="e">
        <v>#NUM!</v>
      </c>
      <c r="Y11" s="335" t="e">
        <f>_xll.qlSimpleQuoteSetValue(F11,X11/100,Trigger)</f>
        <v>#NUM!</v>
      </c>
      <c r="Z11" s="213"/>
      <c r="AF11" s="371" t="e">
        <f t="shared" si="2"/>
        <v>#VALUE!</v>
      </c>
    </row>
    <row r="12" spans="1:32"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73"/>
    </row>
  </sheetData>
  <conditionalFormatting sqref="Y5:Y11">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J43"/>
  <sheetViews>
    <sheetView workbookViewId="0"/>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2" width="9.140625" style="63"/>
    <col min="23" max="23" width="10.28515625" style="63" customWidth="1"/>
    <col min="24"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37"/>
      <c r="Q2" s="337"/>
      <c r="R2" s="337"/>
      <c r="S2" s="140" t="s">
        <v>275</v>
      </c>
      <c r="T2" s="337"/>
      <c r="U2" s="337"/>
      <c r="V2" s="337"/>
      <c r="W2" s="337"/>
      <c r="X2" s="133"/>
      <c r="Y2" s="337"/>
      <c r="Z2" s="337"/>
      <c r="AA2" s="337"/>
      <c r="AB2" s="337"/>
      <c r="AC2" s="133"/>
      <c r="AD2" s="33"/>
      <c r="AE2" s="64"/>
      <c r="AF2" s="64"/>
      <c r="AG2" s="64"/>
      <c r="AH2" s="64"/>
      <c r="AI2" s="64"/>
      <c r="AJ2" s="64"/>
    </row>
    <row r="3" spans="1:36" ht="13.5" thickBot="1" x14ac:dyDescent="0.25">
      <c r="N3" s="118"/>
      <c r="O3" s="337"/>
      <c r="P3" s="133"/>
      <c r="Q3" s="133"/>
      <c r="R3" s="133"/>
      <c r="S3" s="133"/>
      <c r="T3" s="133"/>
      <c r="U3" s="133"/>
      <c r="V3" s="133"/>
      <c r="W3" s="133"/>
      <c r="X3" s="133"/>
      <c r="Y3" s="337"/>
      <c r="Z3" s="337"/>
      <c r="AA3" s="337"/>
      <c r="AB3" s="133"/>
      <c r="AC3" s="366">
        <f ca="1">_xll.ohTrigger(AC5:AC42)</f>
        <v>47</v>
      </c>
      <c r="AD3" s="213"/>
      <c r="AE3" s="64"/>
      <c r="AF3" s="64"/>
      <c r="AG3" s="64"/>
      <c r="AH3" s="64"/>
      <c r="AI3" s="64"/>
      <c r="AJ3" s="64"/>
    </row>
    <row r="4" spans="1:36" ht="23.25" thickBot="1" x14ac:dyDescent="0.25">
      <c r="A4" s="558" t="s">
        <v>346</v>
      </c>
      <c r="B4" s="196"/>
      <c r="C4" s="196"/>
      <c r="D4" s="196"/>
      <c r="E4" s="194"/>
      <c r="F4" s="195"/>
      <c r="G4" s="194"/>
      <c r="H4" s="193"/>
      <c r="N4" s="118"/>
      <c r="O4" s="477"/>
      <c r="P4" s="191"/>
      <c r="Q4" s="191"/>
      <c r="R4" s="191"/>
      <c r="S4" s="365" t="e">
        <f ca="1">_xll.RData(S5:S42,T4:W4,"RTFEED:IDN",ReutersRtMode,,T5)</f>
        <v>#NAME?</v>
      </c>
      <c r="T4" s="400" t="s">
        <v>291</v>
      </c>
      <c r="U4" s="400" t="s">
        <v>264</v>
      </c>
      <c r="V4" s="400" t="s">
        <v>244</v>
      </c>
      <c r="W4" s="400" t="s">
        <v>290</v>
      </c>
      <c r="X4" s="361" t="s">
        <v>289</v>
      </c>
      <c r="Y4" s="337"/>
      <c r="Z4" s="363" t="s">
        <v>286</v>
      </c>
      <c r="AA4" s="337"/>
      <c r="AB4" s="563" t="s">
        <v>285</v>
      </c>
      <c r="AC4" s="91" t="s">
        <v>284</v>
      </c>
      <c r="AD4" s="213"/>
      <c r="AE4" s="64"/>
      <c r="AF4" s="64"/>
      <c r="AG4" s="64"/>
      <c r="AH4" s="64"/>
      <c r="AI4" s="64"/>
      <c r="AJ4" s="399" t="s">
        <v>288</v>
      </c>
    </row>
    <row r="5" spans="1:36"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05" t="s">
        <v>215</v>
      </c>
      <c r="K5" s="204" t="s">
        <v>214</v>
      </c>
      <c r="L5" s="203" t="s">
        <v>213</v>
      </c>
      <c r="N5" s="118"/>
      <c r="O5" s="347" t="s">
        <v>8</v>
      </c>
      <c r="P5" s="387" t="str">
        <f t="array" ref="P5:P42">VLOOKUP(Currency,Conventions,2)</f>
        <v>AM</v>
      </c>
      <c r="Q5" s="387" t="str">
        <f t="array" ref="Q5:Q42">VLOOKUP(Currency,Conventions,3)</f>
        <v>3L</v>
      </c>
      <c r="R5" s="387" t="str">
        <f t="shared" ref="R5:R42" si="0">Currency&amp;$P5&amp;$Q5&amp;$O5</f>
        <v>GBPAM3L6M</v>
      </c>
      <c r="S5" s="387" t="str">
        <f t="array" ref="S5:S42">Instruments&amp;"="&amp;VLOOKUP(Contributor,ContributorTable,2,FALSE)</f>
        <v>GBPAM3L6M=ICAP</v>
      </c>
      <c r="T5" s="388">
        <v>0.50124999999999997</v>
      </c>
      <c r="U5" s="388">
        <v>0.53125</v>
      </c>
      <c r="V5" s="388">
        <v>0</v>
      </c>
      <c r="W5" s="388">
        <v>0</v>
      </c>
      <c r="X5" s="345">
        <f>_xll.qlMidSafe($T5,$U5)</f>
        <v>0.51624999999999999</v>
      </c>
      <c r="Y5" s="337"/>
      <c r="Z5" s="344">
        <v>0.51500000000000001</v>
      </c>
      <c r="AA5" s="337"/>
      <c r="AB5" s="565">
        <f t="array" ref="AB5:AB42">QuoteStatic</f>
        <v>0.51500000000000001</v>
      </c>
      <c r="AC5" s="342" t="e">
        <f ca="1">_xll.qlSimpleQuoteSetValue(F5,AB5/100,Trigger)</f>
        <v>#NUM!</v>
      </c>
      <c r="AD5" s="213"/>
      <c r="AE5" s="64"/>
      <c r="AF5" s="481" t="s">
        <v>121</v>
      </c>
      <c r="AG5" s="85" t="s">
        <v>212</v>
      </c>
      <c r="AH5" s="84" t="s">
        <v>114</v>
      </c>
      <c r="AI5" s="64"/>
      <c r="AJ5" s="371">
        <f t="shared" ref="AJ5:AJ42" si="1">(U5-X5)/50</f>
        <v>3.0000000000000024E-4</v>
      </c>
    </row>
    <row r="6" spans="1:36" x14ac:dyDescent="0.2">
      <c r="A6" s="118"/>
      <c r="B6" s="190" t="s">
        <v>1</v>
      </c>
      <c r="C6" s="75" t="str">
        <f t="array" ref="C6:C42">VLOOKUP(Currency,SwapMainSetConventions,2)</f>
        <v>AM</v>
      </c>
      <c r="D6" s="75" t="str">
        <f t="array" ref="D6:D42">VLOOKUP(Currency,SwapMainSetConventions,3)</f>
        <v>3L</v>
      </c>
      <c r="E6" s="73" t="str">
        <f t="shared" ref="E6:E42" si="2">Currency&amp;$C6&amp;$D6&amp;$B6&amp;QuoteSuffix</f>
        <v>GBPAM3L1Y_Quote</v>
      </c>
      <c r="F6" s="73" t="str">
        <f>_xll.qlSimpleQuote(Currency&amp;$C6&amp;$D6&amp;$B6&amp;QuoteSuffix,,RateTickValue,Permanent,Trigger,ObjectOverwrite)</f>
        <v>GBPAM3L1Y_Quote#0000</v>
      </c>
      <c r="G6" s="8" t="str">
        <f>_xll.ohRangeRetrieveError(F6)</f>
        <v/>
      </c>
      <c r="H6" s="33"/>
      <c r="J6" s="202" t="s">
        <v>121</v>
      </c>
      <c r="K6" s="82" t="s">
        <v>212</v>
      </c>
      <c r="L6" s="81" t="s">
        <v>114</v>
      </c>
      <c r="N6" s="118"/>
      <c r="O6" s="347" t="s">
        <v>1</v>
      </c>
      <c r="P6" s="387" t="str">
        <v>AM</v>
      </c>
      <c r="Q6" s="387" t="str">
        <v>3L</v>
      </c>
      <c r="R6" s="387" t="str">
        <f t="shared" si="0"/>
        <v>GBPAM3L1Y</v>
      </c>
      <c r="S6" s="387" t="str">
        <v>GBPAM3L1Y=ICAP</v>
      </c>
      <c r="T6" s="388">
        <v>0.51500000000000001</v>
      </c>
      <c r="U6" s="388">
        <v>0.54500000000000004</v>
      </c>
      <c r="V6" s="388">
        <v>0</v>
      </c>
      <c r="W6" s="388">
        <v>0</v>
      </c>
      <c r="X6" s="345">
        <f>_xll.qlMidSafe($T6,$U6)</f>
        <v>0.53</v>
      </c>
      <c r="Y6" s="337"/>
      <c r="Z6" s="344">
        <v>0.51</v>
      </c>
      <c r="AA6" s="337"/>
      <c r="AB6" s="565">
        <v>0.51</v>
      </c>
      <c r="AC6" s="342" t="e">
        <f>_xll.qlSimpleQuoteSetValue(F6,AB6/100,Trigger)</f>
        <v>#N/A</v>
      </c>
      <c r="AD6" s="213"/>
      <c r="AE6" s="64"/>
      <c r="AF6" s="202" t="s">
        <v>120</v>
      </c>
      <c r="AG6" s="82" t="s">
        <v>212</v>
      </c>
      <c r="AH6" s="81" t="s">
        <v>126</v>
      </c>
      <c r="AI6" s="64"/>
      <c r="AJ6" s="371">
        <f t="shared" si="1"/>
        <v>3.0000000000000024E-4</v>
      </c>
    </row>
    <row r="7" spans="1:36" x14ac:dyDescent="0.2">
      <c r="A7" s="118"/>
      <c r="B7" s="189" t="s">
        <v>124</v>
      </c>
      <c r="C7" s="75" t="str">
        <v>AM</v>
      </c>
      <c r="D7" s="75" t="str">
        <v>3L</v>
      </c>
      <c r="E7" s="73" t="str">
        <f t="shared" si="2"/>
        <v>GBPAM3L15M_Quote</v>
      </c>
      <c r="F7" s="73" t="str">
        <f>_xll.qlSimpleQuote(Currency&amp;$C7&amp;$D7&amp;$B7&amp;QuoteSuffix,,RateTickValue,Permanent,Trigger,ObjectOverwrite)</f>
        <v>GBPAM3L15M_Quote#0000</v>
      </c>
      <c r="G7" s="186" t="str">
        <f>_xll.ohRangeRetrieveError(F7)</f>
        <v/>
      </c>
      <c r="H7" s="33"/>
      <c r="J7" s="202" t="s">
        <v>120</v>
      </c>
      <c r="K7" s="82" t="s">
        <v>212</v>
      </c>
      <c r="L7" s="81" t="s">
        <v>126</v>
      </c>
      <c r="N7" s="118"/>
      <c r="O7" s="347" t="s">
        <v>124</v>
      </c>
      <c r="P7" s="387" t="str">
        <v>AM</v>
      </c>
      <c r="Q7" s="387" t="str">
        <v>3L</v>
      </c>
      <c r="R7" s="387" t="str">
        <f t="shared" si="0"/>
        <v>GBPAM3L15M</v>
      </c>
      <c r="S7" s="387" t="str">
        <v>GBPAM3L15M=ICAP</v>
      </c>
      <c r="T7" s="388">
        <v>0.52375000000000005</v>
      </c>
      <c r="U7" s="388">
        <v>0.55374999999999996</v>
      </c>
      <c r="V7" s="388">
        <v>0</v>
      </c>
      <c r="W7" s="388">
        <v>0</v>
      </c>
      <c r="X7" s="345">
        <f>_xll.qlMidSafe($T7,$U7)</f>
        <v>0.53875000000000006</v>
      </c>
      <c r="Y7" s="337"/>
      <c r="Z7" s="344">
        <v>0.51249999999999996</v>
      </c>
      <c r="AA7" s="337"/>
      <c r="AB7" s="565">
        <v>0.51249999999999996</v>
      </c>
      <c r="AC7" s="342" t="e">
        <f>_xll.qlSimpleQuoteSetValue(F7,AB7/100,Trigger)</f>
        <v>#N/A</v>
      </c>
      <c r="AD7" s="213"/>
      <c r="AE7" s="64"/>
      <c r="AF7" s="202" t="s">
        <v>96</v>
      </c>
      <c r="AG7" s="82" t="s">
        <v>210</v>
      </c>
      <c r="AH7" s="81" t="s">
        <v>114</v>
      </c>
      <c r="AI7" s="64"/>
      <c r="AJ7" s="371">
        <f t="shared" si="1"/>
        <v>2.9999999999999802E-4</v>
      </c>
    </row>
    <row r="8" spans="1:36" x14ac:dyDescent="0.2">
      <c r="A8" s="118"/>
      <c r="B8" s="189" t="s">
        <v>123</v>
      </c>
      <c r="C8" s="75" t="str">
        <v>AM</v>
      </c>
      <c r="D8" s="75" t="str">
        <v>3L</v>
      </c>
      <c r="E8" s="73" t="str">
        <f t="shared" si="2"/>
        <v>GBPAM3L18M_Quote</v>
      </c>
      <c r="F8" s="73" t="str">
        <f>_xll.qlSimpleQuote(Currency&amp;$C8&amp;$D8&amp;$B8&amp;QuoteSuffix,,RateTickValue,Permanent,Trigger,ObjectOverwrite)</f>
        <v>GBPAM3L18M_Quote#0000</v>
      </c>
      <c r="G8" s="186" t="str">
        <f>_xll.ohRangeRetrieveError(F8)</f>
        <v/>
      </c>
      <c r="H8" s="33"/>
      <c r="J8" s="202" t="s">
        <v>96</v>
      </c>
      <c r="K8" s="82" t="s">
        <v>210</v>
      </c>
      <c r="L8" s="81" t="s">
        <v>114</v>
      </c>
      <c r="N8" s="118"/>
      <c r="O8" s="347" t="s">
        <v>123</v>
      </c>
      <c r="P8" s="387" t="str">
        <v>AM</v>
      </c>
      <c r="Q8" s="387" t="str">
        <v>3L</v>
      </c>
      <c r="R8" s="387" t="str">
        <f t="shared" si="0"/>
        <v>GBPAM3L18M</v>
      </c>
      <c r="S8" s="387" t="str">
        <v>GBPAM3L18M=ICAP</v>
      </c>
      <c r="T8" s="388">
        <v>0.53625</v>
      </c>
      <c r="U8" s="388">
        <v>0.56625000000000003</v>
      </c>
      <c r="V8" s="388">
        <v>0</v>
      </c>
      <c r="W8" s="388">
        <v>0</v>
      </c>
      <c r="X8" s="345">
        <f>_xll.qlMidSafe($T8,$U8)</f>
        <v>0.55125000000000002</v>
      </c>
      <c r="Y8" s="337"/>
      <c r="Z8" s="344">
        <v>0.51749999999999996</v>
      </c>
      <c r="AA8" s="337"/>
      <c r="AB8" s="565">
        <v>0.51749999999999996</v>
      </c>
      <c r="AC8" s="342" t="e">
        <f>_xll.qlSimpleQuoteSetValue(F8,AB8/100,Trigger)</f>
        <v>#N/A</v>
      </c>
      <c r="AD8" s="213"/>
      <c r="AE8" s="64"/>
      <c r="AF8" s="202" t="s">
        <v>230</v>
      </c>
      <c r="AG8" s="82" t="s">
        <v>311</v>
      </c>
      <c r="AH8" s="81" t="s">
        <v>310</v>
      </c>
      <c r="AI8" s="64"/>
      <c r="AJ8" s="371">
        <f t="shared" si="1"/>
        <v>3.0000000000000024E-4</v>
      </c>
    </row>
    <row r="9" spans="1:36" x14ac:dyDescent="0.2">
      <c r="A9" s="118"/>
      <c r="B9" s="189" t="s">
        <v>122</v>
      </c>
      <c r="C9" s="75" t="str">
        <v>AM</v>
      </c>
      <c r="D9" s="75" t="str">
        <v>3L</v>
      </c>
      <c r="E9" s="73" t="str">
        <f t="shared" si="2"/>
        <v>GBPAM3L21M_Quote</v>
      </c>
      <c r="F9" s="73" t="str">
        <f>_xll.qlSimpleQuote(Currency&amp;$C9&amp;$D9&amp;$B9&amp;QuoteSuffix,,RateTickValue,Permanent,Trigger,ObjectOverwrite)</f>
        <v>GBPAM3L21M_Quote#0000</v>
      </c>
      <c r="G9" s="186" t="str">
        <f>_xll.ohRangeRetrieveError(F9)</f>
        <v/>
      </c>
      <c r="H9" s="33"/>
      <c r="J9" s="202" t="s">
        <v>117</v>
      </c>
      <c r="K9" s="82" t="s">
        <v>211</v>
      </c>
      <c r="L9" s="81" t="s">
        <v>114</v>
      </c>
      <c r="N9" s="118"/>
      <c r="O9" s="347" t="s">
        <v>122</v>
      </c>
      <c r="P9" s="387" t="str">
        <v>AM</v>
      </c>
      <c r="Q9" s="387" t="str">
        <v>3L</v>
      </c>
      <c r="R9" s="387" t="str">
        <f t="shared" si="0"/>
        <v>GBPAM3L21M</v>
      </c>
      <c r="S9" s="387" t="str">
        <v>GBPAM3L21M=ICAP</v>
      </c>
      <c r="T9" s="388" t="s">
        <v>233</v>
      </c>
      <c r="U9" s="388" t="s">
        <v>233</v>
      </c>
      <c r="V9" s="388" t="s">
        <v>233</v>
      </c>
      <c r="W9" s="388" t="s">
        <v>233</v>
      </c>
      <c r="X9" s="345" t="e">
        <f>_xll.qlMidSafe($T9,$U9)</f>
        <v>#NUM!</v>
      </c>
      <c r="Y9" s="337"/>
      <c r="Z9" s="344" t="e">
        <v>#NUM!</v>
      </c>
      <c r="AA9" s="337"/>
      <c r="AB9" s="565" t="e">
        <v>#NUM!</v>
      </c>
      <c r="AC9" s="342" t="e">
        <f>_xll.qlSimpleQuoteSetValue(F9,AB9/100,Trigger)</f>
        <v>#NUM!</v>
      </c>
      <c r="AD9" s="213"/>
      <c r="AE9" s="64"/>
      <c r="AF9" s="202" t="s">
        <v>117</v>
      </c>
      <c r="AG9" s="82" t="s">
        <v>211</v>
      </c>
      <c r="AH9" s="81" t="s">
        <v>114</v>
      </c>
      <c r="AI9" s="64"/>
      <c r="AJ9" s="371" t="e">
        <f t="shared" si="1"/>
        <v>#VALUE!</v>
      </c>
    </row>
    <row r="10" spans="1:36" ht="13.5" thickBot="1" x14ac:dyDescent="0.25">
      <c r="A10" s="118"/>
      <c r="B10" s="189" t="s">
        <v>85</v>
      </c>
      <c r="C10" s="75" t="str">
        <v>AM</v>
      </c>
      <c r="D10" s="75" t="str">
        <v>3L</v>
      </c>
      <c r="E10" s="73" t="str">
        <f t="shared" si="2"/>
        <v>GBPAM3L2Y_Quote</v>
      </c>
      <c r="F10" s="73" t="str">
        <f>_xll.qlSimpleQuote(Currency&amp;$C10&amp;$D10&amp;$B10&amp;QuoteSuffix,,RateTickValue,Permanent,Trigger,ObjectOverwrite)</f>
        <v>GBPAM3L2Y_Quote#0000</v>
      </c>
      <c r="G10" s="186" t="str">
        <f>_xll.ohRangeRetrieveError(F10)</f>
        <v/>
      </c>
      <c r="H10" s="33"/>
      <c r="J10" s="201" t="s">
        <v>115</v>
      </c>
      <c r="K10" s="79" t="s">
        <v>210</v>
      </c>
      <c r="L10" s="78" t="s">
        <v>114</v>
      </c>
      <c r="N10" s="118"/>
      <c r="O10" s="347" t="s">
        <v>85</v>
      </c>
      <c r="P10" s="387" t="str">
        <v>AM</v>
      </c>
      <c r="Q10" s="387" t="str">
        <v>3L</v>
      </c>
      <c r="R10" s="387" t="str">
        <f t="shared" si="0"/>
        <v>GBPAM3L2Y</v>
      </c>
      <c r="S10" s="387" t="str">
        <v>GBPAM3L2Y=ICAP</v>
      </c>
      <c r="T10" s="388" t="s">
        <v>233</v>
      </c>
      <c r="U10" s="388" t="s">
        <v>233</v>
      </c>
      <c r="V10" s="388" t="s">
        <v>233</v>
      </c>
      <c r="W10" s="388" t="s">
        <v>233</v>
      </c>
      <c r="X10" s="345" t="e">
        <f>_xll.qlMidSafe($T10,$U10)</f>
        <v>#NUM!</v>
      </c>
      <c r="Y10" s="337"/>
      <c r="Z10" s="344" t="e">
        <v>#NUM!</v>
      </c>
      <c r="AA10" s="337"/>
      <c r="AB10" s="565" t="e">
        <v>#NUM!</v>
      </c>
      <c r="AC10" s="342" t="e">
        <f>_xll.qlSimpleQuoteSetValue(F10,AB10/100,Trigger)</f>
        <v>#NUM!</v>
      </c>
      <c r="AD10" s="213"/>
      <c r="AE10" s="64"/>
      <c r="AF10" s="201" t="s">
        <v>115</v>
      </c>
      <c r="AG10" s="79" t="s">
        <v>210</v>
      </c>
      <c r="AH10" s="78" t="s">
        <v>114</v>
      </c>
      <c r="AI10" s="64"/>
      <c r="AJ10" s="371" t="e">
        <f t="shared" si="1"/>
        <v>#VALUE!</v>
      </c>
    </row>
    <row r="11" spans="1:36" x14ac:dyDescent="0.2">
      <c r="A11" s="118"/>
      <c r="B11" s="189" t="s">
        <v>84</v>
      </c>
      <c r="C11" s="75" t="str">
        <v>AM</v>
      </c>
      <c r="D11" s="75" t="str">
        <v>3L</v>
      </c>
      <c r="E11" s="73" t="str">
        <f t="shared" si="2"/>
        <v>GBPAM3L3Y_Quote</v>
      </c>
      <c r="F11" s="73" t="str">
        <f>_xll.qlSimpleQuote(Currency&amp;$C11&amp;$D11&amp;$B11&amp;QuoteSuffix,,RateTickValue,Permanent,Trigger,ObjectOverwrite)</f>
        <v>GBPAM3L3Y_Quote#0000</v>
      </c>
      <c r="G11" s="186" t="str">
        <f>_xll.ohRangeRetrieveError(F11)</f>
        <v/>
      </c>
      <c r="H11" s="33"/>
      <c r="N11" s="118"/>
      <c r="O11" s="347" t="s">
        <v>84</v>
      </c>
      <c r="P11" s="479" t="str">
        <v>AM</v>
      </c>
      <c r="Q11" s="479" t="str">
        <v>3L</v>
      </c>
      <c r="R11" s="387" t="str">
        <f t="shared" si="0"/>
        <v>GBPAM3L3Y</v>
      </c>
      <c r="S11" s="387" t="str">
        <v>GBPAM3L3Y=ICAP</v>
      </c>
      <c r="T11" s="388" t="s">
        <v>233</v>
      </c>
      <c r="U11" s="388" t="s">
        <v>233</v>
      </c>
      <c r="V11" s="388" t="s">
        <v>233</v>
      </c>
      <c r="W11" s="388" t="s">
        <v>233</v>
      </c>
      <c r="X11" s="345" t="e">
        <f>_xll.qlMidSafe($T11,$U11)</f>
        <v>#NUM!</v>
      </c>
      <c r="Y11" s="337"/>
      <c r="Z11" s="344" t="e">
        <v>#NUM!</v>
      </c>
      <c r="AA11" s="337"/>
      <c r="AB11" s="565" t="e">
        <v>#NUM!</v>
      </c>
      <c r="AC11" s="342" t="e">
        <f>_xll.qlSimpleQuoteSetValue(F11,AB11/100,Trigger)</f>
        <v>#NUM!</v>
      </c>
      <c r="AD11" s="213"/>
      <c r="AE11" s="64"/>
      <c r="AF11" s="64"/>
      <c r="AG11" s="64"/>
      <c r="AH11" s="64"/>
      <c r="AI11" s="64"/>
      <c r="AJ11" s="371" t="e">
        <f t="shared" si="1"/>
        <v>#VALUE!</v>
      </c>
    </row>
    <row r="12" spans="1:36" x14ac:dyDescent="0.2">
      <c r="A12" s="118"/>
      <c r="B12" s="189" t="s">
        <v>83</v>
      </c>
      <c r="C12" s="75" t="str">
        <v>AM</v>
      </c>
      <c r="D12" s="75" t="str">
        <v>3L</v>
      </c>
      <c r="E12" s="73" t="str">
        <f t="shared" si="2"/>
        <v>GBPAM3L4Y_Quote</v>
      </c>
      <c r="F12" s="73" t="str">
        <f>_xll.qlSimpleQuote(Currency&amp;$C12&amp;$D12&amp;$B12&amp;QuoteSuffix,,RateTickValue,Permanent,Trigger,ObjectOverwrite)</f>
        <v>GBPAM3L4Y_Quote#0000</v>
      </c>
      <c r="G12" s="186" t="str">
        <f>_xll.ohRangeRetrieveError(F12)</f>
        <v/>
      </c>
      <c r="H12" s="33"/>
      <c r="N12" s="118"/>
      <c r="O12" s="347" t="s">
        <v>83</v>
      </c>
      <c r="P12" s="479" t="str">
        <v>AM</v>
      </c>
      <c r="Q12" s="479" t="str">
        <v>3L</v>
      </c>
      <c r="R12" s="387" t="str">
        <f t="shared" si="0"/>
        <v>GBPAM3L4Y</v>
      </c>
      <c r="S12" s="387" t="str">
        <v>GBPAM3L4Y=ICAP</v>
      </c>
      <c r="T12" s="388" t="s">
        <v>233</v>
      </c>
      <c r="U12" s="388" t="s">
        <v>233</v>
      </c>
      <c r="V12" s="388" t="s">
        <v>233</v>
      </c>
      <c r="W12" s="388" t="s">
        <v>233</v>
      </c>
      <c r="X12" s="345" t="e">
        <f>_xll.qlMidSafe($T12,$U12)</f>
        <v>#NUM!</v>
      </c>
      <c r="Y12" s="337"/>
      <c r="Z12" s="344" t="e">
        <v>#NUM!</v>
      </c>
      <c r="AA12" s="337"/>
      <c r="AB12" s="565" t="e">
        <v>#NUM!</v>
      </c>
      <c r="AC12" s="342" t="e">
        <f>_xll.qlSimpleQuoteSetValue(F12,AB12/100,Trigger)</f>
        <v>#NUM!</v>
      </c>
      <c r="AD12" s="213"/>
      <c r="AE12" s="64"/>
      <c r="AF12" s="64"/>
      <c r="AG12" s="64"/>
      <c r="AH12" s="64"/>
      <c r="AI12" s="64"/>
      <c r="AJ12" s="371" t="e">
        <f t="shared" si="1"/>
        <v>#VALUE!</v>
      </c>
    </row>
    <row r="13" spans="1:36" x14ac:dyDescent="0.2">
      <c r="A13" s="118"/>
      <c r="B13" s="189" t="s">
        <v>82</v>
      </c>
      <c r="C13" s="75" t="str">
        <v>AM</v>
      </c>
      <c r="D13" s="75" t="str">
        <v>3L</v>
      </c>
      <c r="E13" s="73" t="str">
        <f t="shared" si="2"/>
        <v>GBPAM3L5Y_Quote</v>
      </c>
      <c r="F13" s="73" t="str">
        <f>_xll.qlSimpleQuote(Currency&amp;$C13&amp;$D13&amp;$B13&amp;QuoteSuffix,,RateTickValue,Permanent,Trigger,ObjectOverwrite)</f>
        <v>GBPAM3L5Y_Quote#0000</v>
      </c>
      <c r="G13" s="186" t="str">
        <f>_xll.ohRangeRetrieveError(F13)</f>
        <v/>
      </c>
      <c r="H13" s="33"/>
      <c r="N13" s="118"/>
      <c r="O13" s="347" t="s">
        <v>82</v>
      </c>
      <c r="P13" s="479" t="str">
        <v>AM</v>
      </c>
      <c r="Q13" s="479" t="str">
        <v>3L</v>
      </c>
      <c r="R13" s="387" t="str">
        <f t="shared" si="0"/>
        <v>GBPAM3L5Y</v>
      </c>
      <c r="S13" s="387" t="str">
        <v>GBPAM3L5Y=ICAP</v>
      </c>
      <c r="T13" s="388" t="s">
        <v>233</v>
      </c>
      <c r="U13" s="388" t="s">
        <v>233</v>
      </c>
      <c r="V13" s="388" t="s">
        <v>233</v>
      </c>
      <c r="W13" s="388" t="s">
        <v>233</v>
      </c>
      <c r="X13" s="345" t="e">
        <f>_xll.qlMidSafe($T13,$U13)</f>
        <v>#NUM!</v>
      </c>
      <c r="Y13" s="337"/>
      <c r="Z13" s="344" t="e">
        <v>#NUM!</v>
      </c>
      <c r="AA13" s="337"/>
      <c r="AB13" s="565" t="e">
        <v>#NUM!</v>
      </c>
      <c r="AC13" s="342" t="e">
        <f>_xll.qlSimpleQuoteSetValue(F13,AB13/100,Trigger)</f>
        <v>#NUM!</v>
      </c>
      <c r="AD13" s="213"/>
      <c r="AE13" s="64"/>
      <c r="AF13" s="64"/>
      <c r="AG13" s="64"/>
      <c r="AH13" s="64"/>
      <c r="AI13" s="64"/>
      <c r="AJ13" s="371" t="e">
        <f t="shared" si="1"/>
        <v>#VALUE!</v>
      </c>
    </row>
    <row r="14" spans="1:36" x14ac:dyDescent="0.2">
      <c r="A14" s="118"/>
      <c r="B14" s="189" t="s">
        <v>81</v>
      </c>
      <c r="C14" s="75" t="str">
        <v>AM</v>
      </c>
      <c r="D14" s="75" t="str">
        <v>3L</v>
      </c>
      <c r="E14" s="73" t="str">
        <f t="shared" si="2"/>
        <v>GBPAM3L6Y_Quote</v>
      </c>
      <c r="F14" s="73" t="str">
        <f>_xll.qlSimpleQuote(Currency&amp;$C14&amp;$D14&amp;$B14&amp;QuoteSuffix,,RateTickValue,Permanent,Trigger,ObjectOverwrite)</f>
        <v>GBPAM3L6Y_Quote#0000</v>
      </c>
      <c r="G14" s="186" t="str">
        <f>_xll.ohRangeRetrieveError(F14)</f>
        <v/>
      </c>
      <c r="H14" s="33"/>
      <c r="N14" s="118"/>
      <c r="O14" s="347" t="s">
        <v>81</v>
      </c>
      <c r="P14" s="479" t="str">
        <v>AM</v>
      </c>
      <c r="Q14" s="479" t="str">
        <v>3L</v>
      </c>
      <c r="R14" s="387" t="str">
        <f t="shared" si="0"/>
        <v>GBPAM3L6Y</v>
      </c>
      <c r="S14" s="387" t="str">
        <v>GBPAM3L6Y=ICAP</v>
      </c>
      <c r="T14" s="388" t="s">
        <v>233</v>
      </c>
      <c r="U14" s="388" t="s">
        <v>233</v>
      </c>
      <c r="V14" s="388" t="s">
        <v>233</v>
      </c>
      <c r="W14" s="388" t="s">
        <v>233</v>
      </c>
      <c r="X14" s="345" t="e">
        <f>_xll.qlMidSafe($T14,$U14)</f>
        <v>#NUM!</v>
      </c>
      <c r="Y14" s="337"/>
      <c r="Z14" s="344" t="e">
        <v>#NUM!</v>
      </c>
      <c r="AA14" s="337"/>
      <c r="AB14" s="565" t="e">
        <v>#NUM!</v>
      </c>
      <c r="AC14" s="342" t="e">
        <f>_xll.qlSimpleQuoteSetValue(F14,AB14/100,Trigger)</f>
        <v>#NUM!</v>
      </c>
      <c r="AD14" s="213"/>
      <c r="AE14" s="64"/>
      <c r="AF14" s="64"/>
      <c r="AG14" s="64"/>
      <c r="AH14" s="64"/>
      <c r="AI14" s="64"/>
      <c r="AJ14" s="371" t="e">
        <f t="shared" si="1"/>
        <v>#VALUE!</v>
      </c>
    </row>
    <row r="15" spans="1:36" x14ac:dyDescent="0.2">
      <c r="A15" s="118"/>
      <c r="B15" s="189" t="s">
        <v>80</v>
      </c>
      <c r="C15" s="75" t="str">
        <v>AM</v>
      </c>
      <c r="D15" s="75" t="str">
        <v>3L</v>
      </c>
      <c r="E15" s="73" t="str">
        <f t="shared" si="2"/>
        <v>GBPAM3L7Y_Quote</v>
      </c>
      <c r="F15" s="73" t="str">
        <f>_xll.qlSimpleQuote(Currency&amp;$C15&amp;$D15&amp;$B15&amp;QuoteSuffix,,RateTickValue,Permanent,Trigger,ObjectOverwrite)</f>
        <v>GBPAM3L7Y_Quote#0000</v>
      </c>
      <c r="G15" s="186" t="str">
        <f>_xll.ohRangeRetrieveError(F15)</f>
        <v/>
      </c>
      <c r="H15" s="33"/>
      <c r="N15" s="118"/>
      <c r="O15" s="347" t="s">
        <v>80</v>
      </c>
      <c r="P15" s="479" t="str">
        <v>AM</v>
      </c>
      <c r="Q15" s="479" t="str">
        <v>3L</v>
      </c>
      <c r="R15" s="387" t="str">
        <f t="shared" si="0"/>
        <v>GBPAM3L7Y</v>
      </c>
      <c r="S15" s="387" t="str">
        <v>GBPAM3L7Y=ICAP</v>
      </c>
      <c r="T15" s="388" t="s">
        <v>233</v>
      </c>
      <c r="U15" s="388" t="s">
        <v>233</v>
      </c>
      <c r="V15" s="388" t="s">
        <v>233</v>
      </c>
      <c r="W15" s="388" t="s">
        <v>233</v>
      </c>
      <c r="X15" s="345" t="e">
        <f>_xll.qlMidSafe($T15,$U15)</f>
        <v>#NUM!</v>
      </c>
      <c r="Y15" s="337"/>
      <c r="Z15" s="344" t="e">
        <v>#NUM!</v>
      </c>
      <c r="AA15" s="337"/>
      <c r="AB15" s="565" t="e">
        <v>#NUM!</v>
      </c>
      <c r="AC15" s="342" t="e">
        <f>_xll.qlSimpleQuoteSetValue(F15,AB15/100,Trigger)</f>
        <v>#NUM!</v>
      </c>
      <c r="AD15" s="213"/>
      <c r="AE15" s="64"/>
      <c r="AF15" s="64"/>
      <c r="AG15" s="64"/>
      <c r="AH15" s="64"/>
      <c r="AI15" s="64"/>
      <c r="AJ15" s="371" t="e">
        <f t="shared" si="1"/>
        <v>#VALUE!</v>
      </c>
    </row>
    <row r="16" spans="1:36" x14ac:dyDescent="0.2">
      <c r="A16" s="118"/>
      <c r="B16" s="189" t="s">
        <v>79</v>
      </c>
      <c r="C16" s="75" t="str">
        <v>AM</v>
      </c>
      <c r="D16" s="75" t="str">
        <v>3L</v>
      </c>
      <c r="E16" s="73" t="str">
        <f t="shared" si="2"/>
        <v>GBPAM3L8Y_Quote</v>
      </c>
      <c r="F16" s="73" t="str">
        <f>_xll.qlSimpleQuote(Currency&amp;$C16&amp;$D16&amp;$B16&amp;QuoteSuffix,,RateTickValue,Permanent,Trigger,ObjectOverwrite)</f>
        <v>GBPAM3L8Y_Quote#0000</v>
      </c>
      <c r="G16" s="186" t="str">
        <f>_xll.ohRangeRetrieveError(F16)</f>
        <v/>
      </c>
      <c r="H16" s="33"/>
      <c r="N16" s="118"/>
      <c r="O16" s="347" t="s">
        <v>79</v>
      </c>
      <c r="P16" s="479" t="str">
        <v>AM</v>
      </c>
      <c r="Q16" s="479" t="str">
        <v>3L</v>
      </c>
      <c r="R16" s="387" t="str">
        <f t="shared" si="0"/>
        <v>GBPAM3L8Y</v>
      </c>
      <c r="S16" s="387" t="str">
        <v>GBPAM3L8Y=ICAP</v>
      </c>
      <c r="T16" s="388" t="s">
        <v>233</v>
      </c>
      <c r="U16" s="388" t="s">
        <v>233</v>
      </c>
      <c r="V16" s="388" t="s">
        <v>233</v>
      </c>
      <c r="W16" s="388" t="s">
        <v>233</v>
      </c>
      <c r="X16" s="345" t="e">
        <f>_xll.qlMidSafe($T16,$U16)</f>
        <v>#NUM!</v>
      </c>
      <c r="Y16" s="337"/>
      <c r="Z16" s="344" t="e">
        <v>#NUM!</v>
      </c>
      <c r="AA16" s="337"/>
      <c r="AB16" s="565" t="e">
        <v>#NUM!</v>
      </c>
      <c r="AC16" s="342" t="e">
        <f>_xll.qlSimpleQuoteSetValue(F16,AB16/100,Trigger)</f>
        <v>#NUM!</v>
      </c>
      <c r="AD16" s="213"/>
      <c r="AE16" s="64"/>
      <c r="AF16" s="64"/>
      <c r="AG16" s="64"/>
      <c r="AH16" s="64"/>
      <c r="AI16" s="64"/>
      <c r="AJ16" s="371" t="e">
        <f t="shared" si="1"/>
        <v>#VALUE!</v>
      </c>
    </row>
    <row r="17" spans="1:36" x14ac:dyDescent="0.2">
      <c r="A17" s="118"/>
      <c r="B17" s="189" t="s">
        <v>78</v>
      </c>
      <c r="C17" s="75" t="str">
        <v>AM</v>
      </c>
      <c r="D17" s="75" t="str">
        <v>3L</v>
      </c>
      <c r="E17" s="73" t="str">
        <f t="shared" si="2"/>
        <v>GBPAM3L9Y_Quote</v>
      </c>
      <c r="F17" s="73" t="str">
        <f>_xll.qlSimpleQuote(Currency&amp;$C17&amp;$D17&amp;$B17&amp;QuoteSuffix,,RateTickValue,Permanent,Trigger,ObjectOverwrite)</f>
        <v>GBPAM3L9Y_Quote#0000</v>
      </c>
      <c r="G17" s="186" t="str">
        <f>_xll.ohRangeRetrieveError(F17)</f>
        <v/>
      </c>
      <c r="H17" s="33"/>
      <c r="N17" s="118"/>
      <c r="O17" s="347" t="s">
        <v>78</v>
      </c>
      <c r="P17" s="479" t="str">
        <v>AM</v>
      </c>
      <c r="Q17" s="479" t="str">
        <v>3L</v>
      </c>
      <c r="R17" s="387" t="str">
        <f t="shared" si="0"/>
        <v>GBPAM3L9Y</v>
      </c>
      <c r="S17" s="387" t="str">
        <v>GBPAM3L9Y=ICAP</v>
      </c>
      <c r="T17" s="388" t="s">
        <v>233</v>
      </c>
      <c r="U17" s="388" t="s">
        <v>233</v>
      </c>
      <c r="V17" s="388" t="s">
        <v>233</v>
      </c>
      <c r="W17" s="388" t="s">
        <v>233</v>
      </c>
      <c r="X17" s="345" t="e">
        <f>_xll.qlMidSafe($T17,$U17)</f>
        <v>#NUM!</v>
      </c>
      <c r="Y17" s="337"/>
      <c r="Z17" s="344" t="e">
        <v>#NUM!</v>
      </c>
      <c r="AA17" s="337"/>
      <c r="AB17" s="565" t="e">
        <v>#NUM!</v>
      </c>
      <c r="AC17" s="342" t="e">
        <f>_xll.qlSimpleQuoteSetValue(F17,AB17/100,Trigger)</f>
        <v>#NUM!</v>
      </c>
      <c r="AD17" s="213"/>
      <c r="AE17" s="64"/>
      <c r="AF17" s="64"/>
      <c r="AG17" s="64"/>
      <c r="AH17" s="64"/>
      <c r="AI17" s="64"/>
      <c r="AJ17" s="371" t="e">
        <f t="shared" si="1"/>
        <v>#VALUE!</v>
      </c>
    </row>
    <row r="18" spans="1:36" x14ac:dyDescent="0.2">
      <c r="A18" s="118"/>
      <c r="B18" s="189" t="s">
        <v>77</v>
      </c>
      <c r="C18" s="75" t="str">
        <v>AM</v>
      </c>
      <c r="D18" s="75" t="str">
        <v>3L</v>
      </c>
      <c r="E18" s="73" t="str">
        <f t="shared" si="2"/>
        <v>GBPAM3L10Y_Quote</v>
      </c>
      <c r="F18" s="73" t="str">
        <f>_xll.qlSimpleQuote(Currency&amp;$C18&amp;$D18&amp;$B18&amp;QuoteSuffix,,RateTickValue,Permanent,Trigger,ObjectOverwrite)</f>
        <v>GBPAM3L10Y_Quote#0000</v>
      </c>
      <c r="G18" s="186" t="str">
        <f>_xll.ohRangeRetrieveError(F18)</f>
        <v/>
      </c>
      <c r="H18" s="33"/>
      <c r="N18" s="118"/>
      <c r="O18" s="347" t="s">
        <v>77</v>
      </c>
      <c r="P18" s="479" t="str">
        <v>AM</v>
      </c>
      <c r="Q18" s="479" t="str">
        <v>3L</v>
      </c>
      <c r="R18" s="387" t="str">
        <f t="shared" si="0"/>
        <v>GBPAM3L10Y</v>
      </c>
      <c r="S18" s="387" t="str">
        <v>GBPAM3L10Y=ICAP</v>
      </c>
      <c r="T18" s="388" t="s">
        <v>233</v>
      </c>
      <c r="U18" s="388" t="s">
        <v>233</v>
      </c>
      <c r="V18" s="388" t="s">
        <v>233</v>
      </c>
      <c r="W18" s="388" t="s">
        <v>233</v>
      </c>
      <c r="X18" s="345" t="e">
        <f>_xll.qlMidSafe($T18,$U18)</f>
        <v>#NUM!</v>
      </c>
      <c r="Y18" s="337"/>
      <c r="Z18" s="344" t="e">
        <v>#NUM!</v>
      </c>
      <c r="AA18" s="337"/>
      <c r="AB18" s="565" t="e">
        <v>#NUM!</v>
      </c>
      <c r="AC18" s="342" t="e">
        <f>_xll.qlSimpleQuoteSetValue(F18,AB18/100,Trigger)</f>
        <v>#NUM!</v>
      </c>
      <c r="AD18" s="213"/>
      <c r="AE18" s="64"/>
      <c r="AF18" s="64"/>
      <c r="AG18" s="64"/>
      <c r="AH18" s="64"/>
      <c r="AI18" s="64"/>
      <c r="AJ18" s="371" t="e">
        <f t="shared" si="1"/>
        <v>#VALUE!</v>
      </c>
    </row>
    <row r="19" spans="1:36" x14ac:dyDescent="0.2">
      <c r="A19" s="118"/>
      <c r="B19" s="189" t="s">
        <v>76</v>
      </c>
      <c r="C19" s="75" t="str">
        <v>AM</v>
      </c>
      <c r="D19" s="75" t="str">
        <v>3L</v>
      </c>
      <c r="E19" s="73" t="str">
        <f t="shared" si="2"/>
        <v>GBPAM3L11Y_Quote</v>
      </c>
      <c r="F19" s="73" t="str">
        <f>_xll.qlSimpleQuote(Currency&amp;$C19&amp;$D19&amp;$B19&amp;QuoteSuffix,,RateTickValue,Permanent,Trigger,ObjectOverwrite)</f>
        <v>GBPAM3L11Y_Quote#0000</v>
      </c>
      <c r="G19" s="186" t="str">
        <f>_xll.ohRangeRetrieveError(F19)</f>
        <v/>
      </c>
      <c r="H19" s="33"/>
      <c r="N19" s="118"/>
      <c r="O19" s="347" t="s">
        <v>76</v>
      </c>
      <c r="P19" s="479" t="str">
        <v>AM</v>
      </c>
      <c r="Q19" s="479" t="str">
        <v>3L</v>
      </c>
      <c r="R19" s="387" t="str">
        <f t="shared" si="0"/>
        <v>GBPAM3L11Y</v>
      </c>
      <c r="S19" s="387" t="str">
        <v>GBPAM3L11Y=ICAP</v>
      </c>
      <c r="T19" s="388" t="s">
        <v>233</v>
      </c>
      <c r="U19" s="388" t="s">
        <v>233</v>
      </c>
      <c r="V19" s="388" t="s">
        <v>233</v>
      </c>
      <c r="W19" s="388" t="s">
        <v>233</v>
      </c>
      <c r="X19" s="345" t="e">
        <f>_xll.qlMidSafe($T19,$U19)</f>
        <v>#NUM!</v>
      </c>
      <c r="Y19" s="337"/>
      <c r="Z19" s="344" t="e">
        <v>#NUM!</v>
      </c>
      <c r="AA19" s="337"/>
      <c r="AB19" s="565" t="e">
        <v>#NUM!</v>
      </c>
      <c r="AC19" s="342" t="e">
        <f>_xll.qlSimpleQuoteSetValue(F19,AB19/100,Trigger)</f>
        <v>#NUM!</v>
      </c>
      <c r="AD19" s="213"/>
      <c r="AE19" s="64"/>
      <c r="AF19" s="64"/>
      <c r="AG19" s="64"/>
      <c r="AH19" s="64"/>
      <c r="AI19" s="64"/>
      <c r="AJ19" s="371" t="e">
        <f t="shared" si="1"/>
        <v>#VALUE!</v>
      </c>
    </row>
    <row r="20" spans="1:36" x14ac:dyDescent="0.2">
      <c r="A20" s="118"/>
      <c r="B20" s="189" t="s">
        <v>75</v>
      </c>
      <c r="C20" s="75" t="str">
        <v>AM</v>
      </c>
      <c r="D20" s="75" t="str">
        <v>3L</v>
      </c>
      <c r="E20" s="73" t="str">
        <f t="shared" si="2"/>
        <v>GBPAM3L12Y_Quote</v>
      </c>
      <c r="F20" s="73" t="str">
        <f>_xll.qlSimpleQuote(Currency&amp;$C20&amp;$D20&amp;$B20&amp;QuoteSuffix,,RateTickValue,Permanent,Trigger,ObjectOverwrite)</f>
        <v>GBPAM3L12Y_Quote#0000</v>
      </c>
      <c r="G20" s="186" t="str">
        <f>_xll.ohRangeRetrieveError(F20)</f>
        <v/>
      </c>
      <c r="H20" s="33"/>
      <c r="N20" s="118"/>
      <c r="O20" s="347" t="s">
        <v>75</v>
      </c>
      <c r="P20" s="479" t="str">
        <v>AM</v>
      </c>
      <c r="Q20" s="479" t="str">
        <v>3L</v>
      </c>
      <c r="R20" s="387" t="str">
        <f t="shared" si="0"/>
        <v>GBPAM3L12Y</v>
      </c>
      <c r="S20" s="387" t="str">
        <v>GBPAM3L12Y=ICAP</v>
      </c>
      <c r="T20" s="388" t="s">
        <v>233</v>
      </c>
      <c r="U20" s="388" t="s">
        <v>233</v>
      </c>
      <c r="V20" s="388" t="s">
        <v>233</v>
      </c>
      <c r="W20" s="388" t="s">
        <v>233</v>
      </c>
      <c r="X20" s="345" t="e">
        <f>_xll.qlMidSafe($T20,$U20)</f>
        <v>#NUM!</v>
      </c>
      <c r="Y20" s="337"/>
      <c r="Z20" s="344" t="e">
        <v>#NUM!</v>
      </c>
      <c r="AA20" s="337"/>
      <c r="AB20" s="565" t="e">
        <v>#NUM!</v>
      </c>
      <c r="AC20" s="342" t="e">
        <f>_xll.qlSimpleQuoteSetValue(F20,AB20/100,Trigger)</f>
        <v>#NUM!</v>
      </c>
      <c r="AD20" s="213"/>
      <c r="AE20" s="64"/>
      <c r="AF20" s="64"/>
      <c r="AG20" s="64"/>
      <c r="AH20" s="64"/>
      <c r="AI20" s="64"/>
      <c r="AJ20" s="371" t="e">
        <f t="shared" si="1"/>
        <v>#VALUE!</v>
      </c>
    </row>
    <row r="21" spans="1:36" x14ac:dyDescent="0.2">
      <c r="A21" s="118"/>
      <c r="B21" s="189" t="s">
        <v>74</v>
      </c>
      <c r="C21" s="75" t="str">
        <v>AM</v>
      </c>
      <c r="D21" s="75" t="str">
        <v>3L</v>
      </c>
      <c r="E21" s="73" t="str">
        <f t="shared" si="2"/>
        <v>GBPAM3L13Y_Quote</v>
      </c>
      <c r="F21" s="73" t="str">
        <f>_xll.qlSimpleQuote(Currency&amp;$C21&amp;$D21&amp;$B21&amp;QuoteSuffix,,RateTickValue,Permanent,Trigger,ObjectOverwrite)</f>
        <v>GBPAM3L13Y_Quote#0000</v>
      </c>
      <c r="G21" s="186" t="str">
        <f>_xll.ohRangeRetrieveError(F21)</f>
        <v/>
      </c>
      <c r="H21" s="33"/>
      <c r="N21" s="118"/>
      <c r="O21" s="347" t="s">
        <v>74</v>
      </c>
      <c r="P21" s="479" t="str">
        <v>AM</v>
      </c>
      <c r="Q21" s="479" t="str">
        <v>3L</v>
      </c>
      <c r="R21" s="387" t="str">
        <f t="shared" si="0"/>
        <v>GBPAM3L13Y</v>
      </c>
      <c r="S21" s="387" t="str">
        <v>GBPAM3L13Y=ICAP</v>
      </c>
      <c r="T21" s="388" t="s">
        <v>233</v>
      </c>
      <c r="U21" s="388" t="s">
        <v>233</v>
      </c>
      <c r="V21" s="388" t="s">
        <v>233</v>
      </c>
      <c r="W21" s="388" t="s">
        <v>233</v>
      </c>
      <c r="X21" s="345" t="e">
        <f>_xll.qlMidSafe($T21,$U21)</f>
        <v>#NUM!</v>
      </c>
      <c r="Y21" s="337"/>
      <c r="Z21" s="344" t="e">
        <v>#NUM!</v>
      </c>
      <c r="AA21" s="337"/>
      <c r="AB21" s="565" t="e">
        <v>#NUM!</v>
      </c>
      <c r="AC21" s="342" t="e">
        <f>_xll.qlSimpleQuoteSetValue(F21,AB21/100,Trigger)</f>
        <v>#NUM!</v>
      </c>
      <c r="AD21" s="213"/>
      <c r="AE21" s="64"/>
      <c r="AF21" s="64"/>
      <c r="AG21" s="64"/>
      <c r="AH21" s="64"/>
      <c r="AI21" s="64"/>
      <c r="AJ21" s="371" t="e">
        <f t="shared" si="1"/>
        <v>#VALUE!</v>
      </c>
    </row>
    <row r="22" spans="1:36" x14ac:dyDescent="0.2">
      <c r="A22" s="118"/>
      <c r="B22" s="189" t="s">
        <v>73</v>
      </c>
      <c r="C22" s="75" t="str">
        <v>AM</v>
      </c>
      <c r="D22" s="75" t="str">
        <v>3L</v>
      </c>
      <c r="E22" s="73" t="str">
        <f t="shared" si="2"/>
        <v>GBPAM3L14Y_Quote</v>
      </c>
      <c r="F22" s="73" t="str">
        <f>_xll.qlSimpleQuote(Currency&amp;$C22&amp;$D22&amp;$B22&amp;QuoteSuffix,,RateTickValue,Permanent,Trigger,ObjectOverwrite)</f>
        <v>GBPAM3L14Y_Quote#0000</v>
      </c>
      <c r="G22" s="186" t="str">
        <f>_xll.ohRangeRetrieveError(F22)</f>
        <v/>
      </c>
      <c r="H22" s="33"/>
      <c r="N22" s="118"/>
      <c r="O22" s="347" t="s">
        <v>73</v>
      </c>
      <c r="P22" s="479" t="str">
        <v>AM</v>
      </c>
      <c r="Q22" s="479" t="str">
        <v>3L</v>
      </c>
      <c r="R22" s="387" t="str">
        <f t="shared" si="0"/>
        <v>GBPAM3L14Y</v>
      </c>
      <c r="S22" s="387" t="str">
        <v>GBPAM3L14Y=ICAP</v>
      </c>
      <c r="T22" s="388" t="s">
        <v>233</v>
      </c>
      <c r="U22" s="388" t="s">
        <v>233</v>
      </c>
      <c r="V22" s="388" t="s">
        <v>233</v>
      </c>
      <c r="W22" s="388" t="s">
        <v>233</v>
      </c>
      <c r="X22" s="345" t="e">
        <f>_xll.qlMidSafe($T22,$U22)</f>
        <v>#NUM!</v>
      </c>
      <c r="Y22" s="337"/>
      <c r="Z22" s="344" t="e">
        <v>#NUM!</v>
      </c>
      <c r="AA22" s="337"/>
      <c r="AB22" s="565" t="e">
        <v>#NUM!</v>
      </c>
      <c r="AC22" s="342" t="e">
        <f>_xll.qlSimpleQuoteSetValue(F22,AB22/100,Trigger)</f>
        <v>#NUM!</v>
      </c>
      <c r="AD22" s="213"/>
      <c r="AE22" s="64"/>
      <c r="AF22" s="64"/>
      <c r="AG22" s="64"/>
      <c r="AH22" s="64"/>
      <c r="AI22" s="64"/>
      <c r="AJ22" s="371" t="e">
        <f t="shared" si="1"/>
        <v>#VALUE!</v>
      </c>
    </row>
    <row r="23" spans="1:36" x14ac:dyDescent="0.2">
      <c r="A23" s="118"/>
      <c r="B23" s="189" t="s">
        <v>72</v>
      </c>
      <c r="C23" s="75" t="str">
        <v>AM</v>
      </c>
      <c r="D23" s="75" t="str">
        <v>3L</v>
      </c>
      <c r="E23" s="73" t="str">
        <f t="shared" si="2"/>
        <v>GBPAM3L15Y_Quote</v>
      </c>
      <c r="F23" s="73" t="str">
        <f>_xll.qlSimpleQuote(Currency&amp;$C23&amp;$D23&amp;$B23&amp;QuoteSuffix,,RateTickValue,Permanent,Trigger,ObjectOverwrite)</f>
        <v>GBPAM3L15Y_Quote#0000</v>
      </c>
      <c r="G23" s="186" t="str">
        <f>_xll.ohRangeRetrieveError(F23)</f>
        <v/>
      </c>
      <c r="H23" s="33"/>
      <c r="N23" s="118"/>
      <c r="O23" s="347" t="s">
        <v>72</v>
      </c>
      <c r="P23" s="479" t="str">
        <v>AM</v>
      </c>
      <c r="Q23" s="479" t="str">
        <v>3L</v>
      </c>
      <c r="R23" s="387" t="str">
        <f t="shared" si="0"/>
        <v>GBPAM3L15Y</v>
      </c>
      <c r="S23" s="387" t="str">
        <v>GBPAM3L15Y=ICAP</v>
      </c>
      <c r="T23" s="388" t="s">
        <v>233</v>
      </c>
      <c r="U23" s="388" t="s">
        <v>233</v>
      </c>
      <c r="V23" s="388" t="s">
        <v>233</v>
      </c>
      <c r="W23" s="388" t="s">
        <v>233</v>
      </c>
      <c r="X23" s="345" t="e">
        <f>_xll.qlMidSafe($T23,$U23)</f>
        <v>#NUM!</v>
      </c>
      <c r="Y23" s="337"/>
      <c r="Z23" s="344" t="e">
        <v>#NUM!</v>
      </c>
      <c r="AA23" s="337"/>
      <c r="AB23" s="565" t="e">
        <v>#NUM!</v>
      </c>
      <c r="AC23" s="342" t="e">
        <f>_xll.qlSimpleQuoteSetValue(F23,AB23/100,Trigger)</f>
        <v>#NUM!</v>
      </c>
      <c r="AD23" s="213"/>
      <c r="AE23" s="64"/>
      <c r="AF23" s="64"/>
      <c r="AG23" s="64"/>
      <c r="AH23" s="64"/>
      <c r="AI23" s="64"/>
      <c r="AJ23" s="371" t="e">
        <f t="shared" si="1"/>
        <v>#VALUE!</v>
      </c>
    </row>
    <row r="24" spans="1:36" x14ac:dyDescent="0.2">
      <c r="A24" s="118"/>
      <c r="B24" s="189" t="s">
        <v>71</v>
      </c>
      <c r="C24" s="75" t="str">
        <v>AM</v>
      </c>
      <c r="D24" s="75" t="str">
        <v>3L</v>
      </c>
      <c r="E24" s="73" t="str">
        <f t="shared" si="2"/>
        <v>GBPAM3L16Y_Quote</v>
      </c>
      <c r="F24" s="73" t="str">
        <f>_xll.qlSimpleQuote(Currency&amp;$C24&amp;$D24&amp;$B24&amp;QuoteSuffix,,RateTickValue,Permanent,Trigger,ObjectOverwrite)</f>
        <v>GBPAM3L16Y_Quote#0000</v>
      </c>
      <c r="G24" s="186" t="str">
        <f>_xll.ohRangeRetrieveError(F24)</f>
        <v/>
      </c>
      <c r="H24" s="33"/>
      <c r="N24" s="118"/>
      <c r="O24" s="347" t="s">
        <v>71</v>
      </c>
      <c r="P24" s="479" t="str">
        <v>AM</v>
      </c>
      <c r="Q24" s="479" t="str">
        <v>3L</v>
      </c>
      <c r="R24" s="387" t="str">
        <f t="shared" si="0"/>
        <v>GBPAM3L16Y</v>
      </c>
      <c r="S24" s="387" t="str">
        <v>GBPAM3L16Y=ICAP</v>
      </c>
      <c r="T24" s="388" t="s">
        <v>233</v>
      </c>
      <c r="U24" s="388" t="s">
        <v>233</v>
      </c>
      <c r="V24" s="388" t="s">
        <v>233</v>
      </c>
      <c r="W24" s="388" t="s">
        <v>233</v>
      </c>
      <c r="X24" s="345" t="e">
        <f>_xll.qlMidSafe($T24,$U24)</f>
        <v>#NUM!</v>
      </c>
      <c r="Y24" s="337"/>
      <c r="Z24" s="344" t="e">
        <v>#NUM!</v>
      </c>
      <c r="AA24" s="337"/>
      <c r="AB24" s="565" t="e">
        <v>#NUM!</v>
      </c>
      <c r="AC24" s="342" t="e">
        <f>_xll.qlSimpleQuoteSetValue(F24,AB24/100,Trigger)</f>
        <v>#NUM!</v>
      </c>
      <c r="AD24" s="213"/>
      <c r="AE24" s="64"/>
      <c r="AF24" s="64"/>
      <c r="AG24" s="64"/>
      <c r="AH24" s="64"/>
      <c r="AI24" s="64"/>
      <c r="AJ24" s="371" t="e">
        <f t="shared" si="1"/>
        <v>#VALUE!</v>
      </c>
    </row>
    <row r="25" spans="1:36" x14ac:dyDescent="0.2">
      <c r="A25" s="118"/>
      <c r="B25" s="189" t="s">
        <v>70</v>
      </c>
      <c r="C25" s="75" t="str">
        <v>AM</v>
      </c>
      <c r="D25" s="75" t="str">
        <v>3L</v>
      </c>
      <c r="E25" s="73" t="str">
        <f t="shared" si="2"/>
        <v>GBPAM3L17Y_Quote</v>
      </c>
      <c r="F25" s="73" t="str">
        <f>_xll.qlSimpleQuote(Currency&amp;$C25&amp;$D25&amp;$B25&amp;QuoteSuffix,,RateTickValue,Permanent,Trigger,ObjectOverwrite)</f>
        <v>GBPAM3L17Y_Quote#0000</v>
      </c>
      <c r="G25" s="186" t="str">
        <f>_xll.ohRangeRetrieveError(F25)</f>
        <v/>
      </c>
      <c r="H25" s="33"/>
      <c r="N25" s="118"/>
      <c r="O25" s="347" t="s">
        <v>70</v>
      </c>
      <c r="P25" s="479" t="str">
        <v>AM</v>
      </c>
      <c r="Q25" s="479" t="str">
        <v>3L</v>
      </c>
      <c r="R25" s="387" t="str">
        <f t="shared" si="0"/>
        <v>GBPAM3L17Y</v>
      </c>
      <c r="S25" s="387" t="str">
        <v>GBPAM3L17Y=ICAP</v>
      </c>
      <c r="T25" s="388" t="s">
        <v>233</v>
      </c>
      <c r="U25" s="388" t="s">
        <v>233</v>
      </c>
      <c r="V25" s="388" t="s">
        <v>233</v>
      </c>
      <c r="W25" s="388" t="s">
        <v>233</v>
      </c>
      <c r="X25" s="345" t="e">
        <f>_xll.qlMidSafe($T25,$U25)</f>
        <v>#NUM!</v>
      </c>
      <c r="Y25" s="337"/>
      <c r="Z25" s="344" t="e">
        <v>#NUM!</v>
      </c>
      <c r="AA25" s="337"/>
      <c r="AB25" s="565" t="e">
        <v>#NUM!</v>
      </c>
      <c r="AC25" s="342" t="e">
        <f>_xll.qlSimpleQuoteSetValue(F25,AB25/100,Trigger)</f>
        <v>#NUM!</v>
      </c>
      <c r="AD25" s="213"/>
      <c r="AE25" s="64"/>
      <c r="AF25" s="64"/>
      <c r="AG25" s="64"/>
      <c r="AH25" s="64"/>
      <c r="AI25" s="64"/>
      <c r="AJ25" s="371" t="e">
        <f t="shared" si="1"/>
        <v>#VALUE!</v>
      </c>
    </row>
    <row r="26" spans="1:36" x14ac:dyDescent="0.2">
      <c r="A26" s="118"/>
      <c r="B26" s="189" t="s">
        <v>69</v>
      </c>
      <c r="C26" s="75" t="str">
        <v>AM</v>
      </c>
      <c r="D26" s="75" t="str">
        <v>3L</v>
      </c>
      <c r="E26" s="73" t="str">
        <f t="shared" si="2"/>
        <v>GBPAM3L18Y_Quote</v>
      </c>
      <c r="F26" s="73" t="str">
        <f>_xll.qlSimpleQuote(Currency&amp;$C26&amp;$D26&amp;$B26&amp;QuoteSuffix,,RateTickValue,Permanent,Trigger,ObjectOverwrite)</f>
        <v>GBPAM3L18Y_Quote#0000</v>
      </c>
      <c r="G26" s="186" t="str">
        <f>_xll.ohRangeRetrieveError(F26)</f>
        <v/>
      </c>
      <c r="H26" s="33"/>
      <c r="N26" s="118"/>
      <c r="O26" s="347" t="s">
        <v>69</v>
      </c>
      <c r="P26" s="479" t="str">
        <v>AM</v>
      </c>
      <c r="Q26" s="479" t="str">
        <v>3L</v>
      </c>
      <c r="R26" s="387" t="str">
        <f t="shared" si="0"/>
        <v>GBPAM3L18Y</v>
      </c>
      <c r="S26" s="387" t="str">
        <v>GBPAM3L18Y=ICAP</v>
      </c>
      <c r="T26" s="388" t="s">
        <v>233</v>
      </c>
      <c r="U26" s="388" t="s">
        <v>233</v>
      </c>
      <c r="V26" s="388" t="s">
        <v>233</v>
      </c>
      <c r="W26" s="388" t="s">
        <v>233</v>
      </c>
      <c r="X26" s="345" t="e">
        <f>_xll.qlMidSafe($T26,$U26)</f>
        <v>#NUM!</v>
      </c>
      <c r="Y26" s="337"/>
      <c r="Z26" s="344" t="e">
        <v>#NUM!</v>
      </c>
      <c r="AA26" s="337"/>
      <c r="AB26" s="565" t="e">
        <v>#NUM!</v>
      </c>
      <c r="AC26" s="342" t="e">
        <f>_xll.qlSimpleQuoteSetValue(F26,AB26/100,Trigger)</f>
        <v>#NUM!</v>
      </c>
      <c r="AD26" s="213"/>
      <c r="AE26" s="64"/>
      <c r="AF26" s="64"/>
      <c r="AG26" s="64"/>
      <c r="AH26" s="64"/>
      <c r="AI26" s="64"/>
      <c r="AJ26" s="371" t="e">
        <f t="shared" si="1"/>
        <v>#VALUE!</v>
      </c>
    </row>
    <row r="27" spans="1:36" x14ac:dyDescent="0.2">
      <c r="A27" s="118"/>
      <c r="B27" s="189" t="s">
        <v>68</v>
      </c>
      <c r="C27" s="75" t="str">
        <v>AM</v>
      </c>
      <c r="D27" s="75" t="str">
        <v>3L</v>
      </c>
      <c r="E27" s="73" t="str">
        <f t="shared" si="2"/>
        <v>GBPAM3L19Y_Quote</v>
      </c>
      <c r="F27" s="73" t="str">
        <f>_xll.qlSimpleQuote(Currency&amp;$C27&amp;$D27&amp;$B27&amp;QuoteSuffix,,RateTickValue,Permanent,Trigger,ObjectOverwrite)</f>
        <v>GBPAM3L19Y_Quote#0000</v>
      </c>
      <c r="G27" s="186" t="str">
        <f>_xll.ohRangeRetrieveError(F27)</f>
        <v/>
      </c>
      <c r="H27" s="33"/>
      <c r="N27" s="118"/>
      <c r="O27" s="347" t="s">
        <v>68</v>
      </c>
      <c r="P27" s="479" t="str">
        <v>AM</v>
      </c>
      <c r="Q27" s="479" t="str">
        <v>3L</v>
      </c>
      <c r="R27" s="387" t="str">
        <f t="shared" si="0"/>
        <v>GBPAM3L19Y</v>
      </c>
      <c r="S27" s="387" t="str">
        <v>GBPAM3L19Y=ICAP</v>
      </c>
      <c r="T27" s="388" t="s">
        <v>233</v>
      </c>
      <c r="U27" s="388" t="s">
        <v>233</v>
      </c>
      <c r="V27" s="388" t="s">
        <v>233</v>
      </c>
      <c r="W27" s="388" t="s">
        <v>233</v>
      </c>
      <c r="X27" s="345" t="e">
        <f>_xll.qlMidSafe($T27,$U27)</f>
        <v>#NUM!</v>
      </c>
      <c r="Y27" s="337"/>
      <c r="Z27" s="344" t="e">
        <v>#NUM!</v>
      </c>
      <c r="AA27" s="337"/>
      <c r="AB27" s="565" t="e">
        <v>#NUM!</v>
      </c>
      <c r="AC27" s="342" t="e">
        <f>_xll.qlSimpleQuoteSetValue(F27,AB27/100,Trigger)</f>
        <v>#NUM!</v>
      </c>
      <c r="AD27" s="213"/>
      <c r="AE27" s="64"/>
      <c r="AF27" s="64"/>
      <c r="AG27" s="64"/>
      <c r="AH27" s="64"/>
      <c r="AI27" s="64"/>
      <c r="AJ27" s="371" t="e">
        <f t="shared" si="1"/>
        <v>#VALUE!</v>
      </c>
    </row>
    <row r="28" spans="1:36" x14ac:dyDescent="0.2">
      <c r="A28" s="118"/>
      <c r="B28" s="189" t="s">
        <v>67</v>
      </c>
      <c r="C28" s="75" t="str">
        <v>AM</v>
      </c>
      <c r="D28" s="75" t="str">
        <v>3L</v>
      </c>
      <c r="E28" s="73" t="str">
        <f t="shared" si="2"/>
        <v>GBPAM3L20Y_Quote</v>
      </c>
      <c r="F28" s="73" t="str">
        <f>_xll.qlSimpleQuote(Currency&amp;$C28&amp;$D28&amp;$B28&amp;QuoteSuffix,,RateTickValue,Permanent,Trigger,ObjectOverwrite)</f>
        <v>GBPAM3L20Y_Quote#0000</v>
      </c>
      <c r="G28" s="186" t="str">
        <f>_xll.ohRangeRetrieveError(F28)</f>
        <v/>
      </c>
      <c r="H28" s="33"/>
      <c r="N28" s="118"/>
      <c r="O28" s="347" t="s">
        <v>67</v>
      </c>
      <c r="P28" s="479" t="str">
        <v>AM</v>
      </c>
      <c r="Q28" s="479" t="str">
        <v>3L</v>
      </c>
      <c r="R28" s="387" t="str">
        <f t="shared" si="0"/>
        <v>GBPAM3L20Y</v>
      </c>
      <c r="S28" s="387" t="str">
        <v>GBPAM3L20Y=ICAP</v>
      </c>
      <c r="T28" s="388" t="s">
        <v>233</v>
      </c>
      <c r="U28" s="388" t="s">
        <v>233</v>
      </c>
      <c r="V28" s="388" t="s">
        <v>233</v>
      </c>
      <c r="W28" s="388" t="s">
        <v>233</v>
      </c>
      <c r="X28" s="345" t="e">
        <f>_xll.qlMidSafe($T28,$U28)</f>
        <v>#NUM!</v>
      </c>
      <c r="Y28" s="337"/>
      <c r="Z28" s="344" t="e">
        <v>#NUM!</v>
      </c>
      <c r="AA28" s="337"/>
      <c r="AB28" s="565" t="e">
        <v>#NUM!</v>
      </c>
      <c r="AC28" s="342" t="e">
        <f>_xll.qlSimpleQuoteSetValue(F28,AB28/100,Trigger)</f>
        <v>#NUM!</v>
      </c>
      <c r="AD28" s="213"/>
      <c r="AE28" s="64"/>
      <c r="AF28" s="64"/>
      <c r="AG28" s="64"/>
      <c r="AH28" s="64"/>
      <c r="AI28" s="64"/>
      <c r="AJ28" s="371" t="e">
        <f t="shared" si="1"/>
        <v>#VALUE!</v>
      </c>
    </row>
    <row r="29" spans="1:36" x14ac:dyDescent="0.2">
      <c r="A29" s="118"/>
      <c r="B29" s="189" t="s">
        <v>66</v>
      </c>
      <c r="C29" s="75" t="str">
        <v>AM</v>
      </c>
      <c r="D29" s="75" t="str">
        <v>3L</v>
      </c>
      <c r="E29" s="73" t="str">
        <f t="shared" si="2"/>
        <v>GBPAM3L21Y_Quote</v>
      </c>
      <c r="F29" s="73" t="str">
        <f>_xll.qlSimpleQuote(Currency&amp;$C29&amp;$D29&amp;$B29&amp;QuoteSuffix,,RateTickValue,Permanent,Trigger,ObjectOverwrite)</f>
        <v>GBPAM3L21Y_Quote#0000</v>
      </c>
      <c r="G29" s="186" t="str">
        <f>_xll.ohRangeRetrieveError(F29)</f>
        <v/>
      </c>
      <c r="H29" s="33"/>
      <c r="N29" s="118"/>
      <c r="O29" s="347" t="s">
        <v>66</v>
      </c>
      <c r="P29" s="480" t="str">
        <v>AM</v>
      </c>
      <c r="Q29" s="480" t="str">
        <v>3L</v>
      </c>
      <c r="R29" s="387" t="str">
        <f t="shared" si="0"/>
        <v>GBPAM3L21Y</v>
      </c>
      <c r="S29" s="387" t="str">
        <v>GBPAM3L21Y=ICAP</v>
      </c>
      <c r="T29" s="388" t="s">
        <v>233</v>
      </c>
      <c r="U29" s="388" t="s">
        <v>233</v>
      </c>
      <c r="V29" s="388" t="s">
        <v>233</v>
      </c>
      <c r="W29" s="388" t="s">
        <v>233</v>
      </c>
      <c r="X29" s="345" t="e">
        <f>_xll.qlMidSafe($T29,$U29)</f>
        <v>#NUM!</v>
      </c>
      <c r="Y29" s="337"/>
      <c r="Z29" s="344" t="e">
        <v>#NUM!</v>
      </c>
      <c r="AA29" s="337"/>
      <c r="AB29" s="565" t="e">
        <v>#NUM!</v>
      </c>
      <c r="AC29" s="342" t="e">
        <f>_xll.qlSimpleQuoteSetValue(F29,AB29/100,Trigger)</f>
        <v>#NUM!</v>
      </c>
      <c r="AD29" s="213"/>
      <c r="AE29" s="64"/>
      <c r="AF29" s="64"/>
      <c r="AG29" s="64"/>
      <c r="AH29" s="64"/>
      <c r="AI29" s="64"/>
      <c r="AJ29" s="371" t="e">
        <f t="shared" si="1"/>
        <v>#VALUE!</v>
      </c>
    </row>
    <row r="30" spans="1:36" x14ac:dyDescent="0.2">
      <c r="A30" s="118"/>
      <c r="B30" s="189" t="s">
        <v>65</v>
      </c>
      <c r="C30" s="75" t="str">
        <v>AM</v>
      </c>
      <c r="D30" s="75" t="str">
        <v>3L</v>
      </c>
      <c r="E30" s="73" t="str">
        <f t="shared" si="2"/>
        <v>GBPAM3L22Y_Quote</v>
      </c>
      <c r="F30" s="73" t="str">
        <f>_xll.qlSimpleQuote(Currency&amp;$C30&amp;$D30&amp;$B30&amp;QuoteSuffix,,RateTickValue,Permanent,Trigger,ObjectOverwrite)</f>
        <v>GBPAM3L22Y_Quote#0000</v>
      </c>
      <c r="G30" s="186" t="str">
        <f>_xll.ohRangeRetrieveError(F30)</f>
        <v/>
      </c>
      <c r="H30" s="33"/>
      <c r="N30" s="118"/>
      <c r="O30" s="347" t="s">
        <v>65</v>
      </c>
      <c r="P30" s="479" t="str">
        <v>AM</v>
      </c>
      <c r="Q30" s="479" t="str">
        <v>3L</v>
      </c>
      <c r="R30" s="387" t="str">
        <f t="shared" si="0"/>
        <v>GBPAM3L22Y</v>
      </c>
      <c r="S30" s="387" t="str">
        <v>GBPAM3L22Y=ICAP</v>
      </c>
      <c r="T30" s="388" t="s">
        <v>233</v>
      </c>
      <c r="U30" s="388" t="s">
        <v>233</v>
      </c>
      <c r="V30" s="388" t="s">
        <v>233</v>
      </c>
      <c r="W30" s="388" t="s">
        <v>233</v>
      </c>
      <c r="X30" s="345" t="e">
        <f>_xll.qlMidSafe($T30,$U30)</f>
        <v>#NUM!</v>
      </c>
      <c r="Y30" s="337"/>
      <c r="Z30" s="344" t="e">
        <v>#NUM!</v>
      </c>
      <c r="AA30" s="337"/>
      <c r="AB30" s="565" t="e">
        <v>#NUM!</v>
      </c>
      <c r="AC30" s="342" t="e">
        <f>_xll.qlSimpleQuoteSetValue(F30,AB30/100,Trigger)</f>
        <v>#NUM!</v>
      </c>
      <c r="AD30" s="213"/>
      <c r="AE30" s="64"/>
      <c r="AF30" s="64"/>
      <c r="AG30" s="64"/>
      <c r="AH30" s="64"/>
      <c r="AI30" s="64"/>
      <c r="AJ30" s="371" t="e">
        <f t="shared" si="1"/>
        <v>#VALUE!</v>
      </c>
    </row>
    <row r="31" spans="1:36" x14ac:dyDescent="0.2">
      <c r="A31" s="118"/>
      <c r="B31" s="189" t="s">
        <v>64</v>
      </c>
      <c r="C31" s="75" t="str">
        <v>AM</v>
      </c>
      <c r="D31" s="75" t="str">
        <v>3L</v>
      </c>
      <c r="E31" s="73" t="str">
        <f t="shared" si="2"/>
        <v>GBPAM3L23Y_Quote</v>
      </c>
      <c r="F31" s="73" t="str">
        <f>_xll.qlSimpleQuote(Currency&amp;$C31&amp;$D31&amp;$B31&amp;QuoteSuffix,,RateTickValue,Permanent,Trigger,ObjectOverwrite)</f>
        <v>GBPAM3L23Y_Quote#0000</v>
      </c>
      <c r="G31" s="186" t="str">
        <f>_xll.ohRangeRetrieveError(F31)</f>
        <v/>
      </c>
      <c r="H31" s="33"/>
      <c r="N31" s="118"/>
      <c r="O31" s="347" t="s">
        <v>64</v>
      </c>
      <c r="P31" s="479" t="str">
        <v>AM</v>
      </c>
      <c r="Q31" s="479" t="str">
        <v>3L</v>
      </c>
      <c r="R31" s="387" t="str">
        <f t="shared" si="0"/>
        <v>GBPAM3L23Y</v>
      </c>
      <c r="S31" s="387" t="str">
        <v>GBPAM3L23Y=ICAP</v>
      </c>
      <c r="T31" s="388" t="s">
        <v>233</v>
      </c>
      <c r="U31" s="388" t="s">
        <v>233</v>
      </c>
      <c r="V31" s="388" t="s">
        <v>233</v>
      </c>
      <c r="W31" s="388" t="s">
        <v>233</v>
      </c>
      <c r="X31" s="345" t="e">
        <f>_xll.qlMidSafe($T31,$U31)</f>
        <v>#NUM!</v>
      </c>
      <c r="Y31" s="337"/>
      <c r="Z31" s="344" t="e">
        <v>#NUM!</v>
      </c>
      <c r="AA31" s="337"/>
      <c r="AB31" s="565" t="e">
        <v>#NUM!</v>
      </c>
      <c r="AC31" s="342" t="e">
        <f>_xll.qlSimpleQuoteSetValue(F31,AB31/100,Trigger)</f>
        <v>#NUM!</v>
      </c>
      <c r="AD31" s="213"/>
      <c r="AE31" s="64"/>
      <c r="AF31" s="64"/>
      <c r="AG31" s="64"/>
      <c r="AH31" s="64"/>
      <c r="AI31" s="64"/>
      <c r="AJ31" s="371" t="e">
        <f t="shared" si="1"/>
        <v>#VALUE!</v>
      </c>
    </row>
    <row r="32" spans="1:36" x14ac:dyDescent="0.2">
      <c r="A32" s="118"/>
      <c r="B32" s="189" t="s">
        <v>63</v>
      </c>
      <c r="C32" s="75" t="str">
        <v>AM</v>
      </c>
      <c r="D32" s="75" t="str">
        <v>3L</v>
      </c>
      <c r="E32" s="73" t="str">
        <f t="shared" si="2"/>
        <v>GBPAM3L24Y_Quote</v>
      </c>
      <c r="F32" s="73" t="str">
        <f>_xll.qlSimpleQuote(Currency&amp;$C32&amp;$D32&amp;$B32&amp;QuoteSuffix,,RateTickValue,Permanent,Trigger,ObjectOverwrite)</f>
        <v>GBPAM3L24Y_Quote#0000</v>
      </c>
      <c r="G32" s="186" t="str">
        <f>_xll.ohRangeRetrieveError(F32)</f>
        <v/>
      </c>
      <c r="H32" s="33"/>
      <c r="N32" s="118"/>
      <c r="O32" s="347" t="s">
        <v>63</v>
      </c>
      <c r="P32" s="479" t="str">
        <v>AM</v>
      </c>
      <c r="Q32" s="479" t="str">
        <v>3L</v>
      </c>
      <c r="R32" s="387" t="str">
        <f t="shared" si="0"/>
        <v>GBPAM3L24Y</v>
      </c>
      <c r="S32" s="387" t="str">
        <v>GBPAM3L24Y=ICAP</v>
      </c>
      <c r="T32" s="388" t="s">
        <v>233</v>
      </c>
      <c r="U32" s="388" t="s">
        <v>233</v>
      </c>
      <c r="V32" s="388" t="s">
        <v>233</v>
      </c>
      <c r="W32" s="388" t="s">
        <v>233</v>
      </c>
      <c r="X32" s="345" t="e">
        <f>_xll.qlMidSafe($T32,$U32)</f>
        <v>#NUM!</v>
      </c>
      <c r="Y32" s="337"/>
      <c r="Z32" s="344" t="e">
        <v>#NUM!</v>
      </c>
      <c r="AA32" s="337"/>
      <c r="AB32" s="565" t="e">
        <v>#NUM!</v>
      </c>
      <c r="AC32" s="342" t="e">
        <f>_xll.qlSimpleQuoteSetValue(F32,AB32/100,Trigger)</f>
        <v>#NUM!</v>
      </c>
      <c r="AD32" s="213"/>
      <c r="AE32" s="64"/>
      <c r="AF32" s="64"/>
      <c r="AG32" s="64"/>
      <c r="AH32" s="64"/>
      <c r="AI32" s="64"/>
      <c r="AJ32" s="371" t="e">
        <f t="shared" si="1"/>
        <v>#VALUE!</v>
      </c>
    </row>
    <row r="33" spans="1:36" x14ac:dyDescent="0.2">
      <c r="A33" s="118"/>
      <c r="B33" s="189" t="s">
        <v>62</v>
      </c>
      <c r="C33" s="75" t="str">
        <v>AM</v>
      </c>
      <c r="D33" s="75" t="str">
        <v>3L</v>
      </c>
      <c r="E33" s="73" t="str">
        <f t="shared" si="2"/>
        <v>GBPAM3L25Y_Quote</v>
      </c>
      <c r="F33" s="73" t="str">
        <f>_xll.qlSimpleQuote(Currency&amp;$C33&amp;$D33&amp;$B33&amp;QuoteSuffix,,RateTickValue,Permanent,Trigger,ObjectOverwrite)</f>
        <v>GBPAM3L25Y_Quote#0000</v>
      </c>
      <c r="G33" s="186" t="str">
        <f>_xll.ohRangeRetrieveError(F33)</f>
        <v/>
      </c>
      <c r="H33" s="33"/>
      <c r="N33" s="118"/>
      <c r="O33" s="347" t="s">
        <v>62</v>
      </c>
      <c r="P33" s="479" t="str">
        <v>AM</v>
      </c>
      <c r="Q33" s="479" t="str">
        <v>3L</v>
      </c>
      <c r="R33" s="387" t="str">
        <f t="shared" si="0"/>
        <v>GBPAM3L25Y</v>
      </c>
      <c r="S33" s="387" t="str">
        <v>GBPAM3L25Y=ICAP</v>
      </c>
      <c r="T33" s="388" t="s">
        <v>233</v>
      </c>
      <c r="U33" s="388" t="s">
        <v>233</v>
      </c>
      <c r="V33" s="388" t="s">
        <v>233</v>
      </c>
      <c r="W33" s="388" t="s">
        <v>233</v>
      </c>
      <c r="X33" s="345" t="e">
        <f>_xll.qlMidSafe($T33,$U33)</f>
        <v>#NUM!</v>
      </c>
      <c r="Y33" s="337"/>
      <c r="Z33" s="344" t="e">
        <v>#NUM!</v>
      </c>
      <c r="AA33" s="337"/>
      <c r="AB33" s="565" t="e">
        <v>#NUM!</v>
      </c>
      <c r="AC33" s="342" t="e">
        <f>_xll.qlSimpleQuoteSetValue(F33,AB33/100,Trigger)</f>
        <v>#NUM!</v>
      </c>
      <c r="AD33" s="213"/>
      <c r="AE33" s="64"/>
      <c r="AF33" s="64"/>
      <c r="AG33" s="64"/>
      <c r="AH33" s="64"/>
      <c r="AI33" s="64"/>
      <c r="AJ33" s="371" t="e">
        <f t="shared" si="1"/>
        <v>#VALUE!</v>
      </c>
    </row>
    <row r="34" spans="1:36" x14ac:dyDescent="0.2">
      <c r="A34" s="118"/>
      <c r="B34" s="189" t="s">
        <v>61</v>
      </c>
      <c r="C34" s="75" t="str">
        <v>AM</v>
      </c>
      <c r="D34" s="75" t="str">
        <v>3L</v>
      </c>
      <c r="E34" s="73" t="str">
        <f t="shared" si="2"/>
        <v>GBPAM3L26Y_Quote</v>
      </c>
      <c r="F34" s="73" t="str">
        <f>_xll.qlSimpleQuote(Currency&amp;$C34&amp;$D34&amp;$B34&amp;QuoteSuffix,,RateTickValue,Permanent,Trigger,ObjectOverwrite)</f>
        <v>GBPAM3L26Y_Quote#0000</v>
      </c>
      <c r="G34" s="186" t="str">
        <f>_xll.ohRangeRetrieveError(F34)</f>
        <v/>
      </c>
      <c r="H34" s="33"/>
      <c r="N34" s="118"/>
      <c r="O34" s="347" t="s">
        <v>61</v>
      </c>
      <c r="P34" s="479" t="str">
        <v>AM</v>
      </c>
      <c r="Q34" s="479" t="str">
        <v>3L</v>
      </c>
      <c r="R34" s="387" t="str">
        <f t="shared" si="0"/>
        <v>GBPAM3L26Y</v>
      </c>
      <c r="S34" s="387" t="str">
        <v>GBPAM3L26Y=ICAP</v>
      </c>
      <c r="T34" s="388" t="s">
        <v>233</v>
      </c>
      <c r="U34" s="388" t="s">
        <v>233</v>
      </c>
      <c r="V34" s="388" t="s">
        <v>233</v>
      </c>
      <c r="W34" s="388" t="s">
        <v>233</v>
      </c>
      <c r="X34" s="345" t="e">
        <f>_xll.qlMidSafe($T34,$U34)</f>
        <v>#NUM!</v>
      </c>
      <c r="Y34" s="337"/>
      <c r="Z34" s="344" t="e">
        <v>#NUM!</v>
      </c>
      <c r="AA34" s="337"/>
      <c r="AB34" s="565" t="e">
        <v>#NUM!</v>
      </c>
      <c r="AC34" s="342" t="e">
        <f>_xll.qlSimpleQuoteSetValue(F34,AB34/100,Trigger)</f>
        <v>#NUM!</v>
      </c>
      <c r="AD34" s="213"/>
      <c r="AE34" s="64"/>
      <c r="AF34" s="64"/>
      <c r="AG34" s="64"/>
      <c r="AH34" s="64"/>
      <c r="AI34" s="64"/>
      <c r="AJ34" s="371" t="e">
        <f t="shared" si="1"/>
        <v>#VALUE!</v>
      </c>
    </row>
    <row r="35" spans="1:36" x14ac:dyDescent="0.2">
      <c r="A35" s="118"/>
      <c r="B35" s="189" t="s">
        <v>60</v>
      </c>
      <c r="C35" s="75" t="str">
        <v>AM</v>
      </c>
      <c r="D35" s="75" t="str">
        <v>3L</v>
      </c>
      <c r="E35" s="73" t="str">
        <f t="shared" si="2"/>
        <v>GBPAM3L27Y_Quote</v>
      </c>
      <c r="F35" s="73" t="str">
        <f>_xll.qlSimpleQuote(Currency&amp;$C35&amp;$D35&amp;$B35&amp;QuoteSuffix,,RateTickValue,Permanent,Trigger,ObjectOverwrite)</f>
        <v>GBPAM3L27Y_Quote#0000</v>
      </c>
      <c r="G35" s="186" t="str">
        <f>_xll.ohRangeRetrieveError(F35)</f>
        <v/>
      </c>
      <c r="H35" s="33"/>
      <c r="N35" s="118"/>
      <c r="O35" s="347" t="s">
        <v>60</v>
      </c>
      <c r="P35" s="479" t="str">
        <v>AM</v>
      </c>
      <c r="Q35" s="479" t="str">
        <v>3L</v>
      </c>
      <c r="R35" s="387" t="str">
        <f t="shared" si="0"/>
        <v>GBPAM3L27Y</v>
      </c>
      <c r="S35" s="387" t="str">
        <v>GBPAM3L27Y=ICAP</v>
      </c>
      <c r="T35" s="388" t="s">
        <v>233</v>
      </c>
      <c r="U35" s="388" t="s">
        <v>233</v>
      </c>
      <c r="V35" s="388" t="s">
        <v>233</v>
      </c>
      <c r="W35" s="388" t="s">
        <v>233</v>
      </c>
      <c r="X35" s="345" t="e">
        <f>_xll.qlMidSafe($T35,$U35)</f>
        <v>#NUM!</v>
      </c>
      <c r="Y35" s="337"/>
      <c r="Z35" s="344" t="e">
        <v>#NUM!</v>
      </c>
      <c r="AA35" s="337"/>
      <c r="AB35" s="565" t="e">
        <v>#NUM!</v>
      </c>
      <c r="AC35" s="342" t="e">
        <f>_xll.qlSimpleQuoteSetValue(F35,AB35/100,Trigger)</f>
        <v>#NUM!</v>
      </c>
      <c r="AD35" s="213"/>
      <c r="AE35" s="64"/>
      <c r="AF35" s="64"/>
      <c r="AG35" s="64"/>
      <c r="AH35" s="64"/>
      <c r="AI35" s="64"/>
      <c r="AJ35" s="371" t="e">
        <f t="shared" si="1"/>
        <v>#VALUE!</v>
      </c>
    </row>
    <row r="36" spans="1:36" x14ac:dyDescent="0.2">
      <c r="A36" s="118"/>
      <c r="B36" s="189" t="s">
        <v>59</v>
      </c>
      <c r="C36" s="75" t="str">
        <v>AM</v>
      </c>
      <c r="D36" s="75" t="str">
        <v>3L</v>
      </c>
      <c r="E36" s="73" t="str">
        <f t="shared" si="2"/>
        <v>GBPAM3L28Y_Quote</v>
      </c>
      <c r="F36" s="73" t="str">
        <f>_xll.qlSimpleQuote(Currency&amp;$C36&amp;$D36&amp;$B36&amp;QuoteSuffix,,RateTickValue,Permanent,Trigger,ObjectOverwrite)</f>
        <v>GBPAM3L28Y_Quote#0000</v>
      </c>
      <c r="G36" s="186" t="str">
        <f>_xll.ohRangeRetrieveError(F36)</f>
        <v/>
      </c>
      <c r="H36" s="33"/>
      <c r="N36" s="118"/>
      <c r="O36" s="347" t="s">
        <v>59</v>
      </c>
      <c r="P36" s="479" t="str">
        <v>AM</v>
      </c>
      <c r="Q36" s="479" t="str">
        <v>3L</v>
      </c>
      <c r="R36" s="387" t="str">
        <f t="shared" si="0"/>
        <v>GBPAM3L28Y</v>
      </c>
      <c r="S36" s="387" t="str">
        <v>GBPAM3L28Y=ICAP</v>
      </c>
      <c r="T36" s="388" t="s">
        <v>233</v>
      </c>
      <c r="U36" s="388" t="s">
        <v>233</v>
      </c>
      <c r="V36" s="388" t="s">
        <v>233</v>
      </c>
      <c r="W36" s="388" t="s">
        <v>233</v>
      </c>
      <c r="X36" s="345" t="e">
        <f>_xll.qlMidSafe($T36,$U36)</f>
        <v>#NUM!</v>
      </c>
      <c r="Y36" s="337"/>
      <c r="Z36" s="344" t="e">
        <v>#NUM!</v>
      </c>
      <c r="AA36" s="337"/>
      <c r="AB36" s="565" t="e">
        <v>#NUM!</v>
      </c>
      <c r="AC36" s="342" t="e">
        <f>_xll.qlSimpleQuoteSetValue(F36,AB36/100,Trigger)</f>
        <v>#NUM!</v>
      </c>
      <c r="AD36" s="213"/>
      <c r="AE36" s="64"/>
      <c r="AF36" s="64"/>
      <c r="AG36" s="64"/>
      <c r="AH36" s="64"/>
      <c r="AI36" s="64"/>
      <c r="AJ36" s="371" t="e">
        <f t="shared" si="1"/>
        <v>#VALUE!</v>
      </c>
    </row>
    <row r="37" spans="1:36" x14ac:dyDescent="0.2">
      <c r="A37" s="118"/>
      <c r="B37" s="189" t="s">
        <v>58</v>
      </c>
      <c r="C37" s="75" t="str">
        <v>AM</v>
      </c>
      <c r="D37" s="75" t="str">
        <v>3L</v>
      </c>
      <c r="E37" s="73" t="str">
        <f t="shared" si="2"/>
        <v>GBPAM3L29Y_Quote</v>
      </c>
      <c r="F37" s="73" t="str">
        <f>_xll.qlSimpleQuote(Currency&amp;$C37&amp;$D37&amp;$B37&amp;QuoteSuffix,,RateTickValue,Permanent,Trigger,ObjectOverwrite)</f>
        <v>GBPAM3L29Y_Quote#0000</v>
      </c>
      <c r="G37" s="186" t="str">
        <f>_xll.ohRangeRetrieveError(F37)</f>
        <v/>
      </c>
      <c r="H37" s="33"/>
      <c r="N37" s="118"/>
      <c r="O37" s="347" t="s">
        <v>58</v>
      </c>
      <c r="P37" s="479" t="str">
        <v>AM</v>
      </c>
      <c r="Q37" s="479" t="str">
        <v>3L</v>
      </c>
      <c r="R37" s="387" t="str">
        <f t="shared" si="0"/>
        <v>GBPAM3L29Y</v>
      </c>
      <c r="S37" s="387" t="str">
        <v>GBPAM3L29Y=ICAP</v>
      </c>
      <c r="T37" s="388" t="s">
        <v>233</v>
      </c>
      <c r="U37" s="388" t="s">
        <v>233</v>
      </c>
      <c r="V37" s="388" t="s">
        <v>233</v>
      </c>
      <c r="W37" s="388" t="s">
        <v>233</v>
      </c>
      <c r="X37" s="345" t="e">
        <f>_xll.qlMidSafe($T37,$U37)</f>
        <v>#NUM!</v>
      </c>
      <c r="Y37" s="337"/>
      <c r="Z37" s="344" t="e">
        <v>#NUM!</v>
      </c>
      <c r="AA37" s="337"/>
      <c r="AB37" s="565" t="e">
        <v>#NUM!</v>
      </c>
      <c r="AC37" s="342" t="e">
        <f>_xll.qlSimpleQuoteSetValue(F37,AB37/100,Trigger)</f>
        <v>#NUM!</v>
      </c>
      <c r="AD37" s="213"/>
      <c r="AE37" s="64"/>
      <c r="AF37" s="64"/>
      <c r="AG37" s="64"/>
      <c r="AH37" s="64"/>
      <c r="AI37" s="64"/>
      <c r="AJ37" s="371" t="e">
        <f t="shared" si="1"/>
        <v>#VALUE!</v>
      </c>
    </row>
    <row r="38" spans="1:36" x14ac:dyDescent="0.2">
      <c r="A38" s="118"/>
      <c r="B38" s="189" t="s">
        <v>57</v>
      </c>
      <c r="C38" s="75" t="str">
        <v>AM</v>
      </c>
      <c r="D38" s="75" t="str">
        <v>3L</v>
      </c>
      <c r="E38" s="73" t="str">
        <f t="shared" si="2"/>
        <v>GBPAM3L30Y_Quote</v>
      </c>
      <c r="F38" s="73" t="str">
        <f>_xll.qlSimpleQuote(Currency&amp;$C38&amp;$D38&amp;$B38&amp;QuoteSuffix,,RateTickValue,Permanent,Trigger,ObjectOverwrite)</f>
        <v>GBPAM3L30Y_Quote#0000</v>
      </c>
      <c r="G38" s="186" t="str">
        <f>_xll.ohRangeRetrieveError(F38)</f>
        <v/>
      </c>
      <c r="H38" s="33"/>
      <c r="N38" s="118"/>
      <c r="O38" s="347" t="s">
        <v>57</v>
      </c>
      <c r="P38" s="479" t="str">
        <v>AM</v>
      </c>
      <c r="Q38" s="479" t="str">
        <v>3L</v>
      </c>
      <c r="R38" s="387" t="str">
        <f t="shared" si="0"/>
        <v>GBPAM3L30Y</v>
      </c>
      <c r="S38" s="387" t="str">
        <v>GBPAM3L30Y=ICAP</v>
      </c>
      <c r="T38" s="388" t="s">
        <v>233</v>
      </c>
      <c r="U38" s="388" t="s">
        <v>233</v>
      </c>
      <c r="V38" s="388" t="s">
        <v>233</v>
      </c>
      <c r="W38" s="388" t="s">
        <v>233</v>
      </c>
      <c r="X38" s="345" t="e">
        <f>_xll.qlMidSafe($T38,$U38)</f>
        <v>#NUM!</v>
      </c>
      <c r="Y38" s="337"/>
      <c r="Z38" s="344" t="e">
        <v>#NUM!</v>
      </c>
      <c r="AA38" s="337"/>
      <c r="AB38" s="565" t="e">
        <v>#NUM!</v>
      </c>
      <c r="AC38" s="342" t="e">
        <f>_xll.qlSimpleQuoteSetValue(F38,AB38/100,Trigger)</f>
        <v>#NUM!</v>
      </c>
      <c r="AD38" s="213"/>
      <c r="AE38" s="64"/>
      <c r="AF38" s="64"/>
      <c r="AG38" s="64"/>
      <c r="AH38" s="64"/>
      <c r="AI38" s="64"/>
      <c r="AJ38" s="371" t="e">
        <f t="shared" si="1"/>
        <v>#VALUE!</v>
      </c>
    </row>
    <row r="39" spans="1:36" x14ac:dyDescent="0.2">
      <c r="A39" s="118"/>
      <c r="B39" s="189" t="s">
        <v>52</v>
      </c>
      <c r="C39" s="75" t="str">
        <v>AM</v>
      </c>
      <c r="D39" s="75" t="str">
        <v>3L</v>
      </c>
      <c r="E39" s="73" t="str">
        <f t="shared" si="2"/>
        <v>GBPAM3L35Y_Quote</v>
      </c>
      <c r="F39" s="73" t="str">
        <f>_xll.qlSimpleQuote(Currency&amp;$C39&amp;$D39&amp;$B39&amp;QuoteSuffix,,RateTickValue,Permanent,Trigger,ObjectOverwrite)</f>
        <v>GBPAM3L35Y_Quote#0000</v>
      </c>
      <c r="G39" s="186" t="str">
        <f>_xll.ohRangeRetrieveError(F39)</f>
        <v/>
      </c>
      <c r="H39" s="33"/>
      <c r="N39" s="118"/>
      <c r="O39" s="347" t="s">
        <v>52</v>
      </c>
      <c r="P39" s="479" t="str">
        <v>AM</v>
      </c>
      <c r="Q39" s="479" t="str">
        <v>3L</v>
      </c>
      <c r="R39" s="387" t="str">
        <f t="shared" si="0"/>
        <v>GBPAM3L35Y</v>
      </c>
      <c r="S39" s="387" t="str">
        <v>GBPAM3L35Y=ICAP</v>
      </c>
      <c r="T39" s="388" t="s">
        <v>233</v>
      </c>
      <c r="U39" s="388" t="s">
        <v>233</v>
      </c>
      <c r="V39" s="388" t="s">
        <v>233</v>
      </c>
      <c r="W39" s="388" t="s">
        <v>233</v>
      </c>
      <c r="X39" s="345" t="e">
        <f>_xll.qlMidSafe($T39,$U39)</f>
        <v>#NUM!</v>
      </c>
      <c r="Y39" s="337"/>
      <c r="Z39" s="344" t="e">
        <v>#NUM!</v>
      </c>
      <c r="AA39" s="337"/>
      <c r="AB39" s="565" t="e">
        <v>#NUM!</v>
      </c>
      <c r="AC39" s="342" t="e">
        <f>_xll.qlSimpleQuoteSetValue(F39,AB39/100,Trigger)</f>
        <v>#NUM!</v>
      </c>
      <c r="AD39" s="213"/>
      <c r="AE39" s="64"/>
      <c r="AF39" s="64"/>
      <c r="AG39" s="64"/>
      <c r="AH39" s="64"/>
      <c r="AI39" s="64"/>
      <c r="AJ39" s="371" t="e">
        <f t="shared" si="1"/>
        <v>#VALUE!</v>
      </c>
    </row>
    <row r="40" spans="1:36" x14ac:dyDescent="0.2">
      <c r="A40" s="118"/>
      <c r="B40" s="189" t="s">
        <v>47</v>
      </c>
      <c r="C40" s="75" t="str">
        <v>AM</v>
      </c>
      <c r="D40" s="75" t="str">
        <v>3L</v>
      </c>
      <c r="E40" s="73" t="str">
        <f t="shared" si="2"/>
        <v>GBPAM3L40Y_Quote</v>
      </c>
      <c r="F40" s="73" t="str">
        <f>_xll.qlSimpleQuote(Currency&amp;$C40&amp;$D40&amp;$B40&amp;QuoteSuffix,,RateTickValue,Permanent,Trigger,ObjectOverwrite)</f>
        <v>GBPAM3L40Y_Quote#0000</v>
      </c>
      <c r="G40" s="186" t="str">
        <f>_xll.ohRangeRetrieveError(F40)</f>
        <v/>
      </c>
      <c r="H40" s="33"/>
      <c r="N40" s="118"/>
      <c r="O40" s="347" t="s">
        <v>47</v>
      </c>
      <c r="P40" s="479" t="str">
        <v>AM</v>
      </c>
      <c r="Q40" s="479" t="str">
        <v>3L</v>
      </c>
      <c r="R40" s="387" t="str">
        <f t="shared" si="0"/>
        <v>GBPAM3L40Y</v>
      </c>
      <c r="S40" s="387" t="str">
        <v>GBPAM3L40Y=ICAP</v>
      </c>
      <c r="T40" s="388" t="s">
        <v>233</v>
      </c>
      <c r="U40" s="388" t="s">
        <v>233</v>
      </c>
      <c r="V40" s="388" t="s">
        <v>233</v>
      </c>
      <c r="W40" s="388" t="s">
        <v>233</v>
      </c>
      <c r="X40" s="345" t="e">
        <f>_xll.qlMidSafe($T40,$U40)</f>
        <v>#NUM!</v>
      </c>
      <c r="Y40" s="337"/>
      <c r="Z40" s="344" t="e">
        <v>#NUM!</v>
      </c>
      <c r="AA40" s="337"/>
      <c r="AB40" s="565" t="e">
        <v>#NUM!</v>
      </c>
      <c r="AC40" s="342" t="e">
        <f>_xll.qlSimpleQuoteSetValue(F40,AB40/100,Trigger)</f>
        <v>#NUM!</v>
      </c>
      <c r="AD40" s="213"/>
      <c r="AE40" s="64"/>
      <c r="AF40" s="64"/>
      <c r="AG40" s="64"/>
      <c r="AH40" s="64"/>
      <c r="AI40" s="64"/>
      <c r="AJ40" s="371" t="e">
        <f t="shared" si="1"/>
        <v>#VALUE!</v>
      </c>
    </row>
    <row r="41" spans="1:36" x14ac:dyDescent="0.2">
      <c r="A41" s="118"/>
      <c r="B41" s="189" t="s">
        <v>37</v>
      </c>
      <c r="C41" s="75" t="str">
        <v>AM</v>
      </c>
      <c r="D41" s="75" t="str">
        <v>3L</v>
      </c>
      <c r="E41" s="73" t="str">
        <f t="shared" si="2"/>
        <v>GBPAM3L50Y_Quote</v>
      </c>
      <c r="F41" s="73" t="str">
        <f>_xll.qlSimpleQuote(Currency&amp;$C41&amp;$D41&amp;$B41&amp;QuoteSuffix,,RateTickValue,Permanent,Trigger,ObjectOverwrite)</f>
        <v>GBPAM3L50Y_Quote#0000</v>
      </c>
      <c r="G41" s="186" t="str">
        <f>_xll.ohRangeRetrieveError(F41)</f>
        <v/>
      </c>
      <c r="H41" s="33"/>
      <c r="N41" s="118"/>
      <c r="O41" s="347" t="s">
        <v>37</v>
      </c>
      <c r="P41" s="479" t="str">
        <v>AM</v>
      </c>
      <c r="Q41" s="479" t="str">
        <v>3L</v>
      </c>
      <c r="R41" s="387" t="str">
        <f t="shared" si="0"/>
        <v>GBPAM3L50Y</v>
      </c>
      <c r="S41" s="387" t="str">
        <v>GBPAM3L50Y=ICAP</v>
      </c>
      <c r="T41" s="388" t="s">
        <v>233</v>
      </c>
      <c r="U41" s="388" t="s">
        <v>233</v>
      </c>
      <c r="V41" s="388" t="s">
        <v>233</v>
      </c>
      <c r="W41" s="388" t="s">
        <v>233</v>
      </c>
      <c r="X41" s="345" t="e">
        <f>_xll.qlMidSafe($T41,$U41)</f>
        <v>#NUM!</v>
      </c>
      <c r="Y41" s="337"/>
      <c r="Z41" s="344" t="e">
        <v>#NUM!</v>
      </c>
      <c r="AA41" s="337"/>
      <c r="AB41" s="565" t="e">
        <v>#NUM!</v>
      </c>
      <c r="AC41" s="342" t="e">
        <f>_xll.qlSimpleQuoteSetValue(F41,AB41/100,Trigger)</f>
        <v>#NUM!</v>
      </c>
      <c r="AD41" s="213"/>
      <c r="AE41" s="64"/>
      <c r="AF41" s="64"/>
      <c r="AG41" s="64"/>
      <c r="AH41" s="64"/>
      <c r="AI41" s="64"/>
      <c r="AJ41" s="371" t="e">
        <f t="shared" si="1"/>
        <v>#VALUE!</v>
      </c>
    </row>
    <row r="42" spans="1:36" x14ac:dyDescent="0.2">
      <c r="A42" s="118"/>
      <c r="B42" s="189" t="s">
        <v>27</v>
      </c>
      <c r="C42" s="75" t="str">
        <v>AM</v>
      </c>
      <c r="D42" s="75" t="str">
        <v>3L</v>
      </c>
      <c r="E42" s="73" t="str">
        <f t="shared" si="2"/>
        <v>GBPAM3L60Y_Quote</v>
      </c>
      <c r="F42" s="73" t="str">
        <f>_xll.qlSimpleQuote(Currency&amp;$C42&amp;$D42&amp;$B42&amp;QuoteSuffix,,RateTickValue,Permanent,Trigger,ObjectOverwrite)</f>
        <v>GBPAM3L60Y_Quote#0000</v>
      </c>
      <c r="G42" s="186" t="str">
        <f>_xll.ohRangeRetrieveError(F42)</f>
        <v/>
      </c>
      <c r="H42" s="33"/>
      <c r="N42" s="118"/>
      <c r="O42" s="341" t="s">
        <v>27</v>
      </c>
      <c r="P42" s="478" t="str">
        <v>AM</v>
      </c>
      <c r="Q42" s="478" t="str">
        <v>3L</v>
      </c>
      <c r="R42" s="383" t="str">
        <f t="shared" si="0"/>
        <v>GBPAM3L60Y</v>
      </c>
      <c r="S42" s="383" t="str">
        <v>GBPAM3L60Y=ICAP</v>
      </c>
      <c r="T42" s="384" t="s">
        <v>233</v>
      </c>
      <c r="U42" s="384" t="s">
        <v>233</v>
      </c>
      <c r="V42" s="384" t="s">
        <v>233</v>
      </c>
      <c r="W42" s="384" t="s">
        <v>233</v>
      </c>
      <c r="X42" s="339" t="e">
        <f>_xll.qlMidSafe($T42,$U42)</f>
        <v>#NUM!</v>
      </c>
      <c r="Y42" s="337"/>
      <c r="Z42" s="338" t="e">
        <v>#NUM!</v>
      </c>
      <c r="AA42" s="337"/>
      <c r="AB42" s="566" t="e">
        <v>#NUM!</v>
      </c>
      <c r="AC42" s="335" t="e">
        <f>_xll.qlSimpleQuoteSetValue(F42,AB42/100,Trigger)</f>
        <v>#NUM!</v>
      </c>
      <c r="AD42" s="213"/>
      <c r="AE42" s="64"/>
      <c r="AF42" s="64"/>
      <c r="AG42" s="64"/>
      <c r="AH42" s="64"/>
      <c r="AI42" s="64"/>
      <c r="AJ42" s="371" t="e">
        <f t="shared" si="1"/>
        <v>#VALUE!</v>
      </c>
    </row>
    <row r="43" spans="1:36" ht="13.5" thickBot="1" x14ac:dyDescent="0.25">
      <c r="A43" s="32"/>
      <c r="B43" s="31"/>
      <c r="C43" s="31"/>
      <c r="D43" s="31"/>
      <c r="E43" s="31"/>
      <c r="F43" s="112"/>
      <c r="G43" s="112"/>
      <c r="H43" s="30"/>
      <c r="N43" s="207"/>
      <c r="O43" s="206"/>
      <c r="P43" s="31"/>
      <c r="Q43" s="31"/>
      <c r="R43" s="31"/>
      <c r="S43" s="31"/>
      <c r="T43" s="31"/>
      <c r="U43" s="31"/>
      <c r="V43" s="31"/>
      <c r="W43" s="31"/>
      <c r="X43" s="31"/>
      <c r="Y43" s="206"/>
      <c r="Z43" s="206"/>
      <c r="AA43" s="206"/>
      <c r="AB43" s="206"/>
      <c r="AC43" s="206"/>
      <c r="AD43" s="373"/>
      <c r="AE43" s="64"/>
      <c r="AF43" s="64"/>
      <c r="AG43" s="64"/>
      <c r="AH43" s="64"/>
      <c r="AI43" s="64"/>
      <c r="AJ43" s="64"/>
    </row>
  </sheetData>
  <conditionalFormatting sqref="AC5:AC42">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2" width="9.140625" style="65"/>
    <col min="23" max="23" width="10.42578125" style="65" customWidth="1"/>
    <col min="24"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68"/>
      <c r="Q2" s="368"/>
      <c r="R2" s="368"/>
      <c r="S2" s="140" t="s">
        <v>275</v>
      </c>
      <c r="T2" s="337"/>
      <c r="U2" s="337"/>
      <c r="V2" s="337"/>
      <c r="W2" s="337"/>
      <c r="X2" s="133"/>
      <c r="Y2" s="337"/>
      <c r="Z2" s="337"/>
      <c r="AA2" s="337"/>
      <c r="AB2" s="337"/>
      <c r="AC2" s="133"/>
      <c r="AD2" s="33"/>
      <c r="AE2" s="64"/>
      <c r="AF2" s="64"/>
      <c r="AG2" s="64"/>
      <c r="AH2" s="64"/>
      <c r="AI2" s="64"/>
      <c r="AJ2" s="64"/>
    </row>
    <row r="3" spans="1:36" ht="12" thickBot="1" x14ac:dyDescent="0.25">
      <c r="N3" s="118"/>
      <c r="O3" s="337"/>
      <c r="P3" s="133"/>
      <c r="Q3" s="133"/>
      <c r="R3" s="133"/>
      <c r="S3" s="133"/>
      <c r="T3" s="133"/>
      <c r="U3" s="133"/>
      <c r="V3" s="133"/>
      <c r="W3" s="133"/>
      <c r="X3" s="133"/>
      <c r="Y3" s="337"/>
      <c r="Z3" s="337"/>
      <c r="AA3" s="337"/>
      <c r="AB3" s="133"/>
      <c r="AC3" s="442">
        <f ca="1">_xll.ohTrigger(AC5:AC42)</f>
        <v>47</v>
      </c>
      <c r="AD3" s="213"/>
      <c r="AE3" s="64"/>
      <c r="AF3" s="64"/>
      <c r="AG3" s="64"/>
      <c r="AH3" s="64"/>
      <c r="AI3" s="64"/>
      <c r="AJ3" s="64"/>
    </row>
    <row r="4" spans="1:36" ht="23.25" thickBot="1" x14ac:dyDescent="0.25">
      <c r="A4" s="558" t="s">
        <v>346</v>
      </c>
      <c r="B4" s="196"/>
      <c r="C4" s="196"/>
      <c r="D4" s="196"/>
      <c r="E4" s="151"/>
      <c r="F4" s="212"/>
      <c r="G4" s="151"/>
      <c r="H4" s="193"/>
      <c r="N4" s="118"/>
      <c r="O4" s="483"/>
      <c r="P4" s="191"/>
      <c r="Q4" s="191"/>
      <c r="R4" s="191"/>
      <c r="S4" s="365" t="e">
        <f ca="1">_xll.RData(S5:S42,T4:W4,"RTFEED:IDN",ReutersRtMode,,T5)</f>
        <v>#NAME?</v>
      </c>
      <c r="T4" s="400" t="s">
        <v>291</v>
      </c>
      <c r="U4" s="400" t="s">
        <v>264</v>
      </c>
      <c r="V4" s="400" t="s">
        <v>244</v>
      </c>
      <c r="W4" s="400" t="s">
        <v>290</v>
      </c>
      <c r="X4" s="361" t="s">
        <v>289</v>
      </c>
      <c r="Y4" s="337"/>
      <c r="Z4" s="363" t="s">
        <v>286</v>
      </c>
      <c r="AA4" s="337"/>
      <c r="AB4" s="563" t="s">
        <v>285</v>
      </c>
      <c r="AC4" s="91" t="s">
        <v>284</v>
      </c>
      <c r="AD4" s="213"/>
      <c r="AE4" s="64"/>
      <c r="AF4" s="64"/>
      <c r="AG4" s="64"/>
      <c r="AH4" s="64"/>
      <c r="AI4" s="64"/>
      <c r="AJ4" s="399" t="s">
        <v>288</v>
      </c>
    </row>
    <row r="5" spans="1:36"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05" t="s">
        <v>216</v>
      </c>
      <c r="K5" s="204" t="s">
        <v>214</v>
      </c>
      <c r="L5" s="203" t="s">
        <v>213</v>
      </c>
      <c r="N5" s="118"/>
      <c r="O5" s="347" t="s">
        <v>8</v>
      </c>
      <c r="P5" s="387" t="str">
        <f t="array" ref="P5:P42">VLOOKUP(Currency,Conventions,2)</f>
        <v>SB</v>
      </c>
      <c r="Q5" s="387" t="str">
        <f t="array" ref="Q5:Q42">VLOOKUP(Currency,Conventions,3)</f>
        <v>6L</v>
      </c>
      <c r="R5" s="346" t="str">
        <f t="shared" ref="R5:R42" si="0">Currency&amp;$P5&amp;$Q5&amp;$O5</f>
        <v>GBPSB6L6M</v>
      </c>
      <c r="S5" s="346" t="str">
        <f t="array" ref="S5:S42">Instruments&amp;"="&amp;VLOOKUP(Contributor,ContributorTable,2,FALSE)</f>
        <v>GBPSB6L6M=ICAP</v>
      </c>
      <c r="T5" s="388" t="s">
        <v>233</v>
      </c>
      <c r="U5" s="388" t="s">
        <v>233</v>
      </c>
      <c r="V5" s="388" t="s">
        <v>233</v>
      </c>
      <c r="W5" s="388" t="s">
        <v>233</v>
      </c>
      <c r="X5" s="475" t="e">
        <f>_xll.qlMidSafe($T5,$U5)</f>
        <v>#NUM!</v>
      </c>
      <c r="Y5" s="337"/>
      <c r="Z5" s="344" t="e">
        <v>#NUM!</v>
      </c>
      <c r="AA5" s="337"/>
      <c r="AB5" s="565" t="e">
        <f t="array" ref="AB5:AB42">QuoteStatic</f>
        <v>#NUM!</v>
      </c>
      <c r="AC5" s="598" t="e">
        <f ca="1">_xll.qlSimpleQuoteSetValue(F5,AB5/100,Trigger)</f>
        <v>#NUM!</v>
      </c>
      <c r="AD5" s="213"/>
      <c r="AE5" s="64"/>
      <c r="AF5" s="481" t="s">
        <v>121</v>
      </c>
      <c r="AG5" s="85" t="s">
        <v>212</v>
      </c>
      <c r="AH5" s="84" t="s">
        <v>116</v>
      </c>
      <c r="AI5" s="64"/>
      <c r="AJ5" s="371" t="e">
        <f t="shared" ref="AJ5:AJ42" si="1">(U5-X5)/50</f>
        <v>#VALUE!</v>
      </c>
    </row>
    <row r="6" spans="1:36" x14ac:dyDescent="0.2">
      <c r="A6" s="118"/>
      <c r="B6" s="208"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GBPSB6L1Y_Quote#0000</v>
      </c>
      <c r="G6" s="72" t="str">
        <f>_xll.ohRangeRetrieveError(F6)</f>
        <v/>
      </c>
      <c r="H6" s="33"/>
      <c r="J6" s="202" t="s">
        <v>121</v>
      </c>
      <c r="K6" s="210" t="s">
        <v>212</v>
      </c>
      <c r="L6" s="209" t="s">
        <v>116</v>
      </c>
      <c r="N6" s="118"/>
      <c r="O6" s="347" t="s">
        <v>1</v>
      </c>
      <c r="P6" s="387" t="str">
        <v>SB</v>
      </c>
      <c r="Q6" s="387" t="str">
        <v>6L</v>
      </c>
      <c r="R6" s="346" t="str">
        <f t="shared" si="0"/>
        <v>GBPSB6L1Y</v>
      </c>
      <c r="S6" s="346" t="str">
        <v>GBPSB6L1Y=ICAP</v>
      </c>
      <c r="T6" s="388" t="s">
        <v>233</v>
      </c>
      <c r="U6" s="388" t="s">
        <v>233</v>
      </c>
      <c r="V6" s="388" t="s">
        <v>233</v>
      </c>
      <c r="W6" s="388" t="s">
        <v>233</v>
      </c>
      <c r="X6" s="475" t="e">
        <f>_xll.qlMidSafe($T6,$U6)</f>
        <v>#NUM!</v>
      </c>
      <c r="Y6" s="337"/>
      <c r="Z6" s="344" t="e">
        <v>#NUM!</v>
      </c>
      <c r="AA6" s="337"/>
      <c r="AB6" s="565" t="e">
        <v>#NUM!</v>
      </c>
      <c r="AC6" s="342" t="e">
        <f>_xll.qlSimpleQuoteSetValue(F6,AB6/100,Trigger)</f>
        <v>#NUM!</v>
      </c>
      <c r="AD6" s="213"/>
      <c r="AE6" s="64"/>
      <c r="AF6" s="202" t="s">
        <v>120</v>
      </c>
      <c r="AG6" s="82" t="s">
        <v>212</v>
      </c>
      <c r="AH6" s="81" t="s">
        <v>118</v>
      </c>
      <c r="AI6" s="64"/>
      <c r="AJ6" s="371" t="e">
        <f t="shared" si="1"/>
        <v>#VALUE!</v>
      </c>
    </row>
    <row r="7" spans="1:36" x14ac:dyDescent="0.2">
      <c r="A7" s="118"/>
      <c r="B7" s="211" t="s">
        <v>124</v>
      </c>
      <c r="C7" s="75" t="str">
        <v>SB</v>
      </c>
      <c r="D7" s="75" t="str">
        <v>6L</v>
      </c>
      <c r="E7" s="73" t="str">
        <f t="shared" si="2"/>
        <v>GBPSB6L15M_Quote</v>
      </c>
      <c r="F7" s="73" t="str">
        <f>_xll.qlSimpleQuote(Currency&amp;$C7&amp;$D7&amp;$B7&amp;QuoteSuffix,,RateTickValue,Permanent,Trigger,ObjectOverwrite)</f>
        <v>GBPSB6L15M_Quote#0000</v>
      </c>
      <c r="G7" s="72" t="str">
        <f>_xll.ohRangeRetrieveError(F7)</f>
        <v/>
      </c>
      <c r="H7" s="33"/>
      <c r="J7" s="202" t="s">
        <v>120</v>
      </c>
      <c r="K7" s="82" t="s">
        <v>212</v>
      </c>
      <c r="L7" s="81" t="s">
        <v>118</v>
      </c>
      <c r="N7" s="118"/>
      <c r="O7" s="347" t="s">
        <v>124</v>
      </c>
      <c r="P7" s="387" t="str">
        <v>SB</v>
      </c>
      <c r="Q7" s="387" t="str">
        <v>6L</v>
      </c>
      <c r="R7" s="346" t="str">
        <f t="shared" si="0"/>
        <v>GBPSB6L15M</v>
      </c>
      <c r="S7" s="346" t="str">
        <v>GBPSB6L15M=ICAP</v>
      </c>
      <c r="T7" s="388" t="s">
        <v>233</v>
      </c>
      <c r="U7" s="388" t="s">
        <v>233</v>
      </c>
      <c r="V7" s="388" t="s">
        <v>233</v>
      </c>
      <c r="W7" s="388" t="s">
        <v>233</v>
      </c>
      <c r="X7" s="475" t="e">
        <f>_xll.qlMidEquivalent($T7,$U7,$V7,$W7)</f>
        <v>#NUM!</v>
      </c>
      <c r="Y7" s="337"/>
      <c r="Z7" s="344" t="e">
        <v>#NUM!</v>
      </c>
      <c r="AA7" s="337"/>
      <c r="AB7" s="565" t="e">
        <v>#NUM!</v>
      </c>
      <c r="AC7" s="342" t="e">
        <f>_xll.qlSimpleQuoteSetValue(F7,AB7/100,Trigger)</f>
        <v>#NUM!</v>
      </c>
      <c r="AD7" s="213"/>
      <c r="AE7" s="64"/>
      <c r="AF7" s="202" t="s">
        <v>96</v>
      </c>
      <c r="AG7" s="82" t="s">
        <v>211</v>
      </c>
      <c r="AH7" s="81" t="s">
        <v>116</v>
      </c>
      <c r="AI7" s="482"/>
      <c r="AJ7" s="371" t="e">
        <f t="shared" si="1"/>
        <v>#VALUE!</v>
      </c>
    </row>
    <row r="8" spans="1:36" x14ac:dyDescent="0.2">
      <c r="A8" s="118"/>
      <c r="B8" s="211" t="s">
        <v>123</v>
      </c>
      <c r="C8" s="75" t="str">
        <v>SB</v>
      </c>
      <c r="D8" s="75" t="str">
        <v>6L</v>
      </c>
      <c r="E8" s="73" t="str">
        <f t="shared" si="2"/>
        <v>GBPSB6L18M_Quote</v>
      </c>
      <c r="F8" s="73" t="str">
        <f>_xll.qlSimpleQuote(Currency&amp;$C8&amp;$D8&amp;$B8&amp;QuoteSuffix,,RateTickValue,Permanent,Trigger,ObjectOverwrite)</f>
        <v>GBPSB6L18M_Quote#0000</v>
      </c>
      <c r="G8" s="72" t="str">
        <f>_xll.ohRangeRetrieveError(F8)</f>
        <v/>
      </c>
      <c r="H8" s="33"/>
      <c r="J8" s="202" t="s">
        <v>96</v>
      </c>
      <c r="K8" s="82" t="s">
        <v>211</v>
      </c>
      <c r="L8" s="81" t="s">
        <v>116</v>
      </c>
      <c r="N8" s="118"/>
      <c r="O8" s="347" t="s">
        <v>123</v>
      </c>
      <c r="P8" s="387" t="str">
        <v>SB</v>
      </c>
      <c r="Q8" s="387" t="str">
        <v>6L</v>
      </c>
      <c r="R8" s="346" t="str">
        <f t="shared" si="0"/>
        <v>GBPSB6L18M</v>
      </c>
      <c r="S8" s="346" t="str">
        <v>GBPSB6L18M=ICAP</v>
      </c>
      <c r="T8" s="388">
        <v>0.65625</v>
      </c>
      <c r="U8" s="388">
        <v>0.69625000000000004</v>
      </c>
      <c r="V8" s="388">
        <v>0</v>
      </c>
      <c r="W8" s="388">
        <v>0</v>
      </c>
      <c r="X8" s="475">
        <f>_xll.qlMidEquivalent($T8,$U8,$V8,$W8)</f>
        <v>0.67625000000000002</v>
      </c>
      <c r="Y8" s="337"/>
      <c r="Z8" s="344">
        <v>0.65249999999999997</v>
      </c>
      <c r="AA8" s="337"/>
      <c r="AB8" s="565">
        <v>0.65249999999999997</v>
      </c>
      <c r="AC8" s="342" t="e">
        <f>_xll.qlSimpleQuoteSetValue(F8,AB8/100,Trigger)</f>
        <v>#N/A</v>
      </c>
      <c r="AD8" s="213"/>
      <c r="AE8" s="64"/>
      <c r="AF8" s="202" t="s">
        <v>117</v>
      </c>
      <c r="AG8" s="82" t="s">
        <v>211</v>
      </c>
      <c r="AH8" s="81" t="s">
        <v>116</v>
      </c>
      <c r="AI8" s="482"/>
      <c r="AJ8" s="371">
        <f t="shared" si="1"/>
        <v>4.0000000000000034E-4</v>
      </c>
    </row>
    <row r="9" spans="1:36" ht="12" thickBot="1" x14ac:dyDescent="0.25">
      <c r="A9" s="118"/>
      <c r="B9" s="211" t="s">
        <v>122</v>
      </c>
      <c r="C9" s="75" t="str">
        <v>SB</v>
      </c>
      <c r="D9" s="75" t="str">
        <v>6L</v>
      </c>
      <c r="E9" s="73" t="str">
        <f t="shared" si="2"/>
        <v>GBPSB6L21M_Quote</v>
      </c>
      <c r="F9" s="73" t="str">
        <f>_xll.qlSimpleQuote(Currency&amp;$C9&amp;$D9&amp;$B9&amp;QuoteSuffix,,RateTickValue,Permanent,Trigger,ObjectOverwrite)</f>
        <v>GBPSB6L21M_Quote#0000</v>
      </c>
      <c r="G9" s="72" t="str">
        <f>_xll.ohRangeRetrieveError(F9)</f>
        <v/>
      </c>
      <c r="H9" s="33"/>
      <c r="J9" s="202" t="s">
        <v>117</v>
      </c>
      <c r="K9" s="210" t="s">
        <v>211</v>
      </c>
      <c r="L9" s="209" t="s">
        <v>116</v>
      </c>
      <c r="N9" s="118"/>
      <c r="O9" s="347" t="s">
        <v>122</v>
      </c>
      <c r="P9" s="387" t="str">
        <v>SB</v>
      </c>
      <c r="Q9" s="387" t="str">
        <v>6L</v>
      </c>
      <c r="R9" s="346" t="str">
        <f t="shared" si="0"/>
        <v>GBPSB6L21M</v>
      </c>
      <c r="S9" s="346" t="str">
        <v>GBPSB6L21M=ICAP</v>
      </c>
      <c r="T9" s="388" t="s">
        <v>233</v>
      </c>
      <c r="U9" s="388" t="s">
        <v>233</v>
      </c>
      <c r="V9" s="388" t="s">
        <v>233</v>
      </c>
      <c r="W9" s="388" t="s">
        <v>233</v>
      </c>
      <c r="X9" s="475" t="e">
        <f>_xll.qlMidEquivalent($T9,$U9,$V9,$W9)</f>
        <v>#NUM!</v>
      </c>
      <c r="Y9" s="337"/>
      <c r="Z9" s="344" t="e">
        <v>#NUM!</v>
      </c>
      <c r="AA9" s="337"/>
      <c r="AB9" s="565" t="e">
        <v>#NUM!</v>
      </c>
      <c r="AC9" s="342" t="e">
        <f>_xll.qlSimpleQuoteSetValue(F9,AB9/100,Trigger)</f>
        <v>#NUM!</v>
      </c>
      <c r="AD9" s="213"/>
      <c r="AE9" s="64"/>
      <c r="AF9" s="201" t="s">
        <v>115</v>
      </c>
      <c r="AG9" s="79" t="s">
        <v>210</v>
      </c>
      <c r="AH9" s="78" t="s">
        <v>116</v>
      </c>
      <c r="AI9" s="64"/>
      <c r="AJ9" s="371" t="e">
        <f t="shared" si="1"/>
        <v>#VALUE!</v>
      </c>
    </row>
    <row r="10" spans="1:36" ht="12" thickBot="1" x14ac:dyDescent="0.25">
      <c r="A10" s="118"/>
      <c r="B10" s="208" t="s">
        <v>85</v>
      </c>
      <c r="C10" s="75" t="str">
        <v>SB</v>
      </c>
      <c r="D10" s="75" t="str">
        <v>6L</v>
      </c>
      <c r="E10" s="73" t="str">
        <f t="shared" si="2"/>
        <v>GBPSB6L2Y_Quote</v>
      </c>
      <c r="F10" s="73" t="str">
        <f>_xll.qlSimpleQuote(Currency&amp;$C10&amp;$D10&amp;$B10&amp;QuoteSuffix,,RateTickValue,Permanent,Trigger,ObjectOverwrite)</f>
        <v>GBPSB6L2Y_Quote#0000</v>
      </c>
      <c r="G10" s="72" t="str">
        <f>_xll.ohRangeRetrieveError(F10)</f>
        <v/>
      </c>
      <c r="H10" s="33"/>
      <c r="J10" s="201" t="s">
        <v>115</v>
      </c>
      <c r="K10" s="79" t="s">
        <v>210</v>
      </c>
      <c r="L10" s="78" t="s">
        <v>116</v>
      </c>
      <c r="N10" s="118"/>
      <c r="O10" s="347" t="s">
        <v>85</v>
      </c>
      <c r="P10" s="387" t="str">
        <v>SB</v>
      </c>
      <c r="Q10" s="387" t="str">
        <v>6L</v>
      </c>
      <c r="R10" s="346" t="str">
        <f t="shared" si="0"/>
        <v>GBPSB6L2Y</v>
      </c>
      <c r="S10" s="346" t="str">
        <v>GBPSB6L2Y=ICAP</v>
      </c>
      <c r="T10" s="388">
        <v>0.6925</v>
      </c>
      <c r="U10" s="388">
        <v>0.73250000000000004</v>
      </c>
      <c r="V10" s="388">
        <v>0</v>
      </c>
      <c r="W10" s="388">
        <v>0</v>
      </c>
      <c r="X10" s="475">
        <f>_xll.qlMidEquivalent($T10,$U10,$V10,$W10)</f>
        <v>0.71250000000000002</v>
      </c>
      <c r="Y10" s="337"/>
      <c r="Z10" s="344">
        <v>0.66749999999999998</v>
      </c>
      <c r="AA10" s="337"/>
      <c r="AB10" s="565">
        <v>0.66749999999999998</v>
      </c>
      <c r="AC10" s="342" t="e">
        <f>_xll.qlSimpleQuoteSetValue(F10,AB10/100,Trigger)</f>
        <v>#N/A</v>
      </c>
      <c r="AD10" s="213"/>
      <c r="AE10" s="64"/>
      <c r="AF10" s="64"/>
      <c r="AG10" s="64"/>
      <c r="AH10" s="64"/>
      <c r="AI10" s="64"/>
      <c r="AJ10" s="371">
        <f t="shared" si="1"/>
        <v>4.0000000000000034E-4</v>
      </c>
    </row>
    <row r="11" spans="1:36" x14ac:dyDescent="0.2">
      <c r="A11" s="118"/>
      <c r="B11" s="208" t="s">
        <v>84</v>
      </c>
      <c r="C11" s="75" t="str">
        <v>SB</v>
      </c>
      <c r="D11" s="75" t="str">
        <v>6L</v>
      </c>
      <c r="E11" s="73" t="str">
        <f t="shared" si="2"/>
        <v>GBPSB6L3Y_Quote</v>
      </c>
      <c r="F11" s="73" t="str">
        <f>_xll.qlSimpleQuote(Currency&amp;$C11&amp;$D11&amp;$B11&amp;QuoteSuffix,,RateTickValue,Permanent,Trigger,ObjectOverwrite)</f>
        <v>GBPSB6L3Y_Quote#0000</v>
      </c>
      <c r="G11" s="72" t="str">
        <f>_xll.ohRangeRetrieveError(F11)</f>
        <v/>
      </c>
      <c r="H11" s="33"/>
      <c r="N11" s="118"/>
      <c r="O11" s="347" t="s">
        <v>84</v>
      </c>
      <c r="P11" s="387" t="str">
        <v>SB</v>
      </c>
      <c r="Q11" s="387" t="str">
        <v>6L</v>
      </c>
      <c r="R11" s="346" t="str">
        <f t="shared" si="0"/>
        <v>GBPSB6L3Y</v>
      </c>
      <c r="S11" s="346" t="str">
        <v>GBPSB6L3Y=ICAP</v>
      </c>
      <c r="T11" s="388">
        <v>0.80125000000000002</v>
      </c>
      <c r="U11" s="388">
        <v>0.84125000000000005</v>
      </c>
      <c r="V11" s="388">
        <v>0</v>
      </c>
      <c r="W11" s="388">
        <v>0</v>
      </c>
      <c r="X11" s="475">
        <f>_xll.qlMidEquivalent($T11,$U11,$V11,$W11)</f>
        <v>0.82125000000000004</v>
      </c>
      <c r="Y11" s="337"/>
      <c r="Z11" s="344">
        <v>0.73250000000000004</v>
      </c>
      <c r="AA11" s="337"/>
      <c r="AB11" s="565">
        <v>0.73250000000000004</v>
      </c>
      <c r="AC11" s="342" t="e">
        <f>_xll.qlSimpleQuoteSetValue(F11,AB11/100,Trigger)</f>
        <v>#N/A</v>
      </c>
      <c r="AD11" s="213"/>
      <c r="AE11" s="64"/>
      <c r="AF11" s="64"/>
      <c r="AG11" s="64"/>
      <c r="AH11" s="64"/>
      <c r="AI11" s="64"/>
      <c r="AJ11" s="371">
        <f t="shared" si="1"/>
        <v>4.0000000000000034E-4</v>
      </c>
    </row>
    <row r="12" spans="1:36" x14ac:dyDescent="0.2">
      <c r="A12" s="118"/>
      <c r="B12" s="208" t="s">
        <v>83</v>
      </c>
      <c r="C12" s="75" t="str">
        <v>SB</v>
      </c>
      <c r="D12" s="75" t="str">
        <v>6L</v>
      </c>
      <c r="E12" s="73" t="str">
        <f t="shared" si="2"/>
        <v>GBPSB6L4Y_Quote</v>
      </c>
      <c r="F12" s="73" t="str">
        <f>_xll.qlSimpleQuote(Currency&amp;$C12&amp;$D12&amp;$B12&amp;QuoteSuffix,,RateTickValue,Permanent,Trigger,ObjectOverwrite)</f>
        <v>GBPSB6L4Y_Quote#0000</v>
      </c>
      <c r="G12" s="72" t="str">
        <f>_xll.ohRangeRetrieveError(F12)</f>
        <v/>
      </c>
      <c r="H12" s="33"/>
      <c r="N12" s="118"/>
      <c r="O12" s="347" t="s">
        <v>83</v>
      </c>
      <c r="P12" s="387" t="str">
        <v>SB</v>
      </c>
      <c r="Q12" s="387" t="str">
        <v>6L</v>
      </c>
      <c r="R12" s="346" t="str">
        <f t="shared" si="0"/>
        <v>GBPSB6L4Y</v>
      </c>
      <c r="S12" s="346" t="str">
        <v>GBPSB6L4Y=ICAP</v>
      </c>
      <c r="T12" s="388">
        <v>0.95874999999999999</v>
      </c>
      <c r="U12" s="388">
        <v>1.00875</v>
      </c>
      <c r="V12" s="388">
        <v>0</v>
      </c>
      <c r="W12" s="388">
        <v>0</v>
      </c>
      <c r="X12" s="475">
        <f>_xll.qlMidEquivalent($T12,$U12,$V12,$W12)</f>
        <v>0.98375000000000001</v>
      </c>
      <c r="Y12" s="337"/>
      <c r="Z12" s="344">
        <v>0.84499999999999997</v>
      </c>
      <c r="AA12" s="337"/>
      <c r="AB12" s="565">
        <v>0.84499999999999997</v>
      </c>
      <c r="AC12" s="342" t="e">
        <f>_xll.qlSimpleQuoteSetValue(F12,AB12/100,Trigger)</f>
        <v>#N/A</v>
      </c>
      <c r="AD12" s="213"/>
      <c r="AE12" s="64"/>
      <c r="AF12" s="64"/>
      <c r="AG12" s="64"/>
      <c r="AH12" s="64"/>
      <c r="AI12" s="64"/>
      <c r="AJ12" s="371">
        <f t="shared" si="1"/>
        <v>5.0000000000000044E-4</v>
      </c>
    </row>
    <row r="13" spans="1:36" x14ac:dyDescent="0.2">
      <c r="A13" s="118"/>
      <c r="B13" s="208" t="s">
        <v>82</v>
      </c>
      <c r="C13" s="75" t="str">
        <v>SB</v>
      </c>
      <c r="D13" s="75" t="str">
        <v>6L</v>
      </c>
      <c r="E13" s="73" t="str">
        <f t="shared" si="2"/>
        <v>GBPSB6L5Y_Quote</v>
      </c>
      <c r="F13" s="73" t="str">
        <f>_xll.qlSimpleQuote(Currency&amp;$C13&amp;$D13&amp;$B13&amp;QuoteSuffix,,RateTickValue,Permanent,Trigger,ObjectOverwrite)</f>
        <v>GBPSB6L5Y_Quote#0000</v>
      </c>
      <c r="G13" s="72" t="str">
        <f>_xll.ohRangeRetrieveError(F13)</f>
        <v/>
      </c>
      <c r="H13" s="33"/>
      <c r="N13" s="118"/>
      <c r="O13" s="347" t="s">
        <v>82</v>
      </c>
      <c r="P13" s="387" t="str">
        <v>SB</v>
      </c>
      <c r="Q13" s="387" t="str">
        <v>6L</v>
      </c>
      <c r="R13" s="346" t="str">
        <f t="shared" si="0"/>
        <v>GBPSB6L5Y</v>
      </c>
      <c r="S13" s="346" t="str">
        <v>GBPSB6L5Y=ICAP</v>
      </c>
      <c r="T13" s="388">
        <v>1.1525000000000001</v>
      </c>
      <c r="U13" s="388">
        <v>1.2024999999999999</v>
      </c>
      <c r="V13" s="388">
        <v>0</v>
      </c>
      <c r="W13" s="388">
        <v>0</v>
      </c>
      <c r="X13" s="475">
        <f>_xll.qlMidEquivalent($T13,$U13,$V13,$W13)</f>
        <v>1.1775</v>
      </c>
      <c r="Y13" s="337"/>
      <c r="Z13" s="344">
        <v>0.995</v>
      </c>
      <c r="AA13" s="337"/>
      <c r="AB13" s="565">
        <v>0.995</v>
      </c>
      <c r="AC13" s="342" t="e">
        <f>_xll.qlSimpleQuoteSetValue(F13,AB13/100,Trigger)</f>
        <v>#N/A</v>
      </c>
      <c r="AD13" s="213"/>
      <c r="AE13" s="64"/>
      <c r="AF13" s="64"/>
      <c r="AG13" s="64"/>
      <c r="AH13" s="64"/>
      <c r="AI13" s="64"/>
      <c r="AJ13" s="371">
        <f t="shared" si="1"/>
        <v>4.9999999999999828E-4</v>
      </c>
    </row>
    <row r="14" spans="1:36" x14ac:dyDescent="0.2">
      <c r="A14" s="118"/>
      <c r="B14" s="208" t="s">
        <v>81</v>
      </c>
      <c r="C14" s="75" t="str">
        <v>SB</v>
      </c>
      <c r="D14" s="75" t="str">
        <v>6L</v>
      </c>
      <c r="E14" s="73" t="str">
        <f t="shared" si="2"/>
        <v>GBPSB6L6Y_Quote</v>
      </c>
      <c r="F14" s="73" t="str">
        <f>_xll.qlSimpleQuote(Currency&amp;$C14&amp;$D14&amp;$B14&amp;QuoteSuffix,,RateTickValue,Permanent,Trigger,ObjectOverwrite)</f>
        <v>GBPSB6L6Y_Quote#0000</v>
      </c>
      <c r="G14" s="72" t="str">
        <f>_xll.ohRangeRetrieveError(F14)</f>
        <v/>
      </c>
      <c r="H14" s="33"/>
      <c r="N14" s="118"/>
      <c r="O14" s="347" t="s">
        <v>81</v>
      </c>
      <c r="P14" s="387" t="str">
        <v>SB</v>
      </c>
      <c r="Q14" s="387" t="str">
        <v>6L</v>
      </c>
      <c r="R14" s="346" t="str">
        <f t="shared" si="0"/>
        <v>GBPSB6L6Y</v>
      </c>
      <c r="S14" s="346" t="str">
        <v>GBPSB6L6Y=ICAP</v>
      </c>
      <c r="T14" s="388">
        <v>1.35375</v>
      </c>
      <c r="U14" s="388">
        <v>1.4037500000000001</v>
      </c>
      <c r="V14" s="388">
        <v>0</v>
      </c>
      <c r="W14" s="388">
        <v>0</v>
      </c>
      <c r="X14" s="475">
        <f>_xll.qlMidEquivalent($T14,$U14,$V14,$W14)</f>
        <v>1.3787500000000001</v>
      </c>
      <c r="Y14" s="337"/>
      <c r="Z14" s="344">
        <v>1.165</v>
      </c>
      <c r="AA14" s="337"/>
      <c r="AB14" s="565">
        <v>1.165</v>
      </c>
      <c r="AC14" s="342" t="e">
        <f>_xll.qlSimpleQuoteSetValue(F14,AB14/100,Trigger)</f>
        <v>#N/A</v>
      </c>
      <c r="AD14" s="213"/>
      <c r="AE14" s="64"/>
      <c r="AF14" s="64"/>
      <c r="AG14" s="64"/>
      <c r="AH14" s="64"/>
      <c r="AI14" s="64"/>
      <c r="AJ14" s="371">
        <f t="shared" si="1"/>
        <v>4.9999999999999828E-4</v>
      </c>
    </row>
    <row r="15" spans="1:36" x14ac:dyDescent="0.2">
      <c r="A15" s="118"/>
      <c r="B15" s="208" t="s">
        <v>80</v>
      </c>
      <c r="C15" s="75" t="str">
        <v>SB</v>
      </c>
      <c r="D15" s="75" t="str">
        <v>6L</v>
      </c>
      <c r="E15" s="73" t="str">
        <f t="shared" si="2"/>
        <v>GBPSB6L7Y_Quote</v>
      </c>
      <c r="F15" s="73" t="str">
        <f>_xll.qlSimpleQuote(Currency&amp;$C15&amp;$D15&amp;$B15&amp;QuoteSuffix,,RateTickValue,Permanent,Trigger,ObjectOverwrite)</f>
        <v>GBPSB6L7Y_Quote#0000</v>
      </c>
      <c r="G15" s="72" t="str">
        <f>_xll.ohRangeRetrieveError(F15)</f>
        <v/>
      </c>
      <c r="H15" s="33"/>
      <c r="N15" s="118"/>
      <c r="O15" s="347" t="s">
        <v>80</v>
      </c>
      <c r="P15" s="387" t="str">
        <v>SB</v>
      </c>
      <c r="Q15" s="387" t="str">
        <v>6L</v>
      </c>
      <c r="R15" s="346" t="str">
        <f t="shared" si="0"/>
        <v>GBPSB6L7Y</v>
      </c>
      <c r="S15" s="346" t="str">
        <v>GBPSB6L7Y=ICAP</v>
      </c>
      <c r="T15" s="388">
        <v>1.5587500000000001</v>
      </c>
      <c r="U15" s="388">
        <v>1.6087499999999999</v>
      </c>
      <c r="V15" s="388">
        <v>0</v>
      </c>
      <c r="W15" s="388">
        <v>0</v>
      </c>
      <c r="X15" s="475">
        <f>_xll.qlMidEquivalent($T15,$U15,$V15,$W15)</f>
        <v>1.58375</v>
      </c>
      <c r="Y15" s="337"/>
      <c r="Z15" s="344">
        <v>1.3474999999999999</v>
      </c>
      <c r="AA15" s="337"/>
      <c r="AB15" s="565">
        <v>1.3474999999999999</v>
      </c>
      <c r="AC15" s="342" t="e">
        <f>_xll.qlSimpleQuoteSetValue(F15,AB15/100,Trigger)</f>
        <v>#N/A</v>
      </c>
      <c r="AD15" s="213"/>
      <c r="AE15" s="64"/>
      <c r="AF15" s="64"/>
      <c r="AG15" s="64"/>
      <c r="AH15" s="64"/>
      <c r="AI15" s="64"/>
      <c r="AJ15" s="371">
        <f t="shared" si="1"/>
        <v>4.9999999999999828E-4</v>
      </c>
    </row>
    <row r="16" spans="1:36" x14ac:dyDescent="0.2">
      <c r="A16" s="118"/>
      <c r="B16" s="208" t="s">
        <v>79</v>
      </c>
      <c r="C16" s="75" t="str">
        <v>SB</v>
      </c>
      <c r="D16" s="75" t="str">
        <v>6L</v>
      </c>
      <c r="E16" s="73" t="str">
        <f t="shared" si="2"/>
        <v>GBPSB6L8Y_Quote</v>
      </c>
      <c r="F16" s="73" t="str">
        <f>_xll.qlSimpleQuote(Currency&amp;$C16&amp;$D16&amp;$B16&amp;QuoteSuffix,,RateTickValue,Permanent,Trigger,ObjectOverwrite)</f>
        <v>GBPSB6L8Y_Quote#0000</v>
      </c>
      <c r="G16" s="72" t="str">
        <f>_xll.ohRangeRetrieveError(F16)</f>
        <v/>
      </c>
      <c r="H16" s="33"/>
      <c r="N16" s="118"/>
      <c r="O16" s="347" t="s">
        <v>79</v>
      </c>
      <c r="P16" s="387" t="str">
        <v>SB</v>
      </c>
      <c r="Q16" s="387" t="str">
        <v>6L</v>
      </c>
      <c r="R16" s="346" t="str">
        <f t="shared" si="0"/>
        <v>GBPSB6L8Y</v>
      </c>
      <c r="S16" s="346" t="str">
        <v>GBPSB6L8Y=ICAP</v>
      </c>
      <c r="T16" s="388">
        <v>1.7575000000000001</v>
      </c>
      <c r="U16" s="388">
        <v>1.8075000000000001</v>
      </c>
      <c r="V16" s="388">
        <v>0</v>
      </c>
      <c r="W16" s="388">
        <v>0</v>
      </c>
      <c r="X16" s="475">
        <f>_xll.qlMidEquivalent($T16,$U16,$V16,$W16)</f>
        <v>1.7825000000000002</v>
      </c>
      <c r="Y16" s="337"/>
      <c r="Z16" s="344">
        <v>1.53</v>
      </c>
      <c r="AA16" s="337"/>
      <c r="AB16" s="565">
        <v>1.53</v>
      </c>
      <c r="AC16" s="342" t="e">
        <f>_xll.qlSimpleQuoteSetValue(F16,AB16/100,Trigger)</f>
        <v>#N/A</v>
      </c>
      <c r="AD16" s="213"/>
      <c r="AE16" s="64"/>
      <c r="AF16" s="64"/>
      <c r="AG16" s="64"/>
      <c r="AH16" s="64"/>
      <c r="AI16" s="64"/>
      <c r="AJ16" s="371">
        <f t="shared" si="1"/>
        <v>4.9999999999999828E-4</v>
      </c>
    </row>
    <row r="17" spans="1:36" x14ac:dyDescent="0.2">
      <c r="A17" s="118"/>
      <c r="B17" s="208" t="s">
        <v>78</v>
      </c>
      <c r="C17" s="75" t="str">
        <v>SB</v>
      </c>
      <c r="D17" s="75" t="str">
        <v>6L</v>
      </c>
      <c r="E17" s="73" t="str">
        <f t="shared" si="2"/>
        <v>GBPSB6L9Y_Quote</v>
      </c>
      <c r="F17" s="73" t="str">
        <f>_xll.qlSimpleQuote(Currency&amp;$C17&amp;$D17&amp;$B17&amp;QuoteSuffix,,RateTickValue,Permanent,Trigger,ObjectOverwrite)</f>
        <v>GBPSB6L9Y_Quote#0000</v>
      </c>
      <c r="G17" s="72" t="str">
        <f>_xll.ohRangeRetrieveError(F17)</f>
        <v/>
      </c>
      <c r="H17" s="33"/>
      <c r="N17" s="118"/>
      <c r="O17" s="347" t="s">
        <v>78</v>
      </c>
      <c r="P17" s="387" t="str">
        <v>SB</v>
      </c>
      <c r="Q17" s="387" t="str">
        <v>6L</v>
      </c>
      <c r="R17" s="346" t="str">
        <f t="shared" si="0"/>
        <v>GBPSB6L9Y</v>
      </c>
      <c r="S17" s="346" t="str">
        <v>GBPSB6L9Y=ICAP</v>
      </c>
      <c r="T17" s="388">
        <v>1.9424999999999999</v>
      </c>
      <c r="U17" s="388">
        <v>1.9924999999999999</v>
      </c>
      <c r="V17" s="388">
        <v>0</v>
      </c>
      <c r="W17" s="388">
        <v>0</v>
      </c>
      <c r="X17" s="475">
        <f>_xll.qlMidEquivalent($T17,$U17,$V17,$W17)</f>
        <v>1.9674999999999998</v>
      </c>
      <c r="Y17" s="337"/>
      <c r="Z17" s="344">
        <v>1.7075</v>
      </c>
      <c r="AA17" s="337"/>
      <c r="AB17" s="565">
        <v>1.7075</v>
      </c>
      <c r="AC17" s="342" t="e">
        <f>_xll.qlSimpleQuoteSetValue(F17,AB17/100,Trigger)</f>
        <v>#N/A</v>
      </c>
      <c r="AD17" s="213"/>
      <c r="AE17" s="64"/>
      <c r="AF17" s="64"/>
      <c r="AG17" s="64"/>
      <c r="AH17" s="64"/>
      <c r="AI17" s="64"/>
      <c r="AJ17" s="371">
        <f t="shared" si="1"/>
        <v>5.0000000000000261E-4</v>
      </c>
    </row>
    <row r="18" spans="1:36" x14ac:dyDescent="0.2">
      <c r="A18" s="118"/>
      <c r="B18" s="208" t="s">
        <v>77</v>
      </c>
      <c r="C18" s="75" t="str">
        <v>SB</v>
      </c>
      <c r="D18" s="75" t="str">
        <v>6L</v>
      </c>
      <c r="E18" s="73" t="str">
        <f t="shared" si="2"/>
        <v>GBPSB6L10Y_Quote</v>
      </c>
      <c r="F18" s="73" t="str">
        <f>_xll.qlSimpleQuote(Currency&amp;$C18&amp;$D18&amp;$B18&amp;QuoteSuffix,,RateTickValue,Permanent,Trigger,ObjectOverwrite)</f>
        <v>GBPSB6L10Y_Quote#0000</v>
      </c>
      <c r="G18" s="72" t="str">
        <f>_xll.ohRangeRetrieveError(F18)</f>
        <v/>
      </c>
      <c r="H18" s="33"/>
      <c r="N18" s="118"/>
      <c r="O18" s="347" t="s">
        <v>77</v>
      </c>
      <c r="P18" s="387" t="str">
        <v>SB</v>
      </c>
      <c r="Q18" s="387" t="str">
        <v>6L</v>
      </c>
      <c r="R18" s="346" t="str">
        <f t="shared" si="0"/>
        <v>GBPSB6L10Y</v>
      </c>
      <c r="S18" s="346" t="str">
        <v>GBPSB6L10Y=ICAP</v>
      </c>
      <c r="T18" s="388">
        <v>2.1074999999999999</v>
      </c>
      <c r="U18" s="388">
        <v>2.1575000000000002</v>
      </c>
      <c r="V18" s="388">
        <v>0</v>
      </c>
      <c r="W18" s="388">
        <v>0</v>
      </c>
      <c r="X18" s="475">
        <f>_xll.qlMidEquivalent($T18,$U18,$V18,$W18)</f>
        <v>2.1325000000000003</v>
      </c>
      <c r="Y18" s="337"/>
      <c r="Z18" s="344">
        <v>1.8725000000000001</v>
      </c>
      <c r="AA18" s="337"/>
      <c r="AB18" s="565">
        <v>1.8725000000000001</v>
      </c>
      <c r="AC18" s="342" t="e">
        <f>_xll.qlSimpleQuoteSetValue(F18,AB18/100,Trigger)</f>
        <v>#N/A</v>
      </c>
      <c r="AD18" s="213"/>
      <c r="AE18" s="64"/>
      <c r="AF18" s="64"/>
      <c r="AG18" s="64"/>
      <c r="AH18" s="64"/>
      <c r="AI18" s="64"/>
      <c r="AJ18" s="371">
        <f t="shared" si="1"/>
        <v>4.9999999999999828E-4</v>
      </c>
    </row>
    <row r="19" spans="1:36" x14ac:dyDescent="0.2">
      <c r="A19" s="118"/>
      <c r="B19" s="208" t="s">
        <v>76</v>
      </c>
      <c r="C19" s="75" t="str">
        <v>SB</v>
      </c>
      <c r="D19" s="75" t="str">
        <v>6L</v>
      </c>
      <c r="E19" s="73" t="str">
        <f t="shared" si="2"/>
        <v>GBPSB6L11Y_Quote</v>
      </c>
      <c r="F19" s="73" t="str">
        <f>_xll.qlSimpleQuote(Currency&amp;$C19&amp;$D19&amp;$B19&amp;QuoteSuffix,,RateTickValue,Permanent,Trigger,ObjectOverwrite)</f>
        <v>GBPSB6L11Y_Quote#0000</v>
      </c>
      <c r="G19" s="72" t="str">
        <f>_xll.ohRangeRetrieveError(F19)</f>
        <v/>
      </c>
      <c r="H19" s="33"/>
      <c r="N19" s="118"/>
      <c r="O19" s="347" t="s">
        <v>76</v>
      </c>
      <c r="P19" s="387" t="str">
        <v>SB</v>
      </c>
      <c r="Q19" s="387" t="str">
        <v>6L</v>
      </c>
      <c r="R19" s="346" t="str">
        <f t="shared" si="0"/>
        <v>GBPSB6L11Y</v>
      </c>
      <c r="S19" s="346" t="str">
        <v>GBPSB6L11Y=ICAP</v>
      </c>
      <c r="T19" s="388">
        <v>2.2400000000000002</v>
      </c>
      <c r="U19" s="388">
        <v>2.31</v>
      </c>
      <c r="V19" s="388">
        <v>0</v>
      </c>
      <c r="W19" s="388">
        <v>0</v>
      </c>
      <c r="X19" s="475">
        <f>_xll.qlMidEquivalent($T19,$U19,$V19,$W19)</f>
        <v>2.2750000000000004</v>
      </c>
      <c r="Y19" s="337"/>
      <c r="Z19" s="344" t="e">
        <v>#NUM!</v>
      </c>
      <c r="AA19" s="337"/>
      <c r="AB19" s="565" t="e">
        <v>#NUM!</v>
      </c>
      <c r="AC19" s="342" t="e">
        <f>_xll.qlSimpleQuoteSetValue(F19,AB19/100,Trigger)</f>
        <v>#NUM!</v>
      </c>
      <c r="AD19" s="213"/>
      <c r="AE19" s="64"/>
      <c r="AF19" s="64"/>
      <c r="AG19" s="64"/>
      <c r="AH19" s="64"/>
      <c r="AI19" s="64"/>
      <c r="AJ19" s="371">
        <f t="shared" si="1"/>
        <v>6.9999999999999392E-4</v>
      </c>
    </row>
    <row r="20" spans="1:36" x14ac:dyDescent="0.2">
      <c r="A20" s="118"/>
      <c r="B20" s="208" t="s">
        <v>75</v>
      </c>
      <c r="C20" s="75" t="str">
        <v>SB</v>
      </c>
      <c r="D20" s="75" t="str">
        <v>6L</v>
      </c>
      <c r="E20" s="73" t="str">
        <f t="shared" si="2"/>
        <v>GBPSB6L12Y_Quote</v>
      </c>
      <c r="F20" s="73" t="str">
        <f>_xll.qlSimpleQuote(Currency&amp;$C20&amp;$D20&amp;$B20&amp;QuoteSuffix,,RateTickValue,Permanent,Trigger,ObjectOverwrite)</f>
        <v>GBPSB6L12Y_Quote#0000</v>
      </c>
      <c r="G20" s="72" t="str">
        <f>_xll.ohRangeRetrieveError(F20)</f>
        <v/>
      </c>
      <c r="H20" s="33"/>
      <c r="N20" s="118"/>
      <c r="O20" s="347" t="s">
        <v>75</v>
      </c>
      <c r="P20" s="387" t="str">
        <v>SB</v>
      </c>
      <c r="Q20" s="387" t="str">
        <v>6L</v>
      </c>
      <c r="R20" s="346" t="str">
        <f t="shared" si="0"/>
        <v>GBPSB6L12Y</v>
      </c>
      <c r="S20" s="346" t="str">
        <v>GBPSB6L12Y=ICAP</v>
      </c>
      <c r="T20" s="388">
        <v>2.36375</v>
      </c>
      <c r="U20" s="388">
        <v>2.4337499999999999</v>
      </c>
      <c r="V20" s="388">
        <v>0</v>
      </c>
      <c r="W20" s="388">
        <v>0</v>
      </c>
      <c r="X20" s="475">
        <f>_xll.qlMidEquivalent($T20,$U20,$V20,$W20)</f>
        <v>2.3987499999999997</v>
      </c>
      <c r="Y20" s="337"/>
      <c r="Z20" s="344">
        <v>2.1425000000000001</v>
      </c>
      <c r="AA20" s="337"/>
      <c r="AB20" s="565">
        <v>2.1425000000000001</v>
      </c>
      <c r="AC20" s="342" t="e">
        <f>_xll.qlSimpleQuoteSetValue(F20,AB20/100,Trigger)</f>
        <v>#N/A</v>
      </c>
      <c r="AD20" s="213"/>
      <c r="AE20" s="64"/>
      <c r="AF20" s="64"/>
      <c r="AG20" s="64"/>
      <c r="AH20" s="64"/>
      <c r="AI20" s="64"/>
      <c r="AJ20" s="371">
        <f t="shared" si="1"/>
        <v>7.0000000000000281E-4</v>
      </c>
    </row>
    <row r="21" spans="1:36" x14ac:dyDescent="0.2">
      <c r="A21" s="118"/>
      <c r="B21" s="208" t="s">
        <v>74</v>
      </c>
      <c r="C21" s="75" t="str">
        <v>SB</v>
      </c>
      <c r="D21" s="75" t="str">
        <v>6L</v>
      </c>
      <c r="E21" s="73" t="str">
        <f t="shared" si="2"/>
        <v>GBPSB6L13Y_Quote</v>
      </c>
      <c r="F21" s="73" t="str">
        <f>_xll.qlSimpleQuote(Currency&amp;$C21&amp;$D21&amp;$B21&amp;QuoteSuffix,,RateTickValue,Permanent,Trigger,ObjectOverwrite)</f>
        <v>GBPSB6L13Y_Quote#0000</v>
      </c>
      <c r="G21" s="72" t="str">
        <f>_xll.ohRangeRetrieveError(F21)</f>
        <v/>
      </c>
      <c r="H21" s="33"/>
      <c r="N21" s="118"/>
      <c r="O21" s="347" t="s">
        <v>74</v>
      </c>
      <c r="P21" s="387" t="str">
        <v>SB</v>
      </c>
      <c r="Q21" s="387" t="str">
        <v>6L</v>
      </c>
      <c r="R21" s="346" t="str">
        <f t="shared" si="0"/>
        <v>GBPSB6L13Y</v>
      </c>
      <c r="S21" s="346" t="str">
        <v>GBPSB6L13Y=ICAP</v>
      </c>
      <c r="T21" s="388" t="s">
        <v>233</v>
      </c>
      <c r="U21" s="388" t="s">
        <v>233</v>
      </c>
      <c r="V21" s="388" t="s">
        <v>233</v>
      </c>
      <c r="W21" s="388" t="s">
        <v>233</v>
      </c>
      <c r="X21" s="475" t="e">
        <f>_xll.qlMidEquivalent($T21,$U21,$V21,$W21)</f>
        <v>#NUM!</v>
      </c>
      <c r="Y21" s="337"/>
      <c r="Z21" s="344" t="e">
        <v>#NUM!</v>
      </c>
      <c r="AA21" s="337"/>
      <c r="AB21" s="565" t="e">
        <v>#NUM!</v>
      </c>
      <c r="AC21" s="342" t="e">
        <f>_xll.qlSimpleQuoteSetValue(F21,AB21/100,Trigger)</f>
        <v>#NUM!</v>
      </c>
      <c r="AD21" s="213"/>
      <c r="AE21" s="64"/>
      <c r="AF21" s="64"/>
      <c r="AG21" s="64"/>
      <c r="AH21" s="64"/>
      <c r="AI21" s="64"/>
      <c r="AJ21" s="371" t="e">
        <f t="shared" si="1"/>
        <v>#VALUE!</v>
      </c>
    </row>
    <row r="22" spans="1:36" x14ac:dyDescent="0.2">
      <c r="A22" s="118"/>
      <c r="B22" s="208" t="s">
        <v>73</v>
      </c>
      <c r="C22" s="75" t="str">
        <v>SB</v>
      </c>
      <c r="D22" s="75" t="str">
        <v>6L</v>
      </c>
      <c r="E22" s="73" t="str">
        <f t="shared" si="2"/>
        <v>GBPSB6L14Y_Quote</v>
      </c>
      <c r="F22" s="73" t="str">
        <f>_xll.qlSimpleQuote(Currency&amp;$C22&amp;$D22&amp;$B22&amp;QuoteSuffix,,RateTickValue,Permanent,Trigger,ObjectOverwrite)</f>
        <v>GBPSB6L14Y_Quote#0000</v>
      </c>
      <c r="G22" s="72" t="str">
        <f>_xll.ohRangeRetrieveError(F22)</f>
        <v/>
      </c>
      <c r="H22" s="33"/>
      <c r="N22" s="118"/>
      <c r="O22" s="347" t="s">
        <v>73</v>
      </c>
      <c r="P22" s="387" t="str">
        <v>SB</v>
      </c>
      <c r="Q22" s="387" t="str">
        <v>6L</v>
      </c>
      <c r="R22" s="346" t="str">
        <f t="shared" si="0"/>
        <v>GBPSB6L14Y</v>
      </c>
      <c r="S22" s="346" t="str">
        <v>GBPSB6L14Y=ICAP</v>
      </c>
      <c r="T22" s="388" t="s">
        <v>233</v>
      </c>
      <c r="U22" s="388" t="s">
        <v>233</v>
      </c>
      <c r="V22" s="388" t="s">
        <v>233</v>
      </c>
      <c r="W22" s="388" t="s">
        <v>233</v>
      </c>
      <c r="X22" s="475" t="e">
        <f>_xll.qlMidEquivalent($T22,$U22,$V22,$W22)</f>
        <v>#NUM!</v>
      </c>
      <c r="Y22" s="337"/>
      <c r="Z22" s="344" t="e">
        <v>#NUM!</v>
      </c>
      <c r="AA22" s="337"/>
      <c r="AB22" s="565" t="e">
        <v>#NUM!</v>
      </c>
      <c r="AC22" s="342" t="e">
        <f>_xll.qlSimpleQuoteSetValue(F22,AB22/100,Trigger)</f>
        <v>#NUM!</v>
      </c>
      <c r="AD22" s="213"/>
      <c r="AE22" s="64"/>
      <c r="AF22" s="64"/>
      <c r="AG22" s="64"/>
      <c r="AH22" s="64"/>
      <c r="AI22" s="64"/>
      <c r="AJ22" s="371" t="e">
        <f t="shared" si="1"/>
        <v>#VALUE!</v>
      </c>
    </row>
    <row r="23" spans="1:36" x14ac:dyDescent="0.2">
      <c r="A23" s="118"/>
      <c r="B23" s="208" t="s">
        <v>72</v>
      </c>
      <c r="C23" s="75" t="str">
        <v>SB</v>
      </c>
      <c r="D23" s="75" t="str">
        <v>6L</v>
      </c>
      <c r="E23" s="73" t="str">
        <f t="shared" si="2"/>
        <v>GBPSB6L15Y_Quote</v>
      </c>
      <c r="F23" s="73" t="str">
        <f>_xll.qlSimpleQuote(Currency&amp;$C23&amp;$D23&amp;$B23&amp;QuoteSuffix,,RateTickValue,Permanent,Trigger,ObjectOverwrite)</f>
        <v>GBPSB6L15Y_Quote#0000</v>
      </c>
      <c r="G23" s="72" t="str">
        <f>_xll.ohRangeRetrieveError(F23)</f>
        <v/>
      </c>
      <c r="H23" s="33"/>
      <c r="N23" s="118"/>
      <c r="O23" s="347" t="s">
        <v>72</v>
      </c>
      <c r="P23" s="387" t="str">
        <v>SB</v>
      </c>
      <c r="Q23" s="387" t="str">
        <v>6L</v>
      </c>
      <c r="R23" s="346" t="str">
        <f t="shared" si="0"/>
        <v>GBPSB6L15Y</v>
      </c>
      <c r="S23" s="346" t="str">
        <v>GBPSB6L15Y=ICAP</v>
      </c>
      <c r="T23" s="388">
        <v>2.63375</v>
      </c>
      <c r="U23" s="388">
        <v>2.7237499999999999</v>
      </c>
      <c r="V23" s="388">
        <v>0</v>
      </c>
      <c r="W23" s="388">
        <v>0</v>
      </c>
      <c r="X23" s="475">
        <f>_xll.qlMidEquivalent($T23,$U23,$V23,$W23)</f>
        <v>2.67875</v>
      </c>
      <c r="Y23" s="337"/>
      <c r="Z23" s="344">
        <v>2.4325000000000001</v>
      </c>
      <c r="AA23" s="337"/>
      <c r="AB23" s="565">
        <v>2.4325000000000001</v>
      </c>
      <c r="AC23" s="342" t="e">
        <f>_xll.qlSimpleQuoteSetValue(F23,AB23/100,Trigger)</f>
        <v>#N/A</v>
      </c>
      <c r="AD23" s="213"/>
      <c r="AE23" s="64"/>
      <c r="AF23" s="64"/>
      <c r="AG23" s="64"/>
      <c r="AH23" s="64"/>
      <c r="AI23" s="64"/>
      <c r="AJ23" s="371">
        <f t="shared" si="1"/>
        <v>8.9999999999999857E-4</v>
      </c>
    </row>
    <row r="24" spans="1:36" x14ac:dyDescent="0.2">
      <c r="A24" s="118"/>
      <c r="B24" s="208" t="s">
        <v>71</v>
      </c>
      <c r="C24" s="75" t="str">
        <v>SB</v>
      </c>
      <c r="D24" s="75" t="str">
        <v>6L</v>
      </c>
      <c r="E24" s="73" t="str">
        <f t="shared" si="2"/>
        <v>GBPSB6L16Y_Quote</v>
      </c>
      <c r="F24" s="73" t="str">
        <f>_xll.qlSimpleQuote(Currency&amp;$C24&amp;$D24&amp;$B24&amp;QuoteSuffix,,RateTickValue,Permanent,Trigger,ObjectOverwrite)</f>
        <v>GBPSB6L16Y_Quote#0000</v>
      </c>
      <c r="G24" s="72" t="str">
        <f>_xll.ohRangeRetrieveError(F24)</f>
        <v/>
      </c>
      <c r="H24" s="33"/>
      <c r="N24" s="118"/>
      <c r="O24" s="347" t="s">
        <v>71</v>
      </c>
      <c r="P24" s="387" t="str">
        <v>SB</v>
      </c>
      <c r="Q24" s="387" t="str">
        <v>6L</v>
      </c>
      <c r="R24" s="346" t="str">
        <f t="shared" si="0"/>
        <v>GBPSB6L16Y</v>
      </c>
      <c r="S24" s="346" t="str">
        <v>GBPSB6L16Y=ICAP</v>
      </c>
      <c r="T24" s="388" t="s">
        <v>233</v>
      </c>
      <c r="U24" s="388" t="s">
        <v>233</v>
      </c>
      <c r="V24" s="388" t="s">
        <v>233</v>
      </c>
      <c r="W24" s="388" t="s">
        <v>233</v>
      </c>
      <c r="X24" s="475" t="e">
        <f>_xll.qlMidEquivalent($T24,$U24,$V24,$W24)</f>
        <v>#NUM!</v>
      </c>
      <c r="Y24" s="337"/>
      <c r="Z24" s="344" t="e">
        <v>#NUM!</v>
      </c>
      <c r="AA24" s="337"/>
      <c r="AB24" s="565" t="e">
        <v>#NUM!</v>
      </c>
      <c r="AC24" s="342" t="e">
        <f>_xll.qlSimpleQuoteSetValue(F24,AB24/100,Trigger)</f>
        <v>#NUM!</v>
      </c>
      <c r="AD24" s="213"/>
      <c r="AE24" s="64"/>
      <c r="AF24" s="64"/>
      <c r="AG24" s="64"/>
      <c r="AH24" s="64"/>
      <c r="AI24" s="64"/>
      <c r="AJ24" s="371" t="e">
        <f t="shared" si="1"/>
        <v>#VALUE!</v>
      </c>
    </row>
    <row r="25" spans="1:36" x14ac:dyDescent="0.2">
      <c r="A25" s="118"/>
      <c r="B25" s="208" t="s">
        <v>70</v>
      </c>
      <c r="C25" s="75" t="str">
        <v>SB</v>
      </c>
      <c r="D25" s="75" t="str">
        <v>6L</v>
      </c>
      <c r="E25" s="73" t="str">
        <f t="shared" si="2"/>
        <v>GBPSB6L17Y_Quote</v>
      </c>
      <c r="F25" s="73" t="str">
        <f>_xll.qlSimpleQuote(Currency&amp;$C25&amp;$D25&amp;$B25&amp;QuoteSuffix,,RateTickValue,Permanent,Trigger,ObjectOverwrite)</f>
        <v>GBPSB6L17Y_Quote#0000</v>
      </c>
      <c r="G25" s="72" t="str">
        <f>_xll.ohRangeRetrieveError(F25)</f>
        <v/>
      </c>
      <c r="H25" s="33"/>
      <c r="N25" s="118"/>
      <c r="O25" s="347" t="s">
        <v>70</v>
      </c>
      <c r="P25" s="387" t="str">
        <v>SB</v>
      </c>
      <c r="Q25" s="387" t="str">
        <v>6L</v>
      </c>
      <c r="R25" s="346" t="str">
        <f t="shared" si="0"/>
        <v>GBPSB6L17Y</v>
      </c>
      <c r="S25" s="346" t="str">
        <v>GBPSB6L17Y=ICAP</v>
      </c>
      <c r="T25" s="388" t="s">
        <v>233</v>
      </c>
      <c r="U25" s="388" t="s">
        <v>233</v>
      </c>
      <c r="V25" s="388" t="s">
        <v>233</v>
      </c>
      <c r="W25" s="388" t="s">
        <v>233</v>
      </c>
      <c r="X25" s="475" t="e">
        <f>_xll.qlMidEquivalent($T25,$U25,$V25,$W25)</f>
        <v>#NUM!</v>
      </c>
      <c r="Y25" s="337"/>
      <c r="Z25" s="344" t="e">
        <v>#NUM!</v>
      </c>
      <c r="AA25" s="337"/>
      <c r="AB25" s="565" t="e">
        <v>#NUM!</v>
      </c>
      <c r="AC25" s="342" t="e">
        <f>_xll.qlSimpleQuoteSetValue(F25,AB25/100,Trigger)</f>
        <v>#NUM!</v>
      </c>
      <c r="AD25" s="213"/>
      <c r="AE25" s="64"/>
      <c r="AF25" s="64"/>
      <c r="AG25" s="64"/>
      <c r="AH25" s="64"/>
      <c r="AI25" s="64"/>
      <c r="AJ25" s="371" t="e">
        <f t="shared" si="1"/>
        <v>#VALUE!</v>
      </c>
    </row>
    <row r="26" spans="1:36" x14ac:dyDescent="0.2">
      <c r="A26" s="118"/>
      <c r="B26" s="208" t="s">
        <v>69</v>
      </c>
      <c r="C26" s="75" t="str">
        <v>SB</v>
      </c>
      <c r="D26" s="75" t="str">
        <v>6L</v>
      </c>
      <c r="E26" s="73" t="str">
        <f t="shared" si="2"/>
        <v>GBPSB6L18Y_Quote</v>
      </c>
      <c r="F26" s="73" t="str">
        <f>_xll.qlSimpleQuote(Currency&amp;$C26&amp;$D26&amp;$B26&amp;QuoteSuffix,,RateTickValue,Permanent,Trigger,ObjectOverwrite)</f>
        <v>GBPSB6L18Y_Quote#0000</v>
      </c>
      <c r="G26" s="72" t="str">
        <f>_xll.ohRangeRetrieveError(F26)</f>
        <v/>
      </c>
      <c r="H26" s="33"/>
      <c r="N26" s="118"/>
      <c r="O26" s="347" t="s">
        <v>69</v>
      </c>
      <c r="P26" s="387" t="str">
        <v>SB</v>
      </c>
      <c r="Q26" s="387" t="str">
        <v>6L</v>
      </c>
      <c r="R26" s="346" t="str">
        <f t="shared" si="0"/>
        <v>GBPSB6L18Y</v>
      </c>
      <c r="S26" s="346" t="str">
        <v>GBPSB6L18Y=ICAP</v>
      </c>
      <c r="T26" s="388" t="s">
        <v>233</v>
      </c>
      <c r="U26" s="388" t="s">
        <v>233</v>
      </c>
      <c r="V26" s="388" t="s">
        <v>233</v>
      </c>
      <c r="W26" s="388" t="s">
        <v>233</v>
      </c>
      <c r="X26" s="475" t="e">
        <f>_xll.qlMidEquivalent($T26,$U26,$V26,$W26)</f>
        <v>#NUM!</v>
      </c>
      <c r="Y26" s="337"/>
      <c r="Z26" s="344" t="e">
        <v>#NUM!</v>
      </c>
      <c r="AA26" s="337"/>
      <c r="AB26" s="565" t="e">
        <v>#NUM!</v>
      </c>
      <c r="AC26" s="342" t="e">
        <f>_xll.qlSimpleQuoteSetValue(F26,AB26/100,Trigger)</f>
        <v>#NUM!</v>
      </c>
      <c r="AD26" s="213"/>
      <c r="AE26" s="64"/>
      <c r="AF26" s="64"/>
      <c r="AG26" s="64"/>
      <c r="AH26" s="64"/>
      <c r="AI26" s="64"/>
      <c r="AJ26" s="371" t="e">
        <f t="shared" si="1"/>
        <v>#VALUE!</v>
      </c>
    </row>
    <row r="27" spans="1:36" x14ac:dyDescent="0.2">
      <c r="A27" s="118"/>
      <c r="B27" s="208" t="s">
        <v>68</v>
      </c>
      <c r="C27" s="75" t="str">
        <v>SB</v>
      </c>
      <c r="D27" s="75" t="str">
        <v>6L</v>
      </c>
      <c r="E27" s="73" t="str">
        <f t="shared" si="2"/>
        <v>GBPSB6L19Y_Quote</v>
      </c>
      <c r="F27" s="73" t="str">
        <f>_xll.qlSimpleQuote(Currency&amp;$C27&amp;$D27&amp;$B27&amp;QuoteSuffix,,RateTickValue,Permanent,Trigger,ObjectOverwrite)</f>
        <v>GBPSB6L19Y_Quote#0000</v>
      </c>
      <c r="G27" s="72" t="str">
        <f>_xll.ohRangeRetrieveError(F27)</f>
        <v/>
      </c>
      <c r="H27" s="33"/>
      <c r="N27" s="118"/>
      <c r="O27" s="347" t="s">
        <v>68</v>
      </c>
      <c r="P27" s="387" t="str">
        <v>SB</v>
      </c>
      <c r="Q27" s="387" t="str">
        <v>6L</v>
      </c>
      <c r="R27" s="346" t="str">
        <f t="shared" si="0"/>
        <v>GBPSB6L19Y</v>
      </c>
      <c r="S27" s="346" t="str">
        <v>GBPSB6L19Y=ICAP</v>
      </c>
      <c r="T27" s="388" t="s">
        <v>233</v>
      </c>
      <c r="U27" s="388" t="s">
        <v>233</v>
      </c>
      <c r="V27" s="388" t="s">
        <v>233</v>
      </c>
      <c r="W27" s="388" t="s">
        <v>233</v>
      </c>
      <c r="X27" s="475" t="e">
        <f>_xll.qlMidEquivalent($T27,$U27,$V27,$W27)</f>
        <v>#NUM!</v>
      </c>
      <c r="Y27" s="337"/>
      <c r="Z27" s="344" t="e">
        <v>#NUM!</v>
      </c>
      <c r="AA27" s="337"/>
      <c r="AB27" s="565" t="e">
        <v>#NUM!</v>
      </c>
      <c r="AC27" s="342" t="e">
        <f>_xll.qlSimpleQuoteSetValue(F27,AB27/100,Trigger)</f>
        <v>#NUM!</v>
      </c>
      <c r="AD27" s="213"/>
      <c r="AE27" s="64"/>
      <c r="AF27" s="64"/>
      <c r="AG27" s="64"/>
      <c r="AH27" s="64"/>
      <c r="AI27" s="64"/>
      <c r="AJ27" s="371" t="e">
        <f t="shared" si="1"/>
        <v>#VALUE!</v>
      </c>
    </row>
    <row r="28" spans="1:36" x14ac:dyDescent="0.2">
      <c r="A28" s="118"/>
      <c r="B28" s="208" t="s">
        <v>67</v>
      </c>
      <c r="C28" s="75" t="str">
        <v>SB</v>
      </c>
      <c r="D28" s="75" t="str">
        <v>6L</v>
      </c>
      <c r="E28" s="73" t="str">
        <f t="shared" si="2"/>
        <v>GBPSB6L20Y_Quote</v>
      </c>
      <c r="F28" s="73" t="str">
        <f>_xll.qlSimpleQuote(Currency&amp;$C28&amp;$D28&amp;$B28&amp;QuoteSuffix,,RateTickValue,Permanent,Trigger,ObjectOverwrite)</f>
        <v>GBPSB6L20Y_Quote#0000</v>
      </c>
      <c r="G28" s="72" t="str">
        <f>_xll.ohRangeRetrieveError(F28)</f>
        <v/>
      </c>
      <c r="H28" s="33"/>
      <c r="N28" s="118"/>
      <c r="O28" s="347" t="s">
        <v>67</v>
      </c>
      <c r="P28" s="387" t="str">
        <v>SB</v>
      </c>
      <c r="Q28" s="387" t="str">
        <v>6L</v>
      </c>
      <c r="R28" s="346" t="str">
        <f t="shared" si="0"/>
        <v>GBPSB6L20Y</v>
      </c>
      <c r="S28" s="346" t="str">
        <v>GBPSB6L20Y=ICAP</v>
      </c>
      <c r="T28" s="388">
        <v>2.9037500000000001</v>
      </c>
      <c r="U28" s="388">
        <v>3.0337499999999999</v>
      </c>
      <c r="V28" s="388">
        <v>0</v>
      </c>
      <c r="W28" s="388">
        <v>0</v>
      </c>
      <c r="X28" s="475">
        <f>_xll.qlMidEquivalent($T28,$U28,$V28,$W28)</f>
        <v>2.96875</v>
      </c>
      <c r="Y28" s="337"/>
      <c r="Z28" s="344">
        <v>2.73</v>
      </c>
      <c r="AA28" s="337"/>
      <c r="AB28" s="565">
        <v>2.73</v>
      </c>
      <c r="AC28" s="342" t="e">
        <f>_xll.qlSimpleQuoteSetValue(F28,AB28/100,Trigger)</f>
        <v>#N/A</v>
      </c>
      <c r="AD28" s="213"/>
      <c r="AE28" s="64"/>
      <c r="AF28" s="64"/>
      <c r="AG28" s="64"/>
      <c r="AH28" s="64"/>
      <c r="AI28" s="64"/>
      <c r="AJ28" s="371">
        <f t="shared" si="1"/>
        <v>1.2999999999999989E-3</v>
      </c>
    </row>
    <row r="29" spans="1:36" x14ac:dyDescent="0.2">
      <c r="A29" s="118"/>
      <c r="B29" s="208" t="s">
        <v>66</v>
      </c>
      <c r="C29" s="75" t="str">
        <v>SB</v>
      </c>
      <c r="D29" s="75" t="str">
        <v>6L</v>
      </c>
      <c r="E29" s="73" t="str">
        <f t="shared" si="2"/>
        <v>GBPSB6L21Y_Quote</v>
      </c>
      <c r="F29" s="73" t="str">
        <f>_xll.qlSimpleQuote(Currency&amp;$C29&amp;$D29&amp;$B29&amp;QuoteSuffix,,RateTickValue,Permanent,Trigger,ObjectOverwrite)</f>
        <v>GBPSB6L21Y_Quote#0000</v>
      </c>
      <c r="G29" s="72" t="str">
        <f>_xll.ohRangeRetrieveError(F29)</f>
        <v/>
      </c>
      <c r="H29" s="33"/>
      <c r="N29" s="118"/>
      <c r="O29" s="347" t="s">
        <v>66</v>
      </c>
      <c r="P29" s="387" t="str">
        <v>SB</v>
      </c>
      <c r="Q29" s="387" t="str">
        <v>6L</v>
      </c>
      <c r="R29" s="346" t="str">
        <f t="shared" si="0"/>
        <v>GBPSB6L21Y</v>
      </c>
      <c r="S29" s="346" t="str">
        <v>GBPSB6L21Y=ICAP</v>
      </c>
      <c r="T29" s="388" t="s">
        <v>233</v>
      </c>
      <c r="U29" s="388" t="s">
        <v>233</v>
      </c>
      <c r="V29" s="388" t="s">
        <v>233</v>
      </c>
      <c r="W29" s="388" t="s">
        <v>233</v>
      </c>
      <c r="X29" s="475" t="e">
        <f>_xll.qlMidEquivalent($T29,$U29,$V29,$W29)</f>
        <v>#NUM!</v>
      </c>
      <c r="Y29" s="337"/>
      <c r="Z29" s="344" t="e">
        <v>#NUM!</v>
      </c>
      <c r="AA29" s="337"/>
      <c r="AB29" s="565" t="e">
        <v>#NUM!</v>
      </c>
      <c r="AC29" s="342" t="e">
        <f>_xll.qlSimpleQuoteSetValue(F29,AB29/100,Trigger)</f>
        <v>#NUM!</v>
      </c>
      <c r="AD29" s="213"/>
      <c r="AE29" s="64"/>
      <c r="AF29" s="64"/>
      <c r="AG29" s="64"/>
      <c r="AH29" s="64"/>
      <c r="AI29" s="64"/>
      <c r="AJ29" s="371" t="e">
        <f t="shared" si="1"/>
        <v>#VALUE!</v>
      </c>
    </row>
    <row r="30" spans="1:36" x14ac:dyDescent="0.2">
      <c r="A30" s="118"/>
      <c r="B30" s="208" t="s">
        <v>65</v>
      </c>
      <c r="C30" s="75" t="str">
        <v>SB</v>
      </c>
      <c r="D30" s="75" t="str">
        <v>6L</v>
      </c>
      <c r="E30" s="73" t="str">
        <f t="shared" si="2"/>
        <v>GBPSB6L22Y_Quote</v>
      </c>
      <c r="F30" s="73" t="str">
        <f>_xll.qlSimpleQuote(Currency&amp;$C30&amp;$D30&amp;$B30&amp;QuoteSuffix,,RateTickValue,Permanent,Trigger,ObjectOverwrite)</f>
        <v>GBPSB6L22Y_Quote#0000</v>
      </c>
      <c r="G30" s="72" t="str">
        <f>_xll.ohRangeRetrieveError(F30)</f>
        <v/>
      </c>
      <c r="H30" s="33"/>
      <c r="N30" s="118"/>
      <c r="O30" s="347" t="s">
        <v>65</v>
      </c>
      <c r="P30" s="387" t="str">
        <v>SB</v>
      </c>
      <c r="Q30" s="387" t="str">
        <v>6L</v>
      </c>
      <c r="R30" s="346" t="str">
        <f t="shared" si="0"/>
        <v>GBPSB6L22Y</v>
      </c>
      <c r="S30" s="346" t="str">
        <v>GBPSB6L22Y=ICAP</v>
      </c>
      <c r="T30" s="388" t="s">
        <v>233</v>
      </c>
      <c r="U30" s="388" t="s">
        <v>233</v>
      </c>
      <c r="V30" s="388" t="s">
        <v>233</v>
      </c>
      <c r="W30" s="388" t="s">
        <v>233</v>
      </c>
      <c r="X30" s="475" t="e">
        <f>_xll.qlMidEquivalent($T30,$U30,$V30,$W30)</f>
        <v>#NUM!</v>
      </c>
      <c r="Y30" s="337"/>
      <c r="Z30" s="344" t="e">
        <v>#NUM!</v>
      </c>
      <c r="AA30" s="337"/>
      <c r="AB30" s="565" t="e">
        <v>#NUM!</v>
      </c>
      <c r="AC30" s="342" t="e">
        <f>_xll.qlSimpleQuoteSetValue(F30,AB30/100,Trigger)</f>
        <v>#NUM!</v>
      </c>
      <c r="AD30" s="213"/>
      <c r="AE30" s="64"/>
      <c r="AF30" s="64"/>
      <c r="AG30" s="64"/>
      <c r="AH30" s="64"/>
      <c r="AI30" s="64"/>
      <c r="AJ30" s="371" t="e">
        <f t="shared" si="1"/>
        <v>#VALUE!</v>
      </c>
    </row>
    <row r="31" spans="1:36" x14ac:dyDescent="0.2">
      <c r="A31" s="118"/>
      <c r="B31" s="208" t="s">
        <v>64</v>
      </c>
      <c r="C31" s="75" t="str">
        <v>SB</v>
      </c>
      <c r="D31" s="75" t="str">
        <v>6L</v>
      </c>
      <c r="E31" s="73" t="str">
        <f t="shared" si="2"/>
        <v>GBPSB6L23Y_Quote</v>
      </c>
      <c r="F31" s="73" t="str">
        <f>_xll.qlSimpleQuote(Currency&amp;$C31&amp;$D31&amp;$B31&amp;QuoteSuffix,,RateTickValue,Permanent,Trigger,ObjectOverwrite)</f>
        <v>GBPSB6L23Y_Quote#0000</v>
      </c>
      <c r="G31" s="72" t="str">
        <f>_xll.ohRangeRetrieveError(F31)</f>
        <v/>
      </c>
      <c r="H31" s="33"/>
      <c r="N31" s="118"/>
      <c r="O31" s="347" t="s">
        <v>64</v>
      </c>
      <c r="P31" s="387" t="str">
        <v>SB</v>
      </c>
      <c r="Q31" s="387" t="str">
        <v>6L</v>
      </c>
      <c r="R31" s="346" t="str">
        <f t="shared" si="0"/>
        <v>GBPSB6L23Y</v>
      </c>
      <c r="S31" s="346" t="str">
        <v>GBPSB6L23Y=ICAP</v>
      </c>
      <c r="T31" s="388" t="s">
        <v>233</v>
      </c>
      <c r="U31" s="388" t="s">
        <v>233</v>
      </c>
      <c r="V31" s="388" t="s">
        <v>233</v>
      </c>
      <c r="W31" s="388" t="s">
        <v>233</v>
      </c>
      <c r="X31" s="475" t="e">
        <f>_xll.qlMidEquivalent($T31,$U31,$V31,$W31)</f>
        <v>#NUM!</v>
      </c>
      <c r="Y31" s="337"/>
      <c r="Z31" s="344" t="e">
        <v>#NUM!</v>
      </c>
      <c r="AA31" s="337"/>
      <c r="AB31" s="565" t="e">
        <v>#NUM!</v>
      </c>
      <c r="AC31" s="342" t="e">
        <f>_xll.qlSimpleQuoteSetValue(F31,AB31/100,Trigger)</f>
        <v>#NUM!</v>
      </c>
      <c r="AD31" s="213"/>
      <c r="AE31" s="64"/>
      <c r="AF31" s="64"/>
      <c r="AG31" s="64"/>
      <c r="AH31" s="64"/>
      <c r="AI31" s="64"/>
      <c r="AJ31" s="371" t="e">
        <f t="shared" si="1"/>
        <v>#VALUE!</v>
      </c>
    </row>
    <row r="32" spans="1:36" x14ac:dyDescent="0.2">
      <c r="A32" s="118"/>
      <c r="B32" s="208" t="s">
        <v>63</v>
      </c>
      <c r="C32" s="75" t="str">
        <v>SB</v>
      </c>
      <c r="D32" s="75" t="str">
        <v>6L</v>
      </c>
      <c r="E32" s="73" t="str">
        <f t="shared" si="2"/>
        <v>GBPSB6L24Y_Quote</v>
      </c>
      <c r="F32" s="73" t="str">
        <f>_xll.qlSimpleQuote(Currency&amp;$C32&amp;$D32&amp;$B32&amp;QuoteSuffix,,RateTickValue,Permanent,Trigger,ObjectOverwrite)</f>
        <v>GBPSB6L24Y_Quote#0000</v>
      </c>
      <c r="G32" s="72" t="str">
        <f>_xll.ohRangeRetrieveError(F32)</f>
        <v/>
      </c>
      <c r="H32" s="33"/>
      <c r="N32" s="118"/>
      <c r="O32" s="347" t="s">
        <v>63</v>
      </c>
      <c r="P32" s="387" t="str">
        <v>SB</v>
      </c>
      <c r="Q32" s="387" t="str">
        <v>6L</v>
      </c>
      <c r="R32" s="346" t="str">
        <f t="shared" si="0"/>
        <v>GBPSB6L24Y</v>
      </c>
      <c r="S32" s="346" t="str">
        <v>GBPSB6L24Y=ICAP</v>
      </c>
      <c r="T32" s="388" t="s">
        <v>233</v>
      </c>
      <c r="U32" s="388" t="s">
        <v>233</v>
      </c>
      <c r="V32" s="388" t="s">
        <v>233</v>
      </c>
      <c r="W32" s="388" t="s">
        <v>233</v>
      </c>
      <c r="X32" s="475" t="e">
        <f>_xll.qlMidEquivalent($T32,$U32,$V32,$W32)</f>
        <v>#NUM!</v>
      </c>
      <c r="Y32" s="337"/>
      <c r="Z32" s="344" t="e">
        <v>#NUM!</v>
      </c>
      <c r="AA32" s="337"/>
      <c r="AB32" s="565" t="e">
        <v>#NUM!</v>
      </c>
      <c r="AC32" s="342" t="e">
        <f>_xll.qlSimpleQuoteSetValue(F32,AB32/100,Trigger)</f>
        <v>#NUM!</v>
      </c>
      <c r="AD32" s="213"/>
      <c r="AE32" s="64"/>
      <c r="AF32" s="64"/>
      <c r="AG32" s="64"/>
      <c r="AH32" s="64"/>
      <c r="AI32" s="64"/>
      <c r="AJ32" s="371" t="e">
        <f t="shared" si="1"/>
        <v>#VALUE!</v>
      </c>
    </row>
    <row r="33" spans="1:36" x14ac:dyDescent="0.2">
      <c r="A33" s="118"/>
      <c r="B33" s="208" t="s">
        <v>62</v>
      </c>
      <c r="C33" s="75" t="str">
        <v>SB</v>
      </c>
      <c r="D33" s="75" t="str">
        <v>6L</v>
      </c>
      <c r="E33" s="73" t="str">
        <f t="shared" si="2"/>
        <v>GBPSB6L25Y_Quote</v>
      </c>
      <c r="F33" s="73" t="str">
        <f>_xll.qlSimpleQuote(Currency&amp;$C33&amp;$D33&amp;$B33&amp;QuoteSuffix,,RateTickValue,Permanent,Trigger,ObjectOverwrite)</f>
        <v>GBPSB6L25Y_Quote#0000</v>
      </c>
      <c r="G33" s="72" t="str">
        <f>_xll.ohRangeRetrieveError(F33)</f>
        <v/>
      </c>
      <c r="H33" s="33"/>
      <c r="N33" s="118"/>
      <c r="O33" s="347" t="s">
        <v>62</v>
      </c>
      <c r="P33" s="387" t="str">
        <v>SB</v>
      </c>
      <c r="Q33" s="387" t="str">
        <v>6L</v>
      </c>
      <c r="R33" s="346" t="str">
        <f t="shared" si="0"/>
        <v>GBPSB6L25Y</v>
      </c>
      <c r="S33" s="346" t="str">
        <v>GBPSB6L25Y=ICAP</v>
      </c>
      <c r="T33" s="388">
        <v>3.0525000000000002</v>
      </c>
      <c r="U33" s="388">
        <v>3.1825000000000001</v>
      </c>
      <c r="V33" s="388">
        <v>0</v>
      </c>
      <c r="W33" s="388">
        <v>0</v>
      </c>
      <c r="X33" s="475">
        <f>_xll.qlMidEquivalent($T33,$U33,$V33,$W33)</f>
        <v>3.1175000000000002</v>
      </c>
      <c r="Y33" s="337"/>
      <c r="Z33" s="344">
        <v>2.8875000000000002</v>
      </c>
      <c r="AA33" s="337"/>
      <c r="AB33" s="565">
        <v>2.8875000000000002</v>
      </c>
      <c r="AC33" s="342" t="e">
        <f>_xll.qlSimpleQuoteSetValue(F33,AB33/100,Trigger)</f>
        <v>#N/A</v>
      </c>
      <c r="AD33" s="213"/>
      <c r="AE33" s="64"/>
      <c r="AF33" s="64"/>
      <c r="AG33" s="64"/>
      <c r="AH33" s="64"/>
      <c r="AI33" s="64"/>
      <c r="AJ33" s="371">
        <f t="shared" si="1"/>
        <v>1.2999999999999989E-3</v>
      </c>
    </row>
    <row r="34" spans="1:36" x14ac:dyDescent="0.2">
      <c r="A34" s="118"/>
      <c r="B34" s="208" t="s">
        <v>61</v>
      </c>
      <c r="C34" s="75" t="str">
        <v>SB</v>
      </c>
      <c r="D34" s="75" t="str">
        <v>6L</v>
      </c>
      <c r="E34" s="73" t="str">
        <f t="shared" si="2"/>
        <v>GBPSB6L26Y_Quote</v>
      </c>
      <c r="F34" s="73" t="str">
        <f>_xll.qlSimpleQuote(Currency&amp;$C34&amp;$D34&amp;$B34&amp;QuoteSuffix,,RateTickValue,Permanent,Trigger,ObjectOverwrite)</f>
        <v>GBPSB6L26Y_Quote#0000</v>
      </c>
      <c r="G34" s="72" t="str">
        <f>_xll.ohRangeRetrieveError(F34)</f>
        <v/>
      </c>
      <c r="H34" s="33"/>
      <c r="N34" s="118"/>
      <c r="O34" s="347" t="s">
        <v>61</v>
      </c>
      <c r="P34" s="387" t="str">
        <v>SB</v>
      </c>
      <c r="Q34" s="387" t="str">
        <v>6L</v>
      </c>
      <c r="R34" s="346" t="str">
        <f t="shared" si="0"/>
        <v>GBPSB6L26Y</v>
      </c>
      <c r="S34" s="346" t="str">
        <v>GBPSB6L26Y=ICAP</v>
      </c>
      <c r="T34" s="388" t="s">
        <v>233</v>
      </c>
      <c r="U34" s="388" t="s">
        <v>233</v>
      </c>
      <c r="V34" s="388" t="s">
        <v>233</v>
      </c>
      <c r="W34" s="388" t="s">
        <v>233</v>
      </c>
      <c r="X34" s="475" t="e">
        <f>_xll.qlMidEquivalent($T34,$U34,$V34,$W34)</f>
        <v>#NUM!</v>
      </c>
      <c r="Y34" s="337"/>
      <c r="Z34" s="344" t="e">
        <v>#NUM!</v>
      </c>
      <c r="AA34" s="337"/>
      <c r="AB34" s="565" t="e">
        <v>#NUM!</v>
      </c>
      <c r="AC34" s="342" t="e">
        <f>_xll.qlSimpleQuoteSetValue(F34,AB34/100,Trigger)</f>
        <v>#NUM!</v>
      </c>
      <c r="AD34" s="213"/>
      <c r="AE34" s="64"/>
      <c r="AF34" s="64"/>
      <c r="AG34" s="64"/>
      <c r="AH34" s="64"/>
      <c r="AI34" s="64"/>
      <c r="AJ34" s="371" t="e">
        <f t="shared" si="1"/>
        <v>#VALUE!</v>
      </c>
    </row>
    <row r="35" spans="1:36" x14ac:dyDescent="0.2">
      <c r="A35" s="118"/>
      <c r="B35" s="208" t="s">
        <v>60</v>
      </c>
      <c r="C35" s="75" t="str">
        <v>SB</v>
      </c>
      <c r="D35" s="75" t="str">
        <v>6L</v>
      </c>
      <c r="E35" s="73" t="str">
        <f t="shared" si="2"/>
        <v>GBPSB6L27Y_Quote</v>
      </c>
      <c r="F35" s="73" t="str">
        <f>_xll.qlSimpleQuote(Currency&amp;$C35&amp;$D35&amp;$B35&amp;QuoteSuffix,,RateTickValue,Permanent,Trigger,ObjectOverwrite)</f>
        <v>GBPSB6L27Y_Quote#0000</v>
      </c>
      <c r="G35" s="72" t="str">
        <f>_xll.ohRangeRetrieveError(F35)</f>
        <v/>
      </c>
      <c r="H35" s="33"/>
      <c r="N35" s="118"/>
      <c r="O35" s="347" t="s">
        <v>60</v>
      </c>
      <c r="P35" s="387" t="str">
        <v>SB</v>
      </c>
      <c r="Q35" s="387" t="str">
        <v>6L</v>
      </c>
      <c r="R35" s="346" t="str">
        <f t="shared" si="0"/>
        <v>GBPSB6L27Y</v>
      </c>
      <c r="S35" s="346" t="str">
        <v>GBPSB6L27Y=ICAP</v>
      </c>
      <c r="T35" s="388" t="s">
        <v>233</v>
      </c>
      <c r="U35" s="388" t="s">
        <v>233</v>
      </c>
      <c r="V35" s="388" t="s">
        <v>233</v>
      </c>
      <c r="W35" s="388" t="s">
        <v>233</v>
      </c>
      <c r="X35" s="475" t="e">
        <f>_xll.qlMidEquivalent($T35,$U35,$V35,$W35)</f>
        <v>#NUM!</v>
      </c>
      <c r="Y35" s="337"/>
      <c r="Z35" s="344" t="e">
        <v>#NUM!</v>
      </c>
      <c r="AA35" s="337"/>
      <c r="AB35" s="565" t="e">
        <v>#NUM!</v>
      </c>
      <c r="AC35" s="342" t="e">
        <f>_xll.qlSimpleQuoteSetValue(F35,AB35/100,Trigger)</f>
        <v>#NUM!</v>
      </c>
      <c r="AD35" s="213"/>
      <c r="AE35" s="64"/>
      <c r="AF35" s="64"/>
      <c r="AG35" s="64"/>
      <c r="AH35" s="64"/>
      <c r="AI35" s="64"/>
      <c r="AJ35" s="371" t="e">
        <f t="shared" si="1"/>
        <v>#VALUE!</v>
      </c>
    </row>
    <row r="36" spans="1:36" x14ac:dyDescent="0.2">
      <c r="A36" s="118"/>
      <c r="B36" s="208" t="s">
        <v>59</v>
      </c>
      <c r="C36" s="75" t="str">
        <v>SB</v>
      </c>
      <c r="D36" s="75" t="str">
        <v>6L</v>
      </c>
      <c r="E36" s="73" t="str">
        <f t="shared" si="2"/>
        <v>GBPSB6L28Y_Quote</v>
      </c>
      <c r="F36" s="73" t="str">
        <f>_xll.qlSimpleQuote(Currency&amp;$C36&amp;$D36&amp;$B36&amp;QuoteSuffix,,RateTickValue,Permanent,Trigger,ObjectOverwrite)</f>
        <v>GBPSB6L28Y_Quote#0000</v>
      </c>
      <c r="G36" s="72" t="str">
        <f>_xll.ohRangeRetrieveError(F36)</f>
        <v/>
      </c>
      <c r="H36" s="33"/>
      <c r="N36" s="118"/>
      <c r="O36" s="347" t="s">
        <v>59</v>
      </c>
      <c r="P36" s="387" t="str">
        <v>SB</v>
      </c>
      <c r="Q36" s="387" t="str">
        <v>6L</v>
      </c>
      <c r="R36" s="346" t="str">
        <f t="shared" si="0"/>
        <v>GBPSB6L28Y</v>
      </c>
      <c r="S36" s="346" t="str">
        <v>GBPSB6L28Y=ICAP</v>
      </c>
      <c r="T36" s="388" t="s">
        <v>233</v>
      </c>
      <c r="U36" s="388" t="s">
        <v>233</v>
      </c>
      <c r="V36" s="388" t="s">
        <v>233</v>
      </c>
      <c r="W36" s="388" t="s">
        <v>233</v>
      </c>
      <c r="X36" s="475" t="e">
        <f>_xll.qlMidEquivalent($T36,$U36,$V36,$W36)</f>
        <v>#NUM!</v>
      </c>
      <c r="Y36" s="337"/>
      <c r="Z36" s="344" t="e">
        <v>#NUM!</v>
      </c>
      <c r="AA36" s="337"/>
      <c r="AB36" s="565" t="e">
        <v>#NUM!</v>
      </c>
      <c r="AC36" s="342" t="e">
        <f>_xll.qlSimpleQuoteSetValue(F36,AB36/100,Trigger)</f>
        <v>#NUM!</v>
      </c>
      <c r="AD36" s="213"/>
      <c r="AE36" s="64"/>
      <c r="AF36" s="64"/>
      <c r="AG36" s="64"/>
      <c r="AH36" s="64"/>
      <c r="AI36" s="64"/>
      <c r="AJ36" s="371" t="e">
        <f t="shared" si="1"/>
        <v>#VALUE!</v>
      </c>
    </row>
    <row r="37" spans="1:36" x14ac:dyDescent="0.2">
      <c r="A37" s="118"/>
      <c r="B37" s="208" t="s">
        <v>58</v>
      </c>
      <c r="C37" s="75" t="str">
        <v>SB</v>
      </c>
      <c r="D37" s="75" t="str">
        <v>6L</v>
      </c>
      <c r="E37" s="73" t="str">
        <f t="shared" si="2"/>
        <v>GBPSB6L29Y_Quote</v>
      </c>
      <c r="F37" s="73" t="str">
        <f>_xll.qlSimpleQuote(Currency&amp;$C37&amp;$D37&amp;$B37&amp;QuoteSuffix,,RateTickValue,Permanent,Trigger,ObjectOverwrite)</f>
        <v>GBPSB6L29Y_Quote#0000</v>
      </c>
      <c r="G37" s="72" t="str">
        <f>_xll.ohRangeRetrieveError(F37)</f>
        <v/>
      </c>
      <c r="H37" s="33"/>
      <c r="N37" s="118"/>
      <c r="O37" s="347" t="s">
        <v>58</v>
      </c>
      <c r="P37" s="387" t="str">
        <v>SB</v>
      </c>
      <c r="Q37" s="387" t="str">
        <v>6L</v>
      </c>
      <c r="R37" s="346" t="str">
        <f t="shared" si="0"/>
        <v>GBPSB6L29Y</v>
      </c>
      <c r="S37" s="346" t="str">
        <v>GBPSB6L29Y=ICAP</v>
      </c>
      <c r="T37" s="388" t="s">
        <v>233</v>
      </c>
      <c r="U37" s="388" t="s">
        <v>233</v>
      </c>
      <c r="V37" s="388" t="s">
        <v>233</v>
      </c>
      <c r="W37" s="388" t="s">
        <v>233</v>
      </c>
      <c r="X37" s="475" t="e">
        <f>_xll.qlMidEquivalent($T37,$U37,$V37,$W37)</f>
        <v>#NUM!</v>
      </c>
      <c r="Y37" s="337"/>
      <c r="Z37" s="344" t="e">
        <v>#NUM!</v>
      </c>
      <c r="AA37" s="337"/>
      <c r="AB37" s="565" t="e">
        <v>#NUM!</v>
      </c>
      <c r="AC37" s="342" t="e">
        <f>_xll.qlSimpleQuoteSetValue(F37,AB37/100,Trigger)</f>
        <v>#NUM!</v>
      </c>
      <c r="AD37" s="213"/>
      <c r="AE37" s="64"/>
      <c r="AF37" s="64"/>
      <c r="AG37" s="64"/>
      <c r="AH37" s="64"/>
      <c r="AI37" s="64"/>
      <c r="AJ37" s="371" t="e">
        <f t="shared" si="1"/>
        <v>#VALUE!</v>
      </c>
    </row>
    <row r="38" spans="1:36" x14ac:dyDescent="0.2">
      <c r="A38" s="118"/>
      <c r="B38" s="208" t="s">
        <v>57</v>
      </c>
      <c r="C38" s="75" t="str">
        <v>SB</v>
      </c>
      <c r="D38" s="75" t="str">
        <v>6L</v>
      </c>
      <c r="E38" s="73" t="str">
        <f t="shared" si="2"/>
        <v>GBPSB6L30Y_Quote</v>
      </c>
      <c r="F38" s="73" t="str">
        <f>_xll.qlSimpleQuote(Currency&amp;$C38&amp;$D38&amp;$B38&amp;QuoteSuffix,,RateTickValue,Permanent,Trigger,ObjectOverwrite)</f>
        <v>GBPSB6L30Y_Quote#0000</v>
      </c>
      <c r="G38" s="72" t="str">
        <f>_xll.ohRangeRetrieveError(F38)</f>
        <v/>
      </c>
      <c r="H38" s="33"/>
      <c r="N38" s="118"/>
      <c r="O38" s="347" t="s">
        <v>57</v>
      </c>
      <c r="P38" s="387" t="str">
        <v>SB</v>
      </c>
      <c r="Q38" s="387" t="str">
        <v>6L</v>
      </c>
      <c r="R38" s="346" t="str">
        <f t="shared" si="0"/>
        <v>GBPSB6L30Y</v>
      </c>
      <c r="S38" s="346" t="str">
        <v>GBPSB6L30Y=ICAP</v>
      </c>
      <c r="T38" s="388">
        <v>3.125</v>
      </c>
      <c r="U38" s="388">
        <v>3.2549999999999999</v>
      </c>
      <c r="V38" s="388">
        <v>0</v>
      </c>
      <c r="W38" s="388">
        <v>0</v>
      </c>
      <c r="X38" s="475">
        <f>_xll.qlMidEquivalent($T38,$U38,$V38,$W38)</f>
        <v>3.19</v>
      </c>
      <c r="Y38" s="337"/>
      <c r="Z38" s="344">
        <v>2.9575</v>
      </c>
      <c r="AA38" s="337"/>
      <c r="AB38" s="565">
        <v>2.9575</v>
      </c>
      <c r="AC38" s="342" t="e">
        <f>_xll.qlSimpleQuoteSetValue(F38,AB38/100,Trigger)</f>
        <v>#N/A</v>
      </c>
      <c r="AD38" s="213"/>
      <c r="AE38" s="64"/>
      <c r="AF38" s="64"/>
      <c r="AG38" s="64"/>
      <c r="AH38" s="64"/>
      <c r="AI38" s="64"/>
      <c r="AJ38" s="371">
        <f t="shared" si="1"/>
        <v>1.2999999999999989E-3</v>
      </c>
    </row>
    <row r="39" spans="1:36" x14ac:dyDescent="0.2">
      <c r="A39" s="118"/>
      <c r="B39" s="208" t="s">
        <v>52</v>
      </c>
      <c r="C39" s="75" t="str">
        <v>SB</v>
      </c>
      <c r="D39" s="75" t="str">
        <v>6L</v>
      </c>
      <c r="E39" s="73" t="str">
        <f t="shared" si="2"/>
        <v>GBPSB6L35Y_Quote</v>
      </c>
      <c r="F39" s="73" t="str">
        <f>_xll.qlSimpleQuote(Currency&amp;$C39&amp;$D39&amp;$B39&amp;QuoteSuffix,,RateTickValue,Permanent,Trigger,ObjectOverwrite)</f>
        <v>GBPSB6L35Y_Quote#0000</v>
      </c>
      <c r="G39" s="72" t="str">
        <f>_xll.ohRangeRetrieveError(F39)</f>
        <v/>
      </c>
      <c r="H39" s="33"/>
      <c r="N39" s="118"/>
      <c r="O39" s="347" t="s">
        <v>52</v>
      </c>
      <c r="P39" s="387" t="str">
        <v>SB</v>
      </c>
      <c r="Q39" s="387" t="str">
        <v>6L</v>
      </c>
      <c r="R39" s="346" t="str">
        <f t="shared" si="0"/>
        <v>GBPSB6L35Y</v>
      </c>
      <c r="S39" s="346" t="str">
        <v>GBPSB6L35Y=ICAP</v>
      </c>
      <c r="T39" s="388" t="s">
        <v>233</v>
      </c>
      <c r="U39" s="388" t="s">
        <v>233</v>
      </c>
      <c r="V39" s="388" t="s">
        <v>233</v>
      </c>
      <c r="W39" s="388" t="s">
        <v>233</v>
      </c>
      <c r="X39" s="475" t="e">
        <f>_xll.qlMidEquivalent($T39,$U39,$V39,$W39)</f>
        <v>#NUM!</v>
      </c>
      <c r="Y39" s="337"/>
      <c r="Z39" s="344" t="e">
        <v>#NUM!</v>
      </c>
      <c r="AA39" s="337"/>
      <c r="AB39" s="565" t="e">
        <v>#NUM!</v>
      </c>
      <c r="AC39" s="342" t="e">
        <f>_xll.qlSimpleQuoteSetValue(F39,AB39/100,Trigger)</f>
        <v>#NUM!</v>
      </c>
      <c r="AD39" s="213"/>
      <c r="AE39" s="64"/>
      <c r="AF39" s="64"/>
      <c r="AG39" s="64"/>
      <c r="AH39" s="64"/>
      <c r="AI39" s="64"/>
      <c r="AJ39" s="371" t="e">
        <f t="shared" si="1"/>
        <v>#VALUE!</v>
      </c>
    </row>
    <row r="40" spans="1:36" x14ac:dyDescent="0.2">
      <c r="A40" s="118"/>
      <c r="B40" s="208" t="s">
        <v>47</v>
      </c>
      <c r="C40" s="75" t="str">
        <v>SB</v>
      </c>
      <c r="D40" s="75" t="str">
        <v>6L</v>
      </c>
      <c r="E40" s="73" t="str">
        <f t="shared" si="2"/>
        <v>GBPSB6L40Y_Quote</v>
      </c>
      <c r="F40" s="73" t="str">
        <f>_xll.qlSimpleQuote(Currency&amp;$C40&amp;$D40&amp;$B40&amp;QuoteSuffix,,RateTickValue,Permanent,Trigger,ObjectOverwrite)</f>
        <v>GBPSB6L40Y_Quote#0000</v>
      </c>
      <c r="G40" s="72" t="str">
        <f>_xll.ohRangeRetrieveError(F40)</f>
        <v/>
      </c>
      <c r="H40" s="33"/>
      <c r="N40" s="118"/>
      <c r="O40" s="347" t="s">
        <v>47</v>
      </c>
      <c r="P40" s="387" t="str">
        <v>SB</v>
      </c>
      <c r="Q40" s="387" t="str">
        <v>6L</v>
      </c>
      <c r="R40" s="346" t="str">
        <f t="shared" si="0"/>
        <v>GBPSB6L40Y</v>
      </c>
      <c r="S40" s="346" t="str">
        <v>GBPSB6L40Y=ICAP</v>
      </c>
      <c r="T40" s="388">
        <v>3.1812499999999999</v>
      </c>
      <c r="U40" s="388">
        <v>3.3512499999999998</v>
      </c>
      <c r="V40" s="388">
        <v>0</v>
      </c>
      <c r="W40" s="388">
        <v>0</v>
      </c>
      <c r="X40" s="475">
        <f>_xll.qlMidEquivalent($T40,$U40,$V40,$W40)</f>
        <v>3.2662499999999999</v>
      </c>
      <c r="Y40" s="337"/>
      <c r="Z40" s="344">
        <v>3.0375000000000001</v>
      </c>
      <c r="AA40" s="337"/>
      <c r="AB40" s="565">
        <v>3.0375000000000001</v>
      </c>
      <c r="AC40" s="342" t="e">
        <f>_xll.qlSimpleQuoteSetValue(F40,AB40/100,Trigger)</f>
        <v>#N/A</v>
      </c>
      <c r="AD40" s="213"/>
      <c r="AE40" s="64"/>
      <c r="AF40" s="64"/>
      <c r="AG40" s="64"/>
      <c r="AH40" s="64"/>
      <c r="AI40" s="64"/>
      <c r="AJ40" s="371">
        <f t="shared" si="1"/>
        <v>1.6999999999999993E-3</v>
      </c>
    </row>
    <row r="41" spans="1:36" x14ac:dyDescent="0.2">
      <c r="A41" s="118"/>
      <c r="B41" s="208" t="s">
        <v>37</v>
      </c>
      <c r="C41" s="75" t="str">
        <v>SB</v>
      </c>
      <c r="D41" s="75" t="str">
        <v>6L</v>
      </c>
      <c r="E41" s="73" t="str">
        <f t="shared" si="2"/>
        <v>GBPSB6L50Y_Quote</v>
      </c>
      <c r="F41" s="73" t="str">
        <f>_xll.qlSimpleQuote(Currency&amp;$C41&amp;$D41&amp;$B41&amp;QuoteSuffix,,RateTickValue,Permanent,Trigger,ObjectOverwrite)</f>
        <v>GBPSB6L50Y_Quote#0000</v>
      </c>
      <c r="G41" s="72" t="str">
        <f>_xll.ohRangeRetrieveError(F41)</f>
        <v/>
      </c>
      <c r="H41" s="33"/>
      <c r="N41" s="118"/>
      <c r="O41" s="347" t="s">
        <v>37</v>
      </c>
      <c r="P41" s="387" t="str">
        <v>SB</v>
      </c>
      <c r="Q41" s="387" t="str">
        <v>6L</v>
      </c>
      <c r="R41" s="346" t="str">
        <f t="shared" si="0"/>
        <v>GBPSB6L50Y</v>
      </c>
      <c r="S41" s="346" t="str">
        <v>GBPSB6L50Y=ICAP</v>
      </c>
      <c r="T41" s="388">
        <v>3.19625</v>
      </c>
      <c r="U41" s="388">
        <v>3.36625</v>
      </c>
      <c r="V41" s="388">
        <v>0</v>
      </c>
      <c r="W41" s="388">
        <v>0</v>
      </c>
      <c r="X41" s="475">
        <f>_xll.qlMidEquivalent($T41,$U41,$V41,$W41)</f>
        <v>3.28125</v>
      </c>
      <c r="Y41" s="337"/>
      <c r="Z41" s="344">
        <v>3.0550000000000002</v>
      </c>
      <c r="AA41" s="337"/>
      <c r="AB41" s="565">
        <v>3.0550000000000002</v>
      </c>
      <c r="AC41" s="342" t="e">
        <f>_xll.qlSimpleQuoteSetValue(F41,AB41/100,Trigger)</f>
        <v>#N/A</v>
      </c>
      <c r="AD41" s="213"/>
      <c r="AE41" s="64"/>
      <c r="AF41" s="64"/>
      <c r="AG41" s="64"/>
      <c r="AH41" s="64"/>
      <c r="AI41" s="64"/>
      <c r="AJ41" s="371">
        <f t="shared" si="1"/>
        <v>1.6999999999999993E-3</v>
      </c>
    </row>
    <row r="42" spans="1:36" x14ac:dyDescent="0.2">
      <c r="A42" s="118"/>
      <c r="B42" s="208" t="s">
        <v>27</v>
      </c>
      <c r="C42" s="75" t="str">
        <v>SB</v>
      </c>
      <c r="D42" s="75" t="str">
        <v>6L</v>
      </c>
      <c r="E42" s="73" t="str">
        <f t="shared" si="2"/>
        <v>GBPSB6L60Y_Quote</v>
      </c>
      <c r="F42" s="73" t="str">
        <f>_xll.qlSimpleQuote(Currency&amp;$C42&amp;$D42&amp;$B42&amp;QuoteSuffix,,RateTickValue,Permanent,Trigger,ObjectOverwrite)</f>
        <v>GBPSB6L60Y_Quote#0000</v>
      </c>
      <c r="G42" s="72" t="str">
        <f>_xll.ohRangeRetrieveError(F42)</f>
        <v/>
      </c>
      <c r="H42" s="33"/>
      <c r="N42" s="118"/>
      <c r="O42" s="341" t="s">
        <v>27</v>
      </c>
      <c r="P42" s="383" t="str">
        <v>SB</v>
      </c>
      <c r="Q42" s="383" t="str">
        <v>6L</v>
      </c>
      <c r="R42" s="340" t="str">
        <f t="shared" si="0"/>
        <v>GBPSB6L60Y</v>
      </c>
      <c r="S42" s="340" t="str">
        <v>GBPSB6L60Y=ICAP</v>
      </c>
      <c r="T42" s="384">
        <v>3.2162500000000001</v>
      </c>
      <c r="U42" s="384">
        <v>3.38625</v>
      </c>
      <c r="V42" s="384">
        <v>0</v>
      </c>
      <c r="W42" s="384">
        <v>0</v>
      </c>
      <c r="X42" s="473">
        <f>_xll.qlMidEquivalent($T42,$U42,$V42,$W42)</f>
        <v>3.30125</v>
      </c>
      <c r="Y42" s="337"/>
      <c r="Z42" s="338">
        <v>3.08</v>
      </c>
      <c r="AA42" s="337"/>
      <c r="AB42" s="566">
        <v>3.08</v>
      </c>
      <c r="AC42" s="335" t="e">
        <f>_xll.qlSimpleQuoteSetValue(F42,AB42/100,Trigger)</f>
        <v>#N/A</v>
      </c>
      <c r="AD42" s="213"/>
      <c r="AE42" s="64"/>
      <c r="AF42" s="64"/>
      <c r="AG42" s="64"/>
      <c r="AH42" s="64"/>
      <c r="AI42" s="64"/>
      <c r="AJ42" s="371">
        <f t="shared" si="1"/>
        <v>1.6999999999999993E-3</v>
      </c>
    </row>
    <row r="43" spans="1:36" ht="12" thickBot="1" x14ac:dyDescent="0.25">
      <c r="A43" s="207"/>
      <c r="B43" s="206"/>
      <c r="C43" s="206"/>
      <c r="D43" s="206"/>
      <c r="E43" s="206"/>
      <c r="F43" s="206"/>
      <c r="G43" s="206"/>
      <c r="H43" s="30"/>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Z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8" width="2.7109375" style="65" customWidth="1"/>
    <col min="19" max="20" width="9.140625" style="65"/>
    <col min="21" max="21" width="2.7109375" style="65" customWidth="1"/>
    <col min="22" max="22" width="9.140625" style="65"/>
    <col min="23" max="23" width="2.7109375" style="65" customWidth="1"/>
    <col min="24" max="25" width="9.140625" style="65"/>
    <col min="26" max="26" width="2.7109375" style="65" customWidth="1"/>
    <col min="27" max="16384" width="9.140625" style="65"/>
  </cols>
  <sheetData>
    <row r="1" spans="1:26" ht="12" thickBot="1" x14ac:dyDescent="0.25">
      <c r="A1" s="594" t="s">
        <v>347</v>
      </c>
      <c r="B1" s="455"/>
      <c r="C1" s="455"/>
      <c r="D1" s="224"/>
      <c r="E1" s="224"/>
      <c r="F1" s="223"/>
    </row>
    <row r="2" spans="1:26" x14ac:dyDescent="0.2">
      <c r="A2" s="593"/>
      <c r="B2" s="233">
        <v>1</v>
      </c>
      <c r="C2" s="406" t="str">
        <f>_xll.qlPeriodEquivalent(Months&amp;"M")</f>
        <v>1M</v>
      </c>
      <c r="D2" s="233"/>
      <c r="E2" s="233"/>
      <c r="F2" s="137"/>
      <c r="H2" s="592" t="s">
        <v>354</v>
      </c>
      <c r="I2" s="591"/>
      <c r="J2" s="591"/>
      <c r="K2" s="591"/>
      <c r="L2" s="591"/>
      <c r="M2" s="591"/>
      <c r="N2" s="591"/>
      <c r="O2" s="591"/>
      <c r="P2" s="590"/>
    </row>
    <row r="3" spans="1:26" ht="13.5" x14ac:dyDescent="0.25">
      <c r="A3" s="118"/>
      <c r="B3" s="222"/>
      <c r="C3" s="221" t="str">
        <f>Currency&amp;"_015_SyntheticQuotes"&amp;Tenor&amp;".xml"</f>
        <v>GBP_015_SyntheticQuotes1M.xml</v>
      </c>
      <c r="D3" s="16">
        <f ca="1">IF(Serialize,_xll.ohObjectSave(D4:D12,SerializationPath&amp;C3,FileOverwrite,Serialize),"---")</f>
        <v>9</v>
      </c>
      <c r="E3" s="7" t="str">
        <f ca="1">_xll.ohRangeRetrieveError(D3)</f>
        <v/>
      </c>
      <c r="F3" s="213"/>
      <c r="H3" s="589"/>
      <c r="I3" s="588"/>
      <c r="J3" s="573"/>
      <c r="K3" s="587"/>
      <c r="L3" s="573"/>
      <c r="M3" s="573"/>
      <c r="N3" s="573"/>
      <c r="O3" s="586"/>
      <c r="P3" s="570"/>
    </row>
    <row r="4" spans="1:26" x14ac:dyDescent="0.2">
      <c r="A4" s="118"/>
      <c r="B4" s="220" t="s">
        <v>151</v>
      </c>
      <c r="C4" s="125" t="str">
        <f t="shared" ref="C4:C12" si="0">Currency&amp;$B4&amp;"_SYNTH"&amp;Tenor&amp;QuoteSuffix</f>
        <v>GBPOND_SYNTH1M_Quote</v>
      </c>
      <c r="D4" s="127" t="str">
        <f>_xll.qlSimpleQuote(C4,,RateTickValue,Permanent,Trigger,ObjectOverwrite)</f>
        <v>GBPOND_SYNTH1M_Quote#0000</v>
      </c>
      <c r="E4" s="218" t="str">
        <f>_xll.ohRangeRetrieveError(D4)</f>
        <v/>
      </c>
      <c r="F4" s="213"/>
      <c r="H4" s="576"/>
      <c r="I4" s="586"/>
      <c r="J4" s="586"/>
      <c r="K4" s="573"/>
      <c r="L4" s="573"/>
      <c r="M4" s="573"/>
      <c r="N4" s="586"/>
      <c r="O4" s="585">
        <f>_xll.ohTrigger(O6:O9)</f>
        <v>1</v>
      </c>
      <c r="P4" s="570"/>
    </row>
    <row r="5" spans="1:26" x14ac:dyDescent="0.2">
      <c r="A5" s="118"/>
      <c r="B5" s="220" t="s">
        <v>150</v>
      </c>
      <c r="C5" s="125" t="str">
        <f t="shared" si="0"/>
        <v>GBPTND_SYNTH1M_Quote</v>
      </c>
      <c r="D5" s="127" t="str">
        <f>_xll.qlSimpleQuote(C5,,RateTickValue,Permanent,Trigger,ObjectOverwrite)</f>
        <v>GBPTND_SYNTH1M_Quote#0000</v>
      </c>
      <c r="E5" s="218" t="str">
        <f>_xll.ohRangeRetrieveError(D5)</f>
        <v/>
      </c>
      <c r="F5" s="213"/>
      <c r="H5" s="576"/>
      <c r="I5" s="582"/>
      <c r="J5" s="584" t="s">
        <v>353</v>
      </c>
      <c r="K5" s="573"/>
      <c r="L5" s="583" t="s">
        <v>286</v>
      </c>
      <c r="M5" s="573"/>
      <c r="N5" s="582" t="s">
        <v>285</v>
      </c>
      <c r="O5" s="581" t="s">
        <v>284</v>
      </c>
      <c r="P5" s="570"/>
    </row>
    <row r="6" spans="1:26" ht="12" thickBot="1" x14ac:dyDescent="0.25">
      <c r="A6" s="118"/>
      <c r="B6" s="220" t="s">
        <v>149</v>
      </c>
      <c r="C6" s="125" t="str">
        <f t="shared" si="0"/>
        <v>GBPSND_SYNTH1M_Quote</v>
      </c>
      <c r="D6" s="127" t="str">
        <f>_xll.qlSimpleQuote(C6,,RateTickValue,Permanent,Trigger,ObjectOverwrite)</f>
        <v>GBPSND_SYNTH1M_Quote#0000</v>
      </c>
      <c r="E6" s="218" t="str">
        <f>_xll.ohRangeRetrieveError(D6)</f>
        <v/>
      </c>
      <c r="F6" s="213"/>
      <c r="H6" s="576"/>
      <c r="I6" s="580" t="s">
        <v>149</v>
      </c>
      <c r="J6" s="596" t="s">
        <v>355</v>
      </c>
      <c r="K6" s="595" t="s">
        <v>178</v>
      </c>
      <c r="L6" s="579">
        <v>4.9130976385395788E-3</v>
      </c>
      <c r="M6" s="573"/>
      <c r="N6" s="578">
        <f t="array" ref="N6:N10">QuoteStatic</f>
        <v>4.9130976385395788E-3</v>
      </c>
      <c r="O6" s="577" t="e">
        <f>_xll.qlSimpleQuoteSetValue(D6,ROUND(N6,6),EvaluationDate)</f>
        <v>#N/A</v>
      </c>
      <c r="P6" s="570"/>
    </row>
    <row r="7" spans="1:26" x14ac:dyDescent="0.2">
      <c r="A7" s="118"/>
      <c r="B7" s="220" t="s">
        <v>148</v>
      </c>
      <c r="C7" s="125" t="str">
        <f t="shared" si="0"/>
        <v>GBPSWD_SYNTH1M_Quote</v>
      </c>
      <c r="D7" s="127" t="str">
        <f>_xll.qlSimpleQuote(C7,,RateTickValue,Permanent,Trigger,ObjectOverwrite)</f>
        <v>GBPSWD_SYNTH1M_Quote#0000</v>
      </c>
      <c r="E7" s="218" t="str">
        <f>_xll.ohRangeRetrieveError(D7)</f>
        <v/>
      </c>
      <c r="F7" s="213"/>
      <c r="H7" s="576"/>
      <c r="I7" s="580" t="s">
        <v>148</v>
      </c>
      <c r="J7" s="596" t="s">
        <v>356</v>
      </c>
      <c r="K7" s="595" t="s">
        <v>178</v>
      </c>
      <c r="L7" s="579">
        <v>4.9233981743148506E-3</v>
      </c>
      <c r="M7" s="573"/>
      <c r="N7" s="578">
        <v>4.9233981743148506E-3</v>
      </c>
      <c r="O7" s="577" t="e">
        <f>_xll.qlSimpleQuoteSetValue(D7,ROUND(N7,6),EvaluationDate)</f>
        <v>#N/A</v>
      </c>
      <c r="P7" s="570"/>
      <c r="R7" s="620" t="s">
        <v>360</v>
      </c>
      <c r="S7" s="619"/>
      <c r="T7" s="619"/>
      <c r="U7" s="619"/>
      <c r="V7" s="619"/>
      <c r="W7" s="619"/>
      <c r="X7" s="619"/>
      <c r="Y7" s="619"/>
      <c r="Z7" s="618"/>
    </row>
    <row r="8" spans="1:26" x14ac:dyDescent="0.2">
      <c r="A8" s="118"/>
      <c r="B8" s="220" t="s">
        <v>147</v>
      </c>
      <c r="C8" s="125" t="str">
        <f t="shared" si="0"/>
        <v>GBP2WD_SYNTH1M_Quote</v>
      </c>
      <c r="D8" s="127" t="str">
        <f>_xll.qlSimpleQuote(C8,,RateTickValue,Permanent,Trigger,ObjectOverwrite)</f>
        <v>GBP2WD_SYNTH1M_Quote#0000</v>
      </c>
      <c r="E8" s="218" t="str">
        <f>_xll.ohRangeRetrieveError(D8)</f>
        <v/>
      </c>
      <c r="F8" s="213"/>
      <c r="H8" s="576"/>
      <c r="I8" s="580" t="s">
        <v>147</v>
      </c>
      <c r="J8" s="596" t="s">
        <v>357</v>
      </c>
      <c r="K8" s="595" t="s">
        <v>178</v>
      </c>
      <c r="L8" s="579">
        <v>4.9289783450644714E-3</v>
      </c>
      <c r="M8" s="573"/>
      <c r="N8" s="578">
        <v>4.9289783450644714E-3</v>
      </c>
      <c r="O8" s="577" t="e">
        <f>_xll.qlSimpleQuoteSetValue(D8,ROUND(N8,6),EvaluationDate)</f>
        <v>#N/A</v>
      </c>
      <c r="P8" s="570"/>
      <c r="R8" s="617"/>
      <c r="S8" s="616"/>
      <c r="T8" s="605"/>
      <c r="U8" s="605"/>
      <c r="V8" s="605"/>
      <c r="W8" s="605"/>
      <c r="X8" s="605"/>
      <c r="Y8" s="614"/>
      <c r="Z8" s="615"/>
    </row>
    <row r="9" spans="1:26" x14ac:dyDescent="0.2">
      <c r="A9" s="118"/>
      <c r="B9" s="220" t="s">
        <v>146</v>
      </c>
      <c r="C9" s="125" t="str">
        <f t="shared" si="0"/>
        <v>GBP3WD_SYNTH1M_Quote</v>
      </c>
      <c r="D9" s="127" t="str">
        <f>_xll.qlSimpleQuote(C9,,RateTickValue,Permanent,Trigger,ObjectOverwrite)</f>
        <v>GBP3WD_SYNTH1M_Quote#0000</v>
      </c>
      <c r="E9" s="218" t="str">
        <f>_xll.ohRangeRetrieveError(D9)</f>
        <v/>
      </c>
      <c r="F9" s="213"/>
      <c r="H9" s="576"/>
      <c r="I9" s="575" t="s">
        <v>146</v>
      </c>
      <c r="J9" s="597" t="s">
        <v>358</v>
      </c>
      <c r="K9" s="595" t="s">
        <v>178</v>
      </c>
      <c r="L9" s="574">
        <v>4.9221427692346768E-3</v>
      </c>
      <c r="M9" s="573"/>
      <c r="N9" s="572">
        <v>4.9221427692346768E-3</v>
      </c>
      <c r="O9" s="571" t="e">
        <f>_xll.qlSimpleQuoteSetValue(D9,ROUND(N9,6),EvaluationDate)</f>
        <v>#N/A</v>
      </c>
      <c r="P9" s="570"/>
      <c r="R9" s="608"/>
      <c r="S9" s="614"/>
      <c r="T9" s="614"/>
      <c r="U9" s="605"/>
      <c r="V9" s="605"/>
      <c r="W9" s="605"/>
      <c r="X9" s="614"/>
      <c r="Y9" s="613">
        <f>_xll.ohTrigger(Y11:Y12)</f>
        <v>0</v>
      </c>
      <c r="Z9" s="611"/>
    </row>
    <row r="10" spans="1:26" x14ac:dyDescent="0.2">
      <c r="A10" s="118"/>
      <c r="B10" s="219" t="s">
        <v>145</v>
      </c>
      <c r="C10" s="125" t="str">
        <f t="shared" si="0"/>
        <v>GBP1MD_SYNTH1M_Quote</v>
      </c>
      <c r="D10" s="125" t="str">
        <f>_xll.qlSimpleQuote(C10,,RateTickValue,Permanent,Trigger,ObjectOverwrite)</f>
        <v>GBP1MD_SYNTH1M_Quote#0000</v>
      </c>
      <c r="E10" s="218" t="str">
        <f>_xll.ohRangeRetrieveError(D10)</f>
        <v/>
      </c>
      <c r="F10" s="213"/>
      <c r="H10" s="576"/>
      <c r="I10" s="575" t="s">
        <v>145</v>
      </c>
      <c r="J10" s="597" t="s">
        <v>359</v>
      </c>
      <c r="K10" s="595" t="s">
        <v>178</v>
      </c>
      <c r="L10" s="574">
        <v>4.931984807440502E-3</v>
      </c>
      <c r="M10" s="573"/>
      <c r="N10" s="572">
        <v>4.931984807440502E-3</v>
      </c>
      <c r="O10" s="571" t="e">
        <f>_xll.qlSimpleQuoteSetValue(D10,ROUND(N10,6),EvaluationDate)</f>
        <v>#N/A</v>
      </c>
      <c r="P10" s="570"/>
      <c r="R10" s="608"/>
      <c r="S10" s="304"/>
      <c r="T10" s="612" t="s">
        <v>353</v>
      </c>
      <c r="U10" s="605"/>
      <c r="V10" s="301" t="s">
        <v>286</v>
      </c>
      <c r="W10" s="605"/>
      <c r="X10" s="304" t="s">
        <v>285</v>
      </c>
      <c r="Y10" s="302" t="s">
        <v>284</v>
      </c>
      <c r="Z10" s="611"/>
    </row>
    <row r="11" spans="1:26" ht="12" thickBot="1" x14ac:dyDescent="0.25">
      <c r="A11" s="118"/>
      <c r="B11" s="217" t="s">
        <v>218</v>
      </c>
      <c r="C11" s="121" t="str">
        <f t="shared" si="0"/>
        <v>GBPTOY_SYNTH1M_Quote</v>
      </c>
      <c r="D11" s="123" t="str">
        <f>_xll.qlSimpleQuote(C11,1,RateTickValue,Permanent,Trigger,ObjectOverwrite)</f>
        <v>GBPTOY_SYNTH1M_Quote#0000</v>
      </c>
      <c r="E11" s="216" t="str">
        <f>_xll.ohRangeRetrieveError(D11)</f>
        <v/>
      </c>
      <c r="F11" s="213"/>
      <c r="H11" s="569"/>
      <c r="I11" s="568"/>
      <c r="J11" s="568"/>
      <c r="K11" s="568"/>
      <c r="L11" s="568"/>
      <c r="M11" s="568"/>
      <c r="N11" s="568"/>
      <c r="O11" s="568"/>
      <c r="P11" s="567"/>
      <c r="R11" s="608"/>
      <c r="S11" s="610" t="s">
        <v>218</v>
      </c>
      <c r="T11" s="659" t="s">
        <v>361</v>
      </c>
      <c r="U11" s="658" t="s">
        <v>178</v>
      </c>
      <c r="V11" s="609">
        <v>1</v>
      </c>
      <c r="W11" s="605"/>
      <c r="X11" s="295">
        <f t="array" ref="X11:X12">QuoteStatic2</f>
        <v>1</v>
      </c>
      <c r="Y11" s="293">
        <f>_xll.qlSimpleQuoteSetValue(D11,X11,EvaluationDate)</f>
        <v>0</v>
      </c>
      <c r="Z11" s="604"/>
    </row>
    <row r="12" spans="1:26" x14ac:dyDescent="0.2">
      <c r="A12" s="118"/>
      <c r="B12" s="215" t="s">
        <v>217</v>
      </c>
      <c r="C12" s="114" t="str">
        <f t="shared" si="0"/>
        <v>GBPTOY2_SYNTH1M_Quote</v>
      </c>
      <c r="D12" s="119" t="str">
        <f>_xll.qlSimpleQuote(C12,1,RateTickValue,Permanent,Trigger,ObjectOverwrite)</f>
        <v>GBPTOY2_SYNTH1M_Quote#0000</v>
      </c>
      <c r="E12" s="214" t="str">
        <f>_xll.ohRangeRetrieveError(D12)</f>
        <v/>
      </c>
      <c r="F12" s="213"/>
      <c r="R12" s="608"/>
      <c r="S12" s="607" t="s">
        <v>217</v>
      </c>
      <c r="T12" s="660" t="s">
        <v>362</v>
      </c>
      <c r="U12" s="658" t="s">
        <v>178</v>
      </c>
      <c r="V12" s="606">
        <v>0.99999284330093308</v>
      </c>
      <c r="W12" s="605"/>
      <c r="X12" s="276">
        <v>0.99999284330093308</v>
      </c>
      <c r="Y12" s="274">
        <f>_xll.qlSimpleQuoteSetValue(D12,X12,EvaluationDate)</f>
        <v>-7.1566990669236219E-6</v>
      </c>
      <c r="Z12" s="604"/>
    </row>
    <row r="13" spans="1:26" ht="12" thickBot="1" x14ac:dyDescent="0.25">
      <c r="A13" s="32"/>
      <c r="B13" s="31"/>
      <c r="C13" s="31"/>
      <c r="D13" s="31"/>
      <c r="E13" s="31"/>
      <c r="F13" s="30"/>
      <c r="R13" s="603"/>
      <c r="S13" s="602"/>
      <c r="T13" s="602"/>
      <c r="U13" s="602"/>
      <c r="V13" s="602"/>
      <c r="W13" s="602"/>
      <c r="X13" s="602"/>
      <c r="Y13" s="602"/>
      <c r="Z13" s="601"/>
    </row>
  </sheetData>
  <conditionalFormatting sqref="Y11:Y12">
    <cfRule type="cellIs" dxfId="13" priority="1" stopIfTrue="1" operator="greaterThan">
      <formula>0</formula>
    </cfRule>
    <cfRule type="cellIs" dxfId="12" priority="2" stopIfTrue="1" operator="lessThan">
      <formula>0</formula>
    </cfRule>
  </conditionalFormatting>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14"/>
  <sheetViews>
    <sheetView workbookViewId="0">
      <selection activeCell="N5" sqref="N5:N11"/>
    </sheetView>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0.42578125" style="65" customWidth="1"/>
    <col min="15" max="15" width="9.140625" style="65"/>
    <col min="16" max="16" width="2.7109375" style="65" customWidth="1"/>
    <col min="17" max="16384" width="9.140625" style="65"/>
  </cols>
  <sheetData>
    <row r="1" spans="1:16" x14ac:dyDescent="0.2">
      <c r="A1" s="559" t="s">
        <v>347</v>
      </c>
      <c r="B1" s="224">
        <v>3</v>
      </c>
      <c r="C1" s="225" t="str">
        <f>_xll.qlPeriodEquivalent(Months&amp;"M")</f>
        <v>3M</v>
      </c>
      <c r="D1" s="224"/>
      <c r="E1" s="224"/>
      <c r="F1" s="223"/>
      <c r="H1" s="592" t="s">
        <v>354</v>
      </c>
      <c r="I1" s="591"/>
      <c r="J1" s="591"/>
      <c r="K1" s="591"/>
      <c r="L1" s="591"/>
      <c r="M1" s="591"/>
      <c r="N1" s="591"/>
      <c r="O1" s="591"/>
      <c r="P1" s="590"/>
    </row>
    <row r="2" spans="1:16" ht="13.5" x14ac:dyDescent="0.25">
      <c r="A2" s="118"/>
      <c r="B2" s="231"/>
      <c r="C2" s="221" t="str">
        <f>Currency&amp;"_015_SyntheticQuotes"&amp;Tenor&amp;".xml"</f>
        <v>GBP_015_SyntheticQuotes3M.xml</v>
      </c>
      <c r="D2" s="16">
        <f ca="1">IF(Serialize,_xll.ohObjectSave(D3:D13,SerializationPath&amp;C2,FileOverwrite,Serialize),"---")</f>
        <v>11</v>
      </c>
      <c r="E2" s="7" t="str">
        <f ca="1">_xll.ohRangeRetrieveError(D2)</f>
        <v/>
      </c>
      <c r="F2" s="213"/>
      <c r="H2" s="589"/>
      <c r="I2" s="588"/>
      <c r="J2" s="573"/>
      <c r="K2" s="587"/>
      <c r="L2" s="573"/>
      <c r="M2" s="573"/>
      <c r="N2" s="573"/>
      <c r="O2" s="586"/>
      <c r="P2" s="570"/>
    </row>
    <row r="3" spans="1:16" x14ac:dyDescent="0.2">
      <c r="A3" s="118"/>
      <c r="B3" s="220" t="s">
        <v>151</v>
      </c>
      <c r="C3" s="125" t="str">
        <f t="shared" ref="C3:C13" si="0">Currency&amp;$B3&amp;"_SYNTH"&amp;Tenor&amp;QuoteSuffix</f>
        <v>GBPOND_SYNTH3M_Quote</v>
      </c>
      <c r="D3" s="125" t="str">
        <f>_xll.qlSimpleQuote(C3,,RateTickValue,Permanent,Trigger,ObjectOverwrite)</f>
        <v>GBPOND_SYNTH3M_Quote#0000</v>
      </c>
      <c r="E3" s="230" t="str">
        <f>_xll.ohRangeRetrieveError(D3)</f>
        <v/>
      </c>
      <c r="F3" s="213"/>
      <c r="H3" s="576"/>
      <c r="I3" s="586"/>
      <c r="J3" s="586"/>
      <c r="K3" s="573"/>
      <c r="L3" s="573"/>
      <c r="M3" s="573"/>
      <c r="N3" s="586"/>
      <c r="O3" s="585">
        <f>_xll.ohTrigger(O5:O10)</f>
        <v>1</v>
      </c>
      <c r="P3" s="570"/>
    </row>
    <row r="4" spans="1:16" x14ac:dyDescent="0.2">
      <c r="A4" s="118"/>
      <c r="B4" s="220" t="s">
        <v>150</v>
      </c>
      <c r="C4" s="125" t="str">
        <f t="shared" si="0"/>
        <v>GBPTND_SYNTH3M_Quote</v>
      </c>
      <c r="D4" s="125" t="str">
        <f>_xll.qlSimpleQuote(C4,,RateTickValue,Permanent,Trigger,ObjectOverwrite)</f>
        <v>GBPTND_SYNTH3M_Quote#0000</v>
      </c>
      <c r="E4" s="230" t="str">
        <f>_xll.ohRangeRetrieveError(D4)</f>
        <v/>
      </c>
      <c r="F4" s="213"/>
      <c r="H4" s="576"/>
      <c r="I4" s="582"/>
      <c r="J4" s="584" t="s">
        <v>353</v>
      </c>
      <c r="K4" s="573"/>
      <c r="L4" s="583" t="s">
        <v>286</v>
      </c>
      <c r="M4" s="573"/>
      <c r="N4" s="582" t="s">
        <v>285</v>
      </c>
      <c r="O4" s="581" t="s">
        <v>284</v>
      </c>
      <c r="P4" s="570"/>
    </row>
    <row r="5" spans="1:16" x14ac:dyDescent="0.2">
      <c r="A5" s="118"/>
      <c r="B5" s="219" t="s">
        <v>149</v>
      </c>
      <c r="C5" s="125" t="str">
        <f t="shared" si="0"/>
        <v>GBPSND_SYNTH3M_Quote</v>
      </c>
      <c r="D5" s="125" t="str">
        <f>_xll.qlSimpleQuote(C5,,RateTickValue,Permanent,Trigger,ObjectOverwrite)</f>
        <v>GBPSND_SYNTH3M_Quote#0000</v>
      </c>
      <c r="E5" s="230" t="str">
        <f>_xll.ohRangeRetrieveError(D5)</f>
        <v/>
      </c>
      <c r="F5" s="213"/>
      <c r="H5" s="576"/>
      <c r="I5" s="580" t="s">
        <v>149</v>
      </c>
      <c r="J5" s="596" t="s">
        <v>364</v>
      </c>
      <c r="K5" s="595" t="s">
        <v>178</v>
      </c>
      <c r="L5" s="579">
        <v>4.4808281284740847E-3</v>
      </c>
      <c r="M5" s="573"/>
      <c r="N5" s="578">
        <f t="array" ref="N5:N11">QuoteStatic</f>
        <v>4.4808281284740847E-3</v>
      </c>
      <c r="O5" s="577" t="e">
        <f>_xll.qlSimpleQuoteSetValue(D5,ROUND(N5,6),EvaluationDate)</f>
        <v>#N/A</v>
      </c>
      <c r="P5" s="570"/>
    </row>
    <row r="6" spans="1:16" x14ac:dyDescent="0.2">
      <c r="A6" s="118"/>
      <c r="B6" s="219" t="s">
        <v>148</v>
      </c>
      <c r="C6" s="125" t="str">
        <f t="shared" si="0"/>
        <v>GBPSWD_SYNTH3M_Quote</v>
      </c>
      <c r="D6" s="125" t="str">
        <f>_xll.qlSimpleQuote(C6,,RateTickValue,Permanent,Trigger,ObjectOverwrite)</f>
        <v>GBPSWD_SYNTH3M_Quote#0000</v>
      </c>
      <c r="E6" s="230" t="str">
        <f>_xll.ohRangeRetrieveError(D6)</f>
        <v/>
      </c>
      <c r="F6" s="213"/>
      <c r="H6" s="576"/>
      <c r="I6" s="580" t="s">
        <v>148</v>
      </c>
      <c r="J6" s="596" t="s">
        <v>365</v>
      </c>
      <c r="K6" s="595" t="s">
        <v>178</v>
      </c>
      <c r="L6" s="579">
        <v>4.533023267438375E-3</v>
      </c>
      <c r="M6" s="573"/>
      <c r="N6" s="578">
        <v>4.533023267438375E-3</v>
      </c>
      <c r="O6" s="577" t="e">
        <f>_xll.qlSimpleQuoteSetValue(D6,ROUND(N6,6),EvaluationDate)</f>
        <v>#N/A</v>
      </c>
      <c r="P6" s="570"/>
    </row>
    <row r="7" spans="1:16" x14ac:dyDescent="0.2">
      <c r="A7" s="118"/>
      <c r="B7" s="219" t="s">
        <v>147</v>
      </c>
      <c r="C7" s="125" t="str">
        <f t="shared" si="0"/>
        <v>GBP2WD_SYNTH3M_Quote</v>
      </c>
      <c r="D7" s="125" t="str">
        <f>_xll.qlSimpleQuote(C7,,RateTickValue,Permanent,Trigger,ObjectOverwrite)</f>
        <v>GBP2WD_SYNTH3M_Quote#0000</v>
      </c>
      <c r="E7" s="230" t="str">
        <f>_xll.ohRangeRetrieveError(D7)</f>
        <v/>
      </c>
      <c r="F7" s="213"/>
      <c r="H7" s="576"/>
      <c r="I7" s="580" t="s">
        <v>147</v>
      </c>
      <c r="J7" s="596" t="s">
        <v>366</v>
      </c>
      <c r="K7" s="595" t="s">
        <v>178</v>
      </c>
      <c r="L7" s="579">
        <v>4.608402431546723E-3</v>
      </c>
      <c r="M7" s="573"/>
      <c r="N7" s="578">
        <v>4.608402431546723E-3</v>
      </c>
      <c r="O7" s="577" t="e">
        <f>_xll.qlSimpleQuoteSetValue(D7,ROUND(N7,6),EvaluationDate)</f>
        <v>#N/A</v>
      </c>
      <c r="P7" s="570"/>
    </row>
    <row r="8" spans="1:16" x14ac:dyDescent="0.2">
      <c r="A8" s="118"/>
      <c r="B8" s="219" t="s">
        <v>146</v>
      </c>
      <c r="C8" s="125" t="str">
        <f t="shared" si="0"/>
        <v>GBP3WD_SYNTH3M_Quote</v>
      </c>
      <c r="D8" s="125" t="str">
        <f>_xll.qlSimpleQuote(C8,,RateTickValue,Permanent,Trigger,ObjectOverwrite)</f>
        <v>GBP3WD_SYNTH3M_Quote#0000</v>
      </c>
      <c r="E8" s="230" t="str">
        <f>_xll.ohRangeRetrieveError(D8)</f>
        <v/>
      </c>
      <c r="F8" s="213"/>
      <c r="H8" s="576"/>
      <c r="I8" s="575" t="s">
        <v>146</v>
      </c>
      <c r="J8" s="597" t="s">
        <v>367</v>
      </c>
      <c r="K8" s="595" t="s">
        <v>178</v>
      </c>
      <c r="L8" s="574">
        <v>4.6668902244294029E-3</v>
      </c>
      <c r="M8" s="573"/>
      <c r="N8" s="572">
        <v>4.6668902244294029E-3</v>
      </c>
      <c r="O8" s="571" t="e">
        <f>_xll.qlSimpleQuoteSetValue(D8,ROUND(N8,6),EvaluationDate)</f>
        <v>#N/A</v>
      </c>
      <c r="P8" s="570"/>
    </row>
    <row r="9" spans="1:16" x14ac:dyDescent="0.2">
      <c r="A9" s="118"/>
      <c r="B9" s="219" t="s">
        <v>145</v>
      </c>
      <c r="C9" s="125" t="str">
        <f t="shared" si="0"/>
        <v>GBP1MD_SYNTH3M_Quote</v>
      </c>
      <c r="D9" s="125" t="str">
        <f>_xll.qlSimpleQuote(C9,,RateTickValue,Permanent,Trigger,ObjectOverwrite)</f>
        <v>GBP1MD_SYNTH3M_Quote#0000</v>
      </c>
      <c r="E9" s="230" t="str">
        <f>_xll.ohRangeRetrieveError(D9)</f>
        <v/>
      </c>
      <c r="F9" s="213"/>
      <c r="H9" s="576"/>
      <c r="I9" s="580" t="s">
        <v>145</v>
      </c>
      <c r="J9" s="596" t="s">
        <v>368</v>
      </c>
      <c r="K9" s="595" t="s">
        <v>178</v>
      </c>
      <c r="L9" s="579">
        <v>4.7622875221238342E-3</v>
      </c>
      <c r="M9" s="573"/>
      <c r="N9" s="578">
        <v>4.7622875221238342E-3</v>
      </c>
      <c r="O9" s="577" t="e">
        <f>_xll.qlSimpleQuoteSetValue(D9,ROUND(N9,6),EvaluationDate)</f>
        <v>#N/A</v>
      </c>
      <c r="P9" s="570"/>
    </row>
    <row r="10" spans="1:16" x14ac:dyDescent="0.2">
      <c r="A10" s="118"/>
      <c r="B10" s="219" t="s">
        <v>144</v>
      </c>
      <c r="C10" s="125" t="str">
        <f t="shared" si="0"/>
        <v>GBP2MD_SYNTH3M_Quote</v>
      </c>
      <c r="D10" s="125" t="str">
        <f>_xll.qlSimpleQuote(C10,,RateTickValue,Permanent,Trigger,ObjectOverwrite)</f>
        <v>GBP2MD_SYNTH3M_Quote#0000</v>
      </c>
      <c r="E10" s="230" t="str">
        <f>_xll.ohRangeRetrieveError(D10)</f>
        <v/>
      </c>
      <c r="F10" s="213"/>
      <c r="H10" s="576"/>
      <c r="I10" s="580" t="s">
        <v>144</v>
      </c>
      <c r="J10" s="596" t="s">
        <v>369</v>
      </c>
      <c r="K10" s="595" t="s">
        <v>178</v>
      </c>
      <c r="L10" s="579">
        <v>4.9685175284728917E-3</v>
      </c>
      <c r="M10" s="573"/>
      <c r="N10" s="578">
        <v>4.9685175284728917E-3</v>
      </c>
      <c r="O10" s="577" t="e">
        <f>_xll.qlSimpleQuoteSetValue(D10,ROUND(N10,6),EvaluationDate)</f>
        <v>#N/A</v>
      </c>
      <c r="P10" s="570"/>
    </row>
    <row r="11" spans="1:16" x14ac:dyDescent="0.2">
      <c r="A11" s="118"/>
      <c r="B11" s="219" t="s">
        <v>143</v>
      </c>
      <c r="C11" s="125" t="str">
        <f t="shared" si="0"/>
        <v>GBP3MD_SYNTH3M_Quote</v>
      </c>
      <c r="D11" s="125" t="str">
        <f>_xll.qlSimpleQuote(C11,,RateTickValue,Permanent,Trigger,ObjectOverwrite)</f>
        <v>GBP3MD_SYNTH3M_Quote#0000</v>
      </c>
      <c r="E11" s="230" t="str">
        <f>_xll.ohRangeRetrieveError(D11)</f>
        <v/>
      </c>
      <c r="F11" s="213"/>
      <c r="H11" s="576"/>
      <c r="I11" s="575" t="s">
        <v>143</v>
      </c>
      <c r="J11" s="597" t="s">
        <v>370</v>
      </c>
      <c r="K11" s="595" t="s">
        <v>178</v>
      </c>
      <c r="L11" s="574">
        <v>5.1176547868636265E-3</v>
      </c>
      <c r="M11" s="573"/>
      <c r="N11" s="572">
        <v>5.1176547868636265E-3</v>
      </c>
      <c r="O11" s="571" t="e">
        <f>_xll.qlSimpleQuoteSetValue(D11,ROUND(N11,6),EvaluationDate)</f>
        <v>#N/A</v>
      </c>
      <c r="P11" s="570"/>
    </row>
    <row r="12" spans="1:16" ht="12" thickBot="1" x14ac:dyDescent="0.25">
      <c r="A12" s="118"/>
      <c r="B12" s="229" t="s">
        <v>218</v>
      </c>
      <c r="C12" s="121" t="str">
        <f t="shared" si="0"/>
        <v>GBPTOY_SYNTH3M_Quote</v>
      </c>
      <c r="D12" s="121" t="str">
        <f>_xll.qlSimpleQuote(C12,1,RateTickValue,Permanent,Trigger,ObjectOverwrite)</f>
        <v>GBPTOY_SYNTH3M_Quote#0000</v>
      </c>
      <c r="E12" s="228" t="str">
        <f>_xll.ohRangeRetrieveError(D12)</f>
        <v/>
      </c>
      <c r="F12" s="213"/>
      <c r="H12" s="650"/>
      <c r="I12" s="649"/>
      <c r="J12" s="649"/>
      <c r="K12" s="649"/>
      <c r="L12" s="649"/>
      <c r="M12" s="649"/>
      <c r="N12" s="649"/>
      <c r="O12" s="649"/>
      <c r="P12" s="567"/>
    </row>
    <row r="13" spans="1:16" x14ac:dyDescent="0.2">
      <c r="A13" s="118"/>
      <c r="B13" s="227" t="s">
        <v>217</v>
      </c>
      <c r="C13" s="114" t="str">
        <f t="shared" si="0"/>
        <v>GBPTOY2_SYNTH3M_Quote</v>
      </c>
      <c r="D13" s="114" t="str">
        <f>_xll.qlSimpleQuote(C13,1,RateTickValue,Permanent,Trigger,ObjectOverwrite)</f>
        <v>GBPTOY2_SYNTH3M_Quote#0000</v>
      </c>
      <c r="E13" s="226" t="str">
        <f>_xll.ohRangeRetrieveError(D13)</f>
        <v/>
      </c>
      <c r="F13" s="213"/>
    </row>
    <row r="14" spans="1: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P30"/>
  <sheetViews>
    <sheetView workbookViewId="0">
      <selection activeCell="N5" sqref="N5:N14"/>
    </sheetView>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8" width="2.7109375" style="65" customWidth="1"/>
    <col min="9" max="9" width="4" style="65" bestFit="1" customWidth="1"/>
    <col min="10" max="10" width="9.140625" style="65"/>
    <col min="11" max="11" width="2.7109375" style="65" customWidth="1"/>
    <col min="12" max="12" width="9.140625" style="65"/>
    <col min="13" max="13" width="2.7109375" style="65" customWidth="1"/>
    <col min="14" max="14" width="10" style="65" bestFit="1" customWidth="1"/>
    <col min="15" max="15" width="9.140625" style="65"/>
    <col min="16" max="16" width="2.7109375" style="65" customWidth="1"/>
    <col min="17" max="16384" width="9.140625" style="65"/>
  </cols>
  <sheetData>
    <row r="1" spans="1:16" x14ac:dyDescent="0.2">
      <c r="A1" s="559" t="s">
        <v>347</v>
      </c>
      <c r="B1" s="224">
        <v>6</v>
      </c>
      <c r="C1" s="225" t="str">
        <f>_xll.qlPeriodEquivalent(Months&amp;"M")</f>
        <v>6M</v>
      </c>
      <c r="D1" s="224"/>
      <c r="E1" s="224"/>
      <c r="F1" s="223"/>
      <c r="H1" s="592"/>
      <c r="I1" s="591"/>
      <c r="J1" s="591"/>
      <c r="K1" s="591"/>
      <c r="L1" s="591"/>
      <c r="M1" s="591"/>
      <c r="N1" s="591"/>
      <c r="O1" s="591"/>
      <c r="P1" s="655"/>
    </row>
    <row r="2" spans="1:16" x14ac:dyDescent="0.2">
      <c r="A2" s="118"/>
      <c r="B2" s="222"/>
      <c r="C2" s="221" t="str">
        <f>Currency&amp;"_015_SyntheticQuotes"&amp;Tenor&amp;".xml"</f>
        <v>GBP_015_SyntheticQuotes6M.xml</v>
      </c>
      <c r="D2" s="16">
        <f ca="1">IF(Serialize,_xll.ohObjectSave(D3:D29,SerializationPath&amp;C2,FileOverwrite,Serialize),"---")</f>
        <v>27</v>
      </c>
      <c r="E2" s="7" t="str">
        <f ca="1">_xll.ohRangeRetrieveError(D2)</f>
        <v/>
      </c>
      <c r="F2" s="213"/>
      <c r="H2" s="589"/>
      <c r="I2" s="654"/>
      <c r="J2" s="573"/>
      <c r="K2" s="573"/>
      <c r="L2" s="573"/>
      <c r="M2" s="573"/>
      <c r="N2" s="573"/>
      <c r="O2" s="586"/>
      <c r="P2" s="652"/>
    </row>
    <row r="3" spans="1:16" x14ac:dyDescent="0.2">
      <c r="A3" s="118"/>
      <c r="B3" s="217" t="s">
        <v>151</v>
      </c>
      <c r="C3" s="121" t="str">
        <f t="shared" ref="C3:C29" si="0">Currency&amp;$B3&amp;"_SYNTH"&amp;Tenor&amp;QuoteSuffix</f>
        <v>GBPOND_SYNTH6M_Quote</v>
      </c>
      <c r="D3" s="121" t="str">
        <f>_xll.qlSimpleQuote(C3,,RateTickValue,Permanent,Trigger,ObjectOverwrite)</f>
        <v>GBPOND_SYNTH6M_Quote#0000</v>
      </c>
      <c r="E3" s="228" t="str">
        <f>_xll.ohRangeRetrieveError(D3)</f>
        <v/>
      </c>
      <c r="F3" s="213"/>
      <c r="H3" s="576"/>
      <c r="I3" s="586"/>
      <c r="J3" s="586"/>
      <c r="K3" s="573"/>
      <c r="L3" s="573"/>
      <c r="M3" s="573"/>
      <c r="N3" s="586"/>
      <c r="O3" s="585">
        <f>_xll.ohTrigger(O5:O13)</f>
        <v>1</v>
      </c>
      <c r="P3" s="652"/>
    </row>
    <row r="4" spans="1:16" x14ac:dyDescent="0.2">
      <c r="A4" s="118"/>
      <c r="B4" s="220" t="s">
        <v>150</v>
      </c>
      <c r="C4" s="125" t="str">
        <f t="shared" si="0"/>
        <v>GBPTND_SYNTH6M_Quote</v>
      </c>
      <c r="D4" s="125" t="str">
        <f>_xll.qlSimpleQuote(C4,,RateTickValue,Permanent,Trigger,ObjectOverwrite)</f>
        <v>GBPTND_SYNTH6M_Quote#0000</v>
      </c>
      <c r="E4" s="230" t="str">
        <f>_xll.ohRangeRetrieveError(D4)</f>
        <v/>
      </c>
      <c r="F4" s="213"/>
      <c r="H4" s="576"/>
      <c r="I4" s="582"/>
      <c r="J4" s="584" t="s">
        <v>353</v>
      </c>
      <c r="K4" s="573"/>
      <c r="L4" s="583" t="s">
        <v>286</v>
      </c>
      <c r="M4" s="573"/>
      <c r="N4" s="582" t="s">
        <v>285</v>
      </c>
      <c r="O4" s="581" t="s">
        <v>284</v>
      </c>
      <c r="P4" s="652"/>
    </row>
    <row r="5" spans="1:16" x14ac:dyDescent="0.2">
      <c r="A5" s="118"/>
      <c r="B5" s="219" t="s">
        <v>149</v>
      </c>
      <c r="C5" s="125" t="str">
        <f t="shared" si="0"/>
        <v>GBPSND_SYNTH6M_Quote</v>
      </c>
      <c r="D5" s="125" t="str">
        <f>_xll.qlSimpleQuote(C5,,RateTickValue,Permanent,Trigger,ObjectOverwrite)</f>
        <v>GBPSND_SYNTH6M_Quote#0000</v>
      </c>
      <c r="E5" s="230" t="str">
        <f>_xll.ohRangeRetrieveError(D5)</f>
        <v/>
      </c>
      <c r="F5" s="213"/>
      <c r="H5" s="589"/>
      <c r="I5" s="580" t="s">
        <v>149</v>
      </c>
      <c r="J5" s="596" t="s">
        <v>371</v>
      </c>
      <c r="K5" s="595" t="s">
        <v>178</v>
      </c>
      <c r="L5" s="653">
        <v>5.7277972063652996E-3</v>
      </c>
      <c r="M5" s="573"/>
      <c r="N5" s="578">
        <f t="array" ref="N5:N14">QuoteStatic</f>
        <v>5.7277972063652996E-3</v>
      </c>
      <c r="O5" s="577" t="e">
        <f>_xll.qlSimpleQuoteSetValue(D5,ROUND(N5,6),EvaluationDate)</f>
        <v>#N/A</v>
      </c>
      <c r="P5" s="652"/>
    </row>
    <row r="6" spans="1:16" x14ac:dyDescent="0.2">
      <c r="A6" s="118"/>
      <c r="B6" s="219" t="s">
        <v>148</v>
      </c>
      <c r="C6" s="125" t="str">
        <f t="shared" si="0"/>
        <v>GBPSWD_SYNTH6M_Quote</v>
      </c>
      <c r="D6" s="125" t="str">
        <f>_xll.qlSimpleQuote(C6,,RateTickValue,Permanent,Trigger,ObjectOverwrite)</f>
        <v>GBPSWD_SYNTH6M_Quote#0000</v>
      </c>
      <c r="E6" s="230" t="str">
        <f>_xll.ohRangeRetrieveError(D6)</f>
        <v/>
      </c>
      <c r="F6" s="213"/>
      <c r="H6" s="589"/>
      <c r="I6" s="580" t="s">
        <v>148</v>
      </c>
      <c r="J6" s="596" t="s">
        <v>372</v>
      </c>
      <c r="K6" s="595" t="s">
        <v>178</v>
      </c>
      <c r="L6" s="579">
        <v>5.7402968787803599E-3</v>
      </c>
      <c r="M6" s="573"/>
      <c r="N6" s="578">
        <v>5.7402968787803599E-3</v>
      </c>
      <c r="O6" s="577" t="e">
        <f>_xll.qlSimpleQuoteSetValue(D6,ROUND(N6,6),EvaluationDate)</f>
        <v>#N/A</v>
      </c>
      <c r="P6" s="652"/>
    </row>
    <row r="7" spans="1:16" x14ac:dyDescent="0.2">
      <c r="A7" s="118"/>
      <c r="B7" s="219" t="s">
        <v>147</v>
      </c>
      <c r="C7" s="125" t="str">
        <f t="shared" si="0"/>
        <v>GBP2WD_SYNTH6M_Quote</v>
      </c>
      <c r="D7" s="125" t="str">
        <f>_xll.qlSimpleQuote(C7,,RateTickValue,Permanent,Trigger,ObjectOverwrite)</f>
        <v>GBP2WD_SYNTH6M_Quote#0000</v>
      </c>
      <c r="E7" s="230" t="str">
        <f>_xll.ohRangeRetrieveError(D7)</f>
        <v/>
      </c>
      <c r="F7" s="213"/>
      <c r="H7" s="589"/>
      <c r="I7" s="580" t="s">
        <v>147</v>
      </c>
      <c r="J7" s="596" t="s">
        <v>373</v>
      </c>
      <c r="K7" s="595" t="s">
        <v>178</v>
      </c>
      <c r="L7" s="579">
        <v>5.7496117586981355E-3</v>
      </c>
      <c r="M7" s="573"/>
      <c r="N7" s="578">
        <v>5.7496117586981355E-3</v>
      </c>
      <c r="O7" s="577" t="e">
        <f>_xll.qlSimpleQuoteSetValue(D7,ROUND(N7,6),EvaluationDate)</f>
        <v>#N/A</v>
      </c>
      <c r="P7" s="652"/>
    </row>
    <row r="8" spans="1:16" x14ac:dyDescent="0.2">
      <c r="A8" s="118"/>
      <c r="B8" s="219" t="s">
        <v>146</v>
      </c>
      <c r="C8" s="125" t="str">
        <f t="shared" si="0"/>
        <v>GBP3WD_SYNTH6M_Quote</v>
      </c>
      <c r="D8" s="125" t="str">
        <f>_xll.qlSimpleQuote(C8,,RateTickValue,Permanent,Trigger,ObjectOverwrite)</f>
        <v>GBP3WD_SYNTH6M_Quote#0000</v>
      </c>
      <c r="E8" s="230" t="str">
        <f>_xll.ohRangeRetrieveError(D8)</f>
        <v/>
      </c>
      <c r="F8" s="213"/>
      <c r="H8" s="589"/>
      <c r="I8" s="580" t="s">
        <v>146</v>
      </c>
      <c r="J8" s="596" t="s">
        <v>374</v>
      </c>
      <c r="K8" s="595" t="s">
        <v>178</v>
      </c>
      <c r="L8" s="579">
        <v>5.746366081189164E-3</v>
      </c>
      <c r="M8" s="573"/>
      <c r="N8" s="578">
        <v>5.746366081189164E-3</v>
      </c>
      <c r="O8" s="577" t="e">
        <f>_xll.qlSimpleQuoteSetValue(D8,ROUND(N8,6),EvaluationDate)</f>
        <v>#N/A</v>
      </c>
      <c r="P8" s="652"/>
    </row>
    <row r="9" spans="1:16" x14ac:dyDescent="0.2">
      <c r="A9" s="118"/>
      <c r="B9" s="219" t="s">
        <v>145</v>
      </c>
      <c r="C9" s="125" t="str">
        <f t="shared" si="0"/>
        <v>GBP1MD_SYNTH6M_Quote</v>
      </c>
      <c r="D9" s="125" t="str">
        <f>_xll.qlSimpleQuote(C9,,RateTickValue,Permanent,Trigger,ObjectOverwrite)</f>
        <v>GBP1MD_SYNTH6M_Quote#0000</v>
      </c>
      <c r="E9" s="230" t="str">
        <f>_xll.ohRangeRetrieveError(D9)</f>
        <v/>
      </c>
      <c r="F9" s="213"/>
      <c r="H9" s="589"/>
      <c r="I9" s="580" t="s">
        <v>145</v>
      </c>
      <c r="J9" s="596" t="s">
        <v>375</v>
      </c>
      <c r="K9" s="595" t="s">
        <v>178</v>
      </c>
      <c r="L9" s="579">
        <v>5.7610853430773209E-3</v>
      </c>
      <c r="M9" s="573"/>
      <c r="N9" s="578">
        <v>5.7610853430773209E-3</v>
      </c>
      <c r="O9" s="577" t="e">
        <f>_xll.qlSimpleQuoteSetValue(D9,ROUND(N9,6),EvaluationDate)</f>
        <v>#N/A</v>
      </c>
      <c r="P9" s="652"/>
    </row>
    <row r="10" spans="1:16" x14ac:dyDescent="0.2">
      <c r="A10" s="118"/>
      <c r="B10" s="219" t="s">
        <v>144</v>
      </c>
      <c r="C10" s="125" t="str">
        <f t="shared" si="0"/>
        <v>GBP2MD_SYNTH6M_Quote</v>
      </c>
      <c r="D10" s="125" t="str">
        <f>_xll.qlSimpleQuote(C10,,RateTickValue,Permanent,Trigger,ObjectOverwrite)</f>
        <v>GBP2MD_SYNTH6M_Quote#0000</v>
      </c>
      <c r="E10" s="230" t="str">
        <f>_xll.ohRangeRetrieveError(D10)</f>
        <v/>
      </c>
      <c r="F10" s="213"/>
      <c r="H10" s="589"/>
      <c r="I10" s="580" t="s">
        <v>144</v>
      </c>
      <c r="J10" s="596" t="s">
        <v>376</v>
      </c>
      <c r="K10" s="595" t="s">
        <v>178</v>
      </c>
      <c r="L10" s="579">
        <v>5.7733814418802756E-3</v>
      </c>
      <c r="M10" s="573"/>
      <c r="N10" s="578">
        <v>5.7733814418802756E-3</v>
      </c>
      <c r="O10" s="577" t="e">
        <f>_xll.qlSimpleQuoteSetValue(D10,ROUND(N10,6),EvaluationDate)</f>
        <v>#N/A</v>
      </c>
      <c r="P10" s="652"/>
    </row>
    <row r="11" spans="1:16" x14ac:dyDescent="0.2">
      <c r="A11" s="118"/>
      <c r="B11" s="219" t="s">
        <v>143</v>
      </c>
      <c r="C11" s="125" t="str">
        <f t="shared" si="0"/>
        <v>GBP3MD_SYNTH6M_Quote</v>
      </c>
      <c r="D11" s="125" t="str">
        <f>_xll.qlSimpleQuote(C11,,RateTickValue,Permanent,Trigger,ObjectOverwrite)</f>
        <v>GBP3MD_SYNTH6M_Quote#0000</v>
      </c>
      <c r="E11" s="230" t="str">
        <f>_xll.ohRangeRetrieveError(D11)</f>
        <v/>
      </c>
      <c r="F11" s="213"/>
      <c r="H11" s="589"/>
      <c r="I11" s="580" t="s">
        <v>143</v>
      </c>
      <c r="J11" s="596" t="s">
        <v>377</v>
      </c>
      <c r="K11" s="595" t="s">
        <v>178</v>
      </c>
      <c r="L11" s="579">
        <v>5.8114198869440668E-3</v>
      </c>
      <c r="M11" s="573"/>
      <c r="N11" s="578">
        <v>5.8114198869440668E-3</v>
      </c>
      <c r="O11" s="577" t="e">
        <f>_xll.qlSimpleQuoteSetValue(D11,ROUND(N11,6),EvaluationDate)</f>
        <v>#N/A</v>
      </c>
      <c r="P11" s="652"/>
    </row>
    <row r="12" spans="1:16" x14ac:dyDescent="0.2">
      <c r="A12" s="118"/>
      <c r="B12" s="219" t="s">
        <v>142</v>
      </c>
      <c r="C12" s="125" t="str">
        <f t="shared" si="0"/>
        <v>GBP4MD_SYNTH6M_Quote</v>
      </c>
      <c r="D12" s="125" t="str">
        <f>_xll.qlSimpleQuote(C12,,RateTickValue,Permanent,Trigger,ObjectOverwrite)</f>
        <v>GBP4MD_SYNTH6M_Quote#0000</v>
      </c>
      <c r="E12" s="230" t="str">
        <f>_xll.ohRangeRetrieveError(D12)</f>
        <v/>
      </c>
      <c r="F12" s="213"/>
      <c r="H12" s="589"/>
      <c r="I12" s="580" t="s">
        <v>142</v>
      </c>
      <c r="J12" s="596" t="s">
        <v>378</v>
      </c>
      <c r="K12" s="595" t="s">
        <v>178</v>
      </c>
      <c r="L12" s="579">
        <v>5.8387151355629857E-3</v>
      </c>
      <c r="M12" s="573"/>
      <c r="N12" s="578">
        <v>5.8387151355629857E-3</v>
      </c>
      <c r="O12" s="577" t="e">
        <f>_xll.qlSimpleQuoteSetValue(D12,ROUND(N12,6),EvaluationDate)</f>
        <v>#N/A</v>
      </c>
      <c r="P12" s="652"/>
    </row>
    <row r="13" spans="1:16" x14ac:dyDescent="0.2">
      <c r="A13" s="118"/>
      <c r="B13" s="219" t="s">
        <v>141</v>
      </c>
      <c r="C13" s="125" t="str">
        <f t="shared" si="0"/>
        <v>GBP5MD_SYNTH6M_Quote</v>
      </c>
      <c r="D13" s="125" t="str">
        <f>_xll.qlSimpleQuote(C13,,RateTickValue,Permanent,Trigger,ObjectOverwrite)</f>
        <v>GBP5MD_SYNTH6M_Quote#0000</v>
      </c>
      <c r="E13" s="230" t="str">
        <f>_xll.ohRangeRetrieveError(D13)</f>
        <v/>
      </c>
      <c r="F13" s="213"/>
      <c r="H13" s="589"/>
      <c r="I13" s="580" t="s">
        <v>141</v>
      </c>
      <c r="J13" s="596" t="s">
        <v>379</v>
      </c>
      <c r="K13" s="595" t="s">
        <v>178</v>
      </c>
      <c r="L13" s="579">
        <v>5.8709770939639879E-3</v>
      </c>
      <c r="M13" s="573"/>
      <c r="N13" s="578">
        <v>5.8709770939639879E-3</v>
      </c>
      <c r="O13" s="577" t="e">
        <f>_xll.qlSimpleQuoteSetValue(D13,ROUND(N13,6),EvaluationDate)</f>
        <v>#N/A</v>
      </c>
      <c r="P13" s="652"/>
    </row>
    <row r="14" spans="1:16" x14ac:dyDescent="0.2">
      <c r="A14" s="118"/>
      <c r="B14" s="227" t="s">
        <v>140</v>
      </c>
      <c r="C14" s="114" t="str">
        <f t="shared" si="0"/>
        <v>GBP6MD_SYNTH6M_Quote</v>
      </c>
      <c r="D14" s="114" t="str">
        <f>_xll.qlSimpleQuote(C14,,RateTickValue,Permanent,Trigger,ObjectOverwrite)</f>
        <v>GBP6MD_SYNTH6M_Quote#0000</v>
      </c>
      <c r="E14" s="226" t="str">
        <f>_xll.ohRangeRetrieveError(D14)</f>
        <v/>
      </c>
      <c r="F14" s="213"/>
      <c r="H14" s="589"/>
      <c r="I14" s="575" t="s">
        <v>140</v>
      </c>
      <c r="J14" s="597" t="s">
        <v>380</v>
      </c>
      <c r="K14" s="595" t="s">
        <v>178</v>
      </c>
      <c r="L14" s="574">
        <v>5.9285663793761569E-3</v>
      </c>
      <c r="M14" s="573"/>
      <c r="N14" s="572">
        <v>5.9285663793761569E-3</v>
      </c>
      <c r="O14" s="571" t="e">
        <f>_xll.qlSimpleQuoteSetValue(D14,ROUND(N14,6),EvaluationDate)</f>
        <v>#N/A</v>
      </c>
      <c r="P14" s="652"/>
    </row>
    <row r="15" spans="1:16" ht="12" thickBot="1" x14ac:dyDescent="0.25">
      <c r="A15" s="118">
        <v>2</v>
      </c>
      <c r="B15" s="229" t="str">
        <f t="shared" ref="B15:B27" si="1">A15&amp;"x"&amp;A15+Months&amp;"F"</f>
        <v>2x8F</v>
      </c>
      <c r="C15" s="121" t="str">
        <f t="shared" si="0"/>
        <v>GBP2x8F_SYNTH6M_Quote</v>
      </c>
      <c r="D15" s="121" t="str">
        <f>_xll.qlSimpleQuote(C15,,RateTickValue,Permanent,Trigger,ObjectOverwrite)</f>
        <v>GBP2x8F_SYNTH6M_Quote#0000</v>
      </c>
      <c r="E15" s="228" t="str">
        <f>_xll.ohRangeRetrieveError(D15)</f>
        <v/>
      </c>
      <c r="F15" s="213"/>
      <c r="H15" s="569"/>
      <c r="I15" s="568"/>
      <c r="J15" s="568"/>
      <c r="K15" s="568"/>
      <c r="L15" s="568"/>
      <c r="M15" s="568"/>
      <c r="N15" s="568"/>
      <c r="O15" s="568"/>
      <c r="P15" s="651"/>
    </row>
    <row r="16" spans="1:16" x14ac:dyDescent="0.2">
      <c r="A16" s="118">
        <v>4</v>
      </c>
      <c r="B16" s="219" t="str">
        <f t="shared" si="1"/>
        <v>4x10F</v>
      </c>
      <c r="C16" s="125" t="str">
        <f t="shared" si="0"/>
        <v>GBP4x10F_SYNTH6M_Quote</v>
      </c>
      <c r="D16" s="125" t="str">
        <f>_xll.qlSimpleQuote(C16,,RateTickValue,Permanent,Trigger,ObjectOverwrite)</f>
        <v>GBP4x10F_SYNTH6M_Quote#0000</v>
      </c>
      <c r="E16" s="230" t="str">
        <f>_xll.ohRangeRetrieveError(D16)</f>
        <v/>
      </c>
      <c r="F16" s="213"/>
    </row>
    <row r="17" spans="1:6" x14ac:dyDescent="0.2">
      <c r="A17" s="118">
        <v>5</v>
      </c>
      <c r="B17" s="219" t="str">
        <f t="shared" si="1"/>
        <v>5x11F</v>
      </c>
      <c r="C17" s="125" t="str">
        <f t="shared" si="0"/>
        <v>GBP5x11F_SYNTH6M_Quote</v>
      </c>
      <c r="D17" s="125" t="str">
        <f>_xll.qlSimpleQuote(C17,,RateTickValue,Permanent,Trigger,ObjectOverwrite)</f>
        <v>GBP5x11F_SYNTH6M_Quote#0000</v>
      </c>
      <c r="E17" s="230" t="str">
        <f>_xll.ohRangeRetrieveError(D17)</f>
        <v/>
      </c>
      <c r="F17" s="213"/>
    </row>
    <row r="18" spans="1:6" x14ac:dyDescent="0.2">
      <c r="A18" s="118">
        <v>7</v>
      </c>
      <c r="B18" s="219" t="str">
        <f t="shared" si="1"/>
        <v>7x13F</v>
      </c>
      <c r="C18" s="125" t="str">
        <f t="shared" si="0"/>
        <v>GBP7x13F_SYNTH6M_Quote</v>
      </c>
      <c r="D18" s="125" t="str">
        <f>_xll.qlSimpleQuote(C18,,RateTickValue,Permanent,Trigger,ObjectOverwrite)</f>
        <v>GBP7x13F_SYNTH6M_Quote#0000</v>
      </c>
      <c r="E18" s="230" t="str">
        <f>_xll.ohRangeRetrieveError(D18)</f>
        <v/>
      </c>
      <c r="F18" s="213"/>
    </row>
    <row r="19" spans="1:6" x14ac:dyDescent="0.2">
      <c r="A19" s="118">
        <v>8</v>
      </c>
      <c r="B19" s="219" t="str">
        <f t="shared" si="1"/>
        <v>8x14F</v>
      </c>
      <c r="C19" s="125" t="str">
        <f t="shared" si="0"/>
        <v>GBP8x14F_SYNTH6M_Quote</v>
      </c>
      <c r="D19" s="125" t="str">
        <f>_xll.qlSimpleQuote(C19,,RateTickValue,Permanent,Trigger,ObjectOverwrite)</f>
        <v>GBP8x14F_SYNTH6M_Quote#0000</v>
      </c>
      <c r="E19" s="230" t="str">
        <f>_xll.ohRangeRetrieveError(D19)</f>
        <v/>
      </c>
      <c r="F19" s="213"/>
    </row>
    <row r="20" spans="1:6" x14ac:dyDescent="0.2">
      <c r="A20" s="118">
        <v>9</v>
      </c>
      <c r="B20" s="219" t="str">
        <f t="shared" si="1"/>
        <v>9x15F</v>
      </c>
      <c r="C20" s="125" t="str">
        <f t="shared" si="0"/>
        <v>GBP9x15F_SYNTH6M_Quote</v>
      </c>
      <c r="D20" s="125" t="str">
        <f>_xll.qlSimpleQuote(C20,,RateTickValue,Permanent,Trigger,ObjectOverwrite)</f>
        <v>GBP9x15F_SYNTH6M_Quote#0000</v>
      </c>
      <c r="E20" s="230" t="str">
        <f>_xll.ohRangeRetrieveError(D20)</f>
        <v/>
      </c>
      <c r="F20" s="213"/>
    </row>
    <row r="21" spans="1:6" x14ac:dyDescent="0.2">
      <c r="A21" s="118">
        <v>10</v>
      </c>
      <c r="B21" s="219" t="str">
        <f t="shared" si="1"/>
        <v>10x16F</v>
      </c>
      <c r="C21" s="125" t="str">
        <f t="shared" si="0"/>
        <v>GBP10x16F_SYNTH6M_Quote</v>
      </c>
      <c r="D21" s="125" t="str">
        <f>_xll.qlSimpleQuote(C21,,RateTickValue,Permanent,Trigger,ObjectOverwrite)</f>
        <v>GBP10x16F_SYNTH6M_Quote#0000</v>
      </c>
      <c r="E21" s="230" t="str">
        <f>_xll.ohRangeRetrieveError(D21)</f>
        <v/>
      </c>
      <c r="F21" s="213"/>
    </row>
    <row r="22" spans="1:6" x14ac:dyDescent="0.2">
      <c r="A22" s="118">
        <v>11</v>
      </c>
      <c r="B22" s="219" t="str">
        <f t="shared" si="1"/>
        <v>11x17F</v>
      </c>
      <c r="C22" s="125" t="str">
        <f t="shared" si="0"/>
        <v>GBP11x17F_SYNTH6M_Quote</v>
      </c>
      <c r="D22" s="125" t="str">
        <f>_xll.qlSimpleQuote(C22,,RateTickValue,Permanent,Trigger,ObjectOverwrite)</f>
        <v>GBP11x17F_SYNTH6M_Quote#0000</v>
      </c>
      <c r="E22" s="230" t="str">
        <f>_xll.ohRangeRetrieveError(D22)</f>
        <v/>
      </c>
      <c r="F22" s="213"/>
    </row>
    <row r="23" spans="1:6" x14ac:dyDescent="0.2">
      <c r="A23" s="118">
        <v>13</v>
      </c>
      <c r="B23" s="219" t="str">
        <f t="shared" si="1"/>
        <v>13x19F</v>
      </c>
      <c r="C23" s="125" t="str">
        <f t="shared" si="0"/>
        <v>GBP13x19F_SYNTH6M_Quote</v>
      </c>
      <c r="D23" s="125" t="str">
        <f>_xll.qlSimpleQuote(C23,,RateTickValue,Permanent,Trigger,ObjectOverwrite)</f>
        <v>GBP13x19F_SYNTH6M_Quote#0000</v>
      </c>
      <c r="E23" s="230" t="str">
        <f>_xll.ohRangeRetrieveError(D23)</f>
        <v/>
      </c>
      <c r="F23" s="213"/>
    </row>
    <row r="24" spans="1:6" x14ac:dyDescent="0.2">
      <c r="A24" s="118">
        <v>14</v>
      </c>
      <c r="B24" s="219" t="str">
        <f t="shared" si="1"/>
        <v>14x20F</v>
      </c>
      <c r="C24" s="125" t="str">
        <f t="shared" si="0"/>
        <v>GBP14x20F_SYNTH6M_Quote</v>
      </c>
      <c r="D24" s="125" t="str">
        <f>_xll.qlSimpleQuote(C24,,RateTickValue,Permanent,Trigger,ObjectOverwrite)</f>
        <v>GBP14x20F_SYNTH6M_Quote#0000</v>
      </c>
      <c r="E24" s="230" t="str">
        <f>_xll.ohRangeRetrieveError(D24)</f>
        <v/>
      </c>
      <c r="F24" s="213"/>
    </row>
    <row r="25" spans="1:6" x14ac:dyDescent="0.2">
      <c r="A25" s="118">
        <v>15</v>
      </c>
      <c r="B25" s="219" t="str">
        <f t="shared" si="1"/>
        <v>15x21F</v>
      </c>
      <c r="C25" s="125" t="str">
        <f t="shared" si="0"/>
        <v>GBP15x21F_SYNTH6M_Quote</v>
      </c>
      <c r="D25" s="125" t="str">
        <f>_xll.qlSimpleQuote(C25,,RateTickValue,Permanent,Trigger,ObjectOverwrite)</f>
        <v>GBP15x21F_SYNTH6M_Quote#0000</v>
      </c>
      <c r="E25" s="230" t="str">
        <f>_xll.ohRangeRetrieveError(D25)</f>
        <v/>
      </c>
      <c r="F25" s="213"/>
    </row>
    <row r="26" spans="1:6" x14ac:dyDescent="0.2">
      <c r="A26" s="118">
        <v>16</v>
      </c>
      <c r="B26" s="219" t="str">
        <f t="shared" si="1"/>
        <v>16x22F</v>
      </c>
      <c r="C26" s="125" t="str">
        <f t="shared" si="0"/>
        <v>GBP16x22F_SYNTH6M_Quote</v>
      </c>
      <c r="D26" s="125" t="str">
        <f>_xll.qlSimpleQuote(C26,,RateTickValue,Permanent,Trigger,ObjectOverwrite)</f>
        <v>GBP16x22F_SYNTH6M_Quote#0000</v>
      </c>
      <c r="E26" s="230" t="str">
        <f>_xll.ohRangeRetrieveError(D26)</f>
        <v/>
      </c>
      <c r="F26" s="213"/>
    </row>
    <row r="27" spans="1:6" x14ac:dyDescent="0.2">
      <c r="A27" s="118">
        <v>17</v>
      </c>
      <c r="B27" s="227" t="str">
        <f t="shared" si="1"/>
        <v>17x23F</v>
      </c>
      <c r="C27" s="114" t="str">
        <f t="shared" si="0"/>
        <v>GBP17x23F_SYNTH6M_Quote</v>
      </c>
      <c r="D27" s="114" t="str">
        <f>_xll.qlSimpleQuote(C27,,RateTickValue,Permanent,Trigger,ObjectOverwrite)</f>
        <v>GBP17x23F_SYNTH6M_Quote#0000</v>
      </c>
      <c r="E27" s="226" t="str">
        <f>_xll.ohRangeRetrieveError(D27)</f>
        <v/>
      </c>
      <c r="F27" s="213"/>
    </row>
    <row r="28" spans="1:6" x14ac:dyDescent="0.2">
      <c r="A28" s="118"/>
      <c r="B28" s="219" t="s">
        <v>218</v>
      </c>
      <c r="C28" s="125" t="str">
        <f t="shared" si="0"/>
        <v>GBPTOY_SYNTH6M_Quote</v>
      </c>
      <c r="D28" s="125" t="str">
        <f>_xll.qlSimpleQuote(C28,1,RateTickValue,Permanent,Trigger,ObjectOverwrite)</f>
        <v>GBPTOY_SYNTH6M_Quote#0000</v>
      </c>
      <c r="E28" s="230" t="str">
        <f>_xll.ohRangeRetrieveError(D28)</f>
        <v/>
      </c>
      <c r="F28" s="213"/>
    </row>
    <row r="29" spans="1:6" x14ac:dyDescent="0.2">
      <c r="A29" s="118"/>
      <c r="B29" s="227" t="s">
        <v>217</v>
      </c>
      <c r="C29" s="114" t="str">
        <f t="shared" si="0"/>
        <v>GBPTOY2_SYNTH6M_Quote</v>
      </c>
      <c r="D29" s="114" t="str">
        <f>_xll.qlSimpleQuote(C29,1,RateTickValue,Permanent,Trigger,ObjectOverwrite)</f>
        <v>GBPTOY2_SYNTH6M_Quote#0000</v>
      </c>
      <c r="E29" s="226" t="str">
        <f>_xll.ohRangeRetrieveError(D29)</f>
        <v/>
      </c>
      <c r="F29" s="213"/>
    </row>
    <row r="30" spans="1:6" ht="12" thickBot="1" x14ac:dyDescent="0.25">
      <c r="A30" s="32"/>
      <c r="B30" s="31"/>
      <c r="C30" s="31"/>
      <c r="D30" s="31"/>
      <c r="E30" s="31"/>
      <c r="F30" s="30"/>
    </row>
  </sheetData>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59" t="s">
        <v>347</v>
      </c>
      <c r="B1" s="224">
        <v>12</v>
      </c>
      <c r="C1" s="225" t="str">
        <f>_xll.qlPeriodEquivalent(Months&amp;"M")</f>
        <v>1Y</v>
      </c>
      <c r="D1" s="224"/>
      <c r="E1" s="224"/>
      <c r="F1" s="223"/>
    </row>
    <row r="2" spans="1:6" x14ac:dyDescent="0.2">
      <c r="A2" s="118"/>
      <c r="B2" s="231"/>
      <c r="C2" s="221" t="str">
        <f>Currency&amp;"_015_SyntheticQuotes"&amp;Tenor&amp;".xml"</f>
        <v>GBP_015_SyntheticQuotes1Y.xml</v>
      </c>
      <c r="D2" s="16">
        <f ca="1">IF(Serialize,_xll.ohObjectSave(D3:D64,SerializationPath&amp;C2,FileOverwrite,Serialize),"---")</f>
        <v>62</v>
      </c>
      <c r="E2" s="7" t="str">
        <f ca="1">_xll.ohRangeRetrieveError(D2)</f>
        <v/>
      </c>
      <c r="F2" s="213"/>
    </row>
    <row r="3" spans="1:6" x14ac:dyDescent="0.2">
      <c r="A3" s="118"/>
      <c r="B3" s="220" t="s">
        <v>151</v>
      </c>
      <c r="C3" s="125" t="str">
        <f t="shared" ref="C3:C34" si="0">Currency&amp;$B3&amp;"_SYNTH"&amp;Tenor&amp;QuoteSuffix</f>
        <v>GBPOND_SYNTH1Y_Quote</v>
      </c>
      <c r="D3" s="125" t="str">
        <f>_xll.qlSimpleQuote(C3,,RateTickValue,Permanent,Trigger,ObjectOverwrite)</f>
        <v>GBPOND_SYNTH1Y_Quote#0000</v>
      </c>
      <c r="E3" s="230" t="str">
        <f>_xll.ohRangeRetrieveError(D3)</f>
        <v/>
      </c>
      <c r="F3" s="213"/>
    </row>
    <row r="4" spans="1:6" x14ac:dyDescent="0.2">
      <c r="A4" s="118"/>
      <c r="B4" s="220" t="s">
        <v>150</v>
      </c>
      <c r="C4" s="125" t="str">
        <f t="shared" si="0"/>
        <v>GBPTND_SYNTH1Y_Quote</v>
      </c>
      <c r="D4" s="125" t="str">
        <f>_xll.qlSimpleQuote(C4,,RateTickValue,Permanent,Trigger,ObjectOverwrite)</f>
        <v>GBPTND_SYNTH1Y_Quote#0000</v>
      </c>
      <c r="E4" s="230" t="str">
        <f>_xll.ohRangeRetrieveError(D4)</f>
        <v/>
      </c>
      <c r="F4" s="213"/>
    </row>
    <row r="5" spans="1:6" x14ac:dyDescent="0.2">
      <c r="A5" s="118"/>
      <c r="B5" s="219" t="s">
        <v>149</v>
      </c>
      <c r="C5" s="125" t="str">
        <f t="shared" si="0"/>
        <v>GBPSND_SYNTH1Y_Quote</v>
      </c>
      <c r="D5" s="125" t="str">
        <f>_xll.qlSimpleQuote(C5,,RateTickValue,Permanent,Trigger,ObjectOverwrite)</f>
        <v>GBPSND_SYNTH1Y_Quote#0000</v>
      </c>
      <c r="E5" s="230" t="str">
        <f>_xll.ohRangeRetrieveError(D5)</f>
        <v/>
      </c>
      <c r="F5" s="213"/>
    </row>
    <row r="6" spans="1:6" x14ac:dyDescent="0.2">
      <c r="A6" s="118"/>
      <c r="B6" s="219" t="s">
        <v>148</v>
      </c>
      <c r="C6" s="125" t="str">
        <f t="shared" si="0"/>
        <v>GBPSWD_SYNTH1Y_Quote</v>
      </c>
      <c r="D6" s="125" t="str">
        <f>_xll.qlSimpleQuote(C6,,RateTickValue,Permanent,Trigger,ObjectOverwrite)</f>
        <v>GBPSWD_SYNTH1Y_Quote#0000</v>
      </c>
      <c r="E6" s="230" t="str">
        <f>_xll.ohRangeRetrieveError(D6)</f>
        <v/>
      </c>
      <c r="F6" s="213"/>
    </row>
    <row r="7" spans="1:6" x14ac:dyDescent="0.2">
      <c r="A7" s="118"/>
      <c r="B7" s="219" t="s">
        <v>147</v>
      </c>
      <c r="C7" s="125" t="str">
        <f t="shared" si="0"/>
        <v>GBP2WD_SYNTH1Y_Quote</v>
      </c>
      <c r="D7" s="125" t="str">
        <f>_xll.qlSimpleQuote(C7,,RateTickValue,Permanent,Trigger,ObjectOverwrite)</f>
        <v>GBP2WD_SYNTH1Y_Quote#0000</v>
      </c>
      <c r="E7" s="230" t="str">
        <f>_xll.ohRangeRetrieveError(D7)</f>
        <v/>
      </c>
      <c r="F7" s="213"/>
    </row>
    <row r="8" spans="1:6" x14ac:dyDescent="0.2">
      <c r="A8" s="118"/>
      <c r="B8" s="219" t="s">
        <v>146</v>
      </c>
      <c r="C8" s="125" t="str">
        <f t="shared" si="0"/>
        <v>GBP3WD_SYNTH1Y_Quote</v>
      </c>
      <c r="D8" s="125" t="str">
        <f>_xll.qlSimpleQuote(C8,,RateTickValue,Permanent,Trigger,ObjectOverwrite)</f>
        <v>GBP3WD_SYNTH1Y_Quote#0000</v>
      </c>
      <c r="E8" s="230" t="str">
        <f>_xll.ohRangeRetrieveError(D8)</f>
        <v/>
      </c>
      <c r="F8" s="213"/>
    </row>
    <row r="9" spans="1:6" x14ac:dyDescent="0.2">
      <c r="A9" s="118"/>
      <c r="B9" s="219" t="s">
        <v>145</v>
      </c>
      <c r="C9" s="125" t="str">
        <f t="shared" si="0"/>
        <v>GBP1MD_SYNTH1Y_Quote</v>
      </c>
      <c r="D9" s="125" t="str">
        <f>_xll.qlSimpleQuote(C9,,RateTickValue,Permanent,Trigger,ObjectOverwrite)</f>
        <v>GBP1MD_SYNTH1Y_Quote#0000</v>
      </c>
      <c r="E9" s="230" t="str">
        <f>_xll.ohRangeRetrieveError(D9)</f>
        <v/>
      </c>
      <c r="F9" s="213"/>
    </row>
    <row r="10" spans="1:6" x14ac:dyDescent="0.2">
      <c r="A10" s="118"/>
      <c r="B10" s="219" t="s">
        <v>144</v>
      </c>
      <c r="C10" s="125" t="str">
        <f t="shared" si="0"/>
        <v>GBP2MD_SYNTH1Y_Quote</v>
      </c>
      <c r="D10" s="125" t="str">
        <f>_xll.qlSimpleQuote(C10,,RateTickValue,Permanent,Trigger,ObjectOverwrite)</f>
        <v>GBP2MD_SYNTH1Y_Quote#0000</v>
      </c>
      <c r="E10" s="230" t="str">
        <f>_xll.ohRangeRetrieveError(D10)</f>
        <v/>
      </c>
      <c r="F10" s="213"/>
    </row>
    <row r="11" spans="1:6" x14ac:dyDescent="0.2">
      <c r="A11" s="118"/>
      <c r="B11" s="219" t="s">
        <v>143</v>
      </c>
      <c r="C11" s="125" t="str">
        <f t="shared" si="0"/>
        <v>GBP3MD_SYNTH1Y_Quote</v>
      </c>
      <c r="D11" s="125" t="str">
        <f>_xll.qlSimpleQuote(C11,,RateTickValue,Permanent,Trigger,ObjectOverwrite)</f>
        <v>GBP3MD_SYNTH1Y_Quote#0000</v>
      </c>
      <c r="E11" s="230" t="str">
        <f>_xll.ohRangeRetrieveError(D11)</f>
        <v/>
      </c>
      <c r="F11" s="213"/>
    </row>
    <row r="12" spans="1:6" x14ac:dyDescent="0.2">
      <c r="A12" s="118"/>
      <c r="B12" s="219" t="s">
        <v>142</v>
      </c>
      <c r="C12" s="125" t="str">
        <f t="shared" si="0"/>
        <v>GBP4MD_SYNTH1Y_Quote</v>
      </c>
      <c r="D12" s="125" t="str">
        <f>_xll.qlSimpleQuote(C12,,RateTickValue,Permanent,Trigger,ObjectOverwrite)</f>
        <v>GBP4MD_SYNTH1Y_Quote#0000</v>
      </c>
      <c r="E12" s="230" t="str">
        <f>_xll.ohRangeRetrieveError(D12)</f>
        <v/>
      </c>
      <c r="F12" s="213"/>
    </row>
    <row r="13" spans="1:6" x14ac:dyDescent="0.2">
      <c r="A13" s="118"/>
      <c r="B13" s="219" t="s">
        <v>141</v>
      </c>
      <c r="C13" s="125" t="str">
        <f t="shared" si="0"/>
        <v>GBP5MD_SYNTH1Y_Quote</v>
      </c>
      <c r="D13" s="125" t="str">
        <f>_xll.qlSimpleQuote(C13,,RateTickValue,Permanent,Trigger,ObjectOverwrite)</f>
        <v>GBP5MD_SYNTH1Y_Quote#0000</v>
      </c>
      <c r="E13" s="230" t="str">
        <f>_xll.ohRangeRetrieveError(D13)</f>
        <v/>
      </c>
      <c r="F13" s="213"/>
    </row>
    <row r="14" spans="1:6" x14ac:dyDescent="0.2">
      <c r="A14" s="118"/>
      <c r="B14" s="219" t="s">
        <v>140</v>
      </c>
      <c r="C14" s="125" t="str">
        <f t="shared" si="0"/>
        <v>GBP6MD_SYNTH1Y_Quote</v>
      </c>
      <c r="D14" s="125" t="str">
        <f>_xll.qlSimpleQuote(C14,,RateTickValue,Permanent,Trigger,ObjectOverwrite)</f>
        <v>GBP6MD_SYNTH1Y_Quote#0000</v>
      </c>
      <c r="E14" s="230" t="str">
        <f>_xll.ohRangeRetrieveError(D14)</f>
        <v/>
      </c>
      <c r="F14" s="213"/>
    </row>
    <row r="15" spans="1:6" x14ac:dyDescent="0.2">
      <c r="A15" s="118"/>
      <c r="B15" s="219" t="s">
        <v>139</v>
      </c>
      <c r="C15" s="125" t="str">
        <f t="shared" si="0"/>
        <v>GBP7MD_SYNTH1Y_Quote</v>
      </c>
      <c r="D15" s="125" t="str">
        <f>_xll.qlSimpleQuote(C15,,RateTickValue,Permanent,Trigger,ObjectOverwrite)</f>
        <v>GBP7MD_SYNTH1Y_Quote#0000</v>
      </c>
      <c r="E15" s="230" t="str">
        <f>_xll.ohRangeRetrieveError(D15)</f>
        <v/>
      </c>
      <c r="F15" s="213"/>
    </row>
    <row r="16" spans="1:6" x14ac:dyDescent="0.2">
      <c r="A16" s="118"/>
      <c r="B16" s="219" t="s">
        <v>138</v>
      </c>
      <c r="C16" s="125" t="str">
        <f t="shared" si="0"/>
        <v>GBP8MD_SYNTH1Y_Quote</v>
      </c>
      <c r="D16" s="125" t="str">
        <f>_xll.qlSimpleQuote(C16,,RateTickValue,Permanent,Trigger,ObjectOverwrite)</f>
        <v>GBP8MD_SYNTH1Y_Quote#0000</v>
      </c>
      <c r="E16" s="230" t="str">
        <f>_xll.ohRangeRetrieveError(D16)</f>
        <v/>
      </c>
      <c r="F16" s="213"/>
    </row>
    <row r="17" spans="1:6" x14ac:dyDescent="0.2">
      <c r="A17" s="118"/>
      <c r="B17" s="219" t="s">
        <v>137</v>
      </c>
      <c r="C17" s="125" t="str">
        <f t="shared" si="0"/>
        <v>GBP9MD_SYNTH1Y_Quote</v>
      </c>
      <c r="D17" s="125" t="str">
        <f>_xll.qlSimpleQuote(C17,,RateTickValue,Permanent,Trigger,ObjectOverwrite)</f>
        <v>GBP9MD_SYNTH1Y_Quote#0000</v>
      </c>
      <c r="E17" s="230" t="str">
        <f>_xll.ohRangeRetrieveError(D17)</f>
        <v/>
      </c>
      <c r="F17" s="213"/>
    </row>
    <row r="18" spans="1:6" x14ac:dyDescent="0.2">
      <c r="A18" s="118"/>
      <c r="B18" s="219" t="s">
        <v>136</v>
      </c>
      <c r="C18" s="125" t="str">
        <f t="shared" si="0"/>
        <v>GBP10MD_SYNTH1Y_Quote</v>
      </c>
      <c r="D18" s="125" t="str">
        <f>_xll.qlSimpleQuote(C18,,RateTickValue,Permanent,Trigger,ObjectOverwrite)</f>
        <v>GBP10MD_SYNTH1Y_Quote#0000</v>
      </c>
      <c r="E18" s="230" t="str">
        <f>_xll.ohRangeRetrieveError(D18)</f>
        <v/>
      </c>
      <c r="F18" s="213"/>
    </row>
    <row r="19" spans="1:6" x14ac:dyDescent="0.2">
      <c r="A19" s="118"/>
      <c r="B19" s="219" t="s">
        <v>135</v>
      </c>
      <c r="C19" s="125" t="str">
        <f t="shared" si="0"/>
        <v>GBP11MD_SYNTH1Y_Quote</v>
      </c>
      <c r="D19" s="125" t="str">
        <f>_xll.qlSimpleQuote(C19,,RateTickValue,Permanent,Trigger,ObjectOverwrite)</f>
        <v>GBP11MD_SYNTH1Y_Quote#0000</v>
      </c>
      <c r="E19" s="230" t="str">
        <f>_xll.ohRangeRetrieveError(D19)</f>
        <v/>
      </c>
      <c r="F19" s="213"/>
    </row>
    <row r="20" spans="1:6" x14ac:dyDescent="0.2">
      <c r="A20" s="118"/>
      <c r="B20" s="227" t="s">
        <v>134</v>
      </c>
      <c r="C20" s="114" t="str">
        <f t="shared" si="0"/>
        <v>GBP1YD_SYNTH1Y_Quote</v>
      </c>
      <c r="D20" s="114" t="str">
        <f>_xll.qlSimpleQuote(C20,,RateTickValue,Permanent,Trigger,ObjectOverwrite)</f>
        <v>GBP1YD_SYNTH1Y_Quote#0000</v>
      </c>
      <c r="E20" s="226" t="str">
        <f>_xll.ohRangeRetrieveError(D20)</f>
        <v/>
      </c>
      <c r="F20" s="213"/>
    </row>
    <row r="21" spans="1:6" x14ac:dyDescent="0.2">
      <c r="A21" s="118">
        <v>1</v>
      </c>
      <c r="B21" s="229" t="str">
        <f t="shared" ref="B21:B64" si="1">A21&amp;"x"&amp;A21+Months&amp;"F"</f>
        <v>1x13F</v>
      </c>
      <c r="C21" s="121" t="str">
        <f t="shared" si="0"/>
        <v>GBP1x13F_SYNTH1Y_Quote</v>
      </c>
      <c r="D21" s="121" t="str">
        <f>_xll.qlSimpleQuote(C21,,RateTickValue,Permanent,Trigger,ObjectOverwrite)</f>
        <v>GBP1x13F_SYNTH1Y_Quote#0000</v>
      </c>
      <c r="E21" s="228" t="str">
        <f>_xll.ohRangeRetrieveError(D21)</f>
        <v/>
      </c>
      <c r="F21" s="213"/>
    </row>
    <row r="22" spans="1:6" x14ac:dyDescent="0.2">
      <c r="A22" s="118">
        <v>2</v>
      </c>
      <c r="B22" s="219" t="str">
        <f t="shared" si="1"/>
        <v>2x14F</v>
      </c>
      <c r="C22" s="125" t="str">
        <f t="shared" si="0"/>
        <v>GBP2x14F_SYNTH1Y_Quote</v>
      </c>
      <c r="D22" s="125" t="str">
        <f>_xll.qlSimpleQuote(C22,,RateTickValue,Permanent,Trigger,ObjectOverwrite)</f>
        <v>GBP2x14F_SYNTH1Y_Quote#0000</v>
      </c>
      <c r="E22" s="230" t="str">
        <f>_xll.ohRangeRetrieveError(D22)</f>
        <v/>
      </c>
      <c r="F22" s="213"/>
    </row>
    <row r="23" spans="1:6" x14ac:dyDescent="0.2">
      <c r="A23" s="118">
        <v>3</v>
      </c>
      <c r="B23" s="219" t="str">
        <f t="shared" si="1"/>
        <v>3x15F</v>
      </c>
      <c r="C23" s="125" t="str">
        <f t="shared" si="0"/>
        <v>GBP3x15F_SYNTH1Y_Quote</v>
      </c>
      <c r="D23" s="125" t="str">
        <f>_xll.qlSimpleQuote(C23,,RateTickValue,Permanent,Trigger,ObjectOverwrite)</f>
        <v>GBP3x15F_SYNTH1Y_Quote#0000</v>
      </c>
      <c r="E23" s="230" t="str">
        <f>_xll.ohRangeRetrieveError(D23)</f>
        <v/>
      </c>
      <c r="F23" s="213"/>
    </row>
    <row r="24" spans="1:6" x14ac:dyDescent="0.2">
      <c r="A24" s="118">
        <v>4</v>
      </c>
      <c r="B24" s="219" t="str">
        <f t="shared" si="1"/>
        <v>4x16F</v>
      </c>
      <c r="C24" s="125" t="str">
        <f t="shared" si="0"/>
        <v>GBP4x16F_SYNTH1Y_Quote</v>
      </c>
      <c r="D24" s="125" t="str">
        <f>_xll.qlSimpleQuote(C24,,RateTickValue,Permanent,Trigger,ObjectOverwrite)</f>
        <v>GBP4x16F_SYNTH1Y_Quote#0000</v>
      </c>
      <c r="E24" s="230" t="str">
        <f>_xll.ohRangeRetrieveError(D24)</f>
        <v/>
      </c>
      <c r="F24" s="213"/>
    </row>
    <row r="25" spans="1:6" x14ac:dyDescent="0.2">
      <c r="A25" s="118">
        <v>5</v>
      </c>
      <c r="B25" s="219" t="str">
        <f t="shared" si="1"/>
        <v>5x17F</v>
      </c>
      <c r="C25" s="125" t="str">
        <f t="shared" si="0"/>
        <v>GBP5x17F_SYNTH1Y_Quote</v>
      </c>
      <c r="D25" s="125" t="str">
        <f>_xll.qlSimpleQuote(C25,,RateTickValue,Permanent,Trigger,ObjectOverwrite)</f>
        <v>GBP5x17F_SYNTH1Y_Quote#0000</v>
      </c>
      <c r="E25" s="230" t="str">
        <f>_xll.ohRangeRetrieveError(D25)</f>
        <v/>
      </c>
      <c r="F25" s="213"/>
    </row>
    <row r="26" spans="1:6" x14ac:dyDescent="0.2">
      <c r="A26" s="118">
        <v>6</v>
      </c>
      <c r="B26" s="219" t="str">
        <f t="shared" si="1"/>
        <v>6x18F</v>
      </c>
      <c r="C26" s="125" t="str">
        <f t="shared" si="0"/>
        <v>GBP6x18F_SYNTH1Y_Quote</v>
      </c>
      <c r="D26" s="125" t="str">
        <f>_xll.qlSimpleQuote(C26,,RateTickValue,Permanent,Trigger,ObjectOverwrite)</f>
        <v>GBP6x18F_SYNTH1Y_Quote#0000</v>
      </c>
      <c r="E26" s="230" t="str">
        <f>_xll.ohRangeRetrieveError(D26)</f>
        <v/>
      </c>
      <c r="F26" s="213"/>
    </row>
    <row r="27" spans="1:6" x14ac:dyDescent="0.2">
      <c r="A27" s="118">
        <v>7</v>
      </c>
      <c r="B27" s="219" t="str">
        <f t="shared" si="1"/>
        <v>7x19F</v>
      </c>
      <c r="C27" s="125" t="str">
        <f t="shared" si="0"/>
        <v>GBP7x19F_SYNTH1Y_Quote</v>
      </c>
      <c r="D27" s="125" t="str">
        <f>_xll.qlSimpleQuote(C27,,RateTickValue,Permanent,Trigger,ObjectOverwrite)</f>
        <v>GBP7x19F_SYNTH1Y_Quote#0000</v>
      </c>
      <c r="E27" s="230" t="str">
        <f>_xll.ohRangeRetrieveError(D27)</f>
        <v/>
      </c>
      <c r="F27" s="213"/>
    </row>
    <row r="28" spans="1:6" x14ac:dyDescent="0.2">
      <c r="A28" s="118">
        <v>8</v>
      </c>
      <c r="B28" s="219" t="str">
        <f t="shared" si="1"/>
        <v>8x20F</v>
      </c>
      <c r="C28" s="125" t="str">
        <f t="shared" si="0"/>
        <v>GBP8x20F_SYNTH1Y_Quote</v>
      </c>
      <c r="D28" s="125" t="str">
        <f>_xll.qlSimpleQuote(C28,,RateTickValue,Permanent,Trigger,ObjectOverwrite)</f>
        <v>GBP8x20F_SYNTH1Y_Quote#0000</v>
      </c>
      <c r="E28" s="230" t="str">
        <f>_xll.ohRangeRetrieveError(D28)</f>
        <v/>
      </c>
      <c r="F28" s="213"/>
    </row>
    <row r="29" spans="1:6" x14ac:dyDescent="0.2">
      <c r="A29" s="118">
        <v>9</v>
      </c>
      <c r="B29" s="219" t="str">
        <f t="shared" si="1"/>
        <v>9x21F</v>
      </c>
      <c r="C29" s="125" t="str">
        <f t="shared" si="0"/>
        <v>GBP9x21F_SYNTH1Y_Quote</v>
      </c>
      <c r="D29" s="125" t="str">
        <f>_xll.qlSimpleQuote(C29,,RateTickValue,Permanent,Trigger,ObjectOverwrite)</f>
        <v>GBP9x21F_SYNTH1Y_Quote#0000</v>
      </c>
      <c r="E29" s="230" t="str">
        <f>_xll.ohRangeRetrieveError(D29)</f>
        <v/>
      </c>
      <c r="F29" s="213"/>
    </row>
    <row r="30" spans="1:6" x14ac:dyDescent="0.2">
      <c r="A30" s="118">
        <v>10</v>
      </c>
      <c r="B30" s="219" t="str">
        <f t="shared" si="1"/>
        <v>10x22F</v>
      </c>
      <c r="C30" s="125" t="str">
        <f t="shared" si="0"/>
        <v>GBP10x22F_SYNTH1Y_Quote</v>
      </c>
      <c r="D30" s="125" t="str">
        <f>_xll.qlSimpleQuote(C30,,RateTickValue,Permanent,Trigger,ObjectOverwrite)</f>
        <v>GBP10x22F_SYNTH1Y_Quote#0000</v>
      </c>
      <c r="E30" s="230" t="str">
        <f>_xll.ohRangeRetrieveError(D30)</f>
        <v/>
      </c>
      <c r="F30" s="213"/>
    </row>
    <row r="31" spans="1:6" x14ac:dyDescent="0.2">
      <c r="A31" s="118">
        <v>11</v>
      </c>
      <c r="B31" s="219" t="str">
        <f t="shared" si="1"/>
        <v>11x23F</v>
      </c>
      <c r="C31" s="125" t="str">
        <f t="shared" si="0"/>
        <v>GBP11x23F_SYNTH1Y_Quote</v>
      </c>
      <c r="D31" s="125" t="str">
        <f>_xll.qlSimpleQuote(C31,,RateTickValue,Permanent,Trigger,ObjectOverwrite)</f>
        <v>GBP11x23F_SYNTH1Y_Quote#0000</v>
      </c>
      <c r="E31" s="230" t="str">
        <f>_xll.ohRangeRetrieveError(D31)</f>
        <v/>
      </c>
      <c r="F31" s="213"/>
    </row>
    <row r="32" spans="1:6" x14ac:dyDescent="0.2">
      <c r="A32" s="118">
        <v>13</v>
      </c>
      <c r="B32" s="219" t="str">
        <f t="shared" si="1"/>
        <v>13x25F</v>
      </c>
      <c r="C32" s="125" t="str">
        <f t="shared" si="0"/>
        <v>GBP13x25F_SYNTH1Y_Quote</v>
      </c>
      <c r="D32" s="125" t="str">
        <f>_xll.qlSimpleQuote(C32,,RateTickValue,Permanent,Trigger,ObjectOverwrite)</f>
        <v>GBP13x25F_SYNTH1Y_Quote#0000</v>
      </c>
      <c r="E32" s="230" t="str">
        <f>_xll.ohRangeRetrieveError(D32)</f>
        <v/>
      </c>
      <c r="F32" s="213"/>
    </row>
    <row r="33" spans="1:6" x14ac:dyDescent="0.2">
      <c r="A33" s="118">
        <v>14</v>
      </c>
      <c r="B33" s="219" t="str">
        <f t="shared" si="1"/>
        <v>14x26F</v>
      </c>
      <c r="C33" s="125" t="str">
        <f t="shared" si="0"/>
        <v>GBP14x26F_SYNTH1Y_Quote</v>
      </c>
      <c r="D33" s="125" t="str">
        <f>_xll.qlSimpleQuote(C33,,RateTickValue,Permanent,Trigger,ObjectOverwrite)</f>
        <v>GBP14x26F_SYNTH1Y_Quote#0000</v>
      </c>
      <c r="E33" s="230" t="str">
        <f>_xll.ohRangeRetrieveError(D33)</f>
        <v/>
      </c>
      <c r="F33" s="213"/>
    </row>
    <row r="34" spans="1:6" x14ac:dyDescent="0.2">
      <c r="A34" s="118">
        <v>15</v>
      </c>
      <c r="B34" s="219" t="str">
        <f t="shared" si="1"/>
        <v>15x27F</v>
      </c>
      <c r="C34" s="125" t="str">
        <f t="shared" si="0"/>
        <v>GBP15x27F_SYNTH1Y_Quote</v>
      </c>
      <c r="D34" s="125" t="str">
        <f>_xll.qlSimpleQuote(C34,,RateTickValue,Permanent,Trigger,ObjectOverwrite)</f>
        <v>GBP15x27F_SYNTH1Y_Quote#0000</v>
      </c>
      <c r="E34" s="230" t="str">
        <f>_xll.ohRangeRetrieveError(D34)</f>
        <v/>
      </c>
      <c r="F34" s="213"/>
    </row>
    <row r="35" spans="1:6" x14ac:dyDescent="0.2">
      <c r="A35" s="118">
        <v>16</v>
      </c>
      <c r="B35" s="219" t="str">
        <f t="shared" si="1"/>
        <v>16x28F</v>
      </c>
      <c r="C35" s="125" t="str">
        <f t="shared" ref="C35:C64" si="2">Currency&amp;$B35&amp;"_SYNTH"&amp;Tenor&amp;QuoteSuffix</f>
        <v>GBP16x28F_SYNTH1Y_Quote</v>
      </c>
      <c r="D35" s="125" t="str">
        <f>_xll.qlSimpleQuote(C35,,RateTickValue,Permanent,Trigger,ObjectOverwrite)</f>
        <v>GBP16x28F_SYNTH1Y_Quote#0000</v>
      </c>
      <c r="E35" s="230" t="str">
        <f>_xll.ohRangeRetrieveError(D35)</f>
        <v/>
      </c>
      <c r="F35" s="213"/>
    </row>
    <row r="36" spans="1:6" x14ac:dyDescent="0.2">
      <c r="A36" s="118">
        <v>17</v>
      </c>
      <c r="B36" s="219" t="str">
        <f t="shared" si="1"/>
        <v>17x29F</v>
      </c>
      <c r="C36" s="125" t="str">
        <f t="shared" si="2"/>
        <v>GBP17x29F_SYNTH1Y_Quote</v>
      </c>
      <c r="D36" s="125" t="str">
        <f>_xll.qlSimpleQuote(C36,,RateTickValue,Permanent,Trigger,ObjectOverwrite)</f>
        <v>GBP17x29F_SYNTH1Y_Quote#0000</v>
      </c>
      <c r="E36" s="230" t="str">
        <f>_xll.ohRangeRetrieveError(D36)</f>
        <v/>
      </c>
      <c r="F36" s="213"/>
    </row>
    <row r="37" spans="1:6" x14ac:dyDescent="0.2">
      <c r="A37" s="118">
        <v>18</v>
      </c>
      <c r="B37" s="219" t="str">
        <f t="shared" si="1"/>
        <v>18x30F</v>
      </c>
      <c r="C37" s="125" t="str">
        <f t="shared" si="2"/>
        <v>GBP18x30F_SYNTH1Y_Quote</v>
      </c>
      <c r="D37" s="125" t="str">
        <f>_xll.qlSimpleQuote(C37,,RateTickValue,Permanent,Trigger,ObjectOverwrite)</f>
        <v>GBP18x30F_SYNTH1Y_Quote#0000</v>
      </c>
      <c r="E37" s="230" t="str">
        <f>_xll.ohRangeRetrieveError(D37)</f>
        <v/>
      </c>
      <c r="F37" s="213"/>
    </row>
    <row r="38" spans="1:6" x14ac:dyDescent="0.2">
      <c r="A38" s="118">
        <v>19</v>
      </c>
      <c r="B38" s="219" t="str">
        <f t="shared" si="1"/>
        <v>19x31F</v>
      </c>
      <c r="C38" s="125" t="str">
        <f t="shared" si="2"/>
        <v>GBP19x31F_SYNTH1Y_Quote</v>
      </c>
      <c r="D38" s="125" t="str">
        <f>_xll.qlSimpleQuote(C38,,RateTickValue,Permanent,Trigger,ObjectOverwrite)</f>
        <v>GBP19x31F_SYNTH1Y_Quote#0000</v>
      </c>
      <c r="E38" s="230" t="str">
        <f>_xll.ohRangeRetrieveError(D38)</f>
        <v/>
      </c>
      <c r="F38" s="213"/>
    </row>
    <row r="39" spans="1:6" x14ac:dyDescent="0.2">
      <c r="A39" s="118">
        <v>20</v>
      </c>
      <c r="B39" s="219" t="str">
        <f t="shared" si="1"/>
        <v>20x32F</v>
      </c>
      <c r="C39" s="125" t="str">
        <f t="shared" si="2"/>
        <v>GBP20x32F_SYNTH1Y_Quote</v>
      </c>
      <c r="D39" s="125" t="str">
        <f>_xll.qlSimpleQuote(C39,,RateTickValue,Permanent,Trigger,ObjectOverwrite)</f>
        <v>GBP20x32F_SYNTH1Y_Quote#0000</v>
      </c>
      <c r="E39" s="230" t="str">
        <f>_xll.ohRangeRetrieveError(D39)</f>
        <v/>
      </c>
      <c r="F39" s="213"/>
    </row>
    <row r="40" spans="1:6" x14ac:dyDescent="0.2">
      <c r="A40" s="118">
        <v>21</v>
      </c>
      <c r="B40" s="219" t="str">
        <f t="shared" si="1"/>
        <v>21x33F</v>
      </c>
      <c r="C40" s="125" t="str">
        <f t="shared" si="2"/>
        <v>GBP21x33F_SYNTH1Y_Quote</v>
      </c>
      <c r="D40" s="125" t="str">
        <f>_xll.qlSimpleQuote(C40,,RateTickValue,Permanent,Trigger,ObjectOverwrite)</f>
        <v>GBP21x33F_SYNTH1Y_Quote#0000</v>
      </c>
      <c r="E40" s="230" t="str">
        <f>_xll.ohRangeRetrieveError(D40)</f>
        <v/>
      </c>
      <c r="F40" s="213"/>
    </row>
    <row r="41" spans="1:6" x14ac:dyDescent="0.2">
      <c r="A41" s="118">
        <v>22</v>
      </c>
      <c r="B41" s="219" t="str">
        <f t="shared" si="1"/>
        <v>22x34F</v>
      </c>
      <c r="C41" s="125" t="str">
        <f t="shared" si="2"/>
        <v>GBP22x34F_SYNTH1Y_Quote</v>
      </c>
      <c r="D41" s="125" t="str">
        <f>_xll.qlSimpleQuote(C41,,RateTickValue,Permanent,Trigger,ObjectOverwrite)</f>
        <v>GBP22x34F_SYNTH1Y_Quote#0000</v>
      </c>
      <c r="E41" s="230" t="str">
        <f>_xll.ohRangeRetrieveError(D41)</f>
        <v/>
      </c>
      <c r="F41" s="213"/>
    </row>
    <row r="42" spans="1:6" x14ac:dyDescent="0.2">
      <c r="A42" s="118">
        <v>23</v>
      </c>
      <c r="B42" s="219" t="str">
        <f t="shared" si="1"/>
        <v>23x35F</v>
      </c>
      <c r="C42" s="125" t="str">
        <f t="shared" si="2"/>
        <v>GBP23x35F_SYNTH1Y_Quote</v>
      </c>
      <c r="D42" s="125" t="str">
        <f>_xll.qlSimpleQuote(C42,,RateTickValue,Permanent,Trigger,ObjectOverwrite)</f>
        <v>GBP23x35F_SYNTH1Y_Quote#0000</v>
      </c>
      <c r="E42" s="230" t="str">
        <f>_xll.ohRangeRetrieveError(D42)</f>
        <v/>
      </c>
      <c r="F42" s="213"/>
    </row>
    <row r="43" spans="1:6" x14ac:dyDescent="0.2">
      <c r="A43" s="118">
        <v>25</v>
      </c>
      <c r="B43" s="219" t="str">
        <f t="shared" si="1"/>
        <v>25x37F</v>
      </c>
      <c r="C43" s="125" t="str">
        <f t="shared" si="2"/>
        <v>GBP25x37F_SYNTH1Y_Quote</v>
      </c>
      <c r="D43" s="125" t="str">
        <f>_xll.qlSimpleQuote(C43,,RateTickValue,Permanent,Trigger,ObjectOverwrite)</f>
        <v>GBP25x37F_SYNTH1Y_Quote#0000</v>
      </c>
      <c r="E43" s="230" t="str">
        <f>_xll.ohRangeRetrieveError(D43)</f>
        <v/>
      </c>
      <c r="F43" s="213"/>
    </row>
    <row r="44" spans="1:6" x14ac:dyDescent="0.2">
      <c r="A44" s="118">
        <v>26</v>
      </c>
      <c r="B44" s="219" t="str">
        <f t="shared" si="1"/>
        <v>26x38F</v>
      </c>
      <c r="C44" s="125" t="str">
        <f t="shared" si="2"/>
        <v>GBP26x38F_SYNTH1Y_Quote</v>
      </c>
      <c r="D44" s="125" t="str">
        <f>_xll.qlSimpleQuote(C44,,RateTickValue,Permanent,Trigger,ObjectOverwrite)</f>
        <v>GBP26x38F_SYNTH1Y_Quote#0000</v>
      </c>
      <c r="E44" s="230" t="str">
        <f>_xll.ohRangeRetrieveError(D44)</f>
        <v/>
      </c>
      <c r="F44" s="213"/>
    </row>
    <row r="45" spans="1:6" x14ac:dyDescent="0.2">
      <c r="A45" s="118">
        <v>27</v>
      </c>
      <c r="B45" s="219" t="str">
        <f t="shared" si="1"/>
        <v>27x39F</v>
      </c>
      <c r="C45" s="125" t="str">
        <f t="shared" si="2"/>
        <v>GBP27x39F_SYNTH1Y_Quote</v>
      </c>
      <c r="D45" s="125" t="str">
        <f>_xll.qlSimpleQuote(C45,,RateTickValue,Permanent,Trigger,ObjectOverwrite)</f>
        <v>GBP27x39F_SYNTH1Y_Quote#0000</v>
      </c>
      <c r="E45" s="230" t="str">
        <f>_xll.ohRangeRetrieveError(D45)</f>
        <v/>
      </c>
      <c r="F45" s="213"/>
    </row>
    <row r="46" spans="1:6" x14ac:dyDescent="0.2">
      <c r="A46" s="118">
        <v>28</v>
      </c>
      <c r="B46" s="219" t="str">
        <f t="shared" si="1"/>
        <v>28x40F</v>
      </c>
      <c r="C46" s="125" t="str">
        <f t="shared" si="2"/>
        <v>GBP28x40F_SYNTH1Y_Quote</v>
      </c>
      <c r="D46" s="125" t="str">
        <f>_xll.qlSimpleQuote(C46,,RateTickValue,Permanent,Trigger,ObjectOverwrite)</f>
        <v>GBP28x40F_SYNTH1Y_Quote#0000</v>
      </c>
      <c r="E46" s="230" t="str">
        <f>_xll.ohRangeRetrieveError(D46)</f>
        <v/>
      </c>
      <c r="F46" s="213"/>
    </row>
    <row r="47" spans="1:6" x14ac:dyDescent="0.2">
      <c r="A47" s="118">
        <v>29</v>
      </c>
      <c r="B47" s="219" t="str">
        <f t="shared" si="1"/>
        <v>29x41F</v>
      </c>
      <c r="C47" s="125" t="str">
        <f t="shared" si="2"/>
        <v>GBP29x41F_SYNTH1Y_Quote</v>
      </c>
      <c r="D47" s="125" t="str">
        <f>_xll.qlSimpleQuote(C47,,RateTickValue,Permanent,Trigger,ObjectOverwrite)</f>
        <v>GBP29x41F_SYNTH1Y_Quote#0000</v>
      </c>
      <c r="E47" s="230" t="str">
        <f>_xll.ohRangeRetrieveError(D47)</f>
        <v/>
      </c>
      <c r="F47" s="213"/>
    </row>
    <row r="48" spans="1:6" x14ac:dyDescent="0.2">
      <c r="A48" s="118">
        <v>30</v>
      </c>
      <c r="B48" s="219" t="str">
        <f t="shared" si="1"/>
        <v>30x42F</v>
      </c>
      <c r="C48" s="125" t="str">
        <f t="shared" si="2"/>
        <v>GBP30x42F_SYNTH1Y_Quote</v>
      </c>
      <c r="D48" s="125" t="str">
        <f>_xll.qlSimpleQuote(C48,,RateTickValue,Permanent,Trigger,ObjectOverwrite)</f>
        <v>GBP30x42F_SYNTH1Y_Quote#0000</v>
      </c>
      <c r="E48" s="230" t="str">
        <f>_xll.ohRangeRetrieveError(D48)</f>
        <v/>
      </c>
      <c r="F48" s="213"/>
    </row>
    <row r="49" spans="1:6" x14ac:dyDescent="0.2">
      <c r="A49" s="118">
        <v>31</v>
      </c>
      <c r="B49" s="219" t="str">
        <f t="shared" si="1"/>
        <v>31x43F</v>
      </c>
      <c r="C49" s="125" t="str">
        <f t="shared" si="2"/>
        <v>GBP31x43F_SYNTH1Y_Quote</v>
      </c>
      <c r="D49" s="125" t="str">
        <f>_xll.qlSimpleQuote(C49,,RateTickValue,Permanent,Trigger,ObjectOverwrite)</f>
        <v>GBP31x43F_SYNTH1Y_Quote#0000</v>
      </c>
      <c r="E49" s="230" t="str">
        <f>_xll.ohRangeRetrieveError(D49)</f>
        <v/>
      </c>
      <c r="F49" s="213"/>
    </row>
    <row r="50" spans="1:6" x14ac:dyDescent="0.2">
      <c r="A50" s="118">
        <v>32</v>
      </c>
      <c r="B50" s="219" t="str">
        <f t="shared" si="1"/>
        <v>32x44F</v>
      </c>
      <c r="C50" s="125" t="str">
        <f t="shared" si="2"/>
        <v>GBP32x44F_SYNTH1Y_Quote</v>
      </c>
      <c r="D50" s="125" t="str">
        <f>_xll.qlSimpleQuote(C50,,RateTickValue,Permanent,Trigger,ObjectOverwrite)</f>
        <v>GBP32x44F_SYNTH1Y_Quote#0000</v>
      </c>
      <c r="E50" s="230" t="str">
        <f>_xll.ohRangeRetrieveError(D50)</f>
        <v/>
      </c>
      <c r="F50" s="213"/>
    </row>
    <row r="51" spans="1:6" x14ac:dyDescent="0.2">
      <c r="A51" s="118">
        <v>33</v>
      </c>
      <c r="B51" s="219" t="str">
        <f t="shared" si="1"/>
        <v>33x45F</v>
      </c>
      <c r="C51" s="125" t="str">
        <f t="shared" si="2"/>
        <v>GBP33x45F_SYNTH1Y_Quote</v>
      </c>
      <c r="D51" s="125" t="str">
        <f>_xll.qlSimpleQuote(C51,,RateTickValue,Permanent,Trigger,ObjectOverwrite)</f>
        <v>GBP33x45F_SYNTH1Y_Quote#0000</v>
      </c>
      <c r="E51" s="230" t="str">
        <f>_xll.ohRangeRetrieveError(D51)</f>
        <v/>
      </c>
      <c r="F51" s="213"/>
    </row>
    <row r="52" spans="1:6" x14ac:dyDescent="0.2">
      <c r="A52" s="118">
        <v>34</v>
      </c>
      <c r="B52" s="219" t="str">
        <f t="shared" si="1"/>
        <v>34x46F</v>
      </c>
      <c r="C52" s="125" t="str">
        <f t="shared" si="2"/>
        <v>GBP34x46F_SYNTH1Y_Quote</v>
      </c>
      <c r="D52" s="125" t="str">
        <f>_xll.qlSimpleQuote(C52,,RateTickValue,Permanent,Trigger,ObjectOverwrite)</f>
        <v>GBP34x46F_SYNTH1Y_Quote#0000</v>
      </c>
      <c r="E52" s="230" t="str">
        <f>_xll.ohRangeRetrieveError(D52)</f>
        <v/>
      </c>
      <c r="F52" s="213"/>
    </row>
    <row r="53" spans="1:6" x14ac:dyDescent="0.2">
      <c r="A53" s="118">
        <v>35</v>
      </c>
      <c r="B53" s="219" t="str">
        <f t="shared" si="1"/>
        <v>35x47F</v>
      </c>
      <c r="C53" s="125" t="str">
        <f t="shared" si="2"/>
        <v>GBP35x47F_SYNTH1Y_Quote</v>
      </c>
      <c r="D53" s="125" t="str">
        <f>_xll.qlSimpleQuote(C53,,RateTickValue,Permanent,Trigger,ObjectOverwrite)</f>
        <v>GBP35x47F_SYNTH1Y_Quote#0000</v>
      </c>
      <c r="E53" s="230" t="str">
        <f>_xll.ohRangeRetrieveError(D53)</f>
        <v/>
      </c>
      <c r="F53" s="213"/>
    </row>
    <row r="54" spans="1:6" x14ac:dyDescent="0.2">
      <c r="A54" s="118">
        <v>37</v>
      </c>
      <c r="B54" s="219" t="str">
        <f t="shared" si="1"/>
        <v>37x49F</v>
      </c>
      <c r="C54" s="125" t="str">
        <f t="shared" si="2"/>
        <v>GBP37x49F_SYNTH1Y_Quote</v>
      </c>
      <c r="D54" s="125" t="str">
        <f>_xll.qlSimpleQuote(C54,,RateTickValue,Permanent,Trigger,ObjectOverwrite)</f>
        <v>GBP37x49F_SYNTH1Y_Quote#0000</v>
      </c>
      <c r="E54" s="230" t="str">
        <f>_xll.ohRangeRetrieveError(D54)</f>
        <v/>
      </c>
      <c r="F54" s="213"/>
    </row>
    <row r="55" spans="1:6" x14ac:dyDescent="0.2">
      <c r="A55" s="118">
        <v>38</v>
      </c>
      <c r="B55" s="219" t="str">
        <f t="shared" si="1"/>
        <v>38x50F</v>
      </c>
      <c r="C55" s="125" t="str">
        <f t="shared" si="2"/>
        <v>GBP38x50F_SYNTH1Y_Quote</v>
      </c>
      <c r="D55" s="125" t="str">
        <f>_xll.qlSimpleQuote(C55,,RateTickValue,Permanent,Trigger,ObjectOverwrite)</f>
        <v>GBP38x50F_SYNTH1Y_Quote#0000</v>
      </c>
      <c r="E55" s="230" t="str">
        <f>_xll.ohRangeRetrieveError(D55)</f>
        <v/>
      </c>
      <c r="F55" s="213"/>
    </row>
    <row r="56" spans="1:6" x14ac:dyDescent="0.2">
      <c r="A56" s="118">
        <v>39</v>
      </c>
      <c r="B56" s="219" t="str">
        <f t="shared" si="1"/>
        <v>39x51F</v>
      </c>
      <c r="C56" s="125" t="str">
        <f t="shared" si="2"/>
        <v>GBP39x51F_SYNTH1Y_Quote</v>
      </c>
      <c r="D56" s="125" t="str">
        <f>_xll.qlSimpleQuote(C56,,RateTickValue,Permanent,Trigger,ObjectOverwrite)</f>
        <v>GBP39x51F_SYNTH1Y_Quote#0000</v>
      </c>
      <c r="E56" s="230" t="str">
        <f>_xll.ohRangeRetrieveError(D56)</f>
        <v/>
      </c>
      <c r="F56" s="213"/>
    </row>
    <row r="57" spans="1:6" x14ac:dyDescent="0.2">
      <c r="A57" s="118">
        <v>40</v>
      </c>
      <c r="B57" s="219" t="str">
        <f t="shared" si="1"/>
        <v>40x52F</v>
      </c>
      <c r="C57" s="125" t="str">
        <f t="shared" si="2"/>
        <v>GBP40x52F_SYNTH1Y_Quote</v>
      </c>
      <c r="D57" s="125" t="str">
        <f>_xll.qlSimpleQuote(C57,,RateTickValue,Permanent,Trigger,ObjectOverwrite)</f>
        <v>GBP40x52F_SYNTH1Y_Quote#0000</v>
      </c>
      <c r="E57" s="230" t="str">
        <f>_xll.ohRangeRetrieveError(D57)</f>
        <v/>
      </c>
      <c r="F57" s="213"/>
    </row>
    <row r="58" spans="1:6" x14ac:dyDescent="0.2">
      <c r="A58" s="118">
        <v>41</v>
      </c>
      <c r="B58" s="219" t="str">
        <f t="shared" si="1"/>
        <v>41x53F</v>
      </c>
      <c r="C58" s="125" t="str">
        <f t="shared" si="2"/>
        <v>GBP41x53F_SYNTH1Y_Quote</v>
      </c>
      <c r="D58" s="125" t="str">
        <f>_xll.qlSimpleQuote(C58,,RateTickValue,Permanent,Trigger,ObjectOverwrite)</f>
        <v>GBP41x53F_SYNTH1Y_Quote#0000</v>
      </c>
      <c r="E58" s="230" t="str">
        <f>_xll.ohRangeRetrieveError(D58)</f>
        <v/>
      </c>
      <c r="F58" s="213"/>
    </row>
    <row r="59" spans="1:6" x14ac:dyDescent="0.2">
      <c r="A59" s="118">
        <v>42</v>
      </c>
      <c r="B59" s="219" t="str">
        <f t="shared" si="1"/>
        <v>42x54F</v>
      </c>
      <c r="C59" s="125" t="str">
        <f t="shared" si="2"/>
        <v>GBP42x54F_SYNTH1Y_Quote</v>
      </c>
      <c r="D59" s="125" t="str">
        <f>_xll.qlSimpleQuote(C59,,RateTickValue,Permanent,Trigger,ObjectOverwrite)</f>
        <v>GBP42x54F_SYNTH1Y_Quote#0000</v>
      </c>
      <c r="E59" s="230" t="str">
        <f>_xll.ohRangeRetrieveError(D59)</f>
        <v/>
      </c>
      <c r="F59" s="213"/>
    </row>
    <row r="60" spans="1:6" x14ac:dyDescent="0.2">
      <c r="A60" s="118">
        <v>43</v>
      </c>
      <c r="B60" s="219" t="str">
        <f t="shared" si="1"/>
        <v>43x55F</v>
      </c>
      <c r="C60" s="125" t="str">
        <f t="shared" si="2"/>
        <v>GBP43x55F_SYNTH1Y_Quote</v>
      </c>
      <c r="D60" s="125" t="str">
        <f>_xll.qlSimpleQuote(C60,,RateTickValue,Permanent,Trigger,ObjectOverwrite)</f>
        <v>GBP43x55F_SYNTH1Y_Quote#0000</v>
      </c>
      <c r="E60" s="230" t="str">
        <f>_xll.ohRangeRetrieveError(D60)</f>
        <v/>
      </c>
      <c r="F60" s="213"/>
    </row>
    <row r="61" spans="1:6" x14ac:dyDescent="0.2">
      <c r="A61" s="118">
        <v>44</v>
      </c>
      <c r="B61" s="219" t="str">
        <f t="shared" si="1"/>
        <v>44x56F</v>
      </c>
      <c r="C61" s="125" t="str">
        <f t="shared" si="2"/>
        <v>GBP44x56F_SYNTH1Y_Quote</v>
      </c>
      <c r="D61" s="125" t="str">
        <f>_xll.qlSimpleQuote(C61,,RateTickValue,Permanent,Trigger,ObjectOverwrite)</f>
        <v>GBP44x56F_SYNTH1Y_Quote#0000</v>
      </c>
      <c r="E61" s="230" t="str">
        <f>_xll.ohRangeRetrieveError(D61)</f>
        <v/>
      </c>
      <c r="F61" s="213"/>
    </row>
    <row r="62" spans="1:6" x14ac:dyDescent="0.2">
      <c r="A62" s="118">
        <v>45</v>
      </c>
      <c r="B62" s="219" t="str">
        <f t="shared" si="1"/>
        <v>45x57F</v>
      </c>
      <c r="C62" s="125" t="str">
        <f t="shared" si="2"/>
        <v>GBP45x57F_SYNTH1Y_Quote</v>
      </c>
      <c r="D62" s="125" t="str">
        <f>_xll.qlSimpleQuote(C62,,RateTickValue,Permanent,Trigger,ObjectOverwrite)</f>
        <v>GBP45x57F_SYNTH1Y_Quote#0000</v>
      </c>
      <c r="E62" s="230" t="str">
        <f>_xll.ohRangeRetrieveError(D62)</f>
        <v/>
      </c>
      <c r="F62" s="213"/>
    </row>
    <row r="63" spans="1:6" x14ac:dyDescent="0.2">
      <c r="A63" s="118">
        <v>46</v>
      </c>
      <c r="B63" s="219" t="str">
        <f t="shared" si="1"/>
        <v>46x58F</v>
      </c>
      <c r="C63" s="125" t="str">
        <f t="shared" si="2"/>
        <v>GBP46x58F_SYNTH1Y_Quote</v>
      </c>
      <c r="D63" s="125" t="str">
        <f>_xll.qlSimpleQuote(C63,,RateTickValue,Permanent,Trigger,ObjectOverwrite)</f>
        <v>GBP46x58F_SYNTH1Y_Quote#0000</v>
      </c>
      <c r="E63" s="230" t="str">
        <f>_xll.ohRangeRetrieveError(D63)</f>
        <v/>
      </c>
      <c r="F63" s="213"/>
    </row>
    <row r="64" spans="1:6" x14ac:dyDescent="0.2">
      <c r="A64" s="118">
        <v>47</v>
      </c>
      <c r="B64" s="227" t="str">
        <f t="shared" si="1"/>
        <v>47x59F</v>
      </c>
      <c r="C64" s="114" t="str">
        <f t="shared" si="2"/>
        <v>GBP47x59F_SYNTH1Y_Quote</v>
      </c>
      <c r="D64" s="114" t="str">
        <f>_xll.qlSimpleQuote(C64,,RateTickValue,Permanent,Trigger,ObjectOverwrite)</f>
        <v>GBP47x59F_SYNTH1Y_Quote#0000</v>
      </c>
      <c r="E64" s="226" t="str">
        <f>_xll.ohRangeRetrieveError(D64)</f>
        <v/>
      </c>
      <c r="F64" s="213"/>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240"/>
      <c r="C2" s="241"/>
      <c r="D2" s="240"/>
      <c r="E2" s="240" t="s">
        <v>222</v>
      </c>
      <c r="F2" s="240"/>
      <c r="G2" s="240"/>
      <c r="H2" s="240" t="s">
        <v>221</v>
      </c>
      <c r="I2" s="240" t="s">
        <v>220</v>
      </c>
      <c r="J2" s="239" t="str">
        <f>Currency&amp;"_020_Sw"&amp;$C$3&amp;$D$3&amp;"_Fwd"&amp;$E$3&amp;IF(H3=0,,"_Spr"&amp;$F3&amp;$G3)&amp;".xml"</f>
        <v>GBP_020_SwSB6L_Fwd1w.xml</v>
      </c>
      <c r="K2" s="238" t="e">
        <f ca="1">IF(Serialize,_xll.ohObjectSave(K3:K36,SerializationPath&amp;J2,FileOverwrite,Serialize),"---")</f>
        <v>#NUM!</v>
      </c>
      <c r="L2" s="236" t="e">
        <f ca="1">_xll.ohRangeRetrieveError(K2)</f>
        <v>#NUM!</v>
      </c>
      <c r="M2" s="33"/>
      <c r="O2" s="205"/>
      <c r="P2" s="204"/>
      <c r="Q2" s="204"/>
      <c r="R2" s="204"/>
      <c r="S2" s="204"/>
      <c r="T2" s="203"/>
    </row>
    <row r="3" spans="1:20" x14ac:dyDescent="0.2">
      <c r="A3" s="118"/>
      <c r="B3" s="211"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Currency&amp;$C3&amp;$D3&amp;$B3&amp;"_"&amp;"Fwd"&amp;E3&amp;IF(H3=0,,"_Spr"&amp;$F3&amp;$G3)&amp;QuoteSuffix</f>
        <v>GBPSB6L1Y_Fwd1w_Quote</v>
      </c>
      <c r="K3" s="234"/>
      <c r="L3" s="236" t="str">
        <f>_xll.ohRangeRetrieveError(K3)</f>
        <v/>
      </c>
      <c r="M3" s="33"/>
      <c r="O3" s="83" t="s">
        <v>121</v>
      </c>
      <c r="P3" s="82" t="s">
        <v>212</v>
      </c>
      <c r="Q3" s="82" t="s">
        <v>116</v>
      </c>
      <c r="R3" s="82" t="s">
        <v>219</v>
      </c>
      <c r="S3" s="82"/>
      <c r="T3" s="81"/>
    </row>
    <row r="4" spans="1:20" x14ac:dyDescent="0.2">
      <c r="A4" s="118"/>
      <c r="B4" s="211"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t="e">
        <f>_xll.qlForwardSwapQuote(J4,I4,H4,E4,Permanent,Trigger,ObjectOverwrite)</f>
        <v>#NUM!</v>
      </c>
      <c r="L4" s="236" t="e">
        <f ca="1">_xll.ohRangeRetrieveError(K4)</f>
        <v>#NUM!</v>
      </c>
      <c r="M4" s="33"/>
      <c r="O4" s="83" t="s">
        <v>120</v>
      </c>
      <c r="P4" s="82" t="s">
        <v>212</v>
      </c>
      <c r="Q4" s="82" t="s">
        <v>118</v>
      </c>
      <c r="R4" s="82" t="s">
        <v>219</v>
      </c>
      <c r="S4" s="82"/>
      <c r="T4" s="81"/>
    </row>
    <row r="5" spans="1:20" x14ac:dyDescent="0.2">
      <c r="A5" s="118"/>
      <c r="B5" s="211"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t="e">
        <f>_xll.qlForwardSwapQuote(J5,I5,H5,E5,Permanent,Trigger,ObjectOverwrite)</f>
        <v>#NUM!</v>
      </c>
      <c r="L5" s="236" t="e">
        <f ca="1">_xll.ohRangeRetrieveError(K5)</f>
        <v>#NUM!</v>
      </c>
      <c r="M5" s="33"/>
      <c r="O5" s="83" t="s">
        <v>96</v>
      </c>
      <c r="P5" s="82" t="s">
        <v>211</v>
      </c>
      <c r="Q5" s="82" t="s">
        <v>116</v>
      </c>
      <c r="R5" s="82" t="s">
        <v>219</v>
      </c>
      <c r="S5" s="82"/>
      <c r="T5" s="81"/>
    </row>
    <row r="6" spans="1:20" x14ac:dyDescent="0.2">
      <c r="A6" s="118"/>
      <c r="B6" s="211"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t="e">
        <f>_xll.qlForwardSwapQuote(J6,I6,H6,E6,Permanent,Trigger,ObjectOverwrite)</f>
        <v>#NUM!</v>
      </c>
      <c r="L6" s="236" t="e">
        <f ca="1">_xll.ohRangeRetrieveError(K6)</f>
        <v>#NUM!</v>
      </c>
      <c r="M6" s="33"/>
      <c r="O6" s="83" t="s">
        <v>117</v>
      </c>
      <c r="P6" s="82" t="s">
        <v>211</v>
      </c>
      <c r="Q6" s="82" t="s">
        <v>116</v>
      </c>
      <c r="R6" s="82" t="s">
        <v>219</v>
      </c>
      <c r="S6" s="82"/>
      <c r="T6" s="81"/>
    </row>
    <row r="7" spans="1:20" ht="12" thickBot="1" x14ac:dyDescent="0.25">
      <c r="A7" s="118"/>
      <c r="B7" s="211"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t="e">
        <f>_xll.qlForwardSwapQuote(J7,I7,H7,E7,Permanent,Trigger,ObjectOverwrite)</f>
        <v>#NUM!</v>
      </c>
      <c r="L7" s="236" t="e">
        <f ca="1">_xll.ohRangeRetrieveError(K7)</f>
        <v>#NUM!</v>
      </c>
      <c r="M7" s="33"/>
      <c r="O7" s="80" t="s">
        <v>115</v>
      </c>
      <c r="P7" s="79" t="s">
        <v>210</v>
      </c>
      <c r="Q7" s="79" t="s">
        <v>114</v>
      </c>
      <c r="R7" s="79" t="s">
        <v>219</v>
      </c>
      <c r="S7" s="79"/>
      <c r="T7" s="78"/>
    </row>
    <row r="8" spans="1:20" x14ac:dyDescent="0.2">
      <c r="A8" s="118"/>
      <c r="B8" s="211"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t="e">
        <f>_xll.qlForwardSwapQuote(J8,I8,H8,E8,Permanent,Trigger,ObjectOverwrite)</f>
        <v>#NUM!</v>
      </c>
      <c r="L8" s="236" t="e">
        <f ca="1">_xll.ohRangeRetrieveError(K8)</f>
        <v>#NUM!</v>
      </c>
      <c r="M8" s="33"/>
    </row>
    <row r="9" spans="1:20" x14ac:dyDescent="0.2">
      <c r="A9" s="118"/>
      <c r="B9" s="211"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t="e">
        <f>_xll.qlForwardSwapQuote(J9,I9,H9,E9,Permanent,Trigger,ObjectOverwrite)</f>
        <v>#NUM!</v>
      </c>
      <c r="L9" s="236" t="e">
        <f ca="1">_xll.ohRangeRetrieveError(K9)</f>
        <v>#NUM!</v>
      </c>
      <c r="M9" s="33"/>
    </row>
    <row r="10" spans="1:20" x14ac:dyDescent="0.2">
      <c r="A10" s="118"/>
      <c r="B10" s="211"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t="e">
        <f>_xll.qlForwardSwapQuote(J10,I10,H10,E10,Permanent,Trigger,ObjectOverwrite)</f>
        <v>#NUM!</v>
      </c>
      <c r="L10" s="236" t="e">
        <f ca="1">_xll.ohRangeRetrieveError(K10)</f>
        <v>#NUM!</v>
      </c>
      <c r="M10" s="33"/>
    </row>
    <row r="11" spans="1:20" x14ac:dyDescent="0.2">
      <c r="A11" s="118"/>
      <c r="B11" s="211"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t="e">
        <f>_xll.qlForwardSwapQuote(J11,I11,H11,E11,Permanent,Trigger,ObjectOverwrite)</f>
        <v>#NUM!</v>
      </c>
      <c r="L11" s="236" t="e">
        <f ca="1">_xll.ohRangeRetrieveError(K11)</f>
        <v>#NUM!</v>
      </c>
      <c r="M11" s="33"/>
    </row>
    <row r="12" spans="1:20" x14ac:dyDescent="0.2">
      <c r="A12" s="118"/>
      <c r="B12" s="211"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t="e">
        <f>_xll.qlForwardSwapQuote(J12,I12,H12,E12,Permanent,Trigger,ObjectOverwrite)</f>
        <v>#NUM!</v>
      </c>
      <c r="L12" s="236" t="e">
        <f ca="1">_xll.ohRangeRetrieveError(K12)</f>
        <v>#NUM!</v>
      </c>
      <c r="M12" s="33"/>
    </row>
    <row r="13" spans="1:20" x14ac:dyDescent="0.2">
      <c r="A13" s="118"/>
      <c r="B13" s="211"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t="e">
        <f>_xll.qlForwardSwapQuote(J13,I13,H13,E13,Permanent,Trigger,ObjectOverwrite)</f>
        <v>#NUM!</v>
      </c>
      <c r="L13" s="236" t="e">
        <f ca="1">_xll.ohRangeRetrieveError(K13)</f>
        <v>#NUM!</v>
      </c>
      <c r="M13" s="33"/>
    </row>
    <row r="14" spans="1:20" x14ac:dyDescent="0.2">
      <c r="A14" s="118"/>
      <c r="B14" s="211"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t="e">
        <f>_xll.qlForwardSwapQuote(J14,I14,H14,E14,Permanent,Trigger,ObjectOverwrite)</f>
        <v>#NUM!</v>
      </c>
      <c r="L14" s="236" t="e">
        <f ca="1">_xll.ohRangeRetrieveError(K14)</f>
        <v>#NUM!</v>
      </c>
      <c r="M14" s="33"/>
    </row>
    <row r="15" spans="1:20" x14ac:dyDescent="0.2">
      <c r="A15" s="118"/>
      <c r="B15" s="211"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t="e">
        <f>_xll.qlForwardSwapQuote(J15,I15,H15,E15,Permanent,Trigger,ObjectOverwrite)</f>
        <v>#NUM!</v>
      </c>
      <c r="L15" s="236" t="e">
        <f ca="1">_xll.ohRangeRetrieveError(K15)</f>
        <v>#NUM!</v>
      </c>
      <c r="M15" s="33"/>
    </row>
    <row r="16" spans="1:20" x14ac:dyDescent="0.2">
      <c r="A16" s="118"/>
      <c r="B16" s="211"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t="e">
        <f>_xll.qlForwardSwapQuote(J16,I16,H16,E16,Permanent,Trigger,ObjectOverwrite)</f>
        <v>#NUM!</v>
      </c>
      <c r="L16" s="236" t="e">
        <f ca="1">_xll.ohRangeRetrieveError(K16)</f>
        <v>#NUM!</v>
      </c>
      <c r="M16" s="33"/>
    </row>
    <row r="17" spans="1:13" x14ac:dyDescent="0.2">
      <c r="A17" s="118"/>
      <c r="B17" s="211"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t="e">
        <f>_xll.qlForwardSwapQuote(J17,I17,H17,E17,Permanent,Trigger,ObjectOverwrite)</f>
        <v>#NUM!</v>
      </c>
      <c r="L17" s="236" t="e">
        <f ca="1">_xll.ohRangeRetrieveError(K17)</f>
        <v>#NUM!</v>
      </c>
      <c r="M17" s="33"/>
    </row>
    <row r="18" spans="1:13" x14ac:dyDescent="0.2">
      <c r="A18" s="118"/>
      <c r="B18" s="211"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t="e">
        <f>_xll.qlForwardSwapQuote(J18,I18,H18,E18,Permanent,Trigger,ObjectOverwrite)</f>
        <v>#NUM!</v>
      </c>
      <c r="L18" s="236" t="e">
        <f ca="1">_xll.ohRangeRetrieveError(K18)</f>
        <v>#NUM!</v>
      </c>
      <c r="M18" s="33"/>
    </row>
    <row r="19" spans="1:13" x14ac:dyDescent="0.2">
      <c r="A19" s="118"/>
      <c r="B19" s="211"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t="e">
        <f>_xll.qlForwardSwapQuote(J19,I19,H19,E19,Permanent,Trigger,ObjectOverwrite)</f>
        <v>#NUM!</v>
      </c>
      <c r="L19" s="236" t="e">
        <f ca="1">_xll.ohRangeRetrieveError(K19)</f>
        <v>#NUM!</v>
      </c>
      <c r="M19" s="33"/>
    </row>
    <row r="20" spans="1:13" x14ac:dyDescent="0.2">
      <c r="A20" s="118"/>
      <c r="B20" s="211"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t="e">
        <f>_xll.qlForwardSwapQuote(J20,I20,H20,E20,Permanent,Trigger,ObjectOverwrite)</f>
        <v>#NUM!</v>
      </c>
      <c r="L20" s="236" t="e">
        <f ca="1">_xll.ohRangeRetrieveError(K20)</f>
        <v>#NUM!</v>
      </c>
      <c r="M20" s="33"/>
    </row>
    <row r="21" spans="1:13" x14ac:dyDescent="0.2">
      <c r="A21" s="118"/>
      <c r="B21" s="211"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t="e">
        <f>_xll.qlForwardSwapQuote(J21,I21,H21,E21,Permanent,Trigger,ObjectOverwrite)</f>
        <v>#NUM!</v>
      </c>
      <c r="L21" s="236" t="e">
        <f ca="1">_xll.ohRangeRetrieveError(K21)</f>
        <v>#NUM!</v>
      </c>
      <c r="M21" s="33"/>
    </row>
    <row r="22" spans="1:13" x14ac:dyDescent="0.2">
      <c r="A22" s="118"/>
      <c r="B22" s="211"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t="e">
        <f>_xll.qlForwardSwapQuote(J22,I22,H22,E22,Permanent,Trigger,ObjectOverwrite)</f>
        <v>#NUM!</v>
      </c>
      <c r="L22" s="236" t="e">
        <f ca="1">_xll.ohRangeRetrieveError(K22)</f>
        <v>#NUM!</v>
      </c>
      <c r="M22" s="33"/>
    </row>
    <row r="23" spans="1:13" x14ac:dyDescent="0.2">
      <c r="A23" s="118"/>
      <c r="B23" s="211"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t="e">
        <f>_xll.qlForwardSwapQuote(J23,I23,H23,E23,Permanent,Trigger,ObjectOverwrite)</f>
        <v>#NUM!</v>
      </c>
      <c r="L23" s="236" t="e">
        <f ca="1">_xll.ohRangeRetrieveError(K23)</f>
        <v>#NUM!</v>
      </c>
      <c r="M23" s="33"/>
    </row>
    <row r="24" spans="1:13" x14ac:dyDescent="0.2">
      <c r="A24" s="118"/>
      <c r="B24" s="211"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t="e">
        <f>_xll.qlForwardSwapQuote(J24,I24,H24,E24,Permanent,Trigger,ObjectOverwrite)</f>
        <v>#NUM!</v>
      </c>
      <c r="L24" s="236" t="e">
        <f ca="1">_xll.ohRangeRetrieveError(K24)</f>
        <v>#NUM!</v>
      </c>
      <c r="M24" s="33"/>
    </row>
    <row r="25" spans="1:13" x14ac:dyDescent="0.2">
      <c r="A25" s="118"/>
      <c r="B25" s="211"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t="e">
        <f>_xll.qlForwardSwapQuote(J25,I25,H25,E25,Permanent,Trigger,ObjectOverwrite)</f>
        <v>#NUM!</v>
      </c>
      <c r="L25" s="236" t="e">
        <f ca="1">_xll.ohRangeRetrieveError(K25)</f>
        <v>#NUM!</v>
      </c>
      <c r="M25" s="33"/>
    </row>
    <row r="26" spans="1:13" x14ac:dyDescent="0.2">
      <c r="A26" s="118"/>
      <c r="B26" s="211"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t="e">
        <f>_xll.qlForwardSwapQuote(J26,I26,H26,E26,Permanent,Trigger,ObjectOverwrite)</f>
        <v>#NUM!</v>
      </c>
      <c r="L26" s="236" t="e">
        <f ca="1">_xll.ohRangeRetrieveError(K26)</f>
        <v>#NUM!</v>
      </c>
      <c r="M26" s="33"/>
    </row>
    <row r="27" spans="1:13" x14ac:dyDescent="0.2">
      <c r="A27" s="118"/>
      <c r="B27" s="211"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t="e">
        <f>_xll.qlForwardSwapQuote(J27,I27,H27,E27,Permanent,Trigger,ObjectOverwrite)</f>
        <v>#NUM!</v>
      </c>
      <c r="L27" s="236" t="e">
        <f ca="1">_xll.ohRangeRetrieveError(K27)</f>
        <v>#NUM!</v>
      </c>
      <c r="M27" s="33"/>
    </row>
    <row r="28" spans="1:13" x14ac:dyDescent="0.2">
      <c r="A28" s="118"/>
      <c r="B28" s="211"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t="e">
        <f>_xll.qlForwardSwapQuote(J28,I28,H28,E28,Permanent,Trigger,ObjectOverwrite)</f>
        <v>#NUM!</v>
      </c>
      <c r="L28" s="236" t="e">
        <f ca="1">_xll.ohRangeRetrieveError(K28)</f>
        <v>#NUM!</v>
      </c>
      <c r="M28" s="33"/>
    </row>
    <row r="29" spans="1:13" x14ac:dyDescent="0.2">
      <c r="A29" s="118"/>
      <c r="B29" s="211"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t="e">
        <f>_xll.qlForwardSwapQuote(J29,I29,H29,E29,Permanent,Trigger,ObjectOverwrite)</f>
        <v>#NUM!</v>
      </c>
      <c r="L29" s="236" t="e">
        <f ca="1">_xll.ohRangeRetrieveError(K29)</f>
        <v>#NUM!</v>
      </c>
      <c r="M29" s="33"/>
    </row>
    <row r="30" spans="1:13" x14ac:dyDescent="0.2">
      <c r="A30" s="118"/>
      <c r="B30" s="211"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t="e">
        <f>_xll.qlForwardSwapQuote(J30,I30,H30,E30,Permanent,Trigger,ObjectOverwrite)</f>
        <v>#NUM!</v>
      </c>
      <c r="L30" s="236" t="e">
        <f ca="1">_xll.ohRangeRetrieveError(K30)</f>
        <v>#NUM!</v>
      </c>
      <c r="M30" s="33"/>
    </row>
    <row r="31" spans="1:13" x14ac:dyDescent="0.2">
      <c r="A31" s="118"/>
      <c r="B31" s="211"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t="e">
        <f>_xll.qlForwardSwapQuote(J31,I31,H31,E31,Permanent,Trigger,ObjectOverwrite)</f>
        <v>#NUM!</v>
      </c>
      <c r="L31" s="236" t="e">
        <f ca="1">_xll.ohRangeRetrieveError(K31)</f>
        <v>#NUM!</v>
      </c>
      <c r="M31" s="33"/>
    </row>
    <row r="32" spans="1:13" x14ac:dyDescent="0.2">
      <c r="A32" s="118"/>
      <c r="B32" s="211"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t="e">
        <f>_xll.qlForwardSwapQuote(J32,I32,H32,E32,Permanent,Trigger,ObjectOverwrite)</f>
        <v>#NUM!</v>
      </c>
      <c r="L32" s="236" t="e">
        <f ca="1">_xll.ohRangeRetrieveError(K32)</f>
        <v>#NUM!</v>
      </c>
      <c r="M32" s="33"/>
    </row>
    <row r="33" spans="1:13" x14ac:dyDescent="0.2">
      <c r="A33" s="118"/>
      <c r="B33" s="211"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t="e">
        <f>_xll.qlForwardSwapQuote(J33,I33,H33,E33,Permanent,Trigger,ObjectOverwrite)</f>
        <v>#NUM!</v>
      </c>
      <c r="L33" s="236" t="e">
        <f ca="1">_xll.ohRangeRetrieveError(K33)</f>
        <v>#NUM!</v>
      </c>
      <c r="M33" s="33"/>
    </row>
    <row r="34" spans="1:13" x14ac:dyDescent="0.2">
      <c r="A34" s="118"/>
      <c r="B34" s="211"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t="e">
        <f>_xll.qlForwardSwapQuote(J34,I34,H34,E34,Permanent,Trigger,ObjectOverwrite)</f>
        <v>#NUM!</v>
      </c>
      <c r="L34" s="236" t="e">
        <f ca="1">_xll.ohRangeRetrieveError(K34)</f>
        <v>#NUM!</v>
      </c>
      <c r="M34" s="33"/>
    </row>
    <row r="35" spans="1:13" x14ac:dyDescent="0.2">
      <c r="A35" s="118"/>
      <c r="B35" s="211"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t="e">
        <f>_xll.qlForwardSwapQuote(J35,I35,H35,E35,Permanent,Trigger,ObjectOverwrite)</f>
        <v>#NUM!</v>
      </c>
      <c r="L35" s="236" t="e">
        <f ca="1">_xll.ohRangeRetrieveError(K35)</f>
        <v>#NUM!</v>
      </c>
      <c r="M35" s="33"/>
    </row>
    <row r="36" spans="1:13" x14ac:dyDescent="0.2">
      <c r="A36" s="118"/>
      <c r="B36" s="211"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t="e">
        <f>_xll.qlForwardSwapQuote(J36,I36,H36,E36,Permanent,Trigger,ObjectOverwrite)</f>
        <v>#NUM!</v>
      </c>
      <c r="L36" s="72" t="e">
        <f ca="1">_xll.ohRangeRetrieveError(K36)</f>
        <v>#NUM!</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Currency&amp;$C3&amp;$D3&amp;$B3&amp;"_"&amp;"Fwd"&amp;E3&amp;IF(H3=0,,"_S"&amp;$F3&amp;$G3)&amp;QuoteSuffix</f>
        <v>GBPSB6L1Y_Fwd1w_Quote</v>
      </c>
      <c r="K3" s="234"/>
      <c r="L3" s="242" t="str">
        <f>_xll.ohRangeRetrieveError(K3)</f>
        <v/>
      </c>
      <c r="M3" s="33"/>
      <c r="O3" s="83" t="s">
        <v>121</v>
      </c>
      <c r="P3" s="82" t="s">
        <v>212</v>
      </c>
      <c r="Q3" s="82" t="s">
        <v>116</v>
      </c>
      <c r="R3" s="82" t="s">
        <v>219</v>
      </c>
      <c r="S3" s="82"/>
      <c r="T3" s="81"/>
    </row>
    <row r="4" spans="1:20" x14ac:dyDescent="0.2">
      <c r="A4" s="118"/>
      <c r="B4" s="76"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c r="L4" s="242" t="str">
        <f>_xll.ohRangeRetrieveError(K4)</f>
        <v/>
      </c>
      <c r="M4" s="33"/>
      <c r="O4" s="83" t="s">
        <v>120</v>
      </c>
      <c r="P4" s="82" t="s">
        <v>212</v>
      </c>
      <c r="Q4" s="82" t="s">
        <v>118</v>
      </c>
      <c r="R4" s="82" t="s">
        <v>219</v>
      </c>
      <c r="S4" s="82"/>
      <c r="T4" s="81"/>
    </row>
    <row r="5" spans="1:20" x14ac:dyDescent="0.2">
      <c r="A5" s="118"/>
      <c r="B5" s="76"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c r="L5" s="242" t="str">
        <f>_xll.ohRangeRetrieveError(K5)</f>
        <v/>
      </c>
      <c r="M5" s="33"/>
      <c r="O5" s="83" t="s">
        <v>96</v>
      </c>
      <c r="P5" s="82" t="s">
        <v>211</v>
      </c>
      <c r="Q5" s="82" t="s">
        <v>116</v>
      </c>
      <c r="R5" s="82" t="s">
        <v>219</v>
      </c>
      <c r="S5" s="82"/>
      <c r="T5" s="81"/>
    </row>
    <row r="6" spans="1:20" x14ac:dyDescent="0.2">
      <c r="A6" s="118"/>
      <c r="B6" s="76"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c r="L6" s="242" t="str">
        <f>_xll.ohRangeRetrieveError(K6)</f>
        <v/>
      </c>
      <c r="M6" s="33"/>
      <c r="O6" s="83" t="s">
        <v>117</v>
      </c>
      <c r="P6" s="82" t="s">
        <v>211</v>
      </c>
      <c r="Q6" s="82" t="s">
        <v>116</v>
      </c>
      <c r="R6" s="82" t="s">
        <v>219</v>
      </c>
      <c r="S6" s="82"/>
      <c r="T6" s="81"/>
    </row>
    <row r="7" spans="1:20" ht="12" thickBot="1" x14ac:dyDescent="0.25">
      <c r="A7" s="118"/>
      <c r="B7" s="76"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c r="L7" s="242" t="str">
        <f>_xll.ohRangeRetrieveError(K7)</f>
        <v/>
      </c>
      <c r="M7" s="33"/>
      <c r="O7" s="80" t="s">
        <v>115</v>
      </c>
      <c r="P7" s="79" t="s">
        <v>210</v>
      </c>
      <c r="Q7" s="243" t="s">
        <v>116</v>
      </c>
      <c r="R7" s="79" t="s">
        <v>219</v>
      </c>
      <c r="S7" s="79"/>
      <c r="T7" s="78"/>
    </row>
    <row r="8" spans="1:20" x14ac:dyDescent="0.2">
      <c r="A8" s="118"/>
      <c r="B8" s="76"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c r="L8" s="242" t="str">
        <f>_xll.ohRangeRetrieveError(K8)</f>
        <v/>
      </c>
      <c r="M8" s="33"/>
    </row>
    <row r="9" spans="1:20" x14ac:dyDescent="0.2">
      <c r="A9" s="118"/>
      <c r="B9" s="76"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c r="L9" s="242" t="str">
        <f>_xll.ohRangeRetrieveError(K9)</f>
        <v/>
      </c>
      <c r="M9" s="33"/>
    </row>
    <row r="10" spans="1:20" x14ac:dyDescent="0.2">
      <c r="A10" s="118"/>
      <c r="B10" s="76"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c r="L10" s="242" t="str">
        <f>_xll.ohRangeRetrieveError(K10)</f>
        <v/>
      </c>
      <c r="M10" s="33"/>
    </row>
    <row r="11" spans="1:20" x14ac:dyDescent="0.2">
      <c r="A11" s="118"/>
      <c r="B11" s="76"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c r="L11" s="242" t="str">
        <f>_xll.ohRangeRetrieveError(K11)</f>
        <v/>
      </c>
      <c r="M11" s="33"/>
    </row>
    <row r="12" spans="1:20" x14ac:dyDescent="0.2">
      <c r="A12" s="118"/>
      <c r="B12" s="76"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c r="L12" s="242" t="str">
        <f>_xll.ohRangeRetrieveError(K12)</f>
        <v/>
      </c>
      <c r="M12" s="33"/>
    </row>
    <row r="13" spans="1:20" x14ac:dyDescent="0.2">
      <c r="A13" s="118"/>
      <c r="B13" s="76"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c r="L13" s="242" t="str">
        <f>_xll.ohRangeRetrieveError(K13)</f>
        <v/>
      </c>
      <c r="M13" s="33"/>
    </row>
    <row r="14" spans="1:20" x14ac:dyDescent="0.2">
      <c r="A14" s="118"/>
      <c r="B14" s="76"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c r="L14" s="242" t="str">
        <f>_xll.ohRangeRetrieveError(K14)</f>
        <v/>
      </c>
      <c r="M14" s="33"/>
    </row>
    <row r="15" spans="1:20" x14ac:dyDescent="0.2">
      <c r="A15" s="118"/>
      <c r="B15" s="76"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c r="L15" s="242" t="str">
        <f>_xll.ohRangeRetrieveError(K15)</f>
        <v/>
      </c>
      <c r="M15" s="33"/>
    </row>
    <row r="16" spans="1:20" x14ac:dyDescent="0.2">
      <c r="A16" s="118"/>
      <c r="B16" s="76"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c r="L16" s="242" t="str">
        <f>_xll.ohRangeRetrieveError(K16)</f>
        <v/>
      </c>
      <c r="M16" s="33"/>
    </row>
    <row r="17" spans="1:13" x14ac:dyDescent="0.2">
      <c r="A17" s="118"/>
      <c r="B17" s="76"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c r="L17" s="242" t="str">
        <f>_xll.ohRangeRetrieveError(K17)</f>
        <v/>
      </c>
      <c r="M17" s="33"/>
    </row>
    <row r="18" spans="1:13" x14ac:dyDescent="0.2">
      <c r="A18" s="118"/>
      <c r="B18" s="76"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c r="L18" s="242" t="str">
        <f>_xll.ohRangeRetrieveError(K18)</f>
        <v/>
      </c>
      <c r="M18" s="33"/>
    </row>
    <row r="19" spans="1:13" x14ac:dyDescent="0.2">
      <c r="A19" s="118"/>
      <c r="B19" s="76"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c r="L19" s="242" t="str">
        <f>_xll.ohRangeRetrieveError(K19)</f>
        <v/>
      </c>
      <c r="M19" s="33"/>
    </row>
    <row r="20" spans="1:13" x14ac:dyDescent="0.2">
      <c r="A20" s="118"/>
      <c r="B20" s="76"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c r="L20" s="242" t="str">
        <f>_xll.ohRangeRetrieveError(K20)</f>
        <v/>
      </c>
      <c r="M20" s="33"/>
    </row>
    <row r="21" spans="1:13" x14ac:dyDescent="0.2">
      <c r="A21" s="118"/>
      <c r="B21" s="76"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c r="L21" s="242" t="str">
        <f>_xll.ohRangeRetrieveError(K21)</f>
        <v/>
      </c>
      <c r="M21" s="33"/>
    </row>
    <row r="22" spans="1:13" x14ac:dyDescent="0.2">
      <c r="A22" s="118"/>
      <c r="B22" s="76"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c r="L22" s="242" t="str">
        <f>_xll.ohRangeRetrieveError(K22)</f>
        <v/>
      </c>
      <c r="M22" s="33"/>
    </row>
    <row r="23" spans="1:13" x14ac:dyDescent="0.2">
      <c r="A23" s="118"/>
      <c r="B23" s="76"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c r="L23" s="242" t="str">
        <f>_xll.ohRangeRetrieveError(K23)</f>
        <v/>
      </c>
      <c r="M23" s="33"/>
    </row>
    <row r="24" spans="1:13" x14ac:dyDescent="0.2">
      <c r="A24" s="118"/>
      <c r="B24" s="76"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c r="L24" s="242" t="str">
        <f>_xll.ohRangeRetrieveError(K24)</f>
        <v/>
      </c>
      <c r="M24" s="33"/>
    </row>
    <row r="25" spans="1:13" x14ac:dyDescent="0.2">
      <c r="A25" s="118"/>
      <c r="B25" s="76"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c r="L25" s="242" t="str">
        <f>_xll.ohRangeRetrieveError(K25)</f>
        <v/>
      </c>
      <c r="M25" s="33"/>
    </row>
    <row r="26" spans="1:13" x14ac:dyDescent="0.2">
      <c r="A26" s="118"/>
      <c r="B26" s="76"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c r="L26" s="242" t="str">
        <f>_xll.ohRangeRetrieveError(K26)</f>
        <v/>
      </c>
      <c r="M26" s="33"/>
    </row>
    <row r="27" spans="1:13" x14ac:dyDescent="0.2">
      <c r="A27" s="118"/>
      <c r="B27" s="76"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c r="L27" s="242" t="str">
        <f>_xll.ohRangeRetrieveError(K27)</f>
        <v/>
      </c>
      <c r="M27" s="33"/>
    </row>
    <row r="28" spans="1:13" x14ac:dyDescent="0.2">
      <c r="A28" s="118"/>
      <c r="B28" s="76"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c r="L28" s="242" t="str">
        <f>_xll.ohRangeRetrieveError(K28)</f>
        <v/>
      </c>
      <c r="M28" s="33"/>
    </row>
    <row r="29" spans="1:13" x14ac:dyDescent="0.2">
      <c r="A29" s="118"/>
      <c r="B29" s="76"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c r="L29" s="242" t="str">
        <f>_xll.ohRangeRetrieveError(K29)</f>
        <v/>
      </c>
      <c r="M29" s="33"/>
    </row>
    <row r="30" spans="1:13" x14ac:dyDescent="0.2">
      <c r="A30" s="118"/>
      <c r="B30" s="76"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c r="L30" s="242" t="str">
        <f>_xll.ohRangeRetrieveError(K30)</f>
        <v/>
      </c>
      <c r="M30" s="33"/>
    </row>
    <row r="31" spans="1:13" x14ac:dyDescent="0.2">
      <c r="A31" s="118"/>
      <c r="B31" s="76"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c r="L31" s="242" t="str">
        <f>_xll.ohRangeRetrieveError(K31)</f>
        <v/>
      </c>
      <c r="M31" s="33"/>
    </row>
    <row r="32" spans="1:13" x14ac:dyDescent="0.2">
      <c r="A32" s="118"/>
      <c r="B32" s="76"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c r="L32" s="242" t="str">
        <f>_xll.ohRangeRetrieveError(K32)</f>
        <v/>
      </c>
      <c r="M32" s="33"/>
    </row>
    <row r="33" spans="1:13" x14ac:dyDescent="0.2">
      <c r="A33" s="118"/>
      <c r="B33" s="76"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c r="L33" s="242" t="str">
        <f>_xll.ohRangeRetrieveError(K33)</f>
        <v/>
      </c>
      <c r="M33" s="33"/>
    </row>
    <row r="34" spans="1:13" x14ac:dyDescent="0.2">
      <c r="A34" s="118"/>
      <c r="B34" s="76"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c r="L34" s="242" t="str">
        <f>_xll.ohRangeRetrieveError(K34)</f>
        <v/>
      </c>
      <c r="M34" s="33"/>
    </row>
    <row r="35" spans="1:13" x14ac:dyDescent="0.2">
      <c r="A35" s="118"/>
      <c r="B35" s="76"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c r="L35" s="242" t="str">
        <f>_xll.ohRangeRetrieveError(K35)</f>
        <v/>
      </c>
      <c r="M35" s="33"/>
    </row>
    <row r="36" spans="1:13" x14ac:dyDescent="0.2">
      <c r="A36" s="118"/>
      <c r="B36" s="76"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3L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c r="J3" s="234" t="str">
        <f t="shared" ref="J3:J36" si="6">Currency&amp;$C3&amp;$D3&amp;$B3&amp;"_"&amp;"Fwd"&amp;E3&amp;IF(H3=0,,"_S"&amp;$F3&amp;$G3)&amp;QuoteSuffix</f>
        <v>GBPSB3L1Y_Fwd1w_Quote</v>
      </c>
      <c r="K3" s="234"/>
      <c r="L3" s="242" t="str">
        <f>_xll.ohRangeRetrieveError(K3)</f>
        <v/>
      </c>
      <c r="M3" s="33"/>
      <c r="O3" s="83" t="s">
        <v>121</v>
      </c>
      <c r="P3" s="82" t="s">
        <v>212</v>
      </c>
      <c r="Q3" s="82" t="s">
        <v>114</v>
      </c>
      <c r="R3" s="82" t="s">
        <v>219</v>
      </c>
      <c r="S3" s="82"/>
      <c r="T3" s="81"/>
    </row>
    <row r="4" spans="1:20" x14ac:dyDescent="0.2">
      <c r="A4" s="118"/>
      <c r="B4" s="76" t="s">
        <v>85</v>
      </c>
      <c r="C4" s="187" t="str">
        <f t="shared" si="0"/>
        <v>SB</v>
      </c>
      <c r="D4" s="187" t="str">
        <f t="shared" si="1"/>
        <v>3L</v>
      </c>
      <c r="E4" s="187" t="str">
        <f t="shared" si="2"/>
        <v>1w</v>
      </c>
      <c r="F4" s="187">
        <f t="shared" si="3"/>
        <v>0</v>
      </c>
      <c r="G4" s="187">
        <f t="shared" si="4"/>
        <v>0</v>
      </c>
      <c r="H4" s="235">
        <f t="shared" si="5"/>
        <v>0</v>
      </c>
      <c r="I4" s="102"/>
      <c r="J4" s="234" t="str">
        <f t="shared" si="6"/>
        <v>GBPSB3L2Y_Fwd1w_Quote</v>
      </c>
      <c r="K4" s="234"/>
      <c r="L4" s="242" t="str">
        <f>_xll.ohRangeRetrieveError(K4)</f>
        <v/>
      </c>
      <c r="M4" s="33"/>
      <c r="O4" s="83" t="s">
        <v>120</v>
      </c>
      <c r="P4" s="82" t="s">
        <v>212</v>
      </c>
      <c r="Q4" s="244" t="s">
        <v>126</v>
      </c>
      <c r="R4" s="82" t="s">
        <v>219</v>
      </c>
      <c r="S4" s="82" t="s">
        <v>126</v>
      </c>
      <c r="T4" s="81" t="s">
        <v>118</v>
      </c>
    </row>
    <row r="5" spans="1:20" x14ac:dyDescent="0.2">
      <c r="A5" s="118"/>
      <c r="B5" s="76" t="s">
        <v>84</v>
      </c>
      <c r="C5" s="187" t="str">
        <f t="shared" si="0"/>
        <v>SB</v>
      </c>
      <c r="D5" s="187" t="str">
        <f t="shared" si="1"/>
        <v>3L</v>
      </c>
      <c r="E5" s="187" t="str">
        <f t="shared" si="2"/>
        <v>1w</v>
      </c>
      <c r="F5" s="187">
        <f t="shared" si="3"/>
        <v>0</v>
      </c>
      <c r="G5" s="187">
        <f t="shared" si="4"/>
        <v>0</v>
      </c>
      <c r="H5" s="235">
        <f t="shared" si="5"/>
        <v>0</v>
      </c>
      <c r="I5" s="102"/>
      <c r="J5" s="234" t="str">
        <f t="shared" si="6"/>
        <v>GBPSB3L3Y_Fwd1w_Quote</v>
      </c>
      <c r="K5" s="234"/>
      <c r="L5" s="242" t="str">
        <f>_xll.ohRangeRetrieveError(K5)</f>
        <v/>
      </c>
      <c r="M5" s="33"/>
      <c r="O5" s="83" t="s">
        <v>96</v>
      </c>
      <c r="P5" s="82" t="s">
        <v>211</v>
      </c>
      <c r="Q5" s="82" t="s">
        <v>114</v>
      </c>
      <c r="R5" s="82" t="s">
        <v>219</v>
      </c>
      <c r="S5" s="82"/>
      <c r="T5" s="81"/>
    </row>
    <row r="6" spans="1:20" x14ac:dyDescent="0.2">
      <c r="A6" s="118"/>
      <c r="B6" s="76" t="s">
        <v>83</v>
      </c>
      <c r="C6" s="187" t="str">
        <f t="shared" si="0"/>
        <v>SB</v>
      </c>
      <c r="D6" s="187" t="str">
        <f t="shared" si="1"/>
        <v>3L</v>
      </c>
      <c r="E6" s="187" t="str">
        <f t="shared" si="2"/>
        <v>1w</v>
      </c>
      <c r="F6" s="187">
        <f t="shared" si="3"/>
        <v>0</v>
      </c>
      <c r="G6" s="187">
        <f t="shared" si="4"/>
        <v>0</v>
      </c>
      <c r="H6" s="235">
        <f t="shared" si="5"/>
        <v>0</v>
      </c>
      <c r="I6" s="102"/>
      <c r="J6" s="234" t="str">
        <f t="shared" si="6"/>
        <v>GBPSB3L4Y_Fwd1w_Quote</v>
      </c>
      <c r="K6" s="234"/>
      <c r="L6" s="242" t="str">
        <f>_xll.ohRangeRetrieveError(K6)</f>
        <v/>
      </c>
      <c r="M6" s="33"/>
      <c r="O6" s="83" t="s">
        <v>117</v>
      </c>
      <c r="P6" s="82" t="s">
        <v>211</v>
      </c>
      <c r="Q6" s="82" t="s">
        <v>114</v>
      </c>
      <c r="R6" s="82" t="s">
        <v>219</v>
      </c>
      <c r="S6" s="82"/>
      <c r="T6" s="81"/>
    </row>
    <row r="7" spans="1:20" ht="12" thickBot="1" x14ac:dyDescent="0.25">
      <c r="A7" s="118"/>
      <c r="B7" s="76" t="s">
        <v>82</v>
      </c>
      <c r="C7" s="187" t="str">
        <f t="shared" si="0"/>
        <v>SB</v>
      </c>
      <c r="D7" s="187" t="str">
        <f t="shared" si="1"/>
        <v>3L</v>
      </c>
      <c r="E7" s="187" t="str">
        <f t="shared" si="2"/>
        <v>1w</v>
      </c>
      <c r="F7" s="187">
        <f t="shared" si="3"/>
        <v>0</v>
      </c>
      <c r="G7" s="187">
        <f t="shared" si="4"/>
        <v>0</v>
      </c>
      <c r="H7" s="235">
        <f t="shared" si="5"/>
        <v>0</v>
      </c>
      <c r="I7" s="102"/>
      <c r="J7" s="234" t="str">
        <f t="shared" si="6"/>
        <v>GBPSB3L5Y_Fwd1w_Quote</v>
      </c>
      <c r="K7" s="234"/>
      <c r="L7" s="242" t="str">
        <f>_xll.ohRangeRetrieveError(K7)</f>
        <v/>
      </c>
      <c r="M7" s="33"/>
      <c r="O7" s="80" t="s">
        <v>115</v>
      </c>
      <c r="P7" s="79" t="s">
        <v>210</v>
      </c>
      <c r="Q7" s="79" t="s">
        <v>114</v>
      </c>
      <c r="R7" s="79" t="s">
        <v>219</v>
      </c>
      <c r="S7" s="79" t="s">
        <v>116</v>
      </c>
      <c r="T7" s="78" t="s">
        <v>114</v>
      </c>
    </row>
    <row r="8" spans="1:20" x14ac:dyDescent="0.2">
      <c r="A8" s="118"/>
      <c r="B8" s="76" t="s">
        <v>81</v>
      </c>
      <c r="C8" s="187" t="str">
        <f t="shared" si="0"/>
        <v>SB</v>
      </c>
      <c r="D8" s="187" t="str">
        <f t="shared" si="1"/>
        <v>3L</v>
      </c>
      <c r="E8" s="187" t="str">
        <f t="shared" si="2"/>
        <v>1w</v>
      </c>
      <c r="F8" s="187">
        <f t="shared" si="3"/>
        <v>0</v>
      </c>
      <c r="G8" s="187">
        <f t="shared" si="4"/>
        <v>0</v>
      </c>
      <c r="H8" s="235">
        <f t="shared" si="5"/>
        <v>0</v>
      </c>
      <c r="I8" s="102"/>
      <c r="J8" s="234" t="str">
        <f t="shared" si="6"/>
        <v>GBPSB3L6Y_Fwd1w_Quote</v>
      </c>
      <c r="K8" s="234"/>
      <c r="L8" s="242" t="str">
        <f>_xll.ohRangeRetrieveError(K8)</f>
        <v/>
      </c>
      <c r="M8" s="33"/>
    </row>
    <row r="9" spans="1:20" x14ac:dyDescent="0.2">
      <c r="A9" s="118"/>
      <c r="B9" s="76" t="s">
        <v>80</v>
      </c>
      <c r="C9" s="187" t="str">
        <f t="shared" si="0"/>
        <v>SB</v>
      </c>
      <c r="D9" s="187" t="str">
        <f t="shared" si="1"/>
        <v>3L</v>
      </c>
      <c r="E9" s="187" t="str">
        <f t="shared" si="2"/>
        <v>1w</v>
      </c>
      <c r="F9" s="187">
        <f t="shared" si="3"/>
        <v>0</v>
      </c>
      <c r="G9" s="187">
        <f t="shared" si="4"/>
        <v>0</v>
      </c>
      <c r="H9" s="235">
        <f t="shared" si="5"/>
        <v>0</v>
      </c>
      <c r="I9" s="102"/>
      <c r="J9" s="234" t="str">
        <f t="shared" si="6"/>
        <v>GBPSB3L7Y_Fwd1w_Quote</v>
      </c>
      <c r="K9" s="234"/>
      <c r="L9" s="242" t="str">
        <f>_xll.ohRangeRetrieveError(K9)</f>
        <v/>
      </c>
      <c r="M9" s="33"/>
    </row>
    <row r="10" spans="1:20" x14ac:dyDescent="0.2">
      <c r="A10" s="118"/>
      <c r="B10" s="76" t="s">
        <v>79</v>
      </c>
      <c r="C10" s="187" t="str">
        <f t="shared" si="0"/>
        <v>SB</v>
      </c>
      <c r="D10" s="187" t="str">
        <f t="shared" si="1"/>
        <v>3L</v>
      </c>
      <c r="E10" s="187" t="str">
        <f t="shared" si="2"/>
        <v>1w</v>
      </c>
      <c r="F10" s="187">
        <f t="shared" si="3"/>
        <v>0</v>
      </c>
      <c r="G10" s="187">
        <f t="shared" si="4"/>
        <v>0</v>
      </c>
      <c r="H10" s="235">
        <f t="shared" si="5"/>
        <v>0</v>
      </c>
      <c r="I10" s="102"/>
      <c r="J10" s="234" t="str">
        <f t="shared" si="6"/>
        <v>GBPSB3L8Y_Fwd1w_Quote</v>
      </c>
      <c r="K10" s="234"/>
      <c r="L10" s="242" t="str">
        <f>_xll.ohRangeRetrieveError(K10)</f>
        <v/>
      </c>
      <c r="M10" s="33"/>
    </row>
    <row r="11" spans="1:20" x14ac:dyDescent="0.2">
      <c r="A11" s="118"/>
      <c r="B11" s="76" t="s">
        <v>78</v>
      </c>
      <c r="C11" s="187" t="str">
        <f t="shared" si="0"/>
        <v>SB</v>
      </c>
      <c r="D11" s="187" t="str">
        <f t="shared" si="1"/>
        <v>3L</v>
      </c>
      <c r="E11" s="187" t="str">
        <f t="shared" si="2"/>
        <v>1w</v>
      </c>
      <c r="F11" s="187">
        <f t="shared" si="3"/>
        <v>0</v>
      </c>
      <c r="G11" s="187">
        <f t="shared" si="4"/>
        <v>0</v>
      </c>
      <c r="H11" s="235">
        <f t="shared" si="5"/>
        <v>0</v>
      </c>
      <c r="I11" s="102"/>
      <c r="J11" s="234" t="str">
        <f t="shared" si="6"/>
        <v>GBPSB3L9Y_Fwd1w_Quote</v>
      </c>
      <c r="K11" s="234"/>
      <c r="L11" s="242" t="str">
        <f>_xll.ohRangeRetrieveError(K11)</f>
        <v/>
      </c>
      <c r="M11" s="33"/>
    </row>
    <row r="12" spans="1:20" x14ac:dyDescent="0.2">
      <c r="A12" s="118"/>
      <c r="B12" s="76" t="s">
        <v>77</v>
      </c>
      <c r="C12" s="187" t="str">
        <f t="shared" si="0"/>
        <v>SB</v>
      </c>
      <c r="D12" s="187" t="str">
        <f t="shared" si="1"/>
        <v>3L</v>
      </c>
      <c r="E12" s="187" t="str">
        <f t="shared" si="2"/>
        <v>1w</v>
      </c>
      <c r="F12" s="187">
        <f t="shared" si="3"/>
        <v>0</v>
      </c>
      <c r="G12" s="187">
        <f t="shared" si="4"/>
        <v>0</v>
      </c>
      <c r="H12" s="235">
        <f t="shared" si="5"/>
        <v>0</v>
      </c>
      <c r="I12" s="102"/>
      <c r="J12" s="234" t="str">
        <f t="shared" si="6"/>
        <v>GBPSB3L10Y_Fwd1w_Quote</v>
      </c>
      <c r="K12" s="234"/>
      <c r="L12" s="242" t="str">
        <f>_xll.ohRangeRetrieveError(K12)</f>
        <v/>
      </c>
      <c r="M12" s="33"/>
    </row>
    <row r="13" spans="1:20" x14ac:dyDescent="0.2">
      <c r="A13" s="118"/>
      <c r="B13" s="76" t="s">
        <v>76</v>
      </c>
      <c r="C13" s="187" t="str">
        <f t="shared" si="0"/>
        <v>SB</v>
      </c>
      <c r="D13" s="187" t="str">
        <f t="shared" si="1"/>
        <v>3L</v>
      </c>
      <c r="E13" s="187" t="str">
        <f t="shared" si="2"/>
        <v>1w</v>
      </c>
      <c r="F13" s="187">
        <f t="shared" si="3"/>
        <v>0</v>
      </c>
      <c r="G13" s="187">
        <f t="shared" si="4"/>
        <v>0</v>
      </c>
      <c r="H13" s="235">
        <f t="shared" si="5"/>
        <v>0</v>
      </c>
      <c r="I13" s="102"/>
      <c r="J13" s="234" t="str">
        <f t="shared" si="6"/>
        <v>GBPSB3L11Y_Fwd1w_Quote</v>
      </c>
      <c r="K13" s="234"/>
      <c r="L13" s="242" t="str">
        <f>_xll.ohRangeRetrieveError(K13)</f>
        <v/>
      </c>
      <c r="M13" s="33"/>
    </row>
    <row r="14" spans="1:20" x14ac:dyDescent="0.2">
      <c r="A14" s="118"/>
      <c r="B14" s="76" t="s">
        <v>75</v>
      </c>
      <c r="C14" s="187" t="str">
        <f t="shared" si="0"/>
        <v>SB</v>
      </c>
      <c r="D14" s="187" t="str">
        <f t="shared" si="1"/>
        <v>3L</v>
      </c>
      <c r="E14" s="187" t="str">
        <f t="shared" si="2"/>
        <v>1w</v>
      </c>
      <c r="F14" s="187">
        <f t="shared" si="3"/>
        <v>0</v>
      </c>
      <c r="G14" s="187">
        <f t="shared" si="4"/>
        <v>0</v>
      </c>
      <c r="H14" s="235">
        <f t="shared" si="5"/>
        <v>0</v>
      </c>
      <c r="I14" s="102"/>
      <c r="J14" s="234" t="str">
        <f t="shared" si="6"/>
        <v>GBPSB3L12Y_Fwd1w_Quote</v>
      </c>
      <c r="K14" s="234"/>
      <c r="L14" s="242" t="str">
        <f>_xll.ohRangeRetrieveError(K14)</f>
        <v/>
      </c>
      <c r="M14" s="33"/>
    </row>
    <row r="15" spans="1:20" x14ac:dyDescent="0.2">
      <c r="A15" s="118"/>
      <c r="B15" s="76" t="s">
        <v>74</v>
      </c>
      <c r="C15" s="187" t="str">
        <f t="shared" si="0"/>
        <v>SB</v>
      </c>
      <c r="D15" s="187" t="str">
        <f t="shared" si="1"/>
        <v>3L</v>
      </c>
      <c r="E15" s="187" t="str">
        <f t="shared" si="2"/>
        <v>1w</v>
      </c>
      <c r="F15" s="187">
        <f t="shared" si="3"/>
        <v>0</v>
      </c>
      <c r="G15" s="187">
        <f t="shared" si="4"/>
        <v>0</v>
      </c>
      <c r="H15" s="235">
        <f t="shared" si="5"/>
        <v>0</v>
      </c>
      <c r="I15" s="102"/>
      <c r="J15" s="234" t="str">
        <f t="shared" si="6"/>
        <v>GBPSB3L13Y_Fwd1w_Quote</v>
      </c>
      <c r="K15" s="234"/>
      <c r="L15" s="242" t="str">
        <f>_xll.ohRangeRetrieveError(K15)</f>
        <v/>
      </c>
      <c r="M15" s="33"/>
    </row>
    <row r="16" spans="1:20" x14ac:dyDescent="0.2">
      <c r="A16" s="118"/>
      <c r="B16" s="76" t="s">
        <v>73</v>
      </c>
      <c r="C16" s="187" t="str">
        <f t="shared" si="0"/>
        <v>SB</v>
      </c>
      <c r="D16" s="187" t="str">
        <f t="shared" si="1"/>
        <v>3L</v>
      </c>
      <c r="E16" s="187" t="str">
        <f t="shared" si="2"/>
        <v>1w</v>
      </c>
      <c r="F16" s="187">
        <f t="shared" si="3"/>
        <v>0</v>
      </c>
      <c r="G16" s="187">
        <f t="shared" si="4"/>
        <v>0</v>
      </c>
      <c r="H16" s="235">
        <f t="shared" si="5"/>
        <v>0</v>
      </c>
      <c r="I16" s="102"/>
      <c r="J16" s="234" t="str">
        <f t="shared" si="6"/>
        <v>GBPSB3L14Y_Fwd1w_Quote</v>
      </c>
      <c r="K16" s="234"/>
      <c r="L16" s="242" t="str">
        <f>_xll.ohRangeRetrieveError(K16)</f>
        <v/>
      </c>
      <c r="M16" s="33"/>
    </row>
    <row r="17" spans="1:13" x14ac:dyDescent="0.2">
      <c r="A17" s="118"/>
      <c r="B17" s="76" t="s">
        <v>72</v>
      </c>
      <c r="C17" s="187" t="str">
        <f t="shared" si="0"/>
        <v>SB</v>
      </c>
      <c r="D17" s="187" t="str">
        <f t="shared" si="1"/>
        <v>3L</v>
      </c>
      <c r="E17" s="187" t="str">
        <f t="shared" si="2"/>
        <v>1w</v>
      </c>
      <c r="F17" s="187">
        <f t="shared" si="3"/>
        <v>0</v>
      </c>
      <c r="G17" s="187">
        <f t="shared" si="4"/>
        <v>0</v>
      </c>
      <c r="H17" s="235">
        <f t="shared" si="5"/>
        <v>0</v>
      </c>
      <c r="I17" s="102"/>
      <c r="J17" s="234" t="str">
        <f t="shared" si="6"/>
        <v>GBPSB3L15Y_Fwd1w_Quote</v>
      </c>
      <c r="K17" s="234"/>
      <c r="L17" s="242" t="str">
        <f>_xll.ohRangeRetrieveError(K17)</f>
        <v/>
      </c>
      <c r="M17" s="33"/>
    </row>
    <row r="18" spans="1:13" x14ac:dyDescent="0.2">
      <c r="A18" s="118"/>
      <c r="B18" s="76" t="s">
        <v>71</v>
      </c>
      <c r="C18" s="187" t="str">
        <f t="shared" si="0"/>
        <v>SB</v>
      </c>
      <c r="D18" s="187" t="str">
        <f t="shared" si="1"/>
        <v>3L</v>
      </c>
      <c r="E18" s="187" t="str">
        <f t="shared" si="2"/>
        <v>1w</v>
      </c>
      <c r="F18" s="187">
        <f t="shared" si="3"/>
        <v>0</v>
      </c>
      <c r="G18" s="187">
        <f t="shared" si="4"/>
        <v>0</v>
      </c>
      <c r="H18" s="235">
        <f t="shared" si="5"/>
        <v>0</v>
      </c>
      <c r="I18" s="102"/>
      <c r="J18" s="234" t="str">
        <f t="shared" si="6"/>
        <v>GBPSB3L16Y_Fwd1w_Quote</v>
      </c>
      <c r="K18" s="234"/>
      <c r="L18" s="242" t="str">
        <f>_xll.ohRangeRetrieveError(K18)</f>
        <v/>
      </c>
      <c r="M18" s="33"/>
    </row>
    <row r="19" spans="1:13" x14ac:dyDescent="0.2">
      <c r="A19" s="118"/>
      <c r="B19" s="76" t="s">
        <v>70</v>
      </c>
      <c r="C19" s="187" t="str">
        <f t="shared" si="0"/>
        <v>SB</v>
      </c>
      <c r="D19" s="187" t="str">
        <f t="shared" si="1"/>
        <v>3L</v>
      </c>
      <c r="E19" s="187" t="str">
        <f t="shared" si="2"/>
        <v>1w</v>
      </c>
      <c r="F19" s="187">
        <f t="shared" si="3"/>
        <v>0</v>
      </c>
      <c r="G19" s="187">
        <f t="shared" si="4"/>
        <v>0</v>
      </c>
      <c r="H19" s="235">
        <f t="shared" si="5"/>
        <v>0</v>
      </c>
      <c r="I19" s="102"/>
      <c r="J19" s="234" t="str">
        <f t="shared" si="6"/>
        <v>GBPSB3L17Y_Fwd1w_Quote</v>
      </c>
      <c r="K19" s="234"/>
      <c r="L19" s="242" t="str">
        <f>_xll.ohRangeRetrieveError(K19)</f>
        <v/>
      </c>
      <c r="M19" s="33"/>
    </row>
    <row r="20" spans="1:13" x14ac:dyDescent="0.2">
      <c r="A20" s="118"/>
      <c r="B20" s="76" t="s">
        <v>69</v>
      </c>
      <c r="C20" s="187" t="str">
        <f t="shared" si="0"/>
        <v>SB</v>
      </c>
      <c r="D20" s="187" t="str">
        <f t="shared" si="1"/>
        <v>3L</v>
      </c>
      <c r="E20" s="187" t="str">
        <f t="shared" si="2"/>
        <v>1w</v>
      </c>
      <c r="F20" s="187">
        <f t="shared" si="3"/>
        <v>0</v>
      </c>
      <c r="G20" s="187">
        <f t="shared" si="4"/>
        <v>0</v>
      </c>
      <c r="H20" s="235">
        <f t="shared" si="5"/>
        <v>0</v>
      </c>
      <c r="I20" s="102"/>
      <c r="J20" s="234" t="str">
        <f t="shared" si="6"/>
        <v>GBPSB3L18Y_Fwd1w_Quote</v>
      </c>
      <c r="K20" s="234"/>
      <c r="L20" s="242" t="str">
        <f>_xll.ohRangeRetrieveError(K20)</f>
        <v/>
      </c>
      <c r="M20" s="33"/>
    </row>
    <row r="21" spans="1:13" x14ac:dyDescent="0.2">
      <c r="A21" s="118"/>
      <c r="B21" s="76" t="s">
        <v>68</v>
      </c>
      <c r="C21" s="187" t="str">
        <f t="shared" si="0"/>
        <v>SB</v>
      </c>
      <c r="D21" s="187" t="str">
        <f t="shared" si="1"/>
        <v>3L</v>
      </c>
      <c r="E21" s="187" t="str">
        <f t="shared" si="2"/>
        <v>1w</v>
      </c>
      <c r="F21" s="187">
        <f t="shared" si="3"/>
        <v>0</v>
      </c>
      <c r="G21" s="187">
        <f t="shared" si="4"/>
        <v>0</v>
      </c>
      <c r="H21" s="235">
        <f t="shared" si="5"/>
        <v>0</v>
      </c>
      <c r="I21" s="102"/>
      <c r="J21" s="234" t="str">
        <f t="shared" si="6"/>
        <v>GBPSB3L19Y_Fwd1w_Quote</v>
      </c>
      <c r="K21" s="234"/>
      <c r="L21" s="242" t="str">
        <f>_xll.ohRangeRetrieveError(K21)</f>
        <v/>
      </c>
      <c r="M21" s="33"/>
    </row>
    <row r="22" spans="1:13" x14ac:dyDescent="0.2">
      <c r="A22" s="118"/>
      <c r="B22" s="76" t="s">
        <v>67</v>
      </c>
      <c r="C22" s="187" t="str">
        <f t="shared" si="0"/>
        <v>SB</v>
      </c>
      <c r="D22" s="187" t="str">
        <f t="shared" si="1"/>
        <v>3L</v>
      </c>
      <c r="E22" s="187" t="str">
        <f t="shared" si="2"/>
        <v>1w</v>
      </c>
      <c r="F22" s="187">
        <f t="shared" si="3"/>
        <v>0</v>
      </c>
      <c r="G22" s="187">
        <f t="shared" si="4"/>
        <v>0</v>
      </c>
      <c r="H22" s="235">
        <f t="shared" si="5"/>
        <v>0</v>
      </c>
      <c r="I22" s="102"/>
      <c r="J22" s="234" t="str">
        <f t="shared" si="6"/>
        <v>GBPSB3L20Y_Fwd1w_Quote</v>
      </c>
      <c r="K22" s="234"/>
      <c r="L22" s="242" t="str">
        <f>_xll.ohRangeRetrieveError(K22)</f>
        <v/>
      </c>
      <c r="M22" s="33"/>
    </row>
    <row r="23" spans="1:13" x14ac:dyDescent="0.2">
      <c r="A23" s="118"/>
      <c r="B23" s="76" t="s">
        <v>66</v>
      </c>
      <c r="C23" s="187" t="str">
        <f t="shared" si="0"/>
        <v>SB</v>
      </c>
      <c r="D23" s="187" t="str">
        <f t="shared" si="1"/>
        <v>3L</v>
      </c>
      <c r="E23" s="187" t="str">
        <f t="shared" si="2"/>
        <v>1w</v>
      </c>
      <c r="F23" s="187">
        <f t="shared" si="3"/>
        <v>0</v>
      </c>
      <c r="G23" s="187">
        <f t="shared" si="4"/>
        <v>0</v>
      </c>
      <c r="H23" s="235">
        <f t="shared" si="5"/>
        <v>0</v>
      </c>
      <c r="I23" s="102"/>
      <c r="J23" s="234" t="str">
        <f t="shared" si="6"/>
        <v>GBPSB3L21Y_Fwd1w_Quote</v>
      </c>
      <c r="K23" s="234"/>
      <c r="L23" s="242" t="str">
        <f>_xll.ohRangeRetrieveError(K23)</f>
        <v/>
      </c>
      <c r="M23" s="33"/>
    </row>
    <row r="24" spans="1:13" x14ac:dyDescent="0.2">
      <c r="A24" s="118"/>
      <c r="B24" s="76" t="s">
        <v>65</v>
      </c>
      <c r="C24" s="187" t="str">
        <f t="shared" si="0"/>
        <v>SB</v>
      </c>
      <c r="D24" s="187" t="str">
        <f t="shared" si="1"/>
        <v>3L</v>
      </c>
      <c r="E24" s="187" t="str">
        <f t="shared" si="2"/>
        <v>1w</v>
      </c>
      <c r="F24" s="187">
        <f t="shared" si="3"/>
        <v>0</v>
      </c>
      <c r="G24" s="187">
        <f t="shared" si="4"/>
        <v>0</v>
      </c>
      <c r="H24" s="235">
        <f t="shared" si="5"/>
        <v>0</v>
      </c>
      <c r="I24" s="102"/>
      <c r="J24" s="234" t="str">
        <f t="shared" si="6"/>
        <v>GBPSB3L22Y_Fwd1w_Quote</v>
      </c>
      <c r="K24" s="234"/>
      <c r="L24" s="242" t="str">
        <f>_xll.ohRangeRetrieveError(K24)</f>
        <v/>
      </c>
      <c r="M24" s="33"/>
    </row>
    <row r="25" spans="1:13" x14ac:dyDescent="0.2">
      <c r="A25" s="118"/>
      <c r="B25" s="76" t="s">
        <v>64</v>
      </c>
      <c r="C25" s="187" t="str">
        <f t="shared" si="0"/>
        <v>SB</v>
      </c>
      <c r="D25" s="187" t="str">
        <f t="shared" si="1"/>
        <v>3L</v>
      </c>
      <c r="E25" s="187" t="str">
        <f t="shared" si="2"/>
        <v>1w</v>
      </c>
      <c r="F25" s="187">
        <f t="shared" si="3"/>
        <v>0</v>
      </c>
      <c r="G25" s="187">
        <f t="shared" si="4"/>
        <v>0</v>
      </c>
      <c r="H25" s="235">
        <f t="shared" si="5"/>
        <v>0</v>
      </c>
      <c r="I25" s="102"/>
      <c r="J25" s="234" t="str">
        <f t="shared" si="6"/>
        <v>GBPSB3L23Y_Fwd1w_Quote</v>
      </c>
      <c r="K25" s="234"/>
      <c r="L25" s="242" t="str">
        <f>_xll.ohRangeRetrieveError(K25)</f>
        <v/>
      </c>
      <c r="M25" s="33"/>
    </row>
    <row r="26" spans="1:13" x14ac:dyDescent="0.2">
      <c r="A26" s="118"/>
      <c r="B26" s="76" t="s">
        <v>63</v>
      </c>
      <c r="C26" s="187" t="str">
        <f t="shared" si="0"/>
        <v>SB</v>
      </c>
      <c r="D26" s="187" t="str">
        <f t="shared" si="1"/>
        <v>3L</v>
      </c>
      <c r="E26" s="187" t="str">
        <f t="shared" si="2"/>
        <v>1w</v>
      </c>
      <c r="F26" s="187">
        <f t="shared" si="3"/>
        <v>0</v>
      </c>
      <c r="G26" s="187">
        <f t="shared" si="4"/>
        <v>0</v>
      </c>
      <c r="H26" s="235">
        <f t="shared" si="5"/>
        <v>0</v>
      </c>
      <c r="I26" s="102"/>
      <c r="J26" s="234" t="str">
        <f t="shared" si="6"/>
        <v>GBPSB3L24Y_Fwd1w_Quote</v>
      </c>
      <c r="K26" s="234"/>
      <c r="L26" s="242" t="str">
        <f>_xll.ohRangeRetrieveError(K26)</f>
        <v/>
      </c>
      <c r="M26" s="33"/>
    </row>
    <row r="27" spans="1:13" x14ac:dyDescent="0.2">
      <c r="A27" s="118"/>
      <c r="B27" s="76" t="s">
        <v>62</v>
      </c>
      <c r="C27" s="187" t="str">
        <f t="shared" si="0"/>
        <v>SB</v>
      </c>
      <c r="D27" s="187" t="str">
        <f t="shared" si="1"/>
        <v>3L</v>
      </c>
      <c r="E27" s="187" t="str">
        <f t="shared" si="2"/>
        <v>1w</v>
      </c>
      <c r="F27" s="187">
        <f t="shared" si="3"/>
        <v>0</v>
      </c>
      <c r="G27" s="187">
        <f t="shared" si="4"/>
        <v>0</v>
      </c>
      <c r="H27" s="235">
        <f t="shared" si="5"/>
        <v>0</v>
      </c>
      <c r="I27" s="102"/>
      <c r="J27" s="234" t="str">
        <f t="shared" si="6"/>
        <v>GBPSB3L25Y_Fwd1w_Quote</v>
      </c>
      <c r="K27" s="234"/>
      <c r="L27" s="242" t="str">
        <f>_xll.ohRangeRetrieveError(K27)</f>
        <v/>
      </c>
      <c r="M27" s="33"/>
    </row>
    <row r="28" spans="1:13" x14ac:dyDescent="0.2">
      <c r="A28" s="118"/>
      <c r="B28" s="76" t="s">
        <v>61</v>
      </c>
      <c r="C28" s="187" t="str">
        <f t="shared" si="0"/>
        <v>SB</v>
      </c>
      <c r="D28" s="187" t="str">
        <f t="shared" si="1"/>
        <v>3L</v>
      </c>
      <c r="E28" s="187" t="str">
        <f t="shared" si="2"/>
        <v>1w</v>
      </c>
      <c r="F28" s="187">
        <f t="shared" si="3"/>
        <v>0</v>
      </c>
      <c r="G28" s="187">
        <f t="shared" si="4"/>
        <v>0</v>
      </c>
      <c r="H28" s="235">
        <f t="shared" si="5"/>
        <v>0</v>
      </c>
      <c r="I28" s="102"/>
      <c r="J28" s="234" t="str">
        <f t="shared" si="6"/>
        <v>GBPSB3L26Y_Fwd1w_Quote</v>
      </c>
      <c r="K28" s="234"/>
      <c r="L28" s="242" t="str">
        <f>_xll.ohRangeRetrieveError(K28)</f>
        <v/>
      </c>
      <c r="M28" s="33"/>
    </row>
    <row r="29" spans="1:13" x14ac:dyDescent="0.2">
      <c r="A29" s="118"/>
      <c r="B29" s="76" t="s">
        <v>60</v>
      </c>
      <c r="C29" s="187" t="str">
        <f t="shared" si="0"/>
        <v>SB</v>
      </c>
      <c r="D29" s="187" t="str">
        <f t="shared" si="1"/>
        <v>3L</v>
      </c>
      <c r="E29" s="187" t="str">
        <f t="shared" si="2"/>
        <v>1w</v>
      </c>
      <c r="F29" s="187">
        <f t="shared" si="3"/>
        <v>0</v>
      </c>
      <c r="G29" s="187">
        <f t="shared" si="4"/>
        <v>0</v>
      </c>
      <c r="H29" s="235">
        <f t="shared" si="5"/>
        <v>0</v>
      </c>
      <c r="I29" s="102"/>
      <c r="J29" s="234" t="str">
        <f t="shared" si="6"/>
        <v>GBPSB3L27Y_Fwd1w_Quote</v>
      </c>
      <c r="K29" s="234"/>
      <c r="L29" s="242" t="str">
        <f>_xll.ohRangeRetrieveError(K29)</f>
        <v/>
      </c>
      <c r="M29" s="33"/>
    </row>
    <row r="30" spans="1:13" x14ac:dyDescent="0.2">
      <c r="A30" s="118"/>
      <c r="B30" s="76" t="s">
        <v>59</v>
      </c>
      <c r="C30" s="187" t="str">
        <f t="shared" si="0"/>
        <v>SB</v>
      </c>
      <c r="D30" s="187" t="str">
        <f t="shared" si="1"/>
        <v>3L</v>
      </c>
      <c r="E30" s="187" t="str">
        <f t="shared" si="2"/>
        <v>1w</v>
      </c>
      <c r="F30" s="187">
        <f t="shared" si="3"/>
        <v>0</v>
      </c>
      <c r="G30" s="187">
        <f t="shared" si="4"/>
        <v>0</v>
      </c>
      <c r="H30" s="235">
        <f t="shared" si="5"/>
        <v>0</v>
      </c>
      <c r="I30" s="102"/>
      <c r="J30" s="234" t="str">
        <f t="shared" si="6"/>
        <v>GBPSB3L28Y_Fwd1w_Quote</v>
      </c>
      <c r="K30" s="234"/>
      <c r="L30" s="242" t="str">
        <f>_xll.ohRangeRetrieveError(K30)</f>
        <v/>
      </c>
      <c r="M30" s="33"/>
    </row>
    <row r="31" spans="1:13" x14ac:dyDescent="0.2">
      <c r="A31" s="118"/>
      <c r="B31" s="76" t="s">
        <v>58</v>
      </c>
      <c r="C31" s="187" t="str">
        <f t="shared" si="0"/>
        <v>SB</v>
      </c>
      <c r="D31" s="187" t="str">
        <f t="shared" si="1"/>
        <v>3L</v>
      </c>
      <c r="E31" s="187" t="str">
        <f t="shared" si="2"/>
        <v>1w</v>
      </c>
      <c r="F31" s="187">
        <f t="shared" si="3"/>
        <v>0</v>
      </c>
      <c r="G31" s="187">
        <f t="shared" si="4"/>
        <v>0</v>
      </c>
      <c r="H31" s="235">
        <f t="shared" si="5"/>
        <v>0</v>
      </c>
      <c r="I31" s="102"/>
      <c r="J31" s="234" t="str">
        <f t="shared" si="6"/>
        <v>GBPSB3L29Y_Fwd1w_Quote</v>
      </c>
      <c r="K31" s="234"/>
      <c r="L31" s="242" t="str">
        <f>_xll.ohRangeRetrieveError(K31)</f>
        <v/>
      </c>
      <c r="M31" s="33"/>
    </row>
    <row r="32" spans="1:13" x14ac:dyDescent="0.2">
      <c r="A32" s="118"/>
      <c r="B32" s="76" t="s">
        <v>57</v>
      </c>
      <c r="C32" s="187" t="str">
        <f t="shared" si="0"/>
        <v>SB</v>
      </c>
      <c r="D32" s="187" t="str">
        <f t="shared" si="1"/>
        <v>3L</v>
      </c>
      <c r="E32" s="187" t="str">
        <f t="shared" si="2"/>
        <v>1w</v>
      </c>
      <c r="F32" s="187">
        <f t="shared" si="3"/>
        <v>0</v>
      </c>
      <c r="G32" s="187">
        <f t="shared" si="4"/>
        <v>0</v>
      </c>
      <c r="H32" s="235">
        <f t="shared" si="5"/>
        <v>0</v>
      </c>
      <c r="I32" s="102"/>
      <c r="J32" s="234" t="str">
        <f t="shared" si="6"/>
        <v>GBPSB3L30Y_Fwd1w_Quote</v>
      </c>
      <c r="K32" s="234"/>
      <c r="L32" s="242" t="str">
        <f>_xll.ohRangeRetrieveError(K32)</f>
        <v/>
      </c>
      <c r="M32" s="33"/>
    </row>
    <row r="33" spans="1:13" x14ac:dyDescent="0.2">
      <c r="A33" s="118"/>
      <c r="B33" s="76" t="s">
        <v>52</v>
      </c>
      <c r="C33" s="187" t="str">
        <f t="shared" si="0"/>
        <v>SB</v>
      </c>
      <c r="D33" s="187" t="str">
        <f t="shared" si="1"/>
        <v>3L</v>
      </c>
      <c r="E33" s="187" t="str">
        <f t="shared" si="2"/>
        <v>1w</v>
      </c>
      <c r="F33" s="187">
        <f t="shared" si="3"/>
        <v>0</v>
      </c>
      <c r="G33" s="187">
        <f t="shared" si="4"/>
        <v>0</v>
      </c>
      <c r="H33" s="235">
        <f t="shared" si="5"/>
        <v>0</v>
      </c>
      <c r="I33" s="102"/>
      <c r="J33" s="234" t="str">
        <f t="shared" si="6"/>
        <v>GBPSB3L35Y_Fwd1w_Quote</v>
      </c>
      <c r="K33" s="234"/>
      <c r="L33" s="242" t="str">
        <f>_xll.ohRangeRetrieveError(K33)</f>
        <v/>
      </c>
      <c r="M33" s="33"/>
    </row>
    <row r="34" spans="1:13" x14ac:dyDescent="0.2">
      <c r="A34" s="118"/>
      <c r="B34" s="76" t="s">
        <v>47</v>
      </c>
      <c r="C34" s="187" t="str">
        <f t="shared" si="0"/>
        <v>SB</v>
      </c>
      <c r="D34" s="187" t="str">
        <f t="shared" si="1"/>
        <v>3L</v>
      </c>
      <c r="E34" s="187" t="str">
        <f t="shared" si="2"/>
        <v>1w</v>
      </c>
      <c r="F34" s="187">
        <f t="shared" si="3"/>
        <v>0</v>
      </c>
      <c r="G34" s="187">
        <f t="shared" si="4"/>
        <v>0</v>
      </c>
      <c r="H34" s="235">
        <f t="shared" si="5"/>
        <v>0</v>
      </c>
      <c r="I34" s="102"/>
      <c r="J34" s="234" t="str">
        <f t="shared" si="6"/>
        <v>GBPSB3L40Y_Fwd1w_Quote</v>
      </c>
      <c r="K34" s="234"/>
      <c r="L34" s="242" t="str">
        <f>_xll.ohRangeRetrieveError(K34)</f>
        <v/>
      </c>
      <c r="M34" s="33"/>
    </row>
    <row r="35" spans="1:13" x14ac:dyDescent="0.2">
      <c r="A35" s="118"/>
      <c r="B35" s="76" t="s">
        <v>37</v>
      </c>
      <c r="C35" s="187" t="str">
        <f t="shared" si="0"/>
        <v>SB</v>
      </c>
      <c r="D35" s="187" t="str">
        <f t="shared" si="1"/>
        <v>3L</v>
      </c>
      <c r="E35" s="187" t="str">
        <f t="shared" si="2"/>
        <v>1w</v>
      </c>
      <c r="F35" s="187">
        <f t="shared" si="3"/>
        <v>0</v>
      </c>
      <c r="G35" s="187">
        <f t="shared" si="4"/>
        <v>0</v>
      </c>
      <c r="H35" s="235">
        <f t="shared" si="5"/>
        <v>0</v>
      </c>
      <c r="I35" s="102"/>
      <c r="J35" s="234" t="str">
        <f t="shared" si="6"/>
        <v>GBPSB3L50Y_Fwd1w_Quote</v>
      </c>
      <c r="K35" s="234"/>
      <c r="L35" s="242" t="str">
        <f>_xll.ohRangeRetrieveError(K35)</f>
        <v/>
      </c>
      <c r="M35" s="33"/>
    </row>
    <row r="36" spans="1:13" x14ac:dyDescent="0.2">
      <c r="A36" s="118"/>
      <c r="B36" s="76" t="s">
        <v>27</v>
      </c>
      <c r="C36" s="187" t="str">
        <f t="shared" si="0"/>
        <v>SB</v>
      </c>
      <c r="D36" s="187" t="str">
        <f t="shared" si="1"/>
        <v>3L</v>
      </c>
      <c r="E36" s="187" t="str">
        <f t="shared" si="2"/>
        <v>1w</v>
      </c>
      <c r="F36" s="187">
        <f t="shared" si="3"/>
        <v>0</v>
      </c>
      <c r="G36" s="187">
        <f t="shared" si="4"/>
        <v>0</v>
      </c>
      <c r="H36" s="235">
        <f t="shared" si="5"/>
        <v>0</v>
      </c>
      <c r="I36" s="102"/>
      <c r="J36" s="234" t="str">
        <f t="shared" si="6"/>
        <v>GBPSB3L60Y_Fwd1w_Quote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56"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GBP_020_SwSB6L_Fwd0d_Spr6L12L.xml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0d</v>
      </c>
      <c r="F3" s="187" t="str">
        <f t="shared" ref="F3:F36" si="3">VLOOKUP(Currency,$O$3:$T$7,5)</f>
        <v>6L</v>
      </c>
      <c r="G3" s="187" t="str">
        <f t="shared" ref="G3:G36" si="4">VLOOKUP(Currency,$O$3:$T$7,6)</f>
        <v>12L</v>
      </c>
      <c r="H3" s="235" t="str">
        <f t="shared" ref="H3:H36" si="5">IF(F3=0,0,Currency&amp;$F3&amp;$G3&amp;$B3&amp;QuoteSuffix)</f>
        <v>GBP6L12L1Y_Quote</v>
      </c>
      <c r="I3" s="237" t="str">
        <f t="shared" ref="I3:I36" si="6">PROPER(Currency)&amp;FamilyName&amp;"Swap"&amp;FixingType&amp;$B3</f>
        <v>GbpLiborSwapIsda1Y</v>
      </c>
      <c r="J3" s="234" t="str">
        <f t="shared" ref="J3:J36" si="7">Currency&amp;$C3&amp;$D3&amp;$B3&amp;IF(UPPER(E3)="0D","","_Fwd"&amp;E3)&amp;IF(H3=0,,"_S"&amp;$F3&amp;$G3)&amp;QuoteSuffix</f>
        <v>GBPSB6L1Y_S6L12L_Quote</v>
      </c>
      <c r="K3" s="234"/>
      <c r="L3" s="242" t="str">
        <f>_xll.ohRangeRetrieveError(K3)</f>
        <v/>
      </c>
      <c r="M3" s="33"/>
      <c r="O3" s="83" t="s">
        <v>121</v>
      </c>
      <c r="P3" s="82" t="s">
        <v>212</v>
      </c>
      <c r="Q3" s="82" t="s">
        <v>116</v>
      </c>
      <c r="R3" s="82" t="s">
        <v>219</v>
      </c>
      <c r="S3" s="82" t="s">
        <v>116</v>
      </c>
      <c r="T3" s="81" t="s">
        <v>127</v>
      </c>
    </row>
    <row r="4" spans="1:20" x14ac:dyDescent="0.2">
      <c r="A4" s="118"/>
      <c r="B4" s="76" t="s">
        <v>85</v>
      </c>
      <c r="C4" s="187" t="str">
        <f t="shared" si="0"/>
        <v>SB</v>
      </c>
      <c r="D4" s="187" t="str">
        <f t="shared" si="1"/>
        <v>6L</v>
      </c>
      <c r="E4" s="187" t="str">
        <f t="shared" si="2"/>
        <v>0d</v>
      </c>
      <c r="F4" s="187" t="str">
        <f t="shared" si="3"/>
        <v>6L</v>
      </c>
      <c r="G4" s="187" t="str">
        <f t="shared" si="4"/>
        <v>12L</v>
      </c>
      <c r="H4" s="235" t="str">
        <f t="shared" si="5"/>
        <v>GBP6L12L2Y_Quote</v>
      </c>
      <c r="I4" s="102" t="str">
        <f t="shared" si="6"/>
        <v>GbpLiborSwapIsda2Y</v>
      </c>
      <c r="J4" s="234" t="str">
        <f t="shared" si="7"/>
        <v>GBPSB6L2Y_S6L12L_Quote</v>
      </c>
      <c r="K4" s="234" t="e">
        <f>_xll.qlForwardSwapQuote(J4,I4,H4,E4,Permanent,Trigger,ObjectOverwrite)</f>
        <v>#NUM!</v>
      </c>
      <c r="L4" s="242" t="e">
        <f ca="1">_xll.ohRangeRetrieveError(K4)</f>
        <v>#NUM!</v>
      </c>
      <c r="M4" s="33"/>
      <c r="O4" s="83" t="s">
        <v>120</v>
      </c>
      <c r="P4" s="82" t="s">
        <v>212</v>
      </c>
      <c r="Q4" s="82" t="s">
        <v>118</v>
      </c>
      <c r="R4" s="82" t="s">
        <v>219</v>
      </c>
      <c r="S4" s="82" t="s">
        <v>118</v>
      </c>
      <c r="T4" s="81" t="s">
        <v>128</v>
      </c>
    </row>
    <row r="5" spans="1:20" x14ac:dyDescent="0.2">
      <c r="A5" s="118"/>
      <c r="B5" s="76" t="s">
        <v>84</v>
      </c>
      <c r="C5" s="187" t="str">
        <f t="shared" si="0"/>
        <v>SB</v>
      </c>
      <c r="D5" s="187" t="str">
        <f t="shared" si="1"/>
        <v>6L</v>
      </c>
      <c r="E5" s="187" t="str">
        <f t="shared" si="2"/>
        <v>0d</v>
      </c>
      <c r="F5" s="187" t="str">
        <f t="shared" si="3"/>
        <v>6L</v>
      </c>
      <c r="G5" s="187" t="str">
        <f t="shared" si="4"/>
        <v>12L</v>
      </c>
      <c r="H5" s="235" t="str">
        <f t="shared" si="5"/>
        <v>GBP6L12L3Y_Quote</v>
      </c>
      <c r="I5" s="102" t="str">
        <f t="shared" si="6"/>
        <v>GbpLiborSwapIsda3Y</v>
      </c>
      <c r="J5" s="234" t="str">
        <f t="shared" si="7"/>
        <v>GBPSB6L3Y_S6L12L_Quote</v>
      </c>
      <c r="K5" s="234" t="e">
        <f>_xll.qlForwardSwapQuote(J5,I5,H5,E5,Permanent,Trigger,ObjectOverwrite)</f>
        <v>#NUM!</v>
      </c>
      <c r="L5" s="242" t="e">
        <f ca="1">_xll.ohRangeRetrieveError(K5)</f>
        <v>#NUM!</v>
      </c>
      <c r="M5" s="33"/>
      <c r="O5" s="83" t="s">
        <v>96</v>
      </c>
      <c r="P5" s="82" t="s">
        <v>211</v>
      </c>
      <c r="Q5" s="82" t="s">
        <v>116</v>
      </c>
      <c r="R5" s="82" t="s">
        <v>223</v>
      </c>
      <c r="S5" s="82" t="s">
        <v>116</v>
      </c>
      <c r="T5" s="81" t="s">
        <v>127</v>
      </c>
    </row>
    <row r="6" spans="1:20" x14ac:dyDescent="0.2">
      <c r="A6" s="118"/>
      <c r="B6" s="76" t="s">
        <v>83</v>
      </c>
      <c r="C6" s="187" t="str">
        <f t="shared" si="0"/>
        <v>SB</v>
      </c>
      <c r="D6" s="187" t="str">
        <f t="shared" si="1"/>
        <v>6L</v>
      </c>
      <c r="E6" s="187" t="str">
        <f t="shared" si="2"/>
        <v>0d</v>
      </c>
      <c r="F6" s="187" t="str">
        <f t="shared" si="3"/>
        <v>6L</v>
      </c>
      <c r="G6" s="187" t="str">
        <f t="shared" si="4"/>
        <v>12L</v>
      </c>
      <c r="H6" s="235" t="str">
        <f t="shared" si="5"/>
        <v>GBP6L12L4Y_Quote</v>
      </c>
      <c r="I6" s="102" t="str">
        <f t="shared" si="6"/>
        <v>GbpLiborSwapIsda4Y</v>
      </c>
      <c r="J6" s="234" t="str">
        <f t="shared" si="7"/>
        <v>GBPSB6L4Y_S6L12L_Quote</v>
      </c>
      <c r="K6" s="234" t="e">
        <f>_xll.qlForwardSwapQuote(J6,I6,H6,E6,Permanent,Trigger,ObjectOverwrite)</f>
        <v>#NUM!</v>
      </c>
      <c r="L6" s="242" t="e">
        <f ca="1">_xll.ohRangeRetrieveError(K6)</f>
        <v>#NUM!</v>
      </c>
      <c r="M6" s="33"/>
      <c r="O6" s="83" t="s">
        <v>117</v>
      </c>
      <c r="P6" s="82" t="s">
        <v>211</v>
      </c>
      <c r="Q6" s="82" t="s">
        <v>116</v>
      </c>
      <c r="R6" s="82" t="s">
        <v>219</v>
      </c>
      <c r="S6" s="82" t="s">
        <v>116</v>
      </c>
      <c r="T6" s="81" t="s">
        <v>127</v>
      </c>
    </row>
    <row r="7" spans="1:20" ht="12" thickBot="1" x14ac:dyDescent="0.25">
      <c r="A7" s="118"/>
      <c r="B7" s="76" t="s">
        <v>82</v>
      </c>
      <c r="C7" s="187" t="str">
        <f t="shared" si="0"/>
        <v>SB</v>
      </c>
      <c r="D7" s="187" t="str">
        <f t="shared" si="1"/>
        <v>6L</v>
      </c>
      <c r="E7" s="187" t="str">
        <f t="shared" si="2"/>
        <v>0d</v>
      </c>
      <c r="F7" s="187" t="str">
        <f t="shared" si="3"/>
        <v>6L</v>
      </c>
      <c r="G7" s="187" t="str">
        <f t="shared" si="4"/>
        <v>12L</v>
      </c>
      <c r="H7" s="235" t="str">
        <f t="shared" si="5"/>
        <v>GBP6L12L5Y_Quote</v>
      </c>
      <c r="I7" s="102" t="str">
        <f t="shared" si="6"/>
        <v>GbpLiborSwapIsda5Y</v>
      </c>
      <c r="J7" s="234" t="str">
        <f t="shared" si="7"/>
        <v>GBPSB6L5Y_S6L12L_Quote</v>
      </c>
      <c r="K7" s="234" t="e">
        <f>_xll.qlForwardSwapQuote(J7,I7,H7,E7,Permanent,Trigger,ObjectOverwrite)</f>
        <v>#NUM!</v>
      </c>
      <c r="L7" s="242" t="e">
        <f ca="1">_xll.ohRangeRetrieveError(K7)</f>
        <v>#NUM!</v>
      </c>
      <c r="M7" s="33"/>
      <c r="O7" s="80" t="s">
        <v>115</v>
      </c>
      <c r="P7" s="79" t="s">
        <v>210</v>
      </c>
      <c r="Q7" s="79" t="s">
        <v>114</v>
      </c>
      <c r="R7" s="79" t="s">
        <v>219</v>
      </c>
      <c r="S7" s="79" t="s">
        <v>127</v>
      </c>
      <c r="T7" s="78" t="s">
        <v>114</v>
      </c>
    </row>
    <row r="8" spans="1:20" x14ac:dyDescent="0.2">
      <c r="A8" s="118"/>
      <c r="B8" s="76" t="s">
        <v>81</v>
      </c>
      <c r="C8" s="187" t="str">
        <f t="shared" si="0"/>
        <v>SB</v>
      </c>
      <c r="D8" s="187" t="str">
        <f t="shared" si="1"/>
        <v>6L</v>
      </c>
      <c r="E8" s="187" t="str">
        <f t="shared" si="2"/>
        <v>0d</v>
      </c>
      <c r="F8" s="187" t="str">
        <f t="shared" si="3"/>
        <v>6L</v>
      </c>
      <c r="G8" s="187" t="str">
        <f t="shared" si="4"/>
        <v>12L</v>
      </c>
      <c r="H8" s="235" t="str">
        <f t="shared" si="5"/>
        <v>GBP6L12L6Y_Quote</v>
      </c>
      <c r="I8" s="102" t="str">
        <f t="shared" si="6"/>
        <v>GbpLiborSwapIsda6Y</v>
      </c>
      <c r="J8" s="234" t="str">
        <f t="shared" si="7"/>
        <v>GBPSB6L6Y_S6L12L_Quote</v>
      </c>
      <c r="K8" s="234" t="e">
        <f>_xll.qlForwardSwapQuote(J8,I8,H8,E8,Permanent,Trigger,ObjectOverwrite)</f>
        <v>#NUM!</v>
      </c>
      <c r="L8" s="242" t="e">
        <f ca="1">_xll.ohRangeRetrieveError(K8)</f>
        <v>#NUM!</v>
      </c>
      <c r="M8" s="33"/>
    </row>
    <row r="9" spans="1:20" x14ac:dyDescent="0.2">
      <c r="A9" s="118"/>
      <c r="B9" s="76" t="s">
        <v>80</v>
      </c>
      <c r="C9" s="187" t="str">
        <f t="shared" si="0"/>
        <v>SB</v>
      </c>
      <c r="D9" s="187" t="str">
        <f t="shared" si="1"/>
        <v>6L</v>
      </c>
      <c r="E9" s="187" t="str">
        <f t="shared" si="2"/>
        <v>0d</v>
      </c>
      <c r="F9" s="187" t="str">
        <f t="shared" si="3"/>
        <v>6L</v>
      </c>
      <c r="G9" s="187" t="str">
        <f t="shared" si="4"/>
        <v>12L</v>
      </c>
      <c r="H9" s="235" t="str">
        <f t="shared" si="5"/>
        <v>GBP6L12L7Y_Quote</v>
      </c>
      <c r="I9" s="102" t="str">
        <f t="shared" si="6"/>
        <v>GbpLiborSwapIsda7Y</v>
      </c>
      <c r="J9" s="234" t="str">
        <f t="shared" si="7"/>
        <v>GBPSB6L7Y_S6L12L_Quote</v>
      </c>
      <c r="K9" s="234" t="e">
        <f>_xll.qlForwardSwapQuote(J9,I9,H9,E9,Permanent,Trigger,ObjectOverwrite)</f>
        <v>#NUM!</v>
      </c>
      <c r="L9" s="242" t="e">
        <f ca="1">_xll.ohRangeRetrieveError(K9)</f>
        <v>#NUM!</v>
      </c>
      <c r="M9" s="33"/>
    </row>
    <row r="10" spans="1:20" x14ac:dyDescent="0.2">
      <c r="A10" s="118"/>
      <c r="B10" s="76" t="s">
        <v>79</v>
      </c>
      <c r="C10" s="187" t="str">
        <f t="shared" si="0"/>
        <v>SB</v>
      </c>
      <c r="D10" s="187" t="str">
        <f t="shared" si="1"/>
        <v>6L</v>
      </c>
      <c r="E10" s="187" t="str">
        <f t="shared" si="2"/>
        <v>0d</v>
      </c>
      <c r="F10" s="187" t="str">
        <f t="shared" si="3"/>
        <v>6L</v>
      </c>
      <c r="G10" s="187" t="str">
        <f t="shared" si="4"/>
        <v>12L</v>
      </c>
      <c r="H10" s="235" t="str">
        <f t="shared" si="5"/>
        <v>GBP6L12L8Y_Quote</v>
      </c>
      <c r="I10" s="102" t="str">
        <f t="shared" si="6"/>
        <v>GbpLiborSwapIsda8Y</v>
      </c>
      <c r="J10" s="234" t="str">
        <f t="shared" si="7"/>
        <v>GBPSB6L8Y_S6L12L_Quote</v>
      </c>
      <c r="K10" s="234" t="e">
        <f>_xll.qlForwardSwapQuote(J10,I10,H10,E10,Permanent,Trigger,ObjectOverwrite)</f>
        <v>#NUM!</v>
      </c>
      <c r="L10" s="242" t="e">
        <f ca="1">_xll.ohRangeRetrieveError(K10)</f>
        <v>#NUM!</v>
      </c>
      <c r="M10" s="33"/>
    </row>
    <row r="11" spans="1:20" x14ac:dyDescent="0.2">
      <c r="A11" s="118"/>
      <c r="B11" s="76" t="s">
        <v>78</v>
      </c>
      <c r="C11" s="187" t="str">
        <f t="shared" si="0"/>
        <v>SB</v>
      </c>
      <c r="D11" s="187" t="str">
        <f t="shared" si="1"/>
        <v>6L</v>
      </c>
      <c r="E11" s="187" t="str">
        <f t="shared" si="2"/>
        <v>0d</v>
      </c>
      <c r="F11" s="187" t="str">
        <f t="shared" si="3"/>
        <v>6L</v>
      </c>
      <c r="G11" s="187" t="str">
        <f t="shared" si="4"/>
        <v>12L</v>
      </c>
      <c r="H11" s="235" t="str">
        <f t="shared" si="5"/>
        <v>GBP6L12L9Y_Quote</v>
      </c>
      <c r="I11" s="102" t="str">
        <f t="shared" si="6"/>
        <v>GbpLiborSwapIsda9Y</v>
      </c>
      <c r="J11" s="234" t="str">
        <f t="shared" si="7"/>
        <v>GBPSB6L9Y_S6L12L_Quote</v>
      </c>
      <c r="K11" s="234" t="e">
        <f>_xll.qlForwardSwapQuote(J11,I11,H11,E11,Permanent,Trigger,ObjectOverwrite)</f>
        <v>#NUM!</v>
      </c>
      <c r="L11" s="242" t="e">
        <f ca="1">_xll.ohRangeRetrieveError(K11)</f>
        <v>#NUM!</v>
      </c>
      <c r="M11" s="33"/>
    </row>
    <row r="12" spans="1:20" x14ac:dyDescent="0.2">
      <c r="A12" s="118"/>
      <c r="B12" s="76" t="s">
        <v>77</v>
      </c>
      <c r="C12" s="187" t="str">
        <f t="shared" si="0"/>
        <v>SB</v>
      </c>
      <c r="D12" s="187" t="str">
        <f t="shared" si="1"/>
        <v>6L</v>
      </c>
      <c r="E12" s="187" t="str">
        <f t="shared" si="2"/>
        <v>0d</v>
      </c>
      <c r="F12" s="187" t="str">
        <f t="shared" si="3"/>
        <v>6L</v>
      </c>
      <c r="G12" s="187" t="str">
        <f t="shared" si="4"/>
        <v>12L</v>
      </c>
      <c r="H12" s="235" t="str">
        <f t="shared" si="5"/>
        <v>GBP6L12L10Y_Quote</v>
      </c>
      <c r="I12" s="102" t="str">
        <f t="shared" si="6"/>
        <v>GbpLiborSwapIsda10Y</v>
      </c>
      <c r="J12" s="234" t="str">
        <f t="shared" si="7"/>
        <v>GBPSB6L10Y_S6L12L_Quote</v>
      </c>
      <c r="K12" s="234" t="e">
        <f>_xll.qlForwardSwapQuote(J12,I12,H12,E12,Permanent,Trigger,ObjectOverwrite)</f>
        <v>#NUM!</v>
      </c>
      <c r="L12" s="242" t="e">
        <f ca="1">_xll.ohRangeRetrieveError(K12)</f>
        <v>#NUM!</v>
      </c>
      <c r="M12" s="33"/>
    </row>
    <row r="13" spans="1:20" x14ac:dyDescent="0.2">
      <c r="A13" s="118"/>
      <c r="B13" s="76" t="s">
        <v>76</v>
      </c>
      <c r="C13" s="187" t="str">
        <f t="shared" si="0"/>
        <v>SB</v>
      </c>
      <c r="D13" s="187" t="str">
        <f t="shared" si="1"/>
        <v>6L</v>
      </c>
      <c r="E13" s="187" t="str">
        <f t="shared" si="2"/>
        <v>0d</v>
      </c>
      <c r="F13" s="187" t="str">
        <f t="shared" si="3"/>
        <v>6L</v>
      </c>
      <c r="G13" s="187" t="str">
        <f t="shared" si="4"/>
        <v>12L</v>
      </c>
      <c r="H13" s="235" t="str">
        <f t="shared" si="5"/>
        <v>GBP6L12L11Y_Quote</v>
      </c>
      <c r="I13" s="102" t="str">
        <f t="shared" si="6"/>
        <v>GbpLiborSwapIsda11Y</v>
      </c>
      <c r="J13" s="234" t="str">
        <f t="shared" si="7"/>
        <v>GBPSB6L11Y_S6L12L_Quote</v>
      </c>
      <c r="K13" s="234" t="e">
        <f>_xll.qlForwardSwapQuote(J13,I13,H13,E13,Permanent,Trigger,ObjectOverwrite)</f>
        <v>#NUM!</v>
      </c>
      <c r="L13" s="242" t="e">
        <f ca="1">_xll.ohRangeRetrieveError(K13)</f>
        <v>#NUM!</v>
      </c>
      <c r="M13" s="33"/>
    </row>
    <row r="14" spans="1:20" x14ac:dyDescent="0.2">
      <c r="A14" s="118"/>
      <c r="B14" s="76" t="s">
        <v>75</v>
      </c>
      <c r="C14" s="187" t="str">
        <f t="shared" si="0"/>
        <v>SB</v>
      </c>
      <c r="D14" s="187" t="str">
        <f t="shared" si="1"/>
        <v>6L</v>
      </c>
      <c r="E14" s="187" t="str">
        <f t="shared" si="2"/>
        <v>0d</v>
      </c>
      <c r="F14" s="187" t="str">
        <f t="shared" si="3"/>
        <v>6L</v>
      </c>
      <c r="G14" s="187" t="str">
        <f t="shared" si="4"/>
        <v>12L</v>
      </c>
      <c r="H14" s="235" t="str">
        <f t="shared" si="5"/>
        <v>GBP6L12L12Y_Quote</v>
      </c>
      <c r="I14" s="102" t="str">
        <f t="shared" si="6"/>
        <v>GbpLiborSwapIsda12Y</v>
      </c>
      <c r="J14" s="234" t="str">
        <f t="shared" si="7"/>
        <v>GBPSB6L12Y_S6L12L_Quote</v>
      </c>
      <c r="K14" s="234" t="e">
        <f>_xll.qlForwardSwapQuote(J14,I14,H14,E14,Permanent,Trigger,ObjectOverwrite)</f>
        <v>#NUM!</v>
      </c>
      <c r="L14" s="242" t="e">
        <f ca="1">_xll.ohRangeRetrieveError(K14)</f>
        <v>#NUM!</v>
      </c>
      <c r="M14" s="33"/>
    </row>
    <row r="15" spans="1:20" x14ac:dyDescent="0.2">
      <c r="A15" s="118"/>
      <c r="B15" s="76" t="s">
        <v>74</v>
      </c>
      <c r="C15" s="187" t="str">
        <f t="shared" si="0"/>
        <v>SB</v>
      </c>
      <c r="D15" s="187" t="str">
        <f t="shared" si="1"/>
        <v>6L</v>
      </c>
      <c r="E15" s="187" t="str">
        <f t="shared" si="2"/>
        <v>0d</v>
      </c>
      <c r="F15" s="187" t="str">
        <f t="shared" si="3"/>
        <v>6L</v>
      </c>
      <c r="G15" s="187" t="str">
        <f t="shared" si="4"/>
        <v>12L</v>
      </c>
      <c r="H15" s="235" t="str">
        <f t="shared" si="5"/>
        <v>GBP6L12L13Y_Quote</v>
      </c>
      <c r="I15" s="102" t="str">
        <f t="shared" si="6"/>
        <v>GbpLiborSwapIsda13Y</v>
      </c>
      <c r="J15" s="234" t="str">
        <f t="shared" si="7"/>
        <v>GBPSB6L13Y_S6L12L_Quote</v>
      </c>
      <c r="K15" s="234" t="e">
        <f>_xll.qlForwardSwapQuote(J15,I15,H15,E15,Permanent,Trigger,ObjectOverwrite)</f>
        <v>#NUM!</v>
      </c>
      <c r="L15" s="242" t="e">
        <f ca="1">_xll.ohRangeRetrieveError(K15)</f>
        <v>#NUM!</v>
      </c>
      <c r="M15" s="33"/>
    </row>
    <row r="16" spans="1:20" x14ac:dyDescent="0.2">
      <c r="A16" s="118"/>
      <c r="B16" s="76" t="s">
        <v>73</v>
      </c>
      <c r="C16" s="187" t="str">
        <f t="shared" si="0"/>
        <v>SB</v>
      </c>
      <c r="D16" s="187" t="str">
        <f t="shared" si="1"/>
        <v>6L</v>
      </c>
      <c r="E16" s="187" t="str">
        <f t="shared" si="2"/>
        <v>0d</v>
      </c>
      <c r="F16" s="187" t="str">
        <f t="shared" si="3"/>
        <v>6L</v>
      </c>
      <c r="G16" s="187" t="str">
        <f t="shared" si="4"/>
        <v>12L</v>
      </c>
      <c r="H16" s="235" t="str">
        <f t="shared" si="5"/>
        <v>GBP6L12L14Y_Quote</v>
      </c>
      <c r="I16" s="102" t="str">
        <f t="shared" si="6"/>
        <v>GbpLiborSwapIsda14Y</v>
      </c>
      <c r="J16" s="234" t="str">
        <f t="shared" si="7"/>
        <v>GBPSB6L14Y_S6L12L_Quote</v>
      </c>
      <c r="K16" s="234" t="e">
        <f>_xll.qlForwardSwapQuote(J16,I16,H16,E16,Permanent,Trigger,ObjectOverwrite)</f>
        <v>#NUM!</v>
      </c>
      <c r="L16" s="242" t="e">
        <f ca="1">_xll.ohRangeRetrieveError(K16)</f>
        <v>#NUM!</v>
      </c>
      <c r="M16" s="33"/>
    </row>
    <row r="17" spans="1:13" x14ac:dyDescent="0.2">
      <c r="A17" s="118"/>
      <c r="B17" s="76" t="s">
        <v>72</v>
      </c>
      <c r="C17" s="187" t="str">
        <f t="shared" si="0"/>
        <v>SB</v>
      </c>
      <c r="D17" s="187" t="str">
        <f t="shared" si="1"/>
        <v>6L</v>
      </c>
      <c r="E17" s="187" t="str">
        <f t="shared" si="2"/>
        <v>0d</v>
      </c>
      <c r="F17" s="187" t="str">
        <f t="shared" si="3"/>
        <v>6L</v>
      </c>
      <c r="G17" s="187" t="str">
        <f t="shared" si="4"/>
        <v>12L</v>
      </c>
      <c r="H17" s="235" t="str">
        <f t="shared" si="5"/>
        <v>GBP6L12L15Y_Quote</v>
      </c>
      <c r="I17" s="102" t="str">
        <f t="shared" si="6"/>
        <v>GbpLiborSwapIsda15Y</v>
      </c>
      <c r="J17" s="234" t="str">
        <f t="shared" si="7"/>
        <v>GBPSB6L15Y_S6L12L_Quote</v>
      </c>
      <c r="K17" s="234" t="e">
        <f>_xll.qlForwardSwapQuote(J17,I17,H17,E17,Permanent,Trigger,ObjectOverwrite)</f>
        <v>#NUM!</v>
      </c>
      <c r="L17" s="242" t="e">
        <f ca="1">_xll.ohRangeRetrieveError(K17)</f>
        <v>#NUM!</v>
      </c>
      <c r="M17" s="33"/>
    </row>
    <row r="18" spans="1:13" x14ac:dyDescent="0.2">
      <c r="A18" s="118"/>
      <c r="B18" s="76" t="s">
        <v>71</v>
      </c>
      <c r="C18" s="187" t="str">
        <f t="shared" si="0"/>
        <v>SB</v>
      </c>
      <c r="D18" s="187" t="str">
        <f t="shared" si="1"/>
        <v>6L</v>
      </c>
      <c r="E18" s="187" t="str">
        <f t="shared" si="2"/>
        <v>0d</v>
      </c>
      <c r="F18" s="187" t="str">
        <f t="shared" si="3"/>
        <v>6L</v>
      </c>
      <c r="G18" s="187" t="str">
        <f t="shared" si="4"/>
        <v>12L</v>
      </c>
      <c r="H18" s="235" t="str">
        <f t="shared" si="5"/>
        <v>GBP6L12L16Y_Quote</v>
      </c>
      <c r="I18" s="102" t="str">
        <f t="shared" si="6"/>
        <v>GbpLiborSwapIsda16Y</v>
      </c>
      <c r="J18" s="234" t="str">
        <f t="shared" si="7"/>
        <v>GBPSB6L16Y_S6L12L_Quote</v>
      </c>
      <c r="K18" s="234" t="e">
        <f>_xll.qlForwardSwapQuote(J18,I18,H18,E18,Permanent,Trigger,ObjectOverwrite)</f>
        <v>#NUM!</v>
      </c>
      <c r="L18" s="242" t="e">
        <f ca="1">_xll.ohRangeRetrieveError(K18)</f>
        <v>#NUM!</v>
      </c>
      <c r="M18" s="33"/>
    </row>
    <row r="19" spans="1:13" x14ac:dyDescent="0.2">
      <c r="A19" s="118"/>
      <c r="B19" s="76" t="s">
        <v>70</v>
      </c>
      <c r="C19" s="187" t="str">
        <f t="shared" si="0"/>
        <v>SB</v>
      </c>
      <c r="D19" s="187" t="str">
        <f t="shared" si="1"/>
        <v>6L</v>
      </c>
      <c r="E19" s="187" t="str">
        <f t="shared" si="2"/>
        <v>0d</v>
      </c>
      <c r="F19" s="187" t="str">
        <f t="shared" si="3"/>
        <v>6L</v>
      </c>
      <c r="G19" s="187" t="str">
        <f t="shared" si="4"/>
        <v>12L</v>
      </c>
      <c r="H19" s="235" t="str">
        <f t="shared" si="5"/>
        <v>GBP6L12L17Y_Quote</v>
      </c>
      <c r="I19" s="102" t="str">
        <f t="shared" si="6"/>
        <v>GbpLiborSwapIsda17Y</v>
      </c>
      <c r="J19" s="234" t="str">
        <f t="shared" si="7"/>
        <v>GBPSB6L17Y_S6L12L_Quote</v>
      </c>
      <c r="K19" s="234" t="e">
        <f>_xll.qlForwardSwapQuote(J19,I19,H19,E19,Permanent,Trigger,ObjectOverwrite)</f>
        <v>#NUM!</v>
      </c>
      <c r="L19" s="242" t="e">
        <f ca="1">_xll.ohRangeRetrieveError(K19)</f>
        <v>#NUM!</v>
      </c>
      <c r="M19" s="33"/>
    </row>
    <row r="20" spans="1:13" x14ac:dyDescent="0.2">
      <c r="A20" s="118"/>
      <c r="B20" s="76" t="s">
        <v>69</v>
      </c>
      <c r="C20" s="187" t="str">
        <f t="shared" si="0"/>
        <v>SB</v>
      </c>
      <c r="D20" s="187" t="str">
        <f t="shared" si="1"/>
        <v>6L</v>
      </c>
      <c r="E20" s="187" t="str">
        <f t="shared" si="2"/>
        <v>0d</v>
      </c>
      <c r="F20" s="187" t="str">
        <f t="shared" si="3"/>
        <v>6L</v>
      </c>
      <c r="G20" s="187" t="str">
        <f t="shared" si="4"/>
        <v>12L</v>
      </c>
      <c r="H20" s="235" t="str">
        <f t="shared" si="5"/>
        <v>GBP6L12L18Y_Quote</v>
      </c>
      <c r="I20" s="102" t="str">
        <f t="shared" si="6"/>
        <v>GbpLiborSwapIsda18Y</v>
      </c>
      <c r="J20" s="234" t="str">
        <f t="shared" si="7"/>
        <v>GBPSB6L18Y_S6L12L_Quote</v>
      </c>
      <c r="K20" s="234" t="e">
        <f>_xll.qlForwardSwapQuote(J20,I20,H20,E20,Permanent,Trigger,ObjectOverwrite)</f>
        <v>#NUM!</v>
      </c>
      <c r="L20" s="242" t="e">
        <f ca="1">_xll.ohRangeRetrieveError(K20)</f>
        <v>#NUM!</v>
      </c>
      <c r="M20" s="33"/>
    </row>
    <row r="21" spans="1:13" x14ac:dyDescent="0.2">
      <c r="A21" s="118"/>
      <c r="B21" s="76" t="s">
        <v>68</v>
      </c>
      <c r="C21" s="187" t="str">
        <f t="shared" si="0"/>
        <v>SB</v>
      </c>
      <c r="D21" s="187" t="str">
        <f t="shared" si="1"/>
        <v>6L</v>
      </c>
      <c r="E21" s="187" t="str">
        <f t="shared" si="2"/>
        <v>0d</v>
      </c>
      <c r="F21" s="187" t="str">
        <f t="shared" si="3"/>
        <v>6L</v>
      </c>
      <c r="G21" s="187" t="str">
        <f t="shared" si="4"/>
        <v>12L</v>
      </c>
      <c r="H21" s="235" t="str">
        <f t="shared" si="5"/>
        <v>GBP6L12L19Y_Quote</v>
      </c>
      <c r="I21" s="102" t="str">
        <f t="shared" si="6"/>
        <v>GbpLiborSwapIsda19Y</v>
      </c>
      <c r="J21" s="234" t="str">
        <f t="shared" si="7"/>
        <v>GBPSB6L19Y_S6L12L_Quote</v>
      </c>
      <c r="K21" s="234" t="e">
        <f>_xll.qlForwardSwapQuote(J21,I21,H21,E21,Permanent,Trigger,ObjectOverwrite)</f>
        <v>#NUM!</v>
      </c>
      <c r="L21" s="242" t="e">
        <f ca="1">_xll.ohRangeRetrieveError(K21)</f>
        <v>#NUM!</v>
      </c>
      <c r="M21" s="33"/>
    </row>
    <row r="22" spans="1:13" x14ac:dyDescent="0.2">
      <c r="A22" s="118"/>
      <c r="B22" s="76" t="s">
        <v>67</v>
      </c>
      <c r="C22" s="187" t="str">
        <f t="shared" si="0"/>
        <v>SB</v>
      </c>
      <c r="D22" s="187" t="str">
        <f t="shared" si="1"/>
        <v>6L</v>
      </c>
      <c r="E22" s="187" t="str">
        <f t="shared" si="2"/>
        <v>0d</v>
      </c>
      <c r="F22" s="187" t="str">
        <f t="shared" si="3"/>
        <v>6L</v>
      </c>
      <c r="G22" s="187" t="str">
        <f t="shared" si="4"/>
        <v>12L</v>
      </c>
      <c r="H22" s="235" t="str">
        <f t="shared" si="5"/>
        <v>GBP6L12L20Y_Quote</v>
      </c>
      <c r="I22" s="102" t="str">
        <f t="shared" si="6"/>
        <v>GbpLiborSwapIsda20Y</v>
      </c>
      <c r="J22" s="234" t="str">
        <f t="shared" si="7"/>
        <v>GBPSB6L20Y_S6L12L_Quote</v>
      </c>
      <c r="K22" s="234" t="e">
        <f>_xll.qlForwardSwapQuote(J22,I22,H22,E22,Permanent,Trigger,ObjectOverwrite)</f>
        <v>#NUM!</v>
      </c>
      <c r="L22" s="242" t="e">
        <f ca="1">_xll.ohRangeRetrieveError(K22)</f>
        <v>#NUM!</v>
      </c>
      <c r="M22" s="33"/>
    </row>
    <row r="23" spans="1:13" x14ac:dyDescent="0.2">
      <c r="A23" s="118"/>
      <c r="B23" s="76" t="s">
        <v>66</v>
      </c>
      <c r="C23" s="187" t="str">
        <f t="shared" si="0"/>
        <v>SB</v>
      </c>
      <c r="D23" s="187" t="str">
        <f t="shared" si="1"/>
        <v>6L</v>
      </c>
      <c r="E23" s="187" t="str">
        <f t="shared" si="2"/>
        <v>0d</v>
      </c>
      <c r="F23" s="187" t="str">
        <f t="shared" si="3"/>
        <v>6L</v>
      </c>
      <c r="G23" s="187" t="str">
        <f t="shared" si="4"/>
        <v>12L</v>
      </c>
      <c r="H23" s="235" t="str">
        <f t="shared" si="5"/>
        <v>GBP6L12L21Y_Quote</v>
      </c>
      <c r="I23" s="102" t="str">
        <f t="shared" si="6"/>
        <v>GbpLiborSwapIsda21Y</v>
      </c>
      <c r="J23" s="234" t="str">
        <f t="shared" si="7"/>
        <v>GBPSB6L21Y_S6L12L_Quote</v>
      </c>
      <c r="K23" s="234" t="e">
        <f>_xll.qlForwardSwapQuote(J23,I23,H23,E23,Permanent,Trigger,ObjectOverwrite)</f>
        <v>#NUM!</v>
      </c>
      <c r="L23" s="242" t="e">
        <f ca="1">_xll.ohRangeRetrieveError(K23)</f>
        <v>#NUM!</v>
      </c>
      <c r="M23" s="33"/>
    </row>
    <row r="24" spans="1:13" x14ac:dyDescent="0.2">
      <c r="A24" s="118"/>
      <c r="B24" s="76" t="s">
        <v>65</v>
      </c>
      <c r="C24" s="187" t="str">
        <f t="shared" si="0"/>
        <v>SB</v>
      </c>
      <c r="D24" s="187" t="str">
        <f t="shared" si="1"/>
        <v>6L</v>
      </c>
      <c r="E24" s="187" t="str">
        <f t="shared" si="2"/>
        <v>0d</v>
      </c>
      <c r="F24" s="187" t="str">
        <f t="shared" si="3"/>
        <v>6L</v>
      </c>
      <c r="G24" s="187" t="str">
        <f t="shared" si="4"/>
        <v>12L</v>
      </c>
      <c r="H24" s="235" t="str">
        <f t="shared" si="5"/>
        <v>GBP6L12L22Y_Quote</v>
      </c>
      <c r="I24" s="102" t="str">
        <f t="shared" si="6"/>
        <v>GbpLiborSwapIsda22Y</v>
      </c>
      <c r="J24" s="234" t="str">
        <f t="shared" si="7"/>
        <v>GBPSB6L22Y_S6L12L_Quote</v>
      </c>
      <c r="K24" s="234" t="e">
        <f>_xll.qlForwardSwapQuote(J24,I24,H24,E24,Permanent,Trigger,ObjectOverwrite)</f>
        <v>#NUM!</v>
      </c>
      <c r="L24" s="242" t="e">
        <f ca="1">_xll.ohRangeRetrieveError(K24)</f>
        <v>#NUM!</v>
      </c>
      <c r="M24" s="33"/>
    </row>
    <row r="25" spans="1:13" x14ac:dyDescent="0.2">
      <c r="A25" s="118"/>
      <c r="B25" s="76" t="s">
        <v>64</v>
      </c>
      <c r="C25" s="187" t="str">
        <f t="shared" si="0"/>
        <v>SB</v>
      </c>
      <c r="D25" s="187" t="str">
        <f t="shared" si="1"/>
        <v>6L</v>
      </c>
      <c r="E25" s="187" t="str">
        <f t="shared" si="2"/>
        <v>0d</v>
      </c>
      <c r="F25" s="187" t="str">
        <f t="shared" si="3"/>
        <v>6L</v>
      </c>
      <c r="G25" s="187" t="str">
        <f t="shared" si="4"/>
        <v>12L</v>
      </c>
      <c r="H25" s="235" t="str">
        <f t="shared" si="5"/>
        <v>GBP6L12L23Y_Quote</v>
      </c>
      <c r="I25" s="102" t="str">
        <f t="shared" si="6"/>
        <v>GbpLiborSwapIsda23Y</v>
      </c>
      <c r="J25" s="234" t="str">
        <f t="shared" si="7"/>
        <v>GBPSB6L23Y_S6L12L_Quote</v>
      </c>
      <c r="K25" s="234" t="e">
        <f>_xll.qlForwardSwapQuote(J25,I25,H25,E25,Permanent,Trigger,ObjectOverwrite)</f>
        <v>#NUM!</v>
      </c>
      <c r="L25" s="242" t="e">
        <f ca="1">_xll.ohRangeRetrieveError(K25)</f>
        <v>#NUM!</v>
      </c>
      <c r="M25" s="33"/>
    </row>
    <row r="26" spans="1:13" x14ac:dyDescent="0.2">
      <c r="A26" s="118"/>
      <c r="B26" s="76" t="s">
        <v>63</v>
      </c>
      <c r="C26" s="187" t="str">
        <f t="shared" si="0"/>
        <v>SB</v>
      </c>
      <c r="D26" s="187" t="str">
        <f t="shared" si="1"/>
        <v>6L</v>
      </c>
      <c r="E26" s="187" t="str">
        <f t="shared" si="2"/>
        <v>0d</v>
      </c>
      <c r="F26" s="187" t="str">
        <f t="shared" si="3"/>
        <v>6L</v>
      </c>
      <c r="G26" s="187" t="str">
        <f t="shared" si="4"/>
        <v>12L</v>
      </c>
      <c r="H26" s="235" t="str">
        <f t="shared" si="5"/>
        <v>GBP6L12L24Y_Quote</v>
      </c>
      <c r="I26" s="102" t="str">
        <f t="shared" si="6"/>
        <v>GbpLiborSwapIsda24Y</v>
      </c>
      <c r="J26" s="234" t="str">
        <f t="shared" si="7"/>
        <v>GBPSB6L24Y_S6L12L_Quote</v>
      </c>
      <c r="K26" s="234" t="e">
        <f>_xll.qlForwardSwapQuote(J26,I26,H26,E26,Permanent,Trigger,ObjectOverwrite)</f>
        <v>#NUM!</v>
      </c>
      <c r="L26" s="242" t="e">
        <f ca="1">_xll.ohRangeRetrieveError(K26)</f>
        <v>#NUM!</v>
      </c>
      <c r="M26" s="33"/>
    </row>
    <row r="27" spans="1:13" x14ac:dyDescent="0.2">
      <c r="A27" s="118"/>
      <c r="B27" s="76" t="s">
        <v>62</v>
      </c>
      <c r="C27" s="187" t="str">
        <f t="shared" si="0"/>
        <v>SB</v>
      </c>
      <c r="D27" s="187" t="str">
        <f t="shared" si="1"/>
        <v>6L</v>
      </c>
      <c r="E27" s="187" t="str">
        <f t="shared" si="2"/>
        <v>0d</v>
      </c>
      <c r="F27" s="187" t="str">
        <f t="shared" si="3"/>
        <v>6L</v>
      </c>
      <c r="G27" s="187" t="str">
        <f t="shared" si="4"/>
        <v>12L</v>
      </c>
      <c r="H27" s="235" t="str">
        <f t="shared" si="5"/>
        <v>GBP6L12L25Y_Quote</v>
      </c>
      <c r="I27" s="102" t="str">
        <f t="shared" si="6"/>
        <v>GbpLiborSwapIsda25Y</v>
      </c>
      <c r="J27" s="234" t="str">
        <f t="shared" si="7"/>
        <v>GBPSB6L25Y_S6L12L_Quote</v>
      </c>
      <c r="K27" s="234" t="e">
        <f>_xll.qlForwardSwapQuote(J27,I27,H27,E27,Permanent,Trigger,ObjectOverwrite)</f>
        <v>#NUM!</v>
      </c>
      <c r="L27" s="242" t="e">
        <f ca="1">_xll.ohRangeRetrieveError(K27)</f>
        <v>#NUM!</v>
      </c>
      <c r="M27" s="33"/>
    </row>
    <row r="28" spans="1:13" x14ac:dyDescent="0.2">
      <c r="A28" s="118"/>
      <c r="B28" s="76" t="s">
        <v>61</v>
      </c>
      <c r="C28" s="187" t="str">
        <f t="shared" si="0"/>
        <v>SB</v>
      </c>
      <c r="D28" s="187" t="str">
        <f t="shared" si="1"/>
        <v>6L</v>
      </c>
      <c r="E28" s="187" t="str">
        <f t="shared" si="2"/>
        <v>0d</v>
      </c>
      <c r="F28" s="187" t="str">
        <f t="shared" si="3"/>
        <v>6L</v>
      </c>
      <c r="G28" s="187" t="str">
        <f t="shared" si="4"/>
        <v>12L</v>
      </c>
      <c r="H28" s="235" t="str">
        <f t="shared" si="5"/>
        <v>GBP6L12L26Y_Quote</v>
      </c>
      <c r="I28" s="102" t="str">
        <f t="shared" si="6"/>
        <v>GbpLiborSwapIsda26Y</v>
      </c>
      <c r="J28" s="234" t="str">
        <f t="shared" si="7"/>
        <v>GBPSB6L26Y_S6L12L_Quote</v>
      </c>
      <c r="K28" s="234" t="e">
        <f>_xll.qlForwardSwapQuote(J28,I28,H28,E28,Permanent,Trigger,ObjectOverwrite)</f>
        <v>#NUM!</v>
      </c>
      <c r="L28" s="242" t="e">
        <f ca="1">_xll.ohRangeRetrieveError(K28)</f>
        <v>#NUM!</v>
      </c>
      <c r="M28" s="33"/>
    </row>
    <row r="29" spans="1:13" x14ac:dyDescent="0.2">
      <c r="A29" s="118"/>
      <c r="B29" s="76" t="s">
        <v>60</v>
      </c>
      <c r="C29" s="187" t="str">
        <f t="shared" si="0"/>
        <v>SB</v>
      </c>
      <c r="D29" s="187" t="str">
        <f t="shared" si="1"/>
        <v>6L</v>
      </c>
      <c r="E29" s="187" t="str">
        <f t="shared" si="2"/>
        <v>0d</v>
      </c>
      <c r="F29" s="187" t="str">
        <f t="shared" si="3"/>
        <v>6L</v>
      </c>
      <c r="G29" s="187" t="str">
        <f t="shared" si="4"/>
        <v>12L</v>
      </c>
      <c r="H29" s="235" t="str">
        <f t="shared" si="5"/>
        <v>GBP6L12L27Y_Quote</v>
      </c>
      <c r="I29" s="102" t="str">
        <f t="shared" si="6"/>
        <v>GbpLiborSwapIsda27Y</v>
      </c>
      <c r="J29" s="234" t="str">
        <f t="shared" si="7"/>
        <v>GBPSB6L27Y_S6L12L_Quote</v>
      </c>
      <c r="K29" s="234" t="e">
        <f>_xll.qlForwardSwapQuote(J29,I29,H29,E29,Permanent,Trigger,ObjectOverwrite)</f>
        <v>#NUM!</v>
      </c>
      <c r="L29" s="242" t="e">
        <f ca="1">_xll.ohRangeRetrieveError(K29)</f>
        <v>#NUM!</v>
      </c>
      <c r="M29" s="33"/>
    </row>
    <row r="30" spans="1:13" x14ac:dyDescent="0.2">
      <c r="A30" s="118"/>
      <c r="B30" s="76" t="s">
        <v>59</v>
      </c>
      <c r="C30" s="187" t="str">
        <f t="shared" si="0"/>
        <v>SB</v>
      </c>
      <c r="D30" s="187" t="str">
        <f t="shared" si="1"/>
        <v>6L</v>
      </c>
      <c r="E30" s="187" t="str">
        <f t="shared" si="2"/>
        <v>0d</v>
      </c>
      <c r="F30" s="187" t="str">
        <f t="shared" si="3"/>
        <v>6L</v>
      </c>
      <c r="G30" s="187" t="str">
        <f t="shared" si="4"/>
        <v>12L</v>
      </c>
      <c r="H30" s="235" t="str">
        <f t="shared" si="5"/>
        <v>GBP6L12L28Y_Quote</v>
      </c>
      <c r="I30" s="102" t="str">
        <f t="shared" si="6"/>
        <v>GbpLiborSwapIsda28Y</v>
      </c>
      <c r="J30" s="234" t="str">
        <f t="shared" si="7"/>
        <v>GBPSB6L28Y_S6L12L_Quote</v>
      </c>
      <c r="K30" s="234" t="e">
        <f>_xll.qlForwardSwapQuote(J30,I30,H30,E30,Permanent,Trigger,ObjectOverwrite)</f>
        <v>#NUM!</v>
      </c>
      <c r="L30" s="242" t="e">
        <f ca="1">_xll.ohRangeRetrieveError(K30)</f>
        <v>#NUM!</v>
      </c>
      <c r="M30" s="33"/>
    </row>
    <row r="31" spans="1:13" x14ac:dyDescent="0.2">
      <c r="A31" s="118"/>
      <c r="B31" s="76" t="s">
        <v>58</v>
      </c>
      <c r="C31" s="187" t="str">
        <f t="shared" si="0"/>
        <v>SB</v>
      </c>
      <c r="D31" s="187" t="str">
        <f t="shared" si="1"/>
        <v>6L</v>
      </c>
      <c r="E31" s="187" t="str">
        <f t="shared" si="2"/>
        <v>0d</v>
      </c>
      <c r="F31" s="187" t="str">
        <f t="shared" si="3"/>
        <v>6L</v>
      </c>
      <c r="G31" s="187" t="str">
        <f t="shared" si="4"/>
        <v>12L</v>
      </c>
      <c r="H31" s="235" t="str">
        <f t="shared" si="5"/>
        <v>GBP6L12L29Y_Quote</v>
      </c>
      <c r="I31" s="102" t="str">
        <f t="shared" si="6"/>
        <v>GbpLiborSwapIsda29Y</v>
      </c>
      <c r="J31" s="234" t="str">
        <f t="shared" si="7"/>
        <v>GBPSB6L29Y_S6L12L_Quote</v>
      </c>
      <c r="K31" s="234" t="e">
        <f>_xll.qlForwardSwapQuote(J31,I31,H31,E31,Permanent,Trigger,ObjectOverwrite)</f>
        <v>#NUM!</v>
      </c>
      <c r="L31" s="242" t="e">
        <f ca="1">_xll.ohRangeRetrieveError(K31)</f>
        <v>#NUM!</v>
      </c>
      <c r="M31" s="33"/>
    </row>
    <row r="32" spans="1:13" x14ac:dyDescent="0.2">
      <c r="A32" s="118"/>
      <c r="B32" s="76" t="s">
        <v>57</v>
      </c>
      <c r="C32" s="187" t="str">
        <f t="shared" si="0"/>
        <v>SB</v>
      </c>
      <c r="D32" s="187" t="str">
        <f t="shared" si="1"/>
        <v>6L</v>
      </c>
      <c r="E32" s="187" t="str">
        <f t="shared" si="2"/>
        <v>0d</v>
      </c>
      <c r="F32" s="187" t="str">
        <f t="shared" si="3"/>
        <v>6L</v>
      </c>
      <c r="G32" s="187" t="str">
        <f t="shared" si="4"/>
        <v>12L</v>
      </c>
      <c r="H32" s="235" t="str">
        <f t="shared" si="5"/>
        <v>GBP6L12L30Y_Quote</v>
      </c>
      <c r="I32" s="102" t="str">
        <f t="shared" si="6"/>
        <v>GbpLiborSwapIsda30Y</v>
      </c>
      <c r="J32" s="234" t="str">
        <f t="shared" si="7"/>
        <v>GBPSB6L30Y_S6L12L_Quote</v>
      </c>
      <c r="K32" s="234" t="e">
        <f>_xll.qlForwardSwapQuote(J32,I32,H32,E32,Permanent,Trigger,ObjectOverwrite)</f>
        <v>#NUM!</v>
      </c>
      <c r="L32" s="242" t="e">
        <f ca="1">_xll.ohRangeRetrieveError(K32)</f>
        <v>#NUM!</v>
      </c>
      <c r="M32" s="33"/>
    </row>
    <row r="33" spans="1:13" x14ac:dyDescent="0.2">
      <c r="A33" s="118"/>
      <c r="B33" s="76" t="s">
        <v>52</v>
      </c>
      <c r="C33" s="187" t="str">
        <f t="shared" si="0"/>
        <v>SB</v>
      </c>
      <c r="D33" s="187" t="str">
        <f t="shared" si="1"/>
        <v>6L</v>
      </c>
      <c r="E33" s="187" t="str">
        <f t="shared" si="2"/>
        <v>0d</v>
      </c>
      <c r="F33" s="187" t="str">
        <f t="shared" si="3"/>
        <v>6L</v>
      </c>
      <c r="G33" s="187" t="str">
        <f t="shared" si="4"/>
        <v>12L</v>
      </c>
      <c r="H33" s="235" t="str">
        <f t="shared" si="5"/>
        <v>GBP6L12L35Y_Quote</v>
      </c>
      <c r="I33" s="102" t="str">
        <f t="shared" si="6"/>
        <v>GbpLiborSwapIsda35Y</v>
      </c>
      <c r="J33" s="234" t="str">
        <f t="shared" si="7"/>
        <v>GBPSB6L35Y_S6L12L_Quote</v>
      </c>
      <c r="K33" s="234" t="e">
        <f>_xll.qlForwardSwapQuote(J33,I33,H33,E33,Permanent,Trigger,ObjectOverwrite)</f>
        <v>#NUM!</v>
      </c>
      <c r="L33" s="242" t="e">
        <f ca="1">_xll.ohRangeRetrieveError(K33)</f>
        <v>#NUM!</v>
      </c>
      <c r="M33" s="33"/>
    </row>
    <row r="34" spans="1:13" x14ac:dyDescent="0.2">
      <c r="A34" s="118"/>
      <c r="B34" s="76" t="s">
        <v>47</v>
      </c>
      <c r="C34" s="187" t="str">
        <f t="shared" si="0"/>
        <v>SB</v>
      </c>
      <c r="D34" s="187" t="str">
        <f t="shared" si="1"/>
        <v>6L</v>
      </c>
      <c r="E34" s="187" t="str">
        <f t="shared" si="2"/>
        <v>0d</v>
      </c>
      <c r="F34" s="187" t="str">
        <f t="shared" si="3"/>
        <v>6L</v>
      </c>
      <c r="G34" s="187" t="str">
        <f t="shared" si="4"/>
        <v>12L</v>
      </c>
      <c r="H34" s="235" t="str">
        <f t="shared" si="5"/>
        <v>GBP6L12L40Y_Quote</v>
      </c>
      <c r="I34" s="102" t="str">
        <f t="shared" si="6"/>
        <v>GbpLiborSwapIsda40Y</v>
      </c>
      <c r="J34" s="234" t="str">
        <f t="shared" si="7"/>
        <v>GBPSB6L40Y_S6L12L_Quote</v>
      </c>
      <c r="K34" s="234" t="e">
        <f>_xll.qlForwardSwapQuote(J34,I34,H34,E34,Permanent,Trigger,ObjectOverwrite)</f>
        <v>#NUM!</v>
      </c>
      <c r="L34" s="242" t="e">
        <f ca="1">_xll.ohRangeRetrieveError(K34)</f>
        <v>#NUM!</v>
      </c>
      <c r="M34" s="33"/>
    </row>
    <row r="35" spans="1:13" x14ac:dyDescent="0.2">
      <c r="A35" s="118"/>
      <c r="B35" s="76" t="s">
        <v>37</v>
      </c>
      <c r="C35" s="187" t="str">
        <f t="shared" si="0"/>
        <v>SB</v>
      </c>
      <c r="D35" s="187" t="str">
        <f t="shared" si="1"/>
        <v>6L</v>
      </c>
      <c r="E35" s="187" t="str">
        <f t="shared" si="2"/>
        <v>0d</v>
      </c>
      <c r="F35" s="187" t="str">
        <f t="shared" si="3"/>
        <v>6L</v>
      </c>
      <c r="G35" s="187" t="str">
        <f t="shared" si="4"/>
        <v>12L</v>
      </c>
      <c r="H35" s="235" t="str">
        <f t="shared" si="5"/>
        <v>GBP6L12L50Y_Quote</v>
      </c>
      <c r="I35" s="102" t="str">
        <f t="shared" si="6"/>
        <v>GbpLiborSwapIsda50Y</v>
      </c>
      <c r="J35" s="234" t="str">
        <f t="shared" si="7"/>
        <v>GBPSB6L50Y_S6L12L_Quote</v>
      </c>
      <c r="K35" s="234" t="e">
        <f>_xll.qlForwardSwapQuote(J35,I35,H35,E35,Permanent,Trigger,ObjectOverwrite)</f>
        <v>#NUM!</v>
      </c>
      <c r="L35" s="242" t="e">
        <f ca="1">_xll.ohRangeRetrieveError(K35)</f>
        <v>#NUM!</v>
      </c>
      <c r="M35" s="33"/>
    </row>
    <row r="36" spans="1:13" x14ac:dyDescent="0.2">
      <c r="A36" s="118"/>
      <c r="B36" s="76" t="s">
        <v>27</v>
      </c>
      <c r="C36" s="187" t="str">
        <f t="shared" si="0"/>
        <v>SB</v>
      </c>
      <c r="D36" s="187" t="str">
        <f t="shared" si="1"/>
        <v>6L</v>
      </c>
      <c r="E36" s="187" t="str">
        <f t="shared" si="2"/>
        <v>0d</v>
      </c>
      <c r="F36" s="187" t="str">
        <f t="shared" si="3"/>
        <v>6L</v>
      </c>
      <c r="G36" s="187" t="str">
        <f t="shared" si="4"/>
        <v>12L</v>
      </c>
      <c r="H36" s="235" t="str">
        <f t="shared" si="5"/>
        <v>GBP6L12L60Y_Quote</v>
      </c>
      <c r="I36" s="102" t="str">
        <f t="shared" si="6"/>
        <v>GbpLiborSwapIsda60Y</v>
      </c>
      <c r="J36" s="234" t="str">
        <f t="shared" si="7"/>
        <v>GBPSB6L60Y_S6L12L_Quote</v>
      </c>
      <c r="K36" s="234" t="e">
        <f>_xll.qlForwardSwapQuote(J36,I36,H36,E36,Permanent,Trigger,ObjectOverwrite)</f>
        <v>#NUM!</v>
      </c>
      <c r="L36" s="242" t="e">
        <f ca="1">_xll.ohRangeRetrieveError(K36)</f>
        <v>#NUM!</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9.570312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12.85546875" style="250" bestFit="1" customWidth="1"/>
    <col min="19" max="19" width="8.140625" style="250" bestFit="1" customWidth="1"/>
    <col min="20" max="20" width="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t="s">
        <v>131</v>
      </c>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ht="15" x14ac:dyDescent="0.25">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t="str">
        <f>Currency&amp;$C4&amp;"D"&amp;$R$2</f>
        <v>GBPOND_Quote</v>
      </c>
      <c r="S4" s="271">
        <f>_xll.qlQuoteValue(R4,ISERROR(H4))</f>
        <v>4.7999999999999996E-3</v>
      </c>
      <c r="T4" s="270" t="e">
        <f>IF(E4=EvaluationDate,S4-F4/100,NA())</f>
        <v>#N/A</v>
      </c>
      <c r="U4" s="251"/>
      <c r="V4" s="251"/>
      <c r="W4" s="251"/>
      <c r="X4" s="251"/>
      <c r="Y4" s="251"/>
      <c r="Z4" s="251"/>
      <c r="AA4" s="251"/>
      <c r="AB4" s="251"/>
      <c r="AC4" s="251"/>
      <c r="AD4" s="251"/>
    </row>
    <row r="5" spans="1:30" ht="15" x14ac:dyDescent="0.25">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71"/>
      <c r="T5" s="270"/>
      <c r="U5" s="251"/>
      <c r="V5" s="251"/>
      <c r="W5" s="251"/>
      <c r="X5" s="251"/>
      <c r="Y5" s="251"/>
      <c r="Z5" s="251"/>
      <c r="AA5" s="251"/>
      <c r="AB5" s="251"/>
      <c r="AC5" s="251"/>
      <c r="AD5" s="251"/>
    </row>
    <row r="6" spans="1:30" ht="15" x14ac:dyDescent="0.25">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71"/>
      <c r="T6" s="270"/>
      <c r="U6" s="251"/>
      <c r="V6" s="251"/>
      <c r="W6" s="251"/>
      <c r="X6" s="251"/>
      <c r="Y6" s="251"/>
      <c r="Z6" s="251"/>
      <c r="AA6" s="251"/>
      <c r="AB6" s="251"/>
      <c r="AC6" s="251"/>
      <c r="AD6" s="251"/>
    </row>
    <row r="7" spans="1:30" ht="15" x14ac:dyDescent="0.25">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t="str">
        <f t="shared" ref="R7:R21" si="5">Currency&amp;$C7&amp;"D"&amp;$R$2</f>
        <v>GBPSWD_Quote</v>
      </c>
      <c r="S7" s="271">
        <f>_xll.qlQuoteValue(R7,ISERROR(H7))</f>
        <v>4.8438000000000005E-3</v>
      </c>
      <c r="T7" s="270" t="e">
        <f t="shared" ref="T7:T21" si="6">IF(E7=EvaluationDate,S7-F7/100,NA())</f>
        <v>#N/A</v>
      </c>
      <c r="U7" s="251"/>
      <c r="V7" s="251"/>
      <c r="W7" s="251"/>
      <c r="X7" s="251"/>
      <c r="Y7" s="251"/>
      <c r="Z7" s="251"/>
      <c r="AA7" s="251"/>
      <c r="AB7" s="251"/>
      <c r="AC7" s="251"/>
      <c r="AD7" s="251"/>
    </row>
    <row r="8" spans="1:30" ht="15" x14ac:dyDescent="0.25">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t="str">
        <f t="shared" si="5"/>
        <v>GBP2WD_Quote</v>
      </c>
      <c r="S8" s="271">
        <f>_xll.qlQuoteValue(R8,ISERROR(H8))</f>
        <v>4.9249999999999997E-3</v>
      </c>
      <c r="T8" s="270" t="e">
        <f t="shared" si="6"/>
        <v>#N/A</v>
      </c>
      <c r="U8" s="251"/>
      <c r="V8" s="251"/>
      <c r="W8" s="251"/>
      <c r="X8" s="251"/>
      <c r="Y8" s="251"/>
      <c r="Z8" s="251"/>
      <c r="AA8" s="251"/>
      <c r="AB8" s="251"/>
      <c r="AC8" s="251"/>
      <c r="AD8" s="251"/>
    </row>
    <row r="9" spans="1:30" ht="15" x14ac:dyDescent="0.25">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t="str">
        <f t="shared" si="5"/>
        <v>GBP3WD_Quote</v>
      </c>
      <c r="S9" s="271" t="e">
        <f>_xll.qlQuoteValue(R9,ISERROR(H9))</f>
        <v>#NUM!</v>
      </c>
      <c r="T9" s="270" t="e">
        <f t="shared" si="6"/>
        <v>#N/A</v>
      </c>
      <c r="U9" s="251"/>
      <c r="V9" s="251"/>
      <c r="W9" s="251"/>
      <c r="X9" s="251"/>
      <c r="Y9" s="251"/>
      <c r="Z9" s="251"/>
      <c r="AA9" s="251"/>
      <c r="AB9" s="251"/>
      <c r="AC9" s="251"/>
      <c r="AD9" s="251"/>
    </row>
    <row r="10" spans="1:30" ht="15" x14ac:dyDescent="0.25">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t="str">
        <f t="shared" si="5"/>
        <v>GBP1MD_Quote</v>
      </c>
      <c r="S10" s="271">
        <f>_xll.qlQuoteValue(R10,ISERROR(H10))</f>
        <v>4.9438000000000008E-3</v>
      </c>
      <c r="T10" s="270" t="e">
        <f t="shared" si="6"/>
        <v>#N/A</v>
      </c>
      <c r="U10" s="251"/>
      <c r="V10" s="251"/>
      <c r="W10" s="251"/>
      <c r="X10" s="251"/>
      <c r="Y10" s="251"/>
      <c r="Z10" s="251"/>
      <c r="AA10" s="251"/>
      <c r="AB10" s="251"/>
      <c r="AC10" s="251"/>
      <c r="AD10" s="251"/>
    </row>
    <row r="11" spans="1:30" ht="15" x14ac:dyDescent="0.25">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t="str">
        <f t="shared" si="5"/>
        <v>GBP2MD_Quote</v>
      </c>
      <c r="S11" s="271">
        <f>_xll.qlQuoteValue(R11,ISERROR(H11))</f>
        <v>5.1000000000000004E-3</v>
      </c>
      <c r="T11" s="270" t="e">
        <f t="shared" si="6"/>
        <v>#N/A</v>
      </c>
      <c r="U11" s="251"/>
      <c r="V11" s="251"/>
      <c r="W11" s="251"/>
      <c r="X11" s="251"/>
      <c r="Y11" s="251"/>
      <c r="Z11" s="251"/>
      <c r="AA11" s="251"/>
      <c r="AB11" s="251"/>
      <c r="AC11" s="251"/>
      <c r="AD11" s="251"/>
    </row>
    <row r="12" spans="1:30" ht="15" x14ac:dyDescent="0.25">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t="str">
        <f t="shared" si="5"/>
        <v>GBP3MD_Quote</v>
      </c>
      <c r="S12" s="271">
        <f>_xll.qlQuoteValue(R12,ISERROR(H12))</f>
        <v>5.1875000000000003E-3</v>
      </c>
      <c r="T12" s="270" t="e">
        <f t="shared" si="6"/>
        <v>#N/A</v>
      </c>
      <c r="U12" s="251"/>
      <c r="V12" s="251"/>
      <c r="W12" s="251"/>
      <c r="X12" s="251"/>
      <c r="Y12" s="251"/>
      <c r="Z12" s="251"/>
      <c r="AA12" s="251"/>
      <c r="AB12" s="251"/>
      <c r="AC12" s="251"/>
      <c r="AD12" s="251"/>
    </row>
    <row r="13" spans="1:30" ht="15" x14ac:dyDescent="0.25">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t="str">
        <f t="shared" si="5"/>
        <v>GBP4MD_Quote</v>
      </c>
      <c r="S13" s="271">
        <f>_xll.qlQuoteValue(R13,ISERROR(H13))</f>
        <v>5.6000000000000008E-3</v>
      </c>
      <c r="T13" s="270" t="e">
        <f t="shared" si="6"/>
        <v>#N/A</v>
      </c>
      <c r="U13" s="251"/>
      <c r="V13" s="251"/>
      <c r="W13" s="251"/>
      <c r="X13" s="251"/>
      <c r="Y13" s="251"/>
      <c r="Z13" s="251"/>
      <c r="AA13" s="251"/>
      <c r="AB13" s="251"/>
      <c r="AC13" s="251"/>
      <c r="AD13" s="251"/>
    </row>
    <row r="14" spans="1:30" ht="15" x14ac:dyDescent="0.25">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t="str">
        <f t="shared" si="5"/>
        <v>GBP5MD_Quote</v>
      </c>
      <c r="S14" s="271">
        <f>_xll.qlQuoteValue(R14,ISERROR(H14))</f>
        <v>6.2937999999999996E-3</v>
      </c>
      <c r="T14" s="270" t="e">
        <f t="shared" si="6"/>
        <v>#N/A</v>
      </c>
      <c r="U14" s="251"/>
      <c r="V14" s="251"/>
      <c r="W14" s="251"/>
      <c r="X14" s="251"/>
      <c r="Y14" s="251"/>
      <c r="Z14" s="251"/>
      <c r="AA14" s="251"/>
      <c r="AB14" s="251"/>
      <c r="AC14" s="251"/>
      <c r="AD14" s="251"/>
    </row>
    <row r="15" spans="1:30" ht="15" x14ac:dyDescent="0.25">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t="str">
        <f t="shared" si="5"/>
        <v>GBP6MD_Quote</v>
      </c>
      <c r="S15" s="271">
        <f>_xll.qlQuoteValue(R15,ISERROR(H15))</f>
        <v>6.6874999999999999E-3</v>
      </c>
      <c r="T15" s="270" t="e">
        <f t="shared" si="6"/>
        <v>#N/A</v>
      </c>
      <c r="U15" s="251"/>
      <c r="V15" s="251"/>
      <c r="W15" s="251"/>
      <c r="X15" s="251"/>
      <c r="Y15" s="251"/>
      <c r="Z15" s="251"/>
      <c r="AA15" s="251"/>
      <c r="AB15" s="251"/>
      <c r="AC15" s="251"/>
      <c r="AD15" s="251"/>
    </row>
    <row r="16" spans="1:30" ht="15" x14ac:dyDescent="0.25">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t="str">
        <f t="shared" si="5"/>
        <v>GBP7MD_Quote</v>
      </c>
      <c r="S16" s="271">
        <f>_xll.qlQuoteValue(R16,ISERROR(H16))</f>
        <v>7.181299999999999E-3</v>
      </c>
      <c r="T16" s="270" t="e">
        <f t="shared" si="6"/>
        <v>#N/A</v>
      </c>
      <c r="U16" s="251"/>
      <c r="V16" s="251"/>
      <c r="W16" s="251"/>
      <c r="X16" s="251"/>
      <c r="Y16" s="251"/>
      <c r="Z16" s="251"/>
      <c r="AA16" s="251"/>
      <c r="AB16" s="251"/>
      <c r="AC16" s="251"/>
      <c r="AD16" s="251"/>
    </row>
    <row r="17" spans="1:30" ht="15" x14ac:dyDescent="0.25">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t="str">
        <f t="shared" si="5"/>
        <v>GBP8MD_Quote</v>
      </c>
      <c r="S17" s="271">
        <f>_xll.qlQuoteValue(R17,ISERROR(H17))</f>
        <v>7.8874999999999987E-3</v>
      </c>
      <c r="T17" s="270" t="e">
        <f t="shared" si="6"/>
        <v>#N/A</v>
      </c>
      <c r="U17" s="251"/>
      <c r="V17" s="251"/>
      <c r="W17" s="251"/>
      <c r="X17" s="251"/>
      <c r="Y17" s="251"/>
      <c r="Z17" s="251"/>
      <c r="AA17" s="251"/>
      <c r="AB17" s="251"/>
      <c r="AC17" s="251"/>
      <c r="AD17" s="251"/>
    </row>
    <row r="18" spans="1:30" ht="15" x14ac:dyDescent="0.25">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t="str">
        <f t="shared" si="5"/>
        <v>GBP9MD_Quote</v>
      </c>
      <c r="S18" s="271">
        <f>_xll.qlQuoteValue(R18,ISERROR(H18))</f>
        <v>8.4124999999999998E-3</v>
      </c>
      <c r="T18" s="270" t="e">
        <f t="shared" si="6"/>
        <v>#N/A</v>
      </c>
      <c r="U18" s="251"/>
      <c r="V18" s="251"/>
      <c r="W18" s="251"/>
      <c r="X18" s="251"/>
      <c r="Y18" s="251"/>
      <c r="Z18" s="251"/>
      <c r="AA18" s="251"/>
      <c r="AB18" s="251"/>
      <c r="AC18" s="251"/>
      <c r="AD18" s="251"/>
    </row>
    <row r="19" spans="1:30" ht="15" x14ac:dyDescent="0.25">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t="str">
        <f t="shared" si="5"/>
        <v>GBP10MD_Quote</v>
      </c>
      <c r="S19" s="271">
        <f>_xll.qlQuoteValue(R19,ISERROR(H19))</f>
        <v>8.9312999999999997E-3</v>
      </c>
      <c r="T19" s="270" t="e">
        <f t="shared" si="6"/>
        <v>#N/A</v>
      </c>
      <c r="U19" s="251"/>
      <c r="V19" s="251"/>
      <c r="W19" s="251"/>
      <c r="X19" s="251"/>
      <c r="Y19" s="251"/>
      <c r="Z19" s="251"/>
      <c r="AA19" s="251"/>
      <c r="AB19" s="251"/>
      <c r="AC19" s="251"/>
      <c r="AD19" s="251"/>
    </row>
    <row r="20" spans="1:30" ht="15" x14ac:dyDescent="0.25">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t="str">
        <f t="shared" si="5"/>
        <v>GBP11MD_Quote</v>
      </c>
      <c r="S20" s="271">
        <f>_xll.qlQuoteValue(R20,ISERROR(H20))</f>
        <v>9.5312999999999995E-3</v>
      </c>
      <c r="T20" s="270" t="e">
        <f t="shared" si="6"/>
        <v>#N/A</v>
      </c>
      <c r="U20" s="251"/>
      <c r="V20" s="251"/>
      <c r="W20" s="251"/>
      <c r="X20" s="251"/>
      <c r="Y20" s="251"/>
      <c r="Z20" s="251"/>
      <c r="AA20" s="251"/>
      <c r="AB20" s="251"/>
      <c r="AC20" s="251"/>
      <c r="AD20" s="251"/>
    </row>
    <row r="21" spans="1:30" ht="15" x14ac:dyDescent="0.25">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t="str">
        <f t="shared" si="5"/>
        <v>GBP1YD_Quote</v>
      </c>
      <c r="S21" s="271">
        <f>_xll.qlQuoteValue(R21,ISERROR(H21))</f>
        <v>1.0131299999999999E-2</v>
      </c>
      <c r="T21" s="270" t="e">
        <f t="shared" si="6"/>
        <v>#N/A</v>
      </c>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232</v>
      </c>
      <c r="E25" s="255" t="s">
        <v>231</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12"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4" style="250" bestFit="1" customWidth="1"/>
    <col min="19" max="19" width="4.85546875" style="250" bestFit="1" customWidth="1"/>
    <col min="20" max="20" width="6.140625"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c r="S4" s="251"/>
      <c r="T4" s="251"/>
      <c r="U4" s="251"/>
      <c r="V4" s="251"/>
      <c r="W4" s="251"/>
      <c r="X4" s="251"/>
      <c r="Y4" s="251"/>
      <c r="Z4" s="251"/>
      <c r="AA4" s="251"/>
      <c r="AB4" s="251"/>
      <c r="AC4" s="251"/>
      <c r="AD4" s="251"/>
    </row>
    <row r="5" spans="1:30" x14ac:dyDescent="0.2">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51"/>
      <c r="T5" s="251"/>
      <c r="U5" s="251"/>
      <c r="V5" s="251"/>
      <c r="W5" s="251"/>
      <c r="X5" s="251"/>
      <c r="Y5" s="251"/>
      <c r="Z5" s="251"/>
      <c r="AA5" s="251"/>
      <c r="AB5" s="251"/>
      <c r="AC5" s="251"/>
      <c r="AD5" s="251"/>
    </row>
    <row r="6" spans="1:30" x14ac:dyDescent="0.2">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51"/>
      <c r="T6" s="251"/>
      <c r="U6" s="251"/>
      <c r="V6" s="251"/>
      <c r="W6" s="251"/>
      <c r="X6" s="251"/>
      <c r="Y6" s="251"/>
      <c r="Z6" s="251"/>
      <c r="AA6" s="251"/>
      <c r="AB6" s="251"/>
      <c r="AC6" s="251"/>
      <c r="AD6" s="251"/>
    </row>
    <row r="7" spans="1:30" x14ac:dyDescent="0.2">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c r="S7" s="251"/>
      <c r="T7" s="251"/>
      <c r="U7" s="251"/>
      <c r="V7" s="251"/>
      <c r="W7" s="251"/>
      <c r="X7" s="251"/>
      <c r="Y7" s="251"/>
      <c r="Z7" s="251"/>
      <c r="AA7" s="251"/>
      <c r="AB7" s="251"/>
      <c r="AC7" s="251"/>
      <c r="AD7" s="251"/>
    </row>
    <row r="8" spans="1:30" x14ac:dyDescent="0.2">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c r="S8" s="251"/>
      <c r="T8" s="251"/>
      <c r="U8" s="251"/>
      <c r="V8" s="251"/>
      <c r="W8" s="251"/>
      <c r="X8" s="251"/>
      <c r="Y8" s="251"/>
      <c r="Z8" s="251"/>
      <c r="AA8" s="251"/>
      <c r="AB8" s="251"/>
      <c r="AC8" s="251"/>
      <c r="AD8" s="251"/>
    </row>
    <row r="9" spans="1:30" x14ac:dyDescent="0.2">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c r="S9" s="251"/>
      <c r="T9" s="251"/>
      <c r="U9" s="251"/>
      <c r="V9" s="251"/>
      <c r="W9" s="251"/>
      <c r="X9" s="251"/>
      <c r="Y9" s="251"/>
      <c r="Z9" s="251"/>
      <c r="AA9" s="251"/>
      <c r="AB9" s="251"/>
      <c r="AC9" s="251"/>
      <c r="AD9" s="251"/>
    </row>
    <row r="10" spans="1:30" x14ac:dyDescent="0.2">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c r="S17" s="251"/>
      <c r="T17" s="251"/>
      <c r="U17" s="251"/>
      <c r="V17" s="251"/>
      <c r="W17" s="251"/>
      <c r="X17" s="251"/>
      <c r="Y17" s="251"/>
      <c r="Z17" s="251"/>
      <c r="AA17" s="251"/>
      <c r="AB17" s="251"/>
      <c r="AC17" s="251"/>
      <c r="AD17" s="251"/>
    </row>
    <row r="18" spans="1:30" x14ac:dyDescent="0.2">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c r="S18" s="251"/>
      <c r="T18" s="251"/>
      <c r="U18" s="251"/>
      <c r="V18" s="251"/>
      <c r="W18" s="251"/>
      <c r="X18" s="251"/>
      <c r="Y18" s="251"/>
      <c r="Z18" s="251"/>
      <c r="AA18" s="251"/>
      <c r="AB18" s="251"/>
      <c r="AC18" s="251"/>
      <c r="AD18" s="251"/>
    </row>
    <row r="19" spans="1:30" x14ac:dyDescent="0.2">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c r="S19" s="251"/>
      <c r="T19" s="251"/>
      <c r="U19" s="251"/>
      <c r="V19" s="251"/>
      <c r="W19" s="251"/>
      <c r="X19" s="251"/>
      <c r="Y19" s="251"/>
      <c r="Z19" s="251"/>
      <c r="AA19" s="251"/>
      <c r="AB19" s="251"/>
      <c r="AC19" s="251"/>
      <c r="AD19" s="251"/>
    </row>
    <row r="20" spans="1:30" x14ac:dyDescent="0.2">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c r="S20" s="251"/>
      <c r="T20" s="251"/>
      <c r="U20" s="251"/>
      <c r="V20" s="251"/>
      <c r="W20" s="251"/>
      <c r="X20" s="251"/>
      <c r="Y20" s="251"/>
      <c r="Z20" s="251"/>
      <c r="AA20" s="251"/>
      <c r="AB20" s="251"/>
      <c r="AC20" s="251"/>
      <c r="AD20" s="251"/>
    </row>
    <row r="21" spans="1:30" x14ac:dyDescent="0.2">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c r="S21" s="251"/>
      <c r="T21" s="251"/>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247</v>
      </c>
      <c r="E25" s="255" t="s">
        <v>246</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bestFit="1" customWidth="1"/>
    <col min="16" max="17" width="3.5703125" style="250" customWidth="1"/>
    <col min="18" max="18" width="4" style="250" bestFit="1" customWidth="1"/>
    <col min="19" max="19" width="6.140625" style="250" bestFit="1" customWidth="1"/>
    <col min="20" max="20" width="1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331" t="s">
        <v>228</v>
      </c>
      <c r="E21" s="330" t="s">
        <v>228</v>
      </c>
    </row>
    <row r="22" spans="1:30" s="251" customFormat="1" x14ac:dyDescent="0.2">
      <c r="C22" s="257" t="s">
        <v>120</v>
      </c>
      <c r="D22" s="256" t="s">
        <v>258</v>
      </c>
      <c r="E22" s="255" t="s">
        <v>257</v>
      </c>
    </row>
    <row r="23" spans="1:30" s="251" customFormat="1" x14ac:dyDescent="0.2">
      <c r="C23" s="257" t="s">
        <v>230</v>
      </c>
      <c r="D23" s="256" t="s">
        <v>256</v>
      </c>
      <c r="E23" s="255" t="s">
        <v>255</v>
      </c>
    </row>
    <row r="24" spans="1:30" s="251" customFormat="1" x14ac:dyDescent="0.2">
      <c r="C24" s="257" t="s">
        <v>229</v>
      </c>
      <c r="D24" s="329" t="s">
        <v>228</v>
      </c>
      <c r="E24" s="328" t="s">
        <v>228</v>
      </c>
    </row>
    <row r="25" spans="1:30" s="251" customFormat="1" x14ac:dyDescent="0.2">
      <c r="C25" s="257" t="s">
        <v>96</v>
      </c>
      <c r="D25" s="329" t="s">
        <v>228</v>
      </c>
      <c r="E25" s="328" t="s">
        <v>228</v>
      </c>
    </row>
    <row r="26" spans="1:30" s="251" customFormat="1" x14ac:dyDescent="0.2">
      <c r="C26" s="257" t="s">
        <v>117</v>
      </c>
      <c r="D26" s="256" t="s">
        <v>256</v>
      </c>
      <c r="E26" s="255" t="s">
        <v>255</v>
      </c>
    </row>
    <row r="27" spans="1:30" s="251" customFormat="1" ht="12" thickBot="1" x14ac:dyDescent="0.25">
      <c r="C27" s="254" t="s">
        <v>115</v>
      </c>
      <c r="D27" s="325" t="s">
        <v>256</v>
      </c>
      <c r="E27" s="324" t="s">
        <v>255</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140625" style="250" bestFit="1" customWidth="1"/>
    <col min="14" max="14" width="10" style="250" bestFit="1" customWidth="1"/>
    <col min="15" max="15" width="7.140625" style="250" bestFit="1" customWidth="1"/>
    <col min="16" max="17" width="3.5703125" style="250" customWidth="1"/>
    <col min="18" max="18" width="4" style="250" bestFit="1" customWidth="1"/>
    <col min="19" max="19" width="5.28515625" style="250" bestFit="1" customWidth="1"/>
    <col min="20" max="20" width="1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t="s">
        <v>261</v>
      </c>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261" t="s">
        <v>228</v>
      </c>
      <c r="E21" s="260" t="s">
        <v>228</v>
      </c>
    </row>
    <row r="22" spans="1:30" s="251" customFormat="1" x14ac:dyDescent="0.2">
      <c r="C22" s="257" t="s">
        <v>120</v>
      </c>
      <c r="D22" s="256" t="s">
        <v>260</v>
      </c>
      <c r="E22" s="255" t="s">
        <v>259</v>
      </c>
    </row>
    <row r="23" spans="1:30" s="251" customFormat="1" x14ac:dyDescent="0.2">
      <c r="C23" s="257" t="s">
        <v>230</v>
      </c>
      <c r="D23" s="256" t="s">
        <v>228</v>
      </c>
      <c r="E23" s="255" t="s">
        <v>228</v>
      </c>
    </row>
    <row r="24" spans="1:30" s="251" customFormat="1" x14ac:dyDescent="0.2">
      <c r="C24" s="257" t="s">
        <v>229</v>
      </c>
      <c r="D24" s="256" t="s">
        <v>228</v>
      </c>
      <c r="E24" s="255" t="s">
        <v>228</v>
      </c>
    </row>
    <row r="25" spans="1:30" s="251" customFormat="1" x14ac:dyDescent="0.2">
      <c r="C25" s="257" t="s">
        <v>96</v>
      </c>
      <c r="D25" s="256" t="s">
        <v>228</v>
      </c>
      <c r="E25" s="255" t="s">
        <v>228</v>
      </c>
    </row>
    <row r="26" spans="1:30" s="251" customFormat="1" x14ac:dyDescent="0.2">
      <c r="C26" s="257" t="s">
        <v>117</v>
      </c>
      <c r="D26" s="256" t="s">
        <v>228</v>
      </c>
      <c r="E26" s="255" t="s">
        <v>228</v>
      </c>
    </row>
    <row r="27" spans="1:30" s="251" customFormat="1" ht="12" thickBot="1" x14ac:dyDescent="0.25">
      <c r="C27" s="254" t="s">
        <v>115</v>
      </c>
      <c r="D27" s="325" t="s">
        <v>228</v>
      </c>
      <c r="E27" s="324" t="s">
        <v>228</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election activeCell="P5" sqref="P5:P10"/>
    </sheetView>
  </sheetViews>
  <sheetFormatPr defaultRowHeight="13.5" x14ac:dyDescent="0.25"/>
  <cols>
    <col min="1" max="1" width="5" style="156" customWidth="1"/>
    <col min="2" max="2" width="3" style="156" bestFit="1" customWidth="1"/>
    <col min="3" max="4" width="4" style="156" bestFit="1" customWidth="1"/>
    <col min="5" max="5" width="12" style="156" bestFit="1" customWidth="1"/>
    <col min="6" max="6" width="17.28515625" style="156" bestFit="1" customWidth="1"/>
    <col min="7" max="9" width="7" style="156" bestFit="1" customWidth="1"/>
    <col min="10" max="10" width="9" style="156" bestFit="1" customWidth="1"/>
    <col min="11" max="11" width="12.140625" style="156" customWidth="1"/>
    <col min="12" max="12" width="5" style="156" customWidth="1"/>
    <col min="13" max="13" width="7.5703125" style="156" customWidth="1"/>
    <col min="14" max="14" width="5" style="156" customWidth="1"/>
    <col min="15" max="15" width="21.42578125" style="156" bestFit="1" customWidth="1"/>
    <col min="16" max="16" width="10" style="156" bestFit="1" customWidth="1"/>
    <col min="17" max="17" width="8" style="156" bestFit="1" customWidth="1"/>
    <col min="18" max="18" width="5" style="156" customWidth="1"/>
    <col min="19" max="19" width="5.140625" style="156" customWidth="1"/>
    <col min="20" max="16384" width="9.140625" style="156"/>
  </cols>
  <sheetData>
    <row r="1" spans="1:18" x14ac:dyDescent="0.25">
      <c r="A1" s="529" t="s">
        <v>351</v>
      </c>
      <c r="B1" s="185"/>
      <c r="C1" s="185"/>
      <c r="D1" s="185"/>
      <c r="E1" s="185"/>
      <c r="F1" s="185"/>
      <c r="G1" s="185"/>
      <c r="H1" s="185"/>
      <c r="I1" s="185"/>
      <c r="J1" s="185"/>
      <c r="K1" s="185"/>
      <c r="L1" s="185"/>
      <c r="M1" s="185"/>
      <c r="N1" s="185"/>
      <c r="O1" s="185"/>
      <c r="P1" s="185"/>
      <c r="Q1" s="185"/>
      <c r="R1" s="182"/>
    </row>
    <row r="2" spans="1:18" x14ac:dyDescent="0.25">
      <c r="A2" s="528"/>
      <c r="B2" s="525"/>
      <c r="C2" s="525"/>
      <c r="D2" s="525"/>
      <c r="E2" s="525"/>
      <c r="F2" s="526" t="s">
        <v>275</v>
      </c>
      <c r="G2" s="525"/>
      <c r="H2" s="525"/>
      <c r="I2" s="525"/>
      <c r="J2" s="525"/>
      <c r="K2" s="525"/>
      <c r="L2" s="503"/>
      <c r="M2" s="503"/>
      <c r="N2" s="503"/>
      <c r="O2" s="527" t="s">
        <v>287</v>
      </c>
      <c r="P2" s="526" t="s">
        <v>131</v>
      </c>
      <c r="Q2" s="525"/>
      <c r="R2" s="162"/>
    </row>
    <row r="3" spans="1:18" x14ac:dyDescent="0.25">
      <c r="A3" s="167"/>
      <c r="B3" s="503"/>
      <c r="C3" s="525"/>
      <c r="D3" s="525"/>
      <c r="E3" s="525"/>
      <c r="F3" s="525"/>
      <c r="G3" s="525"/>
      <c r="H3" s="525"/>
      <c r="I3" s="525"/>
      <c r="J3" s="525"/>
      <c r="K3" s="525"/>
      <c r="L3" s="503"/>
      <c r="M3" s="503"/>
      <c r="N3" s="503"/>
      <c r="O3" s="525"/>
      <c r="P3" s="525"/>
      <c r="Q3" s="524">
        <f>_xll.ohTrigger(Q5:Q10)</f>
        <v>1</v>
      </c>
      <c r="R3" s="499"/>
    </row>
    <row r="4" spans="1:18" ht="22.5" x14ac:dyDescent="0.25">
      <c r="A4" s="167"/>
      <c r="B4" s="523"/>
      <c r="C4" s="181"/>
      <c r="D4" s="181"/>
      <c r="E4" s="181"/>
      <c r="F4" s="522" t="e">
        <f ca="1">_xll.RData(F5:F10,G4:J4,"RTFEED:IDN",ReutersRtMode,,G5)</f>
        <v>#NAME?</v>
      </c>
      <c r="G4" s="521" t="s">
        <v>291</v>
      </c>
      <c r="H4" s="521" t="s">
        <v>264</v>
      </c>
      <c r="I4" s="521" t="s">
        <v>244</v>
      </c>
      <c r="J4" s="521" t="s">
        <v>327</v>
      </c>
      <c r="K4" s="520" t="s">
        <v>313</v>
      </c>
      <c r="L4" s="503"/>
      <c r="M4" s="519" t="s">
        <v>286</v>
      </c>
      <c r="N4" s="503"/>
      <c r="O4" s="518" t="s">
        <v>241</v>
      </c>
      <c r="P4" s="517" t="s">
        <v>285</v>
      </c>
      <c r="Q4" s="516" t="s">
        <v>284</v>
      </c>
      <c r="R4" s="499"/>
    </row>
    <row r="5" spans="1:18" x14ac:dyDescent="0.25">
      <c r="A5" s="167"/>
      <c r="B5" s="515" t="s">
        <v>326</v>
      </c>
      <c r="C5" s="514" t="s">
        <v>180</v>
      </c>
      <c r="D5" s="514" t="s">
        <v>179</v>
      </c>
      <c r="E5" s="513" t="str">
        <f t="shared" ref="E5:E10" si="0">Currency&amp;$C5&amp;$D5&amp;$B5</f>
        <v>GBPMPCOISM1</v>
      </c>
      <c r="F5" s="513" t="str">
        <f t="array" ref="F5:F10">Instruments&amp;"="&amp;VLOOKUP(Contributor,ContributorTable,2,FALSE)</f>
        <v>GBPMPCOISM1=ICAP</v>
      </c>
      <c r="G5" s="512">
        <v>0.39624999999999999</v>
      </c>
      <c r="H5" s="512">
        <v>0.43625000000000003</v>
      </c>
      <c r="I5" s="512">
        <v>0</v>
      </c>
      <c r="J5" s="512" t="s">
        <v>325</v>
      </c>
      <c r="K5" s="511">
        <f>_xll.qlMidEquivalent($G5,$H5,$I5,$J5)</f>
        <v>0.41625000000000001</v>
      </c>
      <c r="L5" s="503"/>
      <c r="M5" s="510">
        <v>0.40749999999999997</v>
      </c>
      <c r="N5" s="503"/>
      <c r="O5" s="509" t="str">
        <f t="shared" ref="O5:O10" si="1">Currency&amp;$C5&amp;UPPER(TRIM($J5))&amp;$D5&amp;$P$2</f>
        <v>GBPMPCFEB13OIS_Quote</v>
      </c>
      <c r="P5" s="501">
        <f t="array" ref="P5:P10">QuoteStatic</f>
        <v>0.40749999999999997</v>
      </c>
      <c r="Q5" s="500" t="e">
        <f>_xll.qlSimpleQuoteSetValue($O5,$P5/100,Trigger)</f>
        <v>#NUM!</v>
      </c>
      <c r="R5" s="499"/>
    </row>
    <row r="6" spans="1:18" x14ac:dyDescent="0.25">
      <c r="A6" s="167"/>
      <c r="B6" s="508" t="s">
        <v>324</v>
      </c>
      <c r="C6" s="507" t="s">
        <v>180</v>
      </c>
      <c r="D6" s="507" t="s">
        <v>179</v>
      </c>
      <c r="E6" s="506" t="str">
        <f t="shared" si="0"/>
        <v>GBPMPCOISM2</v>
      </c>
      <c r="F6" s="506" t="str">
        <v>GBPMPCOISM2=ICAP</v>
      </c>
      <c r="G6" s="501">
        <v>0.39</v>
      </c>
      <c r="H6" s="501">
        <v>0.43</v>
      </c>
      <c r="I6" s="501">
        <v>0</v>
      </c>
      <c r="J6" s="501" t="s">
        <v>323</v>
      </c>
      <c r="K6" s="505">
        <f>_xll.qlMidEquivalent($G6,$H6,$I6,$J6)</f>
        <v>0.41000000000000003</v>
      </c>
      <c r="L6" s="503"/>
      <c r="M6" s="504">
        <v>0.39750000000000002</v>
      </c>
      <c r="N6" s="503"/>
      <c r="O6" s="502" t="str">
        <f t="shared" si="1"/>
        <v>GBPMPCMAR13OIS_Quote</v>
      </c>
      <c r="P6" s="501">
        <v>0.39750000000000002</v>
      </c>
      <c r="Q6" s="500" t="e">
        <f>_xll.qlSimpleQuoteSetValue($O6,$P6/100,Trigger)</f>
        <v>#NUM!</v>
      </c>
      <c r="R6" s="499"/>
    </row>
    <row r="7" spans="1:18" x14ac:dyDescent="0.25">
      <c r="A7" s="167"/>
      <c r="B7" s="508" t="s">
        <v>322</v>
      </c>
      <c r="C7" s="507" t="s">
        <v>180</v>
      </c>
      <c r="D7" s="507" t="s">
        <v>179</v>
      </c>
      <c r="E7" s="506" t="str">
        <f t="shared" si="0"/>
        <v>GBPMPCOISM3</v>
      </c>
      <c r="F7" s="506" t="str">
        <v>GBPMPCOISM3=ICAP</v>
      </c>
      <c r="G7" s="501">
        <v>0.38124999999999998</v>
      </c>
      <c r="H7" s="501">
        <v>0.42125000000000001</v>
      </c>
      <c r="I7" s="501">
        <v>0</v>
      </c>
      <c r="J7" s="501" t="s">
        <v>321</v>
      </c>
      <c r="K7" s="505">
        <f>_xll.qlMidEquivalent($G7,$H7,$I7,$J7)</f>
        <v>0.40125</v>
      </c>
      <c r="L7" s="503"/>
      <c r="M7" s="504">
        <v>0.38250000000000001</v>
      </c>
      <c r="N7" s="503"/>
      <c r="O7" s="502" t="str">
        <f t="shared" si="1"/>
        <v>GBPMPCAPR13OIS_Quote</v>
      </c>
      <c r="P7" s="501">
        <v>0.38250000000000001</v>
      </c>
      <c r="Q7" s="500" t="e">
        <f>_xll.qlSimpleQuoteSetValue($O7,$P7/100,Trigger)</f>
        <v>#NUM!</v>
      </c>
      <c r="R7" s="499"/>
    </row>
    <row r="8" spans="1:18" x14ac:dyDescent="0.25">
      <c r="A8" s="167"/>
      <c r="B8" s="508" t="s">
        <v>320</v>
      </c>
      <c r="C8" s="507" t="s">
        <v>180</v>
      </c>
      <c r="D8" s="507" t="s">
        <v>179</v>
      </c>
      <c r="E8" s="506" t="str">
        <f t="shared" si="0"/>
        <v>GBPMPCOISM4</v>
      </c>
      <c r="F8" s="506" t="str">
        <v>GBPMPCOISM4=ICAP</v>
      </c>
      <c r="G8" s="501">
        <v>0.37</v>
      </c>
      <c r="H8" s="501">
        <v>0.41</v>
      </c>
      <c r="I8" s="501">
        <v>0</v>
      </c>
      <c r="J8" s="501" t="s">
        <v>319</v>
      </c>
      <c r="K8" s="505">
        <f>_xll.qlMidEquivalent($G8,$H8,$I8,$J8)</f>
        <v>0.39</v>
      </c>
      <c r="L8" s="503"/>
      <c r="M8" s="504">
        <v>0.375</v>
      </c>
      <c r="N8" s="503"/>
      <c r="O8" s="502" t="str">
        <f t="shared" si="1"/>
        <v>GBPMPCMAY13OIS_Quote</v>
      </c>
      <c r="P8" s="501">
        <v>0.375</v>
      </c>
      <c r="Q8" s="500" t="e">
        <f>_xll.qlSimpleQuoteSetValue($O8,$P8/100,Trigger)</f>
        <v>#NUM!</v>
      </c>
      <c r="R8" s="499"/>
    </row>
    <row r="9" spans="1:18" x14ac:dyDescent="0.25">
      <c r="A9" s="167"/>
      <c r="B9" s="508" t="s">
        <v>318</v>
      </c>
      <c r="C9" s="507" t="s">
        <v>180</v>
      </c>
      <c r="D9" s="507" t="s">
        <v>179</v>
      </c>
      <c r="E9" s="506" t="str">
        <f t="shared" si="0"/>
        <v>GBPMPCOISM5</v>
      </c>
      <c r="F9" s="506" t="str">
        <v>GBPMPCOISM5=ICAP</v>
      </c>
      <c r="G9" s="501">
        <v>0.36125000000000002</v>
      </c>
      <c r="H9" s="501">
        <v>0.40125</v>
      </c>
      <c r="I9" s="501">
        <v>0</v>
      </c>
      <c r="J9" s="501" t="s">
        <v>317</v>
      </c>
      <c r="K9" s="505">
        <f>_xll.qlMidEquivalent($G9,$H9,$I9,$J9)</f>
        <v>0.38124999999999998</v>
      </c>
      <c r="L9" s="503"/>
      <c r="M9" s="504">
        <v>0.36</v>
      </c>
      <c r="N9" s="503"/>
      <c r="O9" s="502" t="str">
        <f t="shared" si="1"/>
        <v>GBPMPCJUN13OIS_Quote</v>
      </c>
      <c r="P9" s="501">
        <v>0.36</v>
      </c>
      <c r="Q9" s="500" t="e">
        <f>_xll.qlSimpleQuoteSetValue($O9,$P9/100,Trigger)</f>
        <v>#NUM!</v>
      </c>
      <c r="R9" s="499"/>
    </row>
    <row r="10" spans="1:18" x14ac:dyDescent="0.25">
      <c r="A10" s="167"/>
      <c r="B10" s="508" t="s">
        <v>316</v>
      </c>
      <c r="C10" s="507" t="s">
        <v>180</v>
      </c>
      <c r="D10" s="507" t="s">
        <v>179</v>
      </c>
      <c r="E10" s="506" t="str">
        <f t="shared" si="0"/>
        <v>GBPMPCOISM6</v>
      </c>
      <c r="F10" s="506" t="str">
        <v>GBPMPCOISM6=ICAP</v>
      </c>
      <c r="G10" s="501">
        <v>0.36</v>
      </c>
      <c r="H10" s="501">
        <v>0.4</v>
      </c>
      <c r="I10" s="501">
        <v>0</v>
      </c>
      <c r="J10" s="501" t="s">
        <v>315</v>
      </c>
      <c r="K10" s="505">
        <f>_xll.qlMidEquivalent($G10,$H10,$I10,$J10)</f>
        <v>0.38</v>
      </c>
      <c r="L10" s="503"/>
      <c r="M10" s="504">
        <v>0.34499999999999997</v>
      </c>
      <c r="N10" s="503"/>
      <c r="O10" s="502" t="str">
        <f t="shared" si="1"/>
        <v>GBPMPCJUL13OIS_Quote</v>
      </c>
      <c r="P10" s="501">
        <v>0.34499999999999997</v>
      </c>
      <c r="Q10" s="500" t="e">
        <f>_xll.qlSimpleQuoteSetValue($O10,$P10/100,Trigger)</f>
        <v>#NUM!</v>
      </c>
      <c r="R10" s="499"/>
    </row>
    <row r="11" spans="1:18" ht="14.25" thickBot="1" x14ac:dyDescent="0.3">
      <c r="A11" s="161"/>
      <c r="B11" s="498"/>
      <c r="C11" s="498"/>
      <c r="D11" s="498"/>
      <c r="E11" s="498"/>
      <c r="F11" s="498"/>
      <c r="G11" s="498"/>
      <c r="H11" s="498"/>
      <c r="I11" s="498"/>
      <c r="J11" s="498"/>
      <c r="K11" s="498"/>
      <c r="L11" s="160"/>
      <c r="M11" s="498"/>
      <c r="N11" s="160"/>
      <c r="O11" s="498"/>
      <c r="P11" s="498"/>
      <c r="Q11" s="498"/>
      <c r="R11" s="497"/>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election activeCell="P5" sqref="P5:P10"/>
    </sheetView>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01" t="s">
        <v>351</v>
      </c>
      <c r="B1" s="196"/>
      <c r="C1" s="196"/>
      <c r="D1" s="196"/>
      <c r="E1" s="196"/>
      <c r="F1" s="196"/>
      <c r="G1" s="196"/>
      <c r="H1" s="196"/>
      <c r="I1" s="196"/>
      <c r="J1" s="196"/>
      <c r="K1" s="196"/>
      <c r="L1" s="196"/>
      <c r="M1" s="196"/>
      <c r="N1" s="196"/>
      <c r="O1" s="196"/>
      <c r="P1" s="196"/>
      <c r="Q1" s="196"/>
      <c r="R1" s="193"/>
    </row>
    <row r="2" spans="1:18" x14ac:dyDescent="0.2">
      <c r="A2" s="369"/>
      <c r="B2" s="133"/>
      <c r="C2" s="133"/>
      <c r="D2" s="133"/>
      <c r="E2" s="133"/>
      <c r="F2" s="140" t="s">
        <v>275</v>
      </c>
      <c r="G2" s="133"/>
      <c r="H2" s="133"/>
      <c r="I2" s="133"/>
      <c r="J2" s="133"/>
      <c r="K2" s="133"/>
      <c r="L2" s="337"/>
      <c r="M2" s="337"/>
      <c r="N2" s="337"/>
      <c r="O2" s="496" t="s">
        <v>287</v>
      </c>
      <c r="P2" s="495" t="s">
        <v>131</v>
      </c>
      <c r="Q2" s="133"/>
      <c r="R2" s="33"/>
    </row>
    <row r="3" spans="1:18" x14ac:dyDescent="0.2">
      <c r="A3" s="118"/>
      <c r="B3" s="337"/>
      <c r="C3" s="133"/>
      <c r="D3" s="133"/>
      <c r="E3" s="133"/>
      <c r="F3" s="133"/>
      <c r="G3" s="133"/>
      <c r="H3" s="133"/>
      <c r="I3" s="133"/>
      <c r="J3" s="133"/>
      <c r="K3" s="133"/>
      <c r="L3" s="337"/>
      <c r="M3" s="337"/>
      <c r="N3" s="337"/>
      <c r="O3" s="133"/>
      <c r="P3" s="133"/>
      <c r="Q3" s="442">
        <f>_xll.ohTrigger(Q5:Q10)</f>
        <v>0</v>
      </c>
      <c r="R3" s="213"/>
    </row>
    <row r="4" spans="1:18" ht="22.5" x14ac:dyDescent="0.2">
      <c r="A4" s="118"/>
      <c r="B4" s="477"/>
      <c r="C4" s="191"/>
      <c r="D4" s="191"/>
      <c r="E4" s="191"/>
      <c r="F4" s="365" t="e">
        <f ca="1">_xll.RData(F5:F10,G4:J4,"RTFEED:IDN",ReutersRtMode,,G5)</f>
        <v>#NAME?</v>
      </c>
      <c r="G4" s="400" t="s">
        <v>291</v>
      </c>
      <c r="H4" s="400" t="s">
        <v>264</v>
      </c>
      <c r="I4" s="400" t="s">
        <v>244</v>
      </c>
      <c r="J4" s="400" t="s">
        <v>290</v>
      </c>
      <c r="K4" s="361" t="s">
        <v>313</v>
      </c>
      <c r="L4" s="337"/>
      <c r="M4" s="363" t="s">
        <v>286</v>
      </c>
      <c r="N4" s="337"/>
      <c r="O4" s="362" t="s">
        <v>241</v>
      </c>
      <c r="P4" s="476" t="s">
        <v>285</v>
      </c>
      <c r="Q4" s="91" t="s">
        <v>284</v>
      </c>
      <c r="R4" s="213"/>
    </row>
    <row r="5" spans="1:18" x14ac:dyDescent="0.2">
      <c r="A5" s="118"/>
      <c r="B5" s="393" t="s">
        <v>207</v>
      </c>
      <c r="C5" s="392" t="s">
        <v>329</v>
      </c>
      <c r="D5" s="392" t="s">
        <v>335</v>
      </c>
      <c r="E5" s="390" t="str">
        <f t="shared" ref="E5:E10" si="0">Currency&amp;$C5&amp;$D5&amp;$B5</f>
        <v>GBPE1X2S</v>
      </c>
      <c r="F5" s="390" t="str">
        <f t="array" ref="F5:F10">Instruments&amp;"="&amp;VLOOKUP(Contributor,ContributorTable,2,FALSE)</f>
        <v>GBPE1X2S=ICAP</v>
      </c>
      <c r="G5" s="354" t="s">
        <v>233</v>
      </c>
      <c r="H5" s="354" t="s">
        <v>233</v>
      </c>
      <c r="I5" s="354" t="s">
        <v>233</v>
      </c>
      <c r="J5" s="354" t="s">
        <v>233</v>
      </c>
      <c r="K5" s="356" t="e">
        <f>_xll.qlMidEquivalent($G5,$H5,$I5,$J5)</f>
        <v>#NUM!</v>
      </c>
      <c r="L5" s="337"/>
      <c r="M5" s="494" t="e">
        <v>#NUM!</v>
      </c>
      <c r="N5" s="337"/>
      <c r="O5" s="397" t="str">
        <f t="shared" ref="O5:O10" si="1">$E5&amp;$P$2</f>
        <v>GBPE1X2S_Quote</v>
      </c>
      <c r="P5" s="354" t="e">
        <f t="array" ref="P5:P10">QuoteStatic</f>
        <v>#NUM!</v>
      </c>
      <c r="Q5" s="353"/>
      <c r="R5" s="213"/>
    </row>
    <row r="6" spans="1:18" x14ac:dyDescent="0.2">
      <c r="A6" s="118"/>
      <c r="B6" s="386" t="s">
        <v>208</v>
      </c>
      <c r="C6" s="389" t="s">
        <v>329</v>
      </c>
      <c r="D6" s="389" t="s">
        <v>335</v>
      </c>
      <c r="E6" s="387" t="str">
        <f t="shared" si="0"/>
        <v>GBPE1X4S</v>
      </c>
      <c r="F6" s="387" t="str">
        <v>GBPE1X4S=ICAP</v>
      </c>
      <c r="G6" s="343" t="s">
        <v>233</v>
      </c>
      <c r="H6" s="343" t="s">
        <v>233</v>
      </c>
      <c r="I6" s="343" t="s">
        <v>233</v>
      </c>
      <c r="J6" s="343" t="s">
        <v>233</v>
      </c>
      <c r="K6" s="345" t="e">
        <f>_xll.qlMidEquivalent($G6,$H6,$I6,$J6)</f>
        <v>#NUM!</v>
      </c>
      <c r="L6" s="337"/>
      <c r="M6" s="474" t="e">
        <v>#NUM!</v>
      </c>
      <c r="N6" s="337"/>
      <c r="O6" s="381" t="str">
        <f t="shared" si="1"/>
        <v>GBPE1X4S_Quote</v>
      </c>
      <c r="P6" s="343" t="e">
        <v>#NUM!</v>
      </c>
      <c r="Q6" s="342"/>
      <c r="R6" s="213"/>
    </row>
    <row r="7" spans="1:18" x14ac:dyDescent="0.2">
      <c r="A7" s="118"/>
      <c r="B7" s="386" t="s">
        <v>209</v>
      </c>
      <c r="C7" s="389" t="s">
        <v>329</v>
      </c>
      <c r="D7" s="389" t="s">
        <v>333</v>
      </c>
      <c r="E7" s="387" t="str">
        <f t="shared" si="0"/>
        <v>GBPE2X3S</v>
      </c>
      <c r="F7" s="387" t="str">
        <v>GBPE2X3S=ICAP</v>
      </c>
      <c r="G7" s="343" t="s">
        <v>233</v>
      </c>
      <c r="H7" s="343" t="s">
        <v>233</v>
      </c>
      <c r="I7" s="343" t="s">
        <v>233</v>
      </c>
      <c r="J7" s="343" t="s">
        <v>233</v>
      </c>
      <c r="K7" s="345" t="e">
        <f>_xll.qlMidEquivalent($G7,$H7,$I7,$J7)</f>
        <v>#NUM!</v>
      </c>
      <c r="L7" s="337"/>
      <c r="M7" s="474" t="e">
        <v>#NUM!</v>
      </c>
      <c r="N7" s="337"/>
      <c r="O7" s="381" t="str">
        <f t="shared" si="1"/>
        <v>GBPE2X3S_Quote</v>
      </c>
      <c r="P7" s="343" t="e">
        <v>#NUM!</v>
      </c>
      <c r="Q7" s="342"/>
      <c r="R7" s="213"/>
    </row>
    <row r="8" spans="1:18" x14ac:dyDescent="0.2">
      <c r="A8" s="118"/>
      <c r="B8" s="386" t="s">
        <v>334</v>
      </c>
      <c r="C8" s="389" t="s">
        <v>329</v>
      </c>
      <c r="D8" s="389" t="s">
        <v>333</v>
      </c>
      <c r="E8" s="387" t="str">
        <f t="shared" si="0"/>
        <v>GBPE2X5S</v>
      </c>
      <c r="F8" s="387" t="str">
        <v>GBPE2X5S=ICAP</v>
      </c>
      <c r="G8" s="343" t="s">
        <v>233</v>
      </c>
      <c r="H8" s="343" t="s">
        <v>233</v>
      </c>
      <c r="I8" s="343" t="s">
        <v>233</v>
      </c>
      <c r="J8" s="343" t="s">
        <v>233</v>
      </c>
      <c r="K8" s="345" t="e">
        <f>_xll.qlMidEquivalent($G8,$H8,$I8,$J8)</f>
        <v>#NUM!</v>
      </c>
      <c r="L8" s="337"/>
      <c r="M8" s="474" t="e">
        <v>#NUM!</v>
      </c>
      <c r="N8" s="337"/>
      <c r="O8" s="381" t="str">
        <f t="shared" si="1"/>
        <v>GBPE2X5S_Quote</v>
      </c>
      <c r="P8" s="343" t="e">
        <v>#NUM!</v>
      </c>
      <c r="Q8" s="342"/>
      <c r="R8" s="213"/>
    </row>
    <row r="9" spans="1:18" x14ac:dyDescent="0.2">
      <c r="A9" s="118"/>
      <c r="B9" s="386" t="s">
        <v>332</v>
      </c>
      <c r="C9" s="389" t="s">
        <v>329</v>
      </c>
      <c r="D9" s="389" t="s">
        <v>331</v>
      </c>
      <c r="E9" s="387" t="str">
        <f t="shared" si="0"/>
        <v>GBPE3X6S</v>
      </c>
      <c r="F9" s="387" t="str">
        <v>GBPE3X6S=ICAP</v>
      </c>
      <c r="G9" s="343" t="s">
        <v>233</v>
      </c>
      <c r="H9" s="343" t="s">
        <v>233</v>
      </c>
      <c r="I9" s="343" t="s">
        <v>233</v>
      </c>
      <c r="J9" s="343" t="s">
        <v>233</v>
      </c>
      <c r="K9" s="345" t="e">
        <f>_xll.qlMidEquivalent($G9,$H9,$I9,$J9)</f>
        <v>#NUM!</v>
      </c>
      <c r="L9" s="337"/>
      <c r="M9" s="474" t="e">
        <v>#NUM!</v>
      </c>
      <c r="N9" s="337"/>
      <c r="O9" s="381" t="str">
        <f t="shared" si="1"/>
        <v>GBPE3X6S_Quote</v>
      </c>
      <c r="P9" s="343" t="e">
        <v>#NUM!</v>
      </c>
      <c r="Q9" s="342"/>
      <c r="R9" s="213"/>
    </row>
    <row r="10" spans="1:18" x14ac:dyDescent="0.2">
      <c r="A10" s="118"/>
      <c r="B10" s="396" t="s">
        <v>330</v>
      </c>
      <c r="C10" s="385" t="s">
        <v>329</v>
      </c>
      <c r="D10" s="385" t="s">
        <v>328</v>
      </c>
      <c r="E10" s="383" t="str">
        <f t="shared" si="0"/>
        <v>GBPE6X12S</v>
      </c>
      <c r="F10" s="383" t="str">
        <v>GBPE6X12S=ICAP</v>
      </c>
      <c r="G10" s="336" t="s">
        <v>233</v>
      </c>
      <c r="H10" s="336" t="s">
        <v>233</v>
      </c>
      <c r="I10" s="336" t="s">
        <v>233</v>
      </c>
      <c r="J10" s="336" t="s">
        <v>233</v>
      </c>
      <c r="K10" s="339" t="e">
        <f>_xll.qlMidEquivalent($G10,$H10,$I10,$J10)</f>
        <v>#NUM!</v>
      </c>
      <c r="L10" s="337"/>
      <c r="M10" s="472" t="e">
        <v>#NUM!</v>
      </c>
      <c r="N10" s="337"/>
      <c r="O10" s="394" t="str">
        <f t="shared" si="1"/>
        <v>GBPE6X12S_Quote</v>
      </c>
      <c r="P10" s="336" t="e">
        <v>#NUM!</v>
      </c>
      <c r="Q10" s="335"/>
      <c r="R10" s="213"/>
    </row>
    <row r="11" spans="1:18" ht="13.5" thickBot="1" x14ac:dyDescent="0.25">
      <c r="A11" s="32"/>
      <c r="B11" s="31"/>
      <c r="C11" s="31"/>
      <c r="D11" s="31"/>
      <c r="E11" s="31"/>
      <c r="F11" s="31"/>
      <c r="G11" s="31"/>
      <c r="H11" s="31"/>
      <c r="I11" s="31"/>
      <c r="J11" s="31"/>
      <c r="K11" s="31"/>
      <c r="L11" s="31"/>
      <c r="M11" s="31"/>
      <c r="N11" s="31"/>
      <c r="O11" s="31"/>
      <c r="P11" s="31"/>
      <c r="Q11" s="31"/>
      <c r="R11" s="373"/>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151</vt:i4>
      </vt:variant>
    </vt:vector>
  </HeadingPairs>
  <TitlesOfParts>
    <vt:vector size="183"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Futures1M!IborIndex</vt:lpstr>
      <vt:lpstr>Futures3M!IborIndex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Futures1M!MeanReversion</vt:lpstr>
      <vt:lpstr>Futures3M!MeanReversion</vt:lpstr>
      <vt:lpstr>'1M'!Months</vt:lpstr>
      <vt:lpstr>'1Y'!Months</vt:lpstr>
      <vt:lpstr>'3M'!Months</vt:lpstr>
      <vt:lpstr>'6M'!Months</vt:lpstr>
      <vt:lpstr>ObjectOverwrite</vt:lpstr>
      <vt:lpstr>Permanent</vt:lpstr>
      <vt:lpstr>PriceTickValue</vt:lpstr>
      <vt:lpstr>'1M'!Quote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FwdOIS!Quote</vt:lpstr>
      <vt:lpstr>'ImmFra6M '!Quote</vt:lpstr>
      <vt:lpstr>MPCOIS!Quote</vt:lpstr>
      <vt:lpstr>OIS!Quote</vt:lpstr>
      <vt:lpstr>Swap3M!Quote</vt:lpstr>
      <vt:lpstr>Swap6M!Quote</vt:lpstr>
      <vt:lpstr>Swaps1M!Quote</vt:lpstr>
      <vt:lpstr>SwapsIMMDated!Quote</vt:lpstr>
      <vt:lpstr>'1M'!Quote2</vt:lpstr>
      <vt:lpstr>'1M'!QuoteLive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'1M'!QuoteLive2</vt:lpstr>
      <vt:lpstr>'1M'!QuoteStatic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FwdOIS!QuoteStatic</vt:lpstr>
      <vt:lpstr>'ImmFra6M '!QuoteStatic</vt:lpstr>
      <vt:lpstr>MPCOIS!QuoteStatic</vt:lpstr>
      <vt:lpstr>OIS!QuoteStatic</vt:lpstr>
      <vt:lpstr>Swap3M!QuoteStatic</vt:lpstr>
      <vt:lpstr>Swap6M!QuoteStatic</vt:lpstr>
      <vt:lpstr>Swaps1M!QuoteStatic</vt:lpstr>
      <vt:lpstr>SwapsIMMDated!QuoteStatic</vt:lpstr>
      <vt:lpstr>'1M'!QuoteStatic2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Futures1M!Volatility</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2014-01-27T23:38:01Z</dcterms:modified>
</cp:coreProperties>
</file>
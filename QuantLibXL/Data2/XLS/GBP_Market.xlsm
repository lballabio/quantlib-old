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120" windowWidth="27795" windowHeight="12585" firstSheet="23" activeTab="34"/>
  </bookViews>
  <sheets>
    <sheet name="GBP" sheetId="7" r:id="rId1"/>
    <sheet name="RelinkableHandles" sheetId="8" r:id="rId2"/>
    <sheet name="Libor" sheetId="4" r:id="rId3"/>
    <sheet name="LiborSwapIsda" sheetId="5" r:id="rId4"/>
    <sheet name="GbpLibor" sheetId="6" r:id="rId5"/>
    <sheet name="BasisSwap1MxM" sheetId="9" r:id="rId6"/>
    <sheet name="BasisSwap3M6M" sheetId="10" r:id="rId7"/>
    <sheet name="BasisSwapxM12M" sheetId="11" r:id="rId8"/>
    <sheet name="GBP_010_BasisSwapQuotes" sheetId="12" r:id="rId9"/>
    <sheet name="Deposits" sheetId="13" r:id="rId10"/>
    <sheet name="FRA" sheetId="14" r:id="rId11"/>
    <sheet name="Futures1M" sheetId="15" r:id="rId12"/>
    <sheet name="Futures3M" sheetId="16" r:id="rId13"/>
    <sheet name="ImmFra6M " sheetId="17" r:id="rId14"/>
    <sheet name="FuturesHWConvAdj" sheetId="18" r:id="rId15"/>
    <sheet name="GBP_010_DepoFRAFuturesQuotes" sheetId="19" r:id="rId16"/>
    <sheet name="OIS" sheetId="20" r:id="rId17"/>
    <sheet name="Swaps1M" sheetId="21" r:id="rId18"/>
    <sheet name="SwapsIMMDated" sheetId="22" r:id="rId19"/>
    <sheet name="Swap3M" sheetId="23" r:id="rId20"/>
    <sheet name="Swap6M" sheetId="24" r:id="rId21"/>
    <sheet name="GBP_010_SwapQuotes" sheetId="25" r:id="rId22"/>
    <sheet name="1M" sheetId="26" r:id="rId23"/>
    <sheet name="3M" sheetId="27" r:id="rId24"/>
    <sheet name="6M" sheetId="28" r:id="rId25"/>
    <sheet name="1Y" sheetId="29" r:id="rId26"/>
    <sheet name="GBP_015_SyntheticQuotes" sheetId="30" r:id="rId27"/>
    <sheet name="1M (2)" sheetId="31" r:id="rId28"/>
    <sheet name="3M (2)" sheetId="32" r:id="rId29"/>
    <sheet name="6M (2)" sheetId="33" r:id="rId30"/>
    <sheet name="1Y (2)" sheetId="34" r:id="rId31"/>
    <sheet name="GBP_020_ForwardSwapQuotes" sheetId="35" r:id="rId32"/>
    <sheet name="1M (3)" sheetId="36" r:id="rId33"/>
    <sheet name="3M (3)" sheetId="37" r:id="rId34"/>
    <sheet name="GBP_020_FuturesConvAdjQuotes" sheetId="38" r:id="rId35"/>
  </sheets>
  <definedNames>
    <definedName name="Currency" localSheetId="22">GBP_015_SyntheticQuotes!$D$14</definedName>
    <definedName name="Currency" localSheetId="27">GBP_020_ForwardSwapQuotes!$D$14</definedName>
    <definedName name="Currency" localSheetId="32">GBP_020_FuturesConvAdjQuotes!$D$14</definedName>
    <definedName name="Currency" localSheetId="25">GBP_015_SyntheticQuotes!$D$14</definedName>
    <definedName name="Currency" localSheetId="30">GBP_020_ForwardSwapQuotes!$D$14</definedName>
    <definedName name="Currency" localSheetId="23">GBP_015_SyntheticQuotes!$D$14</definedName>
    <definedName name="Currency" localSheetId="28">GBP_020_ForwardSwapQuotes!$D$14</definedName>
    <definedName name="Currency" localSheetId="33">GBP_020_FuturesConvAdjQuotes!$D$14</definedName>
    <definedName name="Currency" localSheetId="24">GBP_015_SyntheticQuotes!$D$14</definedName>
    <definedName name="Currency" localSheetId="29">GBP_020_ForwardSwapQuotes!$D$14</definedName>
    <definedName name="Currency" localSheetId="5">GBP_010_BasisSwapQuotes!$D$14</definedName>
    <definedName name="Currency" localSheetId="6">GBP_010_BasisSwapQuotes!$D$14</definedName>
    <definedName name="Currency" localSheetId="7">GBP_010_BasisSwapQuotes!$D$14</definedName>
    <definedName name="Currency" localSheetId="9">GBP_010_DepoFRAFuturesQuotes!$D$14</definedName>
    <definedName name="Currency" localSheetId="10">GBP_010_DepoFRAFuturesQuotes!$D$14</definedName>
    <definedName name="Currency" localSheetId="11">GBP_010_DepoFRAFuturesQuotes!$D$14</definedName>
    <definedName name="Currency" localSheetId="12">GBP_010_DepoFRAFuturesQuotes!$D$14</definedName>
    <definedName name="Currency" localSheetId="14">GBP_010_DepoFRAFuturesQuotes!$D$14</definedName>
    <definedName name="Currency" localSheetId="0">GBP!$E$3</definedName>
    <definedName name="Currency" localSheetId="8">GBP_010_BasisSwapQuotes!$D$14</definedName>
    <definedName name="Currency" localSheetId="15">GBP_010_DepoFRAFuturesQuotes!$D$14</definedName>
    <definedName name="Currency" localSheetId="21">GBP_010_SwapQuotes!$D$14</definedName>
    <definedName name="Currency" localSheetId="26">GBP_015_SyntheticQuotes!$D$14</definedName>
    <definedName name="Currency" localSheetId="31">GBP_020_ForwardSwapQuotes!$D$14</definedName>
    <definedName name="Currency" localSheetId="34">GBP_020_FuturesConvAdjQuotes!$D$14</definedName>
    <definedName name="Currency" localSheetId="13">GBP_010_DepoFRAFuturesQuotes!$D$14</definedName>
    <definedName name="Currency" localSheetId="16">GBP_010_SwapQuotes!$D$14</definedName>
    <definedName name="Currency" localSheetId="19">GBP_010_SwapQuotes!$D$14</definedName>
    <definedName name="Currency" localSheetId="20">GBP_010_SwapQuotes!$D$14</definedName>
    <definedName name="Currency" localSheetId="17">GBP_010_SwapQuotes!$D$14</definedName>
    <definedName name="Currency" localSheetId="18">GBP_010_SwapQuotes!$D$14</definedName>
    <definedName name="Currency">GbpLibor!$D$5</definedName>
    <definedName name="Discounting">GbpLibor!$D$11</definedName>
    <definedName name="Discounting2">GbpLibor!$D$12</definedName>
    <definedName name="FamilyName" localSheetId="32">GBP_020_FuturesConvAdjQuotes!$D$15</definedName>
    <definedName name="FamilyName" localSheetId="33">GBP_020_FuturesConvAdjQuotes!$D$15</definedName>
    <definedName name="FamilyName" localSheetId="34">GBP_020_FuturesConvAdjQuotes!$D$15</definedName>
    <definedName name="FamilyName" localSheetId="2">Libor!$F$3</definedName>
    <definedName name="FamilyName" localSheetId="3">LiborSwapIsda!$F$3</definedName>
    <definedName name="FamilyName">GBP_020_ForwardSwapQuotes!$D$15</definedName>
    <definedName name="FileName" localSheetId="2">Libor!$E$5</definedName>
    <definedName name="FileName" localSheetId="3">LiborSwapIsda!$E$6</definedName>
    <definedName name="FileOverwrite" localSheetId="22">GBP_015_SyntheticQuotes!$D$9</definedName>
    <definedName name="FileOverwrite" localSheetId="27">GBP_020_ForwardSwapQuotes!$D$9</definedName>
    <definedName name="FileOverwrite" localSheetId="32">GBP_020_FuturesConvAdjQuotes!$D$9</definedName>
    <definedName name="FileOverwrite" localSheetId="25">GBP_015_SyntheticQuotes!$D$9</definedName>
    <definedName name="FileOverwrite" localSheetId="30">GBP_020_ForwardSwapQuotes!$D$9</definedName>
    <definedName name="FileOverwrite" localSheetId="23">GBP_015_SyntheticQuotes!$D$9</definedName>
    <definedName name="FileOverwrite" localSheetId="28">GBP_020_ForwardSwapQuotes!$D$9</definedName>
    <definedName name="FileOverwrite" localSheetId="33">GBP_020_FuturesConvAdjQuotes!$D$9</definedName>
    <definedName name="FileOverwrite" localSheetId="24">GBP_015_SyntheticQuotes!$D$9</definedName>
    <definedName name="FileOverwrite" localSheetId="29">GBP_020_ForwardSwapQuotes!$D$9</definedName>
    <definedName name="FileOverwrite" localSheetId="5">GBP_010_BasisSwapQuotes!$D$9</definedName>
    <definedName name="FileOverwrite" localSheetId="6">GBP_010_BasisSwapQuotes!$D$9</definedName>
    <definedName name="FileOverwrite" localSheetId="7">GBP_010_BasisSwapQuotes!$D$9</definedName>
    <definedName name="FileOverwrite" localSheetId="9">GBP_010_DepoFRAFuturesQuotes!$D$9</definedName>
    <definedName name="FileOverwrite" localSheetId="10">GBP_010_DepoFRAFuturesQuotes!$D$9</definedName>
    <definedName name="FileOverwrite" localSheetId="11">GBP_010_DepoFRAFuturesQuotes!$D$9</definedName>
    <definedName name="FileOverwrite" localSheetId="12">GBP_010_DepoFRAFuturesQuotes!$D$9</definedName>
    <definedName name="FileOverwrite" localSheetId="14">GBP_010_DepoFRAFuturesQuotes!$D$9</definedName>
    <definedName name="FileOverwrite" localSheetId="0">RelinkableHandles!$D$9</definedName>
    <definedName name="FileOverwrite" localSheetId="8">GBP_010_BasisSwapQuotes!$D$9</definedName>
    <definedName name="FileOverwrite" localSheetId="15">GBP_010_DepoFRAFuturesQuotes!$D$9</definedName>
    <definedName name="FileOverwrite" localSheetId="21">GBP_010_SwapQuotes!$D$9</definedName>
    <definedName name="FileOverwrite" localSheetId="26">GBP_015_SyntheticQuotes!$D$9</definedName>
    <definedName name="FileOverwrite" localSheetId="31">GBP_020_ForwardSwapQuotes!$D$9</definedName>
    <definedName name="FileOverwrite" localSheetId="34">GBP_020_FuturesConvAdjQuotes!$D$9</definedName>
    <definedName name="FileOverwrite" localSheetId="13">GBP_010_DepoFRAFuturesQuotes!$D$9</definedName>
    <definedName name="FileOverwrite" localSheetId="16">GBP_010_SwapQuotes!$D$9</definedName>
    <definedName name="FileOverwrite" localSheetId="1">RelinkableHandles!$D$9</definedName>
    <definedName name="FileOverwrite" localSheetId="19">GBP_010_SwapQuotes!$D$9</definedName>
    <definedName name="FileOverwrite" localSheetId="20">GBP_010_SwapQuotes!$D$9</definedName>
    <definedName name="FileOverwrite" localSheetId="17">GBP_010_SwapQuotes!$D$9</definedName>
    <definedName name="FileOverwrite" localSheetId="18">GBP_010_SwapQuotes!$D$9</definedName>
    <definedName name="FileOverwrite">GbpLibor!$D$10</definedName>
    <definedName name="FixingType" localSheetId="3">LiborSwapIsda!$F$4</definedName>
    <definedName name="FixingType">GBP_020_ForwardSwapQuotes!$D$16</definedName>
    <definedName name="IborIndex" localSheetId="32">'1M (3)'!$F$4</definedName>
    <definedName name="IborIndex" localSheetId="33">'3M (3)'!$F$4</definedName>
    <definedName name="MainTenor">GBP_010_BasisSwapQuotes!#REF!</definedName>
    <definedName name="MeanReversion" localSheetId="32">'1M (3)'!$F$3</definedName>
    <definedName name="MeanReversion" localSheetId="33">'3M (3)'!$F$3</definedName>
    <definedName name="Months" localSheetId="22">'1M'!$B$1</definedName>
    <definedName name="Months" localSheetId="25">'1Y'!$B$1</definedName>
    <definedName name="Months" localSheetId="23">'3M'!$B$1</definedName>
    <definedName name="Months" localSheetId="24">'6M'!$B$1</definedName>
    <definedName name="ObjectOverwrite" localSheetId="22">GBP_015_SyntheticQuotes!$D$6</definedName>
    <definedName name="ObjectOverwrite" localSheetId="27">GBP_020_ForwardSwapQuotes!$D$6</definedName>
    <definedName name="ObjectOverwrite" localSheetId="32">GBP_020_FuturesConvAdjQuotes!$D$6</definedName>
    <definedName name="ObjectOverwrite" localSheetId="25">GBP_015_SyntheticQuotes!$D$6</definedName>
    <definedName name="ObjectOverwrite" localSheetId="30">GBP_020_ForwardSwapQuotes!$D$6</definedName>
    <definedName name="ObjectOverwrite" localSheetId="23">GBP_015_SyntheticQuotes!$D$6</definedName>
    <definedName name="ObjectOverwrite" localSheetId="28">GBP_020_ForwardSwapQuotes!$D$6</definedName>
    <definedName name="ObjectOverwrite" localSheetId="33">GBP_020_FuturesConvAdjQuotes!$D$6</definedName>
    <definedName name="ObjectOverwrite" localSheetId="24">GBP_015_SyntheticQuotes!$D$6</definedName>
    <definedName name="ObjectOverwrite" localSheetId="29">GBP_020_ForwardSwapQuotes!$D$6</definedName>
    <definedName name="ObjectOverwrite" localSheetId="5">GBP_010_BasisSwapQuotes!$D$6</definedName>
    <definedName name="ObjectOverwrite" localSheetId="6">GBP_010_BasisSwapQuotes!$D$6</definedName>
    <definedName name="ObjectOverwrite" localSheetId="7">GBP_010_BasisSwapQuotes!$D$6</definedName>
    <definedName name="ObjectOverwrite" localSheetId="9">GBP_010_DepoFRAFuturesQuotes!$D$6</definedName>
    <definedName name="ObjectOverwrite" localSheetId="10">GBP_010_DepoFRAFuturesQuotes!$D$6</definedName>
    <definedName name="ObjectOverwrite" localSheetId="11">GBP_010_DepoFRAFuturesQuotes!$D$6</definedName>
    <definedName name="ObjectOverwrite" localSheetId="12">GBP_010_DepoFRAFuturesQuotes!$D$6</definedName>
    <definedName name="ObjectOverwrite" localSheetId="14">GBP_010_DepoFRAFuturesQuotes!$D$6</definedName>
    <definedName name="ObjectOverwrite" localSheetId="0">RelinkableHandles!$D$6</definedName>
    <definedName name="ObjectOverwrite" localSheetId="8">GBP_010_BasisSwapQuotes!$D$6</definedName>
    <definedName name="ObjectOverwrite" localSheetId="15">GBP_010_DepoFRAFuturesQuotes!$D$6</definedName>
    <definedName name="ObjectOverwrite" localSheetId="21">GBP_010_SwapQuotes!$D$6</definedName>
    <definedName name="ObjectOverwrite" localSheetId="26">GBP_015_SyntheticQuotes!$D$6</definedName>
    <definedName name="ObjectOverwrite" localSheetId="31">GBP_020_ForwardSwapQuotes!$D$6</definedName>
    <definedName name="ObjectOverwrite" localSheetId="34">GBP_020_FuturesConvAdjQuotes!$D$6</definedName>
    <definedName name="ObjectOverwrite" localSheetId="13">GBP_010_DepoFRAFuturesQuotes!$D$6</definedName>
    <definedName name="ObjectOverwrite" localSheetId="16">GBP_010_SwapQuotes!$D$6</definedName>
    <definedName name="ObjectOverwrite" localSheetId="1">RelinkableHandles!$D$6</definedName>
    <definedName name="ObjectOverwrite" localSheetId="19">GBP_010_SwapQuotes!$D$6</definedName>
    <definedName name="ObjectOverwrite" localSheetId="20">GBP_010_SwapQuotes!$D$6</definedName>
    <definedName name="ObjectOverwrite" localSheetId="17">GBP_010_SwapQuotes!$D$6</definedName>
    <definedName name="ObjectOverwrite" localSheetId="18">GBP_010_SwapQuotes!$D$6</definedName>
    <definedName name="ObjectOverwrite">GbpLibor!$D$7</definedName>
    <definedName name="Permanent" localSheetId="22">GBP_015_SyntheticQuotes!$D$5</definedName>
    <definedName name="Permanent" localSheetId="27">GBP_020_ForwardSwapQuotes!$D$5</definedName>
    <definedName name="Permanent" localSheetId="32">GBP_020_FuturesConvAdjQuotes!$D$5</definedName>
    <definedName name="Permanent" localSheetId="25">GBP_015_SyntheticQuotes!$D$5</definedName>
    <definedName name="Permanent" localSheetId="30">GBP_020_ForwardSwapQuotes!$D$5</definedName>
    <definedName name="Permanent" localSheetId="23">GBP_015_SyntheticQuotes!$D$5</definedName>
    <definedName name="Permanent" localSheetId="28">GBP_020_ForwardSwapQuotes!$D$5</definedName>
    <definedName name="Permanent" localSheetId="33">GBP_020_FuturesConvAdjQuotes!$D$5</definedName>
    <definedName name="Permanent" localSheetId="24">GBP_015_SyntheticQuotes!$D$5</definedName>
    <definedName name="Permanent" localSheetId="29">GBP_020_ForwardSwapQuotes!$D$5</definedName>
    <definedName name="Permanent" localSheetId="5">GBP_010_BasisSwapQuotes!$D$5</definedName>
    <definedName name="Permanent" localSheetId="6">GBP_010_BasisSwapQuotes!$D$5</definedName>
    <definedName name="Permanent" localSheetId="7">GBP_010_BasisSwapQuotes!$D$5</definedName>
    <definedName name="Permanent" localSheetId="9">GBP_010_DepoFRAFuturesQuotes!$D$5</definedName>
    <definedName name="Permanent" localSheetId="10">GBP_010_DepoFRAFuturesQuotes!$D$5</definedName>
    <definedName name="Permanent" localSheetId="11">GBP_010_DepoFRAFuturesQuotes!$D$5</definedName>
    <definedName name="Permanent" localSheetId="12">GBP_010_DepoFRAFuturesQuotes!$D$5</definedName>
    <definedName name="Permanent" localSheetId="14">GBP_010_DepoFRAFuturesQuotes!$D$5</definedName>
    <definedName name="Permanent" localSheetId="0">RelinkableHandles!$D$5</definedName>
    <definedName name="Permanent" localSheetId="8">GBP_010_BasisSwapQuotes!$D$5</definedName>
    <definedName name="Permanent" localSheetId="15">GBP_010_DepoFRAFuturesQuotes!$D$5</definedName>
    <definedName name="Permanent" localSheetId="21">GBP_010_SwapQuotes!$D$5</definedName>
    <definedName name="Permanent" localSheetId="26">GBP_015_SyntheticQuotes!$D$5</definedName>
    <definedName name="Permanent" localSheetId="31">GBP_020_ForwardSwapQuotes!$D$5</definedName>
    <definedName name="Permanent" localSheetId="34">GBP_020_FuturesConvAdjQuotes!$D$5</definedName>
    <definedName name="Permanent" localSheetId="13">GBP_010_DepoFRAFuturesQuotes!$D$5</definedName>
    <definedName name="Permanent" localSheetId="16">GBP_010_SwapQuotes!$D$5</definedName>
    <definedName name="Permanent" localSheetId="1">RelinkableHandles!$D$5</definedName>
    <definedName name="Permanent" localSheetId="19">GBP_010_SwapQuotes!$D$5</definedName>
    <definedName name="Permanent" localSheetId="20">GBP_010_SwapQuotes!$D$5</definedName>
    <definedName name="Permanent" localSheetId="17">GBP_010_SwapQuotes!$D$5</definedName>
    <definedName name="Permanent" localSheetId="18">GBP_010_SwapQuotes!$D$5</definedName>
    <definedName name="Permanent">GbpLibor!$D$6</definedName>
    <definedName name="PriceTickValue" localSheetId="9">GBP_010_DepoFRAFuturesQuotes!$D$17</definedName>
    <definedName name="PriceTickValue" localSheetId="10">GBP_010_DepoFRAFuturesQuotes!$D$17</definedName>
    <definedName name="PriceTickValue" localSheetId="11">GBP_010_DepoFRAFuturesQuotes!$D$17</definedName>
    <definedName name="PriceTickValue" localSheetId="12">GBP_010_DepoFRAFuturesQuotes!$D$17</definedName>
    <definedName name="PriceTickValue" localSheetId="14">GBP_010_DepoFRAFuturesQuotes!$D$17</definedName>
    <definedName name="PriceTickValue" localSheetId="15">GBP_010_DepoFRAFuturesQuotes!$D$17</definedName>
    <definedName name="PriceTickValue" localSheetId="21">GBP_010_SwapQuotes!$D$17</definedName>
    <definedName name="PriceTickValue" localSheetId="31">GBP_020_ForwardSwapQuotes!$D$19</definedName>
    <definedName name="PriceTickValue" localSheetId="34">GBP_020_FuturesConvAdjQuotes!$D$18</definedName>
    <definedName name="PriceTickValue" localSheetId="13">GBP_010_DepoFRAFuturesQuotes!$D$17</definedName>
    <definedName name="PriceTickValue">GBP_010_BasisSwapQuotes!$D$17</definedName>
    <definedName name="QuoteSuffix" localSheetId="22">GBP_015_SyntheticQuotes!$D$15</definedName>
    <definedName name="QuoteSuffix" localSheetId="27">GBP_020_ForwardSwapQuotes!$D$17</definedName>
    <definedName name="QuoteSuffix" localSheetId="32">GBP_020_FuturesConvAdjQuotes!$D$16</definedName>
    <definedName name="QuoteSuffix" localSheetId="25">GBP_015_SyntheticQuotes!$D$15</definedName>
    <definedName name="QuoteSuffix" localSheetId="30">GBP_020_ForwardSwapQuotes!$D$17</definedName>
    <definedName name="QuoteSuffix" localSheetId="23">GBP_015_SyntheticQuotes!$D$15</definedName>
    <definedName name="QuoteSuffix" localSheetId="28">GBP_020_ForwardSwapQuotes!$D$17</definedName>
    <definedName name="QuoteSuffix" localSheetId="33">GBP_020_FuturesConvAdjQuotes!$D$16</definedName>
    <definedName name="QuoteSuffix" localSheetId="24">GBP_015_SyntheticQuotes!$D$15</definedName>
    <definedName name="QuoteSuffix" localSheetId="29">GBP_020_ForwardSwapQuotes!$D$17</definedName>
    <definedName name="QuoteSuffix" localSheetId="9">GBP_010_DepoFRAFuturesQuotes!$D$15</definedName>
    <definedName name="QuoteSuffix" localSheetId="10">GBP_010_DepoFRAFuturesQuotes!$D$15</definedName>
    <definedName name="QuoteSuffix" localSheetId="11">GBP_010_DepoFRAFuturesQuotes!$D$15</definedName>
    <definedName name="QuoteSuffix" localSheetId="12">GBP_010_DepoFRAFuturesQuotes!$D$15</definedName>
    <definedName name="QuoteSuffix" localSheetId="14">GBP_010_DepoFRAFuturesQuotes!$D$15</definedName>
    <definedName name="QuoteSuffix" localSheetId="15">GBP_010_DepoFRAFuturesQuotes!$D$15</definedName>
    <definedName name="QuoteSuffix" localSheetId="21">GBP_010_SwapQuotes!$D$15</definedName>
    <definedName name="QuoteSuffix" localSheetId="26">GBP_015_SyntheticQuotes!$D$15</definedName>
    <definedName name="QuoteSuffix" localSheetId="31">GBP_020_ForwardSwapQuotes!$D$17</definedName>
    <definedName name="QuoteSuffix" localSheetId="34">GBP_020_FuturesConvAdjQuotes!$D$16</definedName>
    <definedName name="QuoteSuffix" localSheetId="13">GBP_010_DepoFRAFuturesQuotes!$D$15</definedName>
    <definedName name="QuoteSuffix" localSheetId="16">GBP_010_SwapQuotes!$D$15</definedName>
    <definedName name="QuoteSuffix" localSheetId="19">GBP_010_SwapQuotes!$D$15</definedName>
    <definedName name="QuoteSuffix" localSheetId="20">GBP_010_SwapQuotes!$D$15</definedName>
    <definedName name="QuoteSuffix" localSheetId="17">GBP_010_SwapQuotes!$D$15</definedName>
    <definedName name="QuoteSuffix" localSheetId="18">GBP_010_SwapQuotes!$D$15</definedName>
    <definedName name="QuoteSuffix">GBP_010_BasisSwapQuotes!$D$15</definedName>
    <definedName name="RateTickValue" localSheetId="22">GBP_015_SyntheticQuotes!$D$16</definedName>
    <definedName name="RateTickValue" localSheetId="25">GBP_015_SyntheticQuotes!$D$16</definedName>
    <definedName name="RateTickValue" localSheetId="23">GBP_015_SyntheticQuotes!$D$16</definedName>
    <definedName name="RateTickValue" localSheetId="24">GBP_015_SyntheticQuotes!$D$16</definedName>
    <definedName name="RateTickValue" localSheetId="9">GBP_010_DepoFRAFuturesQuotes!$D$16</definedName>
    <definedName name="RateTickValue" localSheetId="10">GBP_010_DepoFRAFuturesQuotes!$D$16</definedName>
    <definedName name="RateTickValue" localSheetId="11">GBP_010_DepoFRAFuturesQuotes!$D$16</definedName>
    <definedName name="RateTickValue" localSheetId="12">GBP_010_DepoFRAFuturesQuotes!$D$16</definedName>
    <definedName name="RateTickValue" localSheetId="14">GBP_010_DepoFRAFuturesQuotes!$D$16</definedName>
    <definedName name="RateTickValue" localSheetId="15">GBP_010_DepoFRAFuturesQuotes!$D$16</definedName>
    <definedName name="RateTickValue" localSheetId="21">GBP_010_SwapQuotes!$D$16</definedName>
    <definedName name="RateTickValue" localSheetId="26">GBP_015_SyntheticQuotes!$D$16</definedName>
    <definedName name="RateTickValue" localSheetId="31">GBP_020_ForwardSwapQuotes!$D$18</definedName>
    <definedName name="RateTickValue" localSheetId="34">GBP_020_FuturesConvAdjQuotes!$D$17</definedName>
    <definedName name="RateTickValue" localSheetId="13">GBP_010_DepoFRAFuturesQuotes!$D$16</definedName>
    <definedName name="RateTickValue" localSheetId="16">GBP_010_SwapQuotes!$D$16</definedName>
    <definedName name="RateTickValue" localSheetId="19">GBP_010_SwapQuotes!$D$16</definedName>
    <definedName name="RateTickValue" localSheetId="20">GBP_010_SwapQuotes!$D$16</definedName>
    <definedName name="RateTickValue" localSheetId="17">GBP_010_SwapQuotes!$D$16</definedName>
    <definedName name="RateTickValue" localSheetId="18">GBP_010_SwapQuotes!$D$16</definedName>
    <definedName name="RateTickValue">GBP_010_BasisSwapQuotes!$D$16</definedName>
    <definedName name="SerializationPath" localSheetId="22">GBP_015_SyntheticQuotes!$D$8</definedName>
    <definedName name="SerializationPath" localSheetId="27">GBP_020_ForwardSwapQuotes!$D$8</definedName>
    <definedName name="SerializationPath" localSheetId="32">GBP_020_FuturesConvAdjQuotes!$D$8</definedName>
    <definedName name="SerializationPath" localSheetId="25">GBP_015_SyntheticQuotes!$D$8</definedName>
    <definedName name="SerializationPath" localSheetId="30">GBP_020_ForwardSwapQuotes!$D$8</definedName>
    <definedName name="SerializationPath" localSheetId="23">GBP_015_SyntheticQuotes!$D$8</definedName>
    <definedName name="SerializationPath" localSheetId="28">GBP_020_ForwardSwapQuotes!$D$8</definedName>
    <definedName name="SerializationPath" localSheetId="33">GBP_020_FuturesConvAdjQuotes!$D$8</definedName>
    <definedName name="SerializationPath" localSheetId="24">GBP_015_SyntheticQuotes!$D$8</definedName>
    <definedName name="SerializationPath" localSheetId="29">GBP_020_ForwardSwapQuotes!$D$8</definedName>
    <definedName name="SerializationPath" localSheetId="5">GBP_010_BasisSwapQuotes!$D$8</definedName>
    <definedName name="SerializationPath" localSheetId="6">GBP_010_BasisSwapQuotes!$D$8</definedName>
    <definedName name="SerializationPath" localSheetId="7">GBP_010_BasisSwapQuotes!$D$8</definedName>
    <definedName name="SerializationPath" localSheetId="9">GBP_010_DepoFRAFuturesQuotes!$D$8</definedName>
    <definedName name="SerializationPath" localSheetId="10">GBP_010_DepoFRAFuturesQuotes!$D$8</definedName>
    <definedName name="SerializationPath" localSheetId="11">GBP_010_DepoFRAFuturesQuotes!$D$8</definedName>
    <definedName name="SerializationPath" localSheetId="12">GBP_010_DepoFRAFuturesQuotes!$D$8</definedName>
    <definedName name="SerializationPath" localSheetId="14">GBP_010_DepoFRAFuturesQuotes!$D$8</definedName>
    <definedName name="SerializationPath" localSheetId="0">RelinkableHandles!$D$8</definedName>
    <definedName name="SerializationPath" localSheetId="8">GBP_010_BasisSwapQuotes!$D$8</definedName>
    <definedName name="SerializationPath" localSheetId="15">GBP_010_DepoFRAFuturesQuotes!$D$8</definedName>
    <definedName name="SerializationPath" localSheetId="21">GBP_010_SwapQuotes!$D$8</definedName>
    <definedName name="SerializationPath" localSheetId="26">GBP_015_SyntheticQuotes!$D$8</definedName>
    <definedName name="SerializationPath" localSheetId="31">GBP_020_ForwardSwapQuotes!$D$8</definedName>
    <definedName name="SerializationPath" localSheetId="34">GBP_020_FuturesConvAdjQuotes!$D$8</definedName>
    <definedName name="SerializationPath" localSheetId="13">GBP_010_DepoFRAFuturesQuotes!$D$8</definedName>
    <definedName name="SerializationPath" localSheetId="16">GBP_010_SwapQuotes!$D$8</definedName>
    <definedName name="SerializationPath" localSheetId="1">RelinkableHandles!$D$8</definedName>
    <definedName name="SerializationPath" localSheetId="19">GBP_010_SwapQuotes!$D$8</definedName>
    <definedName name="SerializationPath" localSheetId="20">GBP_010_SwapQuotes!$D$8</definedName>
    <definedName name="SerializationPath" localSheetId="17">GBP_010_SwapQuotes!$D$8</definedName>
    <definedName name="SerializationPath" localSheetId="18">GBP_010_SwapQuotes!$D$8</definedName>
    <definedName name="SerializationPath">GbpLibor!$D$9</definedName>
    <definedName name="Serialize" localSheetId="22">GBP_015_SyntheticQuotes!$D$7</definedName>
    <definedName name="Serialize" localSheetId="27">GBP_020_ForwardSwapQuotes!$D$7</definedName>
    <definedName name="Serialize" localSheetId="32">GBP_020_FuturesConvAdjQuotes!$D$7</definedName>
    <definedName name="Serialize" localSheetId="25">GBP_015_SyntheticQuotes!$D$7</definedName>
    <definedName name="Serialize" localSheetId="30">GBP_020_ForwardSwapQuotes!$D$7</definedName>
    <definedName name="Serialize" localSheetId="23">GBP_015_SyntheticQuotes!$D$7</definedName>
    <definedName name="Serialize" localSheetId="28">GBP_020_ForwardSwapQuotes!$D$7</definedName>
    <definedName name="Serialize" localSheetId="33">GBP_020_FuturesConvAdjQuotes!$D$7</definedName>
    <definedName name="Serialize" localSheetId="24">GBP_015_SyntheticQuotes!$D$7</definedName>
    <definedName name="Serialize" localSheetId="29">GBP_020_ForwardSwapQuotes!$D$7</definedName>
    <definedName name="Serialize" localSheetId="5">GBP_010_BasisSwapQuotes!$D$7</definedName>
    <definedName name="Serialize" localSheetId="6">GBP_010_BasisSwapQuotes!$D$7</definedName>
    <definedName name="Serialize" localSheetId="7">GBP_010_BasisSwapQuotes!$D$7</definedName>
    <definedName name="Serialize" localSheetId="9">GBP_010_DepoFRAFuturesQuotes!$D$7</definedName>
    <definedName name="Serialize" localSheetId="10">GBP_010_DepoFRAFuturesQuotes!$D$7</definedName>
    <definedName name="Serialize" localSheetId="11">GBP_010_DepoFRAFuturesQuotes!$D$7</definedName>
    <definedName name="Serialize" localSheetId="12">GBP_010_DepoFRAFuturesQuotes!$D$7</definedName>
    <definedName name="Serialize" localSheetId="14">GBP_010_DepoFRAFuturesQuotes!$D$7</definedName>
    <definedName name="Serialize" localSheetId="0">RelinkableHandles!$D$7</definedName>
    <definedName name="Serialize" localSheetId="8">GBP_010_BasisSwapQuotes!$D$7</definedName>
    <definedName name="Serialize" localSheetId="15">GBP_010_DepoFRAFuturesQuotes!$D$7</definedName>
    <definedName name="Serialize" localSheetId="21">GBP_010_SwapQuotes!$D$7</definedName>
    <definedName name="Serialize" localSheetId="26">GBP_015_SyntheticQuotes!$D$7</definedName>
    <definedName name="Serialize" localSheetId="31">GBP_020_ForwardSwapQuotes!$D$7</definedName>
    <definedName name="Serialize" localSheetId="34">GBP_020_FuturesConvAdjQuotes!$D$7</definedName>
    <definedName name="Serialize" localSheetId="13">GBP_010_DepoFRAFuturesQuotes!$D$7</definedName>
    <definedName name="Serialize" localSheetId="16">GBP_010_SwapQuotes!$D$7</definedName>
    <definedName name="Serialize" localSheetId="1">RelinkableHandles!$D$7</definedName>
    <definedName name="Serialize" localSheetId="19">GBP_010_SwapQuotes!$D$7</definedName>
    <definedName name="Serialize" localSheetId="20">GBP_010_SwapQuotes!$D$7</definedName>
    <definedName name="Serialize" localSheetId="17">GBP_010_SwapQuotes!$D$7</definedName>
    <definedName name="Serialize" localSheetId="18">GBP_010_SwapQuotes!$D$7</definedName>
    <definedName name="Serialize">GbpLibor!$D$8</definedName>
    <definedName name="SwapMainSetConventions">Swap3M!$J$3:$L$7</definedName>
    <definedName name="SwapSecondarySetConventions">Swap6M!$J$3:$L$7</definedName>
    <definedName name="Tenor" localSheetId="22">'1M'!$C$1</definedName>
    <definedName name="Tenor" localSheetId="25">'1Y'!$C$1</definedName>
    <definedName name="Tenor" localSheetId="23">'3M'!$C$1</definedName>
    <definedName name="Tenor" localSheetId="24">'6M'!$C$1</definedName>
    <definedName name="Trigger" localSheetId="22">GBP_015_SyntheticQuotes!$D$4</definedName>
    <definedName name="Trigger" localSheetId="27">GBP_020_ForwardSwapQuotes!$D$4</definedName>
    <definedName name="Trigger" localSheetId="32">GBP_020_FuturesConvAdjQuotes!$D$4</definedName>
    <definedName name="Trigger" localSheetId="25">GBP_015_SyntheticQuotes!$D$4</definedName>
    <definedName name="Trigger" localSheetId="30">GBP_020_ForwardSwapQuotes!$D$4</definedName>
    <definedName name="Trigger" localSheetId="23">GBP_015_SyntheticQuotes!$D$4</definedName>
    <definedName name="Trigger" localSheetId="28">GBP_020_ForwardSwapQuotes!$D$4</definedName>
    <definedName name="Trigger" localSheetId="33">GBP_020_FuturesConvAdjQuotes!$D$4</definedName>
    <definedName name="Trigger" localSheetId="24">GBP_015_SyntheticQuotes!$D$4</definedName>
    <definedName name="Trigger" localSheetId="29">GBP_020_ForwardSwapQuotes!$D$4</definedName>
    <definedName name="Trigger" localSheetId="5">GBP_010_BasisSwapQuotes!$D$4</definedName>
    <definedName name="Trigger" localSheetId="6">GBP_010_BasisSwapQuotes!$D$4</definedName>
    <definedName name="Trigger" localSheetId="7">GBP_010_BasisSwapQuotes!$D$4</definedName>
    <definedName name="Trigger" localSheetId="9">GBP_010_DepoFRAFuturesQuotes!$D$4</definedName>
    <definedName name="Trigger" localSheetId="10">GBP_010_DepoFRAFuturesQuotes!$D$4</definedName>
    <definedName name="Trigger" localSheetId="11">GBP_010_DepoFRAFuturesQuotes!$D$4</definedName>
    <definedName name="Trigger" localSheetId="12">GBP_010_DepoFRAFuturesQuotes!$D$4</definedName>
    <definedName name="Trigger" localSheetId="14">GBP_010_DepoFRAFuturesQuotes!$D$4</definedName>
    <definedName name="Trigger" localSheetId="0">RelinkableHandles!$D$4</definedName>
    <definedName name="Trigger" localSheetId="8">GBP_010_BasisSwapQuotes!$D$4</definedName>
    <definedName name="Trigger" localSheetId="15">GBP_010_DepoFRAFuturesQuotes!$D$4</definedName>
    <definedName name="Trigger" localSheetId="21">GBP_010_SwapQuotes!$D$4</definedName>
    <definedName name="Trigger" localSheetId="26">GBP_015_SyntheticQuotes!$D$4</definedName>
    <definedName name="Trigger" localSheetId="31">GBP_020_ForwardSwapQuotes!$D$4</definedName>
    <definedName name="Trigger" localSheetId="34">GBP_020_FuturesConvAdjQuotes!$D$4</definedName>
    <definedName name="Trigger" localSheetId="13">GBP_010_DepoFRAFuturesQuotes!$D$4</definedName>
    <definedName name="Trigger" localSheetId="16">GBP_010_SwapQuotes!$D$4</definedName>
    <definedName name="Trigger" localSheetId="1">RelinkableHandles!$D$4</definedName>
    <definedName name="Trigger" localSheetId="19">GBP_010_SwapQuotes!$D$4</definedName>
    <definedName name="Trigger" localSheetId="20">GBP_010_SwapQuotes!$D$4</definedName>
    <definedName name="Trigger" localSheetId="17">GBP_010_SwapQuotes!$D$4</definedName>
    <definedName name="Trigger" localSheetId="18">GBP_010_SwapQuotes!$D$4</definedName>
    <definedName name="Trigger">GbpLibor!$D$4</definedName>
    <definedName name="Volatility" localSheetId="32">'1M (3)'!$F$2</definedName>
    <definedName name="Volatility" localSheetId="33">'3M (3)'!$F$2</definedName>
  </definedNames>
  <calcPr calcId="145621"/>
</workbook>
</file>

<file path=xl/calcChain.xml><?xml version="1.0" encoding="utf-8"?>
<calcChain xmlns="http://schemas.openxmlformats.org/spreadsheetml/2006/main">
  <c r="D8" i="38" l="1"/>
  <c r="F2" i="37" l="1"/>
  <c r="F3" i="37"/>
  <c r="F4" i="37"/>
  <c r="F6" i="37"/>
  <c r="F2" i="36"/>
  <c r="F3" i="36"/>
  <c r="F4" i="36"/>
  <c r="F6" i="36"/>
  <c r="D7" i="36" a="1"/>
  <c r="D7" i="37" a="1"/>
  <c r="B1" i="38"/>
  <c r="D12" i="37" l="1"/>
  <c r="D20" i="37"/>
  <c r="D28" i="37"/>
  <c r="D36" i="37"/>
  <c r="D44" i="37"/>
  <c r="D52" i="37"/>
  <c r="D60" i="37"/>
  <c r="D68" i="37"/>
  <c r="D76" i="37"/>
  <c r="D84" i="37"/>
  <c r="D92" i="37"/>
  <c r="D100" i="37"/>
  <c r="D108" i="37"/>
  <c r="D116" i="37"/>
  <c r="D124" i="37"/>
  <c r="D9" i="37"/>
  <c r="D17" i="37"/>
  <c r="D25" i="37"/>
  <c r="D33" i="37"/>
  <c r="D41" i="37"/>
  <c r="D49" i="37"/>
  <c r="D57" i="37"/>
  <c r="D65" i="37"/>
  <c r="D73" i="37"/>
  <c r="D81" i="37"/>
  <c r="D89" i="37"/>
  <c r="D97" i="37"/>
  <c r="D105" i="37"/>
  <c r="D113" i="37"/>
  <c r="D121" i="37"/>
  <c r="D14" i="37"/>
  <c r="D11" i="37"/>
  <c r="D19" i="37"/>
  <c r="D27" i="37"/>
  <c r="D35" i="37"/>
  <c r="D43" i="37"/>
  <c r="D51" i="37"/>
  <c r="D59" i="37"/>
  <c r="D67" i="37"/>
  <c r="D75" i="37"/>
  <c r="D83" i="37"/>
  <c r="D91" i="37"/>
  <c r="D99" i="37"/>
  <c r="D107" i="37"/>
  <c r="D115" i="37"/>
  <c r="D123" i="37"/>
  <c r="D8" i="37"/>
  <c r="D16" i="37"/>
  <c r="D24" i="37"/>
  <c r="D32" i="37"/>
  <c r="D40" i="37"/>
  <c r="D10" i="37"/>
  <c r="D18" i="37"/>
  <c r="D26" i="37"/>
  <c r="D34" i="37"/>
  <c r="D42" i="37"/>
  <c r="D50" i="37"/>
  <c r="D58" i="37"/>
  <c r="D66" i="37"/>
  <c r="D74" i="37"/>
  <c r="D82" i="37"/>
  <c r="D90" i="37"/>
  <c r="D98" i="37"/>
  <c r="D106" i="37"/>
  <c r="D114" i="37"/>
  <c r="D122" i="37"/>
  <c r="D7" i="37"/>
  <c r="D15" i="37"/>
  <c r="D23" i="37"/>
  <c r="D31" i="37"/>
  <c r="D39" i="37"/>
  <c r="D13" i="37"/>
  <c r="D22" i="37"/>
  <c r="D48" i="37"/>
  <c r="D64" i="37"/>
  <c r="D80" i="37"/>
  <c r="D96" i="37"/>
  <c r="D112" i="37"/>
  <c r="D29" i="37"/>
  <c r="D45" i="37"/>
  <c r="D61" i="37"/>
  <c r="D77" i="37"/>
  <c r="D93" i="37"/>
  <c r="D109" i="37"/>
  <c r="D125" i="37"/>
  <c r="D30" i="37"/>
  <c r="D55" i="37"/>
  <c r="D71" i="37"/>
  <c r="D87" i="37"/>
  <c r="D103" i="37"/>
  <c r="D37" i="37"/>
  <c r="D46" i="37"/>
  <c r="D62" i="37"/>
  <c r="D78" i="37"/>
  <c r="D94" i="37"/>
  <c r="D110" i="37"/>
  <c r="D126" i="37"/>
  <c r="D38" i="37"/>
  <c r="D56" i="37"/>
  <c r="D72" i="37"/>
  <c r="D88" i="37"/>
  <c r="D104" i="37"/>
  <c r="D120" i="37"/>
  <c r="D53" i="37"/>
  <c r="D69" i="37"/>
  <c r="D85" i="37"/>
  <c r="D101" i="37"/>
  <c r="D117" i="37"/>
  <c r="D86" i="37"/>
  <c r="D47" i="37"/>
  <c r="D63" i="37"/>
  <c r="D79" i="37"/>
  <c r="D95" i="37"/>
  <c r="D111" i="37"/>
  <c r="D21" i="37"/>
  <c r="D54" i="37"/>
  <c r="D70" i="37"/>
  <c r="D118" i="37"/>
  <c r="D102" i="37"/>
  <c r="D119" i="37"/>
  <c r="D12" i="36"/>
  <c r="D20" i="36"/>
  <c r="D28" i="36"/>
  <c r="D36" i="36"/>
  <c r="D44" i="36"/>
  <c r="D52" i="36"/>
  <c r="D60" i="36"/>
  <c r="D68" i="36"/>
  <c r="D76" i="36"/>
  <c r="D84" i="36"/>
  <c r="D92" i="36"/>
  <c r="D100" i="36"/>
  <c r="D108" i="36"/>
  <c r="D116" i="36"/>
  <c r="D9" i="36"/>
  <c r="D17" i="36"/>
  <c r="D25" i="36"/>
  <c r="D33" i="36"/>
  <c r="D41" i="36"/>
  <c r="D49" i="36"/>
  <c r="D57" i="36"/>
  <c r="D65" i="36"/>
  <c r="D73" i="36"/>
  <c r="D81" i="36"/>
  <c r="D89" i="36"/>
  <c r="D97" i="36"/>
  <c r="D105" i="36"/>
  <c r="D113" i="36"/>
  <c r="D121" i="36"/>
  <c r="D14" i="36"/>
  <c r="D22" i="36"/>
  <c r="D30" i="36"/>
  <c r="D38" i="36"/>
  <c r="D46" i="36"/>
  <c r="D54" i="36"/>
  <c r="D62" i="36"/>
  <c r="D70" i="36"/>
  <c r="D78" i="36"/>
  <c r="D86" i="36"/>
  <c r="D94" i="36"/>
  <c r="D102" i="36"/>
  <c r="D110" i="36"/>
  <c r="D118" i="36"/>
  <c r="D126" i="36"/>
  <c r="D8" i="36"/>
  <c r="D48" i="36"/>
  <c r="D56" i="36"/>
  <c r="D72" i="36"/>
  <c r="D11" i="36"/>
  <c r="D19" i="36"/>
  <c r="D27" i="36"/>
  <c r="D35" i="36"/>
  <c r="D43" i="36"/>
  <c r="D51" i="36"/>
  <c r="D59" i="36"/>
  <c r="D67" i="36"/>
  <c r="D75" i="36"/>
  <c r="D83" i="36"/>
  <c r="D91" i="36"/>
  <c r="D99" i="36"/>
  <c r="D107" i="36"/>
  <c r="D115" i="36"/>
  <c r="D123" i="36"/>
  <c r="D16" i="36"/>
  <c r="D24" i="36"/>
  <c r="D32" i="36"/>
  <c r="D40" i="36"/>
  <c r="D64" i="36"/>
  <c r="D13" i="36"/>
  <c r="D34" i="36"/>
  <c r="D55" i="36"/>
  <c r="D80" i="36"/>
  <c r="D96" i="36"/>
  <c r="D112" i="36"/>
  <c r="D124" i="36"/>
  <c r="D111" i="36"/>
  <c r="D26" i="36"/>
  <c r="D47" i="36"/>
  <c r="D69" i="36"/>
  <c r="D77" i="36"/>
  <c r="D93" i="36"/>
  <c r="D109" i="36"/>
  <c r="D18" i="36"/>
  <c r="D39" i="36"/>
  <c r="D61" i="36"/>
  <c r="D90" i="36"/>
  <c r="D106" i="36"/>
  <c r="D122" i="36"/>
  <c r="D119" i="36"/>
  <c r="D125" i="36"/>
  <c r="D88" i="36"/>
  <c r="D104" i="36"/>
  <c r="D120" i="36"/>
  <c r="D15" i="36"/>
  <c r="D7" i="36"/>
  <c r="D29" i="36"/>
  <c r="D71" i="36"/>
  <c r="D98" i="36"/>
  <c r="D63" i="36"/>
  <c r="D79" i="36"/>
  <c r="D10" i="36"/>
  <c r="D31" i="36"/>
  <c r="D53" i="36"/>
  <c r="D74" i="36"/>
  <c r="D87" i="36"/>
  <c r="D103" i="36"/>
  <c r="D23" i="36"/>
  <c r="D45" i="36"/>
  <c r="D66" i="36"/>
  <c r="D37" i="36"/>
  <c r="D58" i="36"/>
  <c r="D85" i="36"/>
  <c r="D101" i="36"/>
  <c r="D117" i="36"/>
  <c r="D50" i="36"/>
  <c r="D82" i="36"/>
  <c r="D114" i="36"/>
  <c r="D21" i="36"/>
  <c r="D42" i="36"/>
  <c r="D95" i="36"/>
  <c r="E21" i="37" l="1"/>
  <c r="F21" i="37"/>
  <c r="E101" i="37"/>
  <c r="F101" i="37"/>
  <c r="F56" i="37"/>
  <c r="E56" i="37"/>
  <c r="E37" i="37"/>
  <c r="F37" i="37"/>
  <c r="E93" i="37"/>
  <c r="F93" i="37"/>
  <c r="F64" i="37"/>
  <c r="E64" i="37"/>
  <c r="E7" i="37"/>
  <c r="F7" i="37"/>
  <c r="F66" i="37"/>
  <c r="E66" i="37"/>
  <c r="F40" i="37"/>
  <c r="E40" i="37"/>
  <c r="E99" i="37"/>
  <c r="F99" i="37"/>
  <c r="E35" i="37"/>
  <c r="F35" i="37"/>
  <c r="F97" i="37"/>
  <c r="E97" i="37"/>
  <c r="F33" i="37"/>
  <c r="E33" i="37"/>
  <c r="E92" i="37"/>
  <c r="F92" i="37"/>
  <c r="E28" i="37"/>
  <c r="F28" i="37"/>
  <c r="E111" i="37"/>
  <c r="F111" i="37"/>
  <c r="E85" i="37"/>
  <c r="F85" i="37"/>
  <c r="E38" i="37"/>
  <c r="F38" i="37"/>
  <c r="E103" i="37"/>
  <c r="F103" i="37"/>
  <c r="E77" i="37"/>
  <c r="F77" i="37"/>
  <c r="F48" i="37"/>
  <c r="E48" i="37"/>
  <c r="F122" i="37"/>
  <c r="E122" i="37"/>
  <c r="F58" i="37"/>
  <c r="E58" i="37"/>
  <c r="F32" i="37"/>
  <c r="E32" i="37"/>
  <c r="E91" i="37"/>
  <c r="F91" i="37"/>
  <c r="E27" i="37"/>
  <c r="F27" i="37"/>
  <c r="F89" i="37"/>
  <c r="E89" i="37"/>
  <c r="F25" i="37"/>
  <c r="E25" i="37"/>
  <c r="E84" i="37"/>
  <c r="F84" i="37"/>
  <c r="E20" i="37"/>
  <c r="F20" i="37"/>
  <c r="E95" i="37"/>
  <c r="F95" i="37"/>
  <c r="E69" i="37"/>
  <c r="F69" i="37"/>
  <c r="E126" i="37"/>
  <c r="F126" i="37"/>
  <c r="E87" i="37"/>
  <c r="F87" i="37"/>
  <c r="E61" i="37"/>
  <c r="F61" i="37"/>
  <c r="E22" i="37"/>
  <c r="F22" i="37"/>
  <c r="F114" i="37"/>
  <c r="E114" i="37"/>
  <c r="F50" i="37"/>
  <c r="E50" i="37"/>
  <c r="F24" i="37"/>
  <c r="E24" i="37"/>
  <c r="E83" i="37"/>
  <c r="F83" i="37"/>
  <c r="E19" i="37"/>
  <c r="F19" i="37"/>
  <c r="F81" i="37"/>
  <c r="E81" i="37"/>
  <c r="E17" i="37"/>
  <c r="F17" i="37"/>
  <c r="E76" i="37"/>
  <c r="F76" i="37"/>
  <c r="F12" i="37"/>
  <c r="E12" i="37"/>
  <c r="E119" i="37"/>
  <c r="F119" i="37"/>
  <c r="E79" i="37"/>
  <c r="F79" i="37"/>
  <c r="E53" i="37"/>
  <c r="F53" i="37"/>
  <c r="E110" i="37"/>
  <c r="F110" i="37"/>
  <c r="E71" i="37"/>
  <c r="F71" i="37"/>
  <c r="E45" i="37"/>
  <c r="F45" i="37"/>
  <c r="E13" i="37"/>
  <c r="F13" i="37"/>
  <c r="F106" i="37"/>
  <c r="E106" i="37"/>
  <c r="F42" i="37"/>
  <c r="E42" i="37"/>
  <c r="F16" i="37"/>
  <c r="E16" i="37"/>
  <c r="E75" i="37"/>
  <c r="F75" i="37"/>
  <c r="E11" i="37"/>
  <c r="F11" i="37"/>
  <c r="F73" i="37"/>
  <c r="E73" i="37"/>
  <c r="E9" i="37"/>
  <c r="F9" i="37"/>
  <c r="E68" i="37"/>
  <c r="F68" i="37"/>
  <c r="E102" i="37"/>
  <c r="F102" i="37"/>
  <c r="E63" i="37"/>
  <c r="F63" i="37"/>
  <c r="F120" i="37"/>
  <c r="E120" i="37"/>
  <c r="E94" i="37"/>
  <c r="F94" i="37"/>
  <c r="E55" i="37"/>
  <c r="F55" i="37"/>
  <c r="E29" i="37"/>
  <c r="F29" i="37"/>
  <c r="E39" i="37"/>
  <c r="F39" i="37"/>
  <c r="F98" i="37"/>
  <c r="E98" i="37"/>
  <c r="F34" i="37"/>
  <c r="E34" i="37"/>
  <c r="F8" i="37"/>
  <c r="E8" i="37"/>
  <c r="E67" i="37"/>
  <c r="F67" i="37"/>
  <c r="E14" i="37"/>
  <c r="F14" i="37"/>
  <c r="F65" i="37"/>
  <c r="E65" i="37"/>
  <c r="E124" i="37"/>
  <c r="F124" i="37"/>
  <c r="E60" i="37"/>
  <c r="F60" i="37"/>
  <c r="E118" i="37"/>
  <c r="F118" i="37"/>
  <c r="E47" i="37"/>
  <c r="F47" i="37"/>
  <c r="F104" i="37"/>
  <c r="E104" i="37"/>
  <c r="E78" i="37"/>
  <c r="F78" i="37"/>
  <c r="E30" i="37"/>
  <c r="F30" i="37"/>
  <c r="F112" i="37"/>
  <c r="E112" i="37"/>
  <c r="E31" i="37"/>
  <c r="F31" i="37"/>
  <c r="F90" i="37"/>
  <c r="E90" i="37"/>
  <c r="F26" i="37"/>
  <c r="E26" i="37"/>
  <c r="E123" i="37"/>
  <c r="F123" i="37"/>
  <c r="E59" i="37"/>
  <c r="F59" i="37"/>
  <c r="F121" i="37"/>
  <c r="E121" i="37"/>
  <c r="F57" i="37"/>
  <c r="E57" i="37"/>
  <c r="E116" i="37"/>
  <c r="F116" i="37"/>
  <c r="E52" i="37"/>
  <c r="F52" i="37"/>
  <c r="E70" i="37"/>
  <c r="F70" i="37"/>
  <c r="E86" i="37"/>
  <c r="F86" i="37"/>
  <c r="F88" i="37"/>
  <c r="E88" i="37"/>
  <c r="E62" i="37"/>
  <c r="F62" i="37"/>
  <c r="E125" i="37"/>
  <c r="F125" i="37"/>
  <c r="F96" i="37"/>
  <c r="E96" i="37"/>
  <c r="E23" i="37"/>
  <c r="F23" i="37"/>
  <c r="F82" i="37"/>
  <c r="E82" i="37"/>
  <c r="F18" i="37"/>
  <c r="E18" i="37"/>
  <c r="E115" i="37"/>
  <c r="F115" i="37"/>
  <c r="E51" i="37"/>
  <c r="F51" i="37"/>
  <c r="F113" i="37"/>
  <c r="E113" i="37"/>
  <c r="F49" i="37"/>
  <c r="E49" i="37"/>
  <c r="E108" i="37"/>
  <c r="F108" i="37"/>
  <c r="E44" i="37"/>
  <c r="F44" i="37"/>
  <c r="E54" i="37"/>
  <c r="F54" i="37"/>
  <c r="E117" i="37"/>
  <c r="F117" i="37"/>
  <c r="F72" i="37"/>
  <c r="E72" i="37"/>
  <c r="E46" i="37"/>
  <c r="F46" i="37"/>
  <c r="E109" i="37"/>
  <c r="F109" i="37"/>
  <c r="F80" i="37"/>
  <c r="E80" i="37"/>
  <c r="E15" i="37"/>
  <c r="F15" i="37"/>
  <c r="F74" i="37"/>
  <c r="E74" i="37"/>
  <c r="F10" i="37"/>
  <c r="E10" i="37"/>
  <c r="E107" i="37"/>
  <c r="F107" i="37"/>
  <c r="E43" i="37"/>
  <c r="F43" i="37"/>
  <c r="F105" i="37"/>
  <c r="E105" i="37"/>
  <c r="F41" i="37"/>
  <c r="E41" i="37"/>
  <c r="E100" i="37"/>
  <c r="F100" i="37"/>
  <c r="E36" i="37"/>
  <c r="F36" i="37"/>
  <c r="F82" i="36"/>
  <c r="E82" i="36"/>
  <c r="E45" i="36"/>
  <c r="F45" i="36"/>
  <c r="E79" i="36"/>
  <c r="F79" i="36"/>
  <c r="E104" i="36"/>
  <c r="F104" i="36"/>
  <c r="E39" i="36"/>
  <c r="F39" i="36"/>
  <c r="E111" i="36"/>
  <c r="F111" i="36"/>
  <c r="E64" i="36"/>
  <c r="F64" i="36"/>
  <c r="E99" i="36"/>
  <c r="F99" i="36"/>
  <c r="E35" i="36"/>
  <c r="F35" i="36"/>
  <c r="E126" i="36"/>
  <c r="F126" i="36"/>
  <c r="F62" i="36"/>
  <c r="E62" i="36"/>
  <c r="E113" i="36"/>
  <c r="F113" i="36"/>
  <c r="E49" i="36"/>
  <c r="F49" i="36"/>
  <c r="E100" i="36"/>
  <c r="F100" i="36"/>
  <c r="E36" i="36"/>
  <c r="F36" i="36"/>
  <c r="F50" i="36"/>
  <c r="E50" i="36"/>
  <c r="E23" i="36"/>
  <c r="F23" i="36"/>
  <c r="E63" i="36"/>
  <c r="F63" i="36"/>
  <c r="F88" i="36"/>
  <c r="E88" i="36"/>
  <c r="F18" i="36"/>
  <c r="E18" i="36"/>
  <c r="F124" i="36"/>
  <c r="E124" i="36"/>
  <c r="F40" i="36"/>
  <c r="E40" i="36"/>
  <c r="E91" i="36"/>
  <c r="F91" i="36"/>
  <c r="E27" i="36"/>
  <c r="F27" i="36"/>
  <c r="E118" i="36"/>
  <c r="F118" i="36"/>
  <c r="E54" i="36"/>
  <c r="F54" i="36"/>
  <c r="E105" i="36"/>
  <c r="F105" i="36"/>
  <c r="E41" i="36"/>
  <c r="F41" i="36"/>
  <c r="E92" i="36"/>
  <c r="F92" i="36"/>
  <c r="E28" i="36"/>
  <c r="F28" i="36"/>
  <c r="F117" i="36"/>
  <c r="E117" i="36"/>
  <c r="E103" i="36"/>
  <c r="F103" i="36"/>
  <c r="F98" i="36"/>
  <c r="E98" i="36"/>
  <c r="E125" i="36"/>
  <c r="F125" i="36"/>
  <c r="E109" i="36"/>
  <c r="F109" i="36"/>
  <c r="E112" i="36"/>
  <c r="F112" i="36"/>
  <c r="E32" i="36"/>
  <c r="F32" i="36"/>
  <c r="E83" i="36"/>
  <c r="F83" i="36"/>
  <c r="E19" i="36"/>
  <c r="F19" i="36"/>
  <c r="E110" i="36"/>
  <c r="F110" i="36"/>
  <c r="E46" i="36"/>
  <c r="F46" i="36"/>
  <c r="E97" i="36"/>
  <c r="F97" i="36"/>
  <c r="E33" i="36"/>
  <c r="F33" i="36"/>
  <c r="E84" i="36"/>
  <c r="F84" i="36"/>
  <c r="E20" i="36"/>
  <c r="F20" i="36"/>
  <c r="F101" i="36"/>
  <c r="E101" i="36"/>
  <c r="E87" i="36"/>
  <c r="F87" i="36"/>
  <c r="E71" i="36"/>
  <c r="F71" i="36"/>
  <c r="E119" i="36"/>
  <c r="F119" i="36"/>
  <c r="E93" i="36"/>
  <c r="F93" i="36"/>
  <c r="E96" i="36"/>
  <c r="F96" i="36"/>
  <c r="F24" i="36"/>
  <c r="E24" i="36"/>
  <c r="E75" i="36"/>
  <c r="F75" i="36"/>
  <c r="E11" i="36"/>
  <c r="F11" i="36"/>
  <c r="E102" i="36"/>
  <c r="F102" i="36"/>
  <c r="F38" i="36"/>
  <c r="E38" i="36"/>
  <c r="E89" i="36"/>
  <c r="F89" i="36"/>
  <c r="E25" i="36"/>
  <c r="F25" i="36"/>
  <c r="E76" i="36"/>
  <c r="F76" i="36"/>
  <c r="E12" i="36"/>
  <c r="F12" i="36"/>
  <c r="E95" i="36"/>
  <c r="F95" i="36"/>
  <c r="E85" i="36"/>
  <c r="F85" i="36"/>
  <c r="F74" i="36"/>
  <c r="E74" i="36"/>
  <c r="F29" i="36"/>
  <c r="E29" i="36"/>
  <c r="F122" i="36"/>
  <c r="E122" i="36"/>
  <c r="E77" i="36"/>
  <c r="F77" i="36"/>
  <c r="E80" i="36"/>
  <c r="F80" i="36"/>
  <c r="E16" i="36"/>
  <c r="F16" i="36"/>
  <c r="E67" i="36"/>
  <c r="F67" i="36"/>
  <c r="F72" i="36"/>
  <c r="E72" i="36"/>
  <c r="E94" i="36"/>
  <c r="F94" i="36"/>
  <c r="F30" i="36"/>
  <c r="E30" i="36"/>
  <c r="E81" i="36"/>
  <c r="F81" i="36"/>
  <c r="E17" i="36"/>
  <c r="F17" i="36"/>
  <c r="E68" i="36"/>
  <c r="F68" i="36"/>
  <c r="F42" i="36"/>
  <c r="E42" i="36"/>
  <c r="F58" i="36"/>
  <c r="E58" i="36"/>
  <c r="E53" i="36"/>
  <c r="F53" i="36"/>
  <c r="E7" i="36"/>
  <c r="F7" i="36"/>
  <c r="F106" i="36"/>
  <c r="E106" i="36"/>
  <c r="E69" i="36"/>
  <c r="F69" i="36"/>
  <c r="E55" i="36"/>
  <c r="F55" i="36"/>
  <c r="E123" i="36"/>
  <c r="F123" i="36"/>
  <c r="E59" i="36"/>
  <c r="F59" i="36"/>
  <c r="E56" i="36"/>
  <c r="F56" i="36"/>
  <c r="E86" i="36"/>
  <c r="F86" i="36"/>
  <c r="E22" i="36"/>
  <c r="F22" i="36"/>
  <c r="E73" i="36"/>
  <c r="F73" i="36"/>
  <c r="E9" i="36"/>
  <c r="F9" i="36"/>
  <c r="E60" i="36"/>
  <c r="F60" i="36"/>
  <c r="E21" i="36"/>
  <c r="F21" i="36"/>
  <c r="F37" i="36"/>
  <c r="E37" i="36"/>
  <c r="E31" i="36"/>
  <c r="F31" i="36"/>
  <c r="E15" i="36"/>
  <c r="F15" i="36"/>
  <c r="F90" i="36"/>
  <c r="E90" i="36"/>
  <c r="E47" i="36"/>
  <c r="F47" i="36"/>
  <c r="F34" i="36"/>
  <c r="E34" i="36"/>
  <c r="E115" i="36"/>
  <c r="F115" i="36"/>
  <c r="E51" i="36"/>
  <c r="F51" i="36"/>
  <c r="E48" i="36"/>
  <c r="F48" i="36"/>
  <c r="E78" i="36"/>
  <c r="F78" i="36"/>
  <c r="E14" i="36"/>
  <c r="F14" i="36"/>
  <c r="E65" i="36"/>
  <c r="F65" i="36"/>
  <c r="E116" i="36"/>
  <c r="F116" i="36"/>
  <c r="E52" i="36"/>
  <c r="F52" i="36"/>
  <c r="F114" i="36"/>
  <c r="E114" i="36"/>
  <c r="F66" i="36"/>
  <c r="E66" i="36"/>
  <c r="F10" i="36"/>
  <c r="E10" i="36"/>
  <c r="F120" i="36"/>
  <c r="E120" i="36"/>
  <c r="F61" i="36"/>
  <c r="E61" i="36"/>
  <c r="F26" i="36"/>
  <c r="E26" i="36"/>
  <c r="E13" i="36"/>
  <c r="F13" i="36"/>
  <c r="E107" i="36"/>
  <c r="F107" i="36"/>
  <c r="E43" i="36"/>
  <c r="F43" i="36"/>
  <c r="F8" i="36"/>
  <c r="E8" i="36"/>
  <c r="E70" i="36"/>
  <c r="F70" i="36"/>
  <c r="E121" i="36"/>
  <c r="F121" i="36"/>
  <c r="E57" i="36"/>
  <c r="F57" i="36"/>
  <c r="E108" i="36"/>
  <c r="F108" i="36"/>
  <c r="E44" i="36"/>
  <c r="F44" i="36"/>
  <c r="G7" i="37"/>
  <c r="G40" i="37"/>
  <c r="G112" i="37"/>
  <c r="G8" i="37"/>
  <c r="G85" i="37"/>
  <c r="G55" i="37"/>
  <c r="G81" i="37"/>
  <c r="G99" i="37"/>
  <c r="G63" i="37"/>
  <c r="G109" i="37"/>
  <c r="G121" i="37"/>
  <c r="G95" i="37"/>
  <c r="G117" i="37"/>
  <c r="G57" i="37"/>
  <c r="G83" i="37"/>
  <c r="G118" i="37"/>
  <c r="G39" i="36"/>
  <c r="G20" i="36"/>
  <c r="G56" i="36"/>
  <c r="G30" i="36"/>
  <c r="G101" i="36"/>
  <c r="G47" i="36"/>
  <c r="G54" i="36"/>
  <c r="G85" i="36"/>
  <c r="G115" i="36"/>
  <c r="G27" i="36"/>
  <c r="G62" i="36"/>
  <c r="G79" i="36"/>
  <c r="G87" i="36"/>
  <c r="G123" i="36"/>
  <c r="G24" i="36"/>
  <c r="G14" i="36"/>
  <c r="G88" i="36"/>
  <c r="G96" i="36"/>
  <c r="G106" i="36"/>
  <c r="G126" i="37"/>
  <c r="G27" i="37"/>
  <c r="G80" i="37"/>
  <c r="G37" i="37"/>
  <c r="G23" i="36"/>
  <c r="G12" i="36"/>
  <c r="G83" i="36"/>
  <c r="G116" i="36"/>
  <c r="G76" i="36"/>
  <c r="G67" i="37"/>
  <c r="G20" i="37"/>
  <c r="G75" i="37"/>
  <c r="G95" i="36"/>
  <c r="G29" i="36"/>
  <c r="G55" i="36"/>
  <c r="G90" i="36"/>
  <c r="G65" i="36"/>
  <c r="G93" i="37"/>
  <c r="G71" i="37"/>
  <c r="G60" i="37"/>
  <c r="G36" i="37"/>
  <c r="G40" i="36"/>
  <c r="G15" i="36"/>
  <c r="G7" i="36"/>
  <c r="G33" i="37"/>
  <c r="G88" i="37"/>
  <c r="G104" i="37"/>
  <c r="G91" i="37"/>
  <c r="G47" i="37"/>
  <c r="G73" i="37"/>
  <c r="G92" i="37"/>
  <c r="G29" i="37"/>
  <c r="G56" i="37"/>
  <c r="G18" i="37"/>
  <c r="G61" i="37"/>
  <c r="G100" i="37"/>
  <c r="G96" i="37"/>
  <c r="G76" i="37"/>
  <c r="G30" i="37"/>
  <c r="G35" i="36"/>
  <c r="G119" i="36"/>
  <c r="G9" i="36"/>
  <c r="G103" i="36"/>
  <c r="G72" i="36"/>
  <c r="G13" i="36"/>
  <c r="G28" i="36"/>
  <c r="G77" i="36"/>
  <c r="G110" i="36"/>
  <c r="G64" i="36"/>
  <c r="G22" i="36"/>
  <c r="G105" i="37"/>
  <c r="G116" i="37"/>
  <c r="G31" i="37"/>
  <c r="G79" i="37"/>
  <c r="G13" i="37"/>
  <c r="G89" i="36"/>
  <c r="G61" i="36"/>
  <c r="G53" i="36"/>
  <c r="G91" i="36"/>
  <c r="G112" i="36"/>
  <c r="G12" i="37"/>
  <c r="G19" i="37"/>
  <c r="G78" i="37"/>
  <c r="G24" i="37"/>
  <c r="G32" i="37"/>
  <c r="G108" i="37"/>
  <c r="G52" i="36"/>
  <c r="G111" i="36"/>
  <c r="G42" i="36"/>
  <c r="G105" i="36"/>
  <c r="G65" i="37"/>
  <c r="G102" i="37"/>
  <c r="G54" i="37"/>
  <c r="G26" i="37"/>
  <c r="G69" i="36"/>
  <c r="G63" i="36"/>
  <c r="G8" i="36"/>
  <c r="G48" i="37"/>
  <c r="G74" i="37"/>
  <c r="G82" i="37"/>
  <c r="G84" i="37"/>
  <c r="G123" i="37"/>
  <c r="G113" i="37"/>
  <c r="G38" i="37"/>
  <c r="G124" i="37"/>
  <c r="G58" i="37"/>
  <c r="G49" i="37"/>
  <c r="G17" i="37"/>
  <c r="G66" i="37"/>
  <c r="G72" i="37"/>
  <c r="G53" i="37"/>
  <c r="G86" i="37"/>
  <c r="G49" i="36"/>
  <c r="G75" i="36"/>
  <c r="G31" i="36"/>
  <c r="G71" i="36"/>
  <c r="G114" i="36"/>
  <c r="G124" i="36"/>
  <c r="G125" i="36"/>
  <c r="G17" i="36"/>
  <c r="G43" i="36"/>
  <c r="G73" i="36"/>
  <c r="G117" i="36"/>
  <c r="G36" i="36"/>
  <c r="G102" i="36"/>
  <c r="G21" i="36"/>
  <c r="G99" i="36"/>
  <c r="G114" i="37"/>
  <c r="G10" i="37"/>
  <c r="G41" i="37"/>
  <c r="G89" i="37"/>
  <c r="G97" i="37"/>
  <c r="G115" i="37"/>
  <c r="G78" i="36"/>
  <c r="G45" i="36"/>
  <c r="G57" i="36"/>
  <c r="G74" i="36"/>
  <c r="G51" i="36"/>
  <c r="G64" i="37"/>
  <c r="G23" i="37"/>
  <c r="G59" i="37"/>
  <c r="G45" i="37"/>
  <c r="G111" i="37"/>
  <c r="G118" i="36"/>
  <c r="G82" i="36"/>
  <c r="G97" i="36"/>
  <c r="G70" i="36"/>
  <c r="G80" i="36"/>
  <c r="G16" i="36"/>
  <c r="G46" i="37"/>
  <c r="G90" i="37"/>
  <c r="G22" i="37"/>
  <c r="G38" i="36"/>
  <c r="G25" i="36"/>
  <c r="G120" i="36"/>
  <c r="G18" i="36"/>
  <c r="G106" i="37"/>
  <c r="G122" i="37"/>
  <c r="G125" i="37"/>
  <c r="G110" i="37"/>
  <c r="G51" i="37"/>
  <c r="G70" i="37"/>
  <c r="G87" i="37"/>
  <c r="G52" i="37"/>
  <c r="G16" i="37"/>
  <c r="G35" i="37"/>
  <c r="G9" i="37"/>
  <c r="G25" i="37"/>
  <c r="G77" i="37"/>
  <c r="G68" i="37"/>
  <c r="G15" i="37"/>
  <c r="G92" i="36"/>
  <c r="G67" i="36"/>
  <c r="G107" i="36"/>
  <c r="G122" i="36"/>
  <c r="G113" i="36"/>
  <c r="G126" i="36"/>
  <c r="G93" i="36"/>
  <c r="G86" i="36"/>
  <c r="G37" i="36"/>
  <c r="G98" i="36"/>
  <c r="G66" i="36"/>
  <c r="G109" i="36"/>
  <c r="G94" i="36"/>
  <c r="G108" i="36"/>
  <c r="G59" i="36"/>
  <c r="G34" i="37"/>
  <c r="G50" i="37"/>
  <c r="G21" i="37"/>
  <c r="G11" i="37"/>
  <c r="G44" i="37"/>
  <c r="G107" i="37"/>
  <c r="G119" i="37"/>
  <c r="G62" i="37"/>
  <c r="G120" i="37"/>
  <c r="G28" i="37"/>
  <c r="G39" i="37"/>
  <c r="G98" i="37"/>
  <c r="G69" i="37"/>
  <c r="G94" i="37"/>
  <c r="G43" i="37"/>
  <c r="G32" i="36"/>
  <c r="G81" i="36"/>
  <c r="G121" i="36"/>
  <c r="G34" i="36"/>
  <c r="G41" i="36"/>
  <c r="G100" i="36"/>
  <c r="G11" i="36"/>
  <c r="G60" i="36"/>
  <c r="G10" i="36"/>
  <c r="G58" i="36"/>
  <c r="G26" i="36"/>
  <c r="G19" i="36"/>
  <c r="G68" i="36"/>
  <c r="G50" i="36"/>
  <c r="G48" i="36"/>
  <c r="G42" i="37"/>
  <c r="G101" i="37"/>
  <c r="G103" i="37"/>
  <c r="G14" i="37"/>
  <c r="G46" i="36"/>
  <c r="G84" i="36"/>
  <c r="G104" i="36"/>
  <c r="G33" i="36"/>
  <c r="G44" i="36"/>
  <c r="D8" i="35" l="1"/>
  <c r="D8" i="30"/>
  <c r="D8" i="25"/>
  <c r="C3" i="34"/>
  <c r="D3" i="34"/>
  <c r="E3" i="34"/>
  <c r="F3" i="34"/>
  <c r="G3" i="34"/>
  <c r="I3" i="34"/>
  <c r="C4" i="34"/>
  <c r="D4" i="34"/>
  <c r="E4" i="34"/>
  <c r="F4" i="34"/>
  <c r="G4" i="34"/>
  <c r="I4" i="34"/>
  <c r="C5" i="34"/>
  <c r="D5" i="34"/>
  <c r="E5" i="34"/>
  <c r="F5" i="34"/>
  <c r="G5" i="34"/>
  <c r="I5" i="34"/>
  <c r="C6" i="34"/>
  <c r="D6" i="34"/>
  <c r="E6" i="34"/>
  <c r="F6" i="34"/>
  <c r="G6" i="34"/>
  <c r="I6" i="34"/>
  <c r="C7" i="34"/>
  <c r="D7" i="34"/>
  <c r="E7" i="34"/>
  <c r="F7" i="34"/>
  <c r="G7" i="34"/>
  <c r="I7" i="34"/>
  <c r="C8" i="34"/>
  <c r="D8" i="34"/>
  <c r="E8" i="34"/>
  <c r="F8" i="34"/>
  <c r="G8" i="34"/>
  <c r="I8" i="34"/>
  <c r="C9" i="34"/>
  <c r="D9" i="34"/>
  <c r="E9" i="34"/>
  <c r="F9" i="34"/>
  <c r="G9" i="34"/>
  <c r="I9" i="34"/>
  <c r="C10" i="34"/>
  <c r="D10" i="34"/>
  <c r="E10" i="34"/>
  <c r="F10" i="34"/>
  <c r="G10" i="34"/>
  <c r="I10" i="34"/>
  <c r="C11" i="34"/>
  <c r="D11" i="34"/>
  <c r="E11" i="34"/>
  <c r="F11" i="34"/>
  <c r="G11" i="34"/>
  <c r="I11" i="34"/>
  <c r="C12" i="34"/>
  <c r="D12" i="34"/>
  <c r="E12" i="34"/>
  <c r="F12" i="34"/>
  <c r="G12" i="34"/>
  <c r="I12" i="34"/>
  <c r="C13" i="34"/>
  <c r="D13" i="34"/>
  <c r="E13" i="34"/>
  <c r="F13" i="34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G15" i="34"/>
  <c r="I15" i="34"/>
  <c r="C16" i="34"/>
  <c r="D16" i="34"/>
  <c r="E16" i="34"/>
  <c r="F16" i="34"/>
  <c r="G16" i="34"/>
  <c r="I16" i="34"/>
  <c r="C17" i="34"/>
  <c r="D17" i="34"/>
  <c r="E17" i="34"/>
  <c r="F17" i="34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G19" i="34"/>
  <c r="I19" i="34"/>
  <c r="C20" i="34"/>
  <c r="D20" i="34"/>
  <c r="E20" i="34"/>
  <c r="F20" i="34"/>
  <c r="G20" i="34"/>
  <c r="I20" i="34"/>
  <c r="C21" i="34"/>
  <c r="D21" i="34"/>
  <c r="E21" i="34"/>
  <c r="F21" i="34"/>
  <c r="G21" i="34"/>
  <c r="I21" i="34"/>
  <c r="C22" i="34"/>
  <c r="D22" i="34"/>
  <c r="E22" i="34"/>
  <c r="F22" i="34"/>
  <c r="G22" i="34"/>
  <c r="I22" i="34"/>
  <c r="C23" i="34"/>
  <c r="D23" i="34"/>
  <c r="E23" i="34"/>
  <c r="F23" i="34"/>
  <c r="G23" i="34"/>
  <c r="I23" i="34"/>
  <c r="C24" i="34"/>
  <c r="D24" i="34"/>
  <c r="E24" i="34"/>
  <c r="F24" i="34"/>
  <c r="G24" i="34"/>
  <c r="I24" i="34"/>
  <c r="C25" i="34"/>
  <c r="D25" i="34"/>
  <c r="E25" i="34"/>
  <c r="F25" i="34"/>
  <c r="G25" i="34"/>
  <c r="I25" i="34"/>
  <c r="C26" i="34"/>
  <c r="D26" i="34"/>
  <c r="E26" i="34"/>
  <c r="F26" i="34"/>
  <c r="G26" i="34"/>
  <c r="I26" i="34"/>
  <c r="C27" i="34"/>
  <c r="D27" i="34"/>
  <c r="E27" i="34"/>
  <c r="F27" i="34"/>
  <c r="G27" i="34"/>
  <c r="I27" i="34"/>
  <c r="C28" i="34"/>
  <c r="D28" i="34"/>
  <c r="E28" i="34"/>
  <c r="F28" i="34"/>
  <c r="G28" i="34"/>
  <c r="I28" i="34"/>
  <c r="C29" i="34"/>
  <c r="D29" i="34"/>
  <c r="E29" i="34"/>
  <c r="F29" i="34"/>
  <c r="G29" i="34"/>
  <c r="I29" i="34"/>
  <c r="C30" i="34"/>
  <c r="D30" i="34"/>
  <c r="E30" i="34"/>
  <c r="F30" i="34"/>
  <c r="G30" i="34"/>
  <c r="I30" i="34"/>
  <c r="C31" i="34"/>
  <c r="D31" i="34"/>
  <c r="E31" i="34"/>
  <c r="F31" i="34"/>
  <c r="G31" i="34"/>
  <c r="I31" i="34"/>
  <c r="C32" i="34"/>
  <c r="D32" i="34"/>
  <c r="E32" i="34"/>
  <c r="F32" i="34"/>
  <c r="G32" i="34"/>
  <c r="I32" i="34"/>
  <c r="C33" i="34"/>
  <c r="D33" i="34"/>
  <c r="E33" i="34"/>
  <c r="F33" i="34"/>
  <c r="G33" i="34"/>
  <c r="I33" i="34"/>
  <c r="C34" i="34"/>
  <c r="D34" i="34"/>
  <c r="E34" i="34"/>
  <c r="F34" i="34"/>
  <c r="G34" i="34"/>
  <c r="I34" i="34"/>
  <c r="C35" i="34"/>
  <c r="D35" i="34"/>
  <c r="E35" i="34"/>
  <c r="F35" i="34"/>
  <c r="G35" i="34"/>
  <c r="H35" i="34" s="1"/>
  <c r="I35" i="34"/>
  <c r="C36" i="34"/>
  <c r="D36" i="34"/>
  <c r="E36" i="34"/>
  <c r="F36" i="34"/>
  <c r="G36" i="34"/>
  <c r="I36" i="34"/>
  <c r="C3" i="33"/>
  <c r="D3" i="33"/>
  <c r="E3" i="33"/>
  <c r="F3" i="33"/>
  <c r="H3" i="33" s="1"/>
  <c r="G3" i="33"/>
  <c r="C4" i="33"/>
  <c r="D4" i="33"/>
  <c r="E4" i="33"/>
  <c r="F4" i="33"/>
  <c r="H4" i="33" s="1"/>
  <c r="G4" i="33"/>
  <c r="C5" i="33"/>
  <c r="D5" i="33"/>
  <c r="E5" i="33"/>
  <c r="F5" i="33"/>
  <c r="H5" i="33" s="1"/>
  <c r="G5" i="33"/>
  <c r="C6" i="33"/>
  <c r="D6" i="33"/>
  <c r="E6" i="33"/>
  <c r="F6" i="33"/>
  <c r="H6" i="33" s="1"/>
  <c r="G6" i="33"/>
  <c r="C7" i="33"/>
  <c r="D7" i="33"/>
  <c r="E7" i="33"/>
  <c r="F7" i="33"/>
  <c r="H7" i="33" s="1"/>
  <c r="G7" i="33"/>
  <c r="C8" i="33"/>
  <c r="D8" i="33"/>
  <c r="E8" i="33"/>
  <c r="F8" i="33"/>
  <c r="H8" i="33" s="1"/>
  <c r="G8" i="33"/>
  <c r="C9" i="33"/>
  <c r="D9" i="33"/>
  <c r="E9" i="33"/>
  <c r="F9" i="33"/>
  <c r="H9" i="33" s="1"/>
  <c r="G9" i="33"/>
  <c r="C10" i="33"/>
  <c r="D10" i="33"/>
  <c r="E10" i="33"/>
  <c r="F10" i="33"/>
  <c r="H10" i="33" s="1"/>
  <c r="G10" i="33"/>
  <c r="C11" i="33"/>
  <c r="D11" i="33"/>
  <c r="E11" i="33"/>
  <c r="F11" i="33"/>
  <c r="H11" i="33" s="1"/>
  <c r="G11" i="33"/>
  <c r="C12" i="33"/>
  <c r="D12" i="33"/>
  <c r="E12" i="33"/>
  <c r="F12" i="33"/>
  <c r="H12" i="33" s="1"/>
  <c r="G12" i="33"/>
  <c r="C13" i="33"/>
  <c r="D13" i="33"/>
  <c r="E13" i="33"/>
  <c r="F13" i="33"/>
  <c r="H13" i="33" s="1"/>
  <c r="G13" i="33"/>
  <c r="C14" i="33"/>
  <c r="D14" i="33"/>
  <c r="E14" i="33"/>
  <c r="F14" i="33"/>
  <c r="H14" i="33" s="1"/>
  <c r="G14" i="33"/>
  <c r="C15" i="33"/>
  <c r="D15" i="33"/>
  <c r="E15" i="33"/>
  <c r="F15" i="33"/>
  <c r="H15" i="33" s="1"/>
  <c r="G15" i="33"/>
  <c r="C16" i="33"/>
  <c r="D16" i="33"/>
  <c r="E16" i="33"/>
  <c r="F16" i="33"/>
  <c r="H16" i="33" s="1"/>
  <c r="G16" i="33"/>
  <c r="C17" i="33"/>
  <c r="D17" i="33"/>
  <c r="E17" i="33"/>
  <c r="F17" i="33"/>
  <c r="H17" i="33" s="1"/>
  <c r="G17" i="33"/>
  <c r="C18" i="33"/>
  <c r="D18" i="33"/>
  <c r="E18" i="33"/>
  <c r="F18" i="33"/>
  <c r="H18" i="33" s="1"/>
  <c r="G18" i="33"/>
  <c r="C19" i="33"/>
  <c r="D19" i="33"/>
  <c r="E19" i="33"/>
  <c r="F19" i="33"/>
  <c r="H19" i="33" s="1"/>
  <c r="G19" i="33"/>
  <c r="C20" i="33"/>
  <c r="D20" i="33"/>
  <c r="E20" i="33"/>
  <c r="F20" i="33"/>
  <c r="H20" i="33" s="1"/>
  <c r="G20" i="33"/>
  <c r="C21" i="33"/>
  <c r="D21" i="33"/>
  <c r="E21" i="33"/>
  <c r="F21" i="33"/>
  <c r="H21" i="33" s="1"/>
  <c r="G21" i="33"/>
  <c r="C22" i="33"/>
  <c r="D22" i="33"/>
  <c r="E22" i="33"/>
  <c r="F22" i="33"/>
  <c r="H22" i="33" s="1"/>
  <c r="G22" i="33"/>
  <c r="C23" i="33"/>
  <c r="D23" i="33"/>
  <c r="E23" i="33"/>
  <c r="F23" i="33"/>
  <c r="H23" i="33" s="1"/>
  <c r="G23" i="33"/>
  <c r="C24" i="33"/>
  <c r="D24" i="33"/>
  <c r="E24" i="33"/>
  <c r="F24" i="33"/>
  <c r="H24" i="33" s="1"/>
  <c r="G24" i="33"/>
  <c r="C25" i="33"/>
  <c r="D25" i="33"/>
  <c r="E25" i="33"/>
  <c r="F25" i="33"/>
  <c r="H25" i="33" s="1"/>
  <c r="G25" i="33"/>
  <c r="C26" i="33"/>
  <c r="D26" i="33"/>
  <c r="E26" i="33"/>
  <c r="F26" i="33"/>
  <c r="H26" i="33" s="1"/>
  <c r="G26" i="33"/>
  <c r="C27" i="33"/>
  <c r="D27" i="33"/>
  <c r="E27" i="33"/>
  <c r="F27" i="33"/>
  <c r="H27" i="33" s="1"/>
  <c r="G27" i="33"/>
  <c r="C28" i="33"/>
  <c r="D28" i="33"/>
  <c r="E28" i="33"/>
  <c r="F28" i="33"/>
  <c r="H28" i="33" s="1"/>
  <c r="G28" i="33"/>
  <c r="C29" i="33"/>
  <c r="D29" i="33"/>
  <c r="E29" i="33"/>
  <c r="F29" i="33"/>
  <c r="H29" i="33" s="1"/>
  <c r="G29" i="33"/>
  <c r="C30" i="33"/>
  <c r="D30" i="33"/>
  <c r="E30" i="33"/>
  <c r="F30" i="33"/>
  <c r="H30" i="33" s="1"/>
  <c r="G30" i="33"/>
  <c r="C31" i="33"/>
  <c r="D31" i="33"/>
  <c r="E31" i="33"/>
  <c r="F31" i="33"/>
  <c r="H31" i="33" s="1"/>
  <c r="G31" i="33"/>
  <c r="C32" i="33"/>
  <c r="D32" i="33"/>
  <c r="E32" i="33"/>
  <c r="F32" i="33"/>
  <c r="H32" i="33" s="1"/>
  <c r="G32" i="33"/>
  <c r="C33" i="33"/>
  <c r="D33" i="33"/>
  <c r="E33" i="33"/>
  <c r="F33" i="33"/>
  <c r="H33" i="33" s="1"/>
  <c r="G33" i="33"/>
  <c r="C34" i="33"/>
  <c r="D34" i="33"/>
  <c r="E34" i="33"/>
  <c r="F34" i="33"/>
  <c r="H34" i="33" s="1"/>
  <c r="G34" i="33"/>
  <c r="C35" i="33"/>
  <c r="D35" i="33"/>
  <c r="E35" i="33"/>
  <c r="F35" i="33"/>
  <c r="H35" i="33" s="1"/>
  <c r="G35" i="33"/>
  <c r="C36" i="33"/>
  <c r="D36" i="33"/>
  <c r="E36" i="33"/>
  <c r="F36" i="33"/>
  <c r="H36" i="33" s="1"/>
  <c r="G36" i="33"/>
  <c r="C3" i="32"/>
  <c r="D3" i="32"/>
  <c r="E3" i="32"/>
  <c r="F3" i="32"/>
  <c r="H3" i="32" s="1"/>
  <c r="G3" i="32"/>
  <c r="I3" i="32"/>
  <c r="C4" i="32"/>
  <c r="D4" i="32"/>
  <c r="E4" i="32"/>
  <c r="F4" i="32"/>
  <c r="H4" i="32" s="1"/>
  <c r="G4" i="32"/>
  <c r="I4" i="32"/>
  <c r="C5" i="32"/>
  <c r="D5" i="32"/>
  <c r="E5" i="32"/>
  <c r="F5" i="32"/>
  <c r="H5" i="32" s="1"/>
  <c r="G5" i="32"/>
  <c r="I5" i="32"/>
  <c r="C6" i="32"/>
  <c r="D6" i="32"/>
  <c r="E6" i="32"/>
  <c r="F6" i="32"/>
  <c r="H6" i="32" s="1"/>
  <c r="G6" i="32"/>
  <c r="I6" i="32"/>
  <c r="C7" i="32"/>
  <c r="D7" i="32"/>
  <c r="E7" i="32"/>
  <c r="F7" i="32"/>
  <c r="H7" i="32" s="1"/>
  <c r="G7" i="32"/>
  <c r="I7" i="32"/>
  <c r="C8" i="32"/>
  <c r="D8" i="32"/>
  <c r="E8" i="32"/>
  <c r="F8" i="32"/>
  <c r="H8" i="32" s="1"/>
  <c r="G8" i="32"/>
  <c r="I8" i="32"/>
  <c r="C9" i="32"/>
  <c r="D9" i="32"/>
  <c r="E9" i="32"/>
  <c r="F9" i="32"/>
  <c r="H9" i="32" s="1"/>
  <c r="G9" i="32"/>
  <c r="I9" i="32"/>
  <c r="C10" i="32"/>
  <c r="D10" i="32"/>
  <c r="E10" i="32"/>
  <c r="F10" i="32"/>
  <c r="H10" i="32" s="1"/>
  <c r="G10" i="32"/>
  <c r="I10" i="32"/>
  <c r="C11" i="32"/>
  <c r="D11" i="32"/>
  <c r="E11" i="32"/>
  <c r="F11" i="32"/>
  <c r="H11" i="32" s="1"/>
  <c r="G11" i="32"/>
  <c r="I11" i="32"/>
  <c r="C12" i="32"/>
  <c r="D12" i="32"/>
  <c r="E12" i="32"/>
  <c r="F12" i="32"/>
  <c r="H12" i="32" s="1"/>
  <c r="G12" i="32"/>
  <c r="I12" i="32"/>
  <c r="C13" i="32"/>
  <c r="D13" i="32"/>
  <c r="E13" i="32"/>
  <c r="F13" i="32"/>
  <c r="H13" i="32" s="1"/>
  <c r="G13" i="32"/>
  <c r="I13" i="32"/>
  <c r="C14" i="32"/>
  <c r="D14" i="32"/>
  <c r="E14" i="32"/>
  <c r="F14" i="32"/>
  <c r="H14" i="32" s="1"/>
  <c r="G14" i="32"/>
  <c r="I14" i="32"/>
  <c r="C15" i="32"/>
  <c r="D15" i="32"/>
  <c r="E15" i="32"/>
  <c r="F15" i="32"/>
  <c r="H15" i="32" s="1"/>
  <c r="G15" i="32"/>
  <c r="I15" i="32"/>
  <c r="C16" i="32"/>
  <c r="D16" i="32"/>
  <c r="E16" i="32"/>
  <c r="F16" i="32"/>
  <c r="H16" i="32" s="1"/>
  <c r="G16" i="32"/>
  <c r="I16" i="32"/>
  <c r="C17" i="32"/>
  <c r="D17" i="32"/>
  <c r="E17" i="32"/>
  <c r="F17" i="32"/>
  <c r="H17" i="32" s="1"/>
  <c r="G17" i="32"/>
  <c r="I17" i="32"/>
  <c r="C18" i="32"/>
  <c r="D18" i="32"/>
  <c r="E18" i="32"/>
  <c r="F18" i="32"/>
  <c r="H18" i="32" s="1"/>
  <c r="G18" i="32"/>
  <c r="I18" i="32"/>
  <c r="C19" i="32"/>
  <c r="D19" i="32"/>
  <c r="E19" i="32"/>
  <c r="F19" i="32"/>
  <c r="H19" i="32" s="1"/>
  <c r="G19" i="32"/>
  <c r="I19" i="32"/>
  <c r="C20" i="32"/>
  <c r="D20" i="32"/>
  <c r="E20" i="32"/>
  <c r="F20" i="32"/>
  <c r="H20" i="32" s="1"/>
  <c r="G20" i="32"/>
  <c r="I20" i="32"/>
  <c r="C21" i="32"/>
  <c r="D21" i="32"/>
  <c r="E21" i="32"/>
  <c r="F21" i="32"/>
  <c r="H21" i="32" s="1"/>
  <c r="G21" i="32"/>
  <c r="I21" i="32"/>
  <c r="C22" i="32"/>
  <c r="D22" i="32"/>
  <c r="E22" i="32"/>
  <c r="F22" i="32"/>
  <c r="H22" i="32" s="1"/>
  <c r="G22" i="32"/>
  <c r="I22" i="32"/>
  <c r="C23" i="32"/>
  <c r="D23" i="32"/>
  <c r="E23" i="32"/>
  <c r="F23" i="32"/>
  <c r="H23" i="32" s="1"/>
  <c r="G23" i="32"/>
  <c r="I23" i="32"/>
  <c r="C24" i="32"/>
  <c r="D24" i="32"/>
  <c r="E24" i="32"/>
  <c r="F24" i="32"/>
  <c r="H24" i="32" s="1"/>
  <c r="G24" i="32"/>
  <c r="I24" i="32"/>
  <c r="C25" i="32"/>
  <c r="D25" i="32"/>
  <c r="E25" i="32"/>
  <c r="F25" i="32"/>
  <c r="H25" i="32" s="1"/>
  <c r="G25" i="32"/>
  <c r="I25" i="32"/>
  <c r="C26" i="32"/>
  <c r="D26" i="32"/>
  <c r="E26" i="32"/>
  <c r="F26" i="32"/>
  <c r="H26" i="32" s="1"/>
  <c r="G26" i="32"/>
  <c r="I26" i="32"/>
  <c r="C27" i="32"/>
  <c r="D27" i="32"/>
  <c r="E27" i="32"/>
  <c r="F27" i="32"/>
  <c r="H27" i="32" s="1"/>
  <c r="G27" i="32"/>
  <c r="I27" i="32"/>
  <c r="C28" i="32"/>
  <c r="D28" i="32"/>
  <c r="E28" i="32"/>
  <c r="F28" i="32"/>
  <c r="H28" i="32" s="1"/>
  <c r="G28" i="32"/>
  <c r="I28" i="32"/>
  <c r="C29" i="32"/>
  <c r="D29" i="32"/>
  <c r="E29" i="32"/>
  <c r="F29" i="32"/>
  <c r="H29" i="32" s="1"/>
  <c r="G29" i="32"/>
  <c r="I29" i="32"/>
  <c r="C30" i="32"/>
  <c r="D30" i="32"/>
  <c r="E30" i="32"/>
  <c r="F30" i="32"/>
  <c r="H30" i="32" s="1"/>
  <c r="G30" i="32"/>
  <c r="I30" i="32"/>
  <c r="C31" i="32"/>
  <c r="D31" i="32"/>
  <c r="E31" i="32"/>
  <c r="F31" i="32"/>
  <c r="H31" i="32" s="1"/>
  <c r="G31" i="32"/>
  <c r="I31" i="32"/>
  <c r="C32" i="32"/>
  <c r="D32" i="32"/>
  <c r="E32" i="32"/>
  <c r="F32" i="32"/>
  <c r="H32" i="32" s="1"/>
  <c r="G32" i="32"/>
  <c r="I32" i="32"/>
  <c r="C33" i="32"/>
  <c r="D33" i="32"/>
  <c r="E33" i="32"/>
  <c r="F33" i="32"/>
  <c r="H33" i="32" s="1"/>
  <c r="G33" i="32"/>
  <c r="I33" i="32"/>
  <c r="C34" i="32"/>
  <c r="D34" i="32"/>
  <c r="E34" i="32"/>
  <c r="F34" i="32"/>
  <c r="H34" i="32" s="1"/>
  <c r="G34" i="32"/>
  <c r="I34" i="32"/>
  <c r="C35" i="32"/>
  <c r="D35" i="32"/>
  <c r="E35" i="32"/>
  <c r="F35" i="32"/>
  <c r="H35" i="32" s="1"/>
  <c r="G35" i="32"/>
  <c r="I35" i="32"/>
  <c r="C36" i="32"/>
  <c r="D36" i="32"/>
  <c r="E36" i="32"/>
  <c r="F36" i="32"/>
  <c r="H36" i="32" s="1"/>
  <c r="G36" i="32"/>
  <c r="I36" i="32"/>
  <c r="C3" i="31"/>
  <c r="D3" i="31"/>
  <c r="E3" i="31"/>
  <c r="F3" i="31"/>
  <c r="H3" i="31" s="1"/>
  <c r="G3" i="31"/>
  <c r="I3" i="31"/>
  <c r="C4" i="31"/>
  <c r="D4" i="31"/>
  <c r="E4" i="31"/>
  <c r="F4" i="31"/>
  <c r="H4" i="31" s="1"/>
  <c r="G4" i="31"/>
  <c r="I4" i="31"/>
  <c r="C5" i="31"/>
  <c r="D5" i="31"/>
  <c r="E5" i="31"/>
  <c r="F5" i="31"/>
  <c r="H5" i="31" s="1"/>
  <c r="G5" i="31"/>
  <c r="I5" i="31"/>
  <c r="C6" i="31"/>
  <c r="D6" i="31"/>
  <c r="E6" i="31"/>
  <c r="F6" i="31"/>
  <c r="H6" i="31" s="1"/>
  <c r="G6" i="31"/>
  <c r="I6" i="31"/>
  <c r="C7" i="31"/>
  <c r="D7" i="31"/>
  <c r="E7" i="31"/>
  <c r="F7" i="31"/>
  <c r="H7" i="31" s="1"/>
  <c r="G7" i="31"/>
  <c r="I7" i="31"/>
  <c r="C8" i="31"/>
  <c r="D8" i="31"/>
  <c r="E8" i="31"/>
  <c r="F8" i="31"/>
  <c r="H8" i="31" s="1"/>
  <c r="G8" i="31"/>
  <c r="I8" i="31"/>
  <c r="C9" i="31"/>
  <c r="D9" i="31"/>
  <c r="E9" i="31"/>
  <c r="F9" i="31"/>
  <c r="H9" i="31" s="1"/>
  <c r="G9" i="31"/>
  <c r="I9" i="31"/>
  <c r="C10" i="31"/>
  <c r="D10" i="31"/>
  <c r="E10" i="31"/>
  <c r="F10" i="31"/>
  <c r="H10" i="31" s="1"/>
  <c r="G10" i="31"/>
  <c r="I10" i="31"/>
  <c r="C11" i="31"/>
  <c r="D11" i="31"/>
  <c r="E11" i="31"/>
  <c r="F11" i="31"/>
  <c r="H11" i="31" s="1"/>
  <c r="G11" i="31"/>
  <c r="I11" i="31"/>
  <c r="C12" i="31"/>
  <c r="D12" i="31"/>
  <c r="E12" i="31"/>
  <c r="F12" i="31"/>
  <c r="H12" i="31" s="1"/>
  <c r="G12" i="31"/>
  <c r="I12" i="31"/>
  <c r="C13" i="31"/>
  <c r="D13" i="31"/>
  <c r="E13" i="31"/>
  <c r="F13" i="31"/>
  <c r="H13" i="31" s="1"/>
  <c r="G13" i="31"/>
  <c r="I13" i="31"/>
  <c r="C14" i="31"/>
  <c r="D14" i="31"/>
  <c r="E14" i="31"/>
  <c r="F14" i="31"/>
  <c r="H14" i="31" s="1"/>
  <c r="G14" i="31"/>
  <c r="I14" i="31"/>
  <c r="C15" i="31"/>
  <c r="D15" i="31"/>
  <c r="E15" i="31"/>
  <c r="F15" i="31"/>
  <c r="H15" i="31" s="1"/>
  <c r="G15" i="31"/>
  <c r="I15" i="31"/>
  <c r="C16" i="31"/>
  <c r="D16" i="31"/>
  <c r="E16" i="31"/>
  <c r="F16" i="31"/>
  <c r="H16" i="31" s="1"/>
  <c r="G16" i="31"/>
  <c r="I16" i="31"/>
  <c r="C17" i="31"/>
  <c r="D17" i="31"/>
  <c r="E17" i="31"/>
  <c r="F17" i="31"/>
  <c r="H17" i="31" s="1"/>
  <c r="G17" i="31"/>
  <c r="I17" i="31"/>
  <c r="C18" i="31"/>
  <c r="D18" i="31"/>
  <c r="E18" i="31"/>
  <c r="F18" i="31"/>
  <c r="H18" i="31" s="1"/>
  <c r="G18" i="31"/>
  <c r="I18" i="31"/>
  <c r="C19" i="31"/>
  <c r="D19" i="31"/>
  <c r="E19" i="31"/>
  <c r="F19" i="31"/>
  <c r="H19" i="31" s="1"/>
  <c r="G19" i="31"/>
  <c r="I19" i="31"/>
  <c r="C20" i="31"/>
  <c r="D20" i="31"/>
  <c r="E20" i="31"/>
  <c r="F20" i="31"/>
  <c r="H20" i="31" s="1"/>
  <c r="G20" i="31"/>
  <c r="I20" i="31"/>
  <c r="C21" i="31"/>
  <c r="D21" i="31"/>
  <c r="E21" i="31"/>
  <c r="F21" i="31"/>
  <c r="H21" i="31" s="1"/>
  <c r="G21" i="31"/>
  <c r="I21" i="31"/>
  <c r="C22" i="31"/>
  <c r="D22" i="31"/>
  <c r="E22" i="31"/>
  <c r="F22" i="31"/>
  <c r="H22" i="31" s="1"/>
  <c r="G22" i="31"/>
  <c r="I22" i="31"/>
  <c r="C23" i="31"/>
  <c r="D23" i="31"/>
  <c r="E23" i="31"/>
  <c r="F23" i="31"/>
  <c r="H23" i="31" s="1"/>
  <c r="G23" i="31"/>
  <c r="I23" i="31"/>
  <c r="C24" i="31"/>
  <c r="D24" i="31"/>
  <c r="E24" i="31"/>
  <c r="F24" i="31"/>
  <c r="H24" i="31" s="1"/>
  <c r="G24" i="31"/>
  <c r="I24" i="31"/>
  <c r="C25" i="31"/>
  <c r="D25" i="31"/>
  <c r="E25" i="31"/>
  <c r="F25" i="31"/>
  <c r="H25" i="31" s="1"/>
  <c r="G25" i="31"/>
  <c r="I25" i="31"/>
  <c r="C26" i="31"/>
  <c r="D26" i="31"/>
  <c r="E26" i="31"/>
  <c r="F26" i="31"/>
  <c r="H26" i="31" s="1"/>
  <c r="G26" i="31"/>
  <c r="I26" i="31"/>
  <c r="C27" i="31"/>
  <c r="D27" i="31"/>
  <c r="E27" i="31"/>
  <c r="F27" i="31"/>
  <c r="H27" i="31" s="1"/>
  <c r="G27" i="31"/>
  <c r="I27" i="31"/>
  <c r="C28" i="31"/>
  <c r="D28" i="31"/>
  <c r="E28" i="31"/>
  <c r="F28" i="31"/>
  <c r="H28" i="31" s="1"/>
  <c r="G28" i="31"/>
  <c r="I28" i="31"/>
  <c r="C29" i="31"/>
  <c r="D29" i="31"/>
  <c r="E29" i="31"/>
  <c r="F29" i="31"/>
  <c r="H29" i="31" s="1"/>
  <c r="G29" i="31"/>
  <c r="I29" i="31"/>
  <c r="C30" i="31"/>
  <c r="D30" i="31"/>
  <c r="E30" i="31"/>
  <c r="F30" i="31"/>
  <c r="H30" i="31" s="1"/>
  <c r="G30" i="31"/>
  <c r="I30" i="31"/>
  <c r="C31" i="31"/>
  <c r="D31" i="31"/>
  <c r="E31" i="31"/>
  <c r="F31" i="31"/>
  <c r="H31" i="31" s="1"/>
  <c r="G31" i="31"/>
  <c r="I31" i="31"/>
  <c r="C32" i="31"/>
  <c r="D32" i="31"/>
  <c r="E32" i="31"/>
  <c r="F32" i="31"/>
  <c r="H32" i="31" s="1"/>
  <c r="G32" i="31"/>
  <c r="I32" i="31"/>
  <c r="C33" i="31"/>
  <c r="D33" i="31"/>
  <c r="E33" i="31"/>
  <c r="F33" i="31"/>
  <c r="H33" i="31" s="1"/>
  <c r="G33" i="31"/>
  <c r="I33" i="31"/>
  <c r="C34" i="31"/>
  <c r="D34" i="31"/>
  <c r="E34" i="31"/>
  <c r="F34" i="31"/>
  <c r="H34" i="31" s="1"/>
  <c r="G34" i="31"/>
  <c r="I34" i="31"/>
  <c r="C35" i="31"/>
  <c r="D35" i="31"/>
  <c r="E35" i="31"/>
  <c r="F35" i="31"/>
  <c r="H35" i="31" s="1"/>
  <c r="G35" i="31"/>
  <c r="I35" i="31"/>
  <c r="C36" i="31"/>
  <c r="D36" i="31"/>
  <c r="E36" i="31"/>
  <c r="F36" i="31"/>
  <c r="H36" i="31" s="1"/>
  <c r="G36" i="31"/>
  <c r="I36" i="31"/>
  <c r="H44" i="36"/>
  <c r="H42" i="37"/>
  <c r="H60" i="36"/>
  <c r="H43" i="37"/>
  <c r="H119" i="37"/>
  <c r="H108" i="36"/>
  <c r="H126" i="36"/>
  <c r="H77" i="37"/>
  <c r="H51" i="37"/>
  <c r="H38" i="36"/>
  <c r="H82" i="36"/>
  <c r="H74" i="36"/>
  <c r="H10" i="37"/>
  <c r="H43" i="36"/>
  <c r="H49" i="36"/>
  <c r="H124" i="37"/>
  <c r="H8" i="36"/>
  <c r="H42" i="36"/>
  <c r="H12" i="37"/>
  <c r="H31" i="37"/>
  <c r="H13" i="36"/>
  <c r="H96" i="37"/>
  <c r="H47" i="37"/>
  <c r="H36" i="37"/>
  <c r="H95" i="36"/>
  <c r="H12" i="36"/>
  <c r="H88" i="36"/>
  <c r="H115" i="36"/>
  <c r="H39" i="36"/>
  <c r="H63" i="37"/>
  <c r="L9" i="33"/>
  <c r="L17" i="33"/>
  <c r="L25" i="33"/>
  <c r="L33" i="33"/>
  <c r="L4" i="32"/>
  <c r="L21" i="32"/>
  <c r="L20" i="32"/>
  <c r="L18" i="32"/>
  <c r="L15" i="32"/>
  <c r="H14" i="37"/>
  <c r="H89" i="36"/>
  <c r="H90" i="36"/>
  <c r="H30" i="36"/>
  <c r="L11" i="32"/>
  <c r="L23" i="32"/>
  <c r="H120" i="37"/>
  <c r="H87" i="37"/>
  <c r="H89" i="37"/>
  <c r="H49" i="37"/>
  <c r="H13" i="37"/>
  <c r="H15" i="36"/>
  <c r="H62" i="36"/>
  <c r="L15" i="33"/>
  <c r="L19" i="32"/>
  <c r="L3" i="31"/>
  <c r="H62" i="37"/>
  <c r="H59" i="36"/>
  <c r="H70" i="37"/>
  <c r="H41" i="37"/>
  <c r="H48" i="37"/>
  <c r="H28" i="36"/>
  <c r="H29" i="36"/>
  <c r="H83" i="36"/>
  <c r="H109" i="37"/>
  <c r="L24" i="33"/>
  <c r="L32" i="32"/>
  <c r="H33" i="36"/>
  <c r="H48" i="36"/>
  <c r="H11" i="36"/>
  <c r="H94" i="37"/>
  <c r="H107" i="37"/>
  <c r="H94" i="36"/>
  <c r="H113" i="36"/>
  <c r="H25" i="37"/>
  <c r="H110" i="37"/>
  <c r="H22" i="37"/>
  <c r="H118" i="36"/>
  <c r="H57" i="36"/>
  <c r="H114" i="37"/>
  <c r="H17" i="36"/>
  <c r="H86" i="37"/>
  <c r="H38" i="37"/>
  <c r="H63" i="36"/>
  <c r="H111" i="36"/>
  <c r="H112" i="36"/>
  <c r="H116" i="37"/>
  <c r="H72" i="36"/>
  <c r="H100" i="37"/>
  <c r="H91" i="37"/>
  <c r="H60" i="37"/>
  <c r="H75" i="37"/>
  <c r="H23" i="36"/>
  <c r="H14" i="36"/>
  <c r="H85" i="36"/>
  <c r="H118" i="37"/>
  <c r="H99" i="37"/>
  <c r="L3" i="34"/>
  <c r="L10" i="33"/>
  <c r="L18" i="33"/>
  <c r="L26" i="33"/>
  <c r="L34" i="33"/>
  <c r="L12" i="32"/>
  <c r="L29" i="32"/>
  <c r="L28" i="32"/>
  <c r="L26" i="32"/>
  <c r="L27" i="33"/>
  <c r="L36" i="32"/>
  <c r="L30" i="32"/>
  <c r="L8" i="32"/>
  <c r="H28" i="37"/>
  <c r="H82" i="37"/>
  <c r="H35" i="36"/>
  <c r="H76" i="36"/>
  <c r="H8" i="37"/>
  <c r="L6" i="33"/>
  <c r="L22" i="33"/>
  <c r="L16" i="32"/>
  <c r="H103" i="37"/>
  <c r="H86" i="36"/>
  <c r="H120" i="36"/>
  <c r="H31" i="36"/>
  <c r="H78" i="37"/>
  <c r="H92" i="37"/>
  <c r="H106" i="36"/>
  <c r="H112" i="37"/>
  <c r="L23" i="33"/>
  <c r="L24" i="32"/>
  <c r="H10" i="36"/>
  <c r="H93" i="36"/>
  <c r="H97" i="36"/>
  <c r="H75" i="36"/>
  <c r="H19" i="37"/>
  <c r="H73" i="37"/>
  <c r="H20" i="36"/>
  <c r="L32" i="33"/>
  <c r="L10" i="32"/>
  <c r="H104" i="36"/>
  <c r="H50" i="36"/>
  <c r="H100" i="36"/>
  <c r="H69" i="37"/>
  <c r="H44" i="37"/>
  <c r="H109" i="36"/>
  <c r="H122" i="36"/>
  <c r="H9" i="37"/>
  <c r="H125" i="37"/>
  <c r="H90" i="37"/>
  <c r="H111" i="37"/>
  <c r="H45" i="36"/>
  <c r="H99" i="36"/>
  <c r="H125" i="36"/>
  <c r="H53" i="37"/>
  <c r="H113" i="37"/>
  <c r="H69" i="36"/>
  <c r="H52" i="36"/>
  <c r="H91" i="36"/>
  <c r="H105" i="37"/>
  <c r="H103" i="36"/>
  <c r="H61" i="37"/>
  <c r="H104" i="37"/>
  <c r="H71" i="37"/>
  <c r="H7" i="37"/>
  <c r="H37" i="37"/>
  <c r="H24" i="36"/>
  <c r="H54" i="36"/>
  <c r="H83" i="37"/>
  <c r="H81" i="37"/>
  <c r="L3" i="33"/>
  <c r="L11" i="33"/>
  <c r="L19" i="33"/>
  <c r="L35" i="33"/>
  <c r="L6" i="32"/>
  <c r="L34" i="32"/>
  <c r="L13" i="33"/>
  <c r="L21" i="33"/>
  <c r="L3" i="32"/>
  <c r="L7" i="32"/>
  <c r="H121" i="36"/>
  <c r="H102" i="37"/>
  <c r="H29" i="37"/>
  <c r="H126" i="37"/>
  <c r="H95" i="37"/>
  <c r="L14" i="33"/>
  <c r="L30" i="33"/>
  <c r="L25" i="32"/>
  <c r="H81" i="36"/>
  <c r="H64" i="37"/>
  <c r="H74" i="37"/>
  <c r="H77" i="36"/>
  <c r="H55" i="36"/>
  <c r="H56" i="36"/>
  <c r="L31" i="33"/>
  <c r="L33" i="32"/>
  <c r="H101" i="37"/>
  <c r="H68" i="37"/>
  <c r="H51" i="36"/>
  <c r="H58" i="37"/>
  <c r="H79" i="37"/>
  <c r="H40" i="36"/>
  <c r="H96" i="36"/>
  <c r="H40" i="37"/>
  <c r="L8" i="33"/>
  <c r="L27" i="32"/>
  <c r="B1" i="35"/>
  <c r="H84" i="36"/>
  <c r="H68" i="36"/>
  <c r="H41" i="36"/>
  <c r="H98" i="37"/>
  <c r="H11" i="37"/>
  <c r="H66" i="36"/>
  <c r="H107" i="36"/>
  <c r="H35" i="37"/>
  <c r="H122" i="37"/>
  <c r="H46" i="37"/>
  <c r="H45" i="37"/>
  <c r="H78" i="36"/>
  <c r="H21" i="36"/>
  <c r="H124" i="36"/>
  <c r="H72" i="37"/>
  <c r="H123" i="37"/>
  <c r="H26" i="37"/>
  <c r="H108" i="37"/>
  <c r="H53" i="36"/>
  <c r="H22" i="36"/>
  <c r="H9" i="36"/>
  <c r="H18" i="37"/>
  <c r="H88" i="37"/>
  <c r="H93" i="37"/>
  <c r="H20" i="37"/>
  <c r="H80" i="37"/>
  <c r="H123" i="36"/>
  <c r="H47" i="36"/>
  <c r="H57" i="37"/>
  <c r="H55" i="37"/>
  <c r="L4" i="33"/>
  <c r="L12" i="33"/>
  <c r="L20" i="33"/>
  <c r="L28" i="33"/>
  <c r="L36" i="33"/>
  <c r="L22" i="32"/>
  <c r="L14" i="32"/>
  <c r="L9" i="32"/>
  <c r="L35" i="32"/>
  <c r="H46" i="36"/>
  <c r="H19" i="36"/>
  <c r="H34" i="36"/>
  <c r="H39" i="37"/>
  <c r="H21" i="37"/>
  <c r="H98" i="36"/>
  <c r="H67" i="36"/>
  <c r="H16" i="37"/>
  <c r="H106" i="37"/>
  <c r="H16" i="36"/>
  <c r="H59" i="37"/>
  <c r="H115" i="37"/>
  <c r="H102" i="36"/>
  <c r="H114" i="36"/>
  <c r="H66" i="37"/>
  <c r="H84" i="37"/>
  <c r="H54" i="37"/>
  <c r="H32" i="37"/>
  <c r="H61" i="36"/>
  <c r="H64" i="36"/>
  <c r="H119" i="36"/>
  <c r="H56" i="37"/>
  <c r="H33" i="37"/>
  <c r="H65" i="36"/>
  <c r="H67" i="37"/>
  <c r="H27" i="37"/>
  <c r="H87" i="36"/>
  <c r="H101" i="36"/>
  <c r="H117" i="37"/>
  <c r="H85" i="37"/>
  <c r="L5" i="33"/>
  <c r="L29" i="33"/>
  <c r="L17" i="32"/>
  <c r="H26" i="36"/>
  <c r="H50" i="37"/>
  <c r="H37" i="36"/>
  <c r="H92" i="36"/>
  <c r="H52" i="37"/>
  <c r="H18" i="36"/>
  <c r="H80" i="36"/>
  <c r="H23" i="37"/>
  <c r="H97" i="37"/>
  <c r="H36" i="36"/>
  <c r="H71" i="36"/>
  <c r="H17" i="37"/>
  <c r="H24" i="37"/>
  <c r="H110" i="36"/>
  <c r="H7" i="36"/>
  <c r="H79" i="36"/>
  <c r="L31" i="32"/>
  <c r="H58" i="36"/>
  <c r="H34" i="37"/>
  <c r="H15" i="37"/>
  <c r="H70" i="36"/>
  <c r="H117" i="36"/>
  <c r="H65" i="37"/>
  <c r="H30" i="37"/>
  <c r="H116" i="36"/>
  <c r="H121" i="37"/>
  <c r="L7" i="33"/>
  <c r="L5" i="32"/>
  <c r="H32" i="36"/>
  <c r="H25" i="36"/>
  <c r="H73" i="36"/>
  <c r="H105" i="36"/>
  <c r="H76" i="37"/>
  <c r="H27" i="36"/>
  <c r="L16" i="33"/>
  <c r="L13" i="32"/>
  <c r="H9" i="34" l="1"/>
  <c r="H33" i="34"/>
  <c r="H31" i="34"/>
  <c r="J31" i="34" s="1"/>
  <c r="H27" i="34"/>
  <c r="J27" i="34" s="1"/>
  <c r="H23" i="34"/>
  <c r="J23" i="34" s="1"/>
  <c r="H19" i="34"/>
  <c r="J19" i="34" s="1"/>
  <c r="H11" i="34"/>
  <c r="J11" i="34" s="1"/>
  <c r="H7" i="34"/>
  <c r="J7" i="34" s="1"/>
  <c r="H32" i="34"/>
  <c r="J32" i="34" s="1"/>
  <c r="H16" i="34"/>
  <c r="J16" i="34" s="1"/>
  <c r="H34" i="34"/>
  <c r="J34" i="34" s="1"/>
  <c r="H29" i="34"/>
  <c r="H36" i="34"/>
  <c r="J36" i="34" s="1"/>
  <c r="H24" i="34"/>
  <c r="J24" i="34" s="1"/>
  <c r="H8" i="34"/>
  <c r="J8" i="34" s="1"/>
  <c r="H28" i="34"/>
  <c r="J28" i="34" s="1"/>
  <c r="H6" i="34"/>
  <c r="J6" i="34" s="1"/>
  <c r="H20" i="34"/>
  <c r="J20" i="34" s="1"/>
  <c r="H15" i="34"/>
  <c r="J15" i="34" s="1"/>
  <c r="H3" i="34"/>
  <c r="J2" i="34" s="1"/>
  <c r="J33" i="34"/>
  <c r="H25" i="34"/>
  <c r="J25" i="34" s="1"/>
  <c r="H12" i="34"/>
  <c r="J12" i="34" s="1"/>
  <c r="H30" i="34"/>
  <c r="J30" i="34" s="1"/>
  <c r="H17" i="34"/>
  <c r="J17" i="34" s="1"/>
  <c r="H4" i="34"/>
  <c r="J4" i="34" s="1"/>
  <c r="H22" i="34"/>
  <c r="J22" i="34" s="1"/>
  <c r="H13" i="34"/>
  <c r="J29" i="33"/>
  <c r="J13" i="33"/>
  <c r="J35" i="34"/>
  <c r="J2" i="31"/>
  <c r="J32" i="32"/>
  <c r="J25" i="33"/>
  <c r="J9" i="33"/>
  <c r="J28" i="32"/>
  <c r="J33" i="33"/>
  <c r="J17" i="33"/>
  <c r="J21" i="33"/>
  <c r="H26" i="34"/>
  <c r="J26" i="34" s="1"/>
  <c r="H21" i="34"/>
  <c r="J21" i="34" s="1"/>
  <c r="H10" i="34"/>
  <c r="J10" i="34" s="1"/>
  <c r="J9" i="34"/>
  <c r="H5" i="34"/>
  <c r="J5" i="34" s="1"/>
  <c r="J14" i="34"/>
  <c r="J29" i="34"/>
  <c r="J18" i="34"/>
  <c r="J13" i="34"/>
  <c r="J27" i="33"/>
  <c r="J19" i="33"/>
  <c r="J11" i="33"/>
  <c r="J35" i="33"/>
  <c r="J15" i="33"/>
  <c r="J7" i="33"/>
  <c r="J36" i="33"/>
  <c r="J32" i="33"/>
  <c r="J28" i="33"/>
  <c r="J24" i="33"/>
  <c r="J20" i="33"/>
  <c r="J16" i="33"/>
  <c r="J12" i="33"/>
  <c r="J8" i="33"/>
  <c r="J4" i="33"/>
  <c r="J27" i="31"/>
  <c r="J31" i="33"/>
  <c r="J23" i="33"/>
  <c r="J5" i="33"/>
  <c r="J16" i="32"/>
  <c r="J34" i="33"/>
  <c r="J30" i="33"/>
  <c r="J26" i="33"/>
  <c r="J22" i="33"/>
  <c r="J18" i="33"/>
  <c r="J14" i="33"/>
  <c r="J10" i="33"/>
  <c r="J6" i="33"/>
  <c r="J2" i="33"/>
  <c r="J3" i="33"/>
  <c r="J19" i="31"/>
  <c r="J11" i="31"/>
  <c r="J30" i="32"/>
  <c r="J15" i="32"/>
  <c r="J33" i="32"/>
  <c r="J17" i="32"/>
  <c r="J10" i="32"/>
  <c r="J35" i="31"/>
  <c r="J14" i="32"/>
  <c r="J9" i="32"/>
  <c r="J18" i="31"/>
  <c r="J31" i="32"/>
  <c r="J26" i="32"/>
  <c r="J15" i="31"/>
  <c r="J5" i="31"/>
  <c r="J24" i="32"/>
  <c r="J11" i="32"/>
  <c r="J5" i="32"/>
  <c r="J34" i="31"/>
  <c r="J26" i="31"/>
  <c r="J8" i="32"/>
  <c r="J22" i="32"/>
  <c r="J34" i="32"/>
  <c r="J23" i="32"/>
  <c r="J18" i="32"/>
  <c r="J12" i="32"/>
  <c r="J6" i="32"/>
  <c r="J23" i="31"/>
  <c r="J25" i="32"/>
  <c r="J13" i="32"/>
  <c r="J7" i="32"/>
  <c r="J35" i="32"/>
  <c r="J21" i="32"/>
  <c r="J27" i="32"/>
  <c r="J4" i="32"/>
  <c r="J29" i="32"/>
  <c r="J19" i="32"/>
  <c r="J3" i="32"/>
  <c r="J36" i="32"/>
  <c r="J20" i="32"/>
  <c r="J2" i="32"/>
  <c r="J7" i="31"/>
  <c r="J31" i="31"/>
  <c r="J10" i="31"/>
  <c r="J4" i="31"/>
  <c r="J36" i="31"/>
  <c r="J28" i="31"/>
  <c r="J20" i="31"/>
  <c r="J12" i="31"/>
  <c r="J6" i="31"/>
  <c r="J30" i="31"/>
  <c r="J22" i="31"/>
  <c r="J14" i="31"/>
  <c r="J24" i="31"/>
  <c r="J16" i="31"/>
  <c r="J8" i="31"/>
  <c r="J32" i="31"/>
  <c r="J3" i="31"/>
  <c r="J25" i="31"/>
  <c r="J9" i="31"/>
  <c r="J17" i="31"/>
  <c r="J29" i="31"/>
  <c r="J21" i="31"/>
  <c r="J13" i="31"/>
  <c r="J33" i="31"/>
  <c r="K25" i="31"/>
  <c r="K24" i="34"/>
  <c r="K12" i="31"/>
  <c r="K4" i="31"/>
  <c r="K29" i="31"/>
  <c r="K20" i="31"/>
  <c r="K10" i="31"/>
  <c r="K34" i="34"/>
  <c r="K21" i="31"/>
  <c r="K31" i="34"/>
  <c r="K28" i="31"/>
  <c r="K23" i="34"/>
  <c r="K27" i="34"/>
  <c r="K16" i="34"/>
  <c r="K26" i="34"/>
  <c r="K36" i="31"/>
  <c r="K8" i="31"/>
  <c r="K32" i="31"/>
  <c r="K29" i="34"/>
  <c r="K24" i="31"/>
  <c r="K32" i="34"/>
  <c r="K6" i="34"/>
  <c r="K10" i="34"/>
  <c r="K36" i="34"/>
  <c r="K9" i="31"/>
  <c r="L9" i="31" s="1"/>
  <c r="K35" i="31"/>
  <c r="K28" i="34"/>
  <c r="K27" i="31"/>
  <c r="K7" i="34"/>
  <c r="K16" i="31"/>
  <c r="K12" i="34"/>
  <c r="K34" i="31"/>
  <c r="K15" i="34"/>
  <c r="K20" i="34"/>
  <c r="K23" i="31"/>
  <c r="K8" i="34"/>
  <c r="K4" i="34"/>
  <c r="K30" i="34"/>
  <c r="K17" i="34"/>
  <c r="K13" i="31"/>
  <c r="K31" i="31"/>
  <c r="K18" i="31"/>
  <c r="K6" i="31"/>
  <c r="K21" i="34"/>
  <c r="K5" i="34"/>
  <c r="K19" i="34"/>
  <c r="K25" i="34"/>
  <c r="K15" i="31"/>
  <c r="K11" i="31"/>
  <c r="K17" i="31"/>
  <c r="K11" i="34"/>
  <c r="K5" i="31"/>
  <c r="K14" i="34"/>
  <c r="K13" i="34"/>
  <c r="K26" i="31"/>
  <c r="K7" i="31"/>
  <c r="K22" i="34"/>
  <c r="K9" i="34"/>
  <c r="K19" i="31"/>
  <c r="K30" i="31"/>
  <c r="K22" i="31"/>
  <c r="K18" i="34"/>
  <c r="K33" i="31"/>
  <c r="K35" i="34"/>
  <c r="K14" i="31"/>
  <c r="K33" i="34"/>
  <c r="K2" i="32"/>
  <c r="K2" i="34"/>
  <c r="K2" i="33"/>
  <c r="K2" i="31"/>
  <c r="J3" i="34" l="1"/>
  <c r="B21" i="29"/>
  <c r="B22" i="29"/>
  <c r="B23" i="29"/>
  <c r="B24" i="29"/>
  <c r="B25" i="29"/>
  <c r="B26" i="29"/>
  <c r="B27" i="29"/>
  <c r="B28" i="29"/>
  <c r="B29" i="29"/>
  <c r="B30" i="29"/>
  <c r="B31" i="29"/>
  <c r="B32" i="29"/>
  <c r="B33" i="29"/>
  <c r="B34" i="29"/>
  <c r="B35" i="29"/>
  <c r="B36" i="29"/>
  <c r="B37" i="29"/>
  <c r="B38" i="29"/>
  <c r="B39" i="29"/>
  <c r="B40" i="29"/>
  <c r="B41" i="29"/>
  <c r="B42" i="29"/>
  <c r="B43" i="29"/>
  <c r="B44" i="29"/>
  <c r="B45" i="29"/>
  <c r="B46" i="29"/>
  <c r="B47" i="29"/>
  <c r="B48" i="29"/>
  <c r="B49" i="29"/>
  <c r="B50" i="29"/>
  <c r="B51" i="29"/>
  <c r="B52" i="29"/>
  <c r="B53" i="29"/>
  <c r="B54" i="29"/>
  <c r="B55" i="29"/>
  <c r="B56" i="29"/>
  <c r="B57" i="29"/>
  <c r="B58" i="29"/>
  <c r="B59" i="29"/>
  <c r="B60" i="29"/>
  <c r="B61" i="29"/>
  <c r="B62" i="29"/>
  <c r="B63" i="29"/>
  <c r="B64" i="29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L5" i="34"/>
  <c r="L29" i="34"/>
  <c r="L9" i="34"/>
  <c r="L17" i="31"/>
  <c r="L5" i="31"/>
  <c r="L8" i="31"/>
  <c r="L4" i="31"/>
  <c r="L23" i="31"/>
  <c r="L10" i="34"/>
  <c r="L35" i="34"/>
  <c r="L22" i="34"/>
  <c r="L11" i="31"/>
  <c r="L16" i="31"/>
  <c r="L12" i="31"/>
  <c r="L20" i="34"/>
  <c r="L6" i="34"/>
  <c r="L32" i="31"/>
  <c r="L15" i="31"/>
  <c r="L36" i="31"/>
  <c r="L27" i="31"/>
  <c r="L25" i="31"/>
  <c r="L15" i="34"/>
  <c r="L32" i="34"/>
  <c r="L35" i="31"/>
  <c r="C1" i="29"/>
  <c r="L34" i="31"/>
  <c r="L7" i="34"/>
  <c r="L27" i="34"/>
  <c r="L31" i="34"/>
  <c r="L28" i="31"/>
  <c r="L10" i="31"/>
  <c r="L13" i="31"/>
  <c r="L12" i="34"/>
  <c r="L7" i="31"/>
  <c r="L33" i="34"/>
  <c r="L19" i="34"/>
  <c r="L26" i="34"/>
  <c r="L24" i="34"/>
  <c r="L20" i="31"/>
  <c r="L25" i="34"/>
  <c r="L22" i="31"/>
  <c r="L33" i="31"/>
  <c r="C1" i="28"/>
  <c r="L28" i="34"/>
  <c r="L18" i="31"/>
  <c r="L30" i="34"/>
  <c r="B1" i="30"/>
  <c r="L29" i="31"/>
  <c r="L24" i="31"/>
  <c r="L30" i="31"/>
  <c r="L18" i="34"/>
  <c r="L26" i="31"/>
  <c r="L6" i="31"/>
  <c r="L4" i="34"/>
  <c r="L36" i="34"/>
  <c r="L14" i="31"/>
  <c r="L19" i="31"/>
  <c r="L11" i="34"/>
  <c r="L14" i="34"/>
  <c r="L13" i="34"/>
  <c r="L17" i="34"/>
  <c r="L8" i="34"/>
  <c r="L21" i="31"/>
  <c r="L34" i="34"/>
  <c r="L21" i="34"/>
  <c r="L31" i="31"/>
  <c r="L16" i="34"/>
  <c r="L23" i="34"/>
  <c r="L2" i="34"/>
  <c r="L2" i="31"/>
  <c r="L2" i="33"/>
  <c r="L2" i="32"/>
  <c r="C2" i="29" l="1"/>
  <c r="C10" i="29"/>
  <c r="C18" i="29"/>
  <c r="C5" i="29"/>
  <c r="C13" i="29"/>
  <c r="C8" i="29"/>
  <c r="C16" i="29"/>
  <c r="C3" i="29"/>
  <c r="C11" i="29"/>
  <c r="C19" i="29"/>
  <c r="C6" i="29"/>
  <c r="C14" i="29"/>
  <c r="C9" i="29"/>
  <c r="C17" i="29"/>
  <c r="C4" i="29"/>
  <c r="C12" i="29"/>
  <c r="C20" i="29"/>
  <c r="C22" i="29"/>
  <c r="C24" i="29"/>
  <c r="C26" i="29"/>
  <c r="C28" i="29"/>
  <c r="C30" i="29"/>
  <c r="C32" i="29"/>
  <c r="C34" i="29"/>
  <c r="C36" i="29"/>
  <c r="C38" i="29"/>
  <c r="C40" i="29"/>
  <c r="C42" i="29"/>
  <c r="C44" i="29"/>
  <c r="C46" i="29"/>
  <c r="C48" i="29"/>
  <c r="C50" i="29"/>
  <c r="C52" i="29"/>
  <c r="C54" i="29"/>
  <c r="C56" i="29"/>
  <c r="C58" i="29"/>
  <c r="C60" i="29"/>
  <c r="C62" i="29"/>
  <c r="C64" i="29"/>
  <c r="C7" i="29"/>
  <c r="C15" i="29"/>
  <c r="C57" i="29"/>
  <c r="C49" i="29"/>
  <c r="C41" i="29"/>
  <c r="C33" i="29"/>
  <c r="C25" i="29"/>
  <c r="C63" i="29"/>
  <c r="C55" i="29"/>
  <c r="C47" i="29"/>
  <c r="C39" i="29"/>
  <c r="C31" i="29"/>
  <c r="C23" i="29"/>
  <c r="C61" i="29"/>
  <c r="C53" i="29"/>
  <c r="C45" i="29"/>
  <c r="C37" i="29"/>
  <c r="C29" i="29"/>
  <c r="C21" i="29"/>
  <c r="C59" i="29"/>
  <c r="C51" i="29"/>
  <c r="C43" i="29"/>
  <c r="C35" i="29"/>
  <c r="C27" i="29"/>
  <c r="C2" i="28"/>
  <c r="C10" i="28"/>
  <c r="C19" i="28"/>
  <c r="C5" i="28"/>
  <c r="C13" i="28"/>
  <c r="C8" i="28"/>
  <c r="C11" i="28"/>
  <c r="C6" i="28"/>
  <c r="C14" i="28"/>
  <c r="C15" i="28"/>
  <c r="C21" i="28"/>
  <c r="C25" i="28"/>
  <c r="C9" i="28"/>
  <c r="C4" i="28"/>
  <c r="C12" i="28"/>
  <c r="C29" i="28"/>
  <c r="C7" i="28"/>
  <c r="C17" i="28"/>
  <c r="C23" i="28"/>
  <c r="C27" i="28"/>
  <c r="C3" i="28"/>
  <c r="C28" i="28"/>
  <c r="C20" i="28"/>
  <c r="C26" i="28"/>
  <c r="C18" i="28"/>
  <c r="C24" i="28"/>
  <c r="C16" i="28"/>
  <c r="C22" i="28"/>
  <c r="D27" i="29"/>
  <c r="D38" i="29"/>
  <c r="D18" i="29"/>
  <c r="D21" i="28"/>
  <c r="D35" i="29"/>
  <c r="D32" i="29"/>
  <c r="D26" i="29"/>
  <c r="D12" i="28"/>
  <c r="D25" i="29"/>
  <c r="D46" i="29"/>
  <c r="D43" i="29"/>
  <c r="D39" i="29"/>
  <c r="D5" i="29"/>
  <c r="D9" i="28"/>
  <c r="D34" i="29"/>
  <c r="D10" i="28"/>
  <c r="D45" i="29"/>
  <c r="D55" i="29"/>
  <c r="D16" i="29"/>
  <c r="D7" i="28"/>
  <c r="D52" i="29"/>
  <c r="D4" i="28"/>
  <c r="D17" i="28"/>
  <c r="D31" i="29"/>
  <c r="D57" i="29"/>
  <c r="D6" i="29"/>
  <c r="D30" i="29"/>
  <c r="D47" i="29"/>
  <c r="D26" i="28"/>
  <c r="D56" i="29"/>
  <c r="D48" i="29"/>
  <c r="D13" i="28"/>
  <c r="D16" i="28"/>
  <c r="D11" i="29"/>
  <c r="D37" i="29"/>
  <c r="D60" i="29"/>
  <c r="D64" i="29"/>
  <c r="D25" i="28"/>
  <c r="D29" i="28"/>
  <c r="D44" i="29"/>
  <c r="D7" i="29"/>
  <c r="D3" i="29"/>
  <c r="D23" i="28"/>
  <c r="D14" i="28"/>
  <c r="D51" i="29"/>
  <c r="D20" i="29"/>
  <c r="D14" i="29"/>
  <c r="D53" i="29"/>
  <c r="D22" i="29"/>
  <c r="D9" i="29"/>
  <c r="C1" i="26"/>
  <c r="D28" i="28"/>
  <c r="D3" i="28"/>
  <c r="D41" i="29"/>
  <c r="D23" i="29"/>
  <c r="D8" i="29"/>
  <c r="D11" i="28"/>
  <c r="D40" i="29"/>
  <c r="D49" i="29"/>
  <c r="D29" i="29"/>
  <c r="D5" i="28"/>
  <c r="D19" i="28"/>
  <c r="D4" i="29"/>
  <c r="D62" i="29"/>
  <c r="D28" i="29"/>
  <c r="D18" i="28"/>
  <c r="D50" i="29"/>
  <c r="D10" i="29"/>
  <c r="E10" i="29" s="1"/>
  <c r="D42" i="29"/>
  <c r="D20" i="28"/>
  <c r="D54" i="29"/>
  <c r="D19" i="29"/>
  <c r="D59" i="29"/>
  <c r="D27" i="28"/>
  <c r="D12" i="29"/>
  <c r="D63" i="29"/>
  <c r="D58" i="29"/>
  <c r="C1" i="27"/>
  <c r="D15" i="29"/>
  <c r="D6" i="28"/>
  <c r="D61" i="29"/>
  <c r="D15" i="28"/>
  <c r="D24" i="28"/>
  <c r="D21" i="29"/>
  <c r="D13" i="29"/>
  <c r="D22" i="28"/>
  <c r="D36" i="29"/>
  <c r="D8" i="28"/>
  <c r="D17" i="29"/>
  <c r="D24" i="29"/>
  <c r="D33" i="29"/>
  <c r="D2" i="29"/>
  <c r="C7" i="27" l="1"/>
  <c r="C2" i="27"/>
  <c r="C10" i="27"/>
  <c r="C5" i="27"/>
  <c r="C13" i="27"/>
  <c r="C8" i="27"/>
  <c r="C3" i="27"/>
  <c r="C11" i="27"/>
  <c r="C6" i="27"/>
  <c r="C9" i="27"/>
  <c r="C4" i="27"/>
  <c r="C12" i="27"/>
  <c r="C9" i="26"/>
  <c r="C4" i="26"/>
  <c r="C7" i="26"/>
  <c r="C2" i="26"/>
  <c r="C10" i="26"/>
  <c r="C5" i="26"/>
  <c r="C8" i="26"/>
  <c r="C3" i="26"/>
  <c r="C11" i="26"/>
  <c r="C6" i="26"/>
  <c r="E40" i="29"/>
  <c r="E11" i="29"/>
  <c r="E46" i="29"/>
  <c r="E15" i="28"/>
  <c r="E30" i="29"/>
  <c r="E60" i="29"/>
  <c r="D3" i="26"/>
  <c r="E43" i="29"/>
  <c r="E57" i="29"/>
  <c r="E4" i="28"/>
  <c r="E21" i="29"/>
  <c r="D10" i="27"/>
  <c r="E11" i="28"/>
  <c r="E53" i="29"/>
  <c r="D5" i="26"/>
  <c r="E51" i="29"/>
  <c r="D11" i="27"/>
  <c r="E31" i="29"/>
  <c r="E27" i="28"/>
  <c r="E8" i="28"/>
  <c r="E4" i="29"/>
  <c r="E9" i="28"/>
  <c r="E33" i="29"/>
  <c r="E38" i="29"/>
  <c r="D5" i="27"/>
  <c r="E24" i="29"/>
  <c r="E3" i="28"/>
  <c r="E54" i="29"/>
  <c r="E5" i="29"/>
  <c r="E63" i="29"/>
  <c r="E14" i="29"/>
  <c r="E14" i="28"/>
  <c r="E62" i="29"/>
  <c r="E61" i="29"/>
  <c r="E12" i="29"/>
  <c r="D4" i="26"/>
  <c r="E13" i="28"/>
  <c r="E39" i="29"/>
  <c r="E19" i="29"/>
  <c r="E20" i="29"/>
  <c r="D6" i="27"/>
  <c r="E59" i="29"/>
  <c r="E41" i="29"/>
  <c r="D7" i="27"/>
  <c r="E15" i="29"/>
  <c r="E6" i="28"/>
  <c r="E29" i="28"/>
  <c r="E32" i="29"/>
  <c r="E5" i="26"/>
  <c r="E50" i="29"/>
  <c r="D7" i="26"/>
  <c r="E12" i="28"/>
  <c r="D9" i="27"/>
  <c r="E55" i="29"/>
  <c r="E8" i="29"/>
  <c r="E52" i="29"/>
  <c r="D13" i="27"/>
  <c r="E17" i="29"/>
  <c r="D6" i="26"/>
  <c r="E22" i="29"/>
  <c r="E25" i="28"/>
  <c r="E64" i="29"/>
  <c r="E48" i="29"/>
  <c r="D3" i="27"/>
  <c r="D10" i="26"/>
  <c r="E27" i="29"/>
  <c r="E23" i="29"/>
  <c r="E28" i="28"/>
  <c r="E20" i="28"/>
  <c r="E29" i="29"/>
  <c r="E7" i="29"/>
  <c r="E49" i="29"/>
  <c r="E44" i="29"/>
  <c r="D8" i="26"/>
  <c r="E28" i="29"/>
  <c r="E6" i="29"/>
  <c r="E16" i="29"/>
  <c r="E35" i="29"/>
  <c r="E45" i="29"/>
  <c r="E56" i="29"/>
  <c r="E42" i="29"/>
  <c r="E26" i="29"/>
  <c r="D9" i="26"/>
  <c r="E25" i="29"/>
  <c r="E26" i="28"/>
  <c r="E9" i="29"/>
  <c r="E34" i="29"/>
  <c r="E19" i="28"/>
  <c r="E3" i="29"/>
  <c r="E21" i="28"/>
  <c r="E58" i="29"/>
  <c r="E7" i="28"/>
  <c r="E18" i="28"/>
  <c r="E37" i="29"/>
  <c r="E17" i="28"/>
  <c r="D4" i="27"/>
  <c r="E4" i="27" s="1"/>
  <c r="E18" i="29"/>
  <c r="D8" i="27"/>
  <c r="E16" i="28"/>
  <c r="E47" i="29"/>
  <c r="D11" i="26"/>
  <c r="E36" i="29"/>
  <c r="E5" i="28"/>
  <c r="D12" i="27"/>
  <c r="E22" i="28"/>
  <c r="E10" i="28"/>
  <c r="E23" i="28"/>
  <c r="E13" i="29"/>
  <c r="E24" i="28"/>
  <c r="D2" i="26"/>
  <c r="E2" i="29"/>
  <c r="D2" i="27"/>
  <c r="C3" i="24" l="1" a="1"/>
  <c r="C4" i="24" s="1"/>
  <c r="D3" i="24" a="1"/>
  <c r="D7" i="24" s="1"/>
  <c r="C3" i="23" a="1"/>
  <c r="C4" i="23" s="1"/>
  <c r="D3" i="23" a="1"/>
  <c r="D7" i="23" s="1"/>
  <c r="E2" i="22"/>
  <c r="E3" i="22"/>
  <c r="E4" i="22"/>
  <c r="E5" i="22"/>
  <c r="E6" i="22"/>
  <c r="E7" i="22"/>
  <c r="E8" i="22"/>
  <c r="E9" i="22"/>
  <c r="E2" i="21"/>
  <c r="E3" i="21"/>
  <c r="E4" i="21"/>
  <c r="E5" i="21"/>
  <c r="E6" i="21"/>
  <c r="E7" i="21"/>
  <c r="E8" i="21"/>
  <c r="E9" i="21"/>
  <c r="E10" i="21"/>
  <c r="E11" i="21"/>
  <c r="E12" i="21"/>
  <c r="E13" i="21"/>
  <c r="E2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" i="27"/>
  <c r="F60" i="20"/>
  <c r="F29" i="20"/>
  <c r="F5" i="22"/>
  <c r="F24" i="20"/>
  <c r="E11" i="26"/>
  <c r="F35" i="20"/>
  <c r="E6" i="27"/>
  <c r="F11" i="21"/>
  <c r="F37" i="20"/>
  <c r="F52" i="20"/>
  <c r="E8" i="26"/>
  <c r="F22" i="20"/>
  <c r="B1" i="25"/>
  <c r="F64" i="20"/>
  <c r="F30" i="20"/>
  <c r="G29" i="20"/>
  <c r="F12" i="20"/>
  <c r="F8" i="21"/>
  <c r="F8" i="20"/>
  <c r="F50" i="20"/>
  <c r="F9" i="20"/>
  <c r="G9" i="20" s="1"/>
  <c r="F5" i="21"/>
  <c r="G5" i="21" s="1"/>
  <c r="F40" i="20"/>
  <c r="F63" i="20"/>
  <c r="F32" i="20"/>
  <c r="F58" i="20"/>
  <c r="F56" i="20"/>
  <c r="E7" i="26"/>
  <c r="F13" i="20"/>
  <c r="F15" i="20"/>
  <c r="F68" i="20"/>
  <c r="E3" i="27"/>
  <c r="E11" i="27"/>
  <c r="F46" i="20"/>
  <c r="E4" i="26"/>
  <c r="F28" i="20"/>
  <c r="G28" i="20" s="1"/>
  <c r="F33" i="20"/>
  <c r="F48" i="20"/>
  <c r="E5" i="27"/>
  <c r="F3" i="22"/>
  <c r="G3" i="22" s="1"/>
  <c r="F61" i="20"/>
  <c r="F11" i="20"/>
  <c r="G24" i="20"/>
  <c r="F3" i="21"/>
  <c r="F72" i="20"/>
  <c r="F71" i="20"/>
  <c r="F16" i="20"/>
  <c r="F8" i="22"/>
  <c r="F31" i="20"/>
  <c r="F45" i="20"/>
  <c r="F53" i="20"/>
  <c r="F25" i="20"/>
  <c r="F55" i="20"/>
  <c r="E13" i="27"/>
  <c r="G16" i="20"/>
  <c r="F34" i="20"/>
  <c r="F17" i="20"/>
  <c r="F23" i="20"/>
  <c r="G35" i="20"/>
  <c r="F27" i="20"/>
  <c r="F62" i="20"/>
  <c r="G3" i="21"/>
  <c r="F9" i="22"/>
  <c r="E8" i="27"/>
  <c r="F7" i="22"/>
  <c r="G7" i="22" s="1"/>
  <c r="F7" i="21"/>
  <c r="F4" i="21"/>
  <c r="G4" i="21" s="1"/>
  <c r="F42" i="20"/>
  <c r="F66" i="20"/>
  <c r="F26" i="20"/>
  <c r="G11" i="20"/>
  <c r="F47" i="20"/>
  <c r="F4" i="20"/>
  <c r="G4" i="20" s="1"/>
  <c r="E10" i="27"/>
  <c r="F51" i="20"/>
  <c r="F6" i="21"/>
  <c r="G6" i="21" s="1"/>
  <c r="F18" i="20"/>
  <c r="F54" i="20"/>
  <c r="F5" i="20"/>
  <c r="G23" i="20"/>
  <c r="G9" i="22"/>
  <c r="F21" i="20"/>
  <c r="G21" i="20" s="1"/>
  <c r="F44" i="20"/>
  <c r="E3" i="26"/>
  <c r="F19" i="20"/>
  <c r="G19" i="20" s="1"/>
  <c r="F70" i="20"/>
  <c r="F41" i="20"/>
  <c r="F6" i="20"/>
  <c r="G6" i="20" s="1"/>
  <c r="F65" i="20"/>
  <c r="F6" i="22"/>
  <c r="E10" i="26"/>
  <c r="F7" i="20"/>
  <c r="G17" i="20"/>
  <c r="F9" i="21"/>
  <c r="F43" i="20"/>
  <c r="F49" i="20"/>
  <c r="G30" i="20"/>
  <c r="F38" i="20"/>
  <c r="E12" i="27"/>
  <c r="F67" i="20"/>
  <c r="E6" i="26"/>
  <c r="F3" i="20"/>
  <c r="G3" i="20" s="1"/>
  <c r="E9" i="27"/>
  <c r="F59" i="20"/>
  <c r="F69" i="20"/>
  <c r="F10" i="20"/>
  <c r="E9" i="26"/>
  <c r="F57" i="20"/>
  <c r="F12" i="21"/>
  <c r="G12" i="21" s="1"/>
  <c r="F4" i="22"/>
  <c r="G7" i="20"/>
  <c r="F20" i="20"/>
  <c r="F14" i="20"/>
  <c r="G14" i="20" s="1"/>
  <c r="G5" i="20"/>
  <c r="F10" i="21"/>
  <c r="F13" i="21"/>
  <c r="F39" i="20"/>
  <c r="E2" i="27"/>
  <c r="E2" i="26"/>
  <c r="F2" i="20"/>
  <c r="F2" i="22"/>
  <c r="F2" i="21"/>
  <c r="C17" i="24" l="1"/>
  <c r="C33" i="24"/>
  <c r="C25" i="24"/>
  <c r="D18" i="24"/>
  <c r="D6" i="23"/>
  <c r="D17" i="23"/>
  <c r="D36" i="24"/>
  <c r="C38" i="23"/>
  <c r="D14" i="23"/>
  <c r="D34" i="24"/>
  <c r="D12" i="24"/>
  <c r="D36" i="23"/>
  <c r="D12" i="23"/>
  <c r="D10" i="24"/>
  <c r="D28" i="23"/>
  <c r="D9" i="23"/>
  <c r="D28" i="24"/>
  <c r="C9" i="24"/>
  <c r="C19" i="23"/>
  <c r="C27" i="23"/>
  <c r="C9" i="23"/>
  <c r="D26" i="24"/>
  <c r="D4" i="24"/>
  <c r="E4" i="24" s="1"/>
  <c r="C25" i="23"/>
  <c r="C22" i="23"/>
  <c r="D20" i="24"/>
  <c r="C39" i="24"/>
  <c r="C31" i="24"/>
  <c r="C23" i="24"/>
  <c r="C15" i="24"/>
  <c r="C7" i="24"/>
  <c r="D37" i="24"/>
  <c r="C34" i="24"/>
  <c r="D29" i="24"/>
  <c r="C26" i="24"/>
  <c r="D21" i="24"/>
  <c r="C18" i="24"/>
  <c r="D13" i="24"/>
  <c r="C10" i="24"/>
  <c r="D5" i="24"/>
  <c r="C37" i="24"/>
  <c r="D32" i="24"/>
  <c r="C29" i="24"/>
  <c r="D24" i="24"/>
  <c r="C21" i="24"/>
  <c r="D16" i="24"/>
  <c r="C13" i="24"/>
  <c r="D8" i="24"/>
  <c r="C5" i="24"/>
  <c r="D35" i="24"/>
  <c r="C32" i="24"/>
  <c r="D27" i="24"/>
  <c r="C24" i="24"/>
  <c r="D19" i="24"/>
  <c r="C16" i="24"/>
  <c r="D11" i="24"/>
  <c r="C8" i="24"/>
  <c r="D3" i="24"/>
  <c r="D38" i="24"/>
  <c r="C35" i="24"/>
  <c r="D30" i="24"/>
  <c r="C27" i="24"/>
  <c r="D22" i="24"/>
  <c r="C19" i="24"/>
  <c r="D14" i="24"/>
  <c r="C11" i="24"/>
  <c r="D6" i="24"/>
  <c r="C38" i="24"/>
  <c r="D33" i="24"/>
  <c r="C30" i="24"/>
  <c r="D25" i="24"/>
  <c r="C22" i="24"/>
  <c r="D17" i="24"/>
  <c r="E17" i="24" s="1"/>
  <c r="C14" i="24"/>
  <c r="D9" i="24"/>
  <c r="C6" i="24"/>
  <c r="C3" i="24"/>
  <c r="D39" i="24"/>
  <c r="C36" i="24"/>
  <c r="D31" i="24"/>
  <c r="C28" i="24"/>
  <c r="D23" i="24"/>
  <c r="C20" i="24"/>
  <c r="D15" i="24"/>
  <c r="C12" i="24"/>
  <c r="C35" i="23"/>
  <c r="D25" i="23"/>
  <c r="C17" i="23"/>
  <c r="C6" i="23"/>
  <c r="D33" i="23"/>
  <c r="C33" i="23"/>
  <c r="D22" i="23"/>
  <c r="C14" i="23"/>
  <c r="D4" i="23"/>
  <c r="E4" i="23" s="1"/>
  <c r="C39" i="23"/>
  <c r="D30" i="23"/>
  <c r="D38" i="23"/>
  <c r="C30" i="23"/>
  <c r="D20" i="23"/>
  <c r="C11" i="23"/>
  <c r="C3" i="23"/>
  <c r="D34" i="23"/>
  <c r="C31" i="23"/>
  <c r="D26" i="23"/>
  <c r="C23" i="23"/>
  <c r="D18" i="23"/>
  <c r="C15" i="23"/>
  <c r="D10" i="23"/>
  <c r="C7" i="23"/>
  <c r="D37" i="23"/>
  <c r="C34" i="23"/>
  <c r="D29" i="23"/>
  <c r="C26" i="23"/>
  <c r="D21" i="23"/>
  <c r="C18" i="23"/>
  <c r="D13" i="23"/>
  <c r="C10" i="23"/>
  <c r="D5" i="23"/>
  <c r="C37" i="23"/>
  <c r="D32" i="23"/>
  <c r="C29" i="23"/>
  <c r="D24" i="23"/>
  <c r="C21" i="23"/>
  <c r="D16" i="23"/>
  <c r="C13" i="23"/>
  <c r="D8" i="23"/>
  <c r="C5" i="23"/>
  <c r="D35" i="23"/>
  <c r="C32" i="23"/>
  <c r="D27" i="23"/>
  <c r="C24" i="23"/>
  <c r="D19" i="23"/>
  <c r="C16" i="23"/>
  <c r="D11" i="23"/>
  <c r="C8" i="23"/>
  <c r="D3" i="23"/>
  <c r="D39" i="23"/>
  <c r="C36" i="23"/>
  <c r="D31" i="23"/>
  <c r="C28" i="23"/>
  <c r="D23" i="23"/>
  <c r="C20" i="23"/>
  <c r="D15" i="23"/>
  <c r="C12" i="23"/>
  <c r="G13" i="21"/>
  <c r="G22" i="20"/>
  <c r="G32" i="20"/>
  <c r="G11" i="21"/>
  <c r="F4" i="24"/>
  <c r="F25" i="24"/>
  <c r="F3" i="23"/>
  <c r="G13" i="20"/>
  <c r="G8" i="22"/>
  <c r="G4" i="22"/>
  <c r="G5" i="22"/>
  <c r="G20" i="20"/>
  <c r="G26" i="20"/>
  <c r="G10" i="20"/>
  <c r="G18" i="20"/>
  <c r="G6" i="22"/>
  <c r="G15" i="20"/>
  <c r="G25" i="20"/>
  <c r="G33" i="20"/>
  <c r="F22" i="23"/>
  <c r="G10" i="21"/>
  <c r="F17" i="23"/>
  <c r="G9" i="21"/>
  <c r="F25" i="23"/>
  <c r="G27" i="20"/>
  <c r="F9" i="23"/>
  <c r="F33" i="23"/>
  <c r="F14" i="23"/>
  <c r="G34" i="20"/>
  <c r="F17" i="24"/>
  <c r="G7" i="21"/>
  <c r="F30" i="23"/>
  <c r="G31" i="20"/>
  <c r="G8" i="21"/>
  <c r="G12" i="20"/>
  <c r="G8" i="20"/>
  <c r="F38" i="23"/>
  <c r="F27" i="23"/>
  <c r="F11" i="23"/>
  <c r="F6" i="23"/>
  <c r="F9" i="24"/>
  <c r="F35" i="23"/>
  <c r="G2" i="21"/>
  <c r="G2" i="22"/>
  <c r="G2" i="20"/>
  <c r="E19" i="23" l="1"/>
  <c r="E9" i="23"/>
  <c r="E33" i="24"/>
  <c r="E14" i="23"/>
  <c r="E25" i="23"/>
  <c r="E25" i="24"/>
  <c r="E27" i="23"/>
  <c r="E22" i="23"/>
  <c r="E6" i="23"/>
  <c r="E38" i="23"/>
  <c r="E17" i="23"/>
  <c r="E2" i="23"/>
  <c r="E35" i="23"/>
  <c r="E30" i="23"/>
  <c r="E30" i="24"/>
  <c r="E27" i="24"/>
  <c r="E16" i="24"/>
  <c r="E13" i="24"/>
  <c r="E10" i="24"/>
  <c r="E7" i="24"/>
  <c r="E12" i="24"/>
  <c r="E3" i="24"/>
  <c r="E2" i="24"/>
  <c r="E15" i="24"/>
  <c r="E6" i="24"/>
  <c r="E38" i="24"/>
  <c r="E35" i="24"/>
  <c r="E24" i="24"/>
  <c r="E21" i="24"/>
  <c r="E18" i="24"/>
  <c r="E23" i="24"/>
  <c r="E20" i="24"/>
  <c r="E31" i="24"/>
  <c r="E14" i="24"/>
  <c r="E11" i="24"/>
  <c r="E32" i="24"/>
  <c r="E29" i="24"/>
  <c r="E26" i="24"/>
  <c r="E39" i="24"/>
  <c r="E28" i="24"/>
  <c r="E8" i="24"/>
  <c r="E9" i="24"/>
  <c r="E22" i="24"/>
  <c r="E19" i="24"/>
  <c r="E5" i="24"/>
  <c r="E37" i="24"/>
  <c r="E34" i="24"/>
  <c r="E36" i="24"/>
  <c r="E33" i="23"/>
  <c r="E11" i="23"/>
  <c r="E3" i="23"/>
  <c r="E8" i="23"/>
  <c r="E5" i="23"/>
  <c r="E37" i="23"/>
  <c r="E34" i="23"/>
  <c r="E31" i="23"/>
  <c r="E20" i="23"/>
  <c r="E16" i="23"/>
  <c r="E13" i="23"/>
  <c r="E10" i="23"/>
  <c r="E7" i="23"/>
  <c r="E28" i="23"/>
  <c r="E24" i="23"/>
  <c r="E21" i="23"/>
  <c r="E18" i="23"/>
  <c r="E15" i="23"/>
  <c r="E36" i="23"/>
  <c r="E12" i="23"/>
  <c r="E39" i="23"/>
  <c r="E32" i="23"/>
  <c r="E29" i="23"/>
  <c r="E26" i="23"/>
  <c r="E23" i="23"/>
  <c r="G3" i="23"/>
  <c r="F19" i="24"/>
  <c r="F11" i="24"/>
  <c r="F34" i="23"/>
  <c r="F8" i="23"/>
  <c r="F29" i="23"/>
  <c r="F28" i="24"/>
  <c r="F6" i="24"/>
  <c r="F36" i="24"/>
  <c r="G35" i="23"/>
  <c r="F12" i="24"/>
  <c r="F4" i="23"/>
  <c r="G17" i="24"/>
  <c r="F31" i="23"/>
  <c r="F7" i="24"/>
  <c r="F33" i="24"/>
  <c r="F37" i="23"/>
  <c r="F30" i="24"/>
  <c r="F38" i="24"/>
  <c r="G27" i="23"/>
  <c r="F7" i="23"/>
  <c r="F36" i="23"/>
  <c r="F5" i="23"/>
  <c r="F15" i="24"/>
  <c r="F12" i="23"/>
  <c r="F14" i="24"/>
  <c r="F8" i="24"/>
  <c r="G4" i="24"/>
  <c r="G25" i="23"/>
  <c r="G11" i="24"/>
  <c r="G30" i="23"/>
  <c r="F37" i="24"/>
  <c r="F21" i="23"/>
  <c r="F24" i="23"/>
  <c r="F20" i="24"/>
  <c r="F10" i="23"/>
  <c r="F29" i="24"/>
  <c r="G22" i="23"/>
  <c r="G25" i="24"/>
  <c r="F23" i="23"/>
  <c r="G17" i="23"/>
  <c r="F16" i="23"/>
  <c r="G38" i="23"/>
  <c r="F28" i="23"/>
  <c r="F20" i="23"/>
  <c r="F23" i="24"/>
  <c r="F34" i="24"/>
  <c r="F35" i="24"/>
  <c r="F31" i="24"/>
  <c r="F39" i="24"/>
  <c r="F24" i="24"/>
  <c r="G9" i="23"/>
  <c r="F39" i="23"/>
  <c r="F13" i="24"/>
  <c r="F5" i="24"/>
  <c r="F10" i="24"/>
  <c r="G33" i="23"/>
  <c r="F27" i="24"/>
  <c r="F26" i="23"/>
  <c r="F21" i="24"/>
  <c r="F32" i="24"/>
  <c r="G9" i="24"/>
  <c r="F15" i="23"/>
  <c r="F18" i="23"/>
  <c r="F26" i="24"/>
  <c r="F16" i="24"/>
  <c r="F22" i="24"/>
  <c r="G14" i="23"/>
  <c r="F3" i="24"/>
  <c r="F18" i="24"/>
  <c r="G11" i="23"/>
  <c r="G6" i="23"/>
  <c r="F32" i="23"/>
  <c r="F19" i="23"/>
  <c r="F13" i="23"/>
  <c r="F2" i="24"/>
  <c r="F2" i="23"/>
  <c r="D8" i="19" l="1"/>
  <c r="D8" i="12"/>
  <c r="G5" i="23"/>
  <c r="G27" i="24"/>
  <c r="G32" i="24"/>
  <c r="G19" i="24"/>
  <c r="G37" i="23"/>
  <c r="G23" i="24"/>
  <c r="G21" i="24"/>
  <c r="G13" i="24"/>
  <c r="G7" i="23"/>
  <c r="G23" i="23"/>
  <c r="G18" i="23"/>
  <c r="G20" i="23"/>
  <c r="G16" i="23"/>
  <c r="G34" i="23"/>
  <c r="G31" i="24"/>
  <c r="G14" i="24"/>
  <c r="G4" i="23"/>
  <c r="G19" i="23"/>
  <c r="G29" i="23"/>
  <c r="G10" i="24"/>
  <c r="G24" i="23"/>
  <c r="G38" i="24"/>
  <c r="G10" i="23"/>
  <c r="G5" i="24"/>
  <c r="G36" i="24"/>
  <c r="G37" i="24"/>
  <c r="G36" i="23"/>
  <c r="G34" i="24"/>
  <c r="G39" i="23"/>
  <c r="G28" i="24"/>
  <c r="G12" i="23"/>
  <c r="G8" i="24"/>
  <c r="G30" i="24"/>
  <c r="G39" i="24"/>
  <c r="G6" i="24"/>
  <c r="G28" i="23"/>
  <c r="G16" i="24"/>
  <c r="G29" i="24"/>
  <c r="G15" i="24"/>
  <c r="G31" i="23"/>
  <c r="G12" i="24"/>
  <c r="G18" i="24"/>
  <c r="G8" i="23"/>
  <c r="G21" i="23"/>
  <c r="G24" i="24"/>
  <c r="G32" i="23"/>
  <c r="G33" i="24"/>
  <c r="G13" i="23"/>
  <c r="G20" i="24"/>
  <c r="G35" i="24"/>
  <c r="G15" i="23"/>
  <c r="G26" i="23"/>
  <c r="G7" i="24"/>
  <c r="G26" i="24"/>
  <c r="G3" i="24"/>
  <c r="G22" i="24"/>
  <c r="G2" i="24"/>
  <c r="G2" i="23"/>
  <c r="B2" i="18" l="1"/>
  <c r="B3" i="18"/>
  <c r="B4" i="18"/>
  <c r="E2" i="17"/>
  <c r="E2" i="16"/>
  <c r="E2" i="15"/>
  <c r="D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C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E14" i="14"/>
  <c r="E22" i="14"/>
  <c r="D15" i="13"/>
  <c r="D3" i="13"/>
  <c r="E17" i="14"/>
  <c r="C4" i="18"/>
  <c r="D10" i="13"/>
  <c r="D12" i="13"/>
  <c r="E11" i="14"/>
  <c r="F11" i="14" s="1"/>
  <c r="E25" i="14"/>
  <c r="F25" i="14" s="1"/>
  <c r="E7" i="14"/>
  <c r="E3" i="14"/>
  <c r="D20" i="13"/>
  <c r="F3" i="14"/>
  <c r="E24" i="14"/>
  <c r="E6" i="14"/>
  <c r="F22" i="14"/>
  <c r="D8" i="13"/>
  <c r="D11" i="13"/>
  <c r="B1" i="19"/>
  <c r="C3" i="18"/>
  <c r="E8" i="14"/>
  <c r="D3" i="17" a="1"/>
  <c r="E12" i="14"/>
  <c r="F12" i="14" s="1"/>
  <c r="D7" i="13"/>
  <c r="D19" i="13"/>
  <c r="E20" i="13"/>
  <c r="E21" i="14"/>
  <c r="D6" i="13"/>
  <c r="E5" i="14"/>
  <c r="E15" i="14"/>
  <c r="E18" i="14"/>
  <c r="D14" i="13"/>
  <c r="D9" i="13"/>
  <c r="D3" i="15" a="1"/>
  <c r="D16" i="13"/>
  <c r="E23" i="14"/>
  <c r="E10" i="14"/>
  <c r="D4" i="13"/>
  <c r="E16" i="14"/>
  <c r="D5" i="13"/>
  <c r="E13" i="14"/>
  <c r="D18" i="13"/>
  <c r="D17" i="13"/>
  <c r="E17" i="13" s="1"/>
  <c r="E5" i="13"/>
  <c r="E4" i="14"/>
  <c r="D3" i="16" a="1"/>
  <c r="D13" i="13"/>
  <c r="F7" i="14"/>
  <c r="E9" i="14"/>
  <c r="E20" i="14"/>
  <c r="E26" i="14"/>
  <c r="E7" i="13"/>
  <c r="E19" i="14"/>
  <c r="F13" i="14"/>
  <c r="D4" i="17" l="1"/>
  <c r="E4" i="17" s="1"/>
  <c r="D6" i="17"/>
  <c r="E6" i="17" s="1"/>
  <c r="D8" i="17"/>
  <c r="E8" i="17" s="1"/>
  <c r="D10" i="17"/>
  <c r="E10" i="17" s="1"/>
  <c r="D12" i="17"/>
  <c r="E12" i="17" s="1"/>
  <c r="D14" i="17"/>
  <c r="E14" i="17" s="1"/>
  <c r="D16" i="17"/>
  <c r="E16" i="17" s="1"/>
  <c r="D18" i="17"/>
  <c r="E18" i="17" s="1"/>
  <c r="D20" i="17"/>
  <c r="E20" i="17" s="1"/>
  <c r="D22" i="17"/>
  <c r="E22" i="17" s="1"/>
  <c r="D24" i="17"/>
  <c r="E24" i="17" s="1"/>
  <c r="D26" i="17"/>
  <c r="E26" i="17" s="1"/>
  <c r="D28" i="17"/>
  <c r="E28" i="17" s="1"/>
  <c r="D30" i="17"/>
  <c r="E30" i="17" s="1"/>
  <c r="D32" i="17"/>
  <c r="E32" i="17" s="1"/>
  <c r="D34" i="17"/>
  <c r="E34" i="17" s="1"/>
  <c r="D36" i="17"/>
  <c r="E36" i="17" s="1"/>
  <c r="D38" i="17"/>
  <c r="E38" i="17" s="1"/>
  <c r="D40" i="17"/>
  <c r="E40" i="17" s="1"/>
  <c r="D42" i="17"/>
  <c r="E42" i="17" s="1"/>
  <c r="D44" i="17"/>
  <c r="E44" i="17" s="1"/>
  <c r="D46" i="17"/>
  <c r="E46" i="17" s="1"/>
  <c r="D48" i="17"/>
  <c r="E48" i="17" s="1"/>
  <c r="D50" i="17"/>
  <c r="E50" i="17" s="1"/>
  <c r="D52" i="17"/>
  <c r="E52" i="17" s="1"/>
  <c r="D54" i="17"/>
  <c r="E54" i="17" s="1"/>
  <c r="D56" i="17"/>
  <c r="E56" i="17" s="1"/>
  <c r="D58" i="17"/>
  <c r="E58" i="17" s="1"/>
  <c r="D60" i="17"/>
  <c r="E60" i="17" s="1"/>
  <c r="D62" i="17"/>
  <c r="E62" i="17" s="1"/>
  <c r="D64" i="17"/>
  <c r="E64" i="17" s="1"/>
  <c r="D66" i="17"/>
  <c r="E66" i="17" s="1"/>
  <c r="D68" i="17"/>
  <c r="E68" i="17" s="1"/>
  <c r="D70" i="17"/>
  <c r="E70" i="17" s="1"/>
  <c r="D72" i="17"/>
  <c r="E72" i="17" s="1"/>
  <c r="D74" i="17"/>
  <c r="E74" i="17" s="1"/>
  <c r="D76" i="17"/>
  <c r="E76" i="17" s="1"/>
  <c r="D78" i="17"/>
  <c r="E78" i="17" s="1"/>
  <c r="D80" i="17"/>
  <c r="E80" i="17" s="1"/>
  <c r="D82" i="17"/>
  <c r="E82" i="17" s="1"/>
  <c r="D84" i="17"/>
  <c r="E84" i="17" s="1"/>
  <c r="D86" i="17"/>
  <c r="E86" i="17" s="1"/>
  <c r="D88" i="17"/>
  <c r="E88" i="17" s="1"/>
  <c r="D90" i="17"/>
  <c r="E90" i="17" s="1"/>
  <c r="D92" i="17"/>
  <c r="E92" i="17" s="1"/>
  <c r="D94" i="17"/>
  <c r="E94" i="17" s="1"/>
  <c r="D96" i="17"/>
  <c r="E96" i="17" s="1"/>
  <c r="D98" i="17"/>
  <c r="E98" i="17" s="1"/>
  <c r="D100" i="17"/>
  <c r="E100" i="17" s="1"/>
  <c r="D102" i="17"/>
  <c r="E102" i="17" s="1"/>
  <c r="D104" i="17"/>
  <c r="E104" i="17" s="1"/>
  <c r="D106" i="17"/>
  <c r="E106" i="17" s="1"/>
  <c r="D108" i="17"/>
  <c r="E108" i="17" s="1"/>
  <c r="D110" i="17"/>
  <c r="E110" i="17" s="1"/>
  <c r="D112" i="17"/>
  <c r="E112" i="17" s="1"/>
  <c r="D114" i="17"/>
  <c r="E114" i="17" s="1"/>
  <c r="D116" i="17"/>
  <c r="E116" i="17" s="1"/>
  <c r="D118" i="17"/>
  <c r="E118" i="17" s="1"/>
  <c r="D120" i="17"/>
  <c r="E120" i="17" s="1"/>
  <c r="D122" i="17"/>
  <c r="E122" i="17" s="1"/>
  <c r="D7" i="17"/>
  <c r="E7" i="17" s="1"/>
  <c r="D23" i="17"/>
  <c r="E23" i="17" s="1"/>
  <c r="D39" i="17"/>
  <c r="E39" i="17" s="1"/>
  <c r="D55" i="17"/>
  <c r="E55" i="17" s="1"/>
  <c r="D91" i="17"/>
  <c r="E91" i="17" s="1"/>
  <c r="D107" i="17"/>
  <c r="E107" i="17" s="1"/>
  <c r="D17" i="17"/>
  <c r="E17" i="17" s="1"/>
  <c r="D97" i="17"/>
  <c r="E97" i="17" s="1"/>
  <c r="D13" i="17"/>
  <c r="E13" i="17" s="1"/>
  <c r="D29" i="17"/>
  <c r="E29" i="17" s="1"/>
  <c r="D45" i="17"/>
  <c r="E45" i="17" s="1"/>
  <c r="D61" i="17"/>
  <c r="E61" i="17" s="1"/>
  <c r="D71" i="17"/>
  <c r="E71" i="17" s="1"/>
  <c r="D75" i="17"/>
  <c r="E75" i="17" s="1"/>
  <c r="D85" i="17"/>
  <c r="E85" i="17" s="1"/>
  <c r="D101" i="17"/>
  <c r="E101" i="17" s="1"/>
  <c r="D117" i="17"/>
  <c r="E117" i="17" s="1"/>
  <c r="D89" i="17"/>
  <c r="E89" i="17" s="1"/>
  <c r="D121" i="17"/>
  <c r="E121" i="17" s="1"/>
  <c r="D99" i="17"/>
  <c r="E99" i="17" s="1"/>
  <c r="D115" i="17"/>
  <c r="E115" i="17" s="1"/>
  <c r="D11" i="17"/>
  <c r="E11" i="17" s="1"/>
  <c r="D43" i="17"/>
  <c r="E43" i="17" s="1"/>
  <c r="D103" i="17"/>
  <c r="E103" i="17" s="1"/>
  <c r="D119" i="17"/>
  <c r="E119" i="17" s="1"/>
  <c r="D49" i="17"/>
  <c r="E49" i="17" s="1"/>
  <c r="D65" i="17"/>
  <c r="E65" i="17" s="1"/>
  <c r="D3" i="17"/>
  <c r="E3" i="17" s="1"/>
  <c r="D19" i="17"/>
  <c r="E19" i="17" s="1"/>
  <c r="D35" i="17"/>
  <c r="E35" i="17" s="1"/>
  <c r="D51" i="17"/>
  <c r="E51" i="17" s="1"/>
  <c r="D67" i="17"/>
  <c r="E67" i="17" s="1"/>
  <c r="D79" i="17"/>
  <c r="E79" i="17" s="1"/>
  <c r="D95" i="17"/>
  <c r="E95" i="17" s="1"/>
  <c r="D111" i="17"/>
  <c r="E111" i="17" s="1"/>
  <c r="D9" i="17"/>
  <c r="E9" i="17" s="1"/>
  <c r="D25" i="17"/>
  <c r="E25" i="17" s="1"/>
  <c r="D41" i="17"/>
  <c r="E41" i="17" s="1"/>
  <c r="D57" i="17"/>
  <c r="E57" i="17" s="1"/>
  <c r="D105" i="17"/>
  <c r="E105" i="17" s="1"/>
  <c r="D5" i="17"/>
  <c r="E5" i="17" s="1"/>
  <c r="D21" i="17"/>
  <c r="E21" i="17" s="1"/>
  <c r="D37" i="17"/>
  <c r="E37" i="17" s="1"/>
  <c r="D27" i="17"/>
  <c r="E27" i="17" s="1"/>
  <c r="D33" i="17"/>
  <c r="E33" i="17" s="1"/>
  <c r="D81" i="17"/>
  <c r="E81" i="17" s="1"/>
  <c r="D15" i="17"/>
  <c r="E15" i="17" s="1"/>
  <c r="D31" i="17"/>
  <c r="E31" i="17" s="1"/>
  <c r="D47" i="17"/>
  <c r="E47" i="17" s="1"/>
  <c r="D63" i="17"/>
  <c r="E63" i="17" s="1"/>
  <c r="D83" i="17"/>
  <c r="E83" i="17" s="1"/>
  <c r="D53" i="17"/>
  <c r="E53" i="17" s="1"/>
  <c r="D69" i="17"/>
  <c r="E69" i="17" s="1"/>
  <c r="D73" i="17"/>
  <c r="E73" i="17" s="1"/>
  <c r="D77" i="17"/>
  <c r="E77" i="17" s="1"/>
  <c r="D93" i="17"/>
  <c r="E93" i="17" s="1"/>
  <c r="D109" i="17"/>
  <c r="E109" i="17" s="1"/>
  <c r="D59" i="17"/>
  <c r="E59" i="17" s="1"/>
  <c r="D87" i="17"/>
  <c r="E87" i="17" s="1"/>
  <c r="D113" i="17"/>
  <c r="E113" i="17" s="1"/>
  <c r="D4" i="16"/>
  <c r="E4" i="16" s="1"/>
  <c r="D6" i="16"/>
  <c r="E6" i="16" s="1"/>
  <c r="D8" i="16"/>
  <c r="E8" i="16" s="1"/>
  <c r="D10" i="16"/>
  <c r="E10" i="16" s="1"/>
  <c r="D12" i="16"/>
  <c r="E12" i="16" s="1"/>
  <c r="D14" i="16"/>
  <c r="E14" i="16" s="1"/>
  <c r="D16" i="16"/>
  <c r="E16" i="16" s="1"/>
  <c r="D18" i="16"/>
  <c r="E18" i="16" s="1"/>
  <c r="D20" i="16"/>
  <c r="E20" i="16" s="1"/>
  <c r="D22" i="16"/>
  <c r="E22" i="16" s="1"/>
  <c r="D24" i="16"/>
  <c r="E24" i="16" s="1"/>
  <c r="D26" i="16"/>
  <c r="E26" i="16" s="1"/>
  <c r="D28" i="16"/>
  <c r="E28" i="16" s="1"/>
  <c r="D30" i="16"/>
  <c r="E30" i="16" s="1"/>
  <c r="D32" i="16"/>
  <c r="E32" i="16" s="1"/>
  <c r="D34" i="16"/>
  <c r="E34" i="16" s="1"/>
  <c r="D36" i="16"/>
  <c r="E36" i="16" s="1"/>
  <c r="D38" i="16"/>
  <c r="E38" i="16" s="1"/>
  <c r="D40" i="16"/>
  <c r="E40" i="16" s="1"/>
  <c r="D42" i="16"/>
  <c r="E42" i="16" s="1"/>
  <c r="D44" i="16"/>
  <c r="E44" i="16" s="1"/>
  <c r="D46" i="16"/>
  <c r="E46" i="16" s="1"/>
  <c r="D48" i="16"/>
  <c r="E48" i="16" s="1"/>
  <c r="D50" i="16"/>
  <c r="E50" i="16" s="1"/>
  <c r="D52" i="16"/>
  <c r="E52" i="16" s="1"/>
  <c r="D54" i="16"/>
  <c r="E54" i="16" s="1"/>
  <c r="D56" i="16"/>
  <c r="E56" i="16" s="1"/>
  <c r="D58" i="16"/>
  <c r="E58" i="16" s="1"/>
  <c r="D60" i="16"/>
  <c r="E60" i="16" s="1"/>
  <c r="D62" i="16"/>
  <c r="E62" i="16" s="1"/>
  <c r="D64" i="16"/>
  <c r="E64" i="16" s="1"/>
  <c r="D66" i="16"/>
  <c r="E66" i="16" s="1"/>
  <c r="D68" i="16"/>
  <c r="E68" i="16" s="1"/>
  <c r="D70" i="16"/>
  <c r="E70" i="16" s="1"/>
  <c r="D72" i="16"/>
  <c r="E72" i="16" s="1"/>
  <c r="D74" i="16"/>
  <c r="E74" i="16" s="1"/>
  <c r="D76" i="16"/>
  <c r="E76" i="16" s="1"/>
  <c r="D78" i="16"/>
  <c r="E78" i="16" s="1"/>
  <c r="D80" i="16"/>
  <c r="E80" i="16" s="1"/>
  <c r="D82" i="16"/>
  <c r="E82" i="16" s="1"/>
  <c r="D84" i="16"/>
  <c r="E84" i="16" s="1"/>
  <c r="D86" i="16"/>
  <c r="E86" i="16" s="1"/>
  <c r="D88" i="16"/>
  <c r="E88" i="16" s="1"/>
  <c r="D90" i="16"/>
  <c r="E90" i="16" s="1"/>
  <c r="D92" i="16"/>
  <c r="E92" i="16" s="1"/>
  <c r="D94" i="16"/>
  <c r="E94" i="16" s="1"/>
  <c r="D96" i="16"/>
  <c r="E96" i="16" s="1"/>
  <c r="D98" i="16"/>
  <c r="E98" i="16" s="1"/>
  <c r="D100" i="16"/>
  <c r="E100" i="16" s="1"/>
  <c r="D102" i="16"/>
  <c r="E102" i="16" s="1"/>
  <c r="D104" i="16"/>
  <c r="E104" i="16" s="1"/>
  <c r="D106" i="16"/>
  <c r="E106" i="16" s="1"/>
  <c r="D108" i="16"/>
  <c r="E108" i="16" s="1"/>
  <c r="D110" i="16"/>
  <c r="E110" i="16" s="1"/>
  <c r="D112" i="16"/>
  <c r="E112" i="16" s="1"/>
  <c r="D114" i="16"/>
  <c r="E114" i="16" s="1"/>
  <c r="D116" i="16"/>
  <c r="E116" i="16" s="1"/>
  <c r="D118" i="16"/>
  <c r="E118" i="16" s="1"/>
  <c r="D120" i="16"/>
  <c r="E120" i="16" s="1"/>
  <c r="D122" i="16"/>
  <c r="E122" i="16" s="1"/>
  <c r="D7" i="16"/>
  <c r="E7" i="16" s="1"/>
  <c r="D23" i="16"/>
  <c r="E23" i="16" s="1"/>
  <c r="D73" i="16"/>
  <c r="E73" i="16" s="1"/>
  <c r="D9" i="16"/>
  <c r="E9" i="16" s="1"/>
  <c r="D83" i="16"/>
  <c r="E83" i="16" s="1"/>
  <c r="D13" i="16"/>
  <c r="E13" i="16" s="1"/>
  <c r="D29" i="16"/>
  <c r="E29" i="16" s="1"/>
  <c r="D33" i="16"/>
  <c r="E33" i="16" s="1"/>
  <c r="D37" i="16"/>
  <c r="E37" i="16" s="1"/>
  <c r="D41" i="16"/>
  <c r="E41" i="16" s="1"/>
  <c r="D45" i="16"/>
  <c r="E45" i="16" s="1"/>
  <c r="D49" i="16"/>
  <c r="E49" i="16" s="1"/>
  <c r="D53" i="16"/>
  <c r="E53" i="16" s="1"/>
  <c r="D57" i="16"/>
  <c r="E57" i="16" s="1"/>
  <c r="D67" i="16"/>
  <c r="E67" i="16" s="1"/>
  <c r="D85" i="16"/>
  <c r="E85" i="16" s="1"/>
  <c r="D93" i="16"/>
  <c r="E93" i="16" s="1"/>
  <c r="D101" i="16"/>
  <c r="E101" i="16" s="1"/>
  <c r="D109" i="16"/>
  <c r="E109" i="16" s="1"/>
  <c r="D117" i="16"/>
  <c r="E117" i="16" s="1"/>
  <c r="D25" i="16"/>
  <c r="E25" i="16" s="1"/>
  <c r="D99" i="16"/>
  <c r="E99" i="16" s="1"/>
  <c r="D107" i="16"/>
  <c r="E107" i="16" s="1"/>
  <c r="D3" i="16"/>
  <c r="E3" i="16" s="1"/>
  <c r="D19" i="16"/>
  <c r="E19" i="16" s="1"/>
  <c r="D61" i="16"/>
  <c r="E61" i="16" s="1"/>
  <c r="D77" i="16"/>
  <c r="E77" i="16" s="1"/>
  <c r="D91" i="16"/>
  <c r="E91" i="16" s="1"/>
  <c r="D115" i="16"/>
  <c r="E115" i="16" s="1"/>
  <c r="D5" i="16"/>
  <c r="E5" i="16" s="1"/>
  <c r="D21" i="16"/>
  <c r="E21" i="16" s="1"/>
  <c r="D31" i="16"/>
  <c r="E31" i="16" s="1"/>
  <c r="D35" i="16"/>
  <c r="E35" i="16" s="1"/>
  <c r="D39" i="16"/>
  <c r="E39" i="16" s="1"/>
  <c r="D43" i="16"/>
  <c r="E43" i="16" s="1"/>
  <c r="D47" i="16"/>
  <c r="E47" i="16" s="1"/>
  <c r="D51" i="16"/>
  <c r="E51" i="16" s="1"/>
  <c r="D55" i="16"/>
  <c r="E55" i="16" s="1"/>
  <c r="D59" i="16"/>
  <c r="E59" i="16" s="1"/>
  <c r="D75" i="16"/>
  <c r="E75" i="16" s="1"/>
  <c r="D81" i="16"/>
  <c r="E81" i="16" s="1"/>
  <c r="D89" i="16"/>
  <c r="E89" i="16" s="1"/>
  <c r="D97" i="16"/>
  <c r="E97" i="16" s="1"/>
  <c r="D105" i="16"/>
  <c r="E105" i="16" s="1"/>
  <c r="D113" i="16"/>
  <c r="E113" i="16" s="1"/>
  <c r="D121" i="16"/>
  <c r="E121" i="16" s="1"/>
  <c r="D11" i="16"/>
  <c r="E11" i="16" s="1"/>
  <c r="D27" i="16"/>
  <c r="E27" i="16" s="1"/>
  <c r="D69" i="16"/>
  <c r="E69" i="16" s="1"/>
  <c r="D17" i="16"/>
  <c r="E17" i="16" s="1"/>
  <c r="D63" i="16"/>
  <c r="E63" i="16" s="1"/>
  <c r="D79" i="16"/>
  <c r="E79" i="16" s="1"/>
  <c r="D87" i="16"/>
  <c r="E87" i="16" s="1"/>
  <c r="D95" i="16"/>
  <c r="E95" i="16" s="1"/>
  <c r="D103" i="16"/>
  <c r="E103" i="16" s="1"/>
  <c r="D111" i="16"/>
  <c r="E111" i="16" s="1"/>
  <c r="D119" i="16"/>
  <c r="E119" i="16" s="1"/>
  <c r="D71" i="16"/>
  <c r="E71" i="16" s="1"/>
  <c r="D65" i="16"/>
  <c r="E65" i="16" s="1"/>
  <c r="D15" i="16"/>
  <c r="E15" i="16" s="1"/>
  <c r="D4" i="15"/>
  <c r="E4" i="15" s="1"/>
  <c r="D6" i="15"/>
  <c r="E6" i="15" s="1"/>
  <c r="D8" i="15"/>
  <c r="E8" i="15" s="1"/>
  <c r="D10" i="15"/>
  <c r="E10" i="15" s="1"/>
  <c r="D12" i="15"/>
  <c r="E12" i="15" s="1"/>
  <c r="D14" i="15"/>
  <c r="E14" i="15" s="1"/>
  <c r="D16" i="15"/>
  <c r="E16" i="15" s="1"/>
  <c r="D18" i="15"/>
  <c r="E18" i="15" s="1"/>
  <c r="D20" i="15"/>
  <c r="E20" i="15" s="1"/>
  <c r="D22" i="15"/>
  <c r="E22" i="15" s="1"/>
  <c r="D24" i="15"/>
  <c r="E24" i="15" s="1"/>
  <c r="D26" i="15"/>
  <c r="E26" i="15" s="1"/>
  <c r="D28" i="15"/>
  <c r="E28" i="15" s="1"/>
  <c r="D30" i="15"/>
  <c r="E30" i="15" s="1"/>
  <c r="D32" i="15"/>
  <c r="E32" i="15" s="1"/>
  <c r="D34" i="15"/>
  <c r="E34" i="15" s="1"/>
  <c r="D36" i="15"/>
  <c r="E36" i="15" s="1"/>
  <c r="D38" i="15"/>
  <c r="E38" i="15" s="1"/>
  <c r="D40" i="15"/>
  <c r="E40" i="15" s="1"/>
  <c r="D42" i="15"/>
  <c r="E42" i="15" s="1"/>
  <c r="D44" i="15"/>
  <c r="E44" i="15" s="1"/>
  <c r="D46" i="15"/>
  <c r="E46" i="15" s="1"/>
  <c r="D48" i="15"/>
  <c r="E48" i="15" s="1"/>
  <c r="D50" i="15"/>
  <c r="E50" i="15" s="1"/>
  <c r="D52" i="15"/>
  <c r="E52" i="15" s="1"/>
  <c r="D54" i="15"/>
  <c r="E54" i="15" s="1"/>
  <c r="D56" i="15"/>
  <c r="E56" i="15" s="1"/>
  <c r="D58" i="15"/>
  <c r="E58" i="15" s="1"/>
  <c r="D60" i="15"/>
  <c r="E60" i="15" s="1"/>
  <c r="D62" i="15"/>
  <c r="E62" i="15" s="1"/>
  <c r="D64" i="15"/>
  <c r="E64" i="15" s="1"/>
  <c r="D66" i="15"/>
  <c r="E66" i="15" s="1"/>
  <c r="D68" i="15"/>
  <c r="E68" i="15" s="1"/>
  <c r="D70" i="15"/>
  <c r="E70" i="15" s="1"/>
  <c r="D72" i="15"/>
  <c r="E72" i="15" s="1"/>
  <c r="D74" i="15"/>
  <c r="E74" i="15" s="1"/>
  <c r="D76" i="15"/>
  <c r="E76" i="15" s="1"/>
  <c r="D78" i="15"/>
  <c r="E78" i="15" s="1"/>
  <c r="D80" i="15"/>
  <c r="E80" i="15" s="1"/>
  <c r="D82" i="15"/>
  <c r="E82" i="15" s="1"/>
  <c r="D84" i="15"/>
  <c r="E84" i="15" s="1"/>
  <c r="D86" i="15"/>
  <c r="E86" i="15" s="1"/>
  <c r="D88" i="15"/>
  <c r="E88" i="15" s="1"/>
  <c r="D90" i="15"/>
  <c r="E90" i="15" s="1"/>
  <c r="D92" i="15"/>
  <c r="E92" i="15" s="1"/>
  <c r="D94" i="15"/>
  <c r="E94" i="15" s="1"/>
  <c r="D96" i="15"/>
  <c r="E96" i="15" s="1"/>
  <c r="D98" i="15"/>
  <c r="E98" i="15" s="1"/>
  <c r="D100" i="15"/>
  <c r="E100" i="15" s="1"/>
  <c r="D102" i="15"/>
  <c r="E102" i="15" s="1"/>
  <c r="D104" i="15"/>
  <c r="E104" i="15" s="1"/>
  <c r="D106" i="15"/>
  <c r="E106" i="15" s="1"/>
  <c r="D108" i="15"/>
  <c r="E108" i="15" s="1"/>
  <c r="D110" i="15"/>
  <c r="E110" i="15" s="1"/>
  <c r="D112" i="15"/>
  <c r="E112" i="15" s="1"/>
  <c r="D114" i="15"/>
  <c r="E114" i="15" s="1"/>
  <c r="D116" i="15"/>
  <c r="E116" i="15" s="1"/>
  <c r="D118" i="15"/>
  <c r="E118" i="15" s="1"/>
  <c r="D120" i="15"/>
  <c r="E120" i="15" s="1"/>
  <c r="D122" i="15"/>
  <c r="E122" i="15" s="1"/>
  <c r="D7" i="15"/>
  <c r="E7" i="15" s="1"/>
  <c r="D71" i="15"/>
  <c r="E71" i="15" s="1"/>
  <c r="D13" i="15"/>
  <c r="E13" i="15" s="1"/>
  <c r="D29" i="15"/>
  <c r="E29" i="15" s="1"/>
  <c r="D45" i="15"/>
  <c r="E45" i="15" s="1"/>
  <c r="D61" i="15"/>
  <c r="E61" i="15" s="1"/>
  <c r="D77" i="15"/>
  <c r="E77" i="15" s="1"/>
  <c r="D81" i="15"/>
  <c r="E81" i="15" s="1"/>
  <c r="D85" i="15"/>
  <c r="E85" i="15" s="1"/>
  <c r="D89" i="15"/>
  <c r="E89" i="15" s="1"/>
  <c r="D93" i="15"/>
  <c r="E93" i="15" s="1"/>
  <c r="D97" i="15"/>
  <c r="E97" i="15" s="1"/>
  <c r="D101" i="15"/>
  <c r="E101" i="15" s="1"/>
  <c r="D105" i="15"/>
  <c r="E105" i="15" s="1"/>
  <c r="D109" i="15"/>
  <c r="E109" i="15" s="1"/>
  <c r="D113" i="15"/>
  <c r="E113" i="15" s="1"/>
  <c r="D3" i="15"/>
  <c r="E3" i="15" s="1"/>
  <c r="D19" i="15"/>
  <c r="E19" i="15" s="1"/>
  <c r="D35" i="15"/>
  <c r="E35" i="15" s="1"/>
  <c r="D51" i="15"/>
  <c r="E51" i="15" s="1"/>
  <c r="D67" i="15"/>
  <c r="E67" i="15" s="1"/>
  <c r="D117" i="15"/>
  <c r="E117" i="15" s="1"/>
  <c r="D9" i="15"/>
  <c r="E9" i="15" s="1"/>
  <c r="D25" i="15"/>
  <c r="E25" i="15" s="1"/>
  <c r="D41" i="15"/>
  <c r="E41" i="15" s="1"/>
  <c r="D57" i="15"/>
  <c r="E57" i="15" s="1"/>
  <c r="D73" i="15"/>
  <c r="E73" i="15" s="1"/>
  <c r="D15" i="15"/>
  <c r="E15" i="15" s="1"/>
  <c r="D31" i="15"/>
  <c r="E31" i="15" s="1"/>
  <c r="D47" i="15"/>
  <c r="E47" i="15" s="1"/>
  <c r="D63" i="15"/>
  <c r="E63" i="15" s="1"/>
  <c r="D121" i="15"/>
  <c r="E121" i="15" s="1"/>
  <c r="D5" i="15"/>
  <c r="E5" i="15" s="1"/>
  <c r="D21" i="15"/>
  <c r="E21" i="15" s="1"/>
  <c r="D37" i="15"/>
  <c r="E37" i="15" s="1"/>
  <c r="D53" i="15"/>
  <c r="E53" i="15" s="1"/>
  <c r="D69" i="15"/>
  <c r="E69" i="15" s="1"/>
  <c r="D79" i="15"/>
  <c r="E79" i="15" s="1"/>
  <c r="D83" i="15"/>
  <c r="E83" i="15" s="1"/>
  <c r="D87" i="15"/>
  <c r="E87" i="15" s="1"/>
  <c r="D91" i="15"/>
  <c r="E91" i="15" s="1"/>
  <c r="D95" i="15"/>
  <c r="E95" i="15" s="1"/>
  <c r="D99" i="15"/>
  <c r="E99" i="15" s="1"/>
  <c r="D103" i="15"/>
  <c r="E103" i="15" s="1"/>
  <c r="D107" i="15"/>
  <c r="E107" i="15" s="1"/>
  <c r="D111" i="15"/>
  <c r="E111" i="15" s="1"/>
  <c r="D115" i="15"/>
  <c r="E115" i="15" s="1"/>
  <c r="D11" i="15"/>
  <c r="E11" i="15" s="1"/>
  <c r="D27" i="15"/>
  <c r="E27" i="15" s="1"/>
  <c r="D43" i="15"/>
  <c r="E43" i="15" s="1"/>
  <c r="D59" i="15"/>
  <c r="E59" i="15" s="1"/>
  <c r="D75" i="15"/>
  <c r="E75" i="15" s="1"/>
  <c r="D17" i="15"/>
  <c r="E17" i="15" s="1"/>
  <c r="D33" i="15"/>
  <c r="E33" i="15" s="1"/>
  <c r="D49" i="15"/>
  <c r="E49" i="15" s="1"/>
  <c r="D65" i="15"/>
  <c r="E65" i="15" s="1"/>
  <c r="D119" i="15"/>
  <c r="E119" i="15" s="1"/>
  <c r="D23" i="15"/>
  <c r="E23" i="15" s="1"/>
  <c r="D39" i="15"/>
  <c r="E39" i="15" s="1"/>
  <c r="D55" i="15"/>
  <c r="E55" i="15" s="1"/>
  <c r="F23" i="14"/>
  <c r="E12" i="13"/>
  <c r="F16" i="15"/>
  <c r="F50" i="16"/>
  <c r="F28" i="17"/>
  <c r="F94" i="17"/>
  <c r="F95" i="15"/>
  <c r="E18" i="13"/>
  <c r="F13" i="15"/>
  <c r="F71" i="16"/>
  <c r="F9" i="15"/>
  <c r="F54" i="17"/>
  <c r="F92" i="15"/>
  <c r="F56" i="15"/>
  <c r="F55" i="17"/>
  <c r="F105" i="15"/>
  <c r="F118" i="16"/>
  <c r="F8" i="16"/>
  <c r="F109" i="15"/>
  <c r="F81" i="17"/>
  <c r="F20" i="14"/>
  <c r="F79" i="17"/>
  <c r="F45" i="16"/>
  <c r="F32" i="15"/>
  <c r="F31" i="16"/>
  <c r="F73" i="15"/>
  <c r="F22" i="17"/>
  <c r="F60" i="15"/>
  <c r="F32" i="17"/>
  <c r="F45" i="17"/>
  <c r="F50" i="17"/>
  <c r="F10" i="17"/>
  <c r="F19" i="14"/>
  <c r="F3" i="16"/>
  <c r="F70" i="17"/>
  <c r="F78" i="17"/>
  <c r="F89" i="15"/>
  <c r="F12" i="17"/>
  <c r="F34" i="17"/>
  <c r="F64" i="15"/>
  <c r="F61" i="16"/>
  <c r="F56" i="17"/>
  <c r="F50" i="15"/>
  <c r="F109" i="17"/>
  <c r="F119" i="17"/>
  <c r="F25" i="15"/>
  <c r="F64" i="16"/>
  <c r="F31" i="17"/>
  <c r="F101" i="17"/>
  <c r="F92" i="17"/>
  <c r="F34" i="16"/>
  <c r="F93" i="15"/>
  <c r="F41" i="15"/>
  <c r="F98" i="17"/>
  <c r="F108" i="16"/>
  <c r="F90" i="16"/>
  <c r="E4" i="13"/>
  <c r="F21" i="16"/>
  <c r="F17" i="14"/>
  <c r="F38" i="17"/>
  <c r="F34" i="15"/>
  <c r="F5" i="17"/>
  <c r="F3" i="15"/>
  <c r="D4" i="18"/>
  <c r="F18" i="15"/>
  <c r="F95" i="16"/>
  <c r="F106" i="17"/>
  <c r="F56" i="16"/>
  <c r="E8" i="13"/>
  <c r="F100" i="17"/>
  <c r="F106" i="15"/>
  <c r="F90" i="15"/>
  <c r="F21" i="17"/>
  <c r="F120" i="15"/>
  <c r="F37" i="15"/>
  <c r="F6" i="16"/>
  <c r="F38" i="16"/>
  <c r="F81" i="15"/>
  <c r="F92" i="16"/>
  <c r="F53" i="17"/>
  <c r="F77" i="15"/>
  <c r="F67" i="16"/>
  <c r="F121" i="17"/>
  <c r="F71" i="15"/>
  <c r="F96" i="16"/>
  <c r="F16" i="16"/>
  <c r="F46" i="17"/>
  <c r="F51" i="15"/>
  <c r="F40" i="16"/>
  <c r="F94" i="15"/>
  <c r="F29" i="17"/>
  <c r="F122" i="16"/>
  <c r="F39" i="17"/>
  <c r="F112" i="16"/>
  <c r="F102" i="16"/>
  <c r="F113" i="16"/>
  <c r="F19" i="17"/>
  <c r="F65" i="16"/>
  <c r="E9" i="13"/>
  <c r="F35" i="17"/>
  <c r="F116" i="15"/>
  <c r="F66" i="15"/>
  <c r="F51" i="16"/>
  <c r="F71" i="17"/>
  <c r="F48" i="17"/>
  <c r="F57" i="17"/>
  <c r="F114" i="17"/>
  <c r="F90" i="17"/>
  <c r="F119" i="16"/>
  <c r="F65" i="15"/>
  <c r="F75" i="17"/>
  <c r="F59" i="15"/>
  <c r="F117" i="17"/>
  <c r="F7" i="16"/>
  <c r="F116" i="17"/>
  <c r="F105" i="16"/>
  <c r="F99" i="16"/>
  <c r="F66" i="16"/>
  <c r="F36" i="16"/>
  <c r="F88" i="15"/>
  <c r="F5" i="15"/>
  <c r="F74" i="16"/>
  <c r="F63" i="15"/>
  <c r="F88" i="17"/>
  <c r="F42" i="15"/>
  <c r="F85" i="16"/>
  <c r="F29" i="16"/>
  <c r="F46" i="15"/>
  <c r="F52" i="15"/>
  <c r="F84" i="15"/>
  <c r="F52" i="16"/>
  <c r="F84" i="16"/>
  <c r="F57" i="15"/>
  <c r="F45" i="15"/>
  <c r="F110" i="15"/>
  <c r="F115" i="16"/>
  <c r="F39" i="15"/>
  <c r="F42" i="16"/>
  <c r="F102" i="15"/>
  <c r="F101" i="15"/>
  <c r="F8" i="17"/>
  <c r="F28" i="16"/>
  <c r="F8" i="14"/>
  <c r="F107" i="16"/>
  <c r="F33" i="15"/>
  <c r="F99" i="15"/>
  <c r="F23" i="17"/>
  <c r="F15" i="15"/>
  <c r="F104" i="17"/>
  <c r="F48" i="15"/>
  <c r="F103" i="15"/>
  <c r="F77" i="17"/>
  <c r="F53" i="15"/>
  <c r="F43" i="17"/>
  <c r="F8" i="15"/>
  <c r="F51" i="17"/>
  <c r="F12" i="16"/>
  <c r="F42" i="17"/>
  <c r="F4" i="14"/>
  <c r="F3" i="17"/>
  <c r="F37" i="17"/>
  <c r="F100" i="15"/>
  <c r="F73" i="16"/>
  <c r="F9" i="16"/>
  <c r="F61" i="17"/>
  <c r="F69" i="16"/>
  <c r="F15" i="17"/>
  <c r="F72" i="17"/>
  <c r="F24" i="16"/>
  <c r="F47" i="16"/>
  <c r="F24" i="15"/>
  <c r="F96" i="17"/>
  <c r="F68" i="15"/>
  <c r="E3" i="13"/>
  <c r="F82" i="16"/>
  <c r="F98" i="16"/>
  <c r="F111" i="15"/>
  <c r="F17" i="15"/>
  <c r="F17" i="16"/>
  <c r="F103" i="17"/>
  <c r="F113" i="15"/>
  <c r="F60" i="17"/>
  <c r="F122" i="15"/>
  <c r="F43" i="16"/>
  <c r="F15" i="14"/>
  <c r="F55" i="16"/>
  <c r="F87" i="15"/>
  <c r="F57" i="16"/>
  <c r="F97" i="15"/>
  <c r="F20" i="17"/>
  <c r="F83" i="17"/>
  <c r="F20" i="16"/>
  <c r="F63" i="16"/>
  <c r="F69" i="17"/>
  <c r="F33" i="16"/>
  <c r="E6" i="13"/>
  <c r="F18" i="17"/>
  <c r="F83" i="16"/>
  <c r="F27" i="17"/>
  <c r="F101" i="16"/>
  <c r="F78" i="15"/>
  <c r="F55" i="15"/>
  <c r="F36" i="15"/>
  <c r="F19" i="15"/>
  <c r="F67" i="15"/>
  <c r="F37" i="16"/>
  <c r="F44" i="17"/>
  <c r="D3" i="18"/>
  <c r="F100" i="16"/>
  <c r="F93" i="16"/>
  <c r="F25" i="17"/>
  <c r="F61" i="15"/>
  <c r="F104" i="15"/>
  <c r="F11" i="16"/>
  <c r="F97" i="16"/>
  <c r="F44" i="15"/>
  <c r="F62" i="17"/>
  <c r="F38" i="15"/>
  <c r="F12" i="15"/>
  <c r="F83" i="15"/>
  <c r="F95" i="17"/>
  <c r="F49" i="16"/>
  <c r="F24" i="17"/>
  <c r="F76" i="16"/>
  <c r="F59" i="16"/>
  <c r="F116" i="16"/>
  <c r="F62" i="16"/>
  <c r="F28" i="15"/>
  <c r="F85" i="15"/>
  <c r="F9" i="14"/>
  <c r="F118" i="15"/>
  <c r="F41" i="16"/>
  <c r="F91" i="17"/>
  <c r="F10" i="14"/>
  <c r="F32" i="16"/>
  <c r="F40" i="17"/>
  <c r="E10" i="13"/>
  <c r="F122" i="17"/>
  <c r="F99" i="17"/>
  <c r="F22" i="15"/>
  <c r="F112" i="15"/>
  <c r="F87" i="16"/>
  <c r="F46" i="16"/>
  <c r="F27" i="16"/>
  <c r="F121" i="16"/>
  <c r="F93" i="17"/>
  <c r="F72" i="16"/>
  <c r="F118" i="17"/>
  <c r="F54" i="16"/>
  <c r="F41" i="17"/>
  <c r="F14" i="15"/>
  <c r="F68" i="16"/>
  <c r="F48" i="16"/>
  <c r="F21" i="14"/>
  <c r="F30" i="16"/>
  <c r="F86" i="16"/>
  <c r="F114" i="15"/>
  <c r="F112" i="17"/>
  <c r="F84" i="17"/>
  <c r="F96" i="15"/>
  <c r="F76" i="17"/>
  <c r="F62" i="15"/>
  <c r="F16" i="14"/>
  <c r="F103" i="16"/>
  <c r="F89" i="16"/>
  <c r="F85" i="17"/>
  <c r="F21" i="15"/>
  <c r="F7" i="15"/>
  <c r="F77" i="16"/>
  <c r="F98" i="15"/>
  <c r="F23" i="16"/>
  <c r="F115" i="15"/>
  <c r="F18" i="16"/>
  <c r="F26" i="14"/>
  <c r="F68" i="17"/>
  <c r="F80" i="16"/>
  <c r="F64" i="17"/>
  <c r="F75" i="15"/>
  <c r="F27" i="15"/>
  <c r="F88" i="16"/>
  <c r="F120" i="17"/>
  <c r="F4" i="17"/>
  <c r="F52" i="17"/>
  <c r="F60" i="16"/>
  <c r="F17" i="17"/>
  <c r="F59" i="17"/>
  <c r="E11" i="13"/>
  <c r="F5" i="16"/>
  <c r="F11" i="17"/>
  <c r="F6" i="17"/>
  <c r="F86" i="15"/>
  <c r="F73" i="17"/>
  <c r="F78" i="16"/>
  <c r="F76" i="15"/>
  <c r="F58" i="15"/>
  <c r="F79" i="16"/>
  <c r="F4" i="15"/>
  <c r="F70" i="16"/>
  <c r="F14" i="14"/>
  <c r="F107" i="17"/>
  <c r="F91" i="16"/>
  <c r="F30" i="17"/>
  <c r="F22" i="16"/>
  <c r="F29" i="15"/>
  <c r="F39" i="16"/>
  <c r="F111" i="17"/>
  <c r="F113" i="17"/>
  <c r="F18" i="14"/>
  <c r="F109" i="16"/>
  <c r="F5" i="14"/>
  <c r="F10" i="16"/>
  <c r="F104" i="16"/>
  <c r="F86" i="17"/>
  <c r="F26" i="15"/>
  <c r="F49" i="15"/>
  <c r="F6" i="14"/>
  <c r="F117" i="15"/>
  <c r="F106" i="16"/>
  <c r="F65" i="17"/>
  <c r="F110" i="17"/>
  <c r="E13" i="13"/>
  <c r="F36" i="17"/>
  <c r="F13" i="16"/>
  <c r="F70" i="15"/>
  <c r="F63" i="17"/>
  <c r="F35" i="15"/>
  <c r="F80" i="17"/>
  <c r="F115" i="17"/>
  <c r="F111" i="16"/>
  <c r="F79" i="15"/>
  <c r="F82" i="17"/>
  <c r="F11" i="15"/>
  <c r="F26" i="17"/>
  <c r="E14" i="13"/>
  <c r="F108" i="15"/>
  <c r="F24" i="14"/>
  <c r="F40" i="15"/>
  <c r="F23" i="15"/>
  <c r="E16" i="13"/>
  <c r="F97" i="17"/>
  <c r="F72" i="15"/>
  <c r="F58" i="16"/>
  <c r="F94" i="16"/>
  <c r="F16" i="17"/>
  <c r="F87" i="17"/>
  <c r="F69" i="15"/>
  <c r="F120" i="16"/>
  <c r="F105" i="17"/>
  <c r="F26" i="16"/>
  <c r="F13" i="17"/>
  <c r="F9" i="17"/>
  <c r="E19" i="13"/>
  <c r="F107" i="15"/>
  <c r="F7" i="17"/>
  <c r="F74" i="15"/>
  <c r="F14" i="16"/>
  <c r="F121" i="15"/>
  <c r="F49" i="17"/>
  <c r="F35" i="16"/>
  <c r="F25" i="16"/>
  <c r="F44" i="16"/>
  <c r="F75" i="16"/>
  <c r="F33" i="17"/>
  <c r="F102" i="17"/>
  <c r="F66" i="17"/>
  <c r="F53" i="16"/>
  <c r="F31" i="15"/>
  <c r="F74" i="17"/>
  <c r="F114" i="16"/>
  <c r="F67" i="17"/>
  <c r="F89" i="17"/>
  <c r="F30" i="15"/>
  <c r="F108" i="17"/>
  <c r="F82" i="15"/>
  <c r="F110" i="16"/>
  <c r="F119" i="15"/>
  <c r="F6" i="15"/>
  <c r="F80" i="15"/>
  <c r="F14" i="17"/>
  <c r="F15" i="16"/>
  <c r="F91" i="15"/>
  <c r="F117" i="16"/>
  <c r="F47" i="17"/>
  <c r="F58" i="17"/>
  <c r="F20" i="15"/>
  <c r="F43" i="15"/>
  <c r="F81" i="16"/>
  <c r="E15" i="13"/>
  <c r="F54" i="15"/>
  <c r="F4" i="16"/>
  <c r="F47" i="15"/>
  <c r="F19" i="16"/>
  <c r="F10" i="15"/>
  <c r="C2" i="18"/>
  <c r="E2" i="14"/>
  <c r="D2" i="13"/>
  <c r="C3" i="11" l="1"/>
  <c r="C4" i="11" s="1"/>
  <c r="D3" i="11"/>
  <c r="D4" i="11" s="1"/>
  <c r="D5" i="11" s="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C3" i="10"/>
  <c r="C4" i="10" s="1"/>
  <c r="D3" i="10"/>
  <c r="D4" i="10" s="1"/>
  <c r="D5" i="10" s="1"/>
  <c r="D6" i="10" s="1"/>
  <c r="D7" i="10" s="1"/>
  <c r="D8" i="10" s="1"/>
  <c r="D9" i="10" s="1"/>
  <c r="D10" i="10" s="1"/>
  <c r="D11" i="10" s="1"/>
  <c r="D12" i="10" s="1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C3" i="9"/>
  <c r="C4" i="9" s="1"/>
  <c r="D3" i="9"/>
  <c r="D4" i="9" s="1"/>
  <c r="D5" i="9" s="1"/>
  <c r="D6" i="9" s="1"/>
  <c r="D7" i="9" s="1"/>
  <c r="D8" i="9" s="1"/>
  <c r="D9" i="9" s="1"/>
  <c r="D10" i="9" s="1"/>
  <c r="D11" i="9" s="1"/>
  <c r="D12" i="9" s="1"/>
  <c r="D13" i="9" s="1"/>
  <c r="D14" i="9" s="1"/>
  <c r="D15" i="9" s="1"/>
  <c r="D16" i="9" s="1"/>
  <c r="D17" i="9" s="1"/>
  <c r="D18" i="9" s="1"/>
  <c r="D19" i="9" s="1"/>
  <c r="D20" i="9" s="1"/>
  <c r="D21" i="9" s="1"/>
  <c r="D22" i="9" s="1"/>
  <c r="D23" i="9" s="1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D40" i="9" s="1"/>
  <c r="G108" i="15"/>
  <c r="G107" i="17"/>
  <c r="G108" i="16"/>
  <c r="G88" i="17"/>
  <c r="G55" i="17"/>
  <c r="G26" i="15"/>
  <c r="G73" i="17"/>
  <c r="G80" i="17"/>
  <c r="G84" i="17"/>
  <c r="G72" i="15"/>
  <c r="G113" i="17"/>
  <c r="G111" i="17"/>
  <c r="G94" i="17"/>
  <c r="G94" i="15"/>
  <c r="G95" i="16"/>
  <c r="G102" i="16"/>
  <c r="G27" i="17"/>
  <c r="G99" i="17"/>
  <c r="G86" i="16"/>
  <c r="G21" i="17"/>
  <c r="G10" i="16"/>
  <c r="G61" i="15"/>
  <c r="G53" i="15"/>
  <c r="G26" i="17"/>
  <c r="G101" i="17"/>
  <c r="G89" i="16"/>
  <c r="G74" i="17"/>
  <c r="G84" i="16"/>
  <c r="G100" i="15"/>
  <c r="G106" i="17"/>
  <c r="G30" i="15"/>
  <c r="G81" i="15"/>
  <c r="G40" i="16"/>
  <c r="G18" i="16"/>
  <c r="G79" i="17"/>
  <c r="G114" i="17"/>
  <c r="G93" i="17"/>
  <c r="G34" i="17"/>
  <c r="G7" i="17"/>
  <c r="G110" i="16"/>
  <c r="G76" i="17"/>
  <c r="G8" i="17"/>
  <c r="G8" i="15"/>
  <c r="G78" i="15"/>
  <c r="G28" i="17"/>
  <c r="G83" i="17"/>
  <c r="G61" i="16"/>
  <c r="G29" i="15"/>
  <c r="G36" i="16"/>
  <c r="G99" i="16"/>
  <c r="G28" i="15"/>
  <c r="G88" i="16"/>
  <c r="G119" i="17"/>
  <c r="G70" i="15"/>
  <c r="G17" i="17"/>
  <c r="G23" i="16"/>
  <c r="G69" i="15"/>
  <c r="G25" i="17"/>
  <c r="G38" i="15"/>
  <c r="G118" i="17"/>
  <c r="G41" i="15"/>
  <c r="G117" i="16"/>
  <c r="G48" i="15"/>
  <c r="G30" i="16"/>
  <c r="G90" i="17"/>
  <c r="G42" i="17"/>
  <c r="G48" i="17"/>
  <c r="G115" i="16"/>
  <c r="G75" i="17"/>
  <c r="B1" i="12"/>
  <c r="G90" i="15"/>
  <c r="G98" i="17"/>
  <c r="G98" i="16"/>
  <c r="G13" i="15"/>
  <c r="G71" i="16"/>
  <c r="G59" i="16"/>
  <c r="G43" i="15"/>
  <c r="G44" i="16"/>
  <c r="G73" i="15"/>
  <c r="G106" i="15"/>
  <c r="G87" i="17"/>
  <c r="G120" i="15"/>
  <c r="G45" i="16"/>
  <c r="G59" i="17"/>
  <c r="G77" i="15"/>
  <c r="G12" i="16"/>
  <c r="G34" i="15"/>
  <c r="G3" i="16"/>
  <c r="G50" i="16"/>
  <c r="G23" i="15"/>
  <c r="G57" i="17"/>
  <c r="G95" i="15"/>
  <c r="G112" i="17"/>
  <c r="G15" i="15"/>
  <c r="G21" i="16"/>
  <c r="G89" i="17"/>
  <c r="G33" i="17"/>
  <c r="G22" i="16"/>
  <c r="G117" i="15"/>
  <c r="G115" i="15"/>
  <c r="G25" i="15"/>
  <c r="G32" i="17"/>
  <c r="G87" i="16"/>
  <c r="G17" i="15"/>
  <c r="G81" i="17"/>
  <c r="G50" i="17"/>
  <c r="G31" i="15"/>
  <c r="G105" i="15"/>
  <c r="G76" i="15"/>
  <c r="G62" i="15"/>
  <c r="G58" i="17"/>
  <c r="G77" i="16"/>
  <c r="G122" i="17"/>
  <c r="G54" i="15"/>
  <c r="G116" i="16"/>
  <c r="G20" i="17"/>
  <c r="G122" i="15"/>
  <c r="G35" i="15"/>
  <c r="G56" i="16"/>
  <c r="G93" i="16"/>
  <c r="G111" i="15"/>
  <c r="G96" i="16"/>
  <c r="G122" i="16"/>
  <c r="G98" i="15"/>
  <c r="G71" i="15"/>
  <c r="G47" i="15"/>
  <c r="G109" i="16"/>
  <c r="G44" i="17"/>
  <c r="G41" i="16"/>
  <c r="G45" i="15"/>
  <c r="G115" i="17"/>
  <c r="G36" i="15"/>
  <c r="G80" i="15"/>
  <c r="G77" i="17"/>
  <c r="G34" i="16"/>
  <c r="G82" i="15"/>
  <c r="G19" i="15"/>
  <c r="G13" i="16"/>
  <c r="G39" i="17"/>
  <c r="G118" i="15"/>
  <c r="G81" i="16"/>
  <c r="G29" i="16"/>
  <c r="G67" i="17"/>
  <c r="G86" i="17"/>
  <c r="G51" i="15"/>
  <c r="G6" i="16"/>
  <c r="G9" i="15"/>
  <c r="G5" i="16"/>
  <c r="G45" i="17"/>
  <c r="G51" i="17"/>
  <c r="G56" i="15"/>
  <c r="G102" i="17"/>
  <c r="G15" i="16"/>
  <c r="G112" i="16"/>
  <c r="G27" i="16"/>
  <c r="G91" i="16"/>
  <c r="G12" i="17"/>
  <c r="G74" i="16"/>
  <c r="G35" i="16"/>
  <c r="G49" i="16"/>
  <c r="G64" i="15"/>
  <c r="G68" i="17"/>
  <c r="G46" i="17"/>
  <c r="G66" i="16"/>
  <c r="G73" i="16"/>
  <c r="G65" i="15"/>
  <c r="G100" i="16"/>
  <c r="G40" i="15"/>
  <c r="G24" i="17"/>
  <c r="G4" i="15"/>
  <c r="G54" i="17"/>
  <c r="G51" i="16"/>
  <c r="G59" i="15"/>
  <c r="G75" i="16"/>
  <c r="G80" i="16"/>
  <c r="G62" i="16"/>
  <c r="G22" i="15"/>
  <c r="G44" i="15"/>
  <c r="G119" i="15"/>
  <c r="G104" i="17"/>
  <c r="G39" i="16"/>
  <c r="G85" i="16"/>
  <c r="G90" i="16"/>
  <c r="G32" i="15"/>
  <c r="G5" i="17"/>
  <c r="G30" i="17"/>
  <c r="G38" i="17"/>
  <c r="G16" i="16"/>
  <c r="G64" i="17"/>
  <c r="G20" i="15"/>
  <c r="G62" i="17"/>
  <c r="G97" i="17"/>
  <c r="G113" i="16"/>
  <c r="G113" i="15"/>
  <c r="G33" i="15"/>
  <c r="G103" i="16"/>
  <c r="G9" i="16"/>
  <c r="G117" i="17"/>
  <c r="G120" i="16"/>
  <c r="G26" i="16"/>
  <c r="G69" i="17"/>
  <c r="G6" i="15"/>
  <c r="G37" i="15"/>
  <c r="G35" i="17"/>
  <c r="G60" i="15"/>
  <c r="G88" i="15"/>
  <c r="G116" i="17"/>
  <c r="G24" i="16"/>
  <c r="G84" i="15"/>
  <c r="G3" i="17"/>
  <c r="G52" i="17"/>
  <c r="G61" i="17"/>
  <c r="G43" i="17"/>
  <c r="G121" i="17"/>
  <c r="G100" i="17"/>
  <c r="G46" i="15"/>
  <c r="G96" i="15"/>
  <c r="G47" i="16"/>
  <c r="G111" i="16"/>
  <c r="G49" i="15"/>
  <c r="G70" i="17"/>
  <c r="G87" i="15"/>
  <c r="G11" i="15"/>
  <c r="G7" i="15"/>
  <c r="G104" i="16"/>
  <c r="G31" i="16"/>
  <c r="G20" i="16"/>
  <c r="G105" i="16"/>
  <c r="G85" i="15"/>
  <c r="G3" i="15"/>
  <c r="G29" i="17"/>
  <c r="G32" i="16"/>
  <c r="G28" i="16"/>
  <c r="G56" i="17"/>
  <c r="G109" i="17"/>
  <c r="G58" i="15"/>
  <c r="G42" i="16"/>
  <c r="G10" i="17"/>
  <c r="G14" i="16"/>
  <c r="G53" i="16"/>
  <c r="G22" i="17"/>
  <c r="G75" i="15"/>
  <c r="G78" i="16"/>
  <c r="G54" i="16"/>
  <c r="G97" i="15"/>
  <c r="G105" i="17"/>
  <c r="G65" i="17"/>
  <c r="G119" i="16"/>
  <c r="G55" i="16"/>
  <c r="G95" i="17"/>
  <c r="G74" i="15"/>
  <c r="G52" i="16"/>
  <c r="G94" i="16"/>
  <c r="G85" i="17"/>
  <c r="G68" i="16"/>
  <c r="G53" i="17"/>
  <c r="G69" i="16"/>
  <c r="G39" i="15"/>
  <c r="G92" i="16"/>
  <c r="G70" i="16"/>
  <c r="G5" i="15"/>
  <c r="G103" i="15"/>
  <c r="G23" i="17"/>
  <c r="G63" i="15"/>
  <c r="G13" i="17"/>
  <c r="G101" i="16"/>
  <c r="G86" i="15"/>
  <c r="G64" i="16"/>
  <c r="G31" i="17"/>
  <c r="G112" i="15"/>
  <c r="G12" i="15"/>
  <c r="G67" i="15"/>
  <c r="G89" i="15"/>
  <c r="G79" i="16"/>
  <c r="G57" i="16"/>
  <c r="G101" i="15"/>
  <c r="G83" i="15"/>
  <c r="G9" i="17"/>
  <c r="G120" i="17"/>
  <c r="G92" i="15"/>
  <c r="G104" i="15"/>
  <c r="G78" i="17"/>
  <c r="G109" i="15"/>
  <c r="G33" i="16"/>
  <c r="G102" i="15"/>
  <c r="G49" i="17"/>
  <c r="G121" i="16"/>
  <c r="G72" i="17"/>
  <c r="G10" i="15"/>
  <c r="G91" i="15"/>
  <c r="G52" i="15"/>
  <c r="G38" i="16"/>
  <c r="G110" i="15"/>
  <c r="G36" i="17"/>
  <c r="G14" i="15"/>
  <c r="G25" i="16"/>
  <c r="G42" i="15"/>
  <c r="G79" i="15"/>
  <c r="G116" i="15"/>
  <c r="G93" i="15"/>
  <c r="G27" i="15"/>
  <c r="G55" i="15"/>
  <c r="G57" i="15"/>
  <c r="G24" i="15"/>
  <c r="G11" i="17"/>
  <c r="G67" i="16"/>
  <c r="G16" i="15"/>
  <c r="G66" i="17"/>
  <c r="G118" i="16"/>
  <c r="G60" i="17"/>
  <c r="G71" i="17"/>
  <c r="G15" i="17"/>
  <c r="G82" i="16"/>
  <c r="G43" i="16"/>
  <c r="G6" i="17"/>
  <c r="G18" i="17"/>
  <c r="G16" i="17"/>
  <c r="G110" i="17"/>
  <c r="G63" i="16"/>
  <c r="G11" i="16"/>
  <c r="G7" i="16"/>
  <c r="G17" i="16"/>
  <c r="G8" i="16"/>
  <c r="G46" i="16"/>
  <c r="G107" i="15"/>
  <c r="G114" i="16"/>
  <c r="G19" i="17"/>
  <c r="G114" i="15"/>
  <c r="G83" i="16"/>
  <c r="G4" i="17"/>
  <c r="G21" i="15"/>
  <c r="G72" i="16"/>
  <c r="G96" i="17"/>
  <c r="G50" i="15"/>
  <c r="G121" i="15"/>
  <c r="G47" i="17"/>
  <c r="G106" i="16"/>
  <c r="G66" i="15"/>
  <c r="G76" i="16"/>
  <c r="G92" i="17"/>
  <c r="G48" i="16"/>
  <c r="G60" i="16"/>
  <c r="G63" i="17"/>
  <c r="G58" i="16"/>
  <c r="G103" i="17"/>
  <c r="G108" i="17"/>
  <c r="G99" i="15"/>
  <c r="G68" i="15"/>
  <c r="G14" i="17"/>
  <c r="G40" i="17"/>
  <c r="G91" i="17"/>
  <c r="G41" i="17"/>
  <c r="G4" i="16"/>
  <c r="G107" i="16"/>
  <c r="G19" i="16"/>
  <c r="G65" i="16"/>
  <c r="G82" i="17"/>
  <c r="G18" i="15"/>
  <c r="G37" i="16"/>
  <c r="G97" i="16"/>
  <c r="G37" i="17"/>
  <c r="E2" i="13"/>
  <c r="F2" i="14"/>
  <c r="D2" i="18"/>
  <c r="E3" i="10" l="1"/>
  <c r="E4" i="11"/>
  <c r="C5" i="11"/>
  <c r="E3" i="11"/>
  <c r="E2" i="10"/>
  <c r="C5" i="10"/>
  <c r="E4" i="10"/>
  <c r="E2" i="9"/>
  <c r="E4" i="9"/>
  <c r="C5" i="9"/>
  <c r="E3" i="9"/>
  <c r="F4" i="11"/>
  <c r="F3" i="9"/>
  <c r="F3" i="10"/>
  <c r="F4" i="10"/>
  <c r="F3" i="11"/>
  <c r="F4" i="9"/>
  <c r="C6" i="11" l="1"/>
  <c r="E5" i="11"/>
  <c r="E5" i="10"/>
  <c r="C6" i="10"/>
  <c r="C6" i="9"/>
  <c r="E5" i="9"/>
  <c r="G3" i="11"/>
  <c r="G3" i="10"/>
  <c r="G3" i="9"/>
  <c r="G4" i="11"/>
  <c r="F5" i="10"/>
  <c r="G5" i="10" s="1"/>
  <c r="G4" i="10"/>
  <c r="F5" i="9"/>
  <c r="G4" i="9"/>
  <c r="F5" i="11"/>
  <c r="C7" i="11" l="1"/>
  <c r="E6" i="11"/>
  <c r="C7" i="10"/>
  <c r="E6" i="10"/>
  <c r="E6" i="9"/>
  <c r="C7" i="9"/>
  <c r="F6" i="9"/>
  <c r="F6" i="11"/>
  <c r="G5" i="11"/>
  <c r="G5" i="9"/>
  <c r="F6" i="10"/>
  <c r="E2" i="11" l="1"/>
  <c r="E7" i="11"/>
  <c r="C8" i="11"/>
  <c r="E7" i="10"/>
  <c r="C8" i="10"/>
  <c r="E7" i="9"/>
  <c r="C8" i="9"/>
  <c r="G6" i="10"/>
  <c r="F7" i="11"/>
  <c r="F7" i="10"/>
  <c r="G7" i="10"/>
  <c r="G7" i="11"/>
  <c r="G6" i="11"/>
  <c r="G6" i="9"/>
  <c r="F7" i="9"/>
  <c r="C9" i="11" l="1"/>
  <c r="E8" i="11"/>
  <c r="E8" i="10"/>
  <c r="C9" i="10"/>
  <c r="C9" i="9"/>
  <c r="E8" i="9"/>
  <c r="F8" i="11"/>
  <c r="G7" i="9"/>
  <c r="F8" i="10"/>
  <c r="G8" i="10" s="1"/>
  <c r="F8" i="9"/>
  <c r="C10" i="11" l="1"/>
  <c r="E9" i="11"/>
  <c r="C10" i="10"/>
  <c r="E9" i="10"/>
  <c r="C10" i="9"/>
  <c r="E9" i="9"/>
  <c r="G8" i="9"/>
  <c r="G8" i="11"/>
  <c r="F9" i="11"/>
  <c r="F9" i="9"/>
  <c r="F9" i="10"/>
  <c r="C11" i="11" l="1"/>
  <c r="E10" i="11"/>
  <c r="E10" i="10"/>
  <c r="C11" i="10"/>
  <c r="E10" i="9"/>
  <c r="C11" i="9"/>
  <c r="G9" i="10"/>
  <c r="F10" i="11"/>
  <c r="G9" i="11"/>
  <c r="G9" i="9"/>
  <c r="F10" i="10"/>
  <c r="F10" i="9"/>
  <c r="G10" i="10"/>
  <c r="C12" i="11" l="1"/>
  <c r="E11" i="11"/>
  <c r="C12" i="10"/>
  <c r="E11" i="10"/>
  <c r="C12" i="9"/>
  <c r="E11" i="9"/>
  <c r="G10" i="9"/>
  <c r="G10" i="11"/>
  <c r="F11" i="11"/>
  <c r="F11" i="10"/>
  <c r="F11" i="9"/>
  <c r="G11" i="10"/>
  <c r="E12" i="11" l="1"/>
  <c r="C13" i="11"/>
  <c r="C13" i="10"/>
  <c r="E12" i="10"/>
  <c r="E12" i="9"/>
  <c r="C13" i="9"/>
  <c r="F12" i="11"/>
  <c r="G11" i="11"/>
  <c r="G11" i="9"/>
  <c r="F12" i="10"/>
  <c r="F12" i="9"/>
  <c r="G12" i="10"/>
  <c r="G12" i="11"/>
  <c r="C14" i="11" l="1"/>
  <c r="E13" i="11"/>
  <c r="E13" i="10"/>
  <c r="C14" i="10"/>
  <c r="C14" i="9"/>
  <c r="E13" i="9"/>
  <c r="G12" i="9"/>
  <c r="F13" i="10"/>
  <c r="F13" i="9"/>
  <c r="F13" i="11"/>
  <c r="C15" i="11" l="1"/>
  <c r="E14" i="11"/>
  <c r="E14" i="10"/>
  <c r="C15" i="10"/>
  <c r="C15" i="9"/>
  <c r="E14" i="9"/>
  <c r="G13" i="9"/>
  <c r="F14" i="10"/>
  <c r="G14" i="10" s="1"/>
  <c r="G13" i="11"/>
  <c r="F14" i="9"/>
  <c r="G13" i="10"/>
  <c r="F14" i="11"/>
  <c r="E15" i="11" l="1"/>
  <c r="C16" i="11"/>
  <c r="E15" i="10"/>
  <c r="C16" i="10"/>
  <c r="C16" i="9"/>
  <c r="E15" i="9"/>
  <c r="F15" i="11"/>
  <c r="G14" i="11"/>
  <c r="G14" i="9"/>
  <c r="F15" i="10"/>
  <c r="F15" i="9"/>
  <c r="G15" i="10"/>
  <c r="C17" i="11" l="1"/>
  <c r="E16" i="11"/>
  <c r="C17" i="10"/>
  <c r="E16" i="10"/>
  <c r="C17" i="9"/>
  <c r="E16" i="9"/>
  <c r="F16" i="11"/>
  <c r="G15" i="11"/>
  <c r="G15" i="9"/>
  <c r="F16" i="10"/>
  <c r="F16" i="9"/>
  <c r="E17" i="11" l="1"/>
  <c r="C18" i="11"/>
  <c r="C18" i="10"/>
  <c r="E17" i="10"/>
  <c r="E17" i="9"/>
  <c r="C18" i="9"/>
  <c r="F17" i="9"/>
  <c r="G16" i="10"/>
  <c r="F17" i="11"/>
  <c r="G16" i="11"/>
  <c r="G16" i="9"/>
  <c r="F17" i="10"/>
  <c r="C19" i="11" l="1"/>
  <c r="E18" i="11"/>
  <c r="E18" i="10"/>
  <c r="C19" i="10"/>
  <c r="E18" i="9"/>
  <c r="C19" i="9"/>
  <c r="F18" i="9"/>
  <c r="G17" i="10"/>
  <c r="F18" i="11"/>
  <c r="G17" i="11"/>
  <c r="G17" i="9"/>
  <c r="F18" i="10"/>
  <c r="C20" i="11" l="1"/>
  <c r="E19" i="11"/>
  <c r="C20" i="10"/>
  <c r="E19" i="10"/>
  <c r="C20" i="9"/>
  <c r="E19" i="9"/>
  <c r="G18" i="10"/>
  <c r="F19" i="11"/>
  <c r="G18" i="11"/>
  <c r="G18" i="9"/>
  <c r="F19" i="10"/>
  <c r="F19" i="9"/>
  <c r="E20" i="11" l="1"/>
  <c r="C21" i="11"/>
  <c r="C21" i="10"/>
  <c r="E20" i="10"/>
  <c r="E20" i="9"/>
  <c r="C21" i="9"/>
  <c r="G19" i="10"/>
  <c r="F20" i="11"/>
  <c r="G19" i="11"/>
  <c r="G19" i="9"/>
  <c r="F20" i="10"/>
  <c r="F20" i="9"/>
  <c r="C22" i="11" l="1"/>
  <c r="E21" i="11"/>
  <c r="C22" i="10"/>
  <c r="E21" i="10"/>
  <c r="C22" i="9"/>
  <c r="E21" i="9"/>
  <c r="G20" i="10"/>
  <c r="F21" i="11"/>
  <c r="G20" i="11"/>
  <c r="G20" i="9"/>
  <c r="F21" i="10"/>
  <c r="F21" i="9"/>
  <c r="C23" i="11" l="1"/>
  <c r="E22" i="11"/>
  <c r="C23" i="10"/>
  <c r="E22" i="10"/>
  <c r="C23" i="9"/>
  <c r="E22" i="9"/>
  <c r="G21" i="10"/>
  <c r="F22" i="11"/>
  <c r="G21" i="11"/>
  <c r="G21" i="9"/>
  <c r="F22" i="10"/>
  <c r="F22" i="9"/>
  <c r="G22" i="10"/>
  <c r="E23" i="11" l="1"/>
  <c r="C24" i="11"/>
  <c r="E23" i="10"/>
  <c r="C24" i="10"/>
  <c r="E23" i="9"/>
  <c r="C24" i="9"/>
  <c r="F23" i="11"/>
  <c r="G22" i="11"/>
  <c r="G22" i="9"/>
  <c r="F23" i="10"/>
  <c r="F23" i="9"/>
  <c r="G23" i="10"/>
  <c r="E24" i="11" l="1"/>
  <c r="C25" i="11"/>
  <c r="E24" i="10"/>
  <c r="C25" i="10"/>
  <c r="C25" i="9"/>
  <c r="E24" i="9"/>
  <c r="F24" i="11"/>
  <c r="G23" i="11"/>
  <c r="G23" i="9"/>
  <c r="F24" i="10"/>
  <c r="F24" i="9"/>
  <c r="G24" i="10"/>
  <c r="C26" i="11" l="1"/>
  <c r="E25" i="11"/>
  <c r="C26" i="10"/>
  <c r="E25" i="10"/>
  <c r="E25" i="9"/>
  <c r="C26" i="9"/>
  <c r="F25" i="11"/>
  <c r="G24" i="11"/>
  <c r="G24" i="9"/>
  <c r="F25" i="10"/>
  <c r="F25" i="9"/>
  <c r="G25" i="10"/>
  <c r="C27" i="11" l="1"/>
  <c r="E26" i="11"/>
  <c r="E26" i="10"/>
  <c r="C27" i="10"/>
  <c r="E26" i="9"/>
  <c r="C27" i="9"/>
  <c r="F26" i="11"/>
  <c r="G25" i="11"/>
  <c r="G25" i="9"/>
  <c r="F26" i="10"/>
  <c r="F26" i="9"/>
  <c r="G26" i="10"/>
  <c r="C28" i="11" l="1"/>
  <c r="E27" i="11"/>
  <c r="C28" i="10"/>
  <c r="E27" i="10"/>
  <c r="C28" i="9"/>
  <c r="E27" i="9"/>
  <c r="F27" i="11"/>
  <c r="G26" i="11"/>
  <c r="G26" i="9"/>
  <c r="F27" i="10"/>
  <c r="F27" i="9"/>
  <c r="E28" i="11" l="1"/>
  <c r="C29" i="11"/>
  <c r="C29" i="10"/>
  <c r="E28" i="10"/>
  <c r="E28" i="9"/>
  <c r="C29" i="9"/>
  <c r="G27" i="10"/>
  <c r="F28" i="11"/>
  <c r="G27" i="11"/>
  <c r="G27" i="9"/>
  <c r="F28" i="10"/>
  <c r="F28" i="9"/>
  <c r="C30" i="11" l="1"/>
  <c r="E29" i="11"/>
  <c r="E29" i="10"/>
  <c r="C30" i="10"/>
  <c r="C30" i="9"/>
  <c r="E29" i="9"/>
  <c r="F29" i="9"/>
  <c r="G28" i="10"/>
  <c r="G28" i="9"/>
  <c r="G28" i="11"/>
  <c r="F29" i="11"/>
  <c r="F29" i="10"/>
  <c r="C31" i="11" l="1"/>
  <c r="E30" i="11"/>
  <c r="E30" i="10"/>
  <c r="C31" i="10"/>
  <c r="C31" i="9"/>
  <c r="E30" i="9"/>
  <c r="F30" i="9"/>
  <c r="G29" i="10"/>
  <c r="F30" i="11"/>
  <c r="G29" i="11"/>
  <c r="G29" i="9"/>
  <c r="F30" i="10"/>
  <c r="E31" i="11" l="1"/>
  <c r="C32" i="11"/>
  <c r="C32" i="10"/>
  <c r="E31" i="10"/>
  <c r="E31" i="9"/>
  <c r="C32" i="9"/>
  <c r="G30" i="10"/>
  <c r="F31" i="9"/>
  <c r="G30" i="11"/>
  <c r="F31" i="11"/>
  <c r="G30" i="9"/>
  <c r="F31" i="10"/>
  <c r="E32" i="11" l="1"/>
  <c r="C33" i="11"/>
  <c r="C33" i="10"/>
  <c r="E32" i="10"/>
  <c r="C33" i="9"/>
  <c r="E32" i="9"/>
  <c r="F32" i="10"/>
  <c r="F32" i="9"/>
  <c r="G32" i="10"/>
  <c r="G31" i="10"/>
  <c r="F32" i="11"/>
  <c r="G31" i="11"/>
  <c r="G31" i="9"/>
  <c r="E33" i="11" l="1"/>
  <c r="C34" i="11"/>
  <c r="E33" i="10"/>
  <c r="C34" i="10"/>
  <c r="E33" i="9"/>
  <c r="C34" i="9"/>
  <c r="F33" i="11"/>
  <c r="G32" i="11"/>
  <c r="G32" i="9"/>
  <c r="F33" i="10"/>
  <c r="F33" i="9"/>
  <c r="G33" i="10"/>
  <c r="C35" i="11" l="1"/>
  <c r="E34" i="11"/>
  <c r="E34" i="10"/>
  <c r="C35" i="10"/>
  <c r="E34" i="9"/>
  <c r="C35" i="9"/>
  <c r="F34" i="11"/>
  <c r="G33" i="11"/>
  <c r="G33" i="9"/>
  <c r="F34" i="10"/>
  <c r="F34" i="9"/>
  <c r="G34" i="10"/>
  <c r="E35" i="11" l="1"/>
  <c r="C36" i="11"/>
  <c r="C36" i="10"/>
  <c r="E35" i="10"/>
  <c r="C36" i="9"/>
  <c r="E35" i="9"/>
  <c r="F35" i="11"/>
  <c r="G34" i="11"/>
  <c r="G34" i="9"/>
  <c r="F35" i="10"/>
  <c r="F35" i="9"/>
  <c r="E36" i="11" l="1"/>
  <c r="C37" i="11"/>
  <c r="C37" i="10"/>
  <c r="E36" i="10"/>
  <c r="E36" i="9"/>
  <c r="C37" i="9"/>
  <c r="G35" i="10"/>
  <c r="F36" i="11"/>
  <c r="G35" i="11"/>
  <c r="G35" i="9"/>
  <c r="F36" i="10"/>
  <c r="F36" i="9"/>
  <c r="G36" i="10"/>
  <c r="C38" i="11" l="1"/>
  <c r="E37" i="11"/>
  <c r="C38" i="10"/>
  <c r="E37" i="10"/>
  <c r="C38" i="9"/>
  <c r="E37" i="9"/>
  <c r="F37" i="11"/>
  <c r="G36" i="11"/>
  <c r="G36" i="9"/>
  <c r="F37" i="10"/>
  <c r="F37" i="9"/>
  <c r="G37" i="10"/>
  <c r="C39" i="11" l="1"/>
  <c r="E38" i="11"/>
  <c r="E38" i="10"/>
  <c r="C39" i="10"/>
  <c r="C39" i="9"/>
  <c r="E38" i="9"/>
  <c r="F38" i="11"/>
  <c r="G37" i="11"/>
  <c r="G37" i="9"/>
  <c r="F38" i="10"/>
  <c r="F38" i="9"/>
  <c r="G38" i="10"/>
  <c r="E39" i="11" l="1"/>
  <c r="C40" i="11"/>
  <c r="E40" i="11" s="1"/>
  <c r="E39" i="10"/>
  <c r="C40" i="10"/>
  <c r="E40" i="10" s="1"/>
  <c r="E39" i="9"/>
  <c r="C40" i="9"/>
  <c r="E40" i="9" s="1"/>
  <c r="F40" i="10"/>
  <c r="F39" i="9"/>
  <c r="G38" i="11"/>
  <c r="F40" i="9"/>
  <c r="F39" i="11"/>
  <c r="G38" i="9"/>
  <c r="F40" i="11"/>
  <c r="F39" i="10"/>
  <c r="F2" i="11"/>
  <c r="F2" i="10"/>
  <c r="D8" i="8" l="1"/>
  <c r="G39" i="11"/>
  <c r="G40" i="10"/>
  <c r="G40" i="9"/>
  <c r="G39" i="9"/>
  <c r="G40" i="11"/>
  <c r="G39" i="10"/>
  <c r="G2" i="10"/>
  <c r="G2" i="11"/>
  <c r="D5" i="7" l="1"/>
  <c r="D6" i="7"/>
  <c r="D7" i="7"/>
  <c r="D8" i="7"/>
  <c r="D9" i="7"/>
  <c r="D10" i="7"/>
  <c r="D11" i="7"/>
  <c r="D12" i="7"/>
  <c r="C13" i="7"/>
  <c r="D13" i="7" s="1"/>
  <c r="C14" i="7"/>
  <c r="D14" i="7" s="1"/>
  <c r="C15" i="7"/>
  <c r="D15" i="7" s="1"/>
  <c r="C16" i="7"/>
  <c r="D16" i="7" s="1"/>
  <c r="C17" i="7"/>
  <c r="D17" i="7" s="1"/>
  <c r="D19" i="7"/>
  <c r="D20" i="7"/>
  <c r="D21" i="7"/>
  <c r="D23" i="7"/>
  <c r="D24" i="7"/>
  <c r="D25" i="7"/>
  <c r="D26" i="7"/>
  <c r="D27" i="7"/>
  <c r="D28" i="7"/>
  <c r="D29" i="7"/>
  <c r="D30" i="7"/>
  <c r="D31" i="7"/>
  <c r="D32" i="7"/>
  <c r="D33" i="7"/>
  <c r="E6" i="7"/>
  <c r="B1" i="8"/>
  <c r="E9" i="7"/>
  <c r="E13" i="7"/>
  <c r="E8" i="7"/>
  <c r="E32" i="7"/>
  <c r="E10" i="7"/>
  <c r="F6" i="7"/>
  <c r="E31" i="7"/>
  <c r="E27" i="7"/>
  <c r="F27" i="7" s="1"/>
  <c r="E17" i="7"/>
  <c r="E15" i="7"/>
  <c r="E25" i="7"/>
  <c r="E11" i="7"/>
  <c r="E14" i="7"/>
  <c r="E20" i="7"/>
  <c r="E26" i="7"/>
  <c r="F26" i="7" s="1"/>
  <c r="F9" i="7"/>
  <c r="F20" i="7"/>
  <c r="E33" i="7"/>
  <c r="F33" i="7" s="1"/>
  <c r="E24" i="7"/>
  <c r="F24" i="7" s="1"/>
  <c r="E30" i="7"/>
  <c r="E28" i="7"/>
  <c r="F10" i="7"/>
  <c r="E29" i="7"/>
  <c r="E12" i="7"/>
  <c r="E7" i="7"/>
  <c r="E21" i="7"/>
  <c r="E16" i="7"/>
  <c r="D9" i="6" l="1"/>
  <c r="F17" i="7"/>
  <c r="F29" i="7"/>
  <c r="F13" i="7"/>
  <c r="F25" i="7"/>
  <c r="F30" i="7"/>
  <c r="F21" i="7"/>
  <c r="F11" i="7"/>
  <c r="F12" i="7"/>
  <c r="F14" i="7"/>
  <c r="F15" i="7"/>
  <c r="F31" i="7"/>
  <c r="F32" i="7"/>
  <c r="F16" i="7"/>
  <c r="F28" i="7"/>
  <c r="E23" i="7"/>
  <c r="E19" i="7"/>
  <c r="E5" i="7"/>
  <c r="D11" i="6" l="1"/>
  <c r="D12" i="6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5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F33" i="5"/>
  <c r="F18" i="5"/>
  <c r="F54" i="5"/>
  <c r="F9" i="4"/>
  <c r="F27" i="5"/>
  <c r="J27" i="5"/>
  <c r="F55" i="5"/>
  <c r="F40" i="5"/>
  <c r="F11" i="4"/>
  <c r="F66" i="5"/>
  <c r="H11" i="4"/>
  <c r="G18" i="5"/>
  <c r="F30" i="5"/>
  <c r="F58" i="5"/>
  <c r="F42" i="5"/>
  <c r="F12" i="4"/>
  <c r="J58" i="5"/>
  <c r="F34" i="5"/>
  <c r="H12" i="4"/>
  <c r="H9" i="4"/>
  <c r="F12" i="5"/>
  <c r="F7" i="5"/>
  <c r="G7" i="5" s="1"/>
  <c r="F59" i="5"/>
  <c r="F37" i="5"/>
  <c r="F63" i="5"/>
  <c r="G63" i="5" s="1"/>
  <c r="F61" i="5"/>
  <c r="G9" i="4"/>
  <c r="F17" i="5"/>
  <c r="F16" i="4"/>
  <c r="H16" i="4" s="1"/>
  <c r="F17" i="4"/>
  <c r="F22" i="4"/>
  <c r="H22" i="4" s="1"/>
  <c r="F18" i="4"/>
  <c r="G33" i="5"/>
  <c r="F62" i="5"/>
  <c r="G37" i="5"/>
  <c r="H18" i="4"/>
  <c r="F47" i="5"/>
  <c r="G55" i="5"/>
  <c r="F36" i="5"/>
  <c r="G36" i="5" s="1"/>
  <c r="F6" i="4"/>
  <c r="L17" i="4"/>
  <c r="B1" i="6"/>
  <c r="J54" i="5"/>
  <c r="F16" i="5"/>
  <c r="G16" i="5" s="1"/>
  <c r="J7" i="5"/>
  <c r="G40" i="5"/>
  <c r="J66" i="5"/>
  <c r="F7" i="4"/>
  <c r="L7" i="4" s="1"/>
  <c r="F51" i="5"/>
  <c r="F25" i="5"/>
  <c r="J25" i="5" s="1"/>
  <c r="H6" i="4"/>
  <c r="L22" i="4"/>
  <c r="F26" i="5"/>
  <c r="L16" i="4"/>
  <c r="F20" i="5"/>
  <c r="F43" i="5"/>
  <c r="F23" i="5"/>
  <c r="J26" i="5"/>
  <c r="J23" i="5"/>
  <c r="F21" i="4"/>
  <c r="F39" i="5"/>
  <c r="J18" i="5"/>
  <c r="F13" i="5"/>
  <c r="J55" i="5"/>
  <c r="F52" i="5"/>
  <c r="F65" i="5"/>
  <c r="G51" i="5"/>
  <c r="G13" i="5"/>
  <c r="G34" i="5"/>
  <c r="H7" i="4"/>
  <c r="F22" i="5"/>
  <c r="J22" i="5" s="1"/>
  <c r="J36" i="5"/>
  <c r="L12" i="4"/>
  <c r="G22" i="5"/>
  <c r="I9" i="4"/>
  <c r="F21" i="5"/>
  <c r="F48" i="5"/>
  <c r="G48" i="5" s="1"/>
  <c r="G12" i="5"/>
  <c r="G21" i="5"/>
  <c r="F13" i="4"/>
  <c r="G13" i="4" s="1"/>
  <c r="I13" i="4" s="1"/>
  <c r="J21" i="5"/>
  <c r="F14" i="4"/>
  <c r="F38" i="5"/>
  <c r="G62" i="5"/>
  <c r="G66" i="5"/>
  <c r="J12" i="5"/>
  <c r="F60" i="5"/>
  <c r="G60" i="5" s="1"/>
  <c r="F8" i="4"/>
  <c r="F46" i="5"/>
  <c r="L9" i="4"/>
  <c r="J48" i="5"/>
  <c r="G18" i="4"/>
  <c r="F35" i="5"/>
  <c r="J13" i="5"/>
  <c r="F53" i="5"/>
  <c r="J51" i="5"/>
  <c r="H13" i="4"/>
  <c r="J61" i="5"/>
  <c r="F19" i="4"/>
  <c r="L19" i="4" s="1"/>
  <c r="G7" i="4"/>
  <c r="I7" i="4" s="1"/>
  <c r="G16" i="4"/>
  <c r="I16" i="4" s="1"/>
  <c r="F9" i="5"/>
  <c r="G9" i="5" s="1"/>
  <c r="L6" i="4"/>
  <c r="F10" i="4"/>
  <c r="F8" i="5"/>
  <c r="L13" i="4"/>
  <c r="L10" i="4"/>
  <c r="L18" i="4"/>
  <c r="G19" i="4"/>
  <c r="I19" i="4" s="1"/>
  <c r="F24" i="5"/>
  <c r="F57" i="5"/>
  <c r="F56" i="5"/>
  <c r="J9" i="5"/>
  <c r="J62" i="5"/>
  <c r="F45" i="5"/>
  <c r="G45" i="5" s="1"/>
  <c r="J45" i="5"/>
  <c r="F19" i="5"/>
  <c r="F50" i="5"/>
  <c r="H17" i="4"/>
  <c r="F10" i="5"/>
  <c r="I5" i="4"/>
  <c r="G26" i="5"/>
  <c r="G30" i="5"/>
  <c r="G47" i="5"/>
  <c r="F29" i="5"/>
  <c r="J29" i="5" s="1"/>
  <c r="J60" i="5"/>
  <c r="H19" i="4"/>
  <c r="F15" i="5"/>
  <c r="G8" i="4"/>
  <c r="G56" i="5"/>
  <c r="F44" i="5"/>
  <c r="F64" i="5"/>
  <c r="G54" i="5"/>
  <c r="F32" i="5"/>
  <c r="F41" i="5"/>
  <c r="J59" i="5"/>
  <c r="F11" i="5"/>
  <c r="J8" i="5"/>
  <c r="J40" i="5"/>
  <c r="G25" i="5"/>
  <c r="G29" i="5"/>
  <c r="F15" i="4"/>
  <c r="L15" i="4" s="1"/>
  <c r="F31" i="5"/>
  <c r="F28" i="5"/>
  <c r="G6" i="4"/>
  <c r="I6" i="4" s="1"/>
  <c r="G39" i="5"/>
  <c r="G59" i="5"/>
  <c r="G12" i="4"/>
  <c r="J56" i="5"/>
  <c r="G61" i="5"/>
  <c r="J33" i="5"/>
  <c r="F14" i="5"/>
  <c r="J37" i="5"/>
  <c r="H15" i="4"/>
  <c r="G17" i="4"/>
  <c r="I17" i="4" s="1"/>
  <c r="F49" i="5"/>
  <c r="F20" i="4"/>
  <c r="J63" i="5"/>
  <c r="L11" i="4"/>
  <c r="J16" i="5"/>
  <c r="G14" i="4"/>
  <c r="G11" i="4"/>
  <c r="G15" i="4"/>
  <c r="I15" i="4" s="1"/>
  <c r="G22" i="4"/>
  <c r="I22" i="4" s="1"/>
  <c r="D2" i="28"/>
  <c r="F2" i="17"/>
  <c r="G6" i="36"/>
  <c r="F5" i="7"/>
  <c r="F19" i="7"/>
  <c r="F6" i="5"/>
  <c r="G6" i="5" s="1"/>
  <c r="F23" i="7"/>
  <c r="F2" i="16"/>
  <c r="G2" i="16"/>
  <c r="G6" i="37"/>
  <c r="E2" i="28"/>
  <c r="F2" i="15"/>
  <c r="G2" i="15" s="1"/>
  <c r="H6" i="36"/>
  <c r="H6" i="37"/>
  <c r="F2" i="9"/>
  <c r="G2" i="9"/>
  <c r="G2" i="17"/>
  <c r="J42" i="5"/>
  <c r="J17" i="5"/>
  <c r="J20" i="5"/>
  <c r="G20" i="5"/>
  <c r="J43" i="5"/>
  <c r="G43" i="5"/>
  <c r="L21" i="4"/>
  <c r="G21" i="4"/>
  <c r="I21" i="4" s="1"/>
  <c r="J52" i="5"/>
  <c r="G52" i="5"/>
  <c r="J65" i="5"/>
  <c r="G65" i="5"/>
  <c r="H14" i="4"/>
  <c r="L14" i="4"/>
  <c r="G38" i="5"/>
  <c r="J38" i="5"/>
  <c r="H8" i="4"/>
  <c r="J46" i="5"/>
  <c r="G46" i="5"/>
  <c r="G35" i="5"/>
  <c r="J35" i="5"/>
  <c r="J53" i="5"/>
  <c r="G53" i="5"/>
  <c r="G10" i="4"/>
  <c r="H10" i="4"/>
  <c r="J24" i="5"/>
  <c r="G57" i="5"/>
  <c r="J19" i="5"/>
  <c r="G19" i="5"/>
  <c r="J50" i="5"/>
  <c r="G50" i="5"/>
  <c r="J10" i="5"/>
  <c r="G10" i="5"/>
  <c r="J15" i="5"/>
  <c r="G15" i="5"/>
  <c r="J44" i="5"/>
  <c r="G44" i="5"/>
  <c r="G64" i="5"/>
  <c r="J32" i="5"/>
  <c r="G32" i="5"/>
  <c r="J41" i="5"/>
  <c r="G41" i="5"/>
  <c r="J11" i="5"/>
  <c r="G11" i="5"/>
  <c r="G31" i="5"/>
  <c r="G28" i="5"/>
  <c r="G14" i="5"/>
  <c r="J14" i="5"/>
  <c r="J49" i="5"/>
  <c r="G49" i="5"/>
  <c r="L20" i="4"/>
  <c r="G20" i="4"/>
  <c r="I20" i="4" s="1"/>
  <c r="H20" i="4"/>
  <c r="F5" i="4"/>
  <c r="H5" i="4" s="1"/>
  <c r="I10" i="4"/>
  <c r="I14" i="4"/>
  <c r="G8" i="5"/>
  <c r="J34" i="5"/>
  <c r="J31" i="5"/>
  <c r="J39" i="5"/>
  <c r="J47" i="5"/>
  <c r="G17" i="5"/>
  <c r="I12" i="4"/>
  <c r="I18" i="4"/>
  <c r="G42" i="5"/>
  <c r="J28" i="5"/>
  <c r="L8" i="4"/>
  <c r="G58" i="5"/>
  <c r="J30" i="5"/>
  <c r="I11" i="4"/>
  <c r="J64" i="5"/>
  <c r="H21" i="4"/>
  <c r="G27" i="5"/>
  <c r="I8" i="4"/>
  <c r="G23" i="5"/>
  <c r="J57" i="5"/>
  <c r="G24" i="5"/>
</calcChain>
</file>

<file path=xl/sharedStrings.xml><?xml version="1.0" encoding="utf-8"?>
<sst xmlns="http://schemas.openxmlformats.org/spreadsheetml/2006/main" count="1157" uniqueCount="231">
  <si>
    <t>LiborYC1Y</t>
  </si>
  <si>
    <t>1Y</t>
  </si>
  <si>
    <t>11M</t>
  </si>
  <si>
    <t>10M</t>
  </si>
  <si>
    <t>9M</t>
  </si>
  <si>
    <t>LiborYC6M</t>
  </si>
  <si>
    <t>8M</t>
  </si>
  <si>
    <t>7M</t>
  </si>
  <si>
    <t>6M</t>
  </si>
  <si>
    <t>5M</t>
  </si>
  <si>
    <t>LiborYC3M</t>
  </si>
  <si>
    <t>4M</t>
  </si>
  <si>
    <t>3M</t>
  </si>
  <si>
    <t>2M</t>
  </si>
  <si>
    <t>LiborYC1M</t>
  </si>
  <si>
    <t>1M</t>
  </si>
  <si>
    <t>3W</t>
  </si>
  <si>
    <t>LiborYCON</t>
  </si>
  <si>
    <t>2W</t>
  </si>
  <si>
    <t>SW</t>
  </si>
  <si>
    <t>Sonia</t>
  </si>
  <si>
    <t>Sonia2</t>
  </si>
  <si>
    <t>YC</t>
  </si>
  <si>
    <t>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</si>
  <si>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</si>
  <si>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</si>
  <si>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</si>
  <si>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</si>
  <si>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</si>
  <si>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</si>
  <si>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</si>
  <si>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</si>
  <si>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</si>
  <si>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</si>
  <si>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</si>
  <si>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</si>
  <si>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</si>
  <si>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</si>
  <si>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</si>
  <si>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</si>
  <si>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</si>
  <si>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</si>
  <si>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</si>
  <si>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</si>
  <si>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</si>
  <si>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</si>
  <si>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</si>
  <si>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</si>
  <si>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</si>
  <si>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</si>
  <si>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</si>
  <si>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</si>
  <si>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</si>
  <si>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</si>
  <si>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</si>
  <si>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</si>
  <si>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</si>
  <si>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</si>
  <si>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</si>
  <si>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</si>
  <si>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</si>
  <si>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</si>
  <si>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</si>
  <si>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</si>
  <si>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</si>
  <si>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</si>
  <si>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</si>
  <si>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</si>
  <si>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</si>
  <si>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</si>
  <si>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</si>
  <si>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</si>
  <si>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</si>
  <si>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</si>
  <si>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</si>
  <si>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</si>
  <si>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</si>
  <si>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</si>
  <si>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</si>
  <si>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</si>
  <si>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</si>
  <si>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</si>
  <si>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</si>
  <si>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</si>
  <si>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</si>
  <si>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</si>
  <si>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Isda</t>
  </si>
  <si>
    <t>FixingType</t>
  </si>
  <si>
    <t>LiborSwap</t>
  </si>
  <si>
    <t>Discounting2</t>
  </si>
  <si>
    <t>Discounting</t>
  </si>
  <si>
    <t>FileOverwrite</t>
  </si>
  <si>
    <t>SerializationPath</t>
  </si>
  <si>
    <t>Serialize</t>
  </si>
  <si>
    <t>ObjectOverwrite</t>
  </si>
  <si>
    <t>Permanent</t>
  </si>
  <si>
    <t>GBP</t>
  </si>
  <si>
    <t>Currency</t>
  </si>
  <si>
    <t>Trigger</t>
  </si>
  <si>
    <t>General Settings</t>
  </si>
  <si>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</si>
  <si>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</si>
  <si>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</si>
  <si>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</si>
  <si>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</si>
  <si>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</si>
  <si>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</si>
  <si>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</si>
  <si>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</si>
  <si>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</si>
  <si>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</si>
  <si>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</si>
  <si>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YCSTD</t>
  </si>
  <si>
    <t>Gbp</t>
  </si>
  <si>
    <t>1L</t>
  </si>
  <si>
    <t>3L</t>
  </si>
  <si>
    <t>USD</t>
  </si>
  <si>
    <t>6L</t>
  </si>
  <si>
    <t>JPY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</si>
  <si>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</si>
  <si>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</si>
  <si>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</si>
  <si>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</si>
  <si>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</si>
  <si>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</si>
  <si>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</si>
  <si>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</si>
  <si>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</si>
  <si>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</si>
  <si>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</si>
  <si>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</si>
  <si>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</si>
  <si>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</si>
  <si>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</si>
  <si>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</si>
  <si>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GENERAL SETTINGS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</si>
  <si>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</si>
  <si>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</si>
  <si>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</si>
  <si>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</si>
  <si>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</si>
  <si>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</si>
  <si>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</si>
  <si>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</si>
  <si>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</si>
  <si>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</si>
  <si>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</si>
  <si>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</si>
  <si>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</si>
  <si>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</si>
  <si>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</si>
  <si>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</si>
  <si>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</si>
  <si>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</si>
  <si>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</si>
  <si>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</si>
  <si>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</si>
  <si>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</si>
  <si>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x18F</t>
  </si>
  <si>
    <t>x15F</t>
  </si>
  <si>
    <t>x12F</t>
  </si>
  <si>
    <t>x11F</t>
  </si>
  <si>
    <t>x10F</t>
  </si>
  <si>
    <t>x9F</t>
  </si>
  <si>
    <t>x8F</t>
  </si>
  <si>
    <t>x7F</t>
  </si>
  <si>
    <t>TOM6</t>
  </si>
  <si>
    <t>T6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</si>
  <si>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</si>
  <si>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</si>
  <si>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</si>
  <si>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</si>
  <si>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</si>
  <si>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</si>
  <si>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</si>
  <si>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</si>
  <si>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</si>
  <si>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</si>
  <si>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</si>
  <si>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</si>
  <si>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/>
  </si>
  <si>
    <t>OIS</t>
  </si>
  <si>
    <t>MPC</t>
  </si>
  <si>
    <t>DEC12</t>
  </si>
  <si>
    <t>NOV12</t>
  </si>
  <si>
    <t>OCT12</t>
  </si>
  <si>
    <t>SEP12</t>
  </si>
  <si>
    <t>AUG12</t>
  </si>
  <si>
    <t>JUL12</t>
  </si>
  <si>
    <t>JUN12</t>
  </si>
  <si>
    <t>MAY12</t>
  </si>
  <si>
    <t>APR12</t>
  </si>
  <si>
    <t>MAR12</t>
  </si>
  <si>
    <t>FEB12</t>
  </si>
  <si>
    <t>JAN12</t>
  </si>
  <si>
    <t>DEC11</t>
  </si>
  <si>
    <t>NOV11</t>
  </si>
  <si>
    <t>OCT11</t>
  </si>
  <si>
    <t>SEP11</t>
  </si>
  <si>
    <t>AUG11</t>
  </si>
  <si>
    <t>JUL11</t>
  </si>
  <si>
    <t>JUN11</t>
  </si>
  <si>
    <t>MAY11</t>
  </si>
  <si>
    <t>APR11</t>
  </si>
  <si>
    <t>MAR11</t>
  </si>
  <si>
    <t>FEB11</t>
  </si>
  <si>
    <t>JAN11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</si>
  <si>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</si>
  <si>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</si>
  <si>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</si>
  <si>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</si>
  <si>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</si>
  <si>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</si>
  <si>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</si>
  <si>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</si>
  <si>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</si>
  <si>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</si>
  <si>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</si>
  <si>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</si>
  <si>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TOY2</t>
  </si>
  <si>
    <t>TOY</t>
  </si>
  <si>
    <t>Additional Settings</t>
  </si>
  <si>
    <t>1w</t>
  </si>
  <si>
    <t>Swap index</t>
  </si>
  <si>
    <t>Spread</t>
  </si>
  <si>
    <t>Fwd start</t>
  </si>
  <si>
    <t>0d</t>
  </si>
  <si>
    <t>Quote</t>
  </si>
  <si>
    <t>IborIndex</t>
  </si>
  <si>
    <t>Meanreversion</t>
  </si>
  <si>
    <t>Volatility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</si>
</sst>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#,##0.0;#,##0.0"/>
    <numFmt numFmtId="165" formatCode="ddd\,\ d\-mmm\-yyyy\,\ hh:mm:ss"/>
    <numFmt numFmtId="166" formatCode="[$-409]d\-mmm\-yy;@"/>
    <numFmt numFmtId="167" formatCode="General_)"/>
    <numFmt numFmtId="168" formatCode="&quot;£&quot;#,##0;[Red]\-&quot;£&quot;#,##0"/>
    <numFmt numFmtId="169" formatCode="0.0000"/>
    <numFmt numFmtId="170" formatCode="0.0000%"/>
    <numFmt numFmtId="171" formatCode="mm/dd/yy;@"/>
  </numFmts>
  <fonts count="23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sz val="8"/>
      <name val="Microsoft Sans Serif"/>
      <family val="2"/>
    </font>
    <font>
      <sz val="10"/>
      <name val="MS Sans Serif"/>
      <family val="2"/>
    </font>
    <font>
      <i/>
      <sz val="8"/>
      <name val="Microsoft Sans Serif"/>
      <family val="2"/>
    </font>
    <font>
      <b/>
      <sz val="10"/>
      <name val="MS Sans Serif"/>
      <family val="2"/>
    </font>
    <font>
      <b/>
      <sz val="12"/>
      <color indexed="16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b/>
      <sz val="12"/>
      <name val="MS Sans Serif"/>
      <family val="2"/>
    </font>
    <font>
      <sz val="10"/>
      <name val="Arial"/>
      <family val="2"/>
    </font>
    <font>
      <sz val="8"/>
      <name val="Arial"/>
    </font>
    <font>
      <sz val="10"/>
      <name val="Helv"/>
    </font>
    <font>
      <sz val="12"/>
      <name val="Helv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31"/>
        <bgColor indexed="64"/>
      </patternFill>
    </fill>
  </fills>
  <borders count="29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2" fillId="0" borderId="0"/>
    <xf numFmtId="164" fontId="7" fillId="5" borderId="0">
      <alignment horizontal="center" vertical="center"/>
    </xf>
    <xf numFmtId="9" fontId="1" fillId="0" borderId="0" applyFont="0" applyFill="0" applyBorder="0" applyAlignment="0" applyProtection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67" fontId="14" fillId="0" borderId="0"/>
    <xf numFmtId="168" fontId="13" fillId="0" borderId="0" applyFont="0" applyFill="0" applyBorder="0" applyAlignment="0" applyProtection="0"/>
    <xf numFmtId="168" fontId="13" fillId="0" borderId="0" applyFont="0" applyFill="0" applyBorder="0" applyAlignment="0" applyProtection="0"/>
    <xf numFmtId="0" fontId="12" fillId="0" borderId="0"/>
  </cellStyleXfs>
  <cellXfs count="272">
    <xf numFmtId="0" fontId="0" fillId="0" borderId="0" xfId="0"/>
    <xf numFmtId="0" fontId="1" fillId="2" borderId="0" xfId="1" applyFill="1"/>
    <xf numFmtId="0" fontId="2" fillId="2" borderId="0" xfId="2" applyFill="1"/>
    <xf numFmtId="0" fontId="3" fillId="3" borderId="1" xfId="1" applyFont="1" applyFill="1" applyBorder="1"/>
    <xf numFmtId="0" fontId="3" fillId="3" borderId="2" xfId="1" applyFont="1" applyFill="1" applyBorder="1"/>
    <xf numFmtId="0" fontId="3" fillId="3" borderId="3" xfId="1" applyFont="1" applyFill="1" applyBorder="1"/>
    <xf numFmtId="0" fontId="3" fillId="3" borderId="4" xfId="1" applyFont="1" applyFill="1" applyBorder="1"/>
    <xf numFmtId="0" fontId="3" fillId="4" borderId="5" xfId="1" applyNumberFormat="1" applyFont="1" applyFill="1" applyBorder="1" applyAlignment="1" applyProtection="1"/>
    <xf numFmtId="0" fontId="3" fillId="4" borderId="6" xfId="1" applyNumberFormat="1" applyFont="1" applyFill="1" applyBorder="1" applyAlignment="1" applyProtection="1"/>
    <xf numFmtId="0" fontId="2" fillId="2" borderId="7" xfId="2" applyFill="1" applyBorder="1" applyAlignment="1"/>
    <xf numFmtId="0" fontId="3" fillId="2" borderId="8" xfId="1" applyFont="1" applyFill="1" applyBorder="1" applyAlignment="1"/>
    <xf numFmtId="0" fontId="3" fillId="2" borderId="9" xfId="1" applyFont="1" applyFill="1" applyBorder="1" applyAlignment="1"/>
    <xf numFmtId="0" fontId="4" fillId="3" borderId="10" xfId="2" applyFont="1" applyFill="1" applyBorder="1"/>
    <xf numFmtId="0" fontId="2" fillId="2" borderId="7" xfId="2" applyFont="1" applyFill="1" applyBorder="1" applyAlignment="1"/>
    <xf numFmtId="0" fontId="2" fillId="3" borderId="4" xfId="2" applyFill="1" applyBorder="1"/>
    <xf numFmtId="0" fontId="3" fillId="4" borderId="5" xfId="1" applyNumberFormat="1" applyFont="1" applyFill="1" applyBorder="1" applyAlignment="1" applyProtection="1">
      <alignment horizontal="center"/>
    </xf>
    <xf numFmtId="0" fontId="3" fillId="4" borderId="8" xfId="1" applyNumberFormat="1" applyFont="1" applyFill="1" applyBorder="1" applyAlignment="1" applyProtection="1">
      <alignment horizontal="center"/>
    </xf>
    <xf numFmtId="0" fontId="5" fillId="3" borderId="11" xfId="1" applyFont="1" applyFill="1" applyBorder="1" applyAlignment="1">
      <alignment horizontal="center"/>
    </xf>
    <xf numFmtId="0" fontId="5" fillId="3" borderId="8" xfId="1" applyFont="1" applyFill="1" applyBorder="1" applyAlignment="1">
      <alignment horizontal="center"/>
    </xf>
    <xf numFmtId="0" fontId="5" fillId="3" borderId="9" xfId="1" applyFont="1" applyFill="1" applyBorder="1" applyAlignment="1">
      <alignment horizontal="center"/>
    </xf>
    <xf numFmtId="0" fontId="2" fillId="3" borderId="0" xfId="2" applyFill="1" applyBorder="1"/>
    <xf numFmtId="0" fontId="4" fillId="3" borderId="0" xfId="2" applyFont="1" applyFill="1" applyBorder="1"/>
    <xf numFmtId="0" fontId="3" fillId="2" borderId="8" xfId="1" applyNumberFormat="1" applyFont="1" applyFill="1" applyBorder="1"/>
    <xf numFmtId="0" fontId="2" fillId="3" borderId="12" xfId="2" applyFill="1" applyBorder="1"/>
    <xf numFmtId="0" fontId="2" fillId="3" borderId="13" xfId="2" applyFill="1" applyBorder="1"/>
    <xf numFmtId="0" fontId="6" fillId="3" borderId="13" xfId="2" applyFont="1" applyFill="1" applyBorder="1"/>
    <xf numFmtId="0" fontId="4" fillId="3" borderId="13" xfId="2" applyFont="1" applyFill="1" applyBorder="1"/>
    <xf numFmtId="0" fontId="4" fillId="3" borderId="14" xfId="2" applyFont="1" applyFill="1" applyBorder="1"/>
    <xf numFmtId="0" fontId="2" fillId="2" borderId="0" xfId="1" applyFont="1" applyFill="1"/>
    <xf numFmtId="0" fontId="2" fillId="2" borderId="0" xfId="2" applyFont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0" fontId="2" fillId="4" borderId="8" xfId="1" applyNumberFormat="1" applyFont="1" applyFill="1" applyBorder="1" applyAlignment="1" applyProtection="1"/>
    <xf numFmtId="0" fontId="2" fillId="4" borderId="5" xfId="1" applyNumberFormat="1" applyFont="1" applyFill="1" applyBorder="1" applyAlignment="1" applyProtection="1"/>
    <xf numFmtId="0" fontId="2" fillId="2" borderId="8" xfId="2" applyFont="1" applyFill="1" applyBorder="1" applyAlignment="1"/>
    <xf numFmtId="0" fontId="2" fillId="2" borderId="5" xfId="1" applyFont="1" applyFill="1" applyBorder="1" applyAlignment="1"/>
    <xf numFmtId="0" fontId="2" fillId="2" borderId="8" xfId="1" applyFont="1" applyFill="1" applyBorder="1" applyAlignment="1"/>
    <xf numFmtId="0" fontId="2" fillId="3" borderId="10" xfId="2" applyFont="1" applyFill="1" applyBorder="1"/>
    <xf numFmtId="0" fontId="2" fillId="6" borderId="5" xfId="1" applyFont="1" applyFill="1" applyBorder="1" applyAlignment="1"/>
    <xf numFmtId="0" fontId="2" fillId="3" borderId="4" xfId="2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8" fillId="3" borderId="8" xfId="1" applyFont="1" applyFill="1" applyBorder="1" applyAlignment="1">
      <alignment horizontal="center"/>
    </xf>
    <xf numFmtId="0" fontId="2" fillId="3" borderId="0" xfId="2" applyFont="1" applyFill="1" applyBorder="1"/>
    <xf numFmtId="0" fontId="2" fillId="2" borderId="8" xfId="1" applyNumberFormat="1" applyFont="1" applyFill="1" applyBorder="1"/>
    <xf numFmtId="0" fontId="2" fillId="3" borderId="12" xfId="2" applyFont="1" applyFill="1" applyBorder="1"/>
    <xf numFmtId="0" fontId="2" fillId="3" borderId="13" xfId="2" applyFont="1" applyFill="1" applyBorder="1"/>
    <xf numFmtId="0" fontId="9" fillId="3" borderId="13" xfId="2" applyFont="1" applyFill="1" applyBorder="1"/>
    <xf numFmtId="0" fontId="2" fillId="3" borderId="14" xfId="2" applyFont="1" applyFill="1" applyBorder="1"/>
    <xf numFmtId="0" fontId="3" fillId="2" borderId="0" xfId="1" applyFont="1" applyFill="1"/>
    <xf numFmtId="15" fontId="3" fillId="3" borderId="4" xfId="1" applyNumberFormat="1" applyFont="1" applyFill="1" applyBorder="1"/>
    <xf numFmtId="165" fontId="3" fillId="4" borderId="5" xfId="1" applyNumberFormat="1" applyFont="1" applyFill="1" applyBorder="1" applyAlignment="1" applyProtection="1">
      <alignment horizontal="center"/>
    </xf>
    <xf numFmtId="0" fontId="3" fillId="3" borderId="10" xfId="1" applyFont="1" applyFill="1" applyBorder="1"/>
    <xf numFmtId="165" fontId="3" fillId="4" borderId="5" xfId="1" quotePrefix="1" applyNumberFormat="1" applyFont="1" applyFill="1" applyBorder="1" applyAlignment="1" applyProtection="1">
      <alignment horizontal="center"/>
    </xf>
    <xf numFmtId="165" fontId="3" fillId="4" borderId="5" xfId="1" quotePrefix="1" applyNumberFormat="1" applyFont="1" applyFill="1" applyBorder="1" applyAlignment="1" applyProtection="1">
      <alignment horizontal="left"/>
    </xf>
    <xf numFmtId="0" fontId="3" fillId="3" borderId="0" xfId="1" applyFont="1" applyFill="1" applyBorder="1"/>
    <xf numFmtId="0" fontId="11" fillId="2" borderId="0" xfId="2" applyFont="1" applyFill="1"/>
    <xf numFmtId="166" fontId="3" fillId="4" borderId="8" xfId="1" applyNumberFormat="1" applyFont="1" applyFill="1" applyBorder="1" applyAlignment="1" applyProtection="1">
      <alignment horizontal="left"/>
    </xf>
    <xf numFmtId="0" fontId="3" fillId="2" borderId="8" xfId="1" applyNumberFormat="1" applyFont="1" applyFill="1" applyBorder="1" applyAlignment="1"/>
    <xf numFmtId="0" fontId="5" fillId="3" borderId="8" xfId="1" applyNumberFormat="1" applyFont="1" applyFill="1" applyBorder="1" applyAlignment="1"/>
    <xf numFmtId="0" fontId="3" fillId="3" borderId="0" xfId="1" applyFont="1" applyFill="1" applyBorder="1" applyAlignment="1"/>
    <xf numFmtId="0" fontId="3" fillId="3" borderId="12" xfId="1" applyFont="1" applyFill="1" applyBorder="1"/>
    <xf numFmtId="0" fontId="3" fillId="3" borderId="13" xfId="1" applyFont="1" applyFill="1" applyBorder="1"/>
    <xf numFmtId="0" fontId="3" fillId="3" borderId="14" xfId="1" applyFont="1" applyFill="1" applyBorder="1"/>
    <xf numFmtId="0" fontId="1" fillId="0" borderId="0" xfId="1"/>
    <xf numFmtId="0" fontId="2" fillId="0" borderId="0" xfId="1" applyFont="1"/>
    <xf numFmtId="0" fontId="12" fillId="0" borderId="0" xfId="1" applyFont="1"/>
    <xf numFmtId="0" fontId="12" fillId="0" borderId="0" xfId="1" applyFont="1" applyAlignment="1">
      <alignment horizontal="left"/>
    </xf>
    <xf numFmtId="0" fontId="2" fillId="3" borderId="7" xfId="1" applyFont="1" applyFill="1" applyBorder="1"/>
    <xf numFmtId="0" fontId="2" fillId="3" borderId="18" xfId="1" applyFont="1" applyFill="1" applyBorder="1" applyAlignment="1">
      <alignment horizontal="left"/>
    </xf>
    <xf numFmtId="0" fontId="2" fillId="3" borderId="18" xfId="1" applyFont="1" applyFill="1" applyBorder="1"/>
    <xf numFmtId="0" fontId="2" fillId="3" borderId="19" xfId="1" applyFont="1" applyFill="1" applyBorder="1"/>
    <xf numFmtId="0" fontId="2" fillId="3" borderId="20" xfId="1" applyFont="1" applyFill="1" applyBorder="1"/>
    <xf numFmtId="0" fontId="3" fillId="4" borderId="8" xfId="1" applyNumberFormat="1" applyFont="1" applyFill="1" applyBorder="1" applyAlignment="1" applyProtection="1">
      <alignment vertical="center"/>
    </xf>
    <xf numFmtId="0" fontId="2" fillId="3" borderId="6" xfId="1" applyNumberFormat="1" applyFont="1" applyFill="1" applyBorder="1" applyAlignment="1">
      <alignment horizontal="left"/>
    </xf>
    <xf numFmtId="0" fontId="2" fillId="3" borderId="6" xfId="1" applyNumberFormat="1" applyFont="1" applyFill="1" applyBorder="1" applyAlignment="1">
      <alignment horizontal="center"/>
    </xf>
    <xf numFmtId="0" fontId="2" fillId="3" borderId="7" xfId="1" applyNumberFormat="1" applyFont="1" applyFill="1" applyBorder="1" applyAlignment="1">
      <alignment horizontal="center"/>
    </xf>
    <xf numFmtId="49" fontId="2" fillId="0" borderId="8" xfId="4" applyNumberFormat="1" applyFont="1" applyFill="1" applyBorder="1" applyAlignment="1">
      <alignment horizontal="center"/>
    </xf>
    <xf numFmtId="0" fontId="2" fillId="3" borderId="21" xfId="1" applyFont="1" applyFill="1" applyBorder="1" applyAlignment="1">
      <alignment horizontal="center"/>
    </xf>
    <xf numFmtId="0" fontId="2" fillId="0" borderId="1" xfId="1" applyFont="1" applyBorder="1" applyAlignment="1">
      <alignment horizontal="center"/>
    </xf>
    <xf numFmtId="0" fontId="2" fillId="0" borderId="2" xfId="1" applyFont="1" applyBorder="1" applyAlignment="1">
      <alignment horizontal="center"/>
    </xf>
    <xf numFmtId="0" fontId="2" fillId="0" borderId="3" xfId="1" applyFont="1" applyBorder="1" applyAlignment="1">
      <alignment horizontal="center"/>
    </xf>
    <xf numFmtId="0" fontId="2" fillId="0" borderId="4" xfId="1" applyFont="1" applyBorder="1" applyAlignment="1">
      <alignment horizontal="center"/>
    </xf>
    <xf numFmtId="0" fontId="2" fillId="0" borderId="0" xfId="1" applyFont="1" applyBorder="1" applyAlignment="1">
      <alignment horizontal="center"/>
    </xf>
    <xf numFmtId="0" fontId="2" fillId="0" borderId="10" xfId="1" applyFont="1" applyBorder="1" applyAlignment="1">
      <alignment horizontal="center"/>
    </xf>
    <xf numFmtId="0" fontId="2" fillId="0" borderId="12" xfId="1" applyFont="1" applyBorder="1" applyAlignment="1">
      <alignment horizontal="center"/>
    </xf>
    <xf numFmtId="0" fontId="2" fillId="0" borderId="13" xfId="1" applyFont="1" applyBorder="1" applyAlignment="1">
      <alignment horizontal="center"/>
    </xf>
    <xf numFmtId="0" fontId="2" fillId="0" borderId="14" xfId="1" applyFont="1" applyBorder="1" applyAlignment="1">
      <alignment horizontal="center"/>
    </xf>
    <xf numFmtId="49" fontId="2" fillId="0" borderId="6" xfId="4" applyNumberFormat="1" applyFont="1" applyFill="1" applyBorder="1" applyAlignment="1">
      <alignment horizontal="center"/>
    </xf>
    <xf numFmtId="0" fontId="3" fillId="4" borderId="5" xfId="1" applyNumberFormat="1" applyFont="1" applyFill="1" applyBorder="1" applyAlignment="1" applyProtection="1">
      <alignment horizontal="center" vertical="center"/>
    </xf>
    <xf numFmtId="0" fontId="5" fillId="3" borderId="8" xfId="1" applyFont="1" applyFill="1" applyBorder="1" applyAlignment="1">
      <alignment vertical="center"/>
    </xf>
    <xf numFmtId="0" fontId="9" fillId="3" borderId="8" xfId="1" applyFont="1" applyFill="1" applyBorder="1" applyAlignment="1">
      <alignment horizontal="center" vertical="center" wrapText="1"/>
    </xf>
    <xf numFmtId="0" fontId="9" fillId="3" borderId="5" xfId="1" applyFont="1" applyFill="1" applyBorder="1" applyAlignment="1">
      <alignment horizontal="center" vertical="center" wrapText="1"/>
    </xf>
    <xf numFmtId="0" fontId="2" fillId="3" borderId="22" xfId="1" applyFont="1" applyFill="1" applyBorder="1"/>
    <xf numFmtId="0" fontId="12" fillId="0" borderId="23" xfId="1" applyFont="1" applyBorder="1"/>
    <xf numFmtId="0" fontId="12" fillId="0" borderId="23" xfId="1" applyFont="1" applyBorder="1" applyAlignment="1">
      <alignment horizontal="left"/>
    </xf>
    <xf numFmtId="0" fontId="2" fillId="3" borderId="23" xfId="1" applyFont="1" applyFill="1" applyBorder="1"/>
    <xf numFmtId="0" fontId="2" fillId="3" borderId="24" xfId="1" applyFont="1" applyFill="1" applyBorder="1" applyAlignment="1">
      <alignment horizontal="center"/>
    </xf>
    <xf numFmtId="0" fontId="1" fillId="0" borderId="23" xfId="1" applyBorder="1"/>
    <xf numFmtId="0" fontId="1" fillId="0" borderId="23" xfId="1" applyBorder="1" applyAlignment="1">
      <alignment horizontal="left"/>
    </xf>
    <xf numFmtId="0" fontId="12" fillId="2" borderId="0" xfId="10" applyFill="1"/>
    <xf numFmtId="169" fontId="3" fillId="4" borderId="5" xfId="1" quotePrefix="1" applyNumberFormat="1" applyFont="1" applyFill="1" applyBorder="1" applyAlignment="1" applyProtection="1">
      <alignment horizontal="center"/>
    </xf>
    <xf numFmtId="170" fontId="3" fillId="4" borderId="5" xfId="1" quotePrefix="1" applyNumberFormat="1" applyFont="1" applyFill="1" applyBorder="1" applyAlignment="1" applyProtection="1">
      <alignment horizontal="center"/>
    </xf>
    <xf numFmtId="0" fontId="1" fillId="2" borderId="0" xfId="10" applyFont="1" applyFill="1"/>
    <xf numFmtId="0" fontId="2" fillId="3" borderId="20" xfId="1" applyFont="1" applyFill="1" applyBorder="1" applyAlignment="1">
      <alignment horizontal="center"/>
    </xf>
    <xf numFmtId="166" fontId="15" fillId="4" borderId="8" xfId="1" applyNumberFormat="1" applyFont="1" applyFill="1" applyBorder="1" applyAlignment="1" applyProtection="1">
      <alignment horizontal="left"/>
    </xf>
    <xf numFmtId="0" fontId="2" fillId="3" borderId="8" xfId="1" applyNumberFormat="1" applyFont="1" applyFill="1" applyBorder="1" applyAlignment="1"/>
    <xf numFmtId="0" fontId="9" fillId="3" borderId="8" xfId="1" applyFont="1" applyFill="1" applyBorder="1" applyAlignment="1"/>
    <xf numFmtId="0" fontId="15" fillId="4" borderId="8" xfId="1" applyNumberFormat="1" applyFont="1" applyFill="1" applyBorder="1" applyAlignment="1" applyProtection="1">
      <alignment vertical="center"/>
    </xf>
    <xf numFmtId="0" fontId="3" fillId="4" borderId="8" xfId="1" applyNumberFormat="1" applyFont="1" applyFill="1" applyBorder="1" applyAlignment="1" applyProtection="1">
      <alignment horizontal="center" vertical="center"/>
    </xf>
    <xf numFmtId="0" fontId="2" fillId="3" borderId="8" xfId="1" applyFont="1" applyFill="1" applyBorder="1" applyAlignment="1">
      <alignment vertical="center"/>
    </xf>
    <xf numFmtId="0" fontId="12" fillId="3" borderId="22" xfId="1" applyFont="1" applyFill="1" applyBorder="1"/>
    <xf numFmtId="0" fontId="12" fillId="3" borderId="23" xfId="1" applyFont="1" applyFill="1" applyBorder="1"/>
    <xf numFmtId="0" fontId="12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2" fillId="3" borderId="2" xfId="1" applyFont="1" applyFill="1" applyBorder="1" applyAlignment="1">
      <alignment horizontal="left"/>
    </xf>
    <xf numFmtId="0" fontId="15" fillId="4" borderId="6" xfId="1" applyNumberFormat="1" applyFont="1" applyFill="1" applyBorder="1" applyAlignment="1" applyProtection="1"/>
    <xf numFmtId="0" fontId="2" fillId="3" borderId="6" xfId="1" applyNumberFormat="1" applyFont="1" applyFill="1" applyBorder="1" applyAlignment="1"/>
    <xf numFmtId="0" fontId="2" fillId="3" borderId="19" xfId="1" applyNumberFormat="1" applyFont="1" applyFill="1" applyBorder="1" applyAlignment="1"/>
    <xf numFmtId="0" fontId="2" fillId="3" borderId="11" xfId="1" applyNumberFormat="1" applyFont="1" applyFill="1" applyBorder="1" applyAlignment="1"/>
    <xf numFmtId="0" fontId="2" fillId="3" borderId="9" xfId="1" applyNumberFormat="1" applyFont="1" applyFill="1" applyBorder="1" applyAlignment="1"/>
    <xf numFmtId="0" fontId="2" fillId="3" borderId="10" xfId="1" applyFont="1" applyFill="1" applyBorder="1" applyAlignment="1">
      <alignment horizontal="center"/>
    </xf>
    <xf numFmtId="0" fontId="2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2" fillId="3" borderId="25" xfId="1" applyNumberFormat="1" applyFont="1" applyFill="1" applyBorder="1" applyAlignment="1"/>
    <xf numFmtId="0" fontId="2" fillId="3" borderId="24" xfId="1" applyNumberFormat="1" applyFont="1" applyFill="1" applyBorder="1" applyAlignment="1"/>
    <xf numFmtId="0" fontId="2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2" fillId="3" borderId="26" xfId="1" applyNumberFormat="1" applyFont="1" applyFill="1" applyBorder="1" applyAlignment="1"/>
    <xf numFmtId="0" fontId="2" fillId="3" borderId="21" xfId="1" applyNumberFormat="1" applyFont="1" applyFill="1" applyBorder="1" applyAlignment="1"/>
    <xf numFmtId="0" fontId="2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3" fillId="4" borderId="25" xfId="1" applyNumberFormat="1" applyFont="1" applyFill="1" applyBorder="1" applyAlignment="1" applyProtection="1">
      <alignment horizontal="center" vertical="center"/>
    </xf>
    <xf numFmtId="0" fontId="5" fillId="3" borderId="24" xfId="1" applyFont="1" applyFill="1" applyBorder="1" applyAlignment="1">
      <alignment vertical="center"/>
    </xf>
    <xf numFmtId="0" fontId="9" fillId="3" borderId="23" xfId="1" applyFont="1" applyFill="1" applyBorder="1" applyAlignment="1">
      <alignment horizontal="center" vertical="center" wrapText="1"/>
    </xf>
    <xf numFmtId="0" fontId="9" fillId="3" borderId="24" xfId="1" applyFont="1" applyFill="1" applyBorder="1" applyAlignment="1">
      <alignment horizontal="center" vertical="center" wrapText="1"/>
    </xf>
    <xf numFmtId="0" fontId="2" fillId="3" borderId="0" xfId="1" applyFont="1" applyFill="1" applyBorder="1"/>
    <xf numFmtId="0" fontId="12" fillId="3" borderId="1" xfId="1" applyFont="1" applyFill="1" applyBorder="1"/>
    <xf numFmtId="0" fontId="12" fillId="3" borderId="2" xfId="1" applyFont="1" applyFill="1" applyBorder="1"/>
    <xf numFmtId="0" fontId="16" fillId="3" borderId="3" xfId="1" applyFont="1" applyFill="1" applyBorder="1"/>
    <xf numFmtId="0" fontId="12" fillId="3" borderId="4" xfId="1" applyFont="1" applyFill="1" applyBorder="1"/>
    <xf numFmtId="171" fontId="2" fillId="3" borderId="9" xfId="4" applyNumberFormat="1" applyFont="1" applyFill="1" applyBorder="1" applyAlignment="1">
      <alignment horizontal="center"/>
    </xf>
    <xf numFmtId="0" fontId="2" fillId="3" borderId="19" xfId="1" applyFont="1" applyFill="1" applyBorder="1" applyAlignment="1">
      <alignment horizontal="left"/>
    </xf>
    <xf numFmtId="0" fontId="2" fillId="3" borderId="8" xfId="1" applyFont="1" applyFill="1" applyBorder="1" applyAlignment="1">
      <alignment horizontal="center"/>
    </xf>
    <xf numFmtId="0" fontId="2" fillId="3" borderId="11" xfId="1" applyFont="1" applyFill="1" applyBorder="1" applyAlignment="1">
      <alignment horizontal="center"/>
    </xf>
    <xf numFmtId="0" fontId="9" fillId="3" borderId="8" xfId="1" applyFont="1" applyFill="1" applyBorder="1" applyAlignment="1">
      <alignment horizontal="center"/>
    </xf>
    <xf numFmtId="0" fontId="16" fillId="3" borderId="10" xfId="1" applyFont="1" applyFill="1" applyBorder="1"/>
    <xf numFmtId="166" fontId="15" fillId="4" borderId="6" xfId="1" applyNumberFormat="1" applyFont="1" applyFill="1" applyBorder="1" applyAlignment="1" applyProtection="1">
      <alignment horizontal="left"/>
    </xf>
    <xf numFmtId="171" fontId="2" fillId="3" borderId="19" xfId="4" applyNumberFormat="1" applyFont="1" applyFill="1" applyBorder="1" applyAlignment="1">
      <alignment horizontal="center"/>
    </xf>
    <xf numFmtId="0" fontId="2" fillId="3" borderId="6" xfId="1" applyFont="1" applyFill="1" applyBorder="1" applyAlignment="1">
      <alignment horizontal="center"/>
    </xf>
    <xf numFmtId="0" fontId="2" fillId="3" borderId="18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0" fontId="12" fillId="3" borderId="10" xfId="1" applyFont="1" applyFill="1" applyBorder="1"/>
    <xf numFmtId="0" fontId="16" fillId="3" borderId="12" xfId="1" applyFont="1" applyFill="1" applyBorder="1"/>
    <xf numFmtId="0" fontId="12" fillId="0" borderId="13" xfId="1" applyFont="1" applyBorder="1"/>
    <xf numFmtId="0" fontId="12" fillId="0" borderId="13" xfId="1" applyFont="1" applyBorder="1" applyAlignment="1">
      <alignment horizontal="center"/>
    </xf>
    <xf numFmtId="0" fontId="17" fillId="3" borderId="13" xfId="1" applyFont="1" applyFill="1" applyBorder="1"/>
    <xf numFmtId="0" fontId="12" fillId="3" borderId="14" xfId="1" applyFont="1" applyFill="1" applyBorder="1"/>
    <xf numFmtId="0" fontId="12" fillId="3" borderId="7" xfId="1" applyFont="1" applyFill="1" applyBorder="1"/>
    <xf numFmtId="0" fontId="12" fillId="3" borderId="18" xfId="1" applyFont="1" applyFill="1" applyBorder="1"/>
    <xf numFmtId="0" fontId="12" fillId="3" borderId="19" xfId="1" applyFont="1" applyFill="1" applyBorder="1"/>
    <xf numFmtId="0" fontId="12" fillId="3" borderId="20" xfId="1" applyFont="1" applyFill="1" applyBorder="1"/>
    <xf numFmtId="0" fontId="12" fillId="3" borderId="8" xfId="1" applyFont="1" applyFill="1" applyBorder="1"/>
    <xf numFmtId="0" fontId="12" fillId="3" borderId="21" xfId="1" applyFont="1" applyFill="1" applyBorder="1"/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8" xfId="1" applyNumberFormat="1" applyFont="1" applyFill="1" applyBorder="1" applyAlignment="1" applyProtection="1"/>
    <xf numFmtId="0" fontId="19" fillId="3" borderId="6" xfId="1" applyNumberFormat="1" applyFont="1" applyFill="1" applyBorder="1" applyAlignment="1">
      <alignment horizontal="left"/>
    </xf>
    <xf numFmtId="0" fontId="19" fillId="3" borderId="8" xfId="1" applyNumberFormat="1" applyFont="1" applyFill="1" applyBorder="1" applyAlignment="1">
      <alignment horizontal="center"/>
    </xf>
    <xf numFmtId="0" fontId="19" fillId="3" borderId="8" xfId="1" applyNumberFormat="1" applyFont="1" applyFill="1" applyBorder="1" applyAlignment="1">
      <alignment horizontal="right"/>
    </xf>
    <xf numFmtId="0" fontId="19" fillId="3" borderId="10" xfId="1" applyFont="1" applyFill="1" applyBorder="1" applyAlignment="1">
      <alignment horizontal="center"/>
    </xf>
    <xf numFmtId="0" fontId="19" fillId="3" borderId="8" xfId="1" applyNumberFormat="1" applyFont="1" applyFill="1" applyBorder="1" applyAlignment="1">
      <alignment horizontal="left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0" fontId="19" fillId="3" borderId="0" xfId="1" applyNumberFormat="1" applyFont="1" applyFill="1" applyBorder="1" applyAlignment="1">
      <alignment horizontal="center"/>
    </xf>
    <xf numFmtId="170" fontId="19" fillId="3" borderId="0" xfId="4" applyNumberFormat="1" applyFont="1" applyFill="1" applyBorder="1" applyAlignment="1">
      <alignment horizontal="center"/>
    </xf>
    <xf numFmtId="0" fontId="19" fillId="3" borderId="6" xfId="1" applyNumberFormat="1" applyFont="1" applyFill="1" applyBorder="1" applyAlignment="1">
      <alignment horizontal="center"/>
    </xf>
    <xf numFmtId="170" fontId="19" fillId="0" borderId="8" xfId="4" applyNumberFormat="1" applyFont="1" applyFill="1" applyBorder="1" applyAlignment="1">
      <alignment horizontal="right"/>
    </xf>
    <xf numFmtId="0" fontId="19" fillId="4" borderId="6" xfId="1" applyNumberFormat="1" applyFont="1" applyFill="1" applyBorder="1" applyAlignment="1" applyProtection="1"/>
    <xf numFmtId="0" fontId="19" fillId="4" borderId="8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8" xfId="1" applyFont="1" applyFill="1" applyBorder="1" applyAlignment="1">
      <alignment vertical="center"/>
    </xf>
    <xf numFmtId="0" fontId="21" fillId="3" borderId="8" xfId="1" applyFont="1" applyFill="1" applyBorder="1" applyAlignment="1">
      <alignment horizontal="center" vertical="center" wrapText="1"/>
    </xf>
    <xf numFmtId="0" fontId="19" fillId="3" borderId="8" xfId="1" applyFont="1" applyFill="1" applyBorder="1" applyAlignment="1">
      <alignment horizontal="center" vertical="center" wrapText="1"/>
    </xf>
    <xf numFmtId="0" fontId="21" fillId="3" borderId="11" xfId="1" applyFont="1" applyFill="1" applyBorder="1" applyAlignment="1">
      <alignment horizontal="center" vertical="center" wrapText="1"/>
    </xf>
    <xf numFmtId="0" fontId="19" fillId="3" borderId="12" xfId="1" applyFont="1" applyFill="1" applyBorder="1"/>
    <xf numFmtId="0" fontId="18" fillId="0" borderId="13" xfId="1" applyFont="1" applyBorder="1"/>
    <xf numFmtId="0" fontId="18" fillId="0" borderId="13" xfId="1" applyFont="1" applyBorder="1" applyAlignment="1">
      <alignment horizontal="left"/>
    </xf>
    <xf numFmtId="0" fontId="19" fillId="3" borderId="13" xfId="1" applyFont="1" applyFill="1" applyBorder="1"/>
    <xf numFmtId="0" fontId="19" fillId="3" borderId="14" xfId="1" applyFont="1" applyFill="1" applyBorder="1" applyAlignment="1">
      <alignment horizontal="center"/>
    </xf>
    <xf numFmtId="0" fontId="3" fillId="4" borderId="8" xfId="1" applyNumberFormat="1" applyFont="1" applyFill="1" applyBorder="1" applyAlignment="1" applyProtection="1"/>
    <xf numFmtId="0" fontId="2" fillId="3" borderId="8" xfId="1" applyNumberFormat="1" applyFont="1" applyFill="1" applyBorder="1" applyAlignment="1">
      <alignment horizontal="center"/>
    </xf>
    <xf numFmtId="0" fontId="2" fillId="3" borderId="5" xfId="1" applyNumberFormat="1" applyFont="1" applyFill="1" applyBorder="1" applyAlignment="1">
      <alignment horizontal="center"/>
    </xf>
    <xf numFmtId="170" fontId="2" fillId="0" borderId="8" xfId="4" applyNumberFormat="1" applyFont="1" applyFill="1" applyBorder="1" applyAlignment="1">
      <alignment horizontal="center"/>
    </xf>
    <xf numFmtId="170" fontId="2" fillId="0" borderId="6" xfId="4" applyNumberFormat="1" applyFont="1" applyFill="1" applyBorder="1" applyAlignment="1">
      <alignment horizontal="center"/>
    </xf>
    <xf numFmtId="0" fontId="9" fillId="3" borderId="11" xfId="1" applyFont="1" applyFill="1" applyBorder="1" applyAlignment="1">
      <alignment horizontal="center" vertical="center" wrapText="1"/>
    </xf>
    <xf numFmtId="0" fontId="2" fillId="3" borderId="8" xfId="1" applyFont="1" applyFill="1" applyBorder="1" applyAlignment="1">
      <alignment horizontal="center" vertical="center" wrapText="1"/>
    </xf>
    <xf numFmtId="0" fontId="2" fillId="3" borderId="12" xfId="1" applyFont="1" applyFill="1" applyBorder="1"/>
    <xf numFmtId="0" fontId="1" fillId="0" borderId="13" xfId="1" applyBorder="1"/>
    <xf numFmtId="0" fontId="1" fillId="0" borderId="13" xfId="1" applyBorder="1" applyAlignment="1">
      <alignment horizontal="left"/>
    </xf>
    <xf numFmtId="0" fontId="2" fillId="3" borderId="13" xfId="1" applyFont="1" applyFill="1" applyBorder="1"/>
    <xf numFmtId="0" fontId="2" fillId="3" borderId="14" xfId="1" applyFont="1" applyFill="1" applyBorder="1" applyAlignment="1">
      <alignment horizontal="center"/>
    </xf>
    <xf numFmtId="170" fontId="2" fillId="0" borderId="27" xfId="4" applyNumberFormat="1" applyFont="1" applyFill="1" applyBorder="1" applyAlignment="1">
      <alignment horizontal="center"/>
    </xf>
    <xf numFmtId="170" fontId="2" fillId="0" borderId="28" xfId="4" applyNumberFormat="1" applyFont="1" applyFill="1" applyBorder="1" applyAlignment="1">
      <alignment horizontal="center"/>
    </xf>
    <xf numFmtId="0" fontId="9" fillId="3" borderId="9" xfId="1" applyFont="1" applyFill="1" applyBorder="1" applyAlignment="1">
      <alignment horizontal="center" vertical="center" wrapText="1"/>
    </xf>
    <xf numFmtId="0" fontId="2" fillId="3" borderId="27" xfId="1" applyFont="1" applyFill="1" applyBorder="1" applyAlignment="1">
      <alignment horizontal="center" vertical="center" wrapText="1"/>
    </xf>
    <xf numFmtId="0" fontId="2" fillId="0" borderId="3" xfId="1" applyFont="1" applyBorder="1"/>
    <xf numFmtId="0" fontId="2" fillId="0" borderId="10" xfId="1" applyFont="1" applyBorder="1"/>
    <xf numFmtId="0" fontId="2" fillId="0" borderId="15" xfId="1" applyFont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7" xfId="1" applyFont="1" applyBorder="1" applyAlignment="1">
      <alignment horizontal="center" vertical="center"/>
    </xf>
    <xf numFmtId="0" fontId="2" fillId="3" borderId="2" xfId="1" applyFont="1" applyFill="1" applyBorder="1" applyAlignment="1">
      <alignment horizontal="center"/>
    </xf>
    <xf numFmtId="0" fontId="2" fillId="3" borderId="3" xfId="1" applyFont="1" applyFill="1" applyBorder="1" applyAlignment="1">
      <alignment horizontal="center"/>
    </xf>
    <xf numFmtId="0" fontId="2" fillId="0" borderId="6" xfId="4" applyNumberFormat="1" applyFont="1" applyFill="1" applyBorder="1" applyAlignment="1">
      <alignment horizontal="center"/>
    </xf>
    <xf numFmtId="0" fontId="2" fillId="0" borderId="4" xfId="1" quotePrefix="1" applyFont="1" applyBorder="1" applyAlignment="1">
      <alignment horizontal="center"/>
    </xf>
    <xf numFmtId="0" fontId="2" fillId="0" borderId="0" xfId="1" quotePrefix="1" applyFont="1" applyBorder="1" applyAlignment="1">
      <alignment horizontal="center"/>
    </xf>
    <xf numFmtId="0" fontId="2" fillId="0" borderId="8" xfId="4" applyNumberFormat="1" applyFont="1" applyFill="1" applyBorder="1" applyAlignment="1">
      <alignment horizontal="center"/>
    </xf>
    <xf numFmtId="0" fontId="12" fillId="0" borderId="13" xfId="1" applyFont="1" applyBorder="1" applyAlignment="1">
      <alignment horizontal="left"/>
    </xf>
    <xf numFmtId="0" fontId="2" fillId="3" borderId="4" xfId="1" applyFont="1" applyFill="1" applyBorder="1" applyAlignment="1">
      <alignment horizontal="center"/>
    </xf>
    <xf numFmtId="166" fontId="3" fillId="4" borderId="6" xfId="1" applyNumberFormat="1" applyFont="1" applyFill="1" applyBorder="1" applyAlignment="1" applyProtection="1">
      <alignment horizontal="left"/>
    </xf>
    <xf numFmtId="0" fontId="9" fillId="3" borderId="19" xfId="1" applyFont="1" applyFill="1" applyBorder="1" applyAlignment="1"/>
    <xf numFmtId="166" fontId="3" fillId="4" borderId="25" xfId="1" applyNumberFormat="1" applyFont="1" applyFill="1" applyBorder="1" applyAlignment="1" applyProtection="1">
      <alignment horizontal="left"/>
    </xf>
    <xf numFmtId="0" fontId="9" fillId="3" borderId="24" xfId="1" applyFont="1" applyFill="1" applyBorder="1" applyAlignment="1"/>
    <xf numFmtId="166" fontId="3" fillId="4" borderId="26" xfId="1" applyNumberFormat="1" applyFont="1" applyFill="1" applyBorder="1" applyAlignment="1" applyProtection="1">
      <alignment horizontal="left"/>
    </xf>
    <xf numFmtId="0" fontId="9" fillId="3" borderId="26" xfId="1" applyFont="1" applyFill="1" applyBorder="1" applyAlignment="1"/>
    <xf numFmtId="0" fontId="9" fillId="3" borderId="21" xfId="1" applyFont="1" applyFill="1" applyBorder="1" applyAlignment="1"/>
    <xf numFmtId="0" fontId="5" fillId="3" borderId="8" xfId="1" applyFont="1" applyFill="1" applyBorder="1" applyAlignment="1">
      <alignment horizontal="left"/>
    </xf>
    <xf numFmtId="0" fontId="2" fillId="3" borderId="8" xfId="1" applyFont="1" applyFill="1" applyBorder="1" applyAlignment="1"/>
    <xf numFmtId="0" fontId="12" fillId="3" borderId="12" xfId="1" applyFont="1" applyFill="1" applyBorder="1"/>
    <xf numFmtId="0" fontId="12" fillId="3" borderId="13" xfId="1" applyFont="1" applyFill="1" applyBorder="1"/>
    <xf numFmtId="0" fontId="12" fillId="3" borderId="13" xfId="1" applyFont="1" applyFill="1" applyBorder="1" applyAlignment="1">
      <alignment horizontal="center"/>
    </xf>
    <xf numFmtId="166" fontId="3" fillId="4" borderId="7" xfId="1" applyNumberFormat="1" applyFont="1" applyFill="1" applyBorder="1" applyAlignment="1" applyProtection="1">
      <alignment horizontal="left"/>
    </xf>
    <xf numFmtId="0" fontId="9" fillId="3" borderId="6" xfId="1" applyFont="1" applyFill="1" applyBorder="1" applyAlignment="1"/>
    <xf numFmtId="166" fontId="3" fillId="4" borderId="22" xfId="1" applyNumberFormat="1" applyFont="1" applyFill="1" applyBorder="1" applyAlignment="1" applyProtection="1">
      <alignment horizontal="left"/>
    </xf>
    <xf numFmtId="0" fontId="9" fillId="3" borderId="25" xfId="1" applyFont="1" applyFill="1" applyBorder="1" applyAlignment="1"/>
    <xf numFmtId="166" fontId="3" fillId="4" borderId="20" xfId="1" applyNumberFormat="1" applyFont="1" applyFill="1" applyBorder="1" applyAlignment="1" applyProtection="1">
      <alignment horizontal="left"/>
    </xf>
    <xf numFmtId="0" fontId="2" fillId="3" borderId="8" xfId="1" applyFont="1" applyFill="1" applyBorder="1"/>
    <xf numFmtId="0" fontId="12" fillId="3" borderId="3" xfId="1" applyFont="1" applyFill="1" applyBorder="1"/>
    <xf numFmtId="170" fontId="3" fillId="4" borderId="5" xfId="1" applyNumberFormat="1" applyFont="1" applyFill="1" applyBorder="1" applyAlignment="1" applyProtection="1">
      <alignment horizontal="center"/>
    </xf>
    <xf numFmtId="0" fontId="12" fillId="3" borderId="0" xfId="1" applyFont="1" applyFill="1" applyBorder="1"/>
    <xf numFmtId="0" fontId="2" fillId="3" borderId="8" xfId="1" applyNumberFormat="1" applyFont="1" applyFill="1" applyBorder="1" applyAlignment="1">
      <alignment horizontal="left"/>
    </xf>
    <xf numFmtId="170" fontId="2" fillId="3" borderId="8" xfId="4" applyNumberFormat="1" applyFont="1" applyFill="1" applyBorder="1" applyAlignment="1">
      <alignment horizontal="left"/>
    </xf>
    <xf numFmtId="0" fontId="3" fillId="4" borderId="25" xfId="1" applyNumberFormat="1" applyFont="1" applyFill="1" applyBorder="1" applyAlignment="1" applyProtection="1">
      <alignment vertical="center"/>
    </xf>
    <xf numFmtId="0" fontId="22" fillId="3" borderId="8" xfId="1" applyNumberFormat="1" applyFont="1" applyFill="1" applyBorder="1" applyAlignment="1"/>
    <xf numFmtId="0" fontId="3" fillId="4" borderId="22" xfId="1" applyNumberFormat="1" applyFont="1" applyFill="1" applyBorder="1" applyAlignment="1" applyProtection="1">
      <alignment horizontal="center" vertical="center"/>
    </xf>
    <xf numFmtId="0" fontId="5" fillId="3" borderId="25" xfId="1" applyFont="1" applyFill="1" applyBorder="1" applyAlignment="1">
      <alignment vertical="center"/>
    </xf>
    <xf numFmtId="0" fontId="9" fillId="3" borderId="25" xfId="1" applyFont="1" applyFill="1" applyBorder="1" applyAlignment="1">
      <alignment horizontal="center" vertical="center" wrapText="1"/>
    </xf>
    <xf numFmtId="0" fontId="9" fillId="3" borderId="22" xfId="1" applyFont="1" applyFill="1" applyBorder="1" applyAlignment="1">
      <alignment horizontal="center" vertical="center" wrapText="1"/>
    </xf>
    <xf numFmtId="0" fontId="15" fillId="4" borderId="8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171" fontId="2" fillId="3" borderId="6" xfId="4" applyNumberFormat="1" applyFont="1" applyFill="1" applyBorder="1" applyAlignment="1">
      <alignment horizontal="center"/>
    </xf>
    <xf numFmtId="171" fontId="2" fillId="3" borderId="6" xfId="4" applyNumberFormat="1" applyFont="1" applyFill="1" applyBorder="1" applyAlignment="1">
      <alignment horizontal="left"/>
    </xf>
    <xf numFmtId="0" fontId="12" fillId="0" borderId="0" xfId="1" applyFont="1" applyAlignment="1">
      <alignment horizontal="center"/>
    </xf>
    <xf numFmtId="0" fontId="12" fillId="0" borderId="8" xfId="1" applyFont="1" applyFill="1" applyBorder="1"/>
    <xf numFmtId="0" fontId="12" fillId="0" borderId="8" xfId="1" applyFont="1" applyFill="1" applyBorder="1" applyAlignment="1">
      <alignment horizontal="center"/>
    </xf>
    <xf numFmtId="0" fontId="10" fillId="7" borderId="17" xfId="2" applyFont="1" applyFill="1" applyBorder="1" applyAlignment="1">
      <alignment horizontal="center"/>
    </xf>
    <xf numFmtId="0" fontId="10" fillId="7" borderId="16" xfId="2" applyFont="1" applyFill="1" applyBorder="1" applyAlignment="1">
      <alignment horizontal="center"/>
    </xf>
    <xf numFmtId="0" fontId="10" fillId="7" borderId="15" xfId="2" applyFont="1" applyFill="1" applyBorder="1" applyAlignment="1">
      <alignment horizontal="center"/>
    </xf>
    <xf numFmtId="0" fontId="10" fillId="7" borderId="17" xfId="1" applyFont="1" applyFill="1" applyBorder="1" applyAlignment="1">
      <alignment horizontal="center"/>
    </xf>
    <xf numFmtId="0" fontId="10" fillId="7" borderId="16" xfId="1" applyFont="1" applyFill="1" applyBorder="1" applyAlignment="1">
      <alignment horizontal="center"/>
    </xf>
    <xf numFmtId="0" fontId="10" fillId="7" borderId="15" xfId="1" applyFont="1" applyFill="1" applyBorder="1" applyAlignment="1">
      <alignment horizontal="center"/>
    </xf>
    <xf numFmtId="0" fontId="10" fillId="7" borderId="17" xfId="10" applyFont="1" applyFill="1" applyBorder="1" applyAlignment="1">
      <alignment horizontal="center"/>
    </xf>
    <xf numFmtId="0" fontId="10" fillId="7" borderId="16" xfId="10" applyFont="1" applyFill="1" applyBorder="1" applyAlignment="1">
      <alignment horizontal="center"/>
    </xf>
    <xf numFmtId="0" fontId="10" fillId="7" borderId="15" xfId="10" applyFont="1" applyFill="1" applyBorder="1" applyAlignment="1">
      <alignment horizontal="center"/>
    </xf>
  </cellXfs>
  <cellStyles count="11">
    <cellStyle name="Migliaia (0)_AZIONI" xfId="5"/>
    <cellStyle name="Migliaia_AZIONI" xfId="6"/>
    <cellStyle name="Normal" xfId="0" builtinId="0"/>
    <cellStyle name="Normal 2" xfId="1"/>
    <cellStyle name="Normal_SwaptionATMVols" xfId="2"/>
    <cellStyle name="Normal_SwaptionATMVols 2" xfId="10"/>
    <cellStyle name="Normale_AZIONI" xfId="7"/>
    <cellStyle name="Percent 2" xfId="4"/>
    <cellStyle name="result" xfId="3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34"/>
  <sheetViews>
    <sheetView workbookViewId="0"/>
  </sheetViews>
  <sheetFormatPr defaultRowHeight="12.75" x14ac:dyDescent="0.2"/>
  <cols>
    <col min="1" max="2" width="7.14062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7.140625" style="1" customWidth="1"/>
    <col min="8" max="16384" width="9.140625" style="1"/>
  </cols>
  <sheetData>
    <row r="1" spans="2:7" ht="13.5" thickBot="1" x14ac:dyDescent="0.25"/>
    <row r="2" spans="2:7" x14ac:dyDescent="0.2">
      <c r="B2" s="64"/>
      <c r="C2" s="63"/>
      <c r="D2" s="63"/>
      <c r="E2" s="63"/>
      <c r="F2" s="63"/>
      <c r="G2" s="62"/>
    </row>
    <row r="3" spans="2:7" x14ac:dyDescent="0.2">
      <c r="B3" s="53"/>
      <c r="C3" s="56"/>
      <c r="D3" s="22" t="s">
        <v>97</v>
      </c>
      <c r="E3" s="52" t="s">
        <v>113</v>
      </c>
      <c r="F3" s="56"/>
      <c r="G3" s="6"/>
    </row>
    <row r="4" spans="2:7" x14ac:dyDescent="0.2">
      <c r="B4" s="53"/>
      <c r="C4" s="56"/>
      <c r="D4" s="56"/>
      <c r="E4" s="56"/>
      <c r="F4" s="56"/>
      <c r="G4" s="6"/>
    </row>
    <row r="5" spans="2:7" x14ac:dyDescent="0.2">
      <c r="B5" s="53"/>
      <c r="C5" s="56"/>
      <c r="D5" s="60" t="str">
        <f>UPPER(Currency)&amp;"_RH_YieldTermStructure.xml"</f>
        <v>GBP_RH_YieldTermStructure.xml</v>
      </c>
      <c r="E5" s="16">
        <f ca="1">IF(Serialize,_xll.ohObjectSave(E6:E17,SerializationPath&amp;D5,FileOverwrite,Serialize),"---")</f>
        <v>12</v>
      </c>
      <c r="F5" s="58" t="str">
        <f ca="1">_xll.ohRangeRetrieveError(E5)</f>
        <v/>
      </c>
      <c r="G5" s="51"/>
    </row>
    <row r="6" spans="2:7" x14ac:dyDescent="0.2">
      <c r="B6" s="53"/>
      <c r="C6" s="59" t="s">
        <v>22</v>
      </c>
      <c r="D6" s="59" t="str">
        <f t="shared" ref="D6:D17" si="0">Currency&amp;C6</f>
        <v>GbpYC</v>
      </c>
      <c r="E6" s="7" t="str">
        <f>_xll.qlRelinkableHandleYieldTermStructure(D6,,Permanent,Trigger,ObjectOverwrite)</f>
        <v>GbpYC#0001</v>
      </c>
      <c r="F6" s="58" t="str">
        <f>_xll.ohRangeRetrieveError(E6)</f>
        <v/>
      </c>
      <c r="G6" s="6"/>
    </row>
    <row r="7" spans="2:7" x14ac:dyDescent="0.2">
      <c r="B7" s="53"/>
      <c r="C7" s="59" t="s">
        <v>112</v>
      </c>
      <c r="D7" s="59" t="str">
        <f t="shared" si="0"/>
        <v>GbpYCSTD</v>
      </c>
      <c r="E7" s="7" t="str">
        <f>_xll.qlRelinkableHandleYieldTermStructure(D7,,Permanent,Trigger,ObjectOverwrite)</f>
        <v>GbpYCSTD#0001</v>
      </c>
      <c r="F7" s="58"/>
      <c r="G7" s="6"/>
    </row>
    <row r="8" spans="2:7" x14ac:dyDescent="0.2">
      <c r="B8" s="53"/>
      <c r="C8" s="59" t="s">
        <v>17</v>
      </c>
      <c r="D8" s="59" t="str">
        <f t="shared" si="0"/>
        <v>GbpLiborYCON</v>
      </c>
      <c r="E8" s="7" t="str">
        <f>_xll.qlRelinkableHandleYieldTermStructure(D8,,Permanent,Trigger,ObjectOverwrite)</f>
        <v>GbpLiborYCON#0001</v>
      </c>
      <c r="F8" s="58"/>
      <c r="G8" s="6"/>
    </row>
    <row r="9" spans="2:7" x14ac:dyDescent="0.2">
      <c r="B9" s="53"/>
      <c r="C9" s="59" t="s">
        <v>14</v>
      </c>
      <c r="D9" s="59" t="str">
        <f t="shared" si="0"/>
        <v>GbpLiborYC1M</v>
      </c>
      <c r="E9" s="7" t="str">
        <f>_xll.qlRelinkableHandleYieldTermStructure(D9,,Permanent,Trigger,ObjectOverwrite)</f>
        <v>GbpLiborYC1M#0001</v>
      </c>
      <c r="F9" s="58" t="str">
        <f>_xll.ohRangeRetrieveError(E9)</f>
        <v/>
      </c>
      <c r="G9" s="6"/>
    </row>
    <row r="10" spans="2:7" x14ac:dyDescent="0.2">
      <c r="B10" s="53"/>
      <c r="C10" s="59" t="s">
        <v>10</v>
      </c>
      <c r="D10" s="59" t="str">
        <f t="shared" si="0"/>
        <v>GbpLiborYC3M</v>
      </c>
      <c r="E10" s="7" t="str">
        <f>_xll.qlRelinkableHandleYieldTermStructure(D10,,Permanent,Trigger,ObjectOverwrite)</f>
        <v>GbpLiborYC3M#0001</v>
      </c>
      <c r="F10" s="58" t="str">
        <f>_xll.ohRangeRetrieveError(E10)</f>
        <v/>
      </c>
      <c r="G10" s="6"/>
    </row>
    <row r="11" spans="2:7" x14ac:dyDescent="0.2">
      <c r="B11" s="53"/>
      <c r="C11" s="59" t="s">
        <v>5</v>
      </c>
      <c r="D11" s="59" t="str">
        <f t="shared" si="0"/>
        <v>GbpLiborYC6M</v>
      </c>
      <c r="E11" s="7" t="str">
        <f>_xll.qlRelinkableHandleYieldTermStructure(D11,,Permanent,Trigger,ObjectOverwrite)</f>
        <v>GbpLiborYC6M#0001</v>
      </c>
      <c r="F11" s="58" t="str">
        <f>_xll.ohRangeRetrieveError(E11)</f>
        <v/>
      </c>
      <c r="G11" s="6"/>
    </row>
    <row r="12" spans="2:7" x14ac:dyDescent="0.2">
      <c r="B12" s="53"/>
      <c r="C12" s="59" t="s">
        <v>0</v>
      </c>
      <c r="D12" s="59" t="str">
        <f t="shared" si="0"/>
        <v>GbpLiborYC1Y</v>
      </c>
      <c r="E12" s="7" t="str">
        <f>_xll.qlRelinkableHandleYieldTermStructure(D12,,Permanent,Trigger,ObjectOverwrite)</f>
        <v>GbpLiborYC1Y#0001</v>
      </c>
      <c r="F12" s="58" t="str">
        <f>_xll.ohRangeRetrieveError(E12)</f>
        <v/>
      </c>
      <c r="G12" s="6"/>
    </row>
    <row r="13" spans="2:7" x14ac:dyDescent="0.2">
      <c r="B13" s="53"/>
      <c r="C13" s="59" t="str">
        <f>C8&amp;"-Mx"</f>
        <v>LiborYCON-Mx</v>
      </c>
      <c r="D13" s="59" t="str">
        <f t="shared" si="0"/>
        <v>GbpLiborYCON-Mx</v>
      </c>
      <c r="E13" s="7" t="str">
        <f>_xll.qlRelinkableHandleYieldTermStructure(D13,,Permanent,Trigger,ObjectOverwrite)</f>
        <v>GbpLiborYCON-Mx#0001</v>
      </c>
      <c r="F13" s="58" t="str">
        <f>_xll.ohRangeRetrieveError(E13)</f>
        <v/>
      </c>
      <c r="G13" s="6"/>
    </row>
    <row r="14" spans="2:7" x14ac:dyDescent="0.2">
      <c r="B14" s="53"/>
      <c r="C14" s="59" t="str">
        <f>C9&amp;"-Mx"</f>
        <v>LiborYC1M-Mx</v>
      </c>
      <c r="D14" s="59" t="str">
        <f t="shared" si="0"/>
        <v>GbpLiborYC1M-Mx</v>
      </c>
      <c r="E14" s="7" t="str">
        <f>_xll.qlRelinkableHandleYieldTermStructure(D14,,Permanent,Trigger,ObjectOverwrite)</f>
        <v>GbpLiborYC1M-Mx#0001</v>
      </c>
      <c r="F14" s="58" t="str">
        <f>_xll.ohRangeRetrieveError(E14)</f>
        <v/>
      </c>
      <c r="G14" s="6"/>
    </row>
    <row r="15" spans="2:7" x14ac:dyDescent="0.2">
      <c r="B15" s="53"/>
      <c r="C15" s="59" t="str">
        <f>C10&amp;"-Mx"</f>
        <v>LiborYC3M-Mx</v>
      </c>
      <c r="D15" s="59" t="str">
        <f t="shared" si="0"/>
        <v>GbpLiborYC3M-Mx</v>
      </c>
      <c r="E15" s="7" t="str">
        <f>_xll.qlRelinkableHandleYieldTermStructure(D15,,Permanent,Trigger,ObjectOverwrite)</f>
        <v>GbpLiborYC3M-Mx#0001</v>
      </c>
      <c r="F15" s="58" t="str">
        <f>_xll.ohRangeRetrieveError(E15)</f>
        <v/>
      </c>
      <c r="G15" s="6"/>
    </row>
    <row r="16" spans="2:7" x14ac:dyDescent="0.2">
      <c r="B16" s="53"/>
      <c r="C16" s="59" t="str">
        <f>C11&amp;"-Mx"</f>
        <v>LiborYC6M-Mx</v>
      </c>
      <c r="D16" s="59" t="str">
        <f t="shared" si="0"/>
        <v>GbpLiborYC6M-Mx</v>
      </c>
      <c r="E16" s="7" t="str">
        <f>_xll.qlRelinkableHandleYieldTermStructure(D16,,Permanent,Trigger,ObjectOverwrite)</f>
        <v>GbpLiborYC6M-Mx#0001</v>
      </c>
      <c r="F16" s="58" t="str">
        <f>_xll.ohRangeRetrieveError(E16)</f>
        <v/>
      </c>
      <c r="G16" s="6"/>
    </row>
    <row r="17" spans="2:7" x14ac:dyDescent="0.2">
      <c r="B17" s="53"/>
      <c r="C17" s="59" t="str">
        <f>C12&amp;"-Mx"</f>
        <v>LiborYC1Y-Mx</v>
      </c>
      <c r="D17" s="59" t="str">
        <f t="shared" si="0"/>
        <v>GbpLiborYC1Y-Mx</v>
      </c>
      <c r="E17" s="7" t="str">
        <f>_xll.qlRelinkableHandleYieldTermStructure(D17,,Permanent,Trigger,ObjectOverwrite)</f>
        <v>GbpLiborYC1Y-Mx#0001</v>
      </c>
      <c r="F17" s="58" t="str">
        <f>_xll.ohRangeRetrieveError(E17)</f>
        <v/>
      </c>
      <c r="G17" s="6"/>
    </row>
    <row r="18" spans="2:7" x14ac:dyDescent="0.2">
      <c r="B18" s="53"/>
      <c r="C18" s="61"/>
      <c r="D18" s="56"/>
      <c r="E18" s="56"/>
      <c r="F18" s="56"/>
      <c r="G18" s="6"/>
    </row>
    <row r="19" spans="2:7" x14ac:dyDescent="0.2">
      <c r="B19" s="53"/>
      <c r="C19" s="61"/>
      <c r="D19" s="60" t="str">
        <f>UPPER(Currency)&amp;"_RH_SwaptionVolatilityStructure.xml"</f>
        <v>GBP_RH_SwaptionVolatilityStructure.xml</v>
      </c>
      <c r="E19" s="16">
        <f ca="1">IF(Serialize,_xll.ohObjectSave(E20:E21,SerializationPath&amp;D19,FileOverwrite,Serialize),"---")</f>
        <v>2</v>
      </c>
      <c r="F19" s="58" t="str">
        <f ca="1">_xll.ohRangeRetrieveError(E19)</f>
        <v/>
      </c>
      <c r="G19" s="6"/>
    </row>
    <row r="20" spans="2:7" x14ac:dyDescent="0.2">
      <c r="B20" s="53"/>
      <c r="C20" s="59" t="s">
        <v>111</v>
      </c>
      <c r="D20" s="59" t="str">
        <f>Currency&amp;C20</f>
        <v>GbpSwaptionATMVol</v>
      </c>
      <c r="E20" s="7" t="str">
        <f>_xll.qlRelinkableHandleSwaptionVolatilityStructure(D20,,Permanent,Trigger,ObjectOverwrite)</f>
        <v>GbpSwaptionATMVol#0001</v>
      </c>
      <c r="F20" s="58" t="str">
        <f>_xll.ohRangeRetrieveError(E20)</f>
        <v/>
      </c>
      <c r="G20" s="6"/>
    </row>
    <row r="21" spans="2:7" x14ac:dyDescent="0.2">
      <c r="B21" s="53"/>
      <c r="C21" s="59" t="s">
        <v>110</v>
      </c>
      <c r="D21" s="59" t="str">
        <f>Currency&amp;C21</f>
        <v>GbpSwaptionVol</v>
      </c>
      <c r="E21" s="7" t="str">
        <f>_xll.qlRelinkableHandleSwaptionVolatilityStructure(D21,,Permanent,Trigger,ObjectOverwrite)</f>
        <v>GbpSwaptionVol#0001</v>
      </c>
      <c r="F21" s="58" t="str">
        <f>_xll.ohRangeRetrieveError(E21)</f>
        <v/>
      </c>
      <c r="G21" s="6"/>
    </row>
    <row r="22" spans="2:7" x14ac:dyDescent="0.2">
      <c r="B22" s="53"/>
      <c r="C22" s="61"/>
      <c r="D22" s="56"/>
      <c r="E22" s="56"/>
      <c r="F22" s="56"/>
      <c r="G22" s="6"/>
    </row>
    <row r="23" spans="2:7" x14ac:dyDescent="0.2">
      <c r="B23" s="53"/>
      <c r="C23" s="61"/>
      <c r="D23" s="60" t="str">
        <f>UPPER(Currency)&amp;"_RH_OptionletVolatilityStructure.xml"</f>
        <v>GBP_RH_OptionletVolatilityStructure.xml</v>
      </c>
      <c r="E23" s="16">
        <f ca="1">IF(Serialize,_xll.ohObjectSave(E24:E33,SerializationPath&amp;D23,FileOverwrite,Serialize),"---")</f>
        <v>10</v>
      </c>
      <c r="F23" s="58" t="str">
        <f ca="1">_xll.ohRangeRetrieveError(E23)</f>
        <v/>
      </c>
      <c r="G23" s="6"/>
    </row>
    <row r="24" spans="2:7" x14ac:dyDescent="0.2">
      <c r="B24" s="53"/>
      <c r="C24" s="59" t="s">
        <v>109</v>
      </c>
      <c r="D24" s="59" t="str">
        <f t="shared" ref="D24:D33" si="1">Currency&amp;C24</f>
        <v>Gbp3MFutOptionVol</v>
      </c>
      <c r="E24" s="7" t="str">
        <f>_xll.qlRelinkableHandleOptionletVolatilityStructure(D24,,Permanent,Trigger,ObjectOverwrite)</f>
        <v>Gbp3MFutOptionVol#0001</v>
      </c>
      <c r="F24" s="58" t="str">
        <f>_xll.ohRangeRetrieveError(E24)</f>
        <v/>
      </c>
      <c r="G24" s="6"/>
    </row>
    <row r="25" spans="2:7" x14ac:dyDescent="0.2">
      <c r="B25" s="53"/>
      <c r="C25" s="59" t="s">
        <v>108</v>
      </c>
      <c r="D25" s="59" t="str">
        <f t="shared" si="1"/>
        <v>Gbp1MCapletVol</v>
      </c>
      <c r="E25" s="7" t="str">
        <f>_xll.qlRelinkableHandleOptionletVolatilityStructure(D25,,Permanent,Trigger,ObjectOverwrite)</f>
        <v>Gbp1MCapletVol#0001</v>
      </c>
      <c r="F25" s="58" t="str">
        <f>_xll.ohRangeRetrieveError(E25)</f>
        <v/>
      </c>
      <c r="G25" s="6"/>
    </row>
    <row r="26" spans="2:7" x14ac:dyDescent="0.2">
      <c r="B26" s="53"/>
      <c r="C26" s="59" t="s">
        <v>107</v>
      </c>
      <c r="D26" s="59" t="str">
        <f t="shared" si="1"/>
        <v>Gbp3MCapletVol</v>
      </c>
      <c r="E26" s="7" t="str">
        <f>_xll.qlRelinkableHandleOptionletVolatilityStructure(D26,,Permanent,Trigger,ObjectOverwrite)</f>
        <v>Gbp3MCapletVol#0001</v>
      </c>
      <c r="F26" s="58" t="str">
        <f>_xll.ohRangeRetrieveError(E26)</f>
        <v/>
      </c>
      <c r="G26" s="6"/>
    </row>
    <row r="27" spans="2:7" x14ac:dyDescent="0.2">
      <c r="B27" s="53"/>
      <c r="C27" s="59" t="s">
        <v>106</v>
      </c>
      <c r="D27" s="59" t="str">
        <f t="shared" si="1"/>
        <v>Gbp6MCapletVol</v>
      </c>
      <c r="E27" s="7" t="str">
        <f>_xll.qlRelinkableHandleOptionletVolatilityStructure(D27,,Permanent,Trigger,ObjectOverwrite)</f>
        <v>Gbp6MCapletVol#0001</v>
      </c>
      <c r="F27" s="58" t="str">
        <f>_xll.ohRangeRetrieveError(E27)</f>
        <v/>
      </c>
      <c r="G27" s="6"/>
    </row>
    <row r="28" spans="2:7" x14ac:dyDescent="0.2">
      <c r="B28" s="53"/>
      <c r="C28" s="59" t="s">
        <v>105</v>
      </c>
      <c r="D28" s="59" t="str">
        <f t="shared" si="1"/>
        <v>Gbp1YCapletVol</v>
      </c>
      <c r="E28" s="7" t="str">
        <f>_xll.qlRelinkableHandleOptionletVolatilityStructure(D28,,Permanent,Trigger,ObjectOverwrite)</f>
        <v>Gbp1YCapletVol#0001</v>
      </c>
      <c r="F28" s="58" t="str">
        <f>_xll.ohRangeRetrieveError(E28)</f>
        <v/>
      </c>
      <c r="G28" s="6"/>
    </row>
    <row r="29" spans="2:7" x14ac:dyDescent="0.2">
      <c r="B29" s="53"/>
      <c r="C29" s="59" t="s">
        <v>104</v>
      </c>
      <c r="D29" s="59" t="str">
        <f t="shared" si="1"/>
        <v>Gbp3MFutOptionVolEx</v>
      </c>
      <c r="E29" s="7" t="str">
        <f>_xll.qlRelinkableHandleOptionletVolatilityStructure(D29,,Permanent,Trigger,ObjectOverwrite)</f>
        <v>Gbp3MFutOptionVolEx#0001</v>
      </c>
      <c r="F29" s="58" t="str">
        <f>_xll.ohRangeRetrieveError(E29)</f>
        <v/>
      </c>
      <c r="G29" s="6"/>
    </row>
    <row r="30" spans="2:7" x14ac:dyDescent="0.2">
      <c r="B30" s="53"/>
      <c r="C30" s="59" t="s">
        <v>103</v>
      </c>
      <c r="D30" s="59" t="str">
        <f t="shared" si="1"/>
        <v>Gbp1MCapletVolEx</v>
      </c>
      <c r="E30" s="7" t="str">
        <f>_xll.qlRelinkableHandleOptionletVolatilityStructure(D30,,Permanent,Trigger,ObjectOverwrite)</f>
        <v>Gbp1MCapletVolEx#0001</v>
      </c>
      <c r="F30" s="58" t="str">
        <f>_xll.ohRangeRetrieveError(E30)</f>
        <v/>
      </c>
      <c r="G30" s="6"/>
    </row>
    <row r="31" spans="2:7" x14ac:dyDescent="0.2">
      <c r="B31" s="53"/>
      <c r="C31" s="59" t="s">
        <v>102</v>
      </c>
      <c r="D31" s="59" t="str">
        <f t="shared" si="1"/>
        <v>Gbp3MCapletVolEx</v>
      </c>
      <c r="E31" s="7" t="str">
        <f>_xll.qlRelinkableHandleOptionletVolatilityStructure(D31,,Permanent,Trigger,ObjectOverwrite)</f>
        <v>Gbp3MCapletVolEx#0001</v>
      </c>
      <c r="F31" s="58" t="str">
        <f>_xll.ohRangeRetrieveError(E31)</f>
        <v/>
      </c>
      <c r="G31" s="6"/>
    </row>
    <row r="32" spans="2:7" x14ac:dyDescent="0.2">
      <c r="B32" s="53"/>
      <c r="C32" s="59" t="s">
        <v>101</v>
      </c>
      <c r="D32" s="59" t="str">
        <f t="shared" si="1"/>
        <v>Gbp6MCapletVolEx</v>
      </c>
      <c r="E32" s="7" t="str">
        <f>_xll.qlRelinkableHandleOptionletVolatilityStructure(D32,,Permanent,Trigger,ObjectOverwrite)</f>
        <v>Gbp6MCapletVolEx#0001</v>
      </c>
      <c r="F32" s="58" t="str">
        <f>_xll.ohRangeRetrieveError(E32)</f>
        <v/>
      </c>
      <c r="G32" s="6"/>
    </row>
    <row r="33" spans="2:7" x14ac:dyDescent="0.2">
      <c r="B33" s="53"/>
      <c r="C33" s="59" t="s">
        <v>100</v>
      </c>
      <c r="D33" s="59" t="str">
        <f t="shared" si="1"/>
        <v>Gbp1YCapletVolEx</v>
      </c>
      <c r="E33" s="7" t="str">
        <f>_xll.qlRelinkableHandleOptionletVolatilityStructure(D33,,Permanent,Trigger,ObjectOverwrite)</f>
        <v>Gbp1YCapletVolEx#0001</v>
      </c>
      <c r="F33" s="58" t="str">
        <f>_xll.ohRangeRetrieveError(E33)</f>
        <v/>
      </c>
      <c r="G33" s="6"/>
    </row>
    <row r="34" spans="2:7" ht="13.5" thickBot="1" x14ac:dyDescent="0.25">
      <c r="B34" s="5"/>
      <c r="C34" s="4"/>
      <c r="D34" s="4"/>
      <c r="E34" s="4"/>
      <c r="F34" s="4"/>
      <c r="G34" s="3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50"/>
  <sheetViews>
    <sheetView workbookViewId="0"/>
  </sheetViews>
  <sheetFormatPr defaultRowHeight="12.75" x14ac:dyDescent="0.2"/>
  <cols>
    <col min="1" max="1" width="2.85546875" style="65" customWidth="1"/>
    <col min="2" max="2" width="6.5703125" style="65" customWidth="1"/>
    <col min="3" max="3" width="15.5703125" style="65" bestFit="1" customWidth="1"/>
    <col min="4" max="4" width="79.140625" style="65" bestFit="1" customWidth="1"/>
    <col min="5" max="5" width="5" style="65" customWidth="1"/>
    <col min="6" max="6" width="50.42578125" style="65" customWidth="1"/>
    <col min="7" max="7" width="5.7109375" style="65" customWidth="1"/>
    <col min="8" max="16384" width="9.140625" style="65"/>
  </cols>
  <sheetData>
    <row r="1" spans="1:29" ht="13.5" thickBot="1" x14ac:dyDescent="0.25">
      <c r="A1" s="50"/>
      <c r="B1" s="50" t="str">
        <f>_xll.qlxlVersion(TRUE,Trigger)</f>
        <v>QuantLibXL 1.3.0 - MS VC++ 9.0 - Multithreaded Static Runtime library - Release Configuration - Nov  5 2013 10:41:52</v>
      </c>
      <c r="C1" s="50"/>
      <c r="D1" s="50"/>
      <c r="E1" s="50"/>
      <c r="F1" s="50"/>
      <c r="G1" s="50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ht="15.75" x14ac:dyDescent="0.25">
      <c r="A2" s="50"/>
      <c r="B2" s="263" t="s">
        <v>99</v>
      </c>
      <c r="C2" s="264"/>
      <c r="D2" s="264"/>
      <c r="E2" s="265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29" x14ac:dyDescent="0.2">
      <c r="A3" s="50"/>
      <c r="B3" s="53"/>
      <c r="C3" s="56"/>
      <c r="D3" s="56"/>
      <c r="E3" s="6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">
      <c r="A4" s="50"/>
      <c r="B4" s="53"/>
      <c r="C4" s="22" t="s">
        <v>98</v>
      </c>
      <c r="D4" s="52"/>
      <c r="E4" s="5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 x14ac:dyDescent="0.2">
      <c r="A5" s="50"/>
      <c r="B5" s="53"/>
      <c r="C5" s="22" t="s">
        <v>95</v>
      </c>
      <c r="D5" s="52" t="b">
        <v>1</v>
      </c>
      <c r="E5" s="5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x14ac:dyDescent="0.2">
      <c r="A6" s="50"/>
      <c r="B6" s="53"/>
      <c r="C6" s="22" t="s">
        <v>94</v>
      </c>
      <c r="D6" s="52" t="b">
        <v>0</v>
      </c>
      <c r="E6" s="5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x14ac:dyDescent="0.2">
      <c r="A7" s="50"/>
      <c r="B7" s="53"/>
      <c r="C7" s="22" t="s">
        <v>93</v>
      </c>
      <c r="D7" s="52" t="b">
        <v>1</v>
      </c>
      <c r="E7" s="5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 x14ac:dyDescent="0.2">
      <c r="A8" s="50"/>
      <c r="B8" s="53"/>
      <c r="C8" s="22" t="s">
        <v>92</v>
      </c>
      <c r="D8" s="55" t="str">
        <f ca="1">SUBSTITUTE(LEFT(CELL("filename",A1),FIND("[",CELL("filename",A1),1)-1),"\XLS\","\XML\")</f>
        <v>C:\Users\erik\Documents\repos\quantlib_nando\QuantLibXL\Data2\XML\</v>
      </c>
      <c r="E8" s="5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29" x14ac:dyDescent="0.2">
      <c r="A9" s="50"/>
      <c r="B9" s="53"/>
      <c r="C9" s="22" t="s">
        <v>91</v>
      </c>
      <c r="D9" s="54" t="b">
        <v>1</v>
      </c>
      <c r="E9" s="5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 ht="13.5" thickBot="1" x14ac:dyDescent="0.25">
      <c r="A10" s="50"/>
      <c r="B10" s="5"/>
      <c r="C10" s="4"/>
      <c r="D10" s="4"/>
      <c r="E10" s="3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x14ac:dyDescent="0.2">
      <c r="A12" s="1"/>
      <c r="B12" s="1"/>
      <c r="C12" s="28"/>
      <c r="D12" s="28"/>
      <c r="E12" s="28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">
      <c r="A13" s="1"/>
      <c r="B13" s="1"/>
      <c r="C13" s="28"/>
      <c r="D13" s="28"/>
      <c r="E13" s="28"/>
      <c r="F13" s="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">
      <c r="A14" s="1"/>
      <c r="B14" s="1"/>
      <c r="C14" s="28"/>
      <c r="D14" s="28"/>
      <c r="E14" s="28"/>
      <c r="F14" s="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">
      <c r="A15" s="1"/>
      <c r="B15" s="1"/>
      <c r="C15" s="28"/>
      <c r="D15" s="28"/>
      <c r="E15" s="28"/>
      <c r="F15" s="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">
      <c r="A16" s="1"/>
      <c r="B16" s="1"/>
      <c r="C16" s="28"/>
      <c r="D16" s="28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">
      <c r="A17" s="1"/>
      <c r="B17" s="1"/>
      <c r="C17" s="28"/>
      <c r="D17" s="28"/>
      <c r="E17" s="28"/>
      <c r="F17" s="28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">
      <c r="A18" s="1"/>
      <c r="B18" s="1"/>
      <c r="C18" s="28"/>
      <c r="D18" s="28"/>
      <c r="E18" s="28"/>
      <c r="F18" s="2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">
      <c r="A19" s="1"/>
      <c r="B19" s="1"/>
      <c r="C19" s="28"/>
      <c r="D19" s="28"/>
      <c r="E19" s="28"/>
      <c r="F19" s="28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">
      <c r="A20" s="1"/>
      <c r="B20" s="1"/>
      <c r="C20" s="28"/>
      <c r="D20" s="28"/>
      <c r="E20" s="28"/>
      <c r="F20" s="28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">
      <c r="A21" s="1"/>
      <c r="B21" s="1"/>
      <c r="C21" s="28"/>
      <c r="D21" s="28"/>
      <c r="E21" s="28"/>
      <c r="F21" s="2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">
      <c r="A22" s="1"/>
      <c r="B22" s="1"/>
      <c r="C22" s="28"/>
      <c r="D22" s="28"/>
      <c r="E22" s="28"/>
      <c r="F22" s="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">
      <c r="A23" s="1"/>
      <c r="B23" s="1"/>
      <c r="C23" s="28"/>
      <c r="D23" s="28"/>
      <c r="E23" s="28"/>
      <c r="F23" s="28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">
      <c r="A24" s="1"/>
      <c r="B24" s="1"/>
      <c r="C24" s="28"/>
      <c r="D24" s="28"/>
      <c r="E24" s="28"/>
      <c r="F24" s="28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">
      <c r="A25" s="1"/>
      <c r="B25" s="1"/>
      <c r="C25" s="28"/>
      <c r="D25" s="28"/>
      <c r="E25" s="28"/>
      <c r="F25" s="28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">
      <c r="A26" s="1"/>
      <c r="B26" s="1"/>
      <c r="C26" s="28"/>
      <c r="D26" s="28"/>
      <c r="E26" s="28"/>
      <c r="F26" s="28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">
      <c r="A27" s="1"/>
      <c r="B27" s="1"/>
      <c r="C27" s="28"/>
      <c r="D27" s="28"/>
      <c r="E27" s="28"/>
      <c r="F27" s="28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">
      <c r="A28" s="1"/>
      <c r="B28" s="1"/>
      <c r="C28" s="28"/>
      <c r="D28" s="28"/>
      <c r="E28" s="28"/>
      <c r="F28" s="2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">
      <c r="A29" s="1"/>
      <c r="B29" s="1"/>
      <c r="C29" s="28"/>
      <c r="D29" s="28"/>
      <c r="E29" s="28"/>
      <c r="F29" s="28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">
      <c r="A30" s="1"/>
      <c r="B30" s="1"/>
      <c r="C30" s="28"/>
      <c r="D30" s="28"/>
      <c r="E30" s="28"/>
      <c r="F30" s="28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">
      <c r="A31" s="1"/>
      <c r="B31" s="1"/>
      <c r="C31" s="28"/>
      <c r="D31" s="28"/>
      <c r="E31" s="28"/>
      <c r="F31" s="28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">
      <c r="A32" s="1"/>
      <c r="B32" s="1"/>
      <c r="C32" s="28"/>
      <c r="D32" s="28"/>
      <c r="E32" s="28"/>
      <c r="F32" s="28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">
      <c r="A33" s="1"/>
      <c r="B33" s="1"/>
      <c r="C33" s="28"/>
      <c r="D33" s="28"/>
      <c r="E33" s="28"/>
      <c r="F33" s="2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">
      <c r="A34" s="1"/>
      <c r="B34" s="1"/>
      <c r="C34" s="28"/>
      <c r="D34" s="28"/>
      <c r="E34" s="28"/>
      <c r="F34" s="28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">
      <c r="A35" s="1"/>
      <c r="B35" s="1"/>
      <c r="C35" s="28"/>
      <c r="D35" s="28"/>
      <c r="E35" s="28"/>
      <c r="F35" s="28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">
      <c r="A36" s="1"/>
      <c r="B36" s="1"/>
      <c r="C36" s="28"/>
      <c r="D36" s="28"/>
      <c r="E36" s="28"/>
      <c r="F36" s="2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">
      <c r="A37" s="1"/>
      <c r="B37" s="1"/>
      <c r="C37" s="28"/>
      <c r="D37" s="28"/>
      <c r="E37" s="28"/>
      <c r="F37" s="28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2">
      <c r="A38" s="1"/>
      <c r="B38" s="1"/>
      <c r="C38" s="28"/>
      <c r="D38" s="28"/>
      <c r="E38" s="28"/>
      <c r="F38" s="28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 x14ac:dyDescent="0.2">
      <c r="A39" s="1"/>
      <c r="B39" s="1"/>
      <c r="C39" s="28"/>
      <c r="D39" s="28"/>
      <c r="E39" s="28"/>
      <c r="F39" s="28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 x14ac:dyDescent="0.2">
      <c r="A40" s="1"/>
      <c r="B40" s="1"/>
      <c r="C40" s="28"/>
      <c r="D40" s="28"/>
      <c r="E40" s="28"/>
      <c r="F40" s="28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 x14ac:dyDescent="0.2">
      <c r="A41" s="1"/>
      <c r="B41" s="1"/>
      <c r="C41" s="28"/>
      <c r="D41" s="28"/>
      <c r="E41" s="28"/>
      <c r="F41" s="2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29" x14ac:dyDescent="0.2">
      <c r="A42" s="1"/>
      <c r="B42" s="1"/>
      <c r="C42" s="28"/>
      <c r="D42" s="28"/>
      <c r="E42" s="28"/>
      <c r="F42" s="28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1:29" x14ac:dyDescent="0.2">
      <c r="A43" s="1"/>
      <c r="B43" s="1"/>
      <c r="C43" s="28"/>
      <c r="D43" s="28"/>
      <c r="E43" s="28"/>
      <c r="F43" s="2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1:29" x14ac:dyDescent="0.2">
      <c r="A44" s="1"/>
      <c r="B44" s="1"/>
      <c r="C44" s="28"/>
      <c r="D44" s="28"/>
      <c r="E44" s="28"/>
      <c r="F44" s="28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 x14ac:dyDescent="0.2">
      <c r="A45" s="1"/>
      <c r="B45" s="1"/>
      <c r="C45" s="28"/>
      <c r="D45" s="28"/>
      <c r="E45" s="28"/>
      <c r="F45" s="28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 x14ac:dyDescent="0.2">
      <c r="A46" s="1"/>
      <c r="B46" s="1"/>
      <c r="C46" s="28"/>
      <c r="D46" s="28"/>
      <c r="E46" s="28"/>
      <c r="F46" s="2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 x14ac:dyDescent="0.2">
      <c r="A47" s="1"/>
      <c r="B47" s="1"/>
      <c r="C47" s="28"/>
      <c r="D47" s="28"/>
      <c r="E47" s="28"/>
      <c r="F47" s="28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 x14ac:dyDescent="0.2">
      <c r="A48" s="1"/>
      <c r="B48" s="1"/>
      <c r="C48" s="28"/>
      <c r="D48" s="28"/>
      <c r="E48" s="28"/>
      <c r="F48" s="2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x14ac:dyDescent="0.2">
      <c r="A49" s="1"/>
      <c r="B49" s="1"/>
      <c r="C49" s="28"/>
      <c r="D49" s="28"/>
      <c r="E49" s="28"/>
      <c r="F49" s="28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 x14ac:dyDescent="0.2">
      <c r="C50" s="66"/>
      <c r="D50" s="66"/>
      <c r="E50" s="66"/>
      <c r="F50" s="66"/>
    </row>
  </sheetData>
  <dataConsolidate/>
  <mergeCells count="1">
    <mergeCell ref="B2:E2"/>
  </mergeCells>
  <pageMargins left="0.75" right="0.75" top="1" bottom="1" header="0.5" footer="0.5"/>
  <pageSetup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4"/>
  <sheetViews>
    <sheetView workbookViewId="0"/>
  </sheetViews>
  <sheetFormatPr defaultRowHeight="12.75" x14ac:dyDescent="0.2"/>
  <cols>
    <col min="1" max="1" width="3.140625" style="1" customWidth="1"/>
    <col min="2" max="2" width="3.5703125" style="1" customWidth="1"/>
    <col min="3" max="3" width="5.5703125" style="1" bestFit="1" customWidth="1"/>
    <col min="4" max="4" width="9.28515625" style="1" bestFit="1" customWidth="1"/>
    <col min="5" max="5" width="10.28515625" style="1" bestFit="1" customWidth="1"/>
    <col min="6" max="6" width="14.7109375" style="1" bestFit="1" customWidth="1"/>
    <col min="7" max="7" width="26.140625" style="1" bestFit="1" customWidth="1"/>
    <col min="8" max="8" width="31.42578125" style="1" customWidth="1"/>
    <col min="9" max="9" width="28" style="1" customWidth="1"/>
    <col min="10" max="12" width="3.5703125" style="1" customWidth="1"/>
    <col min="13" max="16384" width="9.140625" style="1"/>
  </cols>
  <sheetData>
    <row r="1" spans="2:12" s="2" customFormat="1" ht="12" thickBot="1" x14ac:dyDescent="0.25"/>
    <row r="2" spans="2:12" s="2" customFormat="1" x14ac:dyDescent="0.2">
      <c r="B2" s="27"/>
      <c r="C2" s="26"/>
      <c r="D2" s="26"/>
      <c r="E2" s="25"/>
      <c r="F2" s="24"/>
      <c r="G2" s="24"/>
      <c r="H2" s="24"/>
      <c r="I2" s="24"/>
      <c r="J2" s="23"/>
    </row>
    <row r="3" spans="2:12" s="2" customFormat="1" x14ac:dyDescent="0.2">
      <c r="B3" s="12"/>
      <c r="C3" s="21"/>
      <c r="D3" s="21"/>
      <c r="E3" s="22" t="s">
        <v>26</v>
      </c>
      <c r="F3" s="15" t="s">
        <v>25</v>
      </c>
      <c r="G3" s="20"/>
      <c r="H3" s="20"/>
      <c r="I3" s="20"/>
      <c r="J3" s="14"/>
    </row>
    <row r="4" spans="2:12" s="2" customFormat="1" x14ac:dyDescent="0.2">
      <c r="B4" s="12"/>
      <c r="C4" s="21"/>
      <c r="D4" s="21"/>
      <c r="E4" s="20"/>
      <c r="F4" s="20"/>
      <c r="G4" s="20"/>
      <c r="H4" s="20"/>
      <c r="I4" s="20"/>
      <c r="J4" s="14"/>
    </row>
    <row r="5" spans="2:12" s="2" customFormat="1" x14ac:dyDescent="0.2">
      <c r="B5" s="12"/>
      <c r="C5" s="19" t="s">
        <v>24</v>
      </c>
      <c r="D5" s="18" t="s">
        <v>23</v>
      </c>
      <c r="E5" s="17" t="str">
        <f>PROPER(Currency)&amp;FamilyName&amp;".xml"</f>
        <v>GbpLibor.xml</v>
      </c>
      <c r="F5" s="16">
        <f ca="1">IF(Serialize,_xll.ohObjectSave(F7:G22,SerializationPath&amp;FileName,FileOverwrite,Serialize),"---")</f>
        <v>32</v>
      </c>
      <c r="G5" s="15"/>
      <c r="H5" s="7" t="str">
        <f ca="1">_xll.ohRangeRetrieveError(F5)</f>
        <v/>
      </c>
      <c r="I5" s="7" t="str">
        <f>_xll.ohRangeRetrieveError(G5)</f>
        <v/>
      </c>
      <c r="J5" s="14"/>
    </row>
    <row r="6" spans="2:12" s="2" customFormat="1" x14ac:dyDescent="0.2">
      <c r="B6" s="12"/>
      <c r="C6" s="11" t="s">
        <v>21</v>
      </c>
      <c r="D6" s="10" t="s">
        <v>22</v>
      </c>
      <c r="E6" s="13" t="s">
        <v>21</v>
      </c>
      <c r="F6" s="8" t="str">
        <f>_xll.qlSonia($E6,Currency&amp;$D6,Permanent,Trigger,ObjectOverwrite)</f>
        <v>Sonia2#0001</v>
      </c>
      <c r="G6" s="8" t="str">
        <f>_xll.qlLastFixingQuote(E6&amp;"LastFixing_Quote",F6,Permanent,Trigger,ObjectOverwrite)</f>
        <v>Sonia2LastFixing_Quote#0001</v>
      </c>
      <c r="H6" s="7" t="str">
        <f>_xll.ohRangeRetrieveError(F6)</f>
        <v/>
      </c>
      <c r="I6" s="7" t="str">
        <f>_xll.ohRangeRetrieveError(G6)</f>
        <v/>
      </c>
      <c r="J6" s="14"/>
      <c r="L6" s="2">
        <f>_xll.qlInterestRateIndexFixingDays(F6)</f>
        <v>0</v>
      </c>
    </row>
    <row r="7" spans="2:12" s="2" customFormat="1" x14ac:dyDescent="0.2">
      <c r="B7" s="12"/>
      <c r="C7" s="11" t="s">
        <v>20</v>
      </c>
      <c r="D7" s="10" t="s">
        <v>17</v>
      </c>
      <c r="E7" s="13" t="s">
        <v>20</v>
      </c>
      <c r="F7" s="8" t="str">
        <f>_xll.qlSonia($E7,Currency&amp;$D7,Permanent,Trigger,ObjectOverwrite)</f>
        <v>Sonia#0001</v>
      </c>
      <c r="G7" s="8" t="str">
        <f>_xll.qlLastFixingQuote(E7&amp;"LastFixing_Quote",F7,Permanent,Trigger,ObjectOverwrite)</f>
        <v>SoniaLastFixing_Quote#0001</v>
      </c>
      <c r="H7" s="7" t="str">
        <f>_xll.ohRangeRetrieveError(F7)</f>
        <v/>
      </c>
      <c r="I7" s="7" t="str">
        <f>_xll.ohRangeRetrieveError(G7)</f>
        <v/>
      </c>
      <c r="J7" s="6"/>
      <c r="L7" s="2">
        <f>_xll.qlInterestRateIndexFixingDays(F7)</f>
        <v>0</v>
      </c>
    </row>
    <row r="8" spans="2:12" s="2" customFormat="1" x14ac:dyDescent="0.2">
      <c r="B8" s="12"/>
      <c r="C8" s="11" t="s">
        <v>19</v>
      </c>
      <c r="D8" s="10" t="s">
        <v>17</v>
      </c>
      <c r="E8" s="9" t="str">
        <f t="shared" ref="E8:E22" si="0">PROPER(Currency)&amp;FamilyName&amp;$C8</f>
        <v>GbpLiborSW</v>
      </c>
      <c r="F8" s="8" t="str">
        <f>_xll.qlLibor($E8,Currency,$C8,Currency&amp;$D8,Permanent,Trigger,ObjectOverwrite)</f>
        <v>GbpLiborSW#0001</v>
      </c>
      <c r="G8" s="8" t="str">
        <f>_xll.qlLastFixingQuote(E8&amp;"LastFixing_Quote",F8,Permanent,Trigger,ObjectOverwrite)</f>
        <v>GbpLiborSWLastFixing_Quote#0001</v>
      </c>
      <c r="H8" s="7" t="str">
        <f>_xll.ohRangeRetrieveError(F8)</f>
        <v/>
      </c>
      <c r="I8" s="7" t="str">
        <f>_xll.ohRangeRetrieveError(G8)</f>
        <v/>
      </c>
      <c r="J8" s="6"/>
      <c r="L8" s="2">
        <f>_xll.qlInterestRateIndexFixingDays(F8)</f>
        <v>0</v>
      </c>
    </row>
    <row r="9" spans="2:12" s="2" customFormat="1" x14ac:dyDescent="0.2">
      <c r="B9" s="12"/>
      <c r="C9" s="11" t="s">
        <v>18</v>
      </c>
      <c r="D9" s="10" t="s">
        <v>17</v>
      </c>
      <c r="E9" s="9" t="str">
        <f t="shared" si="0"/>
        <v>GbpLibor2W</v>
      </c>
      <c r="F9" s="8" t="str">
        <f>_xll.qlLibor($E9,Currency,$C9,Currency&amp;$D9,Permanent,Trigger,ObjectOverwrite)</f>
        <v>GbpLibor2W#0001</v>
      </c>
      <c r="G9" s="8" t="str">
        <f>_xll.qlLastFixingQuote(E9&amp;"LastFixing_Quote",F9,Permanent,Trigger,ObjectOverwrite)</f>
        <v>GbpLibor2WLastFixing_Quote#0001</v>
      </c>
      <c r="H9" s="7" t="str">
        <f>_xll.ohRangeRetrieveError(F9)</f>
        <v/>
      </c>
      <c r="I9" s="7" t="str">
        <f>_xll.ohRangeRetrieveError(G9)</f>
        <v/>
      </c>
      <c r="J9" s="6"/>
      <c r="L9" s="2">
        <f>_xll.qlInterestRateIndexFixingDays(F9)</f>
        <v>0</v>
      </c>
    </row>
    <row r="10" spans="2:12" s="2" customFormat="1" x14ac:dyDescent="0.2">
      <c r="B10" s="12"/>
      <c r="C10" s="11" t="s">
        <v>16</v>
      </c>
      <c r="D10" s="10" t="s">
        <v>14</v>
      </c>
      <c r="E10" s="9" t="str">
        <f t="shared" si="0"/>
        <v>GbpLibor3W</v>
      </c>
      <c r="F10" s="8" t="str">
        <f>_xll.qlLibor($E10,Currency,$C10,Currency&amp;$D10,Permanent,Trigger,ObjectOverwrite)</f>
        <v>GbpLibor3W#0001</v>
      </c>
      <c r="G10" s="8" t="str">
        <f>_xll.qlLastFixingQuote(E10&amp;"LastFixing_Quote",F10,Permanent,Trigger,ObjectOverwrite)</f>
        <v>GbpLibor3WLastFixing_Quote#0001</v>
      </c>
      <c r="H10" s="7" t="str">
        <f>_xll.ohRangeRetrieveError(F10)</f>
        <v/>
      </c>
      <c r="I10" s="7" t="str">
        <f>_xll.ohRangeRetrieveError(G10)</f>
        <v/>
      </c>
      <c r="J10" s="6"/>
      <c r="L10" s="2">
        <f>_xll.qlInterestRateIndexFixingDays(F10)</f>
        <v>0</v>
      </c>
    </row>
    <row r="11" spans="2:12" s="2" customFormat="1" x14ac:dyDescent="0.2">
      <c r="B11" s="12"/>
      <c r="C11" s="11" t="s">
        <v>15</v>
      </c>
      <c r="D11" s="10" t="s">
        <v>14</v>
      </c>
      <c r="E11" s="9" t="str">
        <f t="shared" si="0"/>
        <v>GbpLibor1M</v>
      </c>
      <c r="F11" s="8" t="str">
        <f>_xll.qlLibor($E11,Currency,$C11,Currency&amp;$D11,Permanent,Trigger,ObjectOverwrite)</f>
        <v>GbpLibor1M#0001</v>
      </c>
      <c r="G11" s="8" t="str">
        <f>_xll.qlLastFixingQuote(E11&amp;"LastFixing_Quote",F11,Permanent,Trigger,ObjectOverwrite)</f>
        <v>GbpLibor1MLastFixing_Quote#0001</v>
      </c>
      <c r="H11" s="7" t="str">
        <f>_xll.ohRangeRetrieveError(F11)</f>
        <v/>
      </c>
      <c r="I11" s="7" t="str">
        <f>_xll.ohRangeRetrieveError(G11)</f>
        <v/>
      </c>
      <c r="J11" s="6"/>
      <c r="L11" s="2">
        <f>_xll.qlInterestRateIndexFixingDays(F11)</f>
        <v>0</v>
      </c>
    </row>
    <row r="12" spans="2:12" s="2" customFormat="1" x14ac:dyDescent="0.2">
      <c r="B12" s="12"/>
      <c r="C12" s="11" t="s">
        <v>13</v>
      </c>
      <c r="D12" s="10" t="s">
        <v>10</v>
      </c>
      <c r="E12" s="9" t="str">
        <f t="shared" si="0"/>
        <v>GbpLibor2M</v>
      </c>
      <c r="F12" s="8" t="str">
        <f>_xll.qlLibor($E12,Currency,$C12,Currency&amp;$D12,Permanent,Trigger,ObjectOverwrite)</f>
        <v>GbpLibor2M#0001</v>
      </c>
      <c r="G12" s="8" t="str">
        <f>_xll.qlLastFixingQuote(E12&amp;"LastFixing_Quote",F12,Permanent,Trigger,ObjectOverwrite)</f>
        <v>GbpLibor2MLastFixing_Quote#0001</v>
      </c>
      <c r="H12" s="7" t="str">
        <f>_xll.ohRangeRetrieveError(F12)</f>
        <v/>
      </c>
      <c r="I12" s="7" t="str">
        <f>_xll.ohRangeRetrieveError(G12)</f>
        <v/>
      </c>
      <c r="J12" s="6"/>
      <c r="L12" s="2">
        <f>_xll.qlInterestRateIndexFixingDays(F12)</f>
        <v>0</v>
      </c>
    </row>
    <row r="13" spans="2:12" s="2" customFormat="1" x14ac:dyDescent="0.2">
      <c r="B13" s="12"/>
      <c r="C13" s="11" t="s">
        <v>12</v>
      </c>
      <c r="D13" s="10" t="s">
        <v>10</v>
      </c>
      <c r="E13" s="9" t="str">
        <f t="shared" si="0"/>
        <v>GbpLibor3M</v>
      </c>
      <c r="F13" s="8" t="str">
        <f>_xll.qlLibor($E13,Currency,$C13,Currency&amp;$D13,Permanent,Trigger,ObjectOverwrite)</f>
        <v>GbpLibor3M#0001</v>
      </c>
      <c r="G13" s="8" t="str">
        <f>_xll.qlLastFixingQuote(E13&amp;"LastFixing_Quote",F13,Permanent,Trigger,ObjectOverwrite)</f>
        <v>GbpLibor3MLastFixing_Quote#0001</v>
      </c>
      <c r="H13" s="7" t="str">
        <f>_xll.ohRangeRetrieveError(F13)</f>
        <v/>
      </c>
      <c r="I13" s="7" t="str">
        <f>_xll.ohRangeRetrieveError(G13)</f>
        <v/>
      </c>
      <c r="J13" s="6"/>
      <c r="L13" s="2">
        <f>_xll.qlInterestRateIndexFixingDays(F13)</f>
        <v>0</v>
      </c>
    </row>
    <row r="14" spans="2:12" s="2" customFormat="1" x14ac:dyDescent="0.2">
      <c r="B14" s="12"/>
      <c r="C14" s="11" t="s">
        <v>11</v>
      </c>
      <c r="D14" s="10" t="s">
        <v>10</v>
      </c>
      <c r="E14" s="9" t="str">
        <f t="shared" si="0"/>
        <v>GbpLibor4M</v>
      </c>
      <c r="F14" s="8" t="str">
        <f>_xll.qlLibor($E14,Currency,$C14,Currency&amp;$D14,Permanent,Trigger,ObjectOverwrite)</f>
        <v>GbpLibor4M#0001</v>
      </c>
      <c r="G14" s="8" t="str">
        <f>_xll.qlLastFixingQuote(E14&amp;"LastFixing_Quote",F14,Permanent,Trigger,ObjectOverwrite)</f>
        <v>GbpLibor4MLastFixing_Quote#0001</v>
      </c>
      <c r="H14" s="7" t="str">
        <f>_xll.ohRangeRetrieveError(F14)</f>
        <v/>
      </c>
      <c r="I14" s="7" t="str">
        <f>_xll.ohRangeRetrieveError(G14)</f>
        <v/>
      </c>
      <c r="J14" s="6"/>
      <c r="L14" s="2">
        <f>_xll.qlInterestRateIndexFixingDays(F14)</f>
        <v>0</v>
      </c>
    </row>
    <row r="15" spans="2:12" s="2" customFormat="1" x14ac:dyDescent="0.2">
      <c r="B15" s="12"/>
      <c r="C15" s="11" t="s">
        <v>9</v>
      </c>
      <c r="D15" s="10" t="s">
        <v>5</v>
      </c>
      <c r="E15" s="9" t="str">
        <f t="shared" si="0"/>
        <v>GbpLibor5M</v>
      </c>
      <c r="F15" s="8" t="str">
        <f>_xll.qlLibor($E15,Currency,$C15,Currency&amp;$D15,Permanent,Trigger,ObjectOverwrite)</f>
        <v>GbpLibor5M#0001</v>
      </c>
      <c r="G15" s="8" t="str">
        <f>_xll.qlLastFixingQuote(E15&amp;"LastFixing_Quote",F15,Permanent,Trigger,ObjectOverwrite)</f>
        <v>GbpLibor5MLastFixing_Quote#0001</v>
      </c>
      <c r="H15" s="7" t="str">
        <f>_xll.ohRangeRetrieveError(F15)</f>
        <v/>
      </c>
      <c r="I15" s="7" t="str">
        <f>_xll.ohRangeRetrieveError(G15)</f>
        <v/>
      </c>
      <c r="J15" s="6"/>
      <c r="L15" s="2">
        <f>_xll.qlInterestRateIndexFixingDays(F15)</f>
        <v>0</v>
      </c>
    </row>
    <row r="16" spans="2:12" s="2" customFormat="1" x14ac:dyDescent="0.2">
      <c r="B16" s="12"/>
      <c r="C16" s="11" t="s">
        <v>8</v>
      </c>
      <c r="D16" s="10" t="s">
        <v>5</v>
      </c>
      <c r="E16" s="9" t="str">
        <f t="shared" si="0"/>
        <v>GbpLibor6M</v>
      </c>
      <c r="F16" s="8" t="str">
        <f>_xll.qlLibor($E16,Currency,$C16,Currency&amp;$D16,Permanent,Trigger,ObjectOverwrite)</f>
        <v>GbpLibor6M#0001</v>
      </c>
      <c r="G16" s="8" t="str">
        <f>_xll.qlLastFixingQuote(E16&amp;"LastFixing_Quote",F16,Permanent,Trigger,ObjectOverwrite)</f>
        <v>GbpLibor6MLastFixing_Quote#0001</v>
      </c>
      <c r="H16" s="7" t="str">
        <f>_xll.ohRangeRetrieveError(F16)</f>
        <v/>
      </c>
      <c r="I16" s="7" t="str">
        <f>_xll.ohRangeRetrieveError(G16)</f>
        <v/>
      </c>
      <c r="J16" s="6"/>
      <c r="L16" s="2">
        <f>_xll.qlInterestRateIndexFixingDays(F16)</f>
        <v>0</v>
      </c>
    </row>
    <row r="17" spans="2:12" s="2" customFormat="1" x14ac:dyDescent="0.2">
      <c r="B17" s="12"/>
      <c r="C17" s="11" t="s">
        <v>7</v>
      </c>
      <c r="D17" s="10" t="s">
        <v>5</v>
      </c>
      <c r="E17" s="9" t="str">
        <f t="shared" si="0"/>
        <v>GbpLibor7M</v>
      </c>
      <c r="F17" s="8" t="str">
        <f>_xll.qlLibor($E17,Currency,$C17,Currency&amp;$D17,Permanent,Trigger,ObjectOverwrite)</f>
        <v>GbpLibor7M#0001</v>
      </c>
      <c r="G17" s="8" t="str">
        <f>_xll.qlLastFixingQuote(E17&amp;"LastFixing_Quote",F17,Permanent,Trigger,ObjectOverwrite)</f>
        <v>GbpLibor7MLastFixing_Quote#0001</v>
      </c>
      <c r="H17" s="7" t="str">
        <f>_xll.ohRangeRetrieveError(F17)</f>
        <v/>
      </c>
      <c r="I17" s="7" t="str">
        <f>_xll.ohRangeRetrieveError(G17)</f>
        <v/>
      </c>
      <c r="J17" s="6"/>
      <c r="L17" s="2">
        <f>_xll.qlInterestRateIndexFixingDays(F17)</f>
        <v>0</v>
      </c>
    </row>
    <row r="18" spans="2:12" s="2" customFormat="1" x14ac:dyDescent="0.2">
      <c r="B18" s="12"/>
      <c r="C18" s="11" t="s">
        <v>6</v>
      </c>
      <c r="D18" s="10" t="s">
        <v>5</v>
      </c>
      <c r="E18" s="9" t="str">
        <f t="shared" si="0"/>
        <v>GbpLibor8M</v>
      </c>
      <c r="F18" s="8" t="str">
        <f>_xll.qlLibor($E18,Currency,$C18,Currency&amp;$D18,Permanent,Trigger,ObjectOverwrite)</f>
        <v>GbpLibor8M#0001</v>
      </c>
      <c r="G18" s="8" t="str">
        <f>_xll.qlLastFixingQuote(E18&amp;"LastFixing_Quote",F18,Permanent,Trigger,ObjectOverwrite)</f>
        <v>GbpLibor8MLastFixing_Quote#0001</v>
      </c>
      <c r="H18" s="7" t="str">
        <f>_xll.ohRangeRetrieveError(F18)</f>
        <v/>
      </c>
      <c r="I18" s="7" t="str">
        <f>_xll.ohRangeRetrieveError(G18)</f>
        <v/>
      </c>
      <c r="J18" s="6"/>
      <c r="L18" s="2">
        <f>_xll.qlInterestRateIndexFixingDays(F18)</f>
        <v>0</v>
      </c>
    </row>
    <row r="19" spans="2:12" s="2" customFormat="1" x14ac:dyDescent="0.2">
      <c r="B19" s="12"/>
      <c r="C19" s="11" t="s">
        <v>4</v>
      </c>
      <c r="D19" s="10" t="s">
        <v>0</v>
      </c>
      <c r="E19" s="9" t="str">
        <f t="shared" si="0"/>
        <v>GbpLibor9M</v>
      </c>
      <c r="F19" s="8" t="str">
        <f>_xll.qlLibor($E19,Currency,$C19,Currency&amp;$D19,Permanent,Trigger,ObjectOverwrite)</f>
        <v>GbpLibor9M#0001</v>
      </c>
      <c r="G19" s="8" t="str">
        <f>_xll.qlLastFixingQuote(E19&amp;"LastFixing_Quote",F19,Permanent,Trigger,ObjectOverwrite)</f>
        <v>GbpLibor9MLastFixing_Quote#0001</v>
      </c>
      <c r="H19" s="7" t="str">
        <f>_xll.ohRangeRetrieveError(F19)</f>
        <v/>
      </c>
      <c r="I19" s="7" t="str">
        <f>_xll.ohRangeRetrieveError(G19)</f>
        <v/>
      </c>
      <c r="J19" s="6"/>
      <c r="L19" s="2">
        <f>_xll.qlInterestRateIndexFixingDays(F19)</f>
        <v>0</v>
      </c>
    </row>
    <row r="20" spans="2:12" s="2" customFormat="1" x14ac:dyDescent="0.2">
      <c r="B20" s="12"/>
      <c r="C20" s="11" t="s">
        <v>3</v>
      </c>
      <c r="D20" s="10" t="s">
        <v>0</v>
      </c>
      <c r="E20" s="9" t="str">
        <f t="shared" si="0"/>
        <v>GbpLibor10M</v>
      </c>
      <c r="F20" s="8" t="str">
        <f>_xll.qlLibor($E20,Currency,$C20,Currency&amp;$D20,Permanent,Trigger,ObjectOverwrite)</f>
        <v>GbpLibor10M#0001</v>
      </c>
      <c r="G20" s="8" t="str">
        <f>_xll.qlLastFixingQuote(E20&amp;"LastFixing_Quote",F20,Permanent,Trigger,ObjectOverwrite)</f>
        <v>GbpLibor10MLastFixing_Quote#0001</v>
      </c>
      <c r="H20" s="7" t="str">
        <f>_xll.ohRangeRetrieveError(F20)</f>
        <v/>
      </c>
      <c r="I20" s="7" t="str">
        <f>_xll.ohRangeRetrieveError(G20)</f>
        <v/>
      </c>
      <c r="J20" s="6"/>
      <c r="L20" s="2">
        <f>_xll.qlInterestRateIndexFixingDays(F20)</f>
        <v>0</v>
      </c>
    </row>
    <row r="21" spans="2:12" s="2" customFormat="1" x14ac:dyDescent="0.2">
      <c r="B21" s="12"/>
      <c r="C21" s="11" t="s">
        <v>2</v>
      </c>
      <c r="D21" s="10" t="s">
        <v>0</v>
      </c>
      <c r="E21" s="9" t="str">
        <f t="shared" si="0"/>
        <v>GbpLibor11M</v>
      </c>
      <c r="F21" s="8" t="str">
        <f>_xll.qlLibor($E21,Currency,$C21,Currency&amp;$D21,Permanent,Trigger,ObjectOverwrite)</f>
        <v>GbpLibor11M#0001</v>
      </c>
      <c r="G21" s="8" t="str">
        <f>_xll.qlLastFixingQuote(E21&amp;"LastFixing_Quote",F21,Permanent,Trigger,ObjectOverwrite)</f>
        <v>GbpLibor11MLastFixing_Quote#0001</v>
      </c>
      <c r="H21" s="7" t="str">
        <f>_xll.ohRangeRetrieveError(F21)</f>
        <v/>
      </c>
      <c r="I21" s="7" t="str">
        <f>_xll.ohRangeRetrieveError(G21)</f>
        <v/>
      </c>
      <c r="J21" s="6"/>
      <c r="L21" s="2">
        <f>_xll.qlInterestRateIndexFixingDays(F21)</f>
        <v>0</v>
      </c>
    </row>
    <row r="22" spans="2:12" s="2" customFormat="1" x14ac:dyDescent="0.2">
      <c r="B22" s="12"/>
      <c r="C22" s="11" t="s">
        <v>1</v>
      </c>
      <c r="D22" s="10" t="s">
        <v>0</v>
      </c>
      <c r="E22" s="9" t="str">
        <f t="shared" si="0"/>
        <v>GbpLibor1Y</v>
      </c>
      <c r="F22" s="8" t="str">
        <f>_xll.qlLibor($E22,Currency,$C22,Currency&amp;$D22,Permanent,Trigger,ObjectOverwrite)</f>
        <v>GbpLibor1Y#0001</v>
      </c>
      <c r="G22" s="8" t="str">
        <f>_xll.qlLastFixingQuote(E22&amp;"LastFixing_Quote",F22,Permanent,Trigger,ObjectOverwrite)</f>
        <v>GbpLibor1YLastFixing_Quote#0001</v>
      </c>
      <c r="H22" s="7" t="str">
        <f>_xll.ohRangeRetrieveError(F22)</f>
        <v/>
      </c>
      <c r="I22" s="7" t="str">
        <f>_xll.ohRangeRetrieveError(G22)</f>
        <v/>
      </c>
      <c r="J22" s="6"/>
      <c r="L22" s="2">
        <f>_xll.qlInterestRateIndexFixingDays(F22)</f>
        <v>0</v>
      </c>
    </row>
    <row r="23" spans="2:12" s="2" customFormat="1" ht="12" thickBot="1" x14ac:dyDescent="0.25">
      <c r="B23" s="5"/>
      <c r="C23" s="4"/>
      <c r="D23" s="4"/>
      <c r="E23" s="4"/>
      <c r="F23" s="4"/>
      <c r="G23" s="4"/>
      <c r="H23" s="4"/>
      <c r="I23" s="4"/>
      <c r="J23" s="3"/>
    </row>
    <row r="24" spans="2:12" s="2" customFormat="1" ht="11.25" x14ac:dyDescent="0.2"/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68"/>
  <sheetViews>
    <sheetView workbookViewId="0"/>
  </sheetViews>
  <sheetFormatPr defaultRowHeight="11.25" x14ac:dyDescent="0.2"/>
  <cols>
    <col min="1" max="1" width="3.140625" style="28" customWidth="1"/>
    <col min="2" max="2" width="4.42578125" style="28" customWidth="1"/>
    <col min="3" max="3" width="3.85546875" style="28" bestFit="1" customWidth="1"/>
    <col min="4" max="4" width="8.5703125" style="28" bestFit="1" customWidth="1"/>
    <col min="5" max="5" width="18.42578125" style="28" bestFit="1" customWidth="1"/>
    <col min="6" max="6" width="24.42578125" style="28" bestFit="1" customWidth="1"/>
    <col min="7" max="7" width="55" style="28" customWidth="1"/>
    <col min="8" max="8" width="5.28515625" style="28" customWidth="1"/>
    <col min="9" max="9" width="4.140625" style="28" customWidth="1"/>
    <col min="10" max="10" width="1.85546875" style="28" bestFit="1" customWidth="1"/>
    <col min="11" max="16384" width="9.140625" style="28"/>
  </cols>
  <sheetData>
    <row r="1" spans="2:10" s="29" customFormat="1" ht="12" thickBot="1" x14ac:dyDescent="0.25"/>
    <row r="2" spans="2:10" s="29" customFormat="1" x14ac:dyDescent="0.2">
      <c r="B2" s="49"/>
      <c r="C2" s="47"/>
      <c r="D2" s="47"/>
      <c r="E2" s="48"/>
      <c r="F2" s="47"/>
      <c r="G2" s="47"/>
      <c r="H2" s="46"/>
    </row>
    <row r="3" spans="2:10" s="29" customFormat="1" x14ac:dyDescent="0.2">
      <c r="B3" s="39"/>
      <c r="C3" s="44"/>
      <c r="D3" s="44"/>
      <c r="E3" s="45" t="s">
        <v>26</v>
      </c>
      <c r="F3" s="42" t="s">
        <v>88</v>
      </c>
      <c r="G3" s="44"/>
      <c r="H3" s="41"/>
    </row>
    <row r="4" spans="2:10" s="29" customFormat="1" x14ac:dyDescent="0.2">
      <c r="B4" s="39"/>
      <c r="C4" s="44"/>
      <c r="D4" s="44"/>
      <c r="E4" s="45" t="s">
        <v>87</v>
      </c>
      <c r="F4" s="42" t="s">
        <v>86</v>
      </c>
      <c r="G4" s="44"/>
      <c r="H4" s="41"/>
    </row>
    <row r="5" spans="2:10" s="29" customFormat="1" x14ac:dyDescent="0.2">
      <c r="B5" s="39"/>
      <c r="C5" s="44"/>
      <c r="D5" s="44"/>
      <c r="E5" s="44"/>
      <c r="F5" s="44"/>
      <c r="G5" s="44"/>
      <c r="H5" s="41"/>
    </row>
    <row r="6" spans="2:10" s="29" customFormat="1" x14ac:dyDescent="0.2">
      <c r="B6" s="39"/>
      <c r="C6" s="44"/>
      <c r="D6" s="44"/>
      <c r="E6" s="43" t="str">
        <f>PROPER(Currency)&amp;FamilyName&amp;FixingType&amp;".xml"</f>
        <v>GbpLiborSwapIsda.xml</v>
      </c>
      <c r="F6" s="42">
        <f ca="1">IF(Serialize,_xll.ohObjectSave(F7:F66,SerializationPath&amp;FileName,FileOverwrite,Serialize),"---")</f>
        <v>60</v>
      </c>
      <c r="G6" s="34" t="str">
        <f ca="1">_xll.ohRangeRetrieveError(F6)</f>
        <v/>
      </c>
      <c r="H6" s="41"/>
      <c r="J6" s="2"/>
    </row>
    <row r="7" spans="2:10" s="29" customFormat="1" x14ac:dyDescent="0.2">
      <c r="B7" s="39"/>
      <c r="C7" s="38" t="s">
        <v>1</v>
      </c>
      <c r="D7" s="40" t="s">
        <v>10</v>
      </c>
      <c r="E7" s="36" t="str">
        <f t="shared" ref="E7:E38" si="0">PROPER(Currency)&amp;FamilyName&amp;FixingType&amp;$C7</f>
        <v>GbpLiborSwapIsda1Y</v>
      </c>
      <c r="F7" s="35" t="str">
        <f>_xll.qlLiborSwap($E7,Currency,FixingType,$C7,Currency&amp;$D7,Discounting,Permanent,Trigger,ObjectOverwrite)</f>
        <v>GbpLiborSwapIsda1Y#0001</v>
      </c>
      <c r="G7" s="34" t="str">
        <f>_xll.ohRangeRetrieveError(F7)</f>
        <v/>
      </c>
      <c r="H7" s="33"/>
      <c r="J7" s="2">
        <f>_xll.qlInterestRateIndexFixingDays(F7)</f>
        <v>0</v>
      </c>
    </row>
    <row r="8" spans="2:10" s="29" customFormat="1" x14ac:dyDescent="0.2">
      <c r="B8" s="39"/>
      <c r="C8" s="38" t="s">
        <v>85</v>
      </c>
      <c r="D8" s="37" t="s">
        <v>5</v>
      </c>
      <c r="E8" s="36" t="str">
        <f t="shared" si="0"/>
        <v>GbpLiborSwapIsda2Y</v>
      </c>
      <c r="F8" s="35" t="str">
        <f>_xll.qlLiborSwap($E8,Currency,FixingType,$C8,Currency&amp;$D8,Discounting,Permanent,Trigger,ObjectOverwrite)</f>
        <v>GbpLiborSwapIsda2Y#0001</v>
      </c>
      <c r="G8" s="34" t="str">
        <f>_xll.ohRangeRetrieveError(F8)</f>
        <v/>
      </c>
      <c r="H8" s="33"/>
      <c r="J8" s="2">
        <f>_xll.qlInterestRateIndexFixingDays(F8)</f>
        <v>0</v>
      </c>
    </row>
    <row r="9" spans="2:10" s="29" customFormat="1" x14ac:dyDescent="0.2">
      <c r="B9" s="39"/>
      <c r="C9" s="38" t="s">
        <v>84</v>
      </c>
      <c r="D9" s="37" t="s">
        <v>5</v>
      </c>
      <c r="E9" s="36" t="str">
        <f t="shared" si="0"/>
        <v>GbpLiborSwapIsda3Y</v>
      </c>
      <c r="F9" s="35" t="str">
        <f>_xll.qlLiborSwap($E9,Currency,FixingType,$C9,Currency&amp;$D9,Discounting,Permanent,Trigger,ObjectOverwrite)</f>
        <v>GbpLiborSwapIsda3Y#0001</v>
      </c>
      <c r="G9" s="34" t="str">
        <f>_xll.ohRangeRetrieveError(F9)</f>
        <v/>
      </c>
      <c r="H9" s="33"/>
      <c r="J9" s="2">
        <f>_xll.qlInterestRateIndexFixingDays(F9)</f>
        <v>0</v>
      </c>
    </row>
    <row r="10" spans="2:10" s="29" customFormat="1" x14ac:dyDescent="0.2">
      <c r="B10" s="39"/>
      <c r="C10" s="38" t="s">
        <v>83</v>
      </c>
      <c r="D10" s="37" t="s">
        <v>5</v>
      </c>
      <c r="E10" s="36" t="str">
        <f t="shared" si="0"/>
        <v>GbpLiborSwapIsda4Y</v>
      </c>
      <c r="F10" s="35" t="str">
        <f>_xll.qlLiborSwap($E10,Currency,FixingType,$C10,Currency&amp;$D10,Discounting,Permanent,Trigger,ObjectOverwrite)</f>
        <v>GbpLiborSwapIsda4Y#0001</v>
      </c>
      <c r="G10" s="34" t="str">
        <f>_xll.ohRangeRetrieveError(F10)</f>
        <v/>
      </c>
      <c r="H10" s="33"/>
      <c r="J10" s="2">
        <f>_xll.qlInterestRateIndexFixingDays(F10)</f>
        <v>0</v>
      </c>
    </row>
    <row r="11" spans="2:10" s="29" customFormat="1" x14ac:dyDescent="0.2">
      <c r="B11" s="39"/>
      <c r="C11" s="38" t="s">
        <v>82</v>
      </c>
      <c r="D11" s="37" t="s">
        <v>5</v>
      </c>
      <c r="E11" s="36" t="str">
        <f t="shared" si="0"/>
        <v>GbpLiborSwapIsda5Y</v>
      </c>
      <c r="F11" s="35" t="str">
        <f>_xll.qlLiborSwap($E11,Currency,FixingType,$C11,Currency&amp;$D11,Discounting,Permanent,Trigger,ObjectOverwrite)</f>
        <v>GbpLiborSwapIsda5Y#0001</v>
      </c>
      <c r="G11" s="34" t="str">
        <f>_xll.ohRangeRetrieveError(F11)</f>
        <v/>
      </c>
      <c r="H11" s="33"/>
      <c r="J11" s="2">
        <f>_xll.qlInterestRateIndexFixingDays(F11)</f>
        <v>0</v>
      </c>
    </row>
    <row r="12" spans="2:10" s="29" customFormat="1" x14ac:dyDescent="0.2">
      <c r="B12" s="39"/>
      <c r="C12" s="38" t="s">
        <v>81</v>
      </c>
      <c r="D12" s="37" t="s">
        <v>5</v>
      </c>
      <c r="E12" s="36" t="str">
        <f t="shared" si="0"/>
        <v>GbpLiborSwapIsda6Y</v>
      </c>
      <c r="F12" s="35" t="str">
        <f>_xll.qlLiborSwap($E12,Currency,FixingType,$C12,Currency&amp;$D12,Discounting,Permanent,Trigger,ObjectOverwrite)</f>
        <v>GbpLiborSwapIsda6Y#0001</v>
      </c>
      <c r="G12" s="34" t="str">
        <f>_xll.ohRangeRetrieveError(F12)</f>
        <v/>
      </c>
      <c r="H12" s="33"/>
      <c r="J12" s="2">
        <f>_xll.qlInterestRateIndexFixingDays(F12)</f>
        <v>0</v>
      </c>
    </row>
    <row r="13" spans="2:10" s="29" customFormat="1" x14ac:dyDescent="0.2">
      <c r="B13" s="39"/>
      <c r="C13" s="38" t="s">
        <v>80</v>
      </c>
      <c r="D13" s="37" t="s">
        <v>5</v>
      </c>
      <c r="E13" s="36" t="str">
        <f t="shared" si="0"/>
        <v>GbpLiborSwapIsda7Y</v>
      </c>
      <c r="F13" s="35" t="str">
        <f>_xll.qlLiborSwap($E13,Currency,FixingType,$C13,Currency&amp;$D13,Discounting,Permanent,Trigger,ObjectOverwrite)</f>
        <v>GbpLiborSwapIsda7Y#0001</v>
      </c>
      <c r="G13" s="34" t="str">
        <f>_xll.ohRangeRetrieveError(F13)</f>
        <v/>
      </c>
      <c r="H13" s="33"/>
      <c r="J13" s="2">
        <f>_xll.qlInterestRateIndexFixingDays(F13)</f>
        <v>0</v>
      </c>
    </row>
    <row r="14" spans="2:10" s="29" customFormat="1" x14ac:dyDescent="0.2">
      <c r="B14" s="39"/>
      <c r="C14" s="38" t="s">
        <v>79</v>
      </c>
      <c r="D14" s="37" t="s">
        <v>5</v>
      </c>
      <c r="E14" s="36" t="str">
        <f t="shared" si="0"/>
        <v>GbpLiborSwapIsda8Y</v>
      </c>
      <c r="F14" s="35" t="str">
        <f>_xll.qlLiborSwap($E14,Currency,FixingType,$C14,Currency&amp;$D14,Discounting,Permanent,Trigger,ObjectOverwrite)</f>
        <v>GbpLiborSwapIsda8Y#0001</v>
      </c>
      <c r="G14" s="34" t="str">
        <f>_xll.ohRangeRetrieveError(F14)</f>
        <v/>
      </c>
      <c r="H14" s="33"/>
      <c r="J14" s="2">
        <f>_xll.qlInterestRateIndexFixingDays(F14)</f>
        <v>0</v>
      </c>
    </row>
    <row r="15" spans="2:10" s="29" customFormat="1" x14ac:dyDescent="0.2">
      <c r="B15" s="39"/>
      <c r="C15" s="38" t="s">
        <v>78</v>
      </c>
      <c r="D15" s="37" t="s">
        <v>5</v>
      </c>
      <c r="E15" s="36" t="str">
        <f t="shared" si="0"/>
        <v>GbpLiborSwapIsda9Y</v>
      </c>
      <c r="F15" s="35" t="str">
        <f>_xll.qlLiborSwap($E15,Currency,FixingType,$C15,Currency&amp;$D15,Discounting,Permanent,Trigger,ObjectOverwrite)</f>
        <v>GbpLiborSwapIsda9Y#0001</v>
      </c>
      <c r="G15" s="34" t="str">
        <f>_xll.ohRangeRetrieveError(F15)</f>
        <v/>
      </c>
      <c r="H15" s="33"/>
      <c r="J15" s="2">
        <f>_xll.qlInterestRateIndexFixingDays(F15)</f>
        <v>0</v>
      </c>
    </row>
    <row r="16" spans="2:10" s="29" customFormat="1" x14ac:dyDescent="0.2">
      <c r="B16" s="39"/>
      <c r="C16" s="38" t="s">
        <v>77</v>
      </c>
      <c r="D16" s="37" t="s">
        <v>5</v>
      </c>
      <c r="E16" s="36" t="str">
        <f t="shared" si="0"/>
        <v>GbpLiborSwapIsda10Y</v>
      </c>
      <c r="F16" s="35" t="str">
        <f>_xll.qlLiborSwap($E16,Currency,FixingType,$C16,Currency&amp;$D16,Discounting,Permanent,Trigger,ObjectOverwrite)</f>
        <v>GbpLiborSwapIsda10Y#0001</v>
      </c>
      <c r="G16" s="34" t="str">
        <f>_xll.ohRangeRetrieveError(F16)</f>
        <v/>
      </c>
      <c r="H16" s="33"/>
      <c r="J16" s="2">
        <f>_xll.qlInterestRateIndexFixingDays(F16)</f>
        <v>0</v>
      </c>
    </row>
    <row r="17" spans="2:10" s="29" customFormat="1" x14ac:dyDescent="0.2">
      <c r="B17" s="39"/>
      <c r="C17" s="38" t="s">
        <v>76</v>
      </c>
      <c r="D17" s="37" t="s">
        <v>5</v>
      </c>
      <c r="E17" s="36" t="str">
        <f t="shared" si="0"/>
        <v>GbpLiborSwapIsda11Y</v>
      </c>
      <c r="F17" s="35" t="str">
        <f>_xll.qlLiborSwap($E17,Currency,FixingType,$C17,Currency&amp;$D17,Discounting,Permanent,Trigger,ObjectOverwrite)</f>
        <v>GbpLiborSwapIsda11Y#0001</v>
      </c>
      <c r="G17" s="34" t="str">
        <f>_xll.ohRangeRetrieveError(F17)</f>
        <v/>
      </c>
      <c r="H17" s="33"/>
      <c r="J17" s="2">
        <f>_xll.qlInterestRateIndexFixingDays(F17)</f>
        <v>0</v>
      </c>
    </row>
    <row r="18" spans="2:10" s="29" customFormat="1" x14ac:dyDescent="0.2">
      <c r="B18" s="39"/>
      <c r="C18" s="38" t="s">
        <v>75</v>
      </c>
      <c r="D18" s="37" t="s">
        <v>5</v>
      </c>
      <c r="E18" s="36" t="str">
        <f t="shared" si="0"/>
        <v>GbpLiborSwapIsda12Y</v>
      </c>
      <c r="F18" s="35" t="str">
        <f>_xll.qlLiborSwap($E18,Currency,FixingType,$C18,Currency&amp;$D18,Discounting,Permanent,Trigger,ObjectOverwrite)</f>
        <v>GbpLiborSwapIsda12Y#0001</v>
      </c>
      <c r="G18" s="34" t="str">
        <f>_xll.ohRangeRetrieveError(F18)</f>
        <v/>
      </c>
      <c r="H18" s="33"/>
      <c r="J18" s="2">
        <f>_xll.qlInterestRateIndexFixingDays(F18)</f>
        <v>0</v>
      </c>
    </row>
    <row r="19" spans="2:10" s="29" customFormat="1" x14ac:dyDescent="0.2">
      <c r="B19" s="39"/>
      <c r="C19" s="38" t="s">
        <v>74</v>
      </c>
      <c r="D19" s="37" t="s">
        <v>5</v>
      </c>
      <c r="E19" s="36" t="str">
        <f t="shared" si="0"/>
        <v>GbpLiborSwapIsda13Y</v>
      </c>
      <c r="F19" s="35" t="str">
        <f>_xll.qlLiborSwap($E19,Currency,FixingType,$C19,Currency&amp;$D19,Discounting,Permanent,Trigger,ObjectOverwrite)</f>
        <v>GbpLiborSwapIsda13Y#0001</v>
      </c>
      <c r="G19" s="34" t="str">
        <f>_xll.ohRangeRetrieveError(F19)</f>
        <v/>
      </c>
      <c r="H19" s="33"/>
      <c r="J19" s="2">
        <f>_xll.qlInterestRateIndexFixingDays(F19)</f>
        <v>0</v>
      </c>
    </row>
    <row r="20" spans="2:10" s="29" customFormat="1" x14ac:dyDescent="0.2">
      <c r="B20" s="39"/>
      <c r="C20" s="38" t="s">
        <v>73</v>
      </c>
      <c r="D20" s="37" t="s">
        <v>5</v>
      </c>
      <c r="E20" s="36" t="str">
        <f t="shared" si="0"/>
        <v>GbpLiborSwapIsda14Y</v>
      </c>
      <c r="F20" s="35" t="str">
        <f>_xll.qlLiborSwap($E20,Currency,FixingType,$C20,Currency&amp;$D20,Discounting,Permanent,Trigger,ObjectOverwrite)</f>
        <v>GbpLiborSwapIsda14Y#0001</v>
      </c>
      <c r="G20" s="34" t="str">
        <f>_xll.ohRangeRetrieveError(F20)</f>
        <v/>
      </c>
      <c r="H20" s="33"/>
      <c r="J20" s="2">
        <f>_xll.qlInterestRateIndexFixingDays(F20)</f>
        <v>0</v>
      </c>
    </row>
    <row r="21" spans="2:10" s="29" customFormat="1" x14ac:dyDescent="0.2">
      <c r="B21" s="39"/>
      <c r="C21" s="38" t="s">
        <v>72</v>
      </c>
      <c r="D21" s="37" t="s">
        <v>5</v>
      </c>
      <c r="E21" s="36" t="str">
        <f t="shared" si="0"/>
        <v>GbpLiborSwapIsda15Y</v>
      </c>
      <c r="F21" s="35" t="str">
        <f>_xll.qlLiborSwap($E21,Currency,FixingType,$C21,Currency&amp;$D21,Discounting,Permanent,Trigger,ObjectOverwrite)</f>
        <v>GbpLiborSwapIsda15Y#0001</v>
      </c>
      <c r="G21" s="34" t="str">
        <f>_xll.ohRangeRetrieveError(F21)</f>
        <v/>
      </c>
      <c r="H21" s="33"/>
      <c r="J21" s="2">
        <f>_xll.qlInterestRateIndexFixingDays(F21)</f>
        <v>0</v>
      </c>
    </row>
    <row r="22" spans="2:10" s="29" customFormat="1" x14ac:dyDescent="0.2">
      <c r="B22" s="39"/>
      <c r="C22" s="38" t="s">
        <v>71</v>
      </c>
      <c r="D22" s="37" t="s">
        <v>5</v>
      </c>
      <c r="E22" s="36" t="str">
        <f t="shared" si="0"/>
        <v>GbpLiborSwapIsda16Y</v>
      </c>
      <c r="F22" s="35" t="str">
        <f>_xll.qlLiborSwap($E22,Currency,FixingType,$C22,Currency&amp;$D22,Discounting,Permanent,Trigger,ObjectOverwrite)</f>
        <v>GbpLiborSwapIsda16Y#0001</v>
      </c>
      <c r="G22" s="34" t="str">
        <f>_xll.ohRangeRetrieveError(F22)</f>
        <v/>
      </c>
      <c r="H22" s="33"/>
      <c r="J22" s="2">
        <f>_xll.qlInterestRateIndexFixingDays(F22)</f>
        <v>0</v>
      </c>
    </row>
    <row r="23" spans="2:10" s="29" customFormat="1" x14ac:dyDescent="0.2">
      <c r="B23" s="39"/>
      <c r="C23" s="38" t="s">
        <v>70</v>
      </c>
      <c r="D23" s="37" t="s">
        <v>5</v>
      </c>
      <c r="E23" s="36" t="str">
        <f t="shared" si="0"/>
        <v>GbpLiborSwapIsda17Y</v>
      </c>
      <c r="F23" s="35" t="str">
        <f>_xll.qlLiborSwap($E23,Currency,FixingType,$C23,Currency&amp;$D23,Discounting,Permanent,Trigger,ObjectOverwrite)</f>
        <v>GbpLiborSwapIsda17Y#0001</v>
      </c>
      <c r="G23" s="34" t="str">
        <f>_xll.ohRangeRetrieveError(F23)</f>
        <v/>
      </c>
      <c r="H23" s="33"/>
      <c r="J23" s="2">
        <f>_xll.qlInterestRateIndexFixingDays(F23)</f>
        <v>0</v>
      </c>
    </row>
    <row r="24" spans="2:10" s="29" customFormat="1" x14ac:dyDescent="0.2">
      <c r="B24" s="39"/>
      <c r="C24" s="38" t="s">
        <v>69</v>
      </c>
      <c r="D24" s="37" t="s">
        <v>5</v>
      </c>
      <c r="E24" s="36" t="str">
        <f t="shared" si="0"/>
        <v>GbpLiborSwapIsda18Y</v>
      </c>
      <c r="F24" s="35" t="str">
        <f>_xll.qlLiborSwap($E24,Currency,FixingType,$C24,Currency&amp;$D24,Discounting,Permanent,Trigger,ObjectOverwrite)</f>
        <v>GbpLiborSwapIsda18Y#0001</v>
      </c>
      <c r="G24" s="34" t="str">
        <f>_xll.ohRangeRetrieveError(F24)</f>
        <v/>
      </c>
      <c r="H24" s="33"/>
      <c r="J24" s="2">
        <f>_xll.qlInterestRateIndexFixingDays(F24)</f>
        <v>0</v>
      </c>
    </row>
    <row r="25" spans="2:10" s="29" customFormat="1" x14ac:dyDescent="0.2">
      <c r="B25" s="39"/>
      <c r="C25" s="38" t="s">
        <v>68</v>
      </c>
      <c r="D25" s="37" t="s">
        <v>5</v>
      </c>
      <c r="E25" s="36" t="str">
        <f t="shared" si="0"/>
        <v>GbpLiborSwapIsda19Y</v>
      </c>
      <c r="F25" s="35" t="str">
        <f>_xll.qlLiborSwap($E25,Currency,FixingType,$C25,Currency&amp;$D25,Discounting,Permanent,Trigger,ObjectOverwrite)</f>
        <v>GbpLiborSwapIsda19Y#0001</v>
      </c>
      <c r="G25" s="34" t="str">
        <f>_xll.ohRangeRetrieveError(F25)</f>
        <v/>
      </c>
      <c r="H25" s="33"/>
      <c r="J25" s="2">
        <f>_xll.qlInterestRateIndexFixingDays(F25)</f>
        <v>0</v>
      </c>
    </row>
    <row r="26" spans="2:10" s="29" customFormat="1" x14ac:dyDescent="0.2">
      <c r="B26" s="39"/>
      <c r="C26" s="38" t="s">
        <v>67</v>
      </c>
      <c r="D26" s="37" t="s">
        <v>5</v>
      </c>
      <c r="E26" s="36" t="str">
        <f t="shared" si="0"/>
        <v>GbpLiborSwapIsda20Y</v>
      </c>
      <c r="F26" s="35" t="str">
        <f>_xll.qlLiborSwap($E26,Currency,FixingType,$C26,Currency&amp;$D26,Discounting,Permanent,Trigger,ObjectOverwrite)</f>
        <v>GbpLiborSwapIsda20Y#0001</v>
      </c>
      <c r="G26" s="34" t="str">
        <f>_xll.ohRangeRetrieveError(F26)</f>
        <v/>
      </c>
      <c r="H26" s="33"/>
      <c r="J26" s="2">
        <f>_xll.qlInterestRateIndexFixingDays(F26)</f>
        <v>0</v>
      </c>
    </row>
    <row r="27" spans="2:10" s="29" customFormat="1" x14ac:dyDescent="0.2">
      <c r="B27" s="39"/>
      <c r="C27" s="38" t="s">
        <v>66</v>
      </c>
      <c r="D27" s="37" t="s">
        <v>5</v>
      </c>
      <c r="E27" s="36" t="str">
        <f t="shared" si="0"/>
        <v>GbpLiborSwapIsda21Y</v>
      </c>
      <c r="F27" s="35" t="str">
        <f>_xll.qlLiborSwap($E27,Currency,FixingType,$C27,Currency&amp;$D27,Discounting,Permanent,Trigger,ObjectOverwrite)</f>
        <v>GbpLiborSwapIsda21Y#0001</v>
      </c>
      <c r="G27" s="34" t="str">
        <f>_xll.ohRangeRetrieveError(F27)</f>
        <v/>
      </c>
      <c r="H27" s="33"/>
      <c r="J27" s="2">
        <f>_xll.qlInterestRateIndexFixingDays(F27)</f>
        <v>0</v>
      </c>
    </row>
    <row r="28" spans="2:10" s="29" customFormat="1" x14ac:dyDescent="0.2">
      <c r="B28" s="39"/>
      <c r="C28" s="38" t="s">
        <v>65</v>
      </c>
      <c r="D28" s="37" t="s">
        <v>5</v>
      </c>
      <c r="E28" s="36" t="str">
        <f t="shared" si="0"/>
        <v>GbpLiborSwapIsda22Y</v>
      </c>
      <c r="F28" s="35" t="str">
        <f>_xll.qlLiborSwap($E28,Currency,FixingType,$C28,Currency&amp;$D28,Discounting,Permanent,Trigger,ObjectOverwrite)</f>
        <v>GbpLiborSwapIsda22Y#0001</v>
      </c>
      <c r="G28" s="34" t="str">
        <f>_xll.ohRangeRetrieveError(F28)</f>
        <v/>
      </c>
      <c r="H28" s="33"/>
      <c r="J28" s="2">
        <f>_xll.qlInterestRateIndexFixingDays(F28)</f>
        <v>0</v>
      </c>
    </row>
    <row r="29" spans="2:10" s="29" customFormat="1" x14ac:dyDescent="0.2">
      <c r="B29" s="39"/>
      <c r="C29" s="38" t="s">
        <v>64</v>
      </c>
      <c r="D29" s="37" t="s">
        <v>5</v>
      </c>
      <c r="E29" s="36" t="str">
        <f t="shared" si="0"/>
        <v>GbpLiborSwapIsda23Y</v>
      </c>
      <c r="F29" s="35" t="str">
        <f>_xll.qlLiborSwap($E29,Currency,FixingType,$C29,Currency&amp;$D29,Discounting,Permanent,Trigger,ObjectOverwrite)</f>
        <v>GbpLiborSwapIsda23Y#0001</v>
      </c>
      <c r="G29" s="34" t="str">
        <f>_xll.ohRangeRetrieveError(F29)</f>
        <v/>
      </c>
      <c r="H29" s="33"/>
      <c r="J29" s="2">
        <f>_xll.qlInterestRateIndexFixingDays(F29)</f>
        <v>0</v>
      </c>
    </row>
    <row r="30" spans="2:10" s="29" customFormat="1" x14ac:dyDescent="0.2">
      <c r="B30" s="39"/>
      <c r="C30" s="38" t="s">
        <v>63</v>
      </c>
      <c r="D30" s="37" t="s">
        <v>5</v>
      </c>
      <c r="E30" s="36" t="str">
        <f t="shared" si="0"/>
        <v>GbpLiborSwapIsda24Y</v>
      </c>
      <c r="F30" s="35" t="str">
        <f>_xll.qlLiborSwap($E30,Currency,FixingType,$C30,Currency&amp;$D30,Discounting,Permanent,Trigger,ObjectOverwrite)</f>
        <v>GbpLiborSwapIsda24Y#0001</v>
      </c>
      <c r="G30" s="34" t="str">
        <f>_xll.ohRangeRetrieveError(F30)</f>
        <v/>
      </c>
      <c r="H30" s="33"/>
      <c r="J30" s="2">
        <f>_xll.qlInterestRateIndexFixingDays(F30)</f>
        <v>0</v>
      </c>
    </row>
    <row r="31" spans="2:10" s="29" customFormat="1" x14ac:dyDescent="0.2">
      <c r="B31" s="39"/>
      <c r="C31" s="38" t="s">
        <v>62</v>
      </c>
      <c r="D31" s="37" t="s">
        <v>5</v>
      </c>
      <c r="E31" s="36" t="str">
        <f t="shared" si="0"/>
        <v>GbpLiborSwapIsda25Y</v>
      </c>
      <c r="F31" s="35" t="str">
        <f>_xll.qlLiborSwap($E31,Currency,FixingType,$C31,Currency&amp;$D31,Discounting,Permanent,Trigger,ObjectOverwrite)</f>
        <v>GbpLiborSwapIsda25Y#0001</v>
      </c>
      <c r="G31" s="34" t="str">
        <f>_xll.ohRangeRetrieveError(F31)</f>
        <v/>
      </c>
      <c r="H31" s="33"/>
      <c r="J31" s="2">
        <f>_xll.qlInterestRateIndexFixingDays(F31)</f>
        <v>0</v>
      </c>
    </row>
    <row r="32" spans="2:10" s="29" customFormat="1" x14ac:dyDescent="0.2">
      <c r="B32" s="39"/>
      <c r="C32" s="38" t="s">
        <v>61</v>
      </c>
      <c r="D32" s="37" t="s">
        <v>5</v>
      </c>
      <c r="E32" s="36" t="str">
        <f t="shared" si="0"/>
        <v>GbpLiborSwapIsda26Y</v>
      </c>
      <c r="F32" s="35" t="str">
        <f>_xll.qlLiborSwap($E32,Currency,FixingType,$C32,Currency&amp;$D32,Discounting,Permanent,Trigger,ObjectOverwrite)</f>
        <v>GbpLiborSwapIsda26Y#0001</v>
      </c>
      <c r="G32" s="34" t="str">
        <f>_xll.ohRangeRetrieveError(F32)</f>
        <v/>
      </c>
      <c r="H32" s="33"/>
      <c r="J32" s="2">
        <f>_xll.qlInterestRateIndexFixingDays(F32)</f>
        <v>0</v>
      </c>
    </row>
    <row r="33" spans="2:10" s="29" customFormat="1" x14ac:dyDescent="0.2">
      <c r="B33" s="39"/>
      <c r="C33" s="38" t="s">
        <v>60</v>
      </c>
      <c r="D33" s="37" t="s">
        <v>5</v>
      </c>
      <c r="E33" s="36" t="str">
        <f t="shared" si="0"/>
        <v>GbpLiborSwapIsda27Y</v>
      </c>
      <c r="F33" s="35" t="str">
        <f>_xll.qlLiborSwap($E33,Currency,FixingType,$C33,Currency&amp;$D33,Discounting,Permanent,Trigger,ObjectOverwrite)</f>
        <v>GbpLiborSwapIsda27Y#0001</v>
      </c>
      <c r="G33" s="34" t="str">
        <f>_xll.ohRangeRetrieveError(F33)</f>
        <v/>
      </c>
      <c r="H33" s="33"/>
      <c r="J33" s="2">
        <f>_xll.qlInterestRateIndexFixingDays(F33)</f>
        <v>0</v>
      </c>
    </row>
    <row r="34" spans="2:10" s="29" customFormat="1" x14ac:dyDescent="0.2">
      <c r="B34" s="39"/>
      <c r="C34" s="38" t="s">
        <v>59</v>
      </c>
      <c r="D34" s="37" t="s">
        <v>5</v>
      </c>
      <c r="E34" s="36" t="str">
        <f t="shared" si="0"/>
        <v>GbpLiborSwapIsda28Y</v>
      </c>
      <c r="F34" s="35" t="str">
        <f>_xll.qlLiborSwap($E34,Currency,FixingType,$C34,Currency&amp;$D34,Discounting,Permanent,Trigger,ObjectOverwrite)</f>
        <v>GbpLiborSwapIsda28Y#0001</v>
      </c>
      <c r="G34" s="34" t="str">
        <f>_xll.ohRangeRetrieveError(F34)</f>
        <v/>
      </c>
      <c r="H34" s="33"/>
      <c r="J34" s="2">
        <f>_xll.qlInterestRateIndexFixingDays(F34)</f>
        <v>0</v>
      </c>
    </row>
    <row r="35" spans="2:10" s="29" customFormat="1" x14ac:dyDescent="0.2">
      <c r="B35" s="39"/>
      <c r="C35" s="38" t="s">
        <v>58</v>
      </c>
      <c r="D35" s="37" t="s">
        <v>5</v>
      </c>
      <c r="E35" s="36" t="str">
        <f t="shared" si="0"/>
        <v>GbpLiborSwapIsda29Y</v>
      </c>
      <c r="F35" s="35" t="str">
        <f>_xll.qlLiborSwap($E35,Currency,FixingType,$C35,Currency&amp;$D35,Discounting,Permanent,Trigger,ObjectOverwrite)</f>
        <v>GbpLiborSwapIsda29Y#0001</v>
      </c>
      <c r="G35" s="34" t="str">
        <f>_xll.ohRangeRetrieveError(F35)</f>
        <v/>
      </c>
      <c r="H35" s="33"/>
      <c r="J35" s="2">
        <f>_xll.qlInterestRateIndexFixingDays(F35)</f>
        <v>0</v>
      </c>
    </row>
    <row r="36" spans="2:10" s="29" customFormat="1" x14ac:dyDescent="0.2">
      <c r="B36" s="39"/>
      <c r="C36" s="38" t="s">
        <v>57</v>
      </c>
      <c r="D36" s="37" t="s">
        <v>5</v>
      </c>
      <c r="E36" s="36" t="str">
        <f t="shared" si="0"/>
        <v>GbpLiborSwapIsda30Y</v>
      </c>
      <c r="F36" s="35" t="str">
        <f>_xll.qlLiborSwap($E36,Currency,FixingType,$C36,Currency&amp;$D36,Discounting,Permanent,Trigger,ObjectOverwrite)</f>
        <v>GbpLiborSwapIsda30Y#0001</v>
      </c>
      <c r="G36" s="34" t="str">
        <f>_xll.ohRangeRetrieveError(F36)</f>
        <v/>
      </c>
      <c r="H36" s="33"/>
      <c r="J36" s="2">
        <f>_xll.qlInterestRateIndexFixingDays(F36)</f>
        <v>0</v>
      </c>
    </row>
    <row r="37" spans="2:10" s="29" customFormat="1" x14ac:dyDescent="0.2">
      <c r="B37" s="39"/>
      <c r="C37" s="38" t="s">
        <v>56</v>
      </c>
      <c r="D37" s="37" t="s">
        <v>5</v>
      </c>
      <c r="E37" s="36" t="str">
        <f t="shared" si="0"/>
        <v>GbpLiborSwapIsda31Y</v>
      </c>
      <c r="F37" s="35" t="str">
        <f>_xll.qlLiborSwap($E37,Currency,FixingType,$C37,Currency&amp;$D37,Discounting,Permanent,Trigger,ObjectOverwrite)</f>
        <v>GbpLiborSwapIsda31Y#0001</v>
      </c>
      <c r="G37" s="34" t="str">
        <f>_xll.ohRangeRetrieveError(F37)</f>
        <v/>
      </c>
      <c r="H37" s="33"/>
      <c r="J37" s="2">
        <f>_xll.qlInterestRateIndexFixingDays(F37)</f>
        <v>0</v>
      </c>
    </row>
    <row r="38" spans="2:10" s="29" customFormat="1" x14ac:dyDescent="0.2">
      <c r="B38" s="39"/>
      <c r="C38" s="38" t="s">
        <v>55</v>
      </c>
      <c r="D38" s="37" t="s">
        <v>5</v>
      </c>
      <c r="E38" s="36" t="str">
        <f t="shared" si="0"/>
        <v>GbpLiborSwapIsda32Y</v>
      </c>
      <c r="F38" s="35" t="str">
        <f>_xll.qlLiborSwap($E38,Currency,FixingType,$C38,Currency&amp;$D38,Discounting,Permanent,Trigger,ObjectOverwrite)</f>
        <v>GbpLiborSwapIsda32Y#0001</v>
      </c>
      <c r="G38" s="34" t="str">
        <f>_xll.ohRangeRetrieveError(F38)</f>
        <v/>
      </c>
      <c r="H38" s="33"/>
      <c r="J38" s="2">
        <f>_xll.qlInterestRateIndexFixingDays(F38)</f>
        <v>0</v>
      </c>
    </row>
    <row r="39" spans="2:10" s="29" customFormat="1" x14ac:dyDescent="0.2">
      <c r="B39" s="39"/>
      <c r="C39" s="38" t="s">
        <v>54</v>
      </c>
      <c r="D39" s="37" t="s">
        <v>5</v>
      </c>
      <c r="E39" s="36" t="str">
        <f t="shared" ref="E39:E66" si="1">PROPER(Currency)&amp;FamilyName&amp;FixingType&amp;$C39</f>
        <v>GbpLiborSwapIsda33Y</v>
      </c>
      <c r="F39" s="35" t="str">
        <f>_xll.qlLiborSwap($E39,Currency,FixingType,$C39,Currency&amp;$D39,Discounting,Permanent,Trigger,ObjectOverwrite)</f>
        <v>GbpLiborSwapIsda33Y#0001</v>
      </c>
      <c r="G39" s="34" t="str">
        <f>_xll.ohRangeRetrieveError(F39)</f>
        <v/>
      </c>
      <c r="H39" s="33"/>
      <c r="J39" s="2">
        <f>_xll.qlInterestRateIndexFixingDays(F39)</f>
        <v>0</v>
      </c>
    </row>
    <row r="40" spans="2:10" s="29" customFormat="1" x14ac:dyDescent="0.2">
      <c r="B40" s="39"/>
      <c r="C40" s="38" t="s">
        <v>53</v>
      </c>
      <c r="D40" s="37" t="s">
        <v>5</v>
      </c>
      <c r="E40" s="36" t="str">
        <f t="shared" si="1"/>
        <v>GbpLiborSwapIsda34Y</v>
      </c>
      <c r="F40" s="35" t="str">
        <f>_xll.qlLiborSwap($E40,Currency,FixingType,$C40,Currency&amp;$D40,Discounting,Permanent,Trigger,ObjectOverwrite)</f>
        <v>GbpLiborSwapIsda34Y#0001</v>
      </c>
      <c r="G40" s="34" t="str">
        <f>_xll.ohRangeRetrieveError(F40)</f>
        <v/>
      </c>
      <c r="H40" s="33"/>
      <c r="J40" s="2">
        <f>_xll.qlInterestRateIndexFixingDays(F40)</f>
        <v>0</v>
      </c>
    </row>
    <row r="41" spans="2:10" s="29" customFormat="1" x14ac:dyDescent="0.2">
      <c r="B41" s="39"/>
      <c r="C41" s="38" t="s">
        <v>52</v>
      </c>
      <c r="D41" s="37" t="s">
        <v>5</v>
      </c>
      <c r="E41" s="36" t="str">
        <f t="shared" si="1"/>
        <v>GbpLiborSwapIsda35Y</v>
      </c>
      <c r="F41" s="35" t="str">
        <f>_xll.qlLiborSwap($E41,Currency,FixingType,$C41,Currency&amp;$D41,Discounting,Permanent,Trigger,ObjectOverwrite)</f>
        <v>GbpLiborSwapIsda35Y#0001</v>
      </c>
      <c r="G41" s="34" t="str">
        <f>_xll.ohRangeRetrieveError(F41)</f>
        <v/>
      </c>
      <c r="H41" s="33"/>
      <c r="J41" s="2">
        <f>_xll.qlInterestRateIndexFixingDays(F41)</f>
        <v>0</v>
      </c>
    </row>
    <row r="42" spans="2:10" s="29" customFormat="1" x14ac:dyDescent="0.2">
      <c r="B42" s="39"/>
      <c r="C42" s="38" t="s">
        <v>51</v>
      </c>
      <c r="D42" s="37" t="s">
        <v>5</v>
      </c>
      <c r="E42" s="36" t="str">
        <f t="shared" si="1"/>
        <v>GbpLiborSwapIsda36Y</v>
      </c>
      <c r="F42" s="35" t="str">
        <f>_xll.qlLiborSwap($E42,Currency,FixingType,$C42,Currency&amp;$D42,Discounting,Permanent,Trigger,ObjectOverwrite)</f>
        <v>GbpLiborSwapIsda36Y#0001</v>
      </c>
      <c r="G42" s="34" t="str">
        <f>_xll.ohRangeRetrieveError(F42)</f>
        <v/>
      </c>
      <c r="H42" s="33"/>
      <c r="J42" s="2">
        <f>_xll.qlInterestRateIndexFixingDays(F42)</f>
        <v>0</v>
      </c>
    </row>
    <row r="43" spans="2:10" s="29" customFormat="1" x14ac:dyDescent="0.2">
      <c r="B43" s="39"/>
      <c r="C43" s="38" t="s">
        <v>50</v>
      </c>
      <c r="D43" s="37" t="s">
        <v>5</v>
      </c>
      <c r="E43" s="36" t="str">
        <f t="shared" si="1"/>
        <v>GbpLiborSwapIsda37Y</v>
      </c>
      <c r="F43" s="35" t="str">
        <f>_xll.qlLiborSwap($E43,Currency,FixingType,$C43,Currency&amp;$D43,Discounting,Permanent,Trigger,ObjectOverwrite)</f>
        <v>GbpLiborSwapIsda37Y#0001</v>
      </c>
      <c r="G43" s="34" t="str">
        <f>_xll.ohRangeRetrieveError(F43)</f>
        <v/>
      </c>
      <c r="H43" s="33"/>
      <c r="J43" s="2">
        <f>_xll.qlInterestRateIndexFixingDays(F43)</f>
        <v>0</v>
      </c>
    </row>
    <row r="44" spans="2:10" s="29" customFormat="1" x14ac:dyDescent="0.2">
      <c r="B44" s="39"/>
      <c r="C44" s="38" t="s">
        <v>49</v>
      </c>
      <c r="D44" s="37" t="s">
        <v>5</v>
      </c>
      <c r="E44" s="36" t="str">
        <f t="shared" si="1"/>
        <v>GbpLiborSwapIsda38Y</v>
      </c>
      <c r="F44" s="35" t="str">
        <f>_xll.qlLiborSwap($E44,Currency,FixingType,$C44,Currency&amp;$D44,Discounting,Permanent,Trigger,ObjectOverwrite)</f>
        <v>GbpLiborSwapIsda38Y#0001</v>
      </c>
      <c r="G44" s="34" t="str">
        <f>_xll.ohRangeRetrieveError(F44)</f>
        <v/>
      </c>
      <c r="H44" s="33"/>
      <c r="J44" s="2">
        <f>_xll.qlInterestRateIndexFixingDays(F44)</f>
        <v>0</v>
      </c>
    </row>
    <row r="45" spans="2:10" s="29" customFormat="1" x14ac:dyDescent="0.2">
      <c r="B45" s="39"/>
      <c r="C45" s="38" t="s">
        <v>48</v>
      </c>
      <c r="D45" s="37" t="s">
        <v>5</v>
      </c>
      <c r="E45" s="36" t="str">
        <f t="shared" si="1"/>
        <v>GbpLiborSwapIsda39Y</v>
      </c>
      <c r="F45" s="35" t="str">
        <f>_xll.qlLiborSwap($E45,Currency,FixingType,$C45,Currency&amp;$D45,Discounting,Permanent,Trigger,ObjectOverwrite)</f>
        <v>GbpLiborSwapIsda39Y#0001</v>
      </c>
      <c r="G45" s="34" t="str">
        <f>_xll.ohRangeRetrieveError(F45)</f>
        <v/>
      </c>
      <c r="H45" s="33"/>
      <c r="J45" s="2">
        <f>_xll.qlInterestRateIndexFixingDays(F45)</f>
        <v>0</v>
      </c>
    </row>
    <row r="46" spans="2:10" s="29" customFormat="1" x14ac:dyDescent="0.2">
      <c r="B46" s="39"/>
      <c r="C46" s="38" t="s">
        <v>47</v>
      </c>
      <c r="D46" s="37" t="s">
        <v>5</v>
      </c>
      <c r="E46" s="36" t="str">
        <f t="shared" si="1"/>
        <v>GbpLiborSwapIsda40Y</v>
      </c>
      <c r="F46" s="35" t="str">
        <f>_xll.qlLiborSwap($E46,Currency,FixingType,$C46,Currency&amp;$D46,Discounting,Permanent,Trigger,ObjectOverwrite)</f>
        <v>GbpLiborSwapIsda40Y#0001</v>
      </c>
      <c r="G46" s="34" t="str">
        <f>_xll.ohRangeRetrieveError(F46)</f>
        <v/>
      </c>
      <c r="H46" s="33"/>
      <c r="J46" s="2">
        <f>_xll.qlInterestRateIndexFixingDays(F46)</f>
        <v>0</v>
      </c>
    </row>
    <row r="47" spans="2:10" s="29" customFormat="1" x14ac:dyDescent="0.2">
      <c r="B47" s="39"/>
      <c r="C47" s="38" t="s">
        <v>46</v>
      </c>
      <c r="D47" s="37" t="s">
        <v>5</v>
      </c>
      <c r="E47" s="36" t="str">
        <f t="shared" si="1"/>
        <v>GbpLiborSwapIsda41Y</v>
      </c>
      <c r="F47" s="35" t="str">
        <f>_xll.qlLiborSwap($E47,Currency,FixingType,$C47,Currency&amp;$D47,Discounting,Permanent,Trigger,ObjectOverwrite)</f>
        <v>GbpLiborSwapIsda41Y#0001</v>
      </c>
      <c r="G47" s="34" t="str">
        <f>_xll.ohRangeRetrieveError(F47)</f>
        <v/>
      </c>
      <c r="H47" s="33"/>
      <c r="J47" s="2">
        <f>_xll.qlInterestRateIndexFixingDays(F47)</f>
        <v>0</v>
      </c>
    </row>
    <row r="48" spans="2:10" s="29" customFormat="1" x14ac:dyDescent="0.2">
      <c r="B48" s="39"/>
      <c r="C48" s="38" t="s">
        <v>45</v>
      </c>
      <c r="D48" s="37" t="s">
        <v>5</v>
      </c>
      <c r="E48" s="36" t="str">
        <f t="shared" si="1"/>
        <v>GbpLiborSwapIsda42Y</v>
      </c>
      <c r="F48" s="35" t="str">
        <f>_xll.qlLiborSwap($E48,Currency,FixingType,$C48,Currency&amp;$D48,Discounting,Permanent,Trigger,ObjectOverwrite)</f>
        <v>GbpLiborSwapIsda42Y#0001</v>
      </c>
      <c r="G48" s="34" t="str">
        <f>_xll.ohRangeRetrieveError(F48)</f>
        <v/>
      </c>
      <c r="H48" s="33"/>
      <c r="J48" s="2">
        <f>_xll.qlInterestRateIndexFixingDays(F48)</f>
        <v>0</v>
      </c>
    </row>
    <row r="49" spans="2:10" s="29" customFormat="1" x14ac:dyDescent="0.2">
      <c r="B49" s="39"/>
      <c r="C49" s="38" t="s">
        <v>44</v>
      </c>
      <c r="D49" s="37" t="s">
        <v>5</v>
      </c>
      <c r="E49" s="36" t="str">
        <f t="shared" si="1"/>
        <v>GbpLiborSwapIsda43Y</v>
      </c>
      <c r="F49" s="35" t="str">
        <f>_xll.qlLiborSwap($E49,Currency,FixingType,$C49,Currency&amp;$D49,Discounting,Permanent,Trigger,ObjectOverwrite)</f>
        <v>GbpLiborSwapIsda43Y#0001</v>
      </c>
      <c r="G49" s="34" t="str">
        <f>_xll.ohRangeRetrieveError(F49)</f>
        <v/>
      </c>
      <c r="H49" s="33"/>
      <c r="J49" s="2">
        <f>_xll.qlInterestRateIndexFixingDays(F49)</f>
        <v>0</v>
      </c>
    </row>
    <row r="50" spans="2:10" s="29" customFormat="1" x14ac:dyDescent="0.2">
      <c r="B50" s="39"/>
      <c r="C50" s="38" t="s">
        <v>43</v>
      </c>
      <c r="D50" s="37" t="s">
        <v>5</v>
      </c>
      <c r="E50" s="36" t="str">
        <f t="shared" si="1"/>
        <v>GbpLiborSwapIsda44Y</v>
      </c>
      <c r="F50" s="35" t="str">
        <f>_xll.qlLiborSwap($E50,Currency,FixingType,$C50,Currency&amp;$D50,Discounting,Permanent,Trigger,ObjectOverwrite)</f>
        <v>GbpLiborSwapIsda44Y#0001</v>
      </c>
      <c r="G50" s="34" t="str">
        <f>_xll.ohRangeRetrieveError(F50)</f>
        <v/>
      </c>
      <c r="H50" s="33"/>
      <c r="J50" s="2">
        <f>_xll.qlInterestRateIndexFixingDays(F50)</f>
        <v>0</v>
      </c>
    </row>
    <row r="51" spans="2:10" s="29" customFormat="1" x14ac:dyDescent="0.2">
      <c r="B51" s="39"/>
      <c r="C51" s="38" t="s">
        <v>42</v>
      </c>
      <c r="D51" s="37" t="s">
        <v>5</v>
      </c>
      <c r="E51" s="36" t="str">
        <f t="shared" si="1"/>
        <v>GbpLiborSwapIsda45Y</v>
      </c>
      <c r="F51" s="35" t="str">
        <f>_xll.qlLiborSwap($E51,Currency,FixingType,$C51,Currency&amp;$D51,Discounting,Permanent,Trigger,ObjectOverwrite)</f>
        <v>GbpLiborSwapIsda45Y#0001</v>
      </c>
      <c r="G51" s="34" t="str">
        <f>_xll.ohRangeRetrieveError(F51)</f>
        <v/>
      </c>
      <c r="H51" s="33"/>
      <c r="J51" s="2">
        <f>_xll.qlInterestRateIndexFixingDays(F51)</f>
        <v>0</v>
      </c>
    </row>
    <row r="52" spans="2:10" s="29" customFormat="1" x14ac:dyDescent="0.2">
      <c r="B52" s="39"/>
      <c r="C52" s="38" t="s">
        <v>41</v>
      </c>
      <c r="D52" s="37" t="s">
        <v>5</v>
      </c>
      <c r="E52" s="36" t="str">
        <f t="shared" si="1"/>
        <v>GbpLiborSwapIsda46Y</v>
      </c>
      <c r="F52" s="35" t="str">
        <f>_xll.qlLiborSwap($E52,Currency,FixingType,$C52,Currency&amp;$D52,Discounting,Permanent,Trigger,ObjectOverwrite)</f>
        <v>GbpLiborSwapIsda46Y#0001</v>
      </c>
      <c r="G52" s="34" t="str">
        <f>_xll.ohRangeRetrieveError(F52)</f>
        <v/>
      </c>
      <c r="H52" s="33"/>
      <c r="J52" s="2">
        <f>_xll.qlInterestRateIndexFixingDays(F52)</f>
        <v>0</v>
      </c>
    </row>
    <row r="53" spans="2:10" s="29" customFormat="1" x14ac:dyDescent="0.2">
      <c r="B53" s="39"/>
      <c r="C53" s="38" t="s">
        <v>40</v>
      </c>
      <c r="D53" s="37" t="s">
        <v>5</v>
      </c>
      <c r="E53" s="36" t="str">
        <f t="shared" si="1"/>
        <v>GbpLiborSwapIsda47Y</v>
      </c>
      <c r="F53" s="35" t="str">
        <f>_xll.qlLiborSwap($E53,Currency,FixingType,$C53,Currency&amp;$D53,Discounting,Permanent,Trigger,ObjectOverwrite)</f>
        <v>GbpLiborSwapIsda47Y#0001</v>
      </c>
      <c r="G53" s="34" t="str">
        <f>_xll.ohRangeRetrieveError(F53)</f>
        <v/>
      </c>
      <c r="H53" s="33"/>
      <c r="J53" s="2">
        <f>_xll.qlInterestRateIndexFixingDays(F53)</f>
        <v>0</v>
      </c>
    </row>
    <row r="54" spans="2:10" s="29" customFormat="1" x14ac:dyDescent="0.2">
      <c r="B54" s="39"/>
      <c r="C54" s="38" t="s">
        <v>39</v>
      </c>
      <c r="D54" s="37" t="s">
        <v>5</v>
      </c>
      <c r="E54" s="36" t="str">
        <f t="shared" si="1"/>
        <v>GbpLiborSwapIsda48Y</v>
      </c>
      <c r="F54" s="35" t="str">
        <f>_xll.qlLiborSwap($E54,Currency,FixingType,$C54,Currency&amp;$D54,Discounting,Permanent,Trigger,ObjectOverwrite)</f>
        <v>GbpLiborSwapIsda48Y#0001</v>
      </c>
      <c r="G54" s="34" t="str">
        <f>_xll.ohRangeRetrieveError(F54)</f>
        <v/>
      </c>
      <c r="H54" s="33"/>
      <c r="J54" s="2">
        <f>_xll.qlInterestRateIndexFixingDays(F54)</f>
        <v>0</v>
      </c>
    </row>
    <row r="55" spans="2:10" s="29" customFormat="1" x14ac:dyDescent="0.2">
      <c r="B55" s="39"/>
      <c r="C55" s="38" t="s">
        <v>38</v>
      </c>
      <c r="D55" s="37" t="s">
        <v>5</v>
      </c>
      <c r="E55" s="36" t="str">
        <f t="shared" si="1"/>
        <v>GbpLiborSwapIsda49Y</v>
      </c>
      <c r="F55" s="35" t="str">
        <f>_xll.qlLiborSwap($E55,Currency,FixingType,$C55,Currency&amp;$D55,Discounting,Permanent,Trigger,ObjectOverwrite)</f>
        <v>GbpLiborSwapIsda49Y#0001</v>
      </c>
      <c r="G55" s="34" t="str">
        <f>_xll.ohRangeRetrieveError(F55)</f>
        <v/>
      </c>
      <c r="H55" s="33"/>
      <c r="J55" s="2">
        <f>_xll.qlInterestRateIndexFixingDays(F55)</f>
        <v>0</v>
      </c>
    </row>
    <row r="56" spans="2:10" s="29" customFormat="1" x14ac:dyDescent="0.2">
      <c r="B56" s="39"/>
      <c r="C56" s="38" t="s">
        <v>37</v>
      </c>
      <c r="D56" s="37" t="s">
        <v>5</v>
      </c>
      <c r="E56" s="36" t="str">
        <f t="shared" si="1"/>
        <v>GbpLiborSwapIsda50Y</v>
      </c>
      <c r="F56" s="35" t="str">
        <f>_xll.qlLiborSwap($E56,Currency,FixingType,$C56,Currency&amp;$D56,Discounting,Permanent,Trigger,ObjectOverwrite)</f>
        <v>GbpLiborSwapIsda50Y#0001</v>
      </c>
      <c r="G56" s="34" t="str">
        <f>_xll.ohRangeRetrieveError(F56)</f>
        <v/>
      </c>
      <c r="H56" s="33"/>
      <c r="J56" s="2">
        <f>_xll.qlInterestRateIndexFixingDays(F56)</f>
        <v>0</v>
      </c>
    </row>
    <row r="57" spans="2:10" s="29" customFormat="1" x14ac:dyDescent="0.2">
      <c r="B57" s="39"/>
      <c r="C57" s="38" t="s">
        <v>36</v>
      </c>
      <c r="D57" s="37" t="s">
        <v>5</v>
      </c>
      <c r="E57" s="36" t="str">
        <f t="shared" si="1"/>
        <v>GbpLiborSwapIsda51Y</v>
      </c>
      <c r="F57" s="35" t="str">
        <f>_xll.qlLiborSwap($E57,Currency,FixingType,$C57,Currency&amp;$D57,Discounting,Permanent,Trigger,ObjectOverwrite)</f>
        <v>GbpLiborSwapIsda51Y#0001</v>
      </c>
      <c r="G57" s="34" t="str">
        <f>_xll.ohRangeRetrieveError(F57)</f>
        <v/>
      </c>
      <c r="H57" s="33"/>
      <c r="J57" s="2">
        <f>_xll.qlInterestRateIndexFixingDays(F57)</f>
        <v>0</v>
      </c>
    </row>
    <row r="58" spans="2:10" s="29" customFormat="1" x14ac:dyDescent="0.2">
      <c r="B58" s="39"/>
      <c r="C58" s="38" t="s">
        <v>35</v>
      </c>
      <c r="D58" s="37" t="s">
        <v>5</v>
      </c>
      <c r="E58" s="36" t="str">
        <f t="shared" si="1"/>
        <v>GbpLiborSwapIsda52Y</v>
      </c>
      <c r="F58" s="35" t="str">
        <f>_xll.qlLiborSwap($E58,Currency,FixingType,$C58,Currency&amp;$D58,Discounting,Permanent,Trigger,ObjectOverwrite)</f>
        <v>GbpLiborSwapIsda52Y#0001</v>
      </c>
      <c r="G58" s="34" t="str">
        <f>_xll.ohRangeRetrieveError(F58)</f>
        <v/>
      </c>
      <c r="H58" s="33"/>
      <c r="J58" s="2">
        <f>_xll.qlInterestRateIndexFixingDays(F58)</f>
        <v>0</v>
      </c>
    </row>
    <row r="59" spans="2:10" s="29" customFormat="1" x14ac:dyDescent="0.2">
      <c r="B59" s="39"/>
      <c r="C59" s="38" t="s">
        <v>34</v>
      </c>
      <c r="D59" s="37" t="s">
        <v>5</v>
      </c>
      <c r="E59" s="36" t="str">
        <f t="shared" si="1"/>
        <v>GbpLiborSwapIsda53Y</v>
      </c>
      <c r="F59" s="35" t="str">
        <f>_xll.qlLiborSwap($E59,Currency,FixingType,$C59,Currency&amp;$D59,Discounting,Permanent,Trigger,ObjectOverwrite)</f>
        <v>GbpLiborSwapIsda53Y#0001</v>
      </c>
      <c r="G59" s="34" t="str">
        <f>_xll.ohRangeRetrieveError(F59)</f>
        <v/>
      </c>
      <c r="H59" s="33"/>
      <c r="J59" s="2">
        <f>_xll.qlInterestRateIndexFixingDays(F59)</f>
        <v>0</v>
      </c>
    </row>
    <row r="60" spans="2:10" s="29" customFormat="1" x14ac:dyDescent="0.2">
      <c r="B60" s="39"/>
      <c r="C60" s="38" t="s">
        <v>33</v>
      </c>
      <c r="D60" s="37" t="s">
        <v>5</v>
      </c>
      <c r="E60" s="36" t="str">
        <f t="shared" si="1"/>
        <v>GbpLiborSwapIsda54Y</v>
      </c>
      <c r="F60" s="35" t="str">
        <f>_xll.qlLiborSwap($E60,Currency,FixingType,$C60,Currency&amp;$D60,Discounting,Permanent,Trigger,ObjectOverwrite)</f>
        <v>GbpLiborSwapIsda54Y#0001</v>
      </c>
      <c r="G60" s="34" t="str">
        <f>_xll.ohRangeRetrieveError(F60)</f>
        <v/>
      </c>
      <c r="H60" s="33"/>
      <c r="J60" s="2">
        <f>_xll.qlInterestRateIndexFixingDays(F60)</f>
        <v>0</v>
      </c>
    </row>
    <row r="61" spans="2:10" s="29" customFormat="1" x14ac:dyDescent="0.2">
      <c r="B61" s="39"/>
      <c r="C61" s="38" t="s">
        <v>32</v>
      </c>
      <c r="D61" s="37" t="s">
        <v>5</v>
      </c>
      <c r="E61" s="36" t="str">
        <f t="shared" si="1"/>
        <v>GbpLiborSwapIsda55Y</v>
      </c>
      <c r="F61" s="35" t="str">
        <f>_xll.qlLiborSwap($E61,Currency,FixingType,$C61,Currency&amp;$D61,Discounting,Permanent,Trigger,ObjectOverwrite)</f>
        <v>GbpLiborSwapIsda55Y#0001</v>
      </c>
      <c r="G61" s="34" t="str">
        <f>_xll.ohRangeRetrieveError(F61)</f>
        <v/>
      </c>
      <c r="H61" s="33"/>
      <c r="J61" s="2">
        <f>_xll.qlInterestRateIndexFixingDays(F61)</f>
        <v>0</v>
      </c>
    </row>
    <row r="62" spans="2:10" s="29" customFormat="1" x14ac:dyDescent="0.2">
      <c r="B62" s="39"/>
      <c r="C62" s="38" t="s">
        <v>31</v>
      </c>
      <c r="D62" s="37" t="s">
        <v>5</v>
      </c>
      <c r="E62" s="36" t="str">
        <f t="shared" si="1"/>
        <v>GbpLiborSwapIsda56Y</v>
      </c>
      <c r="F62" s="35" t="str">
        <f>_xll.qlLiborSwap($E62,Currency,FixingType,$C62,Currency&amp;$D62,Discounting,Permanent,Trigger,ObjectOverwrite)</f>
        <v>GbpLiborSwapIsda56Y#0001</v>
      </c>
      <c r="G62" s="34" t="str">
        <f>_xll.ohRangeRetrieveError(F62)</f>
        <v/>
      </c>
      <c r="H62" s="33"/>
      <c r="J62" s="2">
        <f>_xll.qlInterestRateIndexFixingDays(F62)</f>
        <v>0</v>
      </c>
    </row>
    <row r="63" spans="2:10" s="29" customFormat="1" x14ac:dyDescent="0.2">
      <c r="B63" s="39"/>
      <c r="C63" s="38" t="s">
        <v>30</v>
      </c>
      <c r="D63" s="37" t="s">
        <v>5</v>
      </c>
      <c r="E63" s="36" t="str">
        <f t="shared" si="1"/>
        <v>GbpLiborSwapIsda57Y</v>
      </c>
      <c r="F63" s="35" t="str">
        <f>_xll.qlLiborSwap($E63,Currency,FixingType,$C63,Currency&amp;$D63,Discounting,Permanent,Trigger,ObjectOverwrite)</f>
        <v>GbpLiborSwapIsda57Y#0001</v>
      </c>
      <c r="G63" s="34" t="str">
        <f>_xll.ohRangeRetrieveError(F63)</f>
        <v/>
      </c>
      <c r="H63" s="33"/>
      <c r="J63" s="2">
        <f>_xll.qlInterestRateIndexFixingDays(F63)</f>
        <v>0</v>
      </c>
    </row>
    <row r="64" spans="2:10" s="29" customFormat="1" x14ac:dyDescent="0.2">
      <c r="B64" s="39"/>
      <c r="C64" s="38" t="s">
        <v>29</v>
      </c>
      <c r="D64" s="37" t="s">
        <v>5</v>
      </c>
      <c r="E64" s="36" t="str">
        <f t="shared" si="1"/>
        <v>GbpLiborSwapIsda58Y</v>
      </c>
      <c r="F64" s="35" t="str">
        <f>_xll.qlLiborSwap($E64,Currency,FixingType,$C64,Currency&amp;$D64,Discounting,Permanent,Trigger,ObjectOverwrite)</f>
        <v>GbpLiborSwapIsda58Y#0001</v>
      </c>
      <c r="G64" s="34" t="str">
        <f>_xll.ohRangeRetrieveError(F64)</f>
        <v/>
      </c>
      <c r="H64" s="33"/>
      <c r="J64" s="2">
        <f>_xll.qlInterestRateIndexFixingDays(F64)</f>
        <v>0</v>
      </c>
    </row>
    <row r="65" spans="2:10" s="29" customFormat="1" x14ac:dyDescent="0.2">
      <c r="B65" s="39"/>
      <c r="C65" s="38" t="s">
        <v>28</v>
      </c>
      <c r="D65" s="37" t="s">
        <v>5</v>
      </c>
      <c r="E65" s="36" t="str">
        <f t="shared" si="1"/>
        <v>GbpLiborSwapIsda59Y</v>
      </c>
      <c r="F65" s="35" t="str">
        <f>_xll.qlLiborSwap($E65,Currency,FixingType,$C65,Currency&amp;$D65,Discounting,Permanent,Trigger,ObjectOverwrite)</f>
        <v>GbpLiborSwapIsda59Y#0001</v>
      </c>
      <c r="G65" s="34" t="str">
        <f>_xll.ohRangeRetrieveError(F65)</f>
        <v/>
      </c>
      <c r="H65" s="33"/>
      <c r="J65" s="2">
        <f>_xll.qlInterestRateIndexFixingDays(F65)</f>
        <v>0</v>
      </c>
    </row>
    <row r="66" spans="2:10" s="29" customFormat="1" x14ac:dyDescent="0.2">
      <c r="B66" s="39"/>
      <c r="C66" s="38" t="s">
        <v>27</v>
      </c>
      <c r="D66" s="37" t="s">
        <v>5</v>
      </c>
      <c r="E66" s="36" t="str">
        <f t="shared" si="1"/>
        <v>GbpLiborSwapIsda60Y</v>
      </c>
      <c r="F66" s="35" t="str">
        <f>_xll.qlLiborSwap($E66,Currency,FixingType,$C66,Currency&amp;$D66,Discounting,Permanent,Trigger,ObjectOverwrite)</f>
        <v>GbpLiborSwapIsda60Y#0001</v>
      </c>
      <c r="G66" s="34" t="str">
        <f>_xll.ohRangeRetrieveError(F66)</f>
        <v/>
      </c>
      <c r="H66" s="33"/>
      <c r="J66" s="2">
        <f>_xll.qlInterestRateIndexFixingDays(F66)</f>
        <v>0</v>
      </c>
    </row>
    <row r="67" spans="2:10" s="29" customFormat="1" ht="12" thickBot="1" x14ac:dyDescent="0.25">
      <c r="B67" s="32"/>
      <c r="C67" s="31"/>
      <c r="D67" s="31"/>
      <c r="E67" s="31"/>
      <c r="F67" s="31"/>
      <c r="G67" s="31"/>
      <c r="H67" s="30"/>
    </row>
    <row r="68" spans="2:10" s="29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3"/>
  <sheetViews>
    <sheetView workbookViewId="0"/>
  </sheetViews>
  <sheetFormatPr defaultColWidth="8" defaultRowHeight="11.25" x14ac:dyDescent="0.2"/>
  <cols>
    <col min="1" max="1" width="6.140625" style="2" customWidth="1"/>
    <col min="2" max="2" width="4.28515625" style="2" customWidth="1"/>
    <col min="3" max="3" width="15.5703125" style="2" bestFit="1" customWidth="1"/>
    <col min="4" max="4" width="75.42578125" style="2" bestFit="1" customWidth="1"/>
    <col min="5" max="5" width="4.7109375" style="2" customWidth="1"/>
    <col min="6" max="6" width="35.28515625" style="2" customWidth="1"/>
    <col min="7" max="7" width="4.28515625" style="2" customWidth="1"/>
    <col min="8" max="16384" width="8" style="2"/>
  </cols>
  <sheetData>
    <row r="1" spans="1:5" ht="13.5" thickBot="1" x14ac:dyDescent="0.25">
      <c r="B1" s="57" t="str">
        <f>_xll.qlxlVersion(TRUE,Trigger)</f>
        <v>QuantLibXL 1.3.0 - MS VC++ 9.0 - Multithreaded Static Runtime library - Release Configuration - Nov  5 2013 10:41:52</v>
      </c>
    </row>
    <row r="2" spans="1:5" s="1" customFormat="1" ht="15.75" x14ac:dyDescent="0.25">
      <c r="A2" s="50"/>
      <c r="B2" s="263" t="s">
        <v>99</v>
      </c>
      <c r="C2" s="264"/>
      <c r="D2" s="264"/>
      <c r="E2" s="265"/>
    </row>
    <row r="3" spans="1:5" s="1" customFormat="1" ht="12.75" x14ac:dyDescent="0.2">
      <c r="A3" s="50"/>
      <c r="B3" s="53"/>
      <c r="C3" s="56"/>
      <c r="D3" s="56"/>
      <c r="E3" s="6"/>
    </row>
    <row r="4" spans="1:5" s="1" customFormat="1" ht="12.75" x14ac:dyDescent="0.2">
      <c r="A4" s="50"/>
      <c r="B4" s="53"/>
      <c r="C4" s="22" t="s">
        <v>98</v>
      </c>
      <c r="D4" s="52"/>
      <c r="E4" s="51"/>
    </row>
    <row r="5" spans="1:5" s="1" customFormat="1" ht="12.75" x14ac:dyDescent="0.2">
      <c r="A5" s="50"/>
      <c r="B5" s="53"/>
      <c r="C5" s="22" t="s">
        <v>97</v>
      </c>
      <c r="D5" s="15" t="s">
        <v>96</v>
      </c>
      <c r="E5" s="51"/>
    </row>
    <row r="6" spans="1:5" s="1" customFormat="1" ht="12.75" x14ac:dyDescent="0.2">
      <c r="A6" s="50"/>
      <c r="B6" s="53"/>
      <c r="C6" s="22" t="s">
        <v>95</v>
      </c>
      <c r="D6" s="52" t="b">
        <v>1</v>
      </c>
      <c r="E6" s="51"/>
    </row>
    <row r="7" spans="1:5" s="1" customFormat="1" ht="12.75" x14ac:dyDescent="0.2">
      <c r="A7" s="50"/>
      <c r="B7" s="53"/>
      <c r="C7" s="22" t="s">
        <v>94</v>
      </c>
      <c r="D7" s="52" t="b">
        <v>0</v>
      </c>
      <c r="E7" s="51"/>
    </row>
    <row r="8" spans="1:5" s="1" customFormat="1" ht="12.75" x14ac:dyDescent="0.2">
      <c r="A8" s="50"/>
      <c r="B8" s="53"/>
      <c r="C8" s="22" t="s">
        <v>93</v>
      </c>
      <c r="D8" s="52" t="b">
        <v>1</v>
      </c>
      <c r="E8" s="51"/>
    </row>
    <row r="9" spans="1:5" s="1" customFormat="1" ht="12.75" x14ac:dyDescent="0.2">
      <c r="A9" s="50"/>
      <c r="B9" s="53"/>
      <c r="C9" s="22" t="s">
        <v>92</v>
      </c>
      <c r="D9" s="55" t="str">
        <f ca="1">SUBSTITUTE(LEFT(CELL("filename",A1),FIND("[",CELL("filename",A1),1)-1),"\XLS\","\XML\")</f>
        <v>C:\Users\erik\Documents\repos\quantlib_nando\QuantLibXL\Data2\XML\</v>
      </c>
      <c r="E9" s="51"/>
    </row>
    <row r="10" spans="1:5" s="1" customFormat="1" ht="12.75" x14ac:dyDescent="0.2">
      <c r="A10" s="50"/>
      <c r="B10" s="53"/>
      <c r="C10" s="22" t="s">
        <v>91</v>
      </c>
      <c r="D10" s="54" t="b">
        <v>1</v>
      </c>
      <c r="E10" s="51"/>
    </row>
    <row r="11" spans="1:5" s="1" customFormat="1" ht="12.75" x14ac:dyDescent="0.2">
      <c r="A11" s="50"/>
      <c r="B11" s="53"/>
      <c r="C11" s="22" t="s">
        <v>90</v>
      </c>
      <c r="D11" s="52" t="str">
        <f>Currency&amp;"YC"</f>
        <v>GBPYC</v>
      </c>
      <c r="E11" s="51"/>
    </row>
    <row r="12" spans="1:5" s="1" customFormat="1" ht="12.75" x14ac:dyDescent="0.2">
      <c r="A12" s="50"/>
      <c r="B12" s="53"/>
      <c r="C12" s="22" t="s">
        <v>89</v>
      </c>
      <c r="D12" s="52" t="str">
        <f>Currency&amp;"YCSTD"</f>
        <v>GBPYCSTD</v>
      </c>
      <c r="E12" s="51"/>
    </row>
    <row r="13" spans="1:5" s="1" customFormat="1" ht="13.5" thickBot="1" x14ac:dyDescent="0.25">
      <c r="A13" s="50"/>
      <c r="B13" s="5"/>
      <c r="C13" s="4"/>
      <c r="D13" s="4"/>
      <c r="E13" s="3"/>
    </row>
  </sheetData>
  <mergeCells count="1">
    <mergeCell ref="B2:E2"/>
  </mergeCells>
  <dataValidations count="1">
    <dataValidation type="list" allowBlank="1" showInputMessage="1" showErrorMessage="1" sqref="D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1"/>
  <sheetViews>
    <sheetView workbookViewId="0"/>
  </sheetViews>
  <sheetFormatPr defaultRowHeight="11.25" x14ac:dyDescent="0.2"/>
  <cols>
    <col min="1" max="1" width="3.7109375" style="67" customWidth="1"/>
    <col min="2" max="2" width="6.5703125" style="66" bestFit="1" customWidth="1"/>
    <col min="3" max="4" width="2.7109375" style="67" bestFit="1" customWidth="1"/>
    <col min="5" max="5" width="17.85546875" style="67" bestFit="1" customWidth="1"/>
    <col min="6" max="6" width="19.7109375" style="68" bestFit="1" customWidth="1"/>
    <col min="7" max="7" width="38.28515625" style="67" customWidth="1"/>
    <col min="8" max="8" width="4.42578125" style="67" customWidth="1"/>
    <col min="9" max="12" width="3.5703125" style="67" customWidth="1"/>
    <col min="13" max="16384" width="9.140625" style="67"/>
  </cols>
  <sheetData>
    <row r="1" spans="1:12" x14ac:dyDescent="0.2">
      <c r="A1" s="98"/>
      <c r="B1" s="97"/>
      <c r="C1" s="97"/>
      <c r="D1" s="97"/>
      <c r="E1" s="95"/>
      <c r="F1" s="96"/>
      <c r="G1" s="95"/>
      <c r="H1" s="94"/>
    </row>
    <row r="2" spans="1:12" x14ac:dyDescent="0.2">
      <c r="A2" s="79"/>
      <c r="B2" s="92" t="s">
        <v>126</v>
      </c>
      <c r="C2" s="93"/>
      <c r="D2" s="92"/>
      <c r="E2" s="91" t="str">
        <f>Currency&amp;"_010_Sw"&amp;$C$4&amp;$D$4&amp;".xml"</f>
        <v>GBP_010_Sw1L6L.xml</v>
      </c>
      <c r="F2" s="90">
        <f ca="1">IF(Serialize,_xll.ohObjectSave(F3:F40,SerializationPath&amp;E2,FileOverwrite,Serialize),"---")</f>
        <v>38</v>
      </c>
      <c r="G2" s="74" t="str">
        <f ca="1">_xll.ohRangeRetrieveError(F2)</f>
        <v/>
      </c>
      <c r="H2" s="73"/>
    </row>
    <row r="3" spans="1:12" x14ac:dyDescent="0.2">
      <c r="A3" s="79"/>
      <c r="B3" s="89" t="s">
        <v>8</v>
      </c>
      <c r="C3" s="77" t="str">
        <f>VLOOKUP(Currency,$J$8:$L$12,2)</f>
        <v>1L</v>
      </c>
      <c r="D3" s="76" t="str">
        <f>VLOOKUP(Currency,$J$8:$L$12,3)</f>
        <v>6L</v>
      </c>
      <c r="E3" s="75" t="str">
        <f t="shared" ref="E3:E40" si="0">IF(ISBLANK(C3),"#",Currency&amp;$C3&amp;$D3&amp;$B3&amp;QuoteSuffix)</f>
        <v>GBP1L6L6M_Quote</v>
      </c>
      <c r="F3" s="75" t="str">
        <f>_xll.qlSimpleQuote(E3,,RateTickValue,Permanent,Trigger,ObjectOverwrite)</f>
        <v>GBP1L6L6M_Quote#0001</v>
      </c>
      <c r="G3" s="74" t="str">
        <f>_xll.ohRangeRetrieveError(F3)</f>
        <v/>
      </c>
      <c r="H3" s="73"/>
    </row>
    <row r="4" spans="1:12" x14ac:dyDescent="0.2">
      <c r="A4" s="79"/>
      <c r="B4" s="89" t="s">
        <v>1</v>
      </c>
      <c r="C4" s="77" t="str">
        <f t="shared" ref="C4:C40" si="1">C3</f>
        <v>1L</v>
      </c>
      <c r="D4" s="76" t="str">
        <f t="shared" ref="D4:D40" si="2">D3</f>
        <v>6L</v>
      </c>
      <c r="E4" s="75" t="str">
        <f t="shared" si="0"/>
        <v>GBP1L6L1Y_Quote</v>
      </c>
      <c r="F4" s="75" t="str">
        <f>_xll.qlSimpleQuote(E4,,RateTickValue,Permanent,Trigger,ObjectOverwrite)</f>
        <v>GBP1L6L1Y_Quote#0001</v>
      </c>
      <c r="G4" s="74" t="str">
        <f>_xll.ohRangeRetrieveError(F4)</f>
        <v/>
      </c>
      <c r="H4" s="73"/>
    </row>
    <row r="5" spans="1:12" s="65" customFormat="1" ht="12.75" x14ac:dyDescent="0.2">
      <c r="A5" s="79"/>
      <c r="B5" s="89" t="s">
        <v>125</v>
      </c>
      <c r="C5" s="77" t="str">
        <f t="shared" si="1"/>
        <v>1L</v>
      </c>
      <c r="D5" s="76" t="str">
        <f t="shared" si="2"/>
        <v>6L</v>
      </c>
      <c r="E5" s="75" t="str">
        <f t="shared" si="0"/>
        <v>GBP1L6L15M_Quote</v>
      </c>
      <c r="F5" s="75" t="str">
        <f>_xll.qlSimpleQuote(E5,,RateTickValue,Permanent,Trigger,ObjectOverwrite)</f>
        <v>GBP1L6L15M_Quote#0001</v>
      </c>
      <c r="G5" s="74" t="str">
        <f>_xll.ohRangeRetrieveError(F5)</f>
        <v/>
      </c>
      <c r="H5" s="73"/>
    </row>
    <row r="6" spans="1:12" s="65" customFormat="1" ht="12.75" x14ac:dyDescent="0.2">
      <c r="A6" s="79"/>
      <c r="B6" s="89" t="s">
        <v>124</v>
      </c>
      <c r="C6" s="77" t="str">
        <f t="shared" si="1"/>
        <v>1L</v>
      </c>
      <c r="D6" s="76" t="str">
        <f t="shared" si="2"/>
        <v>6L</v>
      </c>
      <c r="E6" s="75" t="str">
        <f t="shared" si="0"/>
        <v>GBP1L6L18M_Quote</v>
      </c>
      <c r="F6" s="75" t="str">
        <f>_xll.qlSimpleQuote(E6,,RateTickValue,Permanent,Trigger,ObjectOverwrite)</f>
        <v>GBP1L6L18M_Quote#0001</v>
      </c>
      <c r="G6" s="74" t="str">
        <f>_xll.ohRangeRetrieveError(F6)</f>
        <v/>
      </c>
      <c r="H6" s="73"/>
    </row>
    <row r="7" spans="1:12" s="65" customFormat="1" ht="13.5" thickBot="1" x14ac:dyDescent="0.25">
      <c r="A7" s="79"/>
      <c r="B7" s="89" t="s">
        <v>123</v>
      </c>
      <c r="C7" s="77" t="str">
        <f t="shared" si="1"/>
        <v>1L</v>
      </c>
      <c r="D7" s="76" t="str">
        <f t="shared" si="2"/>
        <v>6L</v>
      </c>
      <c r="E7" s="75" t="str">
        <f t="shared" si="0"/>
        <v>GBP1L6L21M_Quote</v>
      </c>
      <c r="F7" s="75" t="str">
        <f>_xll.qlSimpleQuote(E7,,RateTickValue,Permanent,Trigger,ObjectOverwrite)</f>
        <v>GBP1L6L21M_Quote#0001</v>
      </c>
      <c r="G7" s="74" t="str">
        <f>_xll.ohRangeRetrieveError(F7)</f>
        <v/>
      </c>
      <c r="H7" s="73"/>
    </row>
    <row r="8" spans="1:12" x14ac:dyDescent="0.2">
      <c r="A8" s="79"/>
      <c r="B8" s="78" t="s">
        <v>85</v>
      </c>
      <c r="C8" s="77" t="str">
        <f t="shared" si="1"/>
        <v>1L</v>
      </c>
      <c r="D8" s="76" t="str">
        <f t="shared" si="2"/>
        <v>6L</v>
      </c>
      <c r="E8" s="75" t="str">
        <f t="shared" si="0"/>
        <v>GBP1L6L2Y_Quote</v>
      </c>
      <c r="F8" s="75" t="str">
        <f>_xll.qlSimpleQuote(E8,,RateTickValue,Permanent,Trigger,ObjectOverwrite)</f>
        <v>GBP1L6L2Y_Quote#0001</v>
      </c>
      <c r="G8" s="74" t="str">
        <f>_xll.ohRangeRetrieveError(F8)</f>
        <v/>
      </c>
      <c r="H8" s="73"/>
      <c r="J8" s="88" t="s">
        <v>122</v>
      </c>
      <c r="K8" s="87" t="s">
        <v>114</v>
      </c>
      <c r="L8" s="86" t="s">
        <v>117</v>
      </c>
    </row>
    <row r="9" spans="1:12" x14ac:dyDescent="0.2">
      <c r="A9" s="79"/>
      <c r="B9" s="78" t="s">
        <v>84</v>
      </c>
      <c r="C9" s="77" t="str">
        <f t="shared" si="1"/>
        <v>1L</v>
      </c>
      <c r="D9" s="76" t="str">
        <f t="shared" si="2"/>
        <v>6L</v>
      </c>
      <c r="E9" s="75" t="str">
        <f t="shared" si="0"/>
        <v>GBP1L6L3Y_Quote</v>
      </c>
      <c r="F9" s="75" t="str">
        <f>_xll.qlSimpleQuote(E9,,RateTickValue,Permanent,Trigger,ObjectOverwrite)</f>
        <v>GBP1L6L3Y_Quote#0001</v>
      </c>
      <c r="G9" s="74" t="str">
        <f>_xll.ohRangeRetrieveError(F9)</f>
        <v/>
      </c>
      <c r="H9" s="73"/>
      <c r="J9" s="85" t="s">
        <v>121</v>
      </c>
      <c r="K9" s="84" t="s">
        <v>120</v>
      </c>
      <c r="L9" s="83" t="s">
        <v>119</v>
      </c>
    </row>
    <row r="10" spans="1:12" x14ac:dyDescent="0.2">
      <c r="A10" s="79"/>
      <c r="B10" s="78" t="s">
        <v>83</v>
      </c>
      <c r="C10" s="77" t="str">
        <f t="shared" si="1"/>
        <v>1L</v>
      </c>
      <c r="D10" s="76" t="str">
        <f t="shared" si="2"/>
        <v>6L</v>
      </c>
      <c r="E10" s="75" t="str">
        <f t="shared" si="0"/>
        <v>GBP1L6L4Y_Quote</v>
      </c>
      <c r="F10" s="75" t="str">
        <f>_xll.qlSimpleQuote(E10,,RateTickValue,Permanent,Trigger,ObjectOverwrite)</f>
        <v>GBP1L6L4Y_Quote#0001</v>
      </c>
      <c r="G10" s="74" t="str">
        <f>_xll.ohRangeRetrieveError(F10)</f>
        <v/>
      </c>
      <c r="H10" s="73"/>
      <c r="J10" s="85" t="s">
        <v>96</v>
      </c>
      <c r="K10" s="84" t="s">
        <v>114</v>
      </c>
      <c r="L10" s="83" t="s">
        <v>117</v>
      </c>
    </row>
    <row r="11" spans="1:12" x14ac:dyDescent="0.2">
      <c r="A11" s="79"/>
      <c r="B11" s="78" t="s">
        <v>82</v>
      </c>
      <c r="C11" s="77" t="str">
        <f t="shared" si="1"/>
        <v>1L</v>
      </c>
      <c r="D11" s="76" t="str">
        <f t="shared" si="2"/>
        <v>6L</v>
      </c>
      <c r="E11" s="75" t="str">
        <f t="shared" si="0"/>
        <v>GBP1L6L5Y_Quote</v>
      </c>
      <c r="F11" s="75" t="str">
        <f>_xll.qlSimpleQuote(E11,,RateTickValue,Permanent,Trigger,ObjectOverwrite)</f>
        <v>GBP1L6L5Y_Quote#0001</v>
      </c>
      <c r="G11" s="74" t="str">
        <f>_xll.ohRangeRetrieveError(F11)</f>
        <v/>
      </c>
      <c r="H11" s="73"/>
      <c r="J11" s="85" t="s">
        <v>118</v>
      </c>
      <c r="K11" s="84" t="s">
        <v>114</v>
      </c>
      <c r="L11" s="83" t="s">
        <v>117</v>
      </c>
    </row>
    <row r="12" spans="1:12" ht="12" thickBot="1" x14ac:dyDescent="0.25">
      <c r="A12" s="79"/>
      <c r="B12" s="78" t="s">
        <v>81</v>
      </c>
      <c r="C12" s="77" t="str">
        <f t="shared" si="1"/>
        <v>1L</v>
      </c>
      <c r="D12" s="76" t="str">
        <f t="shared" si="2"/>
        <v>6L</v>
      </c>
      <c r="E12" s="75" t="str">
        <f t="shared" si="0"/>
        <v>GBP1L6L6Y_Quote</v>
      </c>
      <c r="F12" s="75" t="str">
        <f>_xll.qlSimpleQuote(E12,,RateTickValue,Permanent,Trigger,ObjectOverwrite)</f>
        <v>GBP1L6L6Y_Quote#0001</v>
      </c>
      <c r="G12" s="74" t="str">
        <f>_xll.ohRangeRetrieveError(F12)</f>
        <v/>
      </c>
      <c r="H12" s="73"/>
      <c r="J12" s="82" t="s">
        <v>116</v>
      </c>
      <c r="K12" s="81" t="s">
        <v>115</v>
      </c>
      <c r="L12" s="80" t="s">
        <v>114</v>
      </c>
    </row>
    <row r="13" spans="1:12" x14ac:dyDescent="0.2">
      <c r="A13" s="79"/>
      <c r="B13" s="78" t="s">
        <v>80</v>
      </c>
      <c r="C13" s="77" t="str">
        <f t="shared" si="1"/>
        <v>1L</v>
      </c>
      <c r="D13" s="76" t="str">
        <f t="shared" si="2"/>
        <v>6L</v>
      </c>
      <c r="E13" s="75" t="str">
        <f t="shared" si="0"/>
        <v>GBP1L6L7Y_Quote</v>
      </c>
      <c r="F13" s="75" t="str">
        <f>_xll.qlSimpleQuote(E13,,RateTickValue,Permanent,Trigger,ObjectOverwrite)</f>
        <v>GBP1L6L7Y_Quote#0001</v>
      </c>
      <c r="G13" s="74" t="str">
        <f>_xll.ohRangeRetrieveError(F13)</f>
        <v/>
      </c>
      <c r="H13" s="73"/>
    </row>
    <row r="14" spans="1:12" x14ac:dyDescent="0.2">
      <c r="A14" s="79"/>
      <c r="B14" s="78" t="s">
        <v>79</v>
      </c>
      <c r="C14" s="77" t="str">
        <f t="shared" si="1"/>
        <v>1L</v>
      </c>
      <c r="D14" s="76" t="str">
        <f t="shared" si="2"/>
        <v>6L</v>
      </c>
      <c r="E14" s="75" t="str">
        <f t="shared" si="0"/>
        <v>GBP1L6L8Y_Quote</v>
      </c>
      <c r="F14" s="75" t="str">
        <f>_xll.qlSimpleQuote(E14,,RateTickValue,Permanent,Trigger,ObjectOverwrite)</f>
        <v>GBP1L6L8Y_Quote#0001</v>
      </c>
      <c r="G14" s="74" t="str">
        <f>_xll.ohRangeRetrieveError(F14)</f>
        <v/>
      </c>
      <c r="H14" s="73"/>
    </row>
    <row r="15" spans="1:12" x14ac:dyDescent="0.2">
      <c r="A15" s="79"/>
      <c r="B15" s="78" t="s">
        <v>78</v>
      </c>
      <c r="C15" s="77" t="str">
        <f t="shared" si="1"/>
        <v>1L</v>
      </c>
      <c r="D15" s="76" t="str">
        <f t="shared" si="2"/>
        <v>6L</v>
      </c>
      <c r="E15" s="75" t="str">
        <f t="shared" si="0"/>
        <v>GBP1L6L9Y_Quote</v>
      </c>
      <c r="F15" s="75" t="str">
        <f>_xll.qlSimpleQuote(E15,,RateTickValue,Permanent,Trigger,ObjectOverwrite)</f>
        <v>GBP1L6L9Y_Quote#0001</v>
      </c>
      <c r="G15" s="74" t="str">
        <f>_xll.ohRangeRetrieveError(F15)</f>
        <v/>
      </c>
      <c r="H15" s="73"/>
    </row>
    <row r="16" spans="1:12" x14ac:dyDescent="0.2">
      <c r="A16" s="79"/>
      <c r="B16" s="78" t="s">
        <v>77</v>
      </c>
      <c r="C16" s="77" t="str">
        <f t="shared" si="1"/>
        <v>1L</v>
      </c>
      <c r="D16" s="76" t="str">
        <f t="shared" si="2"/>
        <v>6L</v>
      </c>
      <c r="E16" s="75" t="str">
        <f t="shared" si="0"/>
        <v>GBP1L6L10Y_Quote</v>
      </c>
      <c r="F16" s="75" t="str">
        <f>_xll.qlSimpleQuote(E16,,RateTickValue,Permanent,Trigger,ObjectOverwrite)</f>
        <v>GBP1L6L10Y_Quote#0001</v>
      </c>
      <c r="G16" s="74" t="str">
        <f>_xll.ohRangeRetrieveError(F16)</f>
        <v/>
      </c>
      <c r="H16" s="73"/>
    </row>
    <row r="17" spans="1:8" x14ac:dyDescent="0.2">
      <c r="A17" s="79"/>
      <c r="B17" s="78" t="s">
        <v>76</v>
      </c>
      <c r="C17" s="77" t="str">
        <f t="shared" si="1"/>
        <v>1L</v>
      </c>
      <c r="D17" s="76" t="str">
        <f t="shared" si="2"/>
        <v>6L</v>
      </c>
      <c r="E17" s="75" t="str">
        <f t="shared" si="0"/>
        <v>GBP1L6L11Y_Quote</v>
      </c>
      <c r="F17" s="75" t="str">
        <f>_xll.qlSimpleQuote(E17,,RateTickValue,Permanent,Trigger,ObjectOverwrite)</f>
        <v>GBP1L6L11Y_Quote#0001</v>
      </c>
      <c r="G17" s="74" t="str">
        <f>_xll.ohRangeRetrieveError(F17)</f>
        <v/>
      </c>
      <c r="H17" s="73"/>
    </row>
    <row r="18" spans="1:8" x14ac:dyDescent="0.2">
      <c r="A18" s="79"/>
      <c r="B18" s="78" t="s">
        <v>75</v>
      </c>
      <c r="C18" s="77" t="str">
        <f t="shared" si="1"/>
        <v>1L</v>
      </c>
      <c r="D18" s="76" t="str">
        <f t="shared" si="2"/>
        <v>6L</v>
      </c>
      <c r="E18" s="75" t="str">
        <f t="shared" si="0"/>
        <v>GBP1L6L12Y_Quote</v>
      </c>
      <c r="F18" s="75" t="str">
        <f>_xll.qlSimpleQuote(E18,,RateTickValue,Permanent,Trigger,ObjectOverwrite)</f>
        <v>GBP1L6L12Y_Quote#0001</v>
      </c>
      <c r="G18" s="74" t="str">
        <f>_xll.ohRangeRetrieveError(F18)</f>
        <v/>
      </c>
      <c r="H18" s="73"/>
    </row>
    <row r="19" spans="1:8" x14ac:dyDescent="0.2">
      <c r="A19" s="79"/>
      <c r="B19" s="78" t="s">
        <v>74</v>
      </c>
      <c r="C19" s="77" t="str">
        <f t="shared" si="1"/>
        <v>1L</v>
      </c>
      <c r="D19" s="76" t="str">
        <f t="shared" si="2"/>
        <v>6L</v>
      </c>
      <c r="E19" s="75" t="str">
        <f t="shared" si="0"/>
        <v>GBP1L6L13Y_Quote</v>
      </c>
      <c r="F19" s="75" t="str">
        <f>_xll.qlSimpleQuote(E19,,RateTickValue,Permanent,Trigger,ObjectOverwrite)</f>
        <v>GBP1L6L13Y_Quote#0001</v>
      </c>
      <c r="G19" s="74" t="str">
        <f>_xll.ohRangeRetrieveError(F19)</f>
        <v/>
      </c>
      <c r="H19" s="73"/>
    </row>
    <row r="20" spans="1:8" x14ac:dyDescent="0.2">
      <c r="A20" s="79"/>
      <c r="B20" s="78" t="s">
        <v>73</v>
      </c>
      <c r="C20" s="77" t="str">
        <f t="shared" si="1"/>
        <v>1L</v>
      </c>
      <c r="D20" s="76" t="str">
        <f t="shared" si="2"/>
        <v>6L</v>
      </c>
      <c r="E20" s="75" t="str">
        <f t="shared" si="0"/>
        <v>GBP1L6L14Y_Quote</v>
      </c>
      <c r="F20" s="75" t="str">
        <f>_xll.qlSimpleQuote(E20,,RateTickValue,Permanent,Trigger,ObjectOverwrite)</f>
        <v>GBP1L6L14Y_Quote#0001</v>
      </c>
      <c r="G20" s="74" t="str">
        <f>_xll.ohRangeRetrieveError(F20)</f>
        <v/>
      </c>
      <c r="H20" s="73"/>
    </row>
    <row r="21" spans="1:8" x14ac:dyDescent="0.2">
      <c r="A21" s="79"/>
      <c r="B21" s="78" t="s">
        <v>72</v>
      </c>
      <c r="C21" s="77" t="str">
        <f t="shared" si="1"/>
        <v>1L</v>
      </c>
      <c r="D21" s="76" t="str">
        <f t="shared" si="2"/>
        <v>6L</v>
      </c>
      <c r="E21" s="75" t="str">
        <f t="shared" si="0"/>
        <v>GBP1L6L15Y_Quote</v>
      </c>
      <c r="F21" s="75" t="str">
        <f>_xll.qlSimpleQuote(E21,,RateTickValue,Permanent,Trigger,ObjectOverwrite)</f>
        <v>GBP1L6L15Y_Quote#0001</v>
      </c>
      <c r="G21" s="74" t="str">
        <f>_xll.ohRangeRetrieveError(F21)</f>
        <v/>
      </c>
      <c r="H21" s="73"/>
    </row>
    <row r="22" spans="1:8" x14ac:dyDescent="0.2">
      <c r="A22" s="79"/>
      <c r="B22" s="78" t="s">
        <v>71</v>
      </c>
      <c r="C22" s="77" t="str">
        <f t="shared" si="1"/>
        <v>1L</v>
      </c>
      <c r="D22" s="76" t="str">
        <f t="shared" si="2"/>
        <v>6L</v>
      </c>
      <c r="E22" s="75" t="str">
        <f t="shared" si="0"/>
        <v>GBP1L6L16Y_Quote</v>
      </c>
      <c r="F22" s="75" t="str">
        <f>_xll.qlSimpleQuote(E22,,RateTickValue,Permanent,Trigger,ObjectOverwrite)</f>
        <v>GBP1L6L16Y_Quote#0001</v>
      </c>
      <c r="G22" s="74" t="str">
        <f>_xll.ohRangeRetrieveError(F22)</f>
        <v/>
      </c>
      <c r="H22" s="73"/>
    </row>
    <row r="23" spans="1:8" x14ac:dyDescent="0.2">
      <c r="A23" s="79"/>
      <c r="B23" s="78" t="s">
        <v>70</v>
      </c>
      <c r="C23" s="77" t="str">
        <f t="shared" si="1"/>
        <v>1L</v>
      </c>
      <c r="D23" s="76" t="str">
        <f t="shared" si="2"/>
        <v>6L</v>
      </c>
      <c r="E23" s="75" t="str">
        <f t="shared" si="0"/>
        <v>GBP1L6L17Y_Quote</v>
      </c>
      <c r="F23" s="75" t="str">
        <f>_xll.qlSimpleQuote(E23,,RateTickValue,Permanent,Trigger,ObjectOverwrite)</f>
        <v>GBP1L6L17Y_Quote#0001</v>
      </c>
      <c r="G23" s="74" t="str">
        <f>_xll.ohRangeRetrieveError(F23)</f>
        <v/>
      </c>
      <c r="H23" s="73"/>
    </row>
    <row r="24" spans="1:8" x14ac:dyDescent="0.2">
      <c r="A24" s="79"/>
      <c r="B24" s="78" t="s">
        <v>69</v>
      </c>
      <c r="C24" s="77" t="str">
        <f t="shared" si="1"/>
        <v>1L</v>
      </c>
      <c r="D24" s="76" t="str">
        <f t="shared" si="2"/>
        <v>6L</v>
      </c>
      <c r="E24" s="75" t="str">
        <f t="shared" si="0"/>
        <v>GBP1L6L18Y_Quote</v>
      </c>
      <c r="F24" s="75" t="str">
        <f>_xll.qlSimpleQuote(E24,,RateTickValue,Permanent,Trigger,ObjectOverwrite)</f>
        <v>GBP1L6L18Y_Quote#0001</v>
      </c>
      <c r="G24" s="74" t="str">
        <f>_xll.ohRangeRetrieveError(F24)</f>
        <v/>
      </c>
      <c r="H24" s="73"/>
    </row>
    <row r="25" spans="1:8" x14ac:dyDescent="0.2">
      <c r="A25" s="79"/>
      <c r="B25" s="78" t="s">
        <v>68</v>
      </c>
      <c r="C25" s="77" t="str">
        <f t="shared" si="1"/>
        <v>1L</v>
      </c>
      <c r="D25" s="76" t="str">
        <f t="shared" si="2"/>
        <v>6L</v>
      </c>
      <c r="E25" s="75" t="str">
        <f t="shared" si="0"/>
        <v>GBP1L6L19Y_Quote</v>
      </c>
      <c r="F25" s="75" t="str">
        <f>_xll.qlSimpleQuote(E25,,RateTickValue,Permanent,Trigger,ObjectOverwrite)</f>
        <v>GBP1L6L19Y_Quote#0001</v>
      </c>
      <c r="G25" s="74" t="str">
        <f>_xll.ohRangeRetrieveError(F25)</f>
        <v/>
      </c>
      <c r="H25" s="73"/>
    </row>
    <row r="26" spans="1:8" x14ac:dyDescent="0.2">
      <c r="A26" s="79"/>
      <c r="B26" s="78" t="s">
        <v>67</v>
      </c>
      <c r="C26" s="77" t="str">
        <f t="shared" si="1"/>
        <v>1L</v>
      </c>
      <c r="D26" s="76" t="str">
        <f t="shared" si="2"/>
        <v>6L</v>
      </c>
      <c r="E26" s="75" t="str">
        <f t="shared" si="0"/>
        <v>GBP1L6L20Y_Quote</v>
      </c>
      <c r="F26" s="75" t="str">
        <f>_xll.qlSimpleQuote(E26,,RateTickValue,Permanent,Trigger,ObjectOverwrite)</f>
        <v>GBP1L6L20Y_Quote#0001</v>
      </c>
      <c r="G26" s="74" t="str">
        <f>_xll.ohRangeRetrieveError(F26)</f>
        <v/>
      </c>
      <c r="H26" s="73"/>
    </row>
    <row r="27" spans="1:8" x14ac:dyDescent="0.2">
      <c r="A27" s="79"/>
      <c r="B27" s="78" t="s">
        <v>66</v>
      </c>
      <c r="C27" s="77" t="str">
        <f t="shared" si="1"/>
        <v>1L</v>
      </c>
      <c r="D27" s="76" t="str">
        <f t="shared" si="2"/>
        <v>6L</v>
      </c>
      <c r="E27" s="75" t="str">
        <f t="shared" si="0"/>
        <v>GBP1L6L21Y_Quote</v>
      </c>
      <c r="F27" s="75" t="str">
        <f>_xll.qlSimpleQuote(E27,,RateTickValue,Permanent,Trigger,ObjectOverwrite)</f>
        <v>GBP1L6L21Y_Quote#0001</v>
      </c>
      <c r="G27" s="74" t="str">
        <f>_xll.ohRangeRetrieveError(F27)</f>
        <v/>
      </c>
      <c r="H27" s="73"/>
    </row>
    <row r="28" spans="1:8" x14ac:dyDescent="0.2">
      <c r="A28" s="79"/>
      <c r="B28" s="78" t="s">
        <v>65</v>
      </c>
      <c r="C28" s="77" t="str">
        <f t="shared" si="1"/>
        <v>1L</v>
      </c>
      <c r="D28" s="76" t="str">
        <f t="shared" si="2"/>
        <v>6L</v>
      </c>
      <c r="E28" s="75" t="str">
        <f t="shared" si="0"/>
        <v>GBP1L6L22Y_Quote</v>
      </c>
      <c r="F28" s="75" t="str">
        <f>_xll.qlSimpleQuote(E28,,RateTickValue,Permanent,Trigger,ObjectOverwrite)</f>
        <v>GBP1L6L22Y_Quote#0001</v>
      </c>
      <c r="G28" s="74" t="str">
        <f>_xll.ohRangeRetrieveError(F28)</f>
        <v/>
      </c>
      <c r="H28" s="73"/>
    </row>
    <row r="29" spans="1:8" x14ac:dyDescent="0.2">
      <c r="A29" s="79"/>
      <c r="B29" s="78" t="s">
        <v>64</v>
      </c>
      <c r="C29" s="77" t="str">
        <f t="shared" si="1"/>
        <v>1L</v>
      </c>
      <c r="D29" s="76" t="str">
        <f t="shared" si="2"/>
        <v>6L</v>
      </c>
      <c r="E29" s="75" t="str">
        <f t="shared" si="0"/>
        <v>GBP1L6L23Y_Quote</v>
      </c>
      <c r="F29" s="75" t="str">
        <f>_xll.qlSimpleQuote(E29,,RateTickValue,Permanent,Trigger,ObjectOverwrite)</f>
        <v>GBP1L6L23Y_Quote#0001</v>
      </c>
      <c r="G29" s="74" t="str">
        <f>_xll.ohRangeRetrieveError(F29)</f>
        <v/>
      </c>
      <c r="H29" s="73"/>
    </row>
    <row r="30" spans="1:8" x14ac:dyDescent="0.2">
      <c r="A30" s="79"/>
      <c r="B30" s="78" t="s">
        <v>63</v>
      </c>
      <c r="C30" s="77" t="str">
        <f t="shared" si="1"/>
        <v>1L</v>
      </c>
      <c r="D30" s="76" t="str">
        <f t="shared" si="2"/>
        <v>6L</v>
      </c>
      <c r="E30" s="75" t="str">
        <f t="shared" si="0"/>
        <v>GBP1L6L24Y_Quote</v>
      </c>
      <c r="F30" s="75" t="str">
        <f>_xll.qlSimpleQuote(E30,,RateTickValue,Permanent,Trigger,ObjectOverwrite)</f>
        <v>GBP1L6L24Y_Quote#0001</v>
      </c>
      <c r="G30" s="74" t="str">
        <f>_xll.ohRangeRetrieveError(F30)</f>
        <v/>
      </c>
      <c r="H30" s="73"/>
    </row>
    <row r="31" spans="1:8" x14ac:dyDescent="0.2">
      <c r="A31" s="79"/>
      <c r="B31" s="78" t="s">
        <v>62</v>
      </c>
      <c r="C31" s="77" t="str">
        <f t="shared" si="1"/>
        <v>1L</v>
      </c>
      <c r="D31" s="76" t="str">
        <f t="shared" si="2"/>
        <v>6L</v>
      </c>
      <c r="E31" s="75" t="str">
        <f t="shared" si="0"/>
        <v>GBP1L6L25Y_Quote</v>
      </c>
      <c r="F31" s="75" t="str">
        <f>_xll.qlSimpleQuote(E31,,RateTickValue,Permanent,Trigger,ObjectOverwrite)</f>
        <v>GBP1L6L25Y_Quote#0001</v>
      </c>
      <c r="G31" s="74" t="str">
        <f>_xll.ohRangeRetrieveError(F31)</f>
        <v/>
      </c>
      <c r="H31" s="73"/>
    </row>
    <row r="32" spans="1:8" x14ac:dyDescent="0.2">
      <c r="A32" s="79"/>
      <c r="B32" s="78" t="s">
        <v>61</v>
      </c>
      <c r="C32" s="77" t="str">
        <f t="shared" si="1"/>
        <v>1L</v>
      </c>
      <c r="D32" s="76" t="str">
        <f t="shared" si="2"/>
        <v>6L</v>
      </c>
      <c r="E32" s="75" t="str">
        <f t="shared" si="0"/>
        <v>GBP1L6L26Y_Quote</v>
      </c>
      <c r="F32" s="75" t="str">
        <f>_xll.qlSimpleQuote(E32,,RateTickValue,Permanent,Trigger,ObjectOverwrite)</f>
        <v>GBP1L6L26Y_Quote#0001</v>
      </c>
      <c r="G32" s="74" t="str">
        <f>_xll.ohRangeRetrieveError(F32)</f>
        <v/>
      </c>
      <c r="H32" s="73"/>
    </row>
    <row r="33" spans="1:8" x14ac:dyDescent="0.2">
      <c r="A33" s="79"/>
      <c r="B33" s="78" t="s">
        <v>60</v>
      </c>
      <c r="C33" s="77" t="str">
        <f t="shared" si="1"/>
        <v>1L</v>
      </c>
      <c r="D33" s="76" t="str">
        <f t="shared" si="2"/>
        <v>6L</v>
      </c>
      <c r="E33" s="75" t="str">
        <f t="shared" si="0"/>
        <v>GBP1L6L27Y_Quote</v>
      </c>
      <c r="F33" s="75" t="str">
        <f>_xll.qlSimpleQuote(E33,,RateTickValue,Permanent,Trigger,ObjectOverwrite)</f>
        <v>GBP1L6L27Y_Quote#0001</v>
      </c>
      <c r="G33" s="74" t="str">
        <f>_xll.ohRangeRetrieveError(F33)</f>
        <v/>
      </c>
      <c r="H33" s="73"/>
    </row>
    <row r="34" spans="1:8" x14ac:dyDescent="0.2">
      <c r="A34" s="79"/>
      <c r="B34" s="78" t="s">
        <v>59</v>
      </c>
      <c r="C34" s="77" t="str">
        <f t="shared" si="1"/>
        <v>1L</v>
      </c>
      <c r="D34" s="76" t="str">
        <f t="shared" si="2"/>
        <v>6L</v>
      </c>
      <c r="E34" s="75" t="str">
        <f t="shared" si="0"/>
        <v>GBP1L6L28Y_Quote</v>
      </c>
      <c r="F34" s="75" t="str">
        <f>_xll.qlSimpleQuote(E34,,RateTickValue,Permanent,Trigger,ObjectOverwrite)</f>
        <v>GBP1L6L28Y_Quote#0001</v>
      </c>
      <c r="G34" s="74" t="str">
        <f>_xll.ohRangeRetrieveError(F34)</f>
        <v/>
      </c>
      <c r="H34" s="73"/>
    </row>
    <row r="35" spans="1:8" x14ac:dyDescent="0.2">
      <c r="A35" s="79"/>
      <c r="B35" s="78" t="s">
        <v>58</v>
      </c>
      <c r="C35" s="77" t="str">
        <f t="shared" si="1"/>
        <v>1L</v>
      </c>
      <c r="D35" s="76" t="str">
        <f t="shared" si="2"/>
        <v>6L</v>
      </c>
      <c r="E35" s="75" t="str">
        <f t="shared" si="0"/>
        <v>GBP1L6L29Y_Quote</v>
      </c>
      <c r="F35" s="75" t="str">
        <f>_xll.qlSimpleQuote(E35,,RateTickValue,Permanent,Trigger,ObjectOverwrite)</f>
        <v>GBP1L6L29Y_Quote#0001</v>
      </c>
      <c r="G35" s="74" t="str">
        <f>_xll.ohRangeRetrieveError(F35)</f>
        <v/>
      </c>
      <c r="H35" s="73"/>
    </row>
    <row r="36" spans="1:8" x14ac:dyDescent="0.2">
      <c r="A36" s="79"/>
      <c r="B36" s="78" t="s">
        <v>57</v>
      </c>
      <c r="C36" s="77" t="str">
        <f t="shared" si="1"/>
        <v>1L</v>
      </c>
      <c r="D36" s="76" t="str">
        <f t="shared" si="2"/>
        <v>6L</v>
      </c>
      <c r="E36" s="75" t="str">
        <f t="shared" si="0"/>
        <v>GBP1L6L30Y_Quote</v>
      </c>
      <c r="F36" s="75" t="str">
        <f>_xll.qlSimpleQuote(E36,,RateTickValue,Permanent,Trigger,ObjectOverwrite)</f>
        <v>GBP1L6L30Y_Quote#0001</v>
      </c>
      <c r="G36" s="74" t="str">
        <f>_xll.ohRangeRetrieveError(F36)</f>
        <v/>
      </c>
      <c r="H36" s="73"/>
    </row>
    <row r="37" spans="1:8" x14ac:dyDescent="0.2">
      <c r="A37" s="79"/>
      <c r="B37" s="78" t="s">
        <v>52</v>
      </c>
      <c r="C37" s="77" t="str">
        <f t="shared" si="1"/>
        <v>1L</v>
      </c>
      <c r="D37" s="76" t="str">
        <f t="shared" si="2"/>
        <v>6L</v>
      </c>
      <c r="E37" s="75" t="str">
        <f t="shared" si="0"/>
        <v>GBP1L6L35Y_Quote</v>
      </c>
      <c r="F37" s="75" t="str">
        <f>_xll.qlSimpleQuote(E37,,RateTickValue,Permanent,Trigger,ObjectOverwrite)</f>
        <v>GBP1L6L35Y_Quote#0001</v>
      </c>
      <c r="G37" s="74" t="str">
        <f>_xll.ohRangeRetrieveError(F37)</f>
        <v/>
      </c>
      <c r="H37" s="73"/>
    </row>
    <row r="38" spans="1:8" x14ac:dyDescent="0.2">
      <c r="A38" s="79"/>
      <c r="B38" s="78" t="s">
        <v>47</v>
      </c>
      <c r="C38" s="77" t="str">
        <f t="shared" si="1"/>
        <v>1L</v>
      </c>
      <c r="D38" s="76" t="str">
        <f t="shared" si="2"/>
        <v>6L</v>
      </c>
      <c r="E38" s="75" t="str">
        <f t="shared" si="0"/>
        <v>GBP1L6L40Y_Quote</v>
      </c>
      <c r="F38" s="75" t="str">
        <f>_xll.qlSimpleQuote(E38,,RateTickValue,Permanent,Trigger,ObjectOverwrite)</f>
        <v>GBP1L6L40Y_Quote#0001</v>
      </c>
      <c r="G38" s="74" t="str">
        <f>_xll.ohRangeRetrieveError(F38)</f>
        <v/>
      </c>
      <c r="H38" s="73"/>
    </row>
    <row r="39" spans="1:8" x14ac:dyDescent="0.2">
      <c r="A39" s="79"/>
      <c r="B39" s="78" t="s">
        <v>37</v>
      </c>
      <c r="C39" s="77" t="str">
        <f t="shared" si="1"/>
        <v>1L</v>
      </c>
      <c r="D39" s="76" t="str">
        <f t="shared" si="2"/>
        <v>6L</v>
      </c>
      <c r="E39" s="75" t="str">
        <f t="shared" si="0"/>
        <v>GBP1L6L50Y_Quote</v>
      </c>
      <c r="F39" s="75" t="str">
        <f>_xll.qlSimpleQuote(E39,,RateTickValue,Permanent,Trigger,ObjectOverwrite)</f>
        <v>GBP1L6L50Y_Quote#0001</v>
      </c>
      <c r="G39" s="74" t="str">
        <f>_xll.ohRangeRetrieveError(F39)</f>
        <v/>
      </c>
      <c r="H39" s="73"/>
    </row>
    <row r="40" spans="1:8" x14ac:dyDescent="0.2">
      <c r="A40" s="79"/>
      <c r="B40" s="78" t="s">
        <v>27</v>
      </c>
      <c r="C40" s="77" t="str">
        <f t="shared" si="1"/>
        <v>1L</v>
      </c>
      <c r="D40" s="76" t="str">
        <f t="shared" si="2"/>
        <v>6L</v>
      </c>
      <c r="E40" s="75" t="str">
        <f t="shared" si="0"/>
        <v>GBP1L6L60Y_Quote</v>
      </c>
      <c r="F40" s="75" t="str">
        <f>_xll.qlSimpleQuote(E40,,RateTickValue,Permanent,Trigger,ObjectOverwrite)</f>
        <v>GBP1L6L60Y_Quote#0001</v>
      </c>
      <c r="G40" s="74" t="str">
        <f>_xll.ohRangeRetrieveError(F40)</f>
        <v/>
      </c>
      <c r="H40" s="73"/>
    </row>
    <row r="41" spans="1:8" x14ac:dyDescent="0.2">
      <c r="A41" s="72"/>
      <c r="B41" s="71"/>
      <c r="C41" s="71"/>
      <c r="D41" s="71"/>
      <c r="E41" s="71"/>
      <c r="F41" s="70"/>
      <c r="G41" s="70"/>
      <c r="H41" s="69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1"/>
  <sheetViews>
    <sheetView workbookViewId="0"/>
  </sheetViews>
  <sheetFormatPr defaultRowHeight="12.75" x14ac:dyDescent="0.2"/>
  <cols>
    <col min="1" max="1" width="4.28515625" style="65" customWidth="1"/>
    <col min="2" max="2" width="6.5703125" style="65" bestFit="1" customWidth="1"/>
    <col min="3" max="4" width="2.7109375" style="65" bestFit="1" customWidth="1"/>
    <col min="5" max="5" width="17.85546875" style="65" bestFit="1" customWidth="1"/>
    <col min="6" max="6" width="19.7109375" style="65" bestFit="1" customWidth="1"/>
    <col min="7" max="7" width="36.28515625" style="65" customWidth="1"/>
    <col min="8" max="8" width="3.7109375" style="65" customWidth="1"/>
    <col min="9" max="12" width="3.5703125" style="65" customWidth="1"/>
    <col min="13" max="16384" width="9.140625" style="65"/>
  </cols>
  <sheetData>
    <row r="1" spans="1:12" x14ac:dyDescent="0.2">
      <c r="A1" s="98"/>
      <c r="B1" s="97"/>
      <c r="C1" s="97"/>
      <c r="D1" s="97"/>
      <c r="E1" s="99"/>
      <c r="F1" s="100"/>
      <c r="G1" s="99"/>
      <c r="H1" s="94"/>
    </row>
    <row r="2" spans="1:12" x14ac:dyDescent="0.2">
      <c r="A2" s="79"/>
      <c r="B2" s="92" t="s">
        <v>126</v>
      </c>
      <c r="C2" s="93"/>
      <c r="D2" s="92"/>
      <c r="E2" s="91" t="str">
        <f>Currency&amp;"_010_Sw"&amp;$C$4&amp;$D$4&amp;".xml"</f>
        <v>GBP_010_Sw3L6L.xml</v>
      </c>
      <c r="F2" s="90">
        <f ca="1">IF(Serialize,_xll.ohObjectSave(F3:F40,SerializationPath&amp;E2,FileOverwrite,Serialize),"---")</f>
        <v>38</v>
      </c>
      <c r="G2" s="74" t="str">
        <f ca="1">_xll.ohRangeRetrieveError(F2)</f>
        <v/>
      </c>
      <c r="H2" s="73"/>
    </row>
    <row r="3" spans="1:12" x14ac:dyDescent="0.2">
      <c r="A3" s="79"/>
      <c r="B3" s="89" t="s">
        <v>8</v>
      </c>
      <c r="C3" s="77" t="str">
        <f>VLOOKUP(Currency,$J$8:$L$12,2)</f>
        <v>3L</v>
      </c>
      <c r="D3" s="76" t="str">
        <f>VLOOKUP(Currency,$J$8:$L$12,3)</f>
        <v>6L</v>
      </c>
      <c r="E3" s="75" t="str">
        <f t="shared" ref="E3:E40" si="0">IF(ISBLANK(C3),"#",Currency&amp;$C3&amp;$D3&amp;$B3&amp;QuoteSuffix)</f>
        <v>GBP3L6L6M_Quote</v>
      </c>
      <c r="F3" s="75" t="str">
        <f>_xll.qlSimpleQuote(E3,,RateTickValue,Permanent,Trigger,ObjectOverwrite)</f>
        <v>GBP3L6L6M_Quote#0001</v>
      </c>
      <c r="G3" s="74" t="str">
        <f>_xll.ohRangeRetrieveError(F3)</f>
        <v/>
      </c>
      <c r="H3" s="73"/>
    </row>
    <row r="4" spans="1:12" x14ac:dyDescent="0.2">
      <c r="A4" s="79"/>
      <c r="B4" s="89" t="s">
        <v>1</v>
      </c>
      <c r="C4" s="77" t="str">
        <f t="shared" ref="C4:C40" si="1">C3</f>
        <v>3L</v>
      </c>
      <c r="D4" s="76" t="str">
        <f t="shared" ref="D4:D40" si="2">D3</f>
        <v>6L</v>
      </c>
      <c r="E4" s="75" t="str">
        <f t="shared" si="0"/>
        <v>GBP3L6L1Y_Quote</v>
      </c>
      <c r="F4" s="75" t="str">
        <f>_xll.qlSimpleQuote(E4,,RateTickValue,Permanent,Trigger,ObjectOverwrite)</f>
        <v>GBP3L6L1Y_Quote#0001</v>
      </c>
      <c r="G4" s="74" t="str">
        <f>_xll.ohRangeRetrieveError(F4)</f>
        <v/>
      </c>
      <c r="H4" s="73"/>
    </row>
    <row r="5" spans="1:12" x14ac:dyDescent="0.2">
      <c r="A5" s="79"/>
      <c r="B5" s="89" t="s">
        <v>125</v>
      </c>
      <c r="C5" s="77" t="str">
        <f t="shared" si="1"/>
        <v>3L</v>
      </c>
      <c r="D5" s="76" t="str">
        <f t="shared" si="2"/>
        <v>6L</v>
      </c>
      <c r="E5" s="75" t="str">
        <f t="shared" si="0"/>
        <v>GBP3L6L15M_Quote</v>
      </c>
      <c r="F5" s="75" t="str">
        <f>_xll.qlSimpleQuote(E5,,RateTickValue,Permanent,Trigger,ObjectOverwrite)</f>
        <v>GBP3L6L15M_Quote#0001</v>
      </c>
      <c r="G5" s="74" t="str">
        <f>_xll.ohRangeRetrieveError(F5)</f>
        <v/>
      </c>
      <c r="H5" s="73"/>
    </row>
    <row r="6" spans="1:12" x14ac:dyDescent="0.2">
      <c r="A6" s="79"/>
      <c r="B6" s="89" t="s">
        <v>124</v>
      </c>
      <c r="C6" s="77" t="str">
        <f t="shared" si="1"/>
        <v>3L</v>
      </c>
      <c r="D6" s="76" t="str">
        <f t="shared" si="2"/>
        <v>6L</v>
      </c>
      <c r="E6" s="75" t="str">
        <f t="shared" si="0"/>
        <v>GBP3L6L18M_Quote</v>
      </c>
      <c r="F6" s="75" t="str">
        <f>_xll.qlSimpleQuote(E6,,RateTickValue,Permanent,Trigger,ObjectOverwrite)</f>
        <v>GBP3L6L18M_Quote#0001</v>
      </c>
      <c r="G6" s="74" t="str">
        <f>_xll.ohRangeRetrieveError(F6)</f>
        <v/>
      </c>
      <c r="H6" s="73"/>
    </row>
    <row r="7" spans="1:12" ht="13.5" thickBot="1" x14ac:dyDescent="0.25">
      <c r="A7" s="79"/>
      <c r="B7" s="89" t="s">
        <v>123</v>
      </c>
      <c r="C7" s="77" t="str">
        <f t="shared" si="1"/>
        <v>3L</v>
      </c>
      <c r="D7" s="76" t="str">
        <f t="shared" si="2"/>
        <v>6L</v>
      </c>
      <c r="E7" s="75" t="str">
        <f t="shared" si="0"/>
        <v>GBP3L6L21M_Quote</v>
      </c>
      <c r="F7" s="75" t="str">
        <f>_xll.qlSimpleQuote(E7,,RateTickValue,Permanent,Trigger,ObjectOverwrite)</f>
        <v>GBP3L6L21M_Quote#0001</v>
      </c>
      <c r="G7" s="74" t="str">
        <f>_xll.ohRangeRetrieveError(F7)</f>
        <v/>
      </c>
      <c r="H7" s="73"/>
    </row>
    <row r="8" spans="1:12" x14ac:dyDescent="0.2">
      <c r="A8" s="79"/>
      <c r="B8" s="78" t="s">
        <v>85</v>
      </c>
      <c r="C8" s="77" t="str">
        <f t="shared" si="1"/>
        <v>3L</v>
      </c>
      <c r="D8" s="76" t="str">
        <f t="shared" si="2"/>
        <v>6L</v>
      </c>
      <c r="E8" s="75" t="str">
        <f t="shared" si="0"/>
        <v>GBP3L6L2Y_Quote</v>
      </c>
      <c r="F8" s="75" t="str">
        <f>_xll.qlSimpleQuote(E8,,RateTickValue,Permanent,Trigger,ObjectOverwrite)</f>
        <v>GBP3L6L2Y_Quote#0001</v>
      </c>
      <c r="G8" s="74" t="str">
        <f>_xll.ohRangeRetrieveError(F8)</f>
        <v/>
      </c>
      <c r="H8" s="73"/>
      <c r="J8" s="88" t="s">
        <v>122</v>
      </c>
      <c r="K8" s="87" t="s">
        <v>115</v>
      </c>
      <c r="L8" s="86" t="s">
        <v>117</v>
      </c>
    </row>
    <row r="9" spans="1:12" x14ac:dyDescent="0.2">
      <c r="A9" s="79"/>
      <c r="B9" s="78" t="s">
        <v>84</v>
      </c>
      <c r="C9" s="77" t="str">
        <f t="shared" si="1"/>
        <v>3L</v>
      </c>
      <c r="D9" s="76" t="str">
        <f t="shared" si="2"/>
        <v>6L</v>
      </c>
      <c r="E9" s="75" t="str">
        <f t="shared" si="0"/>
        <v>GBP3L6L3Y_Quote</v>
      </c>
      <c r="F9" s="75" t="str">
        <f>_xll.qlSimpleQuote(E9,,RateTickValue,Permanent,Trigger,ObjectOverwrite)</f>
        <v>GBP3L6L3Y_Quote#0001</v>
      </c>
      <c r="G9" s="74" t="str">
        <f>_xll.ohRangeRetrieveError(F9)</f>
        <v/>
      </c>
      <c r="H9" s="73"/>
      <c r="J9" s="85" t="s">
        <v>121</v>
      </c>
      <c r="K9" s="84" t="s">
        <v>127</v>
      </c>
      <c r="L9" s="83" t="s">
        <v>119</v>
      </c>
    </row>
    <row r="10" spans="1:12" x14ac:dyDescent="0.2">
      <c r="A10" s="79"/>
      <c r="B10" s="78" t="s">
        <v>83</v>
      </c>
      <c r="C10" s="77" t="str">
        <f t="shared" si="1"/>
        <v>3L</v>
      </c>
      <c r="D10" s="76" t="str">
        <f t="shared" si="2"/>
        <v>6L</v>
      </c>
      <c r="E10" s="75" t="str">
        <f t="shared" si="0"/>
        <v>GBP3L6L4Y_Quote</v>
      </c>
      <c r="F10" s="75" t="str">
        <f>_xll.qlSimpleQuote(E10,,RateTickValue,Permanent,Trigger,ObjectOverwrite)</f>
        <v>GBP3L6L4Y_Quote#0001</v>
      </c>
      <c r="G10" s="74" t="str">
        <f>_xll.ohRangeRetrieveError(F10)</f>
        <v/>
      </c>
      <c r="H10" s="73"/>
      <c r="J10" s="85" t="s">
        <v>96</v>
      </c>
      <c r="K10" s="84" t="s">
        <v>115</v>
      </c>
      <c r="L10" s="83" t="s">
        <v>117</v>
      </c>
    </row>
    <row r="11" spans="1:12" x14ac:dyDescent="0.2">
      <c r="A11" s="79"/>
      <c r="B11" s="78" t="s">
        <v>82</v>
      </c>
      <c r="C11" s="77" t="str">
        <f t="shared" si="1"/>
        <v>3L</v>
      </c>
      <c r="D11" s="76" t="str">
        <f t="shared" si="2"/>
        <v>6L</v>
      </c>
      <c r="E11" s="75" t="str">
        <f t="shared" si="0"/>
        <v>GBP3L6L5Y_Quote</v>
      </c>
      <c r="F11" s="75" t="str">
        <f>_xll.qlSimpleQuote(E11,,RateTickValue,Permanent,Trigger,ObjectOverwrite)</f>
        <v>GBP3L6L5Y_Quote#0001</v>
      </c>
      <c r="G11" s="74" t="str">
        <f>_xll.ohRangeRetrieveError(F11)</f>
        <v/>
      </c>
      <c r="H11" s="73"/>
      <c r="J11" s="85" t="s">
        <v>118</v>
      </c>
      <c r="K11" s="84" t="s">
        <v>115</v>
      </c>
      <c r="L11" s="83" t="s">
        <v>117</v>
      </c>
    </row>
    <row r="12" spans="1:12" ht="13.5" thickBot="1" x14ac:dyDescent="0.25">
      <c r="A12" s="79"/>
      <c r="B12" s="78" t="s">
        <v>81</v>
      </c>
      <c r="C12" s="77" t="str">
        <f t="shared" si="1"/>
        <v>3L</v>
      </c>
      <c r="D12" s="76" t="str">
        <f t="shared" si="2"/>
        <v>6L</v>
      </c>
      <c r="E12" s="75" t="str">
        <f t="shared" si="0"/>
        <v>GBP3L6L6Y_Quote</v>
      </c>
      <c r="F12" s="75" t="str">
        <f>_xll.qlSimpleQuote(E12,,RateTickValue,Permanent,Trigger,ObjectOverwrite)</f>
        <v>GBP3L6L6Y_Quote#0001</v>
      </c>
      <c r="G12" s="74" t="str">
        <f>_xll.ohRangeRetrieveError(F12)</f>
        <v/>
      </c>
      <c r="H12" s="73"/>
      <c r="J12" s="82" t="s">
        <v>116</v>
      </c>
      <c r="K12" s="81" t="s">
        <v>117</v>
      </c>
      <c r="L12" s="80" t="s">
        <v>115</v>
      </c>
    </row>
    <row r="13" spans="1:12" x14ac:dyDescent="0.2">
      <c r="A13" s="79"/>
      <c r="B13" s="78" t="s">
        <v>80</v>
      </c>
      <c r="C13" s="77" t="str">
        <f t="shared" si="1"/>
        <v>3L</v>
      </c>
      <c r="D13" s="76" t="str">
        <f t="shared" si="2"/>
        <v>6L</v>
      </c>
      <c r="E13" s="75" t="str">
        <f t="shared" si="0"/>
        <v>GBP3L6L7Y_Quote</v>
      </c>
      <c r="F13" s="75" t="str">
        <f>_xll.qlSimpleQuote(E13,,RateTickValue,Permanent,Trigger,ObjectOverwrite)</f>
        <v>GBP3L6L7Y_Quote#0001</v>
      </c>
      <c r="G13" s="74" t="str">
        <f>_xll.ohRangeRetrieveError(F13)</f>
        <v/>
      </c>
      <c r="H13" s="73"/>
    </row>
    <row r="14" spans="1:12" x14ac:dyDescent="0.2">
      <c r="A14" s="79"/>
      <c r="B14" s="78" t="s">
        <v>79</v>
      </c>
      <c r="C14" s="77" t="str">
        <f t="shared" si="1"/>
        <v>3L</v>
      </c>
      <c r="D14" s="76" t="str">
        <f t="shared" si="2"/>
        <v>6L</v>
      </c>
      <c r="E14" s="75" t="str">
        <f t="shared" si="0"/>
        <v>GBP3L6L8Y_Quote</v>
      </c>
      <c r="F14" s="75" t="str">
        <f>_xll.qlSimpleQuote(E14,,RateTickValue,Permanent,Trigger,ObjectOverwrite)</f>
        <v>GBP3L6L8Y_Quote#0001</v>
      </c>
      <c r="G14" s="74" t="str">
        <f>_xll.ohRangeRetrieveError(F14)</f>
        <v/>
      </c>
      <c r="H14" s="73"/>
    </row>
    <row r="15" spans="1:12" x14ac:dyDescent="0.2">
      <c r="A15" s="79"/>
      <c r="B15" s="78" t="s">
        <v>78</v>
      </c>
      <c r="C15" s="77" t="str">
        <f t="shared" si="1"/>
        <v>3L</v>
      </c>
      <c r="D15" s="76" t="str">
        <f t="shared" si="2"/>
        <v>6L</v>
      </c>
      <c r="E15" s="75" t="str">
        <f t="shared" si="0"/>
        <v>GBP3L6L9Y_Quote</v>
      </c>
      <c r="F15" s="75" t="str">
        <f>_xll.qlSimpleQuote(E15,,RateTickValue,Permanent,Trigger,ObjectOverwrite)</f>
        <v>GBP3L6L9Y_Quote#0001</v>
      </c>
      <c r="G15" s="74" t="str">
        <f>_xll.ohRangeRetrieveError(F15)</f>
        <v/>
      </c>
      <c r="H15" s="73"/>
    </row>
    <row r="16" spans="1:12" x14ac:dyDescent="0.2">
      <c r="A16" s="79"/>
      <c r="B16" s="78" t="s">
        <v>77</v>
      </c>
      <c r="C16" s="77" t="str">
        <f t="shared" si="1"/>
        <v>3L</v>
      </c>
      <c r="D16" s="76" t="str">
        <f t="shared" si="2"/>
        <v>6L</v>
      </c>
      <c r="E16" s="75" t="str">
        <f t="shared" si="0"/>
        <v>GBP3L6L10Y_Quote</v>
      </c>
      <c r="F16" s="75" t="str">
        <f>_xll.qlSimpleQuote(E16,,RateTickValue,Permanent,Trigger,ObjectOverwrite)</f>
        <v>GBP3L6L10Y_Quote#0001</v>
      </c>
      <c r="G16" s="74" t="str">
        <f>_xll.ohRangeRetrieveError(F16)</f>
        <v/>
      </c>
      <c r="H16" s="73"/>
    </row>
    <row r="17" spans="1:8" x14ac:dyDescent="0.2">
      <c r="A17" s="79"/>
      <c r="B17" s="78" t="s">
        <v>76</v>
      </c>
      <c r="C17" s="77" t="str">
        <f t="shared" si="1"/>
        <v>3L</v>
      </c>
      <c r="D17" s="76" t="str">
        <f t="shared" si="2"/>
        <v>6L</v>
      </c>
      <c r="E17" s="75" t="str">
        <f t="shared" si="0"/>
        <v>GBP3L6L11Y_Quote</v>
      </c>
      <c r="F17" s="75" t="str">
        <f>_xll.qlSimpleQuote(E17,,RateTickValue,Permanent,Trigger,ObjectOverwrite)</f>
        <v>GBP3L6L11Y_Quote#0001</v>
      </c>
      <c r="G17" s="74" t="str">
        <f>_xll.ohRangeRetrieveError(F17)</f>
        <v/>
      </c>
      <c r="H17" s="73"/>
    </row>
    <row r="18" spans="1:8" x14ac:dyDescent="0.2">
      <c r="A18" s="79"/>
      <c r="B18" s="78" t="s">
        <v>75</v>
      </c>
      <c r="C18" s="77" t="str">
        <f t="shared" si="1"/>
        <v>3L</v>
      </c>
      <c r="D18" s="76" t="str">
        <f t="shared" si="2"/>
        <v>6L</v>
      </c>
      <c r="E18" s="75" t="str">
        <f t="shared" si="0"/>
        <v>GBP3L6L12Y_Quote</v>
      </c>
      <c r="F18" s="75" t="str">
        <f>_xll.qlSimpleQuote(E18,,RateTickValue,Permanent,Trigger,ObjectOverwrite)</f>
        <v>GBP3L6L12Y_Quote#0001</v>
      </c>
      <c r="G18" s="74" t="str">
        <f>_xll.ohRangeRetrieveError(F18)</f>
        <v/>
      </c>
      <c r="H18" s="73"/>
    </row>
    <row r="19" spans="1:8" x14ac:dyDescent="0.2">
      <c r="A19" s="79"/>
      <c r="B19" s="78" t="s">
        <v>74</v>
      </c>
      <c r="C19" s="77" t="str">
        <f t="shared" si="1"/>
        <v>3L</v>
      </c>
      <c r="D19" s="76" t="str">
        <f t="shared" si="2"/>
        <v>6L</v>
      </c>
      <c r="E19" s="75" t="str">
        <f t="shared" si="0"/>
        <v>GBP3L6L13Y_Quote</v>
      </c>
      <c r="F19" s="75" t="str">
        <f>_xll.qlSimpleQuote(E19,,RateTickValue,Permanent,Trigger,ObjectOverwrite)</f>
        <v>GBP3L6L13Y_Quote#0001</v>
      </c>
      <c r="G19" s="74" t="str">
        <f>_xll.ohRangeRetrieveError(F19)</f>
        <v/>
      </c>
      <c r="H19" s="73"/>
    </row>
    <row r="20" spans="1:8" x14ac:dyDescent="0.2">
      <c r="A20" s="79"/>
      <c r="B20" s="78" t="s">
        <v>73</v>
      </c>
      <c r="C20" s="77" t="str">
        <f t="shared" si="1"/>
        <v>3L</v>
      </c>
      <c r="D20" s="76" t="str">
        <f t="shared" si="2"/>
        <v>6L</v>
      </c>
      <c r="E20" s="75" t="str">
        <f t="shared" si="0"/>
        <v>GBP3L6L14Y_Quote</v>
      </c>
      <c r="F20" s="75" t="str">
        <f>_xll.qlSimpleQuote(E20,,RateTickValue,Permanent,Trigger,ObjectOverwrite)</f>
        <v>GBP3L6L14Y_Quote#0001</v>
      </c>
      <c r="G20" s="74" t="str">
        <f>_xll.ohRangeRetrieveError(F20)</f>
        <v/>
      </c>
      <c r="H20" s="73"/>
    </row>
    <row r="21" spans="1:8" x14ac:dyDescent="0.2">
      <c r="A21" s="79"/>
      <c r="B21" s="78" t="s">
        <v>72</v>
      </c>
      <c r="C21" s="77" t="str">
        <f t="shared" si="1"/>
        <v>3L</v>
      </c>
      <c r="D21" s="76" t="str">
        <f t="shared" si="2"/>
        <v>6L</v>
      </c>
      <c r="E21" s="75" t="str">
        <f t="shared" si="0"/>
        <v>GBP3L6L15Y_Quote</v>
      </c>
      <c r="F21" s="75" t="str">
        <f>_xll.qlSimpleQuote(E21,,RateTickValue,Permanent,Trigger,ObjectOverwrite)</f>
        <v>GBP3L6L15Y_Quote#0001</v>
      </c>
      <c r="G21" s="74" t="str">
        <f>_xll.ohRangeRetrieveError(F21)</f>
        <v/>
      </c>
      <c r="H21" s="73"/>
    </row>
    <row r="22" spans="1:8" x14ac:dyDescent="0.2">
      <c r="A22" s="79"/>
      <c r="B22" s="78" t="s">
        <v>71</v>
      </c>
      <c r="C22" s="77" t="str">
        <f t="shared" si="1"/>
        <v>3L</v>
      </c>
      <c r="D22" s="76" t="str">
        <f t="shared" si="2"/>
        <v>6L</v>
      </c>
      <c r="E22" s="75" t="str">
        <f t="shared" si="0"/>
        <v>GBP3L6L16Y_Quote</v>
      </c>
      <c r="F22" s="75" t="str">
        <f>_xll.qlSimpleQuote(E22,,RateTickValue,Permanent,Trigger,ObjectOverwrite)</f>
        <v>GBP3L6L16Y_Quote#0001</v>
      </c>
      <c r="G22" s="74" t="str">
        <f>_xll.ohRangeRetrieveError(F22)</f>
        <v/>
      </c>
      <c r="H22" s="73"/>
    </row>
    <row r="23" spans="1:8" x14ac:dyDescent="0.2">
      <c r="A23" s="79"/>
      <c r="B23" s="78" t="s">
        <v>70</v>
      </c>
      <c r="C23" s="77" t="str">
        <f t="shared" si="1"/>
        <v>3L</v>
      </c>
      <c r="D23" s="76" t="str">
        <f t="shared" si="2"/>
        <v>6L</v>
      </c>
      <c r="E23" s="75" t="str">
        <f t="shared" si="0"/>
        <v>GBP3L6L17Y_Quote</v>
      </c>
      <c r="F23" s="75" t="str">
        <f>_xll.qlSimpleQuote(E23,,RateTickValue,Permanent,Trigger,ObjectOverwrite)</f>
        <v>GBP3L6L17Y_Quote#0001</v>
      </c>
      <c r="G23" s="74" t="str">
        <f>_xll.ohRangeRetrieveError(F23)</f>
        <v/>
      </c>
      <c r="H23" s="73"/>
    </row>
    <row r="24" spans="1:8" x14ac:dyDescent="0.2">
      <c r="A24" s="79"/>
      <c r="B24" s="78" t="s">
        <v>69</v>
      </c>
      <c r="C24" s="77" t="str">
        <f t="shared" si="1"/>
        <v>3L</v>
      </c>
      <c r="D24" s="76" t="str">
        <f t="shared" si="2"/>
        <v>6L</v>
      </c>
      <c r="E24" s="75" t="str">
        <f t="shared" si="0"/>
        <v>GBP3L6L18Y_Quote</v>
      </c>
      <c r="F24" s="75" t="str">
        <f>_xll.qlSimpleQuote(E24,,RateTickValue,Permanent,Trigger,ObjectOverwrite)</f>
        <v>GBP3L6L18Y_Quote#0001</v>
      </c>
      <c r="G24" s="74" t="str">
        <f>_xll.ohRangeRetrieveError(F24)</f>
        <v/>
      </c>
      <c r="H24" s="73"/>
    </row>
    <row r="25" spans="1:8" x14ac:dyDescent="0.2">
      <c r="A25" s="79"/>
      <c r="B25" s="78" t="s">
        <v>68</v>
      </c>
      <c r="C25" s="77" t="str">
        <f t="shared" si="1"/>
        <v>3L</v>
      </c>
      <c r="D25" s="76" t="str">
        <f t="shared" si="2"/>
        <v>6L</v>
      </c>
      <c r="E25" s="75" t="str">
        <f t="shared" si="0"/>
        <v>GBP3L6L19Y_Quote</v>
      </c>
      <c r="F25" s="75" t="str">
        <f>_xll.qlSimpleQuote(E25,,RateTickValue,Permanent,Trigger,ObjectOverwrite)</f>
        <v>GBP3L6L19Y_Quote#0001</v>
      </c>
      <c r="G25" s="74" t="str">
        <f>_xll.ohRangeRetrieveError(F25)</f>
        <v/>
      </c>
      <c r="H25" s="73"/>
    </row>
    <row r="26" spans="1:8" x14ac:dyDescent="0.2">
      <c r="A26" s="79"/>
      <c r="B26" s="78" t="s">
        <v>67</v>
      </c>
      <c r="C26" s="77" t="str">
        <f t="shared" si="1"/>
        <v>3L</v>
      </c>
      <c r="D26" s="76" t="str">
        <f t="shared" si="2"/>
        <v>6L</v>
      </c>
      <c r="E26" s="75" t="str">
        <f t="shared" si="0"/>
        <v>GBP3L6L20Y_Quote</v>
      </c>
      <c r="F26" s="75" t="str">
        <f>_xll.qlSimpleQuote(E26,,RateTickValue,Permanent,Trigger,ObjectOverwrite)</f>
        <v>GBP3L6L20Y_Quote#0001</v>
      </c>
      <c r="G26" s="74" t="str">
        <f>_xll.ohRangeRetrieveError(F26)</f>
        <v/>
      </c>
      <c r="H26" s="73"/>
    </row>
    <row r="27" spans="1:8" x14ac:dyDescent="0.2">
      <c r="A27" s="79"/>
      <c r="B27" s="78" t="s">
        <v>66</v>
      </c>
      <c r="C27" s="77" t="str">
        <f t="shared" si="1"/>
        <v>3L</v>
      </c>
      <c r="D27" s="76" t="str">
        <f t="shared" si="2"/>
        <v>6L</v>
      </c>
      <c r="E27" s="75" t="str">
        <f t="shared" si="0"/>
        <v>GBP3L6L21Y_Quote</v>
      </c>
      <c r="F27" s="75" t="str">
        <f>_xll.qlSimpleQuote(E27,,RateTickValue,Permanent,Trigger,ObjectOverwrite)</f>
        <v>GBP3L6L21Y_Quote#0001</v>
      </c>
      <c r="G27" s="74" t="str">
        <f>_xll.ohRangeRetrieveError(F27)</f>
        <v/>
      </c>
      <c r="H27" s="73"/>
    </row>
    <row r="28" spans="1:8" x14ac:dyDescent="0.2">
      <c r="A28" s="79"/>
      <c r="B28" s="78" t="s">
        <v>65</v>
      </c>
      <c r="C28" s="77" t="str">
        <f t="shared" si="1"/>
        <v>3L</v>
      </c>
      <c r="D28" s="76" t="str">
        <f t="shared" si="2"/>
        <v>6L</v>
      </c>
      <c r="E28" s="75" t="str">
        <f t="shared" si="0"/>
        <v>GBP3L6L22Y_Quote</v>
      </c>
      <c r="F28" s="75" t="str">
        <f>_xll.qlSimpleQuote(E28,,RateTickValue,Permanent,Trigger,ObjectOverwrite)</f>
        <v>GBP3L6L22Y_Quote#0001</v>
      </c>
      <c r="G28" s="74" t="str">
        <f>_xll.ohRangeRetrieveError(F28)</f>
        <v/>
      </c>
      <c r="H28" s="73"/>
    </row>
    <row r="29" spans="1:8" x14ac:dyDescent="0.2">
      <c r="A29" s="79"/>
      <c r="B29" s="78" t="s">
        <v>64</v>
      </c>
      <c r="C29" s="77" t="str">
        <f t="shared" si="1"/>
        <v>3L</v>
      </c>
      <c r="D29" s="76" t="str">
        <f t="shared" si="2"/>
        <v>6L</v>
      </c>
      <c r="E29" s="75" t="str">
        <f t="shared" si="0"/>
        <v>GBP3L6L23Y_Quote</v>
      </c>
      <c r="F29" s="75" t="str">
        <f>_xll.qlSimpleQuote(E29,,RateTickValue,Permanent,Trigger,ObjectOverwrite)</f>
        <v>GBP3L6L23Y_Quote#0001</v>
      </c>
      <c r="G29" s="74" t="str">
        <f>_xll.ohRangeRetrieveError(F29)</f>
        <v/>
      </c>
      <c r="H29" s="73"/>
    </row>
    <row r="30" spans="1:8" x14ac:dyDescent="0.2">
      <c r="A30" s="79"/>
      <c r="B30" s="78" t="s">
        <v>63</v>
      </c>
      <c r="C30" s="77" t="str">
        <f t="shared" si="1"/>
        <v>3L</v>
      </c>
      <c r="D30" s="76" t="str">
        <f t="shared" si="2"/>
        <v>6L</v>
      </c>
      <c r="E30" s="75" t="str">
        <f t="shared" si="0"/>
        <v>GBP3L6L24Y_Quote</v>
      </c>
      <c r="F30" s="75" t="str">
        <f>_xll.qlSimpleQuote(E30,,RateTickValue,Permanent,Trigger,ObjectOverwrite)</f>
        <v>GBP3L6L24Y_Quote#0001</v>
      </c>
      <c r="G30" s="74" t="str">
        <f>_xll.ohRangeRetrieveError(F30)</f>
        <v/>
      </c>
      <c r="H30" s="73"/>
    </row>
    <row r="31" spans="1:8" x14ac:dyDescent="0.2">
      <c r="A31" s="79"/>
      <c r="B31" s="78" t="s">
        <v>62</v>
      </c>
      <c r="C31" s="77" t="str">
        <f t="shared" si="1"/>
        <v>3L</v>
      </c>
      <c r="D31" s="76" t="str">
        <f t="shared" si="2"/>
        <v>6L</v>
      </c>
      <c r="E31" s="75" t="str">
        <f t="shared" si="0"/>
        <v>GBP3L6L25Y_Quote</v>
      </c>
      <c r="F31" s="75" t="str">
        <f>_xll.qlSimpleQuote(E31,,RateTickValue,Permanent,Trigger,ObjectOverwrite)</f>
        <v>GBP3L6L25Y_Quote#0001</v>
      </c>
      <c r="G31" s="74" t="str">
        <f>_xll.ohRangeRetrieveError(F31)</f>
        <v/>
      </c>
      <c r="H31" s="73"/>
    </row>
    <row r="32" spans="1:8" x14ac:dyDescent="0.2">
      <c r="A32" s="79"/>
      <c r="B32" s="78" t="s">
        <v>61</v>
      </c>
      <c r="C32" s="77" t="str">
        <f t="shared" si="1"/>
        <v>3L</v>
      </c>
      <c r="D32" s="76" t="str">
        <f t="shared" si="2"/>
        <v>6L</v>
      </c>
      <c r="E32" s="75" t="str">
        <f t="shared" si="0"/>
        <v>GBP3L6L26Y_Quote</v>
      </c>
      <c r="F32" s="75" t="str">
        <f>_xll.qlSimpleQuote(E32,,RateTickValue,Permanent,Trigger,ObjectOverwrite)</f>
        <v>GBP3L6L26Y_Quote#0001</v>
      </c>
      <c r="G32" s="74" t="str">
        <f>_xll.ohRangeRetrieveError(F32)</f>
        <v/>
      </c>
      <c r="H32" s="73"/>
    </row>
    <row r="33" spans="1:8" x14ac:dyDescent="0.2">
      <c r="A33" s="79"/>
      <c r="B33" s="78" t="s">
        <v>60</v>
      </c>
      <c r="C33" s="77" t="str">
        <f t="shared" si="1"/>
        <v>3L</v>
      </c>
      <c r="D33" s="76" t="str">
        <f t="shared" si="2"/>
        <v>6L</v>
      </c>
      <c r="E33" s="75" t="str">
        <f t="shared" si="0"/>
        <v>GBP3L6L27Y_Quote</v>
      </c>
      <c r="F33" s="75" t="str">
        <f>_xll.qlSimpleQuote(E33,,RateTickValue,Permanent,Trigger,ObjectOverwrite)</f>
        <v>GBP3L6L27Y_Quote#0001</v>
      </c>
      <c r="G33" s="74" t="str">
        <f>_xll.ohRangeRetrieveError(F33)</f>
        <v/>
      </c>
      <c r="H33" s="73"/>
    </row>
    <row r="34" spans="1:8" x14ac:dyDescent="0.2">
      <c r="A34" s="79"/>
      <c r="B34" s="78" t="s">
        <v>59</v>
      </c>
      <c r="C34" s="77" t="str">
        <f t="shared" si="1"/>
        <v>3L</v>
      </c>
      <c r="D34" s="76" t="str">
        <f t="shared" si="2"/>
        <v>6L</v>
      </c>
      <c r="E34" s="75" t="str">
        <f t="shared" si="0"/>
        <v>GBP3L6L28Y_Quote</v>
      </c>
      <c r="F34" s="75" t="str">
        <f>_xll.qlSimpleQuote(E34,,RateTickValue,Permanent,Trigger,ObjectOverwrite)</f>
        <v>GBP3L6L28Y_Quote#0001</v>
      </c>
      <c r="G34" s="74" t="str">
        <f>_xll.ohRangeRetrieveError(F34)</f>
        <v/>
      </c>
      <c r="H34" s="73"/>
    </row>
    <row r="35" spans="1:8" x14ac:dyDescent="0.2">
      <c r="A35" s="79"/>
      <c r="B35" s="78" t="s">
        <v>58</v>
      </c>
      <c r="C35" s="77" t="str">
        <f t="shared" si="1"/>
        <v>3L</v>
      </c>
      <c r="D35" s="76" t="str">
        <f t="shared" si="2"/>
        <v>6L</v>
      </c>
      <c r="E35" s="75" t="str">
        <f t="shared" si="0"/>
        <v>GBP3L6L29Y_Quote</v>
      </c>
      <c r="F35" s="75" t="str">
        <f>_xll.qlSimpleQuote(E35,,RateTickValue,Permanent,Trigger,ObjectOverwrite)</f>
        <v>GBP3L6L29Y_Quote#0001</v>
      </c>
      <c r="G35" s="74" t="str">
        <f>_xll.ohRangeRetrieveError(F35)</f>
        <v/>
      </c>
      <c r="H35" s="73"/>
    </row>
    <row r="36" spans="1:8" x14ac:dyDescent="0.2">
      <c r="A36" s="79"/>
      <c r="B36" s="78" t="s">
        <v>57</v>
      </c>
      <c r="C36" s="77" t="str">
        <f t="shared" si="1"/>
        <v>3L</v>
      </c>
      <c r="D36" s="76" t="str">
        <f t="shared" si="2"/>
        <v>6L</v>
      </c>
      <c r="E36" s="75" t="str">
        <f t="shared" si="0"/>
        <v>GBP3L6L30Y_Quote</v>
      </c>
      <c r="F36" s="75" t="str">
        <f>_xll.qlSimpleQuote(E36,,RateTickValue,Permanent,Trigger,ObjectOverwrite)</f>
        <v>GBP3L6L30Y_Quote#0001</v>
      </c>
      <c r="G36" s="74" t="str">
        <f>_xll.ohRangeRetrieveError(F36)</f>
        <v/>
      </c>
      <c r="H36" s="73"/>
    </row>
    <row r="37" spans="1:8" x14ac:dyDescent="0.2">
      <c r="A37" s="79"/>
      <c r="B37" s="78" t="s">
        <v>52</v>
      </c>
      <c r="C37" s="77" t="str">
        <f t="shared" si="1"/>
        <v>3L</v>
      </c>
      <c r="D37" s="76" t="str">
        <f t="shared" si="2"/>
        <v>6L</v>
      </c>
      <c r="E37" s="75" t="str">
        <f t="shared" si="0"/>
        <v>GBP3L6L35Y_Quote</v>
      </c>
      <c r="F37" s="75" t="str">
        <f>_xll.qlSimpleQuote(E37,,RateTickValue,Permanent,Trigger,ObjectOverwrite)</f>
        <v>GBP3L6L35Y_Quote#0001</v>
      </c>
      <c r="G37" s="74" t="str">
        <f>_xll.ohRangeRetrieveError(F37)</f>
        <v/>
      </c>
      <c r="H37" s="73"/>
    </row>
    <row r="38" spans="1:8" x14ac:dyDescent="0.2">
      <c r="A38" s="79"/>
      <c r="B38" s="78" t="s">
        <v>47</v>
      </c>
      <c r="C38" s="77" t="str">
        <f t="shared" si="1"/>
        <v>3L</v>
      </c>
      <c r="D38" s="76" t="str">
        <f t="shared" si="2"/>
        <v>6L</v>
      </c>
      <c r="E38" s="75" t="str">
        <f t="shared" si="0"/>
        <v>GBP3L6L40Y_Quote</v>
      </c>
      <c r="F38" s="75" t="str">
        <f>_xll.qlSimpleQuote(E38,,RateTickValue,Permanent,Trigger,ObjectOverwrite)</f>
        <v>GBP3L6L40Y_Quote#0001</v>
      </c>
      <c r="G38" s="74" t="str">
        <f>_xll.ohRangeRetrieveError(F38)</f>
        <v/>
      </c>
      <c r="H38" s="73"/>
    </row>
    <row r="39" spans="1:8" x14ac:dyDescent="0.2">
      <c r="A39" s="79"/>
      <c r="B39" s="78" t="s">
        <v>37</v>
      </c>
      <c r="C39" s="77" t="str">
        <f t="shared" si="1"/>
        <v>3L</v>
      </c>
      <c r="D39" s="76" t="str">
        <f t="shared" si="2"/>
        <v>6L</v>
      </c>
      <c r="E39" s="75" t="str">
        <f t="shared" si="0"/>
        <v>GBP3L6L50Y_Quote</v>
      </c>
      <c r="F39" s="75" t="str">
        <f>_xll.qlSimpleQuote(E39,,RateTickValue,Permanent,Trigger,ObjectOverwrite)</f>
        <v>GBP3L6L50Y_Quote#0001</v>
      </c>
      <c r="G39" s="74" t="str">
        <f>_xll.ohRangeRetrieveError(F39)</f>
        <v/>
      </c>
      <c r="H39" s="73"/>
    </row>
    <row r="40" spans="1:8" x14ac:dyDescent="0.2">
      <c r="A40" s="79"/>
      <c r="B40" s="78" t="s">
        <v>27</v>
      </c>
      <c r="C40" s="77" t="str">
        <f t="shared" si="1"/>
        <v>3L</v>
      </c>
      <c r="D40" s="76" t="str">
        <f t="shared" si="2"/>
        <v>6L</v>
      </c>
      <c r="E40" s="75" t="str">
        <f t="shared" si="0"/>
        <v>GBP3L6L60Y_Quote</v>
      </c>
      <c r="F40" s="75" t="str">
        <f>_xll.qlSimpleQuote(E40,,RateTickValue,Permanent,Trigger,ObjectOverwrite)</f>
        <v>GBP3L6L60Y_Quote#0001</v>
      </c>
      <c r="G40" s="74" t="str">
        <f>_xll.ohRangeRetrieveError(F40)</f>
        <v/>
      </c>
      <c r="H40" s="73"/>
    </row>
    <row r="41" spans="1:8" x14ac:dyDescent="0.2">
      <c r="A41" s="72"/>
      <c r="B41" s="71"/>
      <c r="C41" s="71"/>
      <c r="D41" s="71"/>
      <c r="E41" s="71"/>
      <c r="F41" s="70"/>
      <c r="G41" s="70"/>
      <c r="H41" s="69"/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1"/>
  <sheetViews>
    <sheetView workbookViewId="0"/>
  </sheetViews>
  <sheetFormatPr defaultRowHeight="12.75" x14ac:dyDescent="0.2"/>
  <cols>
    <col min="1" max="1" width="4.140625" style="65" customWidth="1"/>
    <col min="2" max="2" width="6.5703125" style="65" bestFit="1" customWidth="1"/>
    <col min="3" max="3" width="2.7109375" style="65" bestFit="1" customWidth="1"/>
    <col min="4" max="4" width="3.5703125" style="65" bestFit="1" customWidth="1"/>
    <col min="5" max="5" width="18.7109375" style="65" bestFit="1" customWidth="1"/>
    <col min="6" max="6" width="20.5703125" style="65" bestFit="1" customWidth="1"/>
    <col min="7" max="7" width="34.42578125" style="65" customWidth="1"/>
    <col min="8" max="8" width="3.7109375" style="65" customWidth="1"/>
    <col min="9" max="9" width="3.140625" style="65" customWidth="1"/>
    <col min="10" max="10" width="4" style="65" bestFit="1" customWidth="1"/>
    <col min="11" max="11" width="3.5703125" style="65" customWidth="1"/>
    <col min="12" max="12" width="3.5703125" style="65" bestFit="1" customWidth="1"/>
    <col min="13" max="16384" width="9.140625" style="65"/>
  </cols>
  <sheetData>
    <row r="1" spans="1:12" x14ac:dyDescent="0.2">
      <c r="A1" s="98"/>
      <c r="B1" s="97"/>
      <c r="C1" s="97"/>
      <c r="D1" s="97"/>
      <c r="E1" s="99"/>
      <c r="F1" s="100"/>
      <c r="G1" s="99"/>
      <c r="H1" s="94"/>
    </row>
    <row r="2" spans="1:12" x14ac:dyDescent="0.2">
      <c r="A2" s="79"/>
      <c r="B2" s="92" t="s">
        <v>126</v>
      </c>
      <c r="C2" s="93"/>
      <c r="D2" s="92"/>
      <c r="E2" s="91" t="str">
        <f>Currency&amp;"_010_Sw"&amp;$C$7&amp;$D$7&amp;".xml"</f>
        <v>GBP_010_Sw6L12L.xml</v>
      </c>
      <c r="F2" s="90">
        <f ca="1">IF(Serialize,_xll.ohObjectSave(F3:F40,SerializationPath&amp;E2,FileOverwrite,Serialize),"---")</f>
        <v>38</v>
      </c>
      <c r="G2" s="74" t="str">
        <f ca="1">_xll.ohRangeRetrieveError(F2)</f>
        <v/>
      </c>
      <c r="H2" s="73"/>
    </row>
    <row r="3" spans="1:12" x14ac:dyDescent="0.2">
      <c r="A3" s="79"/>
      <c r="B3" s="89" t="s">
        <v>8</v>
      </c>
      <c r="C3" s="77" t="str">
        <f>VLOOKUP(Currency,$J$8:$L$12,2)</f>
        <v>6L</v>
      </c>
      <c r="D3" s="76" t="str">
        <f>VLOOKUP(Currency,$J$8:$L$12,3)</f>
        <v>12L</v>
      </c>
      <c r="E3" s="75" t="str">
        <f t="shared" ref="E3:E40" si="0">IF(ISBLANK(C3),"#",Currency&amp;$C3&amp;$D3&amp;$B3&amp;QuoteSuffix)</f>
        <v>GBP6L12L6M_Quote</v>
      </c>
      <c r="F3" s="75" t="str">
        <f>_xll.qlSimpleQuote(E3,,RateTickValue,Permanent,Trigger,ObjectOverwrite)</f>
        <v>GBP6L12L6M_Quote#0001</v>
      </c>
      <c r="G3" s="74" t="str">
        <f>_xll.ohRangeRetrieveError(F3)</f>
        <v/>
      </c>
      <c r="H3" s="73"/>
    </row>
    <row r="4" spans="1:12" x14ac:dyDescent="0.2">
      <c r="A4" s="79"/>
      <c r="B4" s="89" t="s">
        <v>1</v>
      </c>
      <c r="C4" s="77" t="str">
        <f t="shared" ref="C4:C40" si="1">C3</f>
        <v>6L</v>
      </c>
      <c r="D4" s="76" t="str">
        <f t="shared" ref="D4:D40" si="2">D3</f>
        <v>12L</v>
      </c>
      <c r="E4" s="75" t="str">
        <f t="shared" si="0"/>
        <v>GBP6L12L1Y_Quote</v>
      </c>
      <c r="F4" s="75" t="str">
        <f>_xll.qlSimpleQuote(E4,,RateTickValue,Permanent,Trigger,ObjectOverwrite)</f>
        <v>GBP6L12L1Y_Quote#0001</v>
      </c>
      <c r="G4" s="74" t="str">
        <f>_xll.ohRangeRetrieveError(F4)</f>
        <v/>
      </c>
      <c r="H4" s="73"/>
    </row>
    <row r="5" spans="1:12" x14ac:dyDescent="0.2">
      <c r="A5" s="79"/>
      <c r="B5" s="89" t="s">
        <v>125</v>
      </c>
      <c r="C5" s="77" t="str">
        <f t="shared" si="1"/>
        <v>6L</v>
      </c>
      <c r="D5" s="76" t="str">
        <f t="shared" si="2"/>
        <v>12L</v>
      </c>
      <c r="E5" s="75" t="str">
        <f t="shared" si="0"/>
        <v>GBP6L12L15M_Quote</v>
      </c>
      <c r="F5" s="75" t="str">
        <f>_xll.qlSimpleQuote(E5,,RateTickValue,Permanent,Trigger,ObjectOverwrite)</f>
        <v>GBP6L12L15M_Quote#0001</v>
      </c>
      <c r="G5" s="74" t="str">
        <f>_xll.ohRangeRetrieveError(F5)</f>
        <v/>
      </c>
      <c r="H5" s="73"/>
    </row>
    <row r="6" spans="1:12" x14ac:dyDescent="0.2">
      <c r="A6" s="79"/>
      <c r="B6" s="89" t="s">
        <v>124</v>
      </c>
      <c r="C6" s="77" t="str">
        <f t="shared" si="1"/>
        <v>6L</v>
      </c>
      <c r="D6" s="76" t="str">
        <f t="shared" si="2"/>
        <v>12L</v>
      </c>
      <c r="E6" s="75" t="str">
        <f t="shared" si="0"/>
        <v>GBP6L12L18M_Quote</v>
      </c>
      <c r="F6" s="75" t="str">
        <f>_xll.qlSimpleQuote(E6,,RateTickValue,Permanent,Trigger,ObjectOverwrite)</f>
        <v>GBP6L12L18M_Quote#0001</v>
      </c>
      <c r="G6" s="74" t="str">
        <f>_xll.ohRangeRetrieveError(F6)</f>
        <v/>
      </c>
      <c r="H6" s="73"/>
    </row>
    <row r="7" spans="1:12" ht="13.5" thickBot="1" x14ac:dyDescent="0.25">
      <c r="A7" s="79"/>
      <c r="B7" s="89" t="s">
        <v>123</v>
      </c>
      <c r="C7" s="77" t="str">
        <f t="shared" si="1"/>
        <v>6L</v>
      </c>
      <c r="D7" s="76" t="str">
        <f t="shared" si="2"/>
        <v>12L</v>
      </c>
      <c r="E7" s="75" t="str">
        <f t="shared" si="0"/>
        <v>GBP6L12L21M_Quote</v>
      </c>
      <c r="F7" s="75" t="str">
        <f>_xll.qlSimpleQuote(E7,,RateTickValue,Permanent,Trigger,ObjectOverwrite)</f>
        <v>GBP6L12L21M_Quote#0001</v>
      </c>
      <c r="G7" s="74" t="str">
        <f>_xll.ohRangeRetrieveError(F7)</f>
        <v/>
      </c>
      <c r="H7" s="73"/>
    </row>
    <row r="8" spans="1:12" x14ac:dyDescent="0.2">
      <c r="A8" s="79"/>
      <c r="B8" s="78" t="s">
        <v>85</v>
      </c>
      <c r="C8" s="77" t="str">
        <f t="shared" si="1"/>
        <v>6L</v>
      </c>
      <c r="D8" s="76" t="str">
        <f t="shared" si="2"/>
        <v>12L</v>
      </c>
      <c r="E8" s="75" t="str">
        <f t="shared" si="0"/>
        <v>GBP6L12L2Y_Quote</v>
      </c>
      <c r="F8" s="75" t="str">
        <f>_xll.qlSimpleQuote(E8,,RateTickValue,Permanent,Trigger,ObjectOverwrite)</f>
        <v>GBP6L12L2Y_Quote#0001</v>
      </c>
      <c r="G8" s="74" t="str">
        <f>_xll.ohRangeRetrieveError(F8)</f>
        <v/>
      </c>
      <c r="H8" s="73"/>
      <c r="J8" s="88" t="s">
        <v>122</v>
      </c>
      <c r="K8" s="87" t="s">
        <v>117</v>
      </c>
      <c r="L8" s="86" t="s">
        <v>128</v>
      </c>
    </row>
    <row r="9" spans="1:12" x14ac:dyDescent="0.2">
      <c r="A9" s="79"/>
      <c r="B9" s="78" t="s">
        <v>84</v>
      </c>
      <c r="C9" s="77" t="str">
        <f t="shared" si="1"/>
        <v>6L</v>
      </c>
      <c r="D9" s="76" t="str">
        <f t="shared" si="2"/>
        <v>12L</v>
      </c>
      <c r="E9" s="75" t="str">
        <f t="shared" si="0"/>
        <v>GBP6L12L3Y_Quote</v>
      </c>
      <c r="F9" s="75" t="str">
        <f>_xll.qlSimpleQuote(E9,,RateTickValue,Permanent,Trigger,ObjectOverwrite)</f>
        <v>GBP6L12L3Y_Quote#0001</v>
      </c>
      <c r="G9" s="74" t="str">
        <f>_xll.ohRangeRetrieveError(F9)</f>
        <v/>
      </c>
      <c r="H9" s="73"/>
      <c r="J9" s="85" t="s">
        <v>121</v>
      </c>
      <c r="K9" s="84" t="s">
        <v>119</v>
      </c>
      <c r="L9" s="83" t="s">
        <v>129</v>
      </c>
    </row>
    <row r="10" spans="1:12" x14ac:dyDescent="0.2">
      <c r="A10" s="79"/>
      <c r="B10" s="78" t="s">
        <v>83</v>
      </c>
      <c r="C10" s="77" t="str">
        <f t="shared" si="1"/>
        <v>6L</v>
      </c>
      <c r="D10" s="76" t="str">
        <f t="shared" si="2"/>
        <v>12L</v>
      </c>
      <c r="E10" s="75" t="str">
        <f t="shared" si="0"/>
        <v>GBP6L12L4Y_Quote</v>
      </c>
      <c r="F10" s="75" t="str">
        <f>_xll.qlSimpleQuote(E10,,RateTickValue,Permanent,Trigger,ObjectOverwrite)</f>
        <v>GBP6L12L4Y_Quote#0001</v>
      </c>
      <c r="G10" s="74" t="str">
        <f>_xll.ohRangeRetrieveError(F10)</f>
        <v/>
      </c>
      <c r="H10" s="73"/>
      <c r="J10" s="85" t="s">
        <v>96</v>
      </c>
      <c r="K10" s="84" t="s">
        <v>117</v>
      </c>
      <c r="L10" s="83" t="s">
        <v>128</v>
      </c>
    </row>
    <row r="11" spans="1:12" x14ac:dyDescent="0.2">
      <c r="A11" s="79"/>
      <c r="B11" s="78" t="s">
        <v>82</v>
      </c>
      <c r="C11" s="77" t="str">
        <f t="shared" si="1"/>
        <v>6L</v>
      </c>
      <c r="D11" s="76" t="str">
        <f t="shared" si="2"/>
        <v>12L</v>
      </c>
      <c r="E11" s="75" t="str">
        <f t="shared" si="0"/>
        <v>GBP6L12L5Y_Quote</v>
      </c>
      <c r="F11" s="75" t="str">
        <f>_xll.qlSimpleQuote(E11,,RateTickValue,Permanent,Trigger,ObjectOverwrite)</f>
        <v>GBP6L12L5Y_Quote#0001</v>
      </c>
      <c r="G11" s="74" t="str">
        <f>_xll.ohRangeRetrieveError(F11)</f>
        <v/>
      </c>
      <c r="H11" s="73"/>
      <c r="J11" s="85" t="s">
        <v>118</v>
      </c>
      <c r="K11" s="84" t="s">
        <v>117</v>
      </c>
      <c r="L11" s="83" t="s">
        <v>128</v>
      </c>
    </row>
    <row r="12" spans="1:12" ht="13.5" thickBot="1" x14ac:dyDescent="0.25">
      <c r="A12" s="79"/>
      <c r="B12" s="78" t="s">
        <v>81</v>
      </c>
      <c r="C12" s="77" t="str">
        <f t="shared" si="1"/>
        <v>6L</v>
      </c>
      <c r="D12" s="76" t="str">
        <f t="shared" si="2"/>
        <v>12L</v>
      </c>
      <c r="E12" s="75" t="str">
        <f t="shared" si="0"/>
        <v>GBP6L12L6Y_Quote</v>
      </c>
      <c r="F12" s="75" t="str">
        <f>_xll.qlSimpleQuote(E12,,RateTickValue,Permanent,Trigger,ObjectOverwrite)</f>
        <v>GBP6L12L6Y_Quote#0001</v>
      </c>
      <c r="G12" s="74" t="str">
        <f>_xll.ohRangeRetrieveError(F12)</f>
        <v/>
      </c>
      <c r="H12" s="73"/>
      <c r="J12" s="82" t="s">
        <v>116</v>
      </c>
      <c r="K12" s="81" t="s">
        <v>128</v>
      </c>
      <c r="L12" s="80" t="s">
        <v>115</v>
      </c>
    </row>
    <row r="13" spans="1:12" x14ac:dyDescent="0.2">
      <c r="A13" s="79"/>
      <c r="B13" s="78" t="s">
        <v>80</v>
      </c>
      <c r="C13" s="77" t="str">
        <f t="shared" si="1"/>
        <v>6L</v>
      </c>
      <c r="D13" s="76" t="str">
        <f t="shared" si="2"/>
        <v>12L</v>
      </c>
      <c r="E13" s="75" t="str">
        <f t="shared" si="0"/>
        <v>GBP6L12L7Y_Quote</v>
      </c>
      <c r="F13" s="75" t="str">
        <f>_xll.qlSimpleQuote(E13,,RateTickValue,Permanent,Trigger,ObjectOverwrite)</f>
        <v>GBP6L12L7Y_Quote#0001</v>
      </c>
      <c r="G13" s="74" t="str">
        <f>_xll.ohRangeRetrieveError(F13)</f>
        <v/>
      </c>
      <c r="H13" s="73"/>
    </row>
    <row r="14" spans="1:12" x14ac:dyDescent="0.2">
      <c r="A14" s="79"/>
      <c r="B14" s="78" t="s">
        <v>79</v>
      </c>
      <c r="C14" s="77" t="str">
        <f t="shared" si="1"/>
        <v>6L</v>
      </c>
      <c r="D14" s="76" t="str">
        <f t="shared" si="2"/>
        <v>12L</v>
      </c>
      <c r="E14" s="75" t="str">
        <f t="shared" si="0"/>
        <v>GBP6L12L8Y_Quote</v>
      </c>
      <c r="F14" s="75" t="str">
        <f>_xll.qlSimpleQuote(E14,,RateTickValue,Permanent,Trigger,ObjectOverwrite)</f>
        <v>GBP6L12L8Y_Quote#0001</v>
      </c>
      <c r="G14" s="74" t="str">
        <f>_xll.ohRangeRetrieveError(F14)</f>
        <v/>
      </c>
      <c r="H14" s="73"/>
    </row>
    <row r="15" spans="1:12" x14ac:dyDescent="0.2">
      <c r="A15" s="79"/>
      <c r="B15" s="78" t="s">
        <v>78</v>
      </c>
      <c r="C15" s="77" t="str">
        <f t="shared" si="1"/>
        <v>6L</v>
      </c>
      <c r="D15" s="76" t="str">
        <f t="shared" si="2"/>
        <v>12L</v>
      </c>
      <c r="E15" s="75" t="str">
        <f t="shared" si="0"/>
        <v>GBP6L12L9Y_Quote</v>
      </c>
      <c r="F15" s="75" t="str">
        <f>_xll.qlSimpleQuote(E15,,RateTickValue,Permanent,Trigger,ObjectOverwrite)</f>
        <v>GBP6L12L9Y_Quote#0001</v>
      </c>
      <c r="G15" s="74" t="str">
        <f>_xll.ohRangeRetrieveError(F15)</f>
        <v/>
      </c>
      <c r="H15" s="73"/>
    </row>
    <row r="16" spans="1:12" x14ac:dyDescent="0.2">
      <c r="A16" s="79"/>
      <c r="B16" s="78" t="s">
        <v>77</v>
      </c>
      <c r="C16" s="77" t="str">
        <f t="shared" si="1"/>
        <v>6L</v>
      </c>
      <c r="D16" s="76" t="str">
        <f t="shared" si="2"/>
        <v>12L</v>
      </c>
      <c r="E16" s="75" t="str">
        <f t="shared" si="0"/>
        <v>GBP6L12L10Y_Quote</v>
      </c>
      <c r="F16" s="75" t="str">
        <f>_xll.qlSimpleQuote(E16,,RateTickValue,Permanent,Trigger,ObjectOverwrite)</f>
        <v>GBP6L12L10Y_Quote#0001</v>
      </c>
      <c r="G16" s="74" t="str">
        <f>_xll.ohRangeRetrieveError(F16)</f>
        <v/>
      </c>
      <c r="H16" s="73"/>
    </row>
    <row r="17" spans="1:8" x14ac:dyDescent="0.2">
      <c r="A17" s="79"/>
      <c r="B17" s="78" t="s">
        <v>76</v>
      </c>
      <c r="C17" s="77" t="str">
        <f t="shared" si="1"/>
        <v>6L</v>
      </c>
      <c r="D17" s="76" t="str">
        <f t="shared" si="2"/>
        <v>12L</v>
      </c>
      <c r="E17" s="75" t="str">
        <f t="shared" si="0"/>
        <v>GBP6L12L11Y_Quote</v>
      </c>
      <c r="F17" s="75" t="str">
        <f>_xll.qlSimpleQuote(E17,,RateTickValue,Permanent,Trigger,ObjectOverwrite)</f>
        <v>GBP6L12L11Y_Quote#0001</v>
      </c>
      <c r="G17" s="74" t="str">
        <f>_xll.ohRangeRetrieveError(F17)</f>
        <v/>
      </c>
      <c r="H17" s="73"/>
    </row>
    <row r="18" spans="1:8" x14ac:dyDescent="0.2">
      <c r="A18" s="79"/>
      <c r="B18" s="78" t="s">
        <v>75</v>
      </c>
      <c r="C18" s="77" t="str">
        <f t="shared" si="1"/>
        <v>6L</v>
      </c>
      <c r="D18" s="76" t="str">
        <f t="shared" si="2"/>
        <v>12L</v>
      </c>
      <c r="E18" s="75" t="str">
        <f t="shared" si="0"/>
        <v>GBP6L12L12Y_Quote</v>
      </c>
      <c r="F18" s="75" t="str">
        <f>_xll.qlSimpleQuote(E18,,RateTickValue,Permanent,Trigger,ObjectOverwrite)</f>
        <v>GBP6L12L12Y_Quote#0001</v>
      </c>
      <c r="G18" s="74" t="str">
        <f>_xll.ohRangeRetrieveError(F18)</f>
        <v/>
      </c>
      <c r="H18" s="73"/>
    </row>
    <row r="19" spans="1:8" x14ac:dyDescent="0.2">
      <c r="A19" s="79"/>
      <c r="B19" s="78" t="s">
        <v>74</v>
      </c>
      <c r="C19" s="77" t="str">
        <f t="shared" si="1"/>
        <v>6L</v>
      </c>
      <c r="D19" s="76" t="str">
        <f t="shared" si="2"/>
        <v>12L</v>
      </c>
      <c r="E19" s="75" t="str">
        <f t="shared" si="0"/>
        <v>GBP6L12L13Y_Quote</v>
      </c>
      <c r="F19" s="75" t="str">
        <f>_xll.qlSimpleQuote(E19,,RateTickValue,Permanent,Trigger,ObjectOverwrite)</f>
        <v>GBP6L12L13Y_Quote#0001</v>
      </c>
      <c r="G19" s="74" t="str">
        <f>_xll.ohRangeRetrieveError(F19)</f>
        <v/>
      </c>
      <c r="H19" s="73"/>
    </row>
    <row r="20" spans="1:8" x14ac:dyDescent="0.2">
      <c r="A20" s="79"/>
      <c r="B20" s="78" t="s">
        <v>73</v>
      </c>
      <c r="C20" s="77" t="str">
        <f t="shared" si="1"/>
        <v>6L</v>
      </c>
      <c r="D20" s="76" t="str">
        <f t="shared" si="2"/>
        <v>12L</v>
      </c>
      <c r="E20" s="75" t="str">
        <f t="shared" si="0"/>
        <v>GBP6L12L14Y_Quote</v>
      </c>
      <c r="F20" s="75" t="str">
        <f>_xll.qlSimpleQuote(E20,,RateTickValue,Permanent,Trigger,ObjectOverwrite)</f>
        <v>GBP6L12L14Y_Quote#0001</v>
      </c>
      <c r="G20" s="74" t="str">
        <f>_xll.ohRangeRetrieveError(F20)</f>
        <v/>
      </c>
      <c r="H20" s="73"/>
    </row>
    <row r="21" spans="1:8" x14ac:dyDescent="0.2">
      <c r="A21" s="79"/>
      <c r="B21" s="78" t="s">
        <v>72</v>
      </c>
      <c r="C21" s="77" t="str">
        <f t="shared" si="1"/>
        <v>6L</v>
      </c>
      <c r="D21" s="76" t="str">
        <f t="shared" si="2"/>
        <v>12L</v>
      </c>
      <c r="E21" s="75" t="str">
        <f t="shared" si="0"/>
        <v>GBP6L12L15Y_Quote</v>
      </c>
      <c r="F21" s="75" t="str">
        <f>_xll.qlSimpleQuote(E21,,RateTickValue,Permanent,Trigger,ObjectOverwrite)</f>
        <v>GBP6L12L15Y_Quote#0001</v>
      </c>
      <c r="G21" s="74" t="str">
        <f>_xll.ohRangeRetrieveError(F21)</f>
        <v/>
      </c>
      <c r="H21" s="73"/>
    </row>
    <row r="22" spans="1:8" x14ac:dyDescent="0.2">
      <c r="A22" s="79"/>
      <c r="B22" s="78" t="s">
        <v>71</v>
      </c>
      <c r="C22" s="77" t="str">
        <f t="shared" si="1"/>
        <v>6L</v>
      </c>
      <c r="D22" s="76" t="str">
        <f t="shared" si="2"/>
        <v>12L</v>
      </c>
      <c r="E22" s="75" t="str">
        <f t="shared" si="0"/>
        <v>GBP6L12L16Y_Quote</v>
      </c>
      <c r="F22" s="75" t="str">
        <f>_xll.qlSimpleQuote(E22,,RateTickValue,Permanent,Trigger,ObjectOverwrite)</f>
        <v>GBP6L12L16Y_Quote#0001</v>
      </c>
      <c r="G22" s="74" t="str">
        <f>_xll.ohRangeRetrieveError(F22)</f>
        <v/>
      </c>
      <c r="H22" s="73"/>
    </row>
    <row r="23" spans="1:8" x14ac:dyDescent="0.2">
      <c r="A23" s="79"/>
      <c r="B23" s="78" t="s">
        <v>70</v>
      </c>
      <c r="C23" s="77" t="str">
        <f t="shared" si="1"/>
        <v>6L</v>
      </c>
      <c r="D23" s="76" t="str">
        <f t="shared" si="2"/>
        <v>12L</v>
      </c>
      <c r="E23" s="75" t="str">
        <f t="shared" si="0"/>
        <v>GBP6L12L17Y_Quote</v>
      </c>
      <c r="F23" s="75" t="str">
        <f>_xll.qlSimpleQuote(E23,,RateTickValue,Permanent,Trigger,ObjectOverwrite)</f>
        <v>GBP6L12L17Y_Quote#0001</v>
      </c>
      <c r="G23" s="74" t="str">
        <f>_xll.ohRangeRetrieveError(F23)</f>
        <v/>
      </c>
      <c r="H23" s="73"/>
    </row>
    <row r="24" spans="1:8" x14ac:dyDescent="0.2">
      <c r="A24" s="79"/>
      <c r="B24" s="78" t="s">
        <v>69</v>
      </c>
      <c r="C24" s="77" t="str">
        <f t="shared" si="1"/>
        <v>6L</v>
      </c>
      <c r="D24" s="76" t="str">
        <f t="shared" si="2"/>
        <v>12L</v>
      </c>
      <c r="E24" s="75" t="str">
        <f t="shared" si="0"/>
        <v>GBP6L12L18Y_Quote</v>
      </c>
      <c r="F24" s="75" t="str">
        <f>_xll.qlSimpleQuote(E24,,RateTickValue,Permanent,Trigger,ObjectOverwrite)</f>
        <v>GBP6L12L18Y_Quote#0001</v>
      </c>
      <c r="G24" s="74" t="str">
        <f>_xll.ohRangeRetrieveError(F24)</f>
        <v/>
      </c>
      <c r="H24" s="73"/>
    </row>
    <row r="25" spans="1:8" x14ac:dyDescent="0.2">
      <c r="A25" s="79"/>
      <c r="B25" s="78" t="s">
        <v>68</v>
      </c>
      <c r="C25" s="77" t="str">
        <f t="shared" si="1"/>
        <v>6L</v>
      </c>
      <c r="D25" s="76" t="str">
        <f t="shared" si="2"/>
        <v>12L</v>
      </c>
      <c r="E25" s="75" t="str">
        <f t="shared" si="0"/>
        <v>GBP6L12L19Y_Quote</v>
      </c>
      <c r="F25" s="75" t="str">
        <f>_xll.qlSimpleQuote(E25,,RateTickValue,Permanent,Trigger,ObjectOverwrite)</f>
        <v>GBP6L12L19Y_Quote#0001</v>
      </c>
      <c r="G25" s="74" t="str">
        <f>_xll.ohRangeRetrieveError(F25)</f>
        <v/>
      </c>
      <c r="H25" s="73"/>
    </row>
    <row r="26" spans="1:8" x14ac:dyDescent="0.2">
      <c r="A26" s="79"/>
      <c r="B26" s="78" t="s">
        <v>67</v>
      </c>
      <c r="C26" s="77" t="str">
        <f t="shared" si="1"/>
        <v>6L</v>
      </c>
      <c r="D26" s="76" t="str">
        <f t="shared" si="2"/>
        <v>12L</v>
      </c>
      <c r="E26" s="75" t="str">
        <f t="shared" si="0"/>
        <v>GBP6L12L20Y_Quote</v>
      </c>
      <c r="F26" s="75" t="str">
        <f>_xll.qlSimpleQuote(E26,,RateTickValue,Permanent,Trigger,ObjectOverwrite)</f>
        <v>GBP6L12L20Y_Quote#0001</v>
      </c>
      <c r="G26" s="74" t="str">
        <f>_xll.ohRangeRetrieveError(F26)</f>
        <v/>
      </c>
      <c r="H26" s="73"/>
    </row>
    <row r="27" spans="1:8" x14ac:dyDescent="0.2">
      <c r="A27" s="79"/>
      <c r="B27" s="78" t="s">
        <v>66</v>
      </c>
      <c r="C27" s="77" t="str">
        <f t="shared" si="1"/>
        <v>6L</v>
      </c>
      <c r="D27" s="76" t="str">
        <f t="shared" si="2"/>
        <v>12L</v>
      </c>
      <c r="E27" s="75" t="str">
        <f t="shared" si="0"/>
        <v>GBP6L12L21Y_Quote</v>
      </c>
      <c r="F27" s="75" t="str">
        <f>_xll.qlSimpleQuote(E27,,RateTickValue,Permanent,Trigger,ObjectOverwrite)</f>
        <v>GBP6L12L21Y_Quote#0001</v>
      </c>
      <c r="G27" s="74" t="str">
        <f>_xll.ohRangeRetrieveError(F27)</f>
        <v/>
      </c>
      <c r="H27" s="73"/>
    </row>
    <row r="28" spans="1:8" x14ac:dyDescent="0.2">
      <c r="A28" s="79"/>
      <c r="B28" s="78" t="s">
        <v>65</v>
      </c>
      <c r="C28" s="77" t="str">
        <f t="shared" si="1"/>
        <v>6L</v>
      </c>
      <c r="D28" s="76" t="str">
        <f t="shared" si="2"/>
        <v>12L</v>
      </c>
      <c r="E28" s="75" t="str">
        <f t="shared" si="0"/>
        <v>GBP6L12L22Y_Quote</v>
      </c>
      <c r="F28" s="75" t="str">
        <f>_xll.qlSimpleQuote(E28,,RateTickValue,Permanent,Trigger,ObjectOverwrite)</f>
        <v>GBP6L12L22Y_Quote#0001</v>
      </c>
      <c r="G28" s="74" t="str">
        <f>_xll.ohRangeRetrieveError(F28)</f>
        <v/>
      </c>
      <c r="H28" s="73"/>
    </row>
    <row r="29" spans="1:8" x14ac:dyDescent="0.2">
      <c r="A29" s="79"/>
      <c r="B29" s="78" t="s">
        <v>64</v>
      </c>
      <c r="C29" s="77" t="str">
        <f t="shared" si="1"/>
        <v>6L</v>
      </c>
      <c r="D29" s="76" t="str">
        <f t="shared" si="2"/>
        <v>12L</v>
      </c>
      <c r="E29" s="75" t="str">
        <f t="shared" si="0"/>
        <v>GBP6L12L23Y_Quote</v>
      </c>
      <c r="F29" s="75" t="str">
        <f>_xll.qlSimpleQuote(E29,,RateTickValue,Permanent,Trigger,ObjectOverwrite)</f>
        <v>GBP6L12L23Y_Quote#0001</v>
      </c>
      <c r="G29" s="74" t="str">
        <f>_xll.ohRangeRetrieveError(F29)</f>
        <v/>
      </c>
      <c r="H29" s="73"/>
    </row>
    <row r="30" spans="1:8" x14ac:dyDescent="0.2">
      <c r="A30" s="79"/>
      <c r="B30" s="78" t="s">
        <v>63</v>
      </c>
      <c r="C30" s="77" t="str">
        <f t="shared" si="1"/>
        <v>6L</v>
      </c>
      <c r="D30" s="76" t="str">
        <f t="shared" si="2"/>
        <v>12L</v>
      </c>
      <c r="E30" s="75" t="str">
        <f t="shared" si="0"/>
        <v>GBP6L12L24Y_Quote</v>
      </c>
      <c r="F30" s="75" t="str">
        <f>_xll.qlSimpleQuote(E30,,RateTickValue,Permanent,Trigger,ObjectOverwrite)</f>
        <v>GBP6L12L24Y_Quote#0001</v>
      </c>
      <c r="G30" s="74" t="str">
        <f>_xll.ohRangeRetrieveError(F30)</f>
        <v/>
      </c>
      <c r="H30" s="73"/>
    </row>
    <row r="31" spans="1:8" x14ac:dyDescent="0.2">
      <c r="A31" s="79"/>
      <c r="B31" s="78" t="s">
        <v>62</v>
      </c>
      <c r="C31" s="77" t="str">
        <f t="shared" si="1"/>
        <v>6L</v>
      </c>
      <c r="D31" s="76" t="str">
        <f t="shared" si="2"/>
        <v>12L</v>
      </c>
      <c r="E31" s="75" t="str">
        <f t="shared" si="0"/>
        <v>GBP6L12L25Y_Quote</v>
      </c>
      <c r="F31" s="75" t="str">
        <f>_xll.qlSimpleQuote(E31,,RateTickValue,Permanent,Trigger,ObjectOverwrite)</f>
        <v>GBP6L12L25Y_Quote#0001</v>
      </c>
      <c r="G31" s="74" t="str">
        <f>_xll.ohRangeRetrieveError(F31)</f>
        <v/>
      </c>
      <c r="H31" s="73"/>
    </row>
    <row r="32" spans="1:8" x14ac:dyDescent="0.2">
      <c r="A32" s="79"/>
      <c r="B32" s="78" t="s">
        <v>61</v>
      </c>
      <c r="C32" s="77" t="str">
        <f t="shared" si="1"/>
        <v>6L</v>
      </c>
      <c r="D32" s="76" t="str">
        <f t="shared" si="2"/>
        <v>12L</v>
      </c>
      <c r="E32" s="75" t="str">
        <f t="shared" si="0"/>
        <v>GBP6L12L26Y_Quote</v>
      </c>
      <c r="F32" s="75" t="str">
        <f>_xll.qlSimpleQuote(E32,,RateTickValue,Permanent,Trigger,ObjectOverwrite)</f>
        <v>GBP6L12L26Y_Quote#0001</v>
      </c>
      <c r="G32" s="74" t="str">
        <f>_xll.ohRangeRetrieveError(F32)</f>
        <v/>
      </c>
      <c r="H32" s="73"/>
    </row>
    <row r="33" spans="1:8" x14ac:dyDescent="0.2">
      <c r="A33" s="79"/>
      <c r="B33" s="78" t="s">
        <v>60</v>
      </c>
      <c r="C33" s="77" t="str">
        <f t="shared" si="1"/>
        <v>6L</v>
      </c>
      <c r="D33" s="76" t="str">
        <f t="shared" si="2"/>
        <v>12L</v>
      </c>
      <c r="E33" s="75" t="str">
        <f t="shared" si="0"/>
        <v>GBP6L12L27Y_Quote</v>
      </c>
      <c r="F33" s="75" t="str">
        <f>_xll.qlSimpleQuote(E33,,RateTickValue,Permanent,Trigger,ObjectOverwrite)</f>
        <v>GBP6L12L27Y_Quote#0001</v>
      </c>
      <c r="G33" s="74" t="str">
        <f>_xll.ohRangeRetrieveError(F33)</f>
        <v/>
      </c>
      <c r="H33" s="73"/>
    </row>
    <row r="34" spans="1:8" x14ac:dyDescent="0.2">
      <c r="A34" s="79"/>
      <c r="B34" s="78" t="s">
        <v>59</v>
      </c>
      <c r="C34" s="77" t="str">
        <f t="shared" si="1"/>
        <v>6L</v>
      </c>
      <c r="D34" s="76" t="str">
        <f t="shared" si="2"/>
        <v>12L</v>
      </c>
      <c r="E34" s="75" t="str">
        <f t="shared" si="0"/>
        <v>GBP6L12L28Y_Quote</v>
      </c>
      <c r="F34" s="75" t="str">
        <f>_xll.qlSimpleQuote(E34,,RateTickValue,Permanent,Trigger,ObjectOverwrite)</f>
        <v>GBP6L12L28Y_Quote#0001</v>
      </c>
      <c r="G34" s="74" t="str">
        <f>_xll.ohRangeRetrieveError(F34)</f>
        <v/>
      </c>
      <c r="H34" s="73"/>
    </row>
    <row r="35" spans="1:8" x14ac:dyDescent="0.2">
      <c r="A35" s="79"/>
      <c r="B35" s="78" t="s">
        <v>58</v>
      </c>
      <c r="C35" s="77" t="str">
        <f t="shared" si="1"/>
        <v>6L</v>
      </c>
      <c r="D35" s="76" t="str">
        <f t="shared" si="2"/>
        <v>12L</v>
      </c>
      <c r="E35" s="75" t="str">
        <f t="shared" si="0"/>
        <v>GBP6L12L29Y_Quote</v>
      </c>
      <c r="F35" s="75" t="str">
        <f>_xll.qlSimpleQuote(E35,,RateTickValue,Permanent,Trigger,ObjectOverwrite)</f>
        <v>GBP6L12L29Y_Quote#0001</v>
      </c>
      <c r="G35" s="74" t="str">
        <f>_xll.ohRangeRetrieveError(F35)</f>
        <v/>
      </c>
      <c r="H35" s="73"/>
    </row>
    <row r="36" spans="1:8" x14ac:dyDescent="0.2">
      <c r="A36" s="79"/>
      <c r="B36" s="78" t="s">
        <v>57</v>
      </c>
      <c r="C36" s="77" t="str">
        <f t="shared" si="1"/>
        <v>6L</v>
      </c>
      <c r="D36" s="76" t="str">
        <f t="shared" si="2"/>
        <v>12L</v>
      </c>
      <c r="E36" s="75" t="str">
        <f t="shared" si="0"/>
        <v>GBP6L12L30Y_Quote</v>
      </c>
      <c r="F36" s="75" t="str">
        <f>_xll.qlSimpleQuote(E36,,RateTickValue,Permanent,Trigger,ObjectOverwrite)</f>
        <v>GBP6L12L30Y_Quote#0001</v>
      </c>
      <c r="G36" s="74" t="str">
        <f>_xll.ohRangeRetrieveError(F36)</f>
        <v/>
      </c>
      <c r="H36" s="73"/>
    </row>
    <row r="37" spans="1:8" x14ac:dyDescent="0.2">
      <c r="A37" s="79"/>
      <c r="B37" s="78" t="s">
        <v>52</v>
      </c>
      <c r="C37" s="77" t="str">
        <f t="shared" si="1"/>
        <v>6L</v>
      </c>
      <c r="D37" s="76" t="str">
        <f t="shared" si="2"/>
        <v>12L</v>
      </c>
      <c r="E37" s="75" t="str">
        <f t="shared" si="0"/>
        <v>GBP6L12L35Y_Quote</v>
      </c>
      <c r="F37" s="75" t="str">
        <f>_xll.qlSimpleQuote(E37,,RateTickValue,Permanent,Trigger,ObjectOverwrite)</f>
        <v>GBP6L12L35Y_Quote#0001</v>
      </c>
      <c r="G37" s="74" t="str">
        <f>_xll.ohRangeRetrieveError(F37)</f>
        <v/>
      </c>
      <c r="H37" s="73"/>
    </row>
    <row r="38" spans="1:8" x14ac:dyDescent="0.2">
      <c r="A38" s="79"/>
      <c r="B38" s="78" t="s">
        <v>47</v>
      </c>
      <c r="C38" s="77" t="str">
        <f t="shared" si="1"/>
        <v>6L</v>
      </c>
      <c r="D38" s="76" t="str">
        <f t="shared" si="2"/>
        <v>12L</v>
      </c>
      <c r="E38" s="75" t="str">
        <f t="shared" si="0"/>
        <v>GBP6L12L40Y_Quote</v>
      </c>
      <c r="F38" s="75" t="str">
        <f>_xll.qlSimpleQuote(E38,,RateTickValue,Permanent,Trigger,ObjectOverwrite)</f>
        <v>GBP6L12L40Y_Quote#0001</v>
      </c>
      <c r="G38" s="74" t="str">
        <f>_xll.ohRangeRetrieveError(F38)</f>
        <v/>
      </c>
      <c r="H38" s="73"/>
    </row>
    <row r="39" spans="1:8" x14ac:dyDescent="0.2">
      <c r="A39" s="79"/>
      <c r="B39" s="78" t="s">
        <v>37</v>
      </c>
      <c r="C39" s="77" t="str">
        <f t="shared" si="1"/>
        <v>6L</v>
      </c>
      <c r="D39" s="76" t="str">
        <f t="shared" si="2"/>
        <v>12L</v>
      </c>
      <c r="E39" s="75" t="str">
        <f t="shared" si="0"/>
        <v>GBP6L12L50Y_Quote</v>
      </c>
      <c r="F39" s="75" t="str">
        <f>_xll.qlSimpleQuote(E39,,RateTickValue,Permanent,Trigger,ObjectOverwrite)</f>
        <v>GBP6L12L50Y_Quote#0001</v>
      </c>
      <c r="G39" s="74" t="str">
        <f>_xll.ohRangeRetrieveError(F39)</f>
        <v/>
      </c>
      <c r="H39" s="73"/>
    </row>
    <row r="40" spans="1:8" x14ac:dyDescent="0.2">
      <c r="A40" s="79"/>
      <c r="B40" s="78" t="s">
        <v>27</v>
      </c>
      <c r="C40" s="77" t="str">
        <f t="shared" si="1"/>
        <v>6L</v>
      </c>
      <c r="D40" s="76" t="str">
        <f t="shared" si="2"/>
        <v>12L</v>
      </c>
      <c r="E40" s="75" t="str">
        <f t="shared" si="0"/>
        <v>GBP6L12L60Y_Quote</v>
      </c>
      <c r="F40" s="75" t="str">
        <f>_xll.qlSimpleQuote(E40,,RateTickValue,Permanent,Trigger,ObjectOverwrite)</f>
        <v>GBP6L12L60Y_Quote#0001</v>
      </c>
      <c r="G40" s="74" t="str">
        <f>_xll.ohRangeRetrieveError(F40)</f>
        <v/>
      </c>
      <c r="H40" s="73"/>
    </row>
    <row r="41" spans="1:8" x14ac:dyDescent="0.2">
      <c r="A41" s="72"/>
      <c r="B41" s="71"/>
      <c r="C41" s="71"/>
      <c r="D41" s="71"/>
      <c r="E41" s="71"/>
      <c r="F41" s="70"/>
      <c r="G41" s="70"/>
      <c r="H41" s="69"/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8"/>
  <sheetViews>
    <sheetView workbookViewId="0"/>
  </sheetViews>
  <sheetFormatPr defaultColWidth="8" defaultRowHeight="11.25" x14ac:dyDescent="0.2"/>
  <cols>
    <col min="1" max="1" width="3.28515625" style="101" customWidth="1"/>
    <col min="2" max="2" width="4.28515625" style="101" customWidth="1"/>
    <col min="3" max="3" width="15.5703125" style="101" bestFit="1" customWidth="1"/>
    <col min="4" max="4" width="90.7109375" style="101" bestFit="1" customWidth="1"/>
    <col min="5" max="5" width="3.7109375" style="101" customWidth="1"/>
    <col min="6" max="6" width="35.28515625" style="101" customWidth="1"/>
    <col min="7" max="7" width="4.28515625" style="101" customWidth="1"/>
    <col min="8" max="16384" width="8" style="101"/>
  </cols>
  <sheetData>
    <row r="1" spans="1:5" ht="13.5" thickBot="1" x14ac:dyDescent="0.25">
      <c r="B1" s="104" t="str">
        <f>_xll.qlxlVersion(TRUE,Trigger)</f>
        <v>QuantLibXL 1.3.0 - MS VC++ 9.0 - Multithreaded Static Runtime library - Release Configuration - Nov  5 2013 10:41:52</v>
      </c>
    </row>
    <row r="2" spans="1:5" s="1" customFormat="1" ht="15.75" x14ac:dyDescent="0.25">
      <c r="A2" s="50"/>
      <c r="B2" s="266" t="s">
        <v>135</v>
      </c>
      <c r="C2" s="267"/>
      <c r="D2" s="267"/>
      <c r="E2" s="268"/>
    </row>
    <row r="3" spans="1:5" s="1" customFormat="1" ht="12.75" x14ac:dyDescent="0.2">
      <c r="A3" s="50"/>
      <c r="B3" s="53"/>
      <c r="C3" s="56"/>
      <c r="D3" s="56"/>
      <c r="E3" s="6"/>
    </row>
    <row r="4" spans="1:5" s="1" customFormat="1" ht="12.75" x14ac:dyDescent="0.2">
      <c r="A4" s="50"/>
      <c r="B4" s="53"/>
      <c r="C4" s="22" t="s">
        <v>98</v>
      </c>
      <c r="D4" s="52"/>
      <c r="E4" s="51"/>
    </row>
    <row r="5" spans="1:5" s="1" customFormat="1" ht="12.75" x14ac:dyDescent="0.2">
      <c r="A5" s="50"/>
      <c r="B5" s="53"/>
      <c r="C5" s="22" t="s">
        <v>95</v>
      </c>
      <c r="D5" s="52" t="b">
        <v>1</v>
      </c>
      <c r="E5" s="51"/>
    </row>
    <row r="6" spans="1:5" s="1" customFormat="1" ht="12.75" x14ac:dyDescent="0.2">
      <c r="A6" s="50"/>
      <c r="B6" s="53"/>
      <c r="C6" s="22" t="s">
        <v>94</v>
      </c>
      <c r="D6" s="52" t="b">
        <v>0</v>
      </c>
      <c r="E6" s="51"/>
    </row>
    <row r="7" spans="1:5" s="1" customFormat="1" ht="12.75" x14ac:dyDescent="0.2">
      <c r="A7" s="50"/>
      <c r="B7" s="53"/>
      <c r="C7" s="22" t="s">
        <v>93</v>
      </c>
      <c r="D7" s="52" t="b">
        <v>1</v>
      </c>
      <c r="E7" s="51"/>
    </row>
    <row r="8" spans="1:5" s="1" customFormat="1" ht="12.75" x14ac:dyDescent="0.2">
      <c r="A8" s="50"/>
      <c r="B8" s="53"/>
      <c r="C8" s="22" t="s">
        <v>92</v>
      </c>
      <c r="D8" s="55" t="str">
        <f ca="1">SUBSTITUTE(LEFT(CELL("filename",A1),FIND("[",CELL("filename",A1),1)-1),"\XLS\","\XML\")</f>
        <v>C:\Users\erik\Documents\repos\quantlib_nando\QuantLibXL\Data2\XML\</v>
      </c>
      <c r="E8" s="51"/>
    </row>
    <row r="9" spans="1:5" s="1" customFormat="1" ht="12.75" x14ac:dyDescent="0.2">
      <c r="A9" s="50"/>
      <c r="B9" s="53"/>
      <c r="C9" s="22" t="s">
        <v>91</v>
      </c>
      <c r="D9" s="54" t="b">
        <v>1</v>
      </c>
      <c r="E9" s="51"/>
    </row>
    <row r="10" spans="1:5" s="1" customFormat="1" ht="13.5" thickBot="1" x14ac:dyDescent="0.25">
      <c r="A10" s="50"/>
      <c r="B10" s="5"/>
      <c r="C10" s="4"/>
      <c r="D10" s="4"/>
      <c r="E10" s="3"/>
    </row>
    <row r="11" spans="1:5" ht="12" thickBot="1" x14ac:dyDescent="0.25"/>
    <row r="12" spans="1:5" ht="15.75" x14ac:dyDescent="0.25">
      <c r="B12" s="266" t="s">
        <v>134</v>
      </c>
      <c r="C12" s="267"/>
      <c r="D12" s="267"/>
      <c r="E12" s="268"/>
    </row>
    <row r="13" spans="1:5" x14ac:dyDescent="0.2">
      <c r="B13" s="53"/>
      <c r="C13" s="56"/>
      <c r="D13" s="56"/>
      <c r="E13" s="6"/>
    </row>
    <row r="14" spans="1:5" x14ac:dyDescent="0.2">
      <c r="B14" s="53"/>
      <c r="C14" s="22" t="s">
        <v>97</v>
      </c>
      <c r="D14" s="52" t="s">
        <v>96</v>
      </c>
      <c r="E14" s="51"/>
    </row>
    <row r="15" spans="1:5" x14ac:dyDescent="0.2">
      <c r="B15" s="53"/>
      <c r="C15" s="22" t="s">
        <v>133</v>
      </c>
      <c r="D15" s="54" t="s">
        <v>132</v>
      </c>
      <c r="E15" s="51"/>
    </row>
    <row r="16" spans="1:5" x14ac:dyDescent="0.2">
      <c r="B16" s="53"/>
      <c r="C16" s="22" t="s">
        <v>131</v>
      </c>
      <c r="D16" s="103">
        <v>1E-4</v>
      </c>
      <c r="E16" s="51"/>
    </row>
    <row r="17" spans="2:5" x14ac:dyDescent="0.2">
      <c r="B17" s="53"/>
      <c r="C17" s="22" t="s">
        <v>130</v>
      </c>
      <c r="D17" s="102">
        <v>-0.01</v>
      </c>
      <c r="E17" s="51"/>
    </row>
    <row r="18" spans="2:5" ht="12" thickBot="1" x14ac:dyDescent="0.25">
      <c r="B18" s="5"/>
      <c r="C18" s="4"/>
      <c r="D18" s="4"/>
      <c r="E18" s="3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1"/>
  <sheetViews>
    <sheetView workbookViewId="0"/>
  </sheetViews>
  <sheetFormatPr defaultRowHeight="11.25" x14ac:dyDescent="0.2"/>
  <cols>
    <col min="1" max="1" width="4.42578125" style="67" customWidth="1"/>
    <col min="2" max="2" width="5.140625" style="67" bestFit="1" customWidth="1"/>
    <col min="3" max="3" width="17.85546875" style="67" bestFit="1" customWidth="1"/>
    <col min="4" max="4" width="16.7109375" style="67" bestFit="1" customWidth="1"/>
    <col min="5" max="5" width="36.85546875" style="67" bestFit="1" customWidth="1"/>
    <col min="6" max="6" width="5" style="67" customWidth="1"/>
    <col min="7" max="16384" width="9.140625" style="67"/>
  </cols>
  <sheetData>
    <row r="1" spans="1:6" x14ac:dyDescent="0.2">
      <c r="A1" s="114"/>
      <c r="B1" s="113"/>
      <c r="C1" s="113"/>
      <c r="D1" s="113"/>
      <c r="E1" s="113"/>
      <c r="F1" s="112"/>
    </row>
    <row r="2" spans="1:6" ht="21" customHeight="1" x14ac:dyDescent="0.2">
      <c r="A2" s="79"/>
      <c r="B2" s="111"/>
      <c r="C2" s="91" t="str">
        <f>Currency&amp;"_010_"&amp;"Deposits.xml"</f>
        <v>GBP_010_Deposits.xml</v>
      </c>
      <c r="D2" s="110">
        <f ca="1">IF(Serialize,_xll.ohObjectSave(D3:D20,SerializationPath&amp;C2,FileOverwrite,Serialize),"---")</f>
        <v>18</v>
      </c>
      <c r="E2" s="109" t="str">
        <f ca="1">_xll.ohRangeRetrieveError(D2)</f>
        <v/>
      </c>
      <c r="F2" s="105"/>
    </row>
    <row r="3" spans="1:6" x14ac:dyDescent="0.2">
      <c r="A3" s="79"/>
      <c r="B3" s="108" t="s">
        <v>153</v>
      </c>
      <c r="C3" s="107" t="str">
        <f t="shared" ref="C3:C20" si="0">Currency&amp;$B3&amp;QuoteSuffix</f>
        <v>GBPOND_Quote</v>
      </c>
      <c r="D3" s="107" t="str">
        <f>_xll.qlSimpleQuote(C3,,RateTickValue,Permanent,Trigger,ObjectOverwrite)</f>
        <v>GBPOND_Quote#0001</v>
      </c>
      <c r="E3" s="106" t="str">
        <f>_xll.ohRangeRetrieveError(D3)</f>
        <v/>
      </c>
      <c r="F3" s="105"/>
    </row>
    <row r="4" spans="1:6" x14ac:dyDescent="0.2">
      <c r="A4" s="79"/>
      <c r="B4" s="108" t="s">
        <v>152</v>
      </c>
      <c r="C4" s="107" t="str">
        <f t="shared" si="0"/>
        <v>GBPTND_Quote</v>
      </c>
      <c r="D4" s="107" t="str">
        <f>_xll.qlSimpleQuote(C4,,RateTickValue,Permanent,Trigger,ObjectOverwrite)</f>
        <v>GBPTND_Quote#0001</v>
      </c>
      <c r="E4" s="106" t="str">
        <f>_xll.ohRangeRetrieveError(D4)</f>
        <v/>
      </c>
      <c r="F4" s="105"/>
    </row>
    <row r="5" spans="1:6" x14ac:dyDescent="0.2">
      <c r="A5" s="79"/>
      <c r="B5" s="108" t="s">
        <v>151</v>
      </c>
      <c r="C5" s="107" t="str">
        <f t="shared" si="0"/>
        <v>GBPSND_Quote</v>
      </c>
      <c r="D5" s="107" t="str">
        <f>_xll.qlSimpleQuote(C5,,RateTickValue,Permanent,Trigger,ObjectOverwrite)</f>
        <v>GBPSND_Quote#0001</v>
      </c>
      <c r="E5" s="106" t="str">
        <f>_xll.ohRangeRetrieveError(D5)</f>
        <v/>
      </c>
      <c r="F5" s="105"/>
    </row>
    <row r="6" spans="1:6" x14ac:dyDescent="0.2">
      <c r="A6" s="79"/>
      <c r="B6" s="108" t="s">
        <v>150</v>
      </c>
      <c r="C6" s="107" t="str">
        <f t="shared" si="0"/>
        <v>GBPSWD_Quote</v>
      </c>
      <c r="D6" s="107" t="str">
        <f>_xll.qlSimpleQuote(C6,,RateTickValue,Permanent,Trigger,ObjectOverwrite)</f>
        <v>GBPSWD_Quote#0001</v>
      </c>
      <c r="E6" s="106" t="str">
        <f>_xll.ohRangeRetrieveError(D6)</f>
        <v/>
      </c>
      <c r="F6" s="105"/>
    </row>
    <row r="7" spans="1:6" x14ac:dyDescent="0.2">
      <c r="A7" s="79"/>
      <c r="B7" s="108" t="s">
        <v>149</v>
      </c>
      <c r="C7" s="107" t="str">
        <f t="shared" si="0"/>
        <v>GBP2WD_Quote</v>
      </c>
      <c r="D7" s="107" t="str">
        <f>_xll.qlSimpleQuote(C7,,RateTickValue,Permanent,Trigger,ObjectOverwrite)</f>
        <v>GBP2WD_Quote#0001</v>
      </c>
      <c r="E7" s="106" t="str">
        <f>_xll.ohRangeRetrieveError(D7)</f>
        <v/>
      </c>
      <c r="F7" s="105"/>
    </row>
    <row r="8" spans="1:6" x14ac:dyDescent="0.2">
      <c r="A8" s="79"/>
      <c r="B8" s="108" t="s">
        <v>148</v>
      </c>
      <c r="C8" s="107" t="str">
        <f t="shared" si="0"/>
        <v>GBP3WD_Quote</v>
      </c>
      <c r="D8" s="107" t="str">
        <f>_xll.qlSimpleQuote(C8,,RateTickValue,Permanent,Trigger,ObjectOverwrite)</f>
        <v>GBP3WD_Quote#0001</v>
      </c>
      <c r="E8" s="106" t="str">
        <f>_xll.ohRangeRetrieveError(D8)</f>
        <v/>
      </c>
      <c r="F8" s="105"/>
    </row>
    <row r="9" spans="1:6" x14ac:dyDescent="0.2">
      <c r="A9" s="79"/>
      <c r="B9" s="108" t="s">
        <v>147</v>
      </c>
      <c r="C9" s="107" t="str">
        <f t="shared" si="0"/>
        <v>GBP1MD_Quote</v>
      </c>
      <c r="D9" s="107" t="str">
        <f>_xll.qlSimpleQuote(C9,,RateTickValue,Permanent,Trigger,ObjectOverwrite)</f>
        <v>GBP1MD_Quote#0001</v>
      </c>
      <c r="E9" s="106" t="str">
        <f>_xll.ohRangeRetrieveError(D9)</f>
        <v/>
      </c>
      <c r="F9" s="105"/>
    </row>
    <row r="10" spans="1:6" x14ac:dyDescent="0.2">
      <c r="A10" s="79"/>
      <c r="B10" s="108" t="s">
        <v>146</v>
      </c>
      <c r="C10" s="107" t="str">
        <f t="shared" si="0"/>
        <v>GBP2MD_Quote</v>
      </c>
      <c r="D10" s="107" t="str">
        <f>_xll.qlSimpleQuote(C10,,RateTickValue,Permanent,Trigger,ObjectOverwrite)</f>
        <v>GBP2MD_Quote#0001</v>
      </c>
      <c r="E10" s="106" t="str">
        <f>_xll.ohRangeRetrieveError(D10)</f>
        <v/>
      </c>
      <c r="F10" s="105"/>
    </row>
    <row r="11" spans="1:6" x14ac:dyDescent="0.2">
      <c r="A11" s="79"/>
      <c r="B11" s="108" t="s">
        <v>145</v>
      </c>
      <c r="C11" s="107" t="str">
        <f t="shared" si="0"/>
        <v>GBP3MD_Quote</v>
      </c>
      <c r="D11" s="107" t="str">
        <f>_xll.qlSimpleQuote(C11,,RateTickValue,Permanent,Trigger,ObjectOverwrite)</f>
        <v>GBP3MD_Quote#0001</v>
      </c>
      <c r="E11" s="106" t="str">
        <f>_xll.ohRangeRetrieveError(D11)</f>
        <v/>
      </c>
      <c r="F11" s="105"/>
    </row>
    <row r="12" spans="1:6" x14ac:dyDescent="0.2">
      <c r="A12" s="79"/>
      <c r="B12" s="108" t="s">
        <v>144</v>
      </c>
      <c r="C12" s="107" t="str">
        <f t="shared" si="0"/>
        <v>GBP4MD_Quote</v>
      </c>
      <c r="D12" s="107" t="str">
        <f>_xll.qlSimpleQuote(C12,,RateTickValue,Permanent,Trigger,ObjectOverwrite)</f>
        <v>GBP4MD_Quote#0001</v>
      </c>
      <c r="E12" s="106" t="str">
        <f>_xll.ohRangeRetrieveError(D12)</f>
        <v/>
      </c>
      <c r="F12" s="105"/>
    </row>
    <row r="13" spans="1:6" x14ac:dyDescent="0.2">
      <c r="A13" s="79"/>
      <c r="B13" s="108" t="s">
        <v>143</v>
      </c>
      <c r="C13" s="107" t="str">
        <f t="shared" si="0"/>
        <v>GBP5MD_Quote</v>
      </c>
      <c r="D13" s="107" t="str">
        <f>_xll.qlSimpleQuote(C13,,RateTickValue,Permanent,Trigger,ObjectOverwrite)</f>
        <v>GBP5MD_Quote#0001</v>
      </c>
      <c r="E13" s="106" t="str">
        <f>_xll.ohRangeRetrieveError(D13)</f>
        <v/>
      </c>
      <c r="F13" s="105"/>
    </row>
    <row r="14" spans="1:6" x14ac:dyDescent="0.2">
      <c r="A14" s="79"/>
      <c r="B14" s="108" t="s">
        <v>142</v>
      </c>
      <c r="C14" s="107" t="str">
        <f t="shared" si="0"/>
        <v>GBP6MD_Quote</v>
      </c>
      <c r="D14" s="107" t="str">
        <f>_xll.qlSimpleQuote(C14,,RateTickValue,Permanent,Trigger,ObjectOverwrite)</f>
        <v>GBP6MD_Quote#0001</v>
      </c>
      <c r="E14" s="106" t="str">
        <f>_xll.ohRangeRetrieveError(D14)</f>
        <v/>
      </c>
      <c r="F14" s="105"/>
    </row>
    <row r="15" spans="1:6" x14ac:dyDescent="0.2">
      <c r="A15" s="79"/>
      <c r="B15" s="108" t="s">
        <v>141</v>
      </c>
      <c r="C15" s="107" t="str">
        <f t="shared" si="0"/>
        <v>GBP7MD_Quote</v>
      </c>
      <c r="D15" s="107" t="str">
        <f>_xll.qlSimpleQuote(C15,,RateTickValue,Permanent,Trigger,ObjectOverwrite)</f>
        <v>GBP7MD_Quote#0001</v>
      </c>
      <c r="E15" s="106" t="str">
        <f>_xll.ohRangeRetrieveError(D15)</f>
        <v/>
      </c>
      <c r="F15" s="105"/>
    </row>
    <row r="16" spans="1:6" x14ac:dyDescent="0.2">
      <c r="A16" s="79"/>
      <c r="B16" s="108" t="s">
        <v>140</v>
      </c>
      <c r="C16" s="107" t="str">
        <f t="shared" si="0"/>
        <v>GBP8MD_Quote</v>
      </c>
      <c r="D16" s="107" t="str">
        <f>_xll.qlSimpleQuote(C16,,RateTickValue,Permanent,Trigger,ObjectOverwrite)</f>
        <v>GBP8MD_Quote#0001</v>
      </c>
      <c r="E16" s="106" t="str">
        <f>_xll.ohRangeRetrieveError(D16)</f>
        <v/>
      </c>
      <c r="F16" s="105"/>
    </row>
    <row r="17" spans="1:6" x14ac:dyDescent="0.2">
      <c r="A17" s="79"/>
      <c r="B17" s="108" t="s">
        <v>139</v>
      </c>
      <c r="C17" s="107" t="str">
        <f t="shared" si="0"/>
        <v>GBP9MD_Quote</v>
      </c>
      <c r="D17" s="107" t="str">
        <f>_xll.qlSimpleQuote(C17,,RateTickValue,Permanent,Trigger,ObjectOverwrite)</f>
        <v>GBP9MD_Quote#0001</v>
      </c>
      <c r="E17" s="106" t="str">
        <f>_xll.ohRangeRetrieveError(D17)</f>
        <v/>
      </c>
      <c r="F17" s="105"/>
    </row>
    <row r="18" spans="1:6" x14ac:dyDescent="0.2">
      <c r="A18" s="79"/>
      <c r="B18" s="108" t="s">
        <v>138</v>
      </c>
      <c r="C18" s="107" t="str">
        <f t="shared" si="0"/>
        <v>GBP10MD_Quote</v>
      </c>
      <c r="D18" s="107" t="str">
        <f>_xll.qlSimpleQuote(C18,,RateTickValue,Permanent,Trigger,ObjectOverwrite)</f>
        <v>GBP10MD_Quote#0001</v>
      </c>
      <c r="E18" s="106" t="str">
        <f>_xll.ohRangeRetrieveError(D18)</f>
        <v/>
      </c>
      <c r="F18" s="105"/>
    </row>
    <row r="19" spans="1:6" x14ac:dyDescent="0.2">
      <c r="A19" s="79"/>
      <c r="B19" s="108" t="s">
        <v>137</v>
      </c>
      <c r="C19" s="107" t="str">
        <f t="shared" si="0"/>
        <v>GBP11MD_Quote</v>
      </c>
      <c r="D19" s="107" t="str">
        <f>_xll.qlSimpleQuote(C19,,RateTickValue,Permanent,Trigger,ObjectOverwrite)</f>
        <v>GBP11MD_Quote#0001</v>
      </c>
      <c r="E19" s="106" t="str">
        <f>_xll.ohRangeRetrieveError(D19)</f>
        <v/>
      </c>
      <c r="F19" s="105"/>
    </row>
    <row r="20" spans="1:6" x14ac:dyDescent="0.2">
      <c r="A20" s="79"/>
      <c r="B20" s="108" t="s">
        <v>136</v>
      </c>
      <c r="C20" s="107" t="str">
        <f t="shared" si="0"/>
        <v>GBP1YD_Quote</v>
      </c>
      <c r="D20" s="107" t="str">
        <f>_xll.qlSimpleQuote(C20,,RateTickValue,Permanent,Trigger,ObjectOverwrite)</f>
        <v>GBP1YD_Quote#0001</v>
      </c>
      <c r="E20" s="106" t="str">
        <f>_xll.ohRangeRetrieveError(D20)</f>
        <v/>
      </c>
      <c r="F20" s="105"/>
    </row>
    <row r="21" spans="1:6" x14ac:dyDescent="0.2">
      <c r="A21" s="72"/>
      <c r="B21" s="71"/>
      <c r="C21" s="71"/>
      <c r="D21" s="71"/>
      <c r="E21" s="71"/>
      <c r="F21" s="69"/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7"/>
  <sheetViews>
    <sheetView workbookViewId="0"/>
  </sheetViews>
  <sheetFormatPr defaultRowHeight="12.75" x14ac:dyDescent="0.2"/>
  <cols>
    <col min="1" max="1" width="4.28515625" style="65" customWidth="1"/>
    <col min="2" max="2" width="5.85546875" style="65" bestFit="1" customWidth="1"/>
    <col min="3" max="3" width="4.42578125" style="65" bestFit="1" customWidth="1"/>
    <col min="4" max="4" width="15.5703125" style="116" bestFit="1" customWidth="1"/>
    <col min="5" max="5" width="20" style="65" bestFit="1" customWidth="1"/>
    <col min="6" max="6" width="57.42578125" style="115" customWidth="1"/>
    <col min="7" max="7" width="4.28515625" style="65" customWidth="1"/>
    <col min="8" max="8" width="4.42578125" style="65" customWidth="1"/>
    <col min="9" max="16384" width="9.140625" style="65"/>
  </cols>
  <sheetData>
    <row r="1" spans="1:7" x14ac:dyDescent="0.2">
      <c r="A1" s="123"/>
      <c r="B1" s="138"/>
      <c r="C1" s="138"/>
      <c r="D1" s="65"/>
      <c r="E1" s="115"/>
      <c r="F1" s="65"/>
      <c r="G1" s="33"/>
    </row>
    <row r="2" spans="1:7" ht="24" customHeight="1" x14ac:dyDescent="0.2">
      <c r="A2" s="123"/>
      <c r="B2" s="137"/>
      <c r="C2" s="136"/>
      <c r="D2" s="135" t="str">
        <f>Currency&amp;"_010_"&amp;"FRA.xml"</f>
        <v>GBP_010_FRA.xml</v>
      </c>
      <c r="E2" s="134">
        <f ca="1">IF(Serialize,_xll.ohObjectSave(E3:E26,SerializationPath&amp;D2,FileOverwrite,Serialize),"---")</f>
        <v>24</v>
      </c>
      <c r="F2" s="133" t="str">
        <f ca="1">_xll.ohRangeRetrieveError(E2)</f>
        <v/>
      </c>
      <c r="G2" s="33"/>
    </row>
    <row r="3" spans="1:7" x14ac:dyDescent="0.2">
      <c r="A3" s="123"/>
      <c r="B3" s="127" t="s">
        <v>174</v>
      </c>
      <c r="C3" s="128" t="s">
        <v>155</v>
      </c>
      <c r="D3" s="127" t="str">
        <f t="shared" ref="D3:D26" si="0">Currency&amp;$B3&amp;$C3&amp;QuoteSuffix</f>
        <v>GBPT1F1_Quote</v>
      </c>
      <c r="E3" s="126" t="str">
        <f>_xll.qlSimpleQuote(D3,,RateTickValue,Permanent,Trigger,ObjectOverwrite)</f>
        <v>GBPT1F1_Quote#0001</v>
      </c>
      <c r="F3" s="125" t="str">
        <f>_xll.ohRangeRetrieveError(E3)</f>
        <v/>
      </c>
      <c r="G3" s="33"/>
    </row>
    <row r="4" spans="1:7" x14ac:dyDescent="0.2">
      <c r="A4" s="123"/>
      <c r="B4" s="120" t="s">
        <v>173</v>
      </c>
      <c r="C4" s="124" t="s">
        <v>155</v>
      </c>
      <c r="D4" s="120" t="str">
        <f t="shared" si="0"/>
        <v>GBPTOM1F1_Quote</v>
      </c>
      <c r="E4" s="119" t="str">
        <f>_xll.qlSimpleQuote(D4,,RateTickValue,Permanent,Trigger,ObjectOverwrite)</f>
        <v>GBPTOM1F1_Quote#0001</v>
      </c>
      <c r="F4" s="118" t="str">
        <f>_xll.ohRangeRetrieveError(E4)</f>
        <v/>
      </c>
      <c r="G4" s="33"/>
    </row>
    <row r="5" spans="1:7" x14ac:dyDescent="0.2">
      <c r="A5" s="123"/>
      <c r="B5" s="127" t="s">
        <v>172</v>
      </c>
      <c r="C5" s="128" t="s">
        <v>155</v>
      </c>
      <c r="D5" s="127" t="str">
        <f t="shared" si="0"/>
        <v>GBPT3F1_Quote</v>
      </c>
      <c r="E5" s="126" t="str">
        <f>_xll.qlSimpleQuote(D5,,RateTickValue,Permanent,Trigger,ObjectOverwrite)</f>
        <v>GBPT3F1_Quote#0001</v>
      </c>
      <c r="F5" s="125" t="str">
        <f>_xll.ohRangeRetrieveError(E5)</f>
        <v/>
      </c>
      <c r="G5" s="33"/>
    </row>
    <row r="6" spans="1:7" x14ac:dyDescent="0.2">
      <c r="A6" s="123"/>
      <c r="B6" s="120" t="s">
        <v>171</v>
      </c>
      <c r="C6" s="124" t="s">
        <v>155</v>
      </c>
      <c r="D6" s="120" t="str">
        <f t="shared" si="0"/>
        <v>GBPTOM3F1_Quote</v>
      </c>
      <c r="E6" s="119" t="str">
        <f>_xll.qlSimpleQuote(D6,,RateTickValue,Permanent,Trigger,ObjectOverwrite)</f>
        <v>GBPTOM3F1_Quote#0001</v>
      </c>
      <c r="F6" s="118" t="str">
        <f>_xll.ohRangeRetrieveError(E6)</f>
        <v/>
      </c>
      <c r="G6" s="33"/>
    </row>
    <row r="7" spans="1:7" x14ac:dyDescent="0.2">
      <c r="A7" s="123"/>
      <c r="B7" s="127">
        <v>1</v>
      </c>
      <c r="C7" s="128" t="s">
        <v>170</v>
      </c>
      <c r="D7" s="127" t="str">
        <f t="shared" si="0"/>
        <v>GBP1x4F_Quote</v>
      </c>
      <c r="E7" s="126" t="str">
        <f>_xll.qlSimpleQuote(D7,,RateTickValue,Permanent,Trigger,ObjectOverwrite)</f>
        <v>GBP1x4F_Quote#0001</v>
      </c>
      <c r="F7" s="125" t="str">
        <f>_xll.ohRangeRetrieveError(E7)</f>
        <v/>
      </c>
      <c r="G7" s="33"/>
    </row>
    <row r="8" spans="1:7" x14ac:dyDescent="0.2">
      <c r="A8" s="123"/>
      <c r="B8" s="131">
        <v>2</v>
      </c>
      <c r="C8" s="132" t="s">
        <v>169</v>
      </c>
      <c r="D8" s="131" t="str">
        <f t="shared" si="0"/>
        <v>GBP2x5F_Quote</v>
      </c>
      <c r="E8" s="130" t="str">
        <f>_xll.qlSimpleQuote(D8,,RateTickValue,Permanent,Trigger,ObjectOverwrite)</f>
        <v>GBP2x5F_Quote#0001</v>
      </c>
      <c r="F8" s="129" t="str">
        <f>_xll.ohRangeRetrieveError(E8)</f>
        <v/>
      </c>
      <c r="G8" s="33"/>
    </row>
    <row r="9" spans="1:7" x14ac:dyDescent="0.2">
      <c r="A9" s="123"/>
      <c r="B9" s="131">
        <v>3</v>
      </c>
      <c r="C9" s="132" t="s">
        <v>168</v>
      </c>
      <c r="D9" s="131" t="str">
        <f t="shared" si="0"/>
        <v>GBP3x6F_Quote</v>
      </c>
      <c r="E9" s="130" t="str">
        <f>_xll.qlSimpleQuote(D9,,RateTickValue,Permanent,Trigger,ObjectOverwrite)</f>
        <v>GBP3x6F_Quote#0001</v>
      </c>
      <c r="F9" s="129" t="str">
        <f>_xll.ohRangeRetrieveError(E9)</f>
        <v/>
      </c>
      <c r="G9" s="33"/>
    </row>
    <row r="10" spans="1:7" x14ac:dyDescent="0.2">
      <c r="A10" s="123"/>
      <c r="B10" s="131">
        <v>4</v>
      </c>
      <c r="C10" s="132" t="s">
        <v>165</v>
      </c>
      <c r="D10" s="131" t="str">
        <f t="shared" si="0"/>
        <v>GBP4x7F_Quote</v>
      </c>
      <c r="E10" s="130" t="str">
        <f>_xll.qlSimpleQuote(D10,,RateTickValue,Permanent,Trigger,ObjectOverwrite)</f>
        <v>GBP4x7F_Quote#0001</v>
      </c>
      <c r="F10" s="129" t="str">
        <f>_xll.ohRangeRetrieveError(E10)</f>
        <v/>
      </c>
      <c r="G10" s="33"/>
    </row>
    <row r="11" spans="1:7" x14ac:dyDescent="0.2">
      <c r="A11" s="123"/>
      <c r="B11" s="131">
        <v>5</v>
      </c>
      <c r="C11" s="132" t="s">
        <v>164</v>
      </c>
      <c r="D11" s="131" t="str">
        <f t="shared" si="0"/>
        <v>GBP5x8F_Quote</v>
      </c>
      <c r="E11" s="130" t="str">
        <f>_xll.qlSimpleQuote(D11,,RateTickValue,Permanent,Trigger,ObjectOverwrite)</f>
        <v>GBP5x8F_Quote#0001</v>
      </c>
      <c r="F11" s="129" t="str">
        <f>_xll.ohRangeRetrieveError(E11)</f>
        <v/>
      </c>
      <c r="G11" s="33"/>
    </row>
    <row r="12" spans="1:7" x14ac:dyDescent="0.2">
      <c r="A12" s="123"/>
      <c r="B12" s="120">
        <v>6</v>
      </c>
      <c r="C12" s="124" t="s">
        <v>163</v>
      </c>
      <c r="D12" s="120" t="str">
        <f t="shared" si="0"/>
        <v>GBP6x9F_Quote</v>
      </c>
      <c r="E12" s="119" t="str">
        <f>_xll.qlSimpleQuote(D12,,RateTickValue,Permanent,Trigger,ObjectOverwrite)</f>
        <v>GBP6x9F_Quote#0001</v>
      </c>
      <c r="F12" s="118" t="str">
        <f>_xll.ohRangeRetrieveError(E12)</f>
        <v/>
      </c>
      <c r="G12" s="33"/>
    </row>
    <row r="13" spans="1:7" x14ac:dyDescent="0.2">
      <c r="A13" s="123"/>
      <c r="B13" s="127" t="s">
        <v>167</v>
      </c>
      <c r="C13" s="128" t="s">
        <v>155</v>
      </c>
      <c r="D13" s="127" t="str">
        <f t="shared" si="0"/>
        <v>GBPT6F1_Quote</v>
      </c>
      <c r="E13" s="126" t="str">
        <f>_xll.qlSimpleQuote(D13,,RateTickValue,Permanent,Trigger,ObjectOverwrite)</f>
        <v>GBPT6F1_Quote#0001</v>
      </c>
      <c r="F13" s="125" t="str">
        <f>_xll.ohRangeRetrieveError(E13)</f>
        <v/>
      </c>
      <c r="G13" s="33"/>
    </row>
    <row r="14" spans="1:7" x14ac:dyDescent="0.2">
      <c r="A14" s="123"/>
      <c r="B14" s="120" t="s">
        <v>166</v>
      </c>
      <c r="C14" s="124" t="s">
        <v>155</v>
      </c>
      <c r="D14" s="120" t="str">
        <f t="shared" si="0"/>
        <v>GBPTOM6F1_Quote</v>
      </c>
      <c r="E14" s="119" t="str">
        <f>_xll.qlSimpleQuote(D14,,RateTickValue,Permanent,Trigger,ObjectOverwrite)</f>
        <v>GBPTOM6F1_Quote#0001</v>
      </c>
      <c r="F14" s="118" t="str">
        <f>_xll.ohRangeRetrieveError(E14)</f>
        <v/>
      </c>
      <c r="G14" s="33"/>
    </row>
    <row r="15" spans="1:7" x14ac:dyDescent="0.2">
      <c r="A15" s="123"/>
      <c r="B15" s="127">
        <v>1</v>
      </c>
      <c r="C15" s="128" t="s">
        <v>165</v>
      </c>
      <c r="D15" s="127" t="str">
        <f t="shared" si="0"/>
        <v>GBP1x7F_Quote</v>
      </c>
      <c r="E15" s="126" t="str">
        <f>_xll.qlSimpleQuote(D15,,RateTickValue,Permanent,Trigger,ObjectOverwrite)</f>
        <v>GBP1x7F_Quote#0001</v>
      </c>
      <c r="F15" s="125" t="str">
        <f>_xll.ohRangeRetrieveError(E15)</f>
        <v/>
      </c>
      <c r="G15" s="33"/>
    </row>
    <row r="16" spans="1:7" x14ac:dyDescent="0.2">
      <c r="A16" s="123"/>
      <c r="B16" s="131">
        <v>2</v>
      </c>
      <c r="C16" s="132" t="s">
        <v>164</v>
      </c>
      <c r="D16" s="131" t="str">
        <f t="shared" si="0"/>
        <v>GBP2x8F_Quote</v>
      </c>
      <c r="E16" s="130" t="str">
        <f>_xll.qlSimpleQuote(D16,,RateTickValue,Permanent,Trigger,ObjectOverwrite)</f>
        <v>GBP2x8F_Quote#0001</v>
      </c>
      <c r="F16" s="129" t="str">
        <f>_xll.ohRangeRetrieveError(E16)</f>
        <v/>
      </c>
      <c r="G16" s="33"/>
    </row>
    <row r="17" spans="1:7" x14ac:dyDescent="0.2">
      <c r="A17" s="123"/>
      <c r="B17" s="131">
        <v>3</v>
      </c>
      <c r="C17" s="132" t="s">
        <v>163</v>
      </c>
      <c r="D17" s="131" t="str">
        <f t="shared" si="0"/>
        <v>GBP3x9F_Quote</v>
      </c>
      <c r="E17" s="130" t="str">
        <f>_xll.qlSimpleQuote(D17,,RateTickValue,Permanent,Trigger,ObjectOverwrite)</f>
        <v>GBP3x9F_Quote#0001</v>
      </c>
      <c r="F17" s="129" t="str">
        <f>_xll.ohRangeRetrieveError(E17)</f>
        <v/>
      </c>
      <c r="G17" s="33"/>
    </row>
    <row r="18" spans="1:7" x14ac:dyDescent="0.2">
      <c r="A18" s="123"/>
      <c r="B18" s="131">
        <v>4</v>
      </c>
      <c r="C18" s="132" t="s">
        <v>162</v>
      </c>
      <c r="D18" s="131" t="str">
        <f t="shared" si="0"/>
        <v>GBP4x10F_Quote</v>
      </c>
      <c r="E18" s="130" t="str">
        <f>_xll.qlSimpleQuote(D18,,RateTickValue,Permanent,Trigger,ObjectOverwrite)</f>
        <v>GBP4x10F_Quote#0001</v>
      </c>
      <c r="F18" s="129" t="str">
        <f>_xll.ohRangeRetrieveError(E18)</f>
        <v/>
      </c>
      <c r="G18" s="33"/>
    </row>
    <row r="19" spans="1:7" x14ac:dyDescent="0.2">
      <c r="A19" s="123"/>
      <c r="B19" s="131">
        <v>5</v>
      </c>
      <c r="C19" s="132" t="s">
        <v>161</v>
      </c>
      <c r="D19" s="131" t="str">
        <f t="shared" si="0"/>
        <v>GBP5x11F_Quote</v>
      </c>
      <c r="E19" s="130" t="str">
        <f>_xll.qlSimpleQuote(D19,,RateTickValue,Permanent,Trigger,ObjectOverwrite)</f>
        <v>GBP5x11F_Quote#0001</v>
      </c>
      <c r="F19" s="129" t="str">
        <f>_xll.ohRangeRetrieveError(E19)</f>
        <v/>
      </c>
      <c r="G19" s="33"/>
    </row>
    <row r="20" spans="1:7" x14ac:dyDescent="0.2">
      <c r="A20" s="123"/>
      <c r="B20" s="131">
        <v>6</v>
      </c>
      <c r="C20" s="132" t="s">
        <v>160</v>
      </c>
      <c r="D20" s="131" t="str">
        <f t="shared" si="0"/>
        <v>GBP6x12F_Quote</v>
      </c>
      <c r="E20" s="130" t="str">
        <f>_xll.qlSimpleQuote(D20,,RateTickValue,Permanent,Trigger,ObjectOverwrite)</f>
        <v>GBP6x12F_Quote#0001</v>
      </c>
      <c r="F20" s="129" t="str">
        <f>_xll.ohRangeRetrieveError(E20)</f>
        <v/>
      </c>
      <c r="G20" s="33"/>
    </row>
    <row r="21" spans="1:7" x14ac:dyDescent="0.2">
      <c r="A21" s="123"/>
      <c r="B21" s="131">
        <v>9</v>
      </c>
      <c r="C21" s="132" t="s">
        <v>159</v>
      </c>
      <c r="D21" s="131" t="str">
        <f t="shared" si="0"/>
        <v>GBP9x15F_Quote</v>
      </c>
      <c r="E21" s="130" t="str">
        <f>_xll.qlSimpleQuote(D21,,RateTickValue,Permanent,Trigger,ObjectOverwrite)</f>
        <v>GBP9x15F_Quote#0001</v>
      </c>
      <c r="F21" s="129" t="str">
        <f>_xll.ohRangeRetrieveError(E21)</f>
        <v/>
      </c>
      <c r="G21" s="33"/>
    </row>
    <row r="22" spans="1:7" x14ac:dyDescent="0.2">
      <c r="A22" s="123"/>
      <c r="B22" s="131">
        <v>12</v>
      </c>
      <c r="C22" s="132" t="s">
        <v>158</v>
      </c>
      <c r="D22" s="131" t="str">
        <f t="shared" si="0"/>
        <v>GBP12x18F_Quote</v>
      </c>
      <c r="E22" s="130" t="str">
        <f>_xll.qlSimpleQuote(D22,,RateTickValue,Permanent,Trigger,ObjectOverwrite)</f>
        <v>GBP12x18F_Quote#0001</v>
      </c>
      <c r="F22" s="129" t="str">
        <f>_xll.ohRangeRetrieveError(E22)</f>
        <v/>
      </c>
      <c r="G22" s="33"/>
    </row>
    <row r="23" spans="1:7" x14ac:dyDescent="0.2">
      <c r="A23" s="123"/>
      <c r="B23" s="120">
        <v>18</v>
      </c>
      <c r="C23" s="124" t="s">
        <v>154</v>
      </c>
      <c r="D23" s="120" t="str">
        <f t="shared" si="0"/>
        <v>GBP18x24F_Quote</v>
      </c>
      <c r="E23" s="119" t="str">
        <f>_xll.qlSimpleQuote(D23,,RateTickValue,Permanent,Trigger,ObjectOverwrite)</f>
        <v>GBP18x24F_Quote#0001</v>
      </c>
      <c r="F23" s="118" t="str">
        <f>_xll.ohRangeRetrieveError(E23)</f>
        <v/>
      </c>
      <c r="G23" s="33"/>
    </row>
    <row r="24" spans="1:7" x14ac:dyDescent="0.2">
      <c r="A24" s="123"/>
      <c r="B24" s="127" t="s">
        <v>157</v>
      </c>
      <c r="C24" s="128" t="s">
        <v>155</v>
      </c>
      <c r="D24" s="127" t="str">
        <f t="shared" si="0"/>
        <v>GBPT12F1_Quote</v>
      </c>
      <c r="E24" s="126" t="str">
        <f>_xll.qlSimpleQuote(D24,,RateTickValue,Permanent,Trigger,ObjectOverwrite)</f>
        <v>GBPT12F1_Quote#0001</v>
      </c>
      <c r="F24" s="125" t="str">
        <f>_xll.ohRangeRetrieveError(E24)</f>
        <v/>
      </c>
      <c r="G24" s="33"/>
    </row>
    <row r="25" spans="1:7" x14ac:dyDescent="0.2">
      <c r="A25" s="123"/>
      <c r="B25" s="120" t="s">
        <v>156</v>
      </c>
      <c r="C25" s="124" t="s">
        <v>155</v>
      </c>
      <c r="D25" s="120" t="str">
        <f t="shared" si="0"/>
        <v>GBPTOM12F1_Quote</v>
      </c>
      <c r="E25" s="119" t="str">
        <f>_xll.qlSimpleQuote(D25,,RateTickValue,Permanent,Trigger,ObjectOverwrite)</f>
        <v>GBPTOM12F1_Quote#0001</v>
      </c>
      <c r="F25" s="118" t="str">
        <f>_xll.ohRangeRetrieveError(E25)</f>
        <v/>
      </c>
      <c r="G25" s="33"/>
    </row>
    <row r="26" spans="1:7" x14ac:dyDescent="0.2">
      <c r="A26" s="123"/>
      <c r="B26" s="122">
        <v>12</v>
      </c>
      <c r="C26" s="121" t="s">
        <v>154</v>
      </c>
      <c r="D26" s="120" t="str">
        <f t="shared" si="0"/>
        <v>GBP12x24F_Quote</v>
      </c>
      <c r="E26" s="119" t="str">
        <f>_xll.qlSimpleQuote(D26,,RateTickValue,Permanent,Trigger,ObjectOverwrite)</f>
        <v>GBP12x24F_Quote#0001</v>
      </c>
      <c r="F26" s="118" t="str">
        <f>_xll.ohRangeRetrieveError(E26)</f>
        <v/>
      </c>
      <c r="G26" s="33"/>
    </row>
    <row r="27" spans="1:7" ht="13.5" thickBot="1" x14ac:dyDescent="0.25">
      <c r="A27" s="32"/>
      <c r="B27" s="31"/>
      <c r="C27" s="31"/>
      <c r="D27" s="31"/>
      <c r="E27" s="117"/>
      <c r="F27" s="117"/>
      <c r="G27" s="30"/>
    </row>
  </sheetData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"/>
  <sheetViews>
    <sheetView workbookViewId="0"/>
  </sheetViews>
  <sheetFormatPr defaultRowHeight="11.25" x14ac:dyDescent="0.2"/>
  <cols>
    <col min="1" max="1" width="3.28515625" style="67" customWidth="1"/>
    <col min="2" max="2" width="3.5703125" style="67" bestFit="1" customWidth="1"/>
    <col min="3" max="3" width="5.7109375" style="67" bestFit="1" customWidth="1"/>
    <col min="4" max="4" width="6.140625" style="67" bestFit="1" customWidth="1"/>
    <col min="5" max="5" width="19.140625" style="67" bestFit="1" customWidth="1"/>
    <col min="6" max="6" width="20.140625" style="67" bestFit="1" customWidth="1"/>
    <col min="7" max="7" width="33.85546875" style="67" customWidth="1"/>
    <col min="8" max="8" width="4.5703125" style="67" customWidth="1"/>
    <col min="9" max="16384" width="9.140625" style="67"/>
  </cols>
  <sheetData>
    <row r="1" spans="1:8" x14ac:dyDescent="0.2">
      <c r="A1" s="159"/>
      <c r="B1" s="158"/>
      <c r="C1" s="158"/>
      <c r="D1" s="157" t="s">
        <v>178</v>
      </c>
      <c r="E1" s="157" t="s">
        <v>15</v>
      </c>
      <c r="F1" s="156"/>
      <c r="G1" s="156"/>
      <c r="H1" s="155"/>
    </row>
    <row r="2" spans="1:8" ht="22.5" x14ac:dyDescent="0.2">
      <c r="A2" s="154"/>
      <c r="B2" s="92" t="s">
        <v>177</v>
      </c>
      <c r="C2" s="93" t="s">
        <v>176</v>
      </c>
      <c r="D2" s="93" t="s">
        <v>175</v>
      </c>
      <c r="E2" s="91" t="str">
        <f>Currency&amp;"_010_"&amp;$D$1&amp;$E$1&amp;".xml"</f>
        <v>GBP_010_FUT1M.xml</v>
      </c>
      <c r="F2" s="90">
        <f ca="1">IF(Serialize,_xll.ohObjectSave(F3:F122,SerializationPath&amp;E2,FileOverwrite,Serialize),"---")</f>
        <v>120</v>
      </c>
      <c r="G2" s="109" t="str">
        <f ca="1">_xll.ohRangeRetrieveError(F2)</f>
        <v/>
      </c>
      <c r="H2" s="142"/>
    </row>
    <row r="3" spans="1:8" x14ac:dyDescent="0.2">
      <c r="A3" s="148"/>
      <c r="B3" s="153">
        <v>1</v>
      </c>
      <c r="C3" s="152" t="b">
        <v>0</v>
      </c>
      <c r="D3" s="151" t="str">
        <f t="array" ref="D3:D122">_xll.qlIMMNextCodes(_xll.qlSettingsEvaluationDate(Trigger)-1,$C3:$C122)</f>
        <v>Z3</v>
      </c>
      <c r="E3" s="144" t="str">
        <f t="shared" ref="E3:E34" si="0">Currency&amp;$D$1&amp;$E$1&amp;$D3&amp;QuoteSuffix</f>
        <v>GBPFUT1MZ3_Quote</v>
      </c>
      <c r="F3" s="150" t="str">
        <f>_xll.qlSimpleQuote(E3,,PriceTickValue,Permanent,Trigger,ObjectOverwrite)</f>
        <v>GBPFUT1MZ3_Quote#0001</v>
      </c>
      <c r="G3" s="149" t="str">
        <f>_xll.ohRangeRetrieveError(F3)</f>
        <v/>
      </c>
      <c r="H3" s="142"/>
    </row>
    <row r="4" spans="1:8" x14ac:dyDescent="0.2">
      <c r="A4" s="148"/>
      <c r="B4" s="147">
        <v>2</v>
      </c>
      <c r="C4" s="146" t="b">
        <v>0</v>
      </c>
      <c r="D4" s="145" t="str">
        <v>F4</v>
      </c>
      <c r="E4" s="144" t="str">
        <f t="shared" si="0"/>
        <v>GBPFUT1MF4_Quote</v>
      </c>
      <c r="F4" s="143" t="str">
        <f>_xll.qlSimpleQuote(E4,,PriceTickValue,Permanent,Trigger,ObjectOverwrite)</f>
        <v>GBPFUT1MF4_Quote#0001</v>
      </c>
      <c r="G4" s="106" t="str">
        <f>_xll.ohRangeRetrieveError(F4)</f>
        <v/>
      </c>
      <c r="H4" s="142"/>
    </row>
    <row r="5" spans="1:8" x14ac:dyDescent="0.2">
      <c r="A5" s="148"/>
      <c r="B5" s="147">
        <v>3</v>
      </c>
      <c r="C5" s="146" t="b">
        <v>0</v>
      </c>
      <c r="D5" s="145" t="str">
        <v>G4</v>
      </c>
      <c r="E5" s="144" t="str">
        <f t="shared" si="0"/>
        <v>GBPFUT1MG4_Quote</v>
      </c>
      <c r="F5" s="143" t="str">
        <f>_xll.qlSimpleQuote(E5,,PriceTickValue,Permanent,Trigger,ObjectOverwrite)</f>
        <v>GBPFUT1MG4_Quote#0001</v>
      </c>
      <c r="G5" s="106" t="str">
        <f>_xll.ohRangeRetrieveError(F5)</f>
        <v/>
      </c>
      <c r="H5" s="142"/>
    </row>
    <row r="6" spans="1:8" x14ac:dyDescent="0.2">
      <c r="A6" s="148"/>
      <c r="B6" s="147">
        <v>4</v>
      </c>
      <c r="C6" s="146" t="b">
        <v>0</v>
      </c>
      <c r="D6" s="145" t="str">
        <v>H4</v>
      </c>
      <c r="E6" s="144" t="str">
        <f t="shared" si="0"/>
        <v>GBPFUT1MH4_Quote</v>
      </c>
      <c r="F6" s="143" t="str">
        <f>_xll.qlSimpleQuote(E6,,PriceTickValue,Permanent,Trigger,ObjectOverwrite)</f>
        <v>GBPFUT1MH4_Quote#0001</v>
      </c>
      <c r="G6" s="106" t="str">
        <f>_xll.ohRangeRetrieveError(F6)</f>
        <v/>
      </c>
      <c r="H6" s="142"/>
    </row>
    <row r="7" spans="1:8" x14ac:dyDescent="0.2">
      <c r="A7" s="148"/>
      <c r="B7" s="147">
        <v>5</v>
      </c>
      <c r="C7" s="146" t="b">
        <v>0</v>
      </c>
      <c r="D7" s="145" t="str">
        <v>J4</v>
      </c>
      <c r="E7" s="144" t="str">
        <f t="shared" si="0"/>
        <v>GBPFUT1MJ4_Quote</v>
      </c>
      <c r="F7" s="143" t="str">
        <f>_xll.qlSimpleQuote(E7,,PriceTickValue,Permanent,Trigger,ObjectOverwrite)</f>
        <v>GBPFUT1MJ4_Quote#0001</v>
      </c>
      <c r="G7" s="106" t="str">
        <f>_xll.ohRangeRetrieveError(F7)</f>
        <v/>
      </c>
      <c r="H7" s="142"/>
    </row>
    <row r="8" spans="1:8" x14ac:dyDescent="0.2">
      <c r="A8" s="148"/>
      <c r="B8" s="147">
        <v>6</v>
      </c>
      <c r="C8" s="146" t="b">
        <v>0</v>
      </c>
      <c r="D8" s="145" t="str">
        <v>K4</v>
      </c>
      <c r="E8" s="144" t="str">
        <f t="shared" si="0"/>
        <v>GBPFUT1MK4_Quote</v>
      </c>
      <c r="F8" s="143" t="str">
        <f>_xll.qlSimpleQuote(E8,,PriceTickValue,Permanent,Trigger,ObjectOverwrite)</f>
        <v>GBPFUT1MK4_Quote#0001</v>
      </c>
      <c r="G8" s="106" t="str">
        <f>_xll.ohRangeRetrieveError(F8)</f>
        <v/>
      </c>
      <c r="H8" s="142"/>
    </row>
    <row r="9" spans="1:8" x14ac:dyDescent="0.2">
      <c r="A9" s="148"/>
      <c r="B9" s="147">
        <v>7</v>
      </c>
      <c r="C9" s="146" t="b">
        <v>0</v>
      </c>
      <c r="D9" s="145" t="str">
        <v>M4</v>
      </c>
      <c r="E9" s="144" t="str">
        <f t="shared" si="0"/>
        <v>GBPFUT1MM4_Quote</v>
      </c>
      <c r="F9" s="143" t="str">
        <f>_xll.qlSimpleQuote(E9,,PriceTickValue,Permanent,Trigger,ObjectOverwrite)</f>
        <v>GBPFUT1MM4_Quote#0001</v>
      </c>
      <c r="G9" s="106" t="str">
        <f>_xll.ohRangeRetrieveError(F9)</f>
        <v/>
      </c>
      <c r="H9" s="142"/>
    </row>
    <row r="10" spans="1:8" x14ac:dyDescent="0.2">
      <c r="A10" s="148"/>
      <c r="B10" s="147">
        <v>8</v>
      </c>
      <c r="C10" s="146" t="b">
        <v>0</v>
      </c>
      <c r="D10" s="145" t="str">
        <v>N4</v>
      </c>
      <c r="E10" s="144" t="str">
        <f t="shared" si="0"/>
        <v>GBPFUT1MN4_Quote</v>
      </c>
      <c r="F10" s="143" t="str">
        <f>_xll.qlSimpleQuote(E10,,PriceTickValue,Permanent,Trigger,ObjectOverwrite)</f>
        <v>GBPFUT1MN4_Quote#0001</v>
      </c>
      <c r="G10" s="106" t="str">
        <f>_xll.ohRangeRetrieveError(F10)</f>
        <v/>
      </c>
      <c r="H10" s="142"/>
    </row>
    <row r="11" spans="1:8" x14ac:dyDescent="0.2">
      <c r="A11" s="148"/>
      <c r="B11" s="147">
        <v>9</v>
      </c>
      <c r="C11" s="146" t="b">
        <v>0</v>
      </c>
      <c r="D11" s="145" t="str">
        <v>Q4</v>
      </c>
      <c r="E11" s="144" t="str">
        <f t="shared" si="0"/>
        <v>GBPFUT1MQ4_Quote</v>
      </c>
      <c r="F11" s="143" t="str">
        <f>_xll.qlSimpleQuote(E11,,PriceTickValue,Permanent,Trigger,ObjectOverwrite)</f>
        <v>GBPFUT1MQ4_Quote#0001</v>
      </c>
      <c r="G11" s="106" t="str">
        <f>_xll.ohRangeRetrieveError(F11)</f>
        <v/>
      </c>
      <c r="H11" s="142"/>
    </row>
    <row r="12" spans="1:8" x14ac:dyDescent="0.2">
      <c r="A12" s="148"/>
      <c r="B12" s="147">
        <v>10</v>
      </c>
      <c r="C12" s="146" t="b">
        <v>0</v>
      </c>
      <c r="D12" s="145" t="str">
        <v>U4</v>
      </c>
      <c r="E12" s="144" t="str">
        <f t="shared" si="0"/>
        <v>GBPFUT1MU4_Quote</v>
      </c>
      <c r="F12" s="143" t="str">
        <f>_xll.qlSimpleQuote(E12,,PriceTickValue,Permanent,Trigger,ObjectOverwrite)</f>
        <v>GBPFUT1MU4_Quote#0001</v>
      </c>
      <c r="G12" s="106" t="str">
        <f>_xll.ohRangeRetrieveError(F12)</f>
        <v/>
      </c>
      <c r="H12" s="142"/>
    </row>
    <row r="13" spans="1:8" x14ac:dyDescent="0.2">
      <c r="A13" s="148"/>
      <c r="B13" s="147">
        <v>11</v>
      </c>
      <c r="C13" s="146" t="b">
        <v>0</v>
      </c>
      <c r="D13" s="145" t="str">
        <v>V4</v>
      </c>
      <c r="E13" s="144" t="str">
        <f t="shared" si="0"/>
        <v>GBPFUT1MV4_Quote</v>
      </c>
      <c r="F13" s="143" t="str">
        <f>_xll.qlSimpleQuote(E13,,PriceTickValue,Permanent,Trigger,ObjectOverwrite)</f>
        <v>GBPFUT1MV4_Quote#0001</v>
      </c>
      <c r="G13" s="106" t="str">
        <f>_xll.ohRangeRetrieveError(F13)</f>
        <v/>
      </c>
      <c r="H13" s="142"/>
    </row>
    <row r="14" spans="1:8" x14ac:dyDescent="0.2">
      <c r="A14" s="148"/>
      <c r="B14" s="147">
        <v>12</v>
      </c>
      <c r="C14" s="146" t="b">
        <v>0</v>
      </c>
      <c r="D14" s="145" t="str">
        <v>X4</v>
      </c>
      <c r="E14" s="144" t="str">
        <f t="shared" si="0"/>
        <v>GBPFUT1MX4_Quote</v>
      </c>
      <c r="F14" s="143" t="str">
        <f>_xll.qlSimpleQuote(E14,,PriceTickValue,Permanent,Trigger,ObjectOverwrite)</f>
        <v>GBPFUT1MX4_Quote#0001</v>
      </c>
      <c r="G14" s="106" t="str">
        <f>_xll.ohRangeRetrieveError(F14)</f>
        <v/>
      </c>
      <c r="H14" s="142"/>
    </row>
    <row r="15" spans="1:8" x14ac:dyDescent="0.2">
      <c r="A15" s="148"/>
      <c r="B15" s="147">
        <v>13</v>
      </c>
      <c r="C15" s="146" t="b">
        <v>0</v>
      </c>
      <c r="D15" s="145" t="str">
        <v>Z4</v>
      </c>
      <c r="E15" s="144" t="str">
        <f t="shared" si="0"/>
        <v>GBPFUT1MZ4_Quote</v>
      </c>
      <c r="F15" s="143" t="str">
        <f>_xll.qlSimpleQuote(E15,,PriceTickValue,Permanent,Trigger,ObjectOverwrite)</f>
        <v>GBPFUT1MZ4_Quote#0001</v>
      </c>
      <c r="G15" s="106" t="str">
        <f>_xll.ohRangeRetrieveError(F15)</f>
        <v/>
      </c>
      <c r="H15" s="142"/>
    </row>
    <row r="16" spans="1:8" x14ac:dyDescent="0.2">
      <c r="A16" s="148"/>
      <c r="B16" s="147">
        <v>14</v>
      </c>
      <c r="C16" s="146" t="b">
        <v>0</v>
      </c>
      <c r="D16" s="145" t="str">
        <v>F5</v>
      </c>
      <c r="E16" s="144" t="str">
        <f t="shared" si="0"/>
        <v>GBPFUT1MF5_Quote</v>
      </c>
      <c r="F16" s="143" t="str">
        <f>_xll.qlSimpleQuote(E16,,PriceTickValue,Permanent,Trigger,ObjectOverwrite)</f>
        <v>GBPFUT1MF5_Quote#0001</v>
      </c>
      <c r="G16" s="106" t="str">
        <f>_xll.ohRangeRetrieveError(F16)</f>
        <v/>
      </c>
      <c r="H16" s="142"/>
    </row>
    <row r="17" spans="1:8" x14ac:dyDescent="0.2">
      <c r="A17" s="148"/>
      <c r="B17" s="147">
        <v>15</v>
      </c>
      <c r="C17" s="146" t="b">
        <v>0</v>
      </c>
      <c r="D17" s="145" t="str">
        <v>G5</v>
      </c>
      <c r="E17" s="144" t="str">
        <f t="shared" si="0"/>
        <v>GBPFUT1MG5_Quote</v>
      </c>
      <c r="F17" s="143" t="str">
        <f>_xll.qlSimpleQuote(E17,,PriceTickValue,Permanent,Trigger,ObjectOverwrite)</f>
        <v>GBPFUT1MG5_Quote#0001</v>
      </c>
      <c r="G17" s="106" t="str">
        <f>_xll.ohRangeRetrieveError(F17)</f>
        <v/>
      </c>
      <c r="H17" s="142"/>
    </row>
    <row r="18" spans="1:8" x14ac:dyDescent="0.2">
      <c r="A18" s="148"/>
      <c r="B18" s="147">
        <v>16</v>
      </c>
      <c r="C18" s="146" t="b">
        <v>0</v>
      </c>
      <c r="D18" s="145" t="str">
        <v>H5</v>
      </c>
      <c r="E18" s="144" t="str">
        <f t="shared" si="0"/>
        <v>GBPFUT1MH5_Quote</v>
      </c>
      <c r="F18" s="143" t="str">
        <f>_xll.qlSimpleQuote(E18,,PriceTickValue,Permanent,Trigger,ObjectOverwrite)</f>
        <v>GBPFUT1MH5_Quote#0001</v>
      </c>
      <c r="G18" s="106" t="str">
        <f>_xll.ohRangeRetrieveError(F18)</f>
        <v/>
      </c>
      <c r="H18" s="142"/>
    </row>
    <row r="19" spans="1:8" x14ac:dyDescent="0.2">
      <c r="A19" s="148"/>
      <c r="B19" s="147">
        <v>17</v>
      </c>
      <c r="C19" s="146" t="b">
        <v>0</v>
      </c>
      <c r="D19" s="145" t="str">
        <v>J5</v>
      </c>
      <c r="E19" s="144" t="str">
        <f t="shared" si="0"/>
        <v>GBPFUT1MJ5_Quote</v>
      </c>
      <c r="F19" s="143" t="str">
        <f>_xll.qlSimpleQuote(E19,,PriceTickValue,Permanent,Trigger,ObjectOverwrite)</f>
        <v>GBPFUT1MJ5_Quote#0001</v>
      </c>
      <c r="G19" s="106" t="str">
        <f>_xll.ohRangeRetrieveError(F19)</f>
        <v/>
      </c>
      <c r="H19" s="142"/>
    </row>
    <row r="20" spans="1:8" x14ac:dyDescent="0.2">
      <c r="A20" s="148"/>
      <c r="B20" s="147">
        <v>18</v>
      </c>
      <c r="C20" s="146" t="b">
        <v>0</v>
      </c>
      <c r="D20" s="145" t="str">
        <v>K5</v>
      </c>
      <c r="E20" s="144" t="str">
        <f t="shared" si="0"/>
        <v>GBPFUT1MK5_Quote</v>
      </c>
      <c r="F20" s="143" t="str">
        <f>_xll.qlSimpleQuote(E20,,PriceTickValue,Permanent,Trigger,ObjectOverwrite)</f>
        <v>GBPFUT1MK5_Quote#0001</v>
      </c>
      <c r="G20" s="106" t="str">
        <f>_xll.ohRangeRetrieveError(F20)</f>
        <v/>
      </c>
      <c r="H20" s="142"/>
    </row>
    <row r="21" spans="1:8" x14ac:dyDescent="0.2">
      <c r="A21" s="148"/>
      <c r="B21" s="147">
        <v>19</v>
      </c>
      <c r="C21" s="146" t="b">
        <v>0</v>
      </c>
      <c r="D21" s="145" t="str">
        <v>M5</v>
      </c>
      <c r="E21" s="144" t="str">
        <f t="shared" si="0"/>
        <v>GBPFUT1MM5_Quote</v>
      </c>
      <c r="F21" s="143" t="str">
        <f>_xll.qlSimpleQuote(E21,,PriceTickValue,Permanent,Trigger,ObjectOverwrite)</f>
        <v>GBPFUT1MM5_Quote#0001</v>
      </c>
      <c r="G21" s="106" t="str">
        <f>_xll.ohRangeRetrieveError(F21)</f>
        <v/>
      </c>
      <c r="H21" s="142"/>
    </row>
    <row r="22" spans="1:8" x14ac:dyDescent="0.2">
      <c r="A22" s="148"/>
      <c r="B22" s="147">
        <v>20</v>
      </c>
      <c r="C22" s="146" t="b">
        <v>0</v>
      </c>
      <c r="D22" s="145" t="str">
        <v>N5</v>
      </c>
      <c r="E22" s="144" t="str">
        <f t="shared" si="0"/>
        <v>GBPFUT1MN5_Quote</v>
      </c>
      <c r="F22" s="143" t="str">
        <f>_xll.qlSimpleQuote(E22,,PriceTickValue,Permanent,Trigger,ObjectOverwrite)</f>
        <v>GBPFUT1MN5_Quote#0001</v>
      </c>
      <c r="G22" s="106" t="str">
        <f>_xll.ohRangeRetrieveError(F22)</f>
        <v/>
      </c>
      <c r="H22" s="142"/>
    </row>
    <row r="23" spans="1:8" x14ac:dyDescent="0.2">
      <c r="A23" s="148"/>
      <c r="B23" s="147">
        <v>21</v>
      </c>
      <c r="C23" s="146" t="b">
        <v>0</v>
      </c>
      <c r="D23" s="145" t="str">
        <v>Q5</v>
      </c>
      <c r="E23" s="144" t="str">
        <f t="shared" si="0"/>
        <v>GBPFUT1MQ5_Quote</v>
      </c>
      <c r="F23" s="143" t="str">
        <f>_xll.qlSimpleQuote(E23,,PriceTickValue,Permanent,Trigger,ObjectOverwrite)</f>
        <v>GBPFUT1MQ5_Quote#0001</v>
      </c>
      <c r="G23" s="106" t="str">
        <f>_xll.ohRangeRetrieveError(F23)</f>
        <v/>
      </c>
      <c r="H23" s="142"/>
    </row>
    <row r="24" spans="1:8" x14ac:dyDescent="0.2">
      <c r="A24" s="148"/>
      <c r="B24" s="147">
        <v>22</v>
      </c>
      <c r="C24" s="146" t="b">
        <v>0</v>
      </c>
      <c r="D24" s="145" t="str">
        <v>U5</v>
      </c>
      <c r="E24" s="144" t="str">
        <f t="shared" si="0"/>
        <v>GBPFUT1MU5_Quote</v>
      </c>
      <c r="F24" s="143" t="str">
        <f>_xll.qlSimpleQuote(E24,,PriceTickValue,Permanent,Trigger,ObjectOverwrite)</f>
        <v>GBPFUT1MU5_Quote#0001</v>
      </c>
      <c r="G24" s="106" t="str">
        <f>_xll.ohRangeRetrieveError(F24)</f>
        <v/>
      </c>
      <c r="H24" s="142"/>
    </row>
    <row r="25" spans="1:8" x14ac:dyDescent="0.2">
      <c r="A25" s="148"/>
      <c r="B25" s="147">
        <v>23</v>
      </c>
      <c r="C25" s="146" t="b">
        <v>0</v>
      </c>
      <c r="D25" s="145" t="str">
        <v>V5</v>
      </c>
      <c r="E25" s="144" t="str">
        <f t="shared" si="0"/>
        <v>GBPFUT1MV5_Quote</v>
      </c>
      <c r="F25" s="143" t="str">
        <f>_xll.qlSimpleQuote(E25,,PriceTickValue,Permanent,Trigger,ObjectOverwrite)</f>
        <v>GBPFUT1MV5_Quote#0001</v>
      </c>
      <c r="G25" s="106" t="str">
        <f>_xll.ohRangeRetrieveError(F25)</f>
        <v/>
      </c>
      <c r="H25" s="142"/>
    </row>
    <row r="26" spans="1:8" x14ac:dyDescent="0.2">
      <c r="A26" s="148"/>
      <c r="B26" s="147">
        <v>24</v>
      </c>
      <c r="C26" s="146" t="b">
        <v>0</v>
      </c>
      <c r="D26" s="145" t="str">
        <v>X5</v>
      </c>
      <c r="E26" s="144" t="str">
        <f t="shared" si="0"/>
        <v>GBPFUT1MX5_Quote</v>
      </c>
      <c r="F26" s="143" t="str">
        <f>_xll.qlSimpleQuote(E26,,PriceTickValue,Permanent,Trigger,ObjectOverwrite)</f>
        <v>GBPFUT1MX5_Quote#0001</v>
      </c>
      <c r="G26" s="106" t="str">
        <f>_xll.ohRangeRetrieveError(F26)</f>
        <v/>
      </c>
      <c r="H26" s="142"/>
    </row>
    <row r="27" spans="1:8" x14ac:dyDescent="0.2">
      <c r="A27" s="148"/>
      <c r="B27" s="147">
        <v>25</v>
      </c>
      <c r="C27" s="146" t="b">
        <v>0</v>
      </c>
      <c r="D27" s="145" t="str">
        <v>Z5</v>
      </c>
      <c r="E27" s="144" t="str">
        <f t="shared" si="0"/>
        <v>GBPFUT1MZ5_Quote</v>
      </c>
      <c r="F27" s="143" t="str">
        <f>_xll.qlSimpleQuote(E27,,PriceTickValue,Permanent,Trigger,ObjectOverwrite)</f>
        <v>GBPFUT1MZ5_Quote#0001</v>
      </c>
      <c r="G27" s="106" t="str">
        <f>_xll.ohRangeRetrieveError(F27)</f>
        <v/>
      </c>
      <c r="H27" s="142"/>
    </row>
    <row r="28" spans="1:8" x14ac:dyDescent="0.2">
      <c r="A28" s="148"/>
      <c r="B28" s="147">
        <v>26</v>
      </c>
      <c r="C28" s="146" t="b">
        <v>0</v>
      </c>
      <c r="D28" s="145" t="str">
        <v>F6</v>
      </c>
      <c r="E28" s="144" t="str">
        <f t="shared" si="0"/>
        <v>GBPFUT1MF6_Quote</v>
      </c>
      <c r="F28" s="143" t="str">
        <f>_xll.qlSimpleQuote(E28,,PriceTickValue,Permanent,Trigger,ObjectOverwrite)</f>
        <v>GBPFUT1MF6_Quote#0001</v>
      </c>
      <c r="G28" s="106" t="str">
        <f>_xll.ohRangeRetrieveError(F28)</f>
        <v/>
      </c>
      <c r="H28" s="142"/>
    </row>
    <row r="29" spans="1:8" x14ac:dyDescent="0.2">
      <c r="A29" s="148"/>
      <c r="B29" s="147">
        <v>27</v>
      </c>
      <c r="C29" s="146" t="b">
        <v>0</v>
      </c>
      <c r="D29" s="145" t="str">
        <v>G6</v>
      </c>
      <c r="E29" s="144" t="str">
        <f t="shared" si="0"/>
        <v>GBPFUT1MG6_Quote</v>
      </c>
      <c r="F29" s="143" t="str">
        <f>_xll.qlSimpleQuote(E29,,PriceTickValue,Permanent,Trigger,ObjectOverwrite)</f>
        <v>GBPFUT1MG6_Quote#0001</v>
      </c>
      <c r="G29" s="106" t="str">
        <f>_xll.ohRangeRetrieveError(F29)</f>
        <v/>
      </c>
      <c r="H29" s="142"/>
    </row>
    <row r="30" spans="1:8" x14ac:dyDescent="0.2">
      <c r="A30" s="148"/>
      <c r="B30" s="147">
        <v>28</v>
      </c>
      <c r="C30" s="146" t="b">
        <v>0</v>
      </c>
      <c r="D30" s="145" t="str">
        <v>H6</v>
      </c>
      <c r="E30" s="144" t="str">
        <f t="shared" si="0"/>
        <v>GBPFUT1MH6_Quote</v>
      </c>
      <c r="F30" s="143" t="str">
        <f>_xll.qlSimpleQuote(E30,,PriceTickValue,Permanent,Trigger,ObjectOverwrite)</f>
        <v>GBPFUT1MH6_Quote#0001</v>
      </c>
      <c r="G30" s="106" t="str">
        <f>_xll.ohRangeRetrieveError(F30)</f>
        <v/>
      </c>
      <c r="H30" s="142"/>
    </row>
    <row r="31" spans="1:8" x14ac:dyDescent="0.2">
      <c r="A31" s="148"/>
      <c r="B31" s="147">
        <v>29</v>
      </c>
      <c r="C31" s="146" t="b">
        <v>0</v>
      </c>
      <c r="D31" s="145" t="str">
        <v>J6</v>
      </c>
      <c r="E31" s="144" t="str">
        <f t="shared" si="0"/>
        <v>GBPFUT1MJ6_Quote</v>
      </c>
      <c r="F31" s="143" t="str">
        <f>_xll.qlSimpleQuote(E31,,PriceTickValue,Permanent,Trigger,ObjectOverwrite)</f>
        <v>GBPFUT1MJ6_Quote#0001</v>
      </c>
      <c r="G31" s="106" t="str">
        <f>_xll.ohRangeRetrieveError(F31)</f>
        <v/>
      </c>
      <c r="H31" s="142"/>
    </row>
    <row r="32" spans="1:8" x14ac:dyDescent="0.2">
      <c r="A32" s="148"/>
      <c r="B32" s="147">
        <v>30</v>
      </c>
      <c r="C32" s="146" t="b">
        <v>0</v>
      </c>
      <c r="D32" s="145" t="str">
        <v>K6</v>
      </c>
      <c r="E32" s="144" t="str">
        <f t="shared" si="0"/>
        <v>GBPFUT1MK6_Quote</v>
      </c>
      <c r="F32" s="143" t="str">
        <f>_xll.qlSimpleQuote(E32,,PriceTickValue,Permanent,Trigger,ObjectOverwrite)</f>
        <v>GBPFUT1MK6_Quote#0001</v>
      </c>
      <c r="G32" s="106" t="str">
        <f>_xll.ohRangeRetrieveError(F32)</f>
        <v/>
      </c>
      <c r="H32" s="142"/>
    </row>
    <row r="33" spans="1:8" x14ac:dyDescent="0.2">
      <c r="A33" s="148"/>
      <c r="B33" s="147">
        <v>31</v>
      </c>
      <c r="C33" s="146" t="b">
        <v>0</v>
      </c>
      <c r="D33" s="145" t="str">
        <v>M6</v>
      </c>
      <c r="E33" s="144" t="str">
        <f t="shared" si="0"/>
        <v>GBPFUT1MM6_Quote</v>
      </c>
      <c r="F33" s="143" t="str">
        <f>_xll.qlSimpleQuote(E33,,PriceTickValue,Permanent,Trigger,ObjectOverwrite)</f>
        <v>GBPFUT1MM6_Quote#0001</v>
      </c>
      <c r="G33" s="106" t="str">
        <f>_xll.ohRangeRetrieveError(F33)</f>
        <v/>
      </c>
      <c r="H33" s="142"/>
    </row>
    <row r="34" spans="1:8" x14ac:dyDescent="0.2">
      <c r="A34" s="148"/>
      <c r="B34" s="147">
        <v>32</v>
      </c>
      <c r="C34" s="146" t="b">
        <v>0</v>
      </c>
      <c r="D34" s="145" t="str">
        <v>N6</v>
      </c>
      <c r="E34" s="144" t="str">
        <f t="shared" si="0"/>
        <v>GBPFUT1MN6_Quote</v>
      </c>
      <c r="F34" s="143" t="str">
        <f>_xll.qlSimpleQuote(E34,,PriceTickValue,Permanent,Trigger,ObjectOverwrite)</f>
        <v>GBPFUT1MN6_Quote#0001</v>
      </c>
      <c r="G34" s="106" t="str">
        <f>_xll.ohRangeRetrieveError(F34)</f>
        <v/>
      </c>
      <c r="H34" s="142"/>
    </row>
    <row r="35" spans="1:8" x14ac:dyDescent="0.2">
      <c r="A35" s="148"/>
      <c r="B35" s="147">
        <v>33</v>
      </c>
      <c r="C35" s="146" t="b">
        <v>0</v>
      </c>
      <c r="D35" s="145" t="str">
        <v>Q6</v>
      </c>
      <c r="E35" s="144" t="str">
        <f t="shared" ref="E35:E66" si="1">Currency&amp;$D$1&amp;$E$1&amp;$D35&amp;QuoteSuffix</f>
        <v>GBPFUT1MQ6_Quote</v>
      </c>
      <c r="F35" s="143" t="str">
        <f>_xll.qlSimpleQuote(E35,,PriceTickValue,Permanent,Trigger,ObjectOverwrite)</f>
        <v>GBPFUT1MQ6_Quote#0001</v>
      </c>
      <c r="G35" s="106" t="str">
        <f>_xll.ohRangeRetrieveError(F35)</f>
        <v/>
      </c>
      <c r="H35" s="142"/>
    </row>
    <row r="36" spans="1:8" x14ac:dyDescent="0.2">
      <c r="A36" s="148"/>
      <c r="B36" s="147">
        <v>34</v>
      </c>
      <c r="C36" s="146" t="b">
        <v>0</v>
      </c>
      <c r="D36" s="145" t="str">
        <v>U6</v>
      </c>
      <c r="E36" s="144" t="str">
        <f t="shared" si="1"/>
        <v>GBPFUT1MU6_Quote</v>
      </c>
      <c r="F36" s="143" t="str">
        <f>_xll.qlSimpleQuote(E36,,PriceTickValue,Permanent,Trigger,ObjectOverwrite)</f>
        <v>GBPFUT1MU6_Quote#0001</v>
      </c>
      <c r="G36" s="106" t="str">
        <f>_xll.ohRangeRetrieveError(F36)</f>
        <v/>
      </c>
      <c r="H36" s="142"/>
    </row>
    <row r="37" spans="1:8" x14ac:dyDescent="0.2">
      <c r="A37" s="148"/>
      <c r="B37" s="147">
        <v>35</v>
      </c>
      <c r="C37" s="146" t="b">
        <v>0</v>
      </c>
      <c r="D37" s="145" t="str">
        <v>V6</v>
      </c>
      <c r="E37" s="144" t="str">
        <f t="shared" si="1"/>
        <v>GBPFUT1MV6_Quote</v>
      </c>
      <c r="F37" s="143" t="str">
        <f>_xll.qlSimpleQuote(E37,,PriceTickValue,Permanent,Trigger,ObjectOverwrite)</f>
        <v>GBPFUT1MV6_Quote#0001</v>
      </c>
      <c r="G37" s="106" t="str">
        <f>_xll.ohRangeRetrieveError(F37)</f>
        <v/>
      </c>
      <c r="H37" s="142"/>
    </row>
    <row r="38" spans="1:8" x14ac:dyDescent="0.2">
      <c r="A38" s="148"/>
      <c r="B38" s="147">
        <v>36</v>
      </c>
      <c r="C38" s="146" t="b">
        <v>0</v>
      </c>
      <c r="D38" s="145" t="str">
        <v>X6</v>
      </c>
      <c r="E38" s="144" t="str">
        <f t="shared" si="1"/>
        <v>GBPFUT1MX6_Quote</v>
      </c>
      <c r="F38" s="143" t="str">
        <f>_xll.qlSimpleQuote(E38,,PriceTickValue,Permanent,Trigger,ObjectOverwrite)</f>
        <v>GBPFUT1MX6_Quote#0001</v>
      </c>
      <c r="G38" s="106" t="str">
        <f>_xll.ohRangeRetrieveError(F38)</f>
        <v/>
      </c>
      <c r="H38" s="142"/>
    </row>
    <row r="39" spans="1:8" x14ac:dyDescent="0.2">
      <c r="A39" s="148"/>
      <c r="B39" s="147">
        <v>37</v>
      </c>
      <c r="C39" s="146" t="b">
        <v>0</v>
      </c>
      <c r="D39" s="145" t="str">
        <v>Z6</v>
      </c>
      <c r="E39" s="144" t="str">
        <f t="shared" si="1"/>
        <v>GBPFUT1MZ6_Quote</v>
      </c>
      <c r="F39" s="143" t="str">
        <f>_xll.qlSimpleQuote(E39,,PriceTickValue,Permanent,Trigger,ObjectOverwrite)</f>
        <v>GBPFUT1MZ6_Quote#0001</v>
      </c>
      <c r="G39" s="106" t="str">
        <f>_xll.ohRangeRetrieveError(F39)</f>
        <v/>
      </c>
      <c r="H39" s="142"/>
    </row>
    <row r="40" spans="1:8" x14ac:dyDescent="0.2">
      <c r="A40" s="148"/>
      <c r="B40" s="147">
        <v>38</v>
      </c>
      <c r="C40" s="146" t="b">
        <v>0</v>
      </c>
      <c r="D40" s="145" t="str">
        <v>F7</v>
      </c>
      <c r="E40" s="144" t="str">
        <f t="shared" si="1"/>
        <v>GBPFUT1MF7_Quote</v>
      </c>
      <c r="F40" s="143" t="str">
        <f>_xll.qlSimpleQuote(E40,,PriceTickValue,Permanent,Trigger,ObjectOverwrite)</f>
        <v>GBPFUT1MF7_Quote#0001</v>
      </c>
      <c r="G40" s="106" t="str">
        <f>_xll.ohRangeRetrieveError(F40)</f>
        <v/>
      </c>
      <c r="H40" s="142"/>
    </row>
    <row r="41" spans="1:8" x14ac:dyDescent="0.2">
      <c r="A41" s="148"/>
      <c r="B41" s="147">
        <v>39</v>
      </c>
      <c r="C41" s="146" t="b">
        <v>0</v>
      </c>
      <c r="D41" s="145" t="str">
        <v>G7</v>
      </c>
      <c r="E41" s="144" t="str">
        <f t="shared" si="1"/>
        <v>GBPFUT1MG7_Quote</v>
      </c>
      <c r="F41" s="143" t="str">
        <f>_xll.qlSimpleQuote(E41,,PriceTickValue,Permanent,Trigger,ObjectOverwrite)</f>
        <v>GBPFUT1MG7_Quote#0001</v>
      </c>
      <c r="G41" s="106" t="str">
        <f>_xll.ohRangeRetrieveError(F41)</f>
        <v/>
      </c>
      <c r="H41" s="142"/>
    </row>
    <row r="42" spans="1:8" x14ac:dyDescent="0.2">
      <c r="A42" s="148"/>
      <c r="B42" s="147">
        <v>40</v>
      </c>
      <c r="C42" s="146" t="b">
        <v>0</v>
      </c>
      <c r="D42" s="145" t="str">
        <v>H7</v>
      </c>
      <c r="E42" s="144" t="str">
        <f t="shared" si="1"/>
        <v>GBPFUT1MH7_Quote</v>
      </c>
      <c r="F42" s="143" t="str">
        <f>_xll.qlSimpleQuote(E42,,PriceTickValue,Permanent,Trigger,ObjectOverwrite)</f>
        <v>GBPFUT1MH7_Quote#0001</v>
      </c>
      <c r="G42" s="106" t="str">
        <f>_xll.ohRangeRetrieveError(F42)</f>
        <v/>
      </c>
      <c r="H42" s="142"/>
    </row>
    <row r="43" spans="1:8" x14ac:dyDescent="0.2">
      <c r="A43" s="148"/>
      <c r="B43" s="147">
        <v>41</v>
      </c>
      <c r="C43" s="146" t="b">
        <v>0</v>
      </c>
      <c r="D43" s="145" t="str">
        <v>J7</v>
      </c>
      <c r="E43" s="144" t="str">
        <f t="shared" si="1"/>
        <v>GBPFUT1MJ7_Quote</v>
      </c>
      <c r="F43" s="143" t="str">
        <f>_xll.qlSimpleQuote(E43,,PriceTickValue,Permanent,Trigger,ObjectOverwrite)</f>
        <v>GBPFUT1MJ7_Quote#0001</v>
      </c>
      <c r="G43" s="106" t="str">
        <f>_xll.ohRangeRetrieveError(F43)</f>
        <v/>
      </c>
      <c r="H43" s="142"/>
    </row>
    <row r="44" spans="1:8" x14ac:dyDescent="0.2">
      <c r="A44" s="148"/>
      <c r="B44" s="147">
        <v>42</v>
      </c>
      <c r="C44" s="146" t="b">
        <v>0</v>
      </c>
      <c r="D44" s="145" t="str">
        <v>K7</v>
      </c>
      <c r="E44" s="144" t="str">
        <f t="shared" si="1"/>
        <v>GBPFUT1MK7_Quote</v>
      </c>
      <c r="F44" s="143" t="str">
        <f>_xll.qlSimpleQuote(E44,,PriceTickValue,Permanent,Trigger,ObjectOverwrite)</f>
        <v>GBPFUT1MK7_Quote#0001</v>
      </c>
      <c r="G44" s="106" t="str">
        <f>_xll.ohRangeRetrieveError(F44)</f>
        <v/>
      </c>
      <c r="H44" s="142"/>
    </row>
    <row r="45" spans="1:8" x14ac:dyDescent="0.2">
      <c r="A45" s="148"/>
      <c r="B45" s="147">
        <v>43</v>
      </c>
      <c r="C45" s="146" t="b">
        <v>0</v>
      </c>
      <c r="D45" s="145" t="str">
        <v>M7</v>
      </c>
      <c r="E45" s="144" t="str">
        <f t="shared" si="1"/>
        <v>GBPFUT1MM7_Quote</v>
      </c>
      <c r="F45" s="143" t="str">
        <f>_xll.qlSimpleQuote(E45,,PriceTickValue,Permanent,Trigger,ObjectOverwrite)</f>
        <v>GBPFUT1MM7_Quote#0001</v>
      </c>
      <c r="G45" s="106" t="str">
        <f>_xll.ohRangeRetrieveError(F45)</f>
        <v/>
      </c>
      <c r="H45" s="142"/>
    </row>
    <row r="46" spans="1:8" x14ac:dyDescent="0.2">
      <c r="A46" s="148"/>
      <c r="B46" s="147">
        <v>44</v>
      </c>
      <c r="C46" s="146" t="b">
        <v>0</v>
      </c>
      <c r="D46" s="145" t="str">
        <v>N7</v>
      </c>
      <c r="E46" s="144" t="str">
        <f t="shared" si="1"/>
        <v>GBPFUT1MN7_Quote</v>
      </c>
      <c r="F46" s="143" t="str">
        <f>_xll.qlSimpleQuote(E46,,PriceTickValue,Permanent,Trigger,ObjectOverwrite)</f>
        <v>GBPFUT1MN7_Quote#0001</v>
      </c>
      <c r="G46" s="106" t="str">
        <f>_xll.ohRangeRetrieveError(F46)</f>
        <v/>
      </c>
      <c r="H46" s="142"/>
    </row>
    <row r="47" spans="1:8" x14ac:dyDescent="0.2">
      <c r="A47" s="148"/>
      <c r="B47" s="147">
        <v>45</v>
      </c>
      <c r="C47" s="146" t="b">
        <v>0</v>
      </c>
      <c r="D47" s="145" t="str">
        <v>Q7</v>
      </c>
      <c r="E47" s="144" t="str">
        <f t="shared" si="1"/>
        <v>GBPFUT1MQ7_Quote</v>
      </c>
      <c r="F47" s="143" t="str">
        <f>_xll.qlSimpleQuote(E47,,PriceTickValue,Permanent,Trigger,ObjectOverwrite)</f>
        <v>GBPFUT1MQ7_Quote#0001</v>
      </c>
      <c r="G47" s="106" t="str">
        <f>_xll.ohRangeRetrieveError(F47)</f>
        <v/>
      </c>
      <c r="H47" s="142"/>
    </row>
    <row r="48" spans="1:8" x14ac:dyDescent="0.2">
      <c r="A48" s="148"/>
      <c r="B48" s="147">
        <v>46</v>
      </c>
      <c r="C48" s="146" t="b">
        <v>0</v>
      </c>
      <c r="D48" s="145" t="str">
        <v>U7</v>
      </c>
      <c r="E48" s="144" t="str">
        <f t="shared" si="1"/>
        <v>GBPFUT1MU7_Quote</v>
      </c>
      <c r="F48" s="143" t="str">
        <f>_xll.qlSimpleQuote(E48,,PriceTickValue,Permanent,Trigger,ObjectOverwrite)</f>
        <v>GBPFUT1MU7_Quote#0001</v>
      </c>
      <c r="G48" s="106" t="str">
        <f>_xll.ohRangeRetrieveError(F48)</f>
        <v/>
      </c>
      <c r="H48" s="142"/>
    </row>
    <row r="49" spans="1:8" x14ac:dyDescent="0.2">
      <c r="A49" s="148"/>
      <c r="B49" s="147">
        <v>47</v>
      </c>
      <c r="C49" s="146" t="b">
        <v>0</v>
      </c>
      <c r="D49" s="145" t="str">
        <v>V7</v>
      </c>
      <c r="E49" s="144" t="str">
        <f t="shared" si="1"/>
        <v>GBPFUT1MV7_Quote</v>
      </c>
      <c r="F49" s="143" t="str">
        <f>_xll.qlSimpleQuote(E49,,PriceTickValue,Permanent,Trigger,ObjectOverwrite)</f>
        <v>GBPFUT1MV7_Quote#0001</v>
      </c>
      <c r="G49" s="106" t="str">
        <f>_xll.ohRangeRetrieveError(F49)</f>
        <v/>
      </c>
      <c r="H49" s="142"/>
    </row>
    <row r="50" spans="1:8" x14ac:dyDescent="0.2">
      <c r="A50" s="148"/>
      <c r="B50" s="147">
        <v>48</v>
      </c>
      <c r="C50" s="146" t="b">
        <v>0</v>
      </c>
      <c r="D50" s="145" t="str">
        <v>X7</v>
      </c>
      <c r="E50" s="144" t="str">
        <f t="shared" si="1"/>
        <v>GBPFUT1MX7_Quote</v>
      </c>
      <c r="F50" s="143" t="str">
        <f>_xll.qlSimpleQuote(E50,,PriceTickValue,Permanent,Trigger,ObjectOverwrite)</f>
        <v>GBPFUT1MX7_Quote#0001</v>
      </c>
      <c r="G50" s="106" t="str">
        <f>_xll.ohRangeRetrieveError(F50)</f>
        <v/>
      </c>
      <c r="H50" s="142"/>
    </row>
    <row r="51" spans="1:8" x14ac:dyDescent="0.2">
      <c r="A51" s="148"/>
      <c r="B51" s="147">
        <v>49</v>
      </c>
      <c r="C51" s="146" t="b">
        <v>0</v>
      </c>
      <c r="D51" s="145" t="str">
        <v>Z7</v>
      </c>
      <c r="E51" s="144" t="str">
        <f t="shared" si="1"/>
        <v>GBPFUT1MZ7_Quote</v>
      </c>
      <c r="F51" s="143" t="str">
        <f>_xll.qlSimpleQuote(E51,,PriceTickValue,Permanent,Trigger,ObjectOverwrite)</f>
        <v>GBPFUT1MZ7_Quote#0001</v>
      </c>
      <c r="G51" s="106" t="str">
        <f>_xll.ohRangeRetrieveError(F51)</f>
        <v/>
      </c>
      <c r="H51" s="142"/>
    </row>
    <row r="52" spans="1:8" x14ac:dyDescent="0.2">
      <c r="A52" s="148"/>
      <c r="B52" s="147">
        <v>50</v>
      </c>
      <c r="C52" s="146" t="b">
        <v>0</v>
      </c>
      <c r="D52" s="145" t="str">
        <v>F8</v>
      </c>
      <c r="E52" s="144" t="str">
        <f t="shared" si="1"/>
        <v>GBPFUT1MF8_Quote</v>
      </c>
      <c r="F52" s="143" t="str">
        <f>_xll.qlSimpleQuote(E52,,PriceTickValue,Permanent,Trigger,ObjectOverwrite)</f>
        <v>GBPFUT1MF8_Quote#0001</v>
      </c>
      <c r="G52" s="106" t="str">
        <f>_xll.ohRangeRetrieveError(F52)</f>
        <v/>
      </c>
      <c r="H52" s="142"/>
    </row>
    <row r="53" spans="1:8" x14ac:dyDescent="0.2">
      <c r="A53" s="148"/>
      <c r="B53" s="147">
        <v>51</v>
      </c>
      <c r="C53" s="146" t="b">
        <v>0</v>
      </c>
      <c r="D53" s="145" t="str">
        <v>G8</v>
      </c>
      <c r="E53" s="144" t="str">
        <f t="shared" si="1"/>
        <v>GBPFUT1MG8_Quote</v>
      </c>
      <c r="F53" s="143" t="str">
        <f>_xll.qlSimpleQuote(E53,,PriceTickValue,Permanent,Trigger,ObjectOverwrite)</f>
        <v>GBPFUT1MG8_Quote#0001</v>
      </c>
      <c r="G53" s="106" t="str">
        <f>_xll.ohRangeRetrieveError(F53)</f>
        <v/>
      </c>
      <c r="H53" s="142"/>
    </row>
    <row r="54" spans="1:8" x14ac:dyDescent="0.2">
      <c r="A54" s="148"/>
      <c r="B54" s="147">
        <v>52</v>
      </c>
      <c r="C54" s="146" t="b">
        <v>0</v>
      </c>
      <c r="D54" s="145" t="str">
        <v>H8</v>
      </c>
      <c r="E54" s="144" t="str">
        <f t="shared" si="1"/>
        <v>GBPFUT1MH8_Quote</v>
      </c>
      <c r="F54" s="143" t="str">
        <f>_xll.qlSimpleQuote(E54,,PriceTickValue,Permanent,Trigger,ObjectOverwrite)</f>
        <v>GBPFUT1MH8_Quote#0001</v>
      </c>
      <c r="G54" s="106" t="str">
        <f>_xll.ohRangeRetrieveError(F54)</f>
        <v/>
      </c>
      <c r="H54" s="142"/>
    </row>
    <row r="55" spans="1:8" x14ac:dyDescent="0.2">
      <c r="A55" s="148"/>
      <c r="B55" s="147">
        <v>53</v>
      </c>
      <c r="C55" s="146" t="b">
        <v>0</v>
      </c>
      <c r="D55" s="145" t="str">
        <v>J8</v>
      </c>
      <c r="E55" s="144" t="str">
        <f t="shared" si="1"/>
        <v>GBPFUT1MJ8_Quote</v>
      </c>
      <c r="F55" s="143" t="str">
        <f>_xll.qlSimpleQuote(E55,,PriceTickValue,Permanent,Trigger,ObjectOverwrite)</f>
        <v>GBPFUT1MJ8_Quote#0001</v>
      </c>
      <c r="G55" s="106" t="str">
        <f>_xll.ohRangeRetrieveError(F55)</f>
        <v/>
      </c>
      <c r="H55" s="142"/>
    </row>
    <row r="56" spans="1:8" x14ac:dyDescent="0.2">
      <c r="A56" s="148"/>
      <c r="B56" s="147">
        <v>54</v>
      </c>
      <c r="C56" s="146" t="b">
        <v>0</v>
      </c>
      <c r="D56" s="145" t="str">
        <v>K8</v>
      </c>
      <c r="E56" s="144" t="str">
        <f t="shared" si="1"/>
        <v>GBPFUT1MK8_Quote</v>
      </c>
      <c r="F56" s="143" t="str">
        <f>_xll.qlSimpleQuote(E56,,PriceTickValue,Permanent,Trigger,ObjectOverwrite)</f>
        <v>GBPFUT1MK8_Quote#0001</v>
      </c>
      <c r="G56" s="106" t="str">
        <f>_xll.ohRangeRetrieveError(F56)</f>
        <v/>
      </c>
      <c r="H56" s="142"/>
    </row>
    <row r="57" spans="1:8" x14ac:dyDescent="0.2">
      <c r="A57" s="148"/>
      <c r="B57" s="147">
        <v>55</v>
      </c>
      <c r="C57" s="146" t="b">
        <v>0</v>
      </c>
      <c r="D57" s="145" t="str">
        <v>M8</v>
      </c>
      <c r="E57" s="144" t="str">
        <f t="shared" si="1"/>
        <v>GBPFUT1MM8_Quote</v>
      </c>
      <c r="F57" s="143" t="str">
        <f>_xll.qlSimpleQuote(E57,,PriceTickValue,Permanent,Trigger,ObjectOverwrite)</f>
        <v>GBPFUT1MM8_Quote#0001</v>
      </c>
      <c r="G57" s="106" t="str">
        <f>_xll.ohRangeRetrieveError(F57)</f>
        <v/>
      </c>
      <c r="H57" s="142"/>
    </row>
    <row r="58" spans="1:8" x14ac:dyDescent="0.2">
      <c r="A58" s="148"/>
      <c r="B58" s="147">
        <v>56</v>
      </c>
      <c r="C58" s="146" t="b">
        <v>0</v>
      </c>
      <c r="D58" s="145" t="str">
        <v>N8</v>
      </c>
      <c r="E58" s="144" t="str">
        <f t="shared" si="1"/>
        <v>GBPFUT1MN8_Quote</v>
      </c>
      <c r="F58" s="143" t="str">
        <f>_xll.qlSimpleQuote(E58,,PriceTickValue,Permanent,Trigger,ObjectOverwrite)</f>
        <v>GBPFUT1MN8_Quote#0001</v>
      </c>
      <c r="G58" s="106" t="str">
        <f>_xll.ohRangeRetrieveError(F58)</f>
        <v/>
      </c>
      <c r="H58" s="142"/>
    </row>
    <row r="59" spans="1:8" x14ac:dyDescent="0.2">
      <c r="A59" s="148"/>
      <c r="B59" s="147">
        <v>57</v>
      </c>
      <c r="C59" s="146" t="b">
        <v>0</v>
      </c>
      <c r="D59" s="145" t="str">
        <v>Q8</v>
      </c>
      <c r="E59" s="144" t="str">
        <f t="shared" si="1"/>
        <v>GBPFUT1MQ8_Quote</v>
      </c>
      <c r="F59" s="143" t="str">
        <f>_xll.qlSimpleQuote(E59,,PriceTickValue,Permanent,Trigger,ObjectOverwrite)</f>
        <v>GBPFUT1MQ8_Quote#0001</v>
      </c>
      <c r="G59" s="106" t="str">
        <f>_xll.ohRangeRetrieveError(F59)</f>
        <v/>
      </c>
      <c r="H59" s="142"/>
    </row>
    <row r="60" spans="1:8" x14ac:dyDescent="0.2">
      <c r="A60" s="148"/>
      <c r="B60" s="147">
        <v>58</v>
      </c>
      <c r="C60" s="146" t="b">
        <v>0</v>
      </c>
      <c r="D60" s="145" t="str">
        <v>U8</v>
      </c>
      <c r="E60" s="144" t="str">
        <f t="shared" si="1"/>
        <v>GBPFUT1MU8_Quote</v>
      </c>
      <c r="F60" s="143" t="str">
        <f>_xll.qlSimpleQuote(E60,,PriceTickValue,Permanent,Trigger,ObjectOverwrite)</f>
        <v>GBPFUT1MU8_Quote#0001</v>
      </c>
      <c r="G60" s="106" t="str">
        <f>_xll.ohRangeRetrieveError(F60)</f>
        <v/>
      </c>
      <c r="H60" s="142"/>
    </row>
    <row r="61" spans="1:8" x14ac:dyDescent="0.2">
      <c r="A61" s="148"/>
      <c r="B61" s="147">
        <v>59</v>
      </c>
      <c r="C61" s="146" t="b">
        <v>0</v>
      </c>
      <c r="D61" s="145" t="str">
        <v>V8</v>
      </c>
      <c r="E61" s="144" t="str">
        <f t="shared" si="1"/>
        <v>GBPFUT1MV8_Quote</v>
      </c>
      <c r="F61" s="143" t="str">
        <f>_xll.qlSimpleQuote(E61,,PriceTickValue,Permanent,Trigger,ObjectOverwrite)</f>
        <v>GBPFUT1MV8_Quote#0001</v>
      </c>
      <c r="G61" s="106" t="str">
        <f>_xll.ohRangeRetrieveError(F61)</f>
        <v/>
      </c>
      <c r="H61" s="142"/>
    </row>
    <row r="62" spans="1:8" x14ac:dyDescent="0.2">
      <c r="A62" s="148"/>
      <c r="B62" s="147">
        <v>60</v>
      </c>
      <c r="C62" s="146" t="b">
        <v>0</v>
      </c>
      <c r="D62" s="145" t="str">
        <v>X8</v>
      </c>
      <c r="E62" s="144" t="str">
        <f t="shared" si="1"/>
        <v>GBPFUT1MX8_Quote</v>
      </c>
      <c r="F62" s="143" t="str">
        <f>_xll.qlSimpleQuote(E62,,PriceTickValue,Permanent,Trigger,ObjectOverwrite)</f>
        <v>GBPFUT1MX8_Quote#0001</v>
      </c>
      <c r="G62" s="106" t="str">
        <f>_xll.ohRangeRetrieveError(F62)</f>
        <v/>
      </c>
      <c r="H62" s="142"/>
    </row>
    <row r="63" spans="1:8" x14ac:dyDescent="0.2">
      <c r="A63" s="148"/>
      <c r="B63" s="147">
        <v>61</v>
      </c>
      <c r="C63" s="146" t="b">
        <v>0</v>
      </c>
      <c r="D63" s="145" t="str">
        <v>Z8</v>
      </c>
      <c r="E63" s="144" t="str">
        <f t="shared" si="1"/>
        <v>GBPFUT1MZ8_Quote</v>
      </c>
      <c r="F63" s="143" t="str">
        <f>_xll.qlSimpleQuote(E63,,PriceTickValue,Permanent,Trigger,ObjectOverwrite)</f>
        <v>GBPFUT1MZ8_Quote#0001</v>
      </c>
      <c r="G63" s="106" t="str">
        <f>_xll.ohRangeRetrieveError(F63)</f>
        <v/>
      </c>
      <c r="H63" s="142"/>
    </row>
    <row r="64" spans="1:8" x14ac:dyDescent="0.2">
      <c r="A64" s="148"/>
      <c r="B64" s="147">
        <v>62</v>
      </c>
      <c r="C64" s="146" t="b">
        <v>0</v>
      </c>
      <c r="D64" s="145" t="str">
        <v>F9</v>
      </c>
      <c r="E64" s="144" t="str">
        <f t="shared" si="1"/>
        <v>GBPFUT1MF9_Quote</v>
      </c>
      <c r="F64" s="143" t="str">
        <f>_xll.qlSimpleQuote(E64,,PriceTickValue,Permanent,Trigger,ObjectOverwrite)</f>
        <v>GBPFUT1MF9_Quote#0001</v>
      </c>
      <c r="G64" s="106" t="str">
        <f>_xll.ohRangeRetrieveError(F64)</f>
        <v/>
      </c>
      <c r="H64" s="142"/>
    </row>
    <row r="65" spans="1:8" x14ac:dyDescent="0.2">
      <c r="A65" s="148"/>
      <c r="B65" s="147">
        <v>63</v>
      </c>
      <c r="C65" s="146" t="b">
        <v>0</v>
      </c>
      <c r="D65" s="145" t="str">
        <v>G9</v>
      </c>
      <c r="E65" s="144" t="str">
        <f t="shared" si="1"/>
        <v>GBPFUT1MG9_Quote</v>
      </c>
      <c r="F65" s="143" t="str">
        <f>_xll.qlSimpleQuote(E65,,PriceTickValue,Permanent,Trigger,ObjectOverwrite)</f>
        <v>GBPFUT1MG9_Quote#0001</v>
      </c>
      <c r="G65" s="106" t="str">
        <f>_xll.ohRangeRetrieveError(F65)</f>
        <v/>
      </c>
      <c r="H65" s="142"/>
    </row>
    <row r="66" spans="1:8" x14ac:dyDescent="0.2">
      <c r="A66" s="148"/>
      <c r="B66" s="147">
        <v>64</v>
      </c>
      <c r="C66" s="146" t="b">
        <v>0</v>
      </c>
      <c r="D66" s="145" t="str">
        <v>H9</v>
      </c>
      <c r="E66" s="144" t="str">
        <f t="shared" si="1"/>
        <v>GBPFUT1MH9_Quote</v>
      </c>
      <c r="F66" s="143" t="str">
        <f>_xll.qlSimpleQuote(E66,,PriceTickValue,Permanent,Trigger,ObjectOverwrite)</f>
        <v>GBPFUT1MH9_Quote#0001</v>
      </c>
      <c r="G66" s="106" t="str">
        <f>_xll.ohRangeRetrieveError(F66)</f>
        <v/>
      </c>
      <c r="H66" s="142"/>
    </row>
    <row r="67" spans="1:8" x14ac:dyDescent="0.2">
      <c r="A67" s="148"/>
      <c r="B67" s="147">
        <v>65</v>
      </c>
      <c r="C67" s="146" t="b">
        <v>0</v>
      </c>
      <c r="D67" s="145" t="str">
        <v>J9</v>
      </c>
      <c r="E67" s="144" t="str">
        <f t="shared" ref="E67:E98" si="2">Currency&amp;$D$1&amp;$E$1&amp;$D67&amp;QuoteSuffix</f>
        <v>GBPFUT1MJ9_Quote</v>
      </c>
      <c r="F67" s="143" t="str">
        <f>_xll.qlSimpleQuote(E67,,PriceTickValue,Permanent,Trigger,ObjectOverwrite)</f>
        <v>GBPFUT1MJ9_Quote#0001</v>
      </c>
      <c r="G67" s="106" t="str">
        <f>_xll.ohRangeRetrieveError(F67)</f>
        <v/>
      </c>
      <c r="H67" s="142"/>
    </row>
    <row r="68" spans="1:8" x14ac:dyDescent="0.2">
      <c r="A68" s="148"/>
      <c r="B68" s="147">
        <v>66</v>
      </c>
      <c r="C68" s="146" t="b">
        <v>0</v>
      </c>
      <c r="D68" s="145" t="str">
        <v>K9</v>
      </c>
      <c r="E68" s="144" t="str">
        <f t="shared" si="2"/>
        <v>GBPFUT1MK9_Quote</v>
      </c>
      <c r="F68" s="143" t="str">
        <f>_xll.qlSimpleQuote(E68,,PriceTickValue,Permanent,Trigger,ObjectOverwrite)</f>
        <v>GBPFUT1MK9_Quote#0001</v>
      </c>
      <c r="G68" s="106" t="str">
        <f>_xll.ohRangeRetrieveError(F68)</f>
        <v/>
      </c>
      <c r="H68" s="142"/>
    </row>
    <row r="69" spans="1:8" x14ac:dyDescent="0.2">
      <c r="A69" s="148"/>
      <c r="B69" s="147">
        <v>67</v>
      </c>
      <c r="C69" s="146" t="b">
        <v>0</v>
      </c>
      <c r="D69" s="145" t="str">
        <v>M9</v>
      </c>
      <c r="E69" s="144" t="str">
        <f t="shared" si="2"/>
        <v>GBPFUT1MM9_Quote</v>
      </c>
      <c r="F69" s="143" t="str">
        <f>_xll.qlSimpleQuote(E69,,PriceTickValue,Permanent,Trigger,ObjectOverwrite)</f>
        <v>GBPFUT1MM9_Quote#0001</v>
      </c>
      <c r="G69" s="106" t="str">
        <f>_xll.ohRangeRetrieveError(F69)</f>
        <v/>
      </c>
      <c r="H69" s="142"/>
    </row>
    <row r="70" spans="1:8" x14ac:dyDescent="0.2">
      <c r="A70" s="148"/>
      <c r="B70" s="147">
        <v>68</v>
      </c>
      <c r="C70" s="146" t="b">
        <v>0</v>
      </c>
      <c r="D70" s="145" t="str">
        <v>N9</v>
      </c>
      <c r="E70" s="144" t="str">
        <f t="shared" si="2"/>
        <v>GBPFUT1MN9_Quote</v>
      </c>
      <c r="F70" s="143" t="str">
        <f>_xll.qlSimpleQuote(E70,,PriceTickValue,Permanent,Trigger,ObjectOverwrite)</f>
        <v>GBPFUT1MN9_Quote#0001</v>
      </c>
      <c r="G70" s="106" t="str">
        <f>_xll.ohRangeRetrieveError(F70)</f>
        <v/>
      </c>
      <c r="H70" s="142"/>
    </row>
    <row r="71" spans="1:8" x14ac:dyDescent="0.2">
      <c r="A71" s="148"/>
      <c r="B71" s="147">
        <v>69</v>
      </c>
      <c r="C71" s="146" t="b">
        <v>0</v>
      </c>
      <c r="D71" s="145" t="str">
        <v>Q9</v>
      </c>
      <c r="E71" s="144" t="str">
        <f t="shared" si="2"/>
        <v>GBPFUT1MQ9_Quote</v>
      </c>
      <c r="F71" s="143" t="str">
        <f>_xll.qlSimpleQuote(E71,,PriceTickValue,Permanent,Trigger,ObjectOverwrite)</f>
        <v>GBPFUT1MQ9_Quote#0001</v>
      </c>
      <c r="G71" s="106" t="str">
        <f>_xll.ohRangeRetrieveError(F71)</f>
        <v/>
      </c>
      <c r="H71" s="142"/>
    </row>
    <row r="72" spans="1:8" x14ac:dyDescent="0.2">
      <c r="A72" s="148"/>
      <c r="B72" s="147">
        <v>70</v>
      </c>
      <c r="C72" s="146" t="b">
        <v>0</v>
      </c>
      <c r="D72" s="145" t="str">
        <v>U9</v>
      </c>
      <c r="E72" s="144" t="str">
        <f t="shared" si="2"/>
        <v>GBPFUT1MU9_Quote</v>
      </c>
      <c r="F72" s="143" t="str">
        <f>_xll.qlSimpleQuote(E72,,PriceTickValue,Permanent,Trigger,ObjectOverwrite)</f>
        <v>GBPFUT1MU9_Quote#0001</v>
      </c>
      <c r="G72" s="106" t="str">
        <f>_xll.ohRangeRetrieveError(F72)</f>
        <v/>
      </c>
      <c r="H72" s="142"/>
    </row>
    <row r="73" spans="1:8" x14ac:dyDescent="0.2">
      <c r="A73" s="148"/>
      <c r="B73" s="147">
        <v>71</v>
      </c>
      <c r="C73" s="146" t="b">
        <v>0</v>
      </c>
      <c r="D73" s="145" t="str">
        <v>V9</v>
      </c>
      <c r="E73" s="144" t="str">
        <f t="shared" si="2"/>
        <v>GBPFUT1MV9_Quote</v>
      </c>
      <c r="F73" s="143" t="str">
        <f>_xll.qlSimpleQuote(E73,,PriceTickValue,Permanent,Trigger,ObjectOverwrite)</f>
        <v>GBPFUT1MV9_Quote#0001</v>
      </c>
      <c r="G73" s="106" t="str">
        <f>_xll.ohRangeRetrieveError(F73)</f>
        <v/>
      </c>
      <c r="H73" s="142"/>
    </row>
    <row r="74" spans="1:8" x14ac:dyDescent="0.2">
      <c r="A74" s="148"/>
      <c r="B74" s="147">
        <v>72</v>
      </c>
      <c r="C74" s="146" t="b">
        <v>0</v>
      </c>
      <c r="D74" s="145" t="str">
        <v>X9</v>
      </c>
      <c r="E74" s="144" t="str">
        <f t="shared" si="2"/>
        <v>GBPFUT1MX9_Quote</v>
      </c>
      <c r="F74" s="143" t="str">
        <f>_xll.qlSimpleQuote(E74,,PriceTickValue,Permanent,Trigger,ObjectOverwrite)</f>
        <v>GBPFUT1MX9_Quote#0001</v>
      </c>
      <c r="G74" s="106" t="str">
        <f>_xll.ohRangeRetrieveError(F74)</f>
        <v/>
      </c>
      <c r="H74" s="142"/>
    </row>
    <row r="75" spans="1:8" x14ac:dyDescent="0.2">
      <c r="A75" s="148"/>
      <c r="B75" s="147">
        <v>73</v>
      </c>
      <c r="C75" s="146" t="b">
        <v>0</v>
      </c>
      <c r="D75" s="145" t="str">
        <v>Z9</v>
      </c>
      <c r="E75" s="144" t="str">
        <f t="shared" si="2"/>
        <v>GBPFUT1MZ9_Quote</v>
      </c>
      <c r="F75" s="143" t="str">
        <f>_xll.qlSimpleQuote(E75,,PriceTickValue,Permanent,Trigger,ObjectOverwrite)</f>
        <v>GBPFUT1MZ9_Quote#0001</v>
      </c>
      <c r="G75" s="106" t="str">
        <f>_xll.ohRangeRetrieveError(F75)</f>
        <v/>
      </c>
      <c r="H75" s="142"/>
    </row>
    <row r="76" spans="1:8" x14ac:dyDescent="0.2">
      <c r="A76" s="148"/>
      <c r="B76" s="147">
        <v>74</v>
      </c>
      <c r="C76" s="146" t="b">
        <v>0</v>
      </c>
      <c r="D76" s="145" t="str">
        <v>F0</v>
      </c>
      <c r="E76" s="144" t="str">
        <f t="shared" si="2"/>
        <v>GBPFUT1MF0_Quote</v>
      </c>
      <c r="F76" s="143" t="str">
        <f>_xll.qlSimpleQuote(E76,,PriceTickValue,Permanent,Trigger,ObjectOverwrite)</f>
        <v>GBPFUT1MF0_Quote#0001</v>
      </c>
      <c r="G76" s="106" t="str">
        <f>_xll.ohRangeRetrieveError(F76)</f>
        <v/>
      </c>
      <c r="H76" s="142"/>
    </row>
    <row r="77" spans="1:8" x14ac:dyDescent="0.2">
      <c r="A77" s="148"/>
      <c r="B77" s="147">
        <v>75</v>
      </c>
      <c r="C77" s="146" t="b">
        <v>0</v>
      </c>
      <c r="D77" s="145" t="str">
        <v>G0</v>
      </c>
      <c r="E77" s="144" t="str">
        <f t="shared" si="2"/>
        <v>GBPFUT1MG0_Quote</v>
      </c>
      <c r="F77" s="143" t="str">
        <f>_xll.qlSimpleQuote(E77,,PriceTickValue,Permanent,Trigger,ObjectOverwrite)</f>
        <v>GBPFUT1MG0_Quote#0001</v>
      </c>
      <c r="G77" s="106" t="str">
        <f>_xll.ohRangeRetrieveError(F77)</f>
        <v/>
      </c>
      <c r="H77" s="142"/>
    </row>
    <row r="78" spans="1:8" x14ac:dyDescent="0.2">
      <c r="A78" s="148"/>
      <c r="B78" s="147">
        <v>76</v>
      </c>
      <c r="C78" s="146" t="b">
        <v>0</v>
      </c>
      <c r="D78" s="145" t="str">
        <v>H0</v>
      </c>
      <c r="E78" s="144" t="str">
        <f t="shared" si="2"/>
        <v>GBPFUT1MH0_Quote</v>
      </c>
      <c r="F78" s="143" t="str">
        <f>_xll.qlSimpleQuote(E78,,PriceTickValue,Permanent,Trigger,ObjectOverwrite)</f>
        <v>GBPFUT1MH0_Quote#0001</v>
      </c>
      <c r="G78" s="106" t="str">
        <f>_xll.ohRangeRetrieveError(F78)</f>
        <v/>
      </c>
      <c r="H78" s="142"/>
    </row>
    <row r="79" spans="1:8" x14ac:dyDescent="0.2">
      <c r="A79" s="148"/>
      <c r="B79" s="147">
        <v>77</v>
      </c>
      <c r="C79" s="146" t="b">
        <v>0</v>
      </c>
      <c r="D79" s="145" t="str">
        <v>J0</v>
      </c>
      <c r="E79" s="144" t="str">
        <f t="shared" si="2"/>
        <v>GBPFUT1MJ0_Quote</v>
      </c>
      <c r="F79" s="143" t="str">
        <f>_xll.qlSimpleQuote(E79,,PriceTickValue,Permanent,Trigger,ObjectOverwrite)</f>
        <v>GBPFUT1MJ0_Quote#0001</v>
      </c>
      <c r="G79" s="106" t="str">
        <f>_xll.ohRangeRetrieveError(F79)</f>
        <v/>
      </c>
      <c r="H79" s="142"/>
    </row>
    <row r="80" spans="1:8" x14ac:dyDescent="0.2">
      <c r="A80" s="148"/>
      <c r="B80" s="147">
        <v>78</v>
      </c>
      <c r="C80" s="146" t="b">
        <v>0</v>
      </c>
      <c r="D80" s="145" t="str">
        <v>K0</v>
      </c>
      <c r="E80" s="144" t="str">
        <f t="shared" si="2"/>
        <v>GBPFUT1MK0_Quote</v>
      </c>
      <c r="F80" s="143" t="str">
        <f>_xll.qlSimpleQuote(E80,,PriceTickValue,Permanent,Trigger,ObjectOverwrite)</f>
        <v>GBPFUT1MK0_Quote#0001</v>
      </c>
      <c r="G80" s="106" t="str">
        <f>_xll.ohRangeRetrieveError(F80)</f>
        <v/>
      </c>
      <c r="H80" s="142"/>
    </row>
    <row r="81" spans="1:8" x14ac:dyDescent="0.2">
      <c r="A81" s="148"/>
      <c r="B81" s="147">
        <v>79</v>
      </c>
      <c r="C81" s="146" t="b">
        <v>0</v>
      </c>
      <c r="D81" s="145" t="str">
        <v>M0</v>
      </c>
      <c r="E81" s="144" t="str">
        <f t="shared" si="2"/>
        <v>GBPFUT1MM0_Quote</v>
      </c>
      <c r="F81" s="143" t="str">
        <f>_xll.qlSimpleQuote(E81,,PriceTickValue,Permanent,Trigger,ObjectOverwrite)</f>
        <v>GBPFUT1MM0_Quote#0001</v>
      </c>
      <c r="G81" s="106" t="str">
        <f>_xll.ohRangeRetrieveError(F81)</f>
        <v/>
      </c>
      <c r="H81" s="142"/>
    </row>
    <row r="82" spans="1:8" x14ac:dyDescent="0.2">
      <c r="A82" s="148"/>
      <c r="B82" s="147">
        <v>80</v>
      </c>
      <c r="C82" s="146" t="b">
        <v>0</v>
      </c>
      <c r="D82" s="145" t="str">
        <v>N0</v>
      </c>
      <c r="E82" s="144" t="str">
        <f t="shared" si="2"/>
        <v>GBPFUT1MN0_Quote</v>
      </c>
      <c r="F82" s="143" t="str">
        <f>_xll.qlSimpleQuote(E82,,PriceTickValue,Permanent,Trigger,ObjectOverwrite)</f>
        <v>GBPFUT1MN0_Quote#0001</v>
      </c>
      <c r="G82" s="106" t="str">
        <f>_xll.ohRangeRetrieveError(F82)</f>
        <v/>
      </c>
      <c r="H82" s="142"/>
    </row>
    <row r="83" spans="1:8" x14ac:dyDescent="0.2">
      <c r="A83" s="148"/>
      <c r="B83" s="147">
        <v>81</v>
      </c>
      <c r="C83" s="146" t="b">
        <v>0</v>
      </c>
      <c r="D83" s="145" t="str">
        <v>Q0</v>
      </c>
      <c r="E83" s="144" t="str">
        <f t="shared" si="2"/>
        <v>GBPFUT1MQ0_Quote</v>
      </c>
      <c r="F83" s="143" t="str">
        <f>_xll.qlSimpleQuote(E83,,PriceTickValue,Permanent,Trigger,ObjectOverwrite)</f>
        <v>GBPFUT1MQ0_Quote#0001</v>
      </c>
      <c r="G83" s="106" t="str">
        <f>_xll.ohRangeRetrieveError(F83)</f>
        <v/>
      </c>
      <c r="H83" s="142"/>
    </row>
    <row r="84" spans="1:8" x14ac:dyDescent="0.2">
      <c r="A84" s="148"/>
      <c r="B84" s="147">
        <v>82</v>
      </c>
      <c r="C84" s="146" t="b">
        <v>0</v>
      </c>
      <c r="D84" s="145" t="str">
        <v>U0</v>
      </c>
      <c r="E84" s="144" t="str">
        <f t="shared" si="2"/>
        <v>GBPFUT1MU0_Quote</v>
      </c>
      <c r="F84" s="143" t="str">
        <f>_xll.qlSimpleQuote(E84,,PriceTickValue,Permanent,Trigger,ObjectOverwrite)</f>
        <v>GBPFUT1MU0_Quote#0001</v>
      </c>
      <c r="G84" s="106" t="str">
        <f>_xll.ohRangeRetrieveError(F84)</f>
        <v/>
      </c>
      <c r="H84" s="142"/>
    </row>
    <row r="85" spans="1:8" x14ac:dyDescent="0.2">
      <c r="A85" s="148"/>
      <c r="B85" s="147">
        <v>83</v>
      </c>
      <c r="C85" s="146" t="b">
        <v>0</v>
      </c>
      <c r="D85" s="145" t="str">
        <v>V0</v>
      </c>
      <c r="E85" s="144" t="str">
        <f t="shared" si="2"/>
        <v>GBPFUT1MV0_Quote</v>
      </c>
      <c r="F85" s="143" t="str">
        <f>_xll.qlSimpleQuote(E85,,PriceTickValue,Permanent,Trigger,ObjectOverwrite)</f>
        <v>GBPFUT1MV0_Quote#0001</v>
      </c>
      <c r="G85" s="106" t="str">
        <f>_xll.ohRangeRetrieveError(F85)</f>
        <v/>
      </c>
      <c r="H85" s="142"/>
    </row>
    <row r="86" spans="1:8" x14ac:dyDescent="0.2">
      <c r="A86" s="148"/>
      <c r="B86" s="147">
        <v>84</v>
      </c>
      <c r="C86" s="146" t="b">
        <v>0</v>
      </c>
      <c r="D86" s="145" t="str">
        <v>X0</v>
      </c>
      <c r="E86" s="144" t="str">
        <f t="shared" si="2"/>
        <v>GBPFUT1MX0_Quote</v>
      </c>
      <c r="F86" s="143" t="str">
        <f>_xll.qlSimpleQuote(E86,,PriceTickValue,Permanent,Trigger,ObjectOverwrite)</f>
        <v>GBPFUT1MX0_Quote#0001</v>
      </c>
      <c r="G86" s="106" t="str">
        <f>_xll.ohRangeRetrieveError(F86)</f>
        <v/>
      </c>
      <c r="H86" s="142"/>
    </row>
    <row r="87" spans="1:8" x14ac:dyDescent="0.2">
      <c r="A87" s="148"/>
      <c r="B87" s="147">
        <v>85</v>
      </c>
      <c r="C87" s="146" t="b">
        <v>0</v>
      </c>
      <c r="D87" s="145" t="str">
        <v>Z0</v>
      </c>
      <c r="E87" s="144" t="str">
        <f t="shared" si="2"/>
        <v>GBPFUT1MZ0_Quote</v>
      </c>
      <c r="F87" s="143" t="str">
        <f>_xll.qlSimpleQuote(E87,,PriceTickValue,Permanent,Trigger,ObjectOverwrite)</f>
        <v>GBPFUT1MZ0_Quote#0001</v>
      </c>
      <c r="G87" s="106" t="str">
        <f>_xll.ohRangeRetrieveError(F87)</f>
        <v/>
      </c>
      <c r="H87" s="142"/>
    </row>
    <row r="88" spans="1:8" x14ac:dyDescent="0.2">
      <c r="A88" s="148"/>
      <c r="B88" s="147">
        <v>86</v>
      </c>
      <c r="C88" s="146" t="b">
        <v>0</v>
      </c>
      <c r="D88" s="145" t="str">
        <v>F1</v>
      </c>
      <c r="E88" s="144" t="str">
        <f t="shared" si="2"/>
        <v>GBPFUT1MF1_Quote</v>
      </c>
      <c r="F88" s="143" t="str">
        <f>_xll.qlSimpleQuote(E88,,PriceTickValue,Permanent,Trigger,ObjectOverwrite)</f>
        <v>GBPFUT1MF1_Quote#0001</v>
      </c>
      <c r="G88" s="106" t="str">
        <f>_xll.ohRangeRetrieveError(F88)</f>
        <v/>
      </c>
      <c r="H88" s="142"/>
    </row>
    <row r="89" spans="1:8" x14ac:dyDescent="0.2">
      <c r="A89" s="148"/>
      <c r="B89" s="147">
        <v>87</v>
      </c>
      <c r="C89" s="146" t="b">
        <v>0</v>
      </c>
      <c r="D89" s="145" t="str">
        <v>G1</v>
      </c>
      <c r="E89" s="144" t="str">
        <f t="shared" si="2"/>
        <v>GBPFUT1MG1_Quote</v>
      </c>
      <c r="F89" s="143" t="str">
        <f>_xll.qlSimpleQuote(E89,,PriceTickValue,Permanent,Trigger,ObjectOverwrite)</f>
        <v>GBPFUT1MG1_Quote#0001</v>
      </c>
      <c r="G89" s="106" t="str">
        <f>_xll.ohRangeRetrieveError(F89)</f>
        <v/>
      </c>
      <c r="H89" s="142"/>
    </row>
    <row r="90" spans="1:8" x14ac:dyDescent="0.2">
      <c r="A90" s="148"/>
      <c r="B90" s="147">
        <v>88</v>
      </c>
      <c r="C90" s="146" t="b">
        <v>0</v>
      </c>
      <c r="D90" s="145" t="str">
        <v>H1</v>
      </c>
      <c r="E90" s="144" t="str">
        <f t="shared" si="2"/>
        <v>GBPFUT1MH1_Quote</v>
      </c>
      <c r="F90" s="143" t="str">
        <f>_xll.qlSimpleQuote(E90,,PriceTickValue,Permanent,Trigger,ObjectOverwrite)</f>
        <v>GBPFUT1MH1_Quote#0001</v>
      </c>
      <c r="G90" s="106" t="str">
        <f>_xll.ohRangeRetrieveError(F90)</f>
        <v/>
      </c>
      <c r="H90" s="142"/>
    </row>
    <row r="91" spans="1:8" x14ac:dyDescent="0.2">
      <c r="A91" s="148"/>
      <c r="B91" s="147">
        <v>89</v>
      </c>
      <c r="C91" s="146" t="b">
        <v>0</v>
      </c>
      <c r="D91" s="145" t="str">
        <v>J1</v>
      </c>
      <c r="E91" s="144" t="str">
        <f t="shared" si="2"/>
        <v>GBPFUT1MJ1_Quote</v>
      </c>
      <c r="F91" s="143" t="str">
        <f>_xll.qlSimpleQuote(E91,,PriceTickValue,Permanent,Trigger,ObjectOverwrite)</f>
        <v>GBPFUT1MJ1_Quote#0001</v>
      </c>
      <c r="G91" s="106" t="str">
        <f>_xll.ohRangeRetrieveError(F91)</f>
        <v/>
      </c>
      <c r="H91" s="142"/>
    </row>
    <row r="92" spans="1:8" x14ac:dyDescent="0.2">
      <c r="A92" s="148"/>
      <c r="B92" s="147">
        <v>90</v>
      </c>
      <c r="C92" s="146" t="b">
        <v>0</v>
      </c>
      <c r="D92" s="145" t="str">
        <v>K1</v>
      </c>
      <c r="E92" s="144" t="str">
        <f t="shared" si="2"/>
        <v>GBPFUT1MK1_Quote</v>
      </c>
      <c r="F92" s="143" t="str">
        <f>_xll.qlSimpleQuote(E92,,PriceTickValue,Permanent,Trigger,ObjectOverwrite)</f>
        <v>GBPFUT1MK1_Quote#0001</v>
      </c>
      <c r="G92" s="106" t="str">
        <f>_xll.ohRangeRetrieveError(F92)</f>
        <v/>
      </c>
      <c r="H92" s="142"/>
    </row>
    <row r="93" spans="1:8" x14ac:dyDescent="0.2">
      <c r="A93" s="148"/>
      <c r="B93" s="147">
        <v>91</v>
      </c>
      <c r="C93" s="146" t="b">
        <v>0</v>
      </c>
      <c r="D93" s="145" t="str">
        <v>M1</v>
      </c>
      <c r="E93" s="144" t="str">
        <f t="shared" si="2"/>
        <v>GBPFUT1MM1_Quote</v>
      </c>
      <c r="F93" s="143" t="str">
        <f>_xll.qlSimpleQuote(E93,,PriceTickValue,Permanent,Trigger,ObjectOverwrite)</f>
        <v>GBPFUT1MM1_Quote#0001</v>
      </c>
      <c r="G93" s="106" t="str">
        <f>_xll.ohRangeRetrieveError(F93)</f>
        <v/>
      </c>
      <c r="H93" s="142"/>
    </row>
    <row r="94" spans="1:8" x14ac:dyDescent="0.2">
      <c r="A94" s="148"/>
      <c r="B94" s="147">
        <v>92</v>
      </c>
      <c r="C94" s="146" t="b">
        <v>0</v>
      </c>
      <c r="D94" s="145" t="str">
        <v>N1</v>
      </c>
      <c r="E94" s="144" t="str">
        <f t="shared" si="2"/>
        <v>GBPFUT1MN1_Quote</v>
      </c>
      <c r="F94" s="143" t="str">
        <f>_xll.qlSimpleQuote(E94,,PriceTickValue,Permanent,Trigger,ObjectOverwrite)</f>
        <v>GBPFUT1MN1_Quote#0001</v>
      </c>
      <c r="G94" s="106" t="str">
        <f>_xll.ohRangeRetrieveError(F94)</f>
        <v/>
      </c>
      <c r="H94" s="142"/>
    </row>
    <row r="95" spans="1:8" x14ac:dyDescent="0.2">
      <c r="A95" s="148"/>
      <c r="B95" s="147">
        <v>93</v>
      </c>
      <c r="C95" s="146" t="b">
        <v>0</v>
      </c>
      <c r="D95" s="145" t="str">
        <v>Q1</v>
      </c>
      <c r="E95" s="144" t="str">
        <f t="shared" si="2"/>
        <v>GBPFUT1MQ1_Quote</v>
      </c>
      <c r="F95" s="143" t="str">
        <f>_xll.qlSimpleQuote(E95,,PriceTickValue,Permanent,Trigger,ObjectOverwrite)</f>
        <v>GBPFUT1MQ1_Quote#0001</v>
      </c>
      <c r="G95" s="106" t="str">
        <f>_xll.ohRangeRetrieveError(F95)</f>
        <v/>
      </c>
      <c r="H95" s="142"/>
    </row>
    <row r="96" spans="1:8" x14ac:dyDescent="0.2">
      <c r="A96" s="148"/>
      <c r="B96" s="147">
        <v>94</v>
      </c>
      <c r="C96" s="146" t="b">
        <v>0</v>
      </c>
      <c r="D96" s="145" t="str">
        <v>U1</v>
      </c>
      <c r="E96" s="144" t="str">
        <f t="shared" si="2"/>
        <v>GBPFUT1MU1_Quote</v>
      </c>
      <c r="F96" s="143" t="str">
        <f>_xll.qlSimpleQuote(E96,,PriceTickValue,Permanent,Trigger,ObjectOverwrite)</f>
        <v>GBPFUT1MU1_Quote#0001</v>
      </c>
      <c r="G96" s="106" t="str">
        <f>_xll.ohRangeRetrieveError(F96)</f>
        <v/>
      </c>
      <c r="H96" s="142"/>
    </row>
    <row r="97" spans="1:8" x14ac:dyDescent="0.2">
      <c r="A97" s="148"/>
      <c r="B97" s="147">
        <v>95</v>
      </c>
      <c r="C97" s="146" t="b">
        <v>0</v>
      </c>
      <c r="D97" s="145" t="str">
        <v>V1</v>
      </c>
      <c r="E97" s="144" t="str">
        <f t="shared" si="2"/>
        <v>GBPFUT1MV1_Quote</v>
      </c>
      <c r="F97" s="143" t="str">
        <f>_xll.qlSimpleQuote(E97,,PriceTickValue,Permanent,Trigger,ObjectOverwrite)</f>
        <v>GBPFUT1MV1_Quote#0001</v>
      </c>
      <c r="G97" s="106" t="str">
        <f>_xll.ohRangeRetrieveError(F97)</f>
        <v/>
      </c>
      <c r="H97" s="142"/>
    </row>
    <row r="98" spans="1:8" x14ac:dyDescent="0.2">
      <c r="A98" s="148"/>
      <c r="B98" s="147">
        <v>96</v>
      </c>
      <c r="C98" s="146" t="b">
        <v>0</v>
      </c>
      <c r="D98" s="145" t="str">
        <v>X1</v>
      </c>
      <c r="E98" s="144" t="str">
        <f t="shared" si="2"/>
        <v>GBPFUT1MX1_Quote</v>
      </c>
      <c r="F98" s="143" t="str">
        <f>_xll.qlSimpleQuote(E98,,PriceTickValue,Permanent,Trigger,ObjectOverwrite)</f>
        <v>GBPFUT1MX1_Quote#0001</v>
      </c>
      <c r="G98" s="106" t="str">
        <f>_xll.ohRangeRetrieveError(F98)</f>
        <v/>
      </c>
      <c r="H98" s="142"/>
    </row>
    <row r="99" spans="1:8" x14ac:dyDescent="0.2">
      <c r="A99" s="148"/>
      <c r="B99" s="147">
        <v>97</v>
      </c>
      <c r="C99" s="146" t="b">
        <v>0</v>
      </c>
      <c r="D99" s="145" t="str">
        <v>Z1</v>
      </c>
      <c r="E99" s="144" t="str">
        <f t="shared" ref="E99:E122" si="3">Currency&amp;$D$1&amp;$E$1&amp;$D99&amp;QuoteSuffix</f>
        <v>GBPFUT1MZ1_Quote</v>
      </c>
      <c r="F99" s="143" t="str">
        <f>_xll.qlSimpleQuote(E99,,PriceTickValue,Permanent,Trigger,ObjectOverwrite)</f>
        <v>GBPFUT1MZ1_Quote#0001</v>
      </c>
      <c r="G99" s="106" t="str">
        <f>_xll.ohRangeRetrieveError(F99)</f>
        <v/>
      </c>
      <c r="H99" s="142"/>
    </row>
    <row r="100" spans="1:8" x14ac:dyDescent="0.2">
      <c r="A100" s="148"/>
      <c r="B100" s="147">
        <v>98</v>
      </c>
      <c r="C100" s="146" t="b">
        <v>0</v>
      </c>
      <c r="D100" s="145" t="str">
        <v>F2</v>
      </c>
      <c r="E100" s="144" t="str">
        <f t="shared" si="3"/>
        <v>GBPFUT1MF2_Quote</v>
      </c>
      <c r="F100" s="143" t="str">
        <f>_xll.qlSimpleQuote(E100,,PriceTickValue,Permanent,Trigger,ObjectOverwrite)</f>
        <v>GBPFUT1MF2_Quote#0001</v>
      </c>
      <c r="G100" s="106" t="str">
        <f>_xll.ohRangeRetrieveError(F100)</f>
        <v/>
      </c>
      <c r="H100" s="142"/>
    </row>
    <row r="101" spans="1:8" x14ac:dyDescent="0.2">
      <c r="A101" s="148"/>
      <c r="B101" s="147">
        <v>99</v>
      </c>
      <c r="C101" s="146" t="b">
        <v>0</v>
      </c>
      <c r="D101" s="145" t="str">
        <v>G2</v>
      </c>
      <c r="E101" s="144" t="str">
        <f t="shared" si="3"/>
        <v>GBPFUT1MG2_Quote</v>
      </c>
      <c r="F101" s="143" t="str">
        <f>_xll.qlSimpleQuote(E101,,PriceTickValue,Permanent,Trigger,ObjectOverwrite)</f>
        <v>GBPFUT1MG2_Quote#0001</v>
      </c>
      <c r="G101" s="106" t="str">
        <f>_xll.ohRangeRetrieveError(F101)</f>
        <v/>
      </c>
      <c r="H101" s="142"/>
    </row>
    <row r="102" spans="1:8" x14ac:dyDescent="0.2">
      <c r="A102" s="148"/>
      <c r="B102" s="147">
        <v>100</v>
      </c>
      <c r="C102" s="146" t="b">
        <v>0</v>
      </c>
      <c r="D102" s="145" t="str">
        <v>H2</v>
      </c>
      <c r="E102" s="144" t="str">
        <f t="shared" si="3"/>
        <v>GBPFUT1MH2_Quote</v>
      </c>
      <c r="F102" s="143" t="str">
        <f>_xll.qlSimpleQuote(E102,,PriceTickValue,Permanent,Trigger,ObjectOverwrite)</f>
        <v>GBPFUT1MH2_Quote#0001</v>
      </c>
      <c r="G102" s="106" t="str">
        <f>_xll.ohRangeRetrieveError(F102)</f>
        <v/>
      </c>
      <c r="H102" s="142"/>
    </row>
    <row r="103" spans="1:8" x14ac:dyDescent="0.2">
      <c r="A103" s="148"/>
      <c r="B103" s="147">
        <v>101</v>
      </c>
      <c r="C103" s="146" t="b">
        <v>0</v>
      </c>
      <c r="D103" s="145" t="str">
        <v>J2</v>
      </c>
      <c r="E103" s="144" t="str">
        <f t="shared" si="3"/>
        <v>GBPFUT1MJ2_Quote</v>
      </c>
      <c r="F103" s="143" t="str">
        <f>_xll.qlSimpleQuote(E103,,PriceTickValue,Permanent,Trigger,ObjectOverwrite)</f>
        <v>GBPFUT1MJ2_Quote#0001</v>
      </c>
      <c r="G103" s="106" t="str">
        <f>_xll.ohRangeRetrieveError(F103)</f>
        <v/>
      </c>
      <c r="H103" s="142"/>
    </row>
    <row r="104" spans="1:8" x14ac:dyDescent="0.2">
      <c r="A104" s="148"/>
      <c r="B104" s="147">
        <v>102</v>
      </c>
      <c r="C104" s="146" t="b">
        <v>0</v>
      </c>
      <c r="D104" s="145" t="str">
        <v>K2</v>
      </c>
      <c r="E104" s="144" t="str">
        <f t="shared" si="3"/>
        <v>GBPFUT1MK2_Quote</v>
      </c>
      <c r="F104" s="143" t="str">
        <f>_xll.qlSimpleQuote(E104,,PriceTickValue,Permanent,Trigger,ObjectOverwrite)</f>
        <v>GBPFUT1MK2_Quote#0001</v>
      </c>
      <c r="G104" s="106" t="str">
        <f>_xll.ohRangeRetrieveError(F104)</f>
        <v/>
      </c>
      <c r="H104" s="142"/>
    </row>
    <row r="105" spans="1:8" x14ac:dyDescent="0.2">
      <c r="A105" s="148"/>
      <c r="B105" s="147">
        <v>103</v>
      </c>
      <c r="C105" s="146" t="b">
        <v>0</v>
      </c>
      <c r="D105" s="145" t="str">
        <v>M2</v>
      </c>
      <c r="E105" s="144" t="str">
        <f t="shared" si="3"/>
        <v>GBPFUT1MM2_Quote</v>
      </c>
      <c r="F105" s="143" t="str">
        <f>_xll.qlSimpleQuote(E105,,PriceTickValue,Permanent,Trigger,ObjectOverwrite)</f>
        <v>GBPFUT1MM2_Quote#0001</v>
      </c>
      <c r="G105" s="106" t="str">
        <f>_xll.ohRangeRetrieveError(F105)</f>
        <v/>
      </c>
      <c r="H105" s="142"/>
    </row>
    <row r="106" spans="1:8" x14ac:dyDescent="0.2">
      <c r="A106" s="148"/>
      <c r="B106" s="147">
        <v>104</v>
      </c>
      <c r="C106" s="146" t="b">
        <v>0</v>
      </c>
      <c r="D106" s="145" t="str">
        <v>N2</v>
      </c>
      <c r="E106" s="144" t="str">
        <f t="shared" si="3"/>
        <v>GBPFUT1MN2_Quote</v>
      </c>
      <c r="F106" s="143" t="str">
        <f>_xll.qlSimpleQuote(E106,,PriceTickValue,Permanent,Trigger,ObjectOverwrite)</f>
        <v>GBPFUT1MN2_Quote#0001</v>
      </c>
      <c r="G106" s="106" t="str">
        <f>_xll.ohRangeRetrieveError(F106)</f>
        <v/>
      </c>
      <c r="H106" s="142"/>
    </row>
    <row r="107" spans="1:8" x14ac:dyDescent="0.2">
      <c r="A107" s="148"/>
      <c r="B107" s="147">
        <v>105</v>
      </c>
      <c r="C107" s="146" t="b">
        <v>0</v>
      </c>
      <c r="D107" s="145" t="str">
        <v>Q2</v>
      </c>
      <c r="E107" s="144" t="str">
        <f t="shared" si="3"/>
        <v>GBPFUT1MQ2_Quote</v>
      </c>
      <c r="F107" s="143" t="str">
        <f>_xll.qlSimpleQuote(E107,,PriceTickValue,Permanent,Trigger,ObjectOverwrite)</f>
        <v>GBPFUT1MQ2_Quote#0001</v>
      </c>
      <c r="G107" s="106" t="str">
        <f>_xll.ohRangeRetrieveError(F107)</f>
        <v/>
      </c>
      <c r="H107" s="142"/>
    </row>
    <row r="108" spans="1:8" x14ac:dyDescent="0.2">
      <c r="A108" s="148"/>
      <c r="B108" s="147">
        <v>106</v>
      </c>
      <c r="C108" s="146" t="b">
        <v>0</v>
      </c>
      <c r="D108" s="145" t="str">
        <v>U2</v>
      </c>
      <c r="E108" s="144" t="str">
        <f t="shared" si="3"/>
        <v>GBPFUT1MU2_Quote</v>
      </c>
      <c r="F108" s="143" t="str">
        <f>_xll.qlSimpleQuote(E108,,PriceTickValue,Permanent,Trigger,ObjectOverwrite)</f>
        <v>GBPFUT1MU2_Quote#0001</v>
      </c>
      <c r="G108" s="106" t="str">
        <f>_xll.ohRangeRetrieveError(F108)</f>
        <v/>
      </c>
      <c r="H108" s="142"/>
    </row>
    <row r="109" spans="1:8" x14ac:dyDescent="0.2">
      <c r="A109" s="148"/>
      <c r="B109" s="147">
        <v>107</v>
      </c>
      <c r="C109" s="146" t="b">
        <v>0</v>
      </c>
      <c r="D109" s="145" t="str">
        <v>V2</v>
      </c>
      <c r="E109" s="144" t="str">
        <f t="shared" si="3"/>
        <v>GBPFUT1MV2_Quote</v>
      </c>
      <c r="F109" s="143" t="str">
        <f>_xll.qlSimpleQuote(E109,,PriceTickValue,Permanent,Trigger,ObjectOverwrite)</f>
        <v>GBPFUT1MV2_Quote#0001</v>
      </c>
      <c r="G109" s="106" t="str">
        <f>_xll.ohRangeRetrieveError(F109)</f>
        <v/>
      </c>
      <c r="H109" s="142"/>
    </row>
    <row r="110" spans="1:8" x14ac:dyDescent="0.2">
      <c r="A110" s="148"/>
      <c r="B110" s="147">
        <v>108</v>
      </c>
      <c r="C110" s="146" t="b">
        <v>0</v>
      </c>
      <c r="D110" s="145" t="str">
        <v>X2</v>
      </c>
      <c r="E110" s="144" t="str">
        <f t="shared" si="3"/>
        <v>GBPFUT1MX2_Quote</v>
      </c>
      <c r="F110" s="143" t="str">
        <f>_xll.qlSimpleQuote(E110,,PriceTickValue,Permanent,Trigger,ObjectOverwrite)</f>
        <v>GBPFUT1MX2_Quote#0001</v>
      </c>
      <c r="G110" s="106" t="str">
        <f>_xll.ohRangeRetrieveError(F110)</f>
        <v/>
      </c>
      <c r="H110" s="142"/>
    </row>
    <row r="111" spans="1:8" x14ac:dyDescent="0.2">
      <c r="A111" s="148"/>
      <c r="B111" s="147">
        <v>109</v>
      </c>
      <c r="C111" s="146" t="b">
        <v>0</v>
      </c>
      <c r="D111" s="145" t="str">
        <v>Z2</v>
      </c>
      <c r="E111" s="144" t="str">
        <f t="shared" si="3"/>
        <v>GBPFUT1MZ2_Quote</v>
      </c>
      <c r="F111" s="143" t="str">
        <f>_xll.qlSimpleQuote(E111,,PriceTickValue,Permanent,Trigger,ObjectOverwrite)</f>
        <v>GBPFUT1MZ2_Quote#0001</v>
      </c>
      <c r="G111" s="106" t="str">
        <f>_xll.ohRangeRetrieveError(F111)</f>
        <v/>
      </c>
      <c r="H111" s="142"/>
    </row>
    <row r="112" spans="1:8" x14ac:dyDescent="0.2">
      <c r="A112" s="148"/>
      <c r="B112" s="147">
        <v>110</v>
      </c>
      <c r="C112" s="146" t="b">
        <v>0</v>
      </c>
      <c r="D112" s="145" t="str">
        <v>F3</v>
      </c>
      <c r="E112" s="144" t="str">
        <f t="shared" si="3"/>
        <v>GBPFUT1MF3_Quote</v>
      </c>
      <c r="F112" s="143" t="str">
        <f>_xll.qlSimpleQuote(E112,,PriceTickValue,Permanent,Trigger,ObjectOverwrite)</f>
        <v>GBPFUT1MF3_Quote#0001</v>
      </c>
      <c r="G112" s="106" t="str">
        <f>_xll.ohRangeRetrieveError(F112)</f>
        <v/>
      </c>
      <c r="H112" s="142"/>
    </row>
    <row r="113" spans="1:8" x14ac:dyDescent="0.2">
      <c r="A113" s="148"/>
      <c r="B113" s="147">
        <v>111</v>
      </c>
      <c r="C113" s="146" t="b">
        <v>0</v>
      </c>
      <c r="D113" s="145" t="str">
        <v>G3</v>
      </c>
      <c r="E113" s="144" t="str">
        <f t="shared" si="3"/>
        <v>GBPFUT1MG3_Quote</v>
      </c>
      <c r="F113" s="143" t="str">
        <f>_xll.qlSimpleQuote(E113,,PriceTickValue,Permanent,Trigger,ObjectOverwrite)</f>
        <v>GBPFUT1MG3_Quote#0001</v>
      </c>
      <c r="G113" s="106" t="str">
        <f>_xll.ohRangeRetrieveError(F113)</f>
        <v/>
      </c>
      <c r="H113" s="142"/>
    </row>
    <row r="114" spans="1:8" x14ac:dyDescent="0.2">
      <c r="A114" s="148"/>
      <c r="B114" s="147">
        <v>112</v>
      </c>
      <c r="C114" s="146" t="b">
        <v>0</v>
      </c>
      <c r="D114" s="145" t="str">
        <v>H3</v>
      </c>
      <c r="E114" s="144" t="str">
        <f t="shared" si="3"/>
        <v>GBPFUT1MH3_Quote</v>
      </c>
      <c r="F114" s="143" t="str">
        <f>_xll.qlSimpleQuote(E114,,PriceTickValue,Permanent,Trigger,ObjectOverwrite)</f>
        <v>GBPFUT1MH3_Quote#0001</v>
      </c>
      <c r="G114" s="106" t="str">
        <f>_xll.ohRangeRetrieveError(F114)</f>
        <v/>
      </c>
      <c r="H114" s="142"/>
    </row>
    <row r="115" spans="1:8" x14ac:dyDescent="0.2">
      <c r="A115" s="148"/>
      <c r="B115" s="147">
        <v>113</v>
      </c>
      <c r="C115" s="146" t="b">
        <v>0</v>
      </c>
      <c r="D115" s="145" t="str">
        <v>J3</v>
      </c>
      <c r="E115" s="144" t="str">
        <f t="shared" si="3"/>
        <v>GBPFUT1MJ3_Quote</v>
      </c>
      <c r="F115" s="143" t="str">
        <f>_xll.qlSimpleQuote(E115,,PriceTickValue,Permanent,Trigger,ObjectOverwrite)</f>
        <v>GBPFUT1MJ3_Quote#0001</v>
      </c>
      <c r="G115" s="106" t="str">
        <f>_xll.ohRangeRetrieveError(F115)</f>
        <v/>
      </c>
      <c r="H115" s="142"/>
    </row>
    <row r="116" spans="1:8" x14ac:dyDescent="0.2">
      <c r="A116" s="148"/>
      <c r="B116" s="147">
        <v>114</v>
      </c>
      <c r="C116" s="146" t="b">
        <v>0</v>
      </c>
      <c r="D116" s="145" t="str">
        <v>K3</v>
      </c>
      <c r="E116" s="144" t="str">
        <f t="shared" si="3"/>
        <v>GBPFUT1MK3_Quote</v>
      </c>
      <c r="F116" s="143" t="str">
        <f>_xll.qlSimpleQuote(E116,,PriceTickValue,Permanent,Trigger,ObjectOverwrite)</f>
        <v>GBPFUT1MK3_Quote#0001</v>
      </c>
      <c r="G116" s="106" t="str">
        <f>_xll.ohRangeRetrieveError(F116)</f>
        <v/>
      </c>
      <c r="H116" s="142"/>
    </row>
    <row r="117" spans="1:8" x14ac:dyDescent="0.2">
      <c r="A117" s="148"/>
      <c r="B117" s="147">
        <v>115</v>
      </c>
      <c r="C117" s="146" t="b">
        <v>0</v>
      </c>
      <c r="D117" s="145" t="str">
        <v>M3</v>
      </c>
      <c r="E117" s="144" t="str">
        <f t="shared" si="3"/>
        <v>GBPFUT1MM3_Quote</v>
      </c>
      <c r="F117" s="143" t="str">
        <f>_xll.qlSimpleQuote(E117,,PriceTickValue,Permanent,Trigger,ObjectOverwrite)</f>
        <v>GBPFUT1MM3_Quote#0001</v>
      </c>
      <c r="G117" s="106" t="str">
        <f>_xll.ohRangeRetrieveError(F117)</f>
        <v/>
      </c>
      <c r="H117" s="142"/>
    </row>
    <row r="118" spans="1:8" x14ac:dyDescent="0.2">
      <c r="A118" s="148"/>
      <c r="B118" s="147">
        <v>116</v>
      </c>
      <c r="C118" s="146" t="b">
        <v>0</v>
      </c>
      <c r="D118" s="145" t="str">
        <v>N3</v>
      </c>
      <c r="E118" s="144" t="str">
        <f t="shared" si="3"/>
        <v>GBPFUT1MN3_Quote</v>
      </c>
      <c r="F118" s="143" t="str">
        <f>_xll.qlSimpleQuote(E118,,PriceTickValue,Permanent,Trigger,ObjectOverwrite)</f>
        <v>GBPFUT1MN3_Quote#0001</v>
      </c>
      <c r="G118" s="106" t="str">
        <f>_xll.ohRangeRetrieveError(F118)</f>
        <v/>
      </c>
      <c r="H118" s="142"/>
    </row>
    <row r="119" spans="1:8" x14ac:dyDescent="0.2">
      <c r="A119" s="148"/>
      <c r="B119" s="147">
        <v>117</v>
      </c>
      <c r="C119" s="146" t="b">
        <v>0</v>
      </c>
      <c r="D119" s="145" t="str">
        <v>Q3</v>
      </c>
      <c r="E119" s="144" t="str">
        <f t="shared" si="3"/>
        <v>GBPFUT1MQ3_Quote</v>
      </c>
      <c r="F119" s="143" t="str">
        <f>_xll.qlSimpleQuote(E119,,PriceTickValue,Permanent,Trigger,ObjectOverwrite)</f>
        <v>GBPFUT1MQ3_Quote#0001</v>
      </c>
      <c r="G119" s="106" t="str">
        <f>_xll.ohRangeRetrieveError(F119)</f>
        <v/>
      </c>
      <c r="H119" s="142"/>
    </row>
    <row r="120" spans="1:8" x14ac:dyDescent="0.2">
      <c r="A120" s="148"/>
      <c r="B120" s="147">
        <v>118</v>
      </c>
      <c r="C120" s="146" t="b">
        <v>0</v>
      </c>
      <c r="D120" s="145" t="str">
        <v>U3</v>
      </c>
      <c r="E120" s="144" t="str">
        <f t="shared" si="3"/>
        <v>GBPFUT1MU3_Quote</v>
      </c>
      <c r="F120" s="143" t="str">
        <f>_xll.qlSimpleQuote(E120,,PriceTickValue,Permanent,Trigger,ObjectOverwrite)</f>
        <v>GBPFUT1MU3_Quote#0001</v>
      </c>
      <c r="G120" s="106" t="str">
        <f>_xll.ohRangeRetrieveError(F120)</f>
        <v/>
      </c>
      <c r="H120" s="142"/>
    </row>
    <row r="121" spans="1:8" x14ac:dyDescent="0.2">
      <c r="A121" s="148"/>
      <c r="B121" s="147">
        <v>119</v>
      </c>
      <c r="C121" s="146" t="b">
        <v>0</v>
      </c>
      <c r="D121" s="145" t="str">
        <v>V3</v>
      </c>
      <c r="E121" s="144" t="str">
        <f t="shared" si="3"/>
        <v>GBPFUT1MV3_Quote</v>
      </c>
      <c r="F121" s="143" t="str">
        <f>_xll.qlSimpleQuote(E121,,PriceTickValue,Permanent,Trigger,ObjectOverwrite)</f>
        <v>GBPFUT1MV3_Quote#0001</v>
      </c>
      <c r="G121" s="106" t="str">
        <f>_xll.ohRangeRetrieveError(F121)</f>
        <v/>
      </c>
      <c r="H121" s="142"/>
    </row>
    <row r="122" spans="1:8" x14ac:dyDescent="0.2">
      <c r="A122" s="148"/>
      <c r="B122" s="147">
        <v>120</v>
      </c>
      <c r="C122" s="146" t="b">
        <v>0</v>
      </c>
      <c r="D122" s="145" t="str">
        <v>X3</v>
      </c>
      <c r="E122" s="144" t="str">
        <f t="shared" si="3"/>
        <v>GBPFUT1MX3_Quote</v>
      </c>
      <c r="F122" s="143" t="str">
        <f>_xll.qlSimpleQuote(E122,,PriceTickValue,Permanent,Trigger,ObjectOverwrite)</f>
        <v>GBPFUT1MX3_Quote#0001</v>
      </c>
      <c r="G122" s="106" t="str">
        <f>_xll.ohRangeRetrieveError(F122)</f>
        <v/>
      </c>
      <c r="H122" s="142"/>
    </row>
    <row r="123" spans="1:8" ht="12" thickBot="1" x14ac:dyDescent="0.25">
      <c r="A123" s="141"/>
      <c r="B123" s="140"/>
      <c r="C123" s="140"/>
      <c r="D123" s="140"/>
      <c r="E123" s="140"/>
      <c r="F123" s="140"/>
      <c r="G123" s="140"/>
      <c r="H123" s="139"/>
    </row>
  </sheetData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"/>
  <sheetViews>
    <sheetView workbookViewId="0"/>
  </sheetViews>
  <sheetFormatPr defaultRowHeight="11.25" x14ac:dyDescent="0.2"/>
  <cols>
    <col min="1" max="1" width="3.28515625" style="67" customWidth="1"/>
    <col min="2" max="2" width="3.5703125" style="67" bestFit="1" customWidth="1"/>
    <col min="3" max="3" width="5.7109375" style="67" bestFit="1" customWidth="1"/>
    <col min="4" max="4" width="6.140625" style="67" bestFit="1" customWidth="1"/>
    <col min="5" max="5" width="19.140625" style="67" bestFit="1" customWidth="1"/>
    <col min="6" max="6" width="20.140625" style="67" bestFit="1" customWidth="1"/>
    <col min="7" max="7" width="33.85546875" style="67" customWidth="1"/>
    <col min="8" max="8" width="4.5703125" style="67" customWidth="1"/>
    <col min="9" max="16384" width="9.140625" style="67"/>
  </cols>
  <sheetData>
    <row r="1" spans="1:8" x14ac:dyDescent="0.2">
      <c r="A1" s="159"/>
      <c r="B1" s="158"/>
      <c r="C1" s="158"/>
      <c r="D1" s="157" t="s">
        <v>178</v>
      </c>
      <c r="E1" s="157" t="s">
        <v>12</v>
      </c>
      <c r="F1" s="156"/>
      <c r="G1" s="156"/>
      <c r="H1" s="155"/>
    </row>
    <row r="2" spans="1:8" ht="22.5" x14ac:dyDescent="0.2">
      <c r="A2" s="154"/>
      <c r="B2" s="92" t="s">
        <v>177</v>
      </c>
      <c r="C2" s="93" t="s">
        <v>176</v>
      </c>
      <c r="D2" s="93" t="s">
        <v>175</v>
      </c>
      <c r="E2" s="91" t="str">
        <f>Currency&amp;"_010_"&amp;$D$1&amp;$E$1&amp;".xml"</f>
        <v>GBP_010_FUT3M.xml</v>
      </c>
      <c r="F2" s="90">
        <f ca="1">IF(Serialize,_xll.ohObjectSave(F3:F122,SerializationPath&amp;E2,FileOverwrite,Serialize),"---")</f>
        <v>120</v>
      </c>
      <c r="G2" s="109" t="str">
        <f ca="1">_xll.ohRangeRetrieveError(F2)</f>
        <v/>
      </c>
      <c r="H2" s="142"/>
    </row>
    <row r="3" spans="1:8" x14ac:dyDescent="0.2">
      <c r="A3" s="148"/>
      <c r="B3" s="153">
        <v>1</v>
      </c>
      <c r="C3" s="152" t="b">
        <v>0</v>
      </c>
      <c r="D3" s="151" t="str">
        <f t="array" ref="D3:D122">_xll.qlIMMNextCodes(_xll.qlSettingsEvaluationDate(Trigger)-1,$C3:$C122)</f>
        <v>Z3</v>
      </c>
      <c r="E3" s="144" t="str">
        <f t="shared" ref="E3:E34" si="0">Currency&amp;$D$1&amp;$E$1&amp;$D3&amp;QuoteSuffix</f>
        <v>GBPFUT3MZ3_Quote</v>
      </c>
      <c r="F3" s="150" t="str">
        <f>_xll.qlSimpleQuote(E3,,PriceTickValue,Permanent,Trigger,ObjectOverwrite)</f>
        <v>GBPFUT3MZ3_Quote#0001</v>
      </c>
      <c r="G3" s="149" t="str">
        <f>_xll.ohRangeRetrieveError(F3)</f>
        <v/>
      </c>
      <c r="H3" s="142"/>
    </row>
    <row r="4" spans="1:8" x14ac:dyDescent="0.2">
      <c r="A4" s="148"/>
      <c r="B4" s="147">
        <v>2</v>
      </c>
      <c r="C4" s="146" t="b">
        <v>0</v>
      </c>
      <c r="D4" s="145" t="str">
        <v>F4</v>
      </c>
      <c r="E4" s="144" t="str">
        <f t="shared" si="0"/>
        <v>GBPFUT3MF4_Quote</v>
      </c>
      <c r="F4" s="143" t="str">
        <f>_xll.qlSimpleQuote(E4,,PriceTickValue,Permanent,Trigger,ObjectOverwrite)</f>
        <v>GBPFUT3MF4_Quote#0001</v>
      </c>
      <c r="G4" s="106" t="str">
        <f>_xll.ohRangeRetrieveError(F4)</f>
        <v/>
      </c>
      <c r="H4" s="142"/>
    </row>
    <row r="5" spans="1:8" x14ac:dyDescent="0.2">
      <c r="A5" s="148"/>
      <c r="B5" s="147">
        <v>3</v>
      </c>
      <c r="C5" s="146" t="b">
        <v>0</v>
      </c>
      <c r="D5" s="145" t="str">
        <v>G4</v>
      </c>
      <c r="E5" s="144" t="str">
        <f t="shared" si="0"/>
        <v>GBPFUT3MG4_Quote</v>
      </c>
      <c r="F5" s="143" t="str">
        <f>_xll.qlSimpleQuote(E5,,PriceTickValue,Permanent,Trigger,ObjectOverwrite)</f>
        <v>GBPFUT3MG4_Quote#0001</v>
      </c>
      <c r="G5" s="106" t="str">
        <f>_xll.ohRangeRetrieveError(F5)</f>
        <v/>
      </c>
      <c r="H5" s="142"/>
    </row>
    <row r="6" spans="1:8" x14ac:dyDescent="0.2">
      <c r="A6" s="148"/>
      <c r="B6" s="147">
        <v>4</v>
      </c>
      <c r="C6" s="146" t="b">
        <v>0</v>
      </c>
      <c r="D6" s="145" t="str">
        <v>H4</v>
      </c>
      <c r="E6" s="144" t="str">
        <f t="shared" si="0"/>
        <v>GBPFUT3MH4_Quote</v>
      </c>
      <c r="F6" s="143" t="str">
        <f>_xll.qlSimpleQuote(E6,,PriceTickValue,Permanent,Trigger,ObjectOverwrite)</f>
        <v>GBPFUT3MH4_Quote#0001</v>
      </c>
      <c r="G6" s="106" t="str">
        <f>_xll.ohRangeRetrieveError(F6)</f>
        <v/>
      </c>
      <c r="H6" s="142"/>
    </row>
    <row r="7" spans="1:8" x14ac:dyDescent="0.2">
      <c r="A7" s="148"/>
      <c r="B7" s="147">
        <v>5</v>
      </c>
      <c r="C7" s="146" t="b">
        <v>0</v>
      </c>
      <c r="D7" s="145" t="str">
        <v>J4</v>
      </c>
      <c r="E7" s="144" t="str">
        <f t="shared" si="0"/>
        <v>GBPFUT3MJ4_Quote</v>
      </c>
      <c r="F7" s="143" t="str">
        <f>_xll.qlSimpleQuote(E7,,PriceTickValue,Permanent,Trigger,ObjectOverwrite)</f>
        <v>GBPFUT3MJ4_Quote#0001</v>
      </c>
      <c r="G7" s="106" t="str">
        <f>_xll.ohRangeRetrieveError(F7)</f>
        <v/>
      </c>
      <c r="H7" s="142"/>
    </row>
    <row r="8" spans="1:8" x14ac:dyDescent="0.2">
      <c r="A8" s="148"/>
      <c r="B8" s="147">
        <v>6</v>
      </c>
      <c r="C8" s="146" t="b">
        <v>0</v>
      </c>
      <c r="D8" s="145" t="str">
        <v>K4</v>
      </c>
      <c r="E8" s="144" t="str">
        <f t="shared" si="0"/>
        <v>GBPFUT3MK4_Quote</v>
      </c>
      <c r="F8" s="143" t="str">
        <f>_xll.qlSimpleQuote(E8,,PriceTickValue,Permanent,Trigger,ObjectOverwrite)</f>
        <v>GBPFUT3MK4_Quote#0001</v>
      </c>
      <c r="G8" s="106" t="str">
        <f>_xll.ohRangeRetrieveError(F8)</f>
        <v/>
      </c>
      <c r="H8" s="142"/>
    </row>
    <row r="9" spans="1:8" x14ac:dyDescent="0.2">
      <c r="A9" s="148"/>
      <c r="B9" s="147">
        <v>7</v>
      </c>
      <c r="C9" s="146" t="b">
        <v>0</v>
      </c>
      <c r="D9" s="145" t="str">
        <v>M4</v>
      </c>
      <c r="E9" s="144" t="str">
        <f t="shared" si="0"/>
        <v>GBPFUT3MM4_Quote</v>
      </c>
      <c r="F9" s="143" t="str">
        <f>_xll.qlSimpleQuote(E9,,PriceTickValue,Permanent,Trigger,ObjectOverwrite)</f>
        <v>GBPFUT3MM4_Quote#0001</v>
      </c>
      <c r="G9" s="106" t="str">
        <f>_xll.ohRangeRetrieveError(F9)</f>
        <v/>
      </c>
      <c r="H9" s="142"/>
    </row>
    <row r="10" spans="1:8" x14ac:dyDescent="0.2">
      <c r="A10" s="148"/>
      <c r="B10" s="147">
        <v>8</v>
      </c>
      <c r="C10" s="146" t="b">
        <v>0</v>
      </c>
      <c r="D10" s="145" t="str">
        <v>N4</v>
      </c>
      <c r="E10" s="144" t="str">
        <f t="shared" si="0"/>
        <v>GBPFUT3MN4_Quote</v>
      </c>
      <c r="F10" s="143" t="str">
        <f>_xll.qlSimpleQuote(E10,,PriceTickValue,Permanent,Trigger,ObjectOverwrite)</f>
        <v>GBPFUT3MN4_Quote#0001</v>
      </c>
      <c r="G10" s="106" t="str">
        <f>_xll.ohRangeRetrieveError(F10)</f>
        <v/>
      </c>
      <c r="H10" s="142"/>
    </row>
    <row r="11" spans="1:8" x14ac:dyDescent="0.2">
      <c r="A11" s="148"/>
      <c r="B11" s="147">
        <v>9</v>
      </c>
      <c r="C11" s="146" t="b">
        <v>0</v>
      </c>
      <c r="D11" s="145" t="str">
        <v>Q4</v>
      </c>
      <c r="E11" s="144" t="str">
        <f t="shared" si="0"/>
        <v>GBPFUT3MQ4_Quote</v>
      </c>
      <c r="F11" s="143" t="str">
        <f>_xll.qlSimpleQuote(E11,,PriceTickValue,Permanent,Trigger,ObjectOverwrite)</f>
        <v>GBPFUT3MQ4_Quote#0001</v>
      </c>
      <c r="G11" s="106" t="str">
        <f>_xll.ohRangeRetrieveError(F11)</f>
        <v/>
      </c>
      <c r="H11" s="142"/>
    </row>
    <row r="12" spans="1:8" x14ac:dyDescent="0.2">
      <c r="A12" s="148"/>
      <c r="B12" s="147">
        <v>10</v>
      </c>
      <c r="C12" s="146" t="b">
        <v>0</v>
      </c>
      <c r="D12" s="145" t="str">
        <v>U4</v>
      </c>
      <c r="E12" s="144" t="str">
        <f t="shared" si="0"/>
        <v>GBPFUT3MU4_Quote</v>
      </c>
      <c r="F12" s="143" t="str">
        <f>_xll.qlSimpleQuote(E12,,PriceTickValue,Permanent,Trigger,ObjectOverwrite)</f>
        <v>GBPFUT3MU4_Quote#0001</v>
      </c>
      <c r="G12" s="106" t="str">
        <f>_xll.ohRangeRetrieveError(F12)</f>
        <v/>
      </c>
      <c r="H12" s="142"/>
    </row>
    <row r="13" spans="1:8" x14ac:dyDescent="0.2">
      <c r="A13" s="148"/>
      <c r="B13" s="147">
        <v>11</v>
      </c>
      <c r="C13" s="146" t="b">
        <v>0</v>
      </c>
      <c r="D13" s="145" t="str">
        <v>V4</v>
      </c>
      <c r="E13" s="144" t="str">
        <f t="shared" si="0"/>
        <v>GBPFUT3MV4_Quote</v>
      </c>
      <c r="F13" s="143" t="str">
        <f>_xll.qlSimpleQuote(E13,,PriceTickValue,Permanent,Trigger,ObjectOverwrite)</f>
        <v>GBPFUT3MV4_Quote#0001</v>
      </c>
      <c r="G13" s="106" t="str">
        <f>_xll.ohRangeRetrieveError(F13)</f>
        <v/>
      </c>
      <c r="H13" s="142"/>
    </row>
    <row r="14" spans="1:8" x14ac:dyDescent="0.2">
      <c r="A14" s="148"/>
      <c r="B14" s="147">
        <v>12</v>
      </c>
      <c r="C14" s="146" t="b">
        <v>0</v>
      </c>
      <c r="D14" s="145" t="str">
        <v>X4</v>
      </c>
      <c r="E14" s="144" t="str">
        <f t="shared" si="0"/>
        <v>GBPFUT3MX4_Quote</v>
      </c>
      <c r="F14" s="143" t="str">
        <f>_xll.qlSimpleQuote(E14,,PriceTickValue,Permanent,Trigger,ObjectOverwrite)</f>
        <v>GBPFUT3MX4_Quote#0001</v>
      </c>
      <c r="G14" s="106" t="str">
        <f>_xll.ohRangeRetrieveError(F14)</f>
        <v/>
      </c>
      <c r="H14" s="142"/>
    </row>
    <row r="15" spans="1:8" x14ac:dyDescent="0.2">
      <c r="A15" s="148"/>
      <c r="B15" s="147">
        <v>13</v>
      </c>
      <c r="C15" s="146" t="b">
        <v>0</v>
      </c>
      <c r="D15" s="145" t="str">
        <v>Z4</v>
      </c>
      <c r="E15" s="144" t="str">
        <f t="shared" si="0"/>
        <v>GBPFUT3MZ4_Quote</v>
      </c>
      <c r="F15" s="143" t="str">
        <f>_xll.qlSimpleQuote(E15,,PriceTickValue,Permanent,Trigger,ObjectOverwrite)</f>
        <v>GBPFUT3MZ4_Quote#0001</v>
      </c>
      <c r="G15" s="106" t="str">
        <f>_xll.ohRangeRetrieveError(F15)</f>
        <v/>
      </c>
      <c r="H15" s="142"/>
    </row>
    <row r="16" spans="1:8" x14ac:dyDescent="0.2">
      <c r="A16" s="148"/>
      <c r="B16" s="147">
        <v>14</v>
      </c>
      <c r="C16" s="146" t="b">
        <v>0</v>
      </c>
      <c r="D16" s="145" t="str">
        <v>F5</v>
      </c>
      <c r="E16" s="144" t="str">
        <f t="shared" si="0"/>
        <v>GBPFUT3MF5_Quote</v>
      </c>
      <c r="F16" s="143" t="str">
        <f>_xll.qlSimpleQuote(E16,,PriceTickValue,Permanent,Trigger,ObjectOverwrite)</f>
        <v>GBPFUT3MF5_Quote#0001</v>
      </c>
      <c r="G16" s="106" t="str">
        <f>_xll.ohRangeRetrieveError(F16)</f>
        <v/>
      </c>
      <c r="H16" s="142"/>
    </row>
    <row r="17" spans="1:8" x14ac:dyDescent="0.2">
      <c r="A17" s="148"/>
      <c r="B17" s="147">
        <v>15</v>
      </c>
      <c r="C17" s="146" t="b">
        <v>0</v>
      </c>
      <c r="D17" s="145" t="str">
        <v>G5</v>
      </c>
      <c r="E17" s="144" t="str">
        <f t="shared" si="0"/>
        <v>GBPFUT3MG5_Quote</v>
      </c>
      <c r="F17" s="143" t="str">
        <f>_xll.qlSimpleQuote(E17,,PriceTickValue,Permanent,Trigger,ObjectOverwrite)</f>
        <v>GBPFUT3MG5_Quote#0001</v>
      </c>
      <c r="G17" s="106" t="str">
        <f>_xll.ohRangeRetrieveError(F17)</f>
        <v/>
      </c>
      <c r="H17" s="142"/>
    </row>
    <row r="18" spans="1:8" x14ac:dyDescent="0.2">
      <c r="A18" s="148"/>
      <c r="B18" s="147">
        <v>16</v>
      </c>
      <c r="C18" s="146" t="b">
        <v>0</v>
      </c>
      <c r="D18" s="145" t="str">
        <v>H5</v>
      </c>
      <c r="E18" s="144" t="str">
        <f t="shared" si="0"/>
        <v>GBPFUT3MH5_Quote</v>
      </c>
      <c r="F18" s="143" t="str">
        <f>_xll.qlSimpleQuote(E18,,PriceTickValue,Permanent,Trigger,ObjectOverwrite)</f>
        <v>GBPFUT3MH5_Quote#0001</v>
      </c>
      <c r="G18" s="106" t="str">
        <f>_xll.ohRangeRetrieveError(F18)</f>
        <v/>
      </c>
      <c r="H18" s="142"/>
    </row>
    <row r="19" spans="1:8" x14ac:dyDescent="0.2">
      <c r="A19" s="148"/>
      <c r="B19" s="147">
        <v>17</v>
      </c>
      <c r="C19" s="146" t="b">
        <v>0</v>
      </c>
      <c r="D19" s="145" t="str">
        <v>J5</v>
      </c>
      <c r="E19" s="144" t="str">
        <f t="shared" si="0"/>
        <v>GBPFUT3MJ5_Quote</v>
      </c>
      <c r="F19" s="143" t="str">
        <f>_xll.qlSimpleQuote(E19,,PriceTickValue,Permanent,Trigger,ObjectOverwrite)</f>
        <v>GBPFUT3MJ5_Quote#0001</v>
      </c>
      <c r="G19" s="106" t="str">
        <f>_xll.ohRangeRetrieveError(F19)</f>
        <v/>
      </c>
      <c r="H19" s="142"/>
    </row>
    <row r="20" spans="1:8" x14ac:dyDescent="0.2">
      <c r="A20" s="148"/>
      <c r="B20" s="147">
        <v>18</v>
      </c>
      <c r="C20" s="146" t="b">
        <v>0</v>
      </c>
      <c r="D20" s="145" t="str">
        <v>K5</v>
      </c>
      <c r="E20" s="144" t="str">
        <f t="shared" si="0"/>
        <v>GBPFUT3MK5_Quote</v>
      </c>
      <c r="F20" s="143" t="str">
        <f>_xll.qlSimpleQuote(E20,,PriceTickValue,Permanent,Trigger,ObjectOverwrite)</f>
        <v>GBPFUT3MK5_Quote#0001</v>
      </c>
      <c r="G20" s="106" t="str">
        <f>_xll.ohRangeRetrieveError(F20)</f>
        <v/>
      </c>
      <c r="H20" s="142"/>
    </row>
    <row r="21" spans="1:8" x14ac:dyDescent="0.2">
      <c r="A21" s="148"/>
      <c r="B21" s="147">
        <v>19</v>
      </c>
      <c r="C21" s="146" t="b">
        <v>0</v>
      </c>
      <c r="D21" s="145" t="str">
        <v>M5</v>
      </c>
      <c r="E21" s="144" t="str">
        <f t="shared" si="0"/>
        <v>GBPFUT3MM5_Quote</v>
      </c>
      <c r="F21" s="143" t="str">
        <f>_xll.qlSimpleQuote(E21,,PriceTickValue,Permanent,Trigger,ObjectOverwrite)</f>
        <v>GBPFUT3MM5_Quote#0001</v>
      </c>
      <c r="G21" s="106" t="str">
        <f>_xll.ohRangeRetrieveError(F21)</f>
        <v/>
      </c>
      <c r="H21" s="142"/>
    </row>
    <row r="22" spans="1:8" x14ac:dyDescent="0.2">
      <c r="A22" s="148"/>
      <c r="B22" s="147">
        <v>20</v>
      </c>
      <c r="C22" s="146" t="b">
        <v>0</v>
      </c>
      <c r="D22" s="145" t="str">
        <v>N5</v>
      </c>
      <c r="E22" s="144" t="str">
        <f t="shared" si="0"/>
        <v>GBPFUT3MN5_Quote</v>
      </c>
      <c r="F22" s="143" t="str">
        <f>_xll.qlSimpleQuote(E22,,PriceTickValue,Permanent,Trigger,ObjectOverwrite)</f>
        <v>GBPFUT3MN5_Quote#0001</v>
      </c>
      <c r="G22" s="106" t="str">
        <f>_xll.ohRangeRetrieveError(F22)</f>
        <v/>
      </c>
      <c r="H22" s="142"/>
    </row>
    <row r="23" spans="1:8" x14ac:dyDescent="0.2">
      <c r="A23" s="148"/>
      <c r="B23" s="147">
        <v>21</v>
      </c>
      <c r="C23" s="146" t="b">
        <v>0</v>
      </c>
      <c r="D23" s="145" t="str">
        <v>Q5</v>
      </c>
      <c r="E23" s="144" t="str">
        <f t="shared" si="0"/>
        <v>GBPFUT3MQ5_Quote</v>
      </c>
      <c r="F23" s="143" t="str">
        <f>_xll.qlSimpleQuote(E23,,PriceTickValue,Permanent,Trigger,ObjectOverwrite)</f>
        <v>GBPFUT3MQ5_Quote#0001</v>
      </c>
      <c r="G23" s="106" t="str">
        <f>_xll.ohRangeRetrieveError(F23)</f>
        <v/>
      </c>
      <c r="H23" s="142"/>
    </row>
    <row r="24" spans="1:8" x14ac:dyDescent="0.2">
      <c r="A24" s="148"/>
      <c r="B24" s="147">
        <v>22</v>
      </c>
      <c r="C24" s="146" t="b">
        <v>0</v>
      </c>
      <c r="D24" s="145" t="str">
        <v>U5</v>
      </c>
      <c r="E24" s="144" t="str">
        <f t="shared" si="0"/>
        <v>GBPFUT3MU5_Quote</v>
      </c>
      <c r="F24" s="143" t="str">
        <f>_xll.qlSimpleQuote(E24,,PriceTickValue,Permanent,Trigger,ObjectOverwrite)</f>
        <v>GBPFUT3MU5_Quote#0001</v>
      </c>
      <c r="G24" s="106" t="str">
        <f>_xll.ohRangeRetrieveError(F24)</f>
        <v/>
      </c>
      <c r="H24" s="142"/>
    </row>
    <row r="25" spans="1:8" x14ac:dyDescent="0.2">
      <c r="A25" s="148"/>
      <c r="B25" s="147">
        <v>23</v>
      </c>
      <c r="C25" s="146" t="b">
        <v>0</v>
      </c>
      <c r="D25" s="145" t="str">
        <v>V5</v>
      </c>
      <c r="E25" s="144" t="str">
        <f t="shared" si="0"/>
        <v>GBPFUT3MV5_Quote</v>
      </c>
      <c r="F25" s="143" t="str">
        <f>_xll.qlSimpleQuote(E25,,PriceTickValue,Permanent,Trigger,ObjectOverwrite)</f>
        <v>GBPFUT3MV5_Quote#0001</v>
      </c>
      <c r="G25" s="106" t="str">
        <f>_xll.ohRangeRetrieveError(F25)</f>
        <v/>
      </c>
      <c r="H25" s="142"/>
    </row>
    <row r="26" spans="1:8" x14ac:dyDescent="0.2">
      <c r="A26" s="148"/>
      <c r="B26" s="147">
        <v>24</v>
      </c>
      <c r="C26" s="146" t="b">
        <v>0</v>
      </c>
      <c r="D26" s="145" t="str">
        <v>X5</v>
      </c>
      <c r="E26" s="144" t="str">
        <f t="shared" si="0"/>
        <v>GBPFUT3MX5_Quote</v>
      </c>
      <c r="F26" s="143" t="str">
        <f>_xll.qlSimpleQuote(E26,,PriceTickValue,Permanent,Trigger,ObjectOverwrite)</f>
        <v>GBPFUT3MX5_Quote#0001</v>
      </c>
      <c r="G26" s="106" t="str">
        <f>_xll.ohRangeRetrieveError(F26)</f>
        <v/>
      </c>
      <c r="H26" s="142"/>
    </row>
    <row r="27" spans="1:8" x14ac:dyDescent="0.2">
      <c r="A27" s="148"/>
      <c r="B27" s="147">
        <v>25</v>
      </c>
      <c r="C27" s="146" t="b">
        <v>0</v>
      </c>
      <c r="D27" s="145" t="str">
        <v>Z5</v>
      </c>
      <c r="E27" s="144" t="str">
        <f t="shared" si="0"/>
        <v>GBPFUT3MZ5_Quote</v>
      </c>
      <c r="F27" s="143" t="str">
        <f>_xll.qlSimpleQuote(E27,,PriceTickValue,Permanent,Trigger,ObjectOverwrite)</f>
        <v>GBPFUT3MZ5_Quote#0001</v>
      </c>
      <c r="G27" s="106" t="str">
        <f>_xll.ohRangeRetrieveError(F27)</f>
        <v/>
      </c>
      <c r="H27" s="142"/>
    </row>
    <row r="28" spans="1:8" x14ac:dyDescent="0.2">
      <c r="A28" s="148"/>
      <c r="B28" s="147">
        <v>26</v>
      </c>
      <c r="C28" s="146" t="b">
        <v>0</v>
      </c>
      <c r="D28" s="145" t="str">
        <v>F6</v>
      </c>
      <c r="E28" s="144" t="str">
        <f t="shared" si="0"/>
        <v>GBPFUT3MF6_Quote</v>
      </c>
      <c r="F28" s="143" t="str">
        <f>_xll.qlSimpleQuote(E28,,PriceTickValue,Permanent,Trigger,ObjectOverwrite)</f>
        <v>GBPFUT3MF6_Quote#0001</v>
      </c>
      <c r="G28" s="106" t="str">
        <f>_xll.ohRangeRetrieveError(F28)</f>
        <v/>
      </c>
      <c r="H28" s="142"/>
    </row>
    <row r="29" spans="1:8" x14ac:dyDescent="0.2">
      <c r="A29" s="148"/>
      <c r="B29" s="147">
        <v>27</v>
      </c>
      <c r="C29" s="146" t="b">
        <v>0</v>
      </c>
      <c r="D29" s="145" t="str">
        <v>G6</v>
      </c>
      <c r="E29" s="144" t="str">
        <f t="shared" si="0"/>
        <v>GBPFUT3MG6_Quote</v>
      </c>
      <c r="F29" s="143" t="str">
        <f>_xll.qlSimpleQuote(E29,,PriceTickValue,Permanent,Trigger,ObjectOverwrite)</f>
        <v>GBPFUT3MG6_Quote#0001</v>
      </c>
      <c r="G29" s="106" t="str">
        <f>_xll.ohRangeRetrieveError(F29)</f>
        <v/>
      </c>
      <c r="H29" s="142"/>
    </row>
    <row r="30" spans="1:8" x14ac:dyDescent="0.2">
      <c r="A30" s="148"/>
      <c r="B30" s="147">
        <v>28</v>
      </c>
      <c r="C30" s="146" t="b">
        <v>0</v>
      </c>
      <c r="D30" s="145" t="str">
        <v>H6</v>
      </c>
      <c r="E30" s="144" t="str">
        <f t="shared" si="0"/>
        <v>GBPFUT3MH6_Quote</v>
      </c>
      <c r="F30" s="143" t="str">
        <f>_xll.qlSimpleQuote(E30,,PriceTickValue,Permanent,Trigger,ObjectOverwrite)</f>
        <v>GBPFUT3MH6_Quote#0001</v>
      </c>
      <c r="G30" s="106" t="str">
        <f>_xll.ohRangeRetrieveError(F30)</f>
        <v/>
      </c>
      <c r="H30" s="142"/>
    </row>
    <row r="31" spans="1:8" x14ac:dyDescent="0.2">
      <c r="A31" s="148"/>
      <c r="B31" s="147">
        <v>29</v>
      </c>
      <c r="C31" s="146" t="b">
        <v>0</v>
      </c>
      <c r="D31" s="145" t="str">
        <v>J6</v>
      </c>
      <c r="E31" s="144" t="str">
        <f t="shared" si="0"/>
        <v>GBPFUT3MJ6_Quote</v>
      </c>
      <c r="F31" s="143" t="str">
        <f>_xll.qlSimpleQuote(E31,,PriceTickValue,Permanent,Trigger,ObjectOverwrite)</f>
        <v>GBPFUT3MJ6_Quote#0001</v>
      </c>
      <c r="G31" s="106" t="str">
        <f>_xll.ohRangeRetrieveError(F31)</f>
        <v/>
      </c>
      <c r="H31" s="142"/>
    </row>
    <row r="32" spans="1:8" x14ac:dyDescent="0.2">
      <c r="A32" s="148"/>
      <c r="B32" s="147">
        <v>30</v>
      </c>
      <c r="C32" s="146" t="b">
        <v>0</v>
      </c>
      <c r="D32" s="145" t="str">
        <v>K6</v>
      </c>
      <c r="E32" s="144" t="str">
        <f t="shared" si="0"/>
        <v>GBPFUT3MK6_Quote</v>
      </c>
      <c r="F32" s="143" t="str">
        <f>_xll.qlSimpleQuote(E32,,PriceTickValue,Permanent,Trigger,ObjectOverwrite)</f>
        <v>GBPFUT3MK6_Quote#0001</v>
      </c>
      <c r="G32" s="106" t="str">
        <f>_xll.ohRangeRetrieveError(F32)</f>
        <v/>
      </c>
      <c r="H32" s="142"/>
    </row>
    <row r="33" spans="1:8" x14ac:dyDescent="0.2">
      <c r="A33" s="148"/>
      <c r="B33" s="147">
        <v>31</v>
      </c>
      <c r="C33" s="146" t="b">
        <v>0</v>
      </c>
      <c r="D33" s="145" t="str">
        <v>M6</v>
      </c>
      <c r="E33" s="144" t="str">
        <f t="shared" si="0"/>
        <v>GBPFUT3MM6_Quote</v>
      </c>
      <c r="F33" s="143" t="str">
        <f>_xll.qlSimpleQuote(E33,,PriceTickValue,Permanent,Trigger,ObjectOverwrite)</f>
        <v>GBPFUT3MM6_Quote#0001</v>
      </c>
      <c r="G33" s="106" t="str">
        <f>_xll.ohRangeRetrieveError(F33)</f>
        <v/>
      </c>
      <c r="H33" s="142"/>
    </row>
    <row r="34" spans="1:8" x14ac:dyDescent="0.2">
      <c r="A34" s="148"/>
      <c r="B34" s="147">
        <v>32</v>
      </c>
      <c r="C34" s="146" t="b">
        <v>0</v>
      </c>
      <c r="D34" s="145" t="str">
        <v>N6</v>
      </c>
      <c r="E34" s="144" t="str">
        <f t="shared" si="0"/>
        <v>GBPFUT3MN6_Quote</v>
      </c>
      <c r="F34" s="143" t="str">
        <f>_xll.qlSimpleQuote(E34,,PriceTickValue,Permanent,Trigger,ObjectOverwrite)</f>
        <v>GBPFUT3MN6_Quote#0001</v>
      </c>
      <c r="G34" s="106" t="str">
        <f>_xll.ohRangeRetrieveError(F34)</f>
        <v/>
      </c>
      <c r="H34" s="142"/>
    </row>
    <row r="35" spans="1:8" x14ac:dyDescent="0.2">
      <c r="A35" s="148"/>
      <c r="B35" s="147">
        <v>33</v>
      </c>
      <c r="C35" s="146" t="b">
        <v>0</v>
      </c>
      <c r="D35" s="145" t="str">
        <v>Q6</v>
      </c>
      <c r="E35" s="144" t="str">
        <f t="shared" ref="E35:E66" si="1">Currency&amp;$D$1&amp;$E$1&amp;$D35&amp;QuoteSuffix</f>
        <v>GBPFUT3MQ6_Quote</v>
      </c>
      <c r="F35" s="143" t="str">
        <f>_xll.qlSimpleQuote(E35,,PriceTickValue,Permanent,Trigger,ObjectOverwrite)</f>
        <v>GBPFUT3MQ6_Quote#0001</v>
      </c>
      <c r="G35" s="106" t="str">
        <f>_xll.ohRangeRetrieveError(F35)</f>
        <v/>
      </c>
      <c r="H35" s="142"/>
    </row>
    <row r="36" spans="1:8" x14ac:dyDescent="0.2">
      <c r="A36" s="148"/>
      <c r="B36" s="147">
        <v>34</v>
      </c>
      <c r="C36" s="146" t="b">
        <v>0</v>
      </c>
      <c r="D36" s="145" t="str">
        <v>U6</v>
      </c>
      <c r="E36" s="144" t="str">
        <f t="shared" si="1"/>
        <v>GBPFUT3MU6_Quote</v>
      </c>
      <c r="F36" s="143" t="str">
        <f>_xll.qlSimpleQuote(E36,,PriceTickValue,Permanent,Trigger,ObjectOverwrite)</f>
        <v>GBPFUT3MU6_Quote#0001</v>
      </c>
      <c r="G36" s="106" t="str">
        <f>_xll.ohRangeRetrieveError(F36)</f>
        <v/>
      </c>
      <c r="H36" s="142"/>
    </row>
    <row r="37" spans="1:8" x14ac:dyDescent="0.2">
      <c r="A37" s="148"/>
      <c r="B37" s="147">
        <v>35</v>
      </c>
      <c r="C37" s="146" t="b">
        <v>0</v>
      </c>
      <c r="D37" s="145" t="str">
        <v>V6</v>
      </c>
      <c r="E37" s="144" t="str">
        <f t="shared" si="1"/>
        <v>GBPFUT3MV6_Quote</v>
      </c>
      <c r="F37" s="143" t="str">
        <f>_xll.qlSimpleQuote(E37,,PriceTickValue,Permanent,Trigger,ObjectOverwrite)</f>
        <v>GBPFUT3MV6_Quote#0001</v>
      </c>
      <c r="G37" s="106" t="str">
        <f>_xll.ohRangeRetrieveError(F37)</f>
        <v/>
      </c>
      <c r="H37" s="142"/>
    </row>
    <row r="38" spans="1:8" x14ac:dyDescent="0.2">
      <c r="A38" s="148"/>
      <c r="B38" s="147">
        <v>36</v>
      </c>
      <c r="C38" s="146" t="b">
        <v>0</v>
      </c>
      <c r="D38" s="145" t="str">
        <v>X6</v>
      </c>
      <c r="E38" s="144" t="str">
        <f t="shared" si="1"/>
        <v>GBPFUT3MX6_Quote</v>
      </c>
      <c r="F38" s="143" t="str">
        <f>_xll.qlSimpleQuote(E38,,PriceTickValue,Permanent,Trigger,ObjectOverwrite)</f>
        <v>GBPFUT3MX6_Quote#0001</v>
      </c>
      <c r="G38" s="106" t="str">
        <f>_xll.ohRangeRetrieveError(F38)</f>
        <v/>
      </c>
      <c r="H38" s="142"/>
    </row>
    <row r="39" spans="1:8" x14ac:dyDescent="0.2">
      <c r="A39" s="148"/>
      <c r="B39" s="147">
        <v>37</v>
      </c>
      <c r="C39" s="146" t="b">
        <v>0</v>
      </c>
      <c r="D39" s="145" t="str">
        <v>Z6</v>
      </c>
      <c r="E39" s="144" t="str">
        <f t="shared" si="1"/>
        <v>GBPFUT3MZ6_Quote</v>
      </c>
      <c r="F39" s="143" t="str">
        <f>_xll.qlSimpleQuote(E39,,PriceTickValue,Permanent,Trigger,ObjectOverwrite)</f>
        <v>GBPFUT3MZ6_Quote#0001</v>
      </c>
      <c r="G39" s="106" t="str">
        <f>_xll.ohRangeRetrieveError(F39)</f>
        <v/>
      </c>
      <c r="H39" s="142"/>
    </row>
    <row r="40" spans="1:8" x14ac:dyDescent="0.2">
      <c r="A40" s="148"/>
      <c r="B40" s="147">
        <v>38</v>
      </c>
      <c r="C40" s="146" t="b">
        <v>0</v>
      </c>
      <c r="D40" s="145" t="str">
        <v>F7</v>
      </c>
      <c r="E40" s="144" t="str">
        <f t="shared" si="1"/>
        <v>GBPFUT3MF7_Quote</v>
      </c>
      <c r="F40" s="143" t="str">
        <f>_xll.qlSimpleQuote(E40,,PriceTickValue,Permanent,Trigger,ObjectOverwrite)</f>
        <v>GBPFUT3MF7_Quote#0001</v>
      </c>
      <c r="G40" s="106" t="str">
        <f>_xll.ohRangeRetrieveError(F40)</f>
        <v/>
      </c>
      <c r="H40" s="142"/>
    </row>
    <row r="41" spans="1:8" x14ac:dyDescent="0.2">
      <c r="A41" s="148"/>
      <c r="B41" s="147">
        <v>39</v>
      </c>
      <c r="C41" s="146" t="b">
        <v>0</v>
      </c>
      <c r="D41" s="145" t="str">
        <v>G7</v>
      </c>
      <c r="E41" s="144" t="str">
        <f t="shared" si="1"/>
        <v>GBPFUT3MG7_Quote</v>
      </c>
      <c r="F41" s="143" t="str">
        <f>_xll.qlSimpleQuote(E41,,PriceTickValue,Permanent,Trigger,ObjectOverwrite)</f>
        <v>GBPFUT3MG7_Quote#0001</v>
      </c>
      <c r="G41" s="106" t="str">
        <f>_xll.ohRangeRetrieveError(F41)</f>
        <v/>
      </c>
      <c r="H41" s="142"/>
    </row>
    <row r="42" spans="1:8" x14ac:dyDescent="0.2">
      <c r="A42" s="148"/>
      <c r="B42" s="147">
        <v>40</v>
      </c>
      <c r="C42" s="146" t="b">
        <v>0</v>
      </c>
      <c r="D42" s="145" t="str">
        <v>H7</v>
      </c>
      <c r="E42" s="144" t="str">
        <f t="shared" si="1"/>
        <v>GBPFUT3MH7_Quote</v>
      </c>
      <c r="F42" s="143" t="str">
        <f>_xll.qlSimpleQuote(E42,,PriceTickValue,Permanent,Trigger,ObjectOverwrite)</f>
        <v>GBPFUT3MH7_Quote#0001</v>
      </c>
      <c r="G42" s="106" t="str">
        <f>_xll.ohRangeRetrieveError(F42)</f>
        <v/>
      </c>
      <c r="H42" s="142"/>
    </row>
    <row r="43" spans="1:8" x14ac:dyDescent="0.2">
      <c r="A43" s="148"/>
      <c r="B43" s="147">
        <v>41</v>
      </c>
      <c r="C43" s="146" t="b">
        <v>0</v>
      </c>
      <c r="D43" s="145" t="str">
        <v>J7</v>
      </c>
      <c r="E43" s="144" t="str">
        <f t="shared" si="1"/>
        <v>GBPFUT3MJ7_Quote</v>
      </c>
      <c r="F43" s="143" t="str">
        <f>_xll.qlSimpleQuote(E43,,PriceTickValue,Permanent,Trigger,ObjectOverwrite)</f>
        <v>GBPFUT3MJ7_Quote#0001</v>
      </c>
      <c r="G43" s="106" t="str">
        <f>_xll.ohRangeRetrieveError(F43)</f>
        <v/>
      </c>
      <c r="H43" s="142"/>
    </row>
    <row r="44" spans="1:8" x14ac:dyDescent="0.2">
      <c r="A44" s="148"/>
      <c r="B44" s="147">
        <v>42</v>
      </c>
      <c r="C44" s="146" t="b">
        <v>0</v>
      </c>
      <c r="D44" s="145" t="str">
        <v>K7</v>
      </c>
      <c r="E44" s="144" t="str">
        <f t="shared" si="1"/>
        <v>GBPFUT3MK7_Quote</v>
      </c>
      <c r="F44" s="143" t="str">
        <f>_xll.qlSimpleQuote(E44,,PriceTickValue,Permanent,Trigger,ObjectOverwrite)</f>
        <v>GBPFUT3MK7_Quote#0001</v>
      </c>
      <c r="G44" s="106" t="str">
        <f>_xll.ohRangeRetrieveError(F44)</f>
        <v/>
      </c>
      <c r="H44" s="142"/>
    </row>
    <row r="45" spans="1:8" x14ac:dyDescent="0.2">
      <c r="A45" s="148"/>
      <c r="B45" s="147">
        <v>43</v>
      </c>
      <c r="C45" s="146" t="b">
        <v>0</v>
      </c>
      <c r="D45" s="145" t="str">
        <v>M7</v>
      </c>
      <c r="E45" s="144" t="str">
        <f t="shared" si="1"/>
        <v>GBPFUT3MM7_Quote</v>
      </c>
      <c r="F45" s="143" t="str">
        <f>_xll.qlSimpleQuote(E45,,PriceTickValue,Permanent,Trigger,ObjectOverwrite)</f>
        <v>GBPFUT3MM7_Quote#0001</v>
      </c>
      <c r="G45" s="106" t="str">
        <f>_xll.ohRangeRetrieveError(F45)</f>
        <v/>
      </c>
      <c r="H45" s="142"/>
    </row>
    <row r="46" spans="1:8" x14ac:dyDescent="0.2">
      <c r="A46" s="148"/>
      <c r="B46" s="147">
        <v>44</v>
      </c>
      <c r="C46" s="146" t="b">
        <v>0</v>
      </c>
      <c r="D46" s="145" t="str">
        <v>N7</v>
      </c>
      <c r="E46" s="144" t="str">
        <f t="shared" si="1"/>
        <v>GBPFUT3MN7_Quote</v>
      </c>
      <c r="F46" s="143" t="str">
        <f>_xll.qlSimpleQuote(E46,,PriceTickValue,Permanent,Trigger,ObjectOverwrite)</f>
        <v>GBPFUT3MN7_Quote#0001</v>
      </c>
      <c r="G46" s="106" t="str">
        <f>_xll.ohRangeRetrieveError(F46)</f>
        <v/>
      </c>
      <c r="H46" s="142"/>
    </row>
    <row r="47" spans="1:8" x14ac:dyDescent="0.2">
      <c r="A47" s="148"/>
      <c r="B47" s="147">
        <v>45</v>
      </c>
      <c r="C47" s="146" t="b">
        <v>0</v>
      </c>
      <c r="D47" s="145" t="str">
        <v>Q7</v>
      </c>
      <c r="E47" s="144" t="str">
        <f t="shared" si="1"/>
        <v>GBPFUT3MQ7_Quote</v>
      </c>
      <c r="F47" s="143" t="str">
        <f>_xll.qlSimpleQuote(E47,,PriceTickValue,Permanent,Trigger,ObjectOverwrite)</f>
        <v>GBPFUT3MQ7_Quote#0001</v>
      </c>
      <c r="G47" s="106" t="str">
        <f>_xll.ohRangeRetrieveError(F47)</f>
        <v/>
      </c>
      <c r="H47" s="142"/>
    </row>
    <row r="48" spans="1:8" x14ac:dyDescent="0.2">
      <c r="A48" s="148"/>
      <c r="B48" s="147">
        <v>46</v>
      </c>
      <c r="C48" s="146" t="b">
        <v>0</v>
      </c>
      <c r="D48" s="145" t="str">
        <v>U7</v>
      </c>
      <c r="E48" s="144" t="str">
        <f t="shared" si="1"/>
        <v>GBPFUT3MU7_Quote</v>
      </c>
      <c r="F48" s="143" t="str">
        <f>_xll.qlSimpleQuote(E48,,PriceTickValue,Permanent,Trigger,ObjectOverwrite)</f>
        <v>GBPFUT3MU7_Quote#0001</v>
      </c>
      <c r="G48" s="106" t="str">
        <f>_xll.ohRangeRetrieveError(F48)</f>
        <v/>
      </c>
      <c r="H48" s="142"/>
    </row>
    <row r="49" spans="1:8" x14ac:dyDescent="0.2">
      <c r="A49" s="148"/>
      <c r="B49" s="147">
        <v>47</v>
      </c>
      <c r="C49" s="146" t="b">
        <v>0</v>
      </c>
      <c r="D49" s="145" t="str">
        <v>V7</v>
      </c>
      <c r="E49" s="144" t="str">
        <f t="shared" si="1"/>
        <v>GBPFUT3MV7_Quote</v>
      </c>
      <c r="F49" s="143" t="str">
        <f>_xll.qlSimpleQuote(E49,,PriceTickValue,Permanent,Trigger,ObjectOverwrite)</f>
        <v>GBPFUT3MV7_Quote#0001</v>
      </c>
      <c r="G49" s="106" t="str">
        <f>_xll.ohRangeRetrieveError(F49)</f>
        <v/>
      </c>
      <c r="H49" s="142"/>
    </row>
    <row r="50" spans="1:8" x14ac:dyDescent="0.2">
      <c r="A50" s="148"/>
      <c r="B50" s="147">
        <v>48</v>
      </c>
      <c r="C50" s="146" t="b">
        <v>0</v>
      </c>
      <c r="D50" s="145" t="str">
        <v>X7</v>
      </c>
      <c r="E50" s="144" t="str">
        <f t="shared" si="1"/>
        <v>GBPFUT3MX7_Quote</v>
      </c>
      <c r="F50" s="143" t="str">
        <f>_xll.qlSimpleQuote(E50,,PriceTickValue,Permanent,Trigger,ObjectOverwrite)</f>
        <v>GBPFUT3MX7_Quote#0001</v>
      </c>
      <c r="G50" s="106" t="str">
        <f>_xll.ohRangeRetrieveError(F50)</f>
        <v/>
      </c>
      <c r="H50" s="142"/>
    </row>
    <row r="51" spans="1:8" x14ac:dyDescent="0.2">
      <c r="A51" s="148"/>
      <c r="B51" s="147">
        <v>49</v>
      </c>
      <c r="C51" s="146" t="b">
        <v>0</v>
      </c>
      <c r="D51" s="145" t="str">
        <v>Z7</v>
      </c>
      <c r="E51" s="144" t="str">
        <f t="shared" si="1"/>
        <v>GBPFUT3MZ7_Quote</v>
      </c>
      <c r="F51" s="143" t="str">
        <f>_xll.qlSimpleQuote(E51,,PriceTickValue,Permanent,Trigger,ObjectOverwrite)</f>
        <v>GBPFUT3MZ7_Quote#0001</v>
      </c>
      <c r="G51" s="106" t="str">
        <f>_xll.ohRangeRetrieveError(F51)</f>
        <v/>
      </c>
      <c r="H51" s="142"/>
    </row>
    <row r="52" spans="1:8" x14ac:dyDescent="0.2">
      <c r="A52" s="148"/>
      <c r="B52" s="147">
        <v>50</v>
      </c>
      <c r="C52" s="146" t="b">
        <v>0</v>
      </c>
      <c r="D52" s="145" t="str">
        <v>F8</v>
      </c>
      <c r="E52" s="144" t="str">
        <f t="shared" si="1"/>
        <v>GBPFUT3MF8_Quote</v>
      </c>
      <c r="F52" s="143" t="str">
        <f>_xll.qlSimpleQuote(E52,,PriceTickValue,Permanent,Trigger,ObjectOverwrite)</f>
        <v>GBPFUT3MF8_Quote#0001</v>
      </c>
      <c r="G52" s="106" t="str">
        <f>_xll.ohRangeRetrieveError(F52)</f>
        <v/>
      </c>
      <c r="H52" s="142"/>
    </row>
    <row r="53" spans="1:8" x14ac:dyDescent="0.2">
      <c r="A53" s="148"/>
      <c r="B53" s="147">
        <v>51</v>
      </c>
      <c r="C53" s="146" t="b">
        <v>0</v>
      </c>
      <c r="D53" s="145" t="str">
        <v>G8</v>
      </c>
      <c r="E53" s="144" t="str">
        <f t="shared" si="1"/>
        <v>GBPFUT3MG8_Quote</v>
      </c>
      <c r="F53" s="143" t="str">
        <f>_xll.qlSimpleQuote(E53,,PriceTickValue,Permanent,Trigger,ObjectOverwrite)</f>
        <v>GBPFUT3MG8_Quote#0001</v>
      </c>
      <c r="G53" s="106" t="str">
        <f>_xll.ohRangeRetrieveError(F53)</f>
        <v/>
      </c>
      <c r="H53" s="142"/>
    </row>
    <row r="54" spans="1:8" x14ac:dyDescent="0.2">
      <c r="A54" s="148"/>
      <c r="B54" s="147">
        <v>52</v>
      </c>
      <c r="C54" s="146" t="b">
        <v>0</v>
      </c>
      <c r="D54" s="145" t="str">
        <v>H8</v>
      </c>
      <c r="E54" s="144" t="str">
        <f t="shared" si="1"/>
        <v>GBPFUT3MH8_Quote</v>
      </c>
      <c r="F54" s="143" t="str">
        <f>_xll.qlSimpleQuote(E54,,PriceTickValue,Permanent,Trigger,ObjectOverwrite)</f>
        <v>GBPFUT3MH8_Quote#0001</v>
      </c>
      <c r="G54" s="106" t="str">
        <f>_xll.ohRangeRetrieveError(F54)</f>
        <v/>
      </c>
      <c r="H54" s="142"/>
    </row>
    <row r="55" spans="1:8" x14ac:dyDescent="0.2">
      <c r="A55" s="148"/>
      <c r="B55" s="147">
        <v>53</v>
      </c>
      <c r="C55" s="146" t="b">
        <v>0</v>
      </c>
      <c r="D55" s="145" t="str">
        <v>J8</v>
      </c>
      <c r="E55" s="144" t="str">
        <f t="shared" si="1"/>
        <v>GBPFUT3MJ8_Quote</v>
      </c>
      <c r="F55" s="143" t="str">
        <f>_xll.qlSimpleQuote(E55,,PriceTickValue,Permanent,Trigger,ObjectOverwrite)</f>
        <v>GBPFUT3MJ8_Quote#0001</v>
      </c>
      <c r="G55" s="106" t="str">
        <f>_xll.ohRangeRetrieveError(F55)</f>
        <v/>
      </c>
      <c r="H55" s="142"/>
    </row>
    <row r="56" spans="1:8" x14ac:dyDescent="0.2">
      <c r="A56" s="148"/>
      <c r="B56" s="147">
        <v>54</v>
      </c>
      <c r="C56" s="146" t="b">
        <v>0</v>
      </c>
      <c r="D56" s="145" t="str">
        <v>K8</v>
      </c>
      <c r="E56" s="144" t="str">
        <f t="shared" si="1"/>
        <v>GBPFUT3MK8_Quote</v>
      </c>
      <c r="F56" s="143" t="str">
        <f>_xll.qlSimpleQuote(E56,,PriceTickValue,Permanent,Trigger,ObjectOverwrite)</f>
        <v>GBPFUT3MK8_Quote#0001</v>
      </c>
      <c r="G56" s="106" t="str">
        <f>_xll.ohRangeRetrieveError(F56)</f>
        <v/>
      </c>
      <c r="H56" s="142"/>
    </row>
    <row r="57" spans="1:8" x14ac:dyDescent="0.2">
      <c r="A57" s="148"/>
      <c r="B57" s="147">
        <v>55</v>
      </c>
      <c r="C57" s="146" t="b">
        <v>0</v>
      </c>
      <c r="D57" s="145" t="str">
        <v>M8</v>
      </c>
      <c r="E57" s="144" t="str">
        <f t="shared" si="1"/>
        <v>GBPFUT3MM8_Quote</v>
      </c>
      <c r="F57" s="143" t="str">
        <f>_xll.qlSimpleQuote(E57,,PriceTickValue,Permanent,Trigger,ObjectOverwrite)</f>
        <v>GBPFUT3MM8_Quote#0001</v>
      </c>
      <c r="G57" s="106" t="str">
        <f>_xll.ohRangeRetrieveError(F57)</f>
        <v/>
      </c>
      <c r="H57" s="142"/>
    </row>
    <row r="58" spans="1:8" x14ac:dyDescent="0.2">
      <c r="A58" s="148"/>
      <c r="B58" s="147">
        <v>56</v>
      </c>
      <c r="C58" s="146" t="b">
        <v>0</v>
      </c>
      <c r="D58" s="145" t="str">
        <v>N8</v>
      </c>
      <c r="E58" s="144" t="str">
        <f t="shared" si="1"/>
        <v>GBPFUT3MN8_Quote</v>
      </c>
      <c r="F58" s="143" t="str">
        <f>_xll.qlSimpleQuote(E58,,PriceTickValue,Permanent,Trigger,ObjectOverwrite)</f>
        <v>GBPFUT3MN8_Quote#0001</v>
      </c>
      <c r="G58" s="106" t="str">
        <f>_xll.ohRangeRetrieveError(F58)</f>
        <v/>
      </c>
      <c r="H58" s="142"/>
    </row>
    <row r="59" spans="1:8" x14ac:dyDescent="0.2">
      <c r="A59" s="148"/>
      <c r="B59" s="147">
        <v>57</v>
      </c>
      <c r="C59" s="146" t="b">
        <v>0</v>
      </c>
      <c r="D59" s="145" t="str">
        <v>Q8</v>
      </c>
      <c r="E59" s="144" t="str">
        <f t="shared" si="1"/>
        <v>GBPFUT3MQ8_Quote</v>
      </c>
      <c r="F59" s="143" t="str">
        <f>_xll.qlSimpleQuote(E59,,PriceTickValue,Permanent,Trigger,ObjectOverwrite)</f>
        <v>GBPFUT3MQ8_Quote#0001</v>
      </c>
      <c r="G59" s="106" t="str">
        <f>_xll.ohRangeRetrieveError(F59)</f>
        <v/>
      </c>
      <c r="H59" s="142"/>
    </row>
    <row r="60" spans="1:8" x14ac:dyDescent="0.2">
      <c r="A60" s="148"/>
      <c r="B60" s="147">
        <v>58</v>
      </c>
      <c r="C60" s="146" t="b">
        <v>0</v>
      </c>
      <c r="D60" s="145" t="str">
        <v>U8</v>
      </c>
      <c r="E60" s="144" t="str">
        <f t="shared" si="1"/>
        <v>GBPFUT3MU8_Quote</v>
      </c>
      <c r="F60" s="143" t="str">
        <f>_xll.qlSimpleQuote(E60,,PriceTickValue,Permanent,Trigger,ObjectOverwrite)</f>
        <v>GBPFUT3MU8_Quote#0001</v>
      </c>
      <c r="G60" s="106" t="str">
        <f>_xll.ohRangeRetrieveError(F60)</f>
        <v/>
      </c>
      <c r="H60" s="142"/>
    </row>
    <row r="61" spans="1:8" x14ac:dyDescent="0.2">
      <c r="A61" s="148"/>
      <c r="B61" s="147">
        <v>59</v>
      </c>
      <c r="C61" s="146" t="b">
        <v>0</v>
      </c>
      <c r="D61" s="145" t="str">
        <v>V8</v>
      </c>
      <c r="E61" s="144" t="str">
        <f t="shared" si="1"/>
        <v>GBPFUT3MV8_Quote</v>
      </c>
      <c r="F61" s="143" t="str">
        <f>_xll.qlSimpleQuote(E61,,PriceTickValue,Permanent,Trigger,ObjectOverwrite)</f>
        <v>GBPFUT3MV8_Quote#0001</v>
      </c>
      <c r="G61" s="106" t="str">
        <f>_xll.ohRangeRetrieveError(F61)</f>
        <v/>
      </c>
      <c r="H61" s="142"/>
    </row>
    <row r="62" spans="1:8" x14ac:dyDescent="0.2">
      <c r="A62" s="148"/>
      <c r="B62" s="147">
        <v>60</v>
      </c>
      <c r="C62" s="146" t="b">
        <v>0</v>
      </c>
      <c r="D62" s="145" t="str">
        <v>X8</v>
      </c>
      <c r="E62" s="144" t="str">
        <f t="shared" si="1"/>
        <v>GBPFUT3MX8_Quote</v>
      </c>
      <c r="F62" s="143" t="str">
        <f>_xll.qlSimpleQuote(E62,,PriceTickValue,Permanent,Trigger,ObjectOverwrite)</f>
        <v>GBPFUT3MX8_Quote#0001</v>
      </c>
      <c r="G62" s="106" t="str">
        <f>_xll.ohRangeRetrieveError(F62)</f>
        <v/>
      </c>
      <c r="H62" s="142"/>
    </row>
    <row r="63" spans="1:8" x14ac:dyDescent="0.2">
      <c r="A63" s="148"/>
      <c r="B63" s="147">
        <v>61</v>
      </c>
      <c r="C63" s="146" t="b">
        <v>0</v>
      </c>
      <c r="D63" s="145" t="str">
        <v>Z8</v>
      </c>
      <c r="E63" s="144" t="str">
        <f t="shared" si="1"/>
        <v>GBPFUT3MZ8_Quote</v>
      </c>
      <c r="F63" s="143" t="str">
        <f>_xll.qlSimpleQuote(E63,,PriceTickValue,Permanent,Trigger,ObjectOverwrite)</f>
        <v>GBPFUT3MZ8_Quote#0001</v>
      </c>
      <c r="G63" s="106" t="str">
        <f>_xll.ohRangeRetrieveError(F63)</f>
        <v/>
      </c>
      <c r="H63" s="142"/>
    </row>
    <row r="64" spans="1:8" x14ac:dyDescent="0.2">
      <c r="A64" s="148"/>
      <c r="B64" s="147">
        <v>62</v>
      </c>
      <c r="C64" s="146" t="b">
        <v>0</v>
      </c>
      <c r="D64" s="145" t="str">
        <v>F9</v>
      </c>
      <c r="E64" s="144" t="str">
        <f t="shared" si="1"/>
        <v>GBPFUT3MF9_Quote</v>
      </c>
      <c r="F64" s="143" t="str">
        <f>_xll.qlSimpleQuote(E64,,PriceTickValue,Permanent,Trigger,ObjectOverwrite)</f>
        <v>GBPFUT3MF9_Quote#0001</v>
      </c>
      <c r="G64" s="106" t="str">
        <f>_xll.ohRangeRetrieveError(F64)</f>
        <v/>
      </c>
      <c r="H64" s="142"/>
    </row>
    <row r="65" spans="1:8" x14ac:dyDescent="0.2">
      <c r="A65" s="148"/>
      <c r="B65" s="147">
        <v>63</v>
      </c>
      <c r="C65" s="146" t="b">
        <v>0</v>
      </c>
      <c r="D65" s="145" t="str">
        <v>G9</v>
      </c>
      <c r="E65" s="144" t="str">
        <f t="shared" si="1"/>
        <v>GBPFUT3MG9_Quote</v>
      </c>
      <c r="F65" s="143" t="str">
        <f>_xll.qlSimpleQuote(E65,,PriceTickValue,Permanent,Trigger,ObjectOverwrite)</f>
        <v>GBPFUT3MG9_Quote#0001</v>
      </c>
      <c r="G65" s="106" t="str">
        <f>_xll.ohRangeRetrieveError(F65)</f>
        <v/>
      </c>
      <c r="H65" s="142"/>
    </row>
    <row r="66" spans="1:8" x14ac:dyDescent="0.2">
      <c r="A66" s="148"/>
      <c r="B66" s="147">
        <v>64</v>
      </c>
      <c r="C66" s="146" t="b">
        <v>0</v>
      </c>
      <c r="D66" s="145" t="str">
        <v>H9</v>
      </c>
      <c r="E66" s="144" t="str">
        <f t="shared" si="1"/>
        <v>GBPFUT3MH9_Quote</v>
      </c>
      <c r="F66" s="143" t="str">
        <f>_xll.qlSimpleQuote(E66,,PriceTickValue,Permanent,Trigger,ObjectOverwrite)</f>
        <v>GBPFUT3MH9_Quote#0001</v>
      </c>
      <c r="G66" s="106" t="str">
        <f>_xll.ohRangeRetrieveError(F66)</f>
        <v/>
      </c>
      <c r="H66" s="142"/>
    </row>
    <row r="67" spans="1:8" x14ac:dyDescent="0.2">
      <c r="A67" s="148"/>
      <c r="B67" s="147">
        <v>65</v>
      </c>
      <c r="C67" s="146" t="b">
        <v>0</v>
      </c>
      <c r="D67" s="145" t="str">
        <v>J9</v>
      </c>
      <c r="E67" s="144" t="str">
        <f t="shared" ref="E67:E98" si="2">Currency&amp;$D$1&amp;$E$1&amp;$D67&amp;QuoteSuffix</f>
        <v>GBPFUT3MJ9_Quote</v>
      </c>
      <c r="F67" s="143" t="str">
        <f>_xll.qlSimpleQuote(E67,,PriceTickValue,Permanent,Trigger,ObjectOverwrite)</f>
        <v>GBPFUT3MJ9_Quote#0001</v>
      </c>
      <c r="G67" s="106" t="str">
        <f>_xll.ohRangeRetrieveError(F67)</f>
        <v/>
      </c>
      <c r="H67" s="142"/>
    </row>
    <row r="68" spans="1:8" x14ac:dyDescent="0.2">
      <c r="A68" s="148"/>
      <c r="B68" s="147">
        <v>66</v>
      </c>
      <c r="C68" s="146" t="b">
        <v>0</v>
      </c>
      <c r="D68" s="145" t="str">
        <v>K9</v>
      </c>
      <c r="E68" s="144" t="str">
        <f t="shared" si="2"/>
        <v>GBPFUT3MK9_Quote</v>
      </c>
      <c r="F68" s="143" t="str">
        <f>_xll.qlSimpleQuote(E68,,PriceTickValue,Permanent,Trigger,ObjectOverwrite)</f>
        <v>GBPFUT3MK9_Quote#0001</v>
      </c>
      <c r="G68" s="106" t="str">
        <f>_xll.ohRangeRetrieveError(F68)</f>
        <v/>
      </c>
      <c r="H68" s="142"/>
    </row>
    <row r="69" spans="1:8" x14ac:dyDescent="0.2">
      <c r="A69" s="148"/>
      <c r="B69" s="147">
        <v>67</v>
      </c>
      <c r="C69" s="146" t="b">
        <v>0</v>
      </c>
      <c r="D69" s="145" t="str">
        <v>M9</v>
      </c>
      <c r="E69" s="144" t="str">
        <f t="shared" si="2"/>
        <v>GBPFUT3MM9_Quote</v>
      </c>
      <c r="F69" s="143" t="str">
        <f>_xll.qlSimpleQuote(E69,,PriceTickValue,Permanent,Trigger,ObjectOverwrite)</f>
        <v>GBPFUT3MM9_Quote#0001</v>
      </c>
      <c r="G69" s="106" t="str">
        <f>_xll.ohRangeRetrieveError(F69)</f>
        <v/>
      </c>
      <c r="H69" s="142"/>
    </row>
    <row r="70" spans="1:8" x14ac:dyDescent="0.2">
      <c r="A70" s="148"/>
      <c r="B70" s="147">
        <v>68</v>
      </c>
      <c r="C70" s="146" t="b">
        <v>0</v>
      </c>
      <c r="D70" s="145" t="str">
        <v>N9</v>
      </c>
      <c r="E70" s="144" t="str">
        <f t="shared" si="2"/>
        <v>GBPFUT3MN9_Quote</v>
      </c>
      <c r="F70" s="143" t="str">
        <f>_xll.qlSimpleQuote(E70,,PriceTickValue,Permanent,Trigger,ObjectOverwrite)</f>
        <v>GBPFUT3MN9_Quote#0001</v>
      </c>
      <c r="G70" s="106" t="str">
        <f>_xll.ohRangeRetrieveError(F70)</f>
        <v/>
      </c>
      <c r="H70" s="142"/>
    </row>
    <row r="71" spans="1:8" x14ac:dyDescent="0.2">
      <c r="A71" s="148"/>
      <c r="B71" s="147">
        <v>69</v>
      </c>
      <c r="C71" s="146" t="b">
        <v>0</v>
      </c>
      <c r="D71" s="145" t="str">
        <v>Q9</v>
      </c>
      <c r="E71" s="144" t="str">
        <f t="shared" si="2"/>
        <v>GBPFUT3MQ9_Quote</v>
      </c>
      <c r="F71" s="143" t="str">
        <f>_xll.qlSimpleQuote(E71,,PriceTickValue,Permanent,Trigger,ObjectOverwrite)</f>
        <v>GBPFUT3MQ9_Quote#0001</v>
      </c>
      <c r="G71" s="106" t="str">
        <f>_xll.ohRangeRetrieveError(F71)</f>
        <v/>
      </c>
      <c r="H71" s="142"/>
    </row>
    <row r="72" spans="1:8" x14ac:dyDescent="0.2">
      <c r="A72" s="148"/>
      <c r="B72" s="147">
        <v>70</v>
      </c>
      <c r="C72" s="146" t="b">
        <v>0</v>
      </c>
      <c r="D72" s="145" t="str">
        <v>U9</v>
      </c>
      <c r="E72" s="144" t="str">
        <f t="shared" si="2"/>
        <v>GBPFUT3MU9_Quote</v>
      </c>
      <c r="F72" s="143" t="str">
        <f>_xll.qlSimpleQuote(E72,,PriceTickValue,Permanent,Trigger,ObjectOverwrite)</f>
        <v>GBPFUT3MU9_Quote#0001</v>
      </c>
      <c r="G72" s="106" t="str">
        <f>_xll.ohRangeRetrieveError(F72)</f>
        <v/>
      </c>
      <c r="H72" s="142"/>
    </row>
    <row r="73" spans="1:8" x14ac:dyDescent="0.2">
      <c r="A73" s="148"/>
      <c r="B73" s="147">
        <v>71</v>
      </c>
      <c r="C73" s="146" t="b">
        <v>0</v>
      </c>
      <c r="D73" s="145" t="str">
        <v>V9</v>
      </c>
      <c r="E73" s="144" t="str">
        <f t="shared" si="2"/>
        <v>GBPFUT3MV9_Quote</v>
      </c>
      <c r="F73" s="143" t="str">
        <f>_xll.qlSimpleQuote(E73,,PriceTickValue,Permanent,Trigger,ObjectOverwrite)</f>
        <v>GBPFUT3MV9_Quote#0001</v>
      </c>
      <c r="G73" s="106" t="str">
        <f>_xll.ohRangeRetrieveError(F73)</f>
        <v/>
      </c>
      <c r="H73" s="142"/>
    </row>
    <row r="74" spans="1:8" x14ac:dyDescent="0.2">
      <c r="A74" s="148"/>
      <c r="B74" s="147">
        <v>72</v>
      </c>
      <c r="C74" s="146" t="b">
        <v>0</v>
      </c>
      <c r="D74" s="145" t="str">
        <v>X9</v>
      </c>
      <c r="E74" s="144" t="str">
        <f t="shared" si="2"/>
        <v>GBPFUT3MX9_Quote</v>
      </c>
      <c r="F74" s="143" t="str">
        <f>_xll.qlSimpleQuote(E74,,PriceTickValue,Permanent,Trigger,ObjectOverwrite)</f>
        <v>GBPFUT3MX9_Quote#0001</v>
      </c>
      <c r="G74" s="106" t="str">
        <f>_xll.ohRangeRetrieveError(F74)</f>
        <v/>
      </c>
      <c r="H74" s="142"/>
    </row>
    <row r="75" spans="1:8" x14ac:dyDescent="0.2">
      <c r="A75" s="148"/>
      <c r="B75" s="147">
        <v>73</v>
      </c>
      <c r="C75" s="146" t="b">
        <v>0</v>
      </c>
      <c r="D75" s="145" t="str">
        <v>Z9</v>
      </c>
      <c r="E75" s="144" t="str">
        <f t="shared" si="2"/>
        <v>GBPFUT3MZ9_Quote</v>
      </c>
      <c r="F75" s="143" t="str">
        <f>_xll.qlSimpleQuote(E75,,PriceTickValue,Permanent,Trigger,ObjectOverwrite)</f>
        <v>GBPFUT3MZ9_Quote#0001</v>
      </c>
      <c r="G75" s="106" t="str">
        <f>_xll.ohRangeRetrieveError(F75)</f>
        <v/>
      </c>
      <c r="H75" s="142"/>
    </row>
    <row r="76" spans="1:8" x14ac:dyDescent="0.2">
      <c r="A76" s="148"/>
      <c r="B76" s="147">
        <v>74</v>
      </c>
      <c r="C76" s="146" t="b">
        <v>0</v>
      </c>
      <c r="D76" s="145" t="str">
        <v>F0</v>
      </c>
      <c r="E76" s="144" t="str">
        <f t="shared" si="2"/>
        <v>GBPFUT3MF0_Quote</v>
      </c>
      <c r="F76" s="143" t="str">
        <f>_xll.qlSimpleQuote(E76,,PriceTickValue,Permanent,Trigger,ObjectOverwrite)</f>
        <v>GBPFUT3MF0_Quote#0001</v>
      </c>
      <c r="G76" s="106" t="str">
        <f>_xll.ohRangeRetrieveError(F76)</f>
        <v/>
      </c>
      <c r="H76" s="142"/>
    </row>
    <row r="77" spans="1:8" x14ac:dyDescent="0.2">
      <c r="A77" s="148"/>
      <c r="B77" s="147">
        <v>75</v>
      </c>
      <c r="C77" s="146" t="b">
        <v>0</v>
      </c>
      <c r="D77" s="145" t="str">
        <v>G0</v>
      </c>
      <c r="E77" s="144" t="str">
        <f t="shared" si="2"/>
        <v>GBPFUT3MG0_Quote</v>
      </c>
      <c r="F77" s="143" t="str">
        <f>_xll.qlSimpleQuote(E77,,PriceTickValue,Permanent,Trigger,ObjectOverwrite)</f>
        <v>GBPFUT3MG0_Quote#0001</v>
      </c>
      <c r="G77" s="106" t="str">
        <f>_xll.ohRangeRetrieveError(F77)</f>
        <v/>
      </c>
      <c r="H77" s="142"/>
    </row>
    <row r="78" spans="1:8" x14ac:dyDescent="0.2">
      <c r="A78" s="148"/>
      <c r="B78" s="147">
        <v>76</v>
      </c>
      <c r="C78" s="146" t="b">
        <v>0</v>
      </c>
      <c r="D78" s="145" t="str">
        <v>H0</v>
      </c>
      <c r="E78" s="144" t="str">
        <f t="shared" si="2"/>
        <v>GBPFUT3MH0_Quote</v>
      </c>
      <c r="F78" s="143" t="str">
        <f>_xll.qlSimpleQuote(E78,,PriceTickValue,Permanent,Trigger,ObjectOverwrite)</f>
        <v>GBPFUT3MH0_Quote#0001</v>
      </c>
      <c r="G78" s="106" t="str">
        <f>_xll.ohRangeRetrieveError(F78)</f>
        <v/>
      </c>
      <c r="H78" s="142"/>
    </row>
    <row r="79" spans="1:8" x14ac:dyDescent="0.2">
      <c r="A79" s="148"/>
      <c r="B79" s="147">
        <v>77</v>
      </c>
      <c r="C79" s="146" t="b">
        <v>0</v>
      </c>
      <c r="D79" s="145" t="str">
        <v>J0</v>
      </c>
      <c r="E79" s="144" t="str">
        <f t="shared" si="2"/>
        <v>GBPFUT3MJ0_Quote</v>
      </c>
      <c r="F79" s="143" t="str">
        <f>_xll.qlSimpleQuote(E79,,PriceTickValue,Permanent,Trigger,ObjectOverwrite)</f>
        <v>GBPFUT3MJ0_Quote#0001</v>
      </c>
      <c r="G79" s="106" t="str">
        <f>_xll.ohRangeRetrieveError(F79)</f>
        <v/>
      </c>
      <c r="H79" s="142"/>
    </row>
    <row r="80" spans="1:8" x14ac:dyDescent="0.2">
      <c r="A80" s="148"/>
      <c r="B80" s="147">
        <v>78</v>
      </c>
      <c r="C80" s="146" t="b">
        <v>0</v>
      </c>
      <c r="D80" s="145" t="str">
        <v>K0</v>
      </c>
      <c r="E80" s="144" t="str">
        <f t="shared" si="2"/>
        <v>GBPFUT3MK0_Quote</v>
      </c>
      <c r="F80" s="143" t="str">
        <f>_xll.qlSimpleQuote(E80,,PriceTickValue,Permanent,Trigger,ObjectOverwrite)</f>
        <v>GBPFUT3MK0_Quote#0001</v>
      </c>
      <c r="G80" s="106" t="str">
        <f>_xll.ohRangeRetrieveError(F80)</f>
        <v/>
      </c>
      <c r="H80" s="142"/>
    </row>
    <row r="81" spans="1:8" x14ac:dyDescent="0.2">
      <c r="A81" s="148"/>
      <c r="B81" s="147">
        <v>79</v>
      </c>
      <c r="C81" s="146" t="b">
        <v>0</v>
      </c>
      <c r="D81" s="145" t="str">
        <v>M0</v>
      </c>
      <c r="E81" s="144" t="str">
        <f t="shared" si="2"/>
        <v>GBPFUT3MM0_Quote</v>
      </c>
      <c r="F81" s="143" t="str">
        <f>_xll.qlSimpleQuote(E81,,PriceTickValue,Permanent,Trigger,ObjectOverwrite)</f>
        <v>GBPFUT3MM0_Quote#0001</v>
      </c>
      <c r="G81" s="106" t="str">
        <f>_xll.ohRangeRetrieveError(F81)</f>
        <v/>
      </c>
      <c r="H81" s="142"/>
    </row>
    <row r="82" spans="1:8" x14ac:dyDescent="0.2">
      <c r="A82" s="148"/>
      <c r="B82" s="147">
        <v>80</v>
      </c>
      <c r="C82" s="146" t="b">
        <v>0</v>
      </c>
      <c r="D82" s="145" t="str">
        <v>N0</v>
      </c>
      <c r="E82" s="144" t="str">
        <f t="shared" si="2"/>
        <v>GBPFUT3MN0_Quote</v>
      </c>
      <c r="F82" s="143" t="str">
        <f>_xll.qlSimpleQuote(E82,,PriceTickValue,Permanent,Trigger,ObjectOverwrite)</f>
        <v>GBPFUT3MN0_Quote#0001</v>
      </c>
      <c r="G82" s="106" t="str">
        <f>_xll.ohRangeRetrieveError(F82)</f>
        <v/>
      </c>
      <c r="H82" s="142"/>
    </row>
    <row r="83" spans="1:8" x14ac:dyDescent="0.2">
      <c r="A83" s="148"/>
      <c r="B83" s="147">
        <v>81</v>
      </c>
      <c r="C83" s="146" t="b">
        <v>0</v>
      </c>
      <c r="D83" s="145" t="str">
        <v>Q0</v>
      </c>
      <c r="E83" s="144" t="str">
        <f t="shared" si="2"/>
        <v>GBPFUT3MQ0_Quote</v>
      </c>
      <c r="F83" s="143" t="str">
        <f>_xll.qlSimpleQuote(E83,,PriceTickValue,Permanent,Trigger,ObjectOverwrite)</f>
        <v>GBPFUT3MQ0_Quote#0001</v>
      </c>
      <c r="G83" s="106" t="str">
        <f>_xll.ohRangeRetrieveError(F83)</f>
        <v/>
      </c>
      <c r="H83" s="142"/>
    </row>
    <row r="84" spans="1:8" x14ac:dyDescent="0.2">
      <c r="A84" s="148"/>
      <c r="B84" s="147">
        <v>82</v>
      </c>
      <c r="C84" s="146" t="b">
        <v>0</v>
      </c>
      <c r="D84" s="145" t="str">
        <v>U0</v>
      </c>
      <c r="E84" s="144" t="str">
        <f t="shared" si="2"/>
        <v>GBPFUT3MU0_Quote</v>
      </c>
      <c r="F84" s="143" t="str">
        <f>_xll.qlSimpleQuote(E84,,PriceTickValue,Permanent,Trigger,ObjectOverwrite)</f>
        <v>GBPFUT3MU0_Quote#0001</v>
      </c>
      <c r="G84" s="106" t="str">
        <f>_xll.ohRangeRetrieveError(F84)</f>
        <v/>
      </c>
      <c r="H84" s="142"/>
    </row>
    <row r="85" spans="1:8" x14ac:dyDescent="0.2">
      <c r="A85" s="148"/>
      <c r="B85" s="147">
        <v>83</v>
      </c>
      <c r="C85" s="146" t="b">
        <v>0</v>
      </c>
      <c r="D85" s="145" t="str">
        <v>V0</v>
      </c>
      <c r="E85" s="144" t="str">
        <f t="shared" si="2"/>
        <v>GBPFUT3MV0_Quote</v>
      </c>
      <c r="F85" s="143" t="str">
        <f>_xll.qlSimpleQuote(E85,,PriceTickValue,Permanent,Trigger,ObjectOverwrite)</f>
        <v>GBPFUT3MV0_Quote#0001</v>
      </c>
      <c r="G85" s="106" t="str">
        <f>_xll.ohRangeRetrieveError(F85)</f>
        <v/>
      </c>
      <c r="H85" s="142"/>
    </row>
    <row r="86" spans="1:8" x14ac:dyDescent="0.2">
      <c r="A86" s="148"/>
      <c r="B86" s="147">
        <v>84</v>
      </c>
      <c r="C86" s="146" t="b">
        <v>0</v>
      </c>
      <c r="D86" s="145" t="str">
        <v>X0</v>
      </c>
      <c r="E86" s="144" t="str">
        <f t="shared" si="2"/>
        <v>GBPFUT3MX0_Quote</v>
      </c>
      <c r="F86" s="143" t="str">
        <f>_xll.qlSimpleQuote(E86,,PriceTickValue,Permanent,Trigger,ObjectOverwrite)</f>
        <v>GBPFUT3MX0_Quote#0001</v>
      </c>
      <c r="G86" s="106" t="str">
        <f>_xll.ohRangeRetrieveError(F86)</f>
        <v/>
      </c>
      <c r="H86" s="142"/>
    </row>
    <row r="87" spans="1:8" x14ac:dyDescent="0.2">
      <c r="A87" s="148"/>
      <c r="B87" s="147">
        <v>85</v>
      </c>
      <c r="C87" s="146" t="b">
        <v>0</v>
      </c>
      <c r="D87" s="145" t="str">
        <v>Z0</v>
      </c>
      <c r="E87" s="144" t="str">
        <f t="shared" si="2"/>
        <v>GBPFUT3MZ0_Quote</v>
      </c>
      <c r="F87" s="143" t="str">
        <f>_xll.qlSimpleQuote(E87,,PriceTickValue,Permanent,Trigger,ObjectOverwrite)</f>
        <v>GBPFUT3MZ0_Quote#0001</v>
      </c>
      <c r="G87" s="106" t="str">
        <f>_xll.ohRangeRetrieveError(F87)</f>
        <v/>
      </c>
      <c r="H87" s="142"/>
    </row>
    <row r="88" spans="1:8" x14ac:dyDescent="0.2">
      <c r="A88" s="148"/>
      <c r="B88" s="147">
        <v>86</v>
      </c>
      <c r="C88" s="146" t="b">
        <v>0</v>
      </c>
      <c r="D88" s="145" t="str">
        <v>F1</v>
      </c>
      <c r="E88" s="144" t="str">
        <f t="shared" si="2"/>
        <v>GBPFUT3MF1_Quote</v>
      </c>
      <c r="F88" s="143" t="str">
        <f>_xll.qlSimpleQuote(E88,,PriceTickValue,Permanent,Trigger,ObjectOverwrite)</f>
        <v>GBPFUT3MF1_Quote#0001</v>
      </c>
      <c r="G88" s="106" t="str">
        <f>_xll.ohRangeRetrieveError(F88)</f>
        <v/>
      </c>
      <c r="H88" s="142"/>
    </row>
    <row r="89" spans="1:8" x14ac:dyDescent="0.2">
      <c r="A89" s="148"/>
      <c r="B89" s="147">
        <v>87</v>
      </c>
      <c r="C89" s="146" t="b">
        <v>0</v>
      </c>
      <c r="D89" s="145" t="str">
        <v>G1</v>
      </c>
      <c r="E89" s="144" t="str">
        <f t="shared" si="2"/>
        <v>GBPFUT3MG1_Quote</v>
      </c>
      <c r="F89" s="143" t="str">
        <f>_xll.qlSimpleQuote(E89,,PriceTickValue,Permanent,Trigger,ObjectOverwrite)</f>
        <v>GBPFUT3MG1_Quote#0001</v>
      </c>
      <c r="G89" s="106" t="str">
        <f>_xll.ohRangeRetrieveError(F89)</f>
        <v/>
      </c>
      <c r="H89" s="142"/>
    </row>
    <row r="90" spans="1:8" x14ac:dyDescent="0.2">
      <c r="A90" s="148"/>
      <c r="B90" s="147">
        <v>88</v>
      </c>
      <c r="C90" s="146" t="b">
        <v>0</v>
      </c>
      <c r="D90" s="145" t="str">
        <v>H1</v>
      </c>
      <c r="E90" s="144" t="str">
        <f t="shared" si="2"/>
        <v>GBPFUT3MH1_Quote</v>
      </c>
      <c r="F90" s="143" t="str">
        <f>_xll.qlSimpleQuote(E90,,PriceTickValue,Permanent,Trigger,ObjectOverwrite)</f>
        <v>GBPFUT3MH1_Quote#0001</v>
      </c>
      <c r="G90" s="106" t="str">
        <f>_xll.ohRangeRetrieveError(F90)</f>
        <v/>
      </c>
      <c r="H90" s="142"/>
    </row>
    <row r="91" spans="1:8" x14ac:dyDescent="0.2">
      <c r="A91" s="148"/>
      <c r="B91" s="147">
        <v>89</v>
      </c>
      <c r="C91" s="146" t="b">
        <v>0</v>
      </c>
      <c r="D91" s="145" t="str">
        <v>J1</v>
      </c>
      <c r="E91" s="144" t="str">
        <f t="shared" si="2"/>
        <v>GBPFUT3MJ1_Quote</v>
      </c>
      <c r="F91" s="143" t="str">
        <f>_xll.qlSimpleQuote(E91,,PriceTickValue,Permanent,Trigger,ObjectOverwrite)</f>
        <v>GBPFUT3MJ1_Quote#0001</v>
      </c>
      <c r="G91" s="106" t="str">
        <f>_xll.ohRangeRetrieveError(F91)</f>
        <v/>
      </c>
      <c r="H91" s="142"/>
    </row>
    <row r="92" spans="1:8" x14ac:dyDescent="0.2">
      <c r="A92" s="148"/>
      <c r="B92" s="147">
        <v>90</v>
      </c>
      <c r="C92" s="146" t="b">
        <v>0</v>
      </c>
      <c r="D92" s="145" t="str">
        <v>K1</v>
      </c>
      <c r="E92" s="144" t="str">
        <f t="shared" si="2"/>
        <v>GBPFUT3MK1_Quote</v>
      </c>
      <c r="F92" s="143" t="str">
        <f>_xll.qlSimpleQuote(E92,,PriceTickValue,Permanent,Trigger,ObjectOverwrite)</f>
        <v>GBPFUT3MK1_Quote#0001</v>
      </c>
      <c r="G92" s="106" t="str">
        <f>_xll.ohRangeRetrieveError(F92)</f>
        <v/>
      </c>
      <c r="H92" s="142"/>
    </row>
    <row r="93" spans="1:8" x14ac:dyDescent="0.2">
      <c r="A93" s="148"/>
      <c r="B93" s="147">
        <v>91</v>
      </c>
      <c r="C93" s="146" t="b">
        <v>0</v>
      </c>
      <c r="D93" s="145" t="str">
        <v>M1</v>
      </c>
      <c r="E93" s="144" t="str">
        <f t="shared" si="2"/>
        <v>GBPFUT3MM1_Quote</v>
      </c>
      <c r="F93" s="143" t="str">
        <f>_xll.qlSimpleQuote(E93,,PriceTickValue,Permanent,Trigger,ObjectOverwrite)</f>
        <v>GBPFUT3MM1_Quote#0001</v>
      </c>
      <c r="G93" s="106" t="str">
        <f>_xll.ohRangeRetrieveError(F93)</f>
        <v/>
      </c>
      <c r="H93" s="142"/>
    </row>
    <row r="94" spans="1:8" x14ac:dyDescent="0.2">
      <c r="A94" s="148"/>
      <c r="B94" s="147">
        <v>92</v>
      </c>
      <c r="C94" s="146" t="b">
        <v>0</v>
      </c>
      <c r="D94" s="145" t="str">
        <v>N1</v>
      </c>
      <c r="E94" s="144" t="str">
        <f t="shared" si="2"/>
        <v>GBPFUT3MN1_Quote</v>
      </c>
      <c r="F94" s="143" t="str">
        <f>_xll.qlSimpleQuote(E94,,PriceTickValue,Permanent,Trigger,ObjectOverwrite)</f>
        <v>GBPFUT3MN1_Quote#0001</v>
      </c>
      <c r="G94" s="106" t="str">
        <f>_xll.ohRangeRetrieveError(F94)</f>
        <v/>
      </c>
      <c r="H94" s="142"/>
    </row>
    <row r="95" spans="1:8" x14ac:dyDescent="0.2">
      <c r="A95" s="148"/>
      <c r="B95" s="147">
        <v>93</v>
      </c>
      <c r="C95" s="146" t="b">
        <v>0</v>
      </c>
      <c r="D95" s="145" t="str">
        <v>Q1</v>
      </c>
      <c r="E95" s="144" t="str">
        <f t="shared" si="2"/>
        <v>GBPFUT3MQ1_Quote</v>
      </c>
      <c r="F95" s="143" t="str">
        <f>_xll.qlSimpleQuote(E95,,PriceTickValue,Permanent,Trigger,ObjectOverwrite)</f>
        <v>GBPFUT3MQ1_Quote#0001</v>
      </c>
      <c r="G95" s="106" t="str">
        <f>_xll.ohRangeRetrieveError(F95)</f>
        <v/>
      </c>
      <c r="H95" s="142"/>
    </row>
    <row r="96" spans="1:8" x14ac:dyDescent="0.2">
      <c r="A96" s="148"/>
      <c r="B96" s="147">
        <v>94</v>
      </c>
      <c r="C96" s="146" t="b">
        <v>0</v>
      </c>
      <c r="D96" s="145" t="str">
        <v>U1</v>
      </c>
      <c r="E96" s="144" t="str">
        <f t="shared" si="2"/>
        <v>GBPFUT3MU1_Quote</v>
      </c>
      <c r="F96" s="143" t="str">
        <f>_xll.qlSimpleQuote(E96,,PriceTickValue,Permanent,Trigger,ObjectOverwrite)</f>
        <v>GBPFUT3MU1_Quote#0001</v>
      </c>
      <c r="G96" s="106" t="str">
        <f>_xll.ohRangeRetrieveError(F96)</f>
        <v/>
      </c>
      <c r="H96" s="142"/>
    </row>
    <row r="97" spans="1:8" x14ac:dyDescent="0.2">
      <c r="A97" s="148"/>
      <c r="B97" s="147">
        <v>95</v>
      </c>
      <c r="C97" s="146" t="b">
        <v>0</v>
      </c>
      <c r="D97" s="145" t="str">
        <v>V1</v>
      </c>
      <c r="E97" s="144" t="str">
        <f t="shared" si="2"/>
        <v>GBPFUT3MV1_Quote</v>
      </c>
      <c r="F97" s="143" t="str">
        <f>_xll.qlSimpleQuote(E97,,PriceTickValue,Permanent,Trigger,ObjectOverwrite)</f>
        <v>GBPFUT3MV1_Quote#0001</v>
      </c>
      <c r="G97" s="106" t="str">
        <f>_xll.ohRangeRetrieveError(F97)</f>
        <v/>
      </c>
      <c r="H97" s="142"/>
    </row>
    <row r="98" spans="1:8" x14ac:dyDescent="0.2">
      <c r="A98" s="148"/>
      <c r="B98" s="147">
        <v>96</v>
      </c>
      <c r="C98" s="146" t="b">
        <v>0</v>
      </c>
      <c r="D98" s="145" t="str">
        <v>X1</v>
      </c>
      <c r="E98" s="144" t="str">
        <f t="shared" si="2"/>
        <v>GBPFUT3MX1_Quote</v>
      </c>
      <c r="F98" s="143" t="str">
        <f>_xll.qlSimpleQuote(E98,,PriceTickValue,Permanent,Trigger,ObjectOverwrite)</f>
        <v>GBPFUT3MX1_Quote#0001</v>
      </c>
      <c r="G98" s="106" t="str">
        <f>_xll.ohRangeRetrieveError(F98)</f>
        <v/>
      </c>
      <c r="H98" s="142"/>
    </row>
    <row r="99" spans="1:8" x14ac:dyDescent="0.2">
      <c r="A99" s="148"/>
      <c r="B99" s="147">
        <v>97</v>
      </c>
      <c r="C99" s="146" t="b">
        <v>0</v>
      </c>
      <c r="D99" s="145" t="str">
        <v>Z1</v>
      </c>
      <c r="E99" s="144" t="str">
        <f t="shared" ref="E99:E122" si="3">Currency&amp;$D$1&amp;$E$1&amp;$D99&amp;QuoteSuffix</f>
        <v>GBPFUT3MZ1_Quote</v>
      </c>
      <c r="F99" s="143" t="str">
        <f>_xll.qlSimpleQuote(E99,,PriceTickValue,Permanent,Trigger,ObjectOverwrite)</f>
        <v>GBPFUT3MZ1_Quote#0001</v>
      </c>
      <c r="G99" s="106" t="str">
        <f>_xll.ohRangeRetrieveError(F99)</f>
        <v/>
      </c>
      <c r="H99" s="142"/>
    </row>
    <row r="100" spans="1:8" x14ac:dyDescent="0.2">
      <c r="A100" s="148"/>
      <c r="B100" s="147">
        <v>98</v>
      </c>
      <c r="C100" s="146" t="b">
        <v>0</v>
      </c>
      <c r="D100" s="145" t="str">
        <v>F2</v>
      </c>
      <c r="E100" s="144" t="str">
        <f t="shared" si="3"/>
        <v>GBPFUT3MF2_Quote</v>
      </c>
      <c r="F100" s="143" t="str">
        <f>_xll.qlSimpleQuote(E100,,PriceTickValue,Permanent,Trigger,ObjectOverwrite)</f>
        <v>GBPFUT3MF2_Quote#0001</v>
      </c>
      <c r="G100" s="106" t="str">
        <f>_xll.ohRangeRetrieveError(F100)</f>
        <v/>
      </c>
      <c r="H100" s="142"/>
    </row>
    <row r="101" spans="1:8" x14ac:dyDescent="0.2">
      <c r="A101" s="148"/>
      <c r="B101" s="147">
        <v>99</v>
      </c>
      <c r="C101" s="146" t="b">
        <v>0</v>
      </c>
      <c r="D101" s="145" t="str">
        <v>G2</v>
      </c>
      <c r="E101" s="144" t="str">
        <f t="shared" si="3"/>
        <v>GBPFUT3MG2_Quote</v>
      </c>
      <c r="F101" s="143" t="str">
        <f>_xll.qlSimpleQuote(E101,,PriceTickValue,Permanent,Trigger,ObjectOverwrite)</f>
        <v>GBPFUT3MG2_Quote#0001</v>
      </c>
      <c r="G101" s="106" t="str">
        <f>_xll.ohRangeRetrieveError(F101)</f>
        <v/>
      </c>
      <c r="H101" s="142"/>
    </row>
    <row r="102" spans="1:8" x14ac:dyDescent="0.2">
      <c r="A102" s="148"/>
      <c r="B102" s="147">
        <v>100</v>
      </c>
      <c r="C102" s="146" t="b">
        <v>0</v>
      </c>
      <c r="D102" s="145" t="str">
        <v>H2</v>
      </c>
      <c r="E102" s="144" t="str">
        <f t="shared" si="3"/>
        <v>GBPFUT3MH2_Quote</v>
      </c>
      <c r="F102" s="143" t="str">
        <f>_xll.qlSimpleQuote(E102,,PriceTickValue,Permanent,Trigger,ObjectOverwrite)</f>
        <v>GBPFUT3MH2_Quote#0001</v>
      </c>
      <c r="G102" s="106" t="str">
        <f>_xll.ohRangeRetrieveError(F102)</f>
        <v/>
      </c>
      <c r="H102" s="142"/>
    </row>
    <row r="103" spans="1:8" x14ac:dyDescent="0.2">
      <c r="A103" s="148"/>
      <c r="B103" s="147">
        <v>101</v>
      </c>
      <c r="C103" s="146" t="b">
        <v>0</v>
      </c>
      <c r="D103" s="145" t="str">
        <v>J2</v>
      </c>
      <c r="E103" s="144" t="str">
        <f t="shared" si="3"/>
        <v>GBPFUT3MJ2_Quote</v>
      </c>
      <c r="F103" s="143" t="str">
        <f>_xll.qlSimpleQuote(E103,,PriceTickValue,Permanent,Trigger,ObjectOverwrite)</f>
        <v>GBPFUT3MJ2_Quote#0001</v>
      </c>
      <c r="G103" s="106" t="str">
        <f>_xll.ohRangeRetrieveError(F103)</f>
        <v/>
      </c>
      <c r="H103" s="142"/>
    </row>
    <row r="104" spans="1:8" x14ac:dyDescent="0.2">
      <c r="A104" s="148"/>
      <c r="B104" s="147">
        <v>102</v>
      </c>
      <c r="C104" s="146" t="b">
        <v>0</v>
      </c>
      <c r="D104" s="145" t="str">
        <v>K2</v>
      </c>
      <c r="E104" s="144" t="str">
        <f t="shared" si="3"/>
        <v>GBPFUT3MK2_Quote</v>
      </c>
      <c r="F104" s="143" t="str">
        <f>_xll.qlSimpleQuote(E104,,PriceTickValue,Permanent,Trigger,ObjectOverwrite)</f>
        <v>GBPFUT3MK2_Quote#0001</v>
      </c>
      <c r="G104" s="106" t="str">
        <f>_xll.ohRangeRetrieveError(F104)</f>
        <v/>
      </c>
      <c r="H104" s="142"/>
    </row>
    <row r="105" spans="1:8" x14ac:dyDescent="0.2">
      <c r="A105" s="148"/>
      <c r="B105" s="147">
        <v>103</v>
      </c>
      <c r="C105" s="146" t="b">
        <v>0</v>
      </c>
      <c r="D105" s="145" t="str">
        <v>M2</v>
      </c>
      <c r="E105" s="144" t="str">
        <f t="shared" si="3"/>
        <v>GBPFUT3MM2_Quote</v>
      </c>
      <c r="F105" s="143" t="str">
        <f>_xll.qlSimpleQuote(E105,,PriceTickValue,Permanent,Trigger,ObjectOverwrite)</f>
        <v>GBPFUT3MM2_Quote#0001</v>
      </c>
      <c r="G105" s="106" t="str">
        <f>_xll.ohRangeRetrieveError(F105)</f>
        <v/>
      </c>
      <c r="H105" s="142"/>
    </row>
    <row r="106" spans="1:8" x14ac:dyDescent="0.2">
      <c r="A106" s="148"/>
      <c r="B106" s="147">
        <v>104</v>
      </c>
      <c r="C106" s="146" t="b">
        <v>0</v>
      </c>
      <c r="D106" s="145" t="str">
        <v>N2</v>
      </c>
      <c r="E106" s="144" t="str">
        <f t="shared" si="3"/>
        <v>GBPFUT3MN2_Quote</v>
      </c>
      <c r="F106" s="143" t="str">
        <f>_xll.qlSimpleQuote(E106,,PriceTickValue,Permanent,Trigger,ObjectOverwrite)</f>
        <v>GBPFUT3MN2_Quote#0001</v>
      </c>
      <c r="G106" s="106" t="str">
        <f>_xll.ohRangeRetrieveError(F106)</f>
        <v/>
      </c>
      <c r="H106" s="142"/>
    </row>
    <row r="107" spans="1:8" x14ac:dyDescent="0.2">
      <c r="A107" s="148"/>
      <c r="B107" s="147">
        <v>105</v>
      </c>
      <c r="C107" s="146" t="b">
        <v>0</v>
      </c>
      <c r="D107" s="145" t="str">
        <v>Q2</v>
      </c>
      <c r="E107" s="144" t="str">
        <f t="shared" si="3"/>
        <v>GBPFUT3MQ2_Quote</v>
      </c>
      <c r="F107" s="143" t="str">
        <f>_xll.qlSimpleQuote(E107,,PriceTickValue,Permanent,Trigger,ObjectOverwrite)</f>
        <v>GBPFUT3MQ2_Quote#0001</v>
      </c>
      <c r="G107" s="106" t="str">
        <f>_xll.ohRangeRetrieveError(F107)</f>
        <v/>
      </c>
      <c r="H107" s="142"/>
    </row>
    <row r="108" spans="1:8" x14ac:dyDescent="0.2">
      <c r="A108" s="148"/>
      <c r="B108" s="147">
        <v>106</v>
      </c>
      <c r="C108" s="146" t="b">
        <v>0</v>
      </c>
      <c r="D108" s="145" t="str">
        <v>U2</v>
      </c>
      <c r="E108" s="144" t="str">
        <f t="shared" si="3"/>
        <v>GBPFUT3MU2_Quote</v>
      </c>
      <c r="F108" s="143" t="str">
        <f>_xll.qlSimpleQuote(E108,,PriceTickValue,Permanent,Trigger,ObjectOverwrite)</f>
        <v>GBPFUT3MU2_Quote#0001</v>
      </c>
      <c r="G108" s="106" t="str">
        <f>_xll.ohRangeRetrieveError(F108)</f>
        <v/>
      </c>
      <c r="H108" s="142"/>
    </row>
    <row r="109" spans="1:8" x14ac:dyDescent="0.2">
      <c r="A109" s="148"/>
      <c r="B109" s="147">
        <v>107</v>
      </c>
      <c r="C109" s="146" t="b">
        <v>0</v>
      </c>
      <c r="D109" s="145" t="str">
        <v>V2</v>
      </c>
      <c r="E109" s="144" t="str">
        <f t="shared" si="3"/>
        <v>GBPFUT3MV2_Quote</v>
      </c>
      <c r="F109" s="143" t="str">
        <f>_xll.qlSimpleQuote(E109,,PriceTickValue,Permanent,Trigger,ObjectOverwrite)</f>
        <v>GBPFUT3MV2_Quote#0001</v>
      </c>
      <c r="G109" s="106" t="str">
        <f>_xll.ohRangeRetrieveError(F109)</f>
        <v/>
      </c>
      <c r="H109" s="142"/>
    </row>
    <row r="110" spans="1:8" x14ac:dyDescent="0.2">
      <c r="A110" s="148"/>
      <c r="B110" s="147">
        <v>108</v>
      </c>
      <c r="C110" s="146" t="b">
        <v>0</v>
      </c>
      <c r="D110" s="145" t="str">
        <v>X2</v>
      </c>
      <c r="E110" s="144" t="str">
        <f t="shared" si="3"/>
        <v>GBPFUT3MX2_Quote</v>
      </c>
      <c r="F110" s="143" t="str">
        <f>_xll.qlSimpleQuote(E110,,PriceTickValue,Permanent,Trigger,ObjectOverwrite)</f>
        <v>GBPFUT3MX2_Quote#0001</v>
      </c>
      <c r="G110" s="106" t="str">
        <f>_xll.ohRangeRetrieveError(F110)</f>
        <v/>
      </c>
      <c r="H110" s="142"/>
    </row>
    <row r="111" spans="1:8" x14ac:dyDescent="0.2">
      <c r="A111" s="148"/>
      <c r="B111" s="147">
        <v>109</v>
      </c>
      <c r="C111" s="146" t="b">
        <v>0</v>
      </c>
      <c r="D111" s="145" t="str">
        <v>Z2</v>
      </c>
      <c r="E111" s="144" t="str">
        <f t="shared" si="3"/>
        <v>GBPFUT3MZ2_Quote</v>
      </c>
      <c r="F111" s="143" t="str">
        <f>_xll.qlSimpleQuote(E111,,PriceTickValue,Permanent,Trigger,ObjectOverwrite)</f>
        <v>GBPFUT3MZ2_Quote#0001</v>
      </c>
      <c r="G111" s="106" t="str">
        <f>_xll.ohRangeRetrieveError(F111)</f>
        <v/>
      </c>
      <c r="H111" s="142"/>
    </row>
    <row r="112" spans="1:8" x14ac:dyDescent="0.2">
      <c r="A112" s="148"/>
      <c r="B112" s="147">
        <v>110</v>
      </c>
      <c r="C112" s="146" t="b">
        <v>0</v>
      </c>
      <c r="D112" s="145" t="str">
        <v>F3</v>
      </c>
      <c r="E112" s="144" t="str">
        <f t="shared" si="3"/>
        <v>GBPFUT3MF3_Quote</v>
      </c>
      <c r="F112" s="143" t="str">
        <f>_xll.qlSimpleQuote(E112,,PriceTickValue,Permanent,Trigger,ObjectOverwrite)</f>
        <v>GBPFUT3MF3_Quote#0001</v>
      </c>
      <c r="G112" s="106" t="str">
        <f>_xll.ohRangeRetrieveError(F112)</f>
        <v/>
      </c>
      <c r="H112" s="142"/>
    </row>
    <row r="113" spans="1:8" x14ac:dyDescent="0.2">
      <c r="A113" s="148"/>
      <c r="B113" s="147">
        <v>111</v>
      </c>
      <c r="C113" s="146" t="b">
        <v>0</v>
      </c>
      <c r="D113" s="145" t="str">
        <v>G3</v>
      </c>
      <c r="E113" s="144" t="str">
        <f t="shared" si="3"/>
        <v>GBPFUT3MG3_Quote</v>
      </c>
      <c r="F113" s="143" t="str">
        <f>_xll.qlSimpleQuote(E113,,PriceTickValue,Permanent,Trigger,ObjectOverwrite)</f>
        <v>GBPFUT3MG3_Quote#0001</v>
      </c>
      <c r="G113" s="106" t="str">
        <f>_xll.ohRangeRetrieveError(F113)</f>
        <v/>
      </c>
      <c r="H113" s="142"/>
    </row>
    <row r="114" spans="1:8" x14ac:dyDescent="0.2">
      <c r="A114" s="148"/>
      <c r="B114" s="147">
        <v>112</v>
      </c>
      <c r="C114" s="146" t="b">
        <v>0</v>
      </c>
      <c r="D114" s="145" t="str">
        <v>H3</v>
      </c>
      <c r="E114" s="144" t="str">
        <f t="shared" si="3"/>
        <v>GBPFUT3MH3_Quote</v>
      </c>
      <c r="F114" s="143" t="str">
        <f>_xll.qlSimpleQuote(E114,,PriceTickValue,Permanent,Trigger,ObjectOverwrite)</f>
        <v>GBPFUT3MH3_Quote#0001</v>
      </c>
      <c r="G114" s="106" t="str">
        <f>_xll.ohRangeRetrieveError(F114)</f>
        <v/>
      </c>
      <c r="H114" s="142"/>
    </row>
    <row r="115" spans="1:8" x14ac:dyDescent="0.2">
      <c r="A115" s="148"/>
      <c r="B115" s="147">
        <v>113</v>
      </c>
      <c r="C115" s="146" t="b">
        <v>0</v>
      </c>
      <c r="D115" s="145" t="str">
        <v>J3</v>
      </c>
      <c r="E115" s="144" t="str">
        <f t="shared" si="3"/>
        <v>GBPFUT3MJ3_Quote</v>
      </c>
      <c r="F115" s="143" t="str">
        <f>_xll.qlSimpleQuote(E115,,PriceTickValue,Permanent,Trigger,ObjectOverwrite)</f>
        <v>GBPFUT3MJ3_Quote#0001</v>
      </c>
      <c r="G115" s="106" t="str">
        <f>_xll.ohRangeRetrieveError(F115)</f>
        <v/>
      </c>
      <c r="H115" s="142"/>
    </row>
    <row r="116" spans="1:8" x14ac:dyDescent="0.2">
      <c r="A116" s="148"/>
      <c r="B116" s="147">
        <v>114</v>
      </c>
      <c r="C116" s="146" t="b">
        <v>0</v>
      </c>
      <c r="D116" s="145" t="str">
        <v>K3</v>
      </c>
      <c r="E116" s="144" t="str">
        <f t="shared" si="3"/>
        <v>GBPFUT3MK3_Quote</v>
      </c>
      <c r="F116" s="143" t="str">
        <f>_xll.qlSimpleQuote(E116,,PriceTickValue,Permanent,Trigger,ObjectOverwrite)</f>
        <v>GBPFUT3MK3_Quote#0001</v>
      </c>
      <c r="G116" s="106" t="str">
        <f>_xll.ohRangeRetrieveError(F116)</f>
        <v/>
      </c>
      <c r="H116" s="142"/>
    </row>
    <row r="117" spans="1:8" x14ac:dyDescent="0.2">
      <c r="A117" s="148"/>
      <c r="B117" s="147">
        <v>115</v>
      </c>
      <c r="C117" s="146" t="b">
        <v>0</v>
      </c>
      <c r="D117" s="145" t="str">
        <v>M3</v>
      </c>
      <c r="E117" s="144" t="str">
        <f t="shared" si="3"/>
        <v>GBPFUT3MM3_Quote</v>
      </c>
      <c r="F117" s="143" t="str">
        <f>_xll.qlSimpleQuote(E117,,PriceTickValue,Permanent,Trigger,ObjectOverwrite)</f>
        <v>GBPFUT3MM3_Quote#0001</v>
      </c>
      <c r="G117" s="106" t="str">
        <f>_xll.ohRangeRetrieveError(F117)</f>
        <v/>
      </c>
      <c r="H117" s="142"/>
    </row>
    <row r="118" spans="1:8" x14ac:dyDescent="0.2">
      <c r="A118" s="148"/>
      <c r="B118" s="147">
        <v>116</v>
      </c>
      <c r="C118" s="146" t="b">
        <v>0</v>
      </c>
      <c r="D118" s="145" t="str">
        <v>N3</v>
      </c>
      <c r="E118" s="144" t="str">
        <f t="shared" si="3"/>
        <v>GBPFUT3MN3_Quote</v>
      </c>
      <c r="F118" s="143" t="str">
        <f>_xll.qlSimpleQuote(E118,,PriceTickValue,Permanent,Trigger,ObjectOverwrite)</f>
        <v>GBPFUT3MN3_Quote#0001</v>
      </c>
      <c r="G118" s="106" t="str">
        <f>_xll.ohRangeRetrieveError(F118)</f>
        <v/>
      </c>
      <c r="H118" s="142"/>
    </row>
    <row r="119" spans="1:8" x14ac:dyDescent="0.2">
      <c r="A119" s="148"/>
      <c r="B119" s="147">
        <v>117</v>
      </c>
      <c r="C119" s="146" t="b">
        <v>0</v>
      </c>
      <c r="D119" s="145" t="str">
        <v>Q3</v>
      </c>
      <c r="E119" s="144" t="str">
        <f t="shared" si="3"/>
        <v>GBPFUT3MQ3_Quote</v>
      </c>
      <c r="F119" s="143" t="str">
        <f>_xll.qlSimpleQuote(E119,,PriceTickValue,Permanent,Trigger,ObjectOverwrite)</f>
        <v>GBPFUT3MQ3_Quote#0001</v>
      </c>
      <c r="G119" s="106" t="str">
        <f>_xll.ohRangeRetrieveError(F119)</f>
        <v/>
      </c>
      <c r="H119" s="142"/>
    </row>
    <row r="120" spans="1:8" x14ac:dyDescent="0.2">
      <c r="A120" s="148"/>
      <c r="B120" s="147">
        <v>118</v>
      </c>
      <c r="C120" s="146" t="b">
        <v>0</v>
      </c>
      <c r="D120" s="145" t="str">
        <v>U3</v>
      </c>
      <c r="E120" s="144" t="str">
        <f t="shared" si="3"/>
        <v>GBPFUT3MU3_Quote</v>
      </c>
      <c r="F120" s="143" t="str">
        <f>_xll.qlSimpleQuote(E120,,PriceTickValue,Permanent,Trigger,ObjectOverwrite)</f>
        <v>GBPFUT3MU3_Quote#0001</v>
      </c>
      <c r="G120" s="106" t="str">
        <f>_xll.ohRangeRetrieveError(F120)</f>
        <v/>
      </c>
      <c r="H120" s="142"/>
    </row>
    <row r="121" spans="1:8" x14ac:dyDescent="0.2">
      <c r="A121" s="148"/>
      <c r="B121" s="147">
        <v>119</v>
      </c>
      <c r="C121" s="146" t="b">
        <v>0</v>
      </c>
      <c r="D121" s="145" t="str">
        <v>V3</v>
      </c>
      <c r="E121" s="144" t="str">
        <f t="shared" si="3"/>
        <v>GBPFUT3MV3_Quote</v>
      </c>
      <c r="F121" s="143" t="str">
        <f>_xll.qlSimpleQuote(E121,,PriceTickValue,Permanent,Trigger,ObjectOverwrite)</f>
        <v>GBPFUT3MV3_Quote#0001</v>
      </c>
      <c r="G121" s="106" t="str">
        <f>_xll.ohRangeRetrieveError(F121)</f>
        <v/>
      </c>
      <c r="H121" s="142"/>
    </row>
    <row r="122" spans="1:8" x14ac:dyDescent="0.2">
      <c r="A122" s="148"/>
      <c r="B122" s="147">
        <v>120</v>
      </c>
      <c r="C122" s="146" t="b">
        <v>0</v>
      </c>
      <c r="D122" s="145" t="str">
        <v>X3</v>
      </c>
      <c r="E122" s="144" t="str">
        <f t="shared" si="3"/>
        <v>GBPFUT3MX3_Quote</v>
      </c>
      <c r="F122" s="143" t="str">
        <f>_xll.qlSimpleQuote(E122,,PriceTickValue,Permanent,Trigger,ObjectOverwrite)</f>
        <v>GBPFUT3MX3_Quote#0001</v>
      </c>
      <c r="G122" s="106" t="str">
        <f>_xll.ohRangeRetrieveError(F122)</f>
        <v/>
      </c>
      <c r="H122" s="142"/>
    </row>
    <row r="123" spans="1:8" ht="12" thickBot="1" x14ac:dyDescent="0.25">
      <c r="A123" s="141"/>
      <c r="B123" s="140"/>
      <c r="C123" s="140"/>
      <c r="D123" s="140"/>
      <c r="E123" s="140"/>
      <c r="F123" s="140"/>
      <c r="G123" s="140"/>
      <c r="H123" s="139"/>
    </row>
  </sheetData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"/>
  <sheetViews>
    <sheetView workbookViewId="0"/>
  </sheetViews>
  <sheetFormatPr defaultRowHeight="11.25" x14ac:dyDescent="0.2"/>
  <cols>
    <col min="1" max="1" width="3.28515625" style="67" customWidth="1"/>
    <col min="2" max="2" width="3.5703125" style="67" bestFit="1" customWidth="1"/>
    <col min="3" max="3" width="5.7109375" style="67" bestFit="1" customWidth="1"/>
    <col min="4" max="4" width="6.5703125" style="67" bestFit="1" customWidth="1"/>
    <col min="5" max="5" width="20.140625" style="67" bestFit="1" customWidth="1"/>
    <col min="6" max="6" width="23.140625" style="67" bestFit="1" customWidth="1"/>
    <col min="7" max="7" width="33.85546875" style="67" customWidth="1"/>
    <col min="8" max="8" width="4.5703125" style="67" customWidth="1"/>
    <col min="9" max="16384" width="9.140625" style="67"/>
  </cols>
  <sheetData>
    <row r="1" spans="1:8" x14ac:dyDescent="0.2">
      <c r="A1" s="159"/>
      <c r="B1" s="158"/>
      <c r="C1" s="158"/>
      <c r="D1" s="157" t="s">
        <v>179</v>
      </c>
      <c r="E1" s="157" t="s">
        <v>8</v>
      </c>
      <c r="F1" s="156"/>
      <c r="G1" s="156"/>
      <c r="H1" s="155"/>
    </row>
    <row r="2" spans="1:8" ht="22.5" x14ac:dyDescent="0.2">
      <c r="A2" s="154"/>
      <c r="B2" s="92" t="s">
        <v>177</v>
      </c>
      <c r="C2" s="93" t="s">
        <v>176</v>
      </c>
      <c r="D2" s="93" t="s">
        <v>175</v>
      </c>
      <c r="E2" s="91" t="str">
        <f>Currency&amp;"_010_"&amp;$D$1&amp;$E$1&amp;".xml"</f>
        <v>GBP_010_IMMFRA6M.xml</v>
      </c>
      <c r="F2" s="90">
        <f ca="1">IF(Serialize,_xll.ohObjectSave(F3:F122,SerializationPath&amp;E2,FileOverwrite,Serialize),"---")</f>
        <v>120</v>
      </c>
      <c r="G2" s="109" t="str">
        <f ca="1">_xll.ohRangeRetrieveError(F2)</f>
        <v/>
      </c>
      <c r="H2" s="142"/>
    </row>
    <row r="3" spans="1:8" x14ac:dyDescent="0.2">
      <c r="A3" s="148"/>
      <c r="B3" s="153">
        <v>1</v>
      </c>
      <c r="C3" s="152" t="b">
        <v>0</v>
      </c>
      <c r="D3" s="151" t="str">
        <f t="array" ref="D3:D122">_xll.qlIMMNextCodes(_xll.qlSettingsEvaluationDate(Trigger)-1,$C3:$C122)</f>
        <v>Z3</v>
      </c>
      <c r="E3" s="144" t="str">
        <f t="shared" ref="E3:E34" si="0">Currency&amp;$D$1&amp;$E$1&amp;$D3&amp;QuoteSuffix</f>
        <v>GBPIMMFRA6MZ3_Quote</v>
      </c>
      <c r="F3" s="150" t="str">
        <f>_xll.qlSimpleQuote(E3,,PriceTickValue,Permanent,Trigger,ObjectOverwrite)</f>
        <v>GBPIMMFRA6MZ3_Quote#0001</v>
      </c>
      <c r="G3" s="149" t="str">
        <f>_xll.ohRangeRetrieveError(F3)</f>
        <v/>
      </c>
      <c r="H3" s="142"/>
    </row>
    <row r="4" spans="1:8" x14ac:dyDescent="0.2">
      <c r="A4" s="148"/>
      <c r="B4" s="147">
        <v>2</v>
      </c>
      <c r="C4" s="146" t="b">
        <v>0</v>
      </c>
      <c r="D4" s="145" t="str">
        <v>F4</v>
      </c>
      <c r="E4" s="144" t="str">
        <f t="shared" si="0"/>
        <v>GBPIMMFRA6MF4_Quote</v>
      </c>
      <c r="F4" s="143" t="str">
        <f>_xll.qlSimpleQuote(E4,,PriceTickValue,Permanent,Trigger,ObjectOverwrite)</f>
        <v>GBPIMMFRA6MF4_Quote#0001</v>
      </c>
      <c r="G4" s="106" t="str">
        <f>_xll.ohRangeRetrieveError(F4)</f>
        <v/>
      </c>
      <c r="H4" s="142"/>
    </row>
    <row r="5" spans="1:8" x14ac:dyDescent="0.2">
      <c r="A5" s="148"/>
      <c r="B5" s="147">
        <v>3</v>
      </c>
      <c r="C5" s="146" t="b">
        <v>0</v>
      </c>
      <c r="D5" s="145" t="str">
        <v>G4</v>
      </c>
      <c r="E5" s="144" t="str">
        <f t="shared" si="0"/>
        <v>GBPIMMFRA6MG4_Quote</v>
      </c>
      <c r="F5" s="143" t="str">
        <f>_xll.qlSimpleQuote(E5,,PriceTickValue,Permanent,Trigger,ObjectOverwrite)</f>
        <v>GBPIMMFRA6MG4_Quote#0001</v>
      </c>
      <c r="G5" s="106" t="str">
        <f>_xll.ohRangeRetrieveError(F5)</f>
        <v/>
      </c>
      <c r="H5" s="142"/>
    </row>
    <row r="6" spans="1:8" x14ac:dyDescent="0.2">
      <c r="A6" s="148"/>
      <c r="B6" s="147">
        <v>4</v>
      </c>
      <c r="C6" s="146" t="b">
        <v>0</v>
      </c>
      <c r="D6" s="145" t="str">
        <v>H4</v>
      </c>
      <c r="E6" s="144" t="str">
        <f t="shared" si="0"/>
        <v>GBPIMMFRA6MH4_Quote</v>
      </c>
      <c r="F6" s="143" t="str">
        <f>_xll.qlSimpleQuote(E6,,PriceTickValue,Permanent,Trigger,ObjectOverwrite)</f>
        <v>GBPIMMFRA6MH4_Quote#0001</v>
      </c>
      <c r="G6" s="106" t="str">
        <f>_xll.ohRangeRetrieveError(F6)</f>
        <v/>
      </c>
      <c r="H6" s="142"/>
    </row>
    <row r="7" spans="1:8" x14ac:dyDescent="0.2">
      <c r="A7" s="148"/>
      <c r="B7" s="147">
        <v>5</v>
      </c>
      <c r="C7" s="146" t="b">
        <v>0</v>
      </c>
      <c r="D7" s="145" t="str">
        <v>J4</v>
      </c>
      <c r="E7" s="144" t="str">
        <f t="shared" si="0"/>
        <v>GBPIMMFRA6MJ4_Quote</v>
      </c>
      <c r="F7" s="143" t="str">
        <f>_xll.qlSimpleQuote(E7,,PriceTickValue,Permanent,Trigger,ObjectOverwrite)</f>
        <v>GBPIMMFRA6MJ4_Quote#0001</v>
      </c>
      <c r="G7" s="106" t="str">
        <f>_xll.ohRangeRetrieveError(F7)</f>
        <v/>
      </c>
      <c r="H7" s="142"/>
    </row>
    <row r="8" spans="1:8" x14ac:dyDescent="0.2">
      <c r="A8" s="148"/>
      <c r="B8" s="147">
        <v>6</v>
      </c>
      <c r="C8" s="146" t="b">
        <v>0</v>
      </c>
      <c r="D8" s="145" t="str">
        <v>K4</v>
      </c>
      <c r="E8" s="144" t="str">
        <f t="shared" si="0"/>
        <v>GBPIMMFRA6MK4_Quote</v>
      </c>
      <c r="F8" s="143" t="str">
        <f>_xll.qlSimpleQuote(E8,,PriceTickValue,Permanent,Trigger,ObjectOverwrite)</f>
        <v>GBPIMMFRA6MK4_Quote#0001</v>
      </c>
      <c r="G8" s="106" t="str">
        <f>_xll.ohRangeRetrieveError(F8)</f>
        <v/>
      </c>
      <c r="H8" s="142"/>
    </row>
    <row r="9" spans="1:8" x14ac:dyDescent="0.2">
      <c r="A9" s="148"/>
      <c r="B9" s="147">
        <v>7</v>
      </c>
      <c r="C9" s="146" t="b">
        <v>0</v>
      </c>
      <c r="D9" s="145" t="str">
        <v>M4</v>
      </c>
      <c r="E9" s="144" t="str">
        <f t="shared" si="0"/>
        <v>GBPIMMFRA6MM4_Quote</v>
      </c>
      <c r="F9" s="143" t="str">
        <f>_xll.qlSimpleQuote(E9,,PriceTickValue,Permanent,Trigger,ObjectOverwrite)</f>
        <v>GBPIMMFRA6MM4_Quote#0001</v>
      </c>
      <c r="G9" s="106" t="str">
        <f>_xll.ohRangeRetrieveError(F9)</f>
        <v/>
      </c>
      <c r="H9" s="142"/>
    </row>
    <row r="10" spans="1:8" x14ac:dyDescent="0.2">
      <c r="A10" s="148"/>
      <c r="B10" s="147">
        <v>8</v>
      </c>
      <c r="C10" s="146" t="b">
        <v>0</v>
      </c>
      <c r="D10" s="145" t="str">
        <v>N4</v>
      </c>
      <c r="E10" s="144" t="str">
        <f t="shared" si="0"/>
        <v>GBPIMMFRA6MN4_Quote</v>
      </c>
      <c r="F10" s="143" t="str">
        <f>_xll.qlSimpleQuote(E10,,PriceTickValue,Permanent,Trigger,ObjectOverwrite)</f>
        <v>GBPIMMFRA6MN4_Quote#0001</v>
      </c>
      <c r="G10" s="106" t="str">
        <f>_xll.ohRangeRetrieveError(F10)</f>
        <v/>
      </c>
      <c r="H10" s="142"/>
    </row>
    <row r="11" spans="1:8" x14ac:dyDescent="0.2">
      <c r="A11" s="148"/>
      <c r="B11" s="147">
        <v>9</v>
      </c>
      <c r="C11" s="146" t="b">
        <v>0</v>
      </c>
      <c r="D11" s="145" t="str">
        <v>Q4</v>
      </c>
      <c r="E11" s="144" t="str">
        <f t="shared" si="0"/>
        <v>GBPIMMFRA6MQ4_Quote</v>
      </c>
      <c r="F11" s="143" t="str">
        <f>_xll.qlSimpleQuote(E11,,PriceTickValue,Permanent,Trigger,ObjectOverwrite)</f>
        <v>GBPIMMFRA6MQ4_Quote#0001</v>
      </c>
      <c r="G11" s="106" t="str">
        <f>_xll.ohRangeRetrieveError(F11)</f>
        <v/>
      </c>
      <c r="H11" s="142"/>
    </row>
    <row r="12" spans="1:8" x14ac:dyDescent="0.2">
      <c r="A12" s="148"/>
      <c r="B12" s="147">
        <v>10</v>
      </c>
      <c r="C12" s="146" t="b">
        <v>0</v>
      </c>
      <c r="D12" s="145" t="str">
        <v>U4</v>
      </c>
      <c r="E12" s="144" t="str">
        <f t="shared" si="0"/>
        <v>GBPIMMFRA6MU4_Quote</v>
      </c>
      <c r="F12" s="143" t="str">
        <f>_xll.qlSimpleQuote(E12,,PriceTickValue,Permanent,Trigger,ObjectOverwrite)</f>
        <v>GBPIMMFRA6MU4_Quote#0001</v>
      </c>
      <c r="G12" s="106" t="str">
        <f>_xll.ohRangeRetrieveError(F12)</f>
        <v/>
      </c>
      <c r="H12" s="142"/>
    </row>
    <row r="13" spans="1:8" x14ac:dyDescent="0.2">
      <c r="A13" s="148"/>
      <c r="B13" s="147">
        <v>11</v>
      </c>
      <c r="C13" s="146" t="b">
        <v>0</v>
      </c>
      <c r="D13" s="145" t="str">
        <v>V4</v>
      </c>
      <c r="E13" s="144" t="str">
        <f t="shared" si="0"/>
        <v>GBPIMMFRA6MV4_Quote</v>
      </c>
      <c r="F13" s="143" t="str">
        <f>_xll.qlSimpleQuote(E13,,PriceTickValue,Permanent,Trigger,ObjectOverwrite)</f>
        <v>GBPIMMFRA6MV4_Quote#0001</v>
      </c>
      <c r="G13" s="106" t="str">
        <f>_xll.ohRangeRetrieveError(F13)</f>
        <v/>
      </c>
      <c r="H13" s="142"/>
    </row>
    <row r="14" spans="1:8" x14ac:dyDescent="0.2">
      <c r="A14" s="148"/>
      <c r="B14" s="147">
        <v>12</v>
      </c>
      <c r="C14" s="146" t="b">
        <v>0</v>
      </c>
      <c r="D14" s="145" t="str">
        <v>X4</v>
      </c>
      <c r="E14" s="144" t="str">
        <f t="shared" si="0"/>
        <v>GBPIMMFRA6MX4_Quote</v>
      </c>
      <c r="F14" s="143" t="str">
        <f>_xll.qlSimpleQuote(E14,,PriceTickValue,Permanent,Trigger,ObjectOverwrite)</f>
        <v>GBPIMMFRA6MX4_Quote#0001</v>
      </c>
      <c r="G14" s="106" t="str">
        <f>_xll.ohRangeRetrieveError(F14)</f>
        <v/>
      </c>
      <c r="H14" s="142"/>
    </row>
    <row r="15" spans="1:8" x14ac:dyDescent="0.2">
      <c r="A15" s="148"/>
      <c r="B15" s="147">
        <v>13</v>
      </c>
      <c r="C15" s="146" t="b">
        <v>0</v>
      </c>
      <c r="D15" s="145" t="str">
        <v>Z4</v>
      </c>
      <c r="E15" s="144" t="str">
        <f t="shared" si="0"/>
        <v>GBPIMMFRA6MZ4_Quote</v>
      </c>
      <c r="F15" s="143" t="str">
        <f>_xll.qlSimpleQuote(E15,,PriceTickValue,Permanent,Trigger,ObjectOverwrite)</f>
        <v>GBPIMMFRA6MZ4_Quote#0001</v>
      </c>
      <c r="G15" s="106" t="str">
        <f>_xll.ohRangeRetrieveError(F15)</f>
        <v/>
      </c>
      <c r="H15" s="142"/>
    </row>
    <row r="16" spans="1:8" x14ac:dyDescent="0.2">
      <c r="A16" s="148"/>
      <c r="B16" s="147">
        <v>14</v>
      </c>
      <c r="C16" s="146" t="b">
        <v>0</v>
      </c>
      <c r="D16" s="145" t="str">
        <v>F5</v>
      </c>
      <c r="E16" s="144" t="str">
        <f t="shared" si="0"/>
        <v>GBPIMMFRA6MF5_Quote</v>
      </c>
      <c r="F16" s="143" t="str">
        <f>_xll.qlSimpleQuote(E16,,PriceTickValue,Permanent,Trigger,ObjectOverwrite)</f>
        <v>GBPIMMFRA6MF5_Quote#0001</v>
      </c>
      <c r="G16" s="106" t="str">
        <f>_xll.ohRangeRetrieveError(F16)</f>
        <v/>
      </c>
      <c r="H16" s="142"/>
    </row>
    <row r="17" spans="1:8" x14ac:dyDescent="0.2">
      <c r="A17" s="148"/>
      <c r="B17" s="147">
        <v>15</v>
      </c>
      <c r="C17" s="146" t="b">
        <v>0</v>
      </c>
      <c r="D17" s="145" t="str">
        <v>G5</v>
      </c>
      <c r="E17" s="144" t="str">
        <f t="shared" si="0"/>
        <v>GBPIMMFRA6MG5_Quote</v>
      </c>
      <c r="F17" s="143" t="str">
        <f>_xll.qlSimpleQuote(E17,,PriceTickValue,Permanent,Trigger,ObjectOverwrite)</f>
        <v>GBPIMMFRA6MG5_Quote#0001</v>
      </c>
      <c r="G17" s="106" t="str">
        <f>_xll.ohRangeRetrieveError(F17)</f>
        <v/>
      </c>
      <c r="H17" s="142"/>
    </row>
    <row r="18" spans="1:8" x14ac:dyDescent="0.2">
      <c r="A18" s="148"/>
      <c r="B18" s="147">
        <v>16</v>
      </c>
      <c r="C18" s="146" t="b">
        <v>0</v>
      </c>
      <c r="D18" s="145" t="str">
        <v>H5</v>
      </c>
      <c r="E18" s="144" t="str">
        <f t="shared" si="0"/>
        <v>GBPIMMFRA6MH5_Quote</v>
      </c>
      <c r="F18" s="143" t="str">
        <f>_xll.qlSimpleQuote(E18,,PriceTickValue,Permanent,Trigger,ObjectOverwrite)</f>
        <v>GBPIMMFRA6MH5_Quote#0001</v>
      </c>
      <c r="G18" s="106" t="str">
        <f>_xll.ohRangeRetrieveError(F18)</f>
        <v/>
      </c>
      <c r="H18" s="142"/>
    </row>
    <row r="19" spans="1:8" x14ac:dyDescent="0.2">
      <c r="A19" s="148"/>
      <c r="B19" s="147">
        <v>17</v>
      </c>
      <c r="C19" s="146" t="b">
        <v>0</v>
      </c>
      <c r="D19" s="145" t="str">
        <v>J5</v>
      </c>
      <c r="E19" s="144" t="str">
        <f t="shared" si="0"/>
        <v>GBPIMMFRA6MJ5_Quote</v>
      </c>
      <c r="F19" s="143" t="str">
        <f>_xll.qlSimpleQuote(E19,,PriceTickValue,Permanent,Trigger,ObjectOverwrite)</f>
        <v>GBPIMMFRA6MJ5_Quote#0001</v>
      </c>
      <c r="G19" s="106" t="str">
        <f>_xll.ohRangeRetrieveError(F19)</f>
        <v/>
      </c>
      <c r="H19" s="142"/>
    </row>
    <row r="20" spans="1:8" x14ac:dyDescent="0.2">
      <c r="A20" s="148"/>
      <c r="B20" s="147">
        <v>18</v>
      </c>
      <c r="C20" s="146" t="b">
        <v>0</v>
      </c>
      <c r="D20" s="145" t="str">
        <v>K5</v>
      </c>
      <c r="E20" s="144" t="str">
        <f t="shared" si="0"/>
        <v>GBPIMMFRA6MK5_Quote</v>
      </c>
      <c r="F20" s="143" t="str">
        <f>_xll.qlSimpleQuote(E20,,PriceTickValue,Permanent,Trigger,ObjectOverwrite)</f>
        <v>GBPIMMFRA6MK5_Quote#0001</v>
      </c>
      <c r="G20" s="106" t="str">
        <f>_xll.ohRangeRetrieveError(F20)</f>
        <v/>
      </c>
      <c r="H20" s="142"/>
    </row>
    <row r="21" spans="1:8" x14ac:dyDescent="0.2">
      <c r="A21" s="148"/>
      <c r="B21" s="147">
        <v>19</v>
      </c>
      <c r="C21" s="146" t="b">
        <v>0</v>
      </c>
      <c r="D21" s="145" t="str">
        <v>M5</v>
      </c>
      <c r="E21" s="144" t="str">
        <f t="shared" si="0"/>
        <v>GBPIMMFRA6MM5_Quote</v>
      </c>
      <c r="F21" s="143" t="str">
        <f>_xll.qlSimpleQuote(E21,,PriceTickValue,Permanent,Trigger,ObjectOverwrite)</f>
        <v>GBPIMMFRA6MM5_Quote#0001</v>
      </c>
      <c r="G21" s="106" t="str">
        <f>_xll.ohRangeRetrieveError(F21)</f>
        <v/>
      </c>
      <c r="H21" s="142"/>
    </row>
    <row r="22" spans="1:8" x14ac:dyDescent="0.2">
      <c r="A22" s="148"/>
      <c r="B22" s="147">
        <v>20</v>
      </c>
      <c r="C22" s="146" t="b">
        <v>0</v>
      </c>
      <c r="D22" s="145" t="str">
        <v>N5</v>
      </c>
      <c r="E22" s="144" t="str">
        <f t="shared" si="0"/>
        <v>GBPIMMFRA6MN5_Quote</v>
      </c>
      <c r="F22" s="143" t="str">
        <f>_xll.qlSimpleQuote(E22,,PriceTickValue,Permanent,Trigger,ObjectOverwrite)</f>
        <v>GBPIMMFRA6MN5_Quote#0001</v>
      </c>
      <c r="G22" s="106" t="str">
        <f>_xll.ohRangeRetrieveError(F22)</f>
        <v/>
      </c>
      <c r="H22" s="142"/>
    </row>
    <row r="23" spans="1:8" x14ac:dyDescent="0.2">
      <c r="A23" s="148"/>
      <c r="B23" s="147">
        <v>21</v>
      </c>
      <c r="C23" s="146" t="b">
        <v>0</v>
      </c>
      <c r="D23" s="145" t="str">
        <v>Q5</v>
      </c>
      <c r="E23" s="144" t="str">
        <f t="shared" si="0"/>
        <v>GBPIMMFRA6MQ5_Quote</v>
      </c>
      <c r="F23" s="143" t="str">
        <f>_xll.qlSimpleQuote(E23,,PriceTickValue,Permanent,Trigger,ObjectOverwrite)</f>
        <v>GBPIMMFRA6MQ5_Quote#0001</v>
      </c>
      <c r="G23" s="106" t="str">
        <f>_xll.ohRangeRetrieveError(F23)</f>
        <v/>
      </c>
      <c r="H23" s="142"/>
    </row>
    <row r="24" spans="1:8" x14ac:dyDescent="0.2">
      <c r="A24" s="148"/>
      <c r="B24" s="147">
        <v>22</v>
      </c>
      <c r="C24" s="146" t="b">
        <v>0</v>
      </c>
      <c r="D24" s="145" t="str">
        <v>U5</v>
      </c>
      <c r="E24" s="144" t="str">
        <f t="shared" si="0"/>
        <v>GBPIMMFRA6MU5_Quote</v>
      </c>
      <c r="F24" s="143" t="str">
        <f>_xll.qlSimpleQuote(E24,,PriceTickValue,Permanent,Trigger,ObjectOverwrite)</f>
        <v>GBPIMMFRA6MU5_Quote#0001</v>
      </c>
      <c r="G24" s="106" t="str">
        <f>_xll.ohRangeRetrieveError(F24)</f>
        <v/>
      </c>
      <c r="H24" s="142"/>
    </row>
    <row r="25" spans="1:8" x14ac:dyDescent="0.2">
      <c r="A25" s="148"/>
      <c r="B25" s="147">
        <v>23</v>
      </c>
      <c r="C25" s="146" t="b">
        <v>0</v>
      </c>
      <c r="D25" s="145" t="str">
        <v>V5</v>
      </c>
      <c r="E25" s="144" t="str">
        <f t="shared" si="0"/>
        <v>GBPIMMFRA6MV5_Quote</v>
      </c>
      <c r="F25" s="143" t="str">
        <f>_xll.qlSimpleQuote(E25,,PriceTickValue,Permanent,Trigger,ObjectOverwrite)</f>
        <v>GBPIMMFRA6MV5_Quote#0001</v>
      </c>
      <c r="G25" s="106" t="str">
        <f>_xll.ohRangeRetrieveError(F25)</f>
        <v/>
      </c>
      <c r="H25" s="142"/>
    </row>
    <row r="26" spans="1:8" x14ac:dyDescent="0.2">
      <c r="A26" s="148"/>
      <c r="B26" s="147">
        <v>24</v>
      </c>
      <c r="C26" s="146" t="b">
        <v>0</v>
      </c>
      <c r="D26" s="145" t="str">
        <v>X5</v>
      </c>
      <c r="E26" s="144" t="str">
        <f t="shared" si="0"/>
        <v>GBPIMMFRA6MX5_Quote</v>
      </c>
      <c r="F26" s="143" t="str">
        <f>_xll.qlSimpleQuote(E26,,PriceTickValue,Permanent,Trigger,ObjectOverwrite)</f>
        <v>GBPIMMFRA6MX5_Quote#0001</v>
      </c>
      <c r="G26" s="106" t="str">
        <f>_xll.ohRangeRetrieveError(F26)</f>
        <v/>
      </c>
      <c r="H26" s="142"/>
    </row>
    <row r="27" spans="1:8" x14ac:dyDescent="0.2">
      <c r="A27" s="148"/>
      <c r="B27" s="147">
        <v>25</v>
      </c>
      <c r="C27" s="146" t="b">
        <v>0</v>
      </c>
      <c r="D27" s="145" t="str">
        <v>Z5</v>
      </c>
      <c r="E27" s="144" t="str">
        <f t="shared" si="0"/>
        <v>GBPIMMFRA6MZ5_Quote</v>
      </c>
      <c r="F27" s="143" t="str">
        <f>_xll.qlSimpleQuote(E27,,PriceTickValue,Permanent,Trigger,ObjectOverwrite)</f>
        <v>GBPIMMFRA6MZ5_Quote#0001</v>
      </c>
      <c r="G27" s="106" t="str">
        <f>_xll.ohRangeRetrieveError(F27)</f>
        <v/>
      </c>
      <c r="H27" s="142"/>
    </row>
    <row r="28" spans="1:8" x14ac:dyDescent="0.2">
      <c r="A28" s="148"/>
      <c r="B28" s="147">
        <v>26</v>
      </c>
      <c r="C28" s="146" t="b">
        <v>0</v>
      </c>
      <c r="D28" s="145" t="str">
        <v>F6</v>
      </c>
      <c r="E28" s="144" t="str">
        <f t="shared" si="0"/>
        <v>GBPIMMFRA6MF6_Quote</v>
      </c>
      <c r="F28" s="143" t="str">
        <f>_xll.qlSimpleQuote(E28,,PriceTickValue,Permanent,Trigger,ObjectOverwrite)</f>
        <v>GBPIMMFRA6MF6_Quote#0001</v>
      </c>
      <c r="G28" s="106" t="str">
        <f>_xll.ohRangeRetrieveError(F28)</f>
        <v/>
      </c>
      <c r="H28" s="142"/>
    </row>
    <row r="29" spans="1:8" x14ac:dyDescent="0.2">
      <c r="A29" s="148"/>
      <c r="B29" s="147">
        <v>27</v>
      </c>
      <c r="C29" s="146" t="b">
        <v>0</v>
      </c>
      <c r="D29" s="145" t="str">
        <v>G6</v>
      </c>
      <c r="E29" s="144" t="str">
        <f t="shared" si="0"/>
        <v>GBPIMMFRA6MG6_Quote</v>
      </c>
      <c r="F29" s="143" t="str">
        <f>_xll.qlSimpleQuote(E29,,PriceTickValue,Permanent,Trigger,ObjectOverwrite)</f>
        <v>GBPIMMFRA6MG6_Quote#0001</v>
      </c>
      <c r="G29" s="106" t="str">
        <f>_xll.ohRangeRetrieveError(F29)</f>
        <v/>
      </c>
      <c r="H29" s="142"/>
    </row>
    <row r="30" spans="1:8" x14ac:dyDescent="0.2">
      <c r="A30" s="148"/>
      <c r="B30" s="147">
        <v>28</v>
      </c>
      <c r="C30" s="146" t="b">
        <v>0</v>
      </c>
      <c r="D30" s="145" t="str">
        <v>H6</v>
      </c>
      <c r="E30" s="144" t="str">
        <f t="shared" si="0"/>
        <v>GBPIMMFRA6MH6_Quote</v>
      </c>
      <c r="F30" s="143" t="str">
        <f>_xll.qlSimpleQuote(E30,,PriceTickValue,Permanent,Trigger,ObjectOverwrite)</f>
        <v>GBPIMMFRA6MH6_Quote#0001</v>
      </c>
      <c r="G30" s="106" t="str">
        <f>_xll.ohRangeRetrieveError(F30)</f>
        <v/>
      </c>
      <c r="H30" s="142"/>
    </row>
    <row r="31" spans="1:8" x14ac:dyDescent="0.2">
      <c r="A31" s="148"/>
      <c r="B31" s="147">
        <v>29</v>
      </c>
      <c r="C31" s="146" t="b">
        <v>0</v>
      </c>
      <c r="D31" s="145" t="str">
        <v>J6</v>
      </c>
      <c r="E31" s="144" t="str">
        <f t="shared" si="0"/>
        <v>GBPIMMFRA6MJ6_Quote</v>
      </c>
      <c r="F31" s="143" t="str">
        <f>_xll.qlSimpleQuote(E31,,PriceTickValue,Permanent,Trigger,ObjectOverwrite)</f>
        <v>GBPIMMFRA6MJ6_Quote#0001</v>
      </c>
      <c r="G31" s="106" t="str">
        <f>_xll.ohRangeRetrieveError(F31)</f>
        <v/>
      </c>
      <c r="H31" s="142"/>
    </row>
    <row r="32" spans="1:8" x14ac:dyDescent="0.2">
      <c r="A32" s="148"/>
      <c r="B32" s="147">
        <v>30</v>
      </c>
      <c r="C32" s="146" t="b">
        <v>0</v>
      </c>
      <c r="D32" s="145" t="str">
        <v>K6</v>
      </c>
      <c r="E32" s="144" t="str">
        <f t="shared" si="0"/>
        <v>GBPIMMFRA6MK6_Quote</v>
      </c>
      <c r="F32" s="143" t="str">
        <f>_xll.qlSimpleQuote(E32,,PriceTickValue,Permanent,Trigger,ObjectOverwrite)</f>
        <v>GBPIMMFRA6MK6_Quote#0001</v>
      </c>
      <c r="G32" s="106" t="str">
        <f>_xll.ohRangeRetrieveError(F32)</f>
        <v/>
      </c>
      <c r="H32" s="142"/>
    </row>
    <row r="33" spans="1:8" x14ac:dyDescent="0.2">
      <c r="A33" s="148"/>
      <c r="B33" s="147">
        <v>31</v>
      </c>
      <c r="C33" s="146" t="b">
        <v>0</v>
      </c>
      <c r="D33" s="145" t="str">
        <v>M6</v>
      </c>
      <c r="E33" s="144" t="str">
        <f t="shared" si="0"/>
        <v>GBPIMMFRA6MM6_Quote</v>
      </c>
      <c r="F33" s="143" t="str">
        <f>_xll.qlSimpleQuote(E33,,PriceTickValue,Permanent,Trigger,ObjectOverwrite)</f>
        <v>GBPIMMFRA6MM6_Quote#0001</v>
      </c>
      <c r="G33" s="106" t="str">
        <f>_xll.ohRangeRetrieveError(F33)</f>
        <v/>
      </c>
      <c r="H33" s="142"/>
    </row>
    <row r="34" spans="1:8" x14ac:dyDescent="0.2">
      <c r="A34" s="148"/>
      <c r="B34" s="147">
        <v>32</v>
      </c>
      <c r="C34" s="146" t="b">
        <v>0</v>
      </c>
      <c r="D34" s="145" t="str">
        <v>N6</v>
      </c>
      <c r="E34" s="144" t="str">
        <f t="shared" si="0"/>
        <v>GBPIMMFRA6MN6_Quote</v>
      </c>
      <c r="F34" s="143" t="str">
        <f>_xll.qlSimpleQuote(E34,,PriceTickValue,Permanent,Trigger,ObjectOverwrite)</f>
        <v>GBPIMMFRA6MN6_Quote#0001</v>
      </c>
      <c r="G34" s="106" t="str">
        <f>_xll.ohRangeRetrieveError(F34)</f>
        <v/>
      </c>
      <c r="H34" s="142"/>
    </row>
    <row r="35" spans="1:8" x14ac:dyDescent="0.2">
      <c r="A35" s="148"/>
      <c r="B35" s="147">
        <v>33</v>
      </c>
      <c r="C35" s="146" t="b">
        <v>0</v>
      </c>
      <c r="D35" s="145" t="str">
        <v>Q6</v>
      </c>
      <c r="E35" s="144" t="str">
        <f t="shared" ref="E35:E66" si="1">Currency&amp;$D$1&amp;$E$1&amp;$D35&amp;QuoteSuffix</f>
        <v>GBPIMMFRA6MQ6_Quote</v>
      </c>
      <c r="F35" s="143" t="str">
        <f>_xll.qlSimpleQuote(E35,,PriceTickValue,Permanent,Trigger,ObjectOverwrite)</f>
        <v>GBPIMMFRA6MQ6_Quote#0001</v>
      </c>
      <c r="G35" s="106" t="str">
        <f>_xll.ohRangeRetrieveError(F35)</f>
        <v/>
      </c>
      <c r="H35" s="142"/>
    </row>
    <row r="36" spans="1:8" x14ac:dyDescent="0.2">
      <c r="A36" s="148"/>
      <c r="B36" s="147">
        <v>34</v>
      </c>
      <c r="C36" s="146" t="b">
        <v>0</v>
      </c>
      <c r="D36" s="145" t="str">
        <v>U6</v>
      </c>
      <c r="E36" s="144" t="str">
        <f t="shared" si="1"/>
        <v>GBPIMMFRA6MU6_Quote</v>
      </c>
      <c r="F36" s="143" t="str">
        <f>_xll.qlSimpleQuote(E36,,PriceTickValue,Permanent,Trigger,ObjectOverwrite)</f>
        <v>GBPIMMFRA6MU6_Quote#0001</v>
      </c>
      <c r="G36" s="106" t="str">
        <f>_xll.ohRangeRetrieveError(F36)</f>
        <v/>
      </c>
      <c r="H36" s="142"/>
    </row>
    <row r="37" spans="1:8" x14ac:dyDescent="0.2">
      <c r="A37" s="148"/>
      <c r="B37" s="147">
        <v>35</v>
      </c>
      <c r="C37" s="146" t="b">
        <v>0</v>
      </c>
      <c r="D37" s="145" t="str">
        <v>V6</v>
      </c>
      <c r="E37" s="144" t="str">
        <f t="shared" si="1"/>
        <v>GBPIMMFRA6MV6_Quote</v>
      </c>
      <c r="F37" s="143" t="str">
        <f>_xll.qlSimpleQuote(E37,,PriceTickValue,Permanent,Trigger,ObjectOverwrite)</f>
        <v>GBPIMMFRA6MV6_Quote#0001</v>
      </c>
      <c r="G37" s="106" t="str">
        <f>_xll.ohRangeRetrieveError(F37)</f>
        <v/>
      </c>
      <c r="H37" s="142"/>
    </row>
    <row r="38" spans="1:8" x14ac:dyDescent="0.2">
      <c r="A38" s="148"/>
      <c r="B38" s="147">
        <v>36</v>
      </c>
      <c r="C38" s="146" t="b">
        <v>0</v>
      </c>
      <c r="D38" s="145" t="str">
        <v>X6</v>
      </c>
      <c r="E38" s="144" t="str">
        <f t="shared" si="1"/>
        <v>GBPIMMFRA6MX6_Quote</v>
      </c>
      <c r="F38" s="143" t="str">
        <f>_xll.qlSimpleQuote(E38,,PriceTickValue,Permanent,Trigger,ObjectOverwrite)</f>
        <v>GBPIMMFRA6MX6_Quote#0001</v>
      </c>
      <c r="G38" s="106" t="str">
        <f>_xll.ohRangeRetrieveError(F38)</f>
        <v/>
      </c>
      <c r="H38" s="142"/>
    </row>
    <row r="39" spans="1:8" x14ac:dyDescent="0.2">
      <c r="A39" s="148"/>
      <c r="B39" s="147">
        <v>37</v>
      </c>
      <c r="C39" s="146" t="b">
        <v>0</v>
      </c>
      <c r="D39" s="145" t="str">
        <v>Z6</v>
      </c>
      <c r="E39" s="144" t="str">
        <f t="shared" si="1"/>
        <v>GBPIMMFRA6MZ6_Quote</v>
      </c>
      <c r="F39" s="143" t="str">
        <f>_xll.qlSimpleQuote(E39,,PriceTickValue,Permanent,Trigger,ObjectOverwrite)</f>
        <v>GBPIMMFRA6MZ6_Quote#0001</v>
      </c>
      <c r="G39" s="106" t="str">
        <f>_xll.ohRangeRetrieveError(F39)</f>
        <v/>
      </c>
      <c r="H39" s="142"/>
    </row>
    <row r="40" spans="1:8" x14ac:dyDescent="0.2">
      <c r="A40" s="148"/>
      <c r="B40" s="147">
        <v>38</v>
      </c>
      <c r="C40" s="146" t="b">
        <v>0</v>
      </c>
      <c r="D40" s="145" t="str">
        <v>F7</v>
      </c>
      <c r="E40" s="144" t="str">
        <f t="shared" si="1"/>
        <v>GBPIMMFRA6MF7_Quote</v>
      </c>
      <c r="F40" s="143" t="str">
        <f>_xll.qlSimpleQuote(E40,,PriceTickValue,Permanent,Trigger,ObjectOverwrite)</f>
        <v>GBPIMMFRA6MF7_Quote#0001</v>
      </c>
      <c r="G40" s="106" t="str">
        <f>_xll.ohRangeRetrieveError(F40)</f>
        <v/>
      </c>
      <c r="H40" s="142"/>
    </row>
    <row r="41" spans="1:8" x14ac:dyDescent="0.2">
      <c r="A41" s="148"/>
      <c r="B41" s="147">
        <v>39</v>
      </c>
      <c r="C41" s="146" t="b">
        <v>0</v>
      </c>
      <c r="D41" s="145" t="str">
        <v>G7</v>
      </c>
      <c r="E41" s="144" t="str">
        <f t="shared" si="1"/>
        <v>GBPIMMFRA6MG7_Quote</v>
      </c>
      <c r="F41" s="143" t="str">
        <f>_xll.qlSimpleQuote(E41,,PriceTickValue,Permanent,Trigger,ObjectOverwrite)</f>
        <v>GBPIMMFRA6MG7_Quote#0001</v>
      </c>
      <c r="G41" s="106" t="str">
        <f>_xll.ohRangeRetrieveError(F41)</f>
        <v/>
      </c>
      <c r="H41" s="142"/>
    </row>
    <row r="42" spans="1:8" x14ac:dyDescent="0.2">
      <c r="A42" s="148"/>
      <c r="B42" s="147">
        <v>40</v>
      </c>
      <c r="C42" s="146" t="b">
        <v>0</v>
      </c>
      <c r="D42" s="145" t="str">
        <v>H7</v>
      </c>
      <c r="E42" s="144" t="str">
        <f t="shared" si="1"/>
        <v>GBPIMMFRA6MH7_Quote</v>
      </c>
      <c r="F42" s="143" t="str">
        <f>_xll.qlSimpleQuote(E42,,PriceTickValue,Permanent,Trigger,ObjectOverwrite)</f>
        <v>GBPIMMFRA6MH7_Quote#0001</v>
      </c>
      <c r="G42" s="106" t="str">
        <f>_xll.ohRangeRetrieveError(F42)</f>
        <v/>
      </c>
      <c r="H42" s="142"/>
    </row>
    <row r="43" spans="1:8" x14ac:dyDescent="0.2">
      <c r="A43" s="148"/>
      <c r="B43" s="147">
        <v>41</v>
      </c>
      <c r="C43" s="146" t="b">
        <v>0</v>
      </c>
      <c r="D43" s="145" t="str">
        <v>J7</v>
      </c>
      <c r="E43" s="144" t="str">
        <f t="shared" si="1"/>
        <v>GBPIMMFRA6MJ7_Quote</v>
      </c>
      <c r="F43" s="143" t="str">
        <f>_xll.qlSimpleQuote(E43,,PriceTickValue,Permanent,Trigger,ObjectOverwrite)</f>
        <v>GBPIMMFRA6MJ7_Quote#0001</v>
      </c>
      <c r="G43" s="106" t="str">
        <f>_xll.ohRangeRetrieveError(F43)</f>
        <v/>
      </c>
      <c r="H43" s="142"/>
    </row>
    <row r="44" spans="1:8" x14ac:dyDescent="0.2">
      <c r="A44" s="148"/>
      <c r="B44" s="147">
        <v>42</v>
      </c>
      <c r="C44" s="146" t="b">
        <v>0</v>
      </c>
      <c r="D44" s="145" t="str">
        <v>K7</v>
      </c>
      <c r="E44" s="144" t="str">
        <f t="shared" si="1"/>
        <v>GBPIMMFRA6MK7_Quote</v>
      </c>
      <c r="F44" s="143" t="str">
        <f>_xll.qlSimpleQuote(E44,,PriceTickValue,Permanent,Trigger,ObjectOverwrite)</f>
        <v>GBPIMMFRA6MK7_Quote#0001</v>
      </c>
      <c r="G44" s="106" t="str">
        <f>_xll.ohRangeRetrieveError(F44)</f>
        <v/>
      </c>
      <c r="H44" s="142"/>
    </row>
    <row r="45" spans="1:8" x14ac:dyDescent="0.2">
      <c r="A45" s="148"/>
      <c r="B45" s="147">
        <v>43</v>
      </c>
      <c r="C45" s="146" t="b">
        <v>0</v>
      </c>
      <c r="D45" s="145" t="str">
        <v>M7</v>
      </c>
      <c r="E45" s="144" t="str">
        <f t="shared" si="1"/>
        <v>GBPIMMFRA6MM7_Quote</v>
      </c>
      <c r="F45" s="143" t="str">
        <f>_xll.qlSimpleQuote(E45,,PriceTickValue,Permanent,Trigger,ObjectOverwrite)</f>
        <v>GBPIMMFRA6MM7_Quote#0001</v>
      </c>
      <c r="G45" s="106" t="str">
        <f>_xll.ohRangeRetrieveError(F45)</f>
        <v/>
      </c>
      <c r="H45" s="142"/>
    </row>
    <row r="46" spans="1:8" x14ac:dyDescent="0.2">
      <c r="A46" s="148"/>
      <c r="B46" s="147">
        <v>44</v>
      </c>
      <c r="C46" s="146" t="b">
        <v>0</v>
      </c>
      <c r="D46" s="145" t="str">
        <v>N7</v>
      </c>
      <c r="E46" s="144" t="str">
        <f t="shared" si="1"/>
        <v>GBPIMMFRA6MN7_Quote</v>
      </c>
      <c r="F46" s="143" t="str">
        <f>_xll.qlSimpleQuote(E46,,PriceTickValue,Permanent,Trigger,ObjectOverwrite)</f>
        <v>GBPIMMFRA6MN7_Quote#0001</v>
      </c>
      <c r="G46" s="106" t="str">
        <f>_xll.ohRangeRetrieveError(F46)</f>
        <v/>
      </c>
      <c r="H46" s="142"/>
    </row>
    <row r="47" spans="1:8" x14ac:dyDescent="0.2">
      <c r="A47" s="148"/>
      <c r="B47" s="147">
        <v>45</v>
      </c>
      <c r="C47" s="146" t="b">
        <v>0</v>
      </c>
      <c r="D47" s="145" t="str">
        <v>Q7</v>
      </c>
      <c r="E47" s="144" t="str">
        <f t="shared" si="1"/>
        <v>GBPIMMFRA6MQ7_Quote</v>
      </c>
      <c r="F47" s="143" t="str">
        <f>_xll.qlSimpleQuote(E47,,PriceTickValue,Permanent,Trigger,ObjectOverwrite)</f>
        <v>GBPIMMFRA6MQ7_Quote#0001</v>
      </c>
      <c r="G47" s="106" t="str">
        <f>_xll.ohRangeRetrieveError(F47)</f>
        <v/>
      </c>
      <c r="H47" s="142"/>
    </row>
    <row r="48" spans="1:8" x14ac:dyDescent="0.2">
      <c r="A48" s="148"/>
      <c r="B48" s="147">
        <v>46</v>
      </c>
      <c r="C48" s="146" t="b">
        <v>0</v>
      </c>
      <c r="D48" s="145" t="str">
        <v>U7</v>
      </c>
      <c r="E48" s="144" t="str">
        <f t="shared" si="1"/>
        <v>GBPIMMFRA6MU7_Quote</v>
      </c>
      <c r="F48" s="143" t="str">
        <f>_xll.qlSimpleQuote(E48,,PriceTickValue,Permanent,Trigger,ObjectOverwrite)</f>
        <v>GBPIMMFRA6MU7_Quote#0001</v>
      </c>
      <c r="G48" s="106" t="str">
        <f>_xll.ohRangeRetrieveError(F48)</f>
        <v/>
      </c>
      <c r="H48" s="142"/>
    </row>
    <row r="49" spans="1:8" x14ac:dyDescent="0.2">
      <c r="A49" s="148"/>
      <c r="B49" s="147">
        <v>47</v>
      </c>
      <c r="C49" s="146" t="b">
        <v>0</v>
      </c>
      <c r="D49" s="145" t="str">
        <v>V7</v>
      </c>
      <c r="E49" s="144" t="str">
        <f t="shared" si="1"/>
        <v>GBPIMMFRA6MV7_Quote</v>
      </c>
      <c r="F49" s="143" t="str">
        <f>_xll.qlSimpleQuote(E49,,PriceTickValue,Permanent,Trigger,ObjectOverwrite)</f>
        <v>GBPIMMFRA6MV7_Quote#0001</v>
      </c>
      <c r="G49" s="106" t="str">
        <f>_xll.ohRangeRetrieveError(F49)</f>
        <v/>
      </c>
      <c r="H49" s="142"/>
    </row>
    <row r="50" spans="1:8" x14ac:dyDescent="0.2">
      <c r="A50" s="148"/>
      <c r="B50" s="147">
        <v>48</v>
      </c>
      <c r="C50" s="146" t="b">
        <v>0</v>
      </c>
      <c r="D50" s="145" t="str">
        <v>X7</v>
      </c>
      <c r="E50" s="144" t="str">
        <f t="shared" si="1"/>
        <v>GBPIMMFRA6MX7_Quote</v>
      </c>
      <c r="F50" s="143" t="str">
        <f>_xll.qlSimpleQuote(E50,,PriceTickValue,Permanent,Trigger,ObjectOverwrite)</f>
        <v>GBPIMMFRA6MX7_Quote#0001</v>
      </c>
      <c r="G50" s="106" t="str">
        <f>_xll.ohRangeRetrieveError(F50)</f>
        <v/>
      </c>
      <c r="H50" s="142"/>
    </row>
    <row r="51" spans="1:8" x14ac:dyDescent="0.2">
      <c r="A51" s="148"/>
      <c r="B51" s="147">
        <v>49</v>
      </c>
      <c r="C51" s="146" t="b">
        <v>0</v>
      </c>
      <c r="D51" s="145" t="str">
        <v>Z7</v>
      </c>
      <c r="E51" s="144" t="str">
        <f t="shared" si="1"/>
        <v>GBPIMMFRA6MZ7_Quote</v>
      </c>
      <c r="F51" s="143" t="str">
        <f>_xll.qlSimpleQuote(E51,,PriceTickValue,Permanent,Trigger,ObjectOverwrite)</f>
        <v>GBPIMMFRA6MZ7_Quote#0001</v>
      </c>
      <c r="G51" s="106" t="str">
        <f>_xll.ohRangeRetrieveError(F51)</f>
        <v/>
      </c>
      <c r="H51" s="142"/>
    </row>
    <row r="52" spans="1:8" x14ac:dyDescent="0.2">
      <c r="A52" s="148"/>
      <c r="B52" s="147">
        <v>50</v>
      </c>
      <c r="C52" s="146" t="b">
        <v>0</v>
      </c>
      <c r="D52" s="145" t="str">
        <v>F8</v>
      </c>
      <c r="E52" s="144" t="str">
        <f t="shared" si="1"/>
        <v>GBPIMMFRA6MF8_Quote</v>
      </c>
      <c r="F52" s="143" t="str">
        <f>_xll.qlSimpleQuote(E52,,PriceTickValue,Permanent,Trigger,ObjectOverwrite)</f>
        <v>GBPIMMFRA6MF8_Quote#0001</v>
      </c>
      <c r="G52" s="106" t="str">
        <f>_xll.ohRangeRetrieveError(F52)</f>
        <v/>
      </c>
      <c r="H52" s="142"/>
    </row>
    <row r="53" spans="1:8" x14ac:dyDescent="0.2">
      <c r="A53" s="148"/>
      <c r="B53" s="147">
        <v>51</v>
      </c>
      <c r="C53" s="146" t="b">
        <v>0</v>
      </c>
      <c r="D53" s="145" t="str">
        <v>G8</v>
      </c>
      <c r="E53" s="144" t="str">
        <f t="shared" si="1"/>
        <v>GBPIMMFRA6MG8_Quote</v>
      </c>
      <c r="F53" s="143" t="str">
        <f>_xll.qlSimpleQuote(E53,,PriceTickValue,Permanent,Trigger,ObjectOverwrite)</f>
        <v>GBPIMMFRA6MG8_Quote#0001</v>
      </c>
      <c r="G53" s="106" t="str">
        <f>_xll.ohRangeRetrieveError(F53)</f>
        <v/>
      </c>
      <c r="H53" s="142"/>
    </row>
    <row r="54" spans="1:8" x14ac:dyDescent="0.2">
      <c r="A54" s="148"/>
      <c r="B54" s="147">
        <v>52</v>
      </c>
      <c r="C54" s="146" t="b">
        <v>0</v>
      </c>
      <c r="D54" s="145" t="str">
        <v>H8</v>
      </c>
      <c r="E54" s="144" t="str">
        <f t="shared" si="1"/>
        <v>GBPIMMFRA6MH8_Quote</v>
      </c>
      <c r="F54" s="143" t="str">
        <f>_xll.qlSimpleQuote(E54,,PriceTickValue,Permanent,Trigger,ObjectOverwrite)</f>
        <v>GBPIMMFRA6MH8_Quote#0001</v>
      </c>
      <c r="G54" s="106" t="str">
        <f>_xll.ohRangeRetrieveError(F54)</f>
        <v/>
      </c>
      <c r="H54" s="142"/>
    </row>
    <row r="55" spans="1:8" x14ac:dyDescent="0.2">
      <c r="A55" s="148"/>
      <c r="B55" s="147">
        <v>53</v>
      </c>
      <c r="C55" s="146" t="b">
        <v>0</v>
      </c>
      <c r="D55" s="145" t="str">
        <v>J8</v>
      </c>
      <c r="E55" s="144" t="str">
        <f t="shared" si="1"/>
        <v>GBPIMMFRA6MJ8_Quote</v>
      </c>
      <c r="F55" s="143" t="str">
        <f>_xll.qlSimpleQuote(E55,,PriceTickValue,Permanent,Trigger,ObjectOverwrite)</f>
        <v>GBPIMMFRA6MJ8_Quote#0001</v>
      </c>
      <c r="G55" s="106" t="str">
        <f>_xll.ohRangeRetrieveError(F55)</f>
        <v/>
      </c>
      <c r="H55" s="142"/>
    </row>
    <row r="56" spans="1:8" x14ac:dyDescent="0.2">
      <c r="A56" s="148"/>
      <c r="B56" s="147">
        <v>54</v>
      </c>
      <c r="C56" s="146" t="b">
        <v>0</v>
      </c>
      <c r="D56" s="145" t="str">
        <v>K8</v>
      </c>
      <c r="E56" s="144" t="str">
        <f t="shared" si="1"/>
        <v>GBPIMMFRA6MK8_Quote</v>
      </c>
      <c r="F56" s="143" t="str">
        <f>_xll.qlSimpleQuote(E56,,PriceTickValue,Permanent,Trigger,ObjectOverwrite)</f>
        <v>GBPIMMFRA6MK8_Quote#0001</v>
      </c>
      <c r="G56" s="106" t="str">
        <f>_xll.ohRangeRetrieveError(F56)</f>
        <v/>
      </c>
      <c r="H56" s="142"/>
    </row>
    <row r="57" spans="1:8" x14ac:dyDescent="0.2">
      <c r="A57" s="148"/>
      <c r="B57" s="147">
        <v>55</v>
      </c>
      <c r="C57" s="146" t="b">
        <v>0</v>
      </c>
      <c r="D57" s="145" t="str">
        <v>M8</v>
      </c>
      <c r="E57" s="144" t="str">
        <f t="shared" si="1"/>
        <v>GBPIMMFRA6MM8_Quote</v>
      </c>
      <c r="F57" s="143" t="str">
        <f>_xll.qlSimpleQuote(E57,,PriceTickValue,Permanent,Trigger,ObjectOverwrite)</f>
        <v>GBPIMMFRA6MM8_Quote#0001</v>
      </c>
      <c r="G57" s="106" t="str">
        <f>_xll.ohRangeRetrieveError(F57)</f>
        <v/>
      </c>
      <c r="H57" s="142"/>
    </row>
    <row r="58" spans="1:8" x14ac:dyDescent="0.2">
      <c r="A58" s="148"/>
      <c r="B58" s="147">
        <v>56</v>
      </c>
      <c r="C58" s="146" t="b">
        <v>0</v>
      </c>
      <c r="D58" s="145" t="str">
        <v>N8</v>
      </c>
      <c r="E58" s="144" t="str">
        <f t="shared" si="1"/>
        <v>GBPIMMFRA6MN8_Quote</v>
      </c>
      <c r="F58" s="143" t="str">
        <f>_xll.qlSimpleQuote(E58,,PriceTickValue,Permanent,Trigger,ObjectOverwrite)</f>
        <v>GBPIMMFRA6MN8_Quote#0001</v>
      </c>
      <c r="G58" s="106" t="str">
        <f>_xll.ohRangeRetrieveError(F58)</f>
        <v/>
      </c>
      <c r="H58" s="142"/>
    </row>
    <row r="59" spans="1:8" x14ac:dyDescent="0.2">
      <c r="A59" s="148"/>
      <c r="B59" s="147">
        <v>57</v>
      </c>
      <c r="C59" s="146" t="b">
        <v>0</v>
      </c>
      <c r="D59" s="145" t="str">
        <v>Q8</v>
      </c>
      <c r="E59" s="144" t="str">
        <f t="shared" si="1"/>
        <v>GBPIMMFRA6MQ8_Quote</v>
      </c>
      <c r="F59" s="143" t="str">
        <f>_xll.qlSimpleQuote(E59,,PriceTickValue,Permanent,Trigger,ObjectOverwrite)</f>
        <v>GBPIMMFRA6MQ8_Quote#0001</v>
      </c>
      <c r="G59" s="106" t="str">
        <f>_xll.ohRangeRetrieveError(F59)</f>
        <v/>
      </c>
      <c r="H59" s="142"/>
    </row>
    <row r="60" spans="1:8" x14ac:dyDescent="0.2">
      <c r="A60" s="148"/>
      <c r="B60" s="147">
        <v>58</v>
      </c>
      <c r="C60" s="146" t="b">
        <v>0</v>
      </c>
      <c r="D60" s="145" t="str">
        <v>U8</v>
      </c>
      <c r="E60" s="144" t="str">
        <f t="shared" si="1"/>
        <v>GBPIMMFRA6MU8_Quote</v>
      </c>
      <c r="F60" s="143" t="str">
        <f>_xll.qlSimpleQuote(E60,,PriceTickValue,Permanent,Trigger,ObjectOverwrite)</f>
        <v>GBPIMMFRA6MU8_Quote#0001</v>
      </c>
      <c r="G60" s="106" t="str">
        <f>_xll.ohRangeRetrieveError(F60)</f>
        <v/>
      </c>
      <c r="H60" s="142"/>
    </row>
    <row r="61" spans="1:8" x14ac:dyDescent="0.2">
      <c r="A61" s="148"/>
      <c r="B61" s="147">
        <v>59</v>
      </c>
      <c r="C61" s="146" t="b">
        <v>0</v>
      </c>
      <c r="D61" s="145" t="str">
        <v>V8</v>
      </c>
      <c r="E61" s="144" t="str">
        <f t="shared" si="1"/>
        <v>GBPIMMFRA6MV8_Quote</v>
      </c>
      <c r="F61" s="143" t="str">
        <f>_xll.qlSimpleQuote(E61,,PriceTickValue,Permanent,Trigger,ObjectOverwrite)</f>
        <v>GBPIMMFRA6MV8_Quote#0001</v>
      </c>
      <c r="G61" s="106" t="str">
        <f>_xll.ohRangeRetrieveError(F61)</f>
        <v/>
      </c>
      <c r="H61" s="142"/>
    </row>
    <row r="62" spans="1:8" x14ac:dyDescent="0.2">
      <c r="A62" s="148"/>
      <c r="B62" s="147">
        <v>60</v>
      </c>
      <c r="C62" s="146" t="b">
        <v>0</v>
      </c>
      <c r="D62" s="145" t="str">
        <v>X8</v>
      </c>
      <c r="E62" s="144" t="str">
        <f t="shared" si="1"/>
        <v>GBPIMMFRA6MX8_Quote</v>
      </c>
      <c r="F62" s="143" t="str">
        <f>_xll.qlSimpleQuote(E62,,PriceTickValue,Permanent,Trigger,ObjectOverwrite)</f>
        <v>GBPIMMFRA6MX8_Quote#0001</v>
      </c>
      <c r="G62" s="106" t="str">
        <f>_xll.ohRangeRetrieveError(F62)</f>
        <v/>
      </c>
      <c r="H62" s="142"/>
    </row>
    <row r="63" spans="1:8" x14ac:dyDescent="0.2">
      <c r="A63" s="148"/>
      <c r="B63" s="147">
        <v>61</v>
      </c>
      <c r="C63" s="146" t="b">
        <v>0</v>
      </c>
      <c r="D63" s="145" t="str">
        <v>Z8</v>
      </c>
      <c r="E63" s="144" t="str">
        <f t="shared" si="1"/>
        <v>GBPIMMFRA6MZ8_Quote</v>
      </c>
      <c r="F63" s="143" t="str">
        <f>_xll.qlSimpleQuote(E63,,PriceTickValue,Permanent,Trigger,ObjectOverwrite)</f>
        <v>GBPIMMFRA6MZ8_Quote#0001</v>
      </c>
      <c r="G63" s="106" t="str">
        <f>_xll.ohRangeRetrieveError(F63)</f>
        <v/>
      </c>
      <c r="H63" s="142"/>
    </row>
    <row r="64" spans="1:8" x14ac:dyDescent="0.2">
      <c r="A64" s="148"/>
      <c r="B64" s="147">
        <v>62</v>
      </c>
      <c r="C64" s="146" t="b">
        <v>0</v>
      </c>
      <c r="D64" s="145" t="str">
        <v>F9</v>
      </c>
      <c r="E64" s="144" t="str">
        <f t="shared" si="1"/>
        <v>GBPIMMFRA6MF9_Quote</v>
      </c>
      <c r="F64" s="143" t="str">
        <f>_xll.qlSimpleQuote(E64,,PriceTickValue,Permanent,Trigger,ObjectOverwrite)</f>
        <v>GBPIMMFRA6MF9_Quote#0001</v>
      </c>
      <c r="G64" s="106" t="str">
        <f>_xll.ohRangeRetrieveError(F64)</f>
        <v/>
      </c>
      <c r="H64" s="142"/>
    </row>
    <row r="65" spans="1:8" x14ac:dyDescent="0.2">
      <c r="A65" s="148"/>
      <c r="B65" s="147">
        <v>63</v>
      </c>
      <c r="C65" s="146" t="b">
        <v>0</v>
      </c>
      <c r="D65" s="145" t="str">
        <v>G9</v>
      </c>
      <c r="E65" s="144" t="str">
        <f t="shared" si="1"/>
        <v>GBPIMMFRA6MG9_Quote</v>
      </c>
      <c r="F65" s="143" t="str">
        <f>_xll.qlSimpleQuote(E65,,PriceTickValue,Permanent,Trigger,ObjectOverwrite)</f>
        <v>GBPIMMFRA6MG9_Quote#0001</v>
      </c>
      <c r="G65" s="106" t="str">
        <f>_xll.ohRangeRetrieveError(F65)</f>
        <v/>
      </c>
      <c r="H65" s="142"/>
    </row>
    <row r="66" spans="1:8" x14ac:dyDescent="0.2">
      <c r="A66" s="148"/>
      <c r="B66" s="147">
        <v>64</v>
      </c>
      <c r="C66" s="146" t="b">
        <v>0</v>
      </c>
      <c r="D66" s="145" t="str">
        <v>H9</v>
      </c>
      <c r="E66" s="144" t="str">
        <f t="shared" si="1"/>
        <v>GBPIMMFRA6MH9_Quote</v>
      </c>
      <c r="F66" s="143" t="str">
        <f>_xll.qlSimpleQuote(E66,,PriceTickValue,Permanent,Trigger,ObjectOverwrite)</f>
        <v>GBPIMMFRA6MH9_Quote#0001</v>
      </c>
      <c r="G66" s="106" t="str">
        <f>_xll.ohRangeRetrieveError(F66)</f>
        <v/>
      </c>
      <c r="H66" s="142"/>
    </row>
    <row r="67" spans="1:8" x14ac:dyDescent="0.2">
      <c r="A67" s="148"/>
      <c r="B67" s="147">
        <v>65</v>
      </c>
      <c r="C67" s="146" t="b">
        <v>0</v>
      </c>
      <c r="D67" s="145" t="str">
        <v>J9</v>
      </c>
      <c r="E67" s="144" t="str">
        <f t="shared" ref="E67:E98" si="2">Currency&amp;$D$1&amp;$E$1&amp;$D67&amp;QuoteSuffix</f>
        <v>GBPIMMFRA6MJ9_Quote</v>
      </c>
      <c r="F67" s="143" t="str">
        <f>_xll.qlSimpleQuote(E67,,PriceTickValue,Permanent,Trigger,ObjectOverwrite)</f>
        <v>GBPIMMFRA6MJ9_Quote#0001</v>
      </c>
      <c r="G67" s="106" t="str">
        <f>_xll.ohRangeRetrieveError(F67)</f>
        <v/>
      </c>
      <c r="H67" s="142"/>
    </row>
    <row r="68" spans="1:8" x14ac:dyDescent="0.2">
      <c r="A68" s="148"/>
      <c r="B68" s="147">
        <v>66</v>
      </c>
      <c r="C68" s="146" t="b">
        <v>0</v>
      </c>
      <c r="D68" s="145" t="str">
        <v>K9</v>
      </c>
      <c r="E68" s="144" t="str">
        <f t="shared" si="2"/>
        <v>GBPIMMFRA6MK9_Quote</v>
      </c>
      <c r="F68" s="143" t="str">
        <f>_xll.qlSimpleQuote(E68,,PriceTickValue,Permanent,Trigger,ObjectOverwrite)</f>
        <v>GBPIMMFRA6MK9_Quote#0001</v>
      </c>
      <c r="G68" s="106" t="str">
        <f>_xll.ohRangeRetrieveError(F68)</f>
        <v/>
      </c>
      <c r="H68" s="142"/>
    </row>
    <row r="69" spans="1:8" x14ac:dyDescent="0.2">
      <c r="A69" s="148"/>
      <c r="B69" s="147">
        <v>67</v>
      </c>
      <c r="C69" s="146" t="b">
        <v>0</v>
      </c>
      <c r="D69" s="145" t="str">
        <v>M9</v>
      </c>
      <c r="E69" s="144" t="str">
        <f t="shared" si="2"/>
        <v>GBPIMMFRA6MM9_Quote</v>
      </c>
      <c r="F69" s="143" t="str">
        <f>_xll.qlSimpleQuote(E69,,PriceTickValue,Permanent,Trigger,ObjectOverwrite)</f>
        <v>GBPIMMFRA6MM9_Quote#0001</v>
      </c>
      <c r="G69" s="106" t="str">
        <f>_xll.ohRangeRetrieveError(F69)</f>
        <v/>
      </c>
      <c r="H69" s="142"/>
    </row>
    <row r="70" spans="1:8" x14ac:dyDescent="0.2">
      <c r="A70" s="148"/>
      <c r="B70" s="147">
        <v>68</v>
      </c>
      <c r="C70" s="146" t="b">
        <v>0</v>
      </c>
      <c r="D70" s="145" t="str">
        <v>N9</v>
      </c>
      <c r="E70" s="144" t="str">
        <f t="shared" si="2"/>
        <v>GBPIMMFRA6MN9_Quote</v>
      </c>
      <c r="F70" s="143" t="str">
        <f>_xll.qlSimpleQuote(E70,,PriceTickValue,Permanent,Trigger,ObjectOverwrite)</f>
        <v>GBPIMMFRA6MN9_Quote#0001</v>
      </c>
      <c r="G70" s="106" t="str">
        <f>_xll.ohRangeRetrieveError(F70)</f>
        <v/>
      </c>
      <c r="H70" s="142"/>
    </row>
    <row r="71" spans="1:8" x14ac:dyDescent="0.2">
      <c r="A71" s="148"/>
      <c r="B71" s="147">
        <v>69</v>
      </c>
      <c r="C71" s="146" t="b">
        <v>0</v>
      </c>
      <c r="D71" s="145" t="str">
        <v>Q9</v>
      </c>
      <c r="E71" s="144" t="str">
        <f t="shared" si="2"/>
        <v>GBPIMMFRA6MQ9_Quote</v>
      </c>
      <c r="F71" s="143" t="str">
        <f>_xll.qlSimpleQuote(E71,,PriceTickValue,Permanent,Trigger,ObjectOverwrite)</f>
        <v>GBPIMMFRA6MQ9_Quote#0001</v>
      </c>
      <c r="G71" s="106" t="str">
        <f>_xll.ohRangeRetrieveError(F71)</f>
        <v/>
      </c>
      <c r="H71" s="142"/>
    </row>
    <row r="72" spans="1:8" x14ac:dyDescent="0.2">
      <c r="A72" s="148"/>
      <c r="B72" s="147">
        <v>70</v>
      </c>
      <c r="C72" s="146" t="b">
        <v>0</v>
      </c>
      <c r="D72" s="145" t="str">
        <v>U9</v>
      </c>
      <c r="E72" s="144" t="str">
        <f t="shared" si="2"/>
        <v>GBPIMMFRA6MU9_Quote</v>
      </c>
      <c r="F72" s="143" t="str">
        <f>_xll.qlSimpleQuote(E72,,PriceTickValue,Permanent,Trigger,ObjectOverwrite)</f>
        <v>GBPIMMFRA6MU9_Quote#0001</v>
      </c>
      <c r="G72" s="106" t="str">
        <f>_xll.ohRangeRetrieveError(F72)</f>
        <v/>
      </c>
      <c r="H72" s="142"/>
    </row>
    <row r="73" spans="1:8" x14ac:dyDescent="0.2">
      <c r="A73" s="148"/>
      <c r="B73" s="147">
        <v>71</v>
      </c>
      <c r="C73" s="146" t="b">
        <v>0</v>
      </c>
      <c r="D73" s="145" t="str">
        <v>V9</v>
      </c>
      <c r="E73" s="144" t="str">
        <f t="shared" si="2"/>
        <v>GBPIMMFRA6MV9_Quote</v>
      </c>
      <c r="F73" s="143" t="str">
        <f>_xll.qlSimpleQuote(E73,,PriceTickValue,Permanent,Trigger,ObjectOverwrite)</f>
        <v>GBPIMMFRA6MV9_Quote#0001</v>
      </c>
      <c r="G73" s="106" t="str">
        <f>_xll.ohRangeRetrieveError(F73)</f>
        <v/>
      </c>
      <c r="H73" s="142"/>
    </row>
    <row r="74" spans="1:8" x14ac:dyDescent="0.2">
      <c r="A74" s="148"/>
      <c r="B74" s="147">
        <v>72</v>
      </c>
      <c r="C74" s="146" t="b">
        <v>0</v>
      </c>
      <c r="D74" s="145" t="str">
        <v>X9</v>
      </c>
      <c r="E74" s="144" t="str">
        <f t="shared" si="2"/>
        <v>GBPIMMFRA6MX9_Quote</v>
      </c>
      <c r="F74" s="143" t="str">
        <f>_xll.qlSimpleQuote(E74,,PriceTickValue,Permanent,Trigger,ObjectOverwrite)</f>
        <v>GBPIMMFRA6MX9_Quote#0001</v>
      </c>
      <c r="G74" s="106" t="str">
        <f>_xll.ohRangeRetrieveError(F74)</f>
        <v/>
      </c>
      <c r="H74" s="142"/>
    </row>
    <row r="75" spans="1:8" x14ac:dyDescent="0.2">
      <c r="A75" s="148"/>
      <c r="B75" s="147">
        <v>73</v>
      </c>
      <c r="C75" s="146" t="b">
        <v>0</v>
      </c>
      <c r="D75" s="145" t="str">
        <v>Z9</v>
      </c>
      <c r="E75" s="144" t="str">
        <f t="shared" si="2"/>
        <v>GBPIMMFRA6MZ9_Quote</v>
      </c>
      <c r="F75" s="143" t="str">
        <f>_xll.qlSimpleQuote(E75,,PriceTickValue,Permanent,Trigger,ObjectOverwrite)</f>
        <v>GBPIMMFRA6MZ9_Quote#0001</v>
      </c>
      <c r="G75" s="106" t="str">
        <f>_xll.ohRangeRetrieveError(F75)</f>
        <v/>
      </c>
      <c r="H75" s="142"/>
    </row>
    <row r="76" spans="1:8" x14ac:dyDescent="0.2">
      <c r="A76" s="148"/>
      <c r="B76" s="147">
        <v>74</v>
      </c>
      <c r="C76" s="146" t="b">
        <v>0</v>
      </c>
      <c r="D76" s="145" t="str">
        <v>F0</v>
      </c>
      <c r="E76" s="144" t="str">
        <f t="shared" si="2"/>
        <v>GBPIMMFRA6MF0_Quote</v>
      </c>
      <c r="F76" s="143" t="str">
        <f>_xll.qlSimpleQuote(E76,,PriceTickValue,Permanent,Trigger,ObjectOverwrite)</f>
        <v>GBPIMMFRA6MF0_Quote#0001</v>
      </c>
      <c r="G76" s="106" t="str">
        <f>_xll.ohRangeRetrieveError(F76)</f>
        <v/>
      </c>
      <c r="H76" s="142"/>
    </row>
    <row r="77" spans="1:8" x14ac:dyDescent="0.2">
      <c r="A77" s="148"/>
      <c r="B77" s="147">
        <v>75</v>
      </c>
      <c r="C77" s="146" t="b">
        <v>0</v>
      </c>
      <c r="D77" s="145" t="str">
        <v>G0</v>
      </c>
      <c r="E77" s="144" t="str">
        <f t="shared" si="2"/>
        <v>GBPIMMFRA6MG0_Quote</v>
      </c>
      <c r="F77" s="143" t="str">
        <f>_xll.qlSimpleQuote(E77,,PriceTickValue,Permanent,Trigger,ObjectOverwrite)</f>
        <v>GBPIMMFRA6MG0_Quote#0001</v>
      </c>
      <c r="G77" s="106" t="str">
        <f>_xll.ohRangeRetrieveError(F77)</f>
        <v/>
      </c>
      <c r="H77" s="142"/>
    </row>
    <row r="78" spans="1:8" x14ac:dyDescent="0.2">
      <c r="A78" s="148"/>
      <c r="B78" s="147">
        <v>76</v>
      </c>
      <c r="C78" s="146" t="b">
        <v>0</v>
      </c>
      <c r="D78" s="145" t="str">
        <v>H0</v>
      </c>
      <c r="E78" s="144" t="str">
        <f t="shared" si="2"/>
        <v>GBPIMMFRA6MH0_Quote</v>
      </c>
      <c r="F78" s="143" t="str">
        <f>_xll.qlSimpleQuote(E78,,PriceTickValue,Permanent,Trigger,ObjectOverwrite)</f>
        <v>GBPIMMFRA6MH0_Quote#0001</v>
      </c>
      <c r="G78" s="106" t="str">
        <f>_xll.ohRangeRetrieveError(F78)</f>
        <v/>
      </c>
      <c r="H78" s="142"/>
    </row>
    <row r="79" spans="1:8" x14ac:dyDescent="0.2">
      <c r="A79" s="148"/>
      <c r="B79" s="147">
        <v>77</v>
      </c>
      <c r="C79" s="146" t="b">
        <v>0</v>
      </c>
      <c r="D79" s="145" t="str">
        <v>J0</v>
      </c>
      <c r="E79" s="144" t="str">
        <f t="shared" si="2"/>
        <v>GBPIMMFRA6MJ0_Quote</v>
      </c>
      <c r="F79" s="143" t="str">
        <f>_xll.qlSimpleQuote(E79,,PriceTickValue,Permanent,Trigger,ObjectOverwrite)</f>
        <v>GBPIMMFRA6MJ0_Quote#0001</v>
      </c>
      <c r="G79" s="106" t="str">
        <f>_xll.ohRangeRetrieveError(F79)</f>
        <v/>
      </c>
      <c r="H79" s="142"/>
    </row>
    <row r="80" spans="1:8" x14ac:dyDescent="0.2">
      <c r="A80" s="148"/>
      <c r="B80" s="147">
        <v>78</v>
      </c>
      <c r="C80" s="146" t="b">
        <v>0</v>
      </c>
      <c r="D80" s="145" t="str">
        <v>K0</v>
      </c>
      <c r="E80" s="144" t="str">
        <f t="shared" si="2"/>
        <v>GBPIMMFRA6MK0_Quote</v>
      </c>
      <c r="F80" s="143" t="str">
        <f>_xll.qlSimpleQuote(E80,,PriceTickValue,Permanent,Trigger,ObjectOverwrite)</f>
        <v>GBPIMMFRA6MK0_Quote#0001</v>
      </c>
      <c r="G80" s="106" t="str">
        <f>_xll.ohRangeRetrieveError(F80)</f>
        <v/>
      </c>
      <c r="H80" s="142"/>
    </row>
    <row r="81" spans="1:8" x14ac:dyDescent="0.2">
      <c r="A81" s="148"/>
      <c r="B81" s="147">
        <v>79</v>
      </c>
      <c r="C81" s="146" t="b">
        <v>0</v>
      </c>
      <c r="D81" s="145" t="str">
        <v>M0</v>
      </c>
      <c r="E81" s="144" t="str">
        <f t="shared" si="2"/>
        <v>GBPIMMFRA6MM0_Quote</v>
      </c>
      <c r="F81" s="143" t="str">
        <f>_xll.qlSimpleQuote(E81,,PriceTickValue,Permanent,Trigger,ObjectOverwrite)</f>
        <v>GBPIMMFRA6MM0_Quote#0001</v>
      </c>
      <c r="G81" s="106" t="str">
        <f>_xll.ohRangeRetrieveError(F81)</f>
        <v/>
      </c>
      <c r="H81" s="142"/>
    </row>
    <row r="82" spans="1:8" x14ac:dyDescent="0.2">
      <c r="A82" s="148"/>
      <c r="B82" s="147">
        <v>80</v>
      </c>
      <c r="C82" s="146" t="b">
        <v>0</v>
      </c>
      <c r="D82" s="145" t="str">
        <v>N0</v>
      </c>
      <c r="E82" s="144" t="str">
        <f t="shared" si="2"/>
        <v>GBPIMMFRA6MN0_Quote</v>
      </c>
      <c r="F82" s="143" t="str">
        <f>_xll.qlSimpleQuote(E82,,PriceTickValue,Permanent,Trigger,ObjectOverwrite)</f>
        <v>GBPIMMFRA6MN0_Quote#0001</v>
      </c>
      <c r="G82" s="106" t="str">
        <f>_xll.ohRangeRetrieveError(F82)</f>
        <v/>
      </c>
      <c r="H82" s="142"/>
    </row>
    <row r="83" spans="1:8" x14ac:dyDescent="0.2">
      <c r="A83" s="148"/>
      <c r="B83" s="147">
        <v>81</v>
      </c>
      <c r="C83" s="146" t="b">
        <v>0</v>
      </c>
      <c r="D83" s="145" t="str">
        <v>Q0</v>
      </c>
      <c r="E83" s="144" t="str">
        <f t="shared" si="2"/>
        <v>GBPIMMFRA6MQ0_Quote</v>
      </c>
      <c r="F83" s="143" t="str">
        <f>_xll.qlSimpleQuote(E83,,PriceTickValue,Permanent,Trigger,ObjectOverwrite)</f>
        <v>GBPIMMFRA6MQ0_Quote#0001</v>
      </c>
      <c r="G83" s="106" t="str">
        <f>_xll.ohRangeRetrieveError(F83)</f>
        <v/>
      </c>
      <c r="H83" s="142"/>
    </row>
    <row r="84" spans="1:8" x14ac:dyDescent="0.2">
      <c r="A84" s="148"/>
      <c r="B84" s="147">
        <v>82</v>
      </c>
      <c r="C84" s="146" t="b">
        <v>0</v>
      </c>
      <c r="D84" s="145" t="str">
        <v>U0</v>
      </c>
      <c r="E84" s="144" t="str">
        <f t="shared" si="2"/>
        <v>GBPIMMFRA6MU0_Quote</v>
      </c>
      <c r="F84" s="143" t="str">
        <f>_xll.qlSimpleQuote(E84,,PriceTickValue,Permanent,Trigger,ObjectOverwrite)</f>
        <v>GBPIMMFRA6MU0_Quote#0001</v>
      </c>
      <c r="G84" s="106" t="str">
        <f>_xll.ohRangeRetrieveError(F84)</f>
        <v/>
      </c>
      <c r="H84" s="142"/>
    </row>
    <row r="85" spans="1:8" x14ac:dyDescent="0.2">
      <c r="A85" s="148"/>
      <c r="B85" s="147">
        <v>83</v>
      </c>
      <c r="C85" s="146" t="b">
        <v>0</v>
      </c>
      <c r="D85" s="145" t="str">
        <v>V0</v>
      </c>
      <c r="E85" s="144" t="str">
        <f t="shared" si="2"/>
        <v>GBPIMMFRA6MV0_Quote</v>
      </c>
      <c r="F85" s="143" t="str">
        <f>_xll.qlSimpleQuote(E85,,PriceTickValue,Permanent,Trigger,ObjectOverwrite)</f>
        <v>GBPIMMFRA6MV0_Quote#0001</v>
      </c>
      <c r="G85" s="106" t="str">
        <f>_xll.ohRangeRetrieveError(F85)</f>
        <v/>
      </c>
      <c r="H85" s="142"/>
    </row>
    <row r="86" spans="1:8" x14ac:dyDescent="0.2">
      <c r="A86" s="148"/>
      <c r="B86" s="147">
        <v>84</v>
      </c>
      <c r="C86" s="146" t="b">
        <v>0</v>
      </c>
      <c r="D86" s="145" t="str">
        <v>X0</v>
      </c>
      <c r="E86" s="144" t="str">
        <f t="shared" si="2"/>
        <v>GBPIMMFRA6MX0_Quote</v>
      </c>
      <c r="F86" s="143" t="str">
        <f>_xll.qlSimpleQuote(E86,,PriceTickValue,Permanent,Trigger,ObjectOverwrite)</f>
        <v>GBPIMMFRA6MX0_Quote#0001</v>
      </c>
      <c r="G86" s="106" t="str">
        <f>_xll.ohRangeRetrieveError(F86)</f>
        <v/>
      </c>
      <c r="H86" s="142"/>
    </row>
    <row r="87" spans="1:8" x14ac:dyDescent="0.2">
      <c r="A87" s="148"/>
      <c r="B87" s="147">
        <v>85</v>
      </c>
      <c r="C87" s="146" t="b">
        <v>0</v>
      </c>
      <c r="D87" s="145" t="str">
        <v>Z0</v>
      </c>
      <c r="E87" s="144" t="str">
        <f t="shared" si="2"/>
        <v>GBPIMMFRA6MZ0_Quote</v>
      </c>
      <c r="F87" s="143" t="str">
        <f>_xll.qlSimpleQuote(E87,,PriceTickValue,Permanent,Trigger,ObjectOverwrite)</f>
        <v>GBPIMMFRA6MZ0_Quote#0001</v>
      </c>
      <c r="G87" s="106" t="str">
        <f>_xll.ohRangeRetrieveError(F87)</f>
        <v/>
      </c>
      <c r="H87" s="142"/>
    </row>
    <row r="88" spans="1:8" x14ac:dyDescent="0.2">
      <c r="A88" s="148"/>
      <c r="B88" s="147">
        <v>86</v>
      </c>
      <c r="C88" s="146" t="b">
        <v>0</v>
      </c>
      <c r="D88" s="145" t="str">
        <v>F1</v>
      </c>
      <c r="E88" s="144" t="str">
        <f t="shared" si="2"/>
        <v>GBPIMMFRA6MF1_Quote</v>
      </c>
      <c r="F88" s="143" t="str">
        <f>_xll.qlSimpleQuote(E88,,PriceTickValue,Permanent,Trigger,ObjectOverwrite)</f>
        <v>GBPIMMFRA6MF1_Quote#0001</v>
      </c>
      <c r="G88" s="106" t="str">
        <f>_xll.ohRangeRetrieveError(F88)</f>
        <v/>
      </c>
      <c r="H88" s="142"/>
    </row>
    <row r="89" spans="1:8" x14ac:dyDescent="0.2">
      <c r="A89" s="148"/>
      <c r="B89" s="147">
        <v>87</v>
      </c>
      <c r="C89" s="146" t="b">
        <v>0</v>
      </c>
      <c r="D89" s="145" t="str">
        <v>G1</v>
      </c>
      <c r="E89" s="144" t="str">
        <f t="shared" si="2"/>
        <v>GBPIMMFRA6MG1_Quote</v>
      </c>
      <c r="F89" s="143" t="str">
        <f>_xll.qlSimpleQuote(E89,,PriceTickValue,Permanent,Trigger,ObjectOverwrite)</f>
        <v>GBPIMMFRA6MG1_Quote#0001</v>
      </c>
      <c r="G89" s="106" t="str">
        <f>_xll.ohRangeRetrieveError(F89)</f>
        <v/>
      </c>
      <c r="H89" s="142"/>
    </row>
    <row r="90" spans="1:8" x14ac:dyDescent="0.2">
      <c r="A90" s="148"/>
      <c r="B90" s="147">
        <v>88</v>
      </c>
      <c r="C90" s="146" t="b">
        <v>0</v>
      </c>
      <c r="D90" s="145" t="str">
        <v>H1</v>
      </c>
      <c r="E90" s="144" t="str">
        <f t="shared" si="2"/>
        <v>GBPIMMFRA6MH1_Quote</v>
      </c>
      <c r="F90" s="143" t="str">
        <f>_xll.qlSimpleQuote(E90,,PriceTickValue,Permanent,Trigger,ObjectOverwrite)</f>
        <v>GBPIMMFRA6MH1_Quote#0001</v>
      </c>
      <c r="G90" s="106" t="str">
        <f>_xll.ohRangeRetrieveError(F90)</f>
        <v/>
      </c>
      <c r="H90" s="142"/>
    </row>
    <row r="91" spans="1:8" x14ac:dyDescent="0.2">
      <c r="A91" s="148"/>
      <c r="B91" s="147">
        <v>89</v>
      </c>
      <c r="C91" s="146" t="b">
        <v>0</v>
      </c>
      <c r="D91" s="145" t="str">
        <v>J1</v>
      </c>
      <c r="E91" s="144" t="str">
        <f t="shared" si="2"/>
        <v>GBPIMMFRA6MJ1_Quote</v>
      </c>
      <c r="F91" s="143" t="str">
        <f>_xll.qlSimpleQuote(E91,,PriceTickValue,Permanent,Trigger,ObjectOverwrite)</f>
        <v>GBPIMMFRA6MJ1_Quote#0001</v>
      </c>
      <c r="G91" s="106" t="str">
        <f>_xll.ohRangeRetrieveError(F91)</f>
        <v/>
      </c>
      <c r="H91" s="142"/>
    </row>
    <row r="92" spans="1:8" x14ac:dyDescent="0.2">
      <c r="A92" s="148"/>
      <c r="B92" s="147">
        <v>90</v>
      </c>
      <c r="C92" s="146" t="b">
        <v>0</v>
      </c>
      <c r="D92" s="145" t="str">
        <v>K1</v>
      </c>
      <c r="E92" s="144" t="str">
        <f t="shared" si="2"/>
        <v>GBPIMMFRA6MK1_Quote</v>
      </c>
      <c r="F92" s="143" t="str">
        <f>_xll.qlSimpleQuote(E92,,PriceTickValue,Permanent,Trigger,ObjectOverwrite)</f>
        <v>GBPIMMFRA6MK1_Quote#0001</v>
      </c>
      <c r="G92" s="106" t="str">
        <f>_xll.ohRangeRetrieveError(F92)</f>
        <v/>
      </c>
      <c r="H92" s="142"/>
    </row>
    <row r="93" spans="1:8" x14ac:dyDescent="0.2">
      <c r="A93" s="148"/>
      <c r="B93" s="147">
        <v>91</v>
      </c>
      <c r="C93" s="146" t="b">
        <v>0</v>
      </c>
      <c r="D93" s="145" t="str">
        <v>M1</v>
      </c>
      <c r="E93" s="144" t="str">
        <f t="shared" si="2"/>
        <v>GBPIMMFRA6MM1_Quote</v>
      </c>
      <c r="F93" s="143" t="str">
        <f>_xll.qlSimpleQuote(E93,,PriceTickValue,Permanent,Trigger,ObjectOverwrite)</f>
        <v>GBPIMMFRA6MM1_Quote#0001</v>
      </c>
      <c r="G93" s="106" t="str">
        <f>_xll.ohRangeRetrieveError(F93)</f>
        <v/>
      </c>
      <c r="H93" s="142"/>
    </row>
    <row r="94" spans="1:8" x14ac:dyDescent="0.2">
      <c r="A94" s="148"/>
      <c r="B94" s="147">
        <v>92</v>
      </c>
      <c r="C94" s="146" t="b">
        <v>0</v>
      </c>
      <c r="D94" s="145" t="str">
        <v>N1</v>
      </c>
      <c r="E94" s="144" t="str">
        <f t="shared" si="2"/>
        <v>GBPIMMFRA6MN1_Quote</v>
      </c>
      <c r="F94" s="143" t="str">
        <f>_xll.qlSimpleQuote(E94,,PriceTickValue,Permanent,Trigger,ObjectOverwrite)</f>
        <v>GBPIMMFRA6MN1_Quote#0001</v>
      </c>
      <c r="G94" s="106" t="str">
        <f>_xll.ohRangeRetrieveError(F94)</f>
        <v/>
      </c>
      <c r="H94" s="142"/>
    </row>
    <row r="95" spans="1:8" x14ac:dyDescent="0.2">
      <c r="A95" s="148"/>
      <c r="B95" s="147">
        <v>93</v>
      </c>
      <c r="C95" s="146" t="b">
        <v>0</v>
      </c>
      <c r="D95" s="145" t="str">
        <v>Q1</v>
      </c>
      <c r="E95" s="144" t="str">
        <f t="shared" si="2"/>
        <v>GBPIMMFRA6MQ1_Quote</v>
      </c>
      <c r="F95" s="143" t="str">
        <f>_xll.qlSimpleQuote(E95,,PriceTickValue,Permanent,Trigger,ObjectOverwrite)</f>
        <v>GBPIMMFRA6MQ1_Quote#0001</v>
      </c>
      <c r="G95" s="106" t="str">
        <f>_xll.ohRangeRetrieveError(F95)</f>
        <v/>
      </c>
      <c r="H95" s="142"/>
    </row>
    <row r="96" spans="1:8" x14ac:dyDescent="0.2">
      <c r="A96" s="148"/>
      <c r="B96" s="147">
        <v>94</v>
      </c>
      <c r="C96" s="146" t="b">
        <v>0</v>
      </c>
      <c r="D96" s="145" t="str">
        <v>U1</v>
      </c>
      <c r="E96" s="144" t="str">
        <f t="shared" si="2"/>
        <v>GBPIMMFRA6MU1_Quote</v>
      </c>
      <c r="F96" s="143" t="str">
        <f>_xll.qlSimpleQuote(E96,,PriceTickValue,Permanent,Trigger,ObjectOverwrite)</f>
        <v>GBPIMMFRA6MU1_Quote#0001</v>
      </c>
      <c r="G96" s="106" t="str">
        <f>_xll.ohRangeRetrieveError(F96)</f>
        <v/>
      </c>
      <c r="H96" s="142"/>
    </row>
    <row r="97" spans="1:8" x14ac:dyDescent="0.2">
      <c r="A97" s="148"/>
      <c r="B97" s="147">
        <v>95</v>
      </c>
      <c r="C97" s="146" t="b">
        <v>0</v>
      </c>
      <c r="D97" s="145" t="str">
        <v>V1</v>
      </c>
      <c r="E97" s="144" t="str">
        <f t="shared" si="2"/>
        <v>GBPIMMFRA6MV1_Quote</v>
      </c>
      <c r="F97" s="143" t="str">
        <f>_xll.qlSimpleQuote(E97,,PriceTickValue,Permanent,Trigger,ObjectOverwrite)</f>
        <v>GBPIMMFRA6MV1_Quote#0001</v>
      </c>
      <c r="G97" s="106" t="str">
        <f>_xll.ohRangeRetrieveError(F97)</f>
        <v/>
      </c>
      <c r="H97" s="142"/>
    </row>
    <row r="98" spans="1:8" x14ac:dyDescent="0.2">
      <c r="A98" s="148"/>
      <c r="B98" s="147">
        <v>96</v>
      </c>
      <c r="C98" s="146" t="b">
        <v>0</v>
      </c>
      <c r="D98" s="145" t="str">
        <v>X1</v>
      </c>
      <c r="E98" s="144" t="str">
        <f t="shared" si="2"/>
        <v>GBPIMMFRA6MX1_Quote</v>
      </c>
      <c r="F98" s="143" t="str">
        <f>_xll.qlSimpleQuote(E98,,PriceTickValue,Permanent,Trigger,ObjectOverwrite)</f>
        <v>GBPIMMFRA6MX1_Quote#0001</v>
      </c>
      <c r="G98" s="106" t="str">
        <f>_xll.ohRangeRetrieveError(F98)</f>
        <v/>
      </c>
      <c r="H98" s="142"/>
    </row>
    <row r="99" spans="1:8" x14ac:dyDescent="0.2">
      <c r="A99" s="148"/>
      <c r="B99" s="147">
        <v>97</v>
      </c>
      <c r="C99" s="146" t="b">
        <v>0</v>
      </c>
      <c r="D99" s="145" t="str">
        <v>Z1</v>
      </c>
      <c r="E99" s="144" t="str">
        <f t="shared" ref="E99:E122" si="3">Currency&amp;$D$1&amp;$E$1&amp;$D99&amp;QuoteSuffix</f>
        <v>GBPIMMFRA6MZ1_Quote</v>
      </c>
      <c r="F99" s="143" t="str">
        <f>_xll.qlSimpleQuote(E99,,PriceTickValue,Permanent,Trigger,ObjectOverwrite)</f>
        <v>GBPIMMFRA6MZ1_Quote#0001</v>
      </c>
      <c r="G99" s="106" t="str">
        <f>_xll.ohRangeRetrieveError(F99)</f>
        <v/>
      </c>
      <c r="H99" s="142"/>
    </row>
    <row r="100" spans="1:8" x14ac:dyDescent="0.2">
      <c r="A100" s="148"/>
      <c r="B100" s="147">
        <v>98</v>
      </c>
      <c r="C100" s="146" t="b">
        <v>0</v>
      </c>
      <c r="D100" s="145" t="str">
        <v>F2</v>
      </c>
      <c r="E100" s="144" t="str">
        <f t="shared" si="3"/>
        <v>GBPIMMFRA6MF2_Quote</v>
      </c>
      <c r="F100" s="143" t="str">
        <f>_xll.qlSimpleQuote(E100,,PriceTickValue,Permanent,Trigger,ObjectOverwrite)</f>
        <v>GBPIMMFRA6MF2_Quote#0001</v>
      </c>
      <c r="G100" s="106" t="str">
        <f>_xll.ohRangeRetrieveError(F100)</f>
        <v/>
      </c>
      <c r="H100" s="142"/>
    </row>
    <row r="101" spans="1:8" x14ac:dyDescent="0.2">
      <c r="A101" s="148"/>
      <c r="B101" s="147">
        <v>99</v>
      </c>
      <c r="C101" s="146" t="b">
        <v>0</v>
      </c>
      <c r="D101" s="145" t="str">
        <v>G2</v>
      </c>
      <c r="E101" s="144" t="str">
        <f t="shared" si="3"/>
        <v>GBPIMMFRA6MG2_Quote</v>
      </c>
      <c r="F101" s="143" t="str">
        <f>_xll.qlSimpleQuote(E101,,PriceTickValue,Permanent,Trigger,ObjectOverwrite)</f>
        <v>GBPIMMFRA6MG2_Quote#0001</v>
      </c>
      <c r="G101" s="106" t="str">
        <f>_xll.ohRangeRetrieveError(F101)</f>
        <v/>
      </c>
      <c r="H101" s="142"/>
    </row>
    <row r="102" spans="1:8" x14ac:dyDescent="0.2">
      <c r="A102" s="148"/>
      <c r="B102" s="147">
        <v>100</v>
      </c>
      <c r="C102" s="146" t="b">
        <v>0</v>
      </c>
      <c r="D102" s="145" t="str">
        <v>H2</v>
      </c>
      <c r="E102" s="144" t="str">
        <f t="shared" si="3"/>
        <v>GBPIMMFRA6MH2_Quote</v>
      </c>
      <c r="F102" s="143" t="str">
        <f>_xll.qlSimpleQuote(E102,,PriceTickValue,Permanent,Trigger,ObjectOverwrite)</f>
        <v>GBPIMMFRA6MH2_Quote#0001</v>
      </c>
      <c r="G102" s="106" t="str">
        <f>_xll.ohRangeRetrieveError(F102)</f>
        <v/>
      </c>
      <c r="H102" s="142"/>
    </row>
    <row r="103" spans="1:8" x14ac:dyDescent="0.2">
      <c r="A103" s="148"/>
      <c r="B103" s="147">
        <v>101</v>
      </c>
      <c r="C103" s="146" t="b">
        <v>0</v>
      </c>
      <c r="D103" s="145" t="str">
        <v>J2</v>
      </c>
      <c r="E103" s="144" t="str">
        <f t="shared" si="3"/>
        <v>GBPIMMFRA6MJ2_Quote</v>
      </c>
      <c r="F103" s="143" t="str">
        <f>_xll.qlSimpleQuote(E103,,PriceTickValue,Permanent,Trigger,ObjectOverwrite)</f>
        <v>GBPIMMFRA6MJ2_Quote#0001</v>
      </c>
      <c r="G103" s="106" t="str">
        <f>_xll.ohRangeRetrieveError(F103)</f>
        <v/>
      </c>
      <c r="H103" s="142"/>
    </row>
    <row r="104" spans="1:8" x14ac:dyDescent="0.2">
      <c r="A104" s="148"/>
      <c r="B104" s="147">
        <v>102</v>
      </c>
      <c r="C104" s="146" t="b">
        <v>0</v>
      </c>
      <c r="D104" s="145" t="str">
        <v>K2</v>
      </c>
      <c r="E104" s="144" t="str">
        <f t="shared" si="3"/>
        <v>GBPIMMFRA6MK2_Quote</v>
      </c>
      <c r="F104" s="143" t="str">
        <f>_xll.qlSimpleQuote(E104,,PriceTickValue,Permanent,Trigger,ObjectOverwrite)</f>
        <v>GBPIMMFRA6MK2_Quote#0001</v>
      </c>
      <c r="G104" s="106" t="str">
        <f>_xll.ohRangeRetrieveError(F104)</f>
        <v/>
      </c>
      <c r="H104" s="142"/>
    </row>
    <row r="105" spans="1:8" x14ac:dyDescent="0.2">
      <c r="A105" s="148"/>
      <c r="B105" s="147">
        <v>103</v>
      </c>
      <c r="C105" s="146" t="b">
        <v>0</v>
      </c>
      <c r="D105" s="145" t="str">
        <v>M2</v>
      </c>
      <c r="E105" s="144" t="str">
        <f t="shared" si="3"/>
        <v>GBPIMMFRA6MM2_Quote</v>
      </c>
      <c r="F105" s="143" t="str">
        <f>_xll.qlSimpleQuote(E105,,PriceTickValue,Permanent,Trigger,ObjectOverwrite)</f>
        <v>GBPIMMFRA6MM2_Quote#0001</v>
      </c>
      <c r="G105" s="106" t="str">
        <f>_xll.ohRangeRetrieveError(F105)</f>
        <v/>
      </c>
      <c r="H105" s="142"/>
    </row>
    <row r="106" spans="1:8" x14ac:dyDescent="0.2">
      <c r="A106" s="148"/>
      <c r="B106" s="147">
        <v>104</v>
      </c>
      <c r="C106" s="146" t="b">
        <v>0</v>
      </c>
      <c r="D106" s="145" t="str">
        <v>N2</v>
      </c>
      <c r="E106" s="144" t="str">
        <f t="shared" si="3"/>
        <v>GBPIMMFRA6MN2_Quote</v>
      </c>
      <c r="F106" s="143" t="str">
        <f>_xll.qlSimpleQuote(E106,,PriceTickValue,Permanent,Trigger,ObjectOverwrite)</f>
        <v>GBPIMMFRA6MN2_Quote#0001</v>
      </c>
      <c r="G106" s="106" t="str">
        <f>_xll.ohRangeRetrieveError(F106)</f>
        <v/>
      </c>
      <c r="H106" s="142"/>
    </row>
    <row r="107" spans="1:8" x14ac:dyDescent="0.2">
      <c r="A107" s="148"/>
      <c r="B107" s="147">
        <v>105</v>
      </c>
      <c r="C107" s="146" t="b">
        <v>0</v>
      </c>
      <c r="D107" s="145" t="str">
        <v>Q2</v>
      </c>
      <c r="E107" s="144" t="str">
        <f t="shared" si="3"/>
        <v>GBPIMMFRA6MQ2_Quote</v>
      </c>
      <c r="F107" s="143" t="str">
        <f>_xll.qlSimpleQuote(E107,,PriceTickValue,Permanent,Trigger,ObjectOverwrite)</f>
        <v>GBPIMMFRA6MQ2_Quote#0001</v>
      </c>
      <c r="G107" s="106" t="str">
        <f>_xll.ohRangeRetrieveError(F107)</f>
        <v/>
      </c>
      <c r="H107" s="142"/>
    </row>
    <row r="108" spans="1:8" x14ac:dyDescent="0.2">
      <c r="A108" s="148"/>
      <c r="B108" s="147">
        <v>106</v>
      </c>
      <c r="C108" s="146" t="b">
        <v>0</v>
      </c>
      <c r="D108" s="145" t="str">
        <v>U2</v>
      </c>
      <c r="E108" s="144" t="str">
        <f t="shared" si="3"/>
        <v>GBPIMMFRA6MU2_Quote</v>
      </c>
      <c r="F108" s="143" t="str">
        <f>_xll.qlSimpleQuote(E108,,PriceTickValue,Permanent,Trigger,ObjectOverwrite)</f>
        <v>GBPIMMFRA6MU2_Quote#0001</v>
      </c>
      <c r="G108" s="106" t="str">
        <f>_xll.ohRangeRetrieveError(F108)</f>
        <v/>
      </c>
      <c r="H108" s="142"/>
    </row>
    <row r="109" spans="1:8" x14ac:dyDescent="0.2">
      <c r="A109" s="148"/>
      <c r="B109" s="147">
        <v>107</v>
      </c>
      <c r="C109" s="146" t="b">
        <v>0</v>
      </c>
      <c r="D109" s="145" t="str">
        <v>V2</v>
      </c>
      <c r="E109" s="144" t="str">
        <f t="shared" si="3"/>
        <v>GBPIMMFRA6MV2_Quote</v>
      </c>
      <c r="F109" s="143" t="str">
        <f>_xll.qlSimpleQuote(E109,,PriceTickValue,Permanent,Trigger,ObjectOverwrite)</f>
        <v>GBPIMMFRA6MV2_Quote#0001</v>
      </c>
      <c r="G109" s="106" t="str">
        <f>_xll.ohRangeRetrieveError(F109)</f>
        <v/>
      </c>
      <c r="H109" s="142"/>
    </row>
    <row r="110" spans="1:8" x14ac:dyDescent="0.2">
      <c r="A110" s="148"/>
      <c r="B110" s="147">
        <v>108</v>
      </c>
      <c r="C110" s="146" t="b">
        <v>0</v>
      </c>
      <c r="D110" s="145" t="str">
        <v>X2</v>
      </c>
      <c r="E110" s="144" t="str">
        <f t="shared" si="3"/>
        <v>GBPIMMFRA6MX2_Quote</v>
      </c>
      <c r="F110" s="143" t="str">
        <f>_xll.qlSimpleQuote(E110,,PriceTickValue,Permanent,Trigger,ObjectOverwrite)</f>
        <v>GBPIMMFRA6MX2_Quote#0001</v>
      </c>
      <c r="G110" s="106" t="str">
        <f>_xll.ohRangeRetrieveError(F110)</f>
        <v/>
      </c>
      <c r="H110" s="142"/>
    </row>
    <row r="111" spans="1:8" x14ac:dyDescent="0.2">
      <c r="A111" s="148"/>
      <c r="B111" s="147">
        <v>109</v>
      </c>
      <c r="C111" s="146" t="b">
        <v>0</v>
      </c>
      <c r="D111" s="145" t="str">
        <v>Z2</v>
      </c>
      <c r="E111" s="144" t="str">
        <f t="shared" si="3"/>
        <v>GBPIMMFRA6MZ2_Quote</v>
      </c>
      <c r="F111" s="143" t="str">
        <f>_xll.qlSimpleQuote(E111,,PriceTickValue,Permanent,Trigger,ObjectOverwrite)</f>
        <v>GBPIMMFRA6MZ2_Quote#0001</v>
      </c>
      <c r="G111" s="106" t="str">
        <f>_xll.ohRangeRetrieveError(F111)</f>
        <v/>
      </c>
      <c r="H111" s="142"/>
    </row>
    <row r="112" spans="1:8" x14ac:dyDescent="0.2">
      <c r="A112" s="148"/>
      <c r="B112" s="147">
        <v>110</v>
      </c>
      <c r="C112" s="146" t="b">
        <v>0</v>
      </c>
      <c r="D112" s="145" t="str">
        <v>F3</v>
      </c>
      <c r="E112" s="144" t="str">
        <f t="shared" si="3"/>
        <v>GBPIMMFRA6MF3_Quote</v>
      </c>
      <c r="F112" s="143" t="str">
        <f>_xll.qlSimpleQuote(E112,,PriceTickValue,Permanent,Trigger,ObjectOverwrite)</f>
        <v>GBPIMMFRA6MF3_Quote#0001</v>
      </c>
      <c r="G112" s="106" t="str">
        <f>_xll.ohRangeRetrieveError(F112)</f>
        <v/>
      </c>
      <c r="H112" s="142"/>
    </row>
    <row r="113" spans="1:8" x14ac:dyDescent="0.2">
      <c r="A113" s="148"/>
      <c r="B113" s="147">
        <v>111</v>
      </c>
      <c r="C113" s="146" t="b">
        <v>0</v>
      </c>
      <c r="D113" s="145" t="str">
        <v>G3</v>
      </c>
      <c r="E113" s="144" t="str">
        <f t="shared" si="3"/>
        <v>GBPIMMFRA6MG3_Quote</v>
      </c>
      <c r="F113" s="143" t="str">
        <f>_xll.qlSimpleQuote(E113,,PriceTickValue,Permanent,Trigger,ObjectOverwrite)</f>
        <v>GBPIMMFRA6MG3_Quote#0001</v>
      </c>
      <c r="G113" s="106" t="str">
        <f>_xll.ohRangeRetrieveError(F113)</f>
        <v/>
      </c>
      <c r="H113" s="142"/>
    </row>
    <row r="114" spans="1:8" x14ac:dyDescent="0.2">
      <c r="A114" s="148"/>
      <c r="B114" s="147">
        <v>112</v>
      </c>
      <c r="C114" s="146" t="b">
        <v>0</v>
      </c>
      <c r="D114" s="145" t="str">
        <v>H3</v>
      </c>
      <c r="E114" s="144" t="str">
        <f t="shared" si="3"/>
        <v>GBPIMMFRA6MH3_Quote</v>
      </c>
      <c r="F114" s="143" t="str">
        <f>_xll.qlSimpleQuote(E114,,PriceTickValue,Permanent,Trigger,ObjectOverwrite)</f>
        <v>GBPIMMFRA6MH3_Quote#0001</v>
      </c>
      <c r="G114" s="106" t="str">
        <f>_xll.ohRangeRetrieveError(F114)</f>
        <v/>
      </c>
      <c r="H114" s="142"/>
    </row>
    <row r="115" spans="1:8" x14ac:dyDescent="0.2">
      <c r="A115" s="148"/>
      <c r="B115" s="147">
        <v>113</v>
      </c>
      <c r="C115" s="146" t="b">
        <v>0</v>
      </c>
      <c r="D115" s="145" t="str">
        <v>J3</v>
      </c>
      <c r="E115" s="144" t="str">
        <f t="shared" si="3"/>
        <v>GBPIMMFRA6MJ3_Quote</v>
      </c>
      <c r="F115" s="143" t="str">
        <f>_xll.qlSimpleQuote(E115,,PriceTickValue,Permanent,Trigger,ObjectOverwrite)</f>
        <v>GBPIMMFRA6MJ3_Quote#0001</v>
      </c>
      <c r="G115" s="106" t="str">
        <f>_xll.ohRangeRetrieveError(F115)</f>
        <v/>
      </c>
      <c r="H115" s="142"/>
    </row>
    <row r="116" spans="1:8" x14ac:dyDescent="0.2">
      <c r="A116" s="148"/>
      <c r="B116" s="147">
        <v>114</v>
      </c>
      <c r="C116" s="146" t="b">
        <v>0</v>
      </c>
      <c r="D116" s="145" t="str">
        <v>K3</v>
      </c>
      <c r="E116" s="144" t="str">
        <f t="shared" si="3"/>
        <v>GBPIMMFRA6MK3_Quote</v>
      </c>
      <c r="F116" s="143" t="str">
        <f>_xll.qlSimpleQuote(E116,,PriceTickValue,Permanent,Trigger,ObjectOverwrite)</f>
        <v>GBPIMMFRA6MK3_Quote#0001</v>
      </c>
      <c r="G116" s="106" t="str">
        <f>_xll.ohRangeRetrieveError(F116)</f>
        <v/>
      </c>
      <c r="H116" s="142"/>
    </row>
    <row r="117" spans="1:8" x14ac:dyDescent="0.2">
      <c r="A117" s="148"/>
      <c r="B117" s="147">
        <v>115</v>
      </c>
      <c r="C117" s="146" t="b">
        <v>0</v>
      </c>
      <c r="D117" s="145" t="str">
        <v>M3</v>
      </c>
      <c r="E117" s="144" t="str">
        <f t="shared" si="3"/>
        <v>GBPIMMFRA6MM3_Quote</v>
      </c>
      <c r="F117" s="143" t="str">
        <f>_xll.qlSimpleQuote(E117,,PriceTickValue,Permanent,Trigger,ObjectOverwrite)</f>
        <v>GBPIMMFRA6MM3_Quote#0001</v>
      </c>
      <c r="G117" s="106" t="str">
        <f>_xll.ohRangeRetrieveError(F117)</f>
        <v/>
      </c>
      <c r="H117" s="142"/>
    </row>
    <row r="118" spans="1:8" x14ac:dyDescent="0.2">
      <c r="A118" s="148"/>
      <c r="B118" s="147">
        <v>116</v>
      </c>
      <c r="C118" s="146" t="b">
        <v>0</v>
      </c>
      <c r="D118" s="145" t="str">
        <v>N3</v>
      </c>
      <c r="E118" s="144" t="str">
        <f t="shared" si="3"/>
        <v>GBPIMMFRA6MN3_Quote</v>
      </c>
      <c r="F118" s="143" t="str">
        <f>_xll.qlSimpleQuote(E118,,PriceTickValue,Permanent,Trigger,ObjectOverwrite)</f>
        <v>GBPIMMFRA6MN3_Quote#0001</v>
      </c>
      <c r="G118" s="106" t="str">
        <f>_xll.ohRangeRetrieveError(F118)</f>
        <v/>
      </c>
      <c r="H118" s="142"/>
    </row>
    <row r="119" spans="1:8" x14ac:dyDescent="0.2">
      <c r="A119" s="148"/>
      <c r="B119" s="147">
        <v>117</v>
      </c>
      <c r="C119" s="146" t="b">
        <v>0</v>
      </c>
      <c r="D119" s="145" t="str">
        <v>Q3</v>
      </c>
      <c r="E119" s="144" t="str">
        <f t="shared" si="3"/>
        <v>GBPIMMFRA6MQ3_Quote</v>
      </c>
      <c r="F119" s="143" t="str">
        <f>_xll.qlSimpleQuote(E119,,PriceTickValue,Permanent,Trigger,ObjectOverwrite)</f>
        <v>GBPIMMFRA6MQ3_Quote#0001</v>
      </c>
      <c r="G119" s="106" t="str">
        <f>_xll.ohRangeRetrieveError(F119)</f>
        <v/>
      </c>
      <c r="H119" s="142"/>
    </row>
    <row r="120" spans="1:8" x14ac:dyDescent="0.2">
      <c r="A120" s="148"/>
      <c r="B120" s="147">
        <v>118</v>
      </c>
      <c r="C120" s="146" t="b">
        <v>0</v>
      </c>
      <c r="D120" s="145" t="str">
        <v>U3</v>
      </c>
      <c r="E120" s="144" t="str">
        <f t="shared" si="3"/>
        <v>GBPIMMFRA6MU3_Quote</v>
      </c>
      <c r="F120" s="143" t="str">
        <f>_xll.qlSimpleQuote(E120,,PriceTickValue,Permanent,Trigger,ObjectOverwrite)</f>
        <v>GBPIMMFRA6MU3_Quote#0001</v>
      </c>
      <c r="G120" s="106" t="str">
        <f>_xll.ohRangeRetrieveError(F120)</f>
        <v/>
      </c>
      <c r="H120" s="142"/>
    </row>
    <row r="121" spans="1:8" x14ac:dyDescent="0.2">
      <c r="A121" s="148"/>
      <c r="B121" s="147">
        <v>119</v>
      </c>
      <c r="C121" s="146" t="b">
        <v>0</v>
      </c>
      <c r="D121" s="145" t="str">
        <v>V3</v>
      </c>
      <c r="E121" s="144" t="str">
        <f t="shared" si="3"/>
        <v>GBPIMMFRA6MV3_Quote</v>
      </c>
      <c r="F121" s="143" t="str">
        <f>_xll.qlSimpleQuote(E121,,PriceTickValue,Permanent,Trigger,ObjectOverwrite)</f>
        <v>GBPIMMFRA6MV3_Quote#0001</v>
      </c>
      <c r="G121" s="106" t="str">
        <f>_xll.ohRangeRetrieveError(F121)</f>
        <v/>
      </c>
      <c r="H121" s="142"/>
    </row>
    <row r="122" spans="1:8" x14ac:dyDescent="0.2">
      <c r="A122" s="148"/>
      <c r="B122" s="147">
        <v>120</v>
      </c>
      <c r="C122" s="146" t="b">
        <v>0</v>
      </c>
      <c r="D122" s="145" t="str">
        <v>X3</v>
      </c>
      <c r="E122" s="144" t="str">
        <f t="shared" si="3"/>
        <v>GBPIMMFRA6MX3_Quote</v>
      </c>
      <c r="F122" s="143" t="str">
        <f>_xll.qlSimpleQuote(E122,,PriceTickValue,Permanent,Trigger,ObjectOverwrite)</f>
        <v>GBPIMMFRA6MX3_Quote#0001</v>
      </c>
      <c r="G122" s="106" t="str">
        <f>_xll.ohRangeRetrieveError(F122)</f>
        <v/>
      </c>
      <c r="H122" s="142"/>
    </row>
    <row r="123" spans="1:8" ht="12" thickBot="1" x14ac:dyDescent="0.25">
      <c r="A123" s="141"/>
      <c r="B123" s="140"/>
      <c r="C123" s="140"/>
      <c r="D123" s="140"/>
      <c r="E123" s="140"/>
      <c r="F123" s="140"/>
      <c r="G123" s="140"/>
      <c r="H123" s="139"/>
    </row>
  </sheetData>
  <pageMargins left="0.75" right="0.75" top="1" bottom="1" header="0.5" footer="0.5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workbookViewId="0"/>
  </sheetViews>
  <sheetFormatPr defaultRowHeight="11.25" x14ac:dyDescent="0.2"/>
  <cols>
    <col min="1" max="1" width="3.85546875" style="67" customWidth="1"/>
    <col min="2" max="2" width="25.5703125" style="67" bestFit="1" customWidth="1"/>
    <col min="3" max="3" width="27.7109375" style="67" bestFit="1" customWidth="1"/>
    <col min="4" max="4" width="23.28515625" style="67" customWidth="1"/>
    <col min="5" max="5" width="4.85546875" style="67" customWidth="1"/>
    <col min="6" max="16384" width="9.140625" style="67"/>
  </cols>
  <sheetData>
    <row r="1" spans="1:5" x14ac:dyDescent="0.2">
      <c r="A1" s="114"/>
      <c r="B1" s="113"/>
      <c r="C1" s="113"/>
      <c r="D1" s="113"/>
      <c r="E1" s="112"/>
    </row>
    <row r="2" spans="1:5" x14ac:dyDescent="0.2">
      <c r="A2" s="165"/>
      <c r="B2" s="18" t="str">
        <f>Currency&amp;"_010_"&amp;"FuturesHWConvAdj.xml"</f>
        <v>GBP_010_FuturesHWConvAdj.xml</v>
      </c>
      <c r="C2" s="16">
        <f ca="1">IF(Serialize,_xll.ohObjectSave(C3:C4,SerializationPath&amp;B2,FileOverwrite,Serialize),"---")</f>
        <v>2</v>
      </c>
      <c r="D2" s="106" t="str">
        <f ca="1">_xll.ohRangeRetrieveError(C2)</f>
        <v/>
      </c>
      <c r="E2" s="163"/>
    </row>
    <row r="3" spans="1:5" x14ac:dyDescent="0.2">
      <c r="A3" s="165"/>
      <c r="B3" s="164" t="str">
        <f>Currency&amp;"HW_Volatility"&amp;QuoteSuffix</f>
        <v>GBPHW_Volatility_Quote</v>
      </c>
      <c r="C3" s="164" t="str">
        <f>_xll.qlSimpleQuote(B3,,,Permanent,Trigger,ObjectOverwrite)</f>
        <v>GBPHW_Volatility_Quote#0001</v>
      </c>
      <c r="D3" s="106" t="str">
        <f>_xll.ohRangeRetrieveError(C3)</f>
        <v/>
      </c>
      <c r="E3" s="163"/>
    </row>
    <row r="4" spans="1:5" x14ac:dyDescent="0.2">
      <c r="A4" s="165"/>
      <c r="B4" s="164" t="str">
        <f>Currency&amp;"HW_MeanReversion"&amp;QuoteSuffix</f>
        <v>GBPHW_MeanReversion_Quote</v>
      </c>
      <c r="C4" s="164" t="str">
        <f>_xll.qlSimpleQuote(B4,,,Permanent,Trigger,ObjectOverwrite)</f>
        <v>GBPHW_MeanReversion_Quote#0001</v>
      </c>
      <c r="D4" s="106" t="str">
        <f>_xll.ohRangeRetrieveError(C4)</f>
        <v/>
      </c>
      <c r="E4" s="163"/>
    </row>
    <row r="5" spans="1:5" x14ac:dyDescent="0.2">
      <c r="A5" s="162"/>
      <c r="B5" s="161"/>
      <c r="C5" s="161"/>
      <c r="D5" s="161"/>
      <c r="E5" s="160"/>
    </row>
  </sheetData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8"/>
  <sheetViews>
    <sheetView workbookViewId="0"/>
  </sheetViews>
  <sheetFormatPr defaultColWidth="8" defaultRowHeight="11.25" x14ac:dyDescent="0.2"/>
  <cols>
    <col min="1" max="1" width="3.28515625" style="101" customWidth="1"/>
    <col min="2" max="2" width="4.28515625" style="101" customWidth="1"/>
    <col min="3" max="3" width="15.5703125" style="101" bestFit="1" customWidth="1"/>
    <col min="4" max="4" width="86.42578125" style="101" bestFit="1" customWidth="1"/>
    <col min="5" max="5" width="3.7109375" style="101" customWidth="1"/>
    <col min="6" max="6" width="35.28515625" style="101" customWidth="1"/>
    <col min="7" max="7" width="4.28515625" style="101" customWidth="1"/>
    <col min="8" max="16384" width="8" style="101"/>
  </cols>
  <sheetData>
    <row r="1" spans="1:5" ht="13.5" thickBot="1" x14ac:dyDescent="0.25">
      <c r="B1" s="104" t="str">
        <f>_xll.qlxlVersion(TRUE,Trigger)</f>
        <v>QuantLibXL 1.3.0 - MS VC++ 9.0 - Multithreaded Static Runtime library - Release Configuration - Nov  5 2013 10:41:52</v>
      </c>
    </row>
    <row r="2" spans="1:5" s="1" customFormat="1" ht="15.75" x14ac:dyDescent="0.25">
      <c r="A2" s="50"/>
      <c r="B2" s="266" t="s">
        <v>135</v>
      </c>
      <c r="C2" s="267"/>
      <c r="D2" s="267"/>
      <c r="E2" s="268"/>
    </row>
    <row r="3" spans="1:5" s="1" customFormat="1" ht="12.75" x14ac:dyDescent="0.2">
      <c r="A3" s="50"/>
      <c r="B3" s="53"/>
      <c r="C3" s="56"/>
      <c r="D3" s="56"/>
      <c r="E3" s="6"/>
    </row>
    <row r="4" spans="1:5" s="1" customFormat="1" ht="12.75" x14ac:dyDescent="0.2">
      <c r="A4" s="50"/>
      <c r="B4" s="53"/>
      <c r="C4" s="22" t="s">
        <v>98</v>
      </c>
      <c r="D4" s="52"/>
      <c r="E4" s="51"/>
    </row>
    <row r="5" spans="1:5" s="1" customFormat="1" ht="12.75" x14ac:dyDescent="0.2">
      <c r="A5" s="50"/>
      <c r="B5" s="53"/>
      <c r="C5" s="22" t="s">
        <v>95</v>
      </c>
      <c r="D5" s="52" t="b">
        <v>1</v>
      </c>
      <c r="E5" s="51"/>
    </row>
    <row r="6" spans="1:5" s="1" customFormat="1" ht="12.75" x14ac:dyDescent="0.2">
      <c r="A6" s="50"/>
      <c r="B6" s="53"/>
      <c r="C6" s="22" t="s">
        <v>94</v>
      </c>
      <c r="D6" s="52" t="b">
        <v>0</v>
      </c>
      <c r="E6" s="51"/>
    </row>
    <row r="7" spans="1:5" s="1" customFormat="1" ht="12.75" x14ac:dyDescent="0.2">
      <c r="A7" s="50"/>
      <c r="B7" s="53"/>
      <c r="C7" s="22" t="s">
        <v>93</v>
      </c>
      <c r="D7" s="52" t="b">
        <v>1</v>
      </c>
      <c r="E7" s="51"/>
    </row>
    <row r="8" spans="1:5" s="1" customFormat="1" ht="12.75" x14ac:dyDescent="0.2">
      <c r="A8" s="50"/>
      <c r="B8" s="53"/>
      <c r="C8" s="22" t="s">
        <v>92</v>
      </c>
      <c r="D8" s="55" t="str">
        <f ca="1">SUBSTITUTE(LEFT(CELL("filename",A1),FIND("[",CELL("filename",A1),1)-1),"\XLS\","\XML\")</f>
        <v>C:\Users\erik\Documents\repos\quantlib_nando\QuantLibXL\Data2\XML\</v>
      </c>
      <c r="E8" s="51"/>
    </row>
    <row r="9" spans="1:5" s="1" customFormat="1" ht="12.75" x14ac:dyDescent="0.2">
      <c r="A9" s="50"/>
      <c r="B9" s="53"/>
      <c r="C9" s="22" t="s">
        <v>91</v>
      </c>
      <c r="D9" s="54" t="b">
        <v>1</v>
      </c>
      <c r="E9" s="51"/>
    </row>
    <row r="10" spans="1:5" s="1" customFormat="1" ht="13.5" thickBot="1" x14ac:dyDescent="0.25">
      <c r="A10" s="50"/>
      <c r="B10" s="5"/>
      <c r="C10" s="4"/>
      <c r="D10" s="4"/>
      <c r="E10" s="3"/>
    </row>
    <row r="11" spans="1:5" ht="12" thickBot="1" x14ac:dyDescent="0.25"/>
    <row r="12" spans="1:5" ht="15.75" x14ac:dyDescent="0.25">
      <c r="B12" s="266" t="s">
        <v>134</v>
      </c>
      <c r="C12" s="267"/>
      <c r="D12" s="267"/>
      <c r="E12" s="268"/>
    </row>
    <row r="13" spans="1:5" x14ac:dyDescent="0.2">
      <c r="B13" s="53"/>
      <c r="C13" s="56"/>
      <c r="D13" s="56"/>
      <c r="E13" s="6"/>
    </row>
    <row r="14" spans="1:5" x14ac:dyDescent="0.2">
      <c r="B14" s="53"/>
      <c r="C14" s="22" t="s">
        <v>97</v>
      </c>
      <c r="D14" s="52" t="s">
        <v>96</v>
      </c>
      <c r="E14" s="51"/>
    </row>
    <row r="15" spans="1:5" x14ac:dyDescent="0.2">
      <c r="B15" s="53"/>
      <c r="C15" s="22" t="s">
        <v>133</v>
      </c>
      <c r="D15" s="54" t="s">
        <v>132</v>
      </c>
      <c r="E15" s="51"/>
    </row>
    <row r="16" spans="1:5" x14ac:dyDescent="0.2">
      <c r="B16" s="53"/>
      <c r="C16" s="22" t="s">
        <v>131</v>
      </c>
      <c r="D16" s="103">
        <v>1E-4</v>
      </c>
      <c r="E16" s="51"/>
    </row>
    <row r="17" spans="2:5" x14ac:dyDescent="0.2">
      <c r="B17" s="53"/>
      <c r="C17" s="22" t="s">
        <v>130</v>
      </c>
      <c r="D17" s="102">
        <v>-0.01</v>
      </c>
      <c r="E17" s="51"/>
    </row>
    <row r="18" spans="2:5" ht="12" thickBot="1" x14ac:dyDescent="0.25">
      <c r="B18" s="5"/>
      <c r="C18" s="4"/>
      <c r="D18" s="4"/>
      <c r="E18" s="3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3"/>
  <sheetViews>
    <sheetView workbookViewId="0"/>
  </sheetViews>
  <sheetFormatPr defaultRowHeight="13.5" x14ac:dyDescent="0.25"/>
  <cols>
    <col min="1" max="1" width="3.7109375" style="166" customWidth="1"/>
    <col min="2" max="2" width="6.140625" style="166" bestFit="1" customWidth="1"/>
    <col min="3" max="3" width="6" style="166" bestFit="1" customWidth="1"/>
    <col min="4" max="4" width="4" style="166" bestFit="1" customWidth="1"/>
    <col min="5" max="5" width="21.42578125" style="166" bestFit="1" customWidth="1"/>
    <col min="6" max="6" width="26.5703125" style="167" bestFit="1" customWidth="1"/>
    <col min="7" max="7" width="38.28515625" style="166" customWidth="1"/>
    <col min="8" max="8" width="4.42578125" style="166" customWidth="1"/>
    <col min="9" max="16384" width="9.140625" style="166"/>
  </cols>
  <sheetData>
    <row r="1" spans="1:8" x14ac:dyDescent="0.25">
      <c r="A1" s="196"/>
      <c r="B1" s="195"/>
      <c r="C1" s="195"/>
      <c r="D1" s="195"/>
      <c r="E1" s="193"/>
      <c r="F1" s="194"/>
      <c r="G1" s="193"/>
      <c r="H1" s="192"/>
    </row>
    <row r="2" spans="1:8" x14ac:dyDescent="0.25">
      <c r="A2" s="177"/>
      <c r="B2" s="191"/>
      <c r="C2" s="190"/>
      <c r="D2" s="189"/>
      <c r="E2" s="188" t="str">
        <f>Currency&amp;"_010_"&amp;"OIS.xml"</f>
        <v>GBP_010_OIS.xml</v>
      </c>
      <c r="F2" s="187">
        <f ca="1">IF(Serialize,_xll.ohObjectSave(_xll.ohPack(F3:F72),SerializationPath&amp;E2,FileOverwrite,Serialize),"---")</f>
        <v>57</v>
      </c>
      <c r="G2" s="186" t="str">
        <f ca="1">_xll.ohRangeRetrieveError(F2)</f>
        <v/>
      </c>
      <c r="H2" s="172"/>
    </row>
    <row r="3" spans="1:8" x14ac:dyDescent="0.25">
      <c r="A3" s="177"/>
      <c r="B3" s="183"/>
      <c r="C3" s="184" t="s">
        <v>19</v>
      </c>
      <c r="D3" s="183" t="s">
        <v>181</v>
      </c>
      <c r="E3" s="174" t="str">
        <f t="shared" ref="E3:E35" si="0">Currency&amp;$B3&amp;$C3&amp;$D3&amp;QuoteSuffix</f>
        <v>GBPSWOIS_Quote</v>
      </c>
      <c r="F3" s="174" t="str">
        <f>_xll.qlSimpleQuote(E3,,RateTickValue,Permanent,Trigger,ObjectOverwrite)</f>
        <v>GBPSWOIS_Quote#0001</v>
      </c>
      <c r="G3" s="185" t="str">
        <f>_xll.ohRangeRetrieveError(F3)</f>
        <v/>
      </c>
      <c r="H3" s="172"/>
    </row>
    <row r="4" spans="1:8" x14ac:dyDescent="0.25">
      <c r="A4" s="177"/>
      <c r="B4" s="183"/>
      <c r="C4" s="184" t="s">
        <v>18</v>
      </c>
      <c r="D4" s="183" t="s">
        <v>181</v>
      </c>
      <c r="E4" s="174" t="str">
        <f t="shared" si="0"/>
        <v>GBP2WOIS_Quote</v>
      </c>
      <c r="F4" s="174" t="str">
        <f>_xll.qlSimpleQuote(E4,,RateTickValue,Permanent,Trigger,ObjectOverwrite)</f>
        <v>GBP2WOIS_Quote#0001</v>
      </c>
      <c r="G4" s="173" t="str">
        <f>_xll.ohRangeRetrieveError(F4)</f>
        <v/>
      </c>
      <c r="H4" s="172"/>
    </row>
    <row r="5" spans="1:8" x14ac:dyDescent="0.25">
      <c r="A5" s="177"/>
      <c r="B5" s="183"/>
      <c r="C5" s="184" t="s">
        <v>16</v>
      </c>
      <c r="D5" s="183" t="s">
        <v>181</v>
      </c>
      <c r="E5" s="174" t="str">
        <f t="shared" si="0"/>
        <v>GBP3WOIS_Quote</v>
      </c>
      <c r="F5" s="174" t="str">
        <f>_xll.qlSimpleQuote(E5,,RateTickValue,Permanent,Trigger,ObjectOverwrite)</f>
        <v>GBP3WOIS_Quote#0001</v>
      </c>
      <c r="G5" s="173" t="str">
        <f>_xll.ohRangeRetrieveError(F5)</f>
        <v/>
      </c>
      <c r="H5" s="172"/>
    </row>
    <row r="6" spans="1:8" x14ac:dyDescent="0.25">
      <c r="A6" s="177"/>
      <c r="B6" s="183"/>
      <c r="C6" s="184" t="s">
        <v>15</v>
      </c>
      <c r="D6" s="183" t="s">
        <v>181</v>
      </c>
      <c r="E6" s="174" t="str">
        <f t="shared" si="0"/>
        <v>GBP1MOIS_Quote</v>
      </c>
      <c r="F6" s="174" t="str">
        <f>_xll.qlSimpleQuote(E6,,RateTickValue,Permanent,Trigger,ObjectOverwrite)</f>
        <v>GBP1MOIS_Quote#0001</v>
      </c>
      <c r="G6" s="173" t="str">
        <f>_xll.ohRangeRetrieveError(F6)</f>
        <v/>
      </c>
      <c r="H6" s="172"/>
    </row>
    <row r="7" spans="1:8" x14ac:dyDescent="0.25">
      <c r="A7" s="177"/>
      <c r="B7" s="183"/>
      <c r="C7" s="184" t="s">
        <v>13</v>
      </c>
      <c r="D7" s="183" t="s">
        <v>181</v>
      </c>
      <c r="E7" s="174" t="str">
        <f t="shared" si="0"/>
        <v>GBP2MOIS_Quote</v>
      </c>
      <c r="F7" s="174" t="str">
        <f>_xll.qlSimpleQuote(E7,,RateTickValue,Permanent,Trigger,ObjectOverwrite)</f>
        <v>GBP2MOIS_Quote#0001</v>
      </c>
      <c r="G7" s="173" t="str">
        <f>_xll.ohRangeRetrieveError(F7)</f>
        <v/>
      </c>
      <c r="H7" s="172"/>
    </row>
    <row r="8" spans="1:8" x14ac:dyDescent="0.25">
      <c r="A8" s="177"/>
      <c r="B8" s="183"/>
      <c r="C8" s="184" t="s">
        <v>12</v>
      </c>
      <c r="D8" s="183" t="s">
        <v>181</v>
      </c>
      <c r="E8" s="174" t="str">
        <f t="shared" si="0"/>
        <v>GBP3MOIS_Quote</v>
      </c>
      <c r="F8" s="174" t="str">
        <f>_xll.qlSimpleQuote(E8,,RateTickValue,Permanent,Trigger,ObjectOverwrite)</f>
        <v>GBP3MOIS_Quote#0001</v>
      </c>
      <c r="G8" s="173" t="str">
        <f>_xll.ohRangeRetrieveError(F8)</f>
        <v/>
      </c>
      <c r="H8" s="172"/>
    </row>
    <row r="9" spans="1:8" x14ac:dyDescent="0.25">
      <c r="A9" s="177"/>
      <c r="B9" s="183"/>
      <c r="C9" s="184" t="s">
        <v>11</v>
      </c>
      <c r="D9" s="183" t="s">
        <v>181</v>
      </c>
      <c r="E9" s="174" t="str">
        <f t="shared" si="0"/>
        <v>GBP4MOIS_Quote</v>
      </c>
      <c r="F9" s="174" t="str">
        <f>_xll.qlSimpleQuote(E9,,RateTickValue,Permanent,Trigger,ObjectOverwrite)</f>
        <v>GBP4MOIS_Quote#0001</v>
      </c>
      <c r="G9" s="173" t="str">
        <f>_xll.ohRangeRetrieveError(F9)</f>
        <v/>
      </c>
      <c r="H9" s="172"/>
    </row>
    <row r="10" spans="1:8" x14ac:dyDescent="0.25">
      <c r="A10" s="177"/>
      <c r="B10" s="183"/>
      <c r="C10" s="184" t="s">
        <v>9</v>
      </c>
      <c r="D10" s="183" t="s">
        <v>181</v>
      </c>
      <c r="E10" s="174" t="str">
        <f t="shared" si="0"/>
        <v>GBP5MOIS_Quote</v>
      </c>
      <c r="F10" s="174" t="str">
        <f>_xll.qlSimpleQuote(E10,,RateTickValue,Permanent,Trigger,ObjectOverwrite)</f>
        <v>GBP5MOIS_Quote#0001</v>
      </c>
      <c r="G10" s="173" t="str">
        <f>_xll.ohRangeRetrieveError(F10)</f>
        <v/>
      </c>
      <c r="H10" s="172"/>
    </row>
    <row r="11" spans="1:8" x14ac:dyDescent="0.25">
      <c r="A11" s="177"/>
      <c r="B11" s="183"/>
      <c r="C11" s="184" t="s">
        <v>8</v>
      </c>
      <c r="D11" s="183" t="s">
        <v>181</v>
      </c>
      <c r="E11" s="174" t="str">
        <f t="shared" si="0"/>
        <v>GBP6MOIS_Quote</v>
      </c>
      <c r="F11" s="174" t="str">
        <f>_xll.qlSimpleQuote(E11,,RateTickValue,Permanent,Trigger,ObjectOverwrite)</f>
        <v>GBP6MOIS_Quote#0001</v>
      </c>
      <c r="G11" s="173" t="str">
        <f>_xll.ohRangeRetrieveError(F11)</f>
        <v/>
      </c>
      <c r="H11" s="172"/>
    </row>
    <row r="12" spans="1:8" x14ac:dyDescent="0.25">
      <c r="A12" s="177"/>
      <c r="B12" s="183"/>
      <c r="C12" s="184" t="s">
        <v>7</v>
      </c>
      <c r="D12" s="183" t="s">
        <v>181</v>
      </c>
      <c r="E12" s="174" t="str">
        <f t="shared" si="0"/>
        <v>GBP7MOIS_Quote</v>
      </c>
      <c r="F12" s="174" t="str">
        <f>_xll.qlSimpleQuote(E12,,RateTickValue,Permanent,Trigger,ObjectOverwrite)</f>
        <v>GBP7MOIS_Quote#0001</v>
      </c>
      <c r="G12" s="173" t="str">
        <f>_xll.ohRangeRetrieveError(F12)</f>
        <v/>
      </c>
      <c r="H12" s="172"/>
    </row>
    <row r="13" spans="1:8" x14ac:dyDescent="0.25">
      <c r="A13" s="177"/>
      <c r="B13" s="183"/>
      <c r="C13" s="184" t="s">
        <v>6</v>
      </c>
      <c r="D13" s="183" t="s">
        <v>181</v>
      </c>
      <c r="E13" s="174" t="str">
        <f t="shared" si="0"/>
        <v>GBP8MOIS_Quote</v>
      </c>
      <c r="F13" s="174" t="str">
        <f>_xll.qlSimpleQuote(E13,,RateTickValue,Permanent,Trigger,ObjectOverwrite)</f>
        <v>GBP8MOIS_Quote#0001</v>
      </c>
      <c r="G13" s="173" t="str">
        <f>_xll.ohRangeRetrieveError(F13)</f>
        <v/>
      </c>
      <c r="H13" s="172"/>
    </row>
    <row r="14" spans="1:8" x14ac:dyDescent="0.25">
      <c r="A14" s="177"/>
      <c r="B14" s="183"/>
      <c r="C14" s="184" t="s">
        <v>4</v>
      </c>
      <c r="D14" s="183" t="s">
        <v>181</v>
      </c>
      <c r="E14" s="174" t="str">
        <f t="shared" si="0"/>
        <v>GBP9MOIS_Quote</v>
      </c>
      <c r="F14" s="174" t="str">
        <f>_xll.qlSimpleQuote(E14,,RateTickValue,Permanent,Trigger,ObjectOverwrite)</f>
        <v>GBP9MOIS_Quote#0001</v>
      </c>
      <c r="G14" s="173" t="str">
        <f>_xll.ohRangeRetrieveError(F14)</f>
        <v/>
      </c>
      <c r="H14" s="172"/>
    </row>
    <row r="15" spans="1:8" x14ac:dyDescent="0.25">
      <c r="A15" s="177"/>
      <c r="B15" s="183"/>
      <c r="C15" s="184" t="s">
        <v>3</v>
      </c>
      <c r="D15" s="183" t="s">
        <v>181</v>
      </c>
      <c r="E15" s="174" t="str">
        <f t="shared" si="0"/>
        <v>GBP10MOIS_Quote</v>
      </c>
      <c r="F15" s="174" t="str">
        <f>_xll.qlSimpleQuote(E15,,RateTickValue,Permanent,Trigger,ObjectOverwrite)</f>
        <v>GBP10MOIS_Quote#0001</v>
      </c>
      <c r="G15" s="173" t="str">
        <f>_xll.ohRangeRetrieveError(F15)</f>
        <v/>
      </c>
      <c r="H15" s="172"/>
    </row>
    <row r="16" spans="1:8" x14ac:dyDescent="0.25">
      <c r="A16" s="177"/>
      <c r="B16" s="183"/>
      <c r="C16" s="184" t="s">
        <v>2</v>
      </c>
      <c r="D16" s="183" t="s">
        <v>181</v>
      </c>
      <c r="E16" s="174" t="str">
        <f t="shared" si="0"/>
        <v>GBP11MOIS_Quote</v>
      </c>
      <c r="F16" s="174" t="str">
        <f>_xll.qlSimpleQuote(E16,,RateTickValue,Permanent,Trigger,ObjectOverwrite)</f>
        <v>GBP11MOIS_Quote#0001</v>
      </c>
      <c r="G16" s="173" t="str">
        <f>_xll.ohRangeRetrieveError(F16)</f>
        <v/>
      </c>
      <c r="H16" s="172"/>
    </row>
    <row r="17" spans="1:8" x14ac:dyDescent="0.25">
      <c r="A17" s="177"/>
      <c r="B17" s="183"/>
      <c r="C17" s="184" t="s">
        <v>1</v>
      </c>
      <c r="D17" s="183" t="s">
        <v>181</v>
      </c>
      <c r="E17" s="174" t="str">
        <f t="shared" si="0"/>
        <v>GBP1YOIS_Quote</v>
      </c>
      <c r="F17" s="174" t="str">
        <f>_xll.qlSimpleQuote(E17,,RateTickValue,Permanent,Trigger,ObjectOverwrite)</f>
        <v>GBP1YOIS_Quote#0001</v>
      </c>
      <c r="G17" s="173" t="str">
        <f>_xll.ohRangeRetrieveError(F17)</f>
        <v/>
      </c>
      <c r="H17" s="172"/>
    </row>
    <row r="18" spans="1:8" x14ac:dyDescent="0.25">
      <c r="A18" s="177"/>
      <c r="B18" s="183"/>
      <c r="C18" s="184" t="s">
        <v>125</v>
      </c>
      <c r="D18" s="183" t="s">
        <v>181</v>
      </c>
      <c r="E18" s="174" t="str">
        <f t="shared" si="0"/>
        <v>GBP15MOIS_Quote</v>
      </c>
      <c r="F18" s="174" t="str">
        <f>_xll.qlSimpleQuote(E18,,RateTickValue,Permanent,Trigger,ObjectOverwrite)</f>
        <v>GBP15MOIS_Quote#0001</v>
      </c>
      <c r="G18" s="173" t="str">
        <f>_xll.ohRangeRetrieveError(F18)</f>
        <v/>
      </c>
      <c r="H18" s="172"/>
    </row>
    <row r="19" spans="1:8" x14ac:dyDescent="0.25">
      <c r="A19" s="177"/>
      <c r="B19" s="183"/>
      <c r="C19" s="184" t="s">
        <v>124</v>
      </c>
      <c r="D19" s="183" t="s">
        <v>181</v>
      </c>
      <c r="E19" s="174" t="str">
        <f t="shared" si="0"/>
        <v>GBP18MOIS_Quote</v>
      </c>
      <c r="F19" s="174" t="str">
        <f>_xll.qlSimpleQuote(E19,,RateTickValue,Permanent,Trigger,ObjectOverwrite)</f>
        <v>GBP18MOIS_Quote#0001</v>
      </c>
      <c r="G19" s="173" t="str">
        <f>_xll.ohRangeRetrieveError(F19)</f>
        <v/>
      </c>
      <c r="H19" s="172"/>
    </row>
    <row r="20" spans="1:8" x14ac:dyDescent="0.25">
      <c r="A20" s="177"/>
      <c r="B20" s="183"/>
      <c r="C20" s="184" t="s">
        <v>123</v>
      </c>
      <c r="D20" s="183" t="s">
        <v>181</v>
      </c>
      <c r="E20" s="174" t="str">
        <f t="shared" si="0"/>
        <v>GBP21MOIS_Quote</v>
      </c>
      <c r="F20" s="174" t="str">
        <f>_xll.qlSimpleQuote(E20,,RateTickValue,Permanent,Trigger,ObjectOverwrite)</f>
        <v>GBP21MOIS_Quote#0001</v>
      </c>
      <c r="G20" s="173" t="str">
        <f>_xll.ohRangeRetrieveError(F20)</f>
        <v/>
      </c>
      <c r="H20" s="172"/>
    </row>
    <row r="21" spans="1:8" x14ac:dyDescent="0.25">
      <c r="A21" s="177"/>
      <c r="B21" s="183"/>
      <c r="C21" s="184" t="s">
        <v>85</v>
      </c>
      <c r="D21" s="183" t="s">
        <v>181</v>
      </c>
      <c r="E21" s="174" t="str">
        <f t="shared" si="0"/>
        <v>GBP2YOIS_Quote</v>
      </c>
      <c r="F21" s="174" t="str">
        <f>_xll.qlSimpleQuote(E21,,RateTickValue,Permanent,Trigger,ObjectOverwrite)</f>
        <v>GBP2YOIS_Quote#0001</v>
      </c>
      <c r="G21" s="173" t="str">
        <f>_xll.ohRangeRetrieveError(F21)</f>
        <v/>
      </c>
      <c r="H21" s="172"/>
    </row>
    <row r="22" spans="1:8" x14ac:dyDescent="0.25">
      <c r="A22" s="177"/>
      <c r="B22" s="183"/>
      <c r="C22" s="184" t="s">
        <v>84</v>
      </c>
      <c r="D22" s="183" t="s">
        <v>181</v>
      </c>
      <c r="E22" s="174" t="str">
        <f t="shared" si="0"/>
        <v>GBP3YOIS_Quote</v>
      </c>
      <c r="F22" s="174" t="str">
        <f>_xll.qlSimpleQuote(E22,,RateTickValue,Permanent,Trigger,ObjectOverwrite)</f>
        <v>GBP3YOIS_Quote#0001</v>
      </c>
      <c r="G22" s="173" t="str">
        <f>_xll.ohRangeRetrieveError(F22)</f>
        <v/>
      </c>
      <c r="H22" s="172"/>
    </row>
    <row r="23" spans="1:8" x14ac:dyDescent="0.25">
      <c r="A23" s="177"/>
      <c r="B23" s="183"/>
      <c r="C23" s="184" t="s">
        <v>83</v>
      </c>
      <c r="D23" s="183" t="s">
        <v>181</v>
      </c>
      <c r="E23" s="174" t="str">
        <f t="shared" si="0"/>
        <v>GBP4YOIS_Quote</v>
      </c>
      <c r="F23" s="174" t="str">
        <f>_xll.qlSimpleQuote(E23,,RateTickValue,Permanent,Trigger,ObjectOverwrite)</f>
        <v>GBP4YOIS_Quote#0001</v>
      </c>
      <c r="G23" s="173" t="str">
        <f>_xll.ohRangeRetrieveError(F23)</f>
        <v/>
      </c>
      <c r="H23" s="172"/>
    </row>
    <row r="24" spans="1:8" x14ac:dyDescent="0.25">
      <c r="A24" s="177"/>
      <c r="B24" s="183"/>
      <c r="C24" s="184" t="s">
        <v>82</v>
      </c>
      <c r="D24" s="183" t="s">
        <v>181</v>
      </c>
      <c r="E24" s="174" t="str">
        <f t="shared" si="0"/>
        <v>GBP5YOIS_Quote</v>
      </c>
      <c r="F24" s="174" t="str">
        <f>_xll.qlSimpleQuote(E24,,RateTickValue,Permanent,Trigger,ObjectOverwrite)</f>
        <v>GBP5YOIS_Quote#0001</v>
      </c>
      <c r="G24" s="173" t="str">
        <f>_xll.ohRangeRetrieveError(F24)</f>
        <v/>
      </c>
      <c r="H24" s="172"/>
    </row>
    <row r="25" spans="1:8" x14ac:dyDescent="0.25">
      <c r="A25" s="177"/>
      <c r="B25" s="183"/>
      <c r="C25" s="184" t="s">
        <v>81</v>
      </c>
      <c r="D25" s="183" t="s">
        <v>181</v>
      </c>
      <c r="E25" s="174" t="str">
        <f t="shared" si="0"/>
        <v>GBP6YOIS_Quote</v>
      </c>
      <c r="F25" s="174" t="str">
        <f>_xll.qlSimpleQuote(E25,,RateTickValue,Permanent,Trigger,ObjectOverwrite)</f>
        <v>GBP6YOIS_Quote#0001</v>
      </c>
      <c r="G25" s="173" t="str">
        <f>_xll.ohRangeRetrieveError(F25)</f>
        <v/>
      </c>
      <c r="H25" s="172"/>
    </row>
    <row r="26" spans="1:8" x14ac:dyDescent="0.25">
      <c r="A26" s="177"/>
      <c r="B26" s="183"/>
      <c r="C26" s="184" t="s">
        <v>80</v>
      </c>
      <c r="D26" s="183" t="s">
        <v>181</v>
      </c>
      <c r="E26" s="174" t="str">
        <f t="shared" si="0"/>
        <v>GBP7YOIS_Quote</v>
      </c>
      <c r="F26" s="174" t="str">
        <f>_xll.qlSimpleQuote(E26,,RateTickValue,Permanent,Trigger,ObjectOverwrite)</f>
        <v>GBP7YOIS_Quote#0001</v>
      </c>
      <c r="G26" s="173" t="str">
        <f>_xll.ohRangeRetrieveError(F26)</f>
        <v/>
      </c>
      <c r="H26" s="172"/>
    </row>
    <row r="27" spans="1:8" x14ac:dyDescent="0.25">
      <c r="A27" s="177"/>
      <c r="B27" s="183"/>
      <c r="C27" s="184" t="s">
        <v>79</v>
      </c>
      <c r="D27" s="183" t="s">
        <v>181</v>
      </c>
      <c r="E27" s="174" t="str">
        <f t="shared" si="0"/>
        <v>GBP8YOIS_Quote</v>
      </c>
      <c r="F27" s="174" t="str">
        <f>_xll.qlSimpleQuote(E27,,RateTickValue,Permanent,Trigger,ObjectOverwrite)</f>
        <v>GBP8YOIS_Quote#0001</v>
      </c>
      <c r="G27" s="173" t="str">
        <f>_xll.ohRangeRetrieveError(F27)</f>
        <v/>
      </c>
      <c r="H27" s="172"/>
    </row>
    <row r="28" spans="1:8" x14ac:dyDescent="0.25">
      <c r="A28" s="177"/>
      <c r="B28" s="183"/>
      <c r="C28" s="184" t="s">
        <v>78</v>
      </c>
      <c r="D28" s="183" t="s">
        <v>181</v>
      </c>
      <c r="E28" s="174" t="str">
        <f t="shared" si="0"/>
        <v>GBP9YOIS_Quote</v>
      </c>
      <c r="F28" s="174" t="str">
        <f>_xll.qlSimpleQuote(E28,,RateTickValue,Permanent,Trigger,ObjectOverwrite)</f>
        <v>GBP9YOIS_Quote#0001</v>
      </c>
      <c r="G28" s="173" t="str">
        <f>_xll.ohRangeRetrieveError(F28)</f>
        <v/>
      </c>
      <c r="H28" s="172"/>
    </row>
    <row r="29" spans="1:8" x14ac:dyDescent="0.25">
      <c r="A29" s="177"/>
      <c r="B29" s="183"/>
      <c r="C29" s="184" t="s">
        <v>77</v>
      </c>
      <c r="D29" s="183" t="s">
        <v>181</v>
      </c>
      <c r="E29" s="174" t="str">
        <f t="shared" si="0"/>
        <v>GBP10YOIS_Quote</v>
      </c>
      <c r="F29" s="174" t="str">
        <f>_xll.qlSimpleQuote(E29,,RateTickValue,Permanent,Trigger,ObjectOverwrite)</f>
        <v>GBP10YOIS_Quote#0001</v>
      </c>
      <c r="G29" s="173" t="str">
        <f>_xll.ohRangeRetrieveError(F29)</f>
        <v/>
      </c>
      <c r="H29" s="172"/>
    </row>
    <row r="30" spans="1:8" x14ac:dyDescent="0.25">
      <c r="A30" s="177"/>
      <c r="B30" s="183"/>
      <c r="C30" s="184" t="s">
        <v>76</v>
      </c>
      <c r="D30" s="183" t="s">
        <v>181</v>
      </c>
      <c r="E30" s="174" t="str">
        <f t="shared" si="0"/>
        <v>GBP11YOIS_Quote</v>
      </c>
      <c r="F30" s="174" t="str">
        <f>_xll.qlSimpleQuote(E30,,RateTickValue,Permanent,Trigger,ObjectOverwrite)</f>
        <v>GBP11YOIS_Quote#0001</v>
      </c>
      <c r="G30" s="173" t="str">
        <f>_xll.ohRangeRetrieveError(F30)</f>
        <v/>
      </c>
      <c r="H30" s="172"/>
    </row>
    <row r="31" spans="1:8" x14ac:dyDescent="0.25">
      <c r="A31" s="177"/>
      <c r="B31" s="183"/>
      <c r="C31" s="184" t="s">
        <v>75</v>
      </c>
      <c r="D31" s="183" t="s">
        <v>181</v>
      </c>
      <c r="E31" s="174" t="str">
        <f t="shared" si="0"/>
        <v>GBP12YOIS_Quote</v>
      </c>
      <c r="F31" s="174" t="str">
        <f>_xll.qlSimpleQuote(E31,,RateTickValue,Permanent,Trigger,ObjectOverwrite)</f>
        <v>GBP12YOIS_Quote#0001</v>
      </c>
      <c r="G31" s="173" t="str">
        <f>_xll.ohRangeRetrieveError(F31)</f>
        <v/>
      </c>
      <c r="H31" s="172"/>
    </row>
    <row r="32" spans="1:8" x14ac:dyDescent="0.25">
      <c r="A32" s="177"/>
      <c r="B32" s="183"/>
      <c r="C32" s="184" t="s">
        <v>72</v>
      </c>
      <c r="D32" s="183" t="s">
        <v>181</v>
      </c>
      <c r="E32" s="174" t="str">
        <f t="shared" si="0"/>
        <v>GBP15YOIS_Quote</v>
      </c>
      <c r="F32" s="174" t="str">
        <f>_xll.qlSimpleQuote(E32,,RateTickValue,Permanent,Trigger,ObjectOverwrite)</f>
        <v>GBP15YOIS_Quote#0001</v>
      </c>
      <c r="G32" s="173" t="str">
        <f>_xll.ohRangeRetrieveError(F32)</f>
        <v/>
      </c>
      <c r="H32" s="172"/>
    </row>
    <row r="33" spans="1:8" x14ac:dyDescent="0.25">
      <c r="A33" s="177"/>
      <c r="B33" s="183"/>
      <c r="C33" s="184" t="s">
        <v>67</v>
      </c>
      <c r="D33" s="183" t="s">
        <v>181</v>
      </c>
      <c r="E33" s="174" t="str">
        <f t="shared" si="0"/>
        <v>GBP20YOIS_Quote</v>
      </c>
      <c r="F33" s="174" t="str">
        <f>_xll.qlSimpleQuote(E33,,RateTickValue,Permanent,Trigger,ObjectOverwrite)</f>
        <v>GBP20YOIS_Quote#0001</v>
      </c>
      <c r="G33" s="173" t="str">
        <f>_xll.ohRangeRetrieveError(F33)</f>
        <v/>
      </c>
      <c r="H33" s="172"/>
    </row>
    <row r="34" spans="1:8" x14ac:dyDescent="0.25">
      <c r="A34" s="177"/>
      <c r="B34" s="183"/>
      <c r="C34" s="184" t="s">
        <v>62</v>
      </c>
      <c r="D34" s="183" t="s">
        <v>181</v>
      </c>
      <c r="E34" s="174" t="str">
        <f t="shared" si="0"/>
        <v>GBP25YOIS_Quote</v>
      </c>
      <c r="F34" s="174" t="str">
        <f>_xll.qlSimpleQuote(E34,,RateTickValue,Permanent,Trigger,ObjectOverwrite)</f>
        <v>GBP25YOIS_Quote#0001</v>
      </c>
      <c r="G34" s="173" t="str">
        <f>_xll.ohRangeRetrieveError(F34)</f>
        <v/>
      </c>
      <c r="H34" s="172"/>
    </row>
    <row r="35" spans="1:8" x14ac:dyDescent="0.25">
      <c r="A35" s="177"/>
      <c r="B35" s="183"/>
      <c r="C35" s="184" t="s">
        <v>57</v>
      </c>
      <c r="D35" s="183" t="s">
        <v>181</v>
      </c>
      <c r="E35" s="174" t="str">
        <f t="shared" si="0"/>
        <v>GBP30YOIS_Quote</v>
      </c>
      <c r="F35" s="174" t="str">
        <f>_xll.qlSimpleQuote(E35,,RateTickValue,Permanent,Trigger,ObjectOverwrite)</f>
        <v>GBP30YOIS_Quote#0001</v>
      </c>
      <c r="G35" s="173" t="str">
        <f>_xll.ohRangeRetrieveError(F35)</f>
        <v/>
      </c>
      <c r="H35" s="172"/>
    </row>
    <row r="36" spans="1:8" x14ac:dyDescent="0.25">
      <c r="A36" s="177"/>
      <c r="B36" s="181"/>
      <c r="C36" s="182"/>
      <c r="D36" s="181"/>
      <c r="E36" s="180"/>
      <c r="F36" s="180"/>
      <c r="G36" s="179"/>
      <c r="H36" s="172"/>
    </row>
    <row r="37" spans="1:8" x14ac:dyDescent="0.25">
      <c r="A37" s="177"/>
      <c r="B37" s="175" t="s">
        <v>182</v>
      </c>
      <c r="C37" s="176" t="s">
        <v>206</v>
      </c>
      <c r="D37" s="175" t="s">
        <v>181</v>
      </c>
      <c r="E37" s="178" t="str">
        <f t="shared" ref="E37:E72" si="1">Currency&amp;$B37&amp;$C37&amp;$D37&amp;QuoteSuffix</f>
        <v>GBPMPCJAN11OIS_Quote</v>
      </c>
      <c r="F37" s="178" t="str">
        <f>_xll.qlSimpleQuote(E37,,RateTickValue,Permanent,Trigger,ObjectOverwrite)</f>
        <v>GBPMPCJAN11OIS_Quote#0001</v>
      </c>
      <c r="G37" s="173" t="s">
        <v>180</v>
      </c>
      <c r="H37" s="172"/>
    </row>
    <row r="38" spans="1:8" x14ac:dyDescent="0.25">
      <c r="A38" s="177"/>
      <c r="B38" s="175" t="s">
        <v>182</v>
      </c>
      <c r="C38" s="176" t="s">
        <v>205</v>
      </c>
      <c r="D38" s="175" t="s">
        <v>181</v>
      </c>
      <c r="E38" s="174" t="str">
        <f t="shared" si="1"/>
        <v>GBPMPCFEB11OIS_Quote</v>
      </c>
      <c r="F38" s="174" t="str">
        <f>_xll.qlSimpleQuote(E38,,RateTickValue,Permanent,Trigger,ObjectOverwrite)</f>
        <v>GBPMPCFEB11OIS_Quote#0001</v>
      </c>
      <c r="G38" s="173" t="s">
        <v>180</v>
      </c>
      <c r="H38" s="172"/>
    </row>
    <row r="39" spans="1:8" x14ac:dyDescent="0.25">
      <c r="A39" s="177"/>
      <c r="B39" s="175" t="s">
        <v>182</v>
      </c>
      <c r="C39" s="176" t="s">
        <v>204</v>
      </c>
      <c r="D39" s="175" t="s">
        <v>181</v>
      </c>
      <c r="E39" s="174" t="str">
        <f t="shared" si="1"/>
        <v>GBPMPCMAR11OIS_Quote</v>
      </c>
      <c r="F39" s="174" t="str">
        <f>_xll.qlSimpleQuote(E39,,RateTickValue,Permanent,Trigger,ObjectOverwrite)</f>
        <v>GBPMPCMAR11OIS_Quote#0001</v>
      </c>
      <c r="G39" s="173" t="s">
        <v>180</v>
      </c>
      <c r="H39" s="172"/>
    </row>
    <row r="40" spans="1:8" x14ac:dyDescent="0.25">
      <c r="A40" s="177"/>
      <c r="B40" s="175" t="s">
        <v>182</v>
      </c>
      <c r="C40" s="176" t="s">
        <v>203</v>
      </c>
      <c r="D40" s="175" t="s">
        <v>181</v>
      </c>
      <c r="E40" s="174" t="str">
        <f t="shared" si="1"/>
        <v>GBPMPCAPR11OIS_Quote</v>
      </c>
      <c r="F40" s="174" t="str">
        <f>_xll.qlSimpleQuote(E40,,RateTickValue,Permanent,Trigger,ObjectOverwrite)</f>
        <v>GBPMPCAPR11OIS_Quote#0001</v>
      </c>
      <c r="G40" s="173" t="s">
        <v>180</v>
      </c>
      <c r="H40" s="172"/>
    </row>
    <row r="41" spans="1:8" x14ac:dyDescent="0.25">
      <c r="A41" s="177"/>
      <c r="B41" s="175" t="s">
        <v>182</v>
      </c>
      <c r="C41" s="176" t="s">
        <v>202</v>
      </c>
      <c r="D41" s="175" t="s">
        <v>181</v>
      </c>
      <c r="E41" s="174" t="str">
        <f t="shared" si="1"/>
        <v>GBPMPCMAY11OIS_Quote</v>
      </c>
      <c r="F41" s="174" t="str">
        <f>_xll.qlSimpleQuote(E41,,RateTickValue,Permanent,Trigger,ObjectOverwrite)</f>
        <v>GBPMPCMAY11OIS_Quote#0001</v>
      </c>
      <c r="G41" s="173" t="s">
        <v>180</v>
      </c>
      <c r="H41" s="172"/>
    </row>
    <row r="42" spans="1:8" x14ac:dyDescent="0.25">
      <c r="A42" s="177"/>
      <c r="B42" s="175" t="s">
        <v>182</v>
      </c>
      <c r="C42" s="176" t="s">
        <v>201</v>
      </c>
      <c r="D42" s="175" t="s">
        <v>181</v>
      </c>
      <c r="E42" s="174" t="str">
        <f t="shared" si="1"/>
        <v>GBPMPCJUN11OIS_Quote</v>
      </c>
      <c r="F42" s="174" t="str">
        <f>_xll.qlSimpleQuote(E42,,RateTickValue,Permanent,Trigger,ObjectOverwrite)</f>
        <v>GBPMPCJUN11OIS_Quote#0001</v>
      </c>
      <c r="G42" s="173" t="s">
        <v>180</v>
      </c>
      <c r="H42" s="172"/>
    </row>
    <row r="43" spans="1:8" x14ac:dyDescent="0.25">
      <c r="A43" s="177"/>
      <c r="B43" s="175" t="s">
        <v>182</v>
      </c>
      <c r="C43" s="176" t="s">
        <v>200</v>
      </c>
      <c r="D43" s="175" t="s">
        <v>181</v>
      </c>
      <c r="E43" s="174" t="str">
        <f t="shared" si="1"/>
        <v>GBPMPCJUL11OIS_Quote</v>
      </c>
      <c r="F43" s="174" t="str">
        <f>_xll.qlSimpleQuote(E43,,RateTickValue,Permanent,Trigger,ObjectOverwrite)</f>
        <v>GBPMPCJUL11OIS_Quote#0001</v>
      </c>
      <c r="G43" s="173" t="s">
        <v>180</v>
      </c>
      <c r="H43" s="172"/>
    </row>
    <row r="44" spans="1:8" x14ac:dyDescent="0.25">
      <c r="A44" s="177"/>
      <c r="B44" s="175" t="s">
        <v>182</v>
      </c>
      <c r="C44" s="176" t="s">
        <v>199</v>
      </c>
      <c r="D44" s="175" t="s">
        <v>181</v>
      </c>
      <c r="E44" s="174" t="str">
        <f t="shared" si="1"/>
        <v>GBPMPCAUG11OIS_Quote</v>
      </c>
      <c r="F44" s="174" t="str">
        <f>_xll.qlSimpleQuote(E44,,RateTickValue,Permanent,Trigger,ObjectOverwrite)</f>
        <v>GBPMPCAUG11OIS_Quote#0001</v>
      </c>
      <c r="G44" s="173" t="s">
        <v>180</v>
      </c>
      <c r="H44" s="172"/>
    </row>
    <row r="45" spans="1:8" x14ac:dyDescent="0.25">
      <c r="A45" s="177"/>
      <c r="B45" s="175" t="s">
        <v>182</v>
      </c>
      <c r="C45" s="176" t="s">
        <v>198</v>
      </c>
      <c r="D45" s="175" t="s">
        <v>181</v>
      </c>
      <c r="E45" s="174" t="str">
        <f t="shared" si="1"/>
        <v>GBPMPCSEP11OIS_Quote</v>
      </c>
      <c r="F45" s="174" t="str">
        <f>_xll.qlSimpleQuote(E45,,RateTickValue,Permanent,Trigger,ObjectOverwrite)</f>
        <v>GBPMPCSEP11OIS_Quote#0001</v>
      </c>
      <c r="G45" s="173" t="s">
        <v>180</v>
      </c>
      <c r="H45" s="172"/>
    </row>
    <row r="46" spans="1:8" x14ac:dyDescent="0.25">
      <c r="A46" s="177"/>
      <c r="B46" s="175" t="s">
        <v>182</v>
      </c>
      <c r="C46" s="176" t="s">
        <v>197</v>
      </c>
      <c r="D46" s="175" t="s">
        <v>181</v>
      </c>
      <c r="E46" s="174" t="str">
        <f t="shared" si="1"/>
        <v>GBPMPCOCT11OIS_Quote</v>
      </c>
      <c r="F46" s="174" t="str">
        <f>_xll.qlSimpleQuote(E46,,RateTickValue,Permanent,Trigger,ObjectOverwrite)</f>
        <v>GBPMPCOCT11OIS_Quote#0001</v>
      </c>
      <c r="G46" s="173" t="s">
        <v>180</v>
      </c>
      <c r="H46" s="172"/>
    </row>
    <row r="47" spans="1:8" x14ac:dyDescent="0.25">
      <c r="A47" s="177"/>
      <c r="B47" s="175" t="s">
        <v>182</v>
      </c>
      <c r="C47" s="176" t="s">
        <v>196</v>
      </c>
      <c r="D47" s="175" t="s">
        <v>181</v>
      </c>
      <c r="E47" s="174" t="str">
        <f t="shared" si="1"/>
        <v>GBPMPCNOV11OIS_Quote</v>
      </c>
      <c r="F47" s="174" t="str">
        <f>_xll.qlSimpleQuote(E47,,RateTickValue,Permanent,Trigger,ObjectOverwrite)</f>
        <v>GBPMPCNOV11OIS_Quote#0001</v>
      </c>
      <c r="G47" s="173" t="s">
        <v>180</v>
      </c>
      <c r="H47" s="172"/>
    </row>
    <row r="48" spans="1:8" x14ac:dyDescent="0.25">
      <c r="A48" s="177"/>
      <c r="B48" s="175" t="s">
        <v>182</v>
      </c>
      <c r="C48" s="176" t="s">
        <v>195</v>
      </c>
      <c r="D48" s="175" t="s">
        <v>181</v>
      </c>
      <c r="E48" s="174" t="str">
        <f t="shared" si="1"/>
        <v>GBPMPCDEC11OIS_Quote</v>
      </c>
      <c r="F48" s="174" t="str">
        <f>_xll.qlSimpleQuote(E48,,RateTickValue,Permanent,Trigger,ObjectOverwrite)</f>
        <v>GBPMPCDEC11OIS_Quote#0001</v>
      </c>
      <c r="G48" s="173" t="s">
        <v>180</v>
      </c>
      <c r="H48" s="172"/>
    </row>
    <row r="49" spans="1:8" x14ac:dyDescent="0.25">
      <c r="A49" s="177"/>
      <c r="B49" s="175" t="s">
        <v>182</v>
      </c>
      <c r="C49" s="176" t="s">
        <v>194</v>
      </c>
      <c r="D49" s="175" t="s">
        <v>181</v>
      </c>
      <c r="E49" s="174" t="str">
        <f t="shared" si="1"/>
        <v>GBPMPCJAN12OIS_Quote</v>
      </c>
      <c r="F49" s="174" t="str">
        <f>_xll.qlSimpleQuote(E49,,RateTickValue,Permanent,Trigger,ObjectOverwrite)</f>
        <v>GBPMPCJAN12OIS_Quote#0001</v>
      </c>
      <c r="G49" s="173" t="s">
        <v>180</v>
      </c>
      <c r="H49" s="172"/>
    </row>
    <row r="50" spans="1:8" x14ac:dyDescent="0.25">
      <c r="A50" s="177"/>
      <c r="B50" s="175" t="s">
        <v>182</v>
      </c>
      <c r="C50" s="176" t="s">
        <v>193</v>
      </c>
      <c r="D50" s="175" t="s">
        <v>181</v>
      </c>
      <c r="E50" s="174" t="str">
        <f t="shared" si="1"/>
        <v>GBPMPCFEB12OIS_Quote</v>
      </c>
      <c r="F50" s="174" t="str">
        <f>_xll.qlSimpleQuote(E50,,RateTickValue,Permanent,Trigger,ObjectOverwrite)</f>
        <v>GBPMPCFEB12OIS_Quote#0001</v>
      </c>
      <c r="G50" s="173" t="s">
        <v>180</v>
      </c>
      <c r="H50" s="172"/>
    </row>
    <row r="51" spans="1:8" x14ac:dyDescent="0.25">
      <c r="A51" s="177"/>
      <c r="B51" s="175" t="s">
        <v>182</v>
      </c>
      <c r="C51" s="176" t="s">
        <v>192</v>
      </c>
      <c r="D51" s="175" t="s">
        <v>181</v>
      </c>
      <c r="E51" s="174" t="str">
        <f t="shared" si="1"/>
        <v>GBPMPCMAR12OIS_Quote</v>
      </c>
      <c r="F51" s="174" t="str">
        <f>_xll.qlSimpleQuote(E51,,RateTickValue,Permanent,Trigger,ObjectOverwrite)</f>
        <v>GBPMPCMAR12OIS_Quote#0001</v>
      </c>
      <c r="G51" s="173" t="s">
        <v>180</v>
      </c>
      <c r="H51" s="172"/>
    </row>
    <row r="52" spans="1:8" x14ac:dyDescent="0.25">
      <c r="A52" s="177"/>
      <c r="B52" s="175" t="s">
        <v>182</v>
      </c>
      <c r="C52" s="176" t="s">
        <v>191</v>
      </c>
      <c r="D52" s="175" t="s">
        <v>181</v>
      </c>
      <c r="E52" s="174" t="str">
        <f t="shared" si="1"/>
        <v>GBPMPCAPR12OIS_Quote</v>
      </c>
      <c r="F52" s="174" t="str">
        <f>_xll.qlSimpleQuote(E52,,RateTickValue,Permanent,Trigger,ObjectOverwrite)</f>
        <v>GBPMPCAPR12OIS_Quote#0001</v>
      </c>
      <c r="G52" s="173" t="s">
        <v>180</v>
      </c>
      <c r="H52" s="172"/>
    </row>
    <row r="53" spans="1:8" x14ac:dyDescent="0.25">
      <c r="A53" s="177"/>
      <c r="B53" s="175" t="s">
        <v>182</v>
      </c>
      <c r="C53" s="176" t="s">
        <v>190</v>
      </c>
      <c r="D53" s="175" t="s">
        <v>181</v>
      </c>
      <c r="E53" s="174" t="str">
        <f t="shared" si="1"/>
        <v>GBPMPCMAY12OIS_Quote</v>
      </c>
      <c r="F53" s="174" t="str">
        <f>_xll.qlSimpleQuote(E53,,RateTickValue,Permanent,Trigger,ObjectOverwrite)</f>
        <v>GBPMPCMAY12OIS_Quote#0001</v>
      </c>
      <c r="G53" s="173" t="s">
        <v>180</v>
      </c>
      <c r="H53" s="172"/>
    </row>
    <row r="54" spans="1:8" x14ac:dyDescent="0.25">
      <c r="A54" s="177"/>
      <c r="B54" s="175" t="s">
        <v>182</v>
      </c>
      <c r="C54" s="176" t="s">
        <v>189</v>
      </c>
      <c r="D54" s="175" t="s">
        <v>181</v>
      </c>
      <c r="E54" s="174" t="str">
        <f t="shared" si="1"/>
        <v>GBPMPCJUN12OIS_Quote</v>
      </c>
      <c r="F54" s="174" t="str">
        <f>_xll.qlSimpleQuote(E54,,RateTickValue,Permanent,Trigger,ObjectOverwrite)</f>
        <v>GBPMPCJUN12OIS_Quote#0001</v>
      </c>
      <c r="G54" s="173" t="s">
        <v>180</v>
      </c>
      <c r="H54" s="172"/>
    </row>
    <row r="55" spans="1:8" x14ac:dyDescent="0.25">
      <c r="A55" s="177"/>
      <c r="B55" s="175" t="s">
        <v>182</v>
      </c>
      <c r="C55" s="176" t="s">
        <v>188</v>
      </c>
      <c r="D55" s="175" t="s">
        <v>181</v>
      </c>
      <c r="E55" s="174" t="str">
        <f t="shared" si="1"/>
        <v>GBPMPCJUL12OIS_Quote</v>
      </c>
      <c r="F55" s="174" t="str">
        <f>_xll.qlSimpleQuote(E55,,RateTickValue,Permanent,Trigger,ObjectOverwrite)</f>
        <v>GBPMPCJUL12OIS_Quote#0001</v>
      </c>
      <c r="G55" s="173" t="s">
        <v>180</v>
      </c>
      <c r="H55" s="172"/>
    </row>
    <row r="56" spans="1:8" x14ac:dyDescent="0.25">
      <c r="A56" s="177"/>
      <c r="B56" s="175" t="s">
        <v>182</v>
      </c>
      <c r="C56" s="176" t="s">
        <v>187</v>
      </c>
      <c r="D56" s="175" t="s">
        <v>181</v>
      </c>
      <c r="E56" s="174" t="str">
        <f t="shared" si="1"/>
        <v>GBPMPCAUG12OIS_Quote</v>
      </c>
      <c r="F56" s="174" t="str">
        <f>_xll.qlSimpleQuote(E56,,RateTickValue,Permanent,Trigger,ObjectOverwrite)</f>
        <v>GBPMPCAUG12OIS_Quote#0001</v>
      </c>
      <c r="G56" s="173" t="s">
        <v>180</v>
      </c>
      <c r="H56" s="172"/>
    </row>
    <row r="57" spans="1:8" x14ac:dyDescent="0.25">
      <c r="A57" s="177"/>
      <c r="B57" s="175" t="s">
        <v>182</v>
      </c>
      <c r="C57" s="176" t="s">
        <v>186</v>
      </c>
      <c r="D57" s="175" t="s">
        <v>181</v>
      </c>
      <c r="E57" s="174" t="str">
        <f t="shared" si="1"/>
        <v>GBPMPCSEP12OIS_Quote</v>
      </c>
      <c r="F57" s="174" t="str">
        <f>_xll.qlSimpleQuote(E57,,RateTickValue,Permanent,Trigger,ObjectOverwrite)</f>
        <v>GBPMPCSEP12OIS_Quote#0001</v>
      </c>
      <c r="G57" s="173" t="s">
        <v>180</v>
      </c>
      <c r="H57" s="172"/>
    </row>
    <row r="58" spans="1:8" x14ac:dyDescent="0.25">
      <c r="A58" s="177"/>
      <c r="B58" s="175" t="s">
        <v>182</v>
      </c>
      <c r="C58" s="176" t="s">
        <v>185</v>
      </c>
      <c r="D58" s="175" t="s">
        <v>181</v>
      </c>
      <c r="E58" s="174" t="str">
        <f t="shared" si="1"/>
        <v>GBPMPCOCT12OIS_Quote</v>
      </c>
      <c r="F58" s="174" t="str">
        <f>_xll.qlSimpleQuote(E58,,RateTickValue,Permanent,Trigger,ObjectOverwrite)</f>
        <v>GBPMPCOCT12OIS_Quote#0001</v>
      </c>
      <c r="G58" s="173" t="s">
        <v>180</v>
      </c>
      <c r="H58" s="172"/>
    </row>
    <row r="59" spans="1:8" x14ac:dyDescent="0.25">
      <c r="A59" s="177"/>
      <c r="B59" s="175" t="s">
        <v>182</v>
      </c>
      <c r="C59" s="176" t="s">
        <v>184</v>
      </c>
      <c r="D59" s="175" t="s">
        <v>181</v>
      </c>
      <c r="E59" s="174" t="str">
        <f t="shared" si="1"/>
        <v>GBPMPCNOV12OIS_Quote</v>
      </c>
      <c r="F59" s="174" t="str">
        <f>_xll.qlSimpleQuote(E59,,RateTickValue,Permanent,Trigger,ObjectOverwrite)</f>
        <v>GBPMPCNOV12OIS_Quote#0001</v>
      </c>
      <c r="G59" s="173" t="s">
        <v>180</v>
      </c>
      <c r="H59" s="172"/>
    </row>
    <row r="60" spans="1:8" x14ac:dyDescent="0.25">
      <c r="A60" s="177"/>
      <c r="B60" s="175" t="s">
        <v>182</v>
      </c>
      <c r="C60" s="176" t="s">
        <v>183</v>
      </c>
      <c r="D60" s="175" t="s">
        <v>181</v>
      </c>
      <c r="E60" s="174" t="str">
        <f t="shared" si="1"/>
        <v>GBPMPCDEC12OIS_Quote</v>
      </c>
      <c r="F60" s="174" t="str">
        <f>_xll.qlSimpleQuote(E60,,RateTickValue,Permanent,Trigger,ObjectOverwrite)</f>
        <v>GBPMPCDEC12OIS_Quote#0001</v>
      </c>
      <c r="G60" s="173" t="s">
        <v>180</v>
      </c>
      <c r="H60" s="172"/>
    </row>
    <row r="61" spans="1:8" x14ac:dyDescent="0.25">
      <c r="A61" s="177"/>
      <c r="B61" s="175" t="s">
        <v>182</v>
      </c>
      <c r="C61" s="176" t="e">
        <v>#NUM!</v>
      </c>
      <c r="D61" s="175" t="s">
        <v>181</v>
      </c>
      <c r="E61" s="174" t="e">
        <f t="shared" si="1"/>
        <v>#NUM!</v>
      </c>
      <c r="F61" s="174" t="e">
        <f>_xll.qlSimpleQuote(E61,,RateTickValue,Permanent,Trigger,ObjectOverwrite)</f>
        <v>#VALUE!</v>
      </c>
      <c r="G61" s="173" t="s">
        <v>180</v>
      </c>
      <c r="H61" s="172"/>
    </row>
    <row r="62" spans="1:8" x14ac:dyDescent="0.25">
      <c r="A62" s="177"/>
      <c r="B62" s="175" t="s">
        <v>182</v>
      </c>
      <c r="C62" s="176" t="e">
        <v>#NUM!</v>
      </c>
      <c r="D62" s="175" t="s">
        <v>181</v>
      </c>
      <c r="E62" s="174" t="e">
        <f t="shared" si="1"/>
        <v>#NUM!</v>
      </c>
      <c r="F62" s="174" t="e">
        <f>_xll.qlSimpleQuote(E62,,RateTickValue,Permanent,Trigger,ObjectOverwrite)</f>
        <v>#VALUE!</v>
      </c>
      <c r="G62" s="173" t="s">
        <v>180</v>
      </c>
      <c r="H62" s="172"/>
    </row>
    <row r="63" spans="1:8" x14ac:dyDescent="0.25">
      <c r="A63" s="177"/>
      <c r="B63" s="175" t="s">
        <v>182</v>
      </c>
      <c r="C63" s="176" t="e">
        <v>#NUM!</v>
      </c>
      <c r="D63" s="175" t="s">
        <v>181</v>
      </c>
      <c r="E63" s="174" t="e">
        <f t="shared" si="1"/>
        <v>#NUM!</v>
      </c>
      <c r="F63" s="174" t="e">
        <f>_xll.qlSimpleQuote(E63,,RateTickValue,Permanent,Trigger,ObjectOverwrite)</f>
        <v>#VALUE!</v>
      </c>
      <c r="G63" s="173" t="s">
        <v>180</v>
      </c>
      <c r="H63" s="172"/>
    </row>
    <row r="64" spans="1:8" x14ac:dyDescent="0.25">
      <c r="A64" s="177"/>
      <c r="B64" s="175" t="s">
        <v>182</v>
      </c>
      <c r="C64" s="176" t="e">
        <v>#NUM!</v>
      </c>
      <c r="D64" s="175" t="s">
        <v>181</v>
      </c>
      <c r="E64" s="174" t="e">
        <f t="shared" si="1"/>
        <v>#NUM!</v>
      </c>
      <c r="F64" s="174" t="e">
        <f>_xll.qlSimpleQuote(E64,,RateTickValue,Permanent,Trigger,ObjectOverwrite)</f>
        <v>#VALUE!</v>
      </c>
      <c r="G64" s="173" t="s">
        <v>180</v>
      </c>
      <c r="H64" s="172"/>
    </row>
    <row r="65" spans="1:8" x14ac:dyDescent="0.25">
      <c r="A65" s="177"/>
      <c r="B65" s="175" t="s">
        <v>182</v>
      </c>
      <c r="C65" s="176" t="e">
        <v>#NUM!</v>
      </c>
      <c r="D65" s="175" t="s">
        <v>181</v>
      </c>
      <c r="E65" s="174" t="e">
        <f t="shared" si="1"/>
        <v>#NUM!</v>
      </c>
      <c r="F65" s="174" t="e">
        <f>_xll.qlSimpleQuote(E65,,RateTickValue,Permanent,Trigger,ObjectOverwrite)</f>
        <v>#VALUE!</v>
      </c>
      <c r="G65" s="173" t="s">
        <v>180</v>
      </c>
      <c r="H65" s="172"/>
    </row>
    <row r="66" spans="1:8" x14ac:dyDescent="0.25">
      <c r="A66" s="177"/>
      <c r="B66" s="175" t="s">
        <v>182</v>
      </c>
      <c r="C66" s="176" t="e">
        <v>#NUM!</v>
      </c>
      <c r="D66" s="175" t="s">
        <v>181</v>
      </c>
      <c r="E66" s="174" t="e">
        <f t="shared" si="1"/>
        <v>#NUM!</v>
      </c>
      <c r="F66" s="174" t="e">
        <f>_xll.qlSimpleQuote(E66,,RateTickValue,Permanent,Trigger,ObjectOverwrite)</f>
        <v>#VALUE!</v>
      </c>
      <c r="G66" s="173" t="s">
        <v>180</v>
      </c>
      <c r="H66" s="172"/>
    </row>
    <row r="67" spans="1:8" x14ac:dyDescent="0.25">
      <c r="A67" s="177"/>
      <c r="B67" s="175" t="s">
        <v>182</v>
      </c>
      <c r="C67" s="176" t="e">
        <v>#NUM!</v>
      </c>
      <c r="D67" s="175" t="s">
        <v>181</v>
      </c>
      <c r="E67" s="174" t="e">
        <f t="shared" si="1"/>
        <v>#NUM!</v>
      </c>
      <c r="F67" s="174" t="e">
        <f>_xll.qlSimpleQuote(E67,,RateTickValue,Permanent,Trigger,ObjectOverwrite)</f>
        <v>#VALUE!</v>
      </c>
      <c r="G67" s="173" t="s">
        <v>180</v>
      </c>
      <c r="H67" s="172"/>
    </row>
    <row r="68" spans="1:8" x14ac:dyDescent="0.25">
      <c r="A68" s="177"/>
      <c r="B68" s="175" t="s">
        <v>182</v>
      </c>
      <c r="C68" s="176" t="e">
        <v>#NUM!</v>
      </c>
      <c r="D68" s="175" t="s">
        <v>181</v>
      </c>
      <c r="E68" s="174" t="e">
        <f t="shared" si="1"/>
        <v>#NUM!</v>
      </c>
      <c r="F68" s="174" t="e">
        <f>_xll.qlSimpleQuote(E68,,RateTickValue,Permanent,Trigger,ObjectOverwrite)</f>
        <v>#VALUE!</v>
      </c>
      <c r="G68" s="173" t="s">
        <v>180</v>
      </c>
      <c r="H68" s="172"/>
    </row>
    <row r="69" spans="1:8" x14ac:dyDescent="0.25">
      <c r="A69" s="177"/>
      <c r="B69" s="175" t="s">
        <v>182</v>
      </c>
      <c r="C69" s="176" t="e">
        <v>#NUM!</v>
      </c>
      <c r="D69" s="175" t="s">
        <v>181</v>
      </c>
      <c r="E69" s="174" t="e">
        <f t="shared" si="1"/>
        <v>#NUM!</v>
      </c>
      <c r="F69" s="174" t="e">
        <f>_xll.qlSimpleQuote(E69,,RateTickValue,Permanent,Trigger,ObjectOverwrite)</f>
        <v>#VALUE!</v>
      </c>
      <c r="G69" s="173" t="s">
        <v>180</v>
      </c>
      <c r="H69" s="172"/>
    </row>
    <row r="70" spans="1:8" x14ac:dyDescent="0.25">
      <c r="A70" s="177"/>
      <c r="B70" s="175" t="s">
        <v>182</v>
      </c>
      <c r="C70" s="176" t="e">
        <v>#NUM!</v>
      </c>
      <c r="D70" s="175" t="s">
        <v>181</v>
      </c>
      <c r="E70" s="174" t="e">
        <f t="shared" si="1"/>
        <v>#NUM!</v>
      </c>
      <c r="F70" s="174" t="e">
        <f>_xll.qlSimpleQuote(E70,,RateTickValue,Permanent,Trigger,ObjectOverwrite)</f>
        <v>#VALUE!</v>
      </c>
      <c r="G70" s="173" t="s">
        <v>180</v>
      </c>
      <c r="H70" s="172"/>
    </row>
    <row r="71" spans="1:8" x14ac:dyDescent="0.25">
      <c r="A71" s="177"/>
      <c r="B71" s="175" t="s">
        <v>182</v>
      </c>
      <c r="C71" s="176" t="e">
        <v>#NUM!</v>
      </c>
      <c r="D71" s="175" t="s">
        <v>181</v>
      </c>
      <c r="E71" s="174" t="e">
        <f t="shared" si="1"/>
        <v>#NUM!</v>
      </c>
      <c r="F71" s="174" t="e">
        <f>_xll.qlSimpleQuote(E71,,RateTickValue,Permanent,Trigger,ObjectOverwrite)</f>
        <v>#VALUE!</v>
      </c>
      <c r="G71" s="173" t="s">
        <v>180</v>
      </c>
      <c r="H71" s="172"/>
    </row>
    <row r="72" spans="1:8" x14ac:dyDescent="0.25">
      <c r="A72" s="177"/>
      <c r="B72" s="175" t="s">
        <v>182</v>
      </c>
      <c r="C72" s="176" t="e">
        <v>#NUM!</v>
      </c>
      <c r="D72" s="175" t="s">
        <v>181</v>
      </c>
      <c r="E72" s="174" t="e">
        <f t="shared" si="1"/>
        <v>#NUM!</v>
      </c>
      <c r="F72" s="174" t="e">
        <f>_xll.qlSimpleQuote(E72,,RateTickValue,Permanent,Trigger,ObjectOverwrite)</f>
        <v>#VALUE!</v>
      </c>
      <c r="G72" s="173" t="s">
        <v>180</v>
      </c>
      <c r="H72" s="172"/>
    </row>
    <row r="73" spans="1:8" ht="14.25" thickBot="1" x14ac:dyDescent="0.3">
      <c r="A73" s="171"/>
      <c r="B73" s="170"/>
      <c r="C73" s="170"/>
      <c r="D73" s="170"/>
      <c r="E73" s="170"/>
      <c r="F73" s="169"/>
      <c r="G73" s="169"/>
      <c r="H73" s="168"/>
    </row>
  </sheetData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"/>
  <sheetViews>
    <sheetView workbookViewId="0"/>
  </sheetViews>
  <sheetFormatPr defaultRowHeight="12.75" x14ac:dyDescent="0.2"/>
  <cols>
    <col min="1" max="1" width="3.7109375" style="65" customWidth="1"/>
    <col min="2" max="2" width="4.85546875" style="116" bestFit="1" customWidth="1"/>
    <col min="3" max="3" width="2.7109375" style="65" bestFit="1" customWidth="1"/>
    <col min="4" max="4" width="3.85546875" style="65" bestFit="1" customWidth="1"/>
    <col min="5" max="5" width="16.140625" style="65" bestFit="1" customWidth="1"/>
    <col min="6" max="6" width="18" style="115" bestFit="1" customWidth="1"/>
    <col min="7" max="7" width="38.28515625" style="65" customWidth="1"/>
    <col min="8" max="8" width="4.42578125" style="65" customWidth="1"/>
    <col min="9" max="16384" width="9.140625" style="65"/>
  </cols>
  <sheetData>
    <row r="1" spans="1:8" x14ac:dyDescent="0.2">
      <c r="A1" s="208"/>
      <c r="B1" s="207"/>
      <c r="C1" s="207"/>
      <c r="D1" s="207"/>
      <c r="E1" s="205"/>
      <c r="F1" s="206"/>
      <c r="G1" s="205"/>
      <c r="H1" s="204"/>
    </row>
    <row r="2" spans="1:8" x14ac:dyDescent="0.2">
      <c r="A2" s="123"/>
      <c r="B2" s="203"/>
      <c r="C2" s="202"/>
      <c r="D2" s="92"/>
      <c r="E2" s="91" t="str">
        <f>Currency&amp;"_010_Sw"&amp;"1M.xml"</f>
        <v>GBP_010_Sw1M.xml</v>
      </c>
      <c r="F2" s="90">
        <f ca="1">IF(Serialize,_xll.ohObjectSave(F3:F13,SerializationPath&amp;E2,FileOverwrite,Serialize),"---")</f>
        <v>11</v>
      </c>
      <c r="G2" s="74" t="str">
        <f ca="1">_xll.ohRangeRetrieveError(F2)</f>
        <v/>
      </c>
      <c r="H2" s="33"/>
    </row>
    <row r="3" spans="1:8" x14ac:dyDescent="0.2">
      <c r="A3" s="123"/>
      <c r="B3" s="201"/>
      <c r="C3" s="77">
        <v>2</v>
      </c>
      <c r="D3" s="76" t="s">
        <v>207</v>
      </c>
      <c r="E3" s="75" t="str">
        <f t="shared" ref="E3:E13" si="0">Currency&amp;$C3&amp;$D3&amp;$B3&amp;QuoteSuffix</f>
        <v>GBP2X1S_Quote</v>
      </c>
      <c r="F3" s="75" t="str">
        <f>_xll.qlSimpleQuote(Currency&amp;$C3&amp;$D3&amp;$B3&amp;QuoteSuffix,,RateTickValue,Permanent,Trigger,ObjectOverwrite)</f>
        <v>GBP2X1S_Quote#0001</v>
      </c>
      <c r="G3" s="8" t="str">
        <f>_xll.ohRangeRetrieveError(F3)</f>
        <v/>
      </c>
      <c r="H3" s="33"/>
    </row>
    <row r="4" spans="1:8" x14ac:dyDescent="0.2">
      <c r="A4" s="123"/>
      <c r="B4" s="200"/>
      <c r="C4" s="199">
        <v>3</v>
      </c>
      <c r="D4" s="198" t="s">
        <v>207</v>
      </c>
      <c r="E4" s="75" t="str">
        <f t="shared" si="0"/>
        <v>GBP3X1S_Quote</v>
      </c>
      <c r="F4" s="75" t="str">
        <f>_xll.qlSimpleQuote(Currency&amp;$C4&amp;$D4&amp;$B4&amp;QuoteSuffix,,RateTickValue,Permanent,Trigger,ObjectOverwrite)</f>
        <v>GBP3X1S_Quote#0001</v>
      </c>
      <c r="G4" s="197" t="str">
        <f>_xll.ohRangeRetrieveError(F4)</f>
        <v/>
      </c>
      <c r="H4" s="33"/>
    </row>
    <row r="5" spans="1:8" x14ac:dyDescent="0.2">
      <c r="A5" s="123"/>
      <c r="B5" s="200"/>
      <c r="C5" s="199">
        <v>4</v>
      </c>
      <c r="D5" s="198" t="s">
        <v>207</v>
      </c>
      <c r="E5" s="75" t="str">
        <f t="shared" si="0"/>
        <v>GBP4X1S_Quote</v>
      </c>
      <c r="F5" s="75" t="str">
        <f>_xll.qlSimpleQuote(Currency&amp;$C5&amp;$D5&amp;$B5&amp;QuoteSuffix,,RateTickValue,Permanent,Trigger,ObjectOverwrite)</f>
        <v>GBP4X1S_Quote#0001</v>
      </c>
      <c r="G5" s="197" t="str">
        <f>_xll.ohRangeRetrieveError(F5)</f>
        <v/>
      </c>
      <c r="H5" s="33"/>
    </row>
    <row r="6" spans="1:8" x14ac:dyDescent="0.2">
      <c r="A6" s="123"/>
      <c r="B6" s="200"/>
      <c r="C6" s="199">
        <v>5</v>
      </c>
      <c r="D6" s="198" t="s">
        <v>207</v>
      </c>
      <c r="E6" s="75" t="str">
        <f t="shared" si="0"/>
        <v>GBP5X1S_Quote</v>
      </c>
      <c r="F6" s="75" t="str">
        <f>_xll.qlSimpleQuote(Currency&amp;$C6&amp;$D6&amp;$B6&amp;QuoteSuffix,,RateTickValue,Permanent,Trigger,ObjectOverwrite)</f>
        <v>GBP5X1S_Quote#0001</v>
      </c>
      <c r="G6" s="197" t="str">
        <f>_xll.ohRangeRetrieveError(F6)</f>
        <v/>
      </c>
      <c r="H6" s="33"/>
    </row>
    <row r="7" spans="1:8" x14ac:dyDescent="0.2">
      <c r="A7" s="123"/>
      <c r="B7" s="200"/>
      <c r="C7" s="199">
        <v>6</v>
      </c>
      <c r="D7" s="198" t="s">
        <v>207</v>
      </c>
      <c r="E7" s="75" t="str">
        <f t="shared" si="0"/>
        <v>GBP6X1S_Quote</v>
      </c>
      <c r="F7" s="75" t="str">
        <f>_xll.qlSimpleQuote(Currency&amp;$C7&amp;$D7&amp;$B7&amp;QuoteSuffix,,RateTickValue,Permanent,Trigger,ObjectOverwrite)</f>
        <v>GBP6X1S_Quote#0001</v>
      </c>
      <c r="G7" s="197" t="str">
        <f>_xll.ohRangeRetrieveError(F7)</f>
        <v/>
      </c>
      <c r="H7" s="33"/>
    </row>
    <row r="8" spans="1:8" x14ac:dyDescent="0.2">
      <c r="A8" s="123"/>
      <c r="B8" s="200"/>
      <c r="C8" s="199">
        <v>7</v>
      </c>
      <c r="D8" s="198" t="s">
        <v>207</v>
      </c>
      <c r="E8" s="75" t="str">
        <f t="shared" si="0"/>
        <v>GBP7X1S_Quote</v>
      </c>
      <c r="F8" s="75" t="str">
        <f>_xll.qlSimpleQuote(Currency&amp;$C8&amp;$D8&amp;$B8&amp;QuoteSuffix,,RateTickValue,Permanent,Trigger,ObjectOverwrite)</f>
        <v>GBP7X1S_Quote#0001</v>
      </c>
      <c r="G8" s="197" t="str">
        <f>_xll.ohRangeRetrieveError(F8)</f>
        <v/>
      </c>
      <c r="H8" s="33"/>
    </row>
    <row r="9" spans="1:8" x14ac:dyDescent="0.2">
      <c r="A9" s="123"/>
      <c r="B9" s="200"/>
      <c r="C9" s="199">
        <v>8</v>
      </c>
      <c r="D9" s="198" t="s">
        <v>207</v>
      </c>
      <c r="E9" s="75" t="str">
        <f t="shared" si="0"/>
        <v>GBP8X1S_Quote</v>
      </c>
      <c r="F9" s="75" t="str">
        <f>_xll.qlSimpleQuote(Currency&amp;$C9&amp;$D9&amp;$B9&amp;QuoteSuffix,,RateTickValue,Permanent,Trigger,ObjectOverwrite)</f>
        <v>GBP8X1S_Quote#0001</v>
      </c>
      <c r="G9" s="197" t="str">
        <f>_xll.ohRangeRetrieveError(F9)</f>
        <v/>
      </c>
      <c r="H9" s="33"/>
    </row>
    <row r="10" spans="1:8" x14ac:dyDescent="0.2">
      <c r="A10" s="123"/>
      <c r="B10" s="200"/>
      <c r="C10" s="199">
        <v>9</v>
      </c>
      <c r="D10" s="198" t="s">
        <v>207</v>
      </c>
      <c r="E10" s="75" t="str">
        <f t="shared" si="0"/>
        <v>GBP9X1S_Quote</v>
      </c>
      <c r="F10" s="75" t="str">
        <f>_xll.qlSimpleQuote(Currency&amp;$C10&amp;$D10&amp;$B10&amp;QuoteSuffix,,RateTickValue,Permanent,Trigger,ObjectOverwrite)</f>
        <v>GBP9X1S_Quote#0001</v>
      </c>
      <c r="G10" s="197" t="str">
        <f>_xll.ohRangeRetrieveError(F10)</f>
        <v/>
      </c>
      <c r="H10" s="33"/>
    </row>
    <row r="11" spans="1:8" x14ac:dyDescent="0.2">
      <c r="A11" s="123"/>
      <c r="B11" s="200"/>
      <c r="C11" s="199">
        <v>10</v>
      </c>
      <c r="D11" s="198" t="s">
        <v>207</v>
      </c>
      <c r="E11" s="75" t="str">
        <f t="shared" si="0"/>
        <v>GBP10X1S_Quote</v>
      </c>
      <c r="F11" s="75" t="str">
        <f>_xll.qlSimpleQuote(Currency&amp;$C11&amp;$D11&amp;$B11&amp;QuoteSuffix,,RateTickValue,Permanent,Trigger,ObjectOverwrite)</f>
        <v>GBP10X1S_Quote#0001</v>
      </c>
      <c r="G11" s="197" t="str">
        <f>_xll.ohRangeRetrieveError(F11)</f>
        <v/>
      </c>
      <c r="H11" s="33"/>
    </row>
    <row r="12" spans="1:8" x14ac:dyDescent="0.2">
      <c r="A12" s="123"/>
      <c r="B12" s="200"/>
      <c r="C12" s="199">
        <v>11</v>
      </c>
      <c r="D12" s="198" t="s">
        <v>207</v>
      </c>
      <c r="E12" s="75" t="str">
        <f t="shared" si="0"/>
        <v>GBP11X1S_Quote</v>
      </c>
      <c r="F12" s="75" t="str">
        <f>_xll.qlSimpleQuote(Currency&amp;$C12&amp;$D12&amp;$B12&amp;QuoteSuffix,,RateTickValue,Permanent,Trigger,ObjectOverwrite)</f>
        <v>GBP11X1S_Quote#0001</v>
      </c>
      <c r="G12" s="197" t="str">
        <f>_xll.ohRangeRetrieveError(F12)</f>
        <v/>
      </c>
      <c r="H12" s="33"/>
    </row>
    <row r="13" spans="1:8" x14ac:dyDescent="0.2">
      <c r="A13" s="123"/>
      <c r="B13" s="200"/>
      <c r="C13" s="199">
        <v>12</v>
      </c>
      <c r="D13" s="198" t="s">
        <v>207</v>
      </c>
      <c r="E13" s="75" t="str">
        <f t="shared" si="0"/>
        <v>GBP12X1S_Quote</v>
      </c>
      <c r="F13" s="75" t="str">
        <f>_xll.qlSimpleQuote(Currency&amp;$C13&amp;$D13&amp;$B13&amp;QuoteSuffix,,RateTickValue,Permanent,Trigger,ObjectOverwrite)</f>
        <v>GBP12X1S_Quote#0001</v>
      </c>
      <c r="G13" s="197" t="str">
        <f>_xll.ohRangeRetrieveError(F13)</f>
        <v/>
      </c>
      <c r="H13" s="33"/>
    </row>
    <row r="14" spans="1:8" ht="13.5" thickBot="1" x14ac:dyDescent="0.25">
      <c r="A14" s="32"/>
      <c r="B14" s="31"/>
      <c r="C14" s="31"/>
      <c r="D14" s="31"/>
      <c r="E14" s="31"/>
      <c r="F14" s="117"/>
      <c r="G14" s="117"/>
      <c r="H14" s="30"/>
    </row>
  </sheetData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"/>
  <sheetViews>
    <sheetView workbookViewId="0"/>
  </sheetViews>
  <sheetFormatPr defaultRowHeight="12.75" x14ac:dyDescent="0.2"/>
  <cols>
    <col min="1" max="1" width="3.7109375" style="65" customWidth="1"/>
    <col min="2" max="2" width="4.85546875" style="116" bestFit="1" customWidth="1"/>
    <col min="3" max="3" width="2.85546875" style="65" bestFit="1" customWidth="1"/>
    <col min="4" max="4" width="2.7109375" style="65" bestFit="1" customWidth="1"/>
    <col min="5" max="5" width="17" style="65" bestFit="1" customWidth="1"/>
    <col min="6" max="6" width="16.85546875" style="115" bestFit="1" customWidth="1"/>
    <col min="7" max="7" width="38.28515625" style="65" customWidth="1"/>
    <col min="8" max="8" width="4.42578125" style="65" customWidth="1"/>
    <col min="9" max="16384" width="9.140625" style="65"/>
  </cols>
  <sheetData>
    <row r="1" spans="1:8" x14ac:dyDescent="0.2">
      <c r="A1" s="208"/>
      <c r="B1" s="207"/>
      <c r="C1" s="207"/>
      <c r="D1" s="207"/>
      <c r="E1" s="205"/>
      <c r="F1" s="206"/>
      <c r="G1" s="205"/>
      <c r="H1" s="204"/>
    </row>
    <row r="2" spans="1:8" x14ac:dyDescent="0.2">
      <c r="A2" s="123"/>
      <c r="B2" s="212"/>
      <c r="C2" s="211"/>
      <c r="D2" s="92"/>
      <c r="E2" s="91" t="str">
        <f>Currency&amp;"_010_Sw"&amp;"IMM.xml"</f>
        <v>GBP_010_SwIMM.xml</v>
      </c>
      <c r="F2" s="90">
        <f ca="1">IF(Serialize,_xll.ohObjectSave(F3:F9,SerializationPath&amp;E2,FileOverwrite,Serialize),"---")</f>
        <v>7</v>
      </c>
      <c r="G2" s="74" t="str">
        <f ca="1">_xll.ohRangeRetrieveError(F2)</f>
        <v/>
      </c>
      <c r="H2" s="33"/>
    </row>
    <row r="3" spans="1:8" x14ac:dyDescent="0.2">
      <c r="A3" s="123"/>
      <c r="B3" s="210"/>
      <c r="C3" s="76" t="s">
        <v>208</v>
      </c>
      <c r="D3" s="76">
        <v>12</v>
      </c>
      <c r="E3" s="75" t="str">
        <f t="shared" ref="E3:E9" si="0">Currency&amp;$C3&amp;$D3&amp;$B3&amp;QuoteSuffix</f>
        <v>GBP1S12_Quote</v>
      </c>
      <c r="F3" s="75" t="str">
        <f>_xll.qlSimpleQuote(Currency&amp;$C3&amp;$D3&amp;$B3&amp;QuoteSuffix,,RateTickValue,Permanent,Trigger,ObjectOverwrite)</f>
        <v>GBP1S12_Quote#0001</v>
      </c>
      <c r="G3" s="8" t="str">
        <f>_xll.ohRangeRetrieveError(F3)</f>
        <v/>
      </c>
      <c r="H3" s="33"/>
    </row>
    <row r="4" spans="1:8" x14ac:dyDescent="0.2">
      <c r="A4" s="123"/>
      <c r="B4" s="209"/>
      <c r="C4" s="198" t="s">
        <v>209</v>
      </c>
      <c r="D4" s="198">
        <v>12</v>
      </c>
      <c r="E4" s="75" t="str">
        <f t="shared" si="0"/>
        <v>GBP2S12_Quote</v>
      </c>
      <c r="F4" s="75" t="str">
        <f>_xll.qlSimpleQuote(Currency&amp;$C4&amp;$D4&amp;$B4&amp;QuoteSuffix,,RateTickValue,Permanent,Trigger,ObjectOverwrite)</f>
        <v>GBP2S12_Quote#0001</v>
      </c>
      <c r="G4" s="197" t="str">
        <f>_xll.ohRangeRetrieveError(F4)</f>
        <v/>
      </c>
      <c r="H4" s="33"/>
    </row>
    <row r="5" spans="1:8" x14ac:dyDescent="0.2">
      <c r="A5" s="123"/>
      <c r="B5" s="209"/>
      <c r="C5" s="198" t="s">
        <v>211</v>
      </c>
      <c r="D5" s="198">
        <v>12</v>
      </c>
      <c r="E5" s="75" t="str">
        <f t="shared" si="0"/>
        <v>GBP3S12_Quote</v>
      </c>
      <c r="F5" s="75" t="str">
        <f>_xll.qlSimpleQuote(Currency&amp;$C5&amp;$D5&amp;$B5&amp;QuoteSuffix,,RateTickValue,Permanent,Trigger,ObjectOverwrite)</f>
        <v>GBP3S12_Quote#0001</v>
      </c>
      <c r="G5" s="197" t="str">
        <f>_xll.ohRangeRetrieveError(F5)</f>
        <v/>
      </c>
      <c r="H5" s="33"/>
    </row>
    <row r="6" spans="1:8" x14ac:dyDescent="0.2">
      <c r="A6" s="123"/>
      <c r="B6" s="209"/>
      <c r="C6" s="198" t="s">
        <v>210</v>
      </c>
      <c r="D6" s="198">
        <v>12</v>
      </c>
      <c r="E6" s="75" t="str">
        <f t="shared" si="0"/>
        <v>GBP4S12_Quote</v>
      </c>
      <c r="F6" s="75" t="str">
        <f>_xll.qlSimpleQuote(Currency&amp;$C6&amp;$D6&amp;$B6&amp;QuoteSuffix,,RateTickValue,Permanent,Trigger,ObjectOverwrite)</f>
        <v>GBP4S12_Quote#0001</v>
      </c>
      <c r="G6" s="197" t="str">
        <f>_xll.ohRangeRetrieveError(F6)</f>
        <v/>
      </c>
      <c r="H6" s="33"/>
    </row>
    <row r="7" spans="1:8" x14ac:dyDescent="0.2">
      <c r="A7" s="123"/>
      <c r="B7" s="209"/>
      <c r="C7" s="198" t="s">
        <v>208</v>
      </c>
      <c r="D7" s="198">
        <v>24</v>
      </c>
      <c r="E7" s="75" t="str">
        <f t="shared" si="0"/>
        <v>GBP1S24_Quote</v>
      </c>
      <c r="F7" s="75" t="str">
        <f>_xll.qlSimpleQuote(Currency&amp;$C7&amp;$D7&amp;$B7&amp;QuoteSuffix,,RateTickValue,Permanent,Trigger,ObjectOverwrite)</f>
        <v>GBP1S24_Quote#0001</v>
      </c>
      <c r="G7" s="197" t="str">
        <f>_xll.ohRangeRetrieveError(F7)</f>
        <v/>
      </c>
      <c r="H7" s="33"/>
    </row>
    <row r="8" spans="1:8" x14ac:dyDescent="0.2">
      <c r="A8" s="123"/>
      <c r="B8" s="209"/>
      <c r="C8" s="198" t="s">
        <v>209</v>
      </c>
      <c r="D8" s="198">
        <v>24</v>
      </c>
      <c r="E8" s="75" t="str">
        <f t="shared" si="0"/>
        <v>GBP2S24_Quote</v>
      </c>
      <c r="F8" s="75" t="str">
        <f>_xll.qlSimpleQuote(Currency&amp;$C8&amp;$D8&amp;$B8&amp;QuoteSuffix,,RateTickValue,Permanent,Trigger,ObjectOverwrite)</f>
        <v>GBP2S24_Quote#0001</v>
      </c>
      <c r="G8" s="197" t="str">
        <f>_xll.ohRangeRetrieveError(F8)</f>
        <v/>
      </c>
      <c r="H8" s="33"/>
    </row>
    <row r="9" spans="1:8" x14ac:dyDescent="0.2">
      <c r="A9" s="123"/>
      <c r="B9" s="209"/>
      <c r="C9" s="198" t="s">
        <v>208</v>
      </c>
      <c r="D9" s="198">
        <v>36</v>
      </c>
      <c r="E9" s="75" t="str">
        <f t="shared" si="0"/>
        <v>GBP1S36_Quote</v>
      </c>
      <c r="F9" s="75" t="str">
        <f>_xll.qlSimpleQuote(Currency&amp;$C9&amp;$D9&amp;$B9&amp;QuoteSuffix,,RateTickValue,Permanent,Trigger,ObjectOverwrite)</f>
        <v>GBP1S36_Quote#0001</v>
      </c>
      <c r="G9" s="197" t="str">
        <f>_xll.ohRangeRetrieveError(F9)</f>
        <v/>
      </c>
      <c r="H9" s="33"/>
    </row>
    <row r="10" spans="1:8" ht="13.5" thickBot="1" x14ac:dyDescent="0.25">
      <c r="A10" s="32"/>
      <c r="B10" s="31"/>
      <c r="C10" s="31"/>
      <c r="D10" s="31"/>
      <c r="E10" s="31"/>
      <c r="F10" s="117"/>
      <c r="G10" s="117"/>
      <c r="H10" s="30"/>
    </row>
  </sheetData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0"/>
  <sheetViews>
    <sheetView workbookViewId="0"/>
  </sheetViews>
  <sheetFormatPr defaultRowHeight="12.75" x14ac:dyDescent="0.2"/>
  <cols>
    <col min="1" max="1" width="3.7109375" style="65" customWidth="1"/>
    <col min="2" max="2" width="6.5703125" style="116" bestFit="1" customWidth="1"/>
    <col min="3" max="3" width="3.140625" style="65" bestFit="1" customWidth="1"/>
    <col min="4" max="4" width="2.7109375" style="65" bestFit="1" customWidth="1"/>
    <col min="5" max="5" width="18" style="65" bestFit="1" customWidth="1"/>
    <col min="6" max="6" width="20.140625" style="115" bestFit="1" customWidth="1"/>
    <col min="7" max="7" width="38.28515625" style="65" customWidth="1"/>
    <col min="8" max="9" width="4.42578125" style="65" customWidth="1"/>
    <col min="10" max="10" width="4.140625" style="65" bestFit="1" customWidth="1"/>
    <col min="11" max="11" width="3.28515625" style="65" bestFit="1" customWidth="1"/>
    <col min="12" max="12" width="9.5703125" style="65" bestFit="1" customWidth="1"/>
    <col min="13" max="16384" width="9.140625" style="65"/>
  </cols>
  <sheetData>
    <row r="1" spans="1:12" ht="13.5" thickBot="1" x14ac:dyDescent="0.25">
      <c r="A1" s="208"/>
      <c r="B1" s="207"/>
      <c r="C1" s="207"/>
      <c r="D1" s="207"/>
      <c r="E1" s="205"/>
      <c r="F1" s="206"/>
      <c r="G1" s="205"/>
      <c r="H1" s="204"/>
    </row>
    <row r="2" spans="1:12" x14ac:dyDescent="0.2">
      <c r="A2" s="123"/>
      <c r="B2" s="92" t="s">
        <v>126</v>
      </c>
      <c r="C2" s="92"/>
      <c r="D2" s="92"/>
      <c r="E2" s="91" t="str">
        <f>Currency&amp;"_010_Sw"&amp;$C$3&amp;$D$3&amp;".xml"</f>
        <v>GBP_010_SwAM3L.xml</v>
      </c>
      <c r="F2" s="90">
        <f ca="1">IF(Serialize,_xll.ohObjectSave(F3:F39,SerializationPath&amp;E2,FileOverwrite,Serialize),"---")</f>
        <v>37</v>
      </c>
      <c r="G2" s="74" t="str">
        <f ca="1">_xll.ohRangeRetrieveError(F2)</f>
        <v/>
      </c>
      <c r="H2" s="33"/>
      <c r="J2" s="217" t="s">
        <v>217</v>
      </c>
      <c r="K2" s="216" t="s">
        <v>216</v>
      </c>
      <c r="L2" s="215" t="s">
        <v>215</v>
      </c>
    </row>
    <row r="3" spans="1:12" x14ac:dyDescent="0.2">
      <c r="A3" s="123"/>
      <c r="B3" s="201" t="s">
        <v>1</v>
      </c>
      <c r="C3" s="77" t="str">
        <f t="array" ref="C3:C39">VLOOKUP(Currency,SwapMainSetConventions,2)</f>
        <v>AM</v>
      </c>
      <c r="D3" s="77" t="str">
        <f t="array" ref="D3:D39">VLOOKUP(Currency,SwapMainSetConventions,3)</f>
        <v>3L</v>
      </c>
      <c r="E3" s="75" t="str">
        <f t="shared" ref="E3:E39" si="0">Currency&amp;$C3&amp;$D3&amp;$B3&amp;QuoteSuffix</f>
        <v>GBPAM3L1Y_Quote</v>
      </c>
      <c r="F3" s="75" t="str">
        <f>_xll.qlSimpleQuote(Currency&amp;$C3&amp;$D3&amp;$B3&amp;QuoteSuffix,,RateTickValue,Permanent,Trigger,ObjectOverwrite)</f>
        <v>GBPAM3L1Y_Quote#0001</v>
      </c>
      <c r="G3" s="8" t="str">
        <f>_xll.ohRangeRetrieveError(F3)</f>
        <v/>
      </c>
      <c r="H3" s="33"/>
      <c r="J3" s="214" t="s">
        <v>122</v>
      </c>
      <c r="K3" s="84" t="s">
        <v>214</v>
      </c>
      <c r="L3" s="83" t="s">
        <v>115</v>
      </c>
    </row>
    <row r="4" spans="1:12" x14ac:dyDescent="0.2">
      <c r="A4" s="123"/>
      <c r="B4" s="200" t="s">
        <v>125</v>
      </c>
      <c r="C4" s="77" t="str">
        <v>AM</v>
      </c>
      <c r="D4" s="77" t="str">
        <v>3L</v>
      </c>
      <c r="E4" s="75" t="str">
        <f t="shared" si="0"/>
        <v>GBPAM3L15M_Quote</v>
      </c>
      <c r="F4" s="75" t="str">
        <f>_xll.qlSimpleQuote(Currency&amp;$C4&amp;$D4&amp;$B4&amp;QuoteSuffix,,RateTickValue,Permanent,Trigger,ObjectOverwrite)</f>
        <v>GBPAM3L15M_Quote#0001</v>
      </c>
      <c r="G4" s="197" t="str">
        <f>_xll.ohRangeRetrieveError(F4)</f>
        <v/>
      </c>
      <c r="H4" s="33"/>
      <c r="J4" s="214" t="s">
        <v>121</v>
      </c>
      <c r="K4" s="84" t="s">
        <v>214</v>
      </c>
      <c r="L4" s="83" t="s">
        <v>127</v>
      </c>
    </row>
    <row r="5" spans="1:12" x14ac:dyDescent="0.2">
      <c r="A5" s="123"/>
      <c r="B5" s="200" t="s">
        <v>124</v>
      </c>
      <c r="C5" s="77" t="str">
        <v>AM</v>
      </c>
      <c r="D5" s="77" t="str">
        <v>3L</v>
      </c>
      <c r="E5" s="75" t="str">
        <f t="shared" si="0"/>
        <v>GBPAM3L18M_Quote</v>
      </c>
      <c r="F5" s="75" t="str">
        <f>_xll.qlSimpleQuote(Currency&amp;$C5&amp;$D5&amp;$B5&amp;QuoteSuffix,,RateTickValue,Permanent,Trigger,ObjectOverwrite)</f>
        <v>GBPAM3L18M_Quote#0001</v>
      </c>
      <c r="G5" s="197" t="str">
        <f>_xll.ohRangeRetrieveError(F5)</f>
        <v/>
      </c>
      <c r="H5" s="33"/>
      <c r="J5" s="214" t="s">
        <v>96</v>
      </c>
      <c r="K5" s="84" t="s">
        <v>212</v>
      </c>
      <c r="L5" s="83" t="s">
        <v>115</v>
      </c>
    </row>
    <row r="6" spans="1:12" x14ac:dyDescent="0.2">
      <c r="A6" s="123"/>
      <c r="B6" s="200" t="s">
        <v>123</v>
      </c>
      <c r="C6" s="77" t="str">
        <v>AM</v>
      </c>
      <c r="D6" s="77" t="str">
        <v>3L</v>
      </c>
      <c r="E6" s="75" t="str">
        <f t="shared" si="0"/>
        <v>GBPAM3L21M_Quote</v>
      </c>
      <c r="F6" s="75" t="str">
        <f>_xll.qlSimpleQuote(Currency&amp;$C6&amp;$D6&amp;$B6&amp;QuoteSuffix,,RateTickValue,Permanent,Trigger,ObjectOverwrite)</f>
        <v>GBPAM3L21M_Quote#0001</v>
      </c>
      <c r="G6" s="197" t="str">
        <f>_xll.ohRangeRetrieveError(F6)</f>
        <v/>
      </c>
      <c r="H6" s="33"/>
      <c r="J6" s="214" t="s">
        <v>118</v>
      </c>
      <c r="K6" s="84" t="s">
        <v>213</v>
      </c>
      <c r="L6" s="83" t="s">
        <v>115</v>
      </c>
    </row>
    <row r="7" spans="1:12" ht="13.5" thickBot="1" x14ac:dyDescent="0.25">
      <c r="A7" s="123"/>
      <c r="B7" s="200" t="s">
        <v>85</v>
      </c>
      <c r="C7" s="77" t="str">
        <v>AM</v>
      </c>
      <c r="D7" s="77" t="str">
        <v>3L</v>
      </c>
      <c r="E7" s="75" t="str">
        <f t="shared" si="0"/>
        <v>GBPAM3L2Y_Quote</v>
      </c>
      <c r="F7" s="75" t="str">
        <f>_xll.qlSimpleQuote(Currency&amp;$C7&amp;$D7&amp;$B7&amp;QuoteSuffix,,RateTickValue,Permanent,Trigger,ObjectOverwrite)</f>
        <v>GBPAM3L2Y_Quote#0001</v>
      </c>
      <c r="G7" s="197" t="str">
        <f>_xll.ohRangeRetrieveError(F7)</f>
        <v/>
      </c>
      <c r="H7" s="33"/>
      <c r="J7" s="213" t="s">
        <v>116</v>
      </c>
      <c r="K7" s="81" t="s">
        <v>212</v>
      </c>
      <c r="L7" s="80" t="s">
        <v>115</v>
      </c>
    </row>
    <row r="8" spans="1:12" x14ac:dyDescent="0.2">
      <c r="A8" s="123"/>
      <c r="B8" s="200" t="s">
        <v>84</v>
      </c>
      <c r="C8" s="77" t="str">
        <v>AM</v>
      </c>
      <c r="D8" s="77" t="str">
        <v>3L</v>
      </c>
      <c r="E8" s="75" t="str">
        <f t="shared" si="0"/>
        <v>GBPAM3L3Y_Quote</v>
      </c>
      <c r="F8" s="75" t="str">
        <f>_xll.qlSimpleQuote(Currency&amp;$C8&amp;$D8&amp;$B8&amp;QuoteSuffix,,RateTickValue,Permanent,Trigger,ObjectOverwrite)</f>
        <v>GBPAM3L3Y_Quote#0001</v>
      </c>
      <c r="G8" s="197" t="str">
        <f>_xll.ohRangeRetrieveError(F8)</f>
        <v/>
      </c>
      <c r="H8" s="33"/>
    </row>
    <row r="9" spans="1:12" x14ac:dyDescent="0.2">
      <c r="A9" s="123"/>
      <c r="B9" s="200" t="s">
        <v>83</v>
      </c>
      <c r="C9" s="77" t="str">
        <v>AM</v>
      </c>
      <c r="D9" s="77" t="str">
        <v>3L</v>
      </c>
      <c r="E9" s="75" t="str">
        <f t="shared" si="0"/>
        <v>GBPAM3L4Y_Quote</v>
      </c>
      <c r="F9" s="75" t="str">
        <f>_xll.qlSimpleQuote(Currency&amp;$C9&amp;$D9&amp;$B9&amp;QuoteSuffix,,RateTickValue,Permanent,Trigger,ObjectOverwrite)</f>
        <v>GBPAM3L4Y_Quote#0001</v>
      </c>
      <c r="G9" s="197" t="str">
        <f>_xll.ohRangeRetrieveError(F9)</f>
        <v/>
      </c>
      <c r="H9" s="33"/>
    </row>
    <row r="10" spans="1:12" x14ac:dyDescent="0.2">
      <c r="A10" s="123"/>
      <c r="B10" s="200" t="s">
        <v>82</v>
      </c>
      <c r="C10" s="77" t="str">
        <v>AM</v>
      </c>
      <c r="D10" s="77" t="str">
        <v>3L</v>
      </c>
      <c r="E10" s="75" t="str">
        <f t="shared" si="0"/>
        <v>GBPAM3L5Y_Quote</v>
      </c>
      <c r="F10" s="75" t="str">
        <f>_xll.qlSimpleQuote(Currency&amp;$C10&amp;$D10&amp;$B10&amp;QuoteSuffix,,RateTickValue,Permanent,Trigger,ObjectOverwrite)</f>
        <v>GBPAM3L5Y_Quote#0001</v>
      </c>
      <c r="G10" s="197" t="str">
        <f>_xll.ohRangeRetrieveError(F10)</f>
        <v/>
      </c>
      <c r="H10" s="33"/>
    </row>
    <row r="11" spans="1:12" x14ac:dyDescent="0.2">
      <c r="A11" s="123"/>
      <c r="B11" s="200" t="s">
        <v>81</v>
      </c>
      <c r="C11" s="77" t="str">
        <v>AM</v>
      </c>
      <c r="D11" s="77" t="str">
        <v>3L</v>
      </c>
      <c r="E11" s="75" t="str">
        <f t="shared" si="0"/>
        <v>GBPAM3L6Y_Quote</v>
      </c>
      <c r="F11" s="75" t="str">
        <f>_xll.qlSimpleQuote(Currency&amp;$C11&amp;$D11&amp;$B11&amp;QuoteSuffix,,RateTickValue,Permanent,Trigger,ObjectOverwrite)</f>
        <v>GBPAM3L6Y_Quote#0001</v>
      </c>
      <c r="G11" s="197" t="str">
        <f>_xll.ohRangeRetrieveError(F11)</f>
        <v/>
      </c>
      <c r="H11" s="33"/>
    </row>
    <row r="12" spans="1:12" x14ac:dyDescent="0.2">
      <c r="A12" s="123"/>
      <c r="B12" s="200" t="s">
        <v>80</v>
      </c>
      <c r="C12" s="77" t="str">
        <v>AM</v>
      </c>
      <c r="D12" s="77" t="str">
        <v>3L</v>
      </c>
      <c r="E12" s="75" t="str">
        <f t="shared" si="0"/>
        <v>GBPAM3L7Y_Quote</v>
      </c>
      <c r="F12" s="75" t="str">
        <f>_xll.qlSimpleQuote(Currency&amp;$C12&amp;$D12&amp;$B12&amp;QuoteSuffix,,RateTickValue,Permanent,Trigger,ObjectOverwrite)</f>
        <v>GBPAM3L7Y_Quote#0001</v>
      </c>
      <c r="G12" s="197" t="str">
        <f>_xll.ohRangeRetrieveError(F12)</f>
        <v/>
      </c>
      <c r="H12" s="33"/>
    </row>
    <row r="13" spans="1:12" x14ac:dyDescent="0.2">
      <c r="A13" s="123"/>
      <c r="B13" s="200" t="s">
        <v>79</v>
      </c>
      <c r="C13" s="77" t="str">
        <v>AM</v>
      </c>
      <c r="D13" s="77" t="str">
        <v>3L</v>
      </c>
      <c r="E13" s="75" t="str">
        <f t="shared" si="0"/>
        <v>GBPAM3L8Y_Quote</v>
      </c>
      <c r="F13" s="75" t="str">
        <f>_xll.qlSimpleQuote(Currency&amp;$C13&amp;$D13&amp;$B13&amp;QuoteSuffix,,RateTickValue,Permanent,Trigger,ObjectOverwrite)</f>
        <v>GBPAM3L8Y_Quote#0001</v>
      </c>
      <c r="G13" s="197" t="str">
        <f>_xll.ohRangeRetrieveError(F13)</f>
        <v/>
      </c>
      <c r="H13" s="33"/>
    </row>
    <row r="14" spans="1:12" x14ac:dyDescent="0.2">
      <c r="A14" s="123"/>
      <c r="B14" s="200" t="s">
        <v>78</v>
      </c>
      <c r="C14" s="77" t="str">
        <v>AM</v>
      </c>
      <c r="D14" s="77" t="str">
        <v>3L</v>
      </c>
      <c r="E14" s="75" t="str">
        <f t="shared" si="0"/>
        <v>GBPAM3L9Y_Quote</v>
      </c>
      <c r="F14" s="75" t="str">
        <f>_xll.qlSimpleQuote(Currency&amp;$C14&amp;$D14&amp;$B14&amp;QuoteSuffix,,RateTickValue,Permanent,Trigger,ObjectOverwrite)</f>
        <v>GBPAM3L9Y_Quote#0001</v>
      </c>
      <c r="G14" s="197" t="str">
        <f>_xll.ohRangeRetrieveError(F14)</f>
        <v/>
      </c>
      <c r="H14" s="33"/>
    </row>
    <row r="15" spans="1:12" x14ac:dyDescent="0.2">
      <c r="A15" s="123"/>
      <c r="B15" s="200" t="s">
        <v>77</v>
      </c>
      <c r="C15" s="77" t="str">
        <v>AM</v>
      </c>
      <c r="D15" s="77" t="str">
        <v>3L</v>
      </c>
      <c r="E15" s="75" t="str">
        <f t="shared" si="0"/>
        <v>GBPAM3L10Y_Quote</v>
      </c>
      <c r="F15" s="75" t="str">
        <f>_xll.qlSimpleQuote(Currency&amp;$C15&amp;$D15&amp;$B15&amp;QuoteSuffix,,RateTickValue,Permanent,Trigger,ObjectOverwrite)</f>
        <v>GBPAM3L10Y_Quote#0001</v>
      </c>
      <c r="G15" s="197" t="str">
        <f>_xll.ohRangeRetrieveError(F15)</f>
        <v/>
      </c>
      <c r="H15" s="33"/>
    </row>
    <row r="16" spans="1:12" x14ac:dyDescent="0.2">
      <c r="A16" s="123"/>
      <c r="B16" s="200" t="s">
        <v>76</v>
      </c>
      <c r="C16" s="77" t="str">
        <v>AM</v>
      </c>
      <c r="D16" s="77" t="str">
        <v>3L</v>
      </c>
      <c r="E16" s="75" t="str">
        <f t="shared" si="0"/>
        <v>GBPAM3L11Y_Quote</v>
      </c>
      <c r="F16" s="75" t="str">
        <f>_xll.qlSimpleQuote(Currency&amp;$C16&amp;$D16&amp;$B16&amp;QuoteSuffix,,RateTickValue,Permanent,Trigger,ObjectOverwrite)</f>
        <v>GBPAM3L11Y_Quote#0001</v>
      </c>
      <c r="G16" s="197" t="str">
        <f>_xll.ohRangeRetrieveError(F16)</f>
        <v/>
      </c>
      <c r="H16" s="33"/>
    </row>
    <row r="17" spans="1:8" x14ac:dyDescent="0.2">
      <c r="A17" s="123"/>
      <c r="B17" s="200" t="s">
        <v>75</v>
      </c>
      <c r="C17" s="77" t="str">
        <v>AM</v>
      </c>
      <c r="D17" s="77" t="str">
        <v>3L</v>
      </c>
      <c r="E17" s="75" t="str">
        <f t="shared" si="0"/>
        <v>GBPAM3L12Y_Quote</v>
      </c>
      <c r="F17" s="75" t="str">
        <f>_xll.qlSimpleQuote(Currency&amp;$C17&amp;$D17&amp;$B17&amp;QuoteSuffix,,RateTickValue,Permanent,Trigger,ObjectOverwrite)</f>
        <v>GBPAM3L12Y_Quote#0001</v>
      </c>
      <c r="G17" s="197" t="str">
        <f>_xll.ohRangeRetrieveError(F17)</f>
        <v/>
      </c>
      <c r="H17" s="33"/>
    </row>
    <row r="18" spans="1:8" x14ac:dyDescent="0.2">
      <c r="A18" s="123"/>
      <c r="B18" s="200" t="s">
        <v>74</v>
      </c>
      <c r="C18" s="77" t="str">
        <v>AM</v>
      </c>
      <c r="D18" s="77" t="str">
        <v>3L</v>
      </c>
      <c r="E18" s="75" t="str">
        <f t="shared" si="0"/>
        <v>GBPAM3L13Y_Quote</v>
      </c>
      <c r="F18" s="75" t="str">
        <f>_xll.qlSimpleQuote(Currency&amp;$C18&amp;$D18&amp;$B18&amp;QuoteSuffix,,RateTickValue,Permanent,Trigger,ObjectOverwrite)</f>
        <v>GBPAM3L13Y_Quote#0001</v>
      </c>
      <c r="G18" s="197" t="str">
        <f>_xll.ohRangeRetrieveError(F18)</f>
        <v/>
      </c>
      <c r="H18" s="33"/>
    </row>
    <row r="19" spans="1:8" x14ac:dyDescent="0.2">
      <c r="A19" s="123"/>
      <c r="B19" s="200" t="s">
        <v>73</v>
      </c>
      <c r="C19" s="77" t="str">
        <v>AM</v>
      </c>
      <c r="D19" s="77" t="str">
        <v>3L</v>
      </c>
      <c r="E19" s="75" t="str">
        <f t="shared" si="0"/>
        <v>GBPAM3L14Y_Quote</v>
      </c>
      <c r="F19" s="75" t="str">
        <f>_xll.qlSimpleQuote(Currency&amp;$C19&amp;$D19&amp;$B19&amp;QuoteSuffix,,RateTickValue,Permanent,Trigger,ObjectOverwrite)</f>
        <v>GBPAM3L14Y_Quote#0001</v>
      </c>
      <c r="G19" s="197" t="str">
        <f>_xll.ohRangeRetrieveError(F19)</f>
        <v/>
      </c>
      <c r="H19" s="33"/>
    </row>
    <row r="20" spans="1:8" x14ac:dyDescent="0.2">
      <c r="A20" s="123"/>
      <c r="B20" s="200" t="s">
        <v>72</v>
      </c>
      <c r="C20" s="77" t="str">
        <v>AM</v>
      </c>
      <c r="D20" s="77" t="str">
        <v>3L</v>
      </c>
      <c r="E20" s="75" t="str">
        <f t="shared" si="0"/>
        <v>GBPAM3L15Y_Quote</v>
      </c>
      <c r="F20" s="75" t="str">
        <f>_xll.qlSimpleQuote(Currency&amp;$C20&amp;$D20&amp;$B20&amp;QuoteSuffix,,RateTickValue,Permanent,Trigger,ObjectOverwrite)</f>
        <v>GBPAM3L15Y_Quote#0001</v>
      </c>
      <c r="G20" s="197" t="str">
        <f>_xll.ohRangeRetrieveError(F20)</f>
        <v/>
      </c>
      <c r="H20" s="33"/>
    </row>
    <row r="21" spans="1:8" x14ac:dyDescent="0.2">
      <c r="A21" s="123"/>
      <c r="B21" s="200" t="s">
        <v>71</v>
      </c>
      <c r="C21" s="77" t="str">
        <v>AM</v>
      </c>
      <c r="D21" s="77" t="str">
        <v>3L</v>
      </c>
      <c r="E21" s="75" t="str">
        <f t="shared" si="0"/>
        <v>GBPAM3L16Y_Quote</v>
      </c>
      <c r="F21" s="75" t="str">
        <f>_xll.qlSimpleQuote(Currency&amp;$C21&amp;$D21&amp;$B21&amp;QuoteSuffix,,RateTickValue,Permanent,Trigger,ObjectOverwrite)</f>
        <v>GBPAM3L16Y_Quote#0001</v>
      </c>
      <c r="G21" s="197" t="str">
        <f>_xll.ohRangeRetrieveError(F21)</f>
        <v/>
      </c>
      <c r="H21" s="33"/>
    </row>
    <row r="22" spans="1:8" x14ac:dyDescent="0.2">
      <c r="A22" s="123"/>
      <c r="B22" s="200" t="s">
        <v>70</v>
      </c>
      <c r="C22" s="77" t="str">
        <v>AM</v>
      </c>
      <c r="D22" s="77" t="str">
        <v>3L</v>
      </c>
      <c r="E22" s="75" t="str">
        <f t="shared" si="0"/>
        <v>GBPAM3L17Y_Quote</v>
      </c>
      <c r="F22" s="75" t="str">
        <f>_xll.qlSimpleQuote(Currency&amp;$C22&amp;$D22&amp;$B22&amp;QuoteSuffix,,RateTickValue,Permanent,Trigger,ObjectOverwrite)</f>
        <v>GBPAM3L17Y_Quote#0001</v>
      </c>
      <c r="G22" s="197" t="str">
        <f>_xll.ohRangeRetrieveError(F22)</f>
        <v/>
      </c>
      <c r="H22" s="33"/>
    </row>
    <row r="23" spans="1:8" x14ac:dyDescent="0.2">
      <c r="A23" s="123"/>
      <c r="B23" s="200" t="s">
        <v>69</v>
      </c>
      <c r="C23" s="77" t="str">
        <v>AM</v>
      </c>
      <c r="D23" s="77" t="str">
        <v>3L</v>
      </c>
      <c r="E23" s="75" t="str">
        <f t="shared" si="0"/>
        <v>GBPAM3L18Y_Quote</v>
      </c>
      <c r="F23" s="75" t="str">
        <f>_xll.qlSimpleQuote(Currency&amp;$C23&amp;$D23&amp;$B23&amp;QuoteSuffix,,RateTickValue,Permanent,Trigger,ObjectOverwrite)</f>
        <v>GBPAM3L18Y_Quote#0001</v>
      </c>
      <c r="G23" s="197" t="str">
        <f>_xll.ohRangeRetrieveError(F23)</f>
        <v/>
      </c>
      <c r="H23" s="33"/>
    </row>
    <row r="24" spans="1:8" x14ac:dyDescent="0.2">
      <c r="A24" s="123"/>
      <c r="B24" s="200" t="s">
        <v>68</v>
      </c>
      <c r="C24" s="77" t="str">
        <v>AM</v>
      </c>
      <c r="D24" s="77" t="str">
        <v>3L</v>
      </c>
      <c r="E24" s="75" t="str">
        <f t="shared" si="0"/>
        <v>GBPAM3L19Y_Quote</v>
      </c>
      <c r="F24" s="75" t="str">
        <f>_xll.qlSimpleQuote(Currency&amp;$C24&amp;$D24&amp;$B24&amp;QuoteSuffix,,RateTickValue,Permanent,Trigger,ObjectOverwrite)</f>
        <v>GBPAM3L19Y_Quote#0001</v>
      </c>
      <c r="G24" s="197" t="str">
        <f>_xll.ohRangeRetrieveError(F24)</f>
        <v/>
      </c>
      <c r="H24" s="33"/>
    </row>
    <row r="25" spans="1:8" x14ac:dyDescent="0.2">
      <c r="A25" s="123"/>
      <c r="B25" s="200" t="s">
        <v>67</v>
      </c>
      <c r="C25" s="77" t="str">
        <v>AM</v>
      </c>
      <c r="D25" s="77" t="str">
        <v>3L</v>
      </c>
      <c r="E25" s="75" t="str">
        <f t="shared" si="0"/>
        <v>GBPAM3L20Y_Quote</v>
      </c>
      <c r="F25" s="75" t="str">
        <f>_xll.qlSimpleQuote(Currency&amp;$C25&amp;$D25&amp;$B25&amp;QuoteSuffix,,RateTickValue,Permanent,Trigger,ObjectOverwrite)</f>
        <v>GBPAM3L20Y_Quote#0001</v>
      </c>
      <c r="G25" s="197" t="str">
        <f>_xll.ohRangeRetrieveError(F25)</f>
        <v/>
      </c>
      <c r="H25" s="33"/>
    </row>
    <row r="26" spans="1:8" x14ac:dyDescent="0.2">
      <c r="A26" s="123"/>
      <c r="B26" s="200" t="s">
        <v>66</v>
      </c>
      <c r="C26" s="77" t="str">
        <v>AM</v>
      </c>
      <c r="D26" s="77" t="str">
        <v>3L</v>
      </c>
      <c r="E26" s="75" t="str">
        <f t="shared" si="0"/>
        <v>GBPAM3L21Y_Quote</v>
      </c>
      <c r="F26" s="75" t="str">
        <f>_xll.qlSimpleQuote(Currency&amp;$C26&amp;$D26&amp;$B26&amp;QuoteSuffix,,RateTickValue,Permanent,Trigger,ObjectOverwrite)</f>
        <v>GBPAM3L21Y_Quote#0001</v>
      </c>
      <c r="G26" s="197" t="str">
        <f>_xll.ohRangeRetrieveError(F26)</f>
        <v/>
      </c>
      <c r="H26" s="33"/>
    </row>
    <row r="27" spans="1:8" x14ac:dyDescent="0.2">
      <c r="A27" s="123"/>
      <c r="B27" s="200" t="s">
        <v>65</v>
      </c>
      <c r="C27" s="77" t="str">
        <v>AM</v>
      </c>
      <c r="D27" s="77" t="str">
        <v>3L</v>
      </c>
      <c r="E27" s="75" t="str">
        <f t="shared" si="0"/>
        <v>GBPAM3L22Y_Quote</v>
      </c>
      <c r="F27" s="75" t="str">
        <f>_xll.qlSimpleQuote(Currency&amp;$C27&amp;$D27&amp;$B27&amp;QuoteSuffix,,RateTickValue,Permanent,Trigger,ObjectOverwrite)</f>
        <v>GBPAM3L22Y_Quote#0001</v>
      </c>
      <c r="G27" s="197" t="str">
        <f>_xll.ohRangeRetrieveError(F27)</f>
        <v/>
      </c>
      <c r="H27" s="33"/>
    </row>
    <row r="28" spans="1:8" x14ac:dyDescent="0.2">
      <c r="A28" s="123"/>
      <c r="B28" s="200" t="s">
        <v>64</v>
      </c>
      <c r="C28" s="77" t="str">
        <v>AM</v>
      </c>
      <c r="D28" s="77" t="str">
        <v>3L</v>
      </c>
      <c r="E28" s="75" t="str">
        <f t="shared" si="0"/>
        <v>GBPAM3L23Y_Quote</v>
      </c>
      <c r="F28" s="75" t="str">
        <f>_xll.qlSimpleQuote(Currency&amp;$C28&amp;$D28&amp;$B28&amp;QuoteSuffix,,RateTickValue,Permanent,Trigger,ObjectOverwrite)</f>
        <v>GBPAM3L23Y_Quote#0001</v>
      </c>
      <c r="G28" s="197" t="str">
        <f>_xll.ohRangeRetrieveError(F28)</f>
        <v/>
      </c>
      <c r="H28" s="33"/>
    </row>
    <row r="29" spans="1:8" x14ac:dyDescent="0.2">
      <c r="A29" s="123"/>
      <c r="B29" s="200" t="s">
        <v>63</v>
      </c>
      <c r="C29" s="77" t="str">
        <v>AM</v>
      </c>
      <c r="D29" s="77" t="str">
        <v>3L</v>
      </c>
      <c r="E29" s="75" t="str">
        <f t="shared" si="0"/>
        <v>GBPAM3L24Y_Quote</v>
      </c>
      <c r="F29" s="75" t="str">
        <f>_xll.qlSimpleQuote(Currency&amp;$C29&amp;$D29&amp;$B29&amp;QuoteSuffix,,RateTickValue,Permanent,Trigger,ObjectOverwrite)</f>
        <v>GBPAM3L24Y_Quote#0001</v>
      </c>
      <c r="G29" s="197" t="str">
        <f>_xll.ohRangeRetrieveError(F29)</f>
        <v/>
      </c>
      <c r="H29" s="33"/>
    </row>
    <row r="30" spans="1:8" x14ac:dyDescent="0.2">
      <c r="A30" s="123"/>
      <c r="B30" s="200" t="s">
        <v>62</v>
      </c>
      <c r="C30" s="77" t="str">
        <v>AM</v>
      </c>
      <c r="D30" s="77" t="str">
        <v>3L</v>
      </c>
      <c r="E30" s="75" t="str">
        <f t="shared" si="0"/>
        <v>GBPAM3L25Y_Quote</v>
      </c>
      <c r="F30" s="75" t="str">
        <f>_xll.qlSimpleQuote(Currency&amp;$C30&amp;$D30&amp;$B30&amp;QuoteSuffix,,RateTickValue,Permanent,Trigger,ObjectOverwrite)</f>
        <v>GBPAM3L25Y_Quote#0001</v>
      </c>
      <c r="G30" s="197" t="str">
        <f>_xll.ohRangeRetrieveError(F30)</f>
        <v/>
      </c>
      <c r="H30" s="33"/>
    </row>
    <row r="31" spans="1:8" x14ac:dyDescent="0.2">
      <c r="A31" s="123"/>
      <c r="B31" s="200" t="s">
        <v>61</v>
      </c>
      <c r="C31" s="77" t="str">
        <v>AM</v>
      </c>
      <c r="D31" s="77" t="str">
        <v>3L</v>
      </c>
      <c r="E31" s="75" t="str">
        <f t="shared" si="0"/>
        <v>GBPAM3L26Y_Quote</v>
      </c>
      <c r="F31" s="75" t="str">
        <f>_xll.qlSimpleQuote(Currency&amp;$C31&amp;$D31&amp;$B31&amp;QuoteSuffix,,RateTickValue,Permanent,Trigger,ObjectOverwrite)</f>
        <v>GBPAM3L26Y_Quote#0001</v>
      </c>
      <c r="G31" s="197" t="str">
        <f>_xll.ohRangeRetrieveError(F31)</f>
        <v/>
      </c>
      <c r="H31" s="33"/>
    </row>
    <row r="32" spans="1:8" x14ac:dyDescent="0.2">
      <c r="A32" s="123"/>
      <c r="B32" s="200" t="s">
        <v>60</v>
      </c>
      <c r="C32" s="77" t="str">
        <v>AM</v>
      </c>
      <c r="D32" s="77" t="str">
        <v>3L</v>
      </c>
      <c r="E32" s="75" t="str">
        <f t="shared" si="0"/>
        <v>GBPAM3L27Y_Quote</v>
      </c>
      <c r="F32" s="75" t="str">
        <f>_xll.qlSimpleQuote(Currency&amp;$C32&amp;$D32&amp;$B32&amp;QuoteSuffix,,RateTickValue,Permanent,Trigger,ObjectOverwrite)</f>
        <v>GBPAM3L27Y_Quote#0001</v>
      </c>
      <c r="G32" s="197" t="str">
        <f>_xll.ohRangeRetrieveError(F32)</f>
        <v/>
      </c>
      <c r="H32" s="33"/>
    </row>
    <row r="33" spans="1:8" x14ac:dyDescent="0.2">
      <c r="A33" s="123"/>
      <c r="B33" s="200" t="s">
        <v>59</v>
      </c>
      <c r="C33" s="77" t="str">
        <v>AM</v>
      </c>
      <c r="D33" s="77" t="str">
        <v>3L</v>
      </c>
      <c r="E33" s="75" t="str">
        <f t="shared" si="0"/>
        <v>GBPAM3L28Y_Quote</v>
      </c>
      <c r="F33" s="75" t="str">
        <f>_xll.qlSimpleQuote(Currency&amp;$C33&amp;$D33&amp;$B33&amp;QuoteSuffix,,RateTickValue,Permanent,Trigger,ObjectOverwrite)</f>
        <v>GBPAM3L28Y_Quote#0001</v>
      </c>
      <c r="G33" s="197" t="str">
        <f>_xll.ohRangeRetrieveError(F33)</f>
        <v/>
      </c>
      <c r="H33" s="33"/>
    </row>
    <row r="34" spans="1:8" x14ac:dyDescent="0.2">
      <c r="A34" s="123"/>
      <c r="B34" s="200" t="s">
        <v>58</v>
      </c>
      <c r="C34" s="77" t="str">
        <v>AM</v>
      </c>
      <c r="D34" s="77" t="str">
        <v>3L</v>
      </c>
      <c r="E34" s="75" t="str">
        <f t="shared" si="0"/>
        <v>GBPAM3L29Y_Quote</v>
      </c>
      <c r="F34" s="75" t="str">
        <f>_xll.qlSimpleQuote(Currency&amp;$C34&amp;$D34&amp;$B34&amp;QuoteSuffix,,RateTickValue,Permanent,Trigger,ObjectOverwrite)</f>
        <v>GBPAM3L29Y_Quote#0001</v>
      </c>
      <c r="G34" s="197" t="str">
        <f>_xll.ohRangeRetrieveError(F34)</f>
        <v/>
      </c>
      <c r="H34" s="33"/>
    </row>
    <row r="35" spans="1:8" x14ac:dyDescent="0.2">
      <c r="A35" s="123"/>
      <c r="B35" s="200" t="s">
        <v>57</v>
      </c>
      <c r="C35" s="77" t="str">
        <v>AM</v>
      </c>
      <c r="D35" s="77" t="str">
        <v>3L</v>
      </c>
      <c r="E35" s="75" t="str">
        <f t="shared" si="0"/>
        <v>GBPAM3L30Y_Quote</v>
      </c>
      <c r="F35" s="75" t="str">
        <f>_xll.qlSimpleQuote(Currency&amp;$C35&amp;$D35&amp;$B35&amp;QuoteSuffix,,RateTickValue,Permanent,Trigger,ObjectOverwrite)</f>
        <v>GBPAM3L30Y_Quote#0001</v>
      </c>
      <c r="G35" s="197" t="str">
        <f>_xll.ohRangeRetrieveError(F35)</f>
        <v/>
      </c>
      <c r="H35" s="33"/>
    </row>
    <row r="36" spans="1:8" x14ac:dyDescent="0.2">
      <c r="A36" s="123"/>
      <c r="B36" s="200" t="s">
        <v>52</v>
      </c>
      <c r="C36" s="77" t="str">
        <v>AM</v>
      </c>
      <c r="D36" s="77" t="str">
        <v>3L</v>
      </c>
      <c r="E36" s="75" t="str">
        <f t="shared" si="0"/>
        <v>GBPAM3L35Y_Quote</v>
      </c>
      <c r="F36" s="75" t="str">
        <f>_xll.qlSimpleQuote(Currency&amp;$C36&amp;$D36&amp;$B36&amp;QuoteSuffix,,RateTickValue,Permanent,Trigger,ObjectOverwrite)</f>
        <v>GBPAM3L35Y_Quote#0001</v>
      </c>
      <c r="G36" s="197" t="str">
        <f>_xll.ohRangeRetrieveError(F36)</f>
        <v/>
      </c>
      <c r="H36" s="33"/>
    </row>
    <row r="37" spans="1:8" x14ac:dyDescent="0.2">
      <c r="A37" s="123"/>
      <c r="B37" s="200" t="s">
        <v>47</v>
      </c>
      <c r="C37" s="77" t="str">
        <v>AM</v>
      </c>
      <c r="D37" s="77" t="str">
        <v>3L</v>
      </c>
      <c r="E37" s="75" t="str">
        <f t="shared" si="0"/>
        <v>GBPAM3L40Y_Quote</v>
      </c>
      <c r="F37" s="75" t="str">
        <f>_xll.qlSimpleQuote(Currency&amp;$C37&amp;$D37&amp;$B37&amp;QuoteSuffix,,RateTickValue,Permanent,Trigger,ObjectOverwrite)</f>
        <v>GBPAM3L40Y_Quote#0001</v>
      </c>
      <c r="G37" s="197" t="str">
        <f>_xll.ohRangeRetrieveError(F37)</f>
        <v/>
      </c>
      <c r="H37" s="33"/>
    </row>
    <row r="38" spans="1:8" x14ac:dyDescent="0.2">
      <c r="A38" s="123"/>
      <c r="B38" s="200" t="s">
        <v>37</v>
      </c>
      <c r="C38" s="77" t="str">
        <v>AM</v>
      </c>
      <c r="D38" s="77" t="str">
        <v>3L</v>
      </c>
      <c r="E38" s="75" t="str">
        <f t="shared" si="0"/>
        <v>GBPAM3L50Y_Quote</v>
      </c>
      <c r="F38" s="75" t="str">
        <f>_xll.qlSimpleQuote(Currency&amp;$C38&amp;$D38&amp;$B38&amp;QuoteSuffix,,RateTickValue,Permanent,Trigger,ObjectOverwrite)</f>
        <v>GBPAM3L50Y_Quote#0001</v>
      </c>
      <c r="G38" s="197" t="str">
        <f>_xll.ohRangeRetrieveError(F38)</f>
        <v/>
      </c>
      <c r="H38" s="33"/>
    </row>
    <row r="39" spans="1:8" x14ac:dyDescent="0.2">
      <c r="A39" s="123"/>
      <c r="B39" s="200" t="s">
        <v>27</v>
      </c>
      <c r="C39" s="77" t="str">
        <v>AM</v>
      </c>
      <c r="D39" s="77" t="str">
        <v>3L</v>
      </c>
      <c r="E39" s="75" t="str">
        <f t="shared" si="0"/>
        <v>GBPAM3L60Y_Quote</v>
      </c>
      <c r="F39" s="75" t="str">
        <f>_xll.qlSimpleQuote(Currency&amp;$C39&amp;$D39&amp;$B39&amp;QuoteSuffix,,RateTickValue,Permanent,Trigger,ObjectOverwrite)</f>
        <v>GBPAM3L60Y_Quote#0001</v>
      </c>
      <c r="G39" s="197" t="str">
        <f>_xll.ohRangeRetrieveError(F39)</f>
        <v/>
      </c>
      <c r="H39" s="33"/>
    </row>
    <row r="40" spans="1:8" ht="13.5" thickBot="1" x14ac:dyDescent="0.25">
      <c r="A40" s="32"/>
      <c r="B40" s="31"/>
      <c r="C40" s="31"/>
      <c r="D40" s="31"/>
      <c r="E40" s="31"/>
      <c r="F40" s="117"/>
      <c r="G40" s="117"/>
      <c r="H40" s="30"/>
    </row>
  </sheetData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0"/>
  <sheetViews>
    <sheetView workbookViewId="0">
      <selection activeCell="F2" sqref="F2"/>
    </sheetView>
  </sheetViews>
  <sheetFormatPr defaultRowHeight="11.25" x14ac:dyDescent="0.2"/>
  <cols>
    <col min="1" max="1" width="3.7109375" style="67" customWidth="1"/>
    <col min="2" max="2" width="6.5703125" style="66" bestFit="1" customWidth="1"/>
    <col min="3" max="3" width="3.140625" style="67" bestFit="1" customWidth="1"/>
    <col min="4" max="4" width="2.7109375" style="67" bestFit="1" customWidth="1"/>
    <col min="5" max="5" width="18" style="67" bestFit="1" customWidth="1"/>
    <col min="6" max="6" width="20.140625" style="68" bestFit="1" customWidth="1"/>
    <col min="7" max="7" width="38.28515625" style="67" customWidth="1"/>
    <col min="8" max="8" width="4.42578125" style="67" customWidth="1"/>
    <col min="9" max="9" width="2.42578125" style="67" customWidth="1"/>
    <col min="10" max="10" width="8.5703125" style="67" bestFit="1" customWidth="1"/>
    <col min="11" max="11" width="3.28515625" style="67" bestFit="1" customWidth="1"/>
    <col min="12" max="12" width="9.5703125" style="67" bestFit="1" customWidth="1"/>
    <col min="13" max="16384" width="9.140625" style="67"/>
  </cols>
  <sheetData>
    <row r="1" spans="1:12" ht="12" thickBot="1" x14ac:dyDescent="0.25">
      <c r="A1" s="208"/>
      <c r="B1" s="207"/>
      <c r="C1" s="207"/>
      <c r="D1" s="207"/>
      <c r="E1" s="156"/>
      <c r="F1" s="224"/>
      <c r="G1" s="156"/>
      <c r="H1" s="204"/>
    </row>
    <row r="2" spans="1:12" x14ac:dyDescent="0.2">
      <c r="A2" s="123"/>
      <c r="B2" s="92" t="s">
        <v>126</v>
      </c>
      <c r="C2" s="92"/>
      <c r="D2" s="92"/>
      <c r="E2" s="91" t="str">
        <f>Currency&amp;"_010_Sw"&amp;$C$3&amp;$D$3&amp;".xml"</f>
        <v>GBP_010_SwSB6L.xml</v>
      </c>
      <c r="F2" s="90">
        <f ca="1">IF(Serialize,_xll.ohObjectSave(F3:F39,SerializationPath&amp;E2,FileOverwrite,Serialize),"---")</f>
        <v>37</v>
      </c>
      <c r="G2" s="74" t="str">
        <f ca="1">_xll.ohRangeRetrieveError(F2)</f>
        <v/>
      </c>
      <c r="H2" s="33"/>
      <c r="J2" s="217" t="s">
        <v>218</v>
      </c>
      <c r="K2" s="216" t="s">
        <v>216</v>
      </c>
      <c r="L2" s="215" t="s">
        <v>215</v>
      </c>
    </row>
    <row r="3" spans="1:12" x14ac:dyDescent="0.2">
      <c r="A3" s="123"/>
      <c r="B3" s="220" t="s">
        <v>1</v>
      </c>
      <c r="C3" s="77" t="str">
        <f t="array" ref="C3:C39">VLOOKUP(Currency,SwapSecondarySetConventions,2)</f>
        <v>SB</v>
      </c>
      <c r="D3" s="77" t="str">
        <f t="array" ref="D3:D39">VLOOKUP(Currency,SwapSecondarySetConventions,3)</f>
        <v>6L</v>
      </c>
      <c r="E3" s="75" t="str">
        <f t="shared" ref="E3:E39" si="0">Currency&amp;$C3&amp;$D3&amp;$B3&amp;QuoteSuffix</f>
        <v>GBPSB6L1Y_Quote</v>
      </c>
      <c r="F3" s="75" t="str">
        <f>_xll.qlSimpleQuote(Currency&amp;$C3&amp;$D3&amp;$B3&amp;QuoteSuffix,,RateTickValue,Permanent,Trigger,ObjectOverwrite)</f>
        <v>GBPSB6L1Y_Quote#0001</v>
      </c>
      <c r="G3" s="74" t="str">
        <f>_xll.ohRangeRetrieveError(F3)</f>
        <v/>
      </c>
      <c r="H3" s="33"/>
      <c r="J3" s="214" t="s">
        <v>122</v>
      </c>
      <c r="K3" s="222" t="s">
        <v>214</v>
      </c>
      <c r="L3" s="221" t="s">
        <v>117</v>
      </c>
    </row>
    <row r="4" spans="1:12" x14ac:dyDescent="0.2">
      <c r="A4" s="123"/>
      <c r="B4" s="223" t="s">
        <v>125</v>
      </c>
      <c r="C4" s="77" t="str">
        <v>SB</v>
      </c>
      <c r="D4" s="77" t="str">
        <v>6L</v>
      </c>
      <c r="E4" s="75" t="str">
        <f t="shared" si="0"/>
        <v>GBPSB6L15M_Quote</v>
      </c>
      <c r="F4" s="75" t="str">
        <f>_xll.qlSimpleQuote(Currency&amp;$C4&amp;$D4&amp;$B4&amp;QuoteSuffix,,RateTickValue,Permanent,Trigger,ObjectOverwrite)</f>
        <v>GBPSB6L15M_Quote#0001</v>
      </c>
      <c r="G4" s="74" t="str">
        <f>_xll.ohRangeRetrieveError(F4)</f>
        <v/>
      </c>
      <c r="H4" s="33"/>
      <c r="J4" s="214" t="s">
        <v>121</v>
      </c>
      <c r="K4" s="84" t="s">
        <v>214</v>
      </c>
      <c r="L4" s="83" t="s">
        <v>119</v>
      </c>
    </row>
    <row r="5" spans="1:12" x14ac:dyDescent="0.2">
      <c r="A5" s="123"/>
      <c r="B5" s="223" t="s">
        <v>124</v>
      </c>
      <c r="C5" s="77" t="str">
        <v>SB</v>
      </c>
      <c r="D5" s="77" t="str">
        <v>6L</v>
      </c>
      <c r="E5" s="75" t="str">
        <f t="shared" si="0"/>
        <v>GBPSB6L18M_Quote</v>
      </c>
      <c r="F5" s="75" t="str">
        <f>_xll.qlSimpleQuote(Currency&amp;$C5&amp;$D5&amp;$B5&amp;QuoteSuffix,,RateTickValue,Permanent,Trigger,ObjectOverwrite)</f>
        <v>GBPSB6L18M_Quote#0001</v>
      </c>
      <c r="G5" s="74" t="str">
        <f>_xll.ohRangeRetrieveError(F5)</f>
        <v/>
      </c>
      <c r="H5" s="33"/>
      <c r="J5" s="214" t="s">
        <v>96</v>
      </c>
      <c r="K5" s="84" t="s">
        <v>213</v>
      </c>
      <c r="L5" s="83" t="s">
        <v>117</v>
      </c>
    </row>
    <row r="6" spans="1:12" x14ac:dyDescent="0.2">
      <c r="A6" s="123"/>
      <c r="B6" s="223" t="s">
        <v>123</v>
      </c>
      <c r="C6" s="77" t="str">
        <v>SB</v>
      </c>
      <c r="D6" s="77" t="str">
        <v>6L</v>
      </c>
      <c r="E6" s="75" t="str">
        <f t="shared" si="0"/>
        <v>GBPSB6L21M_Quote</v>
      </c>
      <c r="F6" s="75" t="str">
        <f>_xll.qlSimpleQuote(Currency&amp;$C6&amp;$D6&amp;$B6&amp;QuoteSuffix,,RateTickValue,Permanent,Trigger,ObjectOverwrite)</f>
        <v>GBPSB6L21M_Quote#0001</v>
      </c>
      <c r="G6" s="74" t="str">
        <f>_xll.ohRangeRetrieveError(F6)</f>
        <v/>
      </c>
      <c r="H6" s="33"/>
      <c r="J6" s="214" t="s">
        <v>118</v>
      </c>
      <c r="K6" s="222" t="s">
        <v>213</v>
      </c>
      <c r="L6" s="221" t="s">
        <v>117</v>
      </c>
    </row>
    <row r="7" spans="1:12" ht="12" thickBot="1" x14ac:dyDescent="0.25">
      <c r="A7" s="123"/>
      <c r="B7" s="220" t="s">
        <v>85</v>
      </c>
      <c r="C7" s="77" t="str">
        <v>SB</v>
      </c>
      <c r="D7" s="77" t="str">
        <v>6L</v>
      </c>
      <c r="E7" s="75" t="str">
        <f t="shared" si="0"/>
        <v>GBPSB6L2Y_Quote</v>
      </c>
      <c r="F7" s="75" t="str">
        <f>_xll.qlSimpleQuote(Currency&amp;$C7&amp;$D7&amp;$B7&amp;QuoteSuffix,,RateTickValue,Permanent,Trigger,ObjectOverwrite)</f>
        <v>GBPSB6L2Y_Quote#0001</v>
      </c>
      <c r="G7" s="74" t="str">
        <f>_xll.ohRangeRetrieveError(F7)</f>
        <v/>
      </c>
      <c r="H7" s="33"/>
      <c r="J7" s="213" t="s">
        <v>116</v>
      </c>
      <c r="K7" s="81" t="s">
        <v>212</v>
      </c>
      <c r="L7" s="80" t="s">
        <v>117</v>
      </c>
    </row>
    <row r="8" spans="1:12" x14ac:dyDescent="0.2">
      <c r="A8" s="123"/>
      <c r="B8" s="220" t="s">
        <v>84</v>
      </c>
      <c r="C8" s="77" t="str">
        <v>SB</v>
      </c>
      <c r="D8" s="77" t="str">
        <v>6L</v>
      </c>
      <c r="E8" s="75" t="str">
        <f t="shared" si="0"/>
        <v>GBPSB6L3Y_Quote</v>
      </c>
      <c r="F8" s="75" t="str">
        <f>_xll.qlSimpleQuote(Currency&amp;$C8&amp;$D8&amp;$B8&amp;QuoteSuffix,,RateTickValue,Permanent,Trigger,ObjectOverwrite)</f>
        <v>GBPSB6L3Y_Quote#0001</v>
      </c>
      <c r="G8" s="74" t="str">
        <f>_xll.ohRangeRetrieveError(F8)</f>
        <v/>
      </c>
      <c r="H8" s="33"/>
    </row>
    <row r="9" spans="1:12" x14ac:dyDescent="0.2">
      <c r="A9" s="123"/>
      <c r="B9" s="220" t="s">
        <v>83</v>
      </c>
      <c r="C9" s="77" t="str">
        <v>SB</v>
      </c>
      <c r="D9" s="77" t="str">
        <v>6L</v>
      </c>
      <c r="E9" s="75" t="str">
        <f t="shared" si="0"/>
        <v>GBPSB6L4Y_Quote</v>
      </c>
      <c r="F9" s="75" t="str">
        <f>_xll.qlSimpleQuote(Currency&amp;$C9&amp;$D9&amp;$B9&amp;QuoteSuffix,,RateTickValue,Permanent,Trigger,ObjectOverwrite)</f>
        <v>GBPSB6L4Y_Quote#0001</v>
      </c>
      <c r="G9" s="74" t="str">
        <f>_xll.ohRangeRetrieveError(F9)</f>
        <v/>
      </c>
      <c r="H9" s="33"/>
    </row>
    <row r="10" spans="1:12" x14ac:dyDescent="0.2">
      <c r="A10" s="123"/>
      <c r="B10" s="220" t="s">
        <v>82</v>
      </c>
      <c r="C10" s="77" t="str">
        <v>SB</v>
      </c>
      <c r="D10" s="77" t="str">
        <v>6L</v>
      </c>
      <c r="E10" s="75" t="str">
        <f t="shared" si="0"/>
        <v>GBPSB6L5Y_Quote</v>
      </c>
      <c r="F10" s="75" t="str">
        <f>_xll.qlSimpleQuote(Currency&amp;$C10&amp;$D10&amp;$B10&amp;QuoteSuffix,,RateTickValue,Permanent,Trigger,ObjectOverwrite)</f>
        <v>GBPSB6L5Y_Quote#0001</v>
      </c>
      <c r="G10" s="74" t="str">
        <f>_xll.ohRangeRetrieveError(F10)</f>
        <v/>
      </c>
      <c r="H10" s="33"/>
    </row>
    <row r="11" spans="1:12" x14ac:dyDescent="0.2">
      <c r="A11" s="123"/>
      <c r="B11" s="220" t="s">
        <v>81</v>
      </c>
      <c r="C11" s="77" t="str">
        <v>SB</v>
      </c>
      <c r="D11" s="77" t="str">
        <v>6L</v>
      </c>
      <c r="E11" s="75" t="str">
        <f t="shared" si="0"/>
        <v>GBPSB6L6Y_Quote</v>
      </c>
      <c r="F11" s="75" t="str">
        <f>_xll.qlSimpleQuote(Currency&amp;$C11&amp;$D11&amp;$B11&amp;QuoteSuffix,,RateTickValue,Permanent,Trigger,ObjectOverwrite)</f>
        <v>GBPSB6L6Y_Quote#0001</v>
      </c>
      <c r="G11" s="74" t="str">
        <f>_xll.ohRangeRetrieveError(F11)</f>
        <v/>
      </c>
      <c r="H11" s="33"/>
    </row>
    <row r="12" spans="1:12" x14ac:dyDescent="0.2">
      <c r="A12" s="123"/>
      <c r="B12" s="220" t="s">
        <v>80</v>
      </c>
      <c r="C12" s="77" t="str">
        <v>SB</v>
      </c>
      <c r="D12" s="77" t="str">
        <v>6L</v>
      </c>
      <c r="E12" s="75" t="str">
        <f t="shared" si="0"/>
        <v>GBPSB6L7Y_Quote</v>
      </c>
      <c r="F12" s="75" t="str">
        <f>_xll.qlSimpleQuote(Currency&amp;$C12&amp;$D12&amp;$B12&amp;QuoteSuffix,,RateTickValue,Permanent,Trigger,ObjectOverwrite)</f>
        <v>GBPSB6L7Y_Quote#0001</v>
      </c>
      <c r="G12" s="74" t="str">
        <f>_xll.ohRangeRetrieveError(F12)</f>
        <v/>
      </c>
      <c r="H12" s="33"/>
    </row>
    <row r="13" spans="1:12" x14ac:dyDescent="0.2">
      <c r="A13" s="123"/>
      <c r="B13" s="220" t="s">
        <v>79</v>
      </c>
      <c r="C13" s="77" t="str">
        <v>SB</v>
      </c>
      <c r="D13" s="77" t="str">
        <v>6L</v>
      </c>
      <c r="E13" s="75" t="str">
        <f t="shared" si="0"/>
        <v>GBPSB6L8Y_Quote</v>
      </c>
      <c r="F13" s="75" t="str">
        <f>_xll.qlSimpleQuote(Currency&amp;$C13&amp;$D13&amp;$B13&amp;QuoteSuffix,,RateTickValue,Permanent,Trigger,ObjectOverwrite)</f>
        <v>GBPSB6L8Y_Quote#0001</v>
      </c>
      <c r="G13" s="74" t="str">
        <f>_xll.ohRangeRetrieveError(F13)</f>
        <v/>
      </c>
      <c r="H13" s="33"/>
    </row>
    <row r="14" spans="1:12" x14ac:dyDescent="0.2">
      <c r="A14" s="123"/>
      <c r="B14" s="220" t="s">
        <v>78</v>
      </c>
      <c r="C14" s="77" t="str">
        <v>SB</v>
      </c>
      <c r="D14" s="77" t="str">
        <v>6L</v>
      </c>
      <c r="E14" s="75" t="str">
        <f t="shared" si="0"/>
        <v>GBPSB6L9Y_Quote</v>
      </c>
      <c r="F14" s="75" t="str">
        <f>_xll.qlSimpleQuote(Currency&amp;$C14&amp;$D14&amp;$B14&amp;QuoteSuffix,,RateTickValue,Permanent,Trigger,ObjectOverwrite)</f>
        <v>GBPSB6L9Y_Quote#0001</v>
      </c>
      <c r="G14" s="74" t="str">
        <f>_xll.ohRangeRetrieveError(F14)</f>
        <v/>
      </c>
      <c r="H14" s="33"/>
    </row>
    <row r="15" spans="1:12" x14ac:dyDescent="0.2">
      <c r="A15" s="123"/>
      <c r="B15" s="220" t="s">
        <v>77</v>
      </c>
      <c r="C15" s="77" t="str">
        <v>SB</v>
      </c>
      <c r="D15" s="77" t="str">
        <v>6L</v>
      </c>
      <c r="E15" s="75" t="str">
        <f t="shared" si="0"/>
        <v>GBPSB6L10Y_Quote</v>
      </c>
      <c r="F15" s="75" t="str">
        <f>_xll.qlSimpleQuote(Currency&amp;$C15&amp;$D15&amp;$B15&amp;QuoteSuffix,,RateTickValue,Permanent,Trigger,ObjectOverwrite)</f>
        <v>GBPSB6L10Y_Quote#0001</v>
      </c>
      <c r="G15" s="74" t="str">
        <f>_xll.ohRangeRetrieveError(F15)</f>
        <v/>
      </c>
      <c r="H15" s="33"/>
    </row>
    <row r="16" spans="1:12" x14ac:dyDescent="0.2">
      <c r="A16" s="123"/>
      <c r="B16" s="220" t="s">
        <v>76</v>
      </c>
      <c r="C16" s="77" t="str">
        <v>SB</v>
      </c>
      <c r="D16" s="77" t="str">
        <v>6L</v>
      </c>
      <c r="E16" s="75" t="str">
        <f t="shared" si="0"/>
        <v>GBPSB6L11Y_Quote</v>
      </c>
      <c r="F16" s="75" t="str">
        <f>_xll.qlSimpleQuote(Currency&amp;$C16&amp;$D16&amp;$B16&amp;QuoteSuffix,,RateTickValue,Permanent,Trigger,ObjectOverwrite)</f>
        <v>GBPSB6L11Y_Quote#0001</v>
      </c>
      <c r="G16" s="74" t="str">
        <f>_xll.ohRangeRetrieveError(F16)</f>
        <v/>
      </c>
      <c r="H16" s="33"/>
    </row>
    <row r="17" spans="1:8" x14ac:dyDescent="0.2">
      <c r="A17" s="123"/>
      <c r="B17" s="220" t="s">
        <v>75</v>
      </c>
      <c r="C17" s="77" t="str">
        <v>SB</v>
      </c>
      <c r="D17" s="77" t="str">
        <v>6L</v>
      </c>
      <c r="E17" s="75" t="str">
        <f t="shared" si="0"/>
        <v>GBPSB6L12Y_Quote</v>
      </c>
      <c r="F17" s="75" t="str">
        <f>_xll.qlSimpleQuote(Currency&amp;$C17&amp;$D17&amp;$B17&amp;QuoteSuffix,,RateTickValue,Permanent,Trigger,ObjectOverwrite)</f>
        <v>GBPSB6L12Y_Quote#0001</v>
      </c>
      <c r="G17" s="74" t="str">
        <f>_xll.ohRangeRetrieveError(F17)</f>
        <v/>
      </c>
      <c r="H17" s="33"/>
    </row>
    <row r="18" spans="1:8" x14ac:dyDescent="0.2">
      <c r="A18" s="123"/>
      <c r="B18" s="220" t="s">
        <v>74</v>
      </c>
      <c r="C18" s="77" t="str">
        <v>SB</v>
      </c>
      <c r="D18" s="77" t="str">
        <v>6L</v>
      </c>
      <c r="E18" s="75" t="str">
        <f t="shared" si="0"/>
        <v>GBPSB6L13Y_Quote</v>
      </c>
      <c r="F18" s="75" t="str">
        <f>_xll.qlSimpleQuote(Currency&amp;$C18&amp;$D18&amp;$B18&amp;QuoteSuffix,,RateTickValue,Permanent,Trigger,ObjectOverwrite)</f>
        <v>GBPSB6L13Y_Quote#0001</v>
      </c>
      <c r="G18" s="74" t="str">
        <f>_xll.ohRangeRetrieveError(F18)</f>
        <v/>
      </c>
      <c r="H18" s="33"/>
    </row>
    <row r="19" spans="1:8" x14ac:dyDescent="0.2">
      <c r="A19" s="123"/>
      <c r="B19" s="220" t="s">
        <v>73</v>
      </c>
      <c r="C19" s="77" t="str">
        <v>SB</v>
      </c>
      <c r="D19" s="77" t="str">
        <v>6L</v>
      </c>
      <c r="E19" s="75" t="str">
        <f t="shared" si="0"/>
        <v>GBPSB6L14Y_Quote</v>
      </c>
      <c r="F19" s="75" t="str">
        <f>_xll.qlSimpleQuote(Currency&amp;$C19&amp;$D19&amp;$B19&amp;QuoteSuffix,,RateTickValue,Permanent,Trigger,ObjectOverwrite)</f>
        <v>GBPSB6L14Y_Quote#0001</v>
      </c>
      <c r="G19" s="74" t="str">
        <f>_xll.ohRangeRetrieveError(F19)</f>
        <v/>
      </c>
      <c r="H19" s="33"/>
    </row>
    <row r="20" spans="1:8" x14ac:dyDescent="0.2">
      <c r="A20" s="123"/>
      <c r="B20" s="220" t="s">
        <v>72</v>
      </c>
      <c r="C20" s="77" t="str">
        <v>SB</v>
      </c>
      <c r="D20" s="77" t="str">
        <v>6L</v>
      </c>
      <c r="E20" s="75" t="str">
        <f t="shared" si="0"/>
        <v>GBPSB6L15Y_Quote</v>
      </c>
      <c r="F20" s="75" t="str">
        <f>_xll.qlSimpleQuote(Currency&amp;$C20&amp;$D20&amp;$B20&amp;QuoteSuffix,,RateTickValue,Permanent,Trigger,ObjectOverwrite)</f>
        <v>GBPSB6L15Y_Quote#0001</v>
      </c>
      <c r="G20" s="74" t="str">
        <f>_xll.ohRangeRetrieveError(F20)</f>
        <v/>
      </c>
      <c r="H20" s="33"/>
    </row>
    <row r="21" spans="1:8" x14ac:dyDescent="0.2">
      <c r="A21" s="123"/>
      <c r="B21" s="220" t="s">
        <v>71</v>
      </c>
      <c r="C21" s="77" t="str">
        <v>SB</v>
      </c>
      <c r="D21" s="77" t="str">
        <v>6L</v>
      </c>
      <c r="E21" s="75" t="str">
        <f t="shared" si="0"/>
        <v>GBPSB6L16Y_Quote</v>
      </c>
      <c r="F21" s="75" t="str">
        <f>_xll.qlSimpleQuote(Currency&amp;$C21&amp;$D21&amp;$B21&amp;QuoteSuffix,,RateTickValue,Permanent,Trigger,ObjectOverwrite)</f>
        <v>GBPSB6L16Y_Quote#0001</v>
      </c>
      <c r="G21" s="74" t="str">
        <f>_xll.ohRangeRetrieveError(F21)</f>
        <v/>
      </c>
      <c r="H21" s="33"/>
    </row>
    <row r="22" spans="1:8" x14ac:dyDescent="0.2">
      <c r="A22" s="123"/>
      <c r="B22" s="220" t="s">
        <v>70</v>
      </c>
      <c r="C22" s="77" t="str">
        <v>SB</v>
      </c>
      <c r="D22" s="77" t="str">
        <v>6L</v>
      </c>
      <c r="E22" s="75" t="str">
        <f t="shared" si="0"/>
        <v>GBPSB6L17Y_Quote</v>
      </c>
      <c r="F22" s="75" t="str">
        <f>_xll.qlSimpleQuote(Currency&amp;$C22&amp;$D22&amp;$B22&amp;QuoteSuffix,,RateTickValue,Permanent,Trigger,ObjectOverwrite)</f>
        <v>GBPSB6L17Y_Quote#0001</v>
      </c>
      <c r="G22" s="74" t="str">
        <f>_xll.ohRangeRetrieveError(F22)</f>
        <v/>
      </c>
      <c r="H22" s="33"/>
    </row>
    <row r="23" spans="1:8" x14ac:dyDescent="0.2">
      <c r="A23" s="123"/>
      <c r="B23" s="220" t="s">
        <v>69</v>
      </c>
      <c r="C23" s="77" t="str">
        <v>SB</v>
      </c>
      <c r="D23" s="77" t="str">
        <v>6L</v>
      </c>
      <c r="E23" s="75" t="str">
        <f t="shared" si="0"/>
        <v>GBPSB6L18Y_Quote</v>
      </c>
      <c r="F23" s="75" t="str">
        <f>_xll.qlSimpleQuote(Currency&amp;$C23&amp;$D23&amp;$B23&amp;QuoteSuffix,,RateTickValue,Permanent,Trigger,ObjectOverwrite)</f>
        <v>GBPSB6L18Y_Quote#0001</v>
      </c>
      <c r="G23" s="74" t="str">
        <f>_xll.ohRangeRetrieveError(F23)</f>
        <v/>
      </c>
      <c r="H23" s="33"/>
    </row>
    <row r="24" spans="1:8" x14ac:dyDescent="0.2">
      <c r="A24" s="123"/>
      <c r="B24" s="220" t="s">
        <v>68</v>
      </c>
      <c r="C24" s="77" t="str">
        <v>SB</v>
      </c>
      <c r="D24" s="77" t="str">
        <v>6L</v>
      </c>
      <c r="E24" s="75" t="str">
        <f t="shared" si="0"/>
        <v>GBPSB6L19Y_Quote</v>
      </c>
      <c r="F24" s="75" t="str">
        <f>_xll.qlSimpleQuote(Currency&amp;$C24&amp;$D24&amp;$B24&amp;QuoteSuffix,,RateTickValue,Permanent,Trigger,ObjectOverwrite)</f>
        <v>GBPSB6L19Y_Quote#0001</v>
      </c>
      <c r="G24" s="74" t="str">
        <f>_xll.ohRangeRetrieveError(F24)</f>
        <v/>
      </c>
      <c r="H24" s="33"/>
    </row>
    <row r="25" spans="1:8" x14ac:dyDescent="0.2">
      <c r="A25" s="123"/>
      <c r="B25" s="220" t="s">
        <v>67</v>
      </c>
      <c r="C25" s="77" t="str">
        <v>SB</v>
      </c>
      <c r="D25" s="77" t="str">
        <v>6L</v>
      </c>
      <c r="E25" s="75" t="str">
        <f t="shared" si="0"/>
        <v>GBPSB6L20Y_Quote</v>
      </c>
      <c r="F25" s="75" t="str">
        <f>_xll.qlSimpleQuote(Currency&amp;$C25&amp;$D25&amp;$B25&amp;QuoteSuffix,,RateTickValue,Permanent,Trigger,ObjectOverwrite)</f>
        <v>GBPSB6L20Y_Quote#0001</v>
      </c>
      <c r="G25" s="74" t="str">
        <f>_xll.ohRangeRetrieveError(F25)</f>
        <v/>
      </c>
      <c r="H25" s="33"/>
    </row>
    <row r="26" spans="1:8" x14ac:dyDescent="0.2">
      <c r="A26" s="123"/>
      <c r="B26" s="220" t="s">
        <v>66</v>
      </c>
      <c r="C26" s="77" t="str">
        <v>SB</v>
      </c>
      <c r="D26" s="77" t="str">
        <v>6L</v>
      </c>
      <c r="E26" s="75" t="str">
        <f t="shared" si="0"/>
        <v>GBPSB6L21Y_Quote</v>
      </c>
      <c r="F26" s="75" t="str">
        <f>_xll.qlSimpleQuote(Currency&amp;$C26&amp;$D26&amp;$B26&amp;QuoteSuffix,,RateTickValue,Permanent,Trigger,ObjectOverwrite)</f>
        <v>GBPSB6L21Y_Quote#0001</v>
      </c>
      <c r="G26" s="74" t="str">
        <f>_xll.ohRangeRetrieveError(F26)</f>
        <v/>
      </c>
      <c r="H26" s="33"/>
    </row>
    <row r="27" spans="1:8" x14ac:dyDescent="0.2">
      <c r="A27" s="123"/>
      <c r="B27" s="220" t="s">
        <v>65</v>
      </c>
      <c r="C27" s="77" t="str">
        <v>SB</v>
      </c>
      <c r="D27" s="77" t="str">
        <v>6L</v>
      </c>
      <c r="E27" s="75" t="str">
        <f t="shared" si="0"/>
        <v>GBPSB6L22Y_Quote</v>
      </c>
      <c r="F27" s="75" t="str">
        <f>_xll.qlSimpleQuote(Currency&amp;$C27&amp;$D27&amp;$B27&amp;QuoteSuffix,,RateTickValue,Permanent,Trigger,ObjectOverwrite)</f>
        <v>GBPSB6L22Y_Quote#0001</v>
      </c>
      <c r="G27" s="74" t="str">
        <f>_xll.ohRangeRetrieveError(F27)</f>
        <v/>
      </c>
      <c r="H27" s="33"/>
    </row>
    <row r="28" spans="1:8" x14ac:dyDescent="0.2">
      <c r="A28" s="123"/>
      <c r="B28" s="220" t="s">
        <v>64</v>
      </c>
      <c r="C28" s="77" t="str">
        <v>SB</v>
      </c>
      <c r="D28" s="77" t="str">
        <v>6L</v>
      </c>
      <c r="E28" s="75" t="str">
        <f t="shared" si="0"/>
        <v>GBPSB6L23Y_Quote</v>
      </c>
      <c r="F28" s="75" t="str">
        <f>_xll.qlSimpleQuote(Currency&amp;$C28&amp;$D28&amp;$B28&amp;QuoteSuffix,,RateTickValue,Permanent,Trigger,ObjectOverwrite)</f>
        <v>GBPSB6L23Y_Quote#0001</v>
      </c>
      <c r="G28" s="74" t="str">
        <f>_xll.ohRangeRetrieveError(F28)</f>
        <v/>
      </c>
      <c r="H28" s="33"/>
    </row>
    <row r="29" spans="1:8" x14ac:dyDescent="0.2">
      <c r="A29" s="123"/>
      <c r="B29" s="220" t="s">
        <v>63</v>
      </c>
      <c r="C29" s="77" t="str">
        <v>SB</v>
      </c>
      <c r="D29" s="77" t="str">
        <v>6L</v>
      </c>
      <c r="E29" s="75" t="str">
        <f t="shared" si="0"/>
        <v>GBPSB6L24Y_Quote</v>
      </c>
      <c r="F29" s="75" t="str">
        <f>_xll.qlSimpleQuote(Currency&amp;$C29&amp;$D29&amp;$B29&amp;QuoteSuffix,,RateTickValue,Permanent,Trigger,ObjectOverwrite)</f>
        <v>GBPSB6L24Y_Quote#0001</v>
      </c>
      <c r="G29" s="74" t="str">
        <f>_xll.ohRangeRetrieveError(F29)</f>
        <v/>
      </c>
      <c r="H29" s="33"/>
    </row>
    <row r="30" spans="1:8" x14ac:dyDescent="0.2">
      <c r="A30" s="123"/>
      <c r="B30" s="220" t="s">
        <v>62</v>
      </c>
      <c r="C30" s="77" t="str">
        <v>SB</v>
      </c>
      <c r="D30" s="77" t="str">
        <v>6L</v>
      </c>
      <c r="E30" s="75" t="str">
        <f t="shared" si="0"/>
        <v>GBPSB6L25Y_Quote</v>
      </c>
      <c r="F30" s="75" t="str">
        <f>_xll.qlSimpleQuote(Currency&amp;$C30&amp;$D30&amp;$B30&amp;QuoteSuffix,,RateTickValue,Permanent,Trigger,ObjectOverwrite)</f>
        <v>GBPSB6L25Y_Quote#0001</v>
      </c>
      <c r="G30" s="74" t="str">
        <f>_xll.ohRangeRetrieveError(F30)</f>
        <v/>
      </c>
      <c r="H30" s="33"/>
    </row>
    <row r="31" spans="1:8" x14ac:dyDescent="0.2">
      <c r="A31" s="123"/>
      <c r="B31" s="220" t="s">
        <v>61</v>
      </c>
      <c r="C31" s="77" t="str">
        <v>SB</v>
      </c>
      <c r="D31" s="77" t="str">
        <v>6L</v>
      </c>
      <c r="E31" s="75" t="str">
        <f t="shared" si="0"/>
        <v>GBPSB6L26Y_Quote</v>
      </c>
      <c r="F31" s="75" t="str">
        <f>_xll.qlSimpleQuote(Currency&amp;$C31&amp;$D31&amp;$B31&amp;QuoteSuffix,,RateTickValue,Permanent,Trigger,ObjectOverwrite)</f>
        <v>GBPSB6L26Y_Quote#0001</v>
      </c>
      <c r="G31" s="74" t="str">
        <f>_xll.ohRangeRetrieveError(F31)</f>
        <v/>
      </c>
      <c r="H31" s="33"/>
    </row>
    <row r="32" spans="1:8" x14ac:dyDescent="0.2">
      <c r="A32" s="123"/>
      <c r="B32" s="220" t="s">
        <v>60</v>
      </c>
      <c r="C32" s="77" t="str">
        <v>SB</v>
      </c>
      <c r="D32" s="77" t="str">
        <v>6L</v>
      </c>
      <c r="E32" s="75" t="str">
        <f t="shared" si="0"/>
        <v>GBPSB6L27Y_Quote</v>
      </c>
      <c r="F32" s="75" t="str">
        <f>_xll.qlSimpleQuote(Currency&amp;$C32&amp;$D32&amp;$B32&amp;QuoteSuffix,,RateTickValue,Permanent,Trigger,ObjectOverwrite)</f>
        <v>GBPSB6L27Y_Quote#0001</v>
      </c>
      <c r="G32" s="74" t="str">
        <f>_xll.ohRangeRetrieveError(F32)</f>
        <v/>
      </c>
      <c r="H32" s="33"/>
    </row>
    <row r="33" spans="1:8" x14ac:dyDescent="0.2">
      <c r="A33" s="123"/>
      <c r="B33" s="220" t="s">
        <v>59</v>
      </c>
      <c r="C33" s="77" t="str">
        <v>SB</v>
      </c>
      <c r="D33" s="77" t="str">
        <v>6L</v>
      </c>
      <c r="E33" s="75" t="str">
        <f t="shared" si="0"/>
        <v>GBPSB6L28Y_Quote</v>
      </c>
      <c r="F33" s="75" t="str">
        <f>_xll.qlSimpleQuote(Currency&amp;$C33&amp;$D33&amp;$B33&amp;QuoteSuffix,,RateTickValue,Permanent,Trigger,ObjectOverwrite)</f>
        <v>GBPSB6L28Y_Quote#0001</v>
      </c>
      <c r="G33" s="74" t="str">
        <f>_xll.ohRangeRetrieveError(F33)</f>
        <v/>
      </c>
      <c r="H33" s="33"/>
    </row>
    <row r="34" spans="1:8" x14ac:dyDescent="0.2">
      <c r="A34" s="123"/>
      <c r="B34" s="220" t="s">
        <v>58</v>
      </c>
      <c r="C34" s="77" t="str">
        <v>SB</v>
      </c>
      <c r="D34" s="77" t="str">
        <v>6L</v>
      </c>
      <c r="E34" s="75" t="str">
        <f t="shared" si="0"/>
        <v>GBPSB6L29Y_Quote</v>
      </c>
      <c r="F34" s="75" t="str">
        <f>_xll.qlSimpleQuote(Currency&amp;$C34&amp;$D34&amp;$B34&amp;QuoteSuffix,,RateTickValue,Permanent,Trigger,ObjectOverwrite)</f>
        <v>GBPSB6L29Y_Quote#0001</v>
      </c>
      <c r="G34" s="74" t="str">
        <f>_xll.ohRangeRetrieveError(F34)</f>
        <v/>
      </c>
      <c r="H34" s="33"/>
    </row>
    <row r="35" spans="1:8" x14ac:dyDescent="0.2">
      <c r="A35" s="123"/>
      <c r="B35" s="220" t="s">
        <v>57</v>
      </c>
      <c r="C35" s="77" t="str">
        <v>SB</v>
      </c>
      <c r="D35" s="77" t="str">
        <v>6L</v>
      </c>
      <c r="E35" s="75" t="str">
        <f t="shared" si="0"/>
        <v>GBPSB6L30Y_Quote</v>
      </c>
      <c r="F35" s="75" t="str">
        <f>_xll.qlSimpleQuote(Currency&amp;$C35&amp;$D35&amp;$B35&amp;QuoteSuffix,,RateTickValue,Permanent,Trigger,ObjectOverwrite)</f>
        <v>GBPSB6L30Y_Quote#0001</v>
      </c>
      <c r="G35" s="74" t="str">
        <f>_xll.ohRangeRetrieveError(F35)</f>
        <v/>
      </c>
      <c r="H35" s="33"/>
    </row>
    <row r="36" spans="1:8" x14ac:dyDescent="0.2">
      <c r="A36" s="123"/>
      <c r="B36" s="220" t="s">
        <v>52</v>
      </c>
      <c r="C36" s="77" t="str">
        <v>SB</v>
      </c>
      <c r="D36" s="77" t="str">
        <v>6L</v>
      </c>
      <c r="E36" s="75" t="str">
        <f t="shared" si="0"/>
        <v>GBPSB6L35Y_Quote</v>
      </c>
      <c r="F36" s="75" t="str">
        <f>_xll.qlSimpleQuote(Currency&amp;$C36&amp;$D36&amp;$B36&amp;QuoteSuffix,,RateTickValue,Permanent,Trigger,ObjectOverwrite)</f>
        <v>GBPSB6L35Y_Quote#0001</v>
      </c>
      <c r="G36" s="74" t="str">
        <f>_xll.ohRangeRetrieveError(F36)</f>
        <v/>
      </c>
      <c r="H36" s="33"/>
    </row>
    <row r="37" spans="1:8" x14ac:dyDescent="0.2">
      <c r="A37" s="123"/>
      <c r="B37" s="220" t="s">
        <v>47</v>
      </c>
      <c r="C37" s="77" t="str">
        <v>SB</v>
      </c>
      <c r="D37" s="77" t="str">
        <v>6L</v>
      </c>
      <c r="E37" s="75" t="str">
        <f t="shared" si="0"/>
        <v>GBPSB6L40Y_Quote</v>
      </c>
      <c r="F37" s="75" t="str">
        <f>_xll.qlSimpleQuote(Currency&amp;$C37&amp;$D37&amp;$B37&amp;QuoteSuffix,,RateTickValue,Permanent,Trigger,ObjectOverwrite)</f>
        <v>GBPSB6L40Y_Quote#0001</v>
      </c>
      <c r="G37" s="74" t="str">
        <f>_xll.ohRangeRetrieveError(F37)</f>
        <v/>
      </c>
      <c r="H37" s="33"/>
    </row>
    <row r="38" spans="1:8" x14ac:dyDescent="0.2">
      <c r="A38" s="123"/>
      <c r="B38" s="220" t="s">
        <v>37</v>
      </c>
      <c r="C38" s="77" t="str">
        <v>SB</v>
      </c>
      <c r="D38" s="77" t="str">
        <v>6L</v>
      </c>
      <c r="E38" s="75" t="str">
        <f t="shared" si="0"/>
        <v>GBPSB6L50Y_Quote</v>
      </c>
      <c r="F38" s="75" t="str">
        <f>_xll.qlSimpleQuote(Currency&amp;$C38&amp;$D38&amp;$B38&amp;QuoteSuffix,,RateTickValue,Permanent,Trigger,ObjectOverwrite)</f>
        <v>GBPSB6L50Y_Quote#0001</v>
      </c>
      <c r="G38" s="74" t="str">
        <f>_xll.ohRangeRetrieveError(F38)</f>
        <v/>
      </c>
      <c r="H38" s="33"/>
    </row>
    <row r="39" spans="1:8" x14ac:dyDescent="0.2">
      <c r="A39" s="123"/>
      <c r="B39" s="220" t="s">
        <v>27</v>
      </c>
      <c r="C39" s="77" t="str">
        <v>SB</v>
      </c>
      <c r="D39" s="77" t="str">
        <v>6L</v>
      </c>
      <c r="E39" s="75" t="str">
        <f t="shared" si="0"/>
        <v>GBPSB6L60Y_Quote</v>
      </c>
      <c r="F39" s="75" t="str">
        <f>_xll.qlSimpleQuote(Currency&amp;$C39&amp;$D39&amp;$B39&amp;QuoteSuffix,,RateTickValue,Permanent,Trigger,ObjectOverwrite)</f>
        <v>GBPSB6L60Y_Quote#0001</v>
      </c>
      <c r="G39" s="74" t="str">
        <f>_xll.ohRangeRetrieveError(F39)</f>
        <v/>
      </c>
      <c r="H39" s="33"/>
    </row>
    <row r="40" spans="1:8" ht="12" thickBot="1" x14ac:dyDescent="0.25">
      <c r="A40" s="219"/>
      <c r="B40" s="218"/>
      <c r="C40" s="218"/>
      <c r="D40" s="218"/>
      <c r="E40" s="218"/>
      <c r="F40" s="218"/>
      <c r="G40" s="218"/>
      <c r="H40" s="30"/>
    </row>
  </sheetData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8"/>
  <sheetViews>
    <sheetView workbookViewId="0"/>
  </sheetViews>
  <sheetFormatPr defaultColWidth="8" defaultRowHeight="11.25" x14ac:dyDescent="0.2"/>
  <cols>
    <col min="1" max="1" width="3.28515625" style="101" customWidth="1"/>
    <col min="2" max="2" width="4.28515625" style="101" customWidth="1"/>
    <col min="3" max="3" width="15.5703125" style="101" bestFit="1" customWidth="1"/>
    <col min="4" max="4" width="86.42578125" style="101" bestFit="1" customWidth="1"/>
    <col min="5" max="5" width="3.7109375" style="101" customWidth="1"/>
    <col min="6" max="6" width="35.28515625" style="101" customWidth="1"/>
    <col min="7" max="7" width="4.28515625" style="101" customWidth="1"/>
    <col min="8" max="16384" width="8" style="101"/>
  </cols>
  <sheetData>
    <row r="1" spans="1:5" ht="13.5" thickBot="1" x14ac:dyDescent="0.25">
      <c r="B1" s="104" t="str">
        <f>_xll.qlxlVersion(TRUE,Trigger)</f>
        <v>QuantLibXL 1.3.0 - MS VC++ 9.0 - Multithreaded Static Runtime library - Release Configuration - Nov  5 2013 10:41:52</v>
      </c>
    </row>
    <row r="2" spans="1:5" s="1" customFormat="1" ht="15.75" x14ac:dyDescent="0.25">
      <c r="A2" s="50"/>
      <c r="B2" s="266" t="s">
        <v>135</v>
      </c>
      <c r="C2" s="267"/>
      <c r="D2" s="267"/>
      <c r="E2" s="268"/>
    </row>
    <row r="3" spans="1:5" s="1" customFormat="1" ht="12.75" x14ac:dyDescent="0.2">
      <c r="A3" s="50"/>
      <c r="B3" s="53"/>
      <c r="C3" s="56"/>
      <c r="D3" s="56"/>
      <c r="E3" s="6"/>
    </row>
    <row r="4" spans="1:5" s="1" customFormat="1" ht="12.75" x14ac:dyDescent="0.2">
      <c r="A4" s="50"/>
      <c r="B4" s="53"/>
      <c r="C4" s="22" t="s">
        <v>98</v>
      </c>
      <c r="D4" s="52"/>
      <c r="E4" s="51"/>
    </row>
    <row r="5" spans="1:5" s="1" customFormat="1" ht="12.75" x14ac:dyDescent="0.2">
      <c r="A5" s="50"/>
      <c r="B5" s="53"/>
      <c r="C5" s="22" t="s">
        <v>95</v>
      </c>
      <c r="D5" s="52" t="b">
        <v>1</v>
      </c>
      <c r="E5" s="51"/>
    </row>
    <row r="6" spans="1:5" s="1" customFormat="1" ht="12.75" x14ac:dyDescent="0.2">
      <c r="A6" s="50"/>
      <c r="B6" s="53"/>
      <c r="C6" s="22" t="s">
        <v>94</v>
      </c>
      <c r="D6" s="52" t="b">
        <v>0</v>
      </c>
      <c r="E6" s="51"/>
    </row>
    <row r="7" spans="1:5" s="1" customFormat="1" ht="12.75" x14ac:dyDescent="0.2">
      <c r="A7" s="50"/>
      <c r="B7" s="53"/>
      <c r="C7" s="22" t="s">
        <v>93</v>
      </c>
      <c r="D7" s="52" t="b">
        <v>1</v>
      </c>
      <c r="E7" s="51"/>
    </row>
    <row r="8" spans="1:5" s="1" customFormat="1" ht="12.75" x14ac:dyDescent="0.2">
      <c r="A8" s="50"/>
      <c r="B8" s="53"/>
      <c r="C8" s="22" t="s">
        <v>92</v>
      </c>
      <c r="D8" s="55" t="str">
        <f ca="1">SUBSTITUTE(LEFT(CELL("filename",A1),FIND("[",CELL("filename",A1),1)-1),"\XLS\","\XML\")</f>
        <v>C:\Users\erik\Documents\repos\quantlib_nando\QuantLibXL\Data2\XML\</v>
      </c>
      <c r="E8" s="51"/>
    </row>
    <row r="9" spans="1:5" s="1" customFormat="1" ht="12.75" x14ac:dyDescent="0.2">
      <c r="A9" s="50"/>
      <c r="B9" s="53"/>
      <c r="C9" s="22" t="s">
        <v>91</v>
      </c>
      <c r="D9" s="54" t="b">
        <v>1</v>
      </c>
      <c r="E9" s="51"/>
    </row>
    <row r="10" spans="1:5" s="1" customFormat="1" ht="13.5" thickBot="1" x14ac:dyDescent="0.25">
      <c r="A10" s="50"/>
      <c r="B10" s="5"/>
      <c r="C10" s="4"/>
      <c r="D10" s="4"/>
      <c r="E10" s="3"/>
    </row>
    <row r="11" spans="1:5" ht="12" thickBot="1" x14ac:dyDescent="0.25"/>
    <row r="12" spans="1:5" ht="15.75" x14ac:dyDescent="0.25">
      <c r="B12" s="266" t="s">
        <v>134</v>
      </c>
      <c r="C12" s="267"/>
      <c r="D12" s="267"/>
      <c r="E12" s="268"/>
    </row>
    <row r="13" spans="1:5" x14ac:dyDescent="0.2">
      <c r="B13" s="53"/>
      <c r="C13" s="56"/>
      <c r="D13" s="56"/>
      <c r="E13" s="6"/>
    </row>
    <row r="14" spans="1:5" x14ac:dyDescent="0.2">
      <c r="B14" s="53"/>
      <c r="C14" s="22" t="s">
        <v>97</v>
      </c>
      <c r="D14" s="52" t="s">
        <v>96</v>
      </c>
      <c r="E14" s="51"/>
    </row>
    <row r="15" spans="1:5" x14ac:dyDescent="0.2">
      <c r="B15" s="53"/>
      <c r="C15" s="22" t="s">
        <v>133</v>
      </c>
      <c r="D15" s="54" t="s">
        <v>132</v>
      </c>
      <c r="E15" s="51"/>
    </row>
    <row r="16" spans="1:5" x14ac:dyDescent="0.2">
      <c r="B16" s="53"/>
      <c r="C16" s="22" t="s">
        <v>131</v>
      </c>
      <c r="D16" s="103">
        <v>1E-4</v>
      </c>
      <c r="E16" s="51"/>
    </row>
    <row r="17" spans="2:5" x14ac:dyDescent="0.2">
      <c r="B17" s="53"/>
      <c r="C17" s="22" t="s">
        <v>130</v>
      </c>
      <c r="D17" s="102">
        <v>-0.01</v>
      </c>
      <c r="E17" s="51"/>
    </row>
    <row r="18" spans="2:5" ht="12" thickBot="1" x14ac:dyDescent="0.25">
      <c r="B18" s="5"/>
      <c r="C18" s="4"/>
      <c r="D18" s="4"/>
      <c r="E18" s="3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"/>
  <sheetViews>
    <sheetView workbookViewId="0"/>
  </sheetViews>
  <sheetFormatPr defaultRowHeight="11.25" x14ac:dyDescent="0.2"/>
  <cols>
    <col min="1" max="1" width="5" style="67" customWidth="1"/>
    <col min="2" max="2" width="6.140625" style="67" bestFit="1" customWidth="1"/>
    <col min="3" max="3" width="25.42578125" style="67" bestFit="1" customWidth="1"/>
    <col min="4" max="4" width="26.7109375" style="67" bestFit="1" customWidth="1"/>
    <col min="5" max="5" width="36.85546875" style="67" bestFit="1" customWidth="1"/>
    <col min="6" max="6" width="5" style="67" customWidth="1"/>
    <col min="7" max="16384" width="9.140625" style="67"/>
  </cols>
  <sheetData>
    <row r="1" spans="1:6" x14ac:dyDescent="0.2">
      <c r="A1" s="159"/>
      <c r="B1" s="236">
        <v>1</v>
      </c>
      <c r="C1" s="237" t="str">
        <f>_xll.qlPeriodEquivalent(Months&amp;"M")</f>
        <v>1M</v>
      </c>
      <c r="D1" s="236"/>
      <c r="E1" s="236"/>
      <c r="F1" s="235"/>
    </row>
    <row r="2" spans="1:6" x14ac:dyDescent="0.2">
      <c r="A2" s="123"/>
      <c r="B2" s="234"/>
      <c r="C2" s="233" t="str">
        <f>Currency&amp;"_015_SyntheticQuotes"&amp;Tenor&amp;".xml"</f>
        <v>GBP_015_SyntheticQuotes1M.xml</v>
      </c>
      <c r="D2" s="16">
        <f ca="1">IF(Serialize,_xll.ohObjectSave(D3:D11,SerializationPath&amp;C2,FileOverwrite,Serialize),"---")</f>
        <v>9</v>
      </c>
      <c r="E2" s="7" t="str">
        <f ca="1">_xll.ohRangeRetrieveError(D2)</f>
        <v/>
      </c>
      <c r="F2" s="225"/>
    </row>
    <row r="3" spans="1:6" x14ac:dyDescent="0.2">
      <c r="A3" s="123"/>
      <c r="B3" s="232" t="s">
        <v>153</v>
      </c>
      <c r="C3" s="130" t="str">
        <f t="shared" ref="C3:C11" si="0">Currency&amp;$B3&amp;"_SYNTH"&amp;Tenor&amp;QuoteSuffix</f>
        <v>GBPOND_SYNTH1M_Quote</v>
      </c>
      <c r="D3" s="132" t="str">
        <f>_xll.qlSimpleQuote(C3,,RateTickValue,Permanent,Trigger,ObjectOverwrite)</f>
        <v>GBPOND_SYNTH1M_Quote#0001</v>
      </c>
      <c r="E3" s="230" t="str">
        <f>_xll.ohRangeRetrieveError(D3)</f>
        <v/>
      </c>
      <c r="F3" s="225"/>
    </row>
    <row r="4" spans="1:6" x14ac:dyDescent="0.2">
      <c r="A4" s="123"/>
      <c r="B4" s="232" t="s">
        <v>152</v>
      </c>
      <c r="C4" s="130" t="str">
        <f t="shared" si="0"/>
        <v>GBPTND_SYNTH1M_Quote</v>
      </c>
      <c r="D4" s="132" t="str">
        <f>_xll.qlSimpleQuote(C4,,RateTickValue,Permanent,Trigger,ObjectOverwrite)</f>
        <v>GBPTND_SYNTH1M_Quote#0001</v>
      </c>
      <c r="E4" s="230" t="str">
        <f>_xll.ohRangeRetrieveError(D4)</f>
        <v/>
      </c>
      <c r="F4" s="225"/>
    </row>
    <row r="5" spans="1:6" x14ac:dyDescent="0.2">
      <c r="A5" s="123"/>
      <c r="B5" s="232" t="s">
        <v>151</v>
      </c>
      <c r="C5" s="130" t="str">
        <f t="shared" si="0"/>
        <v>GBPSND_SYNTH1M_Quote</v>
      </c>
      <c r="D5" s="132" t="str">
        <f>_xll.qlSimpleQuote(C5,,RateTickValue,Permanent,Trigger,ObjectOverwrite)</f>
        <v>GBPSND_SYNTH1M_Quote#0001</v>
      </c>
      <c r="E5" s="230" t="str">
        <f>_xll.ohRangeRetrieveError(D5)</f>
        <v/>
      </c>
      <c r="F5" s="225"/>
    </row>
    <row r="6" spans="1:6" x14ac:dyDescent="0.2">
      <c r="A6" s="123"/>
      <c r="B6" s="232" t="s">
        <v>150</v>
      </c>
      <c r="C6" s="130" t="str">
        <f t="shared" si="0"/>
        <v>GBPSWD_SYNTH1M_Quote</v>
      </c>
      <c r="D6" s="132" t="str">
        <f>_xll.qlSimpleQuote(C6,,RateTickValue,Permanent,Trigger,ObjectOverwrite)</f>
        <v>GBPSWD_SYNTH1M_Quote#0001</v>
      </c>
      <c r="E6" s="230" t="str">
        <f>_xll.ohRangeRetrieveError(D6)</f>
        <v/>
      </c>
      <c r="F6" s="225"/>
    </row>
    <row r="7" spans="1:6" x14ac:dyDescent="0.2">
      <c r="A7" s="123"/>
      <c r="B7" s="232" t="s">
        <v>149</v>
      </c>
      <c r="C7" s="130" t="str">
        <f t="shared" si="0"/>
        <v>GBP2WD_SYNTH1M_Quote</v>
      </c>
      <c r="D7" s="132" t="str">
        <f>_xll.qlSimpleQuote(C7,,RateTickValue,Permanent,Trigger,ObjectOverwrite)</f>
        <v>GBP2WD_SYNTH1M_Quote#0001</v>
      </c>
      <c r="E7" s="230" t="str">
        <f>_xll.ohRangeRetrieveError(D7)</f>
        <v/>
      </c>
      <c r="F7" s="225"/>
    </row>
    <row r="8" spans="1:6" x14ac:dyDescent="0.2">
      <c r="A8" s="123"/>
      <c r="B8" s="232" t="s">
        <v>148</v>
      </c>
      <c r="C8" s="130" t="str">
        <f t="shared" si="0"/>
        <v>GBP3WD_SYNTH1M_Quote</v>
      </c>
      <c r="D8" s="132" t="str">
        <f>_xll.qlSimpleQuote(C8,,RateTickValue,Permanent,Trigger,ObjectOverwrite)</f>
        <v>GBP3WD_SYNTH1M_Quote#0001</v>
      </c>
      <c r="E8" s="230" t="str">
        <f>_xll.ohRangeRetrieveError(D8)</f>
        <v/>
      </c>
      <c r="F8" s="225"/>
    </row>
    <row r="9" spans="1:6" x14ac:dyDescent="0.2">
      <c r="A9" s="123"/>
      <c r="B9" s="231" t="s">
        <v>147</v>
      </c>
      <c r="C9" s="130" t="str">
        <f t="shared" si="0"/>
        <v>GBP1MD_SYNTH1M_Quote</v>
      </c>
      <c r="D9" s="130" t="str">
        <f>_xll.qlSimpleQuote(C9,,RateTickValue,Permanent,Trigger,ObjectOverwrite)</f>
        <v>GBP1MD_SYNTH1M_Quote#0001</v>
      </c>
      <c r="E9" s="230" t="str">
        <f>_xll.ohRangeRetrieveError(D9)</f>
        <v/>
      </c>
      <c r="F9" s="225"/>
    </row>
    <row r="10" spans="1:6" x14ac:dyDescent="0.2">
      <c r="A10" s="123"/>
      <c r="B10" s="229" t="s">
        <v>220</v>
      </c>
      <c r="C10" s="126" t="str">
        <f t="shared" si="0"/>
        <v>GBPTOY_SYNTH1M_Quote</v>
      </c>
      <c r="D10" s="128" t="str">
        <f>_xll.qlSimpleQuote(C10,1,RateTickValue,Permanent,Trigger,ObjectOverwrite)</f>
        <v>GBPTOY_SYNTH1M_Quote#0001</v>
      </c>
      <c r="E10" s="228" t="str">
        <f>_xll.ohRangeRetrieveError(D10)</f>
        <v/>
      </c>
      <c r="F10" s="225"/>
    </row>
    <row r="11" spans="1:6" x14ac:dyDescent="0.2">
      <c r="A11" s="123"/>
      <c r="B11" s="227" t="s">
        <v>219</v>
      </c>
      <c r="C11" s="119" t="str">
        <f t="shared" si="0"/>
        <v>GBPTOY2_SYNTH1M_Quote</v>
      </c>
      <c r="D11" s="124" t="str">
        <f>_xll.qlSimpleQuote(C11,1,RateTickValue,Permanent,Trigger,ObjectOverwrite)</f>
        <v>GBPTOY2_SYNTH1M_Quote#0001</v>
      </c>
      <c r="E11" s="226" t="str">
        <f>_xll.ohRangeRetrieveError(D11)</f>
        <v/>
      </c>
      <c r="F11" s="225"/>
    </row>
    <row r="12" spans="1:6" ht="12" thickBot="1" x14ac:dyDescent="0.25">
      <c r="A12" s="32"/>
      <c r="B12" s="31"/>
      <c r="C12" s="31"/>
      <c r="D12" s="31"/>
      <c r="E12" s="31"/>
      <c r="F12" s="30"/>
    </row>
  </sheetData>
  <pageMargins left="0.75" right="0.75" top="1" bottom="1" header="0.5" footer="0.5"/>
  <pageSetup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"/>
  <sheetViews>
    <sheetView workbookViewId="0"/>
  </sheetViews>
  <sheetFormatPr defaultRowHeight="11.25" x14ac:dyDescent="0.2"/>
  <cols>
    <col min="1" max="1" width="5" style="67" customWidth="1"/>
    <col min="2" max="2" width="6.140625" style="67" bestFit="1" customWidth="1"/>
    <col min="3" max="3" width="25.42578125" style="67" bestFit="1" customWidth="1"/>
    <col min="4" max="4" width="26.7109375" style="67" bestFit="1" customWidth="1"/>
    <col min="5" max="5" width="36.85546875" style="67" bestFit="1" customWidth="1"/>
    <col min="6" max="6" width="5" style="67" customWidth="1"/>
    <col min="7" max="16384" width="9.140625" style="67"/>
  </cols>
  <sheetData>
    <row r="1" spans="1:6" x14ac:dyDescent="0.2">
      <c r="A1" s="159"/>
      <c r="B1" s="236">
        <v>3</v>
      </c>
      <c r="C1" s="237" t="str">
        <f>_xll.qlPeriodEquivalent(Months&amp;"M")</f>
        <v>3M</v>
      </c>
      <c r="D1" s="236"/>
      <c r="E1" s="236"/>
      <c r="F1" s="235"/>
    </row>
    <row r="2" spans="1:6" x14ac:dyDescent="0.2">
      <c r="A2" s="123"/>
      <c r="B2" s="243"/>
      <c r="C2" s="233" t="str">
        <f>Currency&amp;"_015_SyntheticQuotes"&amp;Tenor&amp;".xml"</f>
        <v>GBP_015_SyntheticQuotes3M.xml</v>
      </c>
      <c r="D2" s="16">
        <f ca="1">IF(Serialize,_xll.ohObjectSave(D3:D13,SerializationPath&amp;C2,FileOverwrite,Serialize),"---")</f>
        <v>11</v>
      </c>
      <c r="E2" s="7" t="str">
        <f ca="1">_xll.ohRangeRetrieveError(D2)</f>
        <v/>
      </c>
      <c r="F2" s="225"/>
    </row>
    <row r="3" spans="1:6" x14ac:dyDescent="0.2">
      <c r="A3" s="123"/>
      <c r="B3" s="232" t="s">
        <v>153</v>
      </c>
      <c r="C3" s="130" t="str">
        <f t="shared" ref="C3:C13" si="0">Currency&amp;$B3&amp;"_SYNTH"&amp;Tenor&amp;QuoteSuffix</f>
        <v>GBPOND_SYNTH3M_Quote</v>
      </c>
      <c r="D3" s="130" t="str">
        <f>_xll.qlSimpleQuote(C3,,RateTickValue,Permanent,Trigger,ObjectOverwrite)</f>
        <v>GBPOND_SYNTH3M_Quote#0001</v>
      </c>
      <c r="E3" s="242" t="str">
        <f>_xll.ohRangeRetrieveError(D3)</f>
        <v/>
      </c>
      <c r="F3" s="225"/>
    </row>
    <row r="4" spans="1:6" x14ac:dyDescent="0.2">
      <c r="A4" s="123"/>
      <c r="B4" s="232" t="s">
        <v>152</v>
      </c>
      <c r="C4" s="130" t="str">
        <f t="shared" si="0"/>
        <v>GBPTND_SYNTH3M_Quote</v>
      </c>
      <c r="D4" s="130" t="str">
        <f>_xll.qlSimpleQuote(C4,,RateTickValue,Permanent,Trigger,ObjectOverwrite)</f>
        <v>GBPTND_SYNTH3M_Quote#0001</v>
      </c>
      <c r="E4" s="242" t="str">
        <f>_xll.ohRangeRetrieveError(D4)</f>
        <v/>
      </c>
      <c r="F4" s="225"/>
    </row>
    <row r="5" spans="1:6" x14ac:dyDescent="0.2">
      <c r="A5" s="123"/>
      <c r="B5" s="231" t="s">
        <v>151</v>
      </c>
      <c r="C5" s="130" t="str">
        <f t="shared" si="0"/>
        <v>GBPSND_SYNTH3M_Quote</v>
      </c>
      <c r="D5" s="130" t="str">
        <f>_xll.qlSimpleQuote(C5,,RateTickValue,Permanent,Trigger,ObjectOverwrite)</f>
        <v>GBPSND_SYNTH3M_Quote#0001</v>
      </c>
      <c r="E5" s="242" t="str">
        <f>_xll.ohRangeRetrieveError(D5)</f>
        <v/>
      </c>
      <c r="F5" s="225"/>
    </row>
    <row r="6" spans="1:6" x14ac:dyDescent="0.2">
      <c r="A6" s="123"/>
      <c r="B6" s="231" t="s">
        <v>150</v>
      </c>
      <c r="C6" s="130" t="str">
        <f t="shared" si="0"/>
        <v>GBPSWD_SYNTH3M_Quote</v>
      </c>
      <c r="D6" s="130" t="str">
        <f>_xll.qlSimpleQuote(C6,,RateTickValue,Permanent,Trigger,ObjectOverwrite)</f>
        <v>GBPSWD_SYNTH3M_Quote#0001</v>
      </c>
      <c r="E6" s="242" t="str">
        <f>_xll.ohRangeRetrieveError(D6)</f>
        <v/>
      </c>
      <c r="F6" s="225"/>
    </row>
    <row r="7" spans="1:6" x14ac:dyDescent="0.2">
      <c r="A7" s="123"/>
      <c r="B7" s="231" t="s">
        <v>149</v>
      </c>
      <c r="C7" s="130" t="str">
        <f t="shared" si="0"/>
        <v>GBP2WD_SYNTH3M_Quote</v>
      </c>
      <c r="D7" s="130" t="str">
        <f>_xll.qlSimpleQuote(C7,,RateTickValue,Permanent,Trigger,ObjectOverwrite)</f>
        <v>GBP2WD_SYNTH3M_Quote#0001</v>
      </c>
      <c r="E7" s="242" t="str">
        <f>_xll.ohRangeRetrieveError(D7)</f>
        <v/>
      </c>
      <c r="F7" s="225"/>
    </row>
    <row r="8" spans="1:6" x14ac:dyDescent="0.2">
      <c r="A8" s="123"/>
      <c r="B8" s="231" t="s">
        <v>148</v>
      </c>
      <c r="C8" s="130" t="str">
        <f t="shared" si="0"/>
        <v>GBP3WD_SYNTH3M_Quote</v>
      </c>
      <c r="D8" s="130" t="str">
        <f>_xll.qlSimpleQuote(C8,,RateTickValue,Permanent,Trigger,ObjectOverwrite)</f>
        <v>GBP3WD_SYNTH3M_Quote#0001</v>
      </c>
      <c r="E8" s="242" t="str">
        <f>_xll.ohRangeRetrieveError(D8)</f>
        <v/>
      </c>
      <c r="F8" s="225"/>
    </row>
    <row r="9" spans="1:6" x14ac:dyDescent="0.2">
      <c r="A9" s="123"/>
      <c r="B9" s="231" t="s">
        <v>147</v>
      </c>
      <c r="C9" s="130" t="str">
        <f t="shared" si="0"/>
        <v>GBP1MD_SYNTH3M_Quote</v>
      </c>
      <c r="D9" s="130" t="str">
        <f>_xll.qlSimpleQuote(C9,,RateTickValue,Permanent,Trigger,ObjectOverwrite)</f>
        <v>GBP1MD_SYNTH3M_Quote#0001</v>
      </c>
      <c r="E9" s="242" t="str">
        <f>_xll.ohRangeRetrieveError(D9)</f>
        <v/>
      </c>
      <c r="F9" s="225"/>
    </row>
    <row r="10" spans="1:6" x14ac:dyDescent="0.2">
      <c r="A10" s="123"/>
      <c r="B10" s="231" t="s">
        <v>146</v>
      </c>
      <c r="C10" s="130" t="str">
        <f t="shared" si="0"/>
        <v>GBP2MD_SYNTH3M_Quote</v>
      </c>
      <c r="D10" s="130" t="str">
        <f>_xll.qlSimpleQuote(C10,,RateTickValue,Permanent,Trigger,ObjectOverwrite)</f>
        <v>GBP2MD_SYNTH3M_Quote#0001</v>
      </c>
      <c r="E10" s="242" t="str">
        <f>_xll.ohRangeRetrieveError(D10)</f>
        <v/>
      </c>
      <c r="F10" s="225"/>
    </row>
    <row r="11" spans="1:6" x14ac:dyDescent="0.2">
      <c r="A11" s="123"/>
      <c r="B11" s="231" t="s">
        <v>145</v>
      </c>
      <c r="C11" s="130" t="str">
        <f t="shared" si="0"/>
        <v>GBP3MD_SYNTH3M_Quote</v>
      </c>
      <c r="D11" s="130" t="str">
        <f>_xll.qlSimpleQuote(C11,,RateTickValue,Permanent,Trigger,ObjectOverwrite)</f>
        <v>GBP3MD_SYNTH3M_Quote#0001</v>
      </c>
      <c r="E11" s="242" t="str">
        <f>_xll.ohRangeRetrieveError(D11)</f>
        <v/>
      </c>
      <c r="F11" s="225"/>
    </row>
    <row r="12" spans="1:6" x14ac:dyDescent="0.2">
      <c r="A12" s="123"/>
      <c r="B12" s="241" t="s">
        <v>220</v>
      </c>
      <c r="C12" s="126" t="str">
        <f t="shared" si="0"/>
        <v>GBPTOY_SYNTH3M_Quote</v>
      </c>
      <c r="D12" s="126" t="str">
        <f>_xll.qlSimpleQuote(C12,1,RateTickValue,Permanent,Trigger,ObjectOverwrite)</f>
        <v>GBPTOY_SYNTH3M_Quote#0001</v>
      </c>
      <c r="E12" s="240" t="str">
        <f>_xll.ohRangeRetrieveError(D12)</f>
        <v/>
      </c>
      <c r="F12" s="225"/>
    </row>
    <row r="13" spans="1:6" x14ac:dyDescent="0.2">
      <c r="A13" s="123"/>
      <c r="B13" s="239" t="s">
        <v>219</v>
      </c>
      <c r="C13" s="119" t="str">
        <f t="shared" si="0"/>
        <v>GBPTOY2_SYNTH3M_Quote</v>
      </c>
      <c r="D13" s="119" t="str">
        <f>_xll.qlSimpleQuote(C13,1,RateTickValue,Permanent,Trigger,ObjectOverwrite)</f>
        <v>GBPTOY2_SYNTH3M_Quote#0001</v>
      </c>
      <c r="E13" s="238" t="str">
        <f>_xll.ohRangeRetrieveError(D13)</f>
        <v/>
      </c>
      <c r="F13" s="225"/>
    </row>
    <row r="14" spans="1:6" ht="12" thickBot="1" x14ac:dyDescent="0.25">
      <c r="A14" s="32"/>
      <c r="B14" s="31"/>
      <c r="C14" s="31"/>
      <c r="D14" s="31"/>
      <c r="E14" s="31"/>
      <c r="F14" s="30"/>
    </row>
  </sheetData>
  <pageMargins left="0.75" right="0.75" top="1" bottom="1" header="0.5" footer="0.5"/>
  <pageSetup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0"/>
  <sheetViews>
    <sheetView workbookViewId="0"/>
  </sheetViews>
  <sheetFormatPr defaultRowHeight="11.25" x14ac:dyDescent="0.2"/>
  <cols>
    <col min="1" max="1" width="5" style="67" customWidth="1"/>
    <col min="2" max="2" width="7.28515625" style="67" bestFit="1" customWidth="1"/>
    <col min="3" max="3" width="25.42578125" style="67" bestFit="1" customWidth="1"/>
    <col min="4" max="4" width="26.7109375" style="67" bestFit="1" customWidth="1"/>
    <col min="5" max="5" width="36.85546875" style="67" bestFit="1" customWidth="1"/>
    <col min="6" max="6" width="5" style="67" customWidth="1"/>
    <col min="7" max="16384" width="9.140625" style="67"/>
  </cols>
  <sheetData>
    <row r="1" spans="1:6" x14ac:dyDescent="0.2">
      <c r="A1" s="159"/>
      <c r="B1" s="236">
        <v>6</v>
      </c>
      <c r="C1" s="237" t="str">
        <f>_xll.qlPeriodEquivalent(Months&amp;"M")</f>
        <v>6M</v>
      </c>
      <c r="D1" s="236"/>
      <c r="E1" s="236"/>
      <c r="F1" s="235"/>
    </row>
    <row r="2" spans="1:6" x14ac:dyDescent="0.2">
      <c r="A2" s="123"/>
      <c r="B2" s="234"/>
      <c r="C2" s="233" t="str">
        <f>Currency&amp;"_015_SyntheticQuotes"&amp;Tenor&amp;".xml"</f>
        <v>GBP_015_SyntheticQuotes6M.xml</v>
      </c>
      <c r="D2" s="16">
        <f ca="1">IF(Serialize,_xll.ohObjectSave(D3:D29,SerializationPath&amp;C2,FileOverwrite,Serialize),"---")</f>
        <v>27</v>
      </c>
      <c r="E2" s="7" t="str">
        <f ca="1">_xll.ohRangeRetrieveError(D2)</f>
        <v/>
      </c>
      <c r="F2" s="225"/>
    </row>
    <row r="3" spans="1:6" x14ac:dyDescent="0.2">
      <c r="A3" s="123"/>
      <c r="B3" s="229" t="s">
        <v>153</v>
      </c>
      <c r="C3" s="126" t="str">
        <f t="shared" ref="C3:C29" si="0">Currency&amp;$B3&amp;"_SYNTH"&amp;Tenor&amp;QuoteSuffix</f>
        <v>GBPOND_SYNTH6M_Quote</v>
      </c>
      <c r="D3" s="126" t="str">
        <f>_xll.qlSimpleQuote(C3,,RateTickValue,Permanent,Trigger,ObjectOverwrite)</f>
        <v>GBPOND_SYNTH6M_Quote#0001</v>
      </c>
      <c r="E3" s="240" t="str">
        <f>_xll.ohRangeRetrieveError(D3)</f>
        <v/>
      </c>
      <c r="F3" s="225"/>
    </row>
    <row r="4" spans="1:6" x14ac:dyDescent="0.2">
      <c r="A4" s="123"/>
      <c r="B4" s="232" t="s">
        <v>152</v>
      </c>
      <c r="C4" s="130" t="str">
        <f t="shared" si="0"/>
        <v>GBPTND_SYNTH6M_Quote</v>
      </c>
      <c r="D4" s="130" t="str">
        <f>_xll.qlSimpleQuote(C4,,RateTickValue,Permanent,Trigger,ObjectOverwrite)</f>
        <v>GBPTND_SYNTH6M_Quote#0001</v>
      </c>
      <c r="E4" s="242" t="str">
        <f>_xll.ohRangeRetrieveError(D4)</f>
        <v/>
      </c>
      <c r="F4" s="225"/>
    </row>
    <row r="5" spans="1:6" x14ac:dyDescent="0.2">
      <c r="A5" s="123"/>
      <c r="B5" s="231" t="s">
        <v>151</v>
      </c>
      <c r="C5" s="130" t="str">
        <f t="shared" si="0"/>
        <v>GBPSND_SYNTH6M_Quote</v>
      </c>
      <c r="D5" s="130" t="str">
        <f>_xll.qlSimpleQuote(C5,,RateTickValue,Permanent,Trigger,ObjectOverwrite)</f>
        <v>GBPSND_SYNTH6M_Quote#0001</v>
      </c>
      <c r="E5" s="242" t="str">
        <f>_xll.ohRangeRetrieveError(D5)</f>
        <v/>
      </c>
      <c r="F5" s="225"/>
    </row>
    <row r="6" spans="1:6" x14ac:dyDescent="0.2">
      <c r="A6" s="123"/>
      <c r="B6" s="231" t="s">
        <v>150</v>
      </c>
      <c r="C6" s="130" t="str">
        <f t="shared" si="0"/>
        <v>GBPSWD_SYNTH6M_Quote</v>
      </c>
      <c r="D6" s="130" t="str">
        <f>_xll.qlSimpleQuote(C6,,RateTickValue,Permanent,Trigger,ObjectOverwrite)</f>
        <v>GBPSWD_SYNTH6M_Quote#0001</v>
      </c>
      <c r="E6" s="242" t="str">
        <f>_xll.ohRangeRetrieveError(D6)</f>
        <v/>
      </c>
      <c r="F6" s="225"/>
    </row>
    <row r="7" spans="1:6" x14ac:dyDescent="0.2">
      <c r="A7" s="123"/>
      <c r="B7" s="231" t="s">
        <v>149</v>
      </c>
      <c r="C7" s="130" t="str">
        <f t="shared" si="0"/>
        <v>GBP2WD_SYNTH6M_Quote</v>
      </c>
      <c r="D7" s="130" t="str">
        <f>_xll.qlSimpleQuote(C7,,RateTickValue,Permanent,Trigger,ObjectOverwrite)</f>
        <v>GBP2WD_SYNTH6M_Quote#0001</v>
      </c>
      <c r="E7" s="242" t="str">
        <f>_xll.ohRangeRetrieveError(D7)</f>
        <v/>
      </c>
      <c r="F7" s="225"/>
    </row>
    <row r="8" spans="1:6" x14ac:dyDescent="0.2">
      <c r="A8" s="123"/>
      <c r="B8" s="231" t="s">
        <v>148</v>
      </c>
      <c r="C8" s="130" t="str">
        <f t="shared" si="0"/>
        <v>GBP3WD_SYNTH6M_Quote</v>
      </c>
      <c r="D8" s="130" t="str">
        <f>_xll.qlSimpleQuote(C8,,RateTickValue,Permanent,Trigger,ObjectOverwrite)</f>
        <v>GBP3WD_SYNTH6M_Quote#0001</v>
      </c>
      <c r="E8" s="242" t="str">
        <f>_xll.ohRangeRetrieveError(D8)</f>
        <v/>
      </c>
      <c r="F8" s="225"/>
    </row>
    <row r="9" spans="1:6" x14ac:dyDescent="0.2">
      <c r="A9" s="123"/>
      <c r="B9" s="231" t="s">
        <v>147</v>
      </c>
      <c r="C9" s="130" t="str">
        <f t="shared" si="0"/>
        <v>GBP1MD_SYNTH6M_Quote</v>
      </c>
      <c r="D9" s="130" t="str">
        <f>_xll.qlSimpleQuote(C9,,RateTickValue,Permanent,Trigger,ObjectOverwrite)</f>
        <v>GBP1MD_SYNTH6M_Quote#0001</v>
      </c>
      <c r="E9" s="242" t="str">
        <f>_xll.ohRangeRetrieveError(D9)</f>
        <v/>
      </c>
      <c r="F9" s="225"/>
    </row>
    <row r="10" spans="1:6" x14ac:dyDescent="0.2">
      <c r="A10" s="123"/>
      <c r="B10" s="231" t="s">
        <v>146</v>
      </c>
      <c r="C10" s="130" t="str">
        <f t="shared" si="0"/>
        <v>GBP2MD_SYNTH6M_Quote</v>
      </c>
      <c r="D10" s="130" t="str">
        <f>_xll.qlSimpleQuote(C10,,RateTickValue,Permanent,Trigger,ObjectOverwrite)</f>
        <v>GBP2MD_SYNTH6M_Quote#0001</v>
      </c>
      <c r="E10" s="242" t="str">
        <f>_xll.ohRangeRetrieveError(D10)</f>
        <v/>
      </c>
      <c r="F10" s="225"/>
    </row>
    <row r="11" spans="1:6" x14ac:dyDescent="0.2">
      <c r="A11" s="123"/>
      <c r="B11" s="231" t="s">
        <v>145</v>
      </c>
      <c r="C11" s="130" t="str">
        <f t="shared" si="0"/>
        <v>GBP3MD_SYNTH6M_Quote</v>
      </c>
      <c r="D11" s="130" t="str">
        <f>_xll.qlSimpleQuote(C11,,RateTickValue,Permanent,Trigger,ObjectOverwrite)</f>
        <v>GBP3MD_SYNTH6M_Quote#0001</v>
      </c>
      <c r="E11" s="242" t="str">
        <f>_xll.ohRangeRetrieveError(D11)</f>
        <v/>
      </c>
      <c r="F11" s="225"/>
    </row>
    <row r="12" spans="1:6" x14ac:dyDescent="0.2">
      <c r="A12" s="123"/>
      <c r="B12" s="231" t="s">
        <v>144</v>
      </c>
      <c r="C12" s="130" t="str">
        <f t="shared" si="0"/>
        <v>GBP4MD_SYNTH6M_Quote</v>
      </c>
      <c r="D12" s="130" t="str">
        <f>_xll.qlSimpleQuote(C12,,RateTickValue,Permanent,Trigger,ObjectOverwrite)</f>
        <v>GBP4MD_SYNTH6M_Quote#0001</v>
      </c>
      <c r="E12" s="242" t="str">
        <f>_xll.ohRangeRetrieveError(D12)</f>
        <v/>
      </c>
      <c r="F12" s="225"/>
    </row>
    <row r="13" spans="1:6" x14ac:dyDescent="0.2">
      <c r="A13" s="123"/>
      <c r="B13" s="231" t="s">
        <v>143</v>
      </c>
      <c r="C13" s="130" t="str">
        <f t="shared" si="0"/>
        <v>GBP5MD_SYNTH6M_Quote</v>
      </c>
      <c r="D13" s="130" t="str">
        <f>_xll.qlSimpleQuote(C13,,RateTickValue,Permanent,Trigger,ObjectOverwrite)</f>
        <v>GBP5MD_SYNTH6M_Quote#0001</v>
      </c>
      <c r="E13" s="242" t="str">
        <f>_xll.ohRangeRetrieveError(D13)</f>
        <v/>
      </c>
      <c r="F13" s="225"/>
    </row>
    <row r="14" spans="1:6" x14ac:dyDescent="0.2">
      <c r="A14" s="123"/>
      <c r="B14" s="239" t="s">
        <v>142</v>
      </c>
      <c r="C14" s="119" t="str">
        <f t="shared" si="0"/>
        <v>GBP6MD_SYNTH6M_Quote</v>
      </c>
      <c r="D14" s="119" t="str">
        <f>_xll.qlSimpleQuote(C14,,RateTickValue,Permanent,Trigger,ObjectOverwrite)</f>
        <v>GBP6MD_SYNTH6M_Quote#0001</v>
      </c>
      <c r="E14" s="238" t="str">
        <f>_xll.ohRangeRetrieveError(D14)</f>
        <v/>
      </c>
      <c r="F14" s="225"/>
    </row>
    <row r="15" spans="1:6" x14ac:dyDescent="0.2">
      <c r="A15" s="123">
        <v>2</v>
      </c>
      <c r="B15" s="241" t="str">
        <f t="shared" ref="B15:B27" si="1">A15&amp;"x"&amp;A15+Months&amp;"F"</f>
        <v>2x8F</v>
      </c>
      <c r="C15" s="126" t="str">
        <f t="shared" si="0"/>
        <v>GBP2x8F_SYNTH6M_Quote</v>
      </c>
      <c r="D15" s="126" t="str">
        <f>_xll.qlSimpleQuote(C15,,RateTickValue,Permanent,Trigger,ObjectOverwrite)</f>
        <v>GBP2x8F_SYNTH6M_Quote#0001</v>
      </c>
      <c r="E15" s="240" t="str">
        <f>_xll.ohRangeRetrieveError(D15)</f>
        <v/>
      </c>
      <c r="F15" s="225"/>
    </row>
    <row r="16" spans="1:6" x14ac:dyDescent="0.2">
      <c r="A16" s="123">
        <v>4</v>
      </c>
      <c r="B16" s="231" t="str">
        <f t="shared" si="1"/>
        <v>4x10F</v>
      </c>
      <c r="C16" s="130" t="str">
        <f t="shared" si="0"/>
        <v>GBP4x10F_SYNTH6M_Quote</v>
      </c>
      <c r="D16" s="130" t="str">
        <f>_xll.qlSimpleQuote(C16,,RateTickValue,Permanent,Trigger,ObjectOverwrite)</f>
        <v>GBP4x10F_SYNTH6M_Quote#0001</v>
      </c>
      <c r="E16" s="242" t="str">
        <f>_xll.ohRangeRetrieveError(D16)</f>
        <v/>
      </c>
      <c r="F16" s="225"/>
    </row>
    <row r="17" spans="1:6" x14ac:dyDescent="0.2">
      <c r="A17" s="123">
        <v>5</v>
      </c>
      <c r="B17" s="231" t="str">
        <f t="shared" si="1"/>
        <v>5x11F</v>
      </c>
      <c r="C17" s="130" t="str">
        <f t="shared" si="0"/>
        <v>GBP5x11F_SYNTH6M_Quote</v>
      </c>
      <c r="D17" s="130" t="str">
        <f>_xll.qlSimpleQuote(C17,,RateTickValue,Permanent,Trigger,ObjectOverwrite)</f>
        <v>GBP5x11F_SYNTH6M_Quote#0001</v>
      </c>
      <c r="E17" s="242" t="str">
        <f>_xll.ohRangeRetrieveError(D17)</f>
        <v/>
      </c>
      <c r="F17" s="225"/>
    </row>
    <row r="18" spans="1:6" x14ac:dyDescent="0.2">
      <c r="A18" s="123">
        <v>7</v>
      </c>
      <c r="B18" s="231" t="str">
        <f t="shared" si="1"/>
        <v>7x13F</v>
      </c>
      <c r="C18" s="130" t="str">
        <f t="shared" si="0"/>
        <v>GBP7x13F_SYNTH6M_Quote</v>
      </c>
      <c r="D18" s="130" t="str">
        <f>_xll.qlSimpleQuote(C18,,RateTickValue,Permanent,Trigger,ObjectOverwrite)</f>
        <v>GBP7x13F_SYNTH6M_Quote#0001</v>
      </c>
      <c r="E18" s="242" t="str">
        <f>_xll.ohRangeRetrieveError(D18)</f>
        <v/>
      </c>
      <c r="F18" s="225"/>
    </row>
    <row r="19" spans="1:6" x14ac:dyDescent="0.2">
      <c r="A19" s="123">
        <v>8</v>
      </c>
      <c r="B19" s="231" t="str">
        <f t="shared" si="1"/>
        <v>8x14F</v>
      </c>
      <c r="C19" s="130" t="str">
        <f t="shared" si="0"/>
        <v>GBP8x14F_SYNTH6M_Quote</v>
      </c>
      <c r="D19" s="130" t="str">
        <f>_xll.qlSimpleQuote(C19,,RateTickValue,Permanent,Trigger,ObjectOverwrite)</f>
        <v>GBP8x14F_SYNTH6M_Quote#0001</v>
      </c>
      <c r="E19" s="242" t="str">
        <f>_xll.ohRangeRetrieveError(D19)</f>
        <v/>
      </c>
      <c r="F19" s="225"/>
    </row>
    <row r="20" spans="1:6" x14ac:dyDescent="0.2">
      <c r="A20" s="123">
        <v>9</v>
      </c>
      <c r="B20" s="231" t="str">
        <f t="shared" si="1"/>
        <v>9x15F</v>
      </c>
      <c r="C20" s="130" t="str">
        <f t="shared" si="0"/>
        <v>GBP9x15F_SYNTH6M_Quote</v>
      </c>
      <c r="D20" s="130" t="str">
        <f>_xll.qlSimpleQuote(C20,,RateTickValue,Permanent,Trigger,ObjectOverwrite)</f>
        <v>GBP9x15F_SYNTH6M_Quote#0001</v>
      </c>
      <c r="E20" s="242" t="str">
        <f>_xll.ohRangeRetrieveError(D20)</f>
        <v/>
      </c>
      <c r="F20" s="225"/>
    </row>
    <row r="21" spans="1:6" x14ac:dyDescent="0.2">
      <c r="A21" s="123">
        <v>10</v>
      </c>
      <c r="B21" s="231" t="str">
        <f t="shared" si="1"/>
        <v>10x16F</v>
      </c>
      <c r="C21" s="130" t="str">
        <f t="shared" si="0"/>
        <v>GBP10x16F_SYNTH6M_Quote</v>
      </c>
      <c r="D21" s="130" t="str">
        <f>_xll.qlSimpleQuote(C21,,RateTickValue,Permanent,Trigger,ObjectOverwrite)</f>
        <v>GBP10x16F_SYNTH6M_Quote#0001</v>
      </c>
      <c r="E21" s="242" t="str">
        <f>_xll.ohRangeRetrieveError(D21)</f>
        <v/>
      </c>
      <c r="F21" s="225"/>
    </row>
    <row r="22" spans="1:6" x14ac:dyDescent="0.2">
      <c r="A22" s="123">
        <v>11</v>
      </c>
      <c r="B22" s="231" t="str">
        <f t="shared" si="1"/>
        <v>11x17F</v>
      </c>
      <c r="C22" s="130" t="str">
        <f t="shared" si="0"/>
        <v>GBP11x17F_SYNTH6M_Quote</v>
      </c>
      <c r="D22" s="130" t="str">
        <f>_xll.qlSimpleQuote(C22,,RateTickValue,Permanent,Trigger,ObjectOverwrite)</f>
        <v>GBP11x17F_SYNTH6M_Quote#0001</v>
      </c>
      <c r="E22" s="242" t="str">
        <f>_xll.ohRangeRetrieveError(D22)</f>
        <v/>
      </c>
      <c r="F22" s="225"/>
    </row>
    <row r="23" spans="1:6" x14ac:dyDescent="0.2">
      <c r="A23" s="123">
        <v>13</v>
      </c>
      <c r="B23" s="231" t="str">
        <f t="shared" si="1"/>
        <v>13x19F</v>
      </c>
      <c r="C23" s="130" t="str">
        <f t="shared" si="0"/>
        <v>GBP13x19F_SYNTH6M_Quote</v>
      </c>
      <c r="D23" s="130" t="str">
        <f>_xll.qlSimpleQuote(C23,,RateTickValue,Permanent,Trigger,ObjectOverwrite)</f>
        <v>GBP13x19F_SYNTH6M_Quote#0001</v>
      </c>
      <c r="E23" s="242" t="str">
        <f>_xll.ohRangeRetrieveError(D23)</f>
        <v/>
      </c>
      <c r="F23" s="225"/>
    </row>
    <row r="24" spans="1:6" x14ac:dyDescent="0.2">
      <c r="A24" s="123">
        <v>14</v>
      </c>
      <c r="B24" s="231" t="str">
        <f t="shared" si="1"/>
        <v>14x20F</v>
      </c>
      <c r="C24" s="130" t="str">
        <f t="shared" si="0"/>
        <v>GBP14x20F_SYNTH6M_Quote</v>
      </c>
      <c r="D24" s="130" t="str">
        <f>_xll.qlSimpleQuote(C24,,RateTickValue,Permanent,Trigger,ObjectOverwrite)</f>
        <v>GBP14x20F_SYNTH6M_Quote#0001</v>
      </c>
      <c r="E24" s="242" t="str">
        <f>_xll.ohRangeRetrieveError(D24)</f>
        <v/>
      </c>
      <c r="F24" s="225"/>
    </row>
    <row r="25" spans="1:6" x14ac:dyDescent="0.2">
      <c r="A25" s="123">
        <v>15</v>
      </c>
      <c r="B25" s="231" t="str">
        <f t="shared" si="1"/>
        <v>15x21F</v>
      </c>
      <c r="C25" s="130" t="str">
        <f t="shared" si="0"/>
        <v>GBP15x21F_SYNTH6M_Quote</v>
      </c>
      <c r="D25" s="130" t="str">
        <f>_xll.qlSimpleQuote(C25,,RateTickValue,Permanent,Trigger,ObjectOverwrite)</f>
        <v>GBP15x21F_SYNTH6M_Quote#0001</v>
      </c>
      <c r="E25" s="242" t="str">
        <f>_xll.ohRangeRetrieveError(D25)</f>
        <v/>
      </c>
      <c r="F25" s="225"/>
    </row>
    <row r="26" spans="1:6" x14ac:dyDescent="0.2">
      <c r="A26" s="123">
        <v>16</v>
      </c>
      <c r="B26" s="231" t="str">
        <f t="shared" si="1"/>
        <v>16x22F</v>
      </c>
      <c r="C26" s="130" t="str">
        <f t="shared" si="0"/>
        <v>GBP16x22F_SYNTH6M_Quote</v>
      </c>
      <c r="D26" s="130" t="str">
        <f>_xll.qlSimpleQuote(C26,,RateTickValue,Permanent,Trigger,ObjectOverwrite)</f>
        <v>GBP16x22F_SYNTH6M_Quote#0001</v>
      </c>
      <c r="E26" s="242" t="str">
        <f>_xll.ohRangeRetrieveError(D26)</f>
        <v/>
      </c>
      <c r="F26" s="225"/>
    </row>
    <row r="27" spans="1:6" x14ac:dyDescent="0.2">
      <c r="A27" s="123">
        <v>17</v>
      </c>
      <c r="B27" s="239" t="str">
        <f t="shared" si="1"/>
        <v>17x23F</v>
      </c>
      <c r="C27" s="119" t="str">
        <f t="shared" si="0"/>
        <v>GBP17x23F_SYNTH6M_Quote</v>
      </c>
      <c r="D27" s="119" t="str">
        <f>_xll.qlSimpleQuote(C27,,RateTickValue,Permanent,Trigger,ObjectOverwrite)</f>
        <v>GBP17x23F_SYNTH6M_Quote#0001</v>
      </c>
      <c r="E27" s="238" t="str">
        <f>_xll.ohRangeRetrieveError(D27)</f>
        <v/>
      </c>
      <c r="F27" s="225"/>
    </row>
    <row r="28" spans="1:6" x14ac:dyDescent="0.2">
      <c r="A28" s="123"/>
      <c r="B28" s="231" t="s">
        <v>220</v>
      </c>
      <c r="C28" s="130" t="str">
        <f t="shared" si="0"/>
        <v>GBPTOY_SYNTH6M_Quote</v>
      </c>
      <c r="D28" s="130" t="str">
        <f>_xll.qlSimpleQuote(C28,1,RateTickValue,Permanent,Trigger,ObjectOverwrite)</f>
        <v>GBPTOY_SYNTH6M_Quote#0001</v>
      </c>
      <c r="E28" s="242" t="str">
        <f>_xll.ohRangeRetrieveError(D28)</f>
        <v/>
      </c>
      <c r="F28" s="225"/>
    </row>
    <row r="29" spans="1:6" x14ac:dyDescent="0.2">
      <c r="A29" s="123"/>
      <c r="B29" s="239" t="s">
        <v>219</v>
      </c>
      <c r="C29" s="119" t="str">
        <f t="shared" si="0"/>
        <v>GBPTOY2_SYNTH6M_Quote</v>
      </c>
      <c r="D29" s="119" t="str">
        <f>_xll.qlSimpleQuote(C29,1,RateTickValue,Permanent,Trigger,ObjectOverwrite)</f>
        <v>GBPTOY2_SYNTH6M_Quote#0001</v>
      </c>
      <c r="E29" s="238" t="str">
        <f>_xll.ohRangeRetrieveError(D29)</f>
        <v/>
      </c>
      <c r="F29" s="225"/>
    </row>
    <row r="30" spans="1:6" ht="12" thickBot="1" x14ac:dyDescent="0.25">
      <c r="A30" s="32"/>
      <c r="B30" s="31"/>
      <c r="C30" s="31"/>
      <c r="D30" s="31"/>
      <c r="E30" s="31"/>
      <c r="F30" s="30"/>
    </row>
  </sheetData>
  <pageMargins left="0.75" right="0.75" top="1" bottom="1" header="0.5" footer="0.5"/>
  <pageSetup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5"/>
  <sheetViews>
    <sheetView workbookViewId="0"/>
  </sheetViews>
  <sheetFormatPr defaultRowHeight="11.25" x14ac:dyDescent="0.2"/>
  <cols>
    <col min="1" max="1" width="5" style="67" customWidth="1"/>
    <col min="2" max="2" width="6.140625" style="67" bestFit="1" customWidth="1"/>
    <col min="3" max="3" width="25.140625" style="67" bestFit="1" customWidth="1"/>
    <col min="4" max="4" width="26.7109375" style="67" bestFit="1" customWidth="1"/>
    <col min="5" max="5" width="36.85546875" style="67" bestFit="1" customWidth="1"/>
    <col min="6" max="6" width="5" style="67" customWidth="1"/>
    <col min="7" max="16384" width="9.140625" style="67"/>
  </cols>
  <sheetData>
    <row r="1" spans="1:6" x14ac:dyDescent="0.2">
      <c r="A1" s="159"/>
      <c r="B1" s="236">
        <v>12</v>
      </c>
      <c r="C1" s="237" t="str">
        <f>_xll.qlPeriodEquivalent(Months&amp;"M")</f>
        <v>1Y</v>
      </c>
      <c r="D1" s="236"/>
      <c r="E1" s="236"/>
      <c r="F1" s="235"/>
    </row>
    <row r="2" spans="1:6" x14ac:dyDescent="0.2">
      <c r="A2" s="123"/>
      <c r="B2" s="243"/>
      <c r="C2" s="233" t="str">
        <f>Currency&amp;"_015_SyntheticQuotes"&amp;Tenor&amp;".xml"</f>
        <v>GBP_015_SyntheticQuotes1Y.xml</v>
      </c>
      <c r="D2" s="16">
        <f ca="1">IF(Serialize,_xll.ohObjectSave(D3:D64,SerializationPath&amp;C2,FileOverwrite,Serialize),"---")</f>
        <v>62</v>
      </c>
      <c r="E2" s="7" t="str">
        <f ca="1">_xll.ohRangeRetrieveError(D2)</f>
        <v/>
      </c>
      <c r="F2" s="225"/>
    </row>
    <row r="3" spans="1:6" x14ac:dyDescent="0.2">
      <c r="A3" s="123"/>
      <c r="B3" s="232" t="s">
        <v>153</v>
      </c>
      <c r="C3" s="130" t="str">
        <f t="shared" ref="C3:C34" si="0">Currency&amp;$B3&amp;"_SYNTH"&amp;Tenor&amp;QuoteSuffix</f>
        <v>GBPOND_SYNTH1Y_Quote</v>
      </c>
      <c r="D3" s="130" t="str">
        <f>_xll.qlSimpleQuote(C3,,RateTickValue,Permanent,Trigger,ObjectOverwrite)</f>
        <v>GBPOND_SYNTH1Y_Quote#0001</v>
      </c>
      <c r="E3" s="242" t="str">
        <f>_xll.ohRangeRetrieveError(D3)</f>
        <v/>
      </c>
      <c r="F3" s="225"/>
    </row>
    <row r="4" spans="1:6" x14ac:dyDescent="0.2">
      <c r="A4" s="123"/>
      <c r="B4" s="232" t="s">
        <v>152</v>
      </c>
      <c r="C4" s="130" t="str">
        <f t="shared" si="0"/>
        <v>GBPTND_SYNTH1Y_Quote</v>
      </c>
      <c r="D4" s="130" t="str">
        <f>_xll.qlSimpleQuote(C4,,RateTickValue,Permanent,Trigger,ObjectOverwrite)</f>
        <v>GBPTND_SYNTH1Y_Quote#0001</v>
      </c>
      <c r="E4" s="242" t="str">
        <f>_xll.ohRangeRetrieveError(D4)</f>
        <v/>
      </c>
      <c r="F4" s="225"/>
    </row>
    <row r="5" spans="1:6" x14ac:dyDescent="0.2">
      <c r="A5" s="123"/>
      <c r="B5" s="231" t="s">
        <v>151</v>
      </c>
      <c r="C5" s="130" t="str">
        <f t="shared" si="0"/>
        <v>GBPSND_SYNTH1Y_Quote</v>
      </c>
      <c r="D5" s="130" t="str">
        <f>_xll.qlSimpleQuote(C5,,RateTickValue,Permanent,Trigger,ObjectOverwrite)</f>
        <v>GBPSND_SYNTH1Y_Quote#0001</v>
      </c>
      <c r="E5" s="242" t="str">
        <f>_xll.ohRangeRetrieveError(D5)</f>
        <v/>
      </c>
      <c r="F5" s="225"/>
    </row>
    <row r="6" spans="1:6" x14ac:dyDescent="0.2">
      <c r="A6" s="123"/>
      <c r="B6" s="231" t="s">
        <v>150</v>
      </c>
      <c r="C6" s="130" t="str">
        <f t="shared" si="0"/>
        <v>GBPSWD_SYNTH1Y_Quote</v>
      </c>
      <c r="D6" s="130" t="str">
        <f>_xll.qlSimpleQuote(C6,,RateTickValue,Permanent,Trigger,ObjectOverwrite)</f>
        <v>GBPSWD_SYNTH1Y_Quote#0001</v>
      </c>
      <c r="E6" s="242" t="str">
        <f>_xll.ohRangeRetrieveError(D6)</f>
        <v/>
      </c>
      <c r="F6" s="225"/>
    </row>
    <row r="7" spans="1:6" x14ac:dyDescent="0.2">
      <c r="A7" s="123"/>
      <c r="B7" s="231" t="s">
        <v>149</v>
      </c>
      <c r="C7" s="130" t="str">
        <f t="shared" si="0"/>
        <v>GBP2WD_SYNTH1Y_Quote</v>
      </c>
      <c r="D7" s="130" t="str">
        <f>_xll.qlSimpleQuote(C7,,RateTickValue,Permanent,Trigger,ObjectOverwrite)</f>
        <v>GBP2WD_SYNTH1Y_Quote#0001</v>
      </c>
      <c r="E7" s="242" t="str">
        <f>_xll.ohRangeRetrieveError(D7)</f>
        <v/>
      </c>
      <c r="F7" s="225"/>
    </row>
    <row r="8" spans="1:6" x14ac:dyDescent="0.2">
      <c r="A8" s="123"/>
      <c r="B8" s="231" t="s">
        <v>148</v>
      </c>
      <c r="C8" s="130" t="str">
        <f t="shared" si="0"/>
        <v>GBP3WD_SYNTH1Y_Quote</v>
      </c>
      <c r="D8" s="130" t="str">
        <f>_xll.qlSimpleQuote(C8,,RateTickValue,Permanent,Trigger,ObjectOverwrite)</f>
        <v>GBP3WD_SYNTH1Y_Quote#0001</v>
      </c>
      <c r="E8" s="242" t="str">
        <f>_xll.ohRangeRetrieveError(D8)</f>
        <v/>
      </c>
      <c r="F8" s="225"/>
    </row>
    <row r="9" spans="1:6" x14ac:dyDescent="0.2">
      <c r="A9" s="123"/>
      <c r="B9" s="231" t="s">
        <v>147</v>
      </c>
      <c r="C9" s="130" t="str">
        <f t="shared" si="0"/>
        <v>GBP1MD_SYNTH1Y_Quote</v>
      </c>
      <c r="D9" s="130" t="str">
        <f>_xll.qlSimpleQuote(C9,,RateTickValue,Permanent,Trigger,ObjectOverwrite)</f>
        <v>GBP1MD_SYNTH1Y_Quote#0001</v>
      </c>
      <c r="E9" s="242" t="str">
        <f>_xll.ohRangeRetrieveError(D9)</f>
        <v/>
      </c>
      <c r="F9" s="225"/>
    </row>
    <row r="10" spans="1:6" x14ac:dyDescent="0.2">
      <c r="A10" s="123"/>
      <c r="B10" s="231" t="s">
        <v>146</v>
      </c>
      <c r="C10" s="130" t="str">
        <f t="shared" si="0"/>
        <v>GBP2MD_SYNTH1Y_Quote</v>
      </c>
      <c r="D10" s="130" t="str">
        <f>_xll.qlSimpleQuote(C10,,RateTickValue,Permanent,Trigger,ObjectOverwrite)</f>
        <v>GBP2MD_SYNTH1Y_Quote#0001</v>
      </c>
      <c r="E10" s="242" t="str">
        <f>_xll.ohRangeRetrieveError(D10)</f>
        <v/>
      </c>
      <c r="F10" s="225"/>
    </row>
    <row r="11" spans="1:6" x14ac:dyDescent="0.2">
      <c r="A11" s="123"/>
      <c r="B11" s="231" t="s">
        <v>145</v>
      </c>
      <c r="C11" s="130" t="str">
        <f t="shared" si="0"/>
        <v>GBP3MD_SYNTH1Y_Quote</v>
      </c>
      <c r="D11" s="130" t="str">
        <f>_xll.qlSimpleQuote(C11,,RateTickValue,Permanent,Trigger,ObjectOverwrite)</f>
        <v>GBP3MD_SYNTH1Y_Quote#0001</v>
      </c>
      <c r="E11" s="242" t="str">
        <f>_xll.ohRangeRetrieveError(D11)</f>
        <v/>
      </c>
      <c r="F11" s="225"/>
    </row>
    <row r="12" spans="1:6" x14ac:dyDescent="0.2">
      <c r="A12" s="123"/>
      <c r="B12" s="231" t="s">
        <v>144</v>
      </c>
      <c r="C12" s="130" t="str">
        <f t="shared" si="0"/>
        <v>GBP4MD_SYNTH1Y_Quote</v>
      </c>
      <c r="D12" s="130" t="str">
        <f>_xll.qlSimpleQuote(C12,,RateTickValue,Permanent,Trigger,ObjectOverwrite)</f>
        <v>GBP4MD_SYNTH1Y_Quote#0001</v>
      </c>
      <c r="E12" s="242" t="str">
        <f>_xll.ohRangeRetrieveError(D12)</f>
        <v/>
      </c>
      <c r="F12" s="225"/>
    </row>
    <row r="13" spans="1:6" x14ac:dyDescent="0.2">
      <c r="A13" s="123"/>
      <c r="B13" s="231" t="s">
        <v>143</v>
      </c>
      <c r="C13" s="130" t="str">
        <f t="shared" si="0"/>
        <v>GBP5MD_SYNTH1Y_Quote</v>
      </c>
      <c r="D13" s="130" t="str">
        <f>_xll.qlSimpleQuote(C13,,RateTickValue,Permanent,Trigger,ObjectOverwrite)</f>
        <v>GBP5MD_SYNTH1Y_Quote#0001</v>
      </c>
      <c r="E13" s="242" t="str">
        <f>_xll.ohRangeRetrieveError(D13)</f>
        <v/>
      </c>
      <c r="F13" s="225"/>
    </row>
    <row r="14" spans="1:6" x14ac:dyDescent="0.2">
      <c r="A14" s="123"/>
      <c r="B14" s="231" t="s">
        <v>142</v>
      </c>
      <c r="C14" s="130" t="str">
        <f t="shared" si="0"/>
        <v>GBP6MD_SYNTH1Y_Quote</v>
      </c>
      <c r="D14" s="130" t="str">
        <f>_xll.qlSimpleQuote(C14,,RateTickValue,Permanent,Trigger,ObjectOverwrite)</f>
        <v>GBP6MD_SYNTH1Y_Quote#0001</v>
      </c>
      <c r="E14" s="242" t="str">
        <f>_xll.ohRangeRetrieveError(D14)</f>
        <v/>
      </c>
      <c r="F14" s="225"/>
    </row>
    <row r="15" spans="1:6" x14ac:dyDescent="0.2">
      <c r="A15" s="123"/>
      <c r="B15" s="231" t="s">
        <v>141</v>
      </c>
      <c r="C15" s="130" t="str">
        <f t="shared" si="0"/>
        <v>GBP7MD_SYNTH1Y_Quote</v>
      </c>
      <c r="D15" s="130" t="str">
        <f>_xll.qlSimpleQuote(C15,,RateTickValue,Permanent,Trigger,ObjectOverwrite)</f>
        <v>GBP7MD_SYNTH1Y_Quote#0001</v>
      </c>
      <c r="E15" s="242" t="str">
        <f>_xll.ohRangeRetrieveError(D15)</f>
        <v/>
      </c>
      <c r="F15" s="225"/>
    </row>
    <row r="16" spans="1:6" x14ac:dyDescent="0.2">
      <c r="A16" s="123"/>
      <c r="B16" s="231" t="s">
        <v>140</v>
      </c>
      <c r="C16" s="130" t="str">
        <f t="shared" si="0"/>
        <v>GBP8MD_SYNTH1Y_Quote</v>
      </c>
      <c r="D16" s="130" t="str">
        <f>_xll.qlSimpleQuote(C16,,RateTickValue,Permanent,Trigger,ObjectOverwrite)</f>
        <v>GBP8MD_SYNTH1Y_Quote#0001</v>
      </c>
      <c r="E16" s="242" t="str">
        <f>_xll.ohRangeRetrieveError(D16)</f>
        <v/>
      </c>
      <c r="F16" s="225"/>
    </row>
    <row r="17" spans="1:6" x14ac:dyDescent="0.2">
      <c r="A17" s="123"/>
      <c r="B17" s="231" t="s">
        <v>139</v>
      </c>
      <c r="C17" s="130" t="str">
        <f t="shared" si="0"/>
        <v>GBP9MD_SYNTH1Y_Quote</v>
      </c>
      <c r="D17" s="130" t="str">
        <f>_xll.qlSimpleQuote(C17,,RateTickValue,Permanent,Trigger,ObjectOverwrite)</f>
        <v>GBP9MD_SYNTH1Y_Quote#0001</v>
      </c>
      <c r="E17" s="242" t="str">
        <f>_xll.ohRangeRetrieveError(D17)</f>
        <v/>
      </c>
      <c r="F17" s="225"/>
    </row>
    <row r="18" spans="1:6" x14ac:dyDescent="0.2">
      <c r="A18" s="123"/>
      <c r="B18" s="231" t="s">
        <v>138</v>
      </c>
      <c r="C18" s="130" t="str">
        <f t="shared" si="0"/>
        <v>GBP10MD_SYNTH1Y_Quote</v>
      </c>
      <c r="D18" s="130" t="str">
        <f>_xll.qlSimpleQuote(C18,,RateTickValue,Permanent,Trigger,ObjectOverwrite)</f>
        <v>GBP10MD_SYNTH1Y_Quote#0001</v>
      </c>
      <c r="E18" s="242" t="str">
        <f>_xll.ohRangeRetrieveError(D18)</f>
        <v/>
      </c>
      <c r="F18" s="225"/>
    </row>
    <row r="19" spans="1:6" x14ac:dyDescent="0.2">
      <c r="A19" s="123"/>
      <c r="B19" s="231" t="s">
        <v>137</v>
      </c>
      <c r="C19" s="130" t="str">
        <f t="shared" si="0"/>
        <v>GBP11MD_SYNTH1Y_Quote</v>
      </c>
      <c r="D19" s="130" t="str">
        <f>_xll.qlSimpleQuote(C19,,RateTickValue,Permanent,Trigger,ObjectOverwrite)</f>
        <v>GBP11MD_SYNTH1Y_Quote#0001</v>
      </c>
      <c r="E19" s="242" t="str">
        <f>_xll.ohRangeRetrieveError(D19)</f>
        <v/>
      </c>
      <c r="F19" s="225"/>
    </row>
    <row r="20" spans="1:6" x14ac:dyDescent="0.2">
      <c r="A20" s="123"/>
      <c r="B20" s="239" t="s">
        <v>136</v>
      </c>
      <c r="C20" s="119" t="str">
        <f t="shared" si="0"/>
        <v>GBP1YD_SYNTH1Y_Quote</v>
      </c>
      <c r="D20" s="119" t="str">
        <f>_xll.qlSimpleQuote(C20,,RateTickValue,Permanent,Trigger,ObjectOverwrite)</f>
        <v>GBP1YD_SYNTH1Y_Quote#0001</v>
      </c>
      <c r="E20" s="238" t="str">
        <f>_xll.ohRangeRetrieveError(D20)</f>
        <v/>
      </c>
      <c r="F20" s="225"/>
    </row>
    <row r="21" spans="1:6" x14ac:dyDescent="0.2">
      <c r="A21" s="123">
        <v>1</v>
      </c>
      <c r="B21" s="241" t="str">
        <f t="shared" ref="B21:B64" si="1">A21&amp;"x"&amp;A21+Months&amp;"F"</f>
        <v>1x13F</v>
      </c>
      <c r="C21" s="126" t="str">
        <f t="shared" si="0"/>
        <v>GBP1x13F_SYNTH1Y_Quote</v>
      </c>
      <c r="D21" s="126" t="str">
        <f>_xll.qlSimpleQuote(C21,,RateTickValue,Permanent,Trigger,ObjectOverwrite)</f>
        <v>GBP1x13F_SYNTH1Y_Quote#0001</v>
      </c>
      <c r="E21" s="240" t="str">
        <f>_xll.ohRangeRetrieveError(D21)</f>
        <v/>
      </c>
      <c r="F21" s="225"/>
    </row>
    <row r="22" spans="1:6" x14ac:dyDescent="0.2">
      <c r="A22" s="123">
        <v>2</v>
      </c>
      <c r="B22" s="231" t="str">
        <f t="shared" si="1"/>
        <v>2x14F</v>
      </c>
      <c r="C22" s="130" t="str">
        <f t="shared" si="0"/>
        <v>GBP2x14F_SYNTH1Y_Quote</v>
      </c>
      <c r="D22" s="130" t="str">
        <f>_xll.qlSimpleQuote(C22,,RateTickValue,Permanent,Trigger,ObjectOverwrite)</f>
        <v>GBP2x14F_SYNTH1Y_Quote#0001</v>
      </c>
      <c r="E22" s="242" t="str">
        <f>_xll.ohRangeRetrieveError(D22)</f>
        <v/>
      </c>
      <c r="F22" s="225"/>
    </row>
    <row r="23" spans="1:6" x14ac:dyDescent="0.2">
      <c r="A23" s="123">
        <v>3</v>
      </c>
      <c r="B23" s="231" t="str">
        <f t="shared" si="1"/>
        <v>3x15F</v>
      </c>
      <c r="C23" s="130" t="str">
        <f t="shared" si="0"/>
        <v>GBP3x15F_SYNTH1Y_Quote</v>
      </c>
      <c r="D23" s="130" t="str">
        <f>_xll.qlSimpleQuote(C23,,RateTickValue,Permanent,Trigger,ObjectOverwrite)</f>
        <v>GBP3x15F_SYNTH1Y_Quote#0001</v>
      </c>
      <c r="E23" s="242" t="str">
        <f>_xll.ohRangeRetrieveError(D23)</f>
        <v/>
      </c>
      <c r="F23" s="225"/>
    </row>
    <row r="24" spans="1:6" x14ac:dyDescent="0.2">
      <c r="A24" s="123">
        <v>4</v>
      </c>
      <c r="B24" s="231" t="str">
        <f t="shared" si="1"/>
        <v>4x16F</v>
      </c>
      <c r="C24" s="130" t="str">
        <f t="shared" si="0"/>
        <v>GBP4x16F_SYNTH1Y_Quote</v>
      </c>
      <c r="D24" s="130" t="str">
        <f>_xll.qlSimpleQuote(C24,,RateTickValue,Permanent,Trigger,ObjectOverwrite)</f>
        <v>GBP4x16F_SYNTH1Y_Quote#0001</v>
      </c>
      <c r="E24" s="242" t="str">
        <f>_xll.ohRangeRetrieveError(D24)</f>
        <v/>
      </c>
      <c r="F24" s="225"/>
    </row>
    <row r="25" spans="1:6" x14ac:dyDescent="0.2">
      <c r="A25" s="123">
        <v>5</v>
      </c>
      <c r="B25" s="231" t="str">
        <f t="shared" si="1"/>
        <v>5x17F</v>
      </c>
      <c r="C25" s="130" t="str">
        <f t="shared" si="0"/>
        <v>GBP5x17F_SYNTH1Y_Quote</v>
      </c>
      <c r="D25" s="130" t="str">
        <f>_xll.qlSimpleQuote(C25,,RateTickValue,Permanent,Trigger,ObjectOverwrite)</f>
        <v>GBP5x17F_SYNTH1Y_Quote#0001</v>
      </c>
      <c r="E25" s="242" t="str">
        <f>_xll.ohRangeRetrieveError(D25)</f>
        <v/>
      </c>
      <c r="F25" s="225"/>
    </row>
    <row r="26" spans="1:6" x14ac:dyDescent="0.2">
      <c r="A26" s="123">
        <v>6</v>
      </c>
      <c r="B26" s="231" t="str">
        <f t="shared" si="1"/>
        <v>6x18F</v>
      </c>
      <c r="C26" s="130" t="str">
        <f t="shared" si="0"/>
        <v>GBP6x18F_SYNTH1Y_Quote</v>
      </c>
      <c r="D26" s="130" t="str">
        <f>_xll.qlSimpleQuote(C26,,RateTickValue,Permanent,Trigger,ObjectOverwrite)</f>
        <v>GBP6x18F_SYNTH1Y_Quote#0001</v>
      </c>
      <c r="E26" s="242" t="str">
        <f>_xll.ohRangeRetrieveError(D26)</f>
        <v/>
      </c>
      <c r="F26" s="225"/>
    </row>
    <row r="27" spans="1:6" x14ac:dyDescent="0.2">
      <c r="A27" s="123">
        <v>7</v>
      </c>
      <c r="B27" s="231" t="str">
        <f t="shared" si="1"/>
        <v>7x19F</v>
      </c>
      <c r="C27" s="130" t="str">
        <f t="shared" si="0"/>
        <v>GBP7x19F_SYNTH1Y_Quote</v>
      </c>
      <c r="D27" s="130" t="str">
        <f>_xll.qlSimpleQuote(C27,,RateTickValue,Permanent,Trigger,ObjectOverwrite)</f>
        <v>GBP7x19F_SYNTH1Y_Quote#0001</v>
      </c>
      <c r="E27" s="242" t="str">
        <f>_xll.ohRangeRetrieveError(D27)</f>
        <v/>
      </c>
      <c r="F27" s="225"/>
    </row>
    <row r="28" spans="1:6" x14ac:dyDescent="0.2">
      <c r="A28" s="123">
        <v>8</v>
      </c>
      <c r="B28" s="231" t="str">
        <f t="shared" si="1"/>
        <v>8x20F</v>
      </c>
      <c r="C28" s="130" t="str">
        <f t="shared" si="0"/>
        <v>GBP8x20F_SYNTH1Y_Quote</v>
      </c>
      <c r="D28" s="130" t="str">
        <f>_xll.qlSimpleQuote(C28,,RateTickValue,Permanent,Trigger,ObjectOverwrite)</f>
        <v>GBP8x20F_SYNTH1Y_Quote#0001</v>
      </c>
      <c r="E28" s="242" t="str">
        <f>_xll.ohRangeRetrieveError(D28)</f>
        <v/>
      </c>
      <c r="F28" s="225"/>
    </row>
    <row r="29" spans="1:6" x14ac:dyDescent="0.2">
      <c r="A29" s="123">
        <v>9</v>
      </c>
      <c r="B29" s="231" t="str">
        <f t="shared" si="1"/>
        <v>9x21F</v>
      </c>
      <c r="C29" s="130" t="str">
        <f t="shared" si="0"/>
        <v>GBP9x21F_SYNTH1Y_Quote</v>
      </c>
      <c r="D29" s="130" t="str">
        <f>_xll.qlSimpleQuote(C29,,RateTickValue,Permanent,Trigger,ObjectOverwrite)</f>
        <v>GBP9x21F_SYNTH1Y_Quote#0001</v>
      </c>
      <c r="E29" s="242" t="str">
        <f>_xll.ohRangeRetrieveError(D29)</f>
        <v/>
      </c>
      <c r="F29" s="225"/>
    </row>
    <row r="30" spans="1:6" x14ac:dyDescent="0.2">
      <c r="A30" s="123">
        <v>10</v>
      </c>
      <c r="B30" s="231" t="str">
        <f t="shared" si="1"/>
        <v>10x22F</v>
      </c>
      <c r="C30" s="130" t="str">
        <f t="shared" si="0"/>
        <v>GBP10x22F_SYNTH1Y_Quote</v>
      </c>
      <c r="D30" s="130" t="str">
        <f>_xll.qlSimpleQuote(C30,,RateTickValue,Permanent,Trigger,ObjectOverwrite)</f>
        <v>GBP10x22F_SYNTH1Y_Quote#0001</v>
      </c>
      <c r="E30" s="242" t="str">
        <f>_xll.ohRangeRetrieveError(D30)</f>
        <v/>
      </c>
      <c r="F30" s="225"/>
    </row>
    <row r="31" spans="1:6" x14ac:dyDescent="0.2">
      <c r="A31" s="123">
        <v>11</v>
      </c>
      <c r="B31" s="231" t="str">
        <f t="shared" si="1"/>
        <v>11x23F</v>
      </c>
      <c r="C31" s="130" t="str">
        <f t="shared" si="0"/>
        <v>GBP11x23F_SYNTH1Y_Quote</v>
      </c>
      <c r="D31" s="130" t="str">
        <f>_xll.qlSimpleQuote(C31,,RateTickValue,Permanent,Trigger,ObjectOverwrite)</f>
        <v>GBP11x23F_SYNTH1Y_Quote#0001</v>
      </c>
      <c r="E31" s="242" t="str">
        <f>_xll.ohRangeRetrieveError(D31)</f>
        <v/>
      </c>
      <c r="F31" s="225"/>
    </row>
    <row r="32" spans="1:6" x14ac:dyDescent="0.2">
      <c r="A32" s="123">
        <v>13</v>
      </c>
      <c r="B32" s="231" t="str">
        <f t="shared" si="1"/>
        <v>13x25F</v>
      </c>
      <c r="C32" s="130" t="str">
        <f t="shared" si="0"/>
        <v>GBP13x25F_SYNTH1Y_Quote</v>
      </c>
      <c r="D32" s="130" t="str">
        <f>_xll.qlSimpleQuote(C32,,RateTickValue,Permanent,Trigger,ObjectOverwrite)</f>
        <v>GBP13x25F_SYNTH1Y_Quote#0001</v>
      </c>
      <c r="E32" s="242" t="str">
        <f>_xll.ohRangeRetrieveError(D32)</f>
        <v/>
      </c>
      <c r="F32" s="225"/>
    </row>
    <row r="33" spans="1:6" x14ac:dyDescent="0.2">
      <c r="A33" s="123">
        <v>14</v>
      </c>
      <c r="B33" s="231" t="str">
        <f t="shared" si="1"/>
        <v>14x26F</v>
      </c>
      <c r="C33" s="130" t="str">
        <f t="shared" si="0"/>
        <v>GBP14x26F_SYNTH1Y_Quote</v>
      </c>
      <c r="D33" s="130" t="str">
        <f>_xll.qlSimpleQuote(C33,,RateTickValue,Permanent,Trigger,ObjectOverwrite)</f>
        <v>GBP14x26F_SYNTH1Y_Quote#0001</v>
      </c>
      <c r="E33" s="242" t="str">
        <f>_xll.ohRangeRetrieveError(D33)</f>
        <v/>
      </c>
      <c r="F33" s="225"/>
    </row>
    <row r="34" spans="1:6" x14ac:dyDescent="0.2">
      <c r="A34" s="123">
        <v>15</v>
      </c>
      <c r="B34" s="231" t="str">
        <f t="shared" si="1"/>
        <v>15x27F</v>
      </c>
      <c r="C34" s="130" t="str">
        <f t="shared" si="0"/>
        <v>GBP15x27F_SYNTH1Y_Quote</v>
      </c>
      <c r="D34" s="130" t="str">
        <f>_xll.qlSimpleQuote(C34,,RateTickValue,Permanent,Trigger,ObjectOverwrite)</f>
        <v>GBP15x27F_SYNTH1Y_Quote#0001</v>
      </c>
      <c r="E34" s="242" t="str">
        <f>_xll.ohRangeRetrieveError(D34)</f>
        <v/>
      </c>
      <c r="F34" s="225"/>
    </row>
    <row r="35" spans="1:6" x14ac:dyDescent="0.2">
      <c r="A35" s="123">
        <v>16</v>
      </c>
      <c r="B35" s="231" t="str">
        <f t="shared" si="1"/>
        <v>16x28F</v>
      </c>
      <c r="C35" s="130" t="str">
        <f t="shared" ref="C35:C64" si="2">Currency&amp;$B35&amp;"_SYNTH"&amp;Tenor&amp;QuoteSuffix</f>
        <v>GBP16x28F_SYNTH1Y_Quote</v>
      </c>
      <c r="D35" s="130" t="str">
        <f>_xll.qlSimpleQuote(C35,,RateTickValue,Permanent,Trigger,ObjectOverwrite)</f>
        <v>GBP16x28F_SYNTH1Y_Quote#0001</v>
      </c>
      <c r="E35" s="242" t="str">
        <f>_xll.ohRangeRetrieveError(D35)</f>
        <v/>
      </c>
      <c r="F35" s="225"/>
    </row>
    <row r="36" spans="1:6" x14ac:dyDescent="0.2">
      <c r="A36" s="123">
        <v>17</v>
      </c>
      <c r="B36" s="231" t="str">
        <f t="shared" si="1"/>
        <v>17x29F</v>
      </c>
      <c r="C36" s="130" t="str">
        <f t="shared" si="2"/>
        <v>GBP17x29F_SYNTH1Y_Quote</v>
      </c>
      <c r="D36" s="130" t="str">
        <f>_xll.qlSimpleQuote(C36,,RateTickValue,Permanent,Trigger,ObjectOverwrite)</f>
        <v>GBP17x29F_SYNTH1Y_Quote#0001</v>
      </c>
      <c r="E36" s="242" t="str">
        <f>_xll.ohRangeRetrieveError(D36)</f>
        <v/>
      </c>
      <c r="F36" s="225"/>
    </row>
    <row r="37" spans="1:6" x14ac:dyDescent="0.2">
      <c r="A37" s="123">
        <v>18</v>
      </c>
      <c r="B37" s="231" t="str">
        <f t="shared" si="1"/>
        <v>18x30F</v>
      </c>
      <c r="C37" s="130" t="str">
        <f t="shared" si="2"/>
        <v>GBP18x30F_SYNTH1Y_Quote</v>
      </c>
      <c r="D37" s="130" t="str">
        <f>_xll.qlSimpleQuote(C37,,RateTickValue,Permanent,Trigger,ObjectOverwrite)</f>
        <v>GBP18x30F_SYNTH1Y_Quote#0001</v>
      </c>
      <c r="E37" s="242" t="str">
        <f>_xll.ohRangeRetrieveError(D37)</f>
        <v/>
      </c>
      <c r="F37" s="225"/>
    </row>
    <row r="38" spans="1:6" x14ac:dyDescent="0.2">
      <c r="A38" s="123">
        <v>19</v>
      </c>
      <c r="B38" s="231" t="str">
        <f t="shared" si="1"/>
        <v>19x31F</v>
      </c>
      <c r="C38" s="130" t="str">
        <f t="shared" si="2"/>
        <v>GBP19x31F_SYNTH1Y_Quote</v>
      </c>
      <c r="D38" s="130" t="str">
        <f>_xll.qlSimpleQuote(C38,,RateTickValue,Permanent,Trigger,ObjectOverwrite)</f>
        <v>GBP19x31F_SYNTH1Y_Quote#0001</v>
      </c>
      <c r="E38" s="242" t="str">
        <f>_xll.ohRangeRetrieveError(D38)</f>
        <v/>
      </c>
      <c r="F38" s="225"/>
    </row>
    <row r="39" spans="1:6" x14ac:dyDescent="0.2">
      <c r="A39" s="123">
        <v>20</v>
      </c>
      <c r="B39" s="231" t="str">
        <f t="shared" si="1"/>
        <v>20x32F</v>
      </c>
      <c r="C39" s="130" t="str">
        <f t="shared" si="2"/>
        <v>GBP20x32F_SYNTH1Y_Quote</v>
      </c>
      <c r="D39" s="130" t="str">
        <f>_xll.qlSimpleQuote(C39,,RateTickValue,Permanent,Trigger,ObjectOverwrite)</f>
        <v>GBP20x32F_SYNTH1Y_Quote#0001</v>
      </c>
      <c r="E39" s="242" t="str">
        <f>_xll.ohRangeRetrieveError(D39)</f>
        <v/>
      </c>
      <c r="F39" s="225"/>
    </row>
    <row r="40" spans="1:6" x14ac:dyDescent="0.2">
      <c r="A40" s="123">
        <v>21</v>
      </c>
      <c r="B40" s="231" t="str">
        <f t="shared" si="1"/>
        <v>21x33F</v>
      </c>
      <c r="C40" s="130" t="str">
        <f t="shared" si="2"/>
        <v>GBP21x33F_SYNTH1Y_Quote</v>
      </c>
      <c r="D40" s="130" t="str">
        <f>_xll.qlSimpleQuote(C40,,RateTickValue,Permanent,Trigger,ObjectOverwrite)</f>
        <v>GBP21x33F_SYNTH1Y_Quote#0001</v>
      </c>
      <c r="E40" s="242" t="str">
        <f>_xll.ohRangeRetrieveError(D40)</f>
        <v/>
      </c>
      <c r="F40" s="225"/>
    </row>
    <row r="41" spans="1:6" x14ac:dyDescent="0.2">
      <c r="A41" s="123">
        <v>22</v>
      </c>
      <c r="B41" s="231" t="str">
        <f t="shared" si="1"/>
        <v>22x34F</v>
      </c>
      <c r="C41" s="130" t="str">
        <f t="shared" si="2"/>
        <v>GBP22x34F_SYNTH1Y_Quote</v>
      </c>
      <c r="D41" s="130" t="str">
        <f>_xll.qlSimpleQuote(C41,,RateTickValue,Permanent,Trigger,ObjectOverwrite)</f>
        <v>GBP22x34F_SYNTH1Y_Quote#0001</v>
      </c>
      <c r="E41" s="242" t="str">
        <f>_xll.ohRangeRetrieveError(D41)</f>
        <v/>
      </c>
      <c r="F41" s="225"/>
    </row>
    <row r="42" spans="1:6" x14ac:dyDescent="0.2">
      <c r="A42" s="123">
        <v>23</v>
      </c>
      <c r="B42" s="231" t="str">
        <f t="shared" si="1"/>
        <v>23x35F</v>
      </c>
      <c r="C42" s="130" t="str">
        <f t="shared" si="2"/>
        <v>GBP23x35F_SYNTH1Y_Quote</v>
      </c>
      <c r="D42" s="130" t="str">
        <f>_xll.qlSimpleQuote(C42,,RateTickValue,Permanent,Trigger,ObjectOverwrite)</f>
        <v>GBP23x35F_SYNTH1Y_Quote#0001</v>
      </c>
      <c r="E42" s="242" t="str">
        <f>_xll.ohRangeRetrieveError(D42)</f>
        <v/>
      </c>
      <c r="F42" s="225"/>
    </row>
    <row r="43" spans="1:6" x14ac:dyDescent="0.2">
      <c r="A43" s="123">
        <v>25</v>
      </c>
      <c r="B43" s="231" t="str">
        <f t="shared" si="1"/>
        <v>25x37F</v>
      </c>
      <c r="C43" s="130" t="str">
        <f t="shared" si="2"/>
        <v>GBP25x37F_SYNTH1Y_Quote</v>
      </c>
      <c r="D43" s="130" t="str">
        <f>_xll.qlSimpleQuote(C43,,RateTickValue,Permanent,Trigger,ObjectOverwrite)</f>
        <v>GBP25x37F_SYNTH1Y_Quote#0001</v>
      </c>
      <c r="E43" s="242" t="str">
        <f>_xll.ohRangeRetrieveError(D43)</f>
        <v/>
      </c>
      <c r="F43" s="225"/>
    </row>
    <row r="44" spans="1:6" x14ac:dyDescent="0.2">
      <c r="A44" s="123">
        <v>26</v>
      </c>
      <c r="B44" s="231" t="str">
        <f t="shared" si="1"/>
        <v>26x38F</v>
      </c>
      <c r="C44" s="130" t="str">
        <f t="shared" si="2"/>
        <v>GBP26x38F_SYNTH1Y_Quote</v>
      </c>
      <c r="D44" s="130" t="str">
        <f>_xll.qlSimpleQuote(C44,,RateTickValue,Permanent,Trigger,ObjectOverwrite)</f>
        <v>GBP26x38F_SYNTH1Y_Quote#0001</v>
      </c>
      <c r="E44" s="242" t="str">
        <f>_xll.ohRangeRetrieveError(D44)</f>
        <v/>
      </c>
      <c r="F44" s="225"/>
    </row>
    <row r="45" spans="1:6" x14ac:dyDescent="0.2">
      <c r="A45" s="123">
        <v>27</v>
      </c>
      <c r="B45" s="231" t="str">
        <f t="shared" si="1"/>
        <v>27x39F</v>
      </c>
      <c r="C45" s="130" t="str">
        <f t="shared" si="2"/>
        <v>GBP27x39F_SYNTH1Y_Quote</v>
      </c>
      <c r="D45" s="130" t="str">
        <f>_xll.qlSimpleQuote(C45,,RateTickValue,Permanent,Trigger,ObjectOverwrite)</f>
        <v>GBP27x39F_SYNTH1Y_Quote#0001</v>
      </c>
      <c r="E45" s="242" t="str">
        <f>_xll.ohRangeRetrieveError(D45)</f>
        <v/>
      </c>
      <c r="F45" s="225"/>
    </row>
    <row r="46" spans="1:6" x14ac:dyDescent="0.2">
      <c r="A46" s="123">
        <v>28</v>
      </c>
      <c r="B46" s="231" t="str">
        <f t="shared" si="1"/>
        <v>28x40F</v>
      </c>
      <c r="C46" s="130" t="str">
        <f t="shared" si="2"/>
        <v>GBP28x40F_SYNTH1Y_Quote</v>
      </c>
      <c r="D46" s="130" t="str">
        <f>_xll.qlSimpleQuote(C46,,RateTickValue,Permanent,Trigger,ObjectOverwrite)</f>
        <v>GBP28x40F_SYNTH1Y_Quote#0001</v>
      </c>
      <c r="E46" s="242" t="str">
        <f>_xll.ohRangeRetrieveError(D46)</f>
        <v/>
      </c>
      <c r="F46" s="225"/>
    </row>
    <row r="47" spans="1:6" x14ac:dyDescent="0.2">
      <c r="A47" s="123">
        <v>29</v>
      </c>
      <c r="B47" s="231" t="str">
        <f t="shared" si="1"/>
        <v>29x41F</v>
      </c>
      <c r="C47" s="130" t="str">
        <f t="shared" si="2"/>
        <v>GBP29x41F_SYNTH1Y_Quote</v>
      </c>
      <c r="D47" s="130" t="str">
        <f>_xll.qlSimpleQuote(C47,,RateTickValue,Permanent,Trigger,ObjectOverwrite)</f>
        <v>GBP29x41F_SYNTH1Y_Quote#0001</v>
      </c>
      <c r="E47" s="242" t="str">
        <f>_xll.ohRangeRetrieveError(D47)</f>
        <v/>
      </c>
      <c r="F47" s="225"/>
    </row>
    <row r="48" spans="1:6" x14ac:dyDescent="0.2">
      <c r="A48" s="123">
        <v>30</v>
      </c>
      <c r="B48" s="231" t="str">
        <f t="shared" si="1"/>
        <v>30x42F</v>
      </c>
      <c r="C48" s="130" t="str">
        <f t="shared" si="2"/>
        <v>GBP30x42F_SYNTH1Y_Quote</v>
      </c>
      <c r="D48" s="130" t="str">
        <f>_xll.qlSimpleQuote(C48,,RateTickValue,Permanent,Trigger,ObjectOverwrite)</f>
        <v>GBP30x42F_SYNTH1Y_Quote#0001</v>
      </c>
      <c r="E48" s="242" t="str">
        <f>_xll.ohRangeRetrieveError(D48)</f>
        <v/>
      </c>
      <c r="F48" s="225"/>
    </row>
    <row r="49" spans="1:6" x14ac:dyDescent="0.2">
      <c r="A49" s="123">
        <v>31</v>
      </c>
      <c r="B49" s="231" t="str">
        <f t="shared" si="1"/>
        <v>31x43F</v>
      </c>
      <c r="C49" s="130" t="str">
        <f t="shared" si="2"/>
        <v>GBP31x43F_SYNTH1Y_Quote</v>
      </c>
      <c r="D49" s="130" t="str">
        <f>_xll.qlSimpleQuote(C49,,RateTickValue,Permanent,Trigger,ObjectOverwrite)</f>
        <v>GBP31x43F_SYNTH1Y_Quote#0001</v>
      </c>
      <c r="E49" s="242" t="str">
        <f>_xll.ohRangeRetrieveError(D49)</f>
        <v/>
      </c>
      <c r="F49" s="225"/>
    </row>
    <row r="50" spans="1:6" x14ac:dyDescent="0.2">
      <c r="A50" s="123">
        <v>32</v>
      </c>
      <c r="B50" s="231" t="str">
        <f t="shared" si="1"/>
        <v>32x44F</v>
      </c>
      <c r="C50" s="130" t="str">
        <f t="shared" si="2"/>
        <v>GBP32x44F_SYNTH1Y_Quote</v>
      </c>
      <c r="D50" s="130" t="str">
        <f>_xll.qlSimpleQuote(C50,,RateTickValue,Permanent,Trigger,ObjectOverwrite)</f>
        <v>GBP32x44F_SYNTH1Y_Quote#0001</v>
      </c>
      <c r="E50" s="242" t="str">
        <f>_xll.ohRangeRetrieveError(D50)</f>
        <v/>
      </c>
      <c r="F50" s="225"/>
    </row>
    <row r="51" spans="1:6" x14ac:dyDescent="0.2">
      <c r="A51" s="123">
        <v>33</v>
      </c>
      <c r="B51" s="231" t="str">
        <f t="shared" si="1"/>
        <v>33x45F</v>
      </c>
      <c r="C51" s="130" t="str">
        <f t="shared" si="2"/>
        <v>GBP33x45F_SYNTH1Y_Quote</v>
      </c>
      <c r="D51" s="130" t="str">
        <f>_xll.qlSimpleQuote(C51,,RateTickValue,Permanent,Trigger,ObjectOverwrite)</f>
        <v>GBP33x45F_SYNTH1Y_Quote#0001</v>
      </c>
      <c r="E51" s="242" t="str">
        <f>_xll.ohRangeRetrieveError(D51)</f>
        <v/>
      </c>
      <c r="F51" s="225"/>
    </row>
    <row r="52" spans="1:6" x14ac:dyDescent="0.2">
      <c r="A52" s="123">
        <v>34</v>
      </c>
      <c r="B52" s="231" t="str">
        <f t="shared" si="1"/>
        <v>34x46F</v>
      </c>
      <c r="C52" s="130" t="str">
        <f t="shared" si="2"/>
        <v>GBP34x46F_SYNTH1Y_Quote</v>
      </c>
      <c r="D52" s="130" t="str">
        <f>_xll.qlSimpleQuote(C52,,RateTickValue,Permanent,Trigger,ObjectOverwrite)</f>
        <v>GBP34x46F_SYNTH1Y_Quote#0001</v>
      </c>
      <c r="E52" s="242" t="str">
        <f>_xll.ohRangeRetrieveError(D52)</f>
        <v/>
      </c>
      <c r="F52" s="225"/>
    </row>
    <row r="53" spans="1:6" x14ac:dyDescent="0.2">
      <c r="A53" s="123">
        <v>35</v>
      </c>
      <c r="B53" s="231" t="str">
        <f t="shared" si="1"/>
        <v>35x47F</v>
      </c>
      <c r="C53" s="130" t="str">
        <f t="shared" si="2"/>
        <v>GBP35x47F_SYNTH1Y_Quote</v>
      </c>
      <c r="D53" s="130" t="str">
        <f>_xll.qlSimpleQuote(C53,,RateTickValue,Permanent,Trigger,ObjectOverwrite)</f>
        <v>GBP35x47F_SYNTH1Y_Quote#0001</v>
      </c>
      <c r="E53" s="242" t="str">
        <f>_xll.ohRangeRetrieveError(D53)</f>
        <v/>
      </c>
      <c r="F53" s="225"/>
    </row>
    <row r="54" spans="1:6" x14ac:dyDescent="0.2">
      <c r="A54" s="123">
        <v>37</v>
      </c>
      <c r="B54" s="231" t="str">
        <f t="shared" si="1"/>
        <v>37x49F</v>
      </c>
      <c r="C54" s="130" t="str">
        <f t="shared" si="2"/>
        <v>GBP37x49F_SYNTH1Y_Quote</v>
      </c>
      <c r="D54" s="130" t="str">
        <f>_xll.qlSimpleQuote(C54,,RateTickValue,Permanent,Trigger,ObjectOverwrite)</f>
        <v>GBP37x49F_SYNTH1Y_Quote#0001</v>
      </c>
      <c r="E54" s="242" t="str">
        <f>_xll.ohRangeRetrieveError(D54)</f>
        <v/>
      </c>
      <c r="F54" s="225"/>
    </row>
    <row r="55" spans="1:6" x14ac:dyDescent="0.2">
      <c r="A55" s="123">
        <v>38</v>
      </c>
      <c r="B55" s="231" t="str">
        <f t="shared" si="1"/>
        <v>38x50F</v>
      </c>
      <c r="C55" s="130" t="str">
        <f t="shared" si="2"/>
        <v>GBP38x50F_SYNTH1Y_Quote</v>
      </c>
      <c r="D55" s="130" t="str">
        <f>_xll.qlSimpleQuote(C55,,RateTickValue,Permanent,Trigger,ObjectOverwrite)</f>
        <v>GBP38x50F_SYNTH1Y_Quote#0001</v>
      </c>
      <c r="E55" s="242" t="str">
        <f>_xll.ohRangeRetrieveError(D55)</f>
        <v/>
      </c>
      <c r="F55" s="225"/>
    </row>
    <row r="56" spans="1:6" x14ac:dyDescent="0.2">
      <c r="A56" s="123">
        <v>39</v>
      </c>
      <c r="B56" s="231" t="str">
        <f t="shared" si="1"/>
        <v>39x51F</v>
      </c>
      <c r="C56" s="130" t="str">
        <f t="shared" si="2"/>
        <v>GBP39x51F_SYNTH1Y_Quote</v>
      </c>
      <c r="D56" s="130" t="str">
        <f>_xll.qlSimpleQuote(C56,,RateTickValue,Permanent,Trigger,ObjectOverwrite)</f>
        <v>GBP39x51F_SYNTH1Y_Quote#0001</v>
      </c>
      <c r="E56" s="242" t="str">
        <f>_xll.ohRangeRetrieveError(D56)</f>
        <v/>
      </c>
      <c r="F56" s="225"/>
    </row>
    <row r="57" spans="1:6" x14ac:dyDescent="0.2">
      <c r="A57" s="123">
        <v>40</v>
      </c>
      <c r="B57" s="231" t="str">
        <f t="shared" si="1"/>
        <v>40x52F</v>
      </c>
      <c r="C57" s="130" t="str">
        <f t="shared" si="2"/>
        <v>GBP40x52F_SYNTH1Y_Quote</v>
      </c>
      <c r="D57" s="130" t="str">
        <f>_xll.qlSimpleQuote(C57,,RateTickValue,Permanent,Trigger,ObjectOverwrite)</f>
        <v>GBP40x52F_SYNTH1Y_Quote#0001</v>
      </c>
      <c r="E57" s="242" t="str">
        <f>_xll.ohRangeRetrieveError(D57)</f>
        <v/>
      </c>
      <c r="F57" s="225"/>
    </row>
    <row r="58" spans="1:6" x14ac:dyDescent="0.2">
      <c r="A58" s="123">
        <v>41</v>
      </c>
      <c r="B58" s="231" t="str">
        <f t="shared" si="1"/>
        <v>41x53F</v>
      </c>
      <c r="C58" s="130" t="str">
        <f t="shared" si="2"/>
        <v>GBP41x53F_SYNTH1Y_Quote</v>
      </c>
      <c r="D58" s="130" t="str">
        <f>_xll.qlSimpleQuote(C58,,RateTickValue,Permanent,Trigger,ObjectOverwrite)</f>
        <v>GBP41x53F_SYNTH1Y_Quote#0001</v>
      </c>
      <c r="E58" s="242" t="str">
        <f>_xll.ohRangeRetrieveError(D58)</f>
        <v/>
      </c>
      <c r="F58" s="225"/>
    </row>
    <row r="59" spans="1:6" x14ac:dyDescent="0.2">
      <c r="A59" s="123">
        <v>42</v>
      </c>
      <c r="B59" s="231" t="str">
        <f t="shared" si="1"/>
        <v>42x54F</v>
      </c>
      <c r="C59" s="130" t="str">
        <f t="shared" si="2"/>
        <v>GBP42x54F_SYNTH1Y_Quote</v>
      </c>
      <c r="D59" s="130" t="str">
        <f>_xll.qlSimpleQuote(C59,,RateTickValue,Permanent,Trigger,ObjectOverwrite)</f>
        <v>GBP42x54F_SYNTH1Y_Quote#0001</v>
      </c>
      <c r="E59" s="242" t="str">
        <f>_xll.ohRangeRetrieveError(D59)</f>
        <v/>
      </c>
      <c r="F59" s="225"/>
    </row>
    <row r="60" spans="1:6" x14ac:dyDescent="0.2">
      <c r="A60" s="123">
        <v>43</v>
      </c>
      <c r="B60" s="231" t="str">
        <f t="shared" si="1"/>
        <v>43x55F</v>
      </c>
      <c r="C60" s="130" t="str">
        <f t="shared" si="2"/>
        <v>GBP43x55F_SYNTH1Y_Quote</v>
      </c>
      <c r="D60" s="130" t="str">
        <f>_xll.qlSimpleQuote(C60,,RateTickValue,Permanent,Trigger,ObjectOverwrite)</f>
        <v>GBP43x55F_SYNTH1Y_Quote#0001</v>
      </c>
      <c r="E60" s="242" t="str">
        <f>_xll.ohRangeRetrieveError(D60)</f>
        <v/>
      </c>
      <c r="F60" s="225"/>
    </row>
    <row r="61" spans="1:6" x14ac:dyDescent="0.2">
      <c r="A61" s="123">
        <v>44</v>
      </c>
      <c r="B61" s="231" t="str">
        <f t="shared" si="1"/>
        <v>44x56F</v>
      </c>
      <c r="C61" s="130" t="str">
        <f t="shared" si="2"/>
        <v>GBP44x56F_SYNTH1Y_Quote</v>
      </c>
      <c r="D61" s="130" t="str">
        <f>_xll.qlSimpleQuote(C61,,RateTickValue,Permanent,Trigger,ObjectOverwrite)</f>
        <v>GBP44x56F_SYNTH1Y_Quote#0001</v>
      </c>
      <c r="E61" s="242" t="str">
        <f>_xll.ohRangeRetrieveError(D61)</f>
        <v/>
      </c>
      <c r="F61" s="225"/>
    </row>
    <row r="62" spans="1:6" x14ac:dyDescent="0.2">
      <c r="A62" s="123">
        <v>45</v>
      </c>
      <c r="B62" s="231" t="str">
        <f t="shared" si="1"/>
        <v>45x57F</v>
      </c>
      <c r="C62" s="130" t="str">
        <f t="shared" si="2"/>
        <v>GBP45x57F_SYNTH1Y_Quote</v>
      </c>
      <c r="D62" s="130" t="str">
        <f>_xll.qlSimpleQuote(C62,,RateTickValue,Permanent,Trigger,ObjectOverwrite)</f>
        <v>GBP45x57F_SYNTH1Y_Quote#0001</v>
      </c>
      <c r="E62" s="242" t="str">
        <f>_xll.ohRangeRetrieveError(D62)</f>
        <v/>
      </c>
      <c r="F62" s="225"/>
    </row>
    <row r="63" spans="1:6" x14ac:dyDescent="0.2">
      <c r="A63" s="123">
        <v>46</v>
      </c>
      <c r="B63" s="231" t="str">
        <f t="shared" si="1"/>
        <v>46x58F</v>
      </c>
      <c r="C63" s="130" t="str">
        <f t="shared" si="2"/>
        <v>GBP46x58F_SYNTH1Y_Quote</v>
      </c>
      <c r="D63" s="130" t="str">
        <f>_xll.qlSimpleQuote(C63,,RateTickValue,Permanent,Trigger,ObjectOverwrite)</f>
        <v>GBP46x58F_SYNTH1Y_Quote#0001</v>
      </c>
      <c r="E63" s="242" t="str">
        <f>_xll.ohRangeRetrieveError(D63)</f>
        <v/>
      </c>
      <c r="F63" s="225"/>
    </row>
    <row r="64" spans="1:6" x14ac:dyDescent="0.2">
      <c r="A64" s="123">
        <v>47</v>
      </c>
      <c r="B64" s="239" t="str">
        <f t="shared" si="1"/>
        <v>47x59F</v>
      </c>
      <c r="C64" s="119" t="str">
        <f t="shared" si="2"/>
        <v>GBP47x59F_SYNTH1Y_Quote</v>
      </c>
      <c r="D64" s="119" t="str">
        <f>_xll.qlSimpleQuote(C64,,RateTickValue,Permanent,Trigger,ObjectOverwrite)</f>
        <v>GBP47x59F_SYNTH1Y_Quote#0001</v>
      </c>
      <c r="E64" s="238" t="str">
        <f>_xll.ohRangeRetrieveError(D64)</f>
        <v/>
      </c>
      <c r="F64" s="225"/>
    </row>
    <row r="65" spans="1:6" ht="12" thickBot="1" x14ac:dyDescent="0.25">
      <c r="A65" s="32"/>
      <c r="B65" s="31"/>
      <c r="C65" s="31"/>
      <c r="D65" s="31"/>
      <c r="E65" s="31"/>
      <c r="F65" s="30"/>
    </row>
  </sheetData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7"/>
  <sheetViews>
    <sheetView workbookViewId="0"/>
  </sheetViews>
  <sheetFormatPr defaultColWidth="8" defaultRowHeight="11.25" x14ac:dyDescent="0.2"/>
  <cols>
    <col min="1" max="1" width="6.140625" style="101" customWidth="1"/>
    <col min="2" max="2" width="4.28515625" style="101" customWidth="1"/>
    <col min="3" max="3" width="15.5703125" style="101" bestFit="1" customWidth="1"/>
    <col min="4" max="4" width="90.7109375" style="101" bestFit="1" customWidth="1"/>
    <col min="5" max="5" width="4.7109375" style="101" customWidth="1"/>
    <col min="6" max="6" width="35.28515625" style="101" customWidth="1"/>
    <col min="7" max="7" width="4.28515625" style="101" customWidth="1"/>
    <col min="8" max="16384" width="8" style="101"/>
  </cols>
  <sheetData>
    <row r="1" spans="1:5" ht="13.5" thickBot="1" x14ac:dyDescent="0.25">
      <c r="B1" s="104" t="str">
        <f>_xll.qlxlVersion(TRUE,Trigger)</f>
        <v>QuantLibXL 1.3.0 - MS VC++ 9.0 - Multithreaded Static Runtime library - Release Configuration - Nov  5 2013 10:41:52</v>
      </c>
    </row>
    <row r="2" spans="1:5" s="1" customFormat="1" ht="15.75" x14ac:dyDescent="0.25">
      <c r="A2" s="50"/>
      <c r="B2" s="269" t="s">
        <v>99</v>
      </c>
      <c r="C2" s="270"/>
      <c r="D2" s="270"/>
      <c r="E2" s="271"/>
    </row>
    <row r="3" spans="1:5" s="1" customFormat="1" ht="12.75" x14ac:dyDescent="0.2">
      <c r="A3" s="50"/>
      <c r="B3" s="53"/>
      <c r="C3" s="56"/>
      <c r="D3" s="56"/>
      <c r="E3" s="6"/>
    </row>
    <row r="4" spans="1:5" s="1" customFormat="1" ht="12.75" x14ac:dyDescent="0.2">
      <c r="A4" s="50"/>
      <c r="B4" s="53"/>
      <c r="C4" s="22" t="s">
        <v>98</v>
      </c>
      <c r="D4" s="52"/>
      <c r="E4" s="51"/>
    </row>
    <row r="5" spans="1:5" s="1" customFormat="1" ht="12.75" x14ac:dyDescent="0.2">
      <c r="A5" s="50"/>
      <c r="B5" s="53"/>
      <c r="C5" s="22" t="s">
        <v>95</v>
      </c>
      <c r="D5" s="52" t="b">
        <v>1</v>
      </c>
      <c r="E5" s="51"/>
    </row>
    <row r="6" spans="1:5" s="1" customFormat="1" ht="12.75" x14ac:dyDescent="0.2">
      <c r="A6" s="50"/>
      <c r="B6" s="53"/>
      <c r="C6" s="22" t="s">
        <v>94</v>
      </c>
      <c r="D6" s="52" t="b">
        <v>0</v>
      </c>
      <c r="E6" s="51"/>
    </row>
    <row r="7" spans="1:5" s="1" customFormat="1" ht="12.75" x14ac:dyDescent="0.2">
      <c r="A7" s="50"/>
      <c r="B7" s="53"/>
      <c r="C7" s="22" t="s">
        <v>93</v>
      </c>
      <c r="D7" s="52" t="b">
        <v>1</v>
      </c>
      <c r="E7" s="51"/>
    </row>
    <row r="8" spans="1:5" s="1" customFormat="1" ht="12.75" x14ac:dyDescent="0.2">
      <c r="A8" s="50"/>
      <c r="B8" s="53"/>
      <c r="C8" s="22" t="s">
        <v>92</v>
      </c>
      <c r="D8" s="55" t="str">
        <f ca="1">SUBSTITUTE(LEFT(CELL("filename",A1),FIND("[",CELL("filename",A1),1)-1),"\XLS\","\XML\")</f>
        <v>C:\Users\erik\Documents\repos\quantlib_nando\QuantLibXL\Data2\XML\</v>
      </c>
      <c r="E8" s="51"/>
    </row>
    <row r="9" spans="1:5" s="1" customFormat="1" ht="12.75" x14ac:dyDescent="0.2">
      <c r="A9" s="50"/>
      <c r="B9" s="53"/>
      <c r="C9" s="22" t="s">
        <v>91</v>
      </c>
      <c r="D9" s="54" t="b">
        <v>1</v>
      </c>
      <c r="E9" s="51"/>
    </row>
    <row r="10" spans="1:5" s="1" customFormat="1" ht="13.5" thickBot="1" x14ac:dyDescent="0.25">
      <c r="A10" s="50"/>
      <c r="B10" s="5"/>
      <c r="C10" s="4"/>
      <c r="D10" s="4"/>
      <c r="E10" s="3"/>
    </row>
    <row r="11" spans="1:5" ht="12" thickBot="1" x14ac:dyDescent="0.25"/>
    <row r="12" spans="1:5" ht="15.75" x14ac:dyDescent="0.25">
      <c r="B12" s="269" t="s">
        <v>221</v>
      </c>
      <c r="C12" s="270"/>
      <c r="D12" s="270"/>
      <c r="E12" s="271"/>
    </row>
    <row r="13" spans="1:5" x14ac:dyDescent="0.2">
      <c r="B13" s="154"/>
      <c r="C13" s="246"/>
      <c r="D13" s="246"/>
      <c r="E13" s="142"/>
    </row>
    <row r="14" spans="1:5" x14ac:dyDescent="0.2">
      <c r="B14" s="154"/>
      <c r="C14" s="22" t="s">
        <v>97</v>
      </c>
      <c r="D14" s="52" t="s">
        <v>96</v>
      </c>
      <c r="E14" s="142"/>
    </row>
    <row r="15" spans="1:5" x14ac:dyDescent="0.2">
      <c r="B15" s="154"/>
      <c r="C15" s="22" t="s">
        <v>133</v>
      </c>
      <c r="D15" s="52" t="s">
        <v>132</v>
      </c>
      <c r="E15" s="142"/>
    </row>
    <row r="16" spans="1:5" x14ac:dyDescent="0.2">
      <c r="B16" s="154"/>
      <c r="C16" s="22" t="s">
        <v>131</v>
      </c>
      <c r="D16" s="245">
        <v>1E-4</v>
      </c>
      <c r="E16" s="142"/>
    </row>
    <row r="17" spans="2:5" ht="12" thickBot="1" x14ac:dyDescent="0.25">
      <c r="B17" s="244"/>
      <c r="C17" s="140"/>
      <c r="D17" s="140"/>
      <c r="E17" s="139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7"/>
  <sheetViews>
    <sheetView workbookViewId="0"/>
  </sheetViews>
  <sheetFormatPr defaultRowHeight="11.25" x14ac:dyDescent="0.2"/>
  <cols>
    <col min="1" max="1" width="3.7109375" style="67" customWidth="1"/>
    <col min="2" max="2" width="3.85546875" style="66" bestFit="1" customWidth="1"/>
    <col min="3" max="3" width="3.140625" style="67" bestFit="1" customWidth="1"/>
    <col min="4" max="4" width="2.7109375" style="67" bestFit="1" customWidth="1"/>
    <col min="5" max="5" width="4.7109375" style="67" bestFit="1" customWidth="1"/>
    <col min="6" max="7" width="1.85546875" style="67" bestFit="1" customWidth="1"/>
    <col min="8" max="8" width="7.140625" style="67" bestFit="1" customWidth="1"/>
    <col min="9" max="9" width="19.140625" style="67" bestFit="1" customWidth="1"/>
    <col min="10" max="10" width="23.85546875" style="67" bestFit="1" customWidth="1"/>
    <col min="11" max="11" width="26.7109375" style="68" bestFit="1" customWidth="1"/>
    <col min="12" max="12" width="22" style="67" customWidth="1"/>
    <col min="13" max="13" width="4.42578125" style="67" customWidth="1"/>
    <col min="14" max="14" width="3.85546875" style="67" customWidth="1"/>
    <col min="15" max="15" width="4" style="67" bestFit="1" customWidth="1"/>
    <col min="16" max="16" width="3.28515625" style="67" bestFit="1" customWidth="1"/>
    <col min="17" max="17" width="2.7109375" style="67" customWidth="1"/>
    <col min="18" max="18" width="3.28515625" style="67" bestFit="1" customWidth="1"/>
    <col min="19" max="20" width="2.7109375" style="67" bestFit="1" customWidth="1"/>
    <col min="21" max="16384" width="9.140625" style="67"/>
  </cols>
  <sheetData>
    <row r="1" spans="1:20" ht="12" thickBot="1" x14ac:dyDescent="0.25">
      <c r="A1" s="208"/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156"/>
      <c r="M1" s="204"/>
    </row>
    <row r="2" spans="1:20" ht="22.5" x14ac:dyDescent="0.2">
      <c r="A2" s="123"/>
      <c r="B2" s="253"/>
      <c r="C2" s="254"/>
      <c r="D2" s="253"/>
      <c r="E2" s="253" t="s">
        <v>225</v>
      </c>
      <c r="F2" s="253"/>
      <c r="G2" s="253"/>
      <c r="H2" s="253" t="s">
        <v>224</v>
      </c>
      <c r="I2" s="253" t="s">
        <v>223</v>
      </c>
      <c r="J2" s="252" t="str">
        <f>Currency&amp;"_020_Sw"&amp;$C$3&amp;$D$3&amp;"_Fwd"&amp;$E$3&amp;IF(H3=0,,"_Spr"&amp;$F3&amp;$G3)&amp;".xml"</f>
        <v>GBP_020_SwSB6L_Fwd1w.xml</v>
      </c>
      <c r="K2" s="251">
        <f ca="1">IF(Serialize,_xll.ohObjectSave(K3:K36,SerializationPath&amp;J2,FileOverwrite,Serialize),"---")</f>
        <v>33</v>
      </c>
      <c r="L2" s="249" t="str">
        <f ca="1">_xll.ohRangeRetrieveError(K2)</f>
        <v/>
      </c>
      <c r="M2" s="33"/>
      <c r="O2" s="217"/>
      <c r="P2" s="216"/>
      <c r="Q2" s="216"/>
      <c r="R2" s="216"/>
      <c r="S2" s="216"/>
      <c r="T2" s="215"/>
    </row>
    <row r="3" spans="1:20" x14ac:dyDescent="0.2">
      <c r="A3" s="123"/>
      <c r="B3" s="223" t="s">
        <v>1</v>
      </c>
      <c r="C3" s="198" t="str">
        <f t="shared" ref="C3:C36" si="0">VLOOKUP(Currency,$O$3:$T$7,2)</f>
        <v>SB</v>
      </c>
      <c r="D3" s="198" t="str">
        <f t="shared" ref="D3:D36" si="1">VLOOKUP(Currency,$O$3:$T$7,3)</f>
        <v>6L</v>
      </c>
      <c r="E3" s="198" t="str">
        <f t="shared" ref="E3:E36" si="2">VLOOKUP(Currency,$O$3:$T$7,4)</f>
        <v>1w</v>
      </c>
      <c r="F3" s="198">
        <f t="shared" ref="F3:F36" si="3">VLOOKUP(Currency,$O$3:$T$7,5)</f>
        <v>0</v>
      </c>
      <c r="G3" s="198">
        <f t="shared" ref="G3:G36" si="4">VLOOKUP(Currency,$O$3:$T$7,6)</f>
        <v>0</v>
      </c>
      <c r="H3" s="248">
        <f t="shared" ref="H3:H36" si="5">IF(F3=0,0,Currency&amp;$F3&amp;$G3&amp;$B3&amp;QuoteSuffix)</f>
        <v>0</v>
      </c>
      <c r="I3" s="250" t="str">
        <f t="shared" ref="I3:I36" si="6">PROPER(Currency)&amp;FamilyName&amp;"Swap"&amp;FixingType&amp;$B3</f>
        <v>GbpLiborSwapIsda1Y</v>
      </c>
      <c r="J3" s="247" t="str">
        <f t="shared" ref="J3:J36" si="7">Currency&amp;$C3&amp;$D3&amp;$B3&amp;"_"&amp;"Fwd"&amp;E3&amp;IF(H3=0,,"_Spr"&amp;$F3&amp;$G3)&amp;QuoteSuffix</f>
        <v>GBPSB6L1Y_Fwd1w_Quote</v>
      </c>
      <c r="K3" s="247"/>
      <c r="L3" s="249" t="str">
        <f>_xll.ohRangeRetrieveError(K3)</f>
        <v/>
      </c>
      <c r="M3" s="33"/>
      <c r="O3" s="85" t="s">
        <v>122</v>
      </c>
      <c r="P3" s="84" t="s">
        <v>214</v>
      </c>
      <c r="Q3" s="84" t="s">
        <v>117</v>
      </c>
      <c r="R3" s="84" t="s">
        <v>222</v>
      </c>
      <c r="S3" s="84"/>
      <c r="T3" s="83"/>
    </row>
    <row r="4" spans="1:20" x14ac:dyDescent="0.2">
      <c r="A4" s="123"/>
      <c r="B4" s="223" t="s">
        <v>85</v>
      </c>
      <c r="C4" s="198" t="str">
        <f t="shared" si="0"/>
        <v>SB</v>
      </c>
      <c r="D4" s="198" t="str">
        <f t="shared" si="1"/>
        <v>6L</v>
      </c>
      <c r="E4" s="198" t="str">
        <f t="shared" si="2"/>
        <v>1w</v>
      </c>
      <c r="F4" s="198">
        <f t="shared" si="3"/>
        <v>0</v>
      </c>
      <c r="G4" s="198">
        <f t="shared" si="4"/>
        <v>0</v>
      </c>
      <c r="H4" s="248">
        <f t="shared" si="5"/>
        <v>0</v>
      </c>
      <c r="I4" s="107" t="str">
        <f t="shared" si="6"/>
        <v>GbpLiborSwapIsda2Y</v>
      </c>
      <c r="J4" s="247" t="str">
        <f t="shared" si="7"/>
        <v>GBPSB6L2Y_Fwd1w_Quote</v>
      </c>
      <c r="K4" s="247" t="str">
        <f>_xll.qlForwardSwapQuote(J4,I4,H4,E4,Permanent,Trigger,ObjectOverwrite)</f>
        <v>GBPSB6L2Y_Fwd1w_Quote#0000</v>
      </c>
      <c r="L4" s="249" t="str">
        <f>_xll.ohRangeRetrieveError(K4)</f>
        <v/>
      </c>
      <c r="M4" s="33"/>
      <c r="O4" s="85" t="s">
        <v>121</v>
      </c>
      <c r="P4" s="84" t="s">
        <v>214</v>
      </c>
      <c r="Q4" s="84" t="s">
        <v>119</v>
      </c>
      <c r="R4" s="84" t="s">
        <v>222</v>
      </c>
      <c r="S4" s="84"/>
      <c r="T4" s="83"/>
    </row>
    <row r="5" spans="1:20" x14ac:dyDescent="0.2">
      <c r="A5" s="123"/>
      <c r="B5" s="223" t="s">
        <v>84</v>
      </c>
      <c r="C5" s="198" t="str">
        <f t="shared" si="0"/>
        <v>SB</v>
      </c>
      <c r="D5" s="198" t="str">
        <f t="shared" si="1"/>
        <v>6L</v>
      </c>
      <c r="E5" s="198" t="str">
        <f t="shared" si="2"/>
        <v>1w</v>
      </c>
      <c r="F5" s="198">
        <f t="shared" si="3"/>
        <v>0</v>
      </c>
      <c r="G5" s="198">
        <f t="shared" si="4"/>
        <v>0</v>
      </c>
      <c r="H5" s="248">
        <f t="shared" si="5"/>
        <v>0</v>
      </c>
      <c r="I5" s="107" t="str">
        <f t="shared" si="6"/>
        <v>GbpLiborSwapIsda3Y</v>
      </c>
      <c r="J5" s="247" t="str">
        <f t="shared" si="7"/>
        <v>GBPSB6L3Y_Fwd1w_Quote</v>
      </c>
      <c r="K5" s="247" t="str">
        <f>_xll.qlForwardSwapQuote(J5,I5,H5,E5,Permanent,Trigger,ObjectOverwrite)</f>
        <v>GBPSB6L3Y_Fwd1w_Quote#0000</v>
      </c>
      <c r="L5" s="249" t="str">
        <f>_xll.ohRangeRetrieveError(K5)</f>
        <v/>
      </c>
      <c r="M5" s="33"/>
      <c r="O5" s="85" t="s">
        <v>96</v>
      </c>
      <c r="P5" s="84" t="s">
        <v>213</v>
      </c>
      <c r="Q5" s="84" t="s">
        <v>117</v>
      </c>
      <c r="R5" s="84" t="s">
        <v>222</v>
      </c>
      <c r="S5" s="84"/>
      <c r="T5" s="83"/>
    </row>
    <row r="6" spans="1:20" x14ac:dyDescent="0.2">
      <c r="A6" s="123"/>
      <c r="B6" s="223" t="s">
        <v>83</v>
      </c>
      <c r="C6" s="198" t="str">
        <f t="shared" si="0"/>
        <v>SB</v>
      </c>
      <c r="D6" s="198" t="str">
        <f t="shared" si="1"/>
        <v>6L</v>
      </c>
      <c r="E6" s="198" t="str">
        <f t="shared" si="2"/>
        <v>1w</v>
      </c>
      <c r="F6" s="198">
        <f t="shared" si="3"/>
        <v>0</v>
      </c>
      <c r="G6" s="198">
        <f t="shared" si="4"/>
        <v>0</v>
      </c>
      <c r="H6" s="248">
        <f t="shared" si="5"/>
        <v>0</v>
      </c>
      <c r="I6" s="107" t="str">
        <f t="shared" si="6"/>
        <v>GbpLiborSwapIsda4Y</v>
      </c>
      <c r="J6" s="247" t="str">
        <f t="shared" si="7"/>
        <v>GBPSB6L4Y_Fwd1w_Quote</v>
      </c>
      <c r="K6" s="247" t="str">
        <f>_xll.qlForwardSwapQuote(J6,I6,H6,E6,Permanent,Trigger,ObjectOverwrite)</f>
        <v>GBPSB6L4Y_Fwd1w_Quote#0000</v>
      </c>
      <c r="L6" s="249" t="str">
        <f>_xll.ohRangeRetrieveError(K6)</f>
        <v/>
      </c>
      <c r="M6" s="33"/>
      <c r="O6" s="85" t="s">
        <v>118</v>
      </c>
      <c r="P6" s="84" t="s">
        <v>213</v>
      </c>
      <c r="Q6" s="84" t="s">
        <v>117</v>
      </c>
      <c r="R6" s="84" t="s">
        <v>222</v>
      </c>
      <c r="S6" s="84"/>
      <c r="T6" s="83"/>
    </row>
    <row r="7" spans="1:20" ht="12" thickBot="1" x14ac:dyDescent="0.25">
      <c r="A7" s="123"/>
      <c r="B7" s="223" t="s">
        <v>82</v>
      </c>
      <c r="C7" s="198" t="str">
        <f t="shared" si="0"/>
        <v>SB</v>
      </c>
      <c r="D7" s="198" t="str">
        <f t="shared" si="1"/>
        <v>6L</v>
      </c>
      <c r="E7" s="198" t="str">
        <f t="shared" si="2"/>
        <v>1w</v>
      </c>
      <c r="F7" s="198">
        <f t="shared" si="3"/>
        <v>0</v>
      </c>
      <c r="G7" s="198">
        <f t="shared" si="4"/>
        <v>0</v>
      </c>
      <c r="H7" s="248">
        <f t="shared" si="5"/>
        <v>0</v>
      </c>
      <c r="I7" s="107" t="str">
        <f t="shared" si="6"/>
        <v>GbpLiborSwapIsda5Y</v>
      </c>
      <c r="J7" s="247" t="str">
        <f t="shared" si="7"/>
        <v>GBPSB6L5Y_Fwd1w_Quote</v>
      </c>
      <c r="K7" s="247" t="str">
        <f>_xll.qlForwardSwapQuote(J7,I7,H7,E7,Permanent,Trigger,ObjectOverwrite)</f>
        <v>GBPSB6L5Y_Fwd1w_Quote#0000</v>
      </c>
      <c r="L7" s="249" t="str">
        <f>_xll.ohRangeRetrieveError(K7)</f>
        <v/>
      </c>
      <c r="M7" s="33"/>
      <c r="O7" s="82" t="s">
        <v>116</v>
      </c>
      <c r="P7" s="81" t="s">
        <v>212</v>
      </c>
      <c r="Q7" s="81" t="s">
        <v>115</v>
      </c>
      <c r="R7" s="81" t="s">
        <v>222</v>
      </c>
      <c r="S7" s="81"/>
      <c r="T7" s="80"/>
    </row>
    <row r="8" spans="1:20" x14ac:dyDescent="0.2">
      <c r="A8" s="123"/>
      <c r="B8" s="223" t="s">
        <v>81</v>
      </c>
      <c r="C8" s="198" t="str">
        <f t="shared" si="0"/>
        <v>SB</v>
      </c>
      <c r="D8" s="198" t="str">
        <f t="shared" si="1"/>
        <v>6L</v>
      </c>
      <c r="E8" s="198" t="str">
        <f t="shared" si="2"/>
        <v>1w</v>
      </c>
      <c r="F8" s="198">
        <f t="shared" si="3"/>
        <v>0</v>
      </c>
      <c r="G8" s="198">
        <f t="shared" si="4"/>
        <v>0</v>
      </c>
      <c r="H8" s="248">
        <f t="shared" si="5"/>
        <v>0</v>
      </c>
      <c r="I8" s="107" t="str">
        <f t="shared" si="6"/>
        <v>GbpLiborSwapIsda6Y</v>
      </c>
      <c r="J8" s="247" t="str">
        <f t="shared" si="7"/>
        <v>GBPSB6L6Y_Fwd1w_Quote</v>
      </c>
      <c r="K8" s="247" t="str">
        <f>_xll.qlForwardSwapQuote(J8,I8,H8,E8,Permanent,Trigger,ObjectOverwrite)</f>
        <v>GBPSB6L6Y_Fwd1w_Quote#0000</v>
      </c>
      <c r="L8" s="249" t="str">
        <f>_xll.ohRangeRetrieveError(K8)</f>
        <v/>
      </c>
      <c r="M8" s="33"/>
    </row>
    <row r="9" spans="1:20" x14ac:dyDescent="0.2">
      <c r="A9" s="123"/>
      <c r="B9" s="223" t="s">
        <v>80</v>
      </c>
      <c r="C9" s="198" t="str">
        <f t="shared" si="0"/>
        <v>SB</v>
      </c>
      <c r="D9" s="198" t="str">
        <f t="shared" si="1"/>
        <v>6L</v>
      </c>
      <c r="E9" s="198" t="str">
        <f t="shared" si="2"/>
        <v>1w</v>
      </c>
      <c r="F9" s="198">
        <f t="shared" si="3"/>
        <v>0</v>
      </c>
      <c r="G9" s="198">
        <f t="shared" si="4"/>
        <v>0</v>
      </c>
      <c r="H9" s="248">
        <f t="shared" si="5"/>
        <v>0</v>
      </c>
      <c r="I9" s="107" t="str">
        <f t="shared" si="6"/>
        <v>GbpLiborSwapIsda7Y</v>
      </c>
      <c r="J9" s="247" t="str">
        <f t="shared" si="7"/>
        <v>GBPSB6L7Y_Fwd1w_Quote</v>
      </c>
      <c r="K9" s="247" t="str">
        <f>_xll.qlForwardSwapQuote(J9,I9,H9,E9,Permanent,Trigger,ObjectOverwrite)</f>
        <v>GBPSB6L7Y_Fwd1w_Quote#0000</v>
      </c>
      <c r="L9" s="249" t="str">
        <f>_xll.ohRangeRetrieveError(K9)</f>
        <v/>
      </c>
      <c r="M9" s="33"/>
    </row>
    <row r="10" spans="1:20" x14ac:dyDescent="0.2">
      <c r="A10" s="123"/>
      <c r="B10" s="223" t="s">
        <v>79</v>
      </c>
      <c r="C10" s="198" t="str">
        <f t="shared" si="0"/>
        <v>SB</v>
      </c>
      <c r="D10" s="198" t="str">
        <f t="shared" si="1"/>
        <v>6L</v>
      </c>
      <c r="E10" s="198" t="str">
        <f t="shared" si="2"/>
        <v>1w</v>
      </c>
      <c r="F10" s="198">
        <f t="shared" si="3"/>
        <v>0</v>
      </c>
      <c r="G10" s="198">
        <f t="shared" si="4"/>
        <v>0</v>
      </c>
      <c r="H10" s="248">
        <f t="shared" si="5"/>
        <v>0</v>
      </c>
      <c r="I10" s="107" t="str">
        <f t="shared" si="6"/>
        <v>GbpLiborSwapIsda8Y</v>
      </c>
      <c r="J10" s="247" t="str">
        <f t="shared" si="7"/>
        <v>GBPSB6L8Y_Fwd1w_Quote</v>
      </c>
      <c r="K10" s="247" t="str">
        <f>_xll.qlForwardSwapQuote(J10,I10,H10,E10,Permanent,Trigger,ObjectOverwrite)</f>
        <v>GBPSB6L8Y_Fwd1w_Quote#0000</v>
      </c>
      <c r="L10" s="249" t="str">
        <f>_xll.ohRangeRetrieveError(K10)</f>
        <v/>
      </c>
      <c r="M10" s="33"/>
    </row>
    <row r="11" spans="1:20" x14ac:dyDescent="0.2">
      <c r="A11" s="123"/>
      <c r="B11" s="223" t="s">
        <v>78</v>
      </c>
      <c r="C11" s="198" t="str">
        <f t="shared" si="0"/>
        <v>SB</v>
      </c>
      <c r="D11" s="198" t="str">
        <f t="shared" si="1"/>
        <v>6L</v>
      </c>
      <c r="E11" s="198" t="str">
        <f t="shared" si="2"/>
        <v>1w</v>
      </c>
      <c r="F11" s="198">
        <f t="shared" si="3"/>
        <v>0</v>
      </c>
      <c r="G11" s="198">
        <f t="shared" si="4"/>
        <v>0</v>
      </c>
      <c r="H11" s="248">
        <f t="shared" si="5"/>
        <v>0</v>
      </c>
      <c r="I11" s="107" t="str">
        <f t="shared" si="6"/>
        <v>GbpLiborSwapIsda9Y</v>
      </c>
      <c r="J11" s="247" t="str">
        <f t="shared" si="7"/>
        <v>GBPSB6L9Y_Fwd1w_Quote</v>
      </c>
      <c r="K11" s="247" t="str">
        <f>_xll.qlForwardSwapQuote(J11,I11,H11,E11,Permanent,Trigger,ObjectOverwrite)</f>
        <v>GBPSB6L9Y_Fwd1w_Quote#0000</v>
      </c>
      <c r="L11" s="249" t="str">
        <f>_xll.ohRangeRetrieveError(K11)</f>
        <v/>
      </c>
      <c r="M11" s="33"/>
    </row>
    <row r="12" spans="1:20" x14ac:dyDescent="0.2">
      <c r="A12" s="123"/>
      <c r="B12" s="223" t="s">
        <v>77</v>
      </c>
      <c r="C12" s="198" t="str">
        <f t="shared" si="0"/>
        <v>SB</v>
      </c>
      <c r="D12" s="198" t="str">
        <f t="shared" si="1"/>
        <v>6L</v>
      </c>
      <c r="E12" s="198" t="str">
        <f t="shared" si="2"/>
        <v>1w</v>
      </c>
      <c r="F12" s="198">
        <f t="shared" si="3"/>
        <v>0</v>
      </c>
      <c r="G12" s="198">
        <f t="shared" si="4"/>
        <v>0</v>
      </c>
      <c r="H12" s="248">
        <f t="shared" si="5"/>
        <v>0</v>
      </c>
      <c r="I12" s="107" t="str">
        <f t="shared" si="6"/>
        <v>GbpLiborSwapIsda10Y</v>
      </c>
      <c r="J12" s="247" t="str">
        <f t="shared" si="7"/>
        <v>GBPSB6L10Y_Fwd1w_Quote</v>
      </c>
      <c r="K12" s="247" t="str">
        <f>_xll.qlForwardSwapQuote(J12,I12,H12,E12,Permanent,Trigger,ObjectOverwrite)</f>
        <v>GBPSB6L10Y_Fwd1w_Quote#0000</v>
      </c>
      <c r="L12" s="249" t="str">
        <f>_xll.ohRangeRetrieveError(K12)</f>
        <v/>
      </c>
      <c r="M12" s="33"/>
    </row>
    <row r="13" spans="1:20" x14ac:dyDescent="0.2">
      <c r="A13" s="123"/>
      <c r="B13" s="223" t="s">
        <v>76</v>
      </c>
      <c r="C13" s="198" t="str">
        <f t="shared" si="0"/>
        <v>SB</v>
      </c>
      <c r="D13" s="198" t="str">
        <f t="shared" si="1"/>
        <v>6L</v>
      </c>
      <c r="E13" s="198" t="str">
        <f t="shared" si="2"/>
        <v>1w</v>
      </c>
      <c r="F13" s="198">
        <f t="shared" si="3"/>
        <v>0</v>
      </c>
      <c r="G13" s="198">
        <f t="shared" si="4"/>
        <v>0</v>
      </c>
      <c r="H13" s="248">
        <f t="shared" si="5"/>
        <v>0</v>
      </c>
      <c r="I13" s="107" t="str">
        <f t="shared" si="6"/>
        <v>GbpLiborSwapIsda11Y</v>
      </c>
      <c r="J13" s="247" t="str">
        <f t="shared" si="7"/>
        <v>GBPSB6L11Y_Fwd1w_Quote</v>
      </c>
      <c r="K13" s="247" t="str">
        <f>_xll.qlForwardSwapQuote(J13,I13,H13,E13,Permanent,Trigger,ObjectOverwrite)</f>
        <v>GBPSB6L11Y_Fwd1w_Quote#0000</v>
      </c>
      <c r="L13" s="249" t="str">
        <f>_xll.ohRangeRetrieveError(K13)</f>
        <v/>
      </c>
      <c r="M13" s="33"/>
    </row>
    <row r="14" spans="1:20" x14ac:dyDescent="0.2">
      <c r="A14" s="123"/>
      <c r="B14" s="223" t="s">
        <v>75</v>
      </c>
      <c r="C14" s="198" t="str">
        <f t="shared" si="0"/>
        <v>SB</v>
      </c>
      <c r="D14" s="198" t="str">
        <f t="shared" si="1"/>
        <v>6L</v>
      </c>
      <c r="E14" s="198" t="str">
        <f t="shared" si="2"/>
        <v>1w</v>
      </c>
      <c r="F14" s="198">
        <f t="shared" si="3"/>
        <v>0</v>
      </c>
      <c r="G14" s="198">
        <f t="shared" si="4"/>
        <v>0</v>
      </c>
      <c r="H14" s="248">
        <f t="shared" si="5"/>
        <v>0</v>
      </c>
      <c r="I14" s="107" t="str">
        <f t="shared" si="6"/>
        <v>GbpLiborSwapIsda12Y</v>
      </c>
      <c r="J14" s="247" t="str">
        <f t="shared" si="7"/>
        <v>GBPSB6L12Y_Fwd1w_Quote</v>
      </c>
      <c r="K14" s="247" t="str">
        <f>_xll.qlForwardSwapQuote(J14,I14,H14,E14,Permanent,Trigger,ObjectOverwrite)</f>
        <v>GBPSB6L12Y_Fwd1w_Quote#0000</v>
      </c>
      <c r="L14" s="249" t="str">
        <f>_xll.ohRangeRetrieveError(K14)</f>
        <v/>
      </c>
      <c r="M14" s="33"/>
    </row>
    <row r="15" spans="1:20" x14ac:dyDescent="0.2">
      <c r="A15" s="123"/>
      <c r="B15" s="223" t="s">
        <v>74</v>
      </c>
      <c r="C15" s="198" t="str">
        <f t="shared" si="0"/>
        <v>SB</v>
      </c>
      <c r="D15" s="198" t="str">
        <f t="shared" si="1"/>
        <v>6L</v>
      </c>
      <c r="E15" s="198" t="str">
        <f t="shared" si="2"/>
        <v>1w</v>
      </c>
      <c r="F15" s="198">
        <f t="shared" si="3"/>
        <v>0</v>
      </c>
      <c r="G15" s="198">
        <f t="shared" si="4"/>
        <v>0</v>
      </c>
      <c r="H15" s="248">
        <f t="shared" si="5"/>
        <v>0</v>
      </c>
      <c r="I15" s="107" t="str">
        <f t="shared" si="6"/>
        <v>GbpLiborSwapIsda13Y</v>
      </c>
      <c r="J15" s="247" t="str">
        <f t="shared" si="7"/>
        <v>GBPSB6L13Y_Fwd1w_Quote</v>
      </c>
      <c r="K15" s="247" t="str">
        <f>_xll.qlForwardSwapQuote(J15,I15,H15,E15,Permanent,Trigger,ObjectOverwrite)</f>
        <v>GBPSB6L13Y_Fwd1w_Quote#0000</v>
      </c>
      <c r="L15" s="249" t="str">
        <f>_xll.ohRangeRetrieveError(K15)</f>
        <v/>
      </c>
      <c r="M15" s="33"/>
    </row>
    <row r="16" spans="1:20" x14ac:dyDescent="0.2">
      <c r="A16" s="123"/>
      <c r="B16" s="223" t="s">
        <v>73</v>
      </c>
      <c r="C16" s="198" t="str">
        <f t="shared" si="0"/>
        <v>SB</v>
      </c>
      <c r="D16" s="198" t="str">
        <f t="shared" si="1"/>
        <v>6L</v>
      </c>
      <c r="E16" s="198" t="str">
        <f t="shared" si="2"/>
        <v>1w</v>
      </c>
      <c r="F16" s="198">
        <f t="shared" si="3"/>
        <v>0</v>
      </c>
      <c r="G16" s="198">
        <f t="shared" si="4"/>
        <v>0</v>
      </c>
      <c r="H16" s="248">
        <f t="shared" si="5"/>
        <v>0</v>
      </c>
      <c r="I16" s="107" t="str">
        <f t="shared" si="6"/>
        <v>GbpLiborSwapIsda14Y</v>
      </c>
      <c r="J16" s="247" t="str">
        <f t="shared" si="7"/>
        <v>GBPSB6L14Y_Fwd1w_Quote</v>
      </c>
      <c r="K16" s="247" t="str">
        <f>_xll.qlForwardSwapQuote(J16,I16,H16,E16,Permanent,Trigger,ObjectOverwrite)</f>
        <v>GBPSB6L14Y_Fwd1w_Quote#0000</v>
      </c>
      <c r="L16" s="249" t="str">
        <f>_xll.ohRangeRetrieveError(K16)</f>
        <v/>
      </c>
      <c r="M16" s="33"/>
    </row>
    <row r="17" spans="1:13" x14ac:dyDescent="0.2">
      <c r="A17" s="123"/>
      <c r="B17" s="223" t="s">
        <v>72</v>
      </c>
      <c r="C17" s="198" t="str">
        <f t="shared" si="0"/>
        <v>SB</v>
      </c>
      <c r="D17" s="198" t="str">
        <f t="shared" si="1"/>
        <v>6L</v>
      </c>
      <c r="E17" s="198" t="str">
        <f t="shared" si="2"/>
        <v>1w</v>
      </c>
      <c r="F17" s="198">
        <f t="shared" si="3"/>
        <v>0</v>
      </c>
      <c r="G17" s="198">
        <f t="shared" si="4"/>
        <v>0</v>
      </c>
      <c r="H17" s="248">
        <f t="shared" si="5"/>
        <v>0</v>
      </c>
      <c r="I17" s="107" t="str">
        <f t="shared" si="6"/>
        <v>GbpLiborSwapIsda15Y</v>
      </c>
      <c r="J17" s="247" t="str">
        <f t="shared" si="7"/>
        <v>GBPSB6L15Y_Fwd1w_Quote</v>
      </c>
      <c r="K17" s="247" t="str">
        <f>_xll.qlForwardSwapQuote(J17,I17,H17,E17,Permanent,Trigger,ObjectOverwrite)</f>
        <v>GBPSB6L15Y_Fwd1w_Quote#0000</v>
      </c>
      <c r="L17" s="249" t="str">
        <f>_xll.ohRangeRetrieveError(K17)</f>
        <v/>
      </c>
      <c r="M17" s="33"/>
    </row>
    <row r="18" spans="1:13" x14ac:dyDescent="0.2">
      <c r="A18" s="123"/>
      <c r="B18" s="223" t="s">
        <v>71</v>
      </c>
      <c r="C18" s="198" t="str">
        <f t="shared" si="0"/>
        <v>SB</v>
      </c>
      <c r="D18" s="198" t="str">
        <f t="shared" si="1"/>
        <v>6L</v>
      </c>
      <c r="E18" s="198" t="str">
        <f t="shared" si="2"/>
        <v>1w</v>
      </c>
      <c r="F18" s="198">
        <f t="shared" si="3"/>
        <v>0</v>
      </c>
      <c r="G18" s="198">
        <f t="shared" si="4"/>
        <v>0</v>
      </c>
      <c r="H18" s="248">
        <f t="shared" si="5"/>
        <v>0</v>
      </c>
      <c r="I18" s="107" t="str">
        <f t="shared" si="6"/>
        <v>GbpLiborSwapIsda16Y</v>
      </c>
      <c r="J18" s="247" t="str">
        <f t="shared" si="7"/>
        <v>GBPSB6L16Y_Fwd1w_Quote</v>
      </c>
      <c r="K18" s="247" t="str">
        <f>_xll.qlForwardSwapQuote(J18,I18,H18,E18,Permanent,Trigger,ObjectOverwrite)</f>
        <v>GBPSB6L16Y_Fwd1w_Quote#0000</v>
      </c>
      <c r="L18" s="249" t="str">
        <f>_xll.ohRangeRetrieveError(K18)</f>
        <v/>
      </c>
      <c r="M18" s="33"/>
    </row>
    <row r="19" spans="1:13" x14ac:dyDescent="0.2">
      <c r="A19" s="123"/>
      <c r="B19" s="223" t="s">
        <v>70</v>
      </c>
      <c r="C19" s="198" t="str">
        <f t="shared" si="0"/>
        <v>SB</v>
      </c>
      <c r="D19" s="198" t="str">
        <f t="shared" si="1"/>
        <v>6L</v>
      </c>
      <c r="E19" s="198" t="str">
        <f t="shared" si="2"/>
        <v>1w</v>
      </c>
      <c r="F19" s="198">
        <f t="shared" si="3"/>
        <v>0</v>
      </c>
      <c r="G19" s="198">
        <f t="shared" si="4"/>
        <v>0</v>
      </c>
      <c r="H19" s="248">
        <f t="shared" si="5"/>
        <v>0</v>
      </c>
      <c r="I19" s="107" t="str">
        <f t="shared" si="6"/>
        <v>GbpLiborSwapIsda17Y</v>
      </c>
      <c r="J19" s="247" t="str">
        <f t="shared" si="7"/>
        <v>GBPSB6L17Y_Fwd1w_Quote</v>
      </c>
      <c r="K19" s="247" t="str">
        <f>_xll.qlForwardSwapQuote(J19,I19,H19,E19,Permanent,Trigger,ObjectOverwrite)</f>
        <v>GBPSB6L17Y_Fwd1w_Quote#0000</v>
      </c>
      <c r="L19" s="249" t="str">
        <f>_xll.ohRangeRetrieveError(K19)</f>
        <v/>
      </c>
      <c r="M19" s="33"/>
    </row>
    <row r="20" spans="1:13" x14ac:dyDescent="0.2">
      <c r="A20" s="123"/>
      <c r="B20" s="223" t="s">
        <v>69</v>
      </c>
      <c r="C20" s="198" t="str">
        <f t="shared" si="0"/>
        <v>SB</v>
      </c>
      <c r="D20" s="198" t="str">
        <f t="shared" si="1"/>
        <v>6L</v>
      </c>
      <c r="E20" s="198" t="str">
        <f t="shared" si="2"/>
        <v>1w</v>
      </c>
      <c r="F20" s="198">
        <f t="shared" si="3"/>
        <v>0</v>
      </c>
      <c r="G20" s="198">
        <f t="shared" si="4"/>
        <v>0</v>
      </c>
      <c r="H20" s="248">
        <f t="shared" si="5"/>
        <v>0</v>
      </c>
      <c r="I20" s="107" t="str">
        <f t="shared" si="6"/>
        <v>GbpLiborSwapIsda18Y</v>
      </c>
      <c r="J20" s="247" t="str">
        <f t="shared" si="7"/>
        <v>GBPSB6L18Y_Fwd1w_Quote</v>
      </c>
      <c r="K20" s="247" t="str">
        <f>_xll.qlForwardSwapQuote(J20,I20,H20,E20,Permanent,Trigger,ObjectOverwrite)</f>
        <v>GBPSB6L18Y_Fwd1w_Quote#0000</v>
      </c>
      <c r="L20" s="249" t="str">
        <f>_xll.ohRangeRetrieveError(K20)</f>
        <v/>
      </c>
      <c r="M20" s="33"/>
    </row>
    <row r="21" spans="1:13" x14ac:dyDescent="0.2">
      <c r="A21" s="123"/>
      <c r="B21" s="223" t="s">
        <v>68</v>
      </c>
      <c r="C21" s="198" t="str">
        <f t="shared" si="0"/>
        <v>SB</v>
      </c>
      <c r="D21" s="198" t="str">
        <f t="shared" si="1"/>
        <v>6L</v>
      </c>
      <c r="E21" s="198" t="str">
        <f t="shared" si="2"/>
        <v>1w</v>
      </c>
      <c r="F21" s="198">
        <f t="shared" si="3"/>
        <v>0</v>
      </c>
      <c r="G21" s="198">
        <f t="shared" si="4"/>
        <v>0</v>
      </c>
      <c r="H21" s="248">
        <f t="shared" si="5"/>
        <v>0</v>
      </c>
      <c r="I21" s="107" t="str">
        <f t="shared" si="6"/>
        <v>GbpLiborSwapIsda19Y</v>
      </c>
      <c r="J21" s="247" t="str">
        <f t="shared" si="7"/>
        <v>GBPSB6L19Y_Fwd1w_Quote</v>
      </c>
      <c r="K21" s="247" t="str">
        <f>_xll.qlForwardSwapQuote(J21,I21,H21,E21,Permanent,Trigger,ObjectOverwrite)</f>
        <v>GBPSB6L19Y_Fwd1w_Quote#0000</v>
      </c>
      <c r="L21" s="249" t="str">
        <f>_xll.ohRangeRetrieveError(K21)</f>
        <v/>
      </c>
      <c r="M21" s="33"/>
    </row>
    <row r="22" spans="1:13" x14ac:dyDescent="0.2">
      <c r="A22" s="123"/>
      <c r="B22" s="223" t="s">
        <v>67</v>
      </c>
      <c r="C22" s="198" t="str">
        <f t="shared" si="0"/>
        <v>SB</v>
      </c>
      <c r="D22" s="198" t="str">
        <f t="shared" si="1"/>
        <v>6L</v>
      </c>
      <c r="E22" s="198" t="str">
        <f t="shared" si="2"/>
        <v>1w</v>
      </c>
      <c r="F22" s="198">
        <f t="shared" si="3"/>
        <v>0</v>
      </c>
      <c r="G22" s="198">
        <f t="shared" si="4"/>
        <v>0</v>
      </c>
      <c r="H22" s="248">
        <f t="shared" si="5"/>
        <v>0</v>
      </c>
      <c r="I22" s="107" t="str">
        <f t="shared" si="6"/>
        <v>GbpLiborSwapIsda20Y</v>
      </c>
      <c r="J22" s="247" t="str">
        <f t="shared" si="7"/>
        <v>GBPSB6L20Y_Fwd1w_Quote</v>
      </c>
      <c r="K22" s="247" t="str">
        <f>_xll.qlForwardSwapQuote(J22,I22,H22,E22,Permanent,Trigger,ObjectOverwrite)</f>
        <v>GBPSB6L20Y_Fwd1w_Quote#0000</v>
      </c>
      <c r="L22" s="249" t="str">
        <f>_xll.ohRangeRetrieveError(K22)</f>
        <v/>
      </c>
      <c r="M22" s="33"/>
    </row>
    <row r="23" spans="1:13" x14ac:dyDescent="0.2">
      <c r="A23" s="123"/>
      <c r="B23" s="223" t="s">
        <v>66</v>
      </c>
      <c r="C23" s="198" t="str">
        <f t="shared" si="0"/>
        <v>SB</v>
      </c>
      <c r="D23" s="198" t="str">
        <f t="shared" si="1"/>
        <v>6L</v>
      </c>
      <c r="E23" s="198" t="str">
        <f t="shared" si="2"/>
        <v>1w</v>
      </c>
      <c r="F23" s="198">
        <f t="shared" si="3"/>
        <v>0</v>
      </c>
      <c r="G23" s="198">
        <f t="shared" si="4"/>
        <v>0</v>
      </c>
      <c r="H23" s="248">
        <f t="shared" si="5"/>
        <v>0</v>
      </c>
      <c r="I23" s="107" t="str">
        <f t="shared" si="6"/>
        <v>GbpLiborSwapIsda21Y</v>
      </c>
      <c r="J23" s="247" t="str">
        <f t="shared" si="7"/>
        <v>GBPSB6L21Y_Fwd1w_Quote</v>
      </c>
      <c r="K23" s="247" t="str">
        <f>_xll.qlForwardSwapQuote(J23,I23,H23,E23,Permanent,Trigger,ObjectOverwrite)</f>
        <v>GBPSB6L21Y_Fwd1w_Quote#0000</v>
      </c>
      <c r="L23" s="249" t="str">
        <f>_xll.ohRangeRetrieveError(K23)</f>
        <v/>
      </c>
      <c r="M23" s="33"/>
    </row>
    <row r="24" spans="1:13" x14ac:dyDescent="0.2">
      <c r="A24" s="123"/>
      <c r="B24" s="223" t="s">
        <v>65</v>
      </c>
      <c r="C24" s="198" t="str">
        <f t="shared" si="0"/>
        <v>SB</v>
      </c>
      <c r="D24" s="198" t="str">
        <f t="shared" si="1"/>
        <v>6L</v>
      </c>
      <c r="E24" s="198" t="str">
        <f t="shared" si="2"/>
        <v>1w</v>
      </c>
      <c r="F24" s="198">
        <f t="shared" si="3"/>
        <v>0</v>
      </c>
      <c r="G24" s="198">
        <f t="shared" si="4"/>
        <v>0</v>
      </c>
      <c r="H24" s="248">
        <f t="shared" si="5"/>
        <v>0</v>
      </c>
      <c r="I24" s="107" t="str">
        <f t="shared" si="6"/>
        <v>GbpLiborSwapIsda22Y</v>
      </c>
      <c r="J24" s="247" t="str">
        <f t="shared" si="7"/>
        <v>GBPSB6L22Y_Fwd1w_Quote</v>
      </c>
      <c r="K24" s="247" t="str">
        <f>_xll.qlForwardSwapQuote(J24,I24,H24,E24,Permanent,Trigger,ObjectOverwrite)</f>
        <v>GBPSB6L22Y_Fwd1w_Quote#0000</v>
      </c>
      <c r="L24" s="249" t="str">
        <f>_xll.ohRangeRetrieveError(K24)</f>
        <v/>
      </c>
      <c r="M24" s="33"/>
    </row>
    <row r="25" spans="1:13" x14ac:dyDescent="0.2">
      <c r="A25" s="123"/>
      <c r="B25" s="223" t="s">
        <v>64</v>
      </c>
      <c r="C25" s="198" t="str">
        <f t="shared" si="0"/>
        <v>SB</v>
      </c>
      <c r="D25" s="198" t="str">
        <f t="shared" si="1"/>
        <v>6L</v>
      </c>
      <c r="E25" s="198" t="str">
        <f t="shared" si="2"/>
        <v>1w</v>
      </c>
      <c r="F25" s="198">
        <f t="shared" si="3"/>
        <v>0</v>
      </c>
      <c r="G25" s="198">
        <f t="shared" si="4"/>
        <v>0</v>
      </c>
      <c r="H25" s="248">
        <f t="shared" si="5"/>
        <v>0</v>
      </c>
      <c r="I25" s="107" t="str">
        <f t="shared" si="6"/>
        <v>GbpLiborSwapIsda23Y</v>
      </c>
      <c r="J25" s="247" t="str">
        <f t="shared" si="7"/>
        <v>GBPSB6L23Y_Fwd1w_Quote</v>
      </c>
      <c r="K25" s="247" t="str">
        <f>_xll.qlForwardSwapQuote(J25,I25,H25,E25,Permanent,Trigger,ObjectOverwrite)</f>
        <v>GBPSB6L23Y_Fwd1w_Quote#0000</v>
      </c>
      <c r="L25" s="249" t="str">
        <f>_xll.ohRangeRetrieveError(K25)</f>
        <v/>
      </c>
      <c r="M25" s="33"/>
    </row>
    <row r="26" spans="1:13" x14ac:dyDescent="0.2">
      <c r="A26" s="123"/>
      <c r="B26" s="223" t="s">
        <v>63</v>
      </c>
      <c r="C26" s="198" t="str">
        <f t="shared" si="0"/>
        <v>SB</v>
      </c>
      <c r="D26" s="198" t="str">
        <f t="shared" si="1"/>
        <v>6L</v>
      </c>
      <c r="E26" s="198" t="str">
        <f t="shared" si="2"/>
        <v>1w</v>
      </c>
      <c r="F26" s="198">
        <f t="shared" si="3"/>
        <v>0</v>
      </c>
      <c r="G26" s="198">
        <f t="shared" si="4"/>
        <v>0</v>
      </c>
      <c r="H26" s="248">
        <f t="shared" si="5"/>
        <v>0</v>
      </c>
      <c r="I26" s="107" t="str">
        <f t="shared" si="6"/>
        <v>GbpLiborSwapIsda24Y</v>
      </c>
      <c r="J26" s="247" t="str">
        <f t="shared" si="7"/>
        <v>GBPSB6L24Y_Fwd1w_Quote</v>
      </c>
      <c r="K26" s="247" t="str">
        <f>_xll.qlForwardSwapQuote(J26,I26,H26,E26,Permanent,Trigger,ObjectOverwrite)</f>
        <v>GBPSB6L24Y_Fwd1w_Quote#0000</v>
      </c>
      <c r="L26" s="249" t="str">
        <f>_xll.ohRangeRetrieveError(K26)</f>
        <v/>
      </c>
      <c r="M26" s="33"/>
    </row>
    <row r="27" spans="1:13" x14ac:dyDescent="0.2">
      <c r="A27" s="123"/>
      <c r="B27" s="223" t="s">
        <v>62</v>
      </c>
      <c r="C27" s="198" t="str">
        <f t="shared" si="0"/>
        <v>SB</v>
      </c>
      <c r="D27" s="198" t="str">
        <f t="shared" si="1"/>
        <v>6L</v>
      </c>
      <c r="E27" s="198" t="str">
        <f t="shared" si="2"/>
        <v>1w</v>
      </c>
      <c r="F27" s="198">
        <f t="shared" si="3"/>
        <v>0</v>
      </c>
      <c r="G27" s="198">
        <f t="shared" si="4"/>
        <v>0</v>
      </c>
      <c r="H27" s="248">
        <f t="shared" si="5"/>
        <v>0</v>
      </c>
      <c r="I27" s="107" t="str">
        <f t="shared" si="6"/>
        <v>GbpLiborSwapIsda25Y</v>
      </c>
      <c r="J27" s="247" t="str">
        <f t="shared" si="7"/>
        <v>GBPSB6L25Y_Fwd1w_Quote</v>
      </c>
      <c r="K27" s="247" t="str">
        <f>_xll.qlForwardSwapQuote(J27,I27,H27,E27,Permanent,Trigger,ObjectOverwrite)</f>
        <v>GBPSB6L25Y_Fwd1w_Quote#0000</v>
      </c>
      <c r="L27" s="249" t="str">
        <f>_xll.ohRangeRetrieveError(K27)</f>
        <v/>
      </c>
      <c r="M27" s="33"/>
    </row>
    <row r="28" spans="1:13" x14ac:dyDescent="0.2">
      <c r="A28" s="123"/>
      <c r="B28" s="223" t="s">
        <v>61</v>
      </c>
      <c r="C28" s="198" t="str">
        <f t="shared" si="0"/>
        <v>SB</v>
      </c>
      <c r="D28" s="198" t="str">
        <f t="shared" si="1"/>
        <v>6L</v>
      </c>
      <c r="E28" s="198" t="str">
        <f t="shared" si="2"/>
        <v>1w</v>
      </c>
      <c r="F28" s="198">
        <f t="shared" si="3"/>
        <v>0</v>
      </c>
      <c r="G28" s="198">
        <f t="shared" si="4"/>
        <v>0</v>
      </c>
      <c r="H28" s="248">
        <f t="shared" si="5"/>
        <v>0</v>
      </c>
      <c r="I28" s="107" t="str">
        <f t="shared" si="6"/>
        <v>GbpLiborSwapIsda26Y</v>
      </c>
      <c r="J28" s="247" t="str">
        <f t="shared" si="7"/>
        <v>GBPSB6L26Y_Fwd1w_Quote</v>
      </c>
      <c r="K28" s="247" t="str">
        <f>_xll.qlForwardSwapQuote(J28,I28,H28,E28,Permanent,Trigger,ObjectOverwrite)</f>
        <v>GBPSB6L26Y_Fwd1w_Quote#0000</v>
      </c>
      <c r="L28" s="249" t="str">
        <f>_xll.ohRangeRetrieveError(K28)</f>
        <v/>
      </c>
      <c r="M28" s="33"/>
    </row>
    <row r="29" spans="1:13" x14ac:dyDescent="0.2">
      <c r="A29" s="123"/>
      <c r="B29" s="223" t="s">
        <v>60</v>
      </c>
      <c r="C29" s="198" t="str">
        <f t="shared" si="0"/>
        <v>SB</v>
      </c>
      <c r="D29" s="198" t="str">
        <f t="shared" si="1"/>
        <v>6L</v>
      </c>
      <c r="E29" s="198" t="str">
        <f t="shared" si="2"/>
        <v>1w</v>
      </c>
      <c r="F29" s="198">
        <f t="shared" si="3"/>
        <v>0</v>
      </c>
      <c r="G29" s="198">
        <f t="shared" si="4"/>
        <v>0</v>
      </c>
      <c r="H29" s="248">
        <f t="shared" si="5"/>
        <v>0</v>
      </c>
      <c r="I29" s="107" t="str">
        <f t="shared" si="6"/>
        <v>GbpLiborSwapIsda27Y</v>
      </c>
      <c r="J29" s="247" t="str">
        <f t="shared" si="7"/>
        <v>GBPSB6L27Y_Fwd1w_Quote</v>
      </c>
      <c r="K29" s="247" t="str">
        <f>_xll.qlForwardSwapQuote(J29,I29,H29,E29,Permanent,Trigger,ObjectOverwrite)</f>
        <v>GBPSB6L27Y_Fwd1w_Quote#0000</v>
      </c>
      <c r="L29" s="249" t="str">
        <f>_xll.ohRangeRetrieveError(K29)</f>
        <v/>
      </c>
      <c r="M29" s="33"/>
    </row>
    <row r="30" spans="1:13" x14ac:dyDescent="0.2">
      <c r="A30" s="123"/>
      <c r="B30" s="223" t="s">
        <v>59</v>
      </c>
      <c r="C30" s="198" t="str">
        <f t="shared" si="0"/>
        <v>SB</v>
      </c>
      <c r="D30" s="198" t="str">
        <f t="shared" si="1"/>
        <v>6L</v>
      </c>
      <c r="E30" s="198" t="str">
        <f t="shared" si="2"/>
        <v>1w</v>
      </c>
      <c r="F30" s="198">
        <f t="shared" si="3"/>
        <v>0</v>
      </c>
      <c r="G30" s="198">
        <f t="shared" si="4"/>
        <v>0</v>
      </c>
      <c r="H30" s="248">
        <f t="shared" si="5"/>
        <v>0</v>
      </c>
      <c r="I30" s="107" t="str">
        <f t="shared" si="6"/>
        <v>GbpLiborSwapIsda28Y</v>
      </c>
      <c r="J30" s="247" t="str">
        <f t="shared" si="7"/>
        <v>GBPSB6L28Y_Fwd1w_Quote</v>
      </c>
      <c r="K30" s="247" t="str">
        <f>_xll.qlForwardSwapQuote(J30,I30,H30,E30,Permanent,Trigger,ObjectOverwrite)</f>
        <v>GBPSB6L28Y_Fwd1w_Quote#0000</v>
      </c>
      <c r="L30" s="249" t="str">
        <f>_xll.ohRangeRetrieveError(K30)</f>
        <v/>
      </c>
      <c r="M30" s="33"/>
    </row>
    <row r="31" spans="1:13" x14ac:dyDescent="0.2">
      <c r="A31" s="123"/>
      <c r="B31" s="223" t="s">
        <v>58</v>
      </c>
      <c r="C31" s="198" t="str">
        <f t="shared" si="0"/>
        <v>SB</v>
      </c>
      <c r="D31" s="198" t="str">
        <f t="shared" si="1"/>
        <v>6L</v>
      </c>
      <c r="E31" s="198" t="str">
        <f t="shared" si="2"/>
        <v>1w</v>
      </c>
      <c r="F31" s="198">
        <f t="shared" si="3"/>
        <v>0</v>
      </c>
      <c r="G31" s="198">
        <f t="shared" si="4"/>
        <v>0</v>
      </c>
      <c r="H31" s="248">
        <f t="shared" si="5"/>
        <v>0</v>
      </c>
      <c r="I31" s="107" t="str">
        <f t="shared" si="6"/>
        <v>GbpLiborSwapIsda29Y</v>
      </c>
      <c r="J31" s="247" t="str">
        <f t="shared" si="7"/>
        <v>GBPSB6L29Y_Fwd1w_Quote</v>
      </c>
      <c r="K31" s="247" t="str">
        <f>_xll.qlForwardSwapQuote(J31,I31,H31,E31,Permanent,Trigger,ObjectOverwrite)</f>
        <v>GBPSB6L29Y_Fwd1w_Quote#0000</v>
      </c>
      <c r="L31" s="249" t="str">
        <f>_xll.ohRangeRetrieveError(K31)</f>
        <v/>
      </c>
      <c r="M31" s="33"/>
    </row>
    <row r="32" spans="1:13" x14ac:dyDescent="0.2">
      <c r="A32" s="123"/>
      <c r="B32" s="223" t="s">
        <v>57</v>
      </c>
      <c r="C32" s="198" t="str">
        <f t="shared" si="0"/>
        <v>SB</v>
      </c>
      <c r="D32" s="198" t="str">
        <f t="shared" si="1"/>
        <v>6L</v>
      </c>
      <c r="E32" s="198" t="str">
        <f t="shared" si="2"/>
        <v>1w</v>
      </c>
      <c r="F32" s="198">
        <f t="shared" si="3"/>
        <v>0</v>
      </c>
      <c r="G32" s="198">
        <f t="shared" si="4"/>
        <v>0</v>
      </c>
      <c r="H32" s="248">
        <f t="shared" si="5"/>
        <v>0</v>
      </c>
      <c r="I32" s="107" t="str">
        <f t="shared" si="6"/>
        <v>GbpLiborSwapIsda30Y</v>
      </c>
      <c r="J32" s="247" t="str">
        <f t="shared" si="7"/>
        <v>GBPSB6L30Y_Fwd1w_Quote</v>
      </c>
      <c r="K32" s="247" t="str">
        <f>_xll.qlForwardSwapQuote(J32,I32,H32,E32,Permanent,Trigger,ObjectOverwrite)</f>
        <v>GBPSB6L30Y_Fwd1w_Quote#0000</v>
      </c>
      <c r="L32" s="249" t="str">
        <f>_xll.ohRangeRetrieveError(K32)</f>
        <v/>
      </c>
      <c r="M32" s="33"/>
    </row>
    <row r="33" spans="1:13" x14ac:dyDescent="0.2">
      <c r="A33" s="123"/>
      <c r="B33" s="223" t="s">
        <v>52</v>
      </c>
      <c r="C33" s="198" t="str">
        <f t="shared" si="0"/>
        <v>SB</v>
      </c>
      <c r="D33" s="198" t="str">
        <f t="shared" si="1"/>
        <v>6L</v>
      </c>
      <c r="E33" s="198" t="str">
        <f t="shared" si="2"/>
        <v>1w</v>
      </c>
      <c r="F33" s="198">
        <f t="shared" si="3"/>
        <v>0</v>
      </c>
      <c r="G33" s="198">
        <f t="shared" si="4"/>
        <v>0</v>
      </c>
      <c r="H33" s="248">
        <f t="shared" si="5"/>
        <v>0</v>
      </c>
      <c r="I33" s="107" t="str">
        <f t="shared" si="6"/>
        <v>GbpLiborSwapIsda35Y</v>
      </c>
      <c r="J33" s="247" t="str">
        <f t="shared" si="7"/>
        <v>GBPSB6L35Y_Fwd1w_Quote</v>
      </c>
      <c r="K33" s="247" t="str">
        <f>_xll.qlForwardSwapQuote(J33,I33,H33,E33,Permanent,Trigger,ObjectOverwrite)</f>
        <v>GBPSB6L35Y_Fwd1w_Quote#0000</v>
      </c>
      <c r="L33" s="249" t="str">
        <f>_xll.ohRangeRetrieveError(K33)</f>
        <v/>
      </c>
      <c r="M33" s="33"/>
    </row>
    <row r="34" spans="1:13" x14ac:dyDescent="0.2">
      <c r="A34" s="123"/>
      <c r="B34" s="223" t="s">
        <v>47</v>
      </c>
      <c r="C34" s="198" t="str">
        <f t="shared" si="0"/>
        <v>SB</v>
      </c>
      <c r="D34" s="198" t="str">
        <f t="shared" si="1"/>
        <v>6L</v>
      </c>
      <c r="E34" s="198" t="str">
        <f t="shared" si="2"/>
        <v>1w</v>
      </c>
      <c r="F34" s="198">
        <f t="shared" si="3"/>
        <v>0</v>
      </c>
      <c r="G34" s="198">
        <f t="shared" si="4"/>
        <v>0</v>
      </c>
      <c r="H34" s="248">
        <f t="shared" si="5"/>
        <v>0</v>
      </c>
      <c r="I34" s="107" t="str">
        <f t="shared" si="6"/>
        <v>GbpLiborSwapIsda40Y</v>
      </c>
      <c r="J34" s="247" t="str">
        <f t="shared" si="7"/>
        <v>GBPSB6L40Y_Fwd1w_Quote</v>
      </c>
      <c r="K34" s="247" t="str">
        <f>_xll.qlForwardSwapQuote(J34,I34,H34,E34,Permanent,Trigger,ObjectOverwrite)</f>
        <v>GBPSB6L40Y_Fwd1w_Quote#0000</v>
      </c>
      <c r="L34" s="249" t="str">
        <f>_xll.ohRangeRetrieveError(K34)</f>
        <v/>
      </c>
      <c r="M34" s="33"/>
    </row>
    <row r="35" spans="1:13" x14ac:dyDescent="0.2">
      <c r="A35" s="123"/>
      <c r="B35" s="223" t="s">
        <v>37</v>
      </c>
      <c r="C35" s="198" t="str">
        <f t="shared" si="0"/>
        <v>SB</v>
      </c>
      <c r="D35" s="198" t="str">
        <f t="shared" si="1"/>
        <v>6L</v>
      </c>
      <c r="E35" s="198" t="str">
        <f t="shared" si="2"/>
        <v>1w</v>
      </c>
      <c r="F35" s="198">
        <f t="shared" si="3"/>
        <v>0</v>
      </c>
      <c r="G35" s="198">
        <f t="shared" si="4"/>
        <v>0</v>
      </c>
      <c r="H35" s="248">
        <f t="shared" si="5"/>
        <v>0</v>
      </c>
      <c r="I35" s="107" t="str">
        <f t="shared" si="6"/>
        <v>GbpLiborSwapIsda50Y</v>
      </c>
      <c r="J35" s="247" t="str">
        <f t="shared" si="7"/>
        <v>GBPSB6L50Y_Fwd1w_Quote</v>
      </c>
      <c r="K35" s="247" t="str">
        <f>_xll.qlForwardSwapQuote(J35,I35,H35,E35,Permanent,Trigger,ObjectOverwrite)</f>
        <v>GBPSB6L50Y_Fwd1w_Quote#0000</v>
      </c>
      <c r="L35" s="249" t="str">
        <f>_xll.ohRangeRetrieveError(K35)</f>
        <v/>
      </c>
      <c r="M35" s="33"/>
    </row>
    <row r="36" spans="1:13" x14ac:dyDescent="0.2">
      <c r="A36" s="123"/>
      <c r="B36" s="223" t="s">
        <v>27</v>
      </c>
      <c r="C36" s="198" t="str">
        <f t="shared" si="0"/>
        <v>SB</v>
      </c>
      <c r="D36" s="198" t="str">
        <f t="shared" si="1"/>
        <v>6L</v>
      </c>
      <c r="E36" s="198" t="str">
        <f t="shared" si="2"/>
        <v>1w</v>
      </c>
      <c r="F36" s="198">
        <f t="shared" si="3"/>
        <v>0</v>
      </c>
      <c r="G36" s="198">
        <f t="shared" si="4"/>
        <v>0</v>
      </c>
      <c r="H36" s="248">
        <f t="shared" si="5"/>
        <v>0</v>
      </c>
      <c r="I36" s="107" t="str">
        <f t="shared" si="6"/>
        <v>GbpLiborSwapIsda60Y</v>
      </c>
      <c r="J36" s="247" t="str">
        <f t="shared" si="7"/>
        <v>GBPSB6L60Y_Fwd1w_Quote</v>
      </c>
      <c r="K36" s="247" t="str">
        <f>_xll.qlForwardSwapQuote(J36,I36,H36,E36,Permanent,Trigger,ObjectOverwrite)</f>
        <v>GBPSB6L60Y_Fwd1w_Quote#0000</v>
      </c>
      <c r="L36" s="74" t="str">
        <f>_xll.ohRangeRetrieveError(K36)</f>
        <v/>
      </c>
      <c r="M36" s="33"/>
    </row>
    <row r="37" spans="1:13" ht="12" thickBot="1" x14ac:dyDescent="0.25">
      <c r="A37" s="32"/>
      <c r="B37" s="31"/>
      <c r="C37" s="31"/>
      <c r="D37" s="31"/>
      <c r="E37" s="31"/>
      <c r="F37" s="31"/>
      <c r="G37" s="31"/>
      <c r="H37" s="31"/>
      <c r="I37" s="31"/>
      <c r="J37" s="31"/>
      <c r="K37" s="117"/>
      <c r="L37" s="117"/>
      <c r="M37" s="30"/>
    </row>
  </sheetData>
  <pageMargins left="0.75" right="0.75" top="1" bottom="1" header="0.5" footer="0.5"/>
  <pageSetup paperSize="9"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7"/>
  <sheetViews>
    <sheetView workbookViewId="0"/>
  </sheetViews>
  <sheetFormatPr defaultRowHeight="11.25" x14ac:dyDescent="0.2"/>
  <cols>
    <col min="1" max="1" width="3.28515625" style="67" customWidth="1"/>
    <col min="2" max="2" width="3.85546875" style="67" bestFit="1" customWidth="1"/>
    <col min="3" max="3" width="3.140625" style="67" bestFit="1" customWidth="1"/>
    <col min="4" max="4" width="2.7109375" style="67" bestFit="1" customWidth="1"/>
    <col min="5" max="5" width="4.7109375" style="67" bestFit="1" customWidth="1"/>
    <col min="6" max="7" width="1.85546875" style="67" bestFit="1" customWidth="1"/>
    <col min="8" max="8" width="7.140625" style="67" bestFit="1" customWidth="1"/>
    <col min="9" max="9" width="19.140625" style="67" bestFit="1" customWidth="1"/>
    <col min="10" max="10" width="23.85546875" style="67" bestFit="1" customWidth="1"/>
    <col min="11" max="11" width="32.42578125" style="67" bestFit="1" customWidth="1"/>
    <col min="12" max="12" width="30.5703125" style="67" customWidth="1"/>
    <col min="13" max="14" width="3.7109375" style="67" customWidth="1"/>
    <col min="15" max="15" width="4" style="67" bestFit="1" customWidth="1"/>
    <col min="16" max="16" width="3.140625" style="67" bestFit="1" customWidth="1"/>
    <col min="17" max="17" width="2.7109375" style="67" bestFit="1" customWidth="1"/>
    <col min="18" max="18" width="3.28515625" style="67" bestFit="1" customWidth="1"/>
    <col min="19" max="20" width="2.7109375" style="67" bestFit="1" customWidth="1"/>
    <col min="21" max="16384" width="9.140625" style="67"/>
  </cols>
  <sheetData>
    <row r="1" spans="1:20" ht="12" thickBot="1" x14ac:dyDescent="0.25">
      <c r="A1" s="208"/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156"/>
      <c r="M1" s="204"/>
    </row>
    <row r="2" spans="1:20" ht="22.5" x14ac:dyDescent="0.2">
      <c r="A2" s="123"/>
      <c r="B2" s="92"/>
      <c r="C2" s="92"/>
      <c r="D2" s="92"/>
      <c r="E2" s="92" t="s">
        <v>225</v>
      </c>
      <c r="F2" s="92"/>
      <c r="G2" s="92"/>
      <c r="H2" s="92" t="s">
        <v>224</v>
      </c>
      <c r="I2" s="92" t="s">
        <v>223</v>
      </c>
      <c r="J2" s="252" t="str">
        <f>Currency&amp;"_020_Sw"&amp;$C$3&amp;$D$3&amp;"_"&amp;"Fwd"&amp;$E$3&amp;IF(H3=0,,"_Spr"&amp;$F3&amp;$G3)&amp;".xml"</f>
        <v>GBP_020_SwSB6L_Fwd1w.xml</v>
      </c>
      <c r="K2" s="110" t="e">
        <f ca="1">IF(Serialize,_xll.ohObjectSave(K3:K36,SerializationPath&amp;J2,FileOverwrite,Serialize),"---")</f>
        <v>#NUM!</v>
      </c>
      <c r="L2" s="74" t="e">
        <f ca="1">_xll.ohRangeRetrieveError(K2)</f>
        <v>#NUM!</v>
      </c>
      <c r="M2" s="33"/>
      <c r="O2" s="217"/>
      <c r="P2" s="216"/>
      <c r="Q2" s="216"/>
      <c r="R2" s="216"/>
      <c r="S2" s="216"/>
      <c r="T2" s="215"/>
    </row>
    <row r="3" spans="1:20" x14ac:dyDescent="0.2">
      <c r="A3" s="123"/>
      <c r="B3" s="78" t="s">
        <v>1</v>
      </c>
      <c r="C3" s="198" t="str">
        <f t="shared" ref="C3:C36" si="0">VLOOKUP(Currency,$O$3:$T$7,2)</f>
        <v>SB</v>
      </c>
      <c r="D3" s="198" t="str">
        <f t="shared" ref="D3:D36" si="1">VLOOKUP(Currency,$O$3:$T$7,3)</f>
        <v>6L</v>
      </c>
      <c r="E3" s="198" t="str">
        <f t="shared" ref="E3:E36" si="2">VLOOKUP(Currency,$O$3:$T$7,4)</f>
        <v>1w</v>
      </c>
      <c r="F3" s="198">
        <f t="shared" ref="F3:F36" si="3">VLOOKUP(Currency,$O$3:$T$7,5)</f>
        <v>0</v>
      </c>
      <c r="G3" s="198">
        <f t="shared" ref="G3:G36" si="4">VLOOKUP(Currency,$O$3:$T$7,6)</f>
        <v>0</v>
      </c>
      <c r="H3" s="248">
        <f t="shared" ref="H3:H36" si="5">IF(F3=0,0,Currency&amp;$F3&amp;$G3&amp;$B3&amp;QuoteSuffix)</f>
        <v>0</v>
      </c>
      <c r="I3" s="250" t="str">
        <f t="shared" ref="I3:I36" si="6">PROPER(Currency)&amp;FamilyName&amp;"Swap"&amp;FixingType&amp;$B3</f>
        <v>GbpLiborSwapIsda1Y</v>
      </c>
      <c r="J3" s="247" t="str">
        <f t="shared" ref="J3:J36" si="7">Currency&amp;$C3&amp;$D3&amp;$B3&amp;"_"&amp;"Fwd"&amp;E3&amp;IF(H3=0,,"_S"&amp;$F3&amp;$G3)&amp;QuoteSuffix</f>
        <v>GBPSB6L1Y_Fwd1w_Quote</v>
      </c>
      <c r="K3" s="247"/>
      <c r="L3" s="255" t="str">
        <f>_xll.ohRangeRetrieveError(K3)</f>
        <v/>
      </c>
      <c r="M3" s="33"/>
      <c r="O3" s="85" t="s">
        <v>122</v>
      </c>
      <c r="P3" s="84" t="s">
        <v>214</v>
      </c>
      <c r="Q3" s="84" t="s">
        <v>117</v>
      </c>
      <c r="R3" s="84" t="s">
        <v>222</v>
      </c>
      <c r="S3" s="84"/>
      <c r="T3" s="83"/>
    </row>
    <row r="4" spans="1:20" x14ac:dyDescent="0.2">
      <c r="A4" s="123"/>
      <c r="B4" s="78" t="s">
        <v>85</v>
      </c>
      <c r="C4" s="198" t="str">
        <f t="shared" si="0"/>
        <v>SB</v>
      </c>
      <c r="D4" s="198" t="str">
        <f t="shared" si="1"/>
        <v>6L</v>
      </c>
      <c r="E4" s="198" t="str">
        <f t="shared" si="2"/>
        <v>1w</v>
      </c>
      <c r="F4" s="198">
        <f t="shared" si="3"/>
        <v>0</v>
      </c>
      <c r="G4" s="198">
        <f t="shared" si="4"/>
        <v>0</v>
      </c>
      <c r="H4" s="248">
        <f t="shared" si="5"/>
        <v>0</v>
      </c>
      <c r="I4" s="107" t="str">
        <f t="shared" si="6"/>
        <v>GbpLiborSwapIsda2Y</v>
      </c>
      <c r="J4" s="247" t="str">
        <f t="shared" si="7"/>
        <v>GBPSB6L2Y_Fwd1w_Quote</v>
      </c>
      <c r="K4" s="247"/>
      <c r="L4" s="255" t="str">
        <f>_xll.ohRangeRetrieveError(K4)</f>
        <v/>
      </c>
      <c r="M4" s="33"/>
      <c r="O4" s="85" t="s">
        <v>121</v>
      </c>
      <c r="P4" s="84" t="s">
        <v>214</v>
      </c>
      <c r="Q4" s="84" t="s">
        <v>119</v>
      </c>
      <c r="R4" s="84" t="s">
        <v>222</v>
      </c>
      <c r="S4" s="84"/>
      <c r="T4" s="83"/>
    </row>
    <row r="5" spans="1:20" x14ac:dyDescent="0.2">
      <c r="A5" s="123"/>
      <c r="B5" s="78" t="s">
        <v>84</v>
      </c>
      <c r="C5" s="198" t="str">
        <f t="shared" si="0"/>
        <v>SB</v>
      </c>
      <c r="D5" s="198" t="str">
        <f t="shared" si="1"/>
        <v>6L</v>
      </c>
      <c r="E5" s="198" t="str">
        <f t="shared" si="2"/>
        <v>1w</v>
      </c>
      <c r="F5" s="198">
        <f t="shared" si="3"/>
        <v>0</v>
      </c>
      <c r="G5" s="198">
        <f t="shared" si="4"/>
        <v>0</v>
      </c>
      <c r="H5" s="248">
        <f t="shared" si="5"/>
        <v>0</v>
      </c>
      <c r="I5" s="107" t="str">
        <f t="shared" si="6"/>
        <v>GbpLiborSwapIsda3Y</v>
      </c>
      <c r="J5" s="247" t="str">
        <f t="shared" si="7"/>
        <v>GBPSB6L3Y_Fwd1w_Quote</v>
      </c>
      <c r="K5" s="247"/>
      <c r="L5" s="255" t="str">
        <f>_xll.ohRangeRetrieveError(K5)</f>
        <v/>
      </c>
      <c r="M5" s="33"/>
      <c r="O5" s="85" t="s">
        <v>96</v>
      </c>
      <c r="P5" s="84" t="s">
        <v>213</v>
      </c>
      <c r="Q5" s="84" t="s">
        <v>117</v>
      </c>
      <c r="R5" s="84" t="s">
        <v>222</v>
      </c>
      <c r="S5" s="84"/>
      <c r="T5" s="83"/>
    </row>
    <row r="6" spans="1:20" x14ac:dyDescent="0.2">
      <c r="A6" s="123"/>
      <c r="B6" s="78" t="s">
        <v>83</v>
      </c>
      <c r="C6" s="198" t="str">
        <f t="shared" si="0"/>
        <v>SB</v>
      </c>
      <c r="D6" s="198" t="str">
        <f t="shared" si="1"/>
        <v>6L</v>
      </c>
      <c r="E6" s="198" t="str">
        <f t="shared" si="2"/>
        <v>1w</v>
      </c>
      <c r="F6" s="198">
        <f t="shared" si="3"/>
        <v>0</v>
      </c>
      <c r="G6" s="198">
        <f t="shared" si="4"/>
        <v>0</v>
      </c>
      <c r="H6" s="248">
        <f t="shared" si="5"/>
        <v>0</v>
      </c>
      <c r="I6" s="107" t="str">
        <f t="shared" si="6"/>
        <v>GbpLiborSwapIsda4Y</v>
      </c>
      <c r="J6" s="247" t="str">
        <f t="shared" si="7"/>
        <v>GBPSB6L4Y_Fwd1w_Quote</v>
      </c>
      <c r="K6" s="247"/>
      <c r="L6" s="255" t="str">
        <f>_xll.ohRangeRetrieveError(K6)</f>
        <v/>
      </c>
      <c r="M6" s="33"/>
      <c r="O6" s="85" t="s">
        <v>118</v>
      </c>
      <c r="P6" s="84" t="s">
        <v>213</v>
      </c>
      <c r="Q6" s="84" t="s">
        <v>117</v>
      </c>
      <c r="R6" s="84" t="s">
        <v>222</v>
      </c>
      <c r="S6" s="84"/>
      <c r="T6" s="83"/>
    </row>
    <row r="7" spans="1:20" ht="12" thickBot="1" x14ac:dyDescent="0.25">
      <c r="A7" s="123"/>
      <c r="B7" s="78" t="s">
        <v>82</v>
      </c>
      <c r="C7" s="198" t="str">
        <f t="shared" si="0"/>
        <v>SB</v>
      </c>
      <c r="D7" s="198" t="str">
        <f t="shared" si="1"/>
        <v>6L</v>
      </c>
      <c r="E7" s="198" t="str">
        <f t="shared" si="2"/>
        <v>1w</v>
      </c>
      <c r="F7" s="198">
        <f t="shared" si="3"/>
        <v>0</v>
      </c>
      <c r="G7" s="198">
        <f t="shared" si="4"/>
        <v>0</v>
      </c>
      <c r="H7" s="248">
        <f t="shared" si="5"/>
        <v>0</v>
      </c>
      <c r="I7" s="107" t="str">
        <f t="shared" si="6"/>
        <v>GbpLiborSwapIsda5Y</v>
      </c>
      <c r="J7" s="247" t="str">
        <f t="shared" si="7"/>
        <v>GBPSB6L5Y_Fwd1w_Quote</v>
      </c>
      <c r="K7" s="247"/>
      <c r="L7" s="255" t="str">
        <f>_xll.ohRangeRetrieveError(K7)</f>
        <v/>
      </c>
      <c r="M7" s="33"/>
      <c r="O7" s="82" t="s">
        <v>116</v>
      </c>
      <c r="P7" s="81" t="s">
        <v>212</v>
      </c>
      <c r="Q7" s="256" t="s">
        <v>117</v>
      </c>
      <c r="R7" s="81" t="s">
        <v>222</v>
      </c>
      <c r="S7" s="81"/>
      <c r="T7" s="80"/>
    </row>
    <row r="8" spans="1:20" x14ac:dyDescent="0.2">
      <c r="A8" s="123"/>
      <c r="B8" s="78" t="s">
        <v>81</v>
      </c>
      <c r="C8" s="198" t="str">
        <f t="shared" si="0"/>
        <v>SB</v>
      </c>
      <c r="D8" s="198" t="str">
        <f t="shared" si="1"/>
        <v>6L</v>
      </c>
      <c r="E8" s="198" t="str">
        <f t="shared" si="2"/>
        <v>1w</v>
      </c>
      <c r="F8" s="198">
        <f t="shared" si="3"/>
        <v>0</v>
      </c>
      <c r="G8" s="198">
        <f t="shared" si="4"/>
        <v>0</v>
      </c>
      <c r="H8" s="248">
        <f t="shared" si="5"/>
        <v>0</v>
      </c>
      <c r="I8" s="107" t="str">
        <f t="shared" si="6"/>
        <v>GbpLiborSwapIsda6Y</v>
      </c>
      <c r="J8" s="247" t="str">
        <f t="shared" si="7"/>
        <v>GBPSB6L6Y_Fwd1w_Quote</v>
      </c>
      <c r="K8" s="247"/>
      <c r="L8" s="255" t="str">
        <f>_xll.ohRangeRetrieveError(K8)</f>
        <v/>
      </c>
      <c r="M8" s="33"/>
    </row>
    <row r="9" spans="1:20" x14ac:dyDescent="0.2">
      <c r="A9" s="123"/>
      <c r="B9" s="78" t="s">
        <v>80</v>
      </c>
      <c r="C9" s="198" t="str">
        <f t="shared" si="0"/>
        <v>SB</v>
      </c>
      <c r="D9" s="198" t="str">
        <f t="shared" si="1"/>
        <v>6L</v>
      </c>
      <c r="E9" s="198" t="str">
        <f t="shared" si="2"/>
        <v>1w</v>
      </c>
      <c r="F9" s="198">
        <f t="shared" si="3"/>
        <v>0</v>
      </c>
      <c r="G9" s="198">
        <f t="shared" si="4"/>
        <v>0</v>
      </c>
      <c r="H9" s="248">
        <f t="shared" si="5"/>
        <v>0</v>
      </c>
      <c r="I9" s="107" t="str">
        <f t="shared" si="6"/>
        <v>GbpLiborSwapIsda7Y</v>
      </c>
      <c r="J9" s="247" t="str">
        <f t="shared" si="7"/>
        <v>GBPSB6L7Y_Fwd1w_Quote</v>
      </c>
      <c r="K9" s="247"/>
      <c r="L9" s="255" t="str">
        <f>_xll.ohRangeRetrieveError(K9)</f>
        <v/>
      </c>
      <c r="M9" s="33"/>
    </row>
    <row r="10" spans="1:20" x14ac:dyDescent="0.2">
      <c r="A10" s="123"/>
      <c r="B10" s="78" t="s">
        <v>79</v>
      </c>
      <c r="C10" s="198" t="str">
        <f t="shared" si="0"/>
        <v>SB</v>
      </c>
      <c r="D10" s="198" t="str">
        <f t="shared" si="1"/>
        <v>6L</v>
      </c>
      <c r="E10" s="198" t="str">
        <f t="shared" si="2"/>
        <v>1w</v>
      </c>
      <c r="F10" s="198">
        <f t="shared" si="3"/>
        <v>0</v>
      </c>
      <c r="G10" s="198">
        <f t="shared" si="4"/>
        <v>0</v>
      </c>
      <c r="H10" s="248">
        <f t="shared" si="5"/>
        <v>0</v>
      </c>
      <c r="I10" s="107" t="str">
        <f t="shared" si="6"/>
        <v>GbpLiborSwapIsda8Y</v>
      </c>
      <c r="J10" s="247" t="str">
        <f t="shared" si="7"/>
        <v>GBPSB6L8Y_Fwd1w_Quote</v>
      </c>
      <c r="K10" s="247"/>
      <c r="L10" s="255" t="str">
        <f>_xll.ohRangeRetrieveError(K10)</f>
        <v/>
      </c>
      <c r="M10" s="33"/>
    </row>
    <row r="11" spans="1:20" x14ac:dyDescent="0.2">
      <c r="A11" s="123"/>
      <c r="B11" s="78" t="s">
        <v>78</v>
      </c>
      <c r="C11" s="198" t="str">
        <f t="shared" si="0"/>
        <v>SB</v>
      </c>
      <c r="D11" s="198" t="str">
        <f t="shared" si="1"/>
        <v>6L</v>
      </c>
      <c r="E11" s="198" t="str">
        <f t="shared" si="2"/>
        <v>1w</v>
      </c>
      <c r="F11" s="198">
        <f t="shared" si="3"/>
        <v>0</v>
      </c>
      <c r="G11" s="198">
        <f t="shared" si="4"/>
        <v>0</v>
      </c>
      <c r="H11" s="248">
        <f t="shared" si="5"/>
        <v>0</v>
      </c>
      <c r="I11" s="107" t="str">
        <f t="shared" si="6"/>
        <v>GbpLiborSwapIsda9Y</v>
      </c>
      <c r="J11" s="247" t="str">
        <f t="shared" si="7"/>
        <v>GBPSB6L9Y_Fwd1w_Quote</v>
      </c>
      <c r="K11" s="247"/>
      <c r="L11" s="255" t="str">
        <f>_xll.ohRangeRetrieveError(K11)</f>
        <v/>
      </c>
      <c r="M11" s="33"/>
    </row>
    <row r="12" spans="1:20" x14ac:dyDescent="0.2">
      <c r="A12" s="123"/>
      <c r="B12" s="78" t="s">
        <v>77</v>
      </c>
      <c r="C12" s="198" t="str">
        <f t="shared" si="0"/>
        <v>SB</v>
      </c>
      <c r="D12" s="198" t="str">
        <f t="shared" si="1"/>
        <v>6L</v>
      </c>
      <c r="E12" s="198" t="str">
        <f t="shared" si="2"/>
        <v>1w</v>
      </c>
      <c r="F12" s="198">
        <f t="shared" si="3"/>
        <v>0</v>
      </c>
      <c r="G12" s="198">
        <f t="shared" si="4"/>
        <v>0</v>
      </c>
      <c r="H12" s="248">
        <f t="shared" si="5"/>
        <v>0</v>
      </c>
      <c r="I12" s="107" t="str">
        <f t="shared" si="6"/>
        <v>GbpLiborSwapIsda10Y</v>
      </c>
      <c r="J12" s="247" t="str">
        <f t="shared" si="7"/>
        <v>GBPSB6L10Y_Fwd1w_Quote</v>
      </c>
      <c r="K12" s="247"/>
      <c r="L12" s="255" t="str">
        <f>_xll.ohRangeRetrieveError(K12)</f>
        <v/>
      </c>
      <c r="M12" s="33"/>
    </row>
    <row r="13" spans="1:20" x14ac:dyDescent="0.2">
      <c r="A13" s="123"/>
      <c r="B13" s="78" t="s">
        <v>76</v>
      </c>
      <c r="C13" s="198" t="str">
        <f t="shared" si="0"/>
        <v>SB</v>
      </c>
      <c r="D13" s="198" t="str">
        <f t="shared" si="1"/>
        <v>6L</v>
      </c>
      <c r="E13" s="198" t="str">
        <f t="shared" si="2"/>
        <v>1w</v>
      </c>
      <c r="F13" s="198">
        <f t="shared" si="3"/>
        <v>0</v>
      </c>
      <c r="G13" s="198">
        <f t="shared" si="4"/>
        <v>0</v>
      </c>
      <c r="H13" s="248">
        <f t="shared" si="5"/>
        <v>0</v>
      </c>
      <c r="I13" s="107" t="str">
        <f t="shared" si="6"/>
        <v>GbpLiborSwapIsda11Y</v>
      </c>
      <c r="J13" s="247" t="str">
        <f t="shared" si="7"/>
        <v>GBPSB6L11Y_Fwd1w_Quote</v>
      </c>
      <c r="K13" s="247"/>
      <c r="L13" s="255" t="str">
        <f>_xll.ohRangeRetrieveError(K13)</f>
        <v/>
      </c>
      <c r="M13" s="33"/>
    </row>
    <row r="14" spans="1:20" x14ac:dyDescent="0.2">
      <c r="A14" s="123"/>
      <c r="B14" s="78" t="s">
        <v>75</v>
      </c>
      <c r="C14" s="198" t="str">
        <f t="shared" si="0"/>
        <v>SB</v>
      </c>
      <c r="D14" s="198" t="str">
        <f t="shared" si="1"/>
        <v>6L</v>
      </c>
      <c r="E14" s="198" t="str">
        <f t="shared" si="2"/>
        <v>1w</v>
      </c>
      <c r="F14" s="198">
        <f t="shared" si="3"/>
        <v>0</v>
      </c>
      <c r="G14" s="198">
        <f t="shared" si="4"/>
        <v>0</v>
      </c>
      <c r="H14" s="248">
        <f t="shared" si="5"/>
        <v>0</v>
      </c>
      <c r="I14" s="107" t="str">
        <f t="shared" si="6"/>
        <v>GbpLiborSwapIsda12Y</v>
      </c>
      <c r="J14" s="247" t="str">
        <f t="shared" si="7"/>
        <v>GBPSB6L12Y_Fwd1w_Quote</v>
      </c>
      <c r="K14" s="247"/>
      <c r="L14" s="255" t="str">
        <f>_xll.ohRangeRetrieveError(K14)</f>
        <v/>
      </c>
      <c r="M14" s="33"/>
    </row>
    <row r="15" spans="1:20" x14ac:dyDescent="0.2">
      <c r="A15" s="123"/>
      <c r="B15" s="78" t="s">
        <v>74</v>
      </c>
      <c r="C15" s="198" t="str">
        <f t="shared" si="0"/>
        <v>SB</v>
      </c>
      <c r="D15" s="198" t="str">
        <f t="shared" si="1"/>
        <v>6L</v>
      </c>
      <c r="E15" s="198" t="str">
        <f t="shared" si="2"/>
        <v>1w</v>
      </c>
      <c r="F15" s="198">
        <f t="shared" si="3"/>
        <v>0</v>
      </c>
      <c r="G15" s="198">
        <f t="shared" si="4"/>
        <v>0</v>
      </c>
      <c r="H15" s="248">
        <f t="shared" si="5"/>
        <v>0</v>
      </c>
      <c r="I15" s="107" t="str">
        <f t="shared" si="6"/>
        <v>GbpLiborSwapIsda13Y</v>
      </c>
      <c r="J15" s="247" t="str">
        <f t="shared" si="7"/>
        <v>GBPSB6L13Y_Fwd1w_Quote</v>
      </c>
      <c r="K15" s="247"/>
      <c r="L15" s="255" t="str">
        <f>_xll.ohRangeRetrieveError(K15)</f>
        <v/>
      </c>
      <c r="M15" s="33"/>
    </row>
    <row r="16" spans="1:20" x14ac:dyDescent="0.2">
      <c r="A16" s="123"/>
      <c r="B16" s="78" t="s">
        <v>73</v>
      </c>
      <c r="C16" s="198" t="str">
        <f t="shared" si="0"/>
        <v>SB</v>
      </c>
      <c r="D16" s="198" t="str">
        <f t="shared" si="1"/>
        <v>6L</v>
      </c>
      <c r="E16" s="198" t="str">
        <f t="shared" si="2"/>
        <v>1w</v>
      </c>
      <c r="F16" s="198">
        <f t="shared" si="3"/>
        <v>0</v>
      </c>
      <c r="G16" s="198">
        <f t="shared" si="4"/>
        <v>0</v>
      </c>
      <c r="H16" s="248">
        <f t="shared" si="5"/>
        <v>0</v>
      </c>
      <c r="I16" s="107" t="str">
        <f t="shared" si="6"/>
        <v>GbpLiborSwapIsda14Y</v>
      </c>
      <c r="J16" s="247" t="str">
        <f t="shared" si="7"/>
        <v>GBPSB6L14Y_Fwd1w_Quote</v>
      </c>
      <c r="K16" s="247"/>
      <c r="L16" s="255" t="str">
        <f>_xll.ohRangeRetrieveError(K16)</f>
        <v/>
      </c>
      <c r="M16" s="33"/>
    </row>
    <row r="17" spans="1:13" x14ac:dyDescent="0.2">
      <c r="A17" s="123"/>
      <c r="B17" s="78" t="s">
        <v>72</v>
      </c>
      <c r="C17" s="198" t="str">
        <f t="shared" si="0"/>
        <v>SB</v>
      </c>
      <c r="D17" s="198" t="str">
        <f t="shared" si="1"/>
        <v>6L</v>
      </c>
      <c r="E17" s="198" t="str">
        <f t="shared" si="2"/>
        <v>1w</v>
      </c>
      <c r="F17" s="198">
        <f t="shared" si="3"/>
        <v>0</v>
      </c>
      <c r="G17" s="198">
        <f t="shared" si="4"/>
        <v>0</v>
      </c>
      <c r="H17" s="248">
        <f t="shared" si="5"/>
        <v>0</v>
      </c>
      <c r="I17" s="107" t="str">
        <f t="shared" si="6"/>
        <v>GbpLiborSwapIsda15Y</v>
      </c>
      <c r="J17" s="247" t="str">
        <f t="shared" si="7"/>
        <v>GBPSB6L15Y_Fwd1w_Quote</v>
      </c>
      <c r="K17" s="247"/>
      <c r="L17" s="255" t="str">
        <f>_xll.ohRangeRetrieveError(K17)</f>
        <v/>
      </c>
      <c r="M17" s="33"/>
    </row>
    <row r="18" spans="1:13" x14ac:dyDescent="0.2">
      <c r="A18" s="123"/>
      <c r="B18" s="78" t="s">
        <v>71</v>
      </c>
      <c r="C18" s="198" t="str">
        <f t="shared" si="0"/>
        <v>SB</v>
      </c>
      <c r="D18" s="198" t="str">
        <f t="shared" si="1"/>
        <v>6L</v>
      </c>
      <c r="E18" s="198" t="str">
        <f t="shared" si="2"/>
        <v>1w</v>
      </c>
      <c r="F18" s="198">
        <f t="shared" si="3"/>
        <v>0</v>
      </c>
      <c r="G18" s="198">
        <f t="shared" si="4"/>
        <v>0</v>
      </c>
      <c r="H18" s="248">
        <f t="shared" si="5"/>
        <v>0</v>
      </c>
      <c r="I18" s="107" t="str">
        <f t="shared" si="6"/>
        <v>GbpLiborSwapIsda16Y</v>
      </c>
      <c r="J18" s="247" t="str">
        <f t="shared" si="7"/>
        <v>GBPSB6L16Y_Fwd1w_Quote</v>
      </c>
      <c r="K18" s="247"/>
      <c r="L18" s="255" t="str">
        <f>_xll.ohRangeRetrieveError(K18)</f>
        <v/>
      </c>
      <c r="M18" s="33"/>
    </row>
    <row r="19" spans="1:13" x14ac:dyDescent="0.2">
      <c r="A19" s="123"/>
      <c r="B19" s="78" t="s">
        <v>70</v>
      </c>
      <c r="C19" s="198" t="str">
        <f t="shared" si="0"/>
        <v>SB</v>
      </c>
      <c r="D19" s="198" t="str">
        <f t="shared" si="1"/>
        <v>6L</v>
      </c>
      <c r="E19" s="198" t="str">
        <f t="shared" si="2"/>
        <v>1w</v>
      </c>
      <c r="F19" s="198">
        <f t="shared" si="3"/>
        <v>0</v>
      </c>
      <c r="G19" s="198">
        <f t="shared" si="4"/>
        <v>0</v>
      </c>
      <c r="H19" s="248">
        <f t="shared" si="5"/>
        <v>0</v>
      </c>
      <c r="I19" s="107" t="str">
        <f t="shared" si="6"/>
        <v>GbpLiborSwapIsda17Y</v>
      </c>
      <c r="J19" s="247" t="str">
        <f t="shared" si="7"/>
        <v>GBPSB6L17Y_Fwd1w_Quote</v>
      </c>
      <c r="K19" s="247"/>
      <c r="L19" s="255" t="str">
        <f>_xll.ohRangeRetrieveError(K19)</f>
        <v/>
      </c>
      <c r="M19" s="33"/>
    </row>
    <row r="20" spans="1:13" x14ac:dyDescent="0.2">
      <c r="A20" s="123"/>
      <c r="B20" s="78" t="s">
        <v>69</v>
      </c>
      <c r="C20" s="198" t="str">
        <f t="shared" si="0"/>
        <v>SB</v>
      </c>
      <c r="D20" s="198" t="str">
        <f t="shared" si="1"/>
        <v>6L</v>
      </c>
      <c r="E20" s="198" t="str">
        <f t="shared" si="2"/>
        <v>1w</v>
      </c>
      <c r="F20" s="198">
        <f t="shared" si="3"/>
        <v>0</v>
      </c>
      <c r="G20" s="198">
        <f t="shared" si="4"/>
        <v>0</v>
      </c>
      <c r="H20" s="248">
        <f t="shared" si="5"/>
        <v>0</v>
      </c>
      <c r="I20" s="107" t="str">
        <f t="shared" si="6"/>
        <v>GbpLiborSwapIsda18Y</v>
      </c>
      <c r="J20" s="247" t="str">
        <f t="shared" si="7"/>
        <v>GBPSB6L18Y_Fwd1w_Quote</v>
      </c>
      <c r="K20" s="247"/>
      <c r="L20" s="255" t="str">
        <f>_xll.ohRangeRetrieveError(K20)</f>
        <v/>
      </c>
      <c r="M20" s="33"/>
    </row>
    <row r="21" spans="1:13" x14ac:dyDescent="0.2">
      <c r="A21" s="123"/>
      <c r="B21" s="78" t="s">
        <v>68</v>
      </c>
      <c r="C21" s="198" t="str">
        <f t="shared" si="0"/>
        <v>SB</v>
      </c>
      <c r="D21" s="198" t="str">
        <f t="shared" si="1"/>
        <v>6L</v>
      </c>
      <c r="E21" s="198" t="str">
        <f t="shared" si="2"/>
        <v>1w</v>
      </c>
      <c r="F21" s="198">
        <f t="shared" si="3"/>
        <v>0</v>
      </c>
      <c r="G21" s="198">
        <f t="shared" si="4"/>
        <v>0</v>
      </c>
      <c r="H21" s="248">
        <f t="shared" si="5"/>
        <v>0</v>
      </c>
      <c r="I21" s="107" t="str">
        <f t="shared" si="6"/>
        <v>GbpLiborSwapIsda19Y</v>
      </c>
      <c r="J21" s="247" t="str">
        <f t="shared" si="7"/>
        <v>GBPSB6L19Y_Fwd1w_Quote</v>
      </c>
      <c r="K21" s="247"/>
      <c r="L21" s="255" t="str">
        <f>_xll.ohRangeRetrieveError(K21)</f>
        <v/>
      </c>
      <c r="M21" s="33"/>
    </row>
    <row r="22" spans="1:13" x14ac:dyDescent="0.2">
      <c r="A22" s="123"/>
      <c r="B22" s="78" t="s">
        <v>67</v>
      </c>
      <c r="C22" s="198" t="str">
        <f t="shared" si="0"/>
        <v>SB</v>
      </c>
      <c r="D22" s="198" t="str">
        <f t="shared" si="1"/>
        <v>6L</v>
      </c>
      <c r="E22" s="198" t="str">
        <f t="shared" si="2"/>
        <v>1w</v>
      </c>
      <c r="F22" s="198">
        <f t="shared" si="3"/>
        <v>0</v>
      </c>
      <c r="G22" s="198">
        <f t="shared" si="4"/>
        <v>0</v>
      </c>
      <c r="H22" s="248">
        <f t="shared" si="5"/>
        <v>0</v>
      </c>
      <c r="I22" s="107" t="str">
        <f t="shared" si="6"/>
        <v>GbpLiborSwapIsda20Y</v>
      </c>
      <c r="J22" s="247" t="str">
        <f t="shared" si="7"/>
        <v>GBPSB6L20Y_Fwd1w_Quote</v>
      </c>
      <c r="K22" s="247"/>
      <c r="L22" s="255" t="str">
        <f>_xll.ohRangeRetrieveError(K22)</f>
        <v/>
      </c>
      <c r="M22" s="33"/>
    </row>
    <row r="23" spans="1:13" x14ac:dyDescent="0.2">
      <c r="A23" s="123"/>
      <c r="B23" s="78" t="s">
        <v>66</v>
      </c>
      <c r="C23" s="198" t="str">
        <f t="shared" si="0"/>
        <v>SB</v>
      </c>
      <c r="D23" s="198" t="str">
        <f t="shared" si="1"/>
        <v>6L</v>
      </c>
      <c r="E23" s="198" t="str">
        <f t="shared" si="2"/>
        <v>1w</v>
      </c>
      <c r="F23" s="198">
        <f t="shared" si="3"/>
        <v>0</v>
      </c>
      <c r="G23" s="198">
        <f t="shared" si="4"/>
        <v>0</v>
      </c>
      <c r="H23" s="248">
        <f t="shared" si="5"/>
        <v>0</v>
      </c>
      <c r="I23" s="107" t="str">
        <f t="shared" si="6"/>
        <v>GbpLiborSwapIsda21Y</v>
      </c>
      <c r="J23" s="247" t="str">
        <f t="shared" si="7"/>
        <v>GBPSB6L21Y_Fwd1w_Quote</v>
      </c>
      <c r="K23" s="247"/>
      <c r="L23" s="255" t="str">
        <f>_xll.ohRangeRetrieveError(K23)</f>
        <v/>
      </c>
      <c r="M23" s="33"/>
    </row>
    <row r="24" spans="1:13" x14ac:dyDescent="0.2">
      <c r="A24" s="123"/>
      <c r="B24" s="78" t="s">
        <v>65</v>
      </c>
      <c r="C24" s="198" t="str">
        <f t="shared" si="0"/>
        <v>SB</v>
      </c>
      <c r="D24" s="198" t="str">
        <f t="shared" si="1"/>
        <v>6L</v>
      </c>
      <c r="E24" s="198" t="str">
        <f t="shared" si="2"/>
        <v>1w</v>
      </c>
      <c r="F24" s="198">
        <f t="shared" si="3"/>
        <v>0</v>
      </c>
      <c r="G24" s="198">
        <f t="shared" si="4"/>
        <v>0</v>
      </c>
      <c r="H24" s="248">
        <f t="shared" si="5"/>
        <v>0</v>
      </c>
      <c r="I24" s="107" t="str">
        <f t="shared" si="6"/>
        <v>GbpLiborSwapIsda22Y</v>
      </c>
      <c r="J24" s="247" t="str">
        <f t="shared" si="7"/>
        <v>GBPSB6L22Y_Fwd1w_Quote</v>
      </c>
      <c r="K24" s="247"/>
      <c r="L24" s="255" t="str">
        <f>_xll.ohRangeRetrieveError(K24)</f>
        <v/>
      </c>
      <c r="M24" s="33"/>
    </row>
    <row r="25" spans="1:13" x14ac:dyDescent="0.2">
      <c r="A25" s="123"/>
      <c r="B25" s="78" t="s">
        <v>64</v>
      </c>
      <c r="C25" s="198" t="str">
        <f t="shared" si="0"/>
        <v>SB</v>
      </c>
      <c r="D25" s="198" t="str">
        <f t="shared" si="1"/>
        <v>6L</v>
      </c>
      <c r="E25" s="198" t="str">
        <f t="shared" si="2"/>
        <v>1w</v>
      </c>
      <c r="F25" s="198">
        <f t="shared" si="3"/>
        <v>0</v>
      </c>
      <c r="G25" s="198">
        <f t="shared" si="4"/>
        <v>0</v>
      </c>
      <c r="H25" s="248">
        <f t="shared" si="5"/>
        <v>0</v>
      </c>
      <c r="I25" s="107" t="str">
        <f t="shared" si="6"/>
        <v>GbpLiborSwapIsda23Y</v>
      </c>
      <c r="J25" s="247" t="str">
        <f t="shared" si="7"/>
        <v>GBPSB6L23Y_Fwd1w_Quote</v>
      </c>
      <c r="K25" s="247"/>
      <c r="L25" s="255" t="str">
        <f>_xll.ohRangeRetrieveError(K25)</f>
        <v/>
      </c>
      <c r="M25" s="33"/>
    </row>
    <row r="26" spans="1:13" x14ac:dyDescent="0.2">
      <c r="A26" s="123"/>
      <c r="B26" s="78" t="s">
        <v>63</v>
      </c>
      <c r="C26" s="198" t="str">
        <f t="shared" si="0"/>
        <v>SB</v>
      </c>
      <c r="D26" s="198" t="str">
        <f t="shared" si="1"/>
        <v>6L</v>
      </c>
      <c r="E26" s="198" t="str">
        <f t="shared" si="2"/>
        <v>1w</v>
      </c>
      <c r="F26" s="198">
        <f t="shared" si="3"/>
        <v>0</v>
      </c>
      <c r="G26" s="198">
        <f t="shared" si="4"/>
        <v>0</v>
      </c>
      <c r="H26" s="248">
        <f t="shared" si="5"/>
        <v>0</v>
      </c>
      <c r="I26" s="107" t="str">
        <f t="shared" si="6"/>
        <v>GbpLiborSwapIsda24Y</v>
      </c>
      <c r="J26" s="247" t="str">
        <f t="shared" si="7"/>
        <v>GBPSB6L24Y_Fwd1w_Quote</v>
      </c>
      <c r="K26" s="247"/>
      <c r="L26" s="255" t="str">
        <f>_xll.ohRangeRetrieveError(K26)</f>
        <v/>
      </c>
      <c r="M26" s="33"/>
    </row>
    <row r="27" spans="1:13" x14ac:dyDescent="0.2">
      <c r="A27" s="123"/>
      <c r="B27" s="78" t="s">
        <v>62</v>
      </c>
      <c r="C27" s="198" t="str">
        <f t="shared" si="0"/>
        <v>SB</v>
      </c>
      <c r="D27" s="198" t="str">
        <f t="shared" si="1"/>
        <v>6L</v>
      </c>
      <c r="E27" s="198" t="str">
        <f t="shared" si="2"/>
        <v>1w</v>
      </c>
      <c r="F27" s="198">
        <f t="shared" si="3"/>
        <v>0</v>
      </c>
      <c r="G27" s="198">
        <f t="shared" si="4"/>
        <v>0</v>
      </c>
      <c r="H27" s="248">
        <f t="shared" si="5"/>
        <v>0</v>
      </c>
      <c r="I27" s="107" t="str">
        <f t="shared" si="6"/>
        <v>GbpLiborSwapIsda25Y</v>
      </c>
      <c r="J27" s="247" t="str">
        <f t="shared" si="7"/>
        <v>GBPSB6L25Y_Fwd1w_Quote</v>
      </c>
      <c r="K27" s="247"/>
      <c r="L27" s="255" t="str">
        <f>_xll.ohRangeRetrieveError(K27)</f>
        <v/>
      </c>
      <c r="M27" s="33"/>
    </row>
    <row r="28" spans="1:13" x14ac:dyDescent="0.2">
      <c r="A28" s="123"/>
      <c r="B28" s="78" t="s">
        <v>61</v>
      </c>
      <c r="C28" s="198" t="str">
        <f t="shared" si="0"/>
        <v>SB</v>
      </c>
      <c r="D28" s="198" t="str">
        <f t="shared" si="1"/>
        <v>6L</v>
      </c>
      <c r="E28" s="198" t="str">
        <f t="shared" si="2"/>
        <v>1w</v>
      </c>
      <c r="F28" s="198">
        <f t="shared" si="3"/>
        <v>0</v>
      </c>
      <c r="G28" s="198">
        <f t="shared" si="4"/>
        <v>0</v>
      </c>
      <c r="H28" s="248">
        <f t="shared" si="5"/>
        <v>0</v>
      </c>
      <c r="I28" s="107" t="str">
        <f t="shared" si="6"/>
        <v>GbpLiborSwapIsda26Y</v>
      </c>
      <c r="J28" s="247" t="str">
        <f t="shared" si="7"/>
        <v>GBPSB6L26Y_Fwd1w_Quote</v>
      </c>
      <c r="K28" s="247"/>
      <c r="L28" s="255" t="str">
        <f>_xll.ohRangeRetrieveError(K28)</f>
        <v/>
      </c>
      <c r="M28" s="33"/>
    </row>
    <row r="29" spans="1:13" x14ac:dyDescent="0.2">
      <c r="A29" s="123"/>
      <c r="B29" s="78" t="s">
        <v>60</v>
      </c>
      <c r="C29" s="198" t="str">
        <f t="shared" si="0"/>
        <v>SB</v>
      </c>
      <c r="D29" s="198" t="str">
        <f t="shared" si="1"/>
        <v>6L</v>
      </c>
      <c r="E29" s="198" t="str">
        <f t="shared" si="2"/>
        <v>1w</v>
      </c>
      <c r="F29" s="198">
        <f t="shared" si="3"/>
        <v>0</v>
      </c>
      <c r="G29" s="198">
        <f t="shared" si="4"/>
        <v>0</v>
      </c>
      <c r="H29" s="248">
        <f t="shared" si="5"/>
        <v>0</v>
      </c>
      <c r="I29" s="107" t="str">
        <f t="shared" si="6"/>
        <v>GbpLiborSwapIsda27Y</v>
      </c>
      <c r="J29" s="247" t="str">
        <f t="shared" si="7"/>
        <v>GBPSB6L27Y_Fwd1w_Quote</v>
      </c>
      <c r="K29" s="247"/>
      <c r="L29" s="255" t="str">
        <f>_xll.ohRangeRetrieveError(K29)</f>
        <v/>
      </c>
      <c r="M29" s="33"/>
    </row>
    <row r="30" spans="1:13" x14ac:dyDescent="0.2">
      <c r="A30" s="123"/>
      <c r="B30" s="78" t="s">
        <v>59</v>
      </c>
      <c r="C30" s="198" t="str">
        <f t="shared" si="0"/>
        <v>SB</v>
      </c>
      <c r="D30" s="198" t="str">
        <f t="shared" si="1"/>
        <v>6L</v>
      </c>
      <c r="E30" s="198" t="str">
        <f t="shared" si="2"/>
        <v>1w</v>
      </c>
      <c r="F30" s="198">
        <f t="shared" si="3"/>
        <v>0</v>
      </c>
      <c r="G30" s="198">
        <f t="shared" si="4"/>
        <v>0</v>
      </c>
      <c r="H30" s="248">
        <f t="shared" si="5"/>
        <v>0</v>
      </c>
      <c r="I30" s="107" t="str">
        <f t="shared" si="6"/>
        <v>GbpLiborSwapIsda28Y</v>
      </c>
      <c r="J30" s="247" t="str">
        <f t="shared" si="7"/>
        <v>GBPSB6L28Y_Fwd1w_Quote</v>
      </c>
      <c r="K30" s="247"/>
      <c r="L30" s="255" t="str">
        <f>_xll.ohRangeRetrieveError(K30)</f>
        <v/>
      </c>
      <c r="M30" s="33"/>
    </row>
    <row r="31" spans="1:13" x14ac:dyDescent="0.2">
      <c r="A31" s="123"/>
      <c r="B31" s="78" t="s">
        <v>58</v>
      </c>
      <c r="C31" s="198" t="str">
        <f t="shared" si="0"/>
        <v>SB</v>
      </c>
      <c r="D31" s="198" t="str">
        <f t="shared" si="1"/>
        <v>6L</v>
      </c>
      <c r="E31" s="198" t="str">
        <f t="shared" si="2"/>
        <v>1w</v>
      </c>
      <c r="F31" s="198">
        <f t="shared" si="3"/>
        <v>0</v>
      </c>
      <c r="G31" s="198">
        <f t="shared" si="4"/>
        <v>0</v>
      </c>
      <c r="H31" s="248">
        <f t="shared" si="5"/>
        <v>0</v>
      </c>
      <c r="I31" s="107" t="str">
        <f t="shared" si="6"/>
        <v>GbpLiborSwapIsda29Y</v>
      </c>
      <c r="J31" s="247" t="str">
        <f t="shared" si="7"/>
        <v>GBPSB6L29Y_Fwd1w_Quote</v>
      </c>
      <c r="K31" s="247"/>
      <c r="L31" s="255" t="str">
        <f>_xll.ohRangeRetrieveError(K31)</f>
        <v/>
      </c>
      <c r="M31" s="33"/>
    </row>
    <row r="32" spans="1:13" x14ac:dyDescent="0.2">
      <c r="A32" s="123"/>
      <c r="B32" s="78" t="s">
        <v>57</v>
      </c>
      <c r="C32" s="198" t="str">
        <f t="shared" si="0"/>
        <v>SB</v>
      </c>
      <c r="D32" s="198" t="str">
        <f t="shared" si="1"/>
        <v>6L</v>
      </c>
      <c r="E32" s="198" t="str">
        <f t="shared" si="2"/>
        <v>1w</v>
      </c>
      <c r="F32" s="198">
        <f t="shared" si="3"/>
        <v>0</v>
      </c>
      <c r="G32" s="198">
        <f t="shared" si="4"/>
        <v>0</v>
      </c>
      <c r="H32" s="248">
        <f t="shared" si="5"/>
        <v>0</v>
      </c>
      <c r="I32" s="107" t="str">
        <f t="shared" si="6"/>
        <v>GbpLiborSwapIsda30Y</v>
      </c>
      <c r="J32" s="247" t="str">
        <f t="shared" si="7"/>
        <v>GBPSB6L30Y_Fwd1w_Quote</v>
      </c>
      <c r="K32" s="247"/>
      <c r="L32" s="255" t="str">
        <f>_xll.ohRangeRetrieveError(K32)</f>
        <v/>
      </c>
      <c r="M32" s="33"/>
    </row>
    <row r="33" spans="1:13" x14ac:dyDescent="0.2">
      <c r="A33" s="123"/>
      <c r="B33" s="78" t="s">
        <v>52</v>
      </c>
      <c r="C33" s="198" t="str">
        <f t="shared" si="0"/>
        <v>SB</v>
      </c>
      <c r="D33" s="198" t="str">
        <f t="shared" si="1"/>
        <v>6L</v>
      </c>
      <c r="E33" s="198" t="str">
        <f t="shared" si="2"/>
        <v>1w</v>
      </c>
      <c r="F33" s="198">
        <f t="shared" si="3"/>
        <v>0</v>
      </c>
      <c r="G33" s="198">
        <f t="shared" si="4"/>
        <v>0</v>
      </c>
      <c r="H33" s="248">
        <f t="shared" si="5"/>
        <v>0</v>
      </c>
      <c r="I33" s="107" t="str">
        <f t="shared" si="6"/>
        <v>GbpLiborSwapIsda35Y</v>
      </c>
      <c r="J33" s="247" t="str">
        <f t="shared" si="7"/>
        <v>GBPSB6L35Y_Fwd1w_Quote</v>
      </c>
      <c r="K33" s="247"/>
      <c r="L33" s="255" t="str">
        <f>_xll.ohRangeRetrieveError(K33)</f>
        <v/>
      </c>
      <c r="M33" s="33"/>
    </row>
    <row r="34" spans="1:13" x14ac:dyDescent="0.2">
      <c r="A34" s="123"/>
      <c r="B34" s="78" t="s">
        <v>47</v>
      </c>
      <c r="C34" s="198" t="str">
        <f t="shared" si="0"/>
        <v>SB</v>
      </c>
      <c r="D34" s="198" t="str">
        <f t="shared" si="1"/>
        <v>6L</v>
      </c>
      <c r="E34" s="198" t="str">
        <f t="shared" si="2"/>
        <v>1w</v>
      </c>
      <c r="F34" s="198">
        <f t="shared" si="3"/>
        <v>0</v>
      </c>
      <c r="G34" s="198">
        <f t="shared" si="4"/>
        <v>0</v>
      </c>
      <c r="H34" s="248">
        <f t="shared" si="5"/>
        <v>0</v>
      </c>
      <c r="I34" s="107" t="str">
        <f t="shared" si="6"/>
        <v>GbpLiborSwapIsda40Y</v>
      </c>
      <c r="J34" s="247" t="str">
        <f t="shared" si="7"/>
        <v>GBPSB6L40Y_Fwd1w_Quote</v>
      </c>
      <c r="K34" s="247"/>
      <c r="L34" s="255" t="str">
        <f>_xll.ohRangeRetrieveError(K34)</f>
        <v/>
      </c>
      <c r="M34" s="33"/>
    </row>
    <row r="35" spans="1:13" x14ac:dyDescent="0.2">
      <c r="A35" s="123"/>
      <c r="B35" s="78" t="s">
        <v>37</v>
      </c>
      <c r="C35" s="198" t="str">
        <f t="shared" si="0"/>
        <v>SB</v>
      </c>
      <c r="D35" s="198" t="str">
        <f t="shared" si="1"/>
        <v>6L</v>
      </c>
      <c r="E35" s="198" t="str">
        <f t="shared" si="2"/>
        <v>1w</v>
      </c>
      <c r="F35" s="198">
        <f t="shared" si="3"/>
        <v>0</v>
      </c>
      <c r="G35" s="198">
        <f t="shared" si="4"/>
        <v>0</v>
      </c>
      <c r="H35" s="248">
        <f t="shared" si="5"/>
        <v>0</v>
      </c>
      <c r="I35" s="107" t="str">
        <f t="shared" si="6"/>
        <v>GbpLiborSwapIsda50Y</v>
      </c>
      <c r="J35" s="247" t="str">
        <f t="shared" si="7"/>
        <v>GBPSB6L50Y_Fwd1w_Quote</v>
      </c>
      <c r="K35" s="247"/>
      <c r="L35" s="255" t="str">
        <f>_xll.ohRangeRetrieveError(K35)</f>
        <v/>
      </c>
      <c r="M35" s="33"/>
    </row>
    <row r="36" spans="1:13" x14ac:dyDescent="0.2">
      <c r="A36" s="123"/>
      <c r="B36" s="78" t="s">
        <v>27</v>
      </c>
      <c r="C36" s="198" t="str">
        <f t="shared" si="0"/>
        <v>SB</v>
      </c>
      <c r="D36" s="198" t="str">
        <f t="shared" si="1"/>
        <v>6L</v>
      </c>
      <c r="E36" s="198" t="str">
        <f t="shared" si="2"/>
        <v>1w</v>
      </c>
      <c r="F36" s="198">
        <f t="shared" si="3"/>
        <v>0</v>
      </c>
      <c r="G36" s="198">
        <f t="shared" si="4"/>
        <v>0</v>
      </c>
      <c r="H36" s="248">
        <f t="shared" si="5"/>
        <v>0</v>
      </c>
      <c r="I36" s="107" t="str">
        <f t="shared" si="6"/>
        <v>GbpLiborSwapIsda60Y</v>
      </c>
      <c r="J36" s="247" t="str">
        <f t="shared" si="7"/>
        <v>GBPSB6L60Y_Fwd1w_Quote</v>
      </c>
      <c r="K36" s="247"/>
      <c r="L36" s="255" t="str">
        <f>_xll.ohRangeRetrieveError(K36)</f>
        <v/>
      </c>
      <c r="M36" s="33"/>
    </row>
    <row r="37" spans="1:13" ht="12" thickBot="1" x14ac:dyDescent="0.25">
      <c r="A37" s="32"/>
      <c r="B37" s="31"/>
      <c r="C37" s="31"/>
      <c r="D37" s="31"/>
      <c r="E37" s="31"/>
      <c r="F37" s="31"/>
      <c r="G37" s="31"/>
      <c r="H37" s="31"/>
      <c r="I37" s="31"/>
      <c r="J37" s="31"/>
      <c r="K37" s="117"/>
      <c r="L37" s="117"/>
      <c r="M37" s="30"/>
    </row>
  </sheetData>
  <pageMargins left="0.75" right="0.75" top="1" bottom="1" header="0.5" footer="0.5"/>
  <pageSetup paperSize="9"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7"/>
  <sheetViews>
    <sheetView workbookViewId="0"/>
  </sheetViews>
  <sheetFormatPr defaultRowHeight="11.25" x14ac:dyDescent="0.2"/>
  <cols>
    <col min="1" max="1" width="3.28515625" style="67" customWidth="1"/>
    <col min="2" max="2" width="3.85546875" style="67" bestFit="1" customWidth="1"/>
    <col min="3" max="3" width="3.140625" style="67" bestFit="1" customWidth="1"/>
    <col min="4" max="4" width="2.7109375" style="67" bestFit="1" customWidth="1"/>
    <col min="5" max="5" width="4.7109375" style="67" bestFit="1" customWidth="1"/>
    <col min="6" max="7" width="2.7109375" style="67" bestFit="1" customWidth="1"/>
    <col min="8" max="8" width="15.28515625" style="67" bestFit="1" customWidth="1"/>
    <col min="9" max="9" width="19.140625" style="67" bestFit="1" customWidth="1"/>
    <col min="10" max="10" width="31" style="67" bestFit="1" customWidth="1"/>
    <col min="11" max="11" width="32.140625" style="67" bestFit="1" customWidth="1"/>
    <col min="12" max="12" width="30.5703125" style="67" customWidth="1"/>
    <col min="13" max="14" width="3.7109375" style="67" customWidth="1"/>
    <col min="15" max="15" width="4" style="67" bestFit="1" customWidth="1"/>
    <col min="16" max="16" width="3.140625" style="67" bestFit="1" customWidth="1"/>
    <col min="17" max="17" width="2.7109375" style="67" bestFit="1" customWidth="1"/>
    <col min="18" max="18" width="3.28515625" style="67" bestFit="1" customWidth="1"/>
    <col min="19" max="20" width="2.7109375" style="67" bestFit="1" customWidth="1"/>
    <col min="21" max="16384" width="9.140625" style="67"/>
  </cols>
  <sheetData>
    <row r="1" spans="1:20" ht="12" thickBot="1" x14ac:dyDescent="0.25">
      <c r="A1" s="208"/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156"/>
      <c r="M1" s="204"/>
    </row>
    <row r="2" spans="1:20" ht="22.5" x14ac:dyDescent="0.2">
      <c r="A2" s="123"/>
      <c r="B2" s="92"/>
      <c r="C2" s="92"/>
      <c r="D2" s="92"/>
      <c r="E2" s="92" t="s">
        <v>225</v>
      </c>
      <c r="F2" s="92"/>
      <c r="G2" s="92"/>
      <c r="H2" s="92" t="s">
        <v>224</v>
      </c>
      <c r="I2" s="92" t="s">
        <v>223</v>
      </c>
      <c r="J2" s="252" t="str">
        <f>Currency&amp;"_020_Sw"&amp;$C$3&amp;$D$3&amp;"_"&amp;"Fwd"&amp;$E$3&amp;IF(H3=0,,"_Spr"&amp;$F3&amp;$G3)&amp;".xml"</f>
        <v>GBP_020_SwSB3L_Fwd1w.xml</v>
      </c>
      <c r="K2" s="110" t="e">
        <f ca="1">IF(Serialize,_xll.ohObjectSave(K3:K36,SerializationPath&amp;J2,FileOverwrite,Serialize),"---")</f>
        <v>#NUM!</v>
      </c>
      <c r="L2" s="74" t="e">
        <f ca="1">_xll.ohRangeRetrieveError(K2)</f>
        <v>#NUM!</v>
      </c>
      <c r="M2" s="33"/>
      <c r="O2" s="217"/>
      <c r="P2" s="216"/>
      <c r="Q2" s="216"/>
      <c r="R2" s="216"/>
      <c r="S2" s="216"/>
      <c r="T2" s="215"/>
    </row>
    <row r="3" spans="1:20" x14ac:dyDescent="0.2">
      <c r="A3" s="123"/>
      <c r="B3" s="78" t="s">
        <v>1</v>
      </c>
      <c r="C3" s="198" t="str">
        <f t="shared" ref="C3:C36" si="0">VLOOKUP(Currency,$O$3:$T$7,2)</f>
        <v>SB</v>
      </c>
      <c r="D3" s="198" t="str">
        <f t="shared" ref="D3:D36" si="1">VLOOKUP(Currency,$O$3:$T$7,3)</f>
        <v>3L</v>
      </c>
      <c r="E3" s="198" t="str">
        <f t="shared" ref="E3:E36" si="2">VLOOKUP(Currency,$O$3:$T$7,4)</f>
        <v>1w</v>
      </c>
      <c r="F3" s="198">
        <f t="shared" ref="F3:F36" si="3">VLOOKUP(Currency,$O$3:$T$7,5)</f>
        <v>0</v>
      </c>
      <c r="G3" s="198">
        <f t="shared" ref="G3:G36" si="4">VLOOKUP(Currency,$O$3:$T$7,6)</f>
        <v>0</v>
      </c>
      <c r="H3" s="248">
        <f t="shared" ref="H3:H36" si="5">IF(F3=0,0,Currency&amp;$F3&amp;$G3&amp;$B3&amp;QuoteSuffix)</f>
        <v>0</v>
      </c>
      <c r="I3" s="250"/>
      <c r="J3" s="247" t="str">
        <f t="shared" ref="J3:J36" si="6">Currency&amp;$C3&amp;$D3&amp;$B3&amp;"_"&amp;"Fwd"&amp;E3&amp;IF(H3=0,,"_S"&amp;$F3&amp;$G3)&amp;QuoteSuffix</f>
        <v>GBPSB3L1Y_Fwd1w_Quote</v>
      </c>
      <c r="K3" s="247"/>
      <c r="L3" s="255" t="str">
        <f>_xll.ohRangeRetrieveError(K3)</f>
        <v/>
      </c>
      <c r="M3" s="33"/>
      <c r="O3" s="85" t="s">
        <v>122</v>
      </c>
      <c r="P3" s="84" t="s">
        <v>214</v>
      </c>
      <c r="Q3" s="84" t="s">
        <v>115</v>
      </c>
      <c r="R3" s="84" t="s">
        <v>222</v>
      </c>
      <c r="S3" s="84"/>
      <c r="T3" s="83"/>
    </row>
    <row r="4" spans="1:20" x14ac:dyDescent="0.2">
      <c r="A4" s="123"/>
      <c r="B4" s="78" t="s">
        <v>85</v>
      </c>
      <c r="C4" s="198" t="str">
        <f t="shared" si="0"/>
        <v>SB</v>
      </c>
      <c r="D4" s="198" t="str">
        <f t="shared" si="1"/>
        <v>3L</v>
      </c>
      <c r="E4" s="198" t="str">
        <f t="shared" si="2"/>
        <v>1w</v>
      </c>
      <c r="F4" s="198">
        <f t="shared" si="3"/>
        <v>0</v>
      </c>
      <c r="G4" s="198">
        <f t="shared" si="4"/>
        <v>0</v>
      </c>
      <c r="H4" s="248">
        <f t="shared" si="5"/>
        <v>0</v>
      </c>
      <c r="I4" s="107"/>
      <c r="J4" s="247" t="str">
        <f t="shared" si="6"/>
        <v>GBPSB3L2Y_Fwd1w_Quote</v>
      </c>
      <c r="K4" s="247"/>
      <c r="L4" s="255" t="str">
        <f>_xll.ohRangeRetrieveError(K4)</f>
        <v/>
      </c>
      <c r="M4" s="33"/>
      <c r="O4" s="85" t="s">
        <v>121</v>
      </c>
      <c r="P4" s="84" t="s">
        <v>214</v>
      </c>
      <c r="Q4" s="257" t="s">
        <v>127</v>
      </c>
      <c r="R4" s="84" t="s">
        <v>222</v>
      </c>
      <c r="S4" s="84" t="s">
        <v>127</v>
      </c>
      <c r="T4" s="83" t="s">
        <v>119</v>
      </c>
    </row>
    <row r="5" spans="1:20" x14ac:dyDescent="0.2">
      <c r="A5" s="123"/>
      <c r="B5" s="78" t="s">
        <v>84</v>
      </c>
      <c r="C5" s="198" t="str">
        <f t="shared" si="0"/>
        <v>SB</v>
      </c>
      <c r="D5" s="198" t="str">
        <f t="shared" si="1"/>
        <v>3L</v>
      </c>
      <c r="E5" s="198" t="str">
        <f t="shared" si="2"/>
        <v>1w</v>
      </c>
      <c r="F5" s="198">
        <f t="shared" si="3"/>
        <v>0</v>
      </c>
      <c r="G5" s="198">
        <f t="shared" si="4"/>
        <v>0</v>
      </c>
      <c r="H5" s="248">
        <f t="shared" si="5"/>
        <v>0</v>
      </c>
      <c r="I5" s="107"/>
      <c r="J5" s="247" t="str">
        <f t="shared" si="6"/>
        <v>GBPSB3L3Y_Fwd1w_Quote</v>
      </c>
      <c r="K5" s="247"/>
      <c r="L5" s="255" t="str">
        <f>_xll.ohRangeRetrieveError(K5)</f>
        <v/>
      </c>
      <c r="M5" s="33"/>
      <c r="O5" s="85" t="s">
        <v>96</v>
      </c>
      <c r="P5" s="84" t="s">
        <v>213</v>
      </c>
      <c r="Q5" s="84" t="s">
        <v>115</v>
      </c>
      <c r="R5" s="84" t="s">
        <v>222</v>
      </c>
      <c r="S5" s="84"/>
      <c r="T5" s="83"/>
    </row>
    <row r="6" spans="1:20" x14ac:dyDescent="0.2">
      <c r="A6" s="123"/>
      <c r="B6" s="78" t="s">
        <v>83</v>
      </c>
      <c r="C6" s="198" t="str">
        <f t="shared" si="0"/>
        <v>SB</v>
      </c>
      <c r="D6" s="198" t="str">
        <f t="shared" si="1"/>
        <v>3L</v>
      </c>
      <c r="E6" s="198" t="str">
        <f t="shared" si="2"/>
        <v>1w</v>
      </c>
      <c r="F6" s="198">
        <f t="shared" si="3"/>
        <v>0</v>
      </c>
      <c r="G6" s="198">
        <f t="shared" si="4"/>
        <v>0</v>
      </c>
      <c r="H6" s="248">
        <f t="shared" si="5"/>
        <v>0</v>
      </c>
      <c r="I6" s="107"/>
      <c r="J6" s="247" t="str">
        <f t="shared" si="6"/>
        <v>GBPSB3L4Y_Fwd1w_Quote</v>
      </c>
      <c r="K6" s="247"/>
      <c r="L6" s="255" t="str">
        <f>_xll.ohRangeRetrieveError(K6)</f>
        <v/>
      </c>
      <c r="M6" s="33"/>
      <c r="O6" s="85" t="s">
        <v>118</v>
      </c>
      <c r="P6" s="84" t="s">
        <v>213</v>
      </c>
      <c r="Q6" s="84" t="s">
        <v>115</v>
      </c>
      <c r="R6" s="84" t="s">
        <v>222</v>
      </c>
      <c r="S6" s="84"/>
      <c r="T6" s="83"/>
    </row>
    <row r="7" spans="1:20" ht="12" thickBot="1" x14ac:dyDescent="0.25">
      <c r="A7" s="123"/>
      <c r="B7" s="78" t="s">
        <v>82</v>
      </c>
      <c r="C7" s="198" t="str">
        <f t="shared" si="0"/>
        <v>SB</v>
      </c>
      <c r="D7" s="198" t="str">
        <f t="shared" si="1"/>
        <v>3L</v>
      </c>
      <c r="E7" s="198" t="str">
        <f t="shared" si="2"/>
        <v>1w</v>
      </c>
      <c r="F7" s="198">
        <f t="shared" si="3"/>
        <v>0</v>
      </c>
      <c r="G7" s="198">
        <f t="shared" si="4"/>
        <v>0</v>
      </c>
      <c r="H7" s="248">
        <f t="shared" si="5"/>
        <v>0</v>
      </c>
      <c r="I7" s="107"/>
      <c r="J7" s="247" t="str">
        <f t="shared" si="6"/>
        <v>GBPSB3L5Y_Fwd1w_Quote</v>
      </c>
      <c r="K7" s="247"/>
      <c r="L7" s="255" t="str">
        <f>_xll.ohRangeRetrieveError(K7)</f>
        <v/>
      </c>
      <c r="M7" s="33"/>
      <c r="O7" s="82" t="s">
        <v>116</v>
      </c>
      <c r="P7" s="81" t="s">
        <v>212</v>
      </c>
      <c r="Q7" s="81" t="s">
        <v>115</v>
      </c>
      <c r="R7" s="81" t="s">
        <v>222</v>
      </c>
      <c r="S7" s="81" t="s">
        <v>117</v>
      </c>
      <c r="T7" s="80" t="s">
        <v>115</v>
      </c>
    </row>
    <row r="8" spans="1:20" x14ac:dyDescent="0.2">
      <c r="A8" s="123"/>
      <c r="B8" s="78" t="s">
        <v>81</v>
      </c>
      <c r="C8" s="198" t="str">
        <f t="shared" si="0"/>
        <v>SB</v>
      </c>
      <c r="D8" s="198" t="str">
        <f t="shared" si="1"/>
        <v>3L</v>
      </c>
      <c r="E8" s="198" t="str">
        <f t="shared" si="2"/>
        <v>1w</v>
      </c>
      <c r="F8" s="198">
        <f t="shared" si="3"/>
        <v>0</v>
      </c>
      <c r="G8" s="198">
        <f t="shared" si="4"/>
        <v>0</v>
      </c>
      <c r="H8" s="248">
        <f t="shared" si="5"/>
        <v>0</v>
      </c>
      <c r="I8" s="107"/>
      <c r="J8" s="247" t="str">
        <f t="shared" si="6"/>
        <v>GBPSB3L6Y_Fwd1w_Quote</v>
      </c>
      <c r="K8" s="247"/>
      <c r="L8" s="255" t="str">
        <f>_xll.ohRangeRetrieveError(K8)</f>
        <v/>
      </c>
      <c r="M8" s="33"/>
    </row>
    <row r="9" spans="1:20" x14ac:dyDescent="0.2">
      <c r="A9" s="123"/>
      <c r="B9" s="78" t="s">
        <v>80</v>
      </c>
      <c r="C9" s="198" t="str">
        <f t="shared" si="0"/>
        <v>SB</v>
      </c>
      <c r="D9" s="198" t="str">
        <f t="shared" si="1"/>
        <v>3L</v>
      </c>
      <c r="E9" s="198" t="str">
        <f t="shared" si="2"/>
        <v>1w</v>
      </c>
      <c r="F9" s="198">
        <f t="shared" si="3"/>
        <v>0</v>
      </c>
      <c r="G9" s="198">
        <f t="shared" si="4"/>
        <v>0</v>
      </c>
      <c r="H9" s="248">
        <f t="shared" si="5"/>
        <v>0</v>
      </c>
      <c r="I9" s="107"/>
      <c r="J9" s="247" t="str">
        <f t="shared" si="6"/>
        <v>GBPSB3L7Y_Fwd1w_Quote</v>
      </c>
      <c r="K9" s="247"/>
      <c r="L9" s="255" t="str">
        <f>_xll.ohRangeRetrieveError(K9)</f>
        <v/>
      </c>
      <c r="M9" s="33"/>
    </row>
    <row r="10" spans="1:20" x14ac:dyDescent="0.2">
      <c r="A10" s="123"/>
      <c r="B10" s="78" t="s">
        <v>79</v>
      </c>
      <c r="C10" s="198" t="str">
        <f t="shared" si="0"/>
        <v>SB</v>
      </c>
      <c r="D10" s="198" t="str">
        <f t="shared" si="1"/>
        <v>3L</v>
      </c>
      <c r="E10" s="198" t="str">
        <f t="shared" si="2"/>
        <v>1w</v>
      </c>
      <c r="F10" s="198">
        <f t="shared" si="3"/>
        <v>0</v>
      </c>
      <c r="G10" s="198">
        <f t="shared" si="4"/>
        <v>0</v>
      </c>
      <c r="H10" s="248">
        <f t="shared" si="5"/>
        <v>0</v>
      </c>
      <c r="I10" s="107"/>
      <c r="J10" s="247" t="str">
        <f t="shared" si="6"/>
        <v>GBPSB3L8Y_Fwd1w_Quote</v>
      </c>
      <c r="K10" s="247"/>
      <c r="L10" s="255" t="str">
        <f>_xll.ohRangeRetrieveError(K10)</f>
        <v/>
      </c>
      <c r="M10" s="33"/>
    </row>
    <row r="11" spans="1:20" x14ac:dyDescent="0.2">
      <c r="A11" s="123"/>
      <c r="B11" s="78" t="s">
        <v>78</v>
      </c>
      <c r="C11" s="198" t="str">
        <f t="shared" si="0"/>
        <v>SB</v>
      </c>
      <c r="D11" s="198" t="str">
        <f t="shared" si="1"/>
        <v>3L</v>
      </c>
      <c r="E11" s="198" t="str">
        <f t="shared" si="2"/>
        <v>1w</v>
      </c>
      <c r="F11" s="198">
        <f t="shared" si="3"/>
        <v>0</v>
      </c>
      <c r="G11" s="198">
        <f t="shared" si="4"/>
        <v>0</v>
      </c>
      <c r="H11" s="248">
        <f t="shared" si="5"/>
        <v>0</v>
      </c>
      <c r="I11" s="107"/>
      <c r="J11" s="247" t="str">
        <f t="shared" si="6"/>
        <v>GBPSB3L9Y_Fwd1w_Quote</v>
      </c>
      <c r="K11" s="247"/>
      <c r="L11" s="255" t="str">
        <f>_xll.ohRangeRetrieveError(K11)</f>
        <v/>
      </c>
      <c r="M11" s="33"/>
    </row>
    <row r="12" spans="1:20" x14ac:dyDescent="0.2">
      <c r="A12" s="123"/>
      <c r="B12" s="78" t="s">
        <v>77</v>
      </c>
      <c r="C12" s="198" t="str">
        <f t="shared" si="0"/>
        <v>SB</v>
      </c>
      <c r="D12" s="198" t="str">
        <f t="shared" si="1"/>
        <v>3L</v>
      </c>
      <c r="E12" s="198" t="str">
        <f t="shared" si="2"/>
        <v>1w</v>
      </c>
      <c r="F12" s="198">
        <f t="shared" si="3"/>
        <v>0</v>
      </c>
      <c r="G12" s="198">
        <f t="shared" si="4"/>
        <v>0</v>
      </c>
      <c r="H12" s="248">
        <f t="shared" si="5"/>
        <v>0</v>
      </c>
      <c r="I12" s="107"/>
      <c r="J12" s="247" t="str">
        <f t="shared" si="6"/>
        <v>GBPSB3L10Y_Fwd1w_Quote</v>
      </c>
      <c r="K12" s="247"/>
      <c r="L12" s="255" t="str">
        <f>_xll.ohRangeRetrieveError(K12)</f>
        <v/>
      </c>
      <c r="M12" s="33"/>
    </row>
    <row r="13" spans="1:20" x14ac:dyDescent="0.2">
      <c r="A13" s="123"/>
      <c r="B13" s="78" t="s">
        <v>76</v>
      </c>
      <c r="C13" s="198" t="str">
        <f t="shared" si="0"/>
        <v>SB</v>
      </c>
      <c r="D13" s="198" t="str">
        <f t="shared" si="1"/>
        <v>3L</v>
      </c>
      <c r="E13" s="198" t="str">
        <f t="shared" si="2"/>
        <v>1w</v>
      </c>
      <c r="F13" s="198">
        <f t="shared" si="3"/>
        <v>0</v>
      </c>
      <c r="G13" s="198">
        <f t="shared" si="4"/>
        <v>0</v>
      </c>
      <c r="H13" s="248">
        <f t="shared" si="5"/>
        <v>0</v>
      </c>
      <c r="I13" s="107"/>
      <c r="J13" s="247" t="str">
        <f t="shared" si="6"/>
        <v>GBPSB3L11Y_Fwd1w_Quote</v>
      </c>
      <c r="K13" s="247"/>
      <c r="L13" s="255" t="str">
        <f>_xll.ohRangeRetrieveError(K13)</f>
        <v/>
      </c>
      <c r="M13" s="33"/>
    </row>
    <row r="14" spans="1:20" x14ac:dyDescent="0.2">
      <c r="A14" s="123"/>
      <c r="B14" s="78" t="s">
        <v>75</v>
      </c>
      <c r="C14" s="198" t="str">
        <f t="shared" si="0"/>
        <v>SB</v>
      </c>
      <c r="D14" s="198" t="str">
        <f t="shared" si="1"/>
        <v>3L</v>
      </c>
      <c r="E14" s="198" t="str">
        <f t="shared" si="2"/>
        <v>1w</v>
      </c>
      <c r="F14" s="198">
        <f t="shared" si="3"/>
        <v>0</v>
      </c>
      <c r="G14" s="198">
        <f t="shared" si="4"/>
        <v>0</v>
      </c>
      <c r="H14" s="248">
        <f t="shared" si="5"/>
        <v>0</v>
      </c>
      <c r="I14" s="107"/>
      <c r="J14" s="247" t="str">
        <f t="shared" si="6"/>
        <v>GBPSB3L12Y_Fwd1w_Quote</v>
      </c>
      <c r="K14" s="247"/>
      <c r="L14" s="255" t="str">
        <f>_xll.ohRangeRetrieveError(K14)</f>
        <v/>
      </c>
      <c r="M14" s="33"/>
    </row>
    <row r="15" spans="1:20" x14ac:dyDescent="0.2">
      <c r="A15" s="123"/>
      <c r="B15" s="78" t="s">
        <v>74</v>
      </c>
      <c r="C15" s="198" t="str">
        <f t="shared" si="0"/>
        <v>SB</v>
      </c>
      <c r="D15" s="198" t="str">
        <f t="shared" si="1"/>
        <v>3L</v>
      </c>
      <c r="E15" s="198" t="str">
        <f t="shared" si="2"/>
        <v>1w</v>
      </c>
      <c r="F15" s="198">
        <f t="shared" si="3"/>
        <v>0</v>
      </c>
      <c r="G15" s="198">
        <f t="shared" si="4"/>
        <v>0</v>
      </c>
      <c r="H15" s="248">
        <f t="shared" si="5"/>
        <v>0</v>
      </c>
      <c r="I15" s="107"/>
      <c r="J15" s="247" t="str">
        <f t="shared" si="6"/>
        <v>GBPSB3L13Y_Fwd1w_Quote</v>
      </c>
      <c r="K15" s="247"/>
      <c r="L15" s="255" t="str">
        <f>_xll.ohRangeRetrieveError(K15)</f>
        <v/>
      </c>
      <c r="M15" s="33"/>
    </row>
    <row r="16" spans="1:20" x14ac:dyDescent="0.2">
      <c r="A16" s="123"/>
      <c r="B16" s="78" t="s">
        <v>73</v>
      </c>
      <c r="C16" s="198" t="str">
        <f t="shared" si="0"/>
        <v>SB</v>
      </c>
      <c r="D16" s="198" t="str">
        <f t="shared" si="1"/>
        <v>3L</v>
      </c>
      <c r="E16" s="198" t="str">
        <f t="shared" si="2"/>
        <v>1w</v>
      </c>
      <c r="F16" s="198">
        <f t="shared" si="3"/>
        <v>0</v>
      </c>
      <c r="G16" s="198">
        <f t="shared" si="4"/>
        <v>0</v>
      </c>
      <c r="H16" s="248">
        <f t="shared" si="5"/>
        <v>0</v>
      </c>
      <c r="I16" s="107"/>
      <c r="J16" s="247" t="str">
        <f t="shared" si="6"/>
        <v>GBPSB3L14Y_Fwd1w_Quote</v>
      </c>
      <c r="K16" s="247"/>
      <c r="L16" s="255" t="str">
        <f>_xll.ohRangeRetrieveError(K16)</f>
        <v/>
      </c>
      <c r="M16" s="33"/>
    </row>
    <row r="17" spans="1:13" x14ac:dyDescent="0.2">
      <c r="A17" s="123"/>
      <c r="B17" s="78" t="s">
        <v>72</v>
      </c>
      <c r="C17" s="198" t="str">
        <f t="shared" si="0"/>
        <v>SB</v>
      </c>
      <c r="D17" s="198" t="str">
        <f t="shared" si="1"/>
        <v>3L</v>
      </c>
      <c r="E17" s="198" t="str">
        <f t="shared" si="2"/>
        <v>1w</v>
      </c>
      <c r="F17" s="198">
        <f t="shared" si="3"/>
        <v>0</v>
      </c>
      <c r="G17" s="198">
        <f t="shared" si="4"/>
        <v>0</v>
      </c>
      <c r="H17" s="248">
        <f t="shared" si="5"/>
        <v>0</v>
      </c>
      <c r="I17" s="107"/>
      <c r="J17" s="247" t="str">
        <f t="shared" si="6"/>
        <v>GBPSB3L15Y_Fwd1w_Quote</v>
      </c>
      <c r="K17" s="247"/>
      <c r="L17" s="255" t="str">
        <f>_xll.ohRangeRetrieveError(K17)</f>
        <v/>
      </c>
      <c r="M17" s="33"/>
    </row>
    <row r="18" spans="1:13" x14ac:dyDescent="0.2">
      <c r="A18" s="123"/>
      <c r="B18" s="78" t="s">
        <v>71</v>
      </c>
      <c r="C18" s="198" t="str">
        <f t="shared" si="0"/>
        <v>SB</v>
      </c>
      <c r="D18" s="198" t="str">
        <f t="shared" si="1"/>
        <v>3L</v>
      </c>
      <c r="E18" s="198" t="str">
        <f t="shared" si="2"/>
        <v>1w</v>
      </c>
      <c r="F18" s="198">
        <f t="shared" si="3"/>
        <v>0</v>
      </c>
      <c r="G18" s="198">
        <f t="shared" si="4"/>
        <v>0</v>
      </c>
      <c r="H18" s="248">
        <f t="shared" si="5"/>
        <v>0</v>
      </c>
      <c r="I18" s="107"/>
      <c r="J18" s="247" t="str">
        <f t="shared" si="6"/>
        <v>GBPSB3L16Y_Fwd1w_Quote</v>
      </c>
      <c r="K18" s="247"/>
      <c r="L18" s="255" t="str">
        <f>_xll.ohRangeRetrieveError(K18)</f>
        <v/>
      </c>
      <c r="M18" s="33"/>
    </row>
    <row r="19" spans="1:13" x14ac:dyDescent="0.2">
      <c r="A19" s="123"/>
      <c r="B19" s="78" t="s">
        <v>70</v>
      </c>
      <c r="C19" s="198" t="str">
        <f t="shared" si="0"/>
        <v>SB</v>
      </c>
      <c r="D19" s="198" t="str">
        <f t="shared" si="1"/>
        <v>3L</v>
      </c>
      <c r="E19" s="198" t="str">
        <f t="shared" si="2"/>
        <v>1w</v>
      </c>
      <c r="F19" s="198">
        <f t="shared" si="3"/>
        <v>0</v>
      </c>
      <c r="G19" s="198">
        <f t="shared" si="4"/>
        <v>0</v>
      </c>
      <c r="H19" s="248">
        <f t="shared" si="5"/>
        <v>0</v>
      </c>
      <c r="I19" s="107"/>
      <c r="J19" s="247" t="str">
        <f t="shared" si="6"/>
        <v>GBPSB3L17Y_Fwd1w_Quote</v>
      </c>
      <c r="K19" s="247"/>
      <c r="L19" s="255" t="str">
        <f>_xll.ohRangeRetrieveError(K19)</f>
        <v/>
      </c>
      <c r="M19" s="33"/>
    </row>
    <row r="20" spans="1:13" x14ac:dyDescent="0.2">
      <c r="A20" s="123"/>
      <c r="B20" s="78" t="s">
        <v>69</v>
      </c>
      <c r="C20" s="198" t="str">
        <f t="shared" si="0"/>
        <v>SB</v>
      </c>
      <c r="D20" s="198" t="str">
        <f t="shared" si="1"/>
        <v>3L</v>
      </c>
      <c r="E20" s="198" t="str">
        <f t="shared" si="2"/>
        <v>1w</v>
      </c>
      <c r="F20" s="198">
        <f t="shared" si="3"/>
        <v>0</v>
      </c>
      <c r="G20" s="198">
        <f t="shared" si="4"/>
        <v>0</v>
      </c>
      <c r="H20" s="248">
        <f t="shared" si="5"/>
        <v>0</v>
      </c>
      <c r="I20" s="107"/>
      <c r="J20" s="247" t="str">
        <f t="shared" si="6"/>
        <v>GBPSB3L18Y_Fwd1w_Quote</v>
      </c>
      <c r="K20" s="247"/>
      <c r="L20" s="255" t="str">
        <f>_xll.ohRangeRetrieveError(K20)</f>
        <v/>
      </c>
      <c r="M20" s="33"/>
    </row>
    <row r="21" spans="1:13" x14ac:dyDescent="0.2">
      <c r="A21" s="123"/>
      <c r="B21" s="78" t="s">
        <v>68</v>
      </c>
      <c r="C21" s="198" t="str">
        <f t="shared" si="0"/>
        <v>SB</v>
      </c>
      <c r="D21" s="198" t="str">
        <f t="shared" si="1"/>
        <v>3L</v>
      </c>
      <c r="E21" s="198" t="str">
        <f t="shared" si="2"/>
        <v>1w</v>
      </c>
      <c r="F21" s="198">
        <f t="shared" si="3"/>
        <v>0</v>
      </c>
      <c r="G21" s="198">
        <f t="shared" si="4"/>
        <v>0</v>
      </c>
      <c r="H21" s="248">
        <f t="shared" si="5"/>
        <v>0</v>
      </c>
      <c r="I21" s="107"/>
      <c r="J21" s="247" t="str">
        <f t="shared" si="6"/>
        <v>GBPSB3L19Y_Fwd1w_Quote</v>
      </c>
      <c r="K21" s="247"/>
      <c r="L21" s="255" t="str">
        <f>_xll.ohRangeRetrieveError(K21)</f>
        <v/>
      </c>
      <c r="M21" s="33"/>
    </row>
    <row r="22" spans="1:13" x14ac:dyDescent="0.2">
      <c r="A22" s="123"/>
      <c r="B22" s="78" t="s">
        <v>67</v>
      </c>
      <c r="C22" s="198" t="str">
        <f t="shared" si="0"/>
        <v>SB</v>
      </c>
      <c r="D22" s="198" t="str">
        <f t="shared" si="1"/>
        <v>3L</v>
      </c>
      <c r="E22" s="198" t="str">
        <f t="shared" si="2"/>
        <v>1w</v>
      </c>
      <c r="F22" s="198">
        <f t="shared" si="3"/>
        <v>0</v>
      </c>
      <c r="G22" s="198">
        <f t="shared" si="4"/>
        <v>0</v>
      </c>
      <c r="H22" s="248">
        <f t="shared" si="5"/>
        <v>0</v>
      </c>
      <c r="I22" s="107"/>
      <c r="J22" s="247" t="str">
        <f t="shared" si="6"/>
        <v>GBPSB3L20Y_Fwd1w_Quote</v>
      </c>
      <c r="K22" s="247"/>
      <c r="L22" s="255" t="str">
        <f>_xll.ohRangeRetrieveError(K22)</f>
        <v/>
      </c>
      <c r="M22" s="33"/>
    </row>
    <row r="23" spans="1:13" x14ac:dyDescent="0.2">
      <c r="A23" s="123"/>
      <c r="B23" s="78" t="s">
        <v>66</v>
      </c>
      <c r="C23" s="198" t="str">
        <f t="shared" si="0"/>
        <v>SB</v>
      </c>
      <c r="D23" s="198" t="str">
        <f t="shared" si="1"/>
        <v>3L</v>
      </c>
      <c r="E23" s="198" t="str">
        <f t="shared" si="2"/>
        <v>1w</v>
      </c>
      <c r="F23" s="198">
        <f t="shared" si="3"/>
        <v>0</v>
      </c>
      <c r="G23" s="198">
        <f t="shared" si="4"/>
        <v>0</v>
      </c>
      <c r="H23" s="248">
        <f t="shared" si="5"/>
        <v>0</v>
      </c>
      <c r="I23" s="107"/>
      <c r="J23" s="247" t="str">
        <f t="shared" si="6"/>
        <v>GBPSB3L21Y_Fwd1w_Quote</v>
      </c>
      <c r="K23" s="247"/>
      <c r="L23" s="255" t="str">
        <f>_xll.ohRangeRetrieveError(K23)</f>
        <v/>
      </c>
      <c r="M23" s="33"/>
    </row>
    <row r="24" spans="1:13" x14ac:dyDescent="0.2">
      <c r="A24" s="123"/>
      <c r="B24" s="78" t="s">
        <v>65</v>
      </c>
      <c r="C24" s="198" t="str">
        <f t="shared" si="0"/>
        <v>SB</v>
      </c>
      <c r="D24" s="198" t="str">
        <f t="shared" si="1"/>
        <v>3L</v>
      </c>
      <c r="E24" s="198" t="str">
        <f t="shared" si="2"/>
        <v>1w</v>
      </c>
      <c r="F24" s="198">
        <f t="shared" si="3"/>
        <v>0</v>
      </c>
      <c r="G24" s="198">
        <f t="shared" si="4"/>
        <v>0</v>
      </c>
      <c r="H24" s="248">
        <f t="shared" si="5"/>
        <v>0</v>
      </c>
      <c r="I24" s="107"/>
      <c r="J24" s="247" t="str">
        <f t="shared" si="6"/>
        <v>GBPSB3L22Y_Fwd1w_Quote</v>
      </c>
      <c r="K24" s="247"/>
      <c r="L24" s="255" t="str">
        <f>_xll.ohRangeRetrieveError(K24)</f>
        <v/>
      </c>
      <c r="M24" s="33"/>
    </row>
    <row r="25" spans="1:13" x14ac:dyDescent="0.2">
      <c r="A25" s="123"/>
      <c r="B25" s="78" t="s">
        <v>64</v>
      </c>
      <c r="C25" s="198" t="str">
        <f t="shared" si="0"/>
        <v>SB</v>
      </c>
      <c r="D25" s="198" t="str">
        <f t="shared" si="1"/>
        <v>3L</v>
      </c>
      <c r="E25" s="198" t="str">
        <f t="shared" si="2"/>
        <v>1w</v>
      </c>
      <c r="F25" s="198">
        <f t="shared" si="3"/>
        <v>0</v>
      </c>
      <c r="G25" s="198">
        <f t="shared" si="4"/>
        <v>0</v>
      </c>
      <c r="H25" s="248">
        <f t="shared" si="5"/>
        <v>0</v>
      </c>
      <c r="I25" s="107"/>
      <c r="J25" s="247" t="str">
        <f t="shared" si="6"/>
        <v>GBPSB3L23Y_Fwd1w_Quote</v>
      </c>
      <c r="K25" s="247"/>
      <c r="L25" s="255" t="str">
        <f>_xll.ohRangeRetrieveError(K25)</f>
        <v/>
      </c>
      <c r="M25" s="33"/>
    </row>
    <row r="26" spans="1:13" x14ac:dyDescent="0.2">
      <c r="A26" s="123"/>
      <c r="B26" s="78" t="s">
        <v>63</v>
      </c>
      <c r="C26" s="198" t="str">
        <f t="shared" si="0"/>
        <v>SB</v>
      </c>
      <c r="D26" s="198" t="str">
        <f t="shared" si="1"/>
        <v>3L</v>
      </c>
      <c r="E26" s="198" t="str">
        <f t="shared" si="2"/>
        <v>1w</v>
      </c>
      <c r="F26" s="198">
        <f t="shared" si="3"/>
        <v>0</v>
      </c>
      <c r="G26" s="198">
        <f t="shared" si="4"/>
        <v>0</v>
      </c>
      <c r="H26" s="248">
        <f t="shared" si="5"/>
        <v>0</v>
      </c>
      <c r="I26" s="107"/>
      <c r="J26" s="247" t="str">
        <f t="shared" si="6"/>
        <v>GBPSB3L24Y_Fwd1w_Quote</v>
      </c>
      <c r="K26" s="247"/>
      <c r="L26" s="255" t="str">
        <f>_xll.ohRangeRetrieveError(K26)</f>
        <v/>
      </c>
      <c r="M26" s="33"/>
    </row>
    <row r="27" spans="1:13" x14ac:dyDescent="0.2">
      <c r="A27" s="123"/>
      <c r="B27" s="78" t="s">
        <v>62</v>
      </c>
      <c r="C27" s="198" t="str">
        <f t="shared" si="0"/>
        <v>SB</v>
      </c>
      <c r="D27" s="198" t="str">
        <f t="shared" si="1"/>
        <v>3L</v>
      </c>
      <c r="E27" s="198" t="str">
        <f t="shared" si="2"/>
        <v>1w</v>
      </c>
      <c r="F27" s="198">
        <f t="shared" si="3"/>
        <v>0</v>
      </c>
      <c r="G27" s="198">
        <f t="shared" si="4"/>
        <v>0</v>
      </c>
      <c r="H27" s="248">
        <f t="shared" si="5"/>
        <v>0</v>
      </c>
      <c r="I27" s="107"/>
      <c r="J27" s="247" t="str">
        <f t="shared" si="6"/>
        <v>GBPSB3L25Y_Fwd1w_Quote</v>
      </c>
      <c r="K27" s="247"/>
      <c r="L27" s="255" t="str">
        <f>_xll.ohRangeRetrieveError(K27)</f>
        <v/>
      </c>
      <c r="M27" s="33"/>
    </row>
    <row r="28" spans="1:13" x14ac:dyDescent="0.2">
      <c r="A28" s="123"/>
      <c r="B28" s="78" t="s">
        <v>61</v>
      </c>
      <c r="C28" s="198" t="str">
        <f t="shared" si="0"/>
        <v>SB</v>
      </c>
      <c r="D28" s="198" t="str">
        <f t="shared" si="1"/>
        <v>3L</v>
      </c>
      <c r="E28" s="198" t="str">
        <f t="shared" si="2"/>
        <v>1w</v>
      </c>
      <c r="F28" s="198">
        <f t="shared" si="3"/>
        <v>0</v>
      </c>
      <c r="G28" s="198">
        <f t="shared" si="4"/>
        <v>0</v>
      </c>
      <c r="H28" s="248">
        <f t="shared" si="5"/>
        <v>0</v>
      </c>
      <c r="I28" s="107"/>
      <c r="J28" s="247" t="str">
        <f t="shared" si="6"/>
        <v>GBPSB3L26Y_Fwd1w_Quote</v>
      </c>
      <c r="K28" s="247"/>
      <c r="L28" s="255" t="str">
        <f>_xll.ohRangeRetrieveError(K28)</f>
        <v/>
      </c>
      <c r="M28" s="33"/>
    </row>
    <row r="29" spans="1:13" x14ac:dyDescent="0.2">
      <c r="A29" s="123"/>
      <c r="B29" s="78" t="s">
        <v>60</v>
      </c>
      <c r="C29" s="198" t="str">
        <f t="shared" si="0"/>
        <v>SB</v>
      </c>
      <c r="D29" s="198" t="str">
        <f t="shared" si="1"/>
        <v>3L</v>
      </c>
      <c r="E29" s="198" t="str">
        <f t="shared" si="2"/>
        <v>1w</v>
      </c>
      <c r="F29" s="198">
        <f t="shared" si="3"/>
        <v>0</v>
      </c>
      <c r="G29" s="198">
        <f t="shared" si="4"/>
        <v>0</v>
      </c>
      <c r="H29" s="248">
        <f t="shared" si="5"/>
        <v>0</v>
      </c>
      <c r="I29" s="107"/>
      <c r="J29" s="247" t="str">
        <f t="shared" si="6"/>
        <v>GBPSB3L27Y_Fwd1w_Quote</v>
      </c>
      <c r="K29" s="247"/>
      <c r="L29" s="255" t="str">
        <f>_xll.ohRangeRetrieveError(K29)</f>
        <v/>
      </c>
      <c r="M29" s="33"/>
    </row>
    <row r="30" spans="1:13" x14ac:dyDescent="0.2">
      <c r="A30" s="123"/>
      <c r="B30" s="78" t="s">
        <v>59</v>
      </c>
      <c r="C30" s="198" t="str">
        <f t="shared" si="0"/>
        <v>SB</v>
      </c>
      <c r="D30" s="198" t="str">
        <f t="shared" si="1"/>
        <v>3L</v>
      </c>
      <c r="E30" s="198" t="str">
        <f t="shared" si="2"/>
        <v>1w</v>
      </c>
      <c r="F30" s="198">
        <f t="shared" si="3"/>
        <v>0</v>
      </c>
      <c r="G30" s="198">
        <f t="shared" si="4"/>
        <v>0</v>
      </c>
      <c r="H30" s="248">
        <f t="shared" si="5"/>
        <v>0</v>
      </c>
      <c r="I30" s="107"/>
      <c r="J30" s="247" t="str">
        <f t="shared" si="6"/>
        <v>GBPSB3L28Y_Fwd1w_Quote</v>
      </c>
      <c r="K30" s="247"/>
      <c r="L30" s="255" t="str">
        <f>_xll.ohRangeRetrieveError(K30)</f>
        <v/>
      </c>
      <c r="M30" s="33"/>
    </row>
    <row r="31" spans="1:13" x14ac:dyDescent="0.2">
      <c r="A31" s="123"/>
      <c r="B31" s="78" t="s">
        <v>58</v>
      </c>
      <c r="C31" s="198" t="str">
        <f t="shared" si="0"/>
        <v>SB</v>
      </c>
      <c r="D31" s="198" t="str">
        <f t="shared" si="1"/>
        <v>3L</v>
      </c>
      <c r="E31" s="198" t="str">
        <f t="shared" si="2"/>
        <v>1w</v>
      </c>
      <c r="F31" s="198">
        <f t="shared" si="3"/>
        <v>0</v>
      </c>
      <c r="G31" s="198">
        <f t="shared" si="4"/>
        <v>0</v>
      </c>
      <c r="H31" s="248">
        <f t="shared" si="5"/>
        <v>0</v>
      </c>
      <c r="I31" s="107"/>
      <c r="J31" s="247" t="str">
        <f t="shared" si="6"/>
        <v>GBPSB3L29Y_Fwd1w_Quote</v>
      </c>
      <c r="K31" s="247"/>
      <c r="L31" s="255" t="str">
        <f>_xll.ohRangeRetrieveError(K31)</f>
        <v/>
      </c>
      <c r="M31" s="33"/>
    </row>
    <row r="32" spans="1:13" x14ac:dyDescent="0.2">
      <c r="A32" s="123"/>
      <c r="B32" s="78" t="s">
        <v>57</v>
      </c>
      <c r="C32" s="198" t="str">
        <f t="shared" si="0"/>
        <v>SB</v>
      </c>
      <c r="D32" s="198" t="str">
        <f t="shared" si="1"/>
        <v>3L</v>
      </c>
      <c r="E32" s="198" t="str">
        <f t="shared" si="2"/>
        <v>1w</v>
      </c>
      <c r="F32" s="198">
        <f t="shared" si="3"/>
        <v>0</v>
      </c>
      <c r="G32" s="198">
        <f t="shared" si="4"/>
        <v>0</v>
      </c>
      <c r="H32" s="248">
        <f t="shared" si="5"/>
        <v>0</v>
      </c>
      <c r="I32" s="107"/>
      <c r="J32" s="247" t="str">
        <f t="shared" si="6"/>
        <v>GBPSB3L30Y_Fwd1w_Quote</v>
      </c>
      <c r="K32" s="247"/>
      <c r="L32" s="255" t="str">
        <f>_xll.ohRangeRetrieveError(K32)</f>
        <v/>
      </c>
      <c r="M32" s="33"/>
    </row>
    <row r="33" spans="1:13" x14ac:dyDescent="0.2">
      <c r="A33" s="123"/>
      <c r="B33" s="78" t="s">
        <v>52</v>
      </c>
      <c r="C33" s="198" t="str">
        <f t="shared" si="0"/>
        <v>SB</v>
      </c>
      <c r="D33" s="198" t="str">
        <f t="shared" si="1"/>
        <v>3L</v>
      </c>
      <c r="E33" s="198" t="str">
        <f t="shared" si="2"/>
        <v>1w</v>
      </c>
      <c r="F33" s="198">
        <f t="shared" si="3"/>
        <v>0</v>
      </c>
      <c r="G33" s="198">
        <f t="shared" si="4"/>
        <v>0</v>
      </c>
      <c r="H33" s="248">
        <f t="shared" si="5"/>
        <v>0</v>
      </c>
      <c r="I33" s="107"/>
      <c r="J33" s="247" t="str">
        <f t="shared" si="6"/>
        <v>GBPSB3L35Y_Fwd1w_Quote</v>
      </c>
      <c r="K33" s="247"/>
      <c r="L33" s="255" t="str">
        <f>_xll.ohRangeRetrieveError(K33)</f>
        <v/>
      </c>
      <c r="M33" s="33"/>
    </row>
    <row r="34" spans="1:13" x14ac:dyDescent="0.2">
      <c r="A34" s="123"/>
      <c r="B34" s="78" t="s">
        <v>47</v>
      </c>
      <c r="C34" s="198" t="str">
        <f t="shared" si="0"/>
        <v>SB</v>
      </c>
      <c r="D34" s="198" t="str">
        <f t="shared" si="1"/>
        <v>3L</v>
      </c>
      <c r="E34" s="198" t="str">
        <f t="shared" si="2"/>
        <v>1w</v>
      </c>
      <c r="F34" s="198">
        <f t="shared" si="3"/>
        <v>0</v>
      </c>
      <c r="G34" s="198">
        <f t="shared" si="4"/>
        <v>0</v>
      </c>
      <c r="H34" s="248">
        <f t="shared" si="5"/>
        <v>0</v>
      </c>
      <c r="I34" s="107"/>
      <c r="J34" s="247" t="str">
        <f t="shared" si="6"/>
        <v>GBPSB3L40Y_Fwd1w_Quote</v>
      </c>
      <c r="K34" s="247"/>
      <c r="L34" s="255" t="str">
        <f>_xll.ohRangeRetrieveError(K34)</f>
        <v/>
      </c>
      <c r="M34" s="33"/>
    </row>
    <row r="35" spans="1:13" x14ac:dyDescent="0.2">
      <c r="A35" s="123"/>
      <c r="B35" s="78" t="s">
        <v>37</v>
      </c>
      <c r="C35" s="198" t="str">
        <f t="shared" si="0"/>
        <v>SB</v>
      </c>
      <c r="D35" s="198" t="str">
        <f t="shared" si="1"/>
        <v>3L</v>
      </c>
      <c r="E35" s="198" t="str">
        <f t="shared" si="2"/>
        <v>1w</v>
      </c>
      <c r="F35" s="198">
        <f t="shared" si="3"/>
        <v>0</v>
      </c>
      <c r="G35" s="198">
        <f t="shared" si="4"/>
        <v>0</v>
      </c>
      <c r="H35" s="248">
        <f t="shared" si="5"/>
        <v>0</v>
      </c>
      <c r="I35" s="107"/>
      <c r="J35" s="247" t="str">
        <f t="shared" si="6"/>
        <v>GBPSB3L50Y_Fwd1w_Quote</v>
      </c>
      <c r="K35" s="247"/>
      <c r="L35" s="255" t="str">
        <f>_xll.ohRangeRetrieveError(K35)</f>
        <v/>
      </c>
      <c r="M35" s="33"/>
    </row>
    <row r="36" spans="1:13" x14ac:dyDescent="0.2">
      <c r="A36" s="123"/>
      <c r="B36" s="78" t="s">
        <v>27</v>
      </c>
      <c r="C36" s="198" t="str">
        <f t="shared" si="0"/>
        <v>SB</v>
      </c>
      <c r="D36" s="198" t="str">
        <f t="shared" si="1"/>
        <v>3L</v>
      </c>
      <c r="E36" s="198" t="str">
        <f t="shared" si="2"/>
        <v>1w</v>
      </c>
      <c r="F36" s="198">
        <f t="shared" si="3"/>
        <v>0</v>
      </c>
      <c r="G36" s="198">
        <f t="shared" si="4"/>
        <v>0</v>
      </c>
      <c r="H36" s="248">
        <f t="shared" si="5"/>
        <v>0</v>
      </c>
      <c r="I36" s="107"/>
      <c r="J36" s="247" t="str">
        <f t="shared" si="6"/>
        <v>GBPSB3L60Y_Fwd1w_Quote</v>
      </c>
      <c r="K36" s="247"/>
      <c r="L36" s="255" t="str">
        <f>_xll.ohRangeRetrieveError(K36)</f>
        <v/>
      </c>
      <c r="M36" s="33"/>
    </row>
    <row r="37" spans="1:13" ht="12" thickBot="1" x14ac:dyDescent="0.25">
      <c r="A37" s="32"/>
      <c r="B37" s="31"/>
      <c r="C37" s="31"/>
      <c r="D37" s="31"/>
      <c r="E37" s="31"/>
      <c r="F37" s="31"/>
      <c r="G37" s="31"/>
      <c r="H37" s="31"/>
      <c r="I37" s="31"/>
      <c r="J37" s="31"/>
      <c r="K37" s="117"/>
      <c r="L37" s="117"/>
      <c r="M37" s="30"/>
    </row>
  </sheetData>
  <pageMargins left="0.75" right="0.75" top="1" bottom="1" header="0.5" footer="0.5"/>
  <pageSetup paperSize="9"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7"/>
  <sheetViews>
    <sheetView workbookViewId="0"/>
  </sheetViews>
  <sheetFormatPr defaultRowHeight="11.25" x14ac:dyDescent="0.2"/>
  <cols>
    <col min="1" max="1" width="2.85546875" style="67" customWidth="1"/>
    <col min="2" max="2" width="3.85546875" style="67" bestFit="1" customWidth="1"/>
    <col min="3" max="3" width="3.140625" style="67" bestFit="1" customWidth="1"/>
    <col min="4" max="4" width="2.7109375" style="67" bestFit="1" customWidth="1"/>
    <col min="5" max="5" width="4.7109375" style="67" bestFit="1" customWidth="1"/>
    <col min="6" max="6" width="2.7109375" style="67" bestFit="1" customWidth="1"/>
    <col min="7" max="7" width="3.5703125" style="67" bestFit="1" customWidth="1"/>
    <col min="8" max="8" width="16.140625" style="67" bestFit="1" customWidth="1"/>
    <col min="9" max="9" width="19.140625" style="67" bestFit="1" customWidth="1"/>
    <col min="10" max="10" width="31.85546875" style="67" bestFit="1" customWidth="1"/>
    <col min="11" max="11" width="33" style="67" bestFit="1" customWidth="1"/>
    <col min="12" max="12" width="21.140625" style="67" customWidth="1"/>
    <col min="13" max="14" width="2.85546875" style="67" customWidth="1"/>
    <col min="15" max="15" width="4" style="67" bestFit="1" customWidth="1"/>
    <col min="16" max="16" width="3.140625" style="67" bestFit="1" customWidth="1"/>
    <col min="17" max="17" width="2.7109375" style="67" bestFit="1" customWidth="1"/>
    <col min="18" max="18" width="3.28515625" style="67" bestFit="1" customWidth="1"/>
    <col min="19" max="20" width="3.5703125" style="67" bestFit="1" customWidth="1"/>
    <col min="21" max="16384" width="9.140625" style="67"/>
  </cols>
  <sheetData>
    <row r="1" spans="1:20" ht="12" thickBot="1" x14ac:dyDescent="0.25">
      <c r="A1" s="208"/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156"/>
      <c r="M1" s="204"/>
    </row>
    <row r="2" spans="1:20" ht="22.5" x14ac:dyDescent="0.2">
      <c r="A2" s="123"/>
      <c r="B2" s="92"/>
      <c r="C2" s="92"/>
      <c r="D2" s="92"/>
      <c r="E2" s="92" t="s">
        <v>225</v>
      </c>
      <c r="F2" s="92"/>
      <c r="G2" s="92"/>
      <c r="H2" s="92" t="s">
        <v>224</v>
      </c>
      <c r="I2" s="92" t="s">
        <v>223</v>
      </c>
      <c r="J2" s="252" t="str">
        <f>Currency&amp;"_020_Sw"&amp;$C$3&amp;$D$3&amp;"_"&amp;"Fwd"&amp;$E$3&amp;IF(H3=0,,"_Spr"&amp;$F3&amp;$G3)&amp;".xml"</f>
        <v>GBP_020_SwSB6L_Fwd0d_Spr6L12L.xml</v>
      </c>
      <c r="K2" s="110">
        <f ca="1">IF(Serialize,_xll.ohObjectSave(K3:K36,SerializationPath&amp;J2,FileOverwrite,Serialize),"---")</f>
        <v>33</v>
      </c>
      <c r="L2" s="74" t="str">
        <f ca="1">_xll.ohRangeRetrieveError(K2)</f>
        <v/>
      </c>
      <c r="M2" s="33"/>
      <c r="O2" s="217"/>
      <c r="P2" s="216"/>
      <c r="Q2" s="216"/>
      <c r="R2" s="216"/>
      <c r="S2" s="216"/>
      <c r="T2" s="215"/>
    </row>
    <row r="3" spans="1:20" x14ac:dyDescent="0.2">
      <c r="A3" s="123"/>
      <c r="B3" s="78" t="s">
        <v>1</v>
      </c>
      <c r="C3" s="198" t="str">
        <f t="shared" ref="C3:C36" si="0">VLOOKUP(Currency,$O$3:$T$7,2)</f>
        <v>SB</v>
      </c>
      <c r="D3" s="198" t="str">
        <f t="shared" ref="D3:D36" si="1">VLOOKUP(Currency,$O$3:$T$7,3)</f>
        <v>6L</v>
      </c>
      <c r="E3" s="198" t="str">
        <f t="shared" ref="E3:E36" si="2">VLOOKUP(Currency,$O$3:$T$7,4)</f>
        <v>0d</v>
      </c>
      <c r="F3" s="198" t="str">
        <f t="shared" ref="F3:F36" si="3">VLOOKUP(Currency,$O$3:$T$7,5)</f>
        <v>6L</v>
      </c>
      <c r="G3" s="198" t="str">
        <f t="shared" ref="G3:G36" si="4">VLOOKUP(Currency,$O$3:$T$7,6)</f>
        <v>12L</v>
      </c>
      <c r="H3" s="248" t="str">
        <f t="shared" ref="H3:H36" si="5">IF(F3=0,0,Currency&amp;$F3&amp;$G3&amp;$B3&amp;QuoteSuffix)</f>
        <v>GBP6L12L1Y_Quote</v>
      </c>
      <c r="I3" s="250" t="str">
        <f t="shared" ref="I3:I36" si="6">PROPER(Currency)&amp;FamilyName&amp;"Swap"&amp;FixingType&amp;$B3</f>
        <v>GbpLiborSwapIsda1Y</v>
      </c>
      <c r="J3" s="247" t="str">
        <f t="shared" ref="J3:J36" si="7">Currency&amp;$C3&amp;$D3&amp;$B3&amp;IF(UPPER(E3)="0D","","_Fwd"&amp;E3)&amp;IF(H3=0,,"_S"&amp;$F3&amp;$G3)&amp;QuoteSuffix</f>
        <v>GBPSB6L1Y_S6L12L_Quote</v>
      </c>
      <c r="K3" s="247"/>
      <c r="L3" s="255" t="str">
        <f>_xll.ohRangeRetrieveError(K3)</f>
        <v/>
      </c>
      <c r="M3" s="33"/>
      <c r="O3" s="85" t="s">
        <v>122</v>
      </c>
      <c r="P3" s="84" t="s">
        <v>214</v>
      </c>
      <c r="Q3" s="84" t="s">
        <v>117</v>
      </c>
      <c r="R3" s="84" t="s">
        <v>222</v>
      </c>
      <c r="S3" s="84" t="s">
        <v>117</v>
      </c>
      <c r="T3" s="83" t="s">
        <v>128</v>
      </c>
    </row>
    <row r="4" spans="1:20" x14ac:dyDescent="0.2">
      <c r="A4" s="123"/>
      <c r="B4" s="78" t="s">
        <v>85</v>
      </c>
      <c r="C4" s="198" t="str">
        <f t="shared" si="0"/>
        <v>SB</v>
      </c>
      <c r="D4" s="198" t="str">
        <f t="shared" si="1"/>
        <v>6L</v>
      </c>
      <c r="E4" s="198" t="str">
        <f t="shared" si="2"/>
        <v>0d</v>
      </c>
      <c r="F4" s="198" t="str">
        <f t="shared" si="3"/>
        <v>6L</v>
      </c>
      <c r="G4" s="198" t="str">
        <f t="shared" si="4"/>
        <v>12L</v>
      </c>
      <c r="H4" s="248" t="str">
        <f t="shared" si="5"/>
        <v>GBP6L12L2Y_Quote</v>
      </c>
      <c r="I4" s="107" t="str">
        <f t="shared" si="6"/>
        <v>GbpLiborSwapIsda2Y</v>
      </c>
      <c r="J4" s="247" t="str">
        <f t="shared" si="7"/>
        <v>GBPSB6L2Y_S6L12L_Quote</v>
      </c>
      <c r="K4" s="247" t="str">
        <f>_xll.qlForwardSwapQuote(J4,I4,H4,E4,Permanent,Trigger,ObjectOverwrite)</f>
        <v>GBPSB6L2Y_S6L12L_Quote#0000</v>
      </c>
      <c r="L4" s="255" t="str">
        <f>_xll.ohRangeRetrieveError(K4)</f>
        <v/>
      </c>
      <c r="M4" s="33"/>
      <c r="O4" s="85" t="s">
        <v>121</v>
      </c>
      <c r="P4" s="84" t="s">
        <v>214</v>
      </c>
      <c r="Q4" s="84" t="s">
        <v>119</v>
      </c>
      <c r="R4" s="84" t="s">
        <v>222</v>
      </c>
      <c r="S4" s="84" t="s">
        <v>119</v>
      </c>
      <c r="T4" s="83" t="s">
        <v>129</v>
      </c>
    </row>
    <row r="5" spans="1:20" x14ac:dyDescent="0.2">
      <c r="A5" s="123"/>
      <c r="B5" s="78" t="s">
        <v>84</v>
      </c>
      <c r="C5" s="198" t="str">
        <f t="shared" si="0"/>
        <v>SB</v>
      </c>
      <c r="D5" s="198" t="str">
        <f t="shared" si="1"/>
        <v>6L</v>
      </c>
      <c r="E5" s="198" t="str">
        <f t="shared" si="2"/>
        <v>0d</v>
      </c>
      <c r="F5" s="198" t="str">
        <f t="shared" si="3"/>
        <v>6L</v>
      </c>
      <c r="G5" s="198" t="str">
        <f t="shared" si="4"/>
        <v>12L</v>
      </c>
      <c r="H5" s="248" t="str">
        <f t="shared" si="5"/>
        <v>GBP6L12L3Y_Quote</v>
      </c>
      <c r="I5" s="107" t="str">
        <f t="shared" si="6"/>
        <v>GbpLiborSwapIsda3Y</v>
      </c>
      <c r="J5" s="247" t="str">
        <f t="shared" si="7"/>
        <v>GBPSB6L3Y_S6L12L_Quote</v>
      </c>
      <c r="K5" s="247" t="str">
        <f>_xll.qlForwardSwapQuote(J5,I5,H5,E5,Permanent,Trigger,ObjectOverwrite)</f>
        <v>GBPSB6L3Y_S6L12L_Quote#0000</v>
      </c>
      <c r="L5" s="255" t="str">
        <f>_xll.ohRangeRetrieveError(K5)</f>
        <v/>
      </c>
      <c r="M5" s="33"/>
      <c r="O5" s="85" t="s">
        <v>96</v>
      </c>
      <c r="P5" s="84" t="s">
        <v>213</v>
      </c>
      <c r="Q5" s="84" t="s">
        <v>117</v>
      </c>
      <c r="R5" s="84" t="s">
        <v>226</v>
      </c>
      <c r="S5" s="84" t="s">
        <v>117</v>
      </c>
      <c r="T5" s="83" t="s">
        <v>128</v>
      </c>
    </row>
    <row r="6" spans="1:20" x14ac:dyDescent="0.2">
      <c r="A6" s="123"/>
      <c r="B6" s="78" t="s">
        <v>83</v>
      </c>
      <c r="C6" s="198" t="str">
        <f t="shared" si="0"/>
        <v>SB</v>
      </c>
      <c r="D6" s="198" t="str">
        <f t="shared" si="1"/>
        <v>6L</v>
      </c>
      <c r="E6" s="198" t="str">
        <f t="shared" si="2"/>
        <v>0d</v>
      </c>
      <c r="F6" s="198" t="str">
        <f t="shared" si="3"/>
        <v>6L</v>
      </c>
      <c r="G6" s="198" t="str">
        <f t="shared" si="4"/>
        <v>12L</v>
      </c>
      <c r="H6" s="248" t="str">
        <f t="shared" si="5"/>
        <v>GBP6L12L4Y_Quote</v>
      </c>
      <c r="I6" s="107" t="str">
        <f t="shared" si="6"/>
        <v>GbpLiborSwapIsda4Y</v>
      </c>
      <c r="J6" s="247" t="str">
        <f t="shared" si="7"/>
        <v>GBPSB6L4Y_S6L12L_Quote</v>
      </c>
      <c r="K6" s="247" t="str">
        <f>_xll.qlForwardSwapQuote(J6,I6,H6,E6,Permanent,Trigger,ObjectOverwrite)</f>
        <v>GBPSB6L4Y_S6L12L_Quote#0000</v>
      </c>
      <c r="L6" s="255" t="str">
        <f>_xll.ohRangeRetrieveError(K6)</f>
        <v/>
      </c>
      <c r="M6" s="33"/>
      <c r="O6" s="85" t="s">
        <v>118</v>
      </c>
      <c r="P6" s="84" t="s">
        <v>213</v>
      </c>
      <c r="Q6" s="84" t="s">
        <v>117</v>
      </c>
      <c r="R6" s="84" t="s">
        <v>222</v>
      </c>
      <c r="S6" s="84" t="s">
        <v>117</v>
      </c>
      <c r="T6" s="83" t="s">
        <v>128</v>
      </c>
    </row>
    <row r="7" spans="1:20" ht="12" thickBot="1" x14ac:dyDescent="0.25">
      <c r="A7" s="123"/>
      <c r="B7" s="78" t="s">
        <v>82</v>
      </c>
      <c r="C7" s="198" t="str">
        <f t="shared" si="0"/>
        <v>SB</v>
      </c>
      <c r="D7" s="198" t="str">
        <f t="shared" si="1"/>
        <v>6L</v>
      </c>
      <c r="E7" s="198" t="str">
        <f t="shared" si="2"/>
        <v>0d</v>
      </c>
      <c r="F7" s="198" t="str">
        <f t="shared" si="3"/>
        <v>6L</v>
      </c>
      <c r="G7" s="198" t="str">
        <f t="shared" si="4"/>
        <v>12L</v>
      </c>
      <c r="H7" s="248" t="str">
        <f t="shared" si="5"/>
        <v>GBP6L12L5Y_Quote</v>
      </c>
      <c r="I7" s="107" t="str">
        <f t="shared" si="6"/>
        <v>GbpLiborSwapIsda5Y</v>
      </c>
      <c r="J7" s="247" t="str">
        <f t="shared" si="7"/>
        <v>GBPSB6L5Y_S6L12L_Quote</v>
      </c>
      <c r="K7" s="247" t="str">
        <f>_xll.qlForwardSwapQuote(J7,I7,H7,E7,Permanent,Trigger,ObjectOverwrite)</f>
        <v>GBPSB6L5Y_S6L12L_Quote#0000</v>
      </c>
      <c r="L7" s="255" t="str">
        <f>_xll.ohRangeRetrieveError(K7)</f>
        <v/>
      </c>
      <c r="M7" s="33"/>
      <c r="O7" s="82" t="s">
        <v>116</v>
      </c>
      <c r="P7" s="81" t="s">
        <v>212</v>
      </c>
      <c r="Q7" s="81" t="s">
        <v>115</v>
      </c>
      <c r="R7" s="81" t="s">
        <v>222</v>
      </c>
      <c r="S7" s="81" t="s">
        <v>128</v>
      </c>
      <c r="T7" s="80" t="s">
        <v>115</v>
      </c>
    </row>
    <row r="8" spans="1:20" x14ac:dyDescent="0.2">
      <c r="A8" s="123"/>
      <c r="B8" s="78" t="s">
        <v>81</v>
      </c>
      <c r="C8" s="198" t="str">
        <f t="shared" si="0"/>
        <v>SB</v>
      </c>
      <c r="D8" s="198" t="str">
        <f t="shared" si="1"/>
        <v>6L</v>
      </c>
      <c r="E8" s="198" t="str">
        <f t="shared" si="2"/>
        <v>0d</v>
      </c>
      <c r="F8" s="198" t="str">
        <f t="shared" si="3"/>
        <v>6L</v>
      </c>
      <c r="G8" s="198" t="str">
        <f t="shared" si="4"/>
        <v>12L</v>
      </c>
      <c r="H8" s="248" t="str">
        <f t="shared" si="5"/>
        <v>GBP6L12L6Y_Quote</v>
      </c>
      <c r="I8" s="107" t="str">
        <f t="shared" si="6"/>
        <v>GbpLiborSwapIsda6Y</v>
      </c>
      <c r="J8" s="247" t="str">
        <f t="shared" si="7"/>
        <v>GBPSB6L6Y_S6L12L_Quote</v>
      </c>
      <c r="K8" s="247" t="str">
        <f>_xll.qlForwardSwapQuote(J8,I8,H8,E8,Permanent,Trigger,ObjectOverwrite)</f>
        <v>GBPSB6L6Y_S6L12L_Quote#0000</v>
      </c>
      <c r="L8" s="255" t="str">
        <f>_xll.ohRangeRetrieveError(K8)</f>
        <v/>
      </c>
      <c r="M8" s="33"/>
    </row>
    <row r="9" spans="1:20" x14ac:dyDescent="0.2">
      <c r="A9" s="123"/>
      <c r="B9" s="78" t="s">
        <v>80</v>
      </c>
      <c r="C9" s="198" t="str">
        <f t="shared" si="0"/>
        <v>SB</v>
      </c>
      <c r="D9" s="198" t="str">
        <f t="shared" si="1"/>
        <v>6L</v>
      </c>
      <c r="E9" s="198" t="str">
        <f t="shared" si="2"/>
        <v>0d</v>
      </c>
      <c r="F9" s="198" t="str">
        <f t="shared" si="3"/>
        <v>6L</v>
      </c>
      <c r="G9" s="198" t="str">
        <f t="shared" si="4"/>
        <v>12L</v>
      </c>
      <c r="H9" s="248" t="str">
        <f t="shared" si="5"/>
        <v>GBP6L12L7Y_Quote</v>
      </c>
      <c r="I9" s="107" t="str">
        <f t="shared" si="6"/>
        <v>GbpLiborSwapIsda7Y</v>
      </c>
      <c r="J9" s="247" t="str">
        <f t="shared" si="7"/>
        <v>GBPSB6L7Y_S6L12L_Quote</v>
      </c>
      <c r="K9" s="247" t="str">
        <f>_xll.qlForwardSwapQuote(J9,I9,H9,E9,Permanent,Trigger,ObjectOverwrite)</f>
        <v>GBPSB6L7Y_S6L12L_Quote#0000</v>
      </c>
      <c r="L9" s="255" t="str">
        <f>_xll.ohRangeRetrieveError(K9)</f>
        <v/>
      </c>
      <c r="M9" s="33"/>
    </row>
    <row r="10" spans="1:20" x14ac:dyDescent="0.2">
      <c r="A10" s="123"/>
      <c r="B10" s="78" t="s">
        <v>79</v>
      </c>
      <c r="C10" s="198" t="str">
        <f t="shared" si="0"/>
        <v>SB</v>
      </c>
      <c r="D10" s="198" t="str">
        <f t="shared" si="1"/>
        <v>6L</v>
      </c>
      <c r="E10" s="198" t="str">
        <f t="shared" si="2"/>
        <v>0d</v>
      </c>
      <c r="F10" s="198" t="str">
        <f t="shared" si="3"/>
        <v>6L</v>
      </c>
      <c r="G10" s="198" t="str">
        <f t="shared" si="4"/>
        <v>12L</v>
      </c>
      <c r="H10" s="248" t="str">
        <f t="shared" si="5"/>
        <v>GBP6L12L8Y_Quote</v>
      </c>
      <c r="I10" s="107" t="str">
        <f t="shared" si="6"/>
        <v>GbpLiborSwapIsda8Y</v>
      </c>
      <c r="J10" s="247" t="str">
        <f t="shared" si="7"/>
        <v>GBPSB6L8Y_S6L12L_Quote</v>
      </c>
      <c r="K10" s="247" t="str">
        <f>_xll.qlForwardSwapQuote(J10,I10,H10,E10,Permanent,Trigger,ObjectOverwrite)</f>
        <v>GBPSB6L8Y_S6L12L_Quote#0000</v>
      </c>
      <c r="L10" s="255" t="str">
        <f>_xll.ohRangeRetrieveError(K10)</f>
        <v/>
      </c>
      <c r="M10" s="33"/>
    </row>
    <row r="11" spans="1:20" x14ac:dyDescent="0.2">
      <c r="A11" s="123"/>
      <c r="B11" s="78" t="s">
        <v>78</v>
      </c>
      <c r="C11" s="198" t="str">
        <f t="shared" si="0"/>
        <v>SB</v>
      </c>
      <c r="D11" s="198" t="str">
        <f t="shared" si="1"/>
        <v>6L</v>
      </c>
      <c r="E11" s="198" t="str">
        <f t="shared" si="2"/>
        <v>0d</v>
      </c>
      <c r="F11" s="198" t="str">
        <f t="shared" si="3"/>
        <v>6L</v>
      </c>
      <c r="G11" s="198" t="str">
        <f t="shared" si="4"/>
        <v>12L</v>
      </c>
      <c r="H11" s="248" t="str">
        <f t="shared" si="5"/>
        <v>GBP6L12L9Y_Quote</v>
      </c>
      <c r="I11" s="107" t="str">
        <f t="shared" si="6"/>
        <v>GbpLiborSwapIsda9Y</v>
      </c>
      <c r="J11" s="247" t="str">
        <f t="shared" si="7"/>
        <v>GBPSB6L9Y_S6L12L_Quote</v>
      </c>
      <c r="K11" s="247" t="str">
        <f>_xll.qlForwardSwapQuote(J11,I11,H11,E11,Permanent,Trigger,ObjectOverwrite)</f>
        <v>GBPSB6L9Y_S6L12L_Quote#0000</v>
      </c>
      <c r="L11" s="255" t="str">
        <f>_xll.ohRangeRetrieveError(K11)</f>
        <v/>
      </c>
      <c r="M11" s="33"/>
    </row>
    <row r="12" spans="1:20" x14ac:dyDescent="0.2">
      <c r="A12" s="123"/>
      <c r="B12" s="78" t="s">
        <v>77</v>
      </c>
      <c r="C12" s="198" t="str">
        <f t="shared" si="0"/>
        <v>SB</v>
      </c>
      <c r="D12" s="198" t="str">
        <f t="shared" si="1"/>
        <v>6L</v>
      </c>
      <c r="E12" s="198" t="str">
        <f t="shared" si="2"/>
        <v>0d</v>
      </c>
      <c r="F12" s="198" t="str">
        <f t="shared" si="3"/>
        <v>6L</v>
      </c>
      <c r="G12" s="198" t="str">
        <f t="shared" si="4"/>
        <v>12L</v>
      </c>
      <c r="H12" s="248" t="str">
        <f t="shared" si="5"/>
        <v>GBP6L12L10Y_Quote</v>
      </c>
      <c r="I12" s="107" t="str">
        <f t="shared" si="6"/>
        <v>GbpLiborSwapIsda10Y</v>
      </c>
      <c r="J12" s="247" t="str">
        <f t="shared" si="7"/>
        <v>GBPSB6L10Y_S6L12L_Quote</v>
      </c>
      <c r="K12" s="247" t="str">
        <f>_xll.qlForwardSwapQuote(J12,I12,H12,E12,Permanent,Trigger,ObjectOverwrite)</f>
        <v>GBPSB6L10Y_S6L12L_Quote#0000</v>
      </c>
      <c r="L12" s="255" t="str">
        <f>_xll.ohRangeRetrieveError(K12)</f>
        <v/>
      </c>
      <c r="M12" s="33"/>
    </row>
    <row r="13" spans="1:20" x14ac:dyDescent="0.2">
      <c r="A13" s="123"/>
      <c r="B13" s="78" t="s">
        <v>76</v>
      </c>
      <c r="C13" s="198" t="str">
        <f t="shared" si="0"/>
        <v>SB</v>
      </c>
      <c r="D13" s="198" t="str">
        <f t="shared" si="1"/>
        <v>6L</v>
      </c>
      <c r="E13" s="198" t="str">
        <f t="shared" si="2"/>
        <v>0d</v>
      </c>
      <c r="F13" s="198" t="str">
        <f t="shared" si="3"/>
        <v>6L</v>
      </c>
      <c r="G13" s="198" t="str">
        <f t="shared" si="4"/>
        <v>12L</v>
      </c>
      <c r="H13" s="248" t="str">
        <f t="shared" si="5"/>
        <v>GBP6L12L11Y_Quote</v>
      </c>
      <c r="I13" s="107" t="str">
        <f t="shared" si="6"/>
        <v>GbpLiborSwapIsda11Y</v>
      </c>
      <c r="J13" s="247" t="str">
        <f t="shared" si="7"/>
        <v>GBPSB6L11Y_S6L12L_Quote</v>
      </c>
      <c r="K13" s="247" t="str">
        <f>_xll.qlForwardSwapQuote(J13,I13,H13,E13,Permanent,Trigger,ObjectOverwrite)</f>
        <v>GBPSB6L11Y_S6L12L_Quote#0000</v>
      </c>
      <c r="L13" s="255" t="str">
        <f>_xll.ohRangeRetrieveError(K13)</f>
        <v/>
      </c>
      <c r="M13" s="33"/>
    </row>
    <row r="14" spans="1:20" x14ac:dyDescent="0.2">
      <c r="A14" s="123"/>
      <c r="B14" s="78" t="s">
        <v>75</v>
      </c>
      <c r="C14" s="198" t="str">
        <f t="shared" si="0"/>
        <v>SB</v>
      </c>
      <c r="D14" s="198" t="str">
        <f t="shared" si="1"/>
        <v>6L</v>
      </c>
      <c r="E14" s="198" t="str">
        <f t="shared" si="2"/>
        <v>0d</v>
      </c>
      <c r="F14" s="198" t="str">
        <f t="shared" si="3"/>
        <v>6L</v>
      </c>
      <c r="G14" s="198" t="str">
        <f t="shared" si="4"/>
        <v>12L</v>
      </c>
      <c r="H14" s="248" t="str">
        <f t="shared" si="5"/>
        <v>GBP6L12L12Y_Quote</v>
      </c>
      <c r="I14" s="107" t="str">
        <f t="shared" si="6"/>
        <v>GbpLiborSwapIsda12Y</v>
      </c>
      <c r="J14" s="247" t="str">
        <f t="shared" si="7"/>
        <v>GBPSB6L12Y_S6L12L_Quote</v>
      </c>
      <c r="K14" s="247" t="str">
        <f>_xll.qlForwardSwapQuote(J14,I14,H14,E14,Permanent,Trigger,ObjectOverwrite)</f>
        <v>GBPSB6L12Y_S6L12L_Quote#0000</v>
      </c>
      <c r="L14" s="255" t="str">
        <f>_xll.ohRangeRetrieveError(K14)</f>
        <v/>
      </c>
      <c r="M14" s="33"/>
    </row>
    <row r="15" spans="1:20" x14ac:dyDescent="0.2">
      <c r="A15" s="123"/>
      <c r="B15" s="78" t="s">
        <v>74</v>
      </c>
      <c r="C15" s="198" t="str">
        <f t="shared" si="0"/>
        <v>SB</v>
      </c>
      <c r="D15" s="198" t="str">
        <f t="shared" si="1"/>
        <v>6L</v>
      </c>
      <c r="E15" s="198" t="str">
        <f t="shared" si="2"/>
        <v>0d</v>
      </c>
      <c r="F15" s="198" t="str">
        <f t="shared" si="3"/>
        <v>6L</v>
      </c>
      <c r="G15" s="198" t="str">
        <f t="shared" si="4"/>
        <v>12L</v>
      </c>
      <c r="H15" s="248" t="str">
        <f t="shared" si="5"/>
        <v>GBP6L12L13Y_Quote</v>
      </c>
      <c r="I15" s="107" t="str">
        <f t="shared" si="6"/>
        <v>GbpLiborSwapIsda13Y</v>
      </c>
      <c r="J15" s="247" t="str">
        <f t="shared" si="7"/>
        <v>GBPSB6L13Y_S6L12L_Quote</v>
      </c>
      <c r="K15" s="247" t="str">
        <f>_xll.qlForwardSwapQuote(J15,I15,H15,E15,Permanent,Trigger,ObjectOverwrite)</f>
        <v>GBPSB6L13Y_S6L12L_Quote#0000</v>
      </c>
      <c r="L15" s="255" t="str">
        <f>_xll.ohRangeRetrieveError(K15)</f>
        <v/>
      </c>
      <c r="M15" s="33"/>
    </row>
    <row r="16" spans="1:20" x14ac:dyDescent="0.2">
      <c r="A16" s="123"/>
      <c r="B16" s="78" t="s">
        <v>73</v>
      </c>
      <c r="C16" s="198" t="str">
        <f t="shared" si="0"/>
        <v>SB</v>
      </c>
      <c r="D16" s="198" t="str">
        <f t="shared" si="1"/>
        <v>6L</v>
      </c>
      <c r="E16" s="198" t="str">
        <f t="shared" si="2"/>
        <v>0d</v>
      </c>
      <c r="F16" s="198" t="str">
        <f t="shared" si="3"/>
        <v>6L</v>
      </c>
      <c r="G16" s="198" t="str">
        <f t="shared" si="4"/>
        <v>12L</v>
      </c>
      <c r="H16" s="248" t="str">
        <f t="shared" si="5"/>
        <v>GBP6L12L14Y_Quote</v>
      </c>
      <c r="I16" s="107" t="str">
        <f t="shared" si="6"/>
        <v>GbpLiborSwapIsda14Y</v>
      </c>
      <c r="J16" s="247" t="str">
        <f t="shared" si="7"/>
        <v>GBPSB6L14Y_S6L12L_Quote</v>
      </c>
      <c r="K16" s="247" t="str">
        <f>_xll.qlForwardSwapQuote(J16,I16,H16,E16,Permanent,Trigger,ObjectOverwrite)</f>
        <v>GBPSB6L14Y_S6L12L_Quote#0000</v>
      </c>
      <c r="L16" s="255" t="str">
        <f>_xll.ohRangeRetrieveError(K16)</f>
        <v/>
      </c>
      <c r="M16" s="33"/>
    </row>
    <row r="17" spans="1:13" x14ac:dyDescent="0.2">
      <c r="A17" s="123"/>
      <c r="B17" s="78" t="s">
        <v>72</v>
      </c>
      <c r="C17" s="198" t="str">
        <f t="shared" si="0"/>
        <v>SB</v>
      </c>
      <c r="D17" s="198" t="str">
        <f t="shared" si="1"/>
        <v>6L</v>
      </c>
      <c r="E17" s="198" t="str">
        <f t="shared" si="2"/>
        <v>0d</v>
      </c>
      <c r="F17" s="198" t="str">
        <f t="shared" si="3"/>
        <v>6L</v>
      </c>
      <c r="G17" s="198" t="str">
        <f t="shared" si="4"/>
        <v>12L</v>
      </c>
      <c r="H17" s="248" t="str">
        <f t="shared" si="5"/>
        <v>GBP6L12L15Y_Quote</v>
      </c>
      <c r="I17" s="107" t="str">
        <f t="shared" si="6"/>
        <v>GbpLiborSwapIsda15Y</v>
      </c>
      <c r="J17" s="247" t="str">
        <f t="shared" si="7"/>
        <v>GBPSB6L15Y_S6L12L_Quote</v>
      </c>
      <c r="K17" s="247" t="str">
        <f>_xll.qlForwardSwapQuote(J17,I17,H17,E17,Permanent,Trigger,ObjectOverwrite)</f>
        <v>GBPSB6L15Y_S6L12L_Quote#0000</v>
      </c>
      <c r="L17" s="255" t="str">
        <f>_xll.ohRangeRetrieveError(K17)</f>
        <v/>
      </c>
      <c r="M17" s="33"/>
    </row>
    <row r="18" spans="1:13" x14ac:dyDescent="0.2">
      <c r="A18" s="123"/>
      <c r="B18" s="78" t="s">
        <v>71</v>
      </c>
      <c r="C18" s="198" t="str">
        <f t="shared" si="0"/>
        <v>SB</v>
      </c>
      <c r="D18" s="198" t="str">
        <f t="shared" si="1"/>
        <v>6L</v>
      </c>
      <c r="E18" s="198" t="str">
        <f t="shared" si="2"/>
        <v>0d</v>
      </c>
      <c r="F18" s="198" t="str">
        <f t="shared" si="3"/>
        <v>6L</v>
      </c>
      <c r="G18" s="198" t="str">
        <f t="shared" si="4"/>
        <v>12L</v>
      </c>
      <c r="H18" s="248" t="str">
        <f t="shared" si="5"/>
        <v>GBP6L12L16Y_Quote</v>
      </c>
      <c r="I18" s="107" t="str">
        <f t="shared" si="6"/>
        <v>GbpLiborSwapIsda16Y</v>
      </c>
      <c r="J18" s="247" t="str">
        <f t="shared" si="7"/>
        <v>GBPSB6L16Y_S6L12L_Quote</v>
      </c>
      <c r="K18" s="247" t="str">
        <f>_xll.qlForwardSwapQuote(J18,I18,H18,E18,Permanent,Trigger,ObjectOverwrite)</f>
        <v>GBPSB6L16Y_S6L12L_Quote#0000</v>
      </c>
      <c r="L18" s="255" t="str">
        <f>_xll.ohRangeRetrieveError(K18)</f>
        <v/>
      </c>
      <c r="M18" s="33"/>
    </row>
    <row r="19" spans="1:13" x14ac:dyDescent="0.2">
      <c r="A19" s="123"/>
      <c r="B19" s="78" t="s">
        <v>70</v>
      </c>
      <c r="C19" s="198" t="str">
        <f t="shared" si="0"/>
        <v>SB</v>
      </c>
      <c r="D19" s="198" t="str">
        <f t="shared" si="1"/>
        <v>6L</v>
      </c>
      <c r="E19" s="198" t="str">
        <f t="shared" si="2"/>
        <v>0d</v>
      </c>
      <c r="F19" s="198" t="str">
        <f t="shared" si="3"/>
        <v>6L</v>
      </c>
      <c r="G19" s="198" t="str">
        <f t="shared" si="4"/>
        <v>12L</v>
      </c>
      <c r="H19" s="248" t="str">
        <f t="shared" si="5"/>
        <v>GBP6L12L17Y_Quote</v>
      </c>
      <c r="I19" s="107" t="str">
        <f t="shared" si="6"/>
        <v>GbpLiborSwapIsda17Y</v>
      </c>
      <c r="J19" s="247" t="str">
        <f t="shared" si="7"/>
        <v>GBPSB6L17Y_S6L12L_Quote</v>
      </c>
      <c r="K19" s="247" t="str">
        <f>_xll.qlForwardSwapQuote(J19,I19,H19,E19,Permanent,Trigger,ObjectOverwrite)</f>
        <v>GBPSB6L17Y_S6L12L_Quote#0000</v>
      </c>
      <c r="L19" s="255" t="str">
        <f>_xll.ohRangeRetrieveError(K19)</f>
        <v/>
      </c>
      <c r="M19" s="33"/>
    </row>
    <row r="20" spans="1:13" x14ac:dyDescent="0.2">
      <c r="A20" s="123"/>
      <c r="B20" s="78" t="s">
        <v>69</v>
      </c>
      <c r="C20" s="198" t="str">
        <f t="shared" si="0"/>
        <v>SB</v>
      </c>
      <c r="D20" s="198" t="str">
        <f t="shared" si="1"/>
        <v>6L</v>
      </c>
      <c r="E20" s="198" t="str">
        <f t="shared" si="2"/>
        <v>0d</v>
      </c>
      <c r="F20" s="198" t="str">
        <f t="shared" si="3"/>
        <v>6L</v>
      </c>
      <c r="G20" s="198" t="str">
        <f t="shared" si="4"/>
        <v>12L</v>
      </c>
      <c r="H20" s="248" t="str">
        <f t="shared" si="5"/>
        <v>GBP6L12L18Y_Quote</v>
      </c>
      <c r="I20" s="107" t="str">
        <f t="shared" si="6"/>
        <v>GbpLiborSwapIsda18Y</v>
      </c>
      <c r="J20" s="247" t="str">
        <f t="shared" si="7"/>
        <v>GBPSB6L18Y_S6L12L_Quote</v>
      </c>
      <c r="K20" s="247" t="str">
        <f>_xll.qlForwardSwapQuote(J20,I20,H20,E20,Permanent,Trigger,ObjectOverwrite)</f>
        <v>GBPSB6L18Y_S6L12L_Quote#0000</v>
      </c>
      <c r="L20" s="255" t="str">
        <f>_xll.ohRangeRetrieveError(K20)</f>
        <v/>
      </c>
      <c r="M20" s="33"/>
    </row>
    <row r="21" spans="1:13" x14ac:dyDescent="0.2">
      <c r="A21" s="123"/>
      <c r="B21" s="78" t="s">
        <v>68</v>
      </c>
      <c r="C21" s="198" t="str">
        <f t="shared" si="0"/>
        <v>SB</v>
      </c>
      <c r="D21" s="198" t="str">
        <f t="shared" si="1"/>
        <v>6L</v>
      </c>
      <c r="E21" s="198" t="str">
        <f t="shared" si="2"/>
        <v>0d</v>
      </c>
      <c r="F21" s="198" t="str">
        <f t="shared" si="3"/>
        <v>6L</v>
      </c>
      <c r="G21" s="198" t="str">
        <f t="shared" si="4"/>
        <v>12L</v>
      </c>
      <c r="H21" s="248" t="str">
        <f t="shared" si="5"/>
        <v>GBP6L12L19Y_Quote</v>
      </c>
      <c r="I21" s="107" t="str">
        <f t="shared" si="6"/>
        <v>GbpLiborSwapIsda19Y</v>
      </c>
      <c r="J21" s="247" t="str">
        <f t="shared" si="7"/>
        <v>GBPSB6L19Y_S6L12L_Quote</v>
      </c>
      <c r="K21" s="247" t="str">
        <f>_xll.qlForwardSwapQuote(J21,I21,H21,E21,Permanent,Trigger,ObjectOverwrite)</f>
        <v>GBPSB6L19Y_S6L12L_Quote#0000</v>
      </c>
      <c r="L21" s="255" t="str">
        <f>_xll.ohRangeRetrieveError(K21)</f>
        <v/>
      </c>
      <c r="M21" s="33"/>
    </row>
    <row r="22" spans="1:13" x14ac:dyDescent="0.2">
      <c r="A22" s="123"/>
      <c r="B22" s="78" t="s">
        <v>67</v>
      </c>
      <c r="C22" s="198" t="str">
        <f t="shared" si="0"/>
        <v>SB</v>
      </c>
      <c r="D22" s="198" t="str">
        <f t="shared" si="1"/>
        <v>6L</v>
      </c>
      <c r="E22" s="198" t="str">
        <f t="shared" si="2"/>
        <v>0d</v>
      </c>
      <c r="F22" s="198" t="str">
        <f t="shared" si="3"/>
        <v>6L</v>
      </c>
      <c r="G22" s="198" t="str">
        <f t="shared" si="4"/>
        <v>12L</v>
      </c>
      <c r="H22" s="248" t="str">
        <f t="shared" si="5"/>
        <v>GBP6L12L20Y_Quote</v>
      </c>
      <c r="I22" s="107" t="str">
        <f t="shared" si="6"/>
        <v>GbpLiborSwapIsda20Y</v>
      </c>
      <c r="J22" s="247" t="str">
        <f t="shared" si="7"/>
        <v>GBPSB6L20Y_S6L12L_Quote</v>
      </c>
      <c r="K22" s="247" t="str">
        <f>_xll.qlForwardSwapQuote(J22,I22,H22,E22,Permanent,Trigger,ObjectOverwrite)</f>
        <v>GBPSB6L20Y_S6L12L_Quote#0000</v>
      </c>
      <c r="L22" s="255" t="str">
        <f>_xll.ohRangeRetrieveError(K22)</f>
        <v/>
      </c>
      <c r="M22" s="33"/>
    </row>
    <row r="23" spans="1:13" x14ac:dyDescent="0.2">
      <c r="A23" s="123"/>
      <c r="B23" s="78" t="s">
        <v>66</v>
      </c>
      <c r="C23" s="198" t="str">
        <f t="shared" si="0"/>
        <v>SB</v>
      </c>
      <c r="D23" s="198" t="str">
        <f t="shared" si="1"/>
        <v>6L</v>
      </c>
      <c r="E23" s="198" t="str">
        <f t="shared" si="2"/>
        <v>0d</v>
      </c>
      <c r="F23" s="198" t="str">
        <f t="shared" si="3"/>
        <v>6L</v>
      </c>
      <c r="G23" s="198" t="str">
        <f t="shared" si="4"/>
        <v>12L</v>
      </c>
      <c r="H23" s="248" t="str">
        <f t="shared" si="5"/>
        <v>GBP6L12L21Y_Quote</v>
      </c>
      <c r="I23" s="107" t="str">
        <f t="shared" si="6"/>
        <v>GbpLiborSwapIsda21Y</v>
      </c>
      <c r="J23" s="247" t="str">
        <f t="shared" si="7"/>
        <v>GBPSB6L21Y_S6L12L_Quote</v>
      </c>
      <c r="K23" s="247" t="str">
        <f>_xll.qlForwardSwapQuote(J23,I23,H23,E23,Permanent,Trigger,ObjectOverwrite)</f>
        <v>GBPSB6L21Y_S6L12L_Quote#0000</v>
      </c>
      <c r="L23" s="255" t="str">
        <f>_xll.ohRangeRetrieveError(K23)</f>
        <v/>
      </c>
      <c r="M23" s="33"/>
    </row>
    <row r="24" spans="1:13" x14ac:dyDescent="0.2">
      <c r="A24" s="123"/>
      <c r="B24" s="78" t="s">
        <v>65</v>
      </c>
      <c r="C24" s="198" t="str">
        <f t="shared" si="0"/>
        <v>SB</v>
      </c>
      <c r="D24" s="198" t="str">
        <f t="shared" si="1"/>
        <v>6L</v>
      </c>
      <c r="E24" s="198" t="str">
        <f t="shared" si="2"/>
        <v>0d</v>
      </c>
      <c r="F24" s="198" t="str">
        <f t="shared" si="3"/>
        <v>6L</v>
      </c>
      <c r="G24" s="198" t="str">
        <f t="shared" si="4"/>
        <v>12L</v>
      </c>
      <c r="H24" s="248" t="str">
        <f t="shared" si="5"/>
        <v>GBP6L12L22Y_Quote</v>
      </c>
      <c r="I24" s="107" t="str">
        <f t="shared" si="6"/>
        <v>GbpLiborSwapIsda22Y</v>
      </c>
      <c r="J24" s="247" t="str">
        <f t="shared" si="7"/>
        <v>GBPSB6L22Y_S6L12L_Quote</v>
      </c>
      <c r="K24" s="247" t="str">
        <f>_xll.qlForwardSwapQuote(J24,I24,H24,E24,Permanent,Trigger,ObjectOverwrite)</f>
        <v>GBPSB6L22Y_S6L12L_Quote#0000</v>
      </c>
      <c r="L24" s="255" t="str">
        <f>_xll.ohRangeRetrieveError(K24)</f>
        <v/>
      </c>
      <c r="M24" s="33"/>
    </row>
    <row r="25" spans="1:13" x14ac:dyDescent="0.2">
      <c r="A25" s="123"/>
      <c r="B25" s="78" t="s">
        <v>64</v>
      </c>
      <c r="C25" s="198" t="str">
        <f t="shared" si="0"/>
        <v>SB</v>
      </c>
      <c r="D25" s="198" t="str">
        <f t="shared" si="1"/>
        <v>6L</v>
      </c>
      <c r="E25" s="198" t="str">
        <f t="shared" si="2"/>
        <v>0d</v>
      </c>
      <c r="F25" s="198" t="str">
        <f t="shared" si="3"/>
        <v>6L</v>
      </c>
      <c r="G25" s="198" t="str">
        <f t="shared" si="4"/>
        <v>12L</v>
      </c>
      <c r="H25" s="248" t="str">
        <f t="shared" si="5"/>
        <v>GBP6L12L23Y_Quote</v>
      </c>
      <c r="I25" s="107" t="str">
        <f t="shared" si="6"/>
        <v>GbpLiborSwapIsda23Y</v>
      </c>
      <c r="J25" s="247" t="str">
        <f t="shared" si="7"/>
        <v>GBPSB6L23Y_S6L12L_Quote</v>
      </c>
      <c r="K25" s="247" t="str">
        <f>_xll.qlForwardSwapQuote(J25,I25,H25,E25,Permanent,Trigger,ObjectOverwrite)</f>
        <v>GBPSB6L23Y_S6L12L_Quote#0000</v>
      </c>
      <c r="L25" s="255" t="str">
        <f>_xll.ohRangeRetrieveError(K25)</f>
        <v/>
      </c>
      <c r="M25" s="33"/>
    </row>
    <row r="26" spans="1:13" x14ac:dyDescent="0.2">
      <c r="A26" s="123"/>
      <c r="B26" s="78" t="s">
        <v>63</v>
      </c>
      <c r="C26" s="198" t="str">
        <f t="shared" si="0"/>
        <v>SB</v>
      </c>
      <c r="D26" s="198" t="str">
        <f t="shared" si="1"/>
        <v>6L</v>
      </c>
      <c r="E26" s="198" t="str">
        <f t="shared" si="2"/>
        <v>0d</v>
      </c>
      <c r="F26" s="198" t="str">
        <f t="shared" si="3"/>
        <v>6L</v>
      </c>
      <c r="G26" s="198" t="str">
        <f t="shared" si="4"/>
        <v>12L</v>
      </c>
      <c r="H26" s="248" t="str">
        <f t="shared" si="5"/>
        <v>GBP6L12L24Y_Quote</v>
      </c>
      <c r="I26" s="107" t="str">
        <f t="shared" si="6"/>
        <v>GbpLiborSwapIsda24Y</v>
      </c>
      <c r="J26" s="247" t="str">
        <f t="shared" si="7"/>
        <v>GBPSB6L24Y_S6L12L_Quote</v>
      </c>
      <c r="K26" s="247" t="str">
        <f>_xll.qlForwardSwapQuote(J26,I26,H26,E26,Permanent,Trigger,ObjectOverwrite)</f>
        <v>GBPSB6L24Y_S6L12L_Quote#0000</v>
      </c>
      <c r="L26" s="255" t="str">
        <f>_xll.ohRangeRetrieveError(K26)</f>
        <v/>
      </c>
      <c r="M26" s="33"/>
    </row>
    <row r="27" spans="1:13" x14ac:dyDescent="0.2">
      <c r="A27" s="123"/>
      <c r="B27" s="78" t="s">
        <v>62</v>
      </c>
      <c r="C27" s="198" t="str">
        <f t="shared" si="0"/>
        <v>SB</v>
      </c>
      <c r="D27" s="198" t="str">
        <f t="shared" si="1"/>
        <v>6L</v>
      </c>
      <c r="E27" s="198" t="str">
        <f t="shared" si="2"/>
        <v>0d</v>
      </c>
      <c r="F27" s="198" t="str">
        <f t="shared" si="3"/>
        <v>6L</v>
      </c>
      <c r="G27" s="198" t="str">
        <f t="shared" si="4"/>
        <v>12L</v>
      </c>
      <c r="H27" s="248" t="str">
        <f t="shared" si="5"/>
        <v>GBP6L12L25Y_Quote</v>
      </c>
      <c r="I27" s="107" t="str">
        <f t="shared" si="6"/>
        <v>GbpLiborSwapIsda25Y</v>
      </c>
      <c r="J27" s="247" t="str">
        <f t="shared" si="7"/>
        <v>GBPSB6L25Y_S6L12L_Quote</v>
      </c>
      <c r="K27" s="247" t="str">
        <f>_xll.qlForwardSwapQuote(J27,I27,H27,E27,Permanent,Trigger,ObjectOverwrite)</f>
        <v>GBPSB6L25Y_S6L12L_Quote#0000</v>
      </c>
      <c r="L27" s="255" t="str">
        <f>_xll.ohRangeRetrieveError(K27)</f>
        <v/>
      </c>
      <c r="M27" s="33"/>
    </row>
    <row r="28" spans="1:13" x14ac:dyDescent="0.2">
      <c r="A28" s="123"/>
      <c r="B28" s="78" t="s">
        <v>61</v>
      </c>
      <c r="C28" s="198" t="str">
        <f t="shared" si="0"/>
        <v>SB</v>
      </c>
      <c r="D28" s="198" t="str">
        <f t="shared" si="1"/>
        <v>6L</v>
      </c>
      <c r="E28" s="198" t="str">
        <f t="shared" si="2"/>
        <v>0d</v>
      </c>
      <c r="F28" s="198" t="str">
        <f t="shared" si="3"/>
        <v>6L</v>
      </c>
      <c r="G28" s="198" t="str">
        <f t="shared" si="4"/>
        <v>12L</v>
      </c>
      <c r="H28" s="248" t="str">
        <f t="shared" si="5"/>
        <v>GBP6L12L26Y_Quote</v>
      </c>
      <c r="I28" s="107" t="str">
        <f t="shared" si="6"/>
        <v>GbpLiborSwapIsda26Y</v>
      </c>
      <c r="J28" s="247" t="str">
        <f t="shared" si="7"/>
        <v>GBPSB6L26Y_S6L12L_Quote</v>
      </c>
      <c r="K28" s="247" t="str">
        <f>_xll.qlForwardSwapQuote(J28,I28,H28,E28,Permanent,Trigger,ObjectOverwrite)</f>
        <v>GBPSB6L26Y_S6L12L_Quote#0000</v>
      </c>
      <c r="L28" s="255" t="str">
        <f>_xll.ohRangeRetrieveError(K28)</f>
        <v/>
      </c>
      <c r="M28" s="33"/>
    </row>
    <row r="29" spans="1:13" x14ac:dyDescent="0.2">
      <c r="A29" s="123"/>
      <c r="B29" s="78" t="s">
        <v>60</v>
      </c>
      <c r="C29" s="198" t="str">
        <f t="shared" si="0"/>
        <v>SB</v>
      </c>
      <c r="D29" s="198" t="str">
        <f t="shared" si="1"/>
        <v>6L</v>
      </c>
      <c r="E29" s="198" t="str">
        <f t="shared" si="2"/>
        <v>0d</v>
      </c>
      <c r="F29" s="198" t="str">
        <f t="shared" si="3"/>
        <v>6L</v>
      </c>
      <c r="G29" s="198" t="str">
        <f t="shared" si="4"/>
        <v>12L</v>
      </c>
      <c r="H29" s="248" t="str">
        <f t="shared" si="5"/>
        <v>GBP6L12L27Y_Quote</v>
      </c>
      <c r="I29" s="107" t="str">
        <f t="shared" si="6"/>
        <v>GbpLiborSwapIsda27Y</v>
      </c>
      <c r="J29" s="247" t="str">
        <f t="shared" si="7"/>
        <v>GBPSB6L27Y_S6L12L_Quote</v>
      </c>
      <c r="K29" s="247" t="str">
        <f>_xll.qlForwardSwapQuote(J29,I29,H29,E29,Permanent,Trigger,ObjectOverwrite)</f>
        <v>GBPSB6L27Y_S6L12L_Quote#0000</v>
      </c>
      <c r="L29" s="255" t="str">
        <f>_xll.ohRangeRetrieveError(K29)</f>
        <v/>
      </c>
      <c r="M29" s="33"/>
    </row>
    <row r="30" spans="1:13" x14ac:dyDescent="0.2">
      <c r="A30" s="123"/>
      <c r="B30" s="78" t="s">
        <v>59</v>
      </c>
      <c r="C30" s="198" t="str">
        <f t="shared" si="0"/>
        <v>SB</v>
      </c>
      <c r="D30" s="198" t="str">
        <f t="shared" si="1"/>
        <v>6L</v>
      </c>
      <c r="E30" s="198" t="str">
        <f t="shared" si="2"/>
        <v>0d</v>
      </c>
      <c r="F30" s="198" t="str">
        <f t="shared" si="3"/>
        <v>6L</v>
      </c>
      <c r="G30" s="198" t="str">
        <f t="shared" si="4"/>
        <v>12L</v>
      </c>
      <c r="H30" s="248" t="str">
        <f t="shared" si="5"/>
        <v>GBP6L12L28Y_Quote</v>
      </c>
      <c r="I30" s="107" t="str">
        <f t="shared" si="6"/>
        <v>GbpLiborSwapIsda28Y</v>
      </c>
      <c r="J30" s="247" t="str">
        <f t="shared" si="7"/>
        <v>GBPSB6L28Y_S6L12L_Quote</v>
      </c>
      <c r="K30" s="247" t="str">
        <f>_xll.qlForwardSwapQuote(J30,I30,H30,E30,Permanent,Trigger,ObjectOverwrite)</f>
        <v>GBPSB6L28Y_S6L12L_Quote#0000</v>
      </c>
      <c r="L30" s="255" t="str">
        <f>_xll.ohRangeRetrieveError(K30)</f>
        <v/>
      </c>
      <c r="M30" s="33"/>
    </row>
    <row r="31" spans="1:13" x14ac:dyDescent="0.2">
      <c r="A31" s="123"/>
      <c r="B31" s="78" t="s">
        <v>58</v>
      </c>
      <c r="C31" s="198" t="str">
        <f t="shared" si="0"/>
        <v>SB</v>
      </c>
      <c r="D31" s="198" t="str">
        <f t="shared" si="1"/>
        <v>6L</v>
      </c>
      <c r="E31" s="198" t="str">
        <f t="shared" si="2"/>
        <v>0d</v>
      </c>
      <c r="F31" s="198" t="str">
        <f t="shared" si="3"/>
        <v>6L</v>
      </c>
      <c r="G31" s="198" t="str">
        <f t="shared" si="4"/>
        <v>12L</v>
      </c>
      <c r="H31" s="248" t="str">
        <f t="shared" si="5"/>
        <v>GBP6L12L29Y_Quote</v>
      </c>
      <c r="I31" s="107" t="str">
        <f t="shared" si="6"/>
        <v>GbpLiborSwapIsda29Y</v>
      </c>
      <c r="J31" s="247" t="str">
        <f t="shared" si="7"/>
        <v>GBPSB6L29Y_S6L12L_Quote</v>
      </c>
      <c r="K31" s="247" t="str">
        <f>_xll.qlForwardSwapQuote(J31,I31,H31,E31,Permanent,Trigger,ObjectOverwrite)</f>
        <v>GBPSB6L29Y_S6L12L_Quote#0000</v>
      </c>
      <c r="L31" s="255" t="str">
        <f>_xll.ohRangeRetrieveError(K31)</f>
        <v/>
      </c>
      <c r="M31" s="33"/>
    </row>
    <row r="32" spans="1:13" x14ac:dyDescent="0.2">
      <c r="A32" s="123"/>
      <c r="B32" s="78" t="s">
        <v>57</v>
      </c>
      <c r="C32" s="198" t="str">
        <f t="shared" si="0"/>
        <v>SB</v>
      </c>
      <c r="D32" s="198" t="str">
        <f t="shared" si="1"/>
        <v>6L</v>
      </c>
      <c r="E32" s="198" t="str">
        <f t="shared" si="2"/>
        <v>0d</v>
      </c>
      <c r="F32" s="198" t="str">
        <f t="shared" si="3"/>
        <v>6L</v>
      </c>
      <c r="G32" s="198" t="str">
        <f t="shared" si="4"/>
        <v>12L</v>
      </c>
      <c r="H32" s="248" t="str">
        <f t="shared" si="5"/>
        <v>GBP6L12L30Y_Quote</v>
      </c>
      <c r="I32" s="107" t="str">
        <f t="shared" si="6"/>
        <v>GbpLiborSwapIsda30Y</v>
      </c>
      <c r="J32" s="247" t="str">
        <f t="shared" si="7"/>
        <v>GBPSB6L30Y_S6L12L_Quote</v>
      </c>
      <c r="K32" s="247" t="str">
        <f>_xll.qlForwardSwapQuote(J32,I32,H32,E32,Permanent,Trigger,ObjectOverwrite)</f>
        <v>GBPSB6L30Y_S6L12L_Quote#0000</v>
      </c>
      <c r="L32" s="255" t="str">
        <f>_xll.ohRangeRetrieveError(K32)</f>
        <v/>
      </c>
      <c r="M32" s="33"/>
    </row>
    <row r="33" spans="1:13" x14ac:dyDescent="0.2">
      <c r="A33" s="123"/>
      <c r="B33" s="78" t="s">
        <v>52</v>
      </c>
      <c r="C33" s="198" t="str">
        <f t="shared" si="0"/>
        <v>SB</v>
      </c>
      <c r="D33" s="198" t="str">
        <f t="shared" si="1"/>
        <v>6L</v>
      </c>
      <c r="E33" s="198" t="str">
        <f t="shared" si="2"/>
        <v>0d</v>
      </c>
      <c r="F33" s="198" t="str">
        <f t="shared" si="3"/>
        <v>6L</v>
      </c>
      <c r="G33" s="198" t="str">
        <f t="shared" si="4"/>
        <v>12L</v>
      </c>
      <c r="H33" s="248" t="str">
        <f t="shared" si="5"/>
        <v>GBP6L12L35Y_Quote</v>
      </c>
      <c r="I33" s="107" t="str">
        <f t="shared" si="6"/>
        <v>GbpLiborSwapIsda35Y</v>
      </c>
      <c r="J33" s="247" t="str">
        <f t="shared" si="7"/>
        <v>GBPSB6L35Y_S6L12L_Quote</v>
      </c>
      <c r="K33" s="247" t="str">
        <f>_xll.qlForwardSwapQuote(J33,I33,H33,E33,Permanent,Trigger,ObjectOverwrite)</f>
        <v>GBPSB6L35Y_S6L12L_Quote#0000</v>
      </c>
      <c r="L33" s="255" t="str">
        <f>_xll.ohRangeRetrieveError(K33)</f>
        <v/>
      </c>
      <c r="M33" s="33"/>
    </row>
    <row r="34" spans="1:13" x14ac:dyDescent="0.2">
      <c r="A34" s="123"/>
      <c r="B34" s="78" t="s">
        <v>47</v>
      </c>
      <c r="C34" s="198" t="str">
        <f t="shared" si="0"/>
        <v>SB</v>
      </c>
      <c r="D34" s="198" t="str">
        <f t="shared" si="1"/>
        <v>6L</v>
      </c>
      <c r="E34" s="198" t="str">
        <f t="shared" si="2"/>
        <v>0d</v>
      </c>
      <c r="F34" s="198" t="str">
        <f t="shared" si="3"/>
        <v>6L</v>
      </c>
      <c r="G34" s="198" t="str">
        <f t="shared" si="4"/>
        <v>12L</v>
      </c>
      <c r="H34" s="248" t="str">
        <f t="shared" si="5"/>
        <v>GBP6L12L40Y_Quote</v>
      </c>
      <c r="I34" s="107" t="str">
        <f t="shared" si="6"/>
        <v>GbpLiborSwapIsda40Y</v>
      </c>
      <c r="J34" s="247" t="str">
        <f t="shared" si="7"/>
        <v>GBPSB6L40Y_S6L12L_Quote</v>
      </c>
      <c r="K34" s="247" t="str">
        <f>_xll.qlForwardSwapQuote(J34,I34,H34,E34,Permanent,Trigger,ObjectOverwrite)</f>
        <v>GBPSB6L40Y_S6L12L_Quote#0000</v>
      </c>
      <c r="L34" s="255" t="str">
        <f>_xll.ohRangeRetrieveError(K34)</f>
        <v/>
      </c>
      <c r="M34" s="33"/>
    </row>
    <row r="35" spans="1:13" x14ac:dyDescent="0.2">
      <c r="A35" s="123"/>
      <c r="B35" s="78" t="s">
        <v>37</v>
      </c>
      <c r="C35" s="198" t="str">
        <f t="shared" si="0"/>
        <v>SB</v>
      </c>
      <c r="D35" s="198" t="str">
        <f t="shared" si="1"/>
        <v>6L</v>
      </c>
      <c r="E35" s="198" t="str">
        <f t="shared" si="2"/>
        <v>0d</v>
      </c>
      <c r="F35" s="198" t="str">
        <f t="shared" si="3"/>
        <v>6L</v>
      </c>
      <c r="G35" s="198" t="str">
        <f t="shared" si="4"/>
        <v>12L</v>
      </c>
      <c r="H35" s="248" t="str">
        <f t="shared" si="5"/>
        <v>GBP6L12L50Y_Quote</v>
      </c>
      <c r="I35" s="107" t="str">
        <f t="shared" si="6"/>
        <v>GbpLiborSwapIsda50Y</v>
      </c>
      <c r="J35" s="247" t="str">
        <f t="shared" si="7"/>
        <v>GBPSB6L50Y_S6L12L_Quote</v>
      </c>
      <c r="K35" s="247" t="str">
        <f>_xll.qlForwardSwapQuote(J35,I35,H35,E35,Permanent,Trigger,ObjectOverwrite)</f>
        <v>GBPSB6L50Y_S6L12L_Quote#0000</v>
      </c>
      <c r="L35" s="255" t="str">
        <f>_xll.ohRangeRetrieveError(K35)</f>
        <v/>
      </c>
      <c r="M35" s="33"/>
    </row>
    <row r="36" spans="1:13" x14ac:dyDescent="0.2">
      <c r="A36" s="123"/>
      <c r="B36" s="78" t="s">
        <v>27</v>
      </c>
      <c r="C36" s="198" t="str">
        <f t="shared" si="0"/>
        <v>SB</v>
      </c>
      <c r="D36" s="198" t="str">
        <f t="shared" si="1"/>
        <v>6L</v>
      </c>
      <c r="E36" s="198" t="str">
        <f t="shared" si="2"/>
        <v>0d</v>
      </c>
      <c r="F36" s="198" t="str">
        <f t="shared" si="3"/>
        <v>6L</v>
      </c>
      <c r="G36" s="198" t="str">
        <f t="shared" si="4"/>
        <v>12L</v>
      </c>
      <c r="H36" s="248" t="str">
        <f t="shared" si="5"/>
        <v>GBP6L12L60Y_Quote</v>
      </c>
      <c r="I36" s="107" t="str">
        <f t="shared" si="6"/>
        <v>GbpLiborSwapIsda60Y</v>
      </c>
      <c r="J36" s="247" t="str">
        <f t="shared" si="7"/>
        <v>GBPSB6L60Y_S6L12L_Quote</v>
      </c>
      <c r="K36" s="247" t="str">
        <f>_xll.qlForwardSwapQuote(J36,I36,H36,E36,Permanent,Trigger,ObjectOverwrite)</f>
        <v>GBPSB6L60Y_S6L12L_Quote#0000</v>
      </c>
      <c r="L36" s="255" t="str">
        <f>_xll.ohRangeRetrieveError(K36)</f>
        <v/>
      </c>
      <c r="M36" s="33"/>
    </row>
    <row r="37" spans="1:13" ht="12" thickBot="1" x14ac:dyDescent="0.25">
      <c r="A37" s="32"/>
      <c r="B37" s="31"/>
      <c r="C37" s="31"/>
      <c r="D37" s="31"/>
      <c r="E37" s="31"/>
      <c r="F37" s="31"/>
      <c r="G37" s="31"/>
      <c r="H37" s="31"/>
      <c r="I37" s="31"/>
      <c r="J37" s="31"/>
      <c r="K37" s="117"/>
      <c r="L37" s="117"/>
      <c r="M37" s="30"/>
    </row>
  </sheetData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"/>
  <sheetViews>
    <sheetView workbookViewId="0"/>
  </sheetViews>
  <sheetFormatPr defaultColWidth="8" defaultRowHeight="11.25" x14ac:dyDescent="0.2"/>
  <cols>
    <col min="1" max="1" width="3.28515625" style="101" customWidth="1"/>
    <col min="2" max="2" width="4.28515625" style="101" customWidth="1"/>
    <col min="3" max="3" width="15.5703125" style="101" bestFit="1" customWidth="1"/>
    <col min="4" max="4" width="90.7109375" style="101" bestFit="1" customWidth="1"/>
    <col min="5" max="5" width="3.7109375" style="101" customWidth="1"/>
    <col min="6" max="6" width="35.28515625" style="101" customWidth="1"/>
    <col min="7" max="7" width="4.28515625" style="101" customWidth="1"/>
    <col min="8" max="16384" width="8" style="101"/>
  </cols>
  <sheetData>
    <row r="1" spans="1:5" ht="13.5" thickBot="1" x14ac:dyDescent="0.25">
      <c r="B1" s="104" t="str">
        <f>_xll.qlxlVersion(TRUE,Trigger)</f>
        <v>QuantLibXL 1.3.0 - MS VC++ 9.0 - Multithreaded Static Runtime library - Release Configuration - Nov  5 2013 10:41:52</v>
      </c>
    </row>
    <row r="2" spans="1:5" s="1" customFormat="1" ht="15.75" x14ac:dyDescent="0.25">
      <c r="A2" s="50"/>
      <c r="B2" s="266" t="s">
        <v>135</v>
      </c>
      <c r="C2" s="267"/>
      <c r="D2" s="267"/>
      <c r="E2" s="268"/>
    </row>
    <row r="3" spans="1:5" s="1" customFormat="1" ht="12.75" x14ac:dyDescent="0.2">
      <c r="A3" s="50"/>
      <c r="B3" s="53"/>
      <c r="C3" s="56"/>
      <c r="D3" s="56"/>
      <c r="E3" s="6"/>
    </row>
    <row r="4" spans="1:5" s="1" customFormat="1" ht="12.75" x14ac:dyDescent="0.2">
      <c r="A4" s="50"/>
      <c r="B4" s="53"/>
      <c r="C4" s="22" t="s">
        <v>98</v>
      </c>
      <c r="D4" s="52"/>
      <c r="E4" s="51"/>
    </row>
    <row r="5" spans="1:5" s="1" customFormat="1" ht="12.75" x14ac:dyDescent="0.2">
      <c r="A5" s="50"/>
      <c r="B5" s="53"/>
      <c r="C5" s="22" t="s">
        <v>95</v>
      </c>
      <c r="D5" s="52" t="b">
        <v>1</v>
      </c>
      <c r="E5" s="51"/>
    </row>
    <row r="6" spans="1:5" s="1" customFormat="1" ht="12.75" x14ac:dyDescent="0.2">
      <c r="A6" s="50"/>
      <c r="B6" s="53"/>
      <c r="C6" s="22" t="s">
        <v>94</v>
      </c>
      <c r="D6" s="52" t="b">
        <v>0</v>
      </c>
      <c r="E6" s="51"/>
    </row>
    <row r="7" spans="1:5" s="1" customFormat="1" ht="12.75" x14ac:dyDescent="0.2">
      <c r="A7" s="50"/>
      <c r="B7" s="53"/>
      <c r="C7" s="22" t="s">
        <v>93</v>
      </c>
      <c r="D7" s="52" t="b">
        <v>1</v>
      </c>
      <c r="E7" s="51"/>
    </row>
    <row r="8" spans="1:5" s="1" customFormat="1" ht="12.75" x14ac:dyDescent="0.2">
      <c r="A8" s="50"/>
      <c r="B8" s="53"/>
      <c r="C8" s="22" t="s">
        <v>92</v>
      </c>
      <c r="D8" s="55" t="str">
        <f ca="1">SUBSTITUTE(LEFT(CELL("filename",A1),FIND("[",CELL("filename",A1),1)-1),"\XLS\","\XML\")</f>
        <v>C:\Users\erik\Documents\repos\quantlib_nando\QuantLibXL\Data2\XML\</v>
      </c>
      <c r="E8" s="51"/>
    </row>
    <row r="9" spans="1:5" s="1" customFormat="1" ht="12.75" x14ac:dyDescent="0.2">
      <c r="A9" s="50"/>
      <c r="B9" s="53"/>
      <c r="C9" s="22" t="s">
        <v>91</v>
      </c>
      <c r="D9" s="54" t="b">
        <v>1</v>
      </c>
      <c r="E9" s="51"/>
    </row>
    <row r="10" spans="1:5" s="1" customFormat="1" ht="13.5" thickBot="1" x14ac:dyDescent="0.25">
      <c r="A10" s="50"/>
      <c r="B10" s="5"/>
      <c r="C10" s="4"/>
      <c r="D10" s="4"/>
      <c r="E10" s="3"/>
    </row>
    <row r="11" spans="1:5" ht="12" thickBot="1" x14ac:dyDescent="0.25"/>
    <row r="12" spans="1:5" ht="15.75" x14ac:dyDescent="0.25">
      <c r="B12" s="266" t="s">
        <v>134</v>
      </c>
      <c r="C12" s="267"/>
      <c r="D12" s="267"/>
      <c r="E12" s="268"/>
    </row>
    <row r="13" spans="1:5" x14ac:dyDescent="0.2">
      <c r="B13" s="53"/>
      <c r="C13" s="56"/>
      <c r="D13" s="56"/>
      <c r="E13" s="6"/>
    </row>
    <row r="14" spans="1:5" x14ac:dyDescent="0.2">
      <c r="B14" s="53"/>
      <c r="C14" s="22" t="s">
        <v>97</v>
      </c>
      <c r="D14" s="52" t="s">
        <v>96</v>
      </c>
      <c r="E14" s="51"/>
    </row>
    <row r="15" spans="1:5" x14ac:dyDescent="0.2">
      <c r="B15" s="53"/>
      <c r="C15" s="22" t="s">
        <v>26</v>
      </c>
      <c r="D15" s="52" t="s">
        <v>25</v>
      </c>
      <c r="E15" s="51"/>
    </row>
    <row r="16" spans="1:5" x14ac:dyDescent="0.2">
      <c r="B16" s="53"/>
      <c r="C16" s="22" t="s">
        <v>87</v>
      </c>
      <c r="D16" s="52" t="s">
        <v>86</v>
      </c>
      <c r="E16" s="51"/>
    </row>
    <row r="17" spans="2:5" x14ac:dyDescent="0.2">
      <c r="B17" s="53"/>
      <c r="C17" s="22" t="s">
        <v>133</v>
      </c>
      <c r="D17" s="54" t="s">
        <v>132</v>
      </c>
      <c r="E17" s="51"/>
    </row>
    <row r="18" spans="2:5" x14ac:dyDescent="0.2">
      <c r="B18" s="53"/>
      <c r="C18" s="22" t="s">
        <v>131</v>
      </c>
      <c r="D18" s="103">
        <v>1E-4</v>
      </c>
      <c r="E18" s="51"/>
    </row>
    <row r="19" spans="2:5" x14ac:dyDescent="0.2">
      <c r="B19" s="53"/>
      <c r="C19" s="22" t="s">
        <v>130</v>
      </c>
      <c r="D19" s="102">
        <v>-0.01</v>
      </c>
      <c r="E19" s="51"/>
    </row>
    <row r="20" spans="2:5" ht="12" thickBot="1" x14ac:dyDescent="0.25">
      <c r="B20" s="5"/>
      <c r="C20" s="4"/>
      <c r="D20" s="4"/>
      <c r="E20" s="3"/>
    </row>
  </sheetData>
  <mergeCells count="2">
    <mergeCell ref="B2:E2"/>
    <mergeCell ref="B12:E12"/>
  </mergeCells>
  <dataValidations count="2">
    <dataValidation type="list" allowBlank="1" showInputMessage="1" showErrorMessage="1" sqref="D15">
      <formula1>"ibor,Libor"</formula1>
    </dataValidation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126"/>
  <sheetViews>
    <sheetView workbookViewId="0"/>
  </sheetViews>
  <sheetFormatPr defaultRowHeight="11.25" x14ac:dyDescent="0.2"/>
  <cols>
    <col min="1" max="1" width="3.28515625" style="67" customWidth="1"/>
    <col min="2" max="2" width="3.5703125" style="67" bestFit="1" customWidth="1"/>
    <col min="3" max="3" width="5.7109375" style="67" bestFit="1" customWidth="1"/>
    <col min="4" max="4" width="5.42578125" style="67" bestFit="1" customWidth="1"/>
    <col min="5" max="5" width="15.85546875" style="67" bestFit="1" customWidth="1"/>
    <col min="6" max="6" width="25" style="67" bestFit="1" customWidth="1"/>
    <col min="7" max="7" width="26.42578125" style="67" bestFit="1" customWidth="1"/>
    <col min="8" max="8" width="53.140625" style="67" customWidth="1"/>
    <col min="9" max="16384" width="9.140625" style="67"/>
  </cols>
  <sheetData>
    <row r="2" spans="1:8" x14ac:dyDescent="0.2">
      <c r="E2" s="262" t="s">
        <v>230</v>
      </c>
      <c r="F2" s="261" t="str">
        <f>PROPER(Currency)&amp;"HW_Volatility_Quote"</f>
        <v>GbpHW_Volatility_Quote</v>
      </c>
    </row>
    <row r="3" spans="1:8" x14ac:dyDescent="0.2">
      <c r="E3" s="262" t="s">
        <v>229</v>
      </c>
      <c r="F3" s="261" t="str">
        <f>PROPER(Currency)&amp;"HW_MeanReversion_Quote"</f>
        <v>GbpHW_MeanReversion_Quote</v>
      </c>
    </row>
    <row r="4" spans="1:8" x14ac:dyDescent="0.2">
      <c r="E4" s="262" t="s">
        <v>228</v>
      </c>
      <c r="F4" s="261" t="str">
        <f>PROPER(Currency)&amp;FamilyName&amp;$G$4</f>
        <v>GbpLibor1M</v>
      </c>
      <c r="G4" s="260" t="s">
        <v>15</v>
      </c>
    </row>
    <row r="6" spans="1:8" ht="22.5" x14ac:dyDescent="0.2">
      <c r="A6" s="154"/>
      <c r="B6" s="92" t="s">
        <v>177</v>
      </c>
      <c r="C6" s="203" t="s">
        <v>176</v>
      </c>
      <c r="D6" s="203" t="s">
        <v>175</v>
      </c>
      <c r="E6" s="203" t="s">
        <v>227</v>
      </c>
      <c r="F6" s="91" t="str">
        <f>Currency&amp;"_020_Futures"&amp;G4&amp;"ConvAdj.xml"</f>
        <v>GBP_020_Futures1MConvAdj.xml</v>
      </c>
      <c r="G6" s="110">
        <f ca="1">IF(Serialize,_xll.ohObjectSave(G7:G126,SerializationPath&amp;F6,FileOverwrite,Serialize),"---")</f>
        <v>120</v>
      </c>
      <c r="H6" s="74" t="str">
        <f ca="1">_xll.ohRangeRetrieveError(G6)</f>
        <v/>
      </c>
    </row>
    <row r="7" spans="1:8" x14ac:dyDescent="0.2">
      <c r="A7" s="148"/>
      <c r="B7" s="153">
        <v>1</v>
      </c>
      <c r="C7" s="151" t="b">
        <v>0</v>
      </c>
      <c r="D7" s="151" t="str">
        <f t="array" ref="D7:D126">_xll.qlIMMNextCodes(_xll.qlSettingsEvaluationDate(Trigger)-1,$C7:$C126)</f>
        <v>Z3</v>
      </c>
      <c r="E7" s="258" t="str">
        <f t="shared" ref="E7:E38" si="0">Currency&amp;"FUT"&amp;$G$4&amp;$D7&amp;QuoteSuffix</f>
        <v>GBPFUT1MZ3_Quote</v>
      </c>
      <c r="F7" s="259" t="str">
        <f t="shared" ref="F7:F38" si="1">Currency&amp;"FUT"&amp;$G$4&amp;$D7&amp;"ConvAdj"&amp;QuoteSuffix</f>
        <v>GBPFUT1MZ3ConvAdj_Quote</v>
      </c>
      <c r="G7" s="258" t="str">
        <f>_xll.qlFuturesConvAdjustmentQuote($F7,IborIndex,$D7,$E7,Volatility,MeanReversion,Permanent,Trigger,ObjectOverwrite)</f>
        <v>GBPFUT1MZ3ConvAdj_Quote#0000</v>
      </c>
      <c r="H7" s="74" t="str">
        <f>_xll.ohRangeRetrieveError(G7)</f>
        <v/>
      </c>
    </row>
    <row r="8" spans="1:8" x14ac:dyDescent="0.2">
      <c r="A8" s="148"/>
      <c r="B8" s="147">
        <v>2</v>
      </c>
      <c r="C8" s="145" t="b">
        <v>0</v>
      </c>
      <c r="D8" s="145" t="str">
        <v>F4</v>
      </c>
      <c r="E8" s="258" t="str">
        <f t="shared" si="0"/>
        <v>GBPFUT1MF4_Quote</v>
      </c>
      <c r="F8" s="259" t="str">
        <f t="shared" si="1"/>
        <v>GBPFUT1MF4ConvAdj_Quote</v>
      </c>
      <c r="G8" s="258" t="str">
        <f>_xll.qlFuturesConvAdjustmentQuote($F8,IborIndex,$D8,$E8,Volatility,MeanReversion,Permanent,Trigger,ObjectOverwrite)</f>
        <v>GBPFUT1MF4ConvAdj_Quote#0000</v>
      </c>
      <c r="H8" s="74" t="str">
        <f>_xll.ohRangeRetrieveError(G8)</f>
        <v/>
      </c>
    </row>
    <row r="9" spans="1:8" x14ac:dyDescent="0.2">
      <c r="A9" s="148"/>
      <c r="B9" s="147">
        <v>3</v>
      </c>
      <c r="C9" s="145" t="b">
        <v>0</v>
      </c>
      <c r="D9" s="145" t="str">
        <v>G4</v>
      </c>
      <c r="E9" s="258" t="str">
        <f t="shared" si="0"/>
        <v>GBPFUT1MG4_Quote</v>
      </c>
      <c r="F9" s="259" t="str">
        <f t="shared" si="1"/>
        <v>GBPFUT1MG4ConvAdj_Quote</v>
      </c>
      <c r="G9" s="258" t="str">
        <f>_xll.qlFuturesConvAdjustmentQuote($F9,IborIndex,$D9,$E9,Volatility,MeanReversion,Permanent,Trigger,ObjectOverwrite)</f>
        <v>GBPFUT1MG4ConvAdj_Quote#0000</v>
      </c>
      <c r="H9" s="74" t="str">
        <f>_xll.ohRangeRetrieveError(G9)</f>
        <v/>
      </c>
    </row>
    <row r="10" spans="1:8" x14ac:dyDescent="0.2">
      <c r="A10" s="148"/>
      <c r="B10" s="147">
        <v>4</v>
      </c>
      <c r="C10" s="145" t="b">
        <v>0</v>
      </c>
      <c r="D10" s="145" t="str">
        <v>H4</v>
      </c>
      <c r="E10" s="258" t="str">
        <f t="shared" si="0"/>
        <v>GBPFUT1MH4_Quote</v>
      </c>
      <c r="F10" s="259" t="str">
        <f t="shared" si="1"/>
        <v>GBPFUT1MH4ConvAdj_Quote</v>
      </c>
      <c r="G10" s="258" t="str">
        <f>_xll.qlFuturesConvAdjustmentQuote($F10,IborIndex,$D10,$E10,Volatility,MeanReversion,Permanent,Trigger,ObjectOverwrite)</f>
        <v>GBPFUT1MH4ConvAdj_Quote#0000</v>
      </c>
      <c r="H10" s="74" t="str">
        <f>_xll.ohRangeRetrieveError(G10)</f>
        <v/>
      </c>
    </row>
    <row r="11" spans="1:8" x14ac:dyDescent="0.2">
      <c r="A11" s="148"/>
      <c r="B11" s="147">
        <v>5</v>
      </c>
      <c r="C11" s="145" t="b">
        <v>0</v>
      </c>
      <c r="D11" s="145" t="str">
        <v>J4</v>
      </c>
      <c r="E11" s="258" t="str">
        <f t="shared" si="0"/>
        <v>GBPFUT1MJ4_Quote</v>
      </c>
      <c r="F11" s="259" t="str">
        <f t="shared" si="1"/>
        <v>GBPFUT1MJ4ConvAdj_Quote</v>
      </c>
      <c r="G11" s="258" t="str">
        <f>_xll.qlFuturesConvAdjustmentQuote($F11,IborIndex,$D11,$E11,Volatility,MeanReversion,Permanent,Trigger,ObjectOverwrite)</f>
        <v>GBPFUT1MJ4ConvAdj_Quote#0000</v>
      </c>
      <c r="H11" s="74" t="str">
        <f>_xll.ohRangeRetrieveError(G11)</f>
        <v/>
      </c>
    </row>
    <row r="12" spans="1:8" x14ac:dyDescent="0.2">
      <c r="A12" s="148"/>
      <c r="B12" s="147">
        <v>6</v>
      </c>
      <c r="C12" s="145" t="b">
        <v>0</v>
      </c>
      <c r="D12" s="145" t="str">
        <v>K4</v>
      </c>
      <c r="E12" s="258" t="str">
        <f t="shared" si="0"/>
        <v>GBPFUT1MK4_Quote</v>
      </c>
      <c r="F12" s="259" t="str">
        <f t="shared" si="1"/>
        <v>GBPFUT1MK4ConvAdj_Quote</v>
      </c>
      <c r="G12" s="258" t="str">
        <f>_xll.qlFuturesConvAdjustmentQuote($F12,IborIndex,$D12,$E12,Volatility,MeanReversion,Permanent,Trigger,ObjectOverwrite)</f>
        <v>GBPFUT1MK4ConvAdj_Quote#0000</v>
      </c>
      <c r="H12" s="74" t="str">
        <f>_xll.ohRangeRetrieveError(G12)</f>
        <v/>
      </c>
    </row>
    <row r="13" spans="1:8" x14ac:dyDescent="0.2">
      <c r="A13" s="148"/>
      <c r="B13" s="147">
        <v>7</v>
      </c>
      <c r="C13" s="145" t="b">
        <v>0</v>
      </c>
      <c r="D13" s="145" t="str">
        <v>M4</v>
      </c>
      <c r="E13" s="258" t="str">
        <f t="shared" si="0"/>
        <v>GBPFUT1MM4_Quote</v>
      </c>
      <c r="F13" s="259" t="str">
        <f t="shared" si="1"/>
        <v>GBPFUT1MM4ConvAdj_Quote</v>
      </c>
      <c r="G13" s="258" t="str">
        <f>_xll.qlFuturesConvAdjustmentQuote($F13,IborIndex,$D13,$E13,Volatility,MeanReversion,Permanent,Trigger,ObjectOverwrite)</f>
        <v>GBPFUT1MM4ConvAdj_Quote#0000</v>
      </c>
      <c r="H13" s="74" t="str">
        <f>_xll.ohRangeRetrieveError(G13)</f>
        <v/>
      </c>
    </row>
    <row r="14" spans="1:8" x14ac:dyDescent="0.2">
      <c r="A14" s="148"/>
      <c r="B14" s="147">
        <v>8</v>
      </c>
      <c r="C14" s="145" t="b">
        <v>0</v>
      </c>
      <c r="D14" s="145" t="str">
        <v>N4</v>
      </c>
      <c r="E14" s="258" t="str">
        <f t="shared" si="0"/>
        <v>GBPFUT1MN4_Quote</v>
      </c>
      <c r="F14" s="259" t="str">
        <f t="shared" si="1"/>
        <v>GBPFUT1MN4ConvAdj_Quote</v>
      </c>
      <c r="G14" s="258" t="str">
        <f>_xll.qlFuturesConvAdjustmentQuote($F14,IborIndex,$D14,$E14,Volatility,MeanReversion,Permanent,Trigger,ObjectOverwrite)</f>
        <v>GBPFUT1MN4ConvAdj_Quote#0000</v>
      </c>
      <c r="H14" s="74" t="str">
        <f>_xll.ohRangeRetrieveError(G14)</f>
        <v/>
      </c>
    </row>
    <row r="15" spans="1:8" x14ac:dyDescent="0.2">
      <c r="A15" s="148"/>
      <c r="B15" s="147">
        <v>9</v>
      </c>
      <c r="C15" s="145" t="b">
        <v>0</v>
      </c>
      <c r="D15" s="145" t="str">
        <v>Q4</v>
      </c>
      <c r="E15" s="258" t="str">
        <f t="shared" si="0"/>
        <v>GBPFUT1MQ4_Quote</v>
      </c>
      <c r="F15" s="259" t="str">
        <f t="shared" si="1"/>
        <v>GBPFUT1MQ4ConvAdj_Quote</v>
      </c>
      <c r="G15" s="258" t="str">
        <f>_xll.qlFuturesConvAdjustmentQuote($F15,IborIndex,$D15,$E15,Volatility,MeanReversion,Permanent,Trigger,ObjectOverwrite)</f>
        <v>GBPFUT1MQ4ConvAdj_Quote#0000</v>
      </c>
      <c r="H15" s="74" t="str">
        <f>_xll.ohRangeRetrieveError(G15)</f>
        <v/>
      </c>
    </row>
    <row r="16" spans="1:8" x14ac:dyDescent="0.2">
      <c r="A16" s="148"/>
      <c r="B16" s="147">
        <v>10</v>
      </c>
      <c r="C16" s="145" t="b">
        <v>0</v>
      </c>
      <c r="D16" s="145" t="str">
        <v>U4</v>
      </c>
      <c r="E16" s="258" t="str">
        <f t="shared" si="0"/>
        <v>GBPFUT1MU4_Quote</v>
      </c>
      <c r="F16" s="259" t="str">
        <f t="shared" si="1"/>
        <v>GBPFUT1MU4ConvAdj_Quote</v>
      </c>
      <c r="G16" s="258" t="str">
        <f>_xll.qlFuturesConvAdjustmentQuote($F16,IborIndex,$D16,$E16,Volatility,MeanReversion,Permanent,Trigger,ObjectOverwrite)</f>
        <v>GBPFUT1MU4ConvAdj_Quote#0000</v>
      </c>
      <c r="H16" s="74" t="str">
        <f>_xll.ohRangeRetrieveError(G16)</f>
        <v/>
      </c>
    </row>
    <row r="17" spans="1:8" x14ac:dyDescent="0.2">
      <c r="A17" s="148"/>
      <c r="B17" s="147">
        <v>11</v>
      </c>
      <c r="C17" s="145" t="b">
        <v>0</v>
      </c>
      <c r="D17" s="145" t="str">
        <v>V4</v>
      </c>
      <c r="E17" s="258" t="str">
        <f t="shared" si="0"/>
        <v>GBPFUT1MV4_Quote</v>
      </c>
      <c r="F17" s="259" t="str">
        <f t="shared" si="1"/>
        <v>GBPFUT1MV4ConvAdj_Quote</v>
      </c>
      <c r="G17" s="258" t="str">
        <f>_xll.qlFuturesConvAdjustmentQuote($F17,IborIndex,$D17,$E17,Volatility,MeanReversion,Permanent,Trigger,ObjectOverwrite)</f>
        <v>GBPFUT1MV4ConvAdj_Quote#0000</v>
      </c>
      <c r="H17" s="74" t="str">
        <f>_xll.ohRangeRetrieveError(G17)</f>
        <v/>
      </c>
    </row>
    <row r="18" spans="1:8" x14ac:dyDescent="0.2">
      <c r="A18" s="148"/>
      <c r="B18" s="147">
        <v>12</v>
      </c>
      <c r="C18" s="145" t="b">
        <v>0</v>
      </c>
      <c r="D18" s="145" t="str">
        <v>X4</v>
      </c>
      <c r="E18" s="258" t="str">
        <f t="shared" si="0"/>
        <v>GBPFUT1MX4_Quote</v>
      </c>
      <c r="F18" s="259" t="str">
        <f t="shared" si="1"/>
        <v>GBPFUT1MX4ConvAdj_Quote</v>
      </c>
      <c r="G18" s="258" t="str">
        <f>_xll.qlFuturesConvAdjustmentQuote($F18,IborIndex,$D18,$E18,Volatility,MeanReversion,Permanent,Trigger,ObjectOverwrite)</f>
        <v>GBPFUT1MX4ConvAdj_Quote#0000</v>
      </c>
      <c r="H18" s="74" t="str">
        <f>_xll.ohRangeRetrieveError(G18)</f>
        <v/>
      </c>
    </row>
    <row r="19" spans="1:8" x14ac:dyDescent="0.2">
      <c r="A19" s="148"/>
      <c r="B19" s="147">
        <v>13</v>
      </c>
      <c r="C19" s="145" t="b">
        <v>0</v>
      </c>
      <c r="D19" s="145" t="str">
        <v>Z4</v>
      </c>
      <c r="E19" s="258" t="str">
        <f t="shared" si="0"/>
        <v>GBPFUT1MZ4_Quote</v>
      </c>
      <c r="F19" s="259" t="str">
        <f t="shared" si="1"/>
        <v>GBPFUT1MZ4ConvAdj_Quote</v>
      </c>
      <c r="G19" s="258" t="str">
        <f>_xll.qlFuturesConvAdjustmentQuote($F19,IborIndex,$D19,$E19,Volatility,MeanReversion,Permanent,Trigger,ObjectOverwrite)</f>
        <v>GBPFUT1MZ4ConvAdj_Quote#0000</v>
      </c>
      <c r="H19" s="74" t="str">
        <f>_xll.ohRangeRetrieveError(G19)</f>
        <v/>
      </c>
    </row>
    <row r="20" spans="1:8" x14ac:dyDescent="0.2">
      <c r="A20" s="148"/>
      <c r="B20" s="147">
        <v>14</v>
      </c>
      <c r="C20" s="145" t="b">
        <v>0</v>
      </c>
      <c r="D20" s="145" t="str">
        <v>F5</v>
      </c>
      <c r="E20" s="258" t="str">
        <f t="shared" si="0"/>
        <v>GBPFUT1MF5_Quote</v>
      </c>
      <c r="F20" s="259" t="str">
        <f t="shared" si="1"/>
        <v>GBPFUT1MF5ConvAdj_Quote</v>
      </c>
      <c r="G20" s="258" t="str">
        <f>_xll.qlFuturesConvAdjustmentQuote($F20,IborIndex,$D20,$E20,Volatility,MeanReversion,Permanent,Trigger,ObjectOverwrite)</f>
        <v>GBPFUT1MF5ConvAdj_Quote#0000</v>
      </c>
      <c r="H20" s="74" t="str">
        <f>_xll.ohRangeRetrieveError(G20)</f>
        <v/>
      </c>
    </row>
    <row r="21" spans="1:8" x14ac:dyDescent="0.2">
      <c r="A21" s="148"/>
      <c r="B21" s="147">
        <v>15</v>
      </c>
      <c r="C21" s="145" t="b">
        <v>0</v>
      </c>
      <c r="D21" s="145" t="str">
        <v>G5</v>
      </c>
      <c r="E21" s="258" t="str">
        <f t="shared" si="0"/>
        <v>GBPFUT1MG5_Quote</v>
      </c>
      <c r="F21" s="259" t="str">
        <f t="shared" si="1"/>
        <v>GBPFUT1MG5ConvAdj_Quote</v>
      </c>
      <c r="G21" s="258" t="str">
        <f>_xll.qlFuturesConvAdjustmentQuote($F21,IborIndex,$D21,$E21,Volatility,MeanReversion,Permanent,Trigger,ObjectOverwrite)</f>
        <v>GBPFUT1MG5ConvAdj_Quote#0000</v>
      </c>
      <c r="H21" s="74" t="str">
        <f>_xll.ohRangeRetrieveError(G21)</f>
        <v/>
      </c>
    </row>
    <row r="22" spans="1:8" x14ac:dyDescent="0.2">
      <c r="A22" s="148"/>
      <c r="B22" s="147">
        <v>16</v>
      </c>
      <c r="C22" s="145" t="b">
        <v>0</v>
      </c>
      <c r="D22" s="145" t="str">
        <v>H5</v>
      </c>
      <c r="E22" s="258" t="str">
        <f t="shared" si="0"/>
        <v>GBPFUT1MH5_Quote</v>
      </c>
      <c r="F22" s="259" t="str">
        <f t="shared" si="1"/>
        <v>GBPFUT1MH5ConvAdj_Quote</v>
      </c>
      <c r="G22" s="258" t="str">
        <f>_xll.qlFuturesConvAdjustmentQuote($F22,IborIndex,$D22,$E22,Volatility,MeanReversion,Permanent,Trigger,ObjectOverwrite)</f>
        <v>GBPFUT1MH5ConvAdj_Quote#0000</v>
      </c>
      <c r="H22" s="74" t="str">
        <f>_xll.ohRangeRetrieveError(G22)</f>
        <v/>
      </c>
    </row>
    <row r="23" spans="1:8" x14ac:dyDescent="0.2">
      <c r="A23" s="148"/>
      <c r="B23" s="147">
        <v>17</v>
      </c>
      <c r="C23" s="145" t="b">
        <v>0</v>
      </c>
      <c r="D23" s="145" t="str">
        <v>J5</v>
      </c>
      <c r="E23" s="258" t="str">
        <f t="shared" si="0"/>
        <v>GBPFUT1MJ5_Quote</v>
      </c>
      <c r="F23" s="259" t="str">
        <f t="shared" si="1"/>
        <v>GBPFUT1MJ5ConvAdj_Quote</v>
      </c>
      <c r="G23" s="258" t="str">
        <f>_xll.qlFuturesConvAdjustmentQuote($F23,IborIndex,$D23,$E23,Volatility,MeanReversion,Permanent,Trigger,ObjectOverwrite)</f>
        <v>GBPFUT1MJ5ConvAdj_Quote#0000</v>
      </c>
      <c r="H23" s="74" t="str">
        <f>_xll.ohRangeRetrieveError(G23)</f>
        <v/>
      </c>
    </row>
    <row r="24" spans="1:8" x14ac:dyDescent="0.2">
      <c r="A24" s="148"/>
      <c r="B24" s="147">
        <v>18</v>
      </c>
      <c r="C24" s="145" t="b">
        <v>0</v>
      </c>
      <c r="D24" s="145" t="str">
        <v>K5</v>
      </c>
      <c r="E24" s="258" t="str">
        <f t="shared" si="0"/>
        <v>GBPFUT1MK5_Quote</v>
      </c>
      <c r="F24" s="259" t="str">
        <f t="shared" si="1"/>
        <v>GBPFUT1MK5ConvAdj_Quote</v>
      </c>
      <c r="G24" s="258" t="str">
        <f>_xll.qlFuturesConvAdjustmentQuote($F24,IborIndex,$D24,$E24,Volatility,MeanReversion,Permanent,Trigger,ObjectOverwrite)</f>
        <v>GBPFUT1MK5ConvAdj_Quote#0000</v>
      </c>
      <c r="H24" s="74" t="str">
        <f>_xll.ohRangeRetrieveError(G24)</f>
        <v/>
      </c>
    </row>
    <row r="25" spans="1:8" x14ac:dyDescent="0.2">
      <c r="A25" s="148"/>
      <c r="B25" s="147">
        <v>19</v>
      </c>
      <c r="C25" s="145" t="b">
        <v>0</v>
      </c>
      <c r="D25" s="145" t="str">
        <v>M5</v>
      </c>
      <c r="E25" s="258" t="str">
        <f t="shared" si="0"/>
        <v>GBPFUT1MM5_Quote</v>
      </c>
      <c r="F25" s="259" t="str">
        <f t="shared" si="1"/>
        <v>GBPFUT1MM5ConvAdj_Quote</v>
      </c>
      <c r="G25" s="258" t="str">
        <f>_xll.qlFuturesConvAdjustmentQuote($F25,IborIndex,$D25,$E25,Volatility,MeanReversion,Permanent,Trigger,ObjectOverwrite)</f>
        <v>GBPFUT1MM5ConvAdj_Quote#0000</v>
      </c>
      <c r="H25" s="74" t="str">
        <f>_xll.ohRangeRetrieveError(G25)</f>
        <v/>
      </c>
    </row>
    <row r="26" spans="1:8" x14ac:dyDescent="0.2">
      <c r="A26" s="148"/>
      <c r="B26" s="147">
        <v>20</v>
      </c>
      <c r="C26" s="145" t="b">
        <v>0</v>
      </c>
      <c r="D26" s="145" t="str">
        <v>N5</v>
      </c>
      <c r="E26" s="258" t="str">
        <f t="shared" si="0"/>
        <v>GBPFUT1MN5_Quote</v>
      </c>
      <c r="F26" s="259" t="str">
        <f t="shared" si="1"/>
        <v>GBPFUT1MN5ConvAdj_Quote</v>
      </c>
      <c r="G26" s="258" t="str">
        <f>_xll.qlFuturesConvAdjustmentQuote($F26,IborIndex,$D26,$E26,Volatility,MeanReversion,Permanent,Trigger,ObjectOverwrite)</f>
        <v>GBPFUT1MN5ConvAdj_Quote#0000</v>
      </c>
      <c r="H26" s="74" t="str">
        <f>_xll.ohRangeRetrieveError(G26)</f>
        <v/>
      </c>
    </row>
    <row r="27" spans="1:8" x14ac:dyDescent="0.2">
      <c r="A27" s="148"/>
      <c r="B27" s="147">
        <v>21</v>
      </c>
      <c r="C27" s="145" t="b">
        <v>0</v>
      </c>
      <c r="D27" s="145" t="str">
        <v>Q5</v>
      </c>
      <c r="E27" s="258" t="str">
        <f t="shared" si="0"/>
        <v>GBPFUT1MQ5_Quote</v>
      </c>
      <c r="F27" s="259" t="str">
        <f t="shared" si="1"/>
        <v>GBPFUT1MQ5ConvAdj_Quote</v>
      </c>
      <c r="G27" s="258" t="str">
        <f>_xll.qlFuturesConvAdjustmentQuote($F27,IborIndex,$D27,$E27,Volatility,MeanReversion,Permanent,Trigger,ObjectOverwrite)</f>
        <v>GBPFUT1MQ5ConvAdj_Quote#0000</v>
      </c>
      <c r="H27" s="74" t="str">
        <f>_xll.ohRangeRetrieveError(G27)</f>
        <v/>
      </c>
    </row>
    <row r="28" spans="1:8" x14ac:dyDescent="0.2">
      <c r="A28" s="148"/>
      <c r="B28" s="147">
        <v>22</v>
      </c>
      <c r="C28" s="145" t="b">
        <v>0</v>
      </c>
      <c r="D28" s="145" t="str">
        <v>U5</v>
      </c>
      <c r="E28" s="258" t="str">
        <f t="shared" si="0"/>
        <v>GBPFUT1MU5_Quote</v>
      </c>
      <c r="F28" s="259" t="str">
        <f t="shared" si="1"/>
        <v>GBPFUT1MU5ConvAdj_Quote</v>
      </c>
      <c r="G28" s="258" t="str">
        <f>_xll.qlFuturesConvAdjustmentQuote($F28,IborIndex,$D28,$E28,Volatility,MeanReversion,Permanent,Trigger,ObjectOverwrite)</f>
        <v>GBPFUT1MU5ConvAdj_Quote#0000</v>
      </c>
      <c r="H28" s="74" t="str">
        <f>_xll.ohRangeRetrieveError(G28)</f>
        <v/>
      </c>
    </row>
    <row r="29" spans="1:8" x14ac:dyDescent="0.2">
      <c r="A29" s="148"/>
      <c r="B29" s="147">
        <v>23</v>
      </c>
      <c r="C29" s="145" t="b">
        <v>0</v>
      </c>
      <c r="D29" s="145" t="str">
        <v>V5</v>
      </c>
      <c r="E29" s="258" t="str">
        <f t="shared" si="0"/>
        <v>GBPFUT1MV5_Quote</v>
      </c>
      <c r="F29" s="259" t="str">
        <f t="shared" si="1"/>
        <v>GBPFUT1MV5ConvAdj_Quote</v>
      </c>
      <c r="G29" s="258" t="str">
        <f>_xll.qlFuturesConvAdjustmentQuote($F29,IborIndex,$D29,$E29,Volatility,MeanReversion,Permanent,Trigger,ObjectOverwrite)</f>
        <v>GBPFUT1MV5ConvAdj_Quote#0000</v>
      </c>
      <c r="H29" s="74" t="str">
        <f>_xll.ohRangeRetrieveError(G29)</f>
        <v/>
      </c>
    </row>
    <row r="30" spans="1:8" x14ac:dyDescent="0.2">
      <c r="A30" s="148"/>
      <c r="B30" s="147">
        <v>24</v>
      </c>
      <c r="C30" s="145" t="b">
        <v>0</v>
      </c>
      <c r="D30" s="145" t="str">
        <v>X5</v>
      </c>
      <c r="E30" s="258" t="str">
        <f t="shared" si="0"/>
        <v>GBPFUT1MX5_Quote</v>
      </c>
      <c r="F30" s="259" t="str">
        <f t="shared" si="1"/>
        <v>GBPFUT1MX5ConvAdj_Quote</v>
      </c>
      <c r="G30" s="258" t="str">
        <f>_xll.qlFuturesConvAdjustmentQuote($F30,IborIndex,$D30,$E30,Volatility,MeanReversion,Permanent,Trigger,ObjectOverwrite)</f>
        <v>GBPFUT1MX5ConvAdj_Quote#0000</v>
      </c>
      <c r="H30" s="74" t="str">
        <f>_xll.ohRangeRetrieveError(G30)</f>
        <v/>
      </c>
    </row>
    <row r="31" spans="1:8" x14ac:dyDescent="0.2">
      <c r="A31" s="148"/>
      <c r="B31" s="147">
        <v>25</v>
      </c>
      <c r="C31" s="145" t="b">
        <v>0</v>
      </c>
      <c r="D31" s="145" t="str">
        <v>Z5</v>
      </c>
      <c r="E31" s="258" t="str">
        <f t="shared" si="0"/>
        <v>GBPFUT1MZ5_Quote</v>
      </c>
      <c r="F31" s="259" t="str">
        <f t="shared" si="1"/>
        <v>GBPFUT1MZ5ConvAdj_Quote</v>
      </c>
      <c r="G31" s="258" t="str">
        <f>_xll.qlFuturesConvAdjustmentQuote($F31,IborIndex,$D31,$E31,Volatility,MeanReversion,Permanent,Trigger,ObjectOverwrite)</f>
        <v>GBPFUT1MZ5ConvAdj_Quote#0000</v>
      </c>
      <c r="H31" s="74" t="str">
        <f>_xll.ohRangeRetrieveError(G31)</f>
        <v/>
      </c>
    </row>
    <row r="32" spans="1:8" x14ac:dyDescent="0.2">
      <c r="A32" s="148"/>
      <c r="B32" s="147">
        <v>26</v>
      </c>
      <c r="C32" s="145" t="b">
        <v>0</v>
      </c>
      <c r="D32" s="145" t="str">
        <v>F6</v>
      </c>
      <c r="E32" s="258" t="str">
        <f t="shared" si="0"/>
        <v>GBPFUT1MF6_Quote</v>
      </c>
      <c r="F32" s="259" t="str">
        <f t="shared" si="1"/>
        <v>GBPFUT1MF6ConvAdj_Quote</v>
      </c>
      <c r="G32" s="258" t="str">
        <f>_xll.qlFuturesConvAdjustmentQuote($F32,IborIndex,$D32,$E32,Volatility,MeanReversion,Permanent,Trigger,ObjectOverwrite)</f>
        <v>GBPFUT1MF6ConvAdj_Quote#0000</v>
      </c>
      <c r="H32" s="74" t="str">
        <f>_xll.ohRangeRetrieveError(G32)</f>
        <v/>
      </c>
    </row>
    <row r="33" spans="1:8" x14ac:dyDescent="0.2">
      <c r="A33" s="148"/>
      <c r="B33" s="147">
        <v>27</v>
      </c>
      <c r="C33" s="145" t="b">
        <v>0</v>
      </c>
      <c r="D33" s="145" t="str">
        <v>G6</v>
      </c>
      <c r="E33" s="258" t="str">
        <f t="shared" si="0"/>
        <v>GBPFUT1MG6_Quote</v>
      </c>
      <c r="F33" s="259" t="str">
        <f t="shared" si="1"/>
        <v>GBPFUT1MG6ConvAdj_Quote</v>
      </c>
      <c r="G33" s="258" t="str">
        <f>_xll.qlFuturesConvAdjustmentQuote($F33,IborIndex,$D33,$E33,Volatility,MeanReversion,Permanent,Trigger,ObjectOverwrite)</f>
        <v>GBPFUT1MG6ConvAdj_Quote#0000</v>
      </c>
      <c r="H33" s="74" t="str">
        <f>_xll.ohRangeRetrieveError(G33)</f>
        <v/>
      </c>
    </row>
    <row r="34" spans="1:8" x14ac:dyDescent="0.2">
      <c r="A34" s="148"/>
      <c r="B34" s="147">
        <v>28</v>
      </c>
      <c r="C34" s="145" t="b">
        <v>0</v>
      </c>
      <c r="D34" s="145" t="str">
        <v>H6</v>
      </c>
      <c r="E34" s="258" t="str">
        <f t="shared" si="0"/>
        <v>GBPFUT1MH6_Quote</v>
      </c>
      <c r="F34" s="259" t="str">
        <f t="shared" si="1"/>
        <v>GBPFUT1MH6ConvAdj_Quote</v>
      </c>
      <c r="G34" s="258" t="str">
        <f>_xll.qlFuturesConvAdjustmentQuote($F34,IborIndex,$D34,$E34,Volatility,MeanReversion,Permanent,Trigger,ObjectOverwrite)</f>
        <v>GBPFUT1MH6ConvAdj_Quote#0000</v>
      </c>
      <c r="H34" s="74" t="str">
        <f>_xll.ohRangeRetrieveError(G34)</f>
        <v/>
      </c>
    </row>
    <row r="35" spans="1:8" x14ac:dyDescent="0.2">
      <c r="A35" s="148"/>
      <c r="B35" s="147">
        <v>29</v>
      </c>
      <c r="C35" s="145" t="b">
        <v>0</v>
      </c>
      <c r="D35" s="145" t="str">
        <v>J6</v>
      </c>
      <c r="E35" s="258" t="str">
        <f t="shared" si="0"/>
        <v>GBPFUT1MJ6_Quote</v>
      </c>
      <c r="F35" s="259" t="str">
        <f t="shared" si="1"/>
        <v>GBPFUT1MJ6ConvAdj_Quote</v>
      </c>
      <c r="G35" s="258" t="str">
        <f>_xll.qlFuturesConvAdjustmentQuote($F35,IborIndex,$D35,$E35,Volatility,MeanReversion,Permanent,Trigger,ObjectOverwrite)</f>
        <v>GBPFUT1MJ6ConvAdj_Quote#0000</v>
      </c>
      <c r="H35" s="74" t="str">
        <f>_xll.ohRangeRetrieveError(G35)</f>
        <v/>
      </c>
    </row>
    <row r="36" spans="1:8" x14ac:dyDescent="0.2">
      <c r="A36" s="148"/>
      <c r="B36" s="147">
        <v>30</v>
      </c>
      <c r="C36" s="145" t="b">
        <v>0</v>
      </c>
      <c r="D36" s="145" t="str">
        <v>K6</v>
      </c>
      <c r="E36" s="258" t="str">
        <f t="shared" si="0"/>
        <v>GBPFUT1MK6_Quote</v>
      </c>
      <c r="F36" s="259" t="str">
        <f t="shared" si="1"/>
        <v>GBPFUT1MK6ConvAdj_Quote</v>
      </c>
      <c r="G36" s="258" t="str">
        <f>_xll.qlFuturesConvAdjustmentQuote($F36,IborIndex,$D36,$E36,Volatility,MeanReversion,Permanent,Trigger,ObjectOverwrite)</f>
        <v>GBPFUT1MK6ConvAdj_Quote#0000</v>
      </c>
      <c r="H36" s="74" t="str">
        <f>_xll.ohRangeRetrieveError(G36)</f>
        <v/>
      </c>
    </row>
    <row r="37" spans="1:8" x14ac:dyDescent="0.2">
      <c r="A37" s="148"/>
      <c r="B37" s="147">
        <v>31</v>
      </c>
      <c r="C37" s="145" t="b">
        <v>0</v>
      </c>
      <c r="D37" s="145" t="str">
        <v>M6</v>
      </c>
      <c r="E37" s="258" t="str">
        <f t="shared" si="0"/>
        <v>GBPFUT1MM6_Quote</v>
      </c>
      <c r="F37" s="259" t="str">
        <f t="shared" si="1"/>
        <v>GBPFUT1MM6ConvAdj_Quote</v>
      </c>
      <c r="G37" s="258" t="str">
        <f>_xll.qlFuturesConvAdjustmentQuote($F37,IborIndex,$D37,$E37,Volatility,MeanReversion,Permanent,Trigger,ObjectOverwrite)</f>
        <v>GBPFUT1MM6ConvAdj_Quote#0000</v>
      </c>
      <c r="H37" s="74" t="str">
        <f>_xll.ohRangeRetrieveError(G37)</f>
        <v/>
      </c>
    </row>
    <row r="38" spans="1:8" x14ac:dyDescent="0.2">
      <c r="A38" s="148"/>
      <c r="B38" s="147">
        <v>32</v>
      </c>
      <c r="C38" s="145" t="b">
        <v>0</v>
      </c>
      <c r="D38" s="145" t="str">
        <v>N6</v>
      </c>
      <c r="E38" s="258" t="str">
        <f t="shared" si="0"/>
        <v>GBPFUT1MN6_Quote</v>
      </c>
      <c r="F38" s="259" t="str">
        <f t="shared" si="1"/>
        <v>GBPFUT1MN6ConvAdj_Quote</v>
      </c>
      <c r="G38" s="258" t="str">
        <f>_xll.qlFuturesConvAdjustmentQuote($F38,IborIndex,$D38,$E38,Volatility,MeanReversion,Permanent,Trigger,ObjectOverwrite)</f>
        <v>GBPFUT1MN6ConvAdj_Quote#0000</v>
      </c>
      <c r="H38" s="74" t="str">
        <f>_xll.ohRangeRetrieveError(G38)</f>
        <v/>
      </c>
    </row>
    <row r="39" spans="1:8" x14ac:dyDescent="0.2">
      <c r="A39" s="148"/>
      <c r="B39" s="147">
        <v>33</v>
      </c>
      <c r="C39" s="145" t="b">
        <v>0</v>
      </c>
      <c r="D39" s="145" t="str">
        <v>Q6</v>
      </c>
      <c r="E39" s="258" t="str">
        <f t="shared" ref="E39:E70" si="2">Currency&amp;"FUT"&amp;$G$4&amp;$D39&amp;QuoteSuffix</f>
        <v>GBPFUT1MQ6_Quote</v>
      </c>
      <c r="F39" s="259" t="str">
        <f t="shared" ref="F39:F70" si="3">Currency&amp;"FUT"&amp;$G$4&amp;$D39&amp;"ConvAdj"&amp;QuoteSuffix</f>
        <v>GBPFUT1MQ6ConvAdj_Quote</v>
      </c>
      <c r="G39" s="258" t="str">
        <f>_xll.qlFuturesConvAdjustmentQuote($F39,IborIndex,$D39,$E39,Volatility,MeanReversion,Permanent,Trigger,ObjectOverwrite)</f>
        <v>GBPFUT1MQ6ConvAdj_Quote#0000</v>
      </c>
      <c r="H39" s="74" t="str">
        <f>_xll.ohRangeRetrieveError(G39)</f>
        <v/>
      </c>
    </row>
    <row r="40" spans="1:8" x14ac:dyDescent="0.2">
      <c r="A40" s="148"/>
      <c r="B40" s="147">
        <v>34</v>
      </c>
      <c r="C40" s="145" t="b">
        <v>0</v>
      </c>
      <c r="D40" s="145" t="str">
        <v>U6</v>
      </c>
      <c r="E40" s="258" t="str">
        <f t="shared" si="2"/>
        <v>GBPFUT1MU6_Quote</v>
      </c>
      <c r="F40" s="259" t="str">
        <f t="shared" si="3"/>
        <v>GBPFUT1MU6ConvAdj_Quote</v>
      </c>
      <c r="G40" s="258" t="str">
        <f>_xll.qlFuturesConvAdjustmentQuote($F40,IborIndex,$D40,$E40,Volatility,MeanReversion,Permanent,Trigger,ObjectOverwrite)</f>
        <v>GBPFUT1MU6ConvAdj_Quote#0000</v>
      </c>
      <c r="H40" s="74" t="str">
        <f>_xll.ohRangeRetrieveError(G40)</f>
        <v/>
      </c>
    </row>
    <row r="41" spans="1:8" x14ac:dyDescent="0.2">
      <c r="A41" s="148"/>
      <c r="B41" s="147">
        <v>35</v>
      </c>
      <c r="C41" s="145" t="b">
        <v>0</v>
      </c>
      <c r="D41" s="145" t="str">
        <v>V6</v>
      </c>
      <c r="E41" s="258" t="str">
        <f t="shared" si="2"/>
        <v>GBPFUT1MV6_Quote</v>
      </c>
      <c r="F41" s="259" t="str">
        <f t="shared" si="3"/>
        <v>GBPFUT1MV6ConvAdj_Quote</v>
      </c>
      <c r="G41" s="258" t="str">
        <f>_xll.qlFuturesConvAdjustmentQuote($F41,IborIndex,$D41,$E41,Volatility,MeanReversion,Permanent,Trigger,ObjectOverwrite)</f>
        <v>GBPFUT1MV6ConvAdj_Quote#0000</v>
      </c>
      <c r="H41" s="74" t="str">
        <f>_xll.ohRangeRetrieveError(G41)</f>
        <v/>
      </c>
    </row>
    <row r="42" spans="1:8" x14ac:dyDescent="0.2">
      <c r="A42" s="148"/>
      <c r="B42" s="147">
        <v>36</v>
      </c>
      <c r="C42" s="145" t="b">
        <v>0</v>
      </c>
      <c r="D42" s="145" t="str">
        <v>X6</v>
      </c>
      <c r="E42" s="258" t="str">
        <f t="shared" si="2"/>
        <v>GBPFUT1MX6_Quote</v>
      </c>
      <c r="F42" s="259" t="str">
        <f t="shared" si="3"/>
        <v>GBPFUT1MX6ConvAdj_Quote</v>
      </c>
      <c r="G42" s="258" t="str">
        <f>_xll.qlFuturesConvAdjustmentQuote($F42,IborIndex,$D42,$E42,Volatility,MeanReversion,Permanent,Trigger,ObjectOverwrite)</f>
        <v>GBPFUT1MX6ConvAdj_Quote#0000</v>
      </c>
      <c r="H42" s="74" t="str">
        <f>_xll.ohRangeRetrieveError(G42)</f>
        <v/>
      </c>
    </row>
    <row r="43" spans="1:8" x14ac:dyDescent="0.2">
      <c r="A43" s="148"/>
      <c r="B43" s="147">
        <v>37</v>
      </c>
      <c r="C43" s="145" t="b">
        <v>0</v>
      </c>
      <c r="D43" s="145" t="str">
        <v>Z6</v>
      </c>
      <c r="E43" s="258" t="str">
        <f t="shared" si="2"/>
        <v>GBPFUT1MZ6_Quote</v>
      </c>
      <c r="F43" s="259" t="str">
        <f t="shared" si="3"/>
        <v>GBPFUT1MZ6ConvAdj_Quote</v>
      </c>
      <c r="G43" s="258" t="str">
        <f>_xll.qlFuturesConvAdjustmentQuote($F43,IborIndex,$D43,$E43,Volatility,MeanReversion,Permanent,Trigger,ObjectOverwrite)</f>
        <v>GBPFUT1MZ6ConvAdj_Quote#0000</v>
      </c>
      <c r="H43" s="74" t="str">
        <f>_xll.ohRangeRetrieveError(G43)</f>
        <v/>
      </c>
    </row>
    <row r="44" spans="1:8" x14ac:dyDescent="0.2">
      <c r="A44" s="148"/>
      <c r="B44" s="147">
        <v>38</v>
      </c>
      <c r="C44" s="145" t="b">
        <v>0</v>
      </c>
      <c r="D44" s="145" t="str">
        <v>F7</v>
      </c>
      <c r="E44" s="258" t="str">
        <f t="shared" si="2"/>
        <v>GBPFUT1MF7_Quote</v>
      </c>
      <c r="F44" s="259" t="str">
        <f t="shared" si="3"/>
        <v>GBPFUT1MF7ConvAdj_Quote</v>
      </c>
      <c r="G44" s="258" t="str">
        <f>_xll.qlFuturesConvAdjustmentQuote($F44,IborIndex,$D44,$E44,Volatility,MeanReversion,Permanent,Trigger,ObjectOverwrite)</f>
        <v>GBPFUT1MF7ConvAdj_Quote#0000</v>
      </c>
      <c r="H44" s="74" t="str">
        <f>_xll.ohRangeRetrieveError(G44)</f>
        <v/>
      </c>
    </row>
    <row r="45" spans="1:8" x14ac:dyDescent="0.2">
      <c r="A45" s="148"/>
      <c r="B45" s="147">
        <v>39</v>
      </c>
      <c r="C45" s="145" t="b">
        <v>0</v>
      </c>
      <c r="D45" s="145" t="str">
        <v>G7</v>
      </c>
      <c r="E45" s="258" t="str">
        <f t="shared" si="2"/>
        <v>GBPFUT1MG7_Quote</v>
      </c>
      <c r="F45" s="259" t="str">
        <f t="shared" si="3"/>
        <v>GBPFUT1MG7ConvAdj_Quote</v>
      </c>
      <c r="G45" s="258" t="str">
        <f>_xll.qlFuturesConvAdjustmentQuote($F45,IborIndex,$D45,$E45,Volatility,MeanReversion,Permanent,Trigger,ObjectOverwrite)</f>
        <v>GBPFUT1MG7ConvAdj_Quote#0000</v>
      </c>
      <c r="H45" s="74" t="str">
        <f>_xll.ohRangeRetrieveError(G45)</f>
        <v/>
      </c>
    </row>
    <row r="46" spans="1:8" x14ac:dyDescent="0.2">
      <c r="A46" s="148"/>
      <c r="B46" s="147">
        <v>40</v>
      </c>
      <c r="C46" s="145" t="b">
        <v>0</v>
      </c>
      <c r="D46" s="145" t="str">
        <v>H7</v>
      </c>
      <c r="E46" s="258" t="str">
        <f t="shared" si="2"/>
        <v>GBPFUT1MH7_Quote</v>
      </c>
      <c r="F46" s="259" t="str">
        <f t="shared" si="3"/>
        <v>GBPFUT1MH7ConvAdj_Quote</v>
      </c>
      <c r="G46" s="258" t="str">
        <f>_xll.qlFuturesConvAdjustmentQuote($F46,IborIndex,$D46,$E46,Volatility,MeanReversion,Permanent,Trigger,ObjectOverwrite)</f>
        <v>GBPFUT1MH7ConvAdj_Quote#0000</v>
      </c>
      <c r="H46" s="74" t="str">
        <f>_xll.ohRangeRetrieveError(G46)</f>
        <v/>
      </c>
    </row>
    <row r="47" spans="1:8" x14ac:dyDescent="0.2">
      <c r="A47" s="148"/>
      <c r="B47" s="147">
        <v>41</v>
      </c>
      <c r="C47" s="145" t="b">
        <v>0</v>
      </c>
      <c r="D47" s="145" t="str">
        <v>J7</v>
      </c>
      <c r="E47" s="258" t="str">
        <f t="shared" si="2"/>
        <v>GBPFUT1MJ7_Quote</v>
      </c>
      <c r="F47" s="259" t="str">
        <f t="shared" si="3"/>
        <v>GBPFUT1MJ7ConvAdj_Quote</v>
      </c>
      <c r="G47" s="258" t="str">
        <f>_xll.qlFuturesConvAdjustmentQuote($F47,IborIndex,$D47,$E47,Volatility,MeanReversion,Permanent,Trigger,ObjectOverwrite)</f>
        <v>GBPFUT1MJ7ConvAdj_Quote#0000</v>
      </c>
      <c r="H47" s="74" t="str">
        <f>_xll.ohRangeRetrieveError(G47)</f>
        <v/>
      </c>
    </row>
    <row r="48" spans="1:8" x14ac:dyDescent="0.2">
      <c r="A48" s="148"/>
      <c r="B48" s="147">
        <v>42</v>
      </c>
      <c r="C48" s="145" t="b">
        <v>0</v>
      </c>
      <c r="D48" s="145" t="str">
        <v>K7</v>
      </c>
      <c r="E48" s="258" t="str">
        <f t="shared" si="2"/>
        <v>GBPFUT1MK7_Quote</v>
      </c>
      <c r="F48" s="259" t="str">
        <f t="shared" si="3"/>
        <v>GBPFUT1MK7ConvAdj_Quote</v>
      </c>
      <c r="G48" s="258" t="str">
        <f>_xll.qlFuturesConvAdjustmentQuote($F48,IborIndex,$D48,$E48,Volatility,MeanReversion,Permanent,Trigger,ObjectOverwrite)</f>
        <v>GBPFUT1MK7ConvAdj_Quote#0000</v>
      </c>
      <c r="H48" s="74" t="str">
        <f>_xll.ohRangeRetrieveError(G48)</f>
        <v/>
      </c>
    </row>
    <row r="49" spans="1:8" x14ac:dyDescent="0.2">
      <c r="A49" s="148"/>
      <c r="B49" s="147">
        <v>43</v>
      </c>
      <c r="C49" s="145" t="b">
        <v>0</v>
      </c>
      <c r="D49" s="145" t="str">
        <v>M7</v>
      </c>
      <c r="E49" s="258" t="str">
        <f t="shared" si="2"/>
        <v>GBPFUT1MM7_Quote</v>
      </c>
      <c r="F49" s="259" t="str">
        <f t="shared" si="3"/>
        <v>GBPFUT1MM7ConvAdj_Quote</v>
      </c>
      <c r="G49" s="258" t="str">
        <f>_xll.qlFuturesConvAdjustmentQuote($F49,IborIndex,$D49,$E49,Volatility,MeanReversion,Permanent,Trigger,ObjectOverwrite)</f>
        <v>GBPFUT1MM7ConvAdj_Quote#0000</v>
      </c>
      <c r="H49" s="74" t="str">
        <f>_xll.ohRangeRetrieveError(G49)</f>
        <v/>
      </c>
    </row>
    <row r="50" spans="1:8" x14ac:dyDescent="0.2">
      <c r="A50" s="148"/>
      <c r="B50" s="147">
        <v>44</v>
      </c>
      <c r="C50" s="145" t="b">
        <v>0</v>
      </c>
      <c r="D50" s="145" t="str">
        <v>N7</v>
      </c>
      <c r="E50" s="258" t="str">
        <f t="shared" si="2"/>
        <v>GBPFUT1MN7_Quote</v>
      </c>
      <c r="F50" s="259" t="str">
        <f t="shared" si="3"/>
        <v>GBPFUT1MN7ConvAdj_Quote</v>
      </c>
      <c r="G50" s="258" t="str">
        <f>_xll.qlFuturesConvAdjustmentQuote($F50,IborIndex,$D50,$E50,Volatility,MeanReversion,Permanent,Trigger,ObjectOverwrite)</f>
        <v>GBPFUT1MN7ConvAdj_Quote#0000</v>
      </c>
      <c r="H50" s="74" t="str">
        <f>_xll.ohRangeRetrieveError(G50)</f>
        <v/>
      </c>
    </row>
    <row r="51" spans="1:8" x14ac:dyDescent="0.2">
      <c r="A51" s="148"/>
      <c r="B51" s="147">
        <v>45</v>
      </c>
      <c r="C51" s="145" t="b">
        <v>0</v>
      </c>
      <c r="D51" s="145" t="str">
        <v>Q7</v>
      </c>
      <c r="E51" s="258" t="str">
        <f t="shared" si="2"/>
        <v>GBPFUT1MQ7_Quote</v>
      </c>
      <c r="F51" s="259" t="str">
        <f t="shared" si="3"/>
        <v>GBPFUT1MQ7ConvAdj_Quote</v>
      </c>
      <c r="G51" s="258" t="str">
        <f>_xll.qlFuturesConvAdjustmentQuote($F51,IborIndex,$D51,$E51,Volatility,MeanReversion,Permanent,Trigger,ObjectOverwrite)</f>
        <v>GBPFUT1MQ7ConvAdj_Quote#0000</v>
      </c>
      <c r="H51" s="74" t="str">
        <f>_xll.ohRangeRetrieveError(G51)</f>
        <v/>
      </c>
    </row>
    <row r="52" spans="1:8" x14ac:dyDescent="0.2">
      <c r="A52" s="148"/>
      <c r="B52" s="147">
        <v>46</v>
      </c>
      <c r="C52" s="145" t="b">
        <v>0</v>
      </c>
      <c r="D52" s="145" t="str">
        <v>U7</v>
      </c>
      <c r="E52" s="258" t="str">
        <f t="shared" si="2"/>
        <v>GBPFUT1MU7_Quote</v>
      </c>
      <c r="F52" s="259" t="str">
        <f t="shared" si="3"/>
        <v>GBPFUT1MU7ConvAdj_Quote</v>
      </c>
      <c r="G52" s="258" t="str">
        <f>_xll.qlFuturesConvAdjustmentQuote($F52,IborIndex,$D52,$E52,Volatility,MeanReversion,Permanent,Trigger,ObjectOverwrite)</f>
        <v>GBPFUT1MU7ConvAdj_Quote#0000</v>
      </c>
      <c r="H52" s="74" t="str">
        <f>_xll.ohRangeRetrieveError(G52)</f>
        <v/>
      </c>
    </row>
    <row r="53" spans="1:8" x14ac:dyDescent="0.2">
      <c r="A53" s="148"/>
      <c r="B53" s="147">
        <v>47</v>
      </c>
      <c r="C53" s="145" t="b">
        <v>0</v>
      </c>
      <c r="D53" s="145" t="str">
        <v>V7</v>
      </c>
      <c r="E53" s="258" t="str">
        <f t="shared" si="2"/>
        <v>GBPFUT1MV7_Quote</v>
      </c>
      <c r="F53" s="259" t="str">
        <f t="shared" si="3"/>
        <v>GBPFUT1MV7ConvAdj_Quote</v>
      </c>
      <c r="G53" s="258" t="str">
        <f>_xll.qlFuturesConvAdjustmentQuote($F53,IborIndex,$D53,$E53,Volatility,MeanReversion,Permanent,Trigger,ObjectOverwrite)</f>
        <v>GBPFUT1MV7ConvAdj_Quote#0000</v>
      </c>
      <c r="H53" s="74" t="str">
        <f>_xll.ohRangeRetrieveError(G53)</f>
        <v/>
      </c>
    </row>
    <row r="54" spans="1:8" x14ac:dyDescent="0.2">
      <c r="A54" s="148"/>
      <c r="B54" s="147">
        <v>48</v>
      </c>
      <c r="C54" s="145" t="b">
        <v>0</v>
      </c>
      <c r="D54" s="145" t="str">
        <v>X7</v>
      </c>
      <c r="E54" s="258" t="str">
        <f t="shared" si="2"/>
        <v>GBPFUT1MX7_Quote</v>
      </c>
      <c r="F54" s="259" t="str">
        <f t="shared" si="3"/>
        <v>GBPFUT1MX7ConvAdj_Quote</v>
      </c>
      <c r="G54" s="258" t="str">
        <f>_xll.qlFuturesConvAdjustmentQuote($F54,IborIndex,$D54,$E54,Volatility,MeanReversion,Permanent,Trigger,ObjectOverwrite)</f>
        <v>GBPFUT1MX7ConvAdj_Quote#0000</v>
      </c>
      <c r="H54" s="74" t="str">
        <f>_xll.ohRangeRetrieveError(G54)</f>
        <v/>
      </c>
    </row>
    <row r="55" spans="1:8" x14ac:dyDescent="0.2">
      <c r="A55" s="148"/>
      <c r="B55" s="147">
        <v>49</v>
      </c>
      <c r="C55" s="145" t="b">
        <v>0</v>
      </c>
      <c r="D55" s="145" t="str">
        <v>Z7</v>
      </c>
      <c r="E55" s="258" t="str">
        <f t="shared" si="2"/>
        <v>GBPFUT1MZ7_Quote</v>
      </c>
      <c r="F55" s="259" t="str">
        <f t="shared" si="3"/>
        <v>GBPFUT1MZ7ConvAdj_Quote</v>
      </c>
      <c r="G55" s="258" t="str">
        <f>_xll.qlFuturesConvAdjustmentQuote($F55,IborIndex,$D55,$E55,Volatility,MeanReversion,Permanent,Trigger,ObjectOverwrite)</f>
        <v>GBPFUT1MZ7ConvAdj_Quote#0000</v>
      </c>
      <c r="H55" s="74" t="str">
        <f>_xll.ohRangeRetrieveError(G55)</f>
        <v/>
      </c>
    </row>
    <row r="56" spans="1:8" x14ac:dyDescent="0.2">
      <c r="A56" s="148"/>
      <c r="B56" s="147">
        <v>50</v>
      </c>
      <c r="C56" s="145" t="b">
        <v>0</v>
      </c>
      <c r="D56" s="145" t="str">
        <v>F8</v>
      </c>
      <c r="E56" s="258" t="str">
        <f t="shared" si="2"/>
        <v>GBPFUT1MF8_Quote</v>
      </c>
      <c r="F56" s="259" t="str">
        <f t="shared" si="3"/>
        <v>GBPFUT1MF8ConvAdj_Quote</v>
      </c>
      <c r="G56" s="258" t="str">
        <f>_xll.qlFuturesConvAdjustmentQuote($F56,IborIndex,$D56,$E56,Volatility,MeanReversion,Permanent,Trigger,ObjectOverwrite)</f>
        <v>GBPFUT1MF8ConvAdj_Quote#0000</v>
      </c>
      <c r="H56" s="74" t="str">
        <f>_xll.ohRangeRetrieveError(G56)</f>
        <v/>
      </c>
    </row>
    <row r="57" spans="1:8" x14ac:dyDescent="0.2">
      <c r="A57" s="148"/>
      <c r="B57" s="147">
        <v>51</v>
      </c>
      <c r="C57" s="145" t="b">
        <v>0</v>
      </c>
      <c r="D57" s="145" t="str">
        <v>G8</v>
      </c>
      <c r="E57" s="258" t="str">
        <f t="shared" si="2"/>
        <v>GBPFUT1MG8_Quote</v>
      </c>
      <c r="F57" s="259" t="str">
        <f t="shared" si="3"/>
        <v>GBPFUT1MG8ConvAdj_Quote</v>
      </c>
      <c r="G57" s="258" t="str">
        <f>_xll.qlFuturesConvAdjustmentQuote($F57,IborIndex,$D57,$E57,Volatility,MeanReversion,Permanent,Trigger,ObjectOverwrite)</f>
        <v>GBPFUT1MG8ConvAdj_Quote#0000</v>
      </c>
      <c r="H57" s="74" t="str">
        <f>_xll.ohRangeRetrieveError(G57)</f>
        <v/>
      </c>
    </row>
    <row r="58" spans="1:8" x14ac:dyDescent="0.2">
      <c r="A58" s="148"/>
      <c r="B58" s="147">
        <v>52</v>
      </c>
      <c r="C58" s="145" t="b">
        <v>0</v>
      </c>
      <c r="D58" s="145" t="str">
        <v>H8</v>
      </c>
      <c r="E58" s="258" t="str">
        <f t="shared" si="2"/>
        <v>GBPFUT1MH8_Quote</v>
      </c>
      <c r="F58" s="259" t="str">
        <f t="shared" si="3"/>
        <v>GBPFUT1MH8ConvAdj_Quote</v>
      </c>
      <c r="G58" s="258" t="str">
        <f>_xll.qlFuturesConvAdjustmentQuote($F58,IborIndex,$D58,$E58,Volatility,MeanReversion,Permanent,Trigger,ObjectOverwrite)</f>
        <v>GBPFUT1MH8ConvAdj_Quote#0000</v>
      </c>
      <c r="H58" s="74" t="str">
        <f>_xll.ohRangeRetrieveError(G58)</f>
        <v/>
      </c>
    </row>
    <row r="59" spans="1:8" x14ac:dyDescent="0.2">
      <c r="A59" s="148"/>
      <c r="B59" s="147">
        <v>53</v>
      </c>
      <c r="C59" s="145" t="b">
        <v>0</v>
      </c>
      <c r="D59" s="145" t="str">
        <v>J8</v>
      </c>
      <c r="E59" s="258" t="str">
        <f t="shared" si="2"/>
        <v>GBPFUT1MJ8_Quote</v>
      </c>
      <c r="F59" s="259" t="str">
        <f t="shared" si="3"/>
        <v>GBPFUT1MJ8ConvAdj_Quote</v>
      </c>
      <c r="G59" s="258" t="str">
        <f>_xll.qlFuturesConvAdjustmentQuote($F59,IborIndex,$D59,$E59,Volatility,MeanReversion,Permanent,Trigger,ObjectOverwrite)</f>
        <v>GBPFUT1MJ8ConvAdj_Quote#0000</v>
      </c>
      <c r="H59" s="74" t="str">
        <f>_xll.ohRangeRetrieveError(G59)</f>
        <v/>
      </c>
    </row>
    <row r="60" spans="1:8" x14ac:dyDescent="0.2">
      <c r="A60" s="148"/>
      <c r="B60" s="147">
        <v>54</v>
      </c>
      <c r="C60" s="145" t="b">
        <v>0</v>
      </c>
      <c r="D60" s="145" t="str">
        <v>K8</v>
      </c>
      <c r="E60" s="258" t="str">
        <f t="shared" si="2"/>
        <v>GBPFUT1MK8_Quote</v>
      </c>
      <c r="F60" s="259" t="str">
        <f t="shared" si="3"/>
        <v>GBPFUT1MK8ConvAdj_Quote</v>
      </c>
      <c r="G60" s="258" t="str">
        <f>_xll.qlFuturesConvAdjustmentQuote($F60,IborIndex,$D60,$E60,Volatility,MeanReversion,Permanent,Trigger,ObjectOverwrite)</f>
        <v>GBPFUT1MK8ConvAdj_Quote#0000</v>
      </c>
      <c r="H60" s="74" t="str">
        <f>_xll.ohRangeRetrieveError(G60)</f>
        <v/>
      </c>
    </row>
    <row r="61" spans="1:8" x14ac:dyDescent="0.2">
      <c r="A61" s="148"/>
      <c r="B61" s="147">
        <v>55</v>
      </c>
      <c r="C61" s="145" t="b">
        <v>0</v>
      </c>
      <c r="D61" s="145" t="str">
        <v>M8</v>
      </c>
      <c r="E61" s="258" t="str">
        <f t="shared" si="2"/>
        <v>GBPFUT1MM8_Quote</v>
      </c>
      <c r="F61" s="259" t="str">
        <f t="shared" si="3"/>
        <v>GBPFUT1MM8ConvAdj_Quote</v>
      </c>
      <c r="G61" s="258" t="str">
        <f>_xll.qlFuturesConvAdjustmentQuote($F61,IborIndex,$D61,$E61,Volatility,MeanReversion,Permanent,Trigger,ObjectOverwrite)</f>
        <v>GBPFUT1MM8ConvAdj_Quote#0000</v>
      </c>
      <c r="H61" s="74" t="str">
        <f>_xll.ohRangeRetrieveError(G61)</f>
        <v/>
      </c>
    </row>
    <row r="62" spans="1:8" x14ac:dyDescent="0.2">
      <c r="A62" s="148"/>
      <c r="B62" s="147">
        <v>56</v>
      </c>
      <c r="C62" s="145" t="b">
        <v>0</v>
      </c>
      <c r="D62" s="145" t="str">
        <v>N8</v>
      </c>
      <c r="E62" s="258" t="str">
        <f t="shared" si="2"/>
        <v>GBPFUT1MN8_Quote</v>
      </c>
      <c r="F62" s="259" t="str">
        <f t="shared" si="3"/>
        <v>GBPFUT1MN8ConvAdj_Quote</v>
      </c>
      <c r="G62" s="258" t="str">
        <f>_xll.qlFuturesConvAdjustmentQuote($F62,IborIndex,$D62,$E62,Volatility,MeanReversion,Permanent,Trigger,ObjectOverwrite)</f>
        <v>GBPFUT1MN8ConvAdj_Quote#0000</v>
      </c>
      <c r="H62" s="74" t="str">
        <f>_xll.ohRangeRetrieveError(G62)</f>
        <v/>
      </c>
    </row>
    <row r="63" spans="1:8" x14ac:dyDescent="0.2">
      <c r="A63" s="148"/>
      <c r="B63" s="147">
        <v>57</v>
      </c>
      <c r="C63" s="145" t="b">
        <v>0</v>
      </c>
      <c r="D63" s="145" t="str">
        <v>Q8</v>
      </c>
      <c r="E63" s="258" t="str">
        <f t="shared" si="2"/>
        <v>GBPFUT1MQ8_Quote</v>
      </c>
      <c r="F63" s="259" t="str">
        <f t="shared" si="3"/>
        <v>GBPFUT1MQ8ConvAdj_Quote</v>
      </c>
      <c r="G63" s="258" t="str">
        <f>_xll.qlFuturesConvAdjustmentQuote($F63,IborIndex,$D63,$E63,Volatility,MeanReversion,Permanent,Trigger,ObjectOverwrite)</f>
        <v>GBPFUT1MQ8ConvAdj_Quote#0000</v>
      </c>
      <c r="H63" s="74" t="str">
        <f>_xll.ohRangeRetrieveError(G63)</f>
        <v/>
      </c>
    </row>
    <row r="64" spans="1:8" x14ac:dyDescent="0.2">
      <c r="A64" s="148"/>
      <c r="B64" s="147">
        <v>58</v>
      </c>
      <c r="C64" s="145" t="b">
        <v>0</v>
      </c>
      <c r="D64" s="145" t="str">
        <v>U8</v>
      </c>
      <c r="E64" s="258" t="str">
        <f t="shared" si="2"/>
        <v>GBPFUT1MU8_Quote</v>
      </c>
      <c r="F64" s="259" t="str">
        <f t="shared" si="3"/>
        <v>GBPFUT1MU8ConvAdj_Quote</v>
      </c>
      <c r="G64" s="258" t="str">
        <f>_xll.qlFuturesConvAdjustmentQuote($F64,IborIndex,$D64,$E64,Volatility,MeanReversion,Permanent,Trigger,ObjectOverwrite)</f>
        <v>GBPFUT1MU8ConvAdj_Quote#0000</v>
      </c>
      <c r="H64" s="74" t="str">
        <f>_xll.ohRangeRetrieveError(G64)</f>
        <v/>
      </c>
    </row>
    <row r="65" spans="1:8" x14ac:dyDescent="0.2">
      <c r="A65" s="148"/>
      <c r="B65" s="147">
        <v>59</v>
      </c>
      <c r="C65" s="145" t="b">
        <v>0</v>
      </c>
      <c r="D65" s="145" t="str">
        <v>V8</v>
      </c>
      <c r="E65" s="258" t="str">
        <f t="shared" si="2"/>
        <v>GBPFUT1MV8_Quote</v>
      </c>
      <c r="F65" s="259" t="str">
        <f t="shared" si="3"/>
        <v>GBPFUT1MV8ConvAdj_Quote</v>
      </c>
      <c r="G65" s="258" t="str">
        <f>_xll.qlFuturesConvAdjustmentQuote($F65,IborIndex,$D65,$E65,Volatility,MeanReversion,Permanent,Trigger,ObjectOverwrite)</f>
        <v>GBPFUT1MV8ConvAdj_Quote#0000</v>
      </c>
      <c r="H65" s="74" t="str">
        <f>_xll.ohRangeRetrieveError(G65)</f>
        <v/>
      </c>
    </row>
    <row r="66" spans="1:8" x14ac:dyDescent="0.2">
      <c r="A66" s="148"/>
      <c r="B66" s="147">
        <v>60</v>
      </c>
      <c r="C66" s="145" t="b">
        <v>0</v>
      </c>
      <c r="D66" s="145" t="str">
        <v>X8</v>
      </c>
      <c r="E66" s="258" t="str">
        <f t="shared" si="2"/>
        <v>GBPFUT1MX8_Quote</v>
      </c>
      <c r="F66" s="259" t="str">
        <f t="shared" si="3"/>
        <v>GBPFUT1MX8ConvAdj_Quote</v>
      </c>
      <c r="G66" s="258" t="str">
        <f>_xll.qlFuturesConvAdjustmentQuote($F66,IborIndex,$D66,$E66,Volatility,MeanReversion,Permanent,Trigger,ObjectOverwrite)</f>
        <v>GBPFUT1MX8ConvAdj_Quote#0000</v>
      </c>
      <c r="H66" s="74" t="str">
        <f>_xll.ohRangeRetrieveError(G66)</f>
        <v/>
      </c>
    </row>
    <row r="67" spans="1:8" x14ac:dyDescent="0.2">
      <c r="A67" s="148"/>
      <c r="B67" s="147">
        <v>61</v>
      </c>
      <c r="C67" s="145" t="b">
        <v>0</v>
      </c>
      <c r="D67" s="145" t="str">
        <v>Z8</v>
      </c>
      <c r="E67" s="258" t="str">
        <f t="shared" si="2"/>
        <v>GBPFUT1MZ8_Quote</v>
      </c>
      <c r="F67" s="259" t="str">
        <f t="shared" si="3"/>
        <v>GBPFUT1MZ8ConvAdj_Quote</v>
      </c>
      <c r="G67" s="258" t="str">
        <f>_xll.qlFuturesConvAdjustmentQuote($F67,IborIndex,$D67,$E67,Volatility,MeanReversion,Permanent,Trigger,ObjectOverwrite)</f>
        <v>GBPFUT1MZ8ConvAdj_Quote#0000</v>
      </c>
      <c r="H67" s="74" t="str">
        <f>_xll.ohRangeRetrieveError(G67)</f>
        <v/>
      </c>
    </row>
    <row r="68" spans="1:8" x14ac:dyDescent="0.2">
      <c r="A68" s="148"/>
      <c r="B68" s="147">
        <v>62</v>
      </c>
      <c r="C68" s="145" t="b">
        <v>0</v>
      </c>
      <c r="D68" s="145" t="str">
        <v>F9</v>
      </c>
      <c r="E68" s="258" t="str">
        <f t="shared" si="2"/>
        <v>GBPFUT1MF9_Quote</v>
      </c>
      <c r="F68" s="259" t="str">
        <f t="shared" si="3"/>
        <v>GBPFUT1MF9ConvAdj_Quote</v>
      </c>
      <c r="G68" s="258" t="str">
        <f>_xll.qlFuturesConvAdjustmentQuote($F68,IborIndex,$D68,$E68,Volatility,MeanReversion,Permanent,Trigger,ObjectOverwrite)</f>
        <v>GBPFUT1MF9ConvAdj_Quote#0000</v>
      </c>
      <c r="H68" s="74" t="str">
        <f>_xll.ohRangeRetrieveError(G68)</f>
        <v/>
      </c>
    </row>
    <row r="69" spans="1:8" x14ac:dyDescent="0.2">
      <c r="A69" s="148"/>
      <c r="B69" s="147">
        <v>63</v>
      </c>
      <c r="C69" s="145" t="b">
        <v>0</v>
      </c>
      <c r="D69" s="145" t="str">
        <v>G9</v>
      </c>
      <c r="E69" s="258" t="str">
        <f t="shared" si="2"/>
        <v>GBPFUT1MG9_Quote</v>
      </c>
      <c r="F69" s="259" t="str">
        <f t="shared" si="3"/>
        <v>GBPFUT1MG9ConvAdj_Quote</v>
      </c>
      <c r="G69" s="258" t="str">
        <f>_xll.qlFuturesConvAdjustmentQuote($F69,IborIndex,$D69,$E69,Volatility,MeanReversion,Permanent,Trigger,ObjectOverwrite)</f>
        <v>GBPFUT1MG9ConvAdj_Quote#0000</v>
      </c>
      <c r="H69" s="74" t="str">
        <f>_xll.ohRangeRetrieveError(G69)</f>
        <v/>
      </c>
    </row>
    <row r="70" spans="1:8" x14ac:dyDescent="0.2">
      <c r="A70" s="148"/>
      <c r="B70" s="147">
        <v>64</v>
      </c>
      <c r="C70" s="145" t="b">
        <v>0</v>
      </c>
      <c r="D70" s="145" t="str">
        <v>H9</v>
      </c>
      <c r="E70" s="258" t="str">
        <f t="shared" si="2"/>
        <v>GBPFUT1MH9_Quote</v>
      </c>
      <c r="F70" s="259" t="str">
        <f t="shared" si="3"/>
        <v>GBPFUT1MH9ConvAdj_Quote</v>
      </c>
      <c r="G70" s="258" t="str">
        <f>_xll.qlFuturesConvAdjustmentQuote($F70,IborIndex,$D70,$E70,Volatility,MeanReversion,Permanent,Trigger,ObjectOverwrite)</f>
        <v>GBPFUT1MH9ConvAdj_Quote#0000</v>
      </c>
      <c r="H70" s="74" t="str">
        <f>_xll.ohRangeRetrieveError(G70)</f>
        <v/>
      </c>
    </row>
    <row r="71" spans="1:8" x14ac:dyDescent="0.2">
      <c r="A71" s="148"/>
      <c r="B71" s="147">
        <v>65</v>
      </c>
      <c r="C71" s="145" t="b">
        <v>0</v>
      </c>
      <c r="D71" s="145" t="str">
        <v>J9</v>
      </c>
      <c r="E71" s="258" t="str">
        <f t="shared" ref="E71:E102" si="4">Currency&amp;"FUT"&amp;$G$4&amp;$D71&amp;QuoteSuffix</f>
        <v>GBPFUT1MJ9_Quote</v>
      </c>
      <c r="F71" s="259" t="str">
        <f t="shared" ref="F71:F102" si="5">Currency&amp;"FUT"&amp;$G$4&amp;$D71&amp;"ConvAdj"&amp;QuoteSuffix</f>
        <v>GBPFUT1MJ9ConvAdj_Quote</v>
      </c>
      <c r="G71" s="258" t="str">
        <f>_xll.qlFuturesConvAdjustmentQuote($F71,IborIndex,$D71,$E71,Volatility,MeanReversion,Permanent,Trigger,ObjectOverwrite)</f>
        <v>GBPFUT1MJ9ConvAdj_Quote#0000</v>
      </c>
      <c r="H71" s="74" t="str">
        <f>_xll.ohRangeRetrieveError(G71)</f>
        <v/>
      </c>
    </row>
    <row r="72" spans="1:8" x14ac:dyDescent="0.2">
      <c r="A72" s="148"/>
      <c r="B72" s="147">
        <v>66</v>
      </c>
      <c r="C72" s="145" t="b">
        <v>0</v>
      </c>
      <c r="D72" s="145" t="str">
        <v>K9</v>
      </c>
      <c r="E72" s="258" t="str">
        <f t="shared" si="4"/>
        <v>GBPFUT1MK9_Quote</v>
      </c>
      <c r="F72" s="259" t="str">
        <f t="shared" si="5"/>
        <v>GBPFUT1MK9ConvAdj_Quote</v>
      </c>
      <c r="G72" s="258" t="str">
        <f>_xll.qlFuturesConvAdjustmentQuote($F72,IborIndex,$D72,$E72,Volatility,MeanReversion,Permanent,Trigger,ObjectOverwrite)</f>
        <v>GBPFUT1MK9ConvAdj_Quote#0000</v>
      </c>
      <c r="H72" s="74" t="str">
        <f>_xll.ohRangeRetrieveError(G72)</f>
        <v/>
      </c>
    </row>
    <row r="73" spans="1:8" x14ac:dyDescent="0.2">
      <c r="A73" s="148"/>
      <c r="B73" s="147">
        <v>67</v>
      </c>
      <c r="C73" s="145" t="b">
        <v>0</v>
      </c>
      <c r="D73" s="145" t="str">
        <v>M9</v>
      </c>
      <c r="E73" s="258" t="str">
        <f t="shared" si="4"/>
        <v>GBPFUT1MM9_Quote</v>
      </c>
      <c r="F73" s="259" t="str">
        <f t="shared" si="5"/>
        <v>GBPFUT1MM9ConvAdj_Quote</v>
      </c>
      <c r="G73" s="258" t="str">
        <f>_xll.qlFuturesConvAdjustmentQuote($F73,IborIndex,$D73,$E73,Volatility,MeanReversion,Permanent,Trigger,ObjectOverwrite)</f>
        <v>GBPFUT1MM9ConvAdj_Quote#0000</v>
      </c>
      <c r="H73" s="74" t="str">
        <f>_xll.ohRangeRetrieveError(G73)</f>
        <v/>
      </c>
    </row>
    <row r="74" spans="1:8" x14ac:dyDescent="0.2">
      <c r="A74" s="148"/>
      <c r="B74" s="147">
        <v>68</v>
      </c>
      <c r="C74" s="145" t="b">
        <v>0</v>
      </c>
      <c r="D74" s="145" t="str">
        <v>N9</v>
      </c>
      <c r="E74" s="258" t="str">
        <f t="shared" si="4"/>
        <v>GBPFUT1MN9_Quote</v>
      </c>
      <c r="F74" s="259" t="str">
        <f t="shared" si="5"/>
        <v>GBPFUT1MN9ConvAdj_Quote</v>
      </c>
      <c r="G74" s="258" t="str">
        <f>_xll.qlFuturesConvAdjustmentQuote($F74,IborIndex,$D74,$E74,Volatility,MeanReversion,Permanent,Trigger,ObjectOverwrite)</f>
        <v>GBPFUT1MN9ConvAdj_Quote#0000</v>
      </c>
      <c r="H74" s="74" t="str">
        <f>_xll.ohRangeRetrieveError(G74)</f>
        <v/>
      </c>
    </row>
    <row r="75" spans="1:8" x14ac:dyDescent="0.2">
      <c r="A75" s="148"/>
      <c r="B75" s="147">
        <v>69</v>
      </c>
      <c r="C75" s="145" t="b">
        <v>0</v>
      </c>
      <c r="D75" s="145" t="str">
        <v>Q9</v>
      </c>
      <c r="E75" s="258" t="str">
        <f t="shared" si="4"/>
        <v>GBPFUT1MQ9_Quote</v>
      </c>
      <c r="F75" s="259" t="str">
        <f t="shared" si="5"/>
        <v>GBPFUT1MQ9ConvAdj_Quote</v>
      </c>
      <c r="G75" s="258" t="str">
        <f>_xll.qlFuturesConvAdjustmentQuote($F75,IborIndex,$D75,$E75,Volatility,MeanReversion,Permanent,Trigger,ObjectOverwrite)</f>
        <v>GBPFUT1MQ9ConvAdj_Quote#0000</v>
      </c>
      <c r="H75" s="74" t="str">
        <f>_xll.ohRangeRetrieveError(G75)</f>
        <v/>
      </c>
    </row>
    <row r="76" spans="1:8" x14ac:dyDescent="0.2">
      <c r="A76" s="148"/>
      <c r="B76" s="147">
        <v>70</v>
      </c>
      <c r="C76" s="145" t="b">
        <v>0</v>
      </c>
      <c r="D76" s="145" t="str">
        <v>U9</v>
      </c>
      <c r="E76" s="258" t="str">
        <f t="shared" si="4"/>
        <v>GBPFUT1MU9_Quote</v>
      </c>
      <c r="F76" s="259" t="str">
        <f t="shared" si="5"/>
        <v>GBPFUT1MU9ConvAdj_Quote</v>
      </c>
      <c r="G76" s="258" t="str">
        <f>_xll.qlFuturesConvAdjustmentQuote($F76,IborIndex,$D76,$E76,Volatility,MeanReversion,Permanent,Trigger,ObjectOverwrite)</f>
        <v>GBPFUT1MU9ConvAdj_Quote#0000</v>
      </c>
      <c r="H76" s="74" t="str">
        <f>_xll.ohRangeRetrieveError(G76)</f>
        <v/>
      </c>
    </row>
    <row r="77" spans="1:8" x14ac:dyDescent="0.2">
      <c r="A77" s="148"/>
      <c r="B77" s="147">
        <v>71</v>
      </c>
      <c r="C77" s="145" t="b">
        <v>0</v>
      </c>
      <c r="D77" s="145" t="str">
        <v>V9</v>
      </c>
      <c r="E77" s="258" t="str">
        <f t="shared" si="4"/>
        <v>GBPFUT1MV9_Quote</v>
      </c>
      <c r="F77" s="259" t="str">
        <f t="shared" si="5"/>
        <v>GBPFUT1MV9ConvAdj_Quote</v>
      </c>
      <c r="G77" s="258" t="str">
        <f>_xll.qlFuturesConvAdjustmentQuote($F77,IborIndex,$D77,$E77,Volatility,MeanReversion,Permanent,Trigger,ObjectOverwrite)</f>
        <v>GBPFUT1MV9ConvAdj_Quote#0000</v>
      </c>
      <c r="H77" s="74" t="str">
        <f>_xll.ohRangeRetrieveError(G77)</f>
        <v/>
      </c>
    </row>
    <row r="78" spans="1:8" x14ac:dyDescent="0.2">
      <c r="A78" s="148"/>
      <c r="B78" s="147">
        <v>72</v>
      </c>
      <c r="C78" s="145" t="b">
        <v>0</v>
      </c>
      <c r="D78" s="145" t="str">
        <v>X9</v>
      </c>
      <c r="E78" s="258" t="str">
        <f t="shared" si="4"/>
        <v>GBPFUT1MX9_Quote</v>
      </c>
      <c r="F78" s="259" t="str">
        <f t="shared" si="5"/>
        <v>GBPFUT1MX9ConvAdj_Quote</v>
      </c>
      <c r="G78" s="258" t="str">
        <f>_xll.qlFuturesConvAdjustmentQuote($F78,IborIndex,$D78,$E78,Volatility,MeanReversion,Permanent,Trigger,ObjectOverwrite)</f>
        <v>GBPFUT1MX9ConvAdj_Quote#0000</v>
      </c>
      <c r="H78" s="74" t="str">
        <f>_xll.ohRangeRetrieveError(G78)</f>
        <v/>
      </c>
    </row>
    <row r="79" spans="1:8" x14ac:dyDescent="0.2">
      <c r="A79" s="148"/>
      <c r="B79" s="147">
        <v>73</v>
      </c>
      <c r="C79" s="145" t="b">
        <v>0</v>
      </c>
      <c r="D79" s="145" t="str">
        <v>Z9</v>
      </c>
      <c r="E79" s="258" t="str">
        <f t="shared" si="4"/>
        <v>GBPFUT1MZ9_Quote</v>
      </c>
      <c r="F79" s="259" t="str">
        <f t="shared" si="5"/>
        <v>GBPFUT1MZ9ConvAdj_Quote</v>
      </c>
      <c r="G79" s="258" t="str">
        <f>_xll.qlFuturesConvAdjustmentQuote($F79,IborIndex,$D79,$E79,Volatility,MeanReversion,Permanent,Trigger,ObjectOverwrite)</f>
        <v>GBPFUT1MZ9ConvAdj_Quote#0000</v>
      </c>
      <c r="H79" s="74" t="str">
        <f>_xll.ohRangeRetrieveError(G79)</f>
        <v/>
      </c>
    </row>
    <row r="80" spans="1:8" x14ac:dyDescent="0.2">
      <c r="A80" s="148"/>
      <c r="B80" s="147">
        <v>74</v>
      </c>
      <c r="C80" s="145" t="b">
        <v>0</v>
      </c>
      <c r="D80" s="145" t="str">
        <v>F0</v>
      </c>
      <c r="E80" s="258" t="str">
        <f t="shared" si="4"/>
        <v>GBPFUT1MF0_Quote</v>
      </c>
      <c r="F80" s="259" t="str">
        <f t="shared" si="5"/>
        <v>GBPFUT1MF0ConvAdj_Quote</v>
      </c>
      <c r="G80" s="258" t="str">
        <f>_xll.qlFuturesConvAdjustmentQuote($F80,IborIndex,$D80,$E80,Volatility,MeanReversion,Permanent,Trigger,ObjectOverwrite)</f>
        <v>GBPFUT1MF0ConvAdj_Quote#0000</v>
      </c>
      <c r="H80" s="74" t="str">
        <f>_xll.ohRangeRetrieveError(G80)</f>
        <v/>
      </c>
    </row>
    <row r="81" spans="1:8" x14ac:dyDescent="0.2">
      <c r="A81" s="148"/>
      <c r="B81" s="147">
        <v>75</v>
      </c>
      <c r="C81" s="145" t="b">
        <v>0</v>
      </c>
      <c r="D81" s="145" t="str">
        <v>G0</v>
      </c>
      <c r="E81" s="258" t="str">
        <f t="shared" si="4"/>
        <v>GBPFUT1MG0_Quote</v>
      </c>
      <c r="F81" s="259" t="str">
        <f t="shared" si="5"/>
        <v>GBPFUT1MG0ConvAdj_Quote</v>
      </c>
      <c r="G81" s="258" t="str">
        <f>_xll.qlFuturesConvAdjustmentQuote($F81,IborIndex,$D81,$E81,Volatility,MeanReversion,Permanent,Trigger,ObjectOverwrite)</f>
        <v>GBPFUT1MG0ConvAdj_Quote#0000</v>
      </c>
      <c r="H81" s="74" t="str">
        <f>_xll.ohRangeRetrieveError(G81)</f>
        <v/>
      </c>
    </row>
    <row r="82" spans="1:8" x14ac:dyDescent="0.2">
      <c r="A82" s="148"/>
      <c r="B82" s="147">
        <v>76</v>
      </c>
      <c r="C82" s="145" t="b">
        <v>0</v>
      </c>
      <c r="D82" s="145" t="str">
        <v>H0</v>
      </c>
      <c r="E82" s="258" t="str">
        <f t="shared" si="4"/>
        <v>GBPFUT1MH0_Quote</v>
      </c>
      <c r="F82" s="259" t="str">
        <f t="shared" si="5"/>
        <v>GBPFUT1MH0ConvAdj_Quote</v>
      </c>
      <c r="G82" s="258" t="str">
        <f>_xll.qlFuturesConvAdjustmentQuote($F82,IborIndex,$D82,$E82,Volatility,MeanReversion,Permanent,Trigger,ObjectOverwrite)</f>
        <v>GBPFUT1MH0ConvAdj_Quote#0000</v>
      </c>
      <c r="H82" s="74" t="str">
        <f>_xll.ohRangeRetrieveError(G82)</f>
        <v/>
      </c>
    </row>
    <row r="83" spans="1:8" x14ac:dyDescent="0.2">
      <c r="A83" s="148"/>
      <c r="B83" s="147">
        <v>77</v>
      </c>
      <c r="C83" s="145" t="b">
        <v>0</v>
      </c>
      <c r="D83" s="145" t="str">
        <v>J0</v>
      </c>
      <c r="E83" s="258" t="str">
        <f t="shared" si="4"/>
        <v>GBPFUT1MJ0_Quote</v>
      </c>
      <c r="F83" s="259" t="str">
        <f t="shared" si="5"/>
        <v>GBPFUT1MJ0ConvAdj_Quote</v>
      </c>
      <c r="G83" s="258" t="str">
        <f>_xll.qlFuturesConvAdjustmentQuote($F83,IborIndex,$D83,$E83,Volatility,MeanReversion,Permanent,Trigger,ObjectOverwrite)</f>
        <v>GBPFUT1MJ0ConvAdj_Quote#0000</v>
      </c>
      <c r="H83" s="74" t="str">
        <f>_xll.ohRangeRetrieveError(G83)</f>
        <v/>
      </c>
    </row>
    <row r="84" spans="1:8" x14ac:dyDescent="0.2">
      <c r="A84" s="148"/>
      <c r="B84" s="147">
        <v>78</v>
      </c>
      <c r="C84" s="145" t="b">
        <v>0</v>
      </c>
      <c r="D84" s="145" t="str">
        <v>K0</v>
      </c>
      <c r="E84" s="258" t="str">
        <f t="shared" si="4"/>
        <v>GBPFUT1MK0_Quote</v>
      </c>
      <c r="F84" s="259" t="str">
        <f t="shared" si="5"/>
        <v>GBPFUT1MK0ConvAdj_Quote</v>
      </c>
      <c r="G84" s="258" t="str">
        <f>_xll.qlFuturesConvAdjustmentQuote($F84,IborIndex,$D84,$E84,Volatility,MeanReversion,Permanent,Trigger,ObjectOverwrite)</f>
        <v>GBPFUT1MK0ConvAdj_Quote#0000</v>
      </c>
      <c r="H84" s="74" t="str">
        <f>_xll.ohRangeRetrieveError(G84)</f>
        <v/>
      </c>
    </row>
    <row r="85" spans="1:8" x14ac:dyDescent="0.2">
      <c r="A85" s="148"/>
      <c r="B85" s="147">
        <v>79</v>
      </c>
      <c r="C85" s="145" t="b">
        <v>0</v>
      </c>
      <c r="D85" s="145" t="str">
        <v>M0</v>
      </c>
      <c r="E85" s="258" t="str">
        <f t="shared" si="4"/>
        <v>GBPFUT1MM0_Quote</v>
      </c>
      <c r="F85" s="259" t="str">
        <f t="shared" si="5"/>
        <v>GBPFUT1MM0ConvAdj_Quote</v>
      </c>
      <c r="G85" s="258" t="str">
        <f>_xll.qlFuturesConvAdjustmentQuote($F85,IborIndex,$D85,$E85,Volatility,MeanReversion,Permanent,Trigger,ObjectOverwrite)</f>
        <v>GBPFUT1MM0ConvAdj_Quote#0000</v>
      </c>
      <c r="H85" s="74" t="str">
        <f>_xll.ohRangeRetrieveError(G85)</f>
        <v/>
      </c>
    </row>
    <row r="86" spans="1:8" x14ac:dyDescent="0.2">
      <c r="A86" s="148"/>
      <c r="B86" s="147">
        <v>80</v>
      </c>
      <c r="C86" s="145" t="b">
        <v>0</v>
      </c>
      <c r="D86" s="145" t="str">
        <v>N0</v>
      </c>
      <c r="E86" s="258" t="str">
        <f t="shared" si="4"/>
        <v>GBPFUT1MN0_Quote</v>
      </c>
      <c r="F86" s="259" t="str">
        <f t="shared" si="5"/>
        <v>GBPFUT1MN0ConvAdj_Quote</v>
      </c>
      <c r="G86" s="258" t="str">
        <f>_xll.qlFuturesConvAdjustmentQuote($F86,IborIndex,$D86,$E86,Volatility,MeanReversion,Permanent,Trigger,ObjectOverwrite)</f>
        <v>GBPFUT1MN0ConvAdj_Quote#0000</v>
      </c>
      <c r="H86" s="74" t="str">
        <f>_xll.ohRangeRetrieveError(G86)</f>
        <v/>
      </c>
    </row>
    <row r="87" spans="1:8" x14ac:dyDescent="0.2">
      <c r="A87" s="148"/>
      <c r="B87" s="147">
        <v>81</v>
      </c>
      <c r="C87" s="145" t="b">
        <v>0</v>
      </c>
      <c r="D87" s="145" t="str">
        <v>Q0</v>
      </c>
      <c r="E87" s="258" t="str">
        <f t="shared" si="4"/>
        <v>GBPFUT1MQ0_Quote</v>
      </c>
      <c r="F87" s="259" t="str">
        <f t="shared" si="5"/>
        <v>GBPFUT1MQ0ConvAdj_Quote</v>
      </c>
      <c r="G87" s="258" t="str">
        <f>_xll.qlFuturesConvAdjustmentQuote($F87,IborIndex,$D87,$E87,Volatility,MeanReversion,Permanent,Trigger,ObjectOverwrite)</f>
        <v>GBPFUT1MQ0ConvAdj_Quote#0000</v>
      </c>
      <c r="H87" s="74" t="str">
        <f>_xll.ohRangeRetrieveError(G87)</f>
        <v/>
      </c>
    </row>
    <row r="88" spans="1:8" x14ac:dyDescent="0.2">
      <c r="A88" s="148"/>
      <c r="B88" s="147">
        <v>82</v>
      </c>
      <c r="C88" s="145" t="b">
        <v>0</v>
      </c>
      <c r="D88" s="145" t="str">
        <v>U0</v>
      </c>
      <c r="E88" s="258" t="str">
        <f t="shared" si="4"/>
        <v>GBPFUT1MU0_Quote</v>
      </c>
      <c r="F88" s="259" t="str">
        <f t="shared" si="5"/>
        <v>GBPFUT1MU0ConvAdj_Quote</v>
      </c>
      <c r="G88" s="258" t="str">
        <f>_xll.qlFuturesConvAdjustmentQuote($F88,IborIndex,$D88,$E88,Volatility,MeanReversion,Permanent,Trigger,ObjectOverwrite)</f>
        <v>GBPFUT1MU0ConvAdj_Quote#0000</v>
      </c>
      <c r="H88" s="74" t="str">
        <f>_xll.ohRangeRetrieveError(G88)</f>
        <v/>
      </c>
    </row>
    <row r="89" spans="1:8" x14ac:dyDescent="0.2">
      <c r="A89" s="148"/>
      <c r="B89" s="147">
        <v>83</v>
      </c>
      <c r="C89" s="145" t="b">
        <v>0</v>
      </c>
      <c r="D89" s="145" t="str">
        <v>V0</v>
      </c>
      <c r="E89" s="258" t="str">
        <f t="shared" si="4"/>
        <v>GBPFUT1MV0_Quote</v>
      </c>
      <c r="F89" s="259" t="str">
        <f t="shared" si="5"/>
        <v>GBPFUT1MV0ConvAdj_Quote</v>
      </c>
      <c r="G89" s="258" t="str">
        <f>_xll.qlFuturesConvAdjustmentQuote($F89,IborIndex,$D89,$E89,Volatility,MeanReversion,Permanent,Trigger,ObjectOverwrite)</f>
        <v>GBPFUT1MV0ConvAdj_Quote#0000</v>
      </c>
      <c r="H89" s="74" t="str">
        <f>_xll.ohRangeRetrieveError(G89)</f>
        <v/>
      </c>
    </row>
    <row r="90" spans="1:8" x14ac:dyDescent="0.2">
      <c r="A90" s="148"/>
      <c r="B90" s="147">
        <v>84</v>
      </c>
      <c r="C90" s="145" t="b">
        <v>0</v>
      </c>
      <c r="D90" s="145" t="str">
        <v>X0</v>
      </c>
      <c r="E90" s="258" t="str">
        <f t="shared" si="4"/>
        <v>GBPFUT1MX0_Quote</v>
      </c>
      <c r="F90" s="259" t="str">
        <f t="shared" si="5"/>
        <v>GBPFUT1MX0ConvAdj_Quote</v>
      </c>
      <c r="G90" s="258" t="str">
        <f>_xll.qlFuturesConvAdjustmentQuote($F90,IborIndex,$D90,$E90,Volatility,MeanReversion,Permanent,Trigger,ObjectOverwrite)</f>
        <v>GBPFUT1MX0ConvAdj_Quote#0000</v>
      </c>
      <c r="H90" s="74" t="str">
        <f>_xll.ohRangeRetrieveError(G90)</f>
        <v/>
      </c>
    </row>
    <row r="91" spans="1:8" x14ac:dyDescent="0.2">
      <c r="A91" s="148"/>
      <c r="B91" s="147">
        <v>85</v>
      </c>
      <c r="C91" s="145" t="b">
        <v>0</v>
      </c>
      <c r="D91" s="145" t="str">
        <v>Z0</v>
      </c>
      <c r="E91" s="258" t="str">
        <f t="shared" si="4"/>
        <v>GBPFUT1MZ0_Quote</v>
      </c>
      <c r="F91" s="259" t="str">
        <f t="shared" si="5"/>
        <v>GBPFUT1MZ0ConvAdj_Quote</v>
      </c>
      <c r="G91" s="258" t="str">
        <f>_xll.qlFuturesConvAdjustmentQuote($F91,IborIndex,$D91,$E91,Volatility,MeanReversion,Permanent,Trigger,ObjectOverwrite)</f>
        <v>GBPFUT1MZ0ConvAdj_Quote#0000</v>
      </c>
      <c r="H91" s="74" t="str">
        <f>_xll.ohRangeRetrieveError(G91)</f>
        <v/>
      </c>
    </row>
    <row r="92" spans="1:8" x14ac:dyDescent="0.2">
      <c r="A92" s="148"/>
      <c r="B92" s="147">
        <v>86</v>
      </c>
      <c r="C92" s="145" t="b">
        <v>0</v>
      </c>
      <c r="D92" s="145" t="str">
        <v>F1</v>
      </c>
      <c r="E92" s="258" t="str">
        <f t="shared" si="4"/>
        <v>GBPFUT1MF1_Quote</v>
      </c>
      <c r="F92" s="259" t="str">
        <f t="shared" si="5"/>
        <v>GBPFUT1MF1ConvAdj_Quote</v>
      </c>
      <c r="G92" s="258" t="str">
        <f>_xll.qlFuturesConvAdjustmentQuote($F92,IborIndex,$D92,$E92,Volatility,MeanReversion,Permanent,Trigger,ObjectOverwrite)</f>
        <v>GBPFUT1MF1ConvAdj_Quote#0000</v>
      </c>
      <c r="H92" s="74" t="str">
        <f>_xll.ohRangeRetrieveError(G92)</f>
        <v/>
      </c>
    </row>
    <row r="93" spans="1:8" x14ac:dyDescent="0.2">
      <c r="A93" s="148"/>
      <c r="B93" s="147">
        <v>87</v>
      </c>
      <c r="C93" s="145" t="b">
        <v>0</v>
      </c>
      <c r="D93" s="145" t="str">
        <v>G1</v>
      </c>
      <c r="E93" s="258" t="str">
        <f t="shared" si="4"/>
        <v>GBPFUT1MG1_Quote</v>
      </c>
      <c r="F93" s="259" t="str">
        <f t="shared" si="5"/>
        <v>GBPFUT1MG1ConvAdj_Quote</v>
      </c>
      <c r="G93" s="258" t="str">
        <f>_xll.qlFuturesConvAdjustmentQuote($F93,IborIndex,$D93,$E93,Volatility,MeanReversion,Permanent,Trigger,ObjectOverwrite)</f>
        <v>GBPFUT1MG1ConvAdj_Quote#0000</v>
      </c>
      <c r="H93" s="74" t="str">
        <f>_xll.ohRangeRetrieveError(G93)</f>
        <v/>
      </c>
    </row>
    <row r="94" spans="1:8" x14ac:dyDescent="0.2">
      <c r="A94" s="148"/>
      <c r="B94" s="147">
        <v>88</v>
      </c>
      <c r="C94" s="145" t="b">
        <v>0</v>
      </c>
      <c r="D94" s="145" t="str">
        <v>H1</v>
      </c>
      <c r="E94" s="258" t="str">
        <f t="shared" si="4"/>
        <v>GBPFUT1MH1_Quote</v>
      </c>
      <c r="F94" s="259" t="str">
        <f t="shared" si="5"/>
        <v>GBPFUT1MH1ConvAdj_Quote</v>
      </c>
      <c r="G94" s="258" t="str">
        <f>_xll.qlFuturesConvAdjustmentQuote($F94,IborIndex,$D94,$E94,Volatility,MeanReversion,Permanent,Trigger,ObjectOverwrite)</f>
        <v>GBPFUT1MH1ConvAdj_Quote#0000</v>
      </c>
      <c r="H94" s="74" t="str">
        <f>_xll.ohRangeRetrieveError(G94)</f>
        <v/>
      </c>
    </row>
    <row r="95" spans="1:8" x14ac:dyDescent="0.2">
      <c r="A95" s="148"/>
      <c r="B95" s="147">
        <v>89</v>
      </c>
      <c r="C95" s="145" t="b">
        <v>0</v>
      </c>
      <c r="D95" s="145" t="str">
        <v>J1</v>
      </c>
      <c r="E95" s="258" t="str">
        <f t="shared" si="4"/>
        <v>GBPFUT1MJ1_Quote</v>
      </c>
      <c r="F95" s="259" t="str">
        <f t="shared" si="5"/>
        <v>GBPFUT1MJ1ConvAdj_Quote</v>
      </c>
      <c r="G95" s="258" t="str">
        <f>_xll.qlFuturesConvAdjustmentQuote($F95,IborIndex,$D95,$E95,Volatility,MeanReversion,Permanent,Trigger,ObjectOverwrite)</f>
        <v>GBPFUT1MJ1ConvAdj_Quote#0000</v>
      </c>
      <c r="H95" s="74" t="str">
        <f>_xll.ohRangeRetrieveError(G95)</f>
        <v/>
      </c>
    </row>
    <row r="96" spans="1:8" x14ac:dyDescent="0.2">
      <c r="A96" s="148"/>
      <c r="B96" s="147">
        <v>90</v>
      </c>
      <c r="C96" s="145" t="b">
        <v>0</v>
      </c>
      <c r="D96" s="145" t="str">
        <v>K1</v>
      </c>
      <c r="E96" s="258" t="str">
        <f t="shared" si="4"/>
        <v>GBPFUT1MK1_Quote</v>
      </c>
      <c r="F96" s="259" t="str">
        <f t="shared" si="5"/>
        <v>GBPFUT1MK1ConvAdj_Quote</v>
      </c>
      <c r="G96" s="258" t="str">
        <f>_xll.qlFuturesConvAdjustmentQuote($F96,IborIndex,$D96,$E96,Volatility,MeanReversion,Permanent,Trigger,ObjectOverwrite)</f>
        <v>GBPFUT1MK1ConvAdj_Quote#0000</v>
      </c>
      <c r="H96" s="74" t="str">
        <f>_xll.ohRangeRetrieveError(G96)</f>
        <v/>
      </c>
    </row>
    <row r="97" spans="1:8" x14ac:dyDescent="0.2">
      <c r="A97" s="148"/>
      <c r="B97" s="147">
        <v>91</v>
      </c>
      <c r="C97" s="145" t="b">
        <v>0</v>
      </c>
      <c r="D97" s="145" t="str">
        <v>M1</v>
      </c>
      <c r="E97" s="258" t="str">
        <f t="shared" si="4"/>
        <v>GBPFUT1MM1_Quote</v>
      </c>
      <c r="F97" s="259" t="str">
        <f t="shared" si="5"/>
        <v>GBPFUT1MM1ConvAdj_Quote</v>
      </c>
      <c r="G97" s="258" t="str">
        <f>_xll.qlFuturesConvAdjustmentQuote($F97,IborIndex,$D97,$E97,Volatility,MeanReversion,Permanent,Trigger,ObjectOverwrite)</f>
        <v>GBPFUT1MM1ConvAdj_Quote#0000</v>
      </c>
      <c r="H97" s="74" t="str">
        <f>_xll.ohRangeRetrieveError(G97)</f>
        <v/>
      </c>
    </row>
    <row r="98" spans="1:8" x14ac:dyDescent="0.2">
      <c r="A98" s="148"/>
      <c r="B98" s="147">
        <v>92</v>
      </c>
      <c r="C98" s="145" t="b">
        <v>0</v>
      </c>
      <c r="D98" s="145" t="str">
        <v>N1</v>
      </c>
      <c r="E98" s="258" t="str">
        <f t="shared" si="4"/>
        <v>GBPFUT1MN1_Quote</v>
      </c>
      <c r="F98" s="259" t="str">
        <f t="shared" si="5"/>
        <v>GBPFUT1MN1ConvAdj_Quote</v>
      </c>
      <c r="G98" s="258" t="str">
        <f>_xll.qlFuturesConvAdjustmentQuote($F98,IborIndex,$D98,$E98,Volatility,MeanReversion,Permanent,Trigger,ObjectOverwrite)</f>
        <v>GBPFUT1MN1ConvAdj_Quote#0000</v>
      </c>
      <c r="H98" s="74" t="str">
        <f>_xll.ohRangeRetrieveError(G98)</f>
        <v/>
      </c>
    </row>
    <row r="99" spans="1:8" x14ac:dyDescent="0.2">
      <c r="A99" s="148"/>
      <c r="B99" s="147">
        <v>93</v>
      </c>
      <c r="C99" s="145" t="b">
        <v>0</v>
      </c>
      <c r="D99" s="145" t="str">
        <v>Q1</v>
      </c>
      <c r="E99" s="258" t="str">
        <f t="shared" si="4"/>
        <v>GBPFUT1MQ1_Quote</v>
      </c>
      <c r="F99" s="259" t="str">
        <f t="shared" si="5"/>
        <v>GBPFUT1MQ1ConvAdj_Quote</v>
      </c>
      <c r="G99" s="258" t="str">
        <f>_xll.qlFuturesConvAdjustmentQuote($F99,IborIndex,$D99,$E99,Volatility,MeanReversion,Permanent,Trigger,ObjectOverwrite)</f>
        <v>GBPFUT1MQ1ConvAdj_Quote#0000</v>
      </c>
      <c r="H99" s="74" t="str">
        <f>_xll.ohRangeRetrieveError(G99)</f>
        <v/>
      </c>
    </row>
    <row r="100" spans="1:8" x14ac:dyDescent="0.2">
      <c r="A100" s="148"/>
      <c r="B100" s="147">
        <v>94</v>
      </c>
      <c r="C100" s="145" t="b">
        <v>0</v>
      </c>
      <c r="D100" s="145" t="str">
        <v>U1</v>
      </c>
      <c r="E100" s="258" t="str">
        <f t="shared" si="4"/>
        <v>GBPFUT1MU1_Quote</v>
      </c>
      <c r="F100" s="259" t="str">
        <f t="shared" si="5"/>
        <v>GBPFUT1MU1ConvAdj_Quote</v>
      </c>
      <c r="G100" s="258" t="str">
        <f>_xll.qlFuturesConvAdjustmentQuote($F100,IborIndex,$D100,$E100,Volatility,MeanReversion,Permanent,Trigger,ObjectOverwrite)</f>
        <v>GBPFUT1MU1ConvAdj_Quote#0000</v>
      </c>
      <c r="H100" s="74" t="str">
        <f>_xll.ohRangeRetrieveError(G100)</f>
        <v/>
      </c>
    </row>
    <row r="101" spans="1:8" x14ac:dyDescent="0.2">
      <c r="A101" s="148"/>
      <c r="B101" s="147">
        <v>95</v>
      </c>
      <c r="C101" s="145" t="b">
        <v>0</v>
      </c>
      <c r="D101" s="145" t="str">
        <v>V1</v>
      </c>
      <c r="E101" s="258" t="str">
        <f t="shared" si="4"/>
        <v>GBPFUT1MV1_Quote</v>
      </c>
      <c r="F101" s="259" t="str">
        <f t="shared" si="5"/>
        <v>GBPFUT1MV1ConvAdj_Quote</v>
      </c>
      <c r="G101" s="258" t="str">
        <f>_xll.qlFuturesConvAdjustmentQuote($F101,IborIndex,$D101,$E101,Volatility,MeanReversion,Permanent,Trigger,ObjectOverwrite)</f>
        <v>GBPFUT1MV1ConvAdj_Quote#0000</v>
      </c>
      <c r="H101" s="74" t="str">
        <f>_xll.ohRangeRetrieveError(G101)</f>
        <v/>
      </c>
    </row>
    <row r="102" spans="1:8" x14ac:dyDescent="0.2">
      <c r="A102" s="148"/>
      <c r="B102" s="147">
        <v>96</v>
      </c>
      <c r="C102" s="145" t="b">
        <v>0</v>
      </c>
      <c r="D102" s="145" t="str">
        <v>X1</v>
      </c>
      <c r="E102" s="258" t="str">
        <f t="shared" si="4"/>
        <v>GBPFUT1MX1_Quote</v>
      </c>
      <c r="F102" s="259" t="str">
        <f t="shared" si="5"/>
        <v>GBPFUT1MX1ConvAdj_Quote</v>
      </c>
      <c r="G102" s="258" t="str">
        <f>_xll.qlFuturesConvAdjustmentQuote($F102,IborIndex,$D102,$E102,Volatility,MeanReversion,Permanent,Trigger,ObjectOverwrite)</f>
        <v>GBPFUT1MX1ConvAdj_Quote#0000</v>
      </c>
      <c r="H102" s="74" t="str">
        <f>_xll.ohRangeRetrieveError(G102)</f>
        <v/>
      </c>
    </row>
    <row r="103" spans="1:8" x14ac:dyDescent="0.2">
      <c r="A103" s="148"/>
      <c r="B103" s="147">
        <v>97</v>
      </c>
      <c r="C103" s="145" t="b">
        <v>0</v>
      </c>
      <c r="D103" s="145" t="str">
        <v>Z1</v>
      </c>
      <c r="E103" s="258" t="str">
        <f t="shared" ref="E103:E126" si="6">Currency&amp;"FUT"&amp;$G$4&amp;$D103&amp;QuoteSuffix</f>
        <v>GBPFUT1MZ1_Quote</v>
      </c>
      <c r="F103" s="259" t="str">
        <f t="shared" ref="F103:F126" si="7">Currency&amp;"FUT"&amp;$G$4&amp;$D103&amp;"ConvAdj"&amp;QuoteSuffix</f>
        <v>GBPFUT1MZ1ConvAdj_Quote</v>
      </c>
      <c r="G103" s="258" t="str">
        <f>_xll.qlFuturesConvAdjustmentQuote($F103,IborIndex,$D103,$E103,Volatility,MeanReversion,Permanent,Trigger,ObjectOverwrite)</f>
        <v>GBPFUT1MZ1ConvAdj_Quote#0000</v>
      </c>
      <c r="H103" s="74" t="str">
        <f>_xll.ohRangeRetrieveError(G103)</f>
        <v/>
      </c>
    </row>
    <row r="104" spans="1:8" x14ac:dyDescent="0.2">
      <c r="A104" s="148"/>
      <c r="B104" s="147">
        <v>98</v>
      </c>
      <c r="C104" s="145" t="b">
        <v>0</v>
      </c>
      <c r="D104" s="145" t="str">
        <v>F2</v>
      </c>
      <c r="E104" s="258" t="str">
        <f t="shared" si="6"/>
        <v>GBPFUT1MF2_Quote</v>
      </c>
      <c r="F104" s="259" t="str">
        <f t="shared" si="7"/>
        <v>GBPFUT1MF2ConvAdj_Quote</v>
      </c>
      <c r="G104" s="258" t="str">
        <f>_xll.qlFuturesConvAdjustmentQuote($F104,IborIndex,$D104,$E104,Volatility,MeanReversion,Permanent,Trigger,ObjectOverwrite)</f>
        <v>GBPFUT1MF2ConvAdj_Quote#0000</v>
      </c>
      <c r="H104" s="74" t="str">
        <f>_xll.ohRangeRetrieveError(G104)</f>
        <v/>
      </c>
    </row>
    <row r="105" spans="1:8" x14ac:dyDescent="0.2">
      <c r="A105" s="148"/>
      <c r="B105" s="147">
        <v>99</v>
      </c>
      <c r="C105" s="145" t="b">
        <v>0</v>
      </c>
      <c r="D105" s="145" t="str">
        <v>G2</v>
      </c>
      <c r="E105" s="258" t="str">
        <f t="shared" si="6"/>
        <v>GBPFUT1MG2_Quote</v>
      </c>
      <c r="F105" s="259" t="str">
        <f t="shared" si="7"/>
        <v>GBPFUT1MG2ConvAdj_Quote</v>
      </c>
      <c r="G105" s="258" t="str">
        <f>_xll.qlFuturesConvAdjustmentQuote($F105,IborIndex,$D105,$E105,Volatility,MeanReversion,Permanent,Trigger,ObjectOverwrite)</f>
        <v>GBPFUT1MG2ConvAdj_Quote#0000</v>
      </c>
      <c r="H105" s="74" t="str">
        <f>_xll.ohRangeRetrieveError(G105)</f>
        <v/>
      </c>
    </row>
    <row r="106" spans="1:8" x14ac:dyDescent="0.2">
      <c r="A106" s="148"/>
      <c r="B106" s="147">
        <v>100</v>
      </c>
      <c r="C106" s="145" t="b">
        <v>0</v>
      </c>
      <c r="D106" s="145" t="str">
        <v>H2</v>
      </c>
      <c r="E106" s="258" t="str">
        <f t="shared" si="6"/>
        <v>GBPFUT1MH2_Quote</v>
      </c>
      <c r="F106" s="259" t="str">
        <f t="shared" si="7"/>
        <v>GBPFUT1MH2ConvAdj_Quote</v>
      </c>
      <c r="G106" s="258" t="str">
        <f>_xll.qlFuturesConvAdjustmentQuote($F106,IborIndex,$D106,$E106,Volatility,MeanReversion,Permanent,Trigger,ObjectOverwrite)</f>
        <v>GBPFUT1MH2ConvAdj_Quote#0000</v>
      </c>
      <c r="H106" s="74" t="str">
        <f>_xll.ohRangeRetrieveError(G106)</f>
        <v/>
      </c>
    </row>
    <row r="107" spans="1:8" x14ac:dyDescent="0.2">
      <c r="A107" s="148"/>
      <c r="B107" s="147">
        <v>101</v>
      </c>
      <c r="C107" s="145" t="b">
        <v>0</v>
      </c>
      <c r="D107" s="145" t="str">
        <v>J2</v>
      </c>
      <c r="E107" s="258" t="str">
        <f t="shared" si="6"/>
        <v>GBPFUT1MJ2_Quote</v>
      </c>
      <c r="F107" s="259" t="str">
        <f t="shared" si="7"/>
        <v>GBPFUT1MJ2ConvAdj_Quote</v>
      </c>
      <c r="G107" s="258" t="str">
        <f>_xll.qlFuturesConvAdjustmentQuote($F107,IborIndex,$D107,$E107,Volatility,MeanReversion,Permanent,Trigger,ObjectOverwrite)</f>
        <v>GBPFUT1MJ2ConvAdj_Quote#0000</v>
      </c>
      <c r="H107" s="74" t="str">
        <f>_xll.ohRangeRetrieveError(G107)</f>
        <v/>
      </c>
    </row>
    <row r="108" spans="1:8" x14ac:dyDescent="0.2">
      <c r="A108" s="148"/>
      <c r="B108" s="147">
        <v>102</v>
      </c>
      <c r="C108" s="145" t="b">
        <v>0</v>
      </c>
      <c r="D108" s="145" t="str">
        <v>K2</v>
      </c>
      <c r="E108" s="258" t="str">
        <f t="shared" si="6"/>
        <v>GBPFUT1MK2_Quote</v>
      </c>
      <c r="F108" s="259" t="str">
        <f t="shared" si="7"/>
        <v>GBPFUT1MK2ConvAdj_Quote</v>
      </c>
      <c r="G108" s="258" t="str">
        <f>_xll.qlFuturesConvAdjustmentQuote($F108,IborIndex,$D108,$E108,Volatility,MeanReversion,Permanent,Trigger,ObjectOverwrite)</f>
        <v>GBPFUT1MK2ConvAdj_Quote#0000</v>
      </c>
      <c r="H108" s="74" t="str">
        <f>_xll.ohRangeRetrieveError(G108)</f>
        <v/>
      </c>
    </row>
    <row r="109" spans="1:8" x14ac:dyDescent="0.2">
      <c r="A109" s="148"/>
      <c r="B109" s="147">
        <v>103</v>
      </c>
      <c r="C109" s="145" t="b">
        <v>0</v>
      </c>
      <c r="D109" s="145" t="str">
        <v>M2</v>
      </c>
      <c r="E109" s="258" t="str">
        <f t="shared" si="6"/>
        <v>GBPFUT1MM2_Quote</v>
      </c>
      <c r="F109" s="259" t="str">
        <f t="shared" si="7"/>
        <v>GBPFUT1MM2ConvAdj_Quote</v>
      </c>
      <c r="G109" s="258" t="str">
        <f>_xll.qlFuturesConvAdjustmentQuote($F109,IborIndex,$D109,$E109,Volatility,MeanReversion,Permanent,Trigger,ObjectOverwrite)</f>
        <v>GBPFUT1MM2ConvAdj_Quote#0000</v>
      </c>
      <c r="H109" s="74" t="str">
        <f>_xll.ohRangeRetrieveError(G109)</f>
        <v/>
      </c>
    </row>
    <row r="110" spans="1:8" x14ac:dyDescent="0.2">
      <c r="A110" s="148"/>
      <c r="B110" s="147">
        <v>104</v>
      </c>
      <c r="C110" s="145" t="b">
        <v>0</v>
      </c>
      <c r="D110" s="145" t="str">
        <v>N2</v>
      </c>
      <c r="E110" s="258" t="str">
        <f t="shared" si="6"/>
        <v>GBPFUT1MN2_Quote</v>
      </c>
      <c r="F110" s="259" t="str">
        <f t="shared" si="7"/>
        <v>GBPFUT1MN2ConvAdj_Quote</v>
      </c>
      <c r="G110" s="258" t="str">
        <f>_xll.qlFuturesConvAdjustmentQuote($F110,IborIndex,$D110,$E110,Volatility,MeanReversion,Permanent,Trigger,ObjectOverwrite)</f>
        <v>GBPFUT1MN2ConvAdj_Quote#0000</v>
      </c>
      <c r="H110" s="74" t="str">
        <f>_xll.ohRangeRetrieveError(G110)</f>
        <v/>
      </c>
    </row>
    <row r="111" spans="1:8" x14ac:dyDescent="0.2">
      <c r="A111" s="148"/>
      <c r="B111" s="147">
        <v>105</v>
      </c>
      <c r="C111" s="145" t="b">
        <v>0</v>
      </c>
      <c r="D111" s="145" t="str">
        <v>Q2</v>
      </c>
      <c r="E111" s="258" t="str">
        <f t="shared" si="6"/>
        <v>GBPFUT1MQ2_Quote</v>
      </c>
      <c r="F111" s="259" t="str">
        <f t="shared" si="7"/>
        <v>GBPFUT1MQ2ConvAdj_Quote</v>
      </c>
      <c r="G111" s="258" t="str">
        <f>_xll.qlFuturesConvAdjustmentQuote($F111,IborIndex,$D111,$E111,Volatility,MeanReversion,Permanent,Trigger,ObjectOverwrite)</f>
        <v>GBPFUT1MQ2ConvAdj_Quote#0000</v>
      </c>
      <c r="H111" s="74" t="str">
        <f>_xll.ohRangeRetrieveError(G111)</f>
        <v/>
      </c>
    </row>
    <row r="112" spans="1:8" x14ac:dyDescent="0.2">
      <c r="A112" s="148"/>
      <c r="B112" s="147">
        <v>106</v>
      </c>
      <c r="C112" s="145" t="b">
        <v>0</v>
      </c>
      <c r="D112" s="145" t="str">
        <v>U2</v>
      </c>
      <c r="E112" s="258" t="str">
        <f t="shared" si="6"/>
        <v>GBPFUT1MU2_Quote</v>
      </c>
      <c r="F112" s="259" t="str">
        <f t="shared" si="7"/>
        <v>GBPFUT1MU2ConvAdj_Quote</v>
      </c>
      <c r="G112" s="258" t="str">
        <f>_xll.qlFuturesConvAdjustmentQuote($F112,IborIndex,$D112,$E112,Volatility,MeanReversion,Permanent,Trigger,ObjectOverwrite)</f>
        <v>GBPFUT1MU2ConvAdj_Quote#0000</v>
      </c>
      <c r="H112" s="74" t="str">
        <f>_xll.ohRangeRetrieveError(G112)</f>
        <v/>
      </c>
    </row>
    <row r="113" spans="1:8" x14ac:dyDescent="0.2">
      <c r="A113" s="148"/>
      <c r="B113" s="147">
        <v>107</v>
      </c>
      <c r="C113" s="145" t="b">
        <v>0</v>
      </c>
      <c r="D113" s="145" t="str">
        <v>V2</v>
      </c>
      <c r="E113" s="258" t="str">
        <f t="shared" si="6"/>
        <v>GBPFUT1MV2_Quote</v>
      </c>
      <c r="F113" s="259" t="str">
        <f t="shared" si="7"/>
        <v>GBPFUT1MV2ConvAdj_Quote</v>
      </c>
      <c r="G113" s="258" t="str">
        <f>_xll.qlFuturesConvAdjustmentQuote($F113,IborIndex,$D113,$E113,Volatility,MeanReversion,Permanent,Trigger,ObjectOverwrite)</f>
        <v>GBPFUT1MV2ConvAdj_Quote#0000</v>
      </c>
      <c r="H113" s="74" t="str">
        <f>_xll.ohRangeRetrieveError(G113)</f>
        <v/>
      </c>
    </row>
    <row r="114" spans="1:8" x14ac:dyDescent="0.2">
      <c r="A114" s="148"/>
      <c r="B114" s="147">
        <v>108</v>
      </c>
      <c r="C114" s="145" t="b">
        <v>0</v>
      </c>
      <c r="D114" s="145" t="str">
        <v>X2</v>
      </c>
      <c r="E114" s="258" t="str">
        <f t="shared" si="6"/>
        <v>GBPFUT1MX2_Quote</v>
      </c>
      <c r="F114" s="259" t="str">
        <f t="shared" si="7"/>
        <v>GBPFUT1MX2ConvAdj_Quote</v>
      </c>
      <c r="G114" s="258" t="str">
        <f>_xll.qlFuturesConvAdjustmentQuote($F114,IborIndex,$D114,$E114,Volatility,MeanReversion,Permanent,Trigger,ObjectOverwrite)</f>
        <v>GBPFUT1MX2ConvAdj_Quote#0000</v>
      </c>
      <c r="H114" s="74" t="str">
        <f>_xll.ohRangeRetrieveError(G114)</f>
        <v/>
      </c>
    </row>
    <row r="115" spans="1:8" x14ac:dyDescent="0.2">
      <c r="A115" s="148"/>
      <c r="B115" s="147">
        <v>109</v>
      </c>
      <c r="C115" s="145" t="b">
        <v>0</v>
      </c>
      <c r="D115" s="145" t="str">
        <v>Z2</v>
      </c>
      <c r="E115" s="258" t="str">
        <f t="shared" si="6"/>
        <v>GBPFUT1MZ2_Quote</v>
      </c>
      <c r="F115" s="259" t="str">
        <f t="shared" si="7"/>
        <v>GBPFUT1MZ2ConvAdj_Quote</v>
      </c>
      <c r="G115" s="258" t="str">
        <f>_xll.qlFuturesConvAdjustmentQuote($F115,IborIndex,$D115,$E115,Volatility,MeanReversion,Permanent,Trigger,ObjectOverwrite)</f>
        <v>GBPFUT1MZ2ConvAdj_Quote#0000</v>
      </c>
      <c r="H115" s="74" t="str">
        <f>_xll.ohRangeRetrieveError(G115)</f>
        <v/>
      </c>
    </row>
    <row r="116" spans="1:8" x14ac:dyDescent="0.2">
      <c r="A116" s="148"/>
      <c r="B116" s="147">
        <v>110</v>
      </c>
      <c r="C116" s="145" t="b">
        <v>0</v>
      </c>
      <c r="D116" s="145" t="str">
        <v>F3</v>
      </c>
      <c r="E116" s="258" t="str">
        <f t="shared" si="6"/>
        <v>GBPFUT1MF3_Quote</v>
      </c>
      <c r="F116" s="259" t="str">
        <f t="shared" si="7"/>
        <v>GBPFUT1MF3ConvAdj_Quote</v>
      </c>
      <c r="G116" s="258" t="str">
        <f>_xll.qlFuturesConvAdjustmentQuote($F116,IborIndex,$D116,$E116,Volatility,MeanReversion,Permanent,Trigger,ObjectOverwrite)</f>
        <v>GBPFUT1MF3ConvAdj_Quote#0000</v>
      </c>
      <c r="H116" s="74" t="str">
        <f>_xll.ohRangeRetrieveError(G116)</f>
        <v/>
      </c>
    </row>
    <row r="117" spans="1:8" x14ac:dyDescent="0.2">
      <c r="A117" s="148"/>
      <c r="B117" s="147">
        <v>111</v>
      </c>
      <c r="C117" s="145" t="b">
        <v>0</v>
      </c>
      <c r="D117" s="145" t="str">
        <v>G3</v>
      </c>
      <c r="E117" s="258" t="str">
        <f t="shared" si="6"/>
        <v>GBPFUT1MG3_Quote</v>
      </c>
      <c r="F117" s="259" t="str">
        <f t="shared" si="7"/>
        <v>GBPFUT1MG3ConvAdj_Quote</v>
      </c>
      <c r="G117" s="258" t="str">
        <f>_xll.qlFuturesConvAdjustmentQuote($F117,IborIndex,$D117,$E117,Volatility,MeanReversion,Permanent,Trigger,ObjectOverwrite)</f>
        <v>GBPFUT1MG3ConvAdj_Quote#0000</v>
      </c>
      <c r="H117" s="74" t="str">
        <f>_xll.ohRangeRetrieveError(G117)</f>
        <v/>
      </c>
    </row>
    <row r="118" spans="1:8" x14ac:dyDescent="0.2">
      <c r="A118" s="148"/>
      <c r="B118" s="147">
        <v>112</v>
      </c>
      <c r="C118" s="145" t="b">
        <v>0</v>
      </c>
      <c r="D118" s="145" t="str">
        <v>H3</v>
      </c>
      <c r="E118" s="258" t="str">
        <f t="shared" si="6"/>
        <v>GBPFUT1MH3_Quote</v>
      </c>
      <c r="F118" s="259" t="str">
        <f t="shared" si="7"/>
        <v>GBPFUT1MH3ConvAdj_Quote</v>
      </c>
      <c r="G118" s="258" t="str">
        <f>_xll.qlFuturesConvAdjustmentQuote($F118,IborIndex,$D118,$E118,Volatility,MeanReversion,Permanent,Trigger,ObjectOverwrite)</f>
        <v>GBPFUT1MH3ConvAdj_Quote#0000</v>
      </c>
      <c r="H118" s="74" t="str">
        <f>_xll.ohRangeRetrieveError(G118)</f>
        <v/>
      </c>
    </row>
    <row r="119" spans="1:8" x14ac:dyDescent="0.2">
      <c r="A119" s="148"/>
      <c r="B119" s="147">
        <v>113</v>
      </c>
      <c r="C119" s="145" t="b">
        <v>0</v>
      </c>
      <c r="D119" s="145" t="str">
        <v>J3</v>
      </c>
      <c r="E119" s="258" t="str">
        <f t="shared" si="6"/>
        <v>GBPFUT1MJ3_Quote</v>
      </c>
      <c r="F119" s="259" t="str">
        <f t="shared" si="7"/>
        <v>GBPFUT1MJ3ConvAdj_Quote</v>
      </c>
      <c r="G119" s="258" t="str">
        <f>_xll.qlFuturesConvAdjustmentQuote($F119,IborIndex,$D119,$E119,Volatility,MeanReversion,Permanent,Trigger,ObjectOverwrite)</f>
        <v>GBPFUT1MJ3ConvAdj_Quote#0000</v>
      </c>
      <c r="H119" s="74" t="str">
        <f>_xll.ohRangeRetrieveError(G119)</f>
        <v/>
      </c>
    </row>
    <row r="120" spans="1:8" x14ac:dyDescent="0.2">
      <c r="A120" s="148"/>
      <c r="B120" s="147">
        <v>114</v>
      </c>
      <c r="C120" s="145" t="b">
        <v>0</v>
      </c>
      <c r="D120" s="145" t="str">
        <v>K3</v>
      </c>
      <c r="E120" s="258" t="str">
        <f t="shared" si="6"/>
        <v>GBPFUT1MK3_Quote</v>
      </c>
      <c r="F120" s="259" t="str">
        <f t="shared" si="7"/>
        <v>GBPFUT1MK3ConvAdj_Quote</v>
      </c>
      <c r="G120" s="258" t="str">
        <f>_xll.qlFuturesConvAdjustmentQuote($F120,IborIndex,$D120,$E120,Volatility,MeanReversion,Permanent,Trigger,ObjectOverwrite)</f>
        <v>GBPFUT1MK3ConvAdj_Quote#0000</v>
      </c>
      <c r="H120" s="74" t="str">
        <f>_xll.ohRangeRetrieveError(G120)</f>
        <v/>
      </c>
    </row>
    <row r="121" spans="1:8" x14ac:dyDescent="0.2">
      <c r="A121" s="148"/>
      <c r="B121" s="147">
        <v>115</v>
      </c>
      <c r="C121" s="145" t="b">
        <v>0</v>
      </c>
      <c r="D121" s="145" t="str">
        <v>M3</v>
      </c>
      <c r="E121" s="258" t="str">
        <f t="shared" si="6"/>
        <v>GBPFUT1MM3_Quote</v>
      </c>
      <c r="F121" s="259" t="str">
        <f t="shared" si="7"/>
        <v>GBPFUT1MM3ConvAdj_Quote</v>
      </c>
      <c r="G121" s="258" t="str">
        <f>_xll.qlFuturesConvAdjustmentQuote($F121,IborIndex,$D121,$E121,Volatility,MeanReversion,Permanent,Trigger,ObjectOverwrite)</f>
        <v>GBPFUT1MM3ConvAdj_Quote#0000</v>
      </c>
      <c r="H121" s="74" t="str">
        <f>_xll.ohRangeRetrieveError(G121)</f>
        <v/>
      </c>
    </row>
    <row r="122" spans="1:8" x14ac:dyDescent="0.2">
      <c r="A122" s="148"/>
      <c r="B122" s="147">
        <v>116</v>
      </c>
      <c r="C122" s="145" t="b">
        <v>0</v>
      </c>
      <c r="D122" s="145" t="str">
        <v>N3</v>
      </c>
      <c r="E122" s="258" t="str">
        <f t="shared" si="6"/>
        <v>GBPFUT1MN3_Quote</v>
      </c>
      <c r="F122" s="259" t="str">
        <f t="shared" si="7"/>
        <v>GBPFUT1MN3ConvAdj_Quote</v>
      </c>
      <c r="G122" s="258" t="str">
        <f>_xll.qlFuturesConvAdjustmentQuote($F122,IborIndex,$D122,$E122,Volatility,MeanReversion,Permanent,Trigger,ObjectOverwrite)</f>
        <v>GBPFUT1MN3ConvAdj_Quote#0000</v>
      </c>
      <c r="H122" s="74" t="str">
        <f>_xll.ohRangeRetrieveError(G122)</f>
        <v/>
      </c>
    </row>
    <row r="123" spans="1:8" x14ac:dyDescent="0.2">
      <c r="A123" s="148"/>
      <c r="B123" s="147">
        <v>117</v>
      </c>
      <c r="C123" s="145" t="b">
        <v>0</v>
      </c>
      <c r="D123" s="145" t="str">
        <v>Q3</v>
      </c>
      <c r="E123" s="258" t="str">
        <f t="shared" si="6"/>
        <v>GBPFUT1MQ3_Quote</v>
      </c>
      <c r="F123" s="259" t="str">
        <f t="shared" si="7"/>
        <v>GBPFUT1MQ3ConvAdj_Quote</v>
      </c>
      <c r="G123" s="258" t="str">
        <f>_xll.qlFuturesConvAdjustmentQuote($F123,IborIndex,$D123,$E123,Volatility,MeanReversion,Permanent,Trigger,ObjectOverwrite)</f>
        <v>GBPFUT1MQ3ConvAdj_Quote#0000</v>
      </c>
      <c r="H123" s="74" t="str">
        <f>_xll.ohRangeRetrieveError(G123)</f>
        <v/>
      </c>
    </row>
    <row r="124" spans="1:8" x14ac:dyDescent="0.2">
      <c r="A124" s="148"/>
      <c r="B124" s="147">
        <v>118</v>
      </c>
      <c r="C124" s="145" t="b">
        <v>0</v>
      </c>
      <c r="D124" s="145" t="str">
        <v>U3</v>
      </c>
      <c r="E124" s="258" t="str">
        <f t="shared" si="6"/>
        <v>GBPFUT1MU3_Quote</v>
      </c>
      <c r="F124" s="259" t="str">
        <f t="shared" si="7"/>
        <v>GBPFUT1MU3ConvAdj_Quote</v>
      </c>
      <c r="G124" s="258" t="str">
        <f>_xll.qlFuturesConvAdjustmentQuote($F124,IborIndex,$D124,$E124,Volatility,MeanReversion,Permanent,Trigger,ObjectOverwrite)</f>
        <v>GBPFUT1MU3ConvAdj_Quote#0000</v>
      </c>
      <c r="H124" s="74" t="str">
        <f>_xll.ohRangeRetrieveError(G124)</f>
        <v/>
      </c>
    </row>
    <row r="125" spans="1:8" x14ac:dyDescent="0.2">
      <c r="A125" s="148"/>
      <c r="B125" s="147">
        <v>119</v>
      </c>
      <c r="C125" s="145" t="b">
        <v>0</v>
      </c>
      <c r="D125" s="145" t="str">
        <v>V3</v>
      </c>
      <c r="E125" s="258" t="str">
        <f t="shared" si="6"/>
        <v>GBPFUT1MV3_Quote</v>
      </c>
      <c r="F125" s="259" t="str">
        <f t="shared" si="7"/>
        <v>GBPFUT1MV3ConvAdj_Quote</v>
      </c>
      <c r="G125" s="258" t="str">
        <f>_xll.qlFuturesConvAdjustmentQuote($F125,IborIndex,$D125,$E125,Volatility,MeanReversion,Permanent,Trigger,ObjectOverwrite)</f>
        <v>GBPFUT1MV3ConvAdj_Quote#0000</v>
      </c>
      <c r="H125" s="74" t="str">
        <f>_xll.ohRangeRetrieveError(G125)</f>
        <v/>
      </c>
    </row>
    <row r="126" spans="1:8" ht="12" thickBot="1" x14ac:dyDescent="0.25">
      <c r="A126" s="141"/>
      <c r="B126" s="147">
        <v>120</v>
      </c>
      <c r="C126" s="145" t="b">
        <v>0</v>
      </c>
      <c r="D126" s="145" t="str">
        <v>X3</v>
      </c>
      <c r="E126" s="258" t="str">
        <f t="shared" si="6"/>
        <v>GBPFUT1MX3_Quote</v>
      </c>
      <c r="F126" s="259" t="str">
        <f t="shared" si="7"/>
        <v>GBPFUT1MX3ConvAdj_Quote</v>
      </c>
      <c r="G126" s="258" t="str">
        <f>_xll.qlFuturesConvAdjustmentQuote($F126,IborIndex,$D126,$E126,Volatility,MeanReversion,Permanent,Trigger,ObjectOverwrite)</f>
        <v>GBPFUT1MX3ConvAdj_Quote#0000</v>
      </c>
      <c r="H126" s="74" t="str">
        <f>_xll.ohRangeRetrieveError(G126)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126"/>
  <sheetViews>
    <sheetView workbookViewId="0">
      <selection activeCell="G8" sqref="G8"/>
    </sheetView>
  </sheetViews>
  <sheetFormatPr defaultRowHeight="11.25" x14ac:dyDescent="0.2"/>
  <cols>
    <col min="1" max="1" width="3.28515625" style="67" customWidth="1"/>
    <col min="2" max="2" width="3.5703125" style="67" bestFit="1" customWidth="1"/>
    <col min="3" max="3" width="5.7109375" style="67" bestFit="1" customWidth="1"/>
    <col min="4" max="4" width="5.42578125" style="67" bestFit="1" customWidth="1"/>
    <col min="5" max="5" width="15.85546875" style="67" bestFit="1" customWidth="1"/>
    <col min="6" max="6" width="25" style="67" bestFit="1" customWidth="1"/>
    <col min="7" max="7" width="26.42578125" style="67" bestFit="1" customWidth="1"/>
    <col min="8" max="8" width="53.140625" style="67" customWidth="1"/>
    <col min="9" max="16384" width="9.140625" style="67"/>
  </cols>
  <sheetData>
    <row r="2" spans="1:8" x14ac:dyDescent="0.2">
      <c r="E2" s="262" t="s">
        <v>230</v>
      </c>
      <c r="F2" s="261" t="str">
        <f>PROPER(Currency)&amp;"HW_Volatility_Quote"</f>
        <v>GbpHW_Volatility_Quote</v>
      </c>
    </row>
    <row r="3" spans="1:8" x14ac:dyDescent="0.2">
      <c r="E3" s="262" t="s">
        <v>229</v>
      </c>
      <c r="F3" s="261" t="str">
        <f>PROPER(Currency)&amp;"HW_MeanReversion_Quote"</f>
        <v>GbpHW_MeanReversion_Quote</v>
      </c>
    </row>
    <row r="4" spans="1:8" x14ac:dyDescent="0.2">
      <c r="E4" s="262" t="s">
        <v>228</v>
      </c>
      <c r="F4" s="261" t="str">
        <f>PROPER(Currency)&amp;FamilyName&amp;$G$4</f>
        <v>GbpLibor3M</v>
      </c>
      <c r="G4" s="260" t="s">
        <v>12</v>
      </c>
    </row>
    <row r="6" spans="1:8" ht="22.5" x14ac:dyDescent="0.2">
      <c r="A6" s="154"/>
      <c r="B6" s="92" t="s">
        <v>177</v>
      </c>
      <c r="C6" s="203" t="s">
        <v>176</v>
      </c>
      <c r="D6" s="203" t="s">
        <v>175</v>
      </c>
      <c r="E6" s="203" t="s">
        <v>227</v>
      </c>
      <c r="F6" s="91" t="str">
        <f>Currency&amp;"_020_Futures"&amp;G4&amp;"ConvAdj.xml"</f>
        <v>GBP_020_Futures3MConvAdj.xml</v>
      </c>
      <c r="G6" s="110">
        <f ca="1">IF(Serialize,_xll.ohObjectSave(G7:G126,SerializationPath&amp;F6,FileOverwrite,Serialize),"---")</f>
        <v>120</v>
      </c>
      <c r="H6" s="74" t="str">
        <f ca="1">_xll.ohRangeRetrieveError(G6)</f>
        <v/>
      </c>
    </row>
    <row r="7" spans="1:8" x14ac:dyDescent="0.2">
      <c r="A7" s="148"/>
      <c r="B7" s="153">
        <v>1</v>
      </c>
      <c r="C7" s="151" t="b">
        <v>0</v>
      </c>
      <c r="D7" s="151" t="str">
        <f t="array" ref="D7:D126">_xll.qlIMMNextCodes(_xll.qlSettingsEvaluationDate(Trigger)-1,$C7:$C126)</f>
        <v>Z3</v>
      </c>
      <c r="E7" s="258" t="str">
        <f t="shared" ref="E7:E38" si="0">Currency&amp;"FUT"&amp;$G$4&amp;$D7&amp;QuoteSuffix</f>
        <v>GBPFUT3MZ3_Quote</v>
      </c>
      <c r="F7" s="259" t="str">
        <f t="shared" ref="F7:F38" si="1">Currency&amp;"FUT"&amp;$G$4&amp;$D7&amp;"ConvAdj"&amp;QuoteSuffix</f>
        <v>GBPFUT3MZ3ConvAdj_Quote</v>
      </c>
      <c r="G7" s="258" t="str">
        <f>_xll.qlFuturesConvAdjustmentQuote($F7,IborIndex,$D7,$E7,Volatility,MeanReversion,Permanent,Trigger,ObjectOverwrite)</f>
        <v>GBPFUT3MZ3ConvAdj_Quote#0001</v>
      </c>
      <c r="H7" s="74" t="str">
        <f>_xll.ohRangeRetrieveError(G7)</f>
        <v/>
      </c>
    </row>
    <row r="8" spans="1:8" x14ac:dyDescent="0.2">
      <c r="A8" s="148"/>
      <c r="B8" s="147">
        <v>2</v>
      </c>
      <c r="C8" s="145" t="b">
        <v>0</v>
      </c>
      <c r="D8" s="145" t="str">
        <v>F4</v>
      </c>
      <c r="E8" s="258" t="str">
        <f t="shared" si="0"/>
        <v>GBPFUT3MF4_Quote</v>
      </c>
      <c r="F8" s="259" t="str">
        <f t="shared" si="1"/>
        <v>GBPFUT3MF4ConvAdj_Quote</v>
      </c>
      <c r="G8" s="258" t="str">
        <f>_xll.qlFuturesConvAdjustmentQuote($F8,IborIndex,$D8,$E8,Volatility,MeanReversion,Permanent,Trigger,ObjectOverwrite)</f>
        <v>GBPFUT3MF4ConvAdj_Quote#0000</v>
      </c>
      <c r="H8" s="74" t="str">
        <f>_xll.ohRangeRetrieveError(G8)</f>
        <v/>
      </c>
    </row>
    <row r="9" spans="1:8" x14ac:dyDescent="0.2">
      <c r="A9" s="148"/>
      <c r="B9" s="147">
        <v>3</v>
      </c>
      <c r="C9" s="145" t="b">
        <v>0</v>
      </c>
      <c r="D9" s="145" t="str">
        <v>G4</v>
      </c>
      <c r="E9" s="258" t="str">
        <f t="shared" si="0"/>
        <v>GBPFUT3MG4_Quote</v>
      </c>
      <c r="F9" s="259" t="str">
        <f t="shared" si="1"/>
        <v>GBPFUT3MG4ConvAdj_Quote</v>
      </c>
      <c r="G9" s="258" t="str">
        <f>_xll.qlFuturesConvAdjustmentQuote($F9,IborIndex,$D9,$E9,Volatility,MeanReversion,Permanent,Trigger,ObjectOverwrite)</f>
        <v>GBPFUT3MG4ConvAdj_Quote#0000</v>
      </c>
      <c r="H9" s="74" t="str">
        <f>_xll.ohRangeRetrieveError(G9)</f>
        <v/>
      </c>
    </row>
    <row r="10" spans="1:8" x14ac:dyDescent="0.2">
      <c r="A10" s="148"/>
      <c r="B10" s="147">
        <v>4</v>
      </c>
      <c r="C10" s="145" t="b">
        <v>0</v>
      </c>
      <c r="D10" s="145" t="str">
        <v>H4</v>
      </c>
      <c r="E10" s="258" t="str">
        <f t="shared" si="0"/>
        <v>GBPFUT3MH4_Quote</v>
      </c>
      <c r="F10" s="259" t="str">
        <f t="shared" si="1"/>
        <v>GBPFUT3MH4ConvAdj_Quote</v>
      </c>
      <c r="G10" s="258" t="str">
        <f>_xll.qlFuturesConvAdjustmentQuote($F10,IborIndex,$D10,$E10,Volatility,MeanReversion,Permanent,Trigger,ObjectOverwrite)</f>
        <v>GBPFUT3MH4ConvAdj_Quote#0000</v>
      </c>
      <c r="H10" s="74" t="str">
        <f>_xll.ohRangeRetrieveError(G10)</f>
        <v/>
      </c>
    </row>
    <row r="11" spans="1:8" x14ac:dyDescent="0.2">
      <c r="A11" s="148"/>
      <c r="B11" s="147">
        <v>5</v>
      </c>
      <c r="C11" s="145" t="b">
        <v>0</v>
      </c>
      <c r="D11" s="145" t="str">
        <v>J4</v>
      </c>
      <c r="E11" s="258" t="str">
        <f t="shared" si="0"/>
        <v>GBPFUT3MJ4_Quote</v>
      </c>
      <c r="F11" s="259" t="str">
        <f t="shared" si="1"/>
        <v>GBPFUT3MJ4ConvAdj_Quote</v>
      </c>
      <c r="G11" s="258" t="str">
        <f>_xll.qlFuturesConvAdjustmentQuote($F11,IborIndex,$D11,$E11,Volatility,MeanReversion,Permanent,Trigger,ObjectOverwrite)</f>
        <v>GBPFUT3MJ4ConvAdj_Quote#0000</v>
      </c>
      <c r="H11" s="74" t="str">
        <f>_xll.ohRangeRetrieveError(G11)</f>
        <v/>
      </c>
    </row>
    <row r="12" spans="1:8" x14ac:dyDescent="0.2">
      <c r="A12" s="148"/>
      <c r="B12" s="147">
        <v>6</v>
      </c>
      <c r="C12" s="145" t="b">
        <v>0</v>
      </c>
      <c r="D12" s="145" t="str">
        <v>K4</v>
      </c>
      <c r="E12" s="258" t="str">
        <f t="shared" si="0"/>
        <v>GBPFUT3MK4_Quote</v>
      </c>
      <c r="F12" s="259" t="str">
        <f t="shared" si="1"/>
        <v>GBPFUT3MK4ConvAdj_Quote</v>
      </c>
      <c r="G12" s="258" t="str">
        <f>_xll.qlFuturesConvAdjustmentQuote($F12,IborIndex,$D12,$E12,Volatility,MeanReversion,Permanent,Trigger,ObjectOverwrite)</f>
        <v>GBPFUT3MK4ConvAdj_Quote#0000</v>
      </c>
      <c r="H12" s="74" t="str">
        <f>_xll.ohRangeRetrieveError(G12)</f>
        <v/>
      </c>
    </row>
    <row r="13" spans="1:8" x14ac:dyDescent="0.2">
      <c r="A13" s="148"/>
      <c r="B13" s="147">
        <v>7</v>
      </c>
      <c r="C13" s="145" t="b">
        <v>0</v>
      </c>
      <c r="D13" s="145" t="str">
        <v>M4</v>
      </c>
      <c r="E13" s="258" t="str">
        <f t="shared" si="0"/>
        <v>GBPFUT3MM4_Quote</v>
      </c>
      <c r="F13" s="259" t="str">
        <f t="shared" si="1"/>
        <v>GBPFUT3MM4ConvAdj_Quote</v>
      </c>
      <c r="G13" s="258" t="str">
        <f>_xll.qlFuturesConvAdjustmentQuote($F13,IborIndex,$D13,$E13,Volatility,MeanReversion,Permanent,Trigger,ObjectOverwrite)</f>
        <v>GBPFUT3MM4ConvAdj_Quote#0000</v>
      </c>
      <c r="H13" s="74" t="str">
        <f>_xll.ohRangeRetrieveError(G13)</f>
        <v/>
      </c>
    </row>
    <row r="14" spans="1:8" x14ac:dyDescent="0.2">
      <c r="A14" s="148"/>
      <c r="B14" s="147">
        <v>8</v>
      </c>
      <c r="C14" s="145" t="b">
        <v>0</v>
      </c>
      <c r="D14" s="145" t="str">
        <v>N4</v>
      </c>
      <c r="E14" s="258" t="str">
        <f t="shared" si="0"/>
        <v>GBPFUT3MN4_Quote</v>
      </c>
      <c r="F14" s="259" t="str">
        <f t="shared" si="1"/>
        <v>GBPFUT3MN4ConvAdj_Quote</v>
      </c>
      <c r="G14" s="258" t="str">
        <f>_xll.qlFuturesConvAdjustmentQuote($F14,IborIndex,$D14,$E14,Volatility,MeanReversion,Permanent,Trigger,ObjectOverwrite)</f>
        <v>GBPFUT3MN4ConvAdj_Quote#0000</v>
      </c>
      <c r="H14" s="74" t="str">
        <f>_xll.ohRangeRetrieveError(G14)</f>
        <v/>
      </c>
    </row>
    <row r="15" spans="1:8" x14ac:dyDescent="0.2">
      <c r="A15" s="148"/>
      <c r="B15" s="147">
        <v>9</v>
      </c>
      <c r="C15" s="145" t="b">
        <v>0</v>
      </c>
      <c r="D15" s="145" t="str">
        <v>Q4</v>
      </c>
      <c r="E15" s="258" t="str">
        <f t="shared" si="0"/>
        <v>GBPFUT3MQ4_Quote</v>
      </c>
      <c r="F15" s="259" t="str">
        <f t="shared" si="1"/>
        <v>GBPFUT3MQ4ConvAdj_Quote</v>
      </c>
      <c r="G15" s="258" t="str">
        <f>_xll.qlFuturesConvAdjustmentQuote($F15,IborIndex,$D15,$E15,Volatility,MeanReversion,Permanent,Trigger,ObjectOverwrite)</f>
        <v>GBPFUT3MQ4ConvAdj_Quote#0000</v>
      </c>
      <c r="H15" s="74" t="str">
        <f>_xll.ohRangeRetrieveError(G15)</f>
        <v/>
      </c>
    </row>
    <row r="16" spans="1:8" x14ac:dyDescent="0.2">
      <c r="A16" s="148"/>
      <c r="B16" s="147">
        <v>10</v>
      </c>
      <c r="C16" s="145" t="b">
        <v>0</v>
      </c>
      <c r="D16" s="145" t="str">
        <v>U4</v>
      </c>
      <c r="E16" s="258" t="str">
        <f t="shared" si="0"/>
        <v>GBPFUT3MU4_Quote</v>
      </c>
      <c r="F16" s="259" t="str">
        <f t="shared" si="1"/>
        <v>GBPFUT3MU4ConvAdj_Quote</v>
      </c>
      <c r="G16" s="258" t="str">
        <f>_xll.qlFuturesConvAdjustmentQuote($F16,IborIndex,$D16,$E16,Volatility,MeanReversion,Permanent,Trigger,ObjectOverwrite)</f>
        <v>GBPFUT3MU4ConvAdj_Quote#0000</v>
      </c>
      <c r="H16" s="74" t="str">
        <f>_xll.ohRangeRetrieveError(G16)</f>
        <v/>
      </c>
    </row>
    <row r="17" spans="1:8" x14ac:dyDescent="0.2">
      <c r="A17" s="148"/>
      <c r="B17" s="147">
        <v>11</v>
      </c>
      <c r="C17" s="145" t="b">
        <v>0</v>
      </c>
      <c r="D17" s="145" t="str">
        <v>V4</v>
      </c>
      <c r="E17" s="258" t="str">
        <f t="shared" si="0"/>
        <v>GBPFUT3MV4_Quote</v>
      </c>
      <c r="F17" s="259" t="str">
        <f t="shared" si="1"/>
        <v>GBPFUT3MV4ConvAdj_Quote</v>
      </c>
      <c r="G17" s="258" t="str">
        <f>_xll.qlFuturesConvAdjustmentQuote($F17,IborIndex,$D17,$E17,Volatility,MeanReversion,Permanent,Trigger,ObjectOverwrite)</f>
        <v>GBPFUT3MV4ConvAdj_Quote#0000</v>
      </c>
      <c r="H17" s="74" t="str">
        <f>_xll.ohRangeRetrieveError(G17)</f>
        <v/>
      </c>
    </row>
    <row r="18" spans="1:8" x14ac:dyDescent="0.2">
      <c r="A18" s="148"/>
      <c r="B18" s="147">
        <v>12</v>
      </c>
      <c r="C18" s="145" t="b">
        <v>0</v>
      </c>
      <c r="D18" s="145" t="str">
        <v>X4</v>
      </c>
      <c r="E18" s="258" t="str">
        <f t="shared" si="0"/>
        <v>GBPFUT3MX4_Quote</v>
      </c>
      <c r="F18" s="259" t="str">
        <f t="shared" si="1"/>
        <v>GBPFUT3MX4ConvAdj_Quote</v>
      </c>
      <c r="G18" s="258" t="str">
        <f>_xll.qlFuturesConvAdjustmentQuote($F18,IborIndex,$D18,$E18,Volatility,MeanReversion,Permanent,Trigger,ObjectOverwrite)</f>
        <v>GBPFUT3MX4ConvAdj_Quote#0000</v>
      </c>
      <c r="H18" s="74" t="str">
        <f>_xll.ohRangeRetrieveError(G18)</f>
        <v/>
      </c>
    </row>
    <row r="19" spans="1:8" x14ac:dyDescent="0.2">
      <c r="A19" s="148"/>
      <c r="B19" s="147">
        <v>13</v>
      </c>
      <c r="C19" s="145" t="b">
        <v>0</v>
      </c>
      <c r="D19" s="145" t="str">
        <v>Z4</v>
      </c>
      <c r="E19" s="258" t="str">
        <f t="shared" si="0"/>
        <v>GBPFUT3MZ4_Quote</v>
      </c>
      <c r="F19" s="259" t="str">
        <f t="shared" si="1"/>
        <v>GBPFUT3MZ4ConvAdj_Quote</v>
      </c>
      <c r="G19" s="258" t="str">
        <f>_xll.qlFuturesConvAdjustmentQuote($F19,IborIndex,$D19,$E19,Volatility,MeanReversion,Permanent,Trigger,ObjectOverwrite)</f>
        <v>GBPFUT3MZ4ConvAdj_Quote#0000</v>
      </c>
      <c r="H19" s="74" t="str">
        <f>_xll.ohRangeRetrieveError(G19)</f>
        <v/>
      </c>
    </row>
    <row r="20" spans="1:8" x14ac:dyDescent="0.2">
      <c r="A20" s="148"/>
      <c r="B20" s="147">
        <v>14</v>
      </c>
      <c r="C20" s="145" t="b">
        <v>0</v>
      </c>
      <c r="D20" s="145" t="str">
        <v>F5</v>
      </c>
      <c r="E20" s="258" t="str">
        <f t="shared" si="0"/>
        <v>GBPFUT3MF5_Quote</v>
      </c>
      <c r="F20" s="259" t="str">
        <f t="shared" si="1"/>
        <v>GBPFUT3MF5ConvAdj_Quote</v>
      </c>
      <c r="G20" s="258" t="str">
        <f>_xll.qlFuturesConvAdjustmentQuote($F20,IborIndex,$D20,$E20,Volatility,MeanReversion,Permanent,Trigger,ObjectOverwrite)</f>
        <v>GBPFUT3MF5ConvAdj_Quote#0000</v>
      </c>
      <c r="H20" s="74" t="str">
        <f>_xll.ohRangeRetrieveError(G20)</f>
        <v/>
      </c>
    </row>
    <row r="21" spans="1:8" x14ac:dyDescent="0.2">
      <c r="A21" s="148"/>
      <c r="B21" s="147">
        <v>15</v>
      </c>
      <c r="C21" s="145" t="b">
        <v>0</v>
      </c>
      <c r="D21" s="145" t="str">
        <v>G5</v>
      </c>
      <c r="E21" s="258" t="str">
        <f t="shared" si="0"/>
        <v>GBPFUT3MG5_Quote</v>
      </c>
      <c r="F21" s="259" t="str">
        <f t="shared" si="1"/>
        <v>GBPFUT3MG5ConvAdj_Quote</v>
      </c>
      <c r="G21" s="258" t="str">
        <f>_xll.qlFuturesConvAdjustmentQuote($F21,IborIndex,$D21,$E21,Volatility,MeanReversion,Permanent,Trigger,ObjectOverwrite)</f>
        <v>GBPFUT3MG5ConvAdj_Quote#0000</v>
      </c>
      <c r="H21" s="74" t="str">
        <f>_xll.ohRangeRetrieveError(G21)</f>
        <v/>
      </c>
    </row>
    <row r="22" spans="1:8" x14ac:dyDescent="0.2">
      <c r="A22" s="148"/>
      <c r="B22" s="147">
        <v>16</v>
      </c>
      <c r="C22" s="145" t="b">
        <v>0</v>
      </c>
      <c r="D22" s="145" t="str">
        <v>H5</v>
      </c>
      <c r="E22" s="258" t="str">
        <f t="shared" si="0"/>
        <v>GBPFUT3MH5_Quote</v>
      </c>
      <c r="F22" s="259" t="str">
        <f t="shared" si="1"/>
        <v>GBPFUT3MH5ConvAdj_Quote</v>
      </c>
      <c r="G22" s="258" t="str">
        <f>_xll.qlFuturesConvAdjustmentQuote($F22,IborIndex,$D22,$E22,Volatility,MeanReversion,Permanent,Trigger,ObjectOverwrite)</f>
        <v>GBPFUT3MH5ConvAdj_Quote#0000</v>
      </c>
      <c r="H22" s="74" t="str">
        <f>_xll.ohRangeRetrieveError(G22)</f>
        <v/>
      </c>
    </row>
    <row r="23" spans="1:8" x14ac:dyDescent="0.2">
      <c r="A23" s="148"/>
      <c r="B23" s="147">
        <v>17</v>
      </c>
      <c r="C23" s="145" t="b">
        <v>0</v>
      </c>
      <c r="D23" s="145" t="str">
        <v>J5</v>
      </c>
      <c r="E23" s="258" t="str">
        <f t="shared" si="0"/>
        <v>GBPFUT3MJ5_Quote</v>
      </c>
      <c r="F23" s="259" t="str">
        <f t="shared" si="1"/>
        <v>GBPFUT3MJ5ConvAdj_Quote</v>
      </c>
      <c r="G23" s="258" t="str">
        <f>_xll.qlFuturesConvAdjustmentQuote($F23,IborIndex,$D23,$E23,Volatility,MeanReversion,Permanent,Trigger,ObjectOverwrite)</f>
        <v>GBPFUT3MJ5ConvAdj_Quote#0000</v>
      </c>
      <c r="H23" s="74" t="str">
        <f>_xll.ohRangeRetrieveError(G23)</f>
        <v/>
      </c>
    </row>
    <row r="24" spans="1:8" x14ac:dyDescent="0.2">
      <c r="A24" s="148"/>
      <c r="B24" s="147">
        <v>18</v>
      </c>
      <c r="C24" s="145" t="b">
        <v>0</v>
      </c>
      <c r="D24" s="145" t="str">
        <v>K5</v>
      </c>
      <c r="E24" s="258" t="str">
        <f t="shared" si="0"/>
        <v>GBPFUT3MK5_Quote</v>
      </c>
      <c r="F24" s="259" t="str">
        <f t="shared" si="1"/>
        <v>GBPFUT3MK5ConvAdj_Quote</v>
      </c>
      <c r="G24" s="258" t="str">
        <f>_xll.qlFuturesConvAdjustmentQuote($F24,IborIndex,$D24,$E24,Volatility,MeanReversion,Permanent,Trigger,ObjectOverwrite)</f>
        <v>GBPFUT3MK5ConvAdj_Quote#0000</v>
      </c>
      <c r="H24" s="74" t="str">
        <f>_xll.ohRangeRetrieveError(G24)</f>
        <v/>
      </c>
    </row>
    <row r="25" spans="1:8" x14ac:dyDescent="0.2">
      <c r="A25" s="148"/>
      <c r="B25" s="147">
        <v>19</v>
      </c>
      <c r="C25" s="145" t="b">
        <v>0</v>
      </c>
      <c r="D25" s="145" t="str">
        <v>M5</v>
      </c>
      <c r="E25" s="258" t="str">
        <f t="shared" si="0"/>
        <v>GBPFUT3MM5_Quote</v>
      </c>
      <c r="F25" s="259" t="str">
        <f t="shared" si="1"/>
        <v>GBPFUT3MM5ConvAdj_Quote</v>
      </c>
      <c r="G25" s="258" t="str">
        <f>_xll.qlFuturesConvAdjustmentQuote($F25,IborIndex,$D25,$E25,Volatility,MeanReversion,Permanent,Trigger,ObjectOverwrite)</f>
        <v>GBPFUT3MM5ConvAdj_Quote#0000</v>
      </c>
      <c r="H25" s="74" t="str">
        <f>_xll.ohRangeRetrieveError(G25)</f>
        <v/>
      </c>
    </row>
    <row r="26" spans="1:8" x14ac:dyDescent="0.2">
      <c r="A26" s="148"/>
      <c r="B26" s="147">
        <v>20</v>
      </c>
      <c r="C26" s="145" t="b">
        <v>0</v>
      </c>
      <c r="D26" s="145" t="str">
        <v>N5</v>
      </c>
      <c r="E26" s="258" t="str">
        <f t="shared" si="0"/>
        <v>GBPFUT3MN5_Quote</v>
      </c>
      <c r="F26" s="259" t="str">
        <f t="shared" si="1"/>
        <v>GBPFUT3MN5ConvAdj_Quote</v>
      </c>
      <c r="G26" s="258" t="str">
        <f>_xll.qlFuturesConvAdjustmentQuote($F26,IborIndex,$D26,$E26,Volatility,MeanReversion,Permanent,Trigger,ObjectOverwrite)</f>
        <v>GBPFUT3MN5ConvAdj_Quote#0000</v>
      </c>
      <c r="H26" s="74" t="str">
        <f>_xll.ohRangeRetrieveError(G26)</f>
        <v/>
      </c>
    </row>
    <row r="27" spans="1:8" x14ac:dyDescent="0.2">
      <c r="A27" s="148"/>
      <c r="B27" s="147">
        <v>21</v>
      </c>
      <c r="C27" s="145" t="b">
        <v>0</v>
      </c>
      <c r="D27" s="145" t="str">
        <v>Q5</v>
      </c>
      <c r="E27" s="258" t="str">
        <f t="shared" si="0"/>
        <v>GBPFUT3MQ5_Quote</v>
      </c>
      <c r="F27" s="259" t="str">
        <f t="shared" si="1"/>
        <v>GBPFUT3MQ5ConvAdj_Quote</v>
      </c>
      <c r="G27" s="258" t="str">
        <f>_xll.qlFuturesConvAdjustmentQuote($F27,IborIndex,$D27,$E27,Volatility,MeanReversion,Permanent,Trigger,ObjectOverwrite)</f>
        <v>GBPFUT3MQ5ConvAdj_Quote#0000</v>
      </c>
      <c r="H27" s="74" t="str">
        <f>_xll.ohRangeRetrieveError(G27)</f>
        <v/>
      </c>
    </row>
    <row r="28" spans="1:8" x14ac:dyDescent="0.2">
      <c r="A28" s="148"/>
      <c r="B28" s="147">
        <v>22</v>
      </c>
      <c r="C28" s="145" t="b">
        <v>0</v>
      </c>
      <c r="D28" s="145" t="str">
        <v>U5</v>
      </c>
      <c r="E28" s="258" t="str">
        <f t="shared" si="0"/>
        <v>GBPFUT3MU5_Quote</v>
      </c>
      <c r="F28" s="259" t="str">
        <f t="shared" si="1"/>
        <v>GBPFUT3MU5ConvAdj_Quote</v>
      </c>
      <c r="G28" s="258" t="str">
        <f>_xll.qlFuturesConvAdjustmentQuote($F28,IborIndex,$D28,$E28,Volatility,MeanReversion,Permanent,Trigger,ObjectOverwrite)</f>
        <v>GBPFUT3MU5ConvAdj_Quote#0000</v>
      </c>
      <c r="H28" s="74" t="str">
        <f>_xll.ohRangeRetrieveError(G28)</f>
        <v/>
      </c>
    </row>
    <row r="29" spans="1:8" x14ac:dyDescent="0.2">
      <c r="A29" s="148"/>
      <c r="B29" s="147">
        <v>23</v>
      </c>
      <c r="C29" s="145" t="b">
        <v>0</v>
      </c>
      <c r="D29" s="145" t="str">
        <v>V5</v>
      </c>
      <c r="E29" s="258" t="str">
        <f t="shared" si="0"/>
        <v>GBPFUT3MV5_Quote</v>
      </c>
      <c r="F29" s="259" t="str">
        <f t="shared" si="1"/>
        <v>GBPFUT3MV5ConvAdj_Quote</v>
      </c>
      <c r="G29" s="258" t="str">
        <f>_xll.qlFuturesConvAdjustmentQuote($F29,IborIndex,$D29,$E29,Volatility,MeanReversion,Permanent,Trigger,ObjectOverwrite)</f>
        <v>GBPFUT3MV5ConvAdj_Quote#0000</v>
      </c>
      <c r="H29" s="74" t="str">
        <f>_xll.ohRangeRetrieveError(G29)</f>
        <v/>
      </c>
    </row>
    <row r="30" spans="1:8" x14ac:dyDescent="0.2">
      <c r="A30" s="148"/>
      <c r="B30" s="147">
        <v>24</v>
      </c>
      <c r="C30" s="145" t="b">
        <v>0</v>
      </c>
      <c r="D30" s="145" t="str">
        <v>X5</v>
      </c>
      <c r="E30" s="258" t="str">
        <f t="shared" si="0"/>
        <v>GBPFUT3MX5_Quote</v>
      </c>
      <c r="F30" s="259" t="str">
        <f t="shared" si="1"/>
        <v>GBPFUT3MX5ConvAdj_Quote</v>
      </c>
      <c r="G30" s="258" t="str">
        <f>_xll.qlFuturesConvAdjustmentQuote($F30,IborIndex,$D30,$E30,Volatility,MeanReversion,Permanent,Trigger,ObjectOverwrite)</f>
        <v>GBPFUT3MX5ConvAdj_Quote#0000</v>
      </c>
      <c r="H30" s="74" t="str">
        <f>_xll.ohRangeRetrieveError(G30)</f>
        <v/>
      </c>
    </row>
    <row r="31" spans="1:8" x14ac:dyDescent="0.2">
      <c r="A31" s="148"/>
      <c r="B31" s="147">
        <v>25</v>
      </c>
      <c r="C31" s="145" t="b">
        <v>0</v>
      </c>
      <c r="D31" s="145" t="str">
        <v>Z5</v>
      </c>
      <c r="E31" s="258" t="str">
        <f t="shared" si="0"/>
        <v>GBPFUT3MZ5_Quote</v>
      </c>
      <c r="F31" s="259" t="str">
        <f t="shared" si="1"/>
        <v>GBPFUT3MZ5ConvAdj_Quote</v>
      </c>
      <c r="G31" s="258" t="str">
        <f>_xll.qlFuturesConvAdjustmentQuote($F31,IborIndex,$D31,$E31,Volatility,MeanReversion,Permanent,Trigger,ObjectOverwrite)</f>
        <v>GBPFUT3MZ5ConvAdj_Quote#0000</v>
      </c>
      <c r="H31" s="74" t="str">
        <f>_xll.ohRangeRetrieveError(G31)</f>
        <v/>
      </c>
    </row>
    <row r="32" spans="1:8" x14ac:dyDescent="0.2">
      <c r="A32" s="148"/>
      <c r="B32" s="147">
        <v>26</v>
      </c>
      <c r="C32" s="145" t="b">
        <v>0</v>
      </c>
      <c r="D32" s="145" t="str">
        <v>F6</v>
      </c>
      <c r="E32" s="258" t="str">
        <f t="shared" si="0"/>
        <v>GBPFUT3MF6_Quote</v>
      </c>
      <c r="F32" s="259" t="str">
        <f t="shared" si="1"/>
        <v>GBPFUT3MF6ConvAdj_Quote</v>
      </c>
      <c r="G32" s="258" t="str">
        <f>_xll.qlFuturesConvAdjustmentQuote($F32,IborIndex,$D32,$E32,Volatility,MeanReversion,Permanent,Trigger,ObjectOverwrite)</f>
        <v>GBPFUT3MF6ConvAdj_Quote#0000</v>
      </c>
      <c r="H32" s="74" t="str">
        <f>_xll.ohRangeRetrieveError(G32)</f>
        <v/>
      </c>
    </row>
    <row r="33" spans="1:8" x14ac:dyDescent="0.2">
      <c r="A33" s="148"/>
      <c r="B33" s="147">
        <v>27</v>
      </c>
      <c r="C33" s="145" t="b">
        <v>0</v>
      </c>
      <c r="D33" s="145" t="str">
        <v>G6</v>
      </c>
      <c r="E33" s="258" t="str">
        <f t="shared" si="0"/>
        <v>GBPFUT3MG6_Quote</v>
      </c>
      <c r="F33" s="259" t="str">
        <f t="shared" si="1"/>
        <v>GBPFUT3MG6ConvAdj_Quote</v>
      </c>
      <c r="G33" s="258" t="str">
        <f>_xll.qlFuturesConvAdjustmentQuote($F33,IborIndex,$D33,$E33,Volatility,MeanReversion,Permanent,Trigger,ObjectOverwrite)</f>
        <v>GBPFUT3MG6ConvAdj_Quote#0000</v>
      </c>
      <c r="H33" s="74" t="str">
        <f>_xll.ohRangeRetrieveError(G33)</f>
        <v/>
      </c>
    </row>
    <row r="34" spans="1:8" x14ac:dyDescent="0.2">
      <c r="A34" s="148"/>
      <c r="B34" s="147">
        <v>28</v>
      </c>
      <c r="C34" s="145" t="b">
        <v>0</v>
      </c>
      <c r="D34" s="145" t="str">
        <v>H6</v>
      </c>
      <c r="E34" s="258" t="str">
        <f t="shared" si="0"/>
        <v>GBPFUT3MH6_Quote</v>
      </c>
      <c r="F34" s="259" t="str">
        <f t="shared" si="1"/>
        <v>GBPFUT3MH6ConvAdj_Quote</v>
      </c>
      <c r="G34" s="258" t="str">
        <f>_xll.qlFuturesConvAdjustmentQuote($F34,IborIndex,$D34,$E34,Volatility,MeanReversion,Permanent,Trigger,ObjectOverwrite)</f>
        <v>GBPFUT3MH6ConvAdj_Quote#0000</v>
      </c>
      <c r="H34" s="74" t="str">
        <f>_xll.ohRangeRetrieveError(G34)</f>
        <v/>
      </c>
    </row>
    <row r="35" spans="1:8" x14ac:dyDescent="0.2">
      <c r="A35" s="148"/>
      <c r="B35" s="147">
        <v>29</v>
      </c>
      <c r="C35" s="145" t="b">
        <v>0</v>
      </c>
      <c r="D35" s="145" t="str">
        <v>J6</v>
      </c>
      <c r="E35" s="258" t="str">
        <f t="shared" si="0"/>
        <v>GBPFUT3MJ6_Quote</v>
      </c>
      <c r="F35" s="259" t="str">
        <f t="shared" si="1"/>
        <v>GBPFUT3MJ6ConvAdj_Quote</v>
      </c>
      <c r="G35" s="258" t="str">
        <f>_xll.qlFuturesConvAdjustmentQuote($F35,IborIndex,$D35,$E35,Volatility,MeanReversion,Permanent,Trigger,ObjectOverwrite)</f>
        <v>GBPFUT3MJ6ConvAdj_Quote#0000</v>
      </c>
      <c r="H35" s="74" t="str">
        <f>_xll.ohRangeRetrieveError(G35)</f>
        <v/>
      </c>
    </row>
    <row r="36" spans="1:8" x14ac:dyDescent="0.2">
      <c r="A36" s="148"/>
      <c r="B36" s="147">
        <v>30</v>
      </c>
      <c r="C36" s="145" t="b">
        <v>0</v>
      </c>
      <c r="D36" s="145" t="str">
        <v>K6</v>
      </c>
      <c r="E36" s="258" t="str">
        <f t="shared" si="0"/>
        <v>GBPFUT3MK6_Quote</v>
      </c>
      <c r="F36" s="259" t="str">
        <f t="shared" si="1"/>
        <v>GBPFUT3MK6ConvAdj_Quote</v>
      </c>
      <c r="G36" s="258" t="str">
        <f>_xll.qlFuturesConvAdjustmentQuote($F36,IborIndex,$D36,$E36,Volatility,MeanReversion,Permanent,Trigger,ObjectOverwrite)</f>
        <v>GBPFUT3MK6ConvAdj_Quote#0000</v>
      </c>
      <c r="H36" s="74" t="str">
        <f>_xll.ohRangeRetrieveError(G36)</f>
        <v/>
      </c>
    </row>
    <row r="37" spans="1:8" x14ac:dyDescent="0.2">
      <c r="A37" s="148"/>
      <c r="B37" s="147">
        <v>31</v>
      </c>
      <c r="C37" s="145" t="b">
        <v>0</v>
      </c>
      <c r="D37" s="145" t="str">
        <v>M6</v>
      </c>
      <c r="E37" s="258" t="str">
        <f t="shared" si="0"/>
        <v>GBPFUT3MM6_Quote</v>
      </c>
      <c r="F37" s="259" t="str">
        <f t="shared" si="1"/>
        <v>GBPFUT3MM6ConvAdj_Quote</v>
      </c>
      <c r="G37" s="258" t="str">
        <f>_xll.qlFuturesConvAdjustmentQuote($F37,IborIndex,$D37,$E37,Volatility,MeanReversion,Permanent,Trigger,ObjectOverwrite)</f>
        <v>GBPFUT3MM6ConvAdj_Quote#0000</v>
      </c>
      <c r="H37" s="74" t="str">
        <f>_xll.ohRangeRetrieveError(G37)</f>
        <v/>
      </c>
    </row>
    <row r="38" spans="1:8" x14ac:dyDescent="0.2">
      <c r="A38" s="148"/>
      <c r="B38" s="147">
        <v>32</v>
      </c>
      <c r="C38" s="145" t="b">
        <v>0</v>
      </c>
      <c r="D38" s="145" t="str">
        <v>N6</v>
      </c>
      <c r="E38" s="258" t="str">
        <f t="shared" si="0"/>
        <v>GBPFUT3MN6_Quote</v>
      </c>
      <c r="F38" s="259" t="str">
        <f t="shared" si="1"/>
        <v>GBPFUT3MN6ConvAdj_Quote</v>
      </c>
      <c r="G38" s="258" t="str">
        <f>_xll.qlFuturesConvAdjustmentQuote($F38,IborIndex,$D38,$E38,Volatility,MeanReversion,Permanent,Trigger,ObjectOverwrite)</f>
        <v>GBPFUT3MN6ConvAdj_Quote#0000</v>
      </c>
      <c r="H38" s="74" t="str">
        <f>_xll.ohRangeRetrieveError(G38)</f>
        <v/>
      </c>
    </row>
    <row r="39" spans="1:8" x14ac:dyDescent="0.2">
      <c r="A39" s="148"/>
      <c r="B39" s="147">
        <v>33</v>
      </c>
      <c r="C39" s="145" t="b">
        <v>0</v>
      </c>
      <c r="D39" s="145" t="str">
        <v>Q6</v>
      </c>
      <c r="E39" s="258" t="str">
        <f t="shared" ref="E39:E70" si="2">Currency&amp;"FUT"&amp;$G$4&amp;$D39&amp;QuoteSuffix</f>
        <v>GBPFUT3MQ6_Quote</v>
      </c>
      <c r="F39" s="259" t="str">
        <f t="shared" ref="F39:F70" si="3">Currency&amp;"FUT"&amp;$G$4&amp;$D39&amp;"ConvAdj"&amp;QuoteSuffix</f>
        <v>GBPFUT3MQ6ConvAdj_Quote</v>
      </c>
      <c r="G39" s="258" t="str">
        <f>_xll.qlFuturesConvAdjustmentQuote($F39,IborIndex,$D39,$E39,Volatility,MeanReversion,Permanent,Trigger,ObjectOverwrite)</f>
        <v>GBPFUT3MQ6ConvAdj_Quote#0000</v>
      </c>
      <c r="H39" s="74" t="str">
        <f>_xll.ohRangeRetrieveError(G39)</f>
        <v/>
      </c>
    </row>
    <row r="40" spans="1:8" x14ac:dyDescent="0.2">
      <c r="A40" s="148"/>
      <c r="B40" s="147">
        <v>34</v>
      </c>
      <c r="C40" s="145" t="b">
        <v>0</v>
      </c>
      <c r="D40" s="145" t="str">
        <v>U6</v>
      </c>
      <c r="E40" s="258" t="str">
        <f t="shared" si="2"/>
        <v>GBPFUT3MU6_Quote</v>
      </c>
      <c r="F40" s="259" t="str">
        <f t="shared" si="3"/>
        <v>GBPFUT3MU6ConvAdj_Quote</v>
      </c>
      <c r="G40" s="258" t="str">
        <f>_xll.qlFuturesConvAdjustmentQuote($F40,IborIndex,$D40,$E40,Volatility,MeanReversion,Permanent,Trigger,ObjectOverwrite)</f>
        <v>GBPFUT3MU6ConvAdj_Quote#0000</v>
      </c>
      <c r="H40" s="74" t="str">
        <f>_xll.ohRangeRetrieveError(G40)</f>
        <v/>
      </c>
    </row>
    <row r="41" spans="1:8" x14ac:dyDescent="0.2">
      <c r="A41" s="148"/>
      <c r="B41" s="147">
        <v>35</v>
      </c>
      <c r="C41" s="145" t="b">
        <v>0</v>
      </c>
      <c r="D41" s="145" t="str">
        <v>V6</v>
      </c>
      <c r="E41" s="258" t="str">
        <f t="shared" si="2"/>
        <v>GBPFUT3MV6_Quote</v>
      </c>
      <c r="F41" s="259" t="str">
        <f t="shared" si="3"/>
        <v>GBPFUT3MV6ConvAdj_Quote</v>
      </c>
      <c r="G41" s="258" t="str">
        <f>_xll.qlFuturesConvAdjustmentQuote($F41,IborIndex,$D41,$E41,Volatility,MeanReversion,Permanent,Trigger,ObjectOverwrite)</f>
        <v>GBPFUT3MV6ConvAdj_Quote#0000</v>
      </c>
      <c r="H41" s="74" t="str">
        <f>_xll.ohRangeRetrieveError(G41)</f>
        <v/>
      </c>
    </row>
    <row r="42" spans="1:8" x14ac:dyDescent="0.2">
      <c r="A42" s="148"/>
      <c r="B42" s="147">
        <v>36</v>
      </c>
      <c r="C42" s="145" t="b">
        <v>0</v>
      </c>
      <c r="D42" s="145" t="str">
        <v>X6</v>
      </c>
      <c r="E42" s="258" t="str">
        <f t="shared" si="2"/>
        <v>GBPFUT3MX6_Quote</v>
      </c>
      <c r="F42" s="259" t="str">
        <f t="shared" si="3"/>
        <v>GBPFUT3MX6ConvAdj_Quote</v>
      </c>
      <c r="G42" s="258" t="str">
        <f>_xll.qlFuturesConvAdjustmentQuote($F42,IborIndex,$D42,$E42,Volatility,MeanReversion,Permanent,Trigger,ObjectOverwrite)</f>
        <v>GBPFUT3MX6ConvAdj_Quote#0000</v>
      </c>
      <c r="H42" s="74" t="str">
        <f>_xll.ohRangeRetrieveError(G42)</f>
        <v/>
      </c>
    </row>
    <row r="43" spans="1:8" x14ac:dyDescent="0.2">
      <c r="A43" s="148"/>
      <c r="B43" s="147">
        <v>37</v>
      </c>
      <c r="C43" s="145" t="b">
        <v>0</v>
      </c>
      <c r="D43" s="145" t="str">
        <v>Z6</v>
      </c>
      <c r="E43" s="258" t="str">
        <f t="shared" si="2"/>
        <v>GBPFUT3MZ6_Quote</v>
      </c>
      <c r="F43" s="259" t="str">
        <f t="shared" si="3"/>
        <v>GBPFUT3MZ6ConvAdj_Quote</v>
      </c>
      <c r="G43" s="258" t="str">
        <f>_xll.qlFuturesConvAdjustmentQuote($F43,IborIndex,$D43,$E43,Volatility,MeanReversion,Permanent,Trigger,ObjectOverwrite)</f>
        <v>GBPFUT3MZ6ConvAdj_Quote#0000</v>
      </c>
      <c r="H43" s="74" t="str">
        <f>_xll.ohRangeRetrieveError(G43)</f>
        <v/>
      </c>
    </row>
    <row r="44" spans="1:8" x14ac:dyDescent="0.2">
      <c r="A44" s="148"/>
      <c r="B44" s="147">
        <v>38</v>
      </c>
      <c r="C44" s="145" t="b">
        <v>0</v>
      </c>
      <c r="D44" s="145" t="str">
        <v>F7</v>
      </c>
      <c r="E44" s="258" t="str">
        <f t="shared" si="2"/>
        <v>GBPFUT3MF7_Quote</v>
      </c>
      <c r="F44" s="259" t="str">
        <f t="shared" si="3"/>
        <v>GBPFUT3MF7ConvAdj_Quote</v>
      </c>
      <c r="G44" s="258" t="str">
        <f>_xll.qlFuturesConvAdjustmentQuote($F44,IborIndex,$D44,$E44,Volatility,MeanReversion,Permanent,Trigger,ObjectOverwrite)</f>
        <v>GBPFUT3MF7ConvAdj_Quote#0000</v>
      </c>
      <c r="H44" s="74" t="str">
        <f>_xll.ohRangeRetrieveError(G44)</f>
        <v/>
      </c>
    </row>
    <row r="45" spans="1:8" x14ac:dyDescent="0.2">
      <c r="A45" s="148"/>
      <c r="B45" s="147">
        <v>39</v>
      </c>
      <c r="C45" s="145" t="b">
        <v>0</v>
      </c>
      <c r="D45" s="145" t="str">
        <v>G7</v>
      </c>
      <c r="E45" s="258" t="str">
        <f t="shared" si="2"/>
        <v>GBPFUT3MG7_Quote</v>
      </c>
      <c r="F45" s="259" t="str">
        <f t="shared" si="3"/>
        <v>GBPFUT3MG7ConvAdj_Quote</v>
      </c>
      <c r="G45" s="258" t="str">
        <f>_xll.qlFuturesConvAdjustmentQuote($F45,IborIndex,$D45,$E45,Volatility,MeanReversion,Permanent,Trigger,ObjectOverwrite)</f>
        <v>GBPFUT3MG7ConvAdj_Quote#0000</v>
      </c>
      <c r="H45" s="74" t="str">
        <f>_xll.ohRangeRetrieveError(G45)</f>
        <v/>
      </c>
    </row>
    <row r="46" spans="1:8" x14ac:dyDescent="0.2">
      <c r="A46" s="148"/>
      <c r="B46" s="147">
        <v>40</v>
      </c>
      <c r="C46" s="145" t="b">
        <v>0</v>
      </c>
      <c r="D46" s="145" t="str">
        <v>H7</v>
      </c>
      <c r="E46" s="258" t="str">
        <f t="shared" si="2"/>
        <v>GBPFUT3MH7_Quote</v>
      </c>
      <c r="F46" s="259" t="str">
        <f t="shared" si="3"/>
        <v>GBPFUT3MH7ConvAdj_Quote</v>
      </c>
      <c r="G46" s="258" t="str">
        <f>_xll.qlFuturesConvAdjustmentQuote($F46,IborIndex,$D46,$E46,Volatility,MeanReversion,Permanent,Trigger,ObjectOverwrite)</f>
        <v>GBPFUT3MH7ConvAdj_Quote#0000</v>
      </c>
      <c r="H46" s="74" t="str">
        <f>_xll.ohRangeRetrieveError(G46)</f>
        <v/>
      </c>
    </row>
    <row r="47" spans="1:8" x14ac:dyDescent="0.2">
      <c r="A47" s="148"/>
      <c r="B47" s="147">
        <v>41</v>
      </c>
      <c r="C47" s="145" t="b">
        <v>0</v>
      </c>
      <c r="D47" s="145" t="str">
        <v>J7</v>
      </c>
      <c r="E47" s="258" t="str">
        <f t="shared" si="2"/>
        <v>GBPFUT3MJ7_Quote</v>
      </c>
      <c r="F47" s="259" t="str">
        <f t="shared" si="3"/>
        <v>GBPFUT3MJ7ConvAdj_Quote</v>
      </c>
      <c r="G47" s="258" t="str">
        <f>_xll.qlFuturesConvAdjustmentQuote($F47,IborIndex,$D47,$E47,Volatility,MeanReversion,Permanent,Trigger,ObjectOverwrite)</f>
        <v>GBPFUT3MJ7ConvAdj_Quote#0000</v>
      </c>
      <c r="H47" s="74" t="str">
        <f>_xll.ohRangeRetrieveError(G47)</f>
        <v/>
      </c>
    </row>
    <row r="48" spans="1:8" x14ac:dyDescent="0.2">
      <c r="A48" s="148"/>
      <c r="B48" s="147">
        <v>42</v>
      </c>
      <c r="C48" s="145" t="b">
        <v>0</v>
      </c>
      <c r="D48" s="145" t="str">
        <v>K7</v>
      </c>
      <c r="E48" s="258" t="str">
        <f t="shared" si="2"/>
        <v>GBPFUT3MK7_Quote</v>
      </c>
      <c r="F48" s="259" t="str">
        <f t="shared" si="3"/>
        <v>GBPFUT3MK7ConvAdj_Quote</v>
      </c>
      <c r="G48" s="258" t="str">
        <f>_xll.qlFuturesConvAdjustmentQuote($F48,IborIndex,$D48,$E48,Volatility,MeanReversion,Permanent,Trigger,ObjectOverwrite)</f>
        <v>GBPFUT3MK7ConvAdj_Quote#0000</v>
      </c>
      <c r="H48" s="74" t="str">
        <f>_xll.ohRangeRetrieveError(G48)</f>
        <v/>
      </c>
    </row>
    <row r="49" spans="1:8" x14ac:dyDescent="0.2">
      <c r="A49" s="148"/>
      <c r="B49" s="147">
        <v>43</v>
      </c>
      <c r="C49" s="145" t="b">
        <v>0</v>
      </c>
      <c r="D49" s="145" t="str">
        <v>M7</v>
      </c>
      <c r="E49" s="258" t="str">
        <f t="shared" si="2"/>
        <v>GBPFUT3MM7_Quote</v>
      </c>
      <c r="F49" s="259" t="str">
        <f t="shared" si="3"/>
        <v>GBPFUT3MM7ConvAdj_Quote</v>
      </c>
      <c r="G49" s="258" t="str">
        <f>_xll.qlFuturesConvAdjustmentQuote($F49,IborIndex,$D49,$E49,Volatility,MeanReversion,Permanent,Trigger,ObjectOverwrite)</f>
        <v>GBPFUT3MM7ConvAdj_Quote#0000</v>
      </c>
      <c r="H49" s="74" t="str">
        <f>_xll.ohRangeRetrieveError(G49)</f>
        <v/>
      </c>
    </row>
    <row r="50" spans="1:8" x14ac:dyDescent="0.2">
      <c r="A50" s="148"/>
      <c r="B50" s="147">
        <v>44</v>
      </c>
      <c r="C50" s="145" t="b">
        <v>0</v>
      </c>
      <c r="D50" s="145" t="str">
        <v>N7</v>
      </c>
      <c r="E50" s="258" t="str">
        <f t="shared" si="2"/>
        <v>GBPFUT3MN7_Quote</v>
      </c>
      <c r="F50" s="259" t="str">
        <f t="shared" si="3"/>
        <v>GBPFUT3MN7ConvAdj_Quote</v>
      </c>
      <c r="G50" s="258" t="str">
        <f>_xll.qlFuturesConvAdjustmentQuote($F50,IborIndex,$D50,$E50,Volatility,MeanReversion,Permanent,Trigger,ObjectOverwrite)</f>
        <v>GBPFUT3MN7ConvAdj_Quote#0000</v>
      </c>
      <c r="H50" s="74" t="str">
        <f>_xll.ohRangeRetrieveError(G50)</f>
        <v/>
      </c>
    </row>
    <row r="51" spans="1:8" x14ac:dyDescent="0.2">
      <c r="A51" s="148"/>
      <c r="B51" s="147">
        <v>45</v>
      </c>
      <c r="C51" s="145" t="b">
        <v>0</v>
      </c>
      <c r="D51" s="145" t="str">
        <v>Q7</v>
      </c>
      <c r="E51" s="258" t="str">
        <f t="shared" si="2"/>
        <v>GBPFUT3MQ7_Quote</v>
      </c>
      <c r="F51" s="259" t="str">
        <f t="shared" si="3"/>
        <v>GBPFUT3MQ7ConvAdj_Quote</v>
      </c>
      <c r="G51" s="258" t="str">
        <f>_xll.qlFuturesConvAdjustmentQuote($F51,IborIndex,$D51,$E51,Volatility,MeanReversion,Permanent,Trigger,ObjectOverwrite)</f>
        <v>GBPFUT3MQ7ConvAdj_Quote#0000</v>
      </c>
      <c r="H51" s="74" t="str">
        <f>_xll.ohRangeRetrieveError(G51)</f>
        <v/>
      </c>
    </row>
    <row r="52" spans="1:8" x14ac:dyDescent="0.2">
      <c r="A52" s="148"/>
      <c r="B52" s="147">
        <v>46</v>
      </c>
      <c r="C52" s="145" t="b">
        <v>0</v>
      </c>
      <c r="D52" s="145" t="str">
        <v>U7</v>
      </c>
      <c r="E52" s="258" t="str">
        <f t="shared" si="2"/>
        <v>GBPFUT3MU7_Quote</v>
      </c>
      <c r="F52" s="259" t="str">
        <f t="shared" si="3"/>
        <v>GBPFUT3MU7ConvAdj_Quote</v>
      </c>
      <c r="G52" s="258" t="str">
        <f>_xll.qlFuturesConvAdjustmentQuote($F52,IborIndex,$D52,$E52,Volatility,MeanReversion,Permanent,Trigger,ObjectOverwrite)</f>
        <v>GBPFUT3MU7ConvAdj_Quote#0000</v>
      </c>
      <c r="H52" s="74" t="str">
        <f>_xll.ohRangeRetrieveError(G52)</f>
        <v/>
      </c>
    </row>
    <row r="53" spans="1:8" x14ac:dyDescent="0.2">
      <c r="A53" s="148"/>
      <c r="B53" s="147">
        <v>47</v>
      </c>
      <c r="C53" s="145" t="b">
        <v>0</v>
      </c>
      <c r="D53" s="145" t="str">
        <v>V7</v>
      </c>
      <c r="E53" s="258" t="str">
        <f t="shared" si="2"/>
        <v>GBPFUT3MV7_Quote</v>
      </c>
      <c r="F53" s="259" t="str">
        <f t="shared" si="3"/>
        <v>GBPFUT3MV7ConvAdj_Quote</v>
      </c>
      <c r="G53" s="258" t="str">
        <f>_xll.qlFuturesConvAdjustmentQuote($F53,IborIndex,$D53,$E53,Volatility,MeanReversion,Permanent,Trigger,ObjectOverwrite)</f>
        <v>GBPFUT3MV7ConvAdj_Quote#0000</v>
      </c>
      <c r="H53" s="74" t="str">
        <f>_xll.ohRangeRetrieveError(G53)</f>
        <v/>
      </c>
    </row>
    <row r="54" spans="1:8" x14ac:dyDescent="0.2">
      <c r="A54" s="148"/>
      <c r="B54" s="147">
        <v>48</v>
      </c>
      <c r="C54" s="145" t="b">
        <v>0</v>
      </c>
      <c r="D54" s="145" t="str">
        <v>X7</v>
      </c>
      <c r="E54" s="258" t="str">
        <f t="shared" si="2"/>
        <v>GBPFUT3MX7_Quote</v>
      </c>
      <c r="F54" s="259" t="str">
        <f t="shared" si="3"/>
        <v>GBPFUT3MX7ConvAdj_Quote</v>
      </c>
      <c r="G54" s="258" t="str">
        <f>_xll.qlFuturesConvAdjustmentQuote($F54,IborIndex,$D54,$E54,Volatility,MeanReversion,Permanent,Trigger,ObjectOverwrite)</f>
        <v>GBPFUT3MX7ConvAdj_Quote#0000</v>
      </c>
      <c r="H54" s="74" t="str">
        <f>_xll.ohRangeRetrieveError(G54)</f>
        <v/>
      </c>
    </row>
    <row r="55" spans="1:8" x14ac:dyDescent="0.2">
      <c r="A55" s="148"/>
      <c r="B55" s="147">
        <v>49</v>
      </c>
      <c r="C55" s="145" t="b">
        <v>0</v>
      </c>
      <c r="D55" s="145" t="str">
        <v>Z7</v>
      </c>
      <c r="E55" s="258" t="str">
        <f t="shared" si="2"/>
        <v>GBPFUT3MZ7_Quote</v>
      </c>
      <c r="F55" s="259" t="str">
        <f t="shared" si="3"/>
        <v>GBPFUT3MZ7ConvAdj_Quote</v>
      </c>
      <c r="G55" s="258" t="str">
        <f>_xll.qlFuturesConvAdjustmentQuote($F55,IborIndex,$D55,$E55,Volatility,MeanReversion,Permanent,Trigger,ObjectOverwrite)</f>
        <v>GBPFUT3MZ7ConvAdj_Quote#0000</v>
      </c>
      <c r="H55" s="74" t="str">
        <f>_xll.ohRangeRetrieveError(G55)</f>
        <v/>
      </c>
    </row>
    <row r="56" spans="1:8" x14ac:dyDescent="0.2">
      <c r="A56" s="148"/>
      <c r="B56" s="147">
        <v>50</v>
      </c>
      <c r="C56" s="145" t="b">
        <v>0</v>
      </c>
      <c r="D56" s="145" t="str">
        <v>F8</v>
      </c>
      <c r="E56" s="258" t="str">
        <f t="shared" si="2"/>
        <v>GBPFUT3MF8_Quote</v>
      </c>
      <c r="F56" s="259" t="str">
        <f t="shared" si="3"/>
        <v>GBPFUT3MF8ConvAdj_Quote</v>
      </c>
      <c r="G56" s="258" t="str">
        <f>_xll.qlFuturesConvAdjustmentQuote($F56,IborIndex,$D56,$E56,Volatility,MeanReversion,Permanent,Trigger,ObjectOverwrite)</f>
        <v>GBPFUT3MF8ConvAdj_Quote#0000</v>
      </c>
      <c r="H56" s="74" t="str">
        <f>_xll.ohRangeRetrieveError(G56)</f>
        <v/>
      </c>
    </row>
    <row r="57" spans="1:8" x14ac:dyDescent="0.2">
      <c r="A57" s="148"/>
      <c r="B57" s="147">
        <v>51</v>
      </c>
      <c r="C57" s="145" t="b">
        <v>0</v>
      </c>
      <c r="D57" s="145" t="str">
        <v>G8</v>
      </c>
      <c r="E57" s="258" t="str">
        <f t="shared" si="2"/>
        <v>GBPFUT3MG8_Quote</v>
      </c>
      <c r="F57" s="259" t="str">
        <f t="shared" si="3"/>
        <v>GBPFUT3MG8ConvAdj_Quote</v>
      </c>
      <c r="G57" s="258" t="str">
        <f>_xll.qlFuturesConvAdjustmentQuote($F57,IborIndex,$D57,$E57,Volatility,MeanReversion,Permanent,Trigger,ObjectOverwrite)</f>
        <v>GBPFUT3MG8ConvAdj_Quote#0000</v>
      </c>
      <c r="H57" s="74" t="str">
        <f>_xll.ohRangeRetrieveError(G57)</f>
        <v/>
      </c>
    </row>
    <row r="58" spans="1:8" x14ac:dyDescent="0.2">
      <c r="A58" s="148"/>
      <c r="B58" s="147">
        <v>52</v>
      </c>
      <c r="C58" s="145" t="b">
        <v>0</v>
      </c>
      <c r="D58" s="145" t="str">
        <v>H8</v>
      </c>
      <c r="E58" s="258" t="str">
        <f t="shared" si="2"/>
        <v>GBPFUT3MH8_Quote</v>
      </c>
      <c r="F58" s="259" t="str">
        <f t="shared" si="3"/>
        <v>GBPFUT3MH8ConvAdj_Quote</v>
      </c>
      <c r="G58" s="258" t="str">
        <f>_xll.qlFuturesConvAdjustmentQuote($F58,IborIndex,$D58,$E58,Volatility,MeanReversion,Permanent,Trigger,ObjectOverwrite)</f>
        <v>GBPFUT3MH8ConvAdj_Quote#0000</v>
      </c>
      <c r="H58" s="74" t="str">
        <f>_xll.ohRangeRetrieveError(G58)</f>
        <v/>
      </c>
    </row>
    <row r="59" spans="1:8" x14ac:dyDescent="0.2">
      <c r="A59" s="148"/>
      <c r="B59" s="147">
        <v>53</v>
      </c>
      <c r="C59" s="145" t="b">
        <v>0</v>
      </c>
      <c r="D59" s="145" t="str">
        <v>J8</v>
      </c>
      <c r="E59" s="258" t="str">
        <f t="shared" si="2"/>
        <v>GBPFUT3MJ8_Quote</v>
      </c>
      <c r="F59" s="259" t="str">
        <f t="shared" si="3"/>
        <v>GBPFUT3MJ8ConvAdj_Quote</v>
      </c>
      <c r="G59" s="258" t="str">
        <f>_xll.qlFuturesConvAdjustmentQuote($F59,IborIndex,$D59,$E59,Volatility,MeanReversion,Permanent,Trigger,ObjectOverwrite)</f>
        <v>GBPFUT3MJ8ConvAdj_Quote#0000</v>
      </c>
      <c r="H59" s="74" t="str">
        <f>_xll.ohRangeRetrieveError(G59)</f>
        <v/>
      </c>
    </row>
    <row r="60" spans="1:8" x14ac:dyDescent="0.2">
      <c r="A60" s="148"/>
      <c r="B60" s="147">
        <v>54</v>
      </c>
      <c r="C60" s="145" t="b">
        <v>0</v>
      </c>
      <c r="D60" s="145" t="str">
        <v>K8</v>
      </c>
      <c r="E60" s="258" t="str">
        <f t="shared" si="2"/>
        <v>GBPFUT3MK8_Quote</v>
      </c>
      <c r="F60" s="259" t="str">
        <f t="shared" si="3"/>
        <v>GBPFUT3MK8ConvAdj_Quote</v>
      </c>
      <c r="G60" s="258" t="str">
        <f>_xll.qlFuturesConvAdjustmentQuote($F60,IborIndex,$D60,$E60,Volatility,MeanReversion,Permanent,Trigger,ObjectOverwrite)</f>
        <v>GBPFUT3MK8ConvAdj_Quote#0000</v>
      </c>
      <c r="H60" s="74" t="str">
        <f>_xll.ohRangeRetrieveError(G60)</f>
        <v/>
      </c>
    </row>
    <row r="61" spans="1:8" x14ac:dyDescent="0.2">
      <c r="A61" s="148"/>
      <c r="B61" s="147">
        <v>55</v>
      </c>
      <c r="C61" s="145" t="b">
        <v>0</v>
      </c>
      <c r="D61" s="145" t="str">
        <v>M8</v>
      </c>
      <c r="E61" s="258" t="str">
        <f t="shared" si="2"/>
        <v>GBPFUT3MM8_Quote</v>
      </c>
      <c r="F61" s="259" t="str">
        <f t="shared" si="3"/>
        <v>GBPFUT3MM8ConvAdj_Quote</v>
      </c>
      <c r="G61" s="258" t="str">
        <f>_xll.qlFuturesConvAdjustmentQuote($F61,IborIndex,$D61,$E61,Volatility,MeanReversion,Permanent,Trigger,ObjectOverwrite)</f>
        <v>GBPFUT3MM8ConvAdj_Quote#0000</v>
      </c>
      <c r="H61" s="74" t="str">
        <f>_xll.ohRangeRetrieveError(G61)</f>
        <v/>
      </c>
    </row>
    <row r="62" spans="1:8" x14ac:dyDescent="0.2">
      <c r="A62" s="148"/>
      <c r="B62" s="147">
        <v>56</v>
      </c>
      <c r="C62" s="145" t="b">
        <v>0</v>
      </c>
      <c r="D62" s="145" t="str">
        <v>N8</v>
      </c>
      <c r="E62" s="258" t="str">
        <f t="shared" si="2"/>
        <v>GBPFUT3MN8_Quote</v>
      </c>
      <c r="F62" s="259" t="str">
        <f t="shared" si="3"/>
        <v>GBPFUT3MN8ConvAdj_Quote</v>
      </c>
      <c r="G62" s="258" t="str">
        <f>_xll.qlFuturesConvAdjustmentQuote($F62,IborIndex,$D62,$E62,Volatility,MeanReversion,Permanent,Trigger,ObjectOverwrite)</f>
        <v>GBPFUT3MN8ConvAdj_Quote#0000</v>
      </c>
      <c r="H62" s="74" t="str">
        <f>_xll.ohRangeRetrieveError(G62)</f>
        <v/>
      </c>
    </row>
    <row r="63" spans="1:8" x14ac:dyDescent="0.2">
      <c r="A63" s="148"/>
      <c r="B63" s="147">
        <v>57</v>
      </c>
      <c r="C63" s="145" t="b">
        <v>0</v>
      </c>
      <c r="D63" s="145" t="str">
        <v>Q8</v>
      </c>
      <c r="E63" s="258" t="str">
        <f t="shared" si="2"/>
        <v>GBPFUT3MQ8_Quote</v>
      </c>
      <c r="F63" s="259" t="str">
        <f t="shared" si="3"/>
        <v>GBPFUT3MQ8ConvAdj_Quote</v>
      </c>
      <c r="G63" s="258" t="str">
        <f>_xll.qlFuturesConvAdjustmentQuote($F63,IborIndex,$D63,$E63,Volatility,MeanReversion,Permanent,Trigger,ObjectOverwrite)</f>
        <v>GBPFUT3MQ8ConvAdj_Quote#0000</v>
      </c>
      <c r="H63" s="74" t="str">
        <f>_xll.ohRangeRetrieveError(G63)</f>
        <v/>
      </c>
    </row>
    <row r="64" spans="1:8" x14ac:dyDescent="0.2">
      <c r="A64" s="148"/>
      <c r="B64" s="147">
        <v>58</v>
      </c>
      <c r="C64" s="145" t="b">
        <v>0</v>
      </c>
      <c r="D64" s="145" t="str">
        <v>U8</v>
      </c>
      <c r="E64" s="258" t="str">
        <f t="shared" si="2"/>
        <v>GBPFUT3MU8_Quote</v>
      </c>
      <c r="F64" s="259" t="str">
        <f t="shared" si="3"/>
        <v>GBPFUT3MU8ConvAdj_Quote</v>
      </c>
      <c r="G64" s="258" t="str">
        <f>_xll.qlFuturesConvAdjustmentQuote($F64,IborIndex,$D64,$E64,Volatility,MeanReversion,Permanent,Trigger,ObjectOverwrite)</f>
        <v>GBPFUT3MU8ConvAdj_Quote#0000</v>
      </c>
      <c r="H64" s="74" t="str">
        <f>_xll.ohRangeRetrieveError(G64)</f>
        <v/>
      </c>
    </row>
    <row r="65" spans="1:8" x14ac:dyDescent="0.2">
      <c r="A65" s="148"/>
      <c r="B65" s="147">
        <v>59</v>
      </c>
      <c r="C65" s="145" t="b">
        <v>0</v>
      </c>
      <c r="D65" s="145" t="str">
        <v>V8</v>
      </c>
      <c r="E65" s="258" t="str">
        <f t="shared" si="2"/>
        <v>GBPFUT3MV8_Quote</v>
      </c>
      <c r="F65" s="259" t="str">
        <f t="shared" si="3"/>
        <v>GBPFUT3MV8ConvAdj_Quote</v>
      </c>
      <c r="G65" s="258" t="str">
        <f>_xll.qlFuturesConvAdjustmentQuote($F65,IborIndex,$D65,$E65,Volatility,MeanReversion,Permanent,Trigger,ObjectOverwrite)</f>
        <v>GBPFUT3MV8ConvAdj_Quote#0000</v>
      </c>
      <c r="H65" s="74" t="str">
        <f>_xll.ohRangeRetrieveError(G65)</f>
        <v/>
      </c>
    </row>
    <row r="66" spans="1:8" x14ac:dyDescent="0.2">
      <c r="A66" s="148"/>
      <c r="B66" s="147">
        <v>60</v>
      </c>
      <c r="C66" s="145" t="b">
        <v>0</v>
      </c>
      <c r="D66" s="145" t="str">
        <v>X8</v>
      </c>
      <c r="E66" s="258" t="str">
        <f t="shared" si="2"/>
        <v>GBPFUT3MX8_Quote</v>
      </c>
      <c r="F66" s="259" t="str">
        <f t="shared" si="3"/>
        <v>GBPFUT3MX8ConvAdj_Quote</v>
      </c>
      <c r="G66" s="258" t="str">
        <f>_xll.qlFuturesConvAdjustmentQuote($F66,IborIndex,$D66,$E66,Volatility,MeanReversion,Permanent,Trigger,ObjectOverwrite)</f>
        <v>GBPFUT3MX8ConvAdj_Quote#0000</v>
      </c>
      <c r="H66" s="74" t="str">
        <f>_xll.ohRangeRetrieveError(G66)</f>
        <v/>
      </c>
    </row>
    <row r="67" spans="1:8" x14ac:dyDescent="0.2">
      <c r="A67" s="148"/>
      <c r="B67" s="147">
        <v>61</v>
      </c>
      <c r="C67" s="145" t="b">
        <v>0</v>
      </c>
      <c r="D67" s="145" t="str">
        <v>Z8</v>
      </c>
      <c r="E67" s="258" t="str">
        <f t="shared" si="2"/>
        <v>GBPFUT3MZ8_Quote</v>
      </c>
      <c r="F67" s="259" t="str">
        <f t="shared" si="3"/>
        <v>GBPFUT3MZ8ConvAdj_Quote</v>
      </c>
      <c r="G67" s="258" t="str">
        <f>_xll.qlFuturesConvAdjustmentQuote($F67,IborIndex,$D67,$E67,Volatility,MeanReversion,Permanent,Trigger,ObjectOverwrite)</f>
        <v>GBPFUT3MZ8ConvAdj_Quote#0000</v>
      </c>
      <c r="H67" s="74" t="str">
        <f>_xll.ohRangeRetrieveError(G67)</f>
        <v/>
      </c>
    </row>
    <row r="68" spans="1:8" x14ac:dyDescent="0.2">
      <c r="A68" s="148"/>
      <c r="B68" s="147">
        <v>62</v>
      </c>
      <c r="C68" s="145" t="b">
        <v>0</v>
      </c>
      <c r="D68" s="145" t="str">
        <v>F9</v>
      </c>
      <c r="E68" s="258" t="str">
        <f t="shared" si="2"/>
        <v>GBPFUT3MF9_Quote</v>
      </c>
      <c r="F68" s="259" t="str">
        <f t="shared" si="3"/>
        <v>GBPFUT3MF9ConvAdj_Quote</v>
      </c>
      <c r="G68" s="258" t="str">
        <f>_xll.qlFuturesConvAdjustmentQuote($F68,IborIndex,$D68,$E68,Volatility,MeanReversion,Permanent,Trigger,ObjectOverwrite)</f>
        <v>GBPFUT3MF9ConvAdj_Quote#0000</v>
      </c>
      <c r="H68" s="74" t="str">
        <f>_xll.ohRangeRetrieveError(G68)</f>
        <v/>
      </c>
    </row>
    <row r="69" spans="1:8" x14ac:dyDescent="0.2">
      <c r="A69" s="148"/>
      <c r="B69" s="147">
        <v>63</v>
      </c>
      <c r="C69" s="145" t="b">
        <v>0</v>
      </c>
      <c r="D69" s="145" t="str">
        <v>G9</v>
      </c>
      <c r="E69" s="258" t="str">
        <f t="shared" si="2"/>
        <v>GBPFUT3MG9_Quote</v>
      </c>
      <c r="F69" s="259" t="str">
        <f t="shared" si="3"/>
        <v>GBPFUT3MG9ConvAdj_Quote</v>
      </c>
      <c r="G69" s="258" t="str">
        <f>_xll.qlFuturesConvAdjustmentQuote($F69,IborIndex,$D69,$E69,Volatility,MeanReversion,Permanent,Trigger,ObjectOverwrite)</f>
        <v>GBPFUT3MG9ConvAdj_Quote#0000</v>
      </c>
      <c r="H69" s="74" t="str">
        <f>_xll.ohRangeRetrieveError(G69)</f>
        <v/>
      </c>
    </row>
    <row r="70" spans="1:8" x14ac:dyDescent="0.2">
      <c r="A70" s="148"/>
      <c r="B70" s="147">
        <v>64</v>
      </c>
      <c r="C70" s="145" t="b">
        <v>0</v>
      </c>
      <c r="D70" s="145" t="str">
        <v>H9</v>
      </c>
      <c r="E70" s="258" t="str">
        <f t="shared" si="2"/>
        <v>GBPFUT3MH9_Quote</v>
      </c>
      <c r="F70" s="259" t="str">
        <f t="shared" si="3"/>
        <v>GBPFUT3MH9ConvAdj_Quote</v>
      </c>
      <c r="G70" s="258" t="str">
        <f>_xll.qlFuturesConvAdjustmentQuote($F70,IborIndex,$D70,$E70,Volatility,MeanReversion,Permanent,Trigger,ObjectOverwrite)</f>
        <v>GBPFUT3MH9ConvAdj_Quote#0000</v>
      </c>
      <c r="H70" s="74" t="str">
        <f>_xll.ohRangeRetrieveError(G70)</f>
        <v/>
      </c>
    </row>
    <row r="71" spans="1:8" x14ac:dyDescent="0.2">
      <c r="A71" s="148"/>
      <c r="B71" s="147">
        <v>65</v>
      </c>
      <c r="C71" s="145" t="b">
        <v>0</v>
      </c>
      <c r="D71" s="145" t="str">
        <v>J9</v>
      </c>
      <c r="E71" s="258" t="str">
        <f t="shared" ref="E71:E102" si="4">Currency&amp;"FUT"&amp;$G$4&amp;$D71&amp;QuoteSuffix</f>
        <v>GBPFUT3MJ9_Quote</v>
      </c>
      <c r="F71" s="259" t="str">
        <f t="shared" ref="F71:F102" si="5">Currency&amp;"FUT"&amp;$G$4&amp;$D71&amp;"ConvAdj"&amp;QuoteSuffix</f>
        <v>GBPFUT3MJ9ConvAdj_Quote</v>
      </c>
      <c r="G71" s="258" t="str">
        <f>_xll.qlFuturesConvAdjustmentQuote($F71,IborIndex,$D71,$E71,Volatility,MeanReversion,Permanent,Trigger,ObjectOverwrite)</f>
        <v>GBPFUT3MJ9ConvAdj_Quote#0000</v>
      </c>
      <c r="H71" s="74" t="str">
        <f>_xll.ohRangeRetrieveError(G71)</f>
        <v/>
      </c>
    </row>
    <row r="72" spans="1:8" x14ac:dyDescent="0.2">
      <c r="A72" s="148"/>
      <c r="B72" s="147">
        <v>66</v>
      </c>
      <c r="C72" s="145" t="b">
        <v>0</v>
      </c>
      <c r="D72" s="145" t="str">
        <v>K9</v>
      </c>
      <c r="E72" s="258" t="str">
        <f t="shared" si="4"/>
        <v>GBPFUT3MK9_Quote</v>
      </c>
      <c r="F72" s="259" t="str">
        <f t="shared" si="5"/>
        <v>GBPFUT3MK9ConvAdj_Quote</v>
      </c>
      <c r="G72" s="258" t="str">
        <f>_xll.qlFuturesConvAdjustmentQuote($F72,IborIndex,$D72,$E72,Volatility,MeanReversion,Permanent,Trigger,ObjectOverwrite)</f>
        <v>GBPFUT3MK9ConvAdj_Quote#0000</v>
      </c>
      <c r="H72" s="74" t="str">
        <f>_xll.ohRangeRetrieveError(G72)</f>
        <v/>
      </c>
    </row>
    <row r="73" spans="1:8" x14ac:dyDescent="0.2">
      <c r="A73" s="148"/>
      <c r="B73" s="147">
        <v>67</v>
      </c>
      <c r="C73" s="145" t="b">
        <v>0</v>
      </c>
      <c r="D73" s="145" t="str">
        <v>M9</v>
      </c>
      <c r="E73" s="258" t="str">
        <f t="shared" si="4"/>
        <v>GBPFUT3MM9_Quote</v>
      </c>
      <c r="F73" s="259" t="str">
        <f t="shared" si="5"/>
        <v>GBPFUT3MM9ConvAdj_Quote</v>
      </c>
      <c r="G73" s="258" t="str">
        <f>_xll.qlFuturesConvAdjustmentQuote($F73,IborIndex,$D73,$E73,Volatility,MeanReversion,Permanent,Trigger,ObjectOverwrite)</f>
        <v>GBPFUT3MM9ConvAdj_Quote#0000</v>
      </c>
      <c r="H73" s="74" t="str">
        <f>_xll.ohRangeRetrieveError(G73)</f>
        <v/>
      </c>
    </row>
    <row r="74" spans="1:8" x14ac:dyDescent="0.2">
      <c r="A74" s="148"/>
      <c r="B74" s="147">
        <v>68</v>
      </c>
      <c r="C74" s="145" t="b">
        <v>0</v>
      </c>
      <c r="D74" s="145" t="str">
        <v>N9</v>
      </c>
      <c r="E74" s="258" t="str">
        <f t="shared" si="4"/>
        <v>GBPFUT3MN9_Quote</v>
      </c>
      <c r="F74" s="259" t="str">
        <f t="shared" si="5"/>
        <v>GBPFUT3MN9ConvAdj_Quote</v>
      </c>
      <c r="G74" s="258" t="str">
        <f>_xll.qlFuturesConvAdjustmentQuote($F74,IborIndex,$D74,$E74,Volatility,MeanReversion,Permanent,Trigger,ObjectOverwrite)</f>
        <v>GBPFUT3MN9ConvAdj_Quote#0000</v>
      </c>
      <c r="H74" s="74" t="str">
        <f>_xll.ohRangeRetrieveError(G74)</f>
        <v/>
      </c>
    </row>
    <row r="75" spans="1:8" x14ac:dyDescent="0.2">
      <c r="A75" s="148"/>
      <c r="B75" s="147">
        <v>69</v>
      </c>
      <c r="C75" s="145" t="b">
        <v>0</v>
      </c>
      <c r="D75" s="145" t="str">
        <v>Q9</v>
      </c>
      <c r="E75" s="258" t="str">
        <f t="shared" si="4"/>
        <v>GBPFUT3MQ9_Quote</v>
      </c>
      <c r="F75" s="259" t="str">
        <f t="shared" si="5"/>
        <v>GBPFUT3MQ9ConvAdj_Quote</v>
      </c>
      <c r="G75" s="258" t="str">
        <f>_xll.qlFuturesConvAdjustmentQuote($F75,IborIndex,$D75,$E75,Volatility,MeanReversion,Permanent,Trigger,ObjectOverwrite)</f>
        <v>GBPFUT3MQ9ConvAdj_Quote#0000</v>
      </c>
      <c r="H75" s="74" t="str">
        <f>_xll.ohRangeRetrieveError(G75)</f>
        <v/>
      </c>
    </row>
    <row r="76" spans="1:8" x14ac:dyDescent="0.2">
      <c r="A76" s="148"/>
      <c r="B76" s="147">
        <v>70</v>
      </c>
      <c r="C76" s="145" t="b">
        <v>0</v>
      </c>
      <c r="D76" s="145" t="str">
        <v>U9</v>
      </c>
      <c r="E76" s="258" t="str">
        <f t="shared" si="4"/>
        <v>GBPFUT3MU9_Quote</v>
      </c>
      <c r="F76" s="259" t="str">
        <f t="shared" si="5"/>
        <v>GBPFUT3MU9ConvAdj_Quote</v>
      </c>
      <c r="G76" s="258" t="str">
        <f>_xll.qlFuturesConvAdjustmentQuote($F76,IborIndex,$D76,$E76,Volatility,MeanReversion,Permanent,Trigger,ObjectOverwrite)</f>
        <v>GBPFUT3MU9ConvAdj_Quote#0000</v>
      </c>
      <c r="H76" s="74" t="str">
        <f>_xll.ohRangeRetrieveError(G76)</f>
        <v/>
      </c>
    </row>
    <row r="77" spans="1:8" x14ac:dyDescent="0.2">
      <c r="A77" s="148"/>
      <c r="B77" s="147">
        <v>71</v>
      </c>
      <c r="C77" s="145" t="b">
        <v>0</v>
      </c>
      <c r="D77" s="145" t="str">
        <v>V9</v>
      </c>
      <c r="E77" s="258" t="str">
        <f t="shared" si="4"/>
        <v>GBPFUT3MV9_Quote</v>
      </c>
      <c r="F77" s="259" t="str">
        <f t="shared" si="5"/>
        <v>GBPFUT3MV9ConvAdj_Quote</v>
      </c>
      <c r="G77" s="258" t="str">
        <f>_xll.qlFuturesConvAdjustmentQuote($F77,IborIndex,$D77,$E77,Volatility,MeanReversion,Permanent,Trigger,ObjectOverwrite)</f>
        <v>GBPFUT3MV9ConvAdj_Quote#0000</v>
      </c>
      <c r="H77" s="74" t="str">
        <f>_xll.ohRangeRetrieveError(G77)</f>
        <v/>
      </c>
    </row>
    <row r="78" spans="1:8" x14ac:dyDescent="0.2">
      <c r="A78" s="148"/>
      <c r="B78" s="147">
        <v>72</v>
      </c>
      <c r="C78" s="145" t="b">
        <v>0</v>
      </c>
      <c r="D78" s="145" t="str">
        <v>X9</v>
      </c>
      <c r="E78" s="258" t="str">
        <f t="shared" si="4"/>
        <v>GBPFUT3MX9_Quote</v>
      </c>
      <c r="F78" s="259" t="str">
        <f t="shared" si="5"/>
        <v>GBPFUT3MX9ConvAdj_Quote</v>
      </c>
      <c r="G78" s="258" t="str">
        <f>_xll.qlFuturesConvAdjustmentQuote($F78,IborIndex,$D78,$E78,Volatility,MeanReversion,Permanent,Trigger,ObjectOverwrite)</f>
        <v>GBPFUT3MX9ConvAdj_Quote#0000</v>
      </c>
      <c r="H78" s="74" t="str">
        <f>_xll.ohRangeRetrieveError(G78)</f>
        <v/>
      </c>
    </row>
    <row r="79" spans="1:8" x14ac:dyDescent="0.2">
      <c r="A79" s="148"/>
      <c r="B79" s="147">
        <v>73</v>
      </c>
      <c r="C79" s="145" t="b">
        <v>0</v>
      </c>
      <c r="D79" s="145" t="str">
        <v>Z9</v>
      </c>
      <c r="E79" s="258" t="str">
        <f t="shared" si="4"/>
        <v>GBPFUT3MZ9_Quote</v>
      </c>
      <c r="F79" s="259" t="str">
        <f t="shared" si="5"/>
        <v>GBPFUT3MZ9ConvAdj_Quote</v>
      </c>
      <c r="G79" s="258" t="str">
        <f>_xll.qlFuturesConvAdjustmentQuote($F79,IborIndex,$D79,$E79,Volatility,MeanReversion,Permanent,Trigger,ObjectOverwrite)</f>
        <v>GBPFUT3MZ9ConvAdj_Quote#0000</v>
      </c>
      <c r="H79" s="74" t="str">
        <f>_xll.ohRangeRetrieveError(G79)</f>
        <v/>
      </c>
    </row>
    <row r="80" spans="1:8" x14ac:dyDescent="0.2">
      <c r="A80" s="148"/>
      <c r="B80" s="147">
        <v>74</v>
      </c>
      <c r="C80" s="145" t="b">
        <v>0</v>
      </c>
      <c r="D80" s="145" t="str">
        <v>F0</v>
      </c>
      <c r="E80" s="258" t="str">
        <f t="shared" si="4"/>
        <v>GBPFUT3MF0_Quote</v>
      </c>
      <c r="F80" s="259" t="str">
        <f t="shared" si="5"/>
        <v>GBPFUT3MF0ConvAdj_Quote</v>
      </c>
      <c r="G80" s="258" t="str">
        <f>_xll.qlFuturesConvAdjustmentQuote($F80,IborIndex,$D80,$E80,Volatility,MeanReversion,Permanent,Trigger,ObjectOverwrite)</f>
        <v>GBPFUT3MF0ConvAdj_Quote#0000</v>
      </c>
      <c r="H80" s="74" t="str">
        <f>_xll.ohRangeRetrieveError(G80)</f>
        <v/>
      </c>
    </row>
    <row r="81" spans="1:8" x14ac:dyDescent="0.2">
      <c r="A81" s="148"/>
      <c r="B81" s="147">
        <v>75</v>
      </c>
      <c r="C81" s="145" t="b">
        <v>0</v>
      </c>
      <c r="D81" s="145" t="str">
        <v>G0</v>
      </c>
      <c r="E81" s="258" t="str">
        <f t="shared" si="4"/>
        <v>GBPFUT3MG0_Quote</v>
      </c>
      <c r="F81" s="259" t="str">
        <f t="shared" si="5"/>
        <v>GBPFUT3MG0ConvAdj_Quote</v>
      </c>
      <c r="G81" s="258" t="str">
        <f>_xll.qlFuturesConvAdjustmentQuote($F81,IborIndex,$D81,$E81,Volatility,MeanReversion,Permanent,Trigger,ObjectOverwrite)</f>
        <v>GBPFUT3MG0ConvAdj_Quote#0000</v>
      </c>
      <c r="H81" s="74" t="str">
        <f>_xll.ohRangeRetrieveError(G81)</f>
        <v/>
      </c>
    </row>
    <row r="82" spans="1:8" x14ac:dyDescent="0.2">
      <c r="A82" s="148"/>
      <c r="B82" s="147">
        <v>76</v>
      </c>
      <c r="C82" s="145" t="b">
        <v>0</v>
      </c>
      <c r="D82" s="145" t="str">
        <v>H0</v>
      </c>
      <c r="E82" s="258" t="str">
        <f t="shared" si="4"/>
        <v>GBPFUT3MH0_Quote</v>
      </c>
      <c r="F82" s="259" t="str">
        <f t="shared" si="5"/>
        <v>GBPFUT3MH0ConvAdj_Quote</v>
      </c>
      <c r="G82" s="258" t="str">
        <f>_xll.qlFuturesConvAdjustmentQuote($F82,IborIndex,$D82,$E82,Volatility,MeanReversion,Permanent,Trigger,ObjectOverwrite)</f>
        <v>GBPFUT3MH0ConvAdj_Quote#0000</v>
      </c>
      <c r="H82" s="74" t="str">
        <f>_xll.ohRangeRetrieveError(G82)</f>
        <v/>
      </c>
    </row>
    <row r="83" spans="1:8" x14ac:dyDescent="0.2">
      <c r="A83" s="148"/>
      <c r="B83" s="147">
        <v>77</v>
      </c>
      <c r="C83" s="145" t="b">
        <v>0</v>
      </c>
      <c r="D83" s="145" t="str">
        <v>J0</v>
      </c>
      <c r="E83" s="258" t="str">
        <f t="shared" si="4"/>
        <v>GBPFUT3MJ0_Quote</v>
      </c>
      <c r="F83" s="259" t="str">
        <f t="shared" si="5"/>
        <v>GBPFUT3MJ0ConvAdj_Quote</v>
      </c>
      <c r="G83" s="258" t="str">
        <f>_xll.qlFuturesConvAdjustmentQuote($F83,IborIndex,$D83,$E83,Volatility,MeanReversion,Permanent,Trigger,ObjectOverwrite)</f>
        <v>GBPFUT3MJ0ConvAdj_Quote#0000</v>
      </c>
      <c r="H83" s="74" t="str">
        <f>_xll.ohRangeRetrieveError(G83)</f>
        <v/>
      </c>
    </row>
    <row r="84" spans="1:8" x14ac:dyDescent="0.2">
      <c r="A84" s="148"/>
      <c r="B84" s="147">
        <v>78</v>
      </c>
      <c r="C84" s="145" t="b">
        <v>0</v>
      </c>
      <c r="D84" s="145" t="str">
        <v>K0</v>
      </c>
      <c r="E84" s="258" t="str">
        <f t="shared" si="4"/>
        <v>GBPFUT3MK0_Quote</v>
      </c>
      <c r="F84" s="259" t="str">
        <f t="shared" si="5"/>
        <v>GBPFUT3MK0ConvAdj_Quote</v>
      </c>
      <c r="G84" s="258" t="str">
        <f>_xll.qlFuturesConvAdjustmentQuote($F84,IborIndex,$D84,$E84,Volatility,MeanReversion,Permanent,Trigger,ObjectOverwrite)</f>
        <v>GBPFUT3MK0ConvAdj_Quote#0000</v>
      </c>
      <c r="H84" s="74" t="str">
        <f>_xll.ohRangeRetrieveError(G84)</f>
        <v/>
      </c>
    </row>
    <row r="85" spans="1:8" x14ac:dyDescent="0.2">
      <c r="A85" s="148"/>
      <c r="B85" s="147">
        <v>79</v>
      </c>
      <c r="C85" s="145" t="b">
        <v>0</v>
      </c>
      <c r="D85" s="145" t="str">
        <v>M0</v>
      </c>
      <c r="E85" s="258" t="str">
        <f t="shared" si="4"/>
        <v>GBPFUT3MM0_Quote</v>
      </c>
      <c r="F85" s="259" t="str">
        <f t="shared" si="5"/>
        <v>GBPFUT3MM0ConvAdj_Quote</v>
      </c>
      <c r="G85" s="258" t="str">
        <f>_xll.qlFuturesConvAdjustmentQuote($F85,IborIndex,$D85,$E85,Volatility,MeanReversion,Permanent,Trigger,ObjectOverwrite)</f>
        <v>GBPFUT3MM0ConvAdj_Quote#0000</v>
      </c>
      <c r="H85" s="74" t="str">
        <f>_xll.ohRangeRetrieveError(G85)</f>
        <v/>
      </c>
    </row>
    <row r="86" spans="1:8" x14ac:dyDescent="0.2">
      <c r="A86" s="148"/>
      <c r="B86" s="147">
        <v>80</v>
      </c>
      <c r="C86" s="145" t="b">
        <v>0</v>
      </c>
      <c r="D86" s="145" t="str">
        <v>N0</v>
      </c>
      <c r="E86" s="258" t="str">
        <f t="shared" si="4"/>
        <v>GBPFUT3MN0_Quote</v>
      </c>
      <c r="F86" s="259" t="str">
        <f t="shared" si="5"/>
        <v>GBPFUT3MN0ConvAdj_Quote</v>
      </c>
      <c r="G86" s="258" t="str">
        <f>_xll.qlFuturesConvAdjustmentQuote($F86,IborIndex,$D86,$E86,Volatility,MeanReversion,Permanent,Trigger,ObjectOverwrite)</f>
        <v>GBPFUT3MN0ConvAdj_Quote#0000</v>
      </c>
      <c r="H86" s="74" t="str">
        <f>_xll.ohRangeRetrieveError(G86)</f>
        <v/>
      </c>
    </row>
    <row r="87" spans="1:8" x14ac:dyDescent="0.2">
      <c r="A87" s="148"/>
      <c r="B87" s="147">
        <v>81</v>
      </c>
      <c r="C87" s="145" t="b">
        <v>0</v>
      </c>
      <c r="D87" s="145" t="str">
        <v>Q0</v>
      </c>
      <c r="E87" s="258" t="str">
        <f t="shared" si="4"/>
        <v>GBPFUT3MQ0_Quote</v>
      </c>
      <c r="F87" s="259" t="str">
        <f t="shared" si="5"/>
        <v>GBPFUT3MQ0ConvAdj_Quote</v>
      </c>
      <c r="G87" s="258" t="str">
        <f>_xll.qlFuturesConvAdjustmentQuote($F87,IborIndex,$D87,$E87,Volatility,MeanReversion,Permanent,Trigger,ObjectOverwrite)</f>
        <v>GBPFUT3MQ0ConvAdj_Quote#0000</v>
      </c>
      <c r="H87" s="74" t="str">
        <f>_xll.ohRangeRetrieveError(G87)</f>
        <v/>
      </c>
    </row>
    <row r="88" spans="1:8" x14ac:dyDescent="0.2">
      <c r="A88" s="148"/>
      <c r="B88" s="147">
        <v>82</v>
      </c>
      <c r="C88" s="145" t="b">
        <v>0</v>
      </c>
      <c r="D88" s="145" t="str">
        <v>U0</v>
      </c>
      <c r="E88" s="258" t="str">
        <f t="shared" si="4"/>
        <v>GBPFUT3MU0_Quote</v>
      </c>
      <c r="F88" s="259" t="str">
        <f t="shared" si="5"/>
        <v>GBPFUT3MU0ConvAdj_Quote</v>
      </c>
      <c r="G88" s="258" t="str">
        <f>_xll.qlFuturesConvAdjustmentQuote($F88,IborIndex,$D88,$E88,Volatility,MeanReversion,Permanent,Trigger,ObjectOverwrite)</f>
        <v>GBPFUT3MU0ConvAdj_Quote#0000</v>
      </c>
      <c r="H88" s="74" t="str">
        <f>_xll.ohRangeRetrieveError(G88)</f>
        <v/>
      </c>
    </row>
    <row r="89" spans="1:8" x14ac:dyDescent="0.2">
      <c r="A89" s="148"/>
      <c r="B89" s="147">
        <v>83</v>
      </c>
      <c r="C89" s="145" t="b">
        <v>0</v>
      </c>
      <c r="D89" s="145" t="str">
        <v>V0</v>
      </c>
      <c r="E89" s="258" t="str">
        <f t="shared" si="4"/>
        <v>GBPFUT3MV0_Quote</v>
      </c>
      <c r="F89" s="259" t="str">
        <f t="shared" si="5"/>
        <v>GBPFUT3MV0ConvAdj_Quote</v>
      </c>
      <c r="G89" s="258" t="str">
        <f>_xll.qlFuturesConvAdjustmentQuote($F89,IborIndex,$D89,$E89,Volatility,MeanReversion,Permanent,Trigger,ObjectOverwrite)</f>
        <v>GBPFUT3MV0ConvAdj_Quote#0000</v>
      </c>
      <c r="H89" s="74" t="str">
        <f>_xll.ohRangeRetrieveError(G89)</f>
        <v/>
      </c>
    </row>
    <row r="90" spans="1:8" x14ac:dyDescent="0.2">
      <c r="A90" s="148"/>
      <c r="B90" s="147">
        <v>84</v>
      </c>
      <c r="C90" s="145" t="b">
        <v>0</v>
      </c>
      <c r="D90" s="145" t="str">
        <v>X0</v>
      </c>
      <c r="E90" s="258" t="str">
        <f t="shared" si="4"/>
        <v>GBPFUT3MX0_Quote</v>
      </c>
      <c r="F90" s="259" t="str">
        <f t="shared" si="5"/>
        <v>GBPFUT3MX0ConvAdj_Quote</v>
      </c>
      <c r="G90" s="258" t="str">
        <f>_xll.qlFuturesConvAdjustmentQuote($F90,IborIndex,$D90,$E90,Volatility,MeanReversion,Permanent,Trigger,ObjectOverwrite)</f>
        <v>GBPFUT3MX0ConvAdj_Quote#0000</v>
      </c>
      <c r="H90" s="74" t="str">
        <f>_xll.ohRangeRetrieveError(G90)</f>
        <v/>
      </c>
    </row>
    <row r="91" spans="1:8" x14ac:dyDescent="0.2">
      <c r="A91" s="148"/>
      <c r="B91" s="147">
        <v>85</v>
      </c>
      <c r="C91" s="145" t="b">
        <v>0</v>
      </c>
      <c r="D91" s="145" t="str">
        <v>Z0</v>
      </c>
      <c r="E91" s="258" t="str">
        <f t="shared" si="4"/>
        <v>GBPFUT3MZ0_Quote</v>
      </c>
      <c r="F91" s="259" t="str">
        <f t="shared" si="5"/>
        <v>GBPFUT3MZ0ConvAdj_Quote</v>
      </c>
      <c r="G91" s="258" t="str">
        <f>_xll.qlFuturesConvAdjustmentQuote($F91,IborIndex,$D91,$E91,Volatility,MeanReversion,Permanent,Trigger,ObjectOverwrite)</f>
        <v>GBPFUT3MZ0ConvAdj_Quote#0000</v>
      </c>
      <c r="H91" s="74" t="str">
        <f>_xll.ohRangeRetrieveError(G91)</f>
        <v/>
      </c>
    </row>
    <row r="92" spans="1:8" x14ac:dyDescent="0.2">
      <c r="A92" s="148"/>
      <c r="B92" s="147">
        <v>86</v>
      </c>
      <c r="C92" s="145" t="b">
        <v>0</v>
      </c>
      <c r="D92" s="145" t="str">
        <v>F1</v>
      </c>
      <c r="E92" s="258" t="str">
        <f t="shared" si="4"/>
        <v>GBPFUT3MF1_Quote</v>
      </c>
      <c r="F92" s="259" t="str">
        <f t="shared" si="5"/>
        <v>GBPFUT3MF1ConvAdj_Quote</v>
      </c>
      <c r="G92" s="258" t="str">
        <f>_xll.qlFuturesConvAdjustmentQuote($F92,IborIndex,$D92,$E92,Volatility,MeanReversion,Permanent,Trigger,ObjectOverwrite)</f>
        <v>GBPFUT3MF1ConvAdj_Quote#0000</v>
      </c>
      <c r="H92" s="74" t="str">
        <f>_xll.ohRangeRetrieveError(G92)</f>
        <v/>
      </c>
    </row>
    <row r="93" spans="1:8" x14ac:dyDescent="0.2">
      <c r="A93" s="148"/>
      <c r="B93" s="147">
        <v>87</v>
      </c>
      <c r="C93" s="145" t="b">
        <v>0</v>
      </c>
      <c r="D93" s="145" t="str">
        <v>G1</v>
      </c>
      <c r="E93" s="258" t="str">
        <f t="shared" si="4"/>
        <v>GBPFUT3MG1_Quote</v>
      </c>
      <c r="F93" s="259" t="str">
        <f t="shared" si="5"/>
        <v>GBPFUT3MG1ConvAdj_Quote</v>
      </c>
      <c r="G93" s="258" t="str">
        <f>_xll.qlFuturesConvAdjustmentQuote($F93,IborIndex,$D93,$E93,Volatility,MeanReversion,Permanent,Trigger,ObjectOverwrite)</f>
        <v>GBPFUT3MG1ConvAdj_Quote#0000</v>
      </c>
      <c r="H93" s="74" t="str">
        <f>_xll.ohRangeRetrieveError(G93)</f>
        <v/>
      </c>
    </row>
    <row r="94" spans="1:8" x14ac:dyDescent="0.2">
      <c r="A94" s="148"/>
      <c r="B94" s="147">
        <v>88</v>
      </c>
      <c r="C94" s="145" t="b">
        <v>0</v>
      </c>
      <c r="D94" s="145" t="str">
        <v>H1</v>
      </c>
      <c r="E94" s="258" t="str">
        <f t="shared" si="4"/>
        <v>GBPFUT3MH1_Quote</v>
      </c>
      <c r="F94" s="259" t="str">
        <f t="shared" si="5"/>
        <v>GBPFUT3MH1ConvAdj_Quote</v>
      </c>
      <c r="G94" s="258" t="str">
        <f>_xll.qlFuturesConvAdjustmentQuote($F94,IborIndex,$D94,$E94,Volatility,MeanReversion,Permanent,Trigger,ObjectOverwrite)</f>
        <v>GBPFUT3MH1ConvAdj_Quote#0000</v>
      </c>
      <c r="H94" s="74" t="str">
        <f>_xll.ohRangeRetrieveError(G94)</f>
        <v/>
      </c>
    </row>
    <row r="95" spans="1:8" x14ac:dyDescent="0.2">
      <c r="A95" s="148"/>
      <c r="B95" s="147">
        <v>89</v>
      </c>
      <c r="C95" s="145" t="b">
        <v>0</v>
      </c>
      <c r="D95" s="145" t="str">
        <v>J1</v>
      </c>
      <c r="E95" s="258" t="str">
        <f t="shared" si="4"/>
        <v>GBPFUT3MJ1_Quote</v>
      </c>
      <c r="F95" s="259" t="str">
        <f t="shared" si="5"/>
        <v>GBPFUT3MJ1ConvAdj_Quote</v>
      </c>
      <c r="G95" s="258" t="str">
        <f>_xll.qlFuturesConvAdjustmentQuote($F95,IborIndex,$D95,$E95,Volatility,MeanReversion,Permanent,Trigger,ObjectOverwrite)</f>
        <v>GBPFUT3MJ1ConvAdj_Quote#0000</v>
      </c>
      <c r="H95" s="74" t="str">
        <f>_xll.ohRangeRetrieveError(G95)</f>
        <v/>
      </c>
    </row>
    <row r="96" spans="1:8" x14ac:dyDescent="0.2">
      <c r="A96" s="148"/>
      <c r="B96" s="147">
        <v>90</v>
      </c>
      <c r="C96" s="145" t="b">
        <v>0</v>
      </c>
      <c r="D96" s="145" t="str">
        <v>K1</v>
      </c>
      <c r="E96" s="258" t="str">
        <f t="shared" si="4"/>
        <v>GBPFUT3MK1_Quote</v>
      </c>
      <c r="F96" s="259" t="str">
        <f t="shared" si="5"/>
        <v>GBPFUT3MK1ConvAdj_Quote</v>
      </c>
      <c r="G96" s="258" t="str">
        <f>_xll.qlFuturesConvAdjustmentQuote($F96,IborIndex,$D96,$E96,Volatility,MeanReversion,Permanent,Trigger,ObjectOverwrite)</f>
        <v>GBPFUT3MK1ConvAdj_Quote#0000</v>
      </c>
      <c r="H96" s="74" t="str">
        <f>_xll.ohRangeRetrieveError(G96)</f>
        <v/>
      </c>
    </row>
    <row r="97" spans="1:8" x14ac:dyDescent="0.2">
      <c r="A97" s="148"/>
      <c r="B97" s="147">
        <v>91</v>
      </c>
      <c r="C97" s="145" t="b">
        <v>0</v>
      </c>
      <c r="D97" s="145" t="str">
        <v>M1</v>
      </c>
      <c r="E97" s="258" t="str">
        <f t="shared" si="4"/>
        <v>GBPFUT3MM1_Quote</v>
      </c>
      <c r="F97" s="259" t="str">
        <f t="shared" si="5"/>
        <v>GBPFUT3MM1ConvAdj_Quote</v>
      </c>
      <c r="G97" s="258" t="str">
        <f>_xll.qlFuturesConvAdjustmentQuote($F97,IborIndex,$D97,$E97,Volatility,MeanReversion,Permanent,Trigger,ObjectOverwrite)</f>
        <v>GBPFUT3MM1ConvAdj_Quote#0000</v>
      </c>
      <c r="H97" s="74" t="str">
        <f>_xll.ohRangeRetrieveError(G97)</f>
        <v/>
      </c>
    </row>
    <row r="98" spans="1:8" x14ac:dyDescent="0.2">
      <c r="A98" s="148"/>
      <c r="B98" s="147">
        <v>92</v>
      </c>
      <c r="C98" s="145" t="b">
        <v>0</v>
      </c>
      <c r="D98" s="145" t="str">
        <v>N1</v>
      </c>
      <c r="E98" s="258" t="str">
        <f t="shared" si="4"/>
        <v>GBPFUT3MN1_Quote</v>
      </c>
      <c r="F98" s="259" t="str">
        <f t="shared" si="5"/>
        <v>GBPFUT3MN1ConvAdj_Quote</v>
      </c>
      <c r="G98" s="258" t="str">
        <f>_xll.qlFuturesConvAdjustmentQuote($F98,IborIndex,$D98,$E98,Volatility,MeanReversion,Permanent,Trigger,ObjectOverwrite)</f>
        <v>GBPFUT3MN1ConvAdj_Quote#0000</v>
      </c>
      <c r="H98" s="74" t="str">
        <f>_xll.ohRangeRetrieveError(G98)</f>
        <v/>
      </c>
    </row>
    <row r="99" spans="1:8" x14ac:dyDescent="0.2">
      <c r="A99" s="148"/>
      <c r="B99" s="147">
        <v>93</v>
      </c>
      <c r="C99" s="145" t="b">
        <v>0</v>
      </c>
      <c r="D99" s="145" t="str">
        <v>Q1</v>
      </c>
      <c r="E99" s="258" t="str">
        <f t="shared" si="4"/>
        <v>GBPFUT3MQ1_Quote</v>
      </c>
      <c r="F99" s="259" t="str">
        <f t="shared" si="5"/>
        <v>GBPFUT3MQ1ConvAdj_Quote</v>
      </c>
      <c r="G99" s="258" t="str">
        <f>_xll.qlFuturesConvAdjustmentQuote($F99,IborIndex,$D99,$E99,Volatility,MeanReversion,Permanent,Trigger,ObjectOverwrite)</f>
        <v>GBPFUT3MQ1ConvAdj_Quote#0000</v>
      </c>
      <c r="H99" s="74" t="str">
        <f>_xll.ohRangeRetrieveError(G99)</f>
        <v/>
      </c>
    </row>
    <row r="100" spans="1:8" x14ac:dyDescent="0.2">
      <c r="A100" s="148"/>
      <c r="B100" s="147">
        <v>94</v>
      </c>
      <c r="C100" s="145" t="b">
        <v>0</v>
      </c>
      <c r="D100" s="145" t="str">
        <v>U1</v>
      </c>
      <c r="E100" s="258" t="str">
        <f t="shared" si="4"/>
        <v>GBPFUT3MU1_Quote</v>
      </c>
      <c r="F100" s="259" t="str">
        <f t="shared" si="5"/>
        <v>GBPFUT3MU1ConvAdj_Quote</v>
      </c>
      <c r="G100" s="258" t="str">
        <f>_xll.qlFuturesConvAdjustmentQuote($F100,IborIndex,$D100,$E100,Volatility,MeanReversion,Permanent,Trigger,ObjectOverwrite)</f>
        <v>GBPFUT3MU1ConvAdj_Quote#0000</v>
      </c>
      <c r="H100" s="74" t="str">
        <f>_xll.ohRangeRetrieveError(G100)</f>
        <v/>
      </c>
    </row>
    <row r="101" spans="1:8" x14ac:dyDescent="0.2">
      <c r="A101" s="148"/>
      <c r="B101" s="147">
        <v>95</v>
      </c>
      <c r="C101" s="145" t="b">
        <v>0</v>
      </c>
      <c r="D101" s="145" t="str">
        <v>V1</v>
      </c>
      <c r="E101" s="258" t="str">
        <f t="shared" si="4"/>
        <v>GBPFUT3MV1_Quote</v>
      </c>
      <c r="F101" s="259" t="str">
        <f t="shared" si="5"/>
        <v>GBPFUT3MV1ConvAdj_Quote</v>
      </c>
      <c r="G101" s="258" t="str">
        <f>_xll.qlFuturesConvAdjustmentQuote($F101,IborIndex,$D101,$E101,Volatility,MeanReversion,Permanent,Trigger,ObjectOverwrite)</f>
        <v>GBPFUT3MV1ConvAdj_Quote#0000</v>
      </c>
      <c r="H101" s="74" t="str">
        <f>_xll.ohRangeRetrieveError(G101)</f>
        <v/>
      </c>
    </row>
    <row r="102" spans="1:8" x14ac:dyDescent="0.2">
      <c r="A102" s="148"/>
      <c r="B102" s="147">
        <v>96</v>
      </c>
      <c r="C102" s="145" t="b">
        <v>0</v>
      </c>
      <c r="D102" s="145" t="str">
        <v>X1</v>
      </c>
      <c r="E102" s="258" t="str">
        <f t="shared" si="4"/>
        <v>GBPFUT3MX1_Quote</v>
      </c>
      <c r="F102" s="259" t="str">
        <f t="shared" si="5"/>
        <v>GBPFUT3MX1ConvAdj_Quote</v>
      </c>
      <c r="G102" s="258" t="str">
        <f>_xll.qlFuturesConvAdjustmentQuote($F102,IborIndex,$D102,$E102,Volatility,MeanReversion,Permanent,Trigger,ObjectOverwrite)</f>
        <v>GBPFUT3MX1ConvAdj_Quote#0000</v>
      </c>
      <c r="H102" s="74" t="str">
        <f>_xll.ohRangeRetrieveError(G102)</f>
        <v/>
      </c>
    </row>
    <row r="103" spans="1:8" x14ac:dyDescent="0.2">
      <c r="A103" s="148"/>
      <c r="B103" s="147">
        <v>97</v>
      </c>
      <c r="C103" s="145" t="b">
        <v>0</v>
      </c>
      <c r="D103" s="145" t="str">
        <v>Z1</v>
      </c>
      <c r="E103" s="258" t="str">
        <f t="shared" ref="E103:E126" si="6">Currency&amp;"FUT"&amp;$G$4&amp;$D103&amp;QuoteSuffix</f>
        <v>GBPFUT3MZ1_Quote</v>
      </c>
      <c r="F103" s="259" t="str">
        <f t="shared" ref="F103:F126" si="7">Currency&amp;"FUT"&amp;$G$4&amp;$D103&amp;"ConvAdj"&amp;QuoteSuffix</f>
        <v>GBPFUT3MZ1ConvAdj_Quote</v>
      </c>
      <c r="G103" s="258" t="str">
        <f>_xll.qlFuturesConvAdjustmentQuote($F103,IborIndex,$D103,$E103,Volatility,MeanReversion,Permanent,Trigger,ObjectOverwrite)</f>
        <v>GBPFUT3MZ1ConvAdj_Quote#0000</v>
      </c>
      <c r="H103" s="74" t="str">
        <f>_xll.ohRangeRetrieveError(G103)</f>
        <v/>
      </c>
    </row>
    <row r="104" spans="1:8" x14ac:dyDescent="0.2">
      <c r="A104" s="148"/>
      <c r="B104" s="147">
        <v>98</v>
      </c>
      <c r="C104" s="145" t="b">
        <v>0</v>
      </c>
      <c r="D104" s="145" t="str">
        <v>F2</v>
      </c>
      <c r="E104" s="258" t="str">
        <f t="shared" si="6"/>
        <v>GBPFUT3MF2_Quote</v>
      </c>
      <c r="F104" s="259" t="str">
        <f t="shared" si="7"/>
        <v>GBPFUT3MF2ConvAdj_Quote</v>
      </c>
      <c r="G104" s="258" t="str">
        <f>_xll.qlFuturesConvAdjustmentQuote($F104,IborIndex,$D104,$E104,Volatility,MeanReversion,Permanent,Trigger,ObjectOverwrite)</f>
        <v>GBPFUT3MF2ConvAdj_Quote#0000</v>
      </c>
      <c r="H104" s="74" t="str">
        <f>_xll.ohRangeRetrieveError(G104)</f>
        <v/>
      </c>
    </row>
    <row r="105" spans="1:8" x14ac:dyDescent="0.2">
      <c r="A105" s="148"/>
      <c r="B105" s="147">
        <v>99</v>
      </c>
      <c r="C105" s="145" t="b">
        <v>0</v>
      </c>
      <c r="D105" s="145" t="str">
        <v>G2</v>
      </c>
      <c r="E105" s="258" t="str">
        <f t="shared" si="6"/>
        <v>GBPFUT3MG2_Quote</v>
      </c>
      <c r="F105" s="259" t="str">
        <f t="shared" si="7"/>
        <v>GBPFUT3MG2ConvAdj_Quote</v>
      </c>
      <c r="G105" s="258" t="str">
        <f>_xll.qlFuturesConvAdjustmentQuote($F105,IborIndex,$D105,$E105,Volatility,MeanReversion,Permanent,Trigger,ObjectOverwrite)</f>
        <v>GBPFUT3MG2ConvAdj_Quote#0000</v>
      </c>
      <c r="H105" s="74" t="str">
        <f>_xll.ohRangeRetrieveError(G105)</f>
        <v/>
      </c>
    </row>
    <row r="106" spans="1:8" x14ac:dyDescent="0.2">
      <c r="A106" s="148"/>
      <c r="B106" s="147">
        <v>100</v>
      </c>
      <c r="C106" s="145" t="b">
        <v>0</v>
      </c>
      <c r="D106" s="145" t="str">
        <v>H2</v>
      </c>
      <c r="E106" s="258" t="str">
        <f t="shared" si="6"/>
        <v>GBPFUT3MH2_Quote</v>
      </c>
      <c r="F106" s="259" t="str">
        <f t="shared" si="7"/>
        <v>GBPFUT3MH2ConvAdj_Quote</v>
      </c>
      <c r="G106" s="258" t="str">
        <f>_xll.qlFuturesConvAdjustmentQuote($F106,IborIndex,$D106,$E106,Volatility,MeanReversion,Permanent,Trigger,ObjectOverwrite)</f>
        <v>GBPFUT3MH2ConvAdj_Quote#0000</v>
      </c>
      <c r="H106" s="74" t="str">
        <f>_xll.ohRangeRetrieveError(G106)</f>
        <v/>
      </c>
    </row>
    <row r="107" spans="1:8" x14ac:dyDescent="0.2">
      <c r="A107" s="148"/>
      <c r="B107" s="147">
        <v>101</v>
      </c>
      <c r="C107" s="145" t="b">
        <v>0</v>
      </c>
      <c r="D107" s="145" t="str">
        <v>J2</v>
      </c>
      <c r="E107" s="258" t="str">
        <f t="shared" si="6"/>
        <v>GBPFUT3MJ2_Quote</v>
      </c>
      <c r="F107" s="259" t="str">
        <f t="shared" si="7"/>
        <v>GBPFUT3MJ2ConvAdj_Quote</v>
      </c>
      <c r="G107" s="258" t="str">
        <f>_xll.qlFuturesConvAdjustmentQuote($F107,IborIndex,$D107,$E107,Volatility,MeanReversion,Permanent,Trigger,ObjectOverwrite)</f>
        <v>GBPFUT3MJ2ConvAdj_Quote#0000</v>
      </c>
      <c r="H107" s="74" t="str">
        <f>_xll.ohRangeRetrieveError(G107)</f>
        <v/>
      </c>
    </row>
    <row r="108" spans="1:8" x14ac:dyDescent="0.2">
      <c r="A108" s="148"/>
      <c r="B108" s="147">
        <v>102</v>
      </c>
      <c r="C108" s="145" t="b">
        <v>0</v>
      </c>
      <c r="D108" s="145" t="str">
        <v>K2</v>
      </c>
      <c r="E108" s="258" t="str">
        <f t="shared" si="6"/>
        <v>GBPFUT3MK2_Quote</v>
      </c>
      <c r="F108" s="259" t="str">
        <f t="shared" si="7"/>
        <v>GBPFUT3MK2ConvAdj_Quote</v>
      </c>
      <c r="G108" s="258" t="str">
        <f>_xll.qlFuturesConvAdjustmentQuote($F108,IborIndex,$D108,$E108,Volatility,MeanReversion,Permanent,Trigger,ObjectOverwrite)</f>
        <v>GBPFUT3MK2ConvAdj_Quote#0000</v>
      </c>
      <c r="H108" s="74" t="str">
        <f>_xll.ohRangeRetrieveError(G108)</f>
        <v/>
      </c>
    </row>
    <row r="109" spans="1:8" x14ac:dyDescent="0.2">
      <c r="A109" s="148"/>
      <c r="B109" s="147">
        <v>103</v>
      </c>
      <c r="C109" s="145" t="b">
        <v>0</v>
      </c>
      <c r="D109" s="145" t="str">
        <v>M2</v>
      </c>
      <c r="E109" s="258" t="str">
        <f t="shared" si="6"/>
        <v>GBPFUT3MM2_Quote</v>
      </c>
      <c r="F109" s="259" t="str">
        <f t="shared" si="7"/>
        <v>GBPFUT3MM2ConvAdj_Quote</v>
      </c>
      <c r="G109" s="258" t="str">
        <f>_xll.qlFuturesConvAdjustmentQuote($F109,IborIndex,$D109,$E109,Volatility,MeanReversion,Permanent,Trigger,ObjectOverwrite)</f>
        <v>GBPFUT3MM2ConvAdj_Quote#0000</v>
      </c>
      <c r="H109" s="74" t="str">
        <f>_xll.ohRangeRetrieveError(G109)</f>
        <v/>
      </c>
    </row>
    <row r="110" spans="1:8" x14ac:dyDescent="0.2">
      <c r="A110" s="148"/>
      <c r="B110" s="147">
        <v>104</v>
      </c>
      <c r="C110" s="145" t="b">
        <v>0</v>
      </c>
      <c r="D110" s="145" t="str">
        <v>N2</v>
      </c>
      <c r="E110" s="258" t="str">
        <f t="shared" si="6"/>
        <v>GBPFUT3MN2_Quote</v>
      </c>
      <c r="F110" s="259" t="str">
        <f t="shared" si="7"/>
        <v>GBPFUT3MN2ConvAdj_Quote</v>
      </c>
      <c r="G110" s="258" t="str">
        <f>_xll.qlFuturesConvAdjustmentQuote($F110,IborIndex,$D110,$E110,Volatility,MeanReversion,Permanent,Trigger,ObjectOverwrite)</f>
        <v>GBPFUT3MN2ConvAdj_Quote#0000</v>
      </c>
      <c r="H110" s="74" t="str">
        <f>_xll.ohRangeRetrieveError(G110)</f>
        <v/>
      </c>
    </row>
    <row r="111" spans="1:8" x14ac:dyDescent="0.2">
      <c r="A111" s="148"/>
      <c r="B111" s="147">
        <v>105</v>
      </c>
      <c r="C111" s="145" t="b">
        <v>0</v>
      </c>
      <c r="D111" s="145" t="str">
        <v>Q2</v>
      </c>
      <c r="E111" s="258" t="str">
        <f t="shared" si="6"/>
        <v>GBPFUT3MQ2_Quote</v>
      </c>
      <c r="F111" s="259" t="str">
        <f t="shared" si="7"/>
        <v>GBPFUT3MQ2ConvAdj_Quote</v>
      </c>
      <c r="G111" s="258" t="str">
        <f>_xll.qlFuturesConvAdjustmentQuote($F111,IborIndex,$D111,$E111,Volatility,MeanReversion,Permanent,Trigger,ObjectOverwrite)</f>
        <v>GBPFUT3MQ2ConvAdj_Quote#0000</v>
      </c>
      <c r="H111" s="74" t="str">
        <f>_xll.ohRangeRetrieveError(G111)</f>
        <v/>
      </c>
    </row>
    <row r="112" spans="1:8" x14ac:dyDescent="0.2">
      <c r="A112" s="148"/>
      <c r="B112" s="147">
        <v>106</v>
      </c>
      <c r="C112" s="145" t="b">
        <v>0</v>
      </c>
      <c r="D112" s="145" t="str">
        <v>U2</v>
      </c>
      <c r="E112" s="258" t="str">
        <f t="shared" si="6"/>
        <v>GBPFUT3MU2_Quote</v>
      </c>
      <c r="F112" s="259" t="str">
        <f t="shared" si="7"/>
        <v>GBPFUT3MU2ConvAdj_Quote</v>
      </c>
      <c r="G112" s="258" t="str">
        <f>_xll.qlFuturesConvAdjustmentQuote($F112,IborIndex,$D112,$E112,Volatility,MeanReversion,Permanent,Trigger,ObjectOverwrite)</f>
        <v>GBPFUT3MU2ConvAdj_Quote#0000</v>
      </c>
      <c r="H112" s="74" t="str">
        <f>_xll.ohRangeRetrieveError(G112)</f>
        <v/>
      </c>
    </row>
    <row r="113" spans="1:8" x14ac:dyDescent="0.2">
      <c r="A113" s="148"/>
      <c r="B113" s="147">
        <v>107</v>
      </c>
      <c r="C113" s="145" t="b">
        <v>0</v>
      </c>
      <c r="D113" s="145" t="str">
        <v>V2</v>
      </c>
      <c r="E113" s="258" t="str">
        <f t="shared" si="6"/>
        <v>GBPFUT3MV2_Quote</v>
      </c>
      <c r="F113" s="259" t="str">
        <f t="shared" si="7"/>
        <v>GBPFUT3MV2ConvAdj_Quote</v>
      </c>
      <c r="G113" s="258" t="str">
        <f>_xll.qlFuturesConvAdjustmentQuote($F113,IborIndex,$D113,$E113,Volatility,MeanReversion,Permanent,Trigger,ObjectOverwrite)</f>
        <v>GBPFUT3MV2ConvAdj_Quote#0000</v>
      </c>
      <c r="H113" s="74" t="str">
        <f>_xll.ohRangeRetrieveError(G113)</f>
        <v/>
      </c>
    </row>
    <row r="114" spans="1:8" x14ac:dyDescent="0.2">
      <c r="A114" s="148"/>
      <c r="B114" s="147">
        <v>108</v>
      </c>
      <c r="C114" s="145" t="b">
        <v>0</v>
      </c>
      <c r="D114" s="145" t="str">
        <v>X2</v>
      </c>
      <c r="E114" s="258" t="str">
        <f t="shared" si="6"/>
        <v>GBPFUT3MX2_Quote</v>
      </c>
      <c r="F114" s="259" t="str">
        <f t="shared" si="7"/>
        <v>GBPFUT3MX2ConvAdj_Quote</v>
      </c>
      <c r="G114" s="258" t="str">
        <f>_xll.qlFuturesConvAdjustmentQuote($F114,IborIndex,$D114,$E114,Volatility,MeanReversion,Permanent,Trigger,ObjectOverwrite)</f>
        <v>GBPFUT3MX2ConvAdj_Quote#0000</v>
      </c>
      <c r="H114" s="74" t="str">
        <f>_xll.ohRangeRetrieveError(G114)</f>
        <v/>
      </c>
    </row>
    <row r="115" spans="1:8" x14ac:dyDescent="0.2">
      <c r="A115" s="148"/>
      <c r="B115" s="147">
        <v>109</v>
      </c>
      <c r="C115" s="145" t="b">
        <v>0</v>
      </c>
      <c r="D115" s="145" t="str">
        <v>Z2</v>
      </c>
      <c r="E115" s="258" t="str">
        <f t="shared" si="6"/>
        <v>GBPFUT3MZ2_Quote</v>
      </c>
      <c r="F115" s="259" t="str">
        <f t="shared" si="7"/>
        <v>GBPFUT3MZ2ConvAdj_Quote</v>
      </c>
      <c r="G115" s="258" t="str">
        <f>_xll.qlFuturesConvAdjustmentQuote($F115,IborIndex,$D115,$E115,Volatility,MeanReversion,Permanent,Trigger,ObjectOverwrite)</f>
        <v>GBPFUT3MZ2ConvAdj_Quote#0000</v>
      </c>
      <c r="H115" s="74" t="str">
        <f>_xll.ohRangeRetrieveError(G115)</f>
        <v/>
      </c>
    </row>
    <row r="116" spans="1:8" x14ac:dyDescent="0.2">
      <c r="A116" s="148"/>
      <c r="B116" s="147">
        <v>110</v>
      </c>
      <c r="C116" s="145" t="b">
        <v>0</v>
      </c>
      <c r="D116" s="145" t="str">
        <v>F3</v>
      </c>
      <c r="E116" s="258" t="str">
        <f t="shared" si="6"/>
        <v>GBPFUT3MF3_Quote</v>
      </c>
      <c r="F116" s="259" t="str">
        <f t="shared" si="7"/>
        <v>GBPFUT3MF3ConvAdj_Quote</v>
      </c>
      <c r="G116" s="258" t="str">
        <f>_xll.qlFuturesConvAdjustmentQuote($F116,IborIndex,$D116,$E116,Volatility,MeanReversion,Permanent,Trigger,ObjectOverwrite)</f>
        <v>GBPFUT3MF3ConvAdj_Quote#0000</v>
      </c>
      <c r="H116" s="74" t="str">
        <f>_xll.ohRangeRetrieveError(G116)</f>
        <v/>
      </c>
    </row>
    <row r="117" spans="1:8" x14ac:dyDescent="0.2">
      <c r="A117" s="148"/>
      <c r="B117" s="147">
        <v>111</v>
      </c>
      <c r="C117" s="145" t="b">
        <v>0</v>
      </c>
      <c r="D117" s="145" t="str">
        <v>G3</v>
      </c>
      <c r="E117" s="258" t="str">
        <f t="shared" si="6"/>
        <v>GBPFUT3MG3_Quote</v>
      </c>
      <c r="F117" s="259" t="str">
        <f t="shared" si="7"/>
        <v>GBPFUT3MG3ConvAdj_Quote</v>
      </c>
      <c r="G117" s="258" t="str">
        <f>_xll.qlFuturesConvAdjustmentQuote($F117,IborIndex,$D117,$E117,Volatility,MeanReversion,Permanent,Trigger,ObjectOverwrite)</f>
        <v>GBPFUT3MG3ConvAdj_Quote#0000</v>
      </c>
      <c r="H117" s="74" t="str">
        <f>_xll.ohRangeRetrieveError(G117)</f>
        <v/>
      </c>
    </row>
    <row r="118" spans="1:8" x14ac:dyDescent="0.2">
      <c r="A118" s="148"/>
      <c r="B118" s="147">
        <v>112</v>
      </c>
      <c r="C118" s="145" t="b">
        <v>0</v>
      </c>
      <c r="D118" s="145" t="str">
        <v>H3</v>
      </c>
      <c r="E118" s="258" t="str">
        <f t="shared" si="6"/>
        <v>GBPFUT3MH3_Quote</v>
      </c>
      <c r="F118" s="259" t="str">
        <f t="shared" si="7"/>
        <v>GBPFUT3MH3ConvAdj_Quote</v>
      </c>
      <c r="G118" s="258" t="str">
        <f>_xll.qlFuturesConvAdjustmentQuote($F118,IborIndex,$D118,$E118,Volatility,MeanReversion,Permanent,Trigger,ObjectOverwrite)</f>
        <v>GBPFUT3MH3ConvAdj_Quote#0000</v>
      </c>
      <c r="H118" s="74" t="str">
        <f>_xll.ohRangeRetrieveError(G118)</f>
        <v/>
      </c>
    </row>
    <row r="119" spans="1:8" x14ac:dyDescent="0.2">
      <c r="A119" s="148"/>
      <c r="B119" s="147">
        <v>113</v>
      </c>
      <c r="C119" s="145" t="b">
        <v>0</v>
      </c>
      <c r="D119" s="145" t="str">
        <v>J3</v>
      </c>
      <c r="E119" s="258" t="str">
        <f t="shared" si="6"/>
        <v>GBPFUT3MJ3_Quote</v>
      </c>
      <c r="F119" s="259" t="str">
        <f t="shared" si="7"/>
        <v>GBPFUT3MJ3ConvAdj_Quote</v>
      </c>
      <c r="G119" s="258" t="str">
        <f>_xll.qlFuturesConvAdjustmentQuote($F119,IborIndex,$D119,$E119,Volatility,MeanReversion,Permanent,Trigger,ObjectOverwrite)</f>
        <v>GBPFUT3MJ3ConvAdj_Quote#0000</v>
      </c>
      <c r="H119" s="74" t="str">
        <f>_xll.ohRangeRetrieveError(G119)</f>
        <v/>
      </c>
    </row>
    <row r="120" spans="1:8" x14ac:dyDescent="0.2">
      <c r="A120" s="148"/>
      <c r="B120" s="147">
        <v>114</v>
      </c>
      <c r="C120" s="145" t="b">
        <v>0</v>
      </c>
      <c r="D120" s="145" t="str">
        <v>K3</v>
      </c>
      <c r="E120" s="258" t="str">
        <f t="shared" si="6"/>
        <v>GBPFUT3MK3_Quote</v>
      </c>
      <c r="F120" s="259" t="str">
        <f t="shared" si="7"/>
        <v>GBPFUT3MK3ConvAdj_Quote</v>
      </c>
      <c r="G120" s="258" t="str">
        <f>_xll.qlFuturesConvAdjustmentQuote($F120,IborIndex,$D120,$E120,Volatility,MeanReversion,Permanent,Trigger,ObjectOverwrite)</f>
        <v>GBPFUT3MK3ConvAdj_Quote#0000</v>
      </c>
      <c r="H120" s="74" t="str">
        <f>_xll.ohRangeRetrieveError(G120)</f>
        <v/>
      </c>
    </row>
    <row r="121" spans="1:8" x14ac:dyDescent="0.2">
      <c r="A121" s="148"/>
      <c r="B121" s="147">
        <v>115</v>
      </c>
      <c r="C121" s="145" t="b">
        <v>0</v>
      </c>
      <c r="D121" s="145" t="str">
        <v>M3</v>
      </c>
      <c r="E121" s="258" t="str">
        <f t="shared" si="6"/>
        <v>GBPFUT3MM3_Quote</v>
      </c>
      <c r="F121" s="259" t="str">
        <f t="shared" si="7"/>
        <v>GBPFUT3MM3ConvAdj_Quote</v>
      </c>
      <c r="G121" s="258" t="str">
        <f>_xll.qlFuturesConvAdjustmentQuote($F121,IborIndex,$D121,$E121,Volatility,MeanReversion,Permanent,Trigger,ObjectOverwrite)</f>
        <v>GBPFUT3MM3ConvAdj_Quote#0000</v>
      </c>
      <c r="H121" s="74" t="str">
        <f>_xll.ohRangeRetrieveError(G121)</f>
        <v/>
      </c>
    </row>
    <row r="122" spans="1:8" x14ac:dyDescent="0.2">
      <c r="A122" s="148"/>
      <c r="B122" s="147">
        <v>116</v>
      </c>
      <c r="C122" s="145" t="b">
        <v>0</v>
      </c>
      <c r="D122" s="145" t="str">
        <v>N3</v>
      </c>
      <c r="E122" s="258" t="str">
        <f t="shared" si="6"/>
        <v>GBPFUT3MN3_Quote</v>
      </c>
      <c r="F122" s="259" t="str">
        <f t="shared" si="7"/>
        <v>GBPFUT3MN3ConvAdj_Quote</v>
      </c>
      <c r="G122" s="258" t="str">
        <f>_xll.qlFuturesConvAdjustmentQuote($F122,IborIndex,$D122,$E122,Volatility,MeanReversion,Permanent,Trigger,ObjectOverwrite)</f>
        <v>GBPFUT3MN3ConvAdj_Quote#0000</v>
      </c>
      <c r="H122" s="74" t="str">
        <f>_xll.ohRangeRetrieveError(G122)</f>
        <v/>
      </c>
    </row>
    <row r="123" spans="1:8" x14ac:dyDescent="0.2">
      <c r="A123" s="148"/>
      <c r="B123" s="147">
        <v>117</v>
      </c>
      <c r="C123" s="145" t="b">
        <v>0</v>
      </c>
      <c r="D123" s="145" t="str">
        <v>Q3</v>
      </c>
      <c r="E123" s="258" t="str">
        <f t="shared" si="6"/>
        <v>GBPFUT3MQ3_Quote</v>
      </c>
      <c r="F123" s="259" t="str">
        <f t="shared" si="7"/>
        <v>GBPFUT3MQ3ConvAdj_Quote</v>
      </c>
      <c r="G123" s="258" t="str">
        <f>_xll.qlFuturesConvAdjustmentQuote($F123,IborIndex,$D123,$E123,Volatility,MeanReversion,Permanent,Trigger,ObjectOverwrite)</f>
        <v>GBPFUT3MQ3ConvAdj_Quote#0000</v>
      </c>
      <c r="H123" s="74" t="str">
        <f>_xll.ohRangeRetrieveError(G123)</f>
        <v/>
      </c>
    </row>
    <row r="124" spans="1:8" x14ac:dyDescent="0.2">
      <c r="A124" s="148"/>
      <c r="B124" s="147">
        <v>118</v>
      </c>
      <c r="C124" s="145" t="b">
        <v>0</v>
      </c>
      <c r="D124" s="145" t="str">
        <v>U3</v>
      </c>
      <c r="E124" s="258" t="str">
        <f t="shared" si="6"/>
        <v>GBPFUT3MU3_Quote</v>
      </c>
      <c r="F124" s="259" t="str">
        <f t="shared" si="7"/>
        <v>GBPFUT3MU3ConvAdj_Quote</v>
      </c>
      <c r="G124" s="258" t="str">
        <f>_xll.qlFuturesConvAdjustmentQuote($F124,IborIndex,$D124,$E124,Volatility,MeanReversion,Permanent,Trigger,ObjectOverwrite)</f>
        <v>GBPFUT3MU3ConvAdj_Quote#0000</v>
      </c>
      <c r="H124" s="74" t="str">
        <f>_xll.ohRangeRetrieveError(G124)</f>
        <v/>
      </c>
    </row>
    <row r="125" spans="1:8" x14ac:dyDescent="0.2">
      <c r="A125" s="148"/>
      <c r="B125" s="147">
        <v>119</v>
      </c>
      <c r="C125" s="145" t="b">
        <v>0</v>
      </c>
      <c r="D125" s="145" t="str">
        <v>V3</v>
      </c>
      <c r="E125" s="258" t="str">
        <f t="shared" si="6"/>
        <v>GBPFUT3MV3_Quote</v>
      </c>
      <c r="F125" s="259" t="str">
        <f t="shared" si="7"/>
        <v>GBPFUT3MV3ConvAdj_Quote</v>
      </c>
      <c r="G125" s="258" t="str">
        <f>_xll.qlFuturesConvAdjustmentQuote($F125,IborIndex,$D125,$E125,Volatility,MeanReversion,Permanent,Trigger,ObjectOverwrite)</f>
        <v>GBPFUT3MV3ConvAdj_Quote#0000</v>
      </c>
      <c r="H125" s="74" t="str">
        <f>_xll.ohRangeRetrieveError(G125)</f>
        <v/>
      </c>
    </row>
    <row r="126" spans="1:8" ht="12" thickBot="1" x14ac:dyDescent="0.25">
      <c r="A126" s="141"/>
      <c r="B126" s="147">
        <v>120</v>
      </c>
      <c r="C126" s="145" t="b">
        <v>0</v>
      </c>
      <c r="D126" s="145" t="str">
        <v>X3</v>
      </c>
      <c r="E126" s="258" t="str">
        <f t="shared" si="6"/>
        <v>GBPFUT3MX3_Quote</v>
      </c>
      <c r="F126" s="259" t="str">
        <f t="shared" si="7"/>
        <v>GBPFUT3MX3ConvAdj_Quote</v>
      </c>
      <c r="G126" s="258" t="str">
        <f>_xll.qlFuturesConvAdjustmentQuote($F126,IborIndex,$D126,$E126,Volatility,MeanReversion,Permanent,Trigger,ObjectOverwrite)</f>
        <v>GBPFUT3MX3ConvAdj_Quote#0000</v>
      </c>
      <c r="H126" s="74" t="str">
        <f>_xll.ohRangeRetrieveError(G126)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9"/>
  <sheetViews>
    <sheetView tabSelected="1" workbookViewId="0"/>
  </sheetViews>
  <sheetFormatPr defaultColWidth="8" defaultRowHeight="11.25" x14ac:dyDescent="0.2"/>
  <cols>
    <col min="1" max="1" width="6.140625" style="101" customWidth="1"/>
    <col min="2" max="2" width="4.28515625" style="101" customWidth="1"/>
    <col min="3" max="3" width="15.5703125" style="101" bestFit="1" customWidth="1"/>
    <col min="4" max="4" width="79.42578125" style="101" bestFit="1" customWidth="1"/>
    <col min="5" max="5" width="4.7109375" style="101" customWidth="1"/>
    <col min="6" max="6" width="35.28515625" style="101" customWidth="1"/>
    <col min="7" max="7" width="4.28515625" style="101" customWidth="1"/>
    <col min="8" max="16384" width="8" style="101"/>
  </cols>
  <sheetData>
    <row r="1" spans="1:5" ht="13.5" thickBot="1" x14ac:dyDescent="0.25">
      <c r="B1" s="104" t="str">
        <f>_xll.qlxlVersion(TRUE,Trigger)</f>
        <v>QuantLibXL 1.3.0 - MS VC++ 9.0 - Multithreaded Static Runtime library - Release Configuration - Nov  5 2013 10:41:52</v>
      </c>
    </row>
    <row r="2" spans="1:5" s="1" customFormat="1" ht="15.75" x14ac:dyDescent="0.25">
      <c r="A2" s="50"/>
      <c r="B2" s="269" t="s">
        <v>99</v>
      </c>
      <c r="C2" s="270"/>
      <c r="D2" s="270"/>
      <c r="E2" s="271"/>
    </row>
    <row r="3" spans="1:5" s="1" customFormat="1" ht="12.75" x14ac:dyDescent="0.2">
      <c r="A3" s="50"/>
      <c r="B3" s="53"/>
      <c r="C3" s="56"/>
      <c r="D3" s="56"/>
      <c r="E3" s="6"/>
    </row>
    <row r="4" spans="1:5" s="1" customFormat="1" ht="12.75" x14ac:dyDescent="0.2">
      <c r="A4" s="50"/>
      <c r="B4" s="53"/>
      <c r="C4" s="22" t="s">
        <v>98</v>
      </c>
      <c r="D4" s="52"/>
      <c r="E4" s="51"/>
    </row>
    <row r="5" spans="1:5" s="1" customFormat="1" ht="12.75" x14ac:dyDescent="0.2">
      <c r="A5" s="50"/>
      <c r="B5" s="53"/>
      <c r="C5" s="22" t="s">
        <v>95</v>
      </c>
      <c r="D5" s="52" t="b">
        <v>1</v>
      </c>
      <c r="E5" s="51"/>
    </row>
    <row r="6" spans="1:5" s="1" customFormat="1" ht="12.75" x14ac:dyDescent="0.2">
      <c r="A6" s="50"/>
      <c r="B6" s="53"/>
      <c r="C6" s="22" t="s">
        <v>94</v>
      </c>
      <c r="D6" s="52" t="b">
        <v>0</v>
      </c>
      <c r="E6" s="51"/>
    </row>
    <row r="7" spans="1:5" s="1" customFormat="1" ht="12.75" x14ac:dyDescent="0.2">
      <c r="A7" s="50"/>
      <c r="B7" s="53"/>
      <c r="C7" s="22" t="s">
        <v>93</v>
      </c>
      <c r="D7" s="52" t="b">
        <v>1</v>
      </c>
      <c r="E7" s="51"/>
    </row>
    <row r="8" spans="1:5" s="1" customFormat="1" ht="12.75" x14ac:dyDescent="0.2">
      <c r="A8" s="50"/>
      <c r="B8" s="53"/>
      <c r="C8" s="22" t="s">
        <v>92</v>
      </c>
      <c r="D8" s="55" t="str">
        <f ca="1">SUBSTITUTE(LEFT(CELL("filename",A1),FIND("[",CELL("filename",A1),1)-1),"\XLS\","\XML\")</f>
        <v>C:\Users\erik\Documents\repos\quantlib_nando\QuantLibXL\Data2\XML\</v>
      </c>
      <c r="E8" s="51"/>
    </row>
    <row r="9" spans="1:5" s="1" customFormat="1" ht="12.75" x14ac:dyDescent="0.2">
      <c r="A9" s="50"/>
      <c r="B9" s="53"/>
      <c r="C9" s="22" t="s">
        <v>91</v>
      </c>
      <c r="D9" s="54" t="b">
        <v>1</v>
      </c>
      <c r="E9" s="51"/>
    </row>
    <row r="10" spans="1:5" s="1" customFormat="1" ht="13.5" thickBot="1" x14ac:dyDescent="0.25">
      <c r="A10" s="50"/>
      <c r="B10" s="5"/>
      <c r="C10" s="4"/>
      <c r="D10" s="4"/>
      <c r="E10" s="3"/>
    </row>
    <row r="11" spans="1:5" ht="12" thickBot="1" x14ac:dyDescent="0.25"/>
    <row r="12" spans="1:5" ht="15.75" x14ac:dyDescent="0.25">
      <c r="B12" s="266" t="s">
        <v>134</v>
      </c>
      <c r="C12" s="267"/>
      <c r="D12" s="267"/>
      <c r="E12" s="268"/>
    </row>
    <row r="13" spans="1:5" x14ac:dyDescent="0.2">
      <c r="B13" s="53"/>
      <c r="C13" s="56"/>
      <c r="D13" s="56"/>
      <c r="E13" s="6"/>
    </row>
    <row r="14" spans="1:5" x14ac:dyDescent="0.2">
      <c r="B14" s="53"/>
      <c r="C14" s="22" t="s">
        <v>97</v>
      </c>
      <c r="D14" s="52" t="s">
        <v>96</v>
      </c>
      <c r="E14" s="51"/>
    </row>
    <row r="15" spans="1:5" x14ac:dyDescent="0.2">
      <c r="B15" s="53"/>
      <c r="C15" s="22" t="s">
        <v>26</v>
      </c>
      <c r="D15" s="52" t="s">
        <v>25</v>
      </c>
      <c r="E15" s="51"/>
    </row>
    <row r="16" spans="1:5" x14ac:dyDescent="0.2">
      <c r="B16" s="53"/>
      <c r="C16" s="22" t="s">
        <v>133</v>
      </c>
      <c r="D16" s="54" t="s">
        <v>132</v>
      </c>
      <c r="E16" s="51"/>
    </row>
    <row r="17" spans="2:5" x14ac:dyDescent="0.2">
      <c r="B17" s="53"/>
      <c r="C17" s="22" t="s">
        <v>131</v>
      </c>
      <c r="D17" s="103">
        <v>1E-4</v>
      </c>
      <c r="E17" s="51"/>
    </row>
    <row r="18" spans="2:5" x14ac:dyDescent="0.2">
      <c r="B18" s="53"/>
      <c r="C18" s="22" t="s">
        <v>130</v>
      </c>
      <c r="D18" s="102">
        <v>-0.01</v>
      </c>
      <c r="E18" s="51"/>
    </row>
    <row r="19" spans="2:5" ht="12" thickBot="1" x14ac:dyDescent="0.25">
      <c r="B19" s="5"/>
      <c r="C19" s="4"/>
      <c r="D19" s="4"/>
      <c r="E19" s="3"/>
    </row>
  </sheetData>
  <mergeCells count="2">
    <mergeCell ref="B2:E2"/>
    <mergeCell ref="B12:E12"/>
  </mergeCells>
  <dataValidations count="2">
    <dataValidation type="list" allowBlank="1" showInputMessage="1" showErrorMessage="1" sqref="D15">
      <formula1>"ibor,Libor"</formula1>
    </dataValidation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317</vt:i4>
      </vt:variant>
    </vt:vector>
  </HeadingPairs>
  <TitlesOfParts>
    <vt:vector size="352" baseType="lpstr">
      <vt:lpstr>GBP</vt:lpstr>
      <vt:lpstr>RelinkableHandles</vt:lpstr>
      <vt:lpstr>Libor</vt:lpstr>
      <vt:lpstr>LiborSwapIsda</vt:lpstr>
      <vt:lpstr>GbpLibor</vt:lpstr>
      <vt:lpstr>BasisSwap1MxM</vt:lpstr>
      <vt:lpstr>BasisSwap3M6M</vt:lpstr>
      <vt:lpstr>BasisSwapxM12M</vt:lpstr>
      <vt:lpstr>GBP_010_BasisSwapQuotes</vt:lpstr>
      <vt:lpstr>Deposits</vt:lpstr>
      <vt:lpstr>FRA</vt:lpstr>
      <vt:lpstr>Futures1M</vt:lpstr>
      <vt:lpstr>Futures3M</vt:lpstr>
      <vt:lpstr>ImmFra6M </vt:lpstr>
      <vt:lpstr>FuturesHWConvAdj</vt:lpstr>
      <vt:lpstr>GBP_010_DepoFRAFuturesQuotes</vt:lpstr>
      <vt:lpstr>OIS</vt:lpstr>
      <vt:lpstr>Swaps1M</vt:lpstr>
      <vt:lpstr>SwapsIMMDated</vt:lpstr>
      <vt:lpstr>Swap3M</vt:lpstr>
      <vt:lpstr>Swap6M</vt:lpstr>
      <vt:lpstr>GBP_010_SwapQuotes</vt:lpstr>
      <vt:lpstr>1M</vt:lpstr>
      <vt:lpstr>3M</vt:lpstr>
      <vt:lpstr>6M</vt:lpstr>
      <vt:lpstr>1Y</vt:lpstr>
      <vt:lpstr>GBP_015_SyntheticQuotes</vt:lpstr>
      <vt:lpstr>1M (2)</vt:lpstr>
      <vt:lpstr>3M (2)</vt:lpstr>
      <vt:lpstr>6M (2)</vt:lpstr>
      <vt:lpstr>1Y (2)</vt:lpstr>
      <vt:lpstr>GBP_020_ForwardSwapQuotes</vt:lpstr>
      <vt:lpstr>1M (3)</vt:lpstr>
      <vt:lpstr>3M (3)</vt:lpstr>
      <vt:lpstr>GBP_020_FuturesConvAdjQuotes</vt:lpstr>
      <vt:lpstr>'1M'!Currency</vt:lpstr>
      <vt:lpstr>'1M (2)'!Currency</vt:lpstr>
      <vt:lpstr>'1M (3)'!Currency</vt:lpstr>
      <vt:lpstr>'1Y'!Currency</vt:lpstr>
      <vt:lpstr>'1Y (2)'!Currency</vt:lpstr>
      <vt:lpstr>'3M'!Currency</vt:lpstr>
      <vt:lpstr>'3M (2)'!Currency</vt:lpstr>
      <vt:lpstr>'3M (3)'!Currency</vt:lpstr>
      <vt:lpstr>'6M'!Currency</vt:lpstr>
      <vt:lpstr>'6M (2)'!Currency</vt:lpstr>
      <vt:lpstr>BasisSwap1MxM!Currency</vt:lpstr>
      <vt:lpstr>BasisSwap3M6M!Currency</vt:lpstr>
      <vt:lpstr>BasisSwapxM12M!Currency</vt:lpstr>
      <vt:lpstr>Deposits!Currency</vt:lpstr>
      <vt:lpstr>FRA!Currency</vt:lpstr>
      <vt:lpstr>Futures1M!Currency</vt:lpstr>
      <vt:lpstr>Futures3M!Currency</vt:lpstr>
      <vt:lpstr>FuturesHWConvAdj!Currency</vt:lpstr>
      <vt:lpstr>GBP!Currency</vt:lpstr>
      <vt:lpstr>GBP_010_BasisSwapQuotes!Currency</vt:lpstr>
      <vt:lpstr>GBP_010_DepoFRAFuturesQuotes!Currency</vt:lpstr>
      <vt:lpstr>GBP_010_SwapQuotes!Currency</vt:lpstr>
      <vt:lpstr>GBP_015_SyntheticQuotes!Currency</vt:lpstr>
      <vt:lpstr>GBP_020_ForwardSwapQuotes!Currency</vt:lpstr>
      <vt:lpstr>GBP_020_FuturesConvAdjQuotes!Currency</vt:lpstr>
      <vt:lpstr>'ImmFra6M '!Currency</vt:lpstr>
      <vt:lpstr>OIS!Currency</vt:lpstr>
      <vt:lpstr>Swap3M!Currency</vt:lpstr>
      <vt:lpstr>Swap6M!Currency</vt:lpstr>
      <vt:lpstr>Swaps1M!Currency</vt:lpstr>
      <vt:lpstr>SwapsIMMDated!Currency</vt:lpstr>
      <vt:lpstr>Currency</vt:lpstr>
      <vt:lpstr>Discounting</vt:lpstr>
      <vt:lpstr>Discounting2</vt:lpstr>
      <vt:lpstr>'1M (3)'!FamilyName</vt:lpstr>
      <vt:lpstr>'3M (3)'!FamilyName</vt:lpstr>
      <vt:lpstr>GBP_020_FuturesConvAdjQuotes!FamilyName</vt:lpstr>
      <vt:lpstr>Libor!FamilyName</vt:lpstr>
      <vt:lpstr>LiborSwapIsda!FamilyName</vt:lpstr>
      <vt:lpstr>FamilyName</vt:lpstr>
      <vt:lpstr>Libor!FileName</vt:lpstr>
      <vt:lpstr>LiborSwapIsda!FileName</vt:lpstr>
      <vt:lpstr>'1M'!FileOverwrite</vt:lpstr>
      <vt:lpstr>'1M (2)'!FileOverwrite</vt:lpstr>
      <vt:lpstr>'1M (3)'!FileOverwrite</vt:lpstr>
      <vt:lpstr>'1Y'!FileOverwrite</vt:lpstr>
      <vt:lpstr>'1Y (2)'!FileOverwrite</vt:lpstr>
      <vt:lpstr>'3M'!FileOverwrite</vt:lpstr>
      <vt:lpstr>'3M (2)'!FileOverwrite</vt:lpstr>
      <vt:lpstr>'3M (3)'!FileOverwrite</vt:lpstr>
      <vt:lpstr>'6M'!FileOverwrite</vt:lpstr>
      <vt:lpstr>'6M (2)'!FileOverwrite</vt:lpstr>
      <vt:lpstr>BasisSwap1MxM!FileOverwrite</vt:lpstr>
      <vt:lpstr>BasisSwap3M6M!FileOverwrite</vt:lpstr>
      <vt:lpstr>BasisSwapxM12M!FileOverwrite</vt:lpstr>
      <vt:lpstr>Deposits!FileOverwrite</vt:lpstr>
      <vt:lpstr>FRA!FileOverwrite</vt:lpstr>
      <vt:lpstr>Futures1M!FileOverwrite</vt:lpstr>
      <vt:lpstr>Futures3M!FileOverwrite</vt:lpstr>
      <vt:lpstr>FuturesHWConvAdj!FileOverwrite</vt:lpstr>
      <vt:lpstr>GBP!FileOverwrite</vt:lpstr>
      <vt:lpstr>GBP_010_BasisSwapQuotes!FileOverwrite</vt:lpstr>
      <vt:lpstr>GBP_010_DepoFRAFuturesQuotes!FileOverwrite</vt:lpstr>
      <vt:lpstr>GBP_010_SwapQuotes!FileOverwrite</vt:lpstr>
      <vt:lpstr>GBP_015_SyntheticQuotes!FileOverwrite</vt:lpstr>
      <vt:lpstr>GBP_020_ForwardSwapQuotes!FileOverwrite</vt:lpstr>
      <vt:lpstr>GBP_020_FuturesConvAdjQuotes!FileOverwrite</vt:lpstr>
      <vt:lpstr>'ImmFra6M '!FileOverwrite</vt:lpstr>
      <vt:lpstr>OIS!FileOverwrite</vt:lpstr>
      <vt:lpstr>RelinkableHandles!FileOverwrite</vt:lpstr>
      <vt:lpstr>Swap3M!FileOverwrite</vt:lpstr>
      <vt:lpstr>Swap6M!FileOverwrite</vt:lpstr>
      <vt:lpstr>Swaps1M!FileOverwrite</vt:lpstr>
      <vt:lpstr>SwapsIMMDated!FileOverwrite</vt:lpstr>
      <vt:lpstr>FileOverwrite</vt:lpstr>
      <vt:lpstr>LiborSwapIsda!FixingType</vt:lpstr>
      <vt:lpstr>FixingType</vt:lpstr>
      <vt:lpstr>'1M (3)'!IborIndex</vt:lpstr>
      <vt:lpstr>'3M (3)'!IborIndex</vt:lpstr>
      <vt:lpstr>'1M (3)'!MeanReversion</vt:lpstr>
      <vt:lpstr>'3M (3)'!MeanReversion</vt:lpstr>
      <vt:lpstr>'1M'!Months</vt:lpstr>
      <vt:lpstr>'1Y'!Months</vt:lpstr>
      <vt:lpstr>'3M'!Months</vt:lpstr>
      <vt:lpstr>'6M'!Months</vt:lpstr>
      <vt:lpstr>'1M'!ObjectOverwrite</vt:lpstr>
      <vt:lpstr>'1M (2)'!ObjectOverwrite</vt:lpstr>
      <vt:lpstr>'1M (3)'!ObjectOverwrite</vt:lpstr>
      <vt:lpstr>'1Y'!ObjectOverwrite</vt:lpstr>
      <vt:lpstr>'1Y (2)'!ObjectOverwrite</vt:lpstr>
      <vt:lpstr>'3M'!ObjectOverwrite</vt:lpstr>
      <vt:lpstr>'3M (2)'!ObjectOverwrite</vt:lpstr>
      <vt:lpstr>'3M (3)'!ObjectOverwrite</vt:lpstr>
      <vt:lpstr>'6M'!ObjectOverwrite</vt:lpstr>
      <vt:lpstr>'6M (2)'!ObjectOverwrite</vt:lpstr>
      <vt:lpstr>BasisSwap1MxM!ObjectOverwrite</vt:lpstr>
      <vt:lpstr>BasisSwap3M6M!ObjectOverwrite</vt:lpstr>
      <vt:lpstr>BasisSwapxM12M!ObjectOverwrite</vt:lpstr>
      <vt:lpstr>Deposits!ObjectOverwrite</vt:lpstr>
      <vt:lpstr>FRA!ObjectOverwrite</vt:lpstr>
      <vt:lpstr>Futures1M!ObjectOverwrite</vt:lpstr>
      <vt:lpstr>Futures3M!ObjectOverwrite</vt:lpstr>
      <vt:lpstr>FuturesHWConvAdj!ObjectOverwrite</vt:lpstr>
      <vt:lpstr>GBP!ObjectOverwrite</vt:lpstr>
      <vt:lpstr>GBP_010_BasisSwapQuotes!ObjectOverwrite</vt:lpstr>
      <vt:lpstr>GBP_010_DepoFRAFuturesQuotes!ObjectOverwrite</vt:lpstr>
      <vt:lpstr>GBP_010_SwapQuotes!ObjectOverwrite</vt:lpstr>
      <vt:lpstr>GBP_015_SyntheticQuotes!ObjectOverwrite</vt:lpstr>
      <vt:lpstr>GBP_020_ForwardSwapQuotes!ObjectOverwrite</vt:lpstr>
      <vt:lpstr>GBP_020_FuturesConvAdjQuotes!ObjectOverwrite</vt:lpstr>
      <vt:lpstr>'ImmFra6M '!ObjectOverwrite</vt:lpstr>
      <vt:lpstr>OIS!ObjectOverwrite</vt:lpstr>
      <vt:lpstr>RelinkableHandles!ObjectOverwrite</vt:lpstr>
      <vt:lpstr>Swap3M!ObjectOverwrite</vt:lpstr>
      <vt:lpstr>Swap6M!ObjectOverwrite</vt:lpstr>
      <vt:lpstr>Swaps1M!ObjectOverwrite</vt:lpstr>
      <vt:lpstr>SwapsIMMDated!ObjectOverwrite</vt:lpstr>
      <vt:lpstr>ObjectOverwrite</vt:lpstr>
      <vt:lpstr>'1M'!Permanent</vt:lpstr>
      <vt:lpstr>'1M (2)'!Permanent</vt:lpstr>
      <vt:lpstr>'1M (3)'!Permanent</vt:lpstr>
      <vt:lpstr>'1Y'!Permanent</vt:lpstr>
      <vt:lpstr>'1Y (2)'!Permanent</vt:lpstr>
      <vt:lpstr>'3M'!Permanent</vt:lpstr>
      <vt:lpstr>'3M (2)'!Permanent</vt:lpstr>
      <vt:lpstr>'3M (3)'!Permanent</vt:lpstr>
      <vt:lpstr>'6M'!Permanent</vt:lpstr>
      <vt:lpstr>'6M (2)'!Permanent</vt:lpstr>
      <vt:lpstr>BasisSwap1MxM!Permanent</vt:lpstr>
      <vt:lpstr>BasisSwap3M6M!Permanent</vt:lpstr>
      <vt:lpstr>BasisSwapxM12M!Permanent</vt:lpstr>
      <vt:lpstr>Deposits!Permanent</vt:lpstr>
      <vt:lpstr>FRA!Permanent</vt:lpstr>
      <vt:lpstr>Futures1M!Permanent</vt:lpstr>
      <vt:lpstr>Futures3M!Permanent</vt:lpstr>
      <vt:lpstr>FuturesHWConvAdj!Permanent</vt:lpstr>
      <vt:lpstr>GBP!Permanent</vt:lpstr>
      <vt:lpstr>GBP_010_BasisSwapQuotes!Permanent</vt:lpstr>
      <vt:lpstr>GBP_010_DepoFRAFuturesQuotes!Permanent</vt:lpstr>
      <vt:lpstr>GBP_010_SwapQuotes!Permanent</vt:lpstr>
      <vt:lpstr>GBP_015_SyntheticQuotes!Permanent</vt:lpstr>
      <vt:lpstr>GBP_020_ForwardSwapQuotes!Permanent</vt:lpstr>
      <vt:lpstr>GBP_020_FuturesConvAdjQuotes!Permanent</vt:lpstr>
      <vt:lpstr>'ImmFra6M '!Permanent</vt:lpstr>
      <vt:lpstr>OIS!Permanent</vt:lpstr>
      <vt:lpstr>RelinkableHandles!Permanent</vt:lpstr>
      <vt:lpstr>Swap3M!Permanent</vt:lpstr>
      <vt:lpstr>Swap6M!Permanent</vt:lpstr>
      <vt:lpstr>Swaps1M!Permanent</vt:lpstr>
      <vt:lpstr>SwapsIMMDated!Permanent</vt:lpstr>
      <vt:lpstr>Permanent</vt:lpstr>
      <vt:lpstr>Deposits!PriceTickValue</vt:lpstr>
      <vt:lpstr>FRA!PriceTickValue</vt:lpstr>
      <vt:lpstr>Futures1M!PriceTickValue</vt:lpstr>
      <vt:lpstr>Futures3M!PriceTickValue</vt:lpstr>
      <vt:lpstr>FuturesHWConvAdj!PriceTickValue</vt:lpstr>
      <vt:lpstr>GBP_010_DepoFRAFuturesQuotes!PriceTickValue</vt:lpstr>
      <vt:lpstr>GBP_010_SwapQuotes!PriceTickValue</vt:lpstr>
      <vt:lpstr>GBP_020_ForwardSwapQuotes!PriceTickValue</vt:lpstr>
      <vt:lpstr>GBP_020_FuturesConvAdjQuotes!PriceTickValue</vt:lpstr>
      <vt:lpstr>'ImmFra6M '!PriceTickValue</vt:lpstr>
      <vt:lpstr>PriceTickValue</vt:lpstr>
      <vt:lpstr>'1M'!QuoteSuffix</vt:lpstr>
      <vt:lpstr>'1M (2)'!QuoteSuffix</vt:lpstr>
      <vt:lpstr>'1M (3)'!QuoteSuffix</vt:lpstr>
      <vt:lpstr>'1Y'!QuoteSuffix</vt:lpstr>
      <vt:lpstr>'1Y (2)'!QuoteSuffix</vt:lpstr>
      <vt:lpstr>'3M'!QuoteSuffix</vt:lpstr>
      <vt:lpstr>'3M (2)'!QuoteSuffix</vt:lpstr>
      <vt:lpstr>'3M (3)'!QuoteSuffix</vt:lpstr>
      <vt:lpstr>'6M'!QuoteSuffix</vt:lpstr>
      <vt:lpstr>'6M (2)'!QuoteSuffix</vt:lpstr>
      <vt:lpstr>Deposits!QuoteSuffix</vt:lpstr>
      <vt:lpstr>FRA!QuoteSuffix</vt:lpstr>
      <vt:lpstr>Futures1M!QuoteSuffix</vt:lpstr>
      <vt:lpstr>Futures3M!QuoteSuffix</vt:lpstr>
      <vt:lpstr>FuturesHWConvAdj!QuoteSuffix</vt:lpstr>
      <vt:lpstr>GBP_010_DepoFRAFuturesQuotes!QuoteSuffix</vt:lpstr>
      <vt:lpstr>GBP_010_SwapQuotes!QuoteSuffix</vt:lpstr>
      <vt:lpstr>GBP_015_SyntheticQuotes!QuoteSuffix</vt:lpstr>
      <vt:lpstr>GBP_020_ForwardSwapQuotes!QuoteSuffix</vt:lpstr>
      <vt:lpstr>GBP_020_FuturesConvAdjQuotes!QuoteSuffix</vt:lpstr>
      <vt:lpstr>'ImmFra6M '!QuoteSuffix</vt:lpstr>
      <vt:lpstr>OIS!QuoteSuffix</vt:lpstr>
      <vt:lpstr>Swap3M!QuoteSuffix</vt:lpstr>
      <vt:lpstr>Swap6M!QuoteSuffix</vt:lpstr>
      <vt:lpstr>Swaps1M!QuoteSuffix</vt:lpstr>
      <vt:lpstr>SwapsIMMDated!QuoteSuffix</vt:lpstr>
      <vt:lpstr>QuoteSuffix</vt:lpstr>
      <vt:lpstr>'1M'!RateTickValue</vt:lpstr>
      <vt:lpstr>'1Y'!RateTickValue</vt:lpstr>
      <vt:lpstr>'3M'!RateTickValue</vt:lpstr>
      <vt:lpstr>'6M'!RateTickValue</vt:lpstr>
      <vt:lpstr>Deposits!RateTickValue</vt:lpstr>
      <vt:lpstr>FRA!RateTickValue</vt:lpstr>
      <vt:lpstr>Futures1M!RateTickValue</vt:lpstr>
      <vt:lpstr>Futures3M!RateTickValue</vt:lpstr>
      <vt:lpstr>FuturesHWConvAdj!RateTickValue</vt:lpstr>
      <vt:lpstr>GBP_010_DepoFRAFuturesQuotes!RateTickValue</vt:lpstr>
      <vt:lpstr>GBP_010_SwapQuotes!RateTickValue</vt:lpstr>
      <vt:lpstr>GBP_015_SyntheticQuotes!RateTickValue</vt:lpstr>
      <vt:lpstr>GBP_020_ForwardSwapQuotes!RateTickValue</vt:lpstr>
      <vt:lpstr>GBP_020_FuturesConvAdjQuotes!RateTickValue</vt:lpstr>
      <vt:lpstr>'ImmFra6M '!RateTickValue</vt:lpstr>
      <vt:lpstr>OIS!RateTickValue</vt:lpstr>
      <vt:lpstr>Swap3M!RateTickValue</vt:lpstr>
      <vt:lpstr>Swap6M!RateTickValue</vt:lpstr>
      <vt:lpstr>Swaps1M!RateTickValue</vt:lpstr>
      <vt:lpstr>SwapsIMMDated!RateTickValue</vt:lpstr>
      <vt:lpstr>RateTickValue</vt:lpstr>
      <vt:lpstr>'1M'!SerializationPath</vt:lpstr>
      <vt:lpstr>'1M (2)'!SerializationPath</vt:lpstr>
      <vt:lpstr>'1M (3)'!SerializationPath</vt:lpstr>
      <vt:lpstr>'1Y'!SerializationPath</vt:lpstr>
      <vt:lpstr>'1Y (2)'!SerializationPath</vt:lpstr>
      <vt:lpstr>'3M'!SerializationPath</vt:lpstr>
      <vt:lpstr>'3M (2)'!SerializationPath</vt:lpstr>
      <vt:lpstr>'3M (3)'!SerializationPath</vt:lpstr>
      <vt:lpstr>'6M'!SerializationPath</vt:lpstr>
      <vt:lpstr>'6M (2)'!SerializationPath</vt:lpstr>
      <vt:lpstr>BasisSwap1MxM!SerializationPath</vt:lpstr>
      <vt:lpstr>BasisSwap3M6M!SerializationPath</vt:lpstr>
      <vt:lpstr>BasisSwapxM12M!SerializationPath</vt:lpstr>
      <vt:lpstr>Deposits!SerializationPath</vt:lpstr>
      <vt:lpstr>FRA!SerializationPath</vt:lpstr>
      <vt:lpstr>Futures1M!SerializationPath</vt:lpstr>
      <vt:lpstr>Futures3M!SerializationPath</vt:lpstr>
      <vt:lpstr>FuturesHWConvAdj!SerializationPath</vt:lpstr>
      <vt:lpstr>GBP!SerializationPath</vt:lpstr>
      <vt:lpstr>GBP_010_BasisSwapQuotes!SerializationPath</vt:lpstr>
      <vt:lpstr>GBP_010_DepoFRAFuturesQuotes!SerializationPath</vt:lpstr>
      <vt:lpstr>GBP_010_SwapQuotes!SerializationPath</vt:lpstr>
      <vt:lpstr>GBP_015_SyntheticQuotes!SerializationPath</vt:lpstr>
      <vt:lpstr>GBP_020_ForwardSwapQuotes!SerializationPath</vt:lpstr>
      <vt:lpstr>GBP_020_FuturesConvAdjQuotes!SerializationPath</vt:lpstr>
      <vt:lpstr>'ImmFra6M '!SerializationPath</vt:lpstr>
      <vt:lpstr>OIS!SerializationPath</vt:lpstr>
      <vt:lpstr>RelinkableHandles!SerializationPath</vt:lpstr>
      <vt:lpstr>Swap3M!SerializationPath</vt:lpstr>
      <vt:lpstr>Swap6M!SerializationPath</vt:lpstr>
      <vt:lpstr>Swaps1M!SerializationPath</vt:lpstr>
      <vt:lpstr>SwapsIMMDated!SerializationPath</vt:lpstr>
      <vt:lpstr>SerializationPath</vt:lpstr>
      <vt:lpstr>'1M'!Serialize</vt:lpstr>
      <vt:lpstr>'1M (2)'!Serialize</vt:lpstr>
      <vt:lpstr>'1M (3)'!Serialize</vt:lpstr>
      <vt:lpstr>'1Y'!Serialize</vt:lpstr>
      <vt:lpstr>'1Y (2)'!Serialize</vt:lpstr>
      <vt:lpstr>'3M'!Serialize</vt:lpstr>
      <vt:lpstr>'3M (2)'!Serialize</vt:lpstr>
      <vt:lpstr>'3M (3)'!Serialize</vt:lpstr>
      <vt:lpstr>'6M'!Serialize</vt:lpstr>
      <vt:lpstr>'6M (2)'!Serialize</vt:lpstr>
      <vt:lpstr>BasisSwap1MxM!Serialize</vt:lpstr>
      <vt:lpstr>BasisSwap3M6M!Serialize</vt:lpstr>
      <vt:lpstr>BasisSwapxM12M!Serialize</vt:lpstr>
      <vt:lpstr>Deposits!Serialize</vt:lpstr>
      <vt:lpstr>FRA!Serialize</vt:lpstr>
      <vt:lpstr>Futures1M!Serialize</vt:lpstr>
      <vt:lpstr>Futures3M!Serialize</vt:lpstr>
      <vt:lpstr>FuturesHWConvAdj!Serialize</vt:lpstr>
      <vt:lpstr>GBP!Serialize</vt:lpstr>
      <vt:lpstr>GBP_010_BasisSwapQuotes!Serialize</vt:lpstr>
      <vt:lpstr>GBP_010_DepoFRAFuturesQuotes!Serialize</vt:lpstr>
      <vt:lpstr>GBP_010_SwapQuotes!Serialize</vt:lpstr>
      <vt:lpstr>GBP_015_SyntheticQuotes!Serialize</vt:lpstr>
      <vt:lpstr>GBP_020_ForwardSwapQuotes!Serialize</vt:lpstr>
      <vt:lpstr>GBP_020_FuturesConvAdjQuotes!Serialize</vt:lpstr>
      <vt:lpstr>'ImmFra6M '!Serialize</vt:lpstr>
      <vt:lpstr>OIS!Serialize</vt:lpstr>
      <vt:lpstr>RelinkableHandles!Serialize</vt:lpstr>
      <vt:lpstr>Swap3M!Serialize</vt:lpstr>
      <vt:lpstr>Swap6M!Serialize</vt:lpstr>
      <vt:lpstr>Swaps1M!Serialize</vt:lpstr>
      <vt:lpstr>SwapsIMMDated!Serialize</vt:lpstr>
      <vt:lpstr>Serialize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'1M'!Trigger</vt:lpstr>
      <vt:lpstr>'1M (2)'!Trigger</vt:lpstr>
      <vt:lpstr>'1M (3)'!Trigger</vt:lpstr>
      <vt:lpstr>'1Y'!Trigger</vt:lpstr>
      <vt:lpstr>'1Y (2)'!Trigger</vt:lpstr>
      <vt:lpstr>'3M'!Trigger</vt:lpstr>
      <vt:lpstr>'3M (2)'!Trigger</vt:lpstr>
      <vt:lpstr>'3M (3)'!Trigger</vt:lpstr>
      <vt:lpstr>'6M'!Trigger</vt:lpstr>
      <vt:lpstr>'6M (2)'!Trigger</vt:lpstr>
      <vt:lpstr>BasisSwap1MxM!Trigger</vt:lpstr>
      <vt:lpstr>BasisSwap3M6M!Trigger</vt:lpstr>
      <vt:lpstr>BasisSwapxM12M!Trigger</vt:lpstr>
      <vt:lpstr>Deposits!Trigger</vt:lpstr>
      <vt:lpstr>FRA!Trigger</vt:lpstr>
      <vt:lpstr>Futures1M!Trigger</vt:lpstr>
      <vt:lpstr>Futures3M!Trigger</vt:lpstr>
      <vt:lpstr>FuturesHWConvAdj!Trigger</vt:lpstr>
      <vt:lpstr>GBP!Trigger</vt:lpstr>
      <vt:lpstr>GBP_010_BasisSwapQuotes!Trigger</vt:lpstr>
      <vt:lpstr>GBP_010_DepoFRAFuturesQuotes!Trigger</vt:lpstr>
      <vt:lpstr>GBP_010_SwapQuotes!Trigger</vt:lpstr>
      <vt:lpstr>GBP_015_SyntheticQuotes!Trigger</vt:lpstr>
      <vt:lpstr>GBP_020_ForwardSwapQuotes!Trigger</vt:lpstr>
      <vt:lpstr>GBP_020_FuturesConvAdjQuotes!Trigger</vt:lpstr>
      <vt:lpstr>'ImmFra6M '!Trigger</vt:lpstr>
      <vt:lpstr>OIS!Trigger</vt:lpstr>
      <vt:lpstr>RelinkableHandles!Trigger</vt:lpstr>
      <vt:lpstr>Swap3M!Trigger</vt:lpstr>
      <vt:lpstr>Swap6M!Trigger</vt:lpstr>
      <vt:lpstr>Swaps1M!Trigger</vt:lpstr>
      <vt:lpstr>SwapsIMMDated!Trigger</vt:lpstr>
      <vt:lpstr>Trigger</vt:lpstr>
      <vt:lpstr>'1M (3)'!Volatility</vt:lpstr>
      <vt:lpstr>'3M (3)'!Volatility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2013-11-28T21:46:17Z</dcterms:created>
  <dcterms:modified xsi:type="dcterms:W3CDTF">2013-11-28T22:11:39Z</dcterms:modified>
</cp:coreProperties>
</file>